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egaMukhigulashvili\Desktop\Excel\"/>
    </mc:Choice>
  </mc:AlternateContent>
  <xr:revisionPtr revIDLastSave="0" documentId="13_ncr:1_{B98D49FB-8545-4940-A1F4-9898FB0355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" sheetId="1" r:id="rId1"/>
    <sheet name="Sheet1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1" l="1"/>
  <c r="AM8" i="1" l="1"/>
  <c r="AL8" i="1"/>
  <c r="AK8" i="1"/>
  <c r="AJ8" i="1"/>
  <c r="AI8" i="1"/>
  <c r="AH8" i="1"/>
  <c r="AG8" i="1"/>
  <c r="AF8" i="1"/>
  <c r="AE8" i="1"/>
  <c r="AD8" i="1"/>
  <c r="AC8" i="1"/>
  <c r="N8" i="1"/>
  <c r="M8" i="1"/>
  <c r="K8" i="1"/>
  <c r="L8" i="1"/>
  <c r="J8" i="1"/>
  <c r="AM10" i="1" l="1"/>
  <c r="AL10" i="1"/>
  <c r="AK10" i="1"/>
  <c r="AJ10" i="1"/>
  <c r="AI10" i="1"/>
  <c r="AH10" i="1"/>
  <c r="AG10" i="1"/>
  <c r="AF10" i="1"/>
  <c r="AE10" i="1"/>
  <c r="AD10" i="1"/>
  <c r="AC10" i="1"/>
  <c r="O10" i="1"/>
  <c r="L10" i="1"/>
  <c r="J10" i="1"/>
  <c r="K12" i="2" l="1"/>
  <c r="AM3" i="1"/>
  <c r="AL3" i="1"/>
  <c r="AK3" i="1"/>
  <c r="J3" i="1"/>
  <c r="AI3" i="1"/>
  <c r="AH3" i="1"/>
  <c r="AG3" i="1"/>
  <c r="AF3" i="1"/>
  <c r="AE3" i="1"/>
  <c r="AC3" i="1"/>
  <c r="AD3" i="1"/>
  <c r="L3" i="1"/>
  <c r="E3" i="1"/>
  <c r="K17" i="2"/>
  <c r="K19" i="2"/>
  <c r="K15" i="2"/>
  <c r="K18" i="2"/>
  <c r="K16" i="2"/>
  <c r="K14" i="2"/>
  <c r="K13" i="2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W16" i="1"/>
  <c r="Y16" i="1" s="1"/>
  <c r="W15" i="1"/>
  <c r="Y15" i="1" s="1"/>
  <c r="W14" i="1"/>
  <c r="Y14" i="1" s="1"/>
  <c r="W13" i="1"/>
  <c r="Y13" i="1" s="1"/>
  <c r="Y12" i="1"/>
  <c r="Y11" i="1"/>
  <c r="W12" i="1"/>
  <c r="W11" i="1"/>
  <c r="I12" i="1"/>
  <c r="R12" i="1" s="1"/>
  <c r="O12" i="1"/>
  <c r="N12" i="1"/>
  <c r="M12" i="1"/>
  <c r="L12" i="1"/>
  <c r="K12" i="1"/>
  <c r="J12" i="1"/>
  <c r="H12" i="1"/>
  <c r="G12" i="1"/>
  <c r="E12" i="1"/>
  <c r="H11" i="1"/>
  <c r="G11" i="1"/>
  <c r="E11" i="1"/>
  <c r="H10" i="1" l="1"/>
  <c r="G10" i="1"/>
  <c r="Z10" i="1" l="1"/>
  <c r="E10" i="1"/>
  <c r="AM9" i="1" l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O9" i="1"/>
  <c r="L9" i="1"/>
  <c r="J9" i="1"/>
  <c r="H9" i="1"/>
  <c r="G9" i="1"/>
  <c r="S16" i="1"/>
  <c r="R16" i="1"/>
  <c r="Q16" i="1"/>
  <c r="P16" i="1"/>
  <c r="S15" i="1"/>
  <c r="R15" i="1"/>
  <c r="Q15" i="1"/>
  <c r="P15" i="1"/>
  <c r="S14" i="1"/>
  <c r="R14" i="1"/>
  <c r="Q14" i="1"/>
  <c r="P14" i="1"/>
  <c r="S13" i="1"/>
  <c r="R13" i="1"/>
  <c r="Q13" i="1"/>
  <c r="P13" i="1"/>
  <c r="I16" i="1"/>
  <c r="I15" i="1"/>
  <c r="I14" i="1"/>
  <c r="I13" i="1"/>
  <c r="F16" i="1"/>
  <c r="F15" i="1"/>
  <c r="F14" i="1"/>
  <c r="F13" i="1"/>
  <c r="F12" i="1"/>
  <c r="Q12" i="1" s="1"/>
  <c r="F11" i="1"/>
  <c r="I11" i="1" s="1"/>
  <c r="F10" i="1"/>
  <c r="P10" i="1" s="1"/>
  <c r="E9" i="1"/>
  <c r="P12" i="1" l="1"/>
  <c r="S11" i="1"/>
  <c r="R11" i="1"/>
  <c r="P11" i="1"/>
  <c r="Q11" i="1"/>
  <c r="F9" i="1"/>
  <c r="Q9" i="1" s="1"/>
  <c r="I10" i="1"/>
  <c r="S10" i="1" s="1"/>
  <c r="Q10" i="1"/>
  <c r="I9" i="1" l="1"/>
  <c r="R9" i="1" s="1"/>
  <c r="P9" i="1"/>
  <c r="S12" i="1"/>
  <c r="AA10" i="1"/>
  <c r="R10" i="1"/>
  <c r="X8" i="1"/>
  <c r="Y8" i="1"/>
  <c r="W10" i="1"/>
  <c r="Y10" i="1" s="1"/>
  <c r="W9" i="1"/>
  <c r="Y9" i="1" s="1"/>
  <c r="W8" i="1"/>
  <c r="V8" i="1"/>
  <c r="S9" i="1" l="1"/>
  <c r="AB10" i="1"/>
  <c r="AB8" i="1"/>
  <c r="AA8" i="1"/>
  <c r="Z8" i="1"/>
  <c r="O8" i="1"/>
  <c r="H8" i="1"/>
  <c r="G8" i="1"/>
  <c r="E8" i="1"/>
  <c r="X7" i="1" l="1"/>
  <c r="V7" i="1"/>
  <c r="W7" i="1" s="1"/>
  <c r="Y7" i="1" s="1"/>
  <c r="Y6" i="1"/>
  <c r="AM7" i="1"/>
  <c r="AL7" i="1"/>
  <c r="AK7" i="1"/>
  <c r="AJ7" i="1"/>
  <c r="AF7" i="1"/>
  <c r="AD7" i="1"/>
  <c r="Z7" i="1"/>
  <c r="L7" i="1"/>
  <c r="J7" i="1"/>
  <c r="E7" i="1"/>
  <c r="G7" i="1"/>
  <c r="AG7" i="1"/>
  <c r="AI7" i="1"/>
  <c r="AE7" i="1" l="1"/>
  <c r="O7" i="1"/>
  <c r="AC7" i="1"/>
  <c r="AH7" i="1"/>
  <c r="H7" i="1" l="1"/>
  <c r="AA7" i="1" l="1"/>
  <c r="AB7" i="1" l="1"/>
  <c r="X5" i="1" l="1"/>
  <c r="Y5" i="1" s="1"/>
  <c r="W5" i="1"/>
  <c r="W6" i="1"/>
  <c r="W3" i="1"/>
  <c r="J4" i="1"/>
  <c r="J5" i="1"/>
  <c r="J6" i="1"/>
  <c r="AM6" i="1" l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O6" i="1"/>
  <c r="L6" i="1"/>
  <c r="H6" i="1"/>
  <c r="G6" i="1"/>
  <c r="E6" i="1"/>
  <c r="AM5" i="1" l="1"/>
  <c r="AL5" i="1"/>
  <c r="AK5" i="1"/>
  <c r="AJ5" i="1"/>
  <c r="AG5" i="1"/>
  <c r="AH5" i="1"/>
  <c r="AI5" i="1"/>
  <c r="AF5" i="1"/>
  <c r="AD5" i="1"/>
  <c r="L5" i="1"/>
  <c r="H5" i="1"/>
  <c r="G5" i="1"/>
  <c r="O5" i="1" l="1"/>
  <c r="AC5" i="1"/>
  <c r="AE5" i="1"/>
  <c r="Z5" i="1"/>
  <c r="E5" i="1" l="1"/>
  <c r="AA5" i="1"/>
  <c r="AB5" i="1" l="1"/>
  <c r="AD4" i="1" l="1"/>
  <c r="AM4" i="1"/>
  <c r="AL4" i="1"/>
  <c r="AK4" i="1"/>
  <c r="AJ4" i="1"/>
  <c r="AI4" i="1"/>
  <c r="AH4" i="1"/>
  <c r="AG4" i="1"/>
  <c r="AF4" i="1"/>
  <c r="AE4" i="1"/>
  <c r="AC4" i="1"/>
  <c r="AB4" i="1"/>
  <c r="AA4" i="1"/>
  <c r="Z4" i="1"/>
  <c r="O4" i="1"/>
  <c r="L4" i="1"/>
  <c r="H4" i="1"/>
  <c r="G4" i="1"/>
  <c r="F8" i="1"/>
  <c r="F7" i="1"/>
  <c r="I7" i="1" s="1"/>
  <c r="F6" i="1"/>
  <c r="F5" i="1"/>
  <c r="E4" i="1"/>
  <c r="Q8" i="1" l="1"/>
  <c r="P8" i="1"/>
  <c r="I8" i="1"/>
  <c r="S7" i="1"/>
  <c r="R7" i="1"/>
  <c r="Q7" i="1"/>
  <c r="P7" i="1"/>
  <c r="P5" i="1"/>
  <c r="Q5" i="1"/>
  <c r="I5" i="1"/>
  <c r="Q6" i="1"/>
  <c r="P6" i="1"/>
  <c r="I6" i="1"/>
  <c r="S8" i="1" l="1"/>
  <c r="R8" i="1"/>
  <c r="S5" i="1"/>
  <c r="R5" i="1"/>
  <c r="S6" i="1"/>
  <c r="R6" i="1"/>
  <c r="AJ3" i="1" l="1"/>
  <c r="AB3" i="1" l="1"/>
  <c r="AA3" i="1"/>
  <c r="Z3" i="1"/>
  <c r="Y3" i="1"/>
  <c r="H3" i="1"/>
  <c r="G3" i="1"/>
  <c r="F3" i="1"/>
  <c r="Q3" i="1" l="1"/>
  <c r="P3" i="1"/>
  <c r="I3" i="1"/>
  <c r="S3" i="1" l="1"/>
  <c r="R3" i="1"/>
  <c r="O3" i="1" l="1"/>
  <c r="F4" i="1" l="1"/>
  <c r="Q4" i="1" l="1"/>
  <c r="P4" i="1"/>
  <c r="I4" i="1"/>
  <c r="S4" i="1" l="1"/>
  <c r="R4" i="1"/>
</calcChain>
</file>

<file path=xl/sharedStrings.xml><?xml version="1.0" encoding="utf-8"?>
<sst xmlns="http://schemas.openxmlformats.org/spreadsheetml/2006/main" count="89" uniqueCount="81">
  <si>
    <t>Company</t>
  </si>
  <si>
    <t>Ticker</t>
  </si>
  <si>
    <t>Price</t>
  </si>
  <si>
    <t>S/O</t>
  </si>
  <si>
    <t>MC</t>
  </si>
  <si>
    <t>EV</t>
  </si>
  <si>
    <t>Last Q Rev.</t>
  </si>
  <si>
    <t>YoY Growth</t>
  </si>
  <si>
    <t>P/S</t>
  </si>
  <si>
    <t>EV/EBITDA</t>
  </si>
  <si>
    <t>Galaxy Digital Inc.</t>
  </si>
  <si>
    <t>GLXY</t>
  </si>
  <si>
    <t>Cash</t>
  </si>
  <si>
    <t>Debt</t>
  </si>
  <si>
    <t>EBITDA</t>
  </si>
  <si>
    <t>Annualized Revenue</t>
  </si>
  <si>
    <t>AI Data Center Facilities</t>
  </si>
  <si>
    <t>Leased AI DC Capacity</t>
  </si>
  <si>
    <t>Available AI DC Capacity</t>
  </si>
  <si>
    <t>Incremental Capacity Under Load Study</t>
  </si>
  <si>
    <t>Total Leased + Available + Under Load Study Capacity</t>
  </si>
  <si>
    <t>Total Leased + Available</t>
  </si>
  <si>
    <t>Gross
Margin</t>
  </si>
  <si>
    <t>Tax 
Margin</t>
  </si>
  <si>
    <t>Net 
Margin</t>
  </si>
  <si>
    <t>Total 
Assets</t>
  </si>
  <si>
    <t>PP&amp;A</t>
  </si>
  <si>
    <t>QoQ
Total Assets</t>
  </si>
  <si>
    <t>QoQ
PP&amp;A</t>
  </si>
  <si>
    <t>Current 
Ratio</t>
  </si>
  <si>
    <t>Debt-to-
Equity</t>
  </si>
  <si>
    <t>Fixed
Asset
Ratio</t>
  </si>
  <si>
    <t>Quorter 
CapEx</t>
  </si>
  <si>
    <t>FCF</t>
  </si>
  <si>
    <t>Core Scientific, Inc.</t>
  </si>
  <si>
    <t>CORZ</t>
  </si>
  <si>
    <t>TeraWulf Inc.</t>
  </si>
  <si>
    <t>WULF</t>
  </si>
  <si>
    <t>RIOT</t>
  </si>
  <si>
    <t>Riot Platforms Inc.</t>
  </si>
  <si>
    <t>Bitdeer Technologies Group</t>
  </si>
  <si>
    <t>BTDR</t>
  </si>
  <si>
    <t xml:space="preserve">
IREN Ltd.</t>
  </si>
  <si>
    <t>IREN</t>
  </si>
  <si>
    <t>HUT</t>
  </si>
  <si>
    <t>Cipher Mining Inc.</t>
  </si>
  <si>
    <t>Hut 8 Corp.</t>
  </si>
  <si>
    <t>CIFR</t>
  </si>
  <si>
    <t>CleanSpark Inc.</t>
  </si>
  <si>
    <t>CLSK</t>
  </si>
  <si>
    <t>Applied Digital Corporation</t>
  </si>
  <si>
    <t>APLD</t>
  </si>
  <si>
    <t>HIVE</t>
  </si>
  <si>
    <t>BTBT</t>
  </si>
  <si>
    <t>SLNH</t>
  </si>
  <si>
    <t>Bit Digital, Inc.</t>
  </si>
  <si>
    <t>Soluna Holdings, Inc.</t>
  </si>
  <si>
    <t>HIVE Digital Technologies Ltd.</t>
  </si>
  <si>
    <t>Bitfarms Ltd.</t>
  </si>
  <si>
    <t>BITF</t>
  </si>
  <si>
    <t>High</t>
  </si>
  <si>
    <t>200MA</t>
  </si>
  <si>
    <t>200std</t>
  </si>
  <si>
    <t>200MA High</t>
  </si>
  <si>
    <t>200std High</t>
  </si>
  <si>
    <t xml:space="preserve">100std </t>
  </si>
  <si>
    <t>100std H</t>
  </si>
  <si>
    <t>50std</t>
  </si>
  <si>
    <t>50std H</t>
  </si>
  <si>
    <t>14std</t>
  </si>
  <si>
    <t>14std H</t>
  </si>
  <si>
    <t>#of sigmas</t>
  </si>
  <si>
    <t>VRT</t>
  </si>
  <si>
    <t>VST</t>
  </si>
  <si>
    <t>Vertiv Holdings Co</t>
  </si>
  <si>
    <t>Last Updated</t>
  </si>
  <si>
    <t>Q325</t>
  </si>
  <si>
    <t>Q225</t>
  </si>
  <si>
    <t>Trl
CapEx</t>
  </si>
  <si>
    <t>Trl FCF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</si>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</sst>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1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31">
    <xf numFmtId="0" fontId="0" fillId="0" borderId="0" xfId="0"/>
    <xf numFmtId="0" fontId="9" fillId="0" borderId="0" xfId="0" applyFont="1"/>
    <xf numFmtId="0" fontId="10" fillId="0" borderId="0" xfId="1"/>
    <xf numFmtId="4" fontId="9" fillId="0" borderId="0" xfId="0" applyNumberFormat="1" applyFont="1"/>
    <xf numFmtId="3" fontId="9" fillId="0" borderId="0" xfId="0" applyNumberFormat="1" applyFont="1"/>
    <xf numFmtId="164" fontId="9" fillId="0" borderId="0" xfId="0" applyNumberFormat="1" applyFont="1"/>
    <xf numFmtId="10" fontId="9" fillId="0" borderId="0" xfId="0" applyNumberFormat="1" applyFont="1"/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/>
    <xf numFmtId="4" fontId="9" fillId="0" borderId="0" xfId="0" applyNumberFormat="1" applyFont="1" applyAlignment="1">
      <alignment horizontal="center" vertical="center"/>
    </xf>
    <xf numFmtId="10" fontId="9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2" fontId="9" fillId="0" borderId="0" xfId="0" applyNumberFormat="1" applyFont="1"/>
    <xf numFmtId="3" fontId="7" fillId="0" borderId="0" xfId="0" applyNumberFormat="1" applyFont="1"/>
    <xf numFmtId="0" fontId="7" fillId="0" borderId="0" xfId="0" applyFont="1"/>
    <xf numFmtId="9" fontId="9" fillId="0" borderId="0" xfId="0" applyNumberFormat="1" applyFont="1"/>
    <xf numFmtId="0" fontId="6" fillId="0" borderId="0" xfId="0" applyFont="1"/>
    <xf numFmtId="0" fontId="5" fillId="0" borderId="0" xfId="0" applyFont="1"/>
    <xf numFmtId="0" fontId="4" fillId="0" borderId="0" xfId="0" applyFont="1"/>
    <xf numFmtId="4" fontId="0" fillId="0" borderId="0" xfId="0" applyNumberFormat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wrapText="1"/>
    </xf>
    <xf numFmtId="0" fontId="2" fillId="2" borderId="0" xfId="0" applyFont="1" applyFill="1"/>
    <xf numFmtId="164" fontId="2" fillId="0" borderId="0" xfId="0" applyNumberFormat="1" applyFont="1" applyAlignment="1">
      <alignment horizontal="center" vertical="center" wrapText="1"/>
    </xf>
    <xf numFmtId="0" fontId="9" fillId="0" borderId="2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2" borderId="0" xfId="0" applyFont="1" applyFill="1"/>
  </cellXfs>
  <cellStyles count="2">
    <cellStyle name="Hyperlink" xfId="1" builtinId="8"/>
    <cellStyle name="Normal" xfId="0" builtinId="0"/>
  </cellStyles>
  <dxfs count="4">
    <dxf>
      <fill>
        <patternFill>
          <bgColor rgb="FF00B050"/>
        </patternFill>
      </fill>
    </dxf>
    <dxf>
      <fill>
        <patternFill>
          <bgColor theme="7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B9E8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155509</xdr:colOff>
      <xdr:row>18</xdr:row>
      <xdr:rowOff>54429</xdr:rowOff>
    </xdr:from>
    <xdr:to>
      <xdr:col>8</xdr:col>
      <xdr:colOff>62204</xdr:colOff>
      <xdr:row>36</xdr:row>
      <xdr:rowOff>55970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88ED08-BA7B-F382-BB11-E8BEC77A4C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5109" t="2084"/>
        <a:stretch>
          <a:fillRect/>
        </a:stretch>
      </xdr:blipFill>
      <xdr:spPr>
        <a:xfrm>
          <a:off x="155509" y="3631164"/>
          <a:ext cx="5932715" cy="308064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GLXY.xlsx" TargetMode="External"/><Relationship Id="rId1" Type="http://schemas.openxmlformats.org/officeDocument/2006/relationships/externalLinkPath" Target="GLXY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CORZ.xlsx" TargetMode="External"/><Relationship Id="rId1" Type="http://schemas.openxmlformats.org/officeDocument/2006/relationships/externalLinkPath" Target="CORZ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WULF.xlsx" TargetMode="External"/><Relationship Id="rId1" Type="http://schemas.openxmlformats.org/officeDocument/2006/relationships/externalLinkPath" Target="WULF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RIOT.xlsx" TargetMode="External"/><Relationship Id="rId1" Type="http://schemas.openxmlformats.org/officeDocument/2006/relationships/externalLinkPath" Target="RIO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BTDR.xlsx" TargetMode="External"/><Relationship Id="rId1" Type="http://schemas.openxmlformats.org/officeDocument/2006/relationships/externalLinkPath" Target="BTDR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IREN.xlsx" TargetMode="External"/><Relationship Id="rId1" Type="http://schemas.openxmlformats.org/officeDocument/2006/relationships/externalLinkPath" Target="IREN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HUT.xlsx" TargetMode="External"/><Relationship Id="rId1" Type="http://schemas.openxmlformats.org/officeDocument/2006/relationships/externalLinkPath" Target="HU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CIFR.xlsx" TargetMode="External"/><Relationship Id="rId1" Type="http://schemas.openxmlformats.org/officeDocument/2006/relationships/externalLinkPath" Target="CIFR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CLSK.xlsx" TargetMode="External"/><Relationship Id="rId1" Type="http://schemas.openxmlformats.org/officeDocument/2006/relationships/externalLinkPath" Target="CLSK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egaMukhigulashvili\Desktop\Excel\APLD.xlsx" TargetMode="External"/><Relationship Id="rId1" Type="http://schemas.openxmlformats.org/officeDocument/2006/relationships/externalLinkPath" Target="APL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Opportunity"/>
      <sheetName val="Helios l (Galaxy)"/>
      <sheetName val="Stargate 1 (OpenAI)"/>
      <sheetName val="Richland Parish (Meta)"/>
      <sheetName val="Competition"/>
    </sheetNames>
    <sheetDataSet>
      <sheetData sheetId="0">
        <row r="8">
          <cell r="K8">
            <v>159.20137800000001</v>
          </cell>
        </row>
        <row r="10">
          <cell r="K10">
            <v>1955.309</v>
          </cell>
        </row>
        <row r="11">
          <cell r="K11">
            <v>5330.9489999999996</v>
          </cell>
        </row>
      </sheetData>
      <sheetData sheetId="1">
        <row r="5">
          <cell r="Q5">
            <v>29218853</v>
          </cell>
        </row>
        <row r="33">
          <cell r="AD33">
            <v>0.40216558011727743</v>
          </cell>
        </row>
        <row r="35">
          <cell r="AD35">
            <v>1.9229438089231433E-2</v>
          </cell>
        </row>
        <row r="37">
          <cell r="AD37">
            <v>0.1083571315100174</v>
          </cell>
        </row>
        <row r="39">
          <cell r="AD39">
            <v>-3.9336056765547018E-3</v>
          </cell>
        </row>
        <row r="60">
          <cell r="P60">
            <v>596120</v>
          </cell>
          <cell r="Q60">
            <v>874059</v>
          </cell>
        </row>
        <row r="63">
          <cell r="P63">
            <v>9085951</v>
          </cell>
          <cell r="Q63">
            <v>11522716</v>
          </cell>
        </row>
        <row r="86">
          <cell r="Q86">
            <v>1.3457044871644388</v>
          </cell>
        </row>
        <row r="91">
          <cell r="Q91">
            <v>2.6322690120381966</v>
          </cell>
        </row>
        <row r="99">
          <cell r="Q99">
            <v>9.8286723373204724E-2</v>
          </cell>
        </row>
        <row r="132">
          <cell r="P132">
            <v>-74805</v>
          </cell>
        </row>
        <row r="133">
          <cell r="N133">
            <v>-25907</v>
          </cell>
          <cell r="O133">
            <v>-91642</v>
          </cell>
          <cell r="P133">
            <v>-304817</v>
          </cell>
          <cell r="Q133">
            <v>-238050</v>
          </cell>
        </row>
        <row r="152">
          <cell r="N152">
            <v>-535164</v>
          </cell>
          <cell r="O152">
            <v>67771</v>
          </cell>
          <cell r="P152">
            <v>-134941</v>
          </cell>
          <cell r="Q152">
            <v>189609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ata Centers"/>
    </sheetNames>
    <sheetDataSet>
      <sheetData sheetId="0">
        <row r="9">
          <cell r="I9">
            <v>305.40844199999998</v>
          </cell>
        </row>
        <row r="11">
          <cell r="I11">
            <v>581.34500000000003</v>
          </cell>
        </row>
        <row r="12">
          <cell r="I12">
            <v>1057.6959999999999</v>
          </cell>
        </row>
      </sheetData>
      <sheetData sheetId="1">
        <row r="6">
          <cell r="L6">
            <v>78628</v>
          </cell>
        </row>
        <row r="30">
          <cell r="X30">
            <v>8.3703755224371332E-2</v>
          </cell>
        </row>
        <row r="33">
          <cell r="X33">
            <v>-1.02039955810796E-3</v>
          </cell>
        </row>
        <row r="34">
          <cell r="X34">
            <v>-2.2516550429014943</v>
          </cell>
        </row>
        <row r="41">
          <cell r="X41">
            <v>-0.61582706348322647</v>
          </cell>
        </row>
        <row r="49">
          <cell r="K49">
            <v>650291</v>
          </cell>
          <cell r="L49">
            <v>828603</v>
          </cell>
        </row>
        <row r="52">
          <cell r="K52">
            <v>1625371</v>
          </cell>
          <cell r="L52">
            <v>1978052</v>
          </cell>
        </row>
        <row r="68">
          <cell r="L68">
            <v>1.7855353087314874</v>
          </cell>
        </row>
        <row r="69">
          <cell r="L69">
            <v>-2.8578910391518169</v>
          </cell>
        </row>
        <row r="72">
          <cell r="L72">
            <v>0.43715129834807176</v>
          </cell>
        </row>
        <row r="100">
          <cell r="I100">
            <v>-31174</v>
          </cell>
          <cell r="J100">
            <v>-28758</v>
          </cell>
          <cell r="K100">
            <v>-88422</v>
          </cell>
          <cell r="L100">
            <v>-121279</v>
          </cell>
        </row>
        <row r="117">
          <cell r="I117">
            <v>-25461</v>
          </cell>
          <cell r="J117">
            <v>-14953</v>
          </cell>
          <cell r="K117">
            <v>-129021</v>
          </cell>
          <cell r="L117">
            <v>-85608</v>
          </cell>
        </row>
      </sheetData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ata Centers"/>
    </sheetNames>
    <sheetDataSet>
      <sheetData sheetId="0">
        <row r="10">
          <cell r="J10">
            <v>386.89509500000003</v>
          </cell>
        </row>
        <row r="12">
          <cell r="J12">
            <v>89.992999999999995</v>
          </cell>
        </row>
        <row r="13">
          <cell r="J13">
            <v>488.71600000000001</v>
          </cell>
        </row>
      </sheetData>
      <sheetData sheetId="1">
        <row r="3">
          <cell r="K3">
            <v>47.636000000000003</v>
          </cell>
        </row>
        <row r="23">
          <cell r="U23">
            <v>0.43138378272953332</v>
          </cell>
        </row>
        <row r="25">
          <cell r="U25">
            <v>0</v>
          </cell>
        </row>
        <row r="26">
          <cell r="U26">
            <v>-0.97265834511677784</v>
          </cell>
        </row>
        <row r="28">
          <cell r="U28">
            <v>-0.41423777222420566</v>
          </cell>
        </row>
        <row r="40">
          <cell r="J40">
            <v>509.88799999999998</v>
          </cell>
          <cell r="K40">
            <v>604.76</v>
          </cell>
        </row>
        <row r="46">
          <cell r="J46">
            <v>841.16199999999992</v>
          </cell>
          <cell r="K46">
            <v>869.40800000000002</v>
          </cell>
        </row>
        <row r="68">
          <cell r="K68">
            <v>0.65507190821128303</v>
          </cell>
        </row>
        <row r="69">
          <cell r="K69">
            <v>3.9870821191749077</v>
          </cell>
        </row>
        <row r="70">
          <cell r="K70">
            <v>0.8761755125326659</v>
          </cell>
        </row>
        <row r="80">
          <cell r="F80">
            <v>-46.978999999999999</v>
          </cell>
          <cell r="G80">
            <v>-46.599999999999994</v>
          </cell>
          <cell r="J80">
            <v>-93.686999999999998</v>
          </cell>
          <cell r="K80">
            <v>-119.94199999999999</v>
          </cell>
          <cell r="T80">
            <v>-267.94</v>
          </cell>
        </row>
        <row r="87">
          <cell r="F87">
            <v>-24.132999999999999</v>
          </cell>
          <cell r="G87">
            <v>-30.218999999999998</v>
          </cell>
          <cell r="J87">
            <v>-37.199999999999996</v>
          </cell>
          <cell r="K87">
            <v>-174.75200000000001</v>
          </cell>
          <cell r="T87">
            <v>-292.36200000000002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cquisitions"/>
      <sheetName val="Data Centers"/>
    </sheetNames>
    <sheetDataSet>
      <sheetData sheetId="0">
        <row r="8">
          <cell r="J8">
            <v>369.62317999999999</v>
          </cell>
        </row>
        <row r="10">
          <cell r="J10">
            <v>395.74099999999999</v>
          </cell>
        </row>
        <row r="11">
          <cell r="J11">
            <v>838.35</v>
          </cell>
        </row>
      </sheetData>
      <sheetData sheetId="1">
        <row r="6">
          <cell r="J6">
            <v>152.988</v>
          </cell>
        </row>
        <row r="35">
          <cell r="W35">
            <v>0.40639045725646117</v>
          </cell>
        </row>
        <row r="41">
          <cell r="W41">
            <v>-9.9376435838529672E-3</v>
          </cell>
        </row>
        <row r="42">
          <cell r="W42">
            <v>-0.24471411530815118</v>
          </cell>
        </row>
        <row r="44">
          <cell r="W44">
            <v>-0.16535247015844701</v>
          </cell>
        </row>
        <row r="62">
          <cell r="I62">
            <v>1307</v>
          </cell>
          <cell r="J62">
            <v>1301.7</v>
          </cell>
        </row>
        <row r="71">
          <cell r="I71">
            <v>3718.7640000000006</v>
          </cell>
          <cell r="J71">
            <v>4288.3069999999998</v>
          </cell>
        </row>
        <row r="90">
          <cell r="J90">
            <v>1.3851047364909939</v>
          </cell>
        </row>
        <row r="91">
          <cell r="J91">
            <v>0.3001529172608392</v>
          </cell>
        </row>
        <row r="92">
          <cell r="J92">
            <v>0.34408427381714979</v>
          </cell>
        </row>
        <row r="121">
          <cell r="G121">
            <v>-71.285999999999987</v>
          </cell>
          <cell r="H121">
            <v>-58.206000000000017</v>
          </cell>
          <cell r="I121">
            <v>-32.857999999999997</v>
          </cell>
          <cell r="J121">
            <v>-60.377000000000002</v>
          </cell>
        </row>
        <row r="136">
          <cell r="G136">
            <v>-127.6</v>
          </cell>
          <cell r="H136">
            <v>-156.54900000000004</v>
          </cell>
          <cell r="I136">
            <v>-154.958</v>
          </cell>
          <cell r="J136">
            <v>-291.63299999999998</v>
          </cell>
        </row>
      </sheetData>
      <sheetData sheetId="2"/>
      <sheetData sheetId="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ata Centers"/>
      <sheetName val="Product Roadmap"/>
    </sheetNames>
    <sheetDataSet>
      <sheetData sheetId="0">
        <row r="8">
          <cell r="I8">
            <v>193.97</v>
          </cell>
        </row>
        <row r="10">
          <cell r="I10">
            <v>482.09699999999998</v>
          </cell>
        </row>
        <row r="11">
          <cell r="I11">
            <v>533.07600000000002</v>
          </cell>
        </row>
      </sheetData>
      <sheetData sheetId="1">
        <row r="3">
          <cell r="J3">
            <v>155.58199999999999</v>
          </cell>
        </row>
        <row r="20">
          <cell r="V20">
            <v>4.2510300828496619E-2</v>
          </cell>
        </row>
        <row r="22">
          <cell r="V22">
            <v>1.0707928037163037E-2</v>
          </cell>
        </row>
        <row r="23">
          <cell r="V23">
            <v>1.1596296132205044</v>
          </cell>
        </row>
        <row r="25">
          <cell r="V25">
            <v>-0.35471236370081938</v>
          </cell>
        </row>
        <row r="41">
          <cell r="I41">
            <v>101.581</v>
          </cell>
          <cell r="J41">
            <v>211.03100000000001</v>
          </cell>
        </row>
        <row r="43">
          <cell r="I43">
            <v>302.20999999999998</v>
          </cell>
          <cell r="J43">
            <v>360.78</v>
          </cell>
        </row>
        <row r="48">
          <cell r="I48">
            <v>1598.5159999999998</v>
          </cell>
          <cell r="J48">
            <v>2041.0699999999997</v>
          </cell>
        </row>
        <row r="67">
          <cell r="J67">
            <v>0.53565286834846426</v>
          </cell>
        </row>
        <row r="68">
          <cell r="J68">
            <v>0.83361259108993691</v>
          </cell>
        </row>
        <row r="69">
          <cell r="J69">
            <v>1.8879520510052341</v>
          </cell>
        </row>
        <row r="77">
          <cell r="G77">
            <v>-29.922000000000001</v>
          </cell>
          <cell r="H77">
            <v>-42.616999999999997</v>
          </cell>
          <cell r="I77">
            <v>-44.77</v>
          </cell>
          <cell r="J77">
            <v>-106.548</v>
          </cell>
        </row>
        <row r="91">
          <cell r="G91">
            <v>-120.64199999999998</v>
          </cell>
          <cell r="H91">
            <v>-367.67500000000001</v>
          </cell>
          <cell r="I91">
            <v>-328.75799999999998</v>
          </cell>
          <cell r="J91">
            <v>-441.41899999999998</v>
          </cell>
        </row>
      </sheetData>
      <sheetData sheetId="2"/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ata Centers"/>
    </sheetNames>
    <sheetDataSet>
      <sheetData sheetId="0">
        <row r="8">
          <cell r="J8">
            <v>298.02735600000005</v>
          </cell>
        </row>
        <row r="10">
          <cell r="J10">
            <v>167.39400000000001</v>
          </cell>
        </row>
        <row r="11">
          <cell r="J11">
            <v>3685.2959999999998</v>
          </cell>
        </row>
      </sheetData>
      <sheetData sheetId="1">
        <row r="5">
          <cell r="L5">
            <v>240295</v>
          </cell>
        </row>
        <row r="39">
          <cell r="V39">
            <v>0.68266526686399631</v>
          </cell>
        </row>
        <row r="43">
          <cell r="V43">
            <v>7.0160427807486631E-2</v>
          </cell>
        </row>
        <row r="44">
          <cell r="V44">
            <v>0.17352496791564459</v>
          </cell>
        </row>
        <row r="48">
          <cell r="V48">
            <v>1.6765192956963975</v>
          </cell>
        </row>
        <row r="60">
          <cell r="K60">
            <v>1930567</v>
          </cell>
          <cell r="L60">
            <v>2115436</v>
          </cell>
        </row>
        <row r="66">
          <cell r="K66">
            <v>2940322</v>
          </cell>
          <cell r="L66">
            <v>4267374</v>
          </cell>
        </row>
        <row r="85">
          <cell r="L85">
            <v>4.9736479938401352</v>
          </cell>
        </row>
        <row r="87">
          <cell r="L87">
            <v>0.48370174610862304</v>
          </cell>
        </row>
        <row r="90">
          <cell r="L90">
            <v>0.50326828630441112</v>
          </cell>
        </row>
        <row r="125">
          <cell r="H125">
            <v>-105831</v>
          </cell>
          <cell r="L125">
            <v>-180307</v>
          </cell>
          <cell r="V125">
            <v>-573456</v>
          </cell>
        </row>
        <row r="144">
          <cell r="H144">
            <v>-109746</v>
          </cell>
          <cell r="L144">
            <v>-37954</v>
          </cell>
          <cell r="V144">
            <v>-327570</v>
          </cell>
        </row>
      </sheetData>
      <sheetData sheetId="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ata Centers"/>
    </sheetNames>
    <sheetDataSet>
      <sheetData sheetId="0">
        <row r="8">
          <cell r="J8">
            <v>104.24604100000001</v>
          </cell>
        </row>
        <row r="10">
          <cell r="J10">
            <v>222.351</v>
          </cell>
        </row>
        <row r="11">
          <cell r="J11">
            <v>316.10899999999998</v>
          </cell>
        </row>
      </sheetData>
      <sheetData sheetId="1">
        <row r="7">
          <cell r="K7">
            <v>41.298999999999999</v>
          </cell>
        </row>
        <row r="31">
          <cell r="V31">
            <v>0.35933390372975876</v>
          </cell>
        </row>
        <row r="37">
          <cell r="V37">
            <v>-0.69941154138193073</v>
          </cell>
        </row>
        <row r="38">
          <cell r="V38">
            <v>5.0179041100230845E-2</v>
          </cell>
        </row>
        <row r="40">
          <cell r="V40">
            <v>-0.61132391521227714</v>
          </cell>
        </row>
        <row r="58">
          <cell r="J58">
            <v>353.14499999999998</v>
          </cell>
          <cell r="K58">
            <v>381.71199999999999</v>
          </cell>
        </row>
        <row r="65">
          <cell r="J65">
            <v>1571.875</v>
          </cell>
          <cell r="K65">
            <v>2021.3629999999998</v>
          </cell>
        </row>
        <row r="81">
          <cell r="K81">
            <v>0.18883891710692241</v>
          </cell>
        </row>
        <row r="82">
          <cell r="K82">
            <v>1.8087698465056958</v>
          </cell>
        </row>
        <row r="83">
          <cell r="K83">
            <v>0.45592988021178826</v>
          </cell>
        </row>
        <row r="94">
          <cell r="H94">
            <v>-109.58699999999999</v>
          </cell>
          <cell r="I94">
            <v>-36.986000000000018</v>
          </cell>
          <cell r="J94">
            <v>-63.335999999999999</v>
          </cell>
          <cell r="K94">
            <v>-45.363</v>
          </cell>
        </row>
        <row r="103">
          <cell r="H103">
            <v>-113.78899999999999</v>
          </cell>
          <cell r="I103">
            <v>-58.626000000000012</v>
          </cell>
          <cell r="J103">
            <v>-97.185000000000002</v>
          </cell>
          <cell r="K103">
            <v>-94.15</v>
          </cell>
        </row>
      </sheetData>
      <sheetData sheetId="2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ata Centers"/>
    </sheetNames>
    <sheetDataSet>
      <sheetData sheetId="0">
        <row r="8">
          <cell r="J8">
            <v>393.19162299999999</v>
          </cell>
        </row>
        <row r="10">
          <cell r="J10">
            <v>1377.7429999999999</v>
          </cell>
        </row>
        <row r="11">
          <cell r="J11">
            <v>1023.075</v>
          </cell>
        </row>
      </sheetData>
      <sheetData sheetId="1">
        <row r="3">
          <cell r="M3">
            <v>71.706999999999994</v>
          </cell>
        </row>
        <row r="30">
          <cell r="V30">
            <v>0.65318971448752061</v>
          </cell>
        </row>
        <row r="32">
          <cell r="V32">
            <v>-8.6845934395802064E-3</v>
          </cell>
        </row>
        <row r="33">
          <cell r="V33">
            <v>-0.53606809920173415</v>
          </cell>
        </row>
        <row r="35">
          <cell r="V35">
            <v>8.5681232233754123E-2</v>
          </cell>
        </row>
        <row r="49">
          <cell r="L49">
            <v>473.887</v>
          </cell>
          <cell r="M49">
            <v>649.87699999999995</v>
          </cell>
        </row>
        <row r="57">
          <cell r="L57">
            <v>1018.759</v>
          </cell>
          <cell r="M57">
            <v>2840.8659999999995</v>
          </cell>
        </row>
        <row r="75">
          <cell r="M75">
            <v>2.4892353664289328</v>
          </cell>
        </row>
        <row r="76">
          <cell r="M76">
            <v>2.6272780086696161</v>
          </cell>
        </row>
        <row r="77">
          <cell r="M77">
            <v>0.44841924962317831</v>
          </cell>
        </row>
        <row r="111">
          <cell r="J111">
            <v>-47.122</v>
          </cell>
          <cell r="K111">
            <v>-24.57</v>
          </cell>
          <cell r="L111">
            <v>-31.296999999999997</v>
          </cell>
          <cell r="M111">
            <v>-206.16800000000003</v>
          </cell>
        </row>
        <row r="126">
          <cell r="J126">
            <v>-76.099999999999994</v>
          </cell>
          <cell r="K126">
            <v>-71.807999999999993</v>
          </cell>
          <cell r="L126">
            <v>-101.26299999999999</v>
          </cell>
          <cell r="M126">
            <v>-242.47100000000006</v>
          </cell>
        </row>
      </sheetData>
      <sheetData sheetId="2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Acquisitions"/>
      <sheetName val="Data Centers"/>
    </sheetNames>
    <sheetDataSet>
      <sheetData sheetId="0">
        <row r="9">
          <cell r="J9">
            <v>280.99764900000002</v>
          </cell>
        </row>
        <row r="11">
          <cell r="J11">
            <v>34.552999999999997</v>
          </cell>
        </row>
        <row r="12">
          <cell r="J12">
            <v>820.33699999999999</v>
          </cell>
        </row>
      </sheetData>
      <sheetData sheetId="1"/>
      <sheetData sheetId="2"/>
      <sheetData sheetId="3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Model"/>
      <sheetName val="Data Centers"/>
    </sheetNames>
    <sheetDataSet>
      <sheetData sheetId="0">
        <row r="8">
          <cell r="K8">
            <v>279.68587500000001</v>
          </cell>
        </row>
        <row r="10">
          <cell r="K10">
            <v>73.911000000000001</v>
          </cell>
        </row>
        <row r="11">
          <cell r="K11">
            <v>687.33899999999994</v>
          </cell>
        </row>
        <row r="13">
          <cell r="K13">
            <v>10004.679931250002</v>
          </cell>
        </row>
      </sheetData>
      <sheetData sheetId="1">
        <row r="3">
          <cell r="K3">
            <v>64.215999999999994</v>
          </cell>
          <cell r="T3">
            <v>144.19300000000001</v>
          </cell>
        </row>
        <row r="24">
          <cell r="T24">
            <v>0.29642215641536007</v>
          </cell>
        </row>
        <row r="27">
          <cell r="T27">
            <v>-6.3197942274999534E-4</v>
          </cell>
        </row>
        <row r="28">
          <cell r="T28">
            <v>-1.6010694000402237</v>
          </cell>
        </row>
        <row r="30">
          <cell r="T30">
            <v>5.5446573657936815E-2</v>
          </cell>
        </row>
        <row r="41">
          <cell r="J41">
            <v>1275.8409999999999</v>
          </cell>
          <cell r="K41">
            <v>1461.7750000000001</v>
          </cell>
        </row>
        <row r="45">
          <cell r="J45">
            <v>1870.087</v>
          </cell>
          <cell r="K45">
            <v>2398.9950000000003</v>
          </cell>
        </row>
        <row r="64">
          <cell r="K64">
            <v>0.65118169281770655</v>
          </cell>
        </row>
        <row r="65">
          <cell r="K65">
            <v>1.1651813918562295</v>
          </cell>
        </row>
        <row r="66">
          <cell r="K66">
            <v>0.73249840037182223</v>
          </cell>
        </row>
        <row r="92">
          <cell r="G92">
            <v>-54.798000000000002</v>
          </cell>
          <cell r="K92">
            <v>-249.42</v>
          </cell>
          <cell r="T92">
            <v>-681.6</v>
          </cell>
        </row>
        <row r="117">
          <cell r="G117">
            <v>-130.68799999999999</v>
          </cell>
          <cell r="K117">
            <v>-331.44299999999998</v>
          </cell>
          <cell r="T117">
            <v>-797.00900000000001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CIFR.xlsx" TargetMode="External"/><Relationship Id="rId3" Type="http://schemas.openxmlformats.org/officeDocument/2006/relationships/hyperlink" Target="WULF.xlsx" TargetMode="External"/><Relationship Id="rId7" Type="http://schemas.openxmlformats.org/officeDocument/2006/relationships/hyperlink" Target="HUT.xlsx" TargetMode="External"/><Relationship Id="rId12" Type="http://schemas.openxmlformats.org/officeDocument/2006/relationships/drawing" Target="../drawings/drawing1.xml"/><Relationship Id="rId2" Type="http://schemas.openxmlformats.org/officeDocument/2006/relationships/hyperlink" Target="CORZ.xlsx" TargetMode="External"/><Relationship Id="rId1" Type="http://schemas.openxmlformats.org/officeDocument/2006/relationships/hyperlink" Target="GLXY.xlsx" TargetMode="External"/><Relationship Id="rId6" Type="http://schemas.openxmlformats.org/officeDocument/2006/relationships/hyperlink" Target="IREN.xlsx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BTDR.xlsx" TargetMode="External"/><Relationship Id="rId10" Type="http://schemas.openxmlformats.org/officeDocument/2006/relationships/hyperlink" Target="APLD.xlsx" TargetMode="External"/><Relationship Id="rId4" Type="http://schemas.openxmlformats.org/officeDocument/2006/relationships/hyperlink" Target="RIOT.xlsx" TargetMode="External"/><Relationship Id="rId9" Type="http://schemas.openxmlformats.org/officeDocument/2006/relationships/hyperlink" Target="CLSK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8"/>
  <sheetViews>
    <sheetView tabSelected="1" zoomScale="98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18" sqref="K18"/>
    </sheetView>
  </sheetViews>
  <sheetFormatPr defaultRowHeight="13.2" x14ac:dyDescent="0.25"/>
  <cols>
    <col min="1" max="1" width="8.88671875" style="1"/>
    <col min="2" max="2" width="26" style="1" bestFit="1" customWidth="1"/>
    <col min="3" max="3" width="8.88671875" style="1"/>
    <col min="4" max="4" width="8.88671875" style="3"/>
    <col min="5" max="9" width="8.88671875" style="5"/>
    <col min="10" max="10" width="9.109375" style="5" customWidth="1"/>
    <col min="11" max="11" width="8.88671875" style="5" customWidth="1"/>
    <col min="12" max="12" width="10.33203125" style="5" bestFit="1" customWidth="1"/>
    <col min="13" max="13" width="11.109375" style="5" customWidth="1"/>
    <col min="14" max="14" width="10.77734375" style="5" customWidth="1"/>
    <col min="15" max="15" width="10.6640625" style="1" bestFit="1" customWidth="1"/>
    <col min="16" max="19" width="8.88671875" style="1"/>
    <col min="20" max="20" width="13" style="4" customWidth="1"/>
    <col min="21" max="21" width="11.21875" style="4" customWidth="1"/>
    <col min="22" max="22" width="11.6640625" style="4" customWidth="1"/>
    <col min="23" max="23" width="13.21875" style="4" customWidth="1"/>
    <col min="24" max="24" width="19" style="4" customWidth="1"/>
    <col min="25" max="25" width="26" style="4" customWidth="1"/>
    <col min="26" max="28" width="8.88671875" style="1"/>
    <col min="29" max="29" width="9.6640625" style="5" customWidth="1"/>
    <col min="30" max="30" width="9.109375" style="5" bestFit="1" customWidth="1"/>
    <col min="31" max="32" width="8.88671875" style="6"/>
    <col min="33" max="35" width="8.88671875" style="1"/>
    <col min="36" max="36" width="8.88671875" style="5"/>
    <col min="37" max="37" width="9.33203125" style="5" customWidth="1"/>
    <col min="38" max="38" width="8.88671875" style="5"/>
    <col min="39" max="39" width="9.77734375" style="5" bestFit="1" customWidth="1"/>
    <col min="40" max="16384" width="8.88671875" style="1"/>
  </cols>
  <sheetData>
    <row r="1" spans="1:39" ht="13.8" thickBot="1" x14ac:dyDescent="0.3">
      <c r="E1" s="1"/>
      <c r="F1" s="1"/>
      <c r="G1" s="1"/>
      <c r="H1" s="1"/>
      <c r="I1" s="1"/>
      <c r="J1" s="28" t="s">
        <v>14</v>
      </c>
      <c r="K1" s="28"/>
      <c r="L1" s="1"/>
      <c r="M1" s="29" t="s">
        <v>15</v>
      </c>
      <c r="N1" s="29"/>
      <c r="P1" s="28" t="s">
        <v>8</v>
      </c>
      <c r="Q1" s="28"/>
      <c r="R1" s="28" t="s">
        <v>9</v>
      </c>
      <c r="S1" s="28"/>
      <c r="T1" s="1"/>
      <c r="U1" s="1"/>
      <c r="V1" s="1"/>
      <c r="W1" s="1"/>
      <c r="X1" s="1"/>
      <c r="Y1" s="1"/>
      <c r="AC1" s="1"/>
      <c r="AD1" s="1"/>
    </row>
    <row r="2" spans="1:39" ht="39.6" x14ac:dyDescent="0.25">
      <c r="A2" s="25" t="s">
        <v>75</v>
      </c>
      <c r="B2" s="1" t="s">
        <v>0</v>
      </c>
      <c r="C2" s="8" t="s">
        <v>1</v>
      </c>
      <c r="D2" s="11" t="s">
        <v>2</v>
      </c>
      <c r="E2" s="8" t="s">
        <v>3</v>
      </c>
      <c r="F2" s="8" t="s">
        <v>4</v>
      </c>
      <c r="G2" s="8" t="s">
        <v>12</v>
      </c>
      <c r="H2" s="8" t="s">
        <v>13</v>
      </c>
      <c r="I2" s="8" t="s">
        <v>5</v>
      </c>
      <c r="J2" s="8">
        <v>2025</v>
      </c>
      <c r="K2" s="8">
        <v>2026</v>
      </c>
      <c r="L2" s="8" t="s">
        <v>6</v>
      </c>
      <c r="M2" s="8">
        <v>2025</v>
      </c>
      <c r="N2" s="8">
        <v>2026</v>
      </c>
      <c r="O2" s="8" t="s">
        <v>7</v>
      </c>
      <c r="P2" s="8">
        <v>2025</v>
      </c>
      <c r="Q2" s="8">
        <v>2026</v>
      </c>
      <c r="R2" s="8">
        <v>2025</v>
      </c>
      <c r="S2" s="8">
        <v>2026</v>
      </c>
      <c r="T2" s="7" t="s">
        <v>16</v>
      </c>
      <c r="U2" s="7" t="s">
        <v>17</v>
      </c>
      <c r="V2" s="7" t="s">
        <v>18</v>
      </c>
      <c r="W2" s="7" t="s">
        <v>21</v>
      </c>
      <c r="X2" s="7" t="s">
        <v>19</v>
      </c>
      <c r="Y2" s="7" t="s">
        <v>20</v>
      </c>
      <c r="Z2" s="7" t="s">
        <v>22</v>
      </c>
      <c r="AA2" s="7" t="s">
        <v>23</v>
      </c>
      <c r="AB2" s="7" t="s">
        <v>24</v>
      </c>
      <c r="AC2" s="7" t="s">
        <v>25</v>
      </c>
      <c r="AD2" s="8" t="s">
        <v>26</v>
      </c>
      <c r="AE2" s="12" t="s">
        <v>27</v>
      </c>
      <c r="AF2" s="12" t="s">
        <v>28</v>
      </c>
      <c r="AG2" s="9" t="s">
        <v>29</v>
      </c>
      <c r="AH2" s="9" t="s">
        <v>30</v>
      </c>
      <c r="AI2" s="9" t="s">
        <v>31</v>
      </c>
      <c r="AJ2" s="13" t="s">
        <v>32</v>
      </c>
      <c r="AK2" s="27" t="s">
        <v>78</v>
      </c>
      <c r="AL2" s="14" t="s">
        <v>33</v>
      </c>
      <c r="AM2" s="27" t="s">
        <v>79</v>
      </c>
    </row>
    <row r="3" spans="1:39" ht="14.4" x14ac:dyDescent="0.3">
      <c r="A3" s="30" t="s">
        <v>80</v>
      </c>
      <c r="B3" s="1" t="s">
        <v>10</v>
      </c>
      <c r="C3" s="2" t="s">
        <v>11</v>
      </c>
      <c r="D3" s="3">
        <v>19.940000000000001</v>
      </c>
      <c r="E3" s="5">
        <f>[1]Main!$K$8</f>
        <v>159.20137800000001</v>
      </c>
      <c r="F3" s="5">
        <f>E3*D3</f>
        <v>3174.4754773200002</v>
      </c>
      <c r="G3" s="5">
        <f>[1]Main!$K$10</f>
        <v>1955.309</v>
      </c>
      <c r="H3" s="5">
        <f>[1]Main!$K$11</f>
        <v>5330.9489999999996</v>
      </c>
      <c r="I3" s="5">
        <f>F3-G3+H3</f>
        <v>6550.1154773199996</v>
      </c>
      <c r="J3" s="5">
        <f>-289.5+211.2+629.352-12.91</f>
        <v>538.14199999999994</v>
      </c>
      <c r="K3" s="5">
        <v>186</v>
      </c>
      <c r="L3" s="5">
        <f>[1]Model!$Q$5/1000</f>
        <v>29218.852999999999</v>
      </c>
      <c r="M3" s="5">
        <v>64650</v>
      </c>
      <c r="N3" s="5">
        <v>60020</v>
      </c>
      <c r="O3" s="6">
        <f>[1]Model!$AD$33</f>
        <v>0.40216558011727743</v>
      </c>
      <c r="P3" s="3">
        <f>F3/M3</f>
        <v>4.9102482247795828E-2</v>
      </c>
      <c r="Q3" s="3">
        <f>F3/N3</f>
        <v>5.2890294523825397E-2</v>
      </c>
      <c r="R3" s="3">
        <f>I3/J3</f>
        <v>12.171723220488273</v>
      </c>
      <c r="S3" s="3">
        <f>I3/K3</f>
        <v>35.215674609247309</v>
      </c>
      <c r="T3" s="4">
        <v>1</v>
      </c>
      <c r="U3" s="4">
        <v>800</v>
      </c>
      <c r="V3" s="4">
        <v>800</v>
      </c>
      <c r="W3" s="4">
        <f>U3+V3</f>
        <v>1600</v>
      </c>
      <c r="X3" s="4">
        <v>1900</v>
      </c>
      <c r="Y3" s="4">
        <f>W3+X3</f>
        <v>3500</v>
      </c>
      <c r="Z3" s="6">
        <f>[1]Model!$AD$35</f>
        <v>1.9229438089231433E-2</v>
      </c>
      <c r="AA3" s="6">
        <f>[1]Model!$AD$37</f>
        <v>0.1083571315100174</v>
      </c>
      <c r="AB3" s="6">
        <f>[1]Model!$AD$39</f>
        <v>-3.9336056765547018E-3</v>
      </c>
      <c r="AC3" s="5">
        <f>[1]Model!$Q$63/1000</f>
        <v>11522.716</v>
      </c>
      <c r="AD3" s="5">
        <f>[1]Model!$Q$60/1000</f>
        <v>874.05899999999997</v>
      </c>
      <c r="AE3" s="6">
        <f>[1]Model!$Q$63/[1]Model!$P$63-1</f>
        <v>0.26819041837227608</v>
      </c>
      <c r="AF3" s="6">
        <f>[1]Model!$Q$60/[1]Model!$P$60-1</f>
        <v>0.46624672884654106</v>
      </c>
      <c r="AG3" s="3">
        <f>[1]Model!$Q$86</f>
        <v>1.3457044871644388</v>
      </c>
      <c r="AH3" s="3">
        <f>[1]Model!$Q$91</f>
        <v>2.6322690120381966</v>
      </c>
      <c r="AI3" s="3">
        <f>[1]Model!$Q$99</f>
        <v>9.8286723373204724E-2</v>
      </c>
      <c r="AJ3" s="5">
        <f>-[1]Model!$P$132/1000</f>
        <v>74.805000000000007</v>
      </c>
      <c r="AK3" s="5">
        <f>-([1]Model!$Q$133+[1]Model!$P$133+[1]Model!$O$133+[1]Model!$N$133)/1000</f>
        <v>660.41600000000005</v>
      </c>
      <c r="AL3" s="5">
        <f>+[1]Model!$Q$152/1000</f>
        <v>189.60900000000001</v>
      </c>
      <c r="AM3" s="5">
        <f>SUM([1]Model!$N$152:$Q$152)/1000</f>
        <v>-412.72500000000002</v>
      </c>
    </row>
    <row r="4" spans="1:39" ht="14.4" x14ac:dyDescent="0.3">
      <c r="A4" s="24" t="s">
        <v>77</v>
      </c>
      <c r="B4" s="1" t="s">
        <v>34</v>
      </c>
      <c r="C4" s="2" t="s">
        <v>35</v>
      </c>
      <c r="D4" s="3">
        <v>18.93</v>
      </c>
      <c r="E4" s="5">
        <f>[2]Main!$I$9</f>
        <v>305.40844199999998</v>
      </c>
      <c r="F4" s="5">
        <f>E4*D4</f>
        <v>5781.3818070599991</v>
      </c>
      <c r="G4" s="5">
        <f>[2]Main!$I$11</f>
        <v>581.34500000000003</v>
      </c>
      <c r="H4" s="5">
        <f>[2]Main!$I$12</f>
        <v>1057.6959999999999</v>
      </c>
      <c r="I4" s="5">
        <f t="shared" ref="I4:I16" si="0">F4-G4+H4</f>
        <v>6257.7328070599988</v>
      </c>
      <c r="J4" s="5">
        <f>-9.49-30.43+22.63+40.21</f>
        <v>22.919999999999998</v>
      </c>
      <c r="K4" s="5">
        <v>349</v>
      </c>
      <c r="L4" s="5">
        <f>[2]Model!$L$6/1000</f>
        <v>78.628</v>
      </c>
      <c r="M4" s="5">
        <v>432</v>
      </c>
      <c r="N4" s="5">
        <v>887</v>
      </c>
      <c r="O4" s="6">
        <f>[2]Model!$X$41</f>
        <v>-0.61582706348322647</v>
      </c>
      <c r="P4" s="3">
        <f t="shared" ref="P4:P8" si="1">F4/M4</f>
        <v>13.382828257083331</v>
      </c>
      <c r="Q4" s="3">
        <f t="shared" ref="Q4:Q8" si="2">F4/N4</f>
        <v>6.5179050812401345</v>
      </c>
      <c r="R4" s="3">
        <f t="shared" ref="R4:R8" si="3">I4/J4</f>
        <v>273.02499158202443</v>
      </c>
      <c r="S4" s="3">
        <f t="shared" ref="S4:S8" si="4">I4/K4</f>
        <v>17.930466495873922</v>
      </c>
      <c r="T4" s="4">
        <v>7</v>
      </c>
      <c r="U4" s="4">
        <v>800</v>
      </c>
      <c r="V4" s="4">
        <v>120</v>
      </c>
      <c r="W4" s="4">
        <v>920</v>
      </c>
      <c r="X4" s="4">
        <v>280</v>
      </c>
      <c r="Y4" s="4">
        <v>1200</v>
      </c>
      <c r="Z4" s="6">
        <f>[2]Model!$X$30</f>
        <v>8.3703755224371332E-2</v>
      </c>
      <c r="AA4" s="6">
        <f>[2]Model!$X$33</f>
        <v>-1.02039955810796E-3</v>
      </c>
      <c r="AB4" s="6">
        <f>[2]Model!$X$34</f>
        <v>-2.2516550429014943</v>
      </c>
      <c r="AC4" s="5">
        <f>[2]Model!$L$52/1000</f>
        <v>1978.0519999999999</v>
      </c>
      <c r="AD4" s="5">
        <f>[2]Model!$L$49/1000</f>
        <v>828.60299999999995</v>
      </c>
      <c r="AE4" s="6">
        <f>[2]Model!$L$52/[2]Model!$K$52-1</f>
        <v>0.21698492221160581</v>
      </c>
      <c r="AF4" s="6">
        <f>[2]Model!$L$49/[2]Model!$K$49-1</f>
        <v>0.27420339509542657</v>
      </c>
      <c r="AG4" s="3">
        <f>[2]Model!$L$68</f>
        <v>1.7855353087314874</v>
      </c>
      <c r="AH4" s="3">
        <f>[2]Model!$L$69</f>
        <v>-2.8578910391518169</v>
      </c>
      <c r="AI4" s="3">
        <f>[2]Model!$L$72</f>
        <v>0.43715129834807176</v>
      </c>
      <c r="AJ4" s="5">
        <f>-[2]Model!$L$100/1000</f>
        <v>121.279</v>
      </c>
      <c r="AK4" s="5">
        <f>-([2]Model!$I$100+[2]Model!$J$100+[2]Model!$K$100+[2]Model!$L$100)/1000</f>
        <v>269.63299999999998</v>
      </c>
      <c r="AL4" s="5">
        <f>[2]Model!$L$117/1000</f>
        <v>-85.608000000000004</v>
      </c>
      <c r="AM4" s="5">
        <f>SUM([2]Model!$I$117:$L$117)/1000</f>
        <v>-255.04300000000001</v>
      </c>
    </row>
    <row r="5" spans="1:39" ht="14.4" x14ac:dyDescent="0.3">
      <c r="A5" s="24" t="s">
        <v>77</v>
      </c>
      <c r="B5" s="10" t="s">
        <v>36</v>
      </c>
      <c r="C5" s="2" t="s">
        <v>37</v>
      </c>
      <c r="D5" s="3">
        <v>14.16</v>
      </c>
      <c r="E5" s="5">
        <f>[3]Main!$J$10</f>
        <v>386.89509500000003</v>
      </c>
      <c r="F5" s="5">
        <f t="shared" ref="F5:G16" si="5">E5*D5</f>
        <v>5478.4345452000007</v>
      </c>
      <c r="G5" s="5">
        <f>[3]Main!$J$12</f>
        <v>89.992999999999995</v>
      </c>
      <c r="H5" s="5">
        <f>[3]Main!$J$13</f>
        <v>488.71600000000001</v>
      </c>
      <c r="I5" s="5">
        <f t="shared" si="0"/>
        <v>5877.1575452000006</v>
      </c>
      <c r="J5" s="5">
        <f>-42.5+9.97+16.03+21.34</f>
        <v>4.84</v>
      </c>
      <c r="K5" s="5">
        <v>191</v>
      </c>
      <c r="L5" s="5">
        <f>[3]Model!$K$3</f>
        <v>47.636000000000003</v>
      </c>
      <c r="M5" s="5">
        <v>207</v>
      </c>
      <c r="N5" s="5">
        <v>415</v>
      </c>
      <c r="O5" s="6">
        <f>[3]Model!$U$28</f>
        <v>-0.41423777222420566</v>
      </c>
      <c r="P5" s="3">
        <f t="shared" si="1"/>
        <v>26.465867368115944</v>
      </c>
      <c r="Q5" s="3">
        <f t="shared" si="2"/>
        <v>13.201047096867471</v>
      </c>
      <c r="R5" s="3">
        <f t="shared" si="3"/>
        <v>1214.2887490082646</v>
      </c>
      <c r="S5" s="3">
        <f t="shared" si="4"/>
        <v>30.770458351832463</v>
      </c>
      <c r="T5" s="4">
        <v>2</v>
      </c>
      <c r="U5" s="4">
        <v>360</v>
      </c>
      <c r="V5" s="16">
        <v>138</v>
      </c>
      <c r="W5" s="4">
        <f>+U5+V5</f>
        <v>498</v>
      </c>
      <c r="X5" s="4">
        <f>262+390</f>
        <v>652</v>
      </c>
      <c r="Y5" s="4">
        <f>+X5+W5</f>
        <v>1150</v>
      </c>
      <c r="Z5" s="6">
        <f>[3]Model!$U$23</f>
        <v>0.43138378272953332</v>
      </c>
      <c r="AA5" s="6">
        <f>[3]Model!$U$25</f>
        <v>0</v>
      </c>
      <c r="AB5" s="6">
        <f>[3]Model!$U$26</f>
        <v>-0.97265834511677784</v>
      </c>
      <c r="AC5" s="5">
        <f>[3]Model!$K$46</f>
        <v>869.40800000000002</v>
      </c>
      <c r="AD5" s="5">
        <f>[3]Model!$K$40</f>
        <v>604.76</v>
      </c>
      <c r="AE5" s="6">
        <f>[3]Model!$K$46/[3]Model!$J$46-1</f>
        <v>3.3579738504592616E-2</v>
      </c>
      <c r="AF5" s="6">
        <f>[3]Model!$K$40/[3]Model!$J$40-1</f>
        <v>0.18606439061127156</v>
      </c>
      <c r="AG5" s="3">
        <f>[3]Model!$K$68</f>
        <v>0.65507190821128303</v>
      </c>
      <c r="AH5" s="3">
        <f>[3]Model!$K$69</f>
        <v>3.9870821191749077</v>
      </c>
      <c r="AI5" s="15">
        <f>[3]Model!$K$70</f>
        <v>0.8761755125326659</v>
      </c>
      <c r="AJ5" s="5">
        <f>-[3]Model!$K$80</f>
        <v>119.94199999999999</v>
      </c>
      <c r="AK5" s="5">
        <f>-([3]Model!$T$80-[3]Model!$F$80-[3]Model!$G$80+[3]Model!$J$80+[3]Model!$K$80)</f>
        <v>387.99</v>
      </c>
      <c r="AL5" s="5">
        <f>[3]Model!$K$87</f>
        <v>-174.75200000000001</v>
      </c>
      <c r="AM5" s="5">
        <f>[3]Model!$T$87-[3]Model!$F$87-[3]Model!$G$87+[3]Model!$J$87+[3]Model!$K$87</f>
        <v>-449.96200000000005</v>
      </c>
    </row>
    <row r="6" spans="1:39" ht="14.4" x14ac:dyDescent="0.3">
      <c r="A6" s="24" t="s">
        <v>77</v>
      </c>
      <c r="B6" s="17" t="s">
        <v>39</v>
      </c>
      <c r="C6" s="2" t="s">
        <v>38</v>
      </c>
      <c r="D6" s="3">
        <v>21.94</v>
      </c>
      <c r="E6" s="5">
        <f>[4]Main!$J$8</f>
        <v>369.62317999999999</v>
      </c>
      <c r="F6" s="5">
        <f t="shared" si="5"/>
        <v>8109.5325692000006</v>
      </c>
      <c r="G6" s="5">
        <f>[4]Main!$J$10</f>
        <v>395.74099999999999</v>
      </c>
      <c r="H6" s="5">
        <f>[4]Main!$J$11</f>
        <v>838.35</v>
      </c>
      <c r="I6" s="5">
        <f t="shared" si="0"/>
        <v>8552.141569200001</v>
      </c>
      <c r="J6" s="5">
        <f>-5.65-13.95+44.02+58.81</f>
        <v>83.23</v>
      </c>
      <c r="K6" s="5">
        <v>251</v>
      </c>
      <c r="L6" s="5">
        <f>[4]Model!$J$6</f>
        <v>152.988</v>
      </c>
      <c r="M6" s="5">
        <v>672</v>
      </c>
      <c r="N6" s="5">
        <v>824</v>
      </c>
      <c r="O6" s="6">
        <f>[4]Model!$W$44</f>
        <v>-0.16535247015844701</v>
      </c>
      <c r="P6" s="3">
        <f t="shared" si="1"/>
        <v>12.067756799404762</v>
      </c>
      <c r="Q6" s="3">
        <f t="shared" si="2"/>
        <v>9.8416657393203888</v>
      </c>
      <c r="R6" s="3">
        <f t="shared" si="3"/>
        <v>102.75311269013578</v>
      </c>
      <c r="S6" s="3">
        <f t="shared" si="4"/>
        <v>34.072277168127492</v>
      </c>
      <c r="T6" s="4">
        <v>3</v>
      </c>
      <c r="U6" s="4">
        <v>0</v>
      </c>
      <c r="V6" s="16">
        <v>1160</v>
      </c>
      <c r="W6" s="4">
        <f>+U6+V6</f>
        <v>1160</v>
      </c>
      <c r="X6" s="4">
        <v>650</v>
      </c>
      <c r="Y6" s="4">
        <f>+X6+W6</f>
        <v>1810</v>
      </c>
      <c r="Z6" s="6">
        <f>[4]Model!$W$35</f>
        <v>0.40639045725646117</v>
      </c>
      <c r="AA6" s="6">
        <f>[4]Model!$W$41</f>
        <v>-9.9376435838529672E-3</v>
      </c>
      <c r="AB6" s="6">
        <f>[4]Model!$W$42</f>
        <v>-0.24471411530815118</v>
      </c>
      <c r="AC6" s="5">
        <f>[4]Model!$J$71</f>
        <v>4288.3069999999998</v>
      </c>
      <c r="AD6" s="5">
        <f>[4]Model!$J$62</f>
        <v>1301.7</v>
      </c>
      <c r="AE6" s="6">
        <f>[4]Model!$J$71/[4]Model!$I$71-1</f>
        <v>0.15315384358889106</v>
      </c>
      <c r="AF6" s="6">
        <f>[4]Model!$J$62/[4]Model!$I$62-1</f>
        <v>-4.0550879877582213E-3</v>
      </c>
      <c r="AG6" s="15">
        <f>[4]Model!$J$90</f>
        <v>1.3851047364909939</v>
      </c>
      <c r="AH6" s="15">
        <f>[4]Model!$J$91</f>
        <v>0.3001529172608392</v>
      </c>
      <c r="AI6" s="15">
        <f>[4]Model!$J$92</f>
        <v>0.34408427381714979</v>
      </c>
      <c r="AJ6" s="5">
        <f>-[4]Model!$J$121</f>
        <v>60.377000000000002</v>
      </c>
      <c r="AK6" s="5">
        <f>-(SUM([4]Model!$G$121:$J$121))</f>
        <v>222.72700000000003</v>
      </c>
      <c r="AL6" s="5">
        <f>[4]Model!$J$136</f>
        <v>-291.63299999999998</v>
      </c>
      <c r="AM6" s="5">
        <f>SUM([4]Model!$G$136:$J$136)</f>
        <v>-730.74</v>
      </c>
    </row>
    <row r="7" spans="1:39" ht="14.4" x14ac:dyDescent="0.3">
      <c r="A7" s="24" t="s">
        <v>77</v>
      </c>
      <c r="B7" s="17" t="s">
        <v>40</v>
      </c>
      <c r="C7" s="2" t="s">
        <v>41</v>
      </c>
      <c r="D7" s="3">
        <v>19.86</v>
      </c>
      <c r="E7" s="5">
        <f>+[5]Main!$I$8</f>
        <v>193.97</v>
      </c>
      <c r="F7" s="5">
        <f t="shared" si="5"/>
        <v>3852.2442000000001</v>
      </c>
      <c r="G7" s="5">
        <f>+[5]Main!$I$10</f>
        <v>482.09699999999998</v>
      </c>
      <c r="H7" s="5">
        <f>+[5]Main!$I$11</f>
        <v>533.07600000000002</v>
      </c>
      <c r="I7" s="5">
        <f t="shared" si="0"/>
        <v>3903.2232000000004</v>
      </c>
      <c r="J7" s="5">
        <f>-53.63-3.08+11.8+58.94</f>
        <v>14.030000000000001</v>
      </c>
      <c r="K7" s="5">
        <v>391</v>
      </c>
      <c r="L7" s="5">
        <f>+[5]Model!$J$3</f>
        <v>155.58199999999999</v>
      </c>
      <c r="M7" s="5">
        <v>559</v>
      </c>
      <c r="N7" s="5">
        <v>1006</v>
      </c>
      <c r="O7" s="6">
        <f>+[5]Model!$V$25</f>
        <v>-0.35471236370081938</v>
      </c>
      <c r="P7" s="3">
        <f t="shared" si="1"/>
        <v>6.8913134168157422</v>
      </c>
      <c r="Q7" s="3">
        <f t="shared" si="2"/>
        <v>3.8292685884691848</v>
      </c>
      <c r="R7" s="3">
        <f t="shared" si="3"/>
        <v>278.2055024946543</v>
      </c>
      <c r="S7" s="3">
        <f t="shared" si="4"/>
        <v>9.9826680306905384</v>
      </c>
      <c r="T7" s="4">
        <v>11</v>
      </c>
      <c r="U7" s="4">
        <v>0</v>
      </c>
      <c r="V7" s="4">
        <f>563+86+13+84+176+100+235</f>
        <v>1257</v>
      </c>
      <c r="W7" s="4">
        <f>+U7+V7</f>
        <v>1257</v>
      </c>
      <c r="X7" s="4">
        <f>49+221+570+265+179+99+50</f>
        <v>1433</v>
      </c>
      <c r="Y7" s="4">
        <f>+X7+W7</f>
        <v>2690</v>
      </c>
      <c r="Z7" s="6">
        <f>+[5]Model!$V$20</f>
        <v>4.2510300828496619E-2</v>
      </c>
      <c r="AA7" s="6">
        <f>+[5]Model!$V$22</f>
        <v>1.0707928037163037E-2</v>
      </c>
      <c r="AB7" s="6">
        <f>+[5]Model!$V$23</f>
        <v>1.1596296132205044</v>
      </c>
      <c r="AC7" s="5">
        <f>+[5]Model!$J$48</f>
        <v>2041.0699999999997</v>
      </c>
      <c r="AD7" s="5">
        <f>+[5]Model!$J$43+[5]Model!$J$41</f>
        <v>571.81099999999992</v>
      </c>
      <c r="AE7" s="6">
        <f>+[5]Model!$J$48/[5]Model!$I$48-1</f>
        <v>0.27685303118642546</v>
      </c>
      <c r="AF7" s="6">
        <f>+([5]Model!$J$43+[5]Model!$J$41)/([5]Model!$I$43+[5]Model!$I$41)-1</f>
        <v>0.41610635204846047</v>
      </c>
      <c r="AG7" s="3">
        <f>+[5]Model!$J$68</f>
        <v>0.83361259108993691</v>
      </c>
      <c r="AH7" s="3">
        <f>+[5]Model!$J$69</f>
        <v>1.8879520510052341</v>
      </c>
      <c r="AI7" s="3">
        <f>+[5]Model!$J$67</f>
        <v>0.53565286834846426</v>
      </c>
      <c r="AJ7" s="5">
        <f>-[5]Model!$J$77</f>
        <v>106.548</v>
      </c>
      <c r="AK7" s="5">
        <f>-([5]Model!$J$77+[5]Model!$I$77+[5]Model!$H$77+[5]Model!$G$77)</f>
        <v>223.857</v>
      </c>
      <c r="AL7" s="5">
        <f>+[5]Model!$J$91</f>
        <v>-441.41899999999998</v>
      </c>
      <c r="AM7" s="5">
        <f>+[5]Model!$J$91+[5]Model!$I$91+[5]Model!$H$91+[5]Model!$G$91</f>
        <v>-1258.4939999999999</v>
      </c>
    </row>
    <row r="8" spans="1:39" ht="14.4" x14ac:dyDescent="0.3">
      <c r="A8" s="26" t="s">
        <v>76</v>
      </c>
      <c r="B8" s="17" t="s">
        <v>42</v>
      </c>
      <c r="C8" s="2" t="s">
        <v>43</v>
      </c>
      <c r="D8" s="3">
        <v>42.67</v>
      </c>
      <c r="E8" s="5">
        <f>+[6]Main!$J$8</f>
        <v>298.02735600000005</v>
      </c>
      <c r="F8" s="5">
        <f t="shared" si="5"/>
        <v>12716.827280520003</v>
      </c>
      <c r="G8" s="5">
        <f>+[6]Main!$J$10</f>
        <v>167.39400000000001</v>
      </c>
      <c r="H8" s="5">
        <f>+[6]Main!$J$11</f>
        <v>3685.2959999999998</v>
      </c>
      <c r="I8" s="5">
        <f t="shared" si="0"/>
        <v>16234.729280520003</v>
      </c>
      <c r="J8" s="5">
        <f>662.676+241.396+38.211+17.328</f>
        <v>959.61099999999999</v>
      </c>
      <c r="K8" s="5">
        <f>149+242+304+377</f>
        <v>1072</v>
      </c>
      <c r="L8" s="5">
        <f>+[6]Model!$L$5/1000</f>
        <v>240.29499999999999</v>
      </c>
      <c r="M8" s="5">
        <f>240.3+187.3+144.8+116.15</f>
        <v>688.55000000000007</v>
      </c>
      <c r="N8" s="5">
        <f>284+383+538+670</f>
        <v>1875</v>
      </c>
      <c r="O8" s="6">
        <f>+[6]Model!$V$48</f>
        <v>1.6765192956963975</v>
      </c>
      <c r="P8" s="3">
        <f t="shared" si="1"/>
        <v>18.468996123041176</v>
      </c>
      <c r="Q8" s="3">
        <f t="shared" si="2"/>
        <v>6.7823078829440018</v>
      </c>
      <c r="R8" s="3">
        <f t="shared" si="3"/>
        <v>16.918031661287756</v>
      </c>
      <c r="S8" s="3">
        <f t="shared" si="4"/>
        <v>15.14433701541045</v>
      </c>
      <c r="T8" s="4">
        <v>8</v>
      </c>
      <c r="U8" s="4">
        <v>50</v>
      </c>
      <c r="V8" s="4">
        <f>30+80+650</f>
        <v>760</v>
      </c>
      <c r="W8" s="4">
        <f t="shared" ref="W8:W12" si="6">+U8+V8</f>
        <v>810</v>
      </c>
      <c r="X8" s="4">
        <f>75+1400+25+600+1000</f>
        <v>3100</v>
      </c>
      <c r="Y8" s="4">
        <f t="shared" ref="Y8:Y12" si="7">+X8+W8</f>
        <v>3910</v>
      </c>
      <c r="Z8" s="6">
        <f>+[6]Model!$V$39</f>
        <v>0.68266526686399631</v>
      </c>
      <c r="AA8" s="6">
        <f>+[6]Model!$V$43</f>
        <v>7.0160427807486631E-2</v>
      </c>
      <c r="AB8" s="6">
        <f>+[6]Model!$V$44</f>
        <v>0.17352496791564459</v>
      </c>
      <c r="AC8" s="5">
        <f>+[6]Model!$L$66/1000</f>
        <v>4267.3739999999998</v>
      </c>
      <c r="AD8" s="5">
        <f>+[6]Model!$L$60/1000</f>
        <v>2115.4360000000001</v>
      </c>
      <c r="AE8" s="6">
        <f>[6]Model!$L$66/[6]Model!$K$66-1</f>
        <v>0.45132880004298848</v>
      </c>
      <c r="AF8" s="6">
        <f>[6]Model!$L$60/[6]Model!$K$60-1</f>
        <v>9.5758914350032809E-2</v>
      </c>
      <c r="AG8" s="3">
        <f>+[6]Model!$L$85</f>
        <v>4.9736479938401352</v>
      </c>
      <c r="AH8" s="3">
        <f>+[6]Model!$L$87</f>
        <v>0.48370174610862304</v>
      </c>
      <c r="AI8" s="3">
        <f>+[6]Model!$L$90</f>
        <v>0.50326828630441112</v>
      </c>
      <c r="AJ8" s="5">
        <f>-[6]Model!$L$125/1000</f>
        <v>180.30699999999999</v>
      </c>
      <c r="AK8" s="5">
        <f>-([6]Model!$V$125+[6]Model!$L$125-[6]Model!$H$125)/1000</f>
        <v>647.93200000000002</v>
      </c>
      <c r="AL8" s="5">
        <f>+[6]Model!$L$144/1000</f>
        <v>-37.954000000000001</v>
      </c>
      <c r="AM8" s="5">
        <f>([6]Model!$V$144+[6]Model!$L$144-[6]Model!$H$144)/1000</f>
        <v>-255.77799999999999</v>
      </c>
    </row>
    <row r="9" spans="1:39" ht="14.4" x14ac:dyDescent="0.3">
      <c r="A9" s="24" t="s">
        <v>77</v>
      </c>
      <c r="B9" s="17" t="s">
        <v>46</v>
      </c>
      <c r="C9" s="2" t="s">
        <v>44</v>
      </c>
      <c r="D9" s="3">
        <v>47.59</v>
      </c>
      <c r="E9" s="5">
        <f>+[7]Main!$J$8</f>
        <v>104.24604100000001</v>
      </c>
      <c r="F9" s="5">
        <f t="shared" si="5"/>
        <v>4961.069091190001</v>
      </c>
      <c r="G9" s="5">
        <f>+[7]Main!$J$10</f>
        <v>222.351</v>
      </c>
      <c r="H9" s="5">
        <f>+[7]Main!$J$11</f>
        <v>316.10899999999998</v>
      </c>
      <c r="I9" s="5">
        <f t="shared" si="0"/>
        <v>5054.8270911900017</v>
      </c>
      <c r="J9" s="5">
        <f>-15.81-6.24+22.31+30.49</f>
        <v>30.749999999999996</v>
      </c>
      <c r="K9" s="5">
        <v>164</v>
      </c>
      <c r="L9" s="5">
        <f>+[7]Model!$K$7</f>
        <v>41.298999999999999</v>
      </c>
      <c r="M9" s="5">
        <v>206</v>
      </c>
      <c r="N9" s="5">
        <v>373</v>
      </c>
      <c r="O9" s="6">
        <f>[7]Model!$V$40</f>
        <v>-0.61132391521227714</v>
      </c>
      <c r="P9" s="3">
        <f t="shared" ref="P9:P16" si="8">F9/M9</f>
        <v>24.082859665970879</v>
      </c>
      <c r="Q9" s="3">
        <f t="shared" ref="Q9:Q16" si="9">F9/N9</f>
        <v>13.300453327587134</v>
      </c>
      <c r="R9" s="3">
        <f t="shared" ref="R9:R16" si="10">I9/J9</f>
        <v>164.38462085170738</v>
      </c>
      <c r="S9" s="3">
        <f t="shared" ref="S9:S16" si="11">I9/K9</f>
        <v>30.822116409695134</v>
      </c>
      <c r="T9" s="4">
        <v>15</v>
      </c>
      <c r="U9" s="4">
        <v>0</v>
      </c>
      <c r="V9" s="4">
        <v>1020.3</v>
      </c>
      <c r="W9" s="4">
        <f t="shared" si="6"/>
        <v>1020.3</v>
      </c>
      <c r="X9" s="16"/>
      <c r="Y9" s="4">
        <f t="shared" si="7"/>
        <v>1020.3</v>
      </c>
      <c r="Z9" s="6">
        <f>[7]Model!$V$31</f>
        <v>0.35933390372975876</v>
      </c>
      <c r="AA9" s="6">
        <f>[7]Model!$V$37</f>
        <v>-0.69941154138193073</v>
      </c>
      <c r="AB9" s="6">
        <f>+[7]Model!$V$38</f>
        <v>5.0179041100230845E-2</v>
      </c>
      <c r="AC9" s="5">
        <f>[7]Model!$K$65</f>
        <v>2021.3629999999998</v>
      </c>
      <c r="AD9" s="5">
        <f>[7]Model!$K$58</f>
        <v>381.71199999999999</v>
      </c>
      <c r="AE9" s="6">
        <f>[7]Model!$K$65/[7]Model!$J$65-1</f>
        <v>0.28595658051689843</v>
      </c>
      <c r="AF9" s="6">
        <f>[7]Model!$K$58/[7]Model!$J$58-1</f>
        <v>8.0893117557943706E-2</v>
      </c>
      <c r="AG9" s="3">
        <f>[7]Model!$K$82</f>
        <v>1.8087698465056958</v>
      </c>
      <c r="AH9" s="3">
        <f>[7]Model!$K$83</f>
        <v>0.45592988021178826</v>
      </c>
      <c r="AI9" s="3">
        <f>[7]Model!$K$81</f>
        <v>0.18883891710692241</v>
      </c>
      <c r="AJ9" s="5">
        <f>-[7]Model!$K$94</f>
        <v>45.363</v>
      </c>
      <c r="AK9" s="5">
        <f>-([7]Model!$K$94+[7]Model!$J$94+[7]Model!$I$94+[7]Model!$H$94)</f>
        <v>255.27199999999999</v>
      </c>
      <c r="AL9" s="5">
        <f>+[7]Model!$K$103</f>
        <v>-94.15</v>
      </c>
      <c r="AM9" s="5">
        <f>[7]Model!$K$103+[7]Model!$J$103+[7]Model!$I$103+[7]Model!$H$103</f>
        <v>-363.75</v>
      </c>
    </row>
    <row r="10" spans="1:39" ht="14.4" x14ac:dyDescent="0.3">
      <c r="A10" s="26" t="s">
        <v>76</v>
      </c>
      <c r="B10" s="17" t="s">
        <v>45</v>
      </c>
      <c r="C10" s="2" t="s">
        <v>47</v>
      </c>
      <c r="D10" s="3">
        <v>20.309999999999999</v>
      </c>
      <c r="E10" s="5">
        <f>[8]Main!$J$8</f>
        <v>393.19162299999999</v>
      </c>
      <c r="F10" s="5">
        <f t="shared" si="5"/>
        <v>7985.7218631299993</v>
      </c>
      <c r="G10" s="5">
        <f>+[8]Main!$J$10</f>
        <v>1377.7429999999999</v>
      </c>
      <c r="H10" s="5">
        <f>+[8]Main!$J$11</f>
        <v>1023.075</v>
      </c>
      <c r="I10" s="5">
        <f t="shared" si="0"/>
        <v>7631.0538631299996</v>
      </c>
      <c r="J10" s="5">
        <f>7.7+31.1+39+48.61</f>
        <v>126.41000000000001</v>
      </c>
      <c r="K10" s="5">
        <v>266</v>
      </c>
      <c r="L10" s="5">
        <f>+[8]Model!$M$3</f>
        <v>71.706999999999994</v>
      </c>
      <c r="M10" s="5">
        <v>252</v>
      </c>
      <c r="N10" s="5">
        <v>418</v>
      </c>
      <c r="O10" s="6">
        <f>[8]Model!$V$35</f>
        <v>8.5681232233754123E-2</v>
      </c>
      <c r="P10" s="3">
        <f t="shared" si="8"/>
        <v>31.689372472738093</v>
      </c>
      <c r="Q10" s="3">
        <f t="shared" si="9"/>
        <v>19.104597758684207</v>
      </c>
      <c r="R10" s="3">
        <f t="shared" si="10"/>
        <v>60.367485666719396</v>
      </c>
      <c r="S10" s="3">
        <f t="shared" si="11"/>
        <v>28.688172417781953</v>
      </c>
      <c r="T10" s="4">
        <v>9</v>
      </c>
      <c r="U10" s="4">
        <v>0</v>
      </c>
      <c r="V10" s="4">
        <v>327</v>
      </c>
      <c r="W10" s="4">
        <f t="shared" si="6"/>
        <v>327</v>
      </c>
      <c r="X10" s="4">
        <v>2270</v>
      </c>
      <c r="Y10" s="4">
        <f t="shared" si="7"/>
        <v>2597</v>
      </c>
      <c r="Z10" s="18">
        <f>+[8]Model!$V$30</f>
        <v>0.65318971448752061</v>
      </c>
      <c r="AA10" s="18">
        <f>+[8]Model!$V$32</f>
        <v>-8.6845934395802064E-3</v>
      </c>
      <c r="AB10" s="18">
        <f>+[8]Model!$V$33</f>
        <v>-0.53606809920173415</v>
      </c>
      <c r="AC10" s="5">
        <f>+[8]Model!$M$57</f>
        <v>2840.8659999999995</v>
      </c>
      <c r="AD10" s="5">
        <f>+[8]Model!$M$49</f>
        <v>649.87699999999995</v>
      </c>
      <c r="AE10" s="6">
        <f>+[8]Model!$M$57/[8]Model!$L$57-1</f>
        <v>1.7885554876079617</v>
      </c>
      <c r="AF10" s="6">
        <f>+[8]Model!$M$49/[8]Model!$L$49-1</f>
        <v>0.37137545448598486</v>
      </c>
      <c r="AG10" s="3">
        <f>[8]Model!$M$75</f>
        <v>2.4892353664289328</v>
      </c>
      <c r="AH10" s="3">
        <f>+[8]Model!$M$76</f>
        <v>2.6272780086696161</v>
      </c>
      <c r="AI10" s="3">
        <f>+[8]Model!$M$77</f>
        <v>0.44841924962317831</v>
      </c>
      <c r="AJ10" s="5">
        <f>-[8]Model!$M$111</f>
        <v>206.16800000000003</v>
      </c>
      <c r="AK10" s="5">
        <f>-([8]Model!$L$111+[8]Model!$K$111+[8]Model!$J$111+[8]Model!$M$111)</f>
        <v>309.15700000000004</v>
      </c>
      <c r="AL10" s="5">
        <f>+[8]Model!$M$126</f>
        <v>-242.47100000000006</v>
      </c>
      <c r="AM10" s="5">
        <f>+[8]Model!$L$126+[8]Model!$K$126+[8]Model!$J$126+[8]Model!$M$126</f>
        <v>-491.64200000000005</v>
      </c>
    </row>
    <row r="11" spans="1:39" ht="14.4" x14ac:dyDescent="0.3">
      <c r="A11" s="24" t="s">
        <v>77</v>
      </c>
      <c r="B11" s="19" t="s">
        <v>48</v>
      </c>
      <c r="C11" s="2" t="s">
        <v>49</v>
      </c>
      <c r="D11" s="3">
        <v>19.75</v>
      </c>
      <c r="E11" s="5">
        <f>+[9]Main!$J$9</f>
        <v>280.99764900000002</v>
      </c>
      <c r="F11" s="5">
        <f t="shared" si="5"/>
        <v>5549.7035677500007</v>
      </c>
      <c r="G11" s="5">
        <f>+[9]Main!$J$11</f>
        <v>34.552999999999997</v>
      </c>
      <c r="H11" s="5">
        <f>+[9]Main!$J$12</f>
        <v>820.33699999999999</v>
      </c>
      <c r="I11" s="5">
        <f t="shared" si="0"/>
        <v>6335.4875677500004</v>
      </c>
      <c r="P11" s="3" t="e">
        <f t="shared" si="8"/>
        <v>#DIV/0!</v>
      </c>
      <c r="Q11" s="3" t="e">
        <f t="shared" si="9"/>
        <v>#DIV/0!</v>
      </c>
      <c r="R11" s="3" t="e">
        <f t="shared" si="10"/>
        <v>#DIV/0!</v>
      </c>
      <c r="S11" s="3" t="e">
        <f t="shared" si="11"/>
        <v>#DIV/0!</v>
      </c>
      <c r="W11" s="4">
        <f t="shared" si="6"/>
        <v>0</v>
      </c>
      <c r="Y11" s="4">
        <f t="shared" si="7"/>
        <v>0</v>
      </c>
    </row>
    <row r="12" spans="1:39" ht="14.4" x14ac:dyDescent="0.3">
      <c r="A12" s="24" t="s">
        <v>77</v>
      </c>
      <c r="B12" s="20" t="s">
        <v>50</v>
      </c>
      <c r="C12" s="2" t="s">
        <v>51</v>
      </c>
      <c r="D12" s="3">
        <v>33.35</v>
      </c>
      <c r="E12" s="5">
        <f>[10]Main!$K$8</f>
        <v>279.68587500000001</v>
      </c>
      <c r="F12" s="5">
        <f t="shared" si="5"/>
        <v>9327.5239312500016</v>
      </c>
      <c r="G12" s="5">
        <f>[10]Main!$K$10</f>
        <v>73.911000000000001</v>
      </c>
      <c r="H12" s="5">
        <f>[10]Main!$K$11</f>
        <v>687.33899999999994</v>
      </c>
      <c r="I12" s="5">
        <f>+[10]Main!$K$13</f>
        <v>10004.679931250002</v>
      </c>
      <c r="J12" s="5">
        <f>19.62+8.16-0.16-16.27</f>
        <v>11.350000000000001</v>
      </c>
      <c r="K12" s="5">
        <f>-14.4+4.73+22.22+30.72</f>
        <v>43.269999999999996</v>
      </c>
      <c r="L12" s="5">
        <f>[10]Model!$K$3</f>
        <v>64.215999999999994</v>
      </c>
      <c r="M12" s="5">
        <f>[10]Model!$T$3</f>
        <v>144.19300000000001</v>
      </c>
      <c r="N12" s="5">
        <f>64.22+84.24+66.49+79.06</f>
        <v>294.01</v>
      </c>
      <c r="O12" s="6">
        <f>[10]Model!$T$30</f>
        <v>5.5446573657936815E-2</v>
      </c>
      <c r="P12" s="3">
        <f t="shared" si="8"/>
        <v>64.687772161269976</v>
      </c>
      <c r="Q12" s="3">
        <f t="shared" si="9"/>
        <v>31.725192786809981</v>
      </c>
      <c r="R12" s="3">
        <f>I12/J12</f>
        <v>881.46959746696041</v>
      </c>
      <c r="S12" s="3">
        <f t="shared" si="11"/>
        <v>231.21515903050621</v>
      </c>
      <c r="T12" s="4">
        <v>2</v>
      </c>
      <c r="U12" s="4">
        <v>400</v>
      </c>
      <c r="V12" s="4">
        <v>300</v>
      </c>
      <c r="W12" s="4">
        <f t="shared" si="6"/>
        <v>700</v>
      </c>
      <c r="X12" s="4">
        <v>4000</v>
      </c>
      <c r="Y12" s="4">
        <f t="shared" si="7"/>
        <v>4700</v>
      </c>
      <c r="Z12" s="6">
        <f>[10]Model!$T$24</f>
        <v>0.29642215641536007</v>
      </c>
      <c r="AA12" s="6">
        <f>[10]Model!$T$27</f>
        <v>-6.3197942274999534E-4</v>
      </c>
      <c r="AB12" s="6">
        <f>[10]Model!$T$28</f>
        <v>-1.6010694000402237</v>
      </c>
      <c r="AC12" s="5">
        <f>[10]Model!$K$45</f>
        <v>2398.9950000000003</v>
      </c>
      <c r="AD12" s="5">
        <f>[10]Model!$K$41</f>
        <v>1461.7750000000001</v>
      </c>
      <c r="AE12" s="6">
        <f>[10]Model!$K$45/[10]Model!$J$45-1</f>
        <v>0.28282534448932073</v>
      </c>
      <c r="AF12" s="6">
        <f>[10]Model!$K$41/[10]Model!$J$41-1</f>
        <v>0.14573446064203943</v>
      </c>
      <c r="AG12" s="3">
        <f>[10]Model!$K$64</f>
        <v>0.65118169281770655</v>
      </c>
      <c r="AH12" s="3">
        <f>[10]Model!$K$65</f>
        <v>1.1651813918562295</v>
      </c>
      <c r="AI12" s="3">
        <f>[10]Model!$K$66</f>
        <v>0.73249840037182223</v>
      </c>
      <c r="AJ12" s="5">
        <f>-[10]Model!$K$92</f>
        <v>249.42</v>
      </c>
      <c r="AK12" s="5">
        <f>-[10]Model!$T$92-[10]Model!$G$92+[10]Model!$K$92</f>
        <v>486.97800000000007</v>
      </c>
      <c r="AL12" s="5">
        <f>[10]Model!$K$117</f>
        <v>-331.44299999999998</v>
      </c>
      <c r="AM12" s="5">
        <f>[10]Model!$T$117-[10]Model!$G$117+[10]Model!$K$117</f>
        <v>-997.76400000000001</v>
      </c>
    </row>
    <row r="13" spans="1:39" x14ac:dyDescent="0.25">
      <c r="B13" s="21" t="s">
        <v>57</v>
      </c>
      <c r="C13" s="21" t="s">
        <v>52</v>
      </c>
      <c r="F13" s="5">
        <f t="shared" si="5"/>
        <v>0</v>
      </c>
      <c r="G13" s="5">
        <f t="shared" si="5"/>
        <v>0</v>
      </c>
      <c r="I13" s="5">
        <f t="shared" si="0"/>
        <v>0</v>
      </c>
      <c r="P13" s="3" t="e">
        <f t="shared" si="8"/>
        <v>#DIV/0!</v>
      </c>
      <c r="Q13" s="3" t="e">
        <f t="shared" si="9"/>
        <v>#DIV/0!</v>
      </c>
      <c r="R13" s="3" t="e">
        <f t="shared" si="10"/>
        <v>#DIV/0!</v>
      </c>
      <c r="S13" s="3" t="e">
        <f t="shared" si="11"/>
        <v>#DIV/0!</v>
      </c>
      <c r="W13" s="4">
        <f t="shared" ref="W13:W16" si="12">+U13+V13</f>
        <v>0</v>
      </c>
      <c r="Y13" s="4">
        <f t="shared" ref="Y13:Y16" si="13">+X13+W13</f>
        <v>0</v>
      </c>
    </row>
    <row r="14" spans="1:39" x14ac:dyDescent="0.25">
      <c r="B14" s="21" t="s">
        <v>55</v>
      </c>
      <c r="C14" s="21" t="s">
        <v>53</v>
      </c>
      <c r="F14" s="5">
        <f t="shared" si="5"/>
        <v>0</v>
      </c>
      <c r="I14" s="5">
        <f t="shared" si="0"/>
        <v>0</v>
      </c>
      <c r="P14" s="3" t="e">
        <f t="shared" si="8"/>
        <v>#DIV/0!</v>
      </c>
      <c r="Q14" s="3" t="e">
        <f t="shared" si="9"/>
        <v>#DIV/0!</v>
      </c>
      <c r="R14" s="3" t="e">
        <f t="shared" si="10"/>
        <v>#DIV/0!</v>
      </c>
      <c r="S14" s="3" t="e">
        <f t="shared" si="11"/>
        <v>#DIV/0!</v>
      </c>
      <c r="W14" s="4">
        <f t="shared" si="12"/>
        <v>0</v>
      </c>
      <c r="Y14" s="4">
        <f t="shared" si="13"/>
        <v>0</v>
      </c>
    </row>
    <row r="15" spans="1:39" x14ac:dyDescent="0.25">
      <c r="B15" s="1" t="s">
        <v>56</v>
      </c>
      <c r="C15" s="21" t="s">
        <v>54</v>
      </c>
      <c r="F15" s="5">
        <f t="shared" si="5"/>
        <v>0</v>
      </c>
      <c r="I15" s="5">
        <f t="shared" si="0"/>
        <v>0</v>
      </c>
      <c r="P15" s="3" t="e">
        <f t="shared" si="8"/>
        <v>#DIV/0!</v>
      </c>
      <c r="Q15" s="3" t="e">
        <f t="shared" si="9"/>
        <v>#DIV/0!</v>
      </c>
      <c r="R15" s="3" t="e">
        <f t="shared" si="10"/>
        <v>#DIV/0!</v>
      </c>
      <c r="S15" s="3" t="e">
        <f t="shared" si="11"/>
        <v>#DIV/0!</v>
      </c>
      <c r="W15" s="4">
        <f t="shared" si="12"/>
        <v>0</v>
      </c>
      <c r="Y15" s="4">
        <f t="shared" si="13"/>
        <v>0</v>
      </c>
    </row>
    <row r="16" spans="1:39" x14ac:dyDescent="0.25">
      <c r="B16" s="21" t="s">
        <v>58</v>
      </c>
      <c r="C16" s="21" t="s">
        <v>59</v>
      </c>
      <c r="F16" s="5">
        <f t="shared" si="5"/>
        <v>0</v>
      </c>
      <c r="I16" s="5">
        <f t="shared" si="0"/>
        <v>0</v>
      </c>
      <c r="P16" s="3" t="e">
        <f t="shared" si="8"/>
        <v>#DIV/0!</v>
      </c>
      <c r="Q16" s="3" t="e">
        <f t="shared" si="9"/>
        <v>#DIV/0!</v>
      </c>
      <c r="R16" s="3" t="e">
        <f t="shared" si="10"/>
        <v>#DIV/0!</v>
      </c>
      <c r="S16" s="3" t="e">
        <f t="shared" si="11"/>
        <v>#DIV/0!</v>
      </c>
      <c r="W16" s="4">
        <f t="shared" si="12"/>
        <v>0</v>
      </c>
      <c r="Y16" s="4">
        <f t="shared" si="13"/>
        <v>0</v>
      </c>
    </row>
    <row r="17" spans="2:3" x14ac:dyDescent="0.25">
      <c r="B17" s="23" t="s">
        <v>74</v>
      </c>
      <c r="C17" s="23" t="s">
        <v>72</v>
      </c>
    </row>
    <row r="18" spans="2:3" x14ac:dyDescent="0.25">
      <c r="C18" s="23" t="s">
        <v>73</v>
      </c>
    </row>
  </sheetData>
  <mergeCells count="4">
    <mergeCell ref="J1:K1"/>
    <mergeCell ref="M1:N1"/>
    <mergeCell ref="P1:Q1"/>
    <mergeCell ref="R1:S1"/>
  </mergeCells>
  <conditionalFormatting sqref="AG3:AG1048576">
    <cfRule type="cellIs" dxfId="3" priority="1" stopIfTrue="1" operator="between">
      <formula>0.0000000001</formula>
      <formula>0.8</formula>
    </cfRule>
    <cfRule type="cellIs" dxfId="2" priority="2" operator="between">
      <formula>0.8</formula>
      <formula>1</formula>
    </cfRule>
    <cfRule type="cellIs" dxfId="1" priority="3" operator="between">
      <formula>1</formula>
      <formula>1.5</formula>
    </cfRule>
    <cfRule type="cellIs" dxfId="0" priority="4" operator="greaterThan">
      <formula>1.5</formula>
    </cfRule>
  </conditionalFormatting>
  <hyperlinks>
    <hyperlink ref="C3" r:id="rId1" display="GLXY.xlsx" xr:uid="{42A1CF5E-C119-425F-8F8D-D3AD4448329A}"/>
    <hyperlink ref="C4" r:id="rId2" display="CORZ.xlsx" xr:uid="{44C89245-1FBB-40C8-9BBD-6AB30C00A248}"/>
    <hyperlink ref="C5" r:id="rId3" xr:uid="{4E079B6F-CCA9-4C91-A637-60ABC1C9B33D}"/>
    <hyperlink ref="C6" r:id="rId4" xr:uid="{63DF5354-F6D4-4F76-9E8E-1C812EBF976E}"/>
    <hyperlink ref="C7" r:id="rId5" xr:uid="{B3C8F917-4B72-4673-980A-DED32B7F0C17}"/>
    <hyperlink ref="C8" r:id="rId6" xr:uid="{0FD48712-748E-49D1-923A-9298CDF4EE61}"/>
    <hyperlink ref="C9" r:id="rId7" xr:uid="{58119F6E-9A0D-4B0F-A920-37AD03D8F9D5}"/>
    <hyperlink ref="C10" r:id="rId8" xr:uid="{D3D2A9ED-6DCE-4D72-98ED-AB2B1246F600}"/>
    <hyperlink ref="C11" r:id="rId9" xr:uid="{0F6C2FBD-8CBB-4092-8741-0A39101E91B0}"/>
    <hyperlink ref="C12" r:id="rId10" xr:uid="{B7067C3B-0606-4E04-8CA0-293628C8F6B8}"/>
  </hyperlinks>
  <pageMargins left="0.7" right="0.7" top="0.75" bottom="0.75" header="0.3" footer="0.3"/>
  <pageSetup orientation="portrait" r:id="rId11"/>
  <ignoredErrors>
    <ignoredError sqref="I12" formula="1"/>
  </ignoredErrors>
  <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B6603-7AF7-4F0B-B317-2EA80976A31D}">
  <dimension ref="I8:K19"/>
  <sheetViews>
    <sheetView workbookViewId="0">
      <selection activeCell="O16" sqref="O16"/>
    </sheetView>
  </sheetViews>
  <sheetFormatPr defaultRowHeight="14.4" x14ac:dyDescent="0.3"/>
  <sheetData>
    <row r="8" spans="9:11" x14ac:dyDescent="0.3">
      <c r="I8" t="s">
        <v>11</v>
      </c>
    </row>
    <row r="9" spans="9:11" x14ac:dyDescent="0.3">
      <c r="I9" t="s">
        <v>60</v>
      </c>
      <c r="J9">
        <v>44.33</v>
      </c>
    </row>
    <row r="10" spans="9:11" x14ac:dyDescent="0.3">
      <c r="I10" t="s">
        <v>61</v>
      </c>
      <c r="J10">
        <v>21.12</v>
      </c>
    </row>
    <row r="11" spans="9:11" x14ac:dyDescent="0.3">
      <c r="I11" t="s">
        <v>63</v>
      </c>
      <c r="J11">
        <v>21.68</v>
      </c>
      <c r="K11" t="s">
        <v>71</v>
      </c>
    </row>
    <row r="12" spans="9:11" x14ac:dyDescent="0.3">
      <c r="I12" t="s">
        <v>62</v>
      </c>
      <c r="J12">
        <v>6.98</v>
      </c>
      <c r="K12" s="22">
        <f>+($J$9-$J$10)/J12</f>
        <v>3.3252148997134663</v>
      </c>
    </row>
    <row r="13" spans="9:11" x14ac:dyDescent="0.3">
      <c r="I13" t="s">
        <v>64</v>
      </c>
      <c r="J13">
        <v>7.58</v>
      </c>
      <c r="K13" s="22">
        <f>($J$9-$J$11)/J13</f>
        <v>2.9881266490765168</v>
      </c>
    </row>
    <row r="14" spans="9:11" x14ac:dyDescent="0.3">
      <c r="I14" t="s">
        <v>65</v>
      </c>
      <c r="J14">
        <v>5.89</v>
      </c>
      <c r="K14" s="22">
        <f>+($J$9-$J$10)/J14</f>
        <v>3.9405772495755516</v>
      </c>
    </row>
    <row r="15" spans="9:11" x14ac:dyDescent="0.3">
      <c r="I15" t="s">
        <v>66</v>
      </c>
      <c r="J15">
        <v>6.62</v>
      </c>
      <c r="K15" s="22">
        <f>($J$9-$J$11)/J15</f>
        <v>3.4214501510574014</v>
      </c>
    </row>
    <row r="16" spans="9:11" x14ac:dyDescent="0.3">
      <c r="I16" t="s">
        <v>67</v>
      </c>
      <c r="J16">
        <v>5.16</v>
      </c>
      <c r="K16" s="22">
        <f>+($J$9-$J$10)/J16</f>
        <v>4.4980620155038755</v>
      </c>
    </row>
    <row r="17" spans="9:11" x14ac:dyDescent="0.3">
      <c r="I17" t="s">
        <v>68</v>
      </c>
      <c r="J17">
        <v>6.02</v>
      </c>
      <c r="K17" s="22">
        <f>($J$9-$J$11)/J17</f>
        <v>3.7624584717607972</v>
      </c>
    </row>
    <row r="18" spans="9:11" x14ac:dyDescent="0.3">
      <c r="I18" t="s">
        <v>69</v>
      </c>
      <c r="J18">
        <v>3.37</v>
      </c>
      <c r="K18" s="22">
        <f>+($J$9-$J$10)/J18</f>
        <v>6.887240356083085</v>
      </c>
    </row>
    <row r="19" spans="9:11" x14ac:dyDescent="0.3">
      <c r="I19" t="s">
        <v>70</v>
      </c>
      <c r="J19">
        <v>3.55</v>
      </c>
      <c r="K19" s="22">
        <f>($J$9-$J$11)/J19</f>
        <v>6.380281690140845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Gega Mukhigulashvili</dc:creator>
  <cp:lastModifiedBy>Gega Mukhigulashvili</cp:lastModifiedBy>
  <dcterms:created xsi:type="dcterms:W3CDTF">2015-06-05T18:17:20Z</dcterms:created>
  <dcterms:modified xsi:type="dcterms:W3CDTF">2026-02-08T10:00:45Z</dcterms:modified>
</cp:coreProperties>
</file>