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3349F8B3-CAEA-4669-8EEF-78E0288F96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96" i="2" l="1"/>
  <c r="T96" i="2"/>
  <c r="J96" i="2"/>
  <c r="I96" i="2"/>
  <c r="H96" i="2"/>
  <c r="G96" i="2"/>
  <c r="F96" i="2"/>
  <c r="E96" i="2"/>
  <c r="D96" i="2"/>
  <c r="C96" i="2"/>
  <c r="K96" i="2"/>
  <c r="W34" i="2"/>
  <c r="V34" i="2"/>
  <c r="T34" i="2"/>
  <c r="S34" i="2"/>
  <c r="R34" i="2"/>
  <c r="U106" i="2"/>
  <c r="T105" i="2"/>
  <c r="U105" i="2"/>
  <c r="D27" i="2"/>
  <c r="K29" i="2"/>
  <c r="K27" i="2"/>
  <c r="H34" i="2"/>
  <c r="G34" i="2"/>
  <c r="K34" i="2"/>
  <c r="J45" i="2"/>
  <c r="I45" i="2"/>
  <c r="H45" i="2"/>
  <c r="G45" i="2"/>
  <c r="J44" i="2"/>
  <c r="I44" i="2"/>
  <c r="H44" i="2"/>
  <c r="G44" i="2"/>
  <c r="J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K45" i="2"/>
  <c r="K44" i="2"/>
  <c r="K43" i="2"/>
  <c r="K42" i="2"/>
  <c r="K41" i="2"/>
  <c r="K40" i="2"/>
  <c r="K39" i="2"/>
  <c r="K38" i="2"/>
  <c r="K37" i="2"/>
  <c r="K36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4" i="2"/>
  <c r="U14" i="2"/>
  <c r="T16" i="2"/>
  <c r="U16" i="2"/>
  <c r="T17" i="2"/>
  <c r="U17" i="2"/>
  <c r="T22" i="2"/>
  <c r="U22" i="2"/>
  <c r="U3" i="2"/>
  <c r="T3" i="2"/>
  <c r="D80" i="2"/>
  <c r="D93" i="2" s="1"/>
  <c r="C84" i="2"/>
  <c r="C82" i="2"/>
  <c r="C83" i="2" s="1"/>
  <c r="C20" i="2"/>
  <c r="H83" i="2"/>
  <c r="H80" i="2"/>
  <c r="E88" i="2"/>
  <c r="I83" i="2"/>
  <c r="I94" i="2"/>
  <c r="D20" i="2"/>
  <c r="D15" i="2"/>
  <c r="D29" i="2" s="1"/>
  <c r="H20" i="2"/>
  <c r="F83" i="2"/>
  <c r="F94" i="2"/>
  <c r="J94" i="2"/>
  <c r="E20" i="2"/>
  <c r="I20" i="2"/>
  <c r="T82" i="2"/>
  <c r="T83" i="2" s="1"/>
  <c r="U84" i="2"/>
  <c r="U82" i="2"/>
  <c r="U83" i="2" s="1"/>
  <c r="U94" i="2"/>
  <c r="T94" i="2"/>
  <c r="U88" i="2"/>
  <c r="T88" i="2"/>
  <c r="U80" i="2"/>
  <c r="U93" i="2" s="1"/>
  <c r="T80" i="2"/>
  <c r="T93" i="2" s="1"/>
  <c r="F56" i="2"/>
  <c r="F20" i="2"/>
  <c r="J20" i="2"/>
  <c r="G94" i="2"/>
  <c r="E94" i="2"/>
  <c r="C94" i="2"/>
  <c r="K94" i="2"/>
  <c r="J88" i="2"/>
  <c r="I88" i="2"/>
  <c r="H88" i="2"/>
  <c r="G88" i="2"/>
  <c r="F88" i="2"/>
  <c r="D88" i="2"/>
  <c r="C88" i="2"/>
  <c r="K84" i="2"/>
  <c r="K88" i="2" s="1"/>
  <c r="J83" i="2"/>
  <c r="G83" i="2"/>
  <c r="E83" i="2"/>
  <c r="D83" i="2"/>
  <c r="K83" i="2"/>
  <c r="G80" i="2"/>
  <c r="G93" i="2" s="1"/>
  <c r="F80" i="2"/>
  <c r="F93" i="2" s="1"/>
  <c r="E80" i="2"/>
  <c r="E93" i="2" s="1"/>
  <c r="C80" i="2"/>
  <c r="C93" i="2" s="1"/>
  <c r="K80" i="2"/>
  <c r="K93" i="2" s="1"/>
  <c r="I8" i="1"/>
  <c r="I7" i="1"/>
  <c r="J49" i="2"/>
  <c r="I49" i="2"/>
  <c r="H49" i="2"/>
  <c r="G49" i="2"/>
  <c r="F49" i="2"/>
  <c r="E49" i="2"/>
  <c r="D49" i="2"/>
  <c r="C49" i="2"/>
  <c r="K49" i="2"/>
  <c r="J56" i="2"/>
  <c r="I56" i="2"/>
  <c r="H56" i="2"/>
  <c r="G56" i="2"/>
  <c r="E56" i="2"/>
  <c r="D56" i="2"/>
  <c r="C56" i="2"/>
  <c r="J64" i="2"/>
  <c r="J66" i="2" s="1"/>
  <c r="I64" i="2"/>
  <c r="I66" i="2" s="1"/>
  <c r="H64" i="2"/>
  <c r="H66" i="2" s="1"/>
  <c r="G64" i="2"/>
  <c r="G66" i="2" s="1"/>
  <c r="F64" i="2"/>
  <c r="F66" i="2" s="1"/>
  <c r="E64" i="2"/>
  <c r="E66" i="2" s="1"/>
  <c r="D64" i="2"/>
  <c r="D66" i="2" s="1"/>
  <c r="C64" i="2"/>
  <c r="C66" i="2" s="1"/>
  <c r="K64" i="2"/>
  <c r="K66" i="2" s="1"/>
  <c r="K56" i="2"/>
  <c r="J102" i="2"/>
  <c r="I102" i="2"/>
  <c r="H102" i="2"/>
  <c r="G102" i="2"/>
  <c r="F102" i="2"/>
  <c r="E102" i="2"/>
  <c r="D102" i="2"/>
  <c r="C102" i="2"/>
  <c r="K102" i="2"/>
  <c r="F13" i="2"/>
  <c r="F15" i="2" s="1"/>
  <c r="F29" i="2" s="1"/>
  <c r="E13" i="2"/>
  <c r="E15" i="2" s="1"/>
  <c r="E29" i="2" s="1"/>
  <c r="D13" i="2"/>
  <c r="C13" i="2"/>
  <c r="C15" i="2" s="1"/>
  <c r="C27" i="2" s="1"/>
  <c r="K13" i="2"/>
  <c r="K15" i="2" s="1"/>
  <c r="J13" i="2"/>
  <c r="J15" i="2" s="1"/>
  <c r="J29" i="2" s="1"/>
  <c r="I13" i="2"/>
  <c r="I15" i="2" s="1"/>
  <c r="I29" i="2" s="1"/>
  <c r="H13" i="2"/>
  <c r="H15" i="2" s="1"/>
  <c r="H29" i="2" s="1"/>
  <c r="G13" i="2"/>
  <c r="G15" i="2" s="1"/>
  <c r="G29" i="2" s="1"/>
  <c r="G20" i="2"/>
  <c r="J18" i="2"/>
  <c r="I18" i="2"/>
  <c r="H18" i="2"/>
  <c r="G18" i="2"/>
  <c r="F18" i="2"/>
  <c r="E18" i="2"/>
  <c r="D18" i="2"/>
  <c r="C18" i="2"/>
  <c r="K20" i="2"/>
  <c r="K18" i="2"/>
  <c r="I6" i="1"/>
  <c r="G27" i="2" l="1"/>
  <c r="H27" i="2"/>
  <c r="I27" i="2"/>
  <c r="J27" i="2"/>
  <c r="C29" i="2"/>
  <c r="K30" i="2"/>
  <c r="I30" i="2"/>
  <c r="C30" i="2"/>
  <c r="T13" i="2"/>
  <c r="T15" i="2" s="1"/>
  <c r="T19" i="2" s="1"/>
  <c r="T28" i="2" s="1"/>
  <c r="I34" i="2"/>
  <c r="E27" i="2"/>
  <c r="F27" i="2"/>
  <c r="J34" i="2"/>
  <c r="U20" i="2"/>
  <c r="T20" i="2"/>
  <c r="U13" i="2"/>
  <c r="U18" i="2"/>
  <c r="T18" i="2"/>
  <c r="J19" i="2"/>
  <c r="D94" i="2"/>
  <c r="H93" i="2"/>
  <c r="H94" i="2"/>
  <c r="I80" i="2"/>
  <c r="I93" i="2" s="1"/>
  <c r="J80" i="2"/>
  <c r="J93" i="2" s="1"/>
  <c r="H89" i="2"/>
  <c r="C89" i="2"/>
  <c r="C91" i="2" s="1"/>
  <c r="D90" i="2" s="1"/>
  <c r="D89" i="2"/>
  <c r="E89" i="2"/>
  <c r="K89" i="2"/>
  <c r="F89" i="2"/>
  <c r="T89" i="2"/>
  <c r="T91" i="2" s="1"/>
  <c r="U90" i="2" s="1"/>
  <c r="U89" i="2"/>
  <c r="G89" i="2"/>
  <c r="I10" i="1"/>
  <c r="K19" i="2"/>
  <c r="K28" i="2" s="1"/>
  <c r="I19" i="2"/>
  <c r="I28" i="2" s="1"/>
  <c r="E19" i="2"/>
  <c r="F19" i="2"/>
  <c r="F28" i="2" s="1"/>
  <c r="C19" i="2"/>
  <c r="C28" i="2" s="1"/>
  <c r="D19" i="2"/>
  <c r="H19" i="2"/>
  <c r="G19" i="2"/>
  <c r="T27" i="2" l="1"/>
  <c r="T29" i="2"/>
  <c r="D28" i="2"/>
  <c r="D30" i="2"/>
  <c r="U19" i="2"/>
  <c r="F30" i="2"/>
  <c r="J95" i="2"/>
  <c r="J28" i="2"/>
  <c r="G28" i="2"/>
  <c r="G30" i="2"/>
  <c r="H30" i="2"/>
  <c r="H28" i="2"/>
  <c r="E28" i="2"/>
  <c r="E30" i="2"/>
  <c r="U15" i="2"/>
  <c r="U34" i="2"/>
  <c r="T30" i="2"/>
  <c r="U30" i="2"/>
  <c r="J30" i="2"/>
  <c r="J89" i="2"/>
  <c r="J21" i="2"/>
  <c r="T95" i="2"/>
  <c r="T21" i="2"/>
  <c r="I89" i="2"/>
  <c r="D91" i="2"/>
  <c r="E90" i="2" s="1"/>
  <c r="E91" i="2" s="1"/>
  <c r="F90" i="2" s="1"/>
  <c r="F91" i="2" s="1"/>
  <c r="G90" i="2" s="1"/>
  <c r="G91" i="2" s="1"/>
  <c r="H90" i="2" s="1"/>
  <c r="H91" i="2" s="1"/>
  <c r="I90" i="2" s="1"/>
  <c r="G21" i="2"/>
  <c r="G95" i="2"/>
  <c r="H21" i="2"/>
  <c r="H95" i="2"/>
  <c r="K21" i="2"/>
  <c r="K95" i="2"/>
  <c r="D21" i="2"/>
  <c r="D95" i="2"/>
  <c r="F21" i="2"/>
  <c r="F95" i="2"/>
  <c r="C21" i="2"/>
  <c r="C95" i="2"/>
  <c r="E21" i="2"/>
  <c r="E95" i="2"/>
  <c r="I21" i="2"/>
  <c r="I95" i="2"/>
  <c r="U91" i="2"/>
  <c r="D23" i="2" l="1"/>
  <c r="D32" i="2" s="1"/>
  <c r="D31" i="2"/>
  <c r="F23" i="2"/>
  <c r="F31" i="2"/>
  <c r="T23" i="2"/>
  <c r="T32" i="2" s="1"/>
  <c r="T31" i="2"/>
  <c r="J23" i="2"/>
  <c r="J31" i="2"/>
  <c r="H23" i="2"/>
  <c r="H32" i="2" s="1"/>
  <c r="H31" i="2"/>
  <c r="G23" i="2"/>
  <c r="G32" i="2" s="1"/>
  <c r="G31" i="2"/>
  <c r="U27" i="2"/>
  <c r="U29" i="2"/>
  <c r="C23" i="2"/>
  <c r="C32" i="2" s="1"/>
  <c r="C31" i="2"/>
  <c r="K23" i="2"/>
  <c r="K32" i="2" s="1"/>
  <c r="K31" i="2"/>
  <c r="I23" i="2"/>
  <c r="I32" i="2" s="1"/>
  <c r="I31" i="2"/>
  <c r="U28" i="2"/>
  <c r="U95" i="2"/>
  <c r="U21" i="2"/>
  <c r="E23" i="2"/>
  <c r="E32" i="2" s="1"/>
  <c r="E31" i="2"/>
  <c r="I91" i="2"/>
  <c r="J90" i="2" s="1"/>
  <c r="J91" i="2" s="1"/>
  <c r="K90" i="2" s="1"/>
  <c r="K91" i="2" s="1"/>
  <c r="F25" i="2"/>
  <c r="K70" i="2"/>
  <c r="C25" i="2"/>
  <c r="D25" i="2"/>
  <c r="D70" i="2"/>
  <c r="I70" i="2"/>
  <c r="G70" i="2" l="1"/>
  <c r="H70" i="2"/>
  <c r="K25" i="2"/>
  <c r="G25" i="2"/>
  <c r="J32" i="2"/>
  <c r="J25" i="2"/>
  <c r="J70" i="2"/>
  <c r="U23" i="2"/>
  <c r="U31" i="2"/>
  <c r="H25" i="2"/>
  <c r="I25" i="2"/>
  <c r="E70" i="2"/>
  <c r="E25" i="2"/>
  <c r="T25" i="2"/>
  <c r="F70" i="2"/>
  <c r="F32" i="2"/>
  <c r="T70" i="2"/>
  <c r="C70" i="2"/>
  <c r="U32" i="2" l="1"/>
  <c r="U25" i="2"/>
  <c r="U70" i="2"/>
</calcChain>
</file>

<file path=xl/sharedStrings.xml><?xml version="1.0" encoding="utf-8"?>
<sst xmlns="http://schemas.openxmlformats.org/spreadsheetml/2006/main" count="109" uniqueCount="92">
  <si>
    <t>Main</t>
  </si>
  <si>
    <t>Tech</t>
  </si>
  <si>
    <t>Price</t>
  </si>
  <si>
    <t>S/O</t>
  </si>
  <si>
    <t>MC</t>
  </si>
  <si>
    <t>Cash</t>
  </si>
  <si>
    <t>Debt</t>
  </si>
  <si>
    <t>EV</t>
  </si>
  <si>
    <t>Q125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</si>
  <si>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</si>
  <si>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</si>
  <si>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</si>
  <si>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</si>
  <si>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</si>
  <si>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</si>
  <si>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</si>
  <si>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</si>
  <si>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</si>
  <si>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COGS</t>
  </si>
  <si>
    <t>Gross Profit</t>
  </si>
  <si>
    <t>SG&amp;A</t>
  </si>
  <si>
    <t>D&amp;A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</si>
  <si>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</si>
  <si>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</si>
  <si>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</si>
  <si>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</si>
  <si>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</si>
  <si>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</si>
  <si>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</si>
  <si>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Aooarek &amp; accessories</t>
  </si>
  <si>
    <t>Beauty</t>
  </si>
  <si>
    <t>Food &amp; beverage</t>
  </si>
  <si>
    <t>Hardlines</t>
  </si>
  <si>
    <t>Home furnishings &amp; décor</t>
  </si>
  <si>
    <t>Household essentials</t>
  </si>
  <si>
    <t>Other merchendise sales</t>
  </si>
  <si>
    <t>Ad revenue</t>
  </si>
  <si>
    <t>Credit card profit sharing</t>
  </si>
  <si>
    <t xml:space="preserve">Other  </t>
  </si>
  <si>
    <t>&gt;170,000 aq.ft</t>
  </si>
  <si>
    <t>&gt;50,000 sq. ft.</t>
  </si>
  <si>
    <t>&lt;49,999 sq. ft.</t>
  </si>
  <si>
    <t>Store count total</t>
  </si>
  <si>
    <t>Cash and cash equivalents</t>
  </si>
  <si>
    <t>Net Cash</t>
  </si>
  <si>
    <t>Inv.</t>
  </si>
  <si>
    <t>OCA</t>
  </si>
  <si>
    <t>PP&amp;A</t>
  </si>
  <si>
    <t>Operating lease assets</t>
  </si>
  <si>
    <t>ONCA</t>
  </si>
  <si>
    <t>Total assets</t>
  </si>
  <si>
    <t>A/P</t>
  </si>
  <si>
    <t>Accrued liabilities</t>
  </si>
  <si>
    <t>Current portion of long-term debt</t>
  </si>
  <si>
    <t>Long-term debt</t>
  </si>
  <si>
    <t>Noncurrent operating lease liabilities</t>
  </si>
  <si>
    <t>Deferred income taxes</t>
  </si>
  <si>
    <t>ONCL</t>
  </si>
  <si>
    <t>Total liabilities</t>
  </si>
  <si>
    <t>SE</t>
  </si>
  <si>
    <t>L+SE</t>
  </si>
  <si>
    <t>Model NI</t>
  </si>
  <si>
    <t>GAAP NI</t>
  </si>
  <si>
    <t>Share-based compensation</t>
  </si>
  <si>
    <t>Noncash other</t>
  </si>
  <si>
    <t>Other assets</t>
  </si>
  <si>
    <t>Accrued and other liabilities</t>
  </si>
  <si>
    <t>CFFO</t>
  </si>
  <si>
    <t>CapEx</t>
  </si>
  <si>
    <t>CFFI</t>
  </si>
  <si>
    <t>Dividends</t>
  </si>
  <si>
    <t>Repurchase of stock</t>
  </si>
  <si>
    <t>CFFF</t>
  </si>
  <si>
    <t>CF</t>
  </si>
  <si>
    <t>BOP Cash</t>
  </si>
  <si>
    <t>EOP Cash</t>
  </si>
  <si>
    <t>FCF</t>
  </si>
  <si>
    <t>CapEx margin</t>
  </si>
  <si>
    <t>Shares witheld</t>
  </si>
  <si>
    <t>EBIDTA</t>
  </si>
  <si>
    <t>Gross margin</t>
  </si>
  <si>
    <t>Operating margin</t>
  </si>
  <si>
    <t>Interest margin</t>
  </si>
  <si>
    <t>Tax margin</t>
  </si>
  <si>
    <t>SG&amp;A margin</t>
  </si>
  <si>
    <t>Net margin</t>
  </si>
  <si>
    <t>Revenue Y/Y</t>
  </si>
  <si>
    <t>Segment Y/Y</t>
  </si>
  <si>
    <t>Revenue per store</t>
  </si>
  <si>
    <t>Employees</t>
  </si>
  <si>
    <t>Revenue per worker</t>
  </si>
  <si>
    <t>EBITDA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</si>
</sst>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164" fontId="0" fillId="0" borderId="0" xfId="0" applyNumberFormat="1"/>
    <xf numFmtId="4" fontId="0" fillId="0" borderId="0" xfId="0" applyNumberFormat="1" applyAlignment="1">
      <alignment horizontal="left" indent="1"/>
    </xf>
    <xf numFmtId="164" fontId="1" fillId="0" borderId="0" xfId="0" applyNumberFormat="1" applyFon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30480</xdr:rowOff>
    </xdr:from>
    <xdr:to>
      <xdr:col>21</xdr:col>
      <xdr:colOff>7620</xdr:colOff>
      <xdr:row>33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08320D9-7842-0454-8FDA-CA4D05DE21A7}"/>
            </a:ext>
          </a:extLst>
        </xdr:cNvPr>
        <xdr:cNvCxnSpPr/>
      </xdr:nvCxnSpPr>
      <xdr:spPr>
        <a:xfrm flipH="1">
          <a:off x="12801600" y="213360"/>
          <a:ext cx="7620" cy="58216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ch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K15" sqref="K15"/>
    </sheetView>
  </sheetViews>
  <sheetFormatPr defaultRowHeight="14.4" x14ac:dyDescent="0.3"/>
  <sheetData>
    <row r="1" spans="1:9" x14ac:dyDescent="0.3">
      <c r="A1" s="1" t="s">
        <v>1</v>
      </c>
    </row>
    <row r="4" spans="1:9" x14ac:dyDescent="0.3">
      <c r="H4" t="s">
        <v>2</v>
      </c>
      <c r="I4">
        <v>99.77</v>
      </c>
    </row>
    <row r="5" spans="1:9" x14ac:dyDescent="0.3">
      <c r="H5" t="s">
        <v>3</v>
      </c>
      <c r="I5" s="2">
        <v>454.36590100000001</v>
      </c>
    </row>
    <row r="6" spans="1:9" x14ac:dyDescent="0.3">
      <c r="H6" t="s">
        <v>4</v>
      </c>
      <c r="I6" s="2">
        <f>+I4*I5</f>
        <v>45332.085942769998</v>
      </c>
    </row>
    <row r="7" spans="1:9" x14ac:dyDescent="0.3">
      <c r="H7" t="s">
        <v>5</v>
      </c>
      <c r="I7" s="2">
        <f>Model!K50</f>
        <v>2887</v>
      </c>
    </row>
    <row r="8" spans="1:9" x14ac:dyDescent="0.3">
      <c r="H8" t="s">
        <v>6</v>
      </c>
      <c r="I8" s="2">
        <f>Model!K59+Model!K60</f>
        <v>15473</v>
      </c>
    </row>
    <row r="9" spans="1:9" x14ac:dyDescent="0.3">
      <c r="I9" s="2"/>
    </row>
    <row r="10" spans="1:9" x14ac:dyDescent="0.3">
      <c r="H10" t="s">
        <v>7</v>
      </c>
      <c r="I10" s="2">
        <f>I6-I7+I8</f>
        <v>57918.085942769998</v>
      </c>
    </row>
  </sheetData>
  <hyperlinks>
    <hyperlink ref="A1" r:id="rId1" xr:uid="{7F1DA1F2-15F8-4A6A-9EB8-5F4C95E5E1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C8A2-8BBC-4FF6-B43D-EF5FE7D3D3E8}">
  <dimension ref="A1:AF10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4" sqref="R14"/>
    </sheetView>
  </sheetViews>
  <sheetFormatPr defaultRowHeight="14.4" x14ac:dyDescent="0.3"/>
  <sheetData>
    <row r="1" spans="1:32" x14ac:dyDescent="0.3">
      <c r="A1" s="1" t="s">
        <v>0</v>
      </c>
    </row>
    <row r="2" spans="1:32" x14ac:dyDescent="0.3"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8</v>
      </c>
      <c r="Q2">
        <v>2020</v>
      </c>
      <c r="R2">
        <v>2021</v>
      </c>
      <c r="S2">
        <v>2022</v>
      </c>
      <c r="T2">
        <v>2023</v>
      </c>
      <c r="U2">
        <v>2024</v>
      </c>
      <c r="V2">
        <v>2025</v>
      </c>
      <c r="W2">
        <v>2026</v>
      </c>
      <c r="X2">
        <v>2027</v>
      </c>
      <c r="Y2">
        <v>2028</v>
      </c>
      <c r="Z2">
        <v>2029</v>
      </c>
      <c r="AA2">
        <v>2030</v>
      </c>
      <c r="AB2">
        <v>2031</v>
      </c>
      <c r="AC2">
        <v>2032</v>
      </c>
      <c r="AD2">
        <v>2033</v>
      </c>
      <c r="AE2">
        <v>2034</v>
      </c>
      <c r="AF2">
        <v>2035</v>
      </c>
    </row>
    <row r="3" spans="1:32" s="2" customFormat="1" x14ac:dyDescent="0.3">
      <c r="B3" s="2" t="s">
        <v>29</v>
      </c>
      <c r="C3" s="2">
        <v>3967</v>
      </c>
      <c r="D3" s="2">
        <v>4101</v>
      </c>
      <c r="E3" s="2">
        <v>4007</v>
      </c>
      <c r="F3" s="2">
        <v>4410</v>
      </c>
      <c r="G3" s="2">
        <v>3897</v>
      </c>
      <c r="H3" s="2">
        <v>4261</v>
      </c>
      <c r="I3" s="2">
        <v>4003</v>
      </c>
      <c r="J3" s="2">
        <v>4344</v>
      </c>
      <c r="K3" s="2">
        <v>3711</v>
      </c>
      <c r="T3" s="2">
        <f>C3+D3+E3+F3</f>
        <v>16485</v>
      </c>
      <c r="U3" s="2">
        <f>+G3+H3+I3+J3</f>
        <v>16505</v>
      </c>
    </row>
    <row r="4" spans="1:32" s="2" customFormat="1" x14ac:dyDescent="0.3">
      <c r="B4" s="2" t="s">
        <v>30</v>
      </c>
      <c r="C4" s="2">
        <v>3016</v>
      </c>
      <c r="D4" s="2">
        <v>3085</v>
      </c>
      <c r="E4" s="2">
        <v>3013</v>
      </c>
      <c r="F4" s="2">
        <v>3424</v>
      </c>
      <c r="G4" s="2">
        <v>3119</v>
      </c>
      <c r="H4" s="2">
        <v>3384</v>
      </c>
      <c r="I4" s="2">
        <v>3226</v>
      </c>
      <c r="J4" s="2">
        <v>3444</v>
      </c>
      <c r="K4" s="2">
        <v>3101</v>
      </c>
      <c r="T4" s="2">
        <f t="shared" ref="T4:T22" si="0">C4+D4+E4+F4</f>
        <v>12538</v>
      </c>
      <c r="U4" s="2">
        <f t="shared" ref="U4:U22" si="1">+G4+H4+I4+J4</f>
        <v>13173</v>
      </c>
    </row>
    <row r="5" spans="1:32" s="2" customFormat="1" x14ac:dyDescent="0.3">
      <c r="B5" s="2" t="s">
        <v>31</v>
      </c>
      <c r="C5" s="2">
        <v>5997</v>
      </c>
      <c r="D5" s="2">
        <v>5392</v>
      </c>
      <c r="E5" s="2">
        <v>5736</v>
      </c>
      <c r="F5" s="2">
        <v>6774</v>
      </c>
      <c r="G5" s="2">
        <v>5853</v>
      </c>
      <c r="H5" s="2">
        <v>5538</v>
      </c>
      <c r="I5" s="2">
        <v>5917</v>
      </c>
      <c r="J5" s="2">
        <v>6520</v>
      </c>
      <c r="K5" s="2">
        <v>5902</v>
      </c>
      <c r="T5" s="2">
        <f t="shared" si="0"/>
        <v>23899</v>
      </c>
      <c r="U5" s="2">
        <f t="shared" si="1"/>
        <v>23828</v>
      </c>
    </row>
    <row r="6" spans="1:32" s="2" customFormat="1" x14ac:dyDescent="0.3">
      <c r="B6" s="2" t="s">
        <v>32</v>
      </c>
      <c r="C6" s="2">
        <v>3391</v>
      </c>
      <c r="D6" s="2">
        <v>3383</v>
      </c>
      <c r="E6" s="2">
        <v>3192</v>
      </c>
      <c r="F6" s="2">
        <v>6196</v>
      </c>
      <c r="G6" s="2">
        <v>3160</v>
      </c>
      <c r="H6" s="2">
        <v>3322</v>
      </c>
      <c r="I6" s="2">
        <v>3152</v>
      </c>
      <c r="J6" s="2">
        <v>6150</v>
      </c>
      <c r="K6" s="2">
        <v>3074</v>
      </c>
      <c r="T6" s="2">
        <f t="shared" si="0"/>
        <v>16162</v>
      </c>
      <c r="U6" s="2">
        <f t="shared" si="1"/>
        <v>15784</v>
      </c>
    </row>
    <row r="7" spans="1:32" s="2" customFormat="1" x14ac:dyDescent="0.3">
      <c r="B7" s="2" t="s">
        <v>33</v>
      </c>
      <c r="C7" s="2">
        <v>3855</v>
      </c>
      <c r="D7" s="2">
        <v>3955</v>
      </c>
      <c r="E7" s="2">
        <v>4420</v>
      </c>
      <c r="F7" s="2">
        <v>5530</v>
      </c>
      <c r="G7" s="2">
        <v>3519</v>
      </c>
      <c r="H7" s="2">
        <v>3908</v>
      </c>
      <c r="I7" s="2">
        <v>4185</v>
      </c>
      <c r="J7" s="2">
        <v>5087</v>
      </c>
      <c r="K7" s="2">
        <v>3220</v>
      </c>
      <c r="T7" s="2">
        <f t="shared" si="0"/>
        <v>17760</v>
      </c>
      <c r="U7" s="2">
        <f t="shared" si="1"/>
        <v>16699</v>
      </c>
    </row>
    <row r="8" spans="1:32" s="2" customFormat="1" x14ac:dyDescent="0.3">
      <c r="B8" s="2" t="s">
        <v>34</v>
      </c>
      <c r="C8" s="2">
        <v>4666</v>
      </c>
      <c r="D8" s="2">
        <v>4428</v>
      </c>
      <c r="E8" s="2">
        <v>4606</v>
      </c>
      <c r="F8" s="2">
        <v>5046</v>
      </c>
      <c r="G8" s="2">
        <v>4549</v>
      </c>
      <c r="H8" s="2">
        <v>4564</v>
      </c>
      <c r="I8" s="2">
        <v>4715</v>
      </c>
      <c r="J8" s="2">
        <v>4786</v>
      </c>
      <c r="K8" s="2">
        <v>4357</v>
      </c>
      <c r="T8" s="2">
        <f t="shared" si="0"/>
        <v>18746</v>
      </c>
      <c r="U8" s="2">
        <f t="shared" si="1"/>
        <v>18614</v>
      </c>
    </row>
    <row r="9" spans="1:32" s="2" customFormat="1" x14ac:dyDescent="0.3">
      <c r="B9" s="2" t="s">
        <v>35</v>
      </c>
      <c r="C9" s="2">
        <v>56</v>
      </c>
      <c r="D9" s="2">
        <v>40</v>
      </c>
      <c r="E9" s="2">
        <v>30</v>
      </c>
      <c r="F9" s="2">
        <v>87</v>
      </c>
      <c r="G9" s="2">
        <v>46</v>
      </c>
      <c r="H9" s="2">
        <v>44</v>
      </c>
      <c r="I9" s="2">
        <v>30</v>
      </c>
      <c r="J9" s="2">
        <v>97</v>
      </c>
      <c r="K9" s="2">
        <v>40</v>
      </c>
      <c r="T9" s="2">
        <f t="shared" si="0"/>
        <v>213</v>
      </c>
      <c r="U9" s="2">
        <f t="shared" si="1"/>
        <v>217</v>
      </c>
    </row>
    <row r="10" spans="1:32" s="2" customFormat="1" x14ac:dyDescent="0.3">
      <c r="B10" s="2" t="s">
        <v>36</v>
      </c>
      <c r="F10" s="2">
        <v>167</v>
      </c>
      <c r="G10" s="2">
        <v>130</v>
      </c>
      <c r="J10" s="2">
        <v>190</v>
      </c>
      <c r="K10" s="2">
        <v>163</v>
      </c>
      <c r="T10" s="2">
        <f t="shared" si="0"/>
        <v>167</v>
      </c>
      <c r="U10" s="2">
        <f t="shared" si="1"/>
        <v>320</v>
      </c>
    </row>
    <row r="11" spans="1:32" s="2" customFormat="1" x14ac:dyDescent="0.3">
      <c r="B11" s="2" t="s">
        <v>37</v>
      </c>
      <c r="C11" s="2">
        <v>174</v>
      </c>
      <c r="D11" s="2">
        <v>169</v>
      </c>
      <c r="E11" s="2">
        <v>165</v>
      </c>
      <c r="F11" s="2">
        <v>159</v>
      </c>
      <c r="G11" s="2">
        <v>142</v>
      </c>
      <c r="H11" s="2">
        <v>144</v>
      </c>
      <c r="I11" s="2">
        <v>148</v>
      </c>
      <c r="J11" s="2">
        <v>142</v>
      </c>
      <c r="K11" s="2">
        <v>141</v>
      </c>
      <c r="T11" s="2">
        <f t="shared" si="0"/>
        <v>667</v>
      </c>
      <c r="U11" s="2">
        <f t="shared" si="1"/>
        <v>576</v>
      </c>
    </row>
    <row r="12" spans="1:32" s="2" customFormat="1" x14ac:dyDescent="0.3">
      <c r="B12" s="2" t="s">
        <v>38</v>
      </c>
      <c r="C12" s="2">
        <v>200</v>
      </c>
      <c r="D12" s="2">
        <v>220</v>
      </c>
      <c r="E12" s="2">
        <v>229</v>
      </c>
      <c r="F12" s="2">
        <v>126</v>
      </c>
      <c r="G12" s="2">
        <v>116</v>
      </c>
      <c r="H12" s="2">
        <v>287</v>
      </c>
      <c r="I12" s="2">
        <v>292</v>
      </c>
      <c r="J12" s="2">
        <v>155</v>
      </c>
      <c r="K12" s="2">
        <v>137</v>
      </c>
      <c r="T12" s="2">
        <f t="shared" si="0"/>
        <v>775</v>
      </c>
      <c r="U12" s="2">
        <f t="shared" si="1"/>
        <v>850</v>
      </c>
    </row>
    <row r="13" spans="1:32" s="4" customFormat="1" x14ac:dyDescent="0.3">
      <c r="A13" s="3"/>
      <c r="B13" s="3" t="s">
        <v>17</v>
      </c>
      <c r="C13" s="4">
        <f t="shared" ref="C13:F13" si="2">SUM(C3:C12)</f>
        <v>25322</v>
      </c>
      <c r="D13" s="4">
        <f t="shared" si="2"/>
        <v>24773</v>
      </c>
      <c r="E13" s="4">
        <f t="shared" si="2"/>
        <v>25398</v>
      </c>
      <c r="F13" s="4">
        <f t="shared" si="2"/>
        <v>31919</v>
      </c>
      <c r="G13" s="4">
        <f>SUM(G3:G12)</f>
        <v>24531</v>
      </c>
      <c r="H13" s="4">
        <f t="shared" ref="H13:K13" si="3">SUM(H3:H12)</f>
        <v>25452</v>
      </c>
      <c r="I13" s="4">
        <f t="shared" si="3"/>
        <v>25668</v>
      </c>
      <c r="J13" s="4">
        <f t="shared" si="3"/>
        <v>30915</v>
      </c>
      <c r="K13" s="4">
        <f t="shared" si="3"/>
        <v>23846</v>
      </c>
      <c r="Q13" s="4">
        <v>96560</v>
      </c>
      <c r="R13" s="4">
        <v>106000</v>
      </c>
      <c r="S13" s="4">
        <v>109120</v>
      </c>
      <c r="T13" s="4">
        <f t="shared" ref="T13:U13" si="4">SUM(T3:T12)</f>
        <v>107412</v>
      </c>
      <c r="U13" s="4">
        <f t="shared" si="4"/>
        <v>106566</v>
      </c>
      <c r="V13" s="4">
        <v>104890</v>
      </c>
      <c r="W13" s="4">
        <v>107240</v>
      </c>
    </row>
    <row r="14" spans="1:32" s="2" customFormat="1" x14ac:dyDescent="0.3">
      <c r="A14"/>
      <c r="B14" t="s">
        <v>18</v>
      </c>
      <c r="C14" s="2">
        <v>18386</v>
      </c>
      <c r="D14" s="2">
        <v>17798</v>
      </c>
      <c r="E14" s="2">
        <v>18149</v>
      </c>
      <c r="F14" s="2">
        <v>23427</v>
      </c>
      <c r="G14" s="2">
        <v>17471</v>
      </c>
      <c r="H14" s="2">
        <v>17799</v>
      </c>
      <c r="I14" s="2">
        <v>18375</v>
      </c>
      <c r="J14" s="2">
        <v>22802</v>
      </c>
      <c r="K14" s="2">
        <v>17128</v>
      </c>
      <c r="T14" s="2">
        <f t="shared" si="0"/>
        <v>77760</v>
      </c>
      <c r="U14" s="2">
        <f t="shared" si="1"/>
        <v>76447</v>
      </c>
    </row>
    <row r="15" spans="1:32" s="4" customFormat="1" x14ac:dyDescent="0.3">
      <c r="A15" s="3"/>
      <c r="B15" s="3" t="s">
        <v>19</v>
      </c>
      <c r="C15" s="4">
        <f t="shared" ref="C15:J15" si="5">C13-C14</f>
        <v>6936</v>
      </c>
      <c r="D15" s="4">
        <f t="shared" si="5"/>
        <v>6975</v>
      </c>
      <c r="E15" s="4">
        <f t="shared" si="5"/>
        <v>7249</v>
      </c>
      <c r="F15" s="4">
        <f t="shared" si="5"/>
        <v>8492</v>
      </c>
      <c r="G15" s="4">
        <f t="shared" si="5"/>
        <v>7060</v>
      </c>
      <c r="H15" s="4">
        <f t="shared" si="5"/>
        <v>7653</v>
      </c>
      <c r="I15" s="4">
        <f t="shared" si="5"/>
        <v>7293</v>
      </c>
      <c r="J15" s="4">
        <f t="shared" si="5"/>
        <v>8113</v>
      </c>
      <c r="K15" s="4">
        <f>K13-K14</f>
        <v>6718</v>
      </c>
      <c r="T15" s="4">
        <f t="shared" ref="T15:U15" si="6">T13-T14</f>
        <v>29652</v>
      </c>
      <c r="U15" s="4">
        <f t="shared" si="6"/>
        <v>30119</v>
      </c>
    </row>
    <row r="16" spans="1:32" s="2" customFormat="1" x14ac:dyDescent="0.3">
      <c r="A16"/>
      <c r="B16" t="s">
        <v>20</v>
      </c>
      <c r="C16" s="2">
        <v>5025</v>
      </c>
      <c r="D16" s="2">
        <v>5184</v>
      </c>
      <c r="E16" s="2">
        <v>5316</v>
      </c>
      <c r="F16" s="2">
        <v>6005</v>
      </c>
      <c r="G16" s="2">
        <v>5146</v>
      </c>
      <c r="H16" s="2">
        <v>5391</v>
      </c>
      <c r="I16" s="2">
        <v>5486</v>
      </c>
      <c r="J16" s="2">
        <v>6000</v>
      </c>
      <c r="K16" s="2">
        <v>4591</v>
      </c>
      <c r="T16" s="2">
        <f t="shared" si="0"/>
        <v>21530</v>
      </c>
      <c r="U16" s="2">
        <f t="shared" si="1"/>
        <v>22023</v>
      </c>
    </row>
    <row r="17" spans="1:23" s="2" customFormat="1" x14ac:dyDescent="0.3">
      <c r="A17"/>
      <c r="B17" t="s">
        <v>21</v>
      </c>
      <c r="C17" s="2">
        <v>583</v>
      </c>
      <c r="D17" s="2">
        <v>594</v>
      </c>
      <c r="E17" s="2">
        <v>616</v>
      </c>
      <c r="F17" s="2">
        <v>622</v>
      </c>
      <c r="G17" s="2">
        <v>618</v>
      </c>
      <c r="H17" s="2">
        <v>626</v>
      </c>
      <c r="I17" s="2">
        <v>639</v>
      </c>
      <c r="J17" s="2">
        <v>646</v>
      </c>
      <c r="K17" s="2">
        <v>655</v>
      </c>
      <c r="T17" s="2">
        <f t="shared" si="0"/>
        <v>2415</v>
      </c>
      <c r="U17" s="2">
        <f t="shared" si="1"/>
        <v>2529</v>
      </c>
    </row>
    <row r="18" spans="1:23" s="4" customFormat="1" x14ac:dyDescent="0.3">
      <c r="A18" s="3"/>
      <c r="B18" s="3" t="s">
        <v>22</v>
      </c>
      <c r="C18" s="4">
        <f t="shared" ref="C18:J18" si="7">SUM(C16:C17)</f>
        <v>5608</v>
      </c>
      <c r="D18" s="4">
        <f t="shared" si="7"/>
        <v>5778</v>
      </c>
      <c r="E18" s="4">
        <f t="shared" si="7"/>
        <v>5932</v>
      </c>
      <c r="F18" s="4">
        <f t="shared" si="7"/>
        <v>6627</v>
      </c>
      <c r="G18" s="4">
        <f t="shared" si="7"/>
        <v>5764</v>
      </c>
      <c r="H18" s="4">
        <f t="shared" si="7"/>
        <v>6017</v>
      </c>
      <c r="I18" s="4">
        <f t="shared" si="7"/>
        <v>6125</v>
      </c>
      <c r="J18" s="4">
        <f t="shared" si="7"/>
        <v>6646</v>
      </c>
      <c r="K18" s="4">
        <f>SUM(K16:K17)</f>
        <v>5246</v>
      </c>
      <c r="T18" s="4">
        <f t="shared" ref="T18:U18" si="8">SUM(T16:T17)</f>
        <v>23945</v>
      </c>
      <c r="U18" s="4">
        <f t="shared" si="8"/>
        <v>24552</v>
      </c>
    </row>
    <row r="19" spans="1:23" s="4" customFormat="1" x14ac:dyDescent="0.3">
      <c r="A19" s="3"/>
      <c r="B19" s="3" t="s">
        <v>23</v>
      </c>
      <c r="C19" s="4">
        <f t="shared" ref="C19:J19" si="9">C15-C18</f>
        <v>1328</v>
      </c>
      <c r="D19" s="4">
        <f t="shared" si="9"/>
        <v>1197</v>
      </c>
      <c r="E19" s="4">
        <f t="shared" si="9"/>
        <v>1317</v>
      </c>
      <c r="F19" s="4">
        <f t="shared" si="9"/>
        <v>1865</v>
      </c>
      <c r="G19" s="4">
        <f t="shared" si="9"/>
        <v>1296</v>
      </c>
      <c r="H19" s="4">
        <f t="shared" si="9"/>
        <v>1636</v>
      </c>
      <c r="I19" s="4">
        <f t="shared" si="9"/>
        <v>1168</v>
      </c>
      <c r="J19" s="4">
        <f t="shared" si="9"/>
        <v>1467</v>
      </c>
      <c r="K19" s="4">
        <f>K15-K18</f>
        <v>1472</v>
      </c>
      <c r="T19" s="4">
        <f t="shared" ref="T19:U19" si="10">T15-T18</f>
        <v>5707</v>
      </c>
      <c r="U19" s="4">
        <f t="shared" si="10"/>
        <v>5567</v>
      </c>
    </row>
    <row r="20" spans="1:23" s="2" customFormat="1" x14ac:dyDescent="0.3">
      <c r="A20"/>
      <c r="B20" t="s">
        <v>24</v>
      </c>
      <c r="C20" s="2">
        <f>147-23</f>
        <v>124</v>
      </c>
      <c r="D20" s="2">
        <f>141-16</f>
        <v>125</v>
      </c>
      <c r="E20" s="2">
        <f>107-25</f>
        <v>82</v>
      </c>
      <c r="F20" s="2">
        <f>107-28</f>
        <v>79</v>
      </c>
      <c r="G20" s="2">
        <f>106-29</f>
        <v>77</v>
      </c>
      <c r="H20" s="2">
        <f>110-20</f>
        <v>90</v>
      </c>
      <c r="I20" s="2">
        <f>105-28</f>
        <v>77</v>
      </c>
      <c r="J20" s="2">
        <f>90-29</f>
        <v>61</v>
      </c>
      <c r="K20" s="2">
        <f>116-26</f>
        <v>90</v>
      </c>
      <c r="T20" s="2">
        <f t="shared" si="0"/>
        <v>410</v>
      </c>
      <c r="U20" s="2">
        <f t="shared" si="1"/>
        <v>305</v>
      </c>
    </row>
    <row r="21" spans="1:23" s="4" customFormat="1" x14ac:dyDescent="0.3">
      <c r="A21" s="3"/>
      <c r="B21" s="3" t="s">
        <v>25</v>
      </c>
      <c r="C21" s="4">
        <f t="shared" ref="C21:J21" si="11">C19-C20</f>
        <v>1204</v>
      </c>
      <c r="D21" s="4">
        <f t="shared" si="11"/>
        <v>1072</v>
      </c>
      <c r="E21" s="4">
        <f t="shared" si="11"/>
        <v>1235</v>
      </c>
      <c r="F21" s="4">
        <f t="shared" si="11"/>
        <v>1786</v>
      </c>
      <c r="G21" s="4">
        <f t="shared" si="11"/>
        <v>1219</v>
      </c>
      <c r="H21" s="4">
        <f t="shared" si="11"/>
        <v>1546</v>
      </c>
      <c r="I21" s="4">
        <f t="shared" si="11"/>
        <v>1091</v>
      </c>
      <c r="J21" s="4">
        <f t="shared" si="11"/>
        <v>1406</v>
      </c>
      <c r="K21" s="4">
        <f>K19-K20</f>
        <v>1382</v>
      </c>
      <c r="T21" s="4">
        <f t="shared" ref="T21:U21" si="12">T19-T20</f>
        <v>5297</v>
      </c>
      <c r="U21" s="4">
        <f t="shared" si="12"/>
        <v>5262</v>
      </c>
    </row>
    <row r="22" spans="1:23" s="2" customFormat="1" x14ac:dyDescent="0.3">
      <c r="A22"/>
      <c r="B22" t="s">
        <v>26</v>
      </c>
      <c r="C22" s="2">
        <v>254</v>
      </c>
      <c r="D22" s="2">
        <v>237</v>
      </c>
      <c r="E22" s="2">
        <v>264</v>
      </c>
      <c r="F22" s="2">
        <v>404</v>
      </c>
      <c r="G22" s="2">
        <v>277</v>
      </c>
      <c r="H22" s="2">
        <v>353</v>
      </c>
      <c r="I22" s="2">
        <v>237</v>
      </c>
      <c r="J22" s="2">
        <v>303</v>
      </c>
      <c r="K22" s="2">
        <v>346</v>
      </c>
      <c r="T22" s="2">
        <f t="shared" si="0"/>
        <v>1159</v>
      </c>
      <c r="U22" s="2">
        <f t="shared" si="1"/>
        <v>1170</v>
      </c>
    </row>
    <row r="23" spans="1:23" s="4" customFormat="1" x14ac:dyDescent="0.3">
      <c r="A23" s="3"/>
      <c r="B23" s="3" t="s">
        <v>27</v>
      </c>
      <c r="C23" s="4">
        <f t="shared" ref="C23:J23" si="13">+C21-C22</f>
        <v>950</v>
      </c>
      <c r="D23" s="4">
        <f t="shared" si="13"/>
        <v>835</v>
      </c>
      <c r="E23" s="4">
        <f t="shared" si="13"/>
        <v>971</v>
      </c>
      <c r="F23" s="4">
        <f t="shared" si="13"/>
        <v>1382</v>
      </c>
      <c r="G23" s="4">
        <f t="shared" si="13"/>
        <v>942</v>
      </c>
      <c r="H23" s="4">
        <f t="shared" si="13"/>
        <v>1193</v>
      </c>
      <c r="I23" s="4">
        <f t="shared" si="13"/>
        <v>854</v>
      </c>
      <c r="J23" s="4">
        <f t="shared" si="13"/>
        <v>1103</v>
      </c>
      <c r="K23" s="4">
        <f>+K21-K22</f>
        <v>1036</v>
      </c>
      <c r="T23" s="4">
        <f t="shared" ref="T23:U23" si="14">+T21-T22</f>
        <v>4138</v>
      </c>
      <c r="U23" s="4">
        <f t="shared" si="14"/>
        <v>4092</v>
      </c>
      <c r="V23" s="4">
        <v>3560</v>
      </c>
      <c r="W23" s="4">
        <v>3730</v>
      </c>
    </row>
    <row r="24" spans="1:23" s="2" customFormat="1" x14ac:dyDescent="0.3">
      <c r="A24"/>
      <c r="B24" t="s">
        <v>3</v>
      </c>
      <c r="C24" s="2">
        <v>460.9</v>
      </c>
      <c r="D24" s="2">
        <v>461.6</v>
      </c>
      <c r="E24" s="2">
        <v>461.6</v>
      </c>
      <c r="F24" s="2">
        <v>461.7</v>
      </c>
      <c r="G24" s="2">
        <v>462.2</v>
      </c>
      <c r="H24" s="2">
        <v>462.5</v>
      </c>
      <c r="I24" s="2">
        <v>460.1</v>
      </c>
      <c r="J24" s="2">
        <v>456.8</v>
      </c>
      <c r="K24" s="2">
        <v>455</v>
      </c>
      <c r="T24" s="2">
        <v>461.7</v>
      </c>
      <c r="U24" s="2">
        <v>456.8</v>
      </c>
    </row>
    <row r="25" spans="1:23" s="5" customFormat="1" x14ac:dyDescent="0.3">
      <c r="B25" s="6" t="s">
        <v>28</v>
      </c>
      <c r="C25" s="5">
        <f t="shared" ref="C25:J25" si="15">C23/C24</f>
        <v>2.0611846387502712</v>
      </c>
      <c r="D25" s="5">
        <f t="shared" si="15"/>
        <v>1.8089254766031195</v>
      </c>
      <c r="E25" s="5">
        <f t="shared" si="15"/>
        <v>2.1035528596187172</v>
      </c>
      <c r="F25" s="5">
        <f t="shared" si="15"/>
        <v>2.9932856833441628</v>
      </c>
      <c r="G25" s="5">
        <f t="shared" si="15"/>
        <v>2.0380787537862397</v>
      </c>
      <c r="H25" s="5">
        <f t="shared" si="15"/>
        <v>2.5794594594594593</v>
      </c>
      <c r="I25" s="5">
        <f t="shared" si="15"/>
        <v>1.8561182351662682</v>
      </c>
      <c r="J25" s="5">
        <f t="shared" si="15"/>
        <v>2.4146234676007006</v>
      </c>
      <c r="K25" s="5">
        <f>K23/K24</f>
        <v>2.2769230769230768</v>
      </c>
      <c r="T25" s="5">
        <f t="shared" ref="T25:U25" si="16">T23/T24</f>
        <v>8.9625297812432319</v>
      </c>
      <c r="U25" s="5">
        <f t="shared" si="16"/>
        <v>8.9579684763572676</v>
      </c>
    </row>
    <row r="26" spans="1:23" s="5" customFormat="1" x14ac:dyDescent="0.3">
      <c r="B26" s="6"/>
    </row>
    <row r="27" spans="1:23" s="7" customFormat="1" x14ac:dyDescent="0.3">
      <c r="B27" s="7" t="s">
        <v>80</v>
      </c>
      <c r="C27" s="7">
        <f t="shared" ref="C27:J27" si="17">C15/C13</f>
        <v>0.27391201326909409</v>
      </c>
      <c r="D27" s="7">
        <f t="shared" si="17"/>
        <v>0.28155653332256891</v>
      </c>
      <c r="E27" s="7">
        <f t="shared" si="17"/>
        <v>0.2854161745019293</v>
      </c>
      <c r="F27" s="7">
        <f t="shared" si="17"/>
        <v>0.26604843510135029</v>
      </c>
      <c r="G27" s="7">
        <f t="shared" si="17"/>
        <v>0.28779911132852309</v>
      </c>
      <c r="H27" s="7">
        <f t="shared" si="17"/>
        <v>0.30068363979255069</v>
      </c>
      <c r="I27" s="7">
        <f t="shared" si="17"/>
        <v>0.28412809724170174</v>
      </c>
      <c r="J27" s="7">
        <f t="shared" si="17"/>
        <v>0.2624292414685428</v>
      </c>
      <c r="K27" s="7">
        <f>K15/K13</f>
        <v>0.28172439822192402</v>
      </c>
      <c r="T27" s="7">
        <f t="shared" ref="T27:U27" si="18">T15/T13</f>
        <v>0.27605854094514581</v>
      </c>
      <c r="U27" s="7">
        <f t="shared" si="18"/>
        <v>0.28263235928907909</v>
      </c>
    </row>
    <row r="28" spans="1:23" s="7" customFormat="1" x14ac:dyDescent="0.3">
      <c r="B28" s="7" t="s">
        <v>81</v>
      </c>
      <c r="C28" s="7">
        <f t="shared" ref="C28:J28" si="19">C19/C13</f>
        <v>5.2444514651291366E-2</v>
      </c>
      <c r="D28" s="7">
        <f t="shared" si="19"/>
        <v>4.8318734105679571E-2</v>
      </c>
      <c r="E28" s="7">
        <f t="shared" si="19"/>
        <v>5.1854476730451217E-2</v>
      </c>
      <c r="F28" s="7">
        <f t="shared" si="19"/>
        <v>5.8429148782856606E-2</v>
      </c>
      <c r="G28" s="7">
        <f t="shared" si="19"/>
        <v>5.2831111654641064E-2</v>
      </c>
      <c r="H28" s="7">
        <f t="shared" si="19"/>
        <v>6.4277856357064275E-2</v>
      </c>
      <c r="I28" s="7">
        <f t="shared" si="19"/>
        <v>4.5504129655602306E-2</v>
      </c>
      <c r="J28" s="7">
        <f t="shared" si="19"/>
        <v>4.7452692867540031E-2</v>
      </c>
      <c r="K28" s="7">
        <f>K19/K13</f>
        <v>6.1729430512454921E-2</v>
      </c>
      <c r="T28" s="7">
        <f t="shared" ref="T28:U28" si="20">T19/T13</f>
        <v>5.3131866085725989E-2</v>
      </c>
      <c r="U28" s="7">
        <f t="shared" si="20"/>
        <v>5.223992643056885E-2</v>
      </c>
    </row>
    <row r="29" spans="1:23" s="7" customFormat="1" x14ac:dyDescent="0.3">
      <c r="B29" s="7" t="s">
        <v>84</v>
      </c>
      <c r="C29" s="7">
        <f t="shared" ref="C29:J29" si="21">C16/C15</f>
        <v>0.72448096885813151</v>
      </c>
      <c r="D29" s="7">
        <f t="shared" si="21"/>
        <v>0.74322580645161296</v>
      </c>
      <c r="E29" s="7">
        <f t="shared" si="21"/>
        <v>0.73334253000413852</v>
      </c>
      <c r="F29" s="7">
        <f t="shared" si="21"/>
        <v>0.70713612812058413</v>
      </c>
      <c r="G29" s="7">
        <f t="shared" si="21"/>
        <v>0.72889518413597731</v>
      </c>
      <c r="H29" s="7">
        <f t="shared" si="21"/>
        <v>0.70442963543708348</v>
      </c>
      <c r="I29" s="7">
        <f t="shared" si="21"/>
        <v>0.75222816399286985</v>
      </c>
      <c r="J29" s="7">
        <f t="shared" si="21"/>
        <v>0.73955380253913472</v>
      </c>
      <c r="K29" s="7">
        <f>K16/K15</f>
        <v>0.68338791306936586</v>
      </c>
      <c r="T29" s="7">
        <f t="shared" ref="T29:U29" si="22">T16/T15</f>
        <v>0.72608930257655468</v>
      </c>
      <c r="U29" s="7">
        <f t="shared" si="22"/>
        <v>0.73119957501909094</v>
      </c>
    </row>
    <row r="30" spans="1:23" s="7" customFormat="1" x14ac:dyDescent="0.3">
      <c r="B30" s="7" t="s">
        <v>82</v>
      </c>
      <c r="C30" s="7">
        <f t="shared" ref="C30:J30" si="23">C20/C19</f>
        <v>9.337349397590361E-2</v>
      </c>
      <c r="D30" s="7">
        <f t="shared" si="23"/>
        <v>0.10442773600668337</v>
      </c>
      <c r="E30" s="7">
        <f t="shared" si="23"/>
        <v>6.2262718299164771E-2</v>
      </c>
      <c r="F30" s="7">
        <f t="shared" si="23"/>
        <v>4.2359249329758715E-2</v>
      </c>
      <c r="G30" s="7">
        <f t="shared" si="23"/>
        <v>5.941358024691358E-2</v>
      </c>
      <c r="H30" s="7">
        <f t="shared" si="23"/>
        <v>5.5012224938875302E-2</v>
      </c>
      <c r="I30" s="7">
        <f t="shared" si="23"/>
        <v>6.5924657534246575E-2</v>
      </c>
      <c r="J30" s="7">
        <f t="shared" si="23"/>
        <v>4.1581458759372872E-2</v>
      </c>
      <c r="K30" s="7">
        <f>K20/K19</f>
        <v>6.1141304347826088E-2</v>
      </c>
      <c r="T30" s="7">
        <f t="shared" ref="T30:U30" si="24">T20/T19</f>
        <v>7.1841598037497803E-2</v>
      </c>
      <c r="U30" s="7">
        <f t="shared" si="24"/>
        <v>5.4787138494700918E-2</v>
      </c>
    </row>
    <row r="31" spans="1:23" s="7" customFormat="1" x14ac:dyDescent="0.3">
      <c r="B31" s="7" t="s">
        <v>83</v>
      </c>
      <c r="C31" s="7">
        <f t="shared" ref="C31:J31" si="25">C22/C21</f>
        <v>0.21096345514950166</v>
      </c>
      <c r="D31" s="7">
        <f t="shared" si="25"/>
        <v>0.22108208955223882</v>
      </c>
      <c r="E31" s="7">
        <f t="shared" si="25"/>
        <v>0.21376518218623483</v>
      </c>
      <c r="F31" s="7">
        <f t="shared" si="25"/>
        <v>0.22620380739081747</v>
      </c>
      <c r="G31" s="7">
        <f t="shared" si="25"/>
        <v>0.22723543888433143</v>
      </c>
      <c r="H31" s="7">
        <f t="shared" si="25"/>
        <v>0.22833117723156532</v>
      </c>
      <c r="I31" s="7">
        <f t="shared" si="25"/>
        <v>0.21723189734188816</v>
      </c>
      <c r="J31" s="7">
        <f t="shared" si="25"/>
        <v>0.21550497866287341</v>
      </c>
      <c r="K31" s="7">
        <f>K22/K21</f>
        <v>0.2503617945007236</v>
      </c>
      <c r="T31" s="7">
        <f t="shared" ref="T31:U31" si="26">T22/T21</f>
        <v>0.21880309609212761</v>
      </c>
      <c r="U31" s="7">
        <f t="shared" si="26"/>
        <v>0.22234891676168758</v>
      </c>
    </row>
    <row r="32" spans="1:23" s="7" customFormat="1" x14ac:dyDescent="0.3">
      <c r="B32" s="7" t="s">
        <v>85</v>
      </c>
      <c r="C32" s="7">
        <f t="shared" ref="C32:J32" si="27">C23/C13</f>
        <v>3.7516783824342467E-2</v>
      </c>
      <c r="D32" s="7">
        <f t="shared" si="27"/>
        <v>3.3706050942558428E-2</v>
      </c>
      <c r="E32" s="7">
        <f t="shared" si="27"/>
        <v>3.8231356799748012E-2</v>
      </c>
      <c r="F32" s="7">
        <f t="shared" si="27"/>
        <v>4.3297095773677123E-2</v>
      </c>
      <c r="G32" s="7">
        <f t="shared" si="27"/>
        <v>3.8400391341567815E-2</v>
      </c>
      <c r="H32" s="7">
        <f t="shared" si="27"/>
        <v>4.6872544397296871E-2</v>
      </c>
      <c r="I32" s="7">
        <f t="shared" si="27"/>
        <v>3.327099890914758E-2</v>
      </c>
      <c r="J32" s="7">
        <f t="shared" si="27"/>
        <v>3.5678473233058387E-2</v>
      </c>
      <c r="K32" s="7">
        <f>K23/K13</f>
        <v>4.3445441583494088E-2</v>
      </c>
      <c r="T32" s="7">
        <f t="shared" ref="T32:U32" si="28">T23/T13</f>
        <v>3.8524559639518861E-2</v>
      </c>
      <c r="U32" s="7">
        <f t="shared" si="28"/>
        <v>3.8398738809751705E-2</v>
      </c>
    </row>
    <row r="33" spans="2:23" s="5" customFormat="1" x14ac:dyDescent="0.3"/>
    <row r="34" spans="2:23" s="3" customFormat="1" x14ac:dyDescent="0.3">
      <c r="B34" s="6" t="s">
        <v>86</v>
      </c>
      <c r="G34" s="9">
        <f t="shared" ref="G34:J34" si="29">G13/C13-1</f>
        <v>-3.1237658952689373E-2</v>
      </c>
      <c r="H34" s="9">
        <f t="shared" si="29"/>
        <v>2.7408872562870945E-2</v>
      </c>
      <c r="I34" s="9">
        <f t="shared" si="29"/>
        <v>1.0630758327427436E-2</v>
      </c>
      <c r="J34" s="9">
        <f t="shared" si="29"/>
        <v>-3.145461950562356E-2</v>
      </c>
      <c r="K34" s="9">
        <f>K13/G13-1</f>
        <v>-2.792385145326326E-2</v>
      </c>
      <c r="R34" s="9">
        <f t="shared" ref="R34:T34" si="30">R13/Q13-1</f>
        <v>9.7763048881524428E-2</v>
      </c>
      <c r="S34" s="9">
        <f t="shared" si="30"/>
        <v>2.9433962264150848E-2</v>
      </c>
      <c r="T34" s="9">
        <f t="shared" si="30"/>
        <v>-1.5652492668621676E-2</v>
      </c>
      <c r="U34" s="9">
        <f>U13/T13-1</f>
        <v>-7.876214948050464E-3</v>
      </c>
      <c r="V34" s="9">
        <f t="shared" ref="V34:W34" si="31">V13/U13-1</f>
        <v>-1.5727342679653922E-2</v>
      </c>
      <c r="W34" s="9">
        <f t="shared" si="31"/>
        <v>2.2404423681952501E-2</v>
      </c>
    </row>
    <row r="35" spans="2:23" x14ac:dyDescent="0.3">
      <c r="B35" s="8" t="s">
        <v>87</v>
      </c>
    </row>
    <row r="36" spans="2:23" s="7" customFormat="1" x14ac:dyDescent="0.3">
      <c r="B36" s="7" t="s">
        <v>29</v>
      </c>
      <c r="G36" s="7">
        <f t="shared" ref="G36:J45" si="32">G3/C3-1</f>
        <v>-1.7645576002016661E-2</v>
      </c>
      <c r="H36" s="7">
        <f t="shared" si="32"/>
        <v>3.9014874420872925E-2</v>
      </c>
      <c r="I36" s="7">
        <f t="shared" si="32"/>
        <v>-9.9825305714995594E-4</v>
      </c>
      <c r="J36" s="7">
        <f t="shared" si="32"/>
        <v>-1.4965986394557818E-2</v>
      </c>
      <c r="K36" s="7">
        <f>K3/G3-1</f>
        <v>-4.7729022324865311E-2</v>
      </c>
    </row>
    <row r="37" spans="2:23" s="7" customFormat="1" x14ac:dyDescent="0.3">
      <c r="B37" s="7" t="s">
        <v>30</v>
      </c>
      <c r="G37" s="7">
        <f t="shared" si="32"/>
        <v>3.4151193633952248E-2</v>
      </c>
      <c r="H37" s="7">
        <f t="shared" si="32"/>
        <v>9.6920583468395494E-2</v>
      </c>
      <c r="I37" s="7">
        <f t="shared" si="32"/>
        <v>7.0693660803186287E-2</v>
      </c>
      <c r="J37" s="7">
        <f t="shared" si="32"/>
        <v>5.8411214953271173E-3</v>
      </c>
      <c r="K37" s="7">
        <f t="shared" ref="K37:K45" si="33">K4/G4-1</f>
        <v>-5.7710804745110256E-3</v>
      </c>
    </row>
    <row r="38" spans="2:23" s="7" customFormat="1" x14ac:dyDescent="0.3">
      <c r="B38" s="7" t="s">
        <v>31</v>
      </c>
      <c r="G38" s="7">
        <f t="shared" si="32"/>
        <v>-2.4012006003001463E-2</v>
      </c>
      <c r="H38" s="7">
        <f t="shared" si="32"/>
        <v>2.7077151335311633E-2</v>
      </c>
      <c r="I38" s="7">
        <f t="shared" si="32"/>
        <v>3.1555090655509099E-2</v>
      </c>
      <c r="J38" s="7">
        <f t="shared" si="32"/>
        <v>-3.7496309418364349E-2</v>
      </c>
      <c r="K38" s="7">
        <f t="shared" si="33"/>
        <v>8.3717751580385524E-3</v>
      </c>
    </row>
    <row r="39" spans="2:23" s="7" customFormat="1" x14ac:dyDescent="0.3">
      <c r="B39" s="7" t="s">
        <v>32</v>
      </c>
      <c r="G39" s="7">
        <f t="shared" si="32"/>
        <v>-6.8121498083161258E-2</v>
      </c>
      <c r="H39" s="7">
        <f t="shared" si="32"/>
        <v>-1.8031333136269589E-2</v>
      </c>
      <c r="I39" s="7">
        <f t="shared" si="32"/>
        <v>-1.253132832080206E-2</v>
      </c>
      <c r="J39" s="7">
        <f t="shared" si="32"/>
        <v>-7.4241446094254204E-3</v>
      </c>
      <c r="K39" s="7">
        <f t="shared" si="33"/>
        <v>-2.7215189873417756E-2</v>
      </c>
    </row>
    <row r="40" spans="2:23" s="7" customFormat="1" x14ac:dyDescent="0.3">
      <c r="B40" s="7" t="s">
        <v>33</v>
      </c>
      <c r="G40" s="7">
        <f t="shared" si="32"/>
        <v>-8.7159533073929985E-2</v>
      </c>
      <c r="H40" s="7">
        <f t="shared" si="32"/>
        <v>-1.188369152970925E-2</v>
      </c>
      <c r="I40" s="7">
        <f t="shared" si="32"/>
        <v>-5.3167420814479671E-2</v>
      </c>
      <c r="J40" s="7">
        <f t="shared" si="32"/>
        <v>-8.0108499095840835E-2</v>
      </c>
      <c r="K40" s="7">
        <f t="shared" si="33"/>
        <v>-8.496732026143794E-2</v>
      </c>
    </row>
    <row r="41" spans="2:23" s="7" customFormat="1" x14ac:dyDescent="0.3">
      <c r="B41" s="7" t="s">
        <v>34</v>
      </c>
      <c r="G41" s="7">
        <f t="shared" si="32"/>
        <v>-2.5075010715816526E-2</v>
      </c>
      <c r="H41" s="7">
        <f t="shared" si="32"/>
        <v>3.0713640469738124E-2</v>
      </c>
      <c r="I41" s="7">
        <f t="shared" si="32"/>
        <v>2.3664785062961435E-2</v>
      </c>
      <c r="J41" s="7">
        <f t="shared" si="32"/>
        <v>-5.1525961157352307E-2</v>
      </c>
      <c r="K41" s="7">
        <f t="shared" si="33"/>
        <v>-4.2207078478786575E-2</v>
      </c>
    </row>
    <row r="42" spans="2:23" s="7" customFormat="1" x14ac:dyDescent="0.3">
      <c r="B42" s="7" t="s">
        <v>35</v>
      </c>
      <c r="G42" s="7">
        <f t="shared" si="32"/>
        <v>-0.1785714285714286</v>
      </c>
      <c r="H42" s="7">
        <f t="shared" si="32"/>
        <v>0.10000000000000009</v>
      </c>
      <c r="I42" s="7">
        <f t="shared" si="32"/>
        <v>0</v>
      </c>
      <c r="J42" s="7">
        <f t="shared" si="32"/>
        <v>0.11494252873563227</v>
      </c>
      <c r="K42" s="7">
        <f t="shared" si="33"/>
        <v>-0.13043478260869568</v>
      </c>
    </row>
    <row r="43" spans="2:23" s="7" customFormat="1" x14ac:dyDescent="0.3">
      <c r="B43" s="7" t="s">
        <v>36</v>
      </c>
      <c r="J43" s="7">
        <f t="shared" si="32"/>
        <v>0.13772455089820368</v>
      </c>
      <c r="K43" s="7">
        <f t="shared" si="33"/>
        <v>0.25384615384615383</v>
      </c>
    </row>
    <row r="44" spans="2:23" s="7" customFormat="1" x14ac:dyDescent="0.3">
      <c r="B44" s="7" t="s">
        <v>37</v>
      </c>
      <c r="G44" s="7">
        <f t="shared" si="32"/>
        <v>-0.18390804597701149</v>
      </c>
      <c r="H44" s="7">
        <f t="shared" si="32"/>
        <v>-0.14792899408284022</v>
      </c>
      <c r="I44" s="7">
        <f t="shared" si="32"/>
        <v>-0.10303030303030303</v>
      </c>
      <c r="J44" s="7">
        <f t="shared" si="32"/>
        <v>-0.10691823899371067</v>
      </c>
      <c r="K44" s="7">
        <f t="shared" si="33"/>
        <v>-7.0422535211267512E-3</v>
      </c>
    </row>
    <row r="45" spans="2:23" s="7" customFormat="1" x14ac:dyDescent="0.3">
      <c r="B45" s="7" t="s">
        <v>38</v>
      </c>
      <c r="G45" s="7">
        <f t="shared" si="32"/>
        <v>-0.42000000000000004</v>
      </c>
      <c r="H45" s="7">
        <f t="shared" si="32"/>
        <v>0.30454545454545445</v>
      </c>
      <c r="I45" s="7">
        <f t="shared" si="32"/>
        <v>0.27510917030567694</v>
      </c>
      <c r="J45" s="7">
        <f t="shared" si="32"/>
        <v>0.23015873015873023</v>
      </c>
      <c r="K45" s="7">
        <f t="shared" si="33"/>
        <v>0.18103448275862077</v>
      </c>
    </row>
    <row r="46" spans="2:23" x14ac:dyDescent="0.3">
      <c r="B46" s="5"/>
    </row>
    <row r="47" spans="2:23" x14ac:dyDescent="0.3">
      <c r="B47" s="5"/>
    </row>
    <row r="49" spans="1:11" s="2" customFormat="1" x14ac:dyDescent="0.3">
      <c r="A49"/>
      <c r="B49" t="s">
        <v>44</v>
      </c>
      <c r="C49" s="2">
        <f t="shared" ref="C49:J49" si="34">C50-C59-C60</f>
        <v>-14889</v>
      </c>
      <c r="D49" s="2">
        <f t="shared" si="34"/>
        <v>-14415</v>
      </c>
      <c r="E49" s="2">
        <f t="shared" si="34"/>
        <v>-14085</v>
      </c>
      <c r="F49" s="2">
        <f t="shared" si="34"/>
        <v>-12233</v>
      </c>
      <c r="G49" s="2">
        <f t="shared" si="34"/>
        <v>-12497</v>
      </c>
      <c r="H49" s="2">
        <f t="shared" si="34"/>
        <v>-11797</v>
      </c>
      <c r="I49" s="2">
        <f t="shared" si="34"/>
        <v>-12548</v>
      </c>
      <c r="J49" s="2">
        <f t="shared" si="34"/>
        <v>-11178</v>
      </c>
      <c r="K49" s="2">
        <f>K50-K59-K60</f>
        <v>-12586</v>
      </c>
    </row>
    <row r="50" spans="1:11" s="2" customFormat="1" x14ac:dyDescent="0.3">
      <c r="A50"/>
      <c r="B50" t="s">
        <v>43</v>
      </c>
      <c r="C50" s="2">
        <v>1321</v>
      </c>
      <c r="D50" s="2">
        <v>1617</v>
      </c>
      <c r="E50" s="2">
        <v>1910</v>
      </c>
      <c r="F50" s="2">
        <v>3805</v>
      </c>
      <c r="G50" s="2">
        <v>3604</v>
      </c>
      <c r="H50" s="2">
        <v>3497</v>
      </c>
      <c r="I50" s="2">
        <v>3433</v>
      </c>
      <c r="J50" s="2">
        <v>4762</v>
      </c>
      <c r="K50" s="2">
        <v>2887</v>
      </c>
    </row>
    <row r="51" spans="1:11" s="2" customFormat="1" x14ac:dyDescent="0.3">
      <c r="A51"/>
      <c r="B51" t="s">
        <v>45</v>
      </c>
      <c r="C51" s="2">
        <v>12616</v>
      </c>
      <c r="D51" s="2">
        <v>12684</v>
      </c>
      <c r="E51" s="2">
        <v>14731</v>
      </c>
      <c r="F51" s="2">
        <v>11886</v>
      </c>
      <c r="G51" s="2">
        <v>11730</v>
      </c>
      <c r="H51" s="2">
        <v>12604</v>
      </c>
      <c r="I51" s="2">
        <v>15165</v>
      </c>
      <c r="J51" s="2">
        <v>12740</v>
      </c>
      <c r="K51" s="2">
        <v>13048</v>
      </c>
    </row>
    <row r="52" spans="1:11" s="2" customFormat="1" x14ac:dyDescent="0.3">
      <c r="A52"/>
      <c r="B52" t="s">
        <v>46</v>
      </c>
      <c r="C52" s="2">
        <v>1836</v>
      </c>
      <c r="D52" s="2">
        <v>1797</v>
      </c>
      <c r="E52" s="2">
        <v>1958</v>
      </c>
      <c r="F52" s="2">
        <v>1807</v>
      </c>
      <c r="G52" s="2">
        <v>1744</v>
      </c>
      <c r="H52" s="2">
        <v>1817</v>
      </c>
      <c r="I52" s="2">
        <v>1956</v>
      </c>
      <c r="J52" s="2">
        <v>1952</v>
      </c>
      <c r="K52" s="2">
        <v>1824</v>
      </c>
    </row>
    <row r="53" spans="1:11" s="2" customFormat="1" x14ac:dyDescent="0.3">
      <c r="A53"/>
      <c r="B53" t="s">
        <v>47</v>
      </c>
      <c r="C53" s="2">
        <v>32396</v>
      </c>
      <c r="D53" s="2">
        <v>32947</v>
      </c>
      <c r="E53" s="2">
        <v>33168</v>
      </c>
      <c r="F53" s="2">
        <v>33096</v>
      </c>
      <c r="G53" s="2">
        <v>33114</v>
      </c>
      <c r="H53" s="2">
        <v>33075</v>
      </c>
      <c r="I53" s="2">
        <v>32931</v>
      </c>
      <c r="J53" s="2">
        <v>33022</v>
      </c>
      <c r="K53" s="2">
        <v>33182</v>
      </c>
    </row>
    <row r="54" spans="1:11" s="2" customFormat="1" x14ac:dyDescent="0.3">
      <c r="A54"/>
      <c r="B54" t="s">
        <v>48</v>
      </c>
      <c r="C54" s="2">
        <v>2640</v>
      </c>
      <c r="D54" s="2">
        <v>2840</v>
      </c>
      <c r="E54" s="2">
        <v>3086</v>
      </c>
      <c r="F54" s="2">
        <v>3362</v>
      </c>
      <c r="G54" s="2">
        <v>3486</v>
      </c>
      <c r="H54" s="2">
        <v>3545</v>
      </c>
      <c r="I54" s="2">
        <v>3513</v>
      </c>
      <c r="J54" s="2">
        <v>3763</v>
      </c>
      <c r="K54" s="2">
        <v>3739</v>
      </c>
    </row>
    <row r="55" spans="1:11" s="2" customFormat="1" x14ac:dyDescent="0.3">
      <c r="A55"/>
      <c r="B55" t="s">
        <v>49</v>
      </c>
      <c r="C55" s="2">
        <v>1341</v>
      </c>
      <c r="D55" s="2">
        <v>1321</v>
      </c>
      <c r="E55" s="2">
        <v>1376</v>
      </c>
      <c r="F55" s="2">
        <v>1400</v>
      </c>
      <c r="G55" s="2">
        <v>1439</v>
      </c>
      <c r="H55" s="2">
        <v>1457</v>
      </c>
      <c r="I55" s="2">
        <v>1533</v>
      </c>
      <c r="J55" s="2">
        <v>1530</v>
      </c>
      <c r="K55" s="2">
        <v>1505</v>
      </c>
    </row>
    <row r="56" spans="1:11" s="4" customFormat="1" x14ac:dyDescent="0.3">
      <c r="A56" s="3"/>
      <c r="B56" s="3" t="s">
        <v>50</v>
      </c>
      <c r="C56" s="4">
        <f t="shared" ref="C56:J56" si="35">SUM(C50:C55)</f>
        <v>52150</v>
      </c>
      <c r="D56" s="4">
        <f t="shared" si="35"/>
        <v>53206</v>
      </c>
      <c r="E56" s="4">
        <f t="shared" si="35"/>
        <v>56229</v>
      </c>
      <c r="F56" s="4">
        <f t="shared" si="35"/>
        <v>55356</v>
      </c>
      <c r="G56" s="4">
        <f t="shared" si="35"/>
        <v>55117</v>
      </c>
      <c r="H56" s="4">
        <f t="shared" si="35"/>
        <v>55995</v>
      </c>
      <c r="I56" s="4">
        <f t="shared" si="35"/>
        <v>58531</v>
      </c>
      <c r="J56" s="4">
        <f t="shared" si="35"/>
        <v>57769</v>
      </c>
      <c r="K56" s="4">
        <f>SUM(K50:K55)</f>
        <v>56185</v>
      </c>
    </row>
    <row r="57" spans="1:11" s="2" customFormat="1" x14ac:dyDescent="0.3">
      <c r="A57"/>
      <c r="B57" t="s">
        <v>51</v>
      </c>
      <c r="C57" s="2">
        <v>11935</v>
      </c>
      <c r="D57" s="2">
        <v>12278</v>
      </c>
      <c r="E57" s="2">
        <v>14291</v>
      </c>
      <c r="F57" s="2">
        <v>12098</v>
      </c>
      <c r="G57" s="2">
        <v>11561</v>
      </c>
      <c r="H57" s="2">
        <v>12595</v>
      </c>
      <c r="I57" s="2">
        <v>14419</v>
      </c>
      <c r="J57" s="2">
        <v>13053</v>
      </c>
      <c r="K57" s="2">
        <v>11823</v>
      </c>
    </row>
    <row r="58" spans="1:11" s="2" customFormat="1" x14ac:dyDescent="0.3">
      <c r="A58"/>
      <c r="B58" t="s">
        <v>52</v>
      </c>
      <c r="C58" s="2">
        <v>5732</v>
      </c>
      <c r="D58" s="2">
        <v>5948</v>
      </c>
      <c r="E58" s="2">
        <v>6099</v>
      </c>
      <c r="F58" s="2">
        <v>6090</v>
      </c>
      <c r="G58" s="2">
        <v>5684</v>
      </c>
      <c r="H58" s="2">
        <v>5749</v>
      </c>
      <c r="I58" s="2">
        <v>5738</v>
      </c>
      <c r="J58" s="2">
        <v>6110</v>
      </c>
      <c r="K58" s="2">
        <v>6029</v>
      </c>
    </row>
    <row r="59" spans="1:11" s="2" customFormat="1" x14ac:dyDescent="0.3">
      <c r="A59"/>
      <c r="B59" t="s">
        <v>53</v>
      </c>
      <c r="C59" s="2">
        <v>200</v>
      </c>
      <c r="D59" s="2">
        <v>1106</v>
      </c>
      <c r="E59" s="2">
        <v>1112</v>
      </c>
      <c r="F59" s="2">
        <v>1116</v>
      </c>
      <c r="G59" s="2">
        <v>2614</v>
      </c>
      <c r="H59" s="2">
        <v>1640</v>
      </c>
      <c r="I59" s="2">
        <v>1635</v>
      </c>
      <c r="J59" s="2">
        <v>1636</v>
      </c>
      <c r="K59" s="2">
        <v>1139</v>
      </c>
    </row>
    <row r="60" spans="1:11" s="2" customFormat="1" x14ac:dyDescent="0.3">
      <c r="A60"/>
      <c r="B60" t="s">
        <v>54</v>
      </c>
      <c r="C60" s="2">
        <v>16010</v>
      </c>
      <c r="D60" s="2">
        <v>14926</v>
      </c>
      <c r="E60" s="2">
        <v>14883</v>
      </c>
      <c r="F60" s="2">
        <v>14922</v>
      </c>
      <c r="G60" s="2">
        <v>13487</v>
      </c>
      <c r="H60" s="2">
        <v>13654</v>
      </c>
      <c r="I60" s="2">
        <v>14346</v>
      </c>
      <c r="J60" s="2">
        <v>14304</v>
      </c>
      <c r="K60" s="2">
        <v>14334</v>
      </c>
    </row>
    <row r="61" spans="1:11" s="2" customFormat="1" x14ac:dyDescent="0.3">
      <c r="A61"/>
      <c r="B61" t="s">
        <v>55</v>
      </c>
      <c r="C61" s="2">
        <v>2621</v>
      </c>
      <c r="D61" s="2">
        <v>2798</v>
      </c>
      <c r="E61" s="2">
        <v>3031</v>
      </c>
      <c r="F61" s="2">
        <v>3279</v>
      </c>
      <c r="G61" s="2">
        <v>3392</v>
      </c>
      <c r="H61" s="2">
        <v>3444</v>
      </c>
      <c r="I61" s="2">
        <v>3418</v>
      </c>
      <c r="J61" s="2">
        <v>3582</v>
      </c>
      <c r="K61" s="2">
        <v>3564</v>
      </c>
    </row>
    <row r="62" spans="1:11" s="2" customFormat="1" x14ac:dyDescent="0.3">
      <c r="A62"/>
      <c r="B62" t="s">
        <v>56</v>
      </c>
      <c r="C62" s="2">
        <v>2289</v>
      </c>
      <c r="D62" s="2">
        <v>2334</v>
      </c>
      <c r="E62" s="2">
        <v>2447</v>
      </c>
      <c r="F62" s="2">
        <v>2480</v>
      </c>
      <c r="G62" s="2">
        <v>2543</v>
      </c>
      <c r="H62" s="2">
        <v>2495</v>
      </c>
      <c r="I62" s="2">
        <v>2419</v>
      </c>
      <c r="J62" s="2">
        <v>2303</v>
      </c>
      <c r="K62" s="2">
        <v>2338</v>
      </c>
    </row>
    <row r="63" spans="1:11" s="2" customFormat="1" x14ac:dyDescent="0.3">
      <c r="A63"/>
      <c r="B63" t="s">
        <v>57</v>
      </c>
      <c r="C63" s="2">
        <v>1758</v>
      </c>
      <c r="D63" s="2">
        <v>1826</v>
      </c>
      <c r="E63" s="2">
        <v>1852</v>
      </c>
      <c r="F63" s="2">
        <v>1939</v>
      </c>
      <c r="G63" s="2">
        <v>1996</v>
      </c>
      <c r="H63" s="2">
        <v>1989</v>
      </c>
      <c r="I63" s="2">
        <v>2067</v>
      </c>
      <c r="J63" s="2">
        <v>2115</v>
      </c>
      <c r="K63" s="2">
        <v>2011</v>
      </c>
    </row>
    <row r="64" spans="1:11" s="4" customFormat="1" x14ac:dyDescent="0.3">
      <c r="A64" s="3"/>
      <c r="B64" s="3" t="s">
        <v>58</v>
      </c>
      <c r="C64" s="4">
        <f t="shared" ref="C64:J64" si="36">SUM(C57:C63)</f>
        <v>40545</v>
      </c>
      <c r="D64" s="4">
        <f t="shared" si="36"/>
        <v>41216</v>
      </c>
      <c r="E64" s="4">
        <f t="shared" si="36"/>
        <v>43715</v>
      </c>
      <c r="F64" s="4">
        <f t="shared" si="36"/>
        <v>41924</v>
      </c>
      <c r="G64" s="4">
        <f t="shared" si="36"/>
        <v>41277</v>
      </c>
      <c r="H64" s="4">
        <f t="shared" si="36"/>
        <v>41566</v>
      </c>
      <c r="I64" s="4">
        <f t="shared" si="36"/>
        <v>44042</v>
      </c>
      <c r="J64" s="4">
        <f t="shared" si="36"/>
        <v>43103</v>
      </c>
      <c r="K64" s="4">
        <f>SUM(K57:K63)</f>
        <v>41238</v>
      </c>
    </row>
    <row r="65" spans="1:21" s="2" customFormat="1" x14ac:dyDescent="0.3">
      <c r="A65"/>
      <c r="B65" t="s">
        <v>59</v>
      </c>
      <c r="C65" s="2">
        <v>11605</v>
      </c>
      <c r="D65" s="2">
        <v>11990</v>
      </c>
      <c r="E65" s="2">
        <v>12514</v>
      </c>
      <c r="F65" s="2">
        <v>13432</v>
      </c>
      <c r="G65" s="2">
        <v>13840</v>
      </c>
      <c r="H65" s="2">
        <v>14429</v>
      </c>
      <c r="I65" s="2">
        <v>14489</v>
      </c>
      <c r="J65" s="2">
        <v>14666</v>
      </c>
      <c r="K65" s="2">
        <v>14947</v>
      </c>
    </row>
    <row r="66" spans="1:21" s="4" customFormat="1" x14ac:dyDescent="0.3">
      <c r="A66" s="3"/>
      <c r="B66" s="3" t="s">
        <v>60</v>
      </c>
      <c r="C66" s="4">
        <f t="shared" ref="C66:J66" si="37">C64+C65</f>
        <v>52150</v>
      </c>
      <c r="D66" s="4">
        <f t="shared" si="37"/>
        <v>53206</v>
      </c>
      <c r="E66" s="4">
        <f t="shared" si="37"/>
        <v>56229</v>
      </c>
      <c r="F66" s="4">
        <f t="shared" si="37"/>
        <v>55356</v>
      </c>
      <c r="G66" s="4">
        <f t="shared" si="37"/>
        <v>55117</v>
      </c>
      <c r="H66" s="4">
        <f t="shared" si="37"/>
        <v>55995</v>
      </c>
      <c r="I66" s="4">
        <f t="shared" si="37"/>
        <v>58531</v>
      </c>
      <c r="J66" s="4">
        <f t="shared" si="37"/>
        <v>57769</v>
      </c>
      <c r="K66" s="4">
        <f>K64+K65</f>
        <v>56185</v>
      </c>
    </row>
    <row r="70" spans="1:21" s="2" customFormat="1" x14ac:dyDescent="0.3">
      <c r="B70" s="2" t="s">
        <v>61</v>
      </c>
      <c r="C70" s="2">
        <f t="shared" ref="C70:K70" si="38">C23</f>
        <v>950</v>
      </c>
      <c r="D70" s="2">
        <f t="shared" si="38"/>
        <v>835</v>
      </c>
      <c r="E70" s="2">
        <f t="shared" si="38"/>
        <v>971</v>
      </c>
      <c r="F70" s="2">
        <f t="shared" si="38"/>
        <v>1382</v>
      </c>
      <c r="G70" s="2">
        <f t="shared" si="38"/>
        <v>942</v>
      </c>
      <c r="H70" s="2">
        <f t="shared" si="38"/>
        <v>1193</v>
      </c>
      <c r="I70" s="2">
        <f t="shared" si="38"/>
        <v>854</v>
      </c>
      <c r="J70" s="2">
        <f t="shared" si="38"/>
        <v>1103</v>
      </c>
      <c r="K70" s="2">
        <f t="shared" si="38"/>
        <v>1036</v>
      </c>
      <c r="T70" s="2">
        <f>T23</f>
        <v>4138</v>
      </c>
      <c r="U70" s="2">
        <f>U23</f>
        <v>4092</v>
      </c>
    </row>
    <row r="71" spans="1:21" s="2" customFormat="1" x14ac:dyDescent="0.3">
      <c r="B71" s="2" t="s">
        <v>62</v>
      </c>
      <c r="C71" s="2">
        <v>950</v>
      </c>
      <c r="D71" s="2">
        <v>835</v>
      </c>
      <c r="E71" s="2">
        <v>971</v>
      </c>
      <c r="F71" s="2">
        <v>1382</v>
      </c>
      <c r="G71" s="2">
        <v>942</v>
      </c>
      <c r="H71" s="2">
        <v>1192</v>
      </c>
      <c r="I71" s="2">
        <v>854</v>
      </c>
      <c r="J71" s="2">
        <v>1103</v>
      </c>
      <c r="K71" s="2">
        <v>1036</v>
      </c>
      <c r="T71" s="2">
        <v>4138</v>
      </c>
      <c r="U71" s="2">
        <v>4091</v>
      </c>
    </row>
    <row r="72" spans="1:21" s="2" customFormat="1" x14ac:dyDescent="0.3">
      <c r="B72" s="2" t="s">
        <v>21</v>
      </c>
      <c r="C72" s="2">
        <v>667</v>
      </c>
      <c r="D72" s="2">
        <v>683</v>
      </c>
      <c r="E72" s="2">
        <v>722</v>
      </c>
      <c r="F72" s="2">
        <v>729</v>
      </c>
      <c r="G72" s="2">
        <v>718</v>
      </c>
      <c r="H72" s="2">
        <v>743</v>
      </c>
      <c r="I72" s="2">
        <v>754</v>
      </c>
      <c r="J72" s="2">
        <v>766</v>
      </c>
      <c r="K72" s="2">
        <v>787</v>
      </c>
      <c r="T72" s="2">
        <v>2801</v>
      </c>
      <c r="U72" s="2">
        <v>2981</v>
      </c>
    </row>
    <row r="73" spans="1:21" s="2" customFormat="1" x14ac:dyDescent="0.3">
      <c r="B73" s="2" t="s">
        <v>63</v>
      </c>
      <c r="C73" s="2">
        <v>43</v>
      </c>
      <c r="D73" s="2">
        <v>64</v>
      </c>
      <c r="E73" s="2">
        <v>69</v>
      </c>
      <c r="F73" s="2">
        <v>75</v>
      </c>
      <c r="G73" s="2">
        <v>72</v>
      </c>
      <c r="H73" s="2">
        <v>77</v>
      </c>
      <c r="I73" s="2">
        <v>80</v>
      </c>
      <c r="J73" s="2">
        <v>75</v>
      </c>
      <c r="K73" s="2">
        <v>69</v>
      </c>
      <c r="T73" s="2">
        <v>251</v>
      </c>
      <c r="U73" s="2">
        <v>304</v>
      </c>
    </row>
    <row r="74" spans="1:21" s="2" customFormat="1" x14ac:dyDescent="0.3">
      <c r="B74" s="2" t="s">
        <v>56</v>
      </c>
      <c r="C74" s="2">
        <v>95</v>
      </c>
      <c r="D74" s="2">
        <v>46</v>
      </c>
      <c r="E74" s="2">
        <v>111</v>
      </c>
      <c r="F74" s="2">
        <v>46</v>
      </c>
      <c r="G74" s="2">
        <v>64</v>
      </c>
      <c r="H74" s="2">
        <v>-48</v>
      </c>
      <c r="I74" s="2">
        <v>-74</v>
      </c>
      <c r="J74" s="2">
        <v>-122</v>
      </c>
      <c r="K74" s="2">
        <v>36</v>
      </c>
      <c r="T74" s="2">
        <v>298</v>
      </c>
      <c r="U74" s="2">
        <v>-180</v>
      </c>
    </row>
    <row r="75" spans="1:21" s="2" customFormat="1" x14ac:dyDescent="0.3">
      <c r="B75" s="2" t="s">
        <v>64</v>
      </c>
      <c r="C75" s="2">
        <v>-11</v>
      </c>
      <c r="D75" s="2">
        <v>22</v>
      </c>
      <c r="E75" s="2">
        <v>90</v>
      </c>
      <c r="F75" s="2">
        <v>-7</v>
      </c>
      <c r="G75" s="2">
        <v>-31</v>
      </c>
      <c r="H75" s="2">
        <v>53</v>
      </c>
      <c r="I75" s="2">
        <v>-23</v>
      </c>
      <c r="J75" s="2">
        <v>27</v>
      </c>
      <c r="K75" s="2">
        <v>-4</v>
      </c>
      <c r="T75" s="2">
        <v>94</v>
      </c>
      <c r="U75" s="2">
        <v>26</v>
      </c>
    </row>
    <row r="76" spans="1:21" s="2" customFormat="1" x14ac:dyDescent="0.3">
      <c r="B76" s="2" t="s">
        <v>45</v>
      </c>
      <c r="C76" s="2">
        <v>883</v>
      </c>
      <c r="D76" s="2">
        <v>-68</v>
      </c>
      <c r="E76" s="2">
        <v>-2047</v>
      </c>
      <c r="F76" s="2">
        <v>2845</v>
      </c>
      <c r="G76" s="2">
        <v>156</v>
      </c>
      <c r="H76" s="2">
        <v>-874</v>
      </c>
      <c r="I76" s="2">
        <v>-2561</v>
      </c>
      <c r="J76" s="2">
        <v>2425</v>
      </c>
      <c r="K76" s="2">
        <v>-308</v>
      </c>
      <c r="T76" s="2">
        <v>1613</v>
      </c>
      <c r="U76" s="2">
        <v>-854</v>
      </c>
    </row>
    <row r="77" spans="1:21" s="2" customFormat="1" x14ac:dyDescent="0.3">
      <c r="B77" s="2" t="s">
        <v>65</v>
      </c>
      <c r="C77" s="2">
        <v>34</v>
      </c>
      <c r="D77" s="2">
        <v>28</v>
      </c>
      <c r="E77" s="2">
        <v>-270</v>
      </c>
      <c r="F77" s="2">
        <v>123</v>
      </c>
      <c r="G77" s="2">
        <v>43</v>
      </c>
      <c r="H77" s="2">
        <v>-96</v>
      </c>
      <c r="I77" s="2">
        <v>-212</v>
      </c>
      <c r="J77" s="2">
        <v>-43</v>
      </c>
      <c r="K77" s="2">
        <v>146</v>
      </c>
      <c r="T77" s="2">
        <v>-85</v>
      </c>
      <c r="U77" s="2">
        <v>-308</v>
      </c>
    </row>
    <row r="78" spans="1:21" s="2" customFormat="1" x14ac:dyDescent="0.3">
      <c r="B78" s="2" t="s">
        <v>51</v>
      </c>
      <c r="C78" s="2">
        <v>-1463</v>
      </c>
      <c r="D78" s="2">
        <v>326</v>
      </c>
      <c r="E78" s="2">
        <v>2024</v>
      </c>
      <c r="F78" s="2">
        <v>-2103</v>
      </c>
      <c r="G78" s="2">
        <v>-524</v>
      </c>
      <c r="H78" s="2">
        <v>1046</v>
      </c>
      <c r="I78" s="2">
        <v>1840</v>
      </c>
      <c r="J78" s="2">
        <v>-1354</v>
      </c>
      <c r="K78" s="2">
        <v>-1344</v>
      </c>
      <c r="T78" s="2">
        <v>-1216</v>
      </c>
      <c r="U78" s="2">
        <v>1008</v>
      </c>
    </row>
    <row r="79" spans="1:21" s="2" customFormat="1" x14ac:dyDescent="0.3">
      <c r="B79" s="2" t="s">
        <v>66</v>
      </c>
      <c r="C79" s="2">
        <v>67</v>
      </c>
      <c r="D79" s="2">
        <v>197</v>
      </c>
      <c r="E79" s="2">
        <v>264</v>
      </c>
      <c r="F79" s="2">
        <v>199</v>
      </c>
      <c r="G79" s="2">
        <v>-339</v>
      </c>
      <c r="H79" s="2">
        <v>145</v>
      </c>
      <c r="I79" s="2">
        <v>81</v>
      </c>
      <c r="J79" s="2">
        <v>412</v>
      </c>
      <c r="K79" s="2">
        <v>-143</v>
      </c>
      <c r="T79" s="2">
        <v>727</v>
      </c>
      <c r="U79" s="2">
        <v>299</v>
      </c>
    </row>
    <row r="80" spans="1:21" s="4" customFormat="1" x14ac:dyDescent="0.3">
      <c r="B80" s="4" t="s">
        <v>67</v>
      </c>
      <c r="C80" s="4">
        <f t="shared" ref="C80:J80" si="39">SUM(C71:C79)</f>
        <v>1265</v>
      </c>
      <c r="D80" s="4">
        <f t="shared" si="39"/>
        <v>2133</v>
      </c>
      <c r="E80" s="4">
        <f t="shared" si="39"/>
        <v>1934</v>
      </c>
      <c r="F80" s="4">
        <f t="shared" si="39"/>
        <v>3289</v>
      </c>
      <c r="G80" s="4">
        <f t="shared" si="39"/>
        <v>1101</v>
      </c>
      <c r="H80" s="4">
        <f t="shared" si="39"/>
        <v>2238</v>
      </c>
      <c r="I80" s="4">
        <f t="shared" si="39"/>
        <v>739</v>
      </c>
      <c r="J80" s="4">
        <f t="shared" si="39"/>
        <v>3289</v>
      </c>
      <c r="K80" s="4">
        <f>SUM(K71:K79)</f>
        <v>275</v>
      </c>
      <c r="N80" s="2"/>
      <c r="O80" s="2"/>
      <c r="R80" s="2"/>
      <c r="S80" s="2"/>
      <c r="T80" s="4">
        <f t="shared" ref="T80:U80" si="40">SUM(T71:T79)</f>
        <v>8621</v>
      </c>
      <c r="U80" s="4">
        <f t="shared" si="40"/>
        <v>7367</v>
      </c>
    </row>
    <row r="81" spans="2:21" s="2" customFormat="1" x14ac:dyDescent="0.3">
      <c r="B81" s="2" t="s">
        <v>68</v>
      </c>
      <c r="C81" s="2">
        <v>-1605</v>
      </c>
      <c r="D81" s="2">
        <v>-1220</v>
      </c>
      <c r="E81" s="2">
        <v>-1127</v>
      </c>
      <c r="F81" s="2">
        <v>-854</v>
      </c>
      <c r="G81" s="2">
        <v>-674</v>
      </c>
      <c r="H81" s="2">
        <v>-639</v>
      </c>
      <c r="I81" s="2">
        <v>-655</v>
      </c>
      <c r="J81" s="2">
        <v>-923</v>
      </c>
      <c r="K81" s="2">
        <v>-790</v>
      </c>
      <c r="T81" s="2">
        <v>-4806</v>
      </c>
      <c r="U81" s="2">
        <v>-2891</v>
      </c>
    </row>
    <row r="82" spans="2:21" s="2" customFormat="1" x14ac:dyDescent="0.3">
      <c r="B82" s="2" t="s">
        <v>38</v>
      </c>
      <c r="C82" s="2">
        <f>2+1</f>
        <v>3</v>
      </c>
      <c r="D82" s="2">
        <v>1</v>
      </c>
      <c r="E82" s="2">
        <v>38</v>
      </c>
      <c r="F82" s="2">
        <v>4</v>
      </c>
      <c r="G82" s="2">
        <v>3</v>
      </c>
      <c r="H82" s="2">
        <v>5</v>
      </c>
      <c r="I82" s="2">
        <v>18</v>
      </c>
      <c r="J82" s="2">
        <v>5</v>
      </c>
      <c r="K82" s="2">
        <v>3</v>
      </c>
      <c r="T82" s="2">
        <f>24+22</f>
        <v>46</v>
      </c>
      <c r="U82" s="2">
        <f>28+3</f>
        <v>31</v>
      </c>
    </row>
    <row r="83" spans="2:21" s="4" customFormat="1" x14ac:dyDescent="0.3">
      <c r="B83" s="4" t="s">
        <v>69</v>
      </c>
      <c r="C83" s="4">
        <f t="shared" ref="C83:J83" si="41">SUM(C81:C82)</f>
        <v>-1602</v>
      </c>
      <c r="D83" s="4">
        <f t="shared" si="41"/>
        <v>-1219</v>
      </c>
      <c r="E83" s="4">
        <f t="shared" si="41"/>
        <v>-1089</v>
      </c>
      <c r="F83" s="4">
        <f t="shared" si="41"/>
        <v>-850</v>
      </c>
      <c r="G83" s="4">
        <f t="shared" si="41"/>
        <v>-671</v>
      </c>
      <c r="H83" s="4">
        <f t="shared" si="41"/>
        <v>-634</v>
      </c>
      <c r="I83" s="4">
        <f t="shared" si="41"/>
        <v>-637</v>
      </c>
      <c r="J83" s="4">
        <f t="shared" si="41"/>
        <v>-918</v>
      </c>
      <c r="K83" s="4">
        <f>SUM(K81:K82)</f>
        <v>-787</v>
      </c>
      <c r="N83" s="2"/>
      <c r="O83" s="2"/>
      <c r="R83" s="2"/>
      <c r="S83" s="2"/>
      <c r="T83" s="4">
        <f t="shared" ref="T83:U83" si="42">SUM(T81:T82)</f>
        <v>-4760</v>
      </c>
      <c r="U83" s="4">
        <f t="shared" si="42"/>
        <v>-2860</v>
      </c>
    </row>
    <row r="84" spans="2:21" s="2" customFormat="1" x14ac:dyDescent="0.3">
      <c r="B84" s="2" t="s">
        <v>54</v>
      </c>
      <c r="C84" s="2">
        <f>90-46</f>
        <v>44</v>
      </c>
      <c r="D84" s="2">
        <v>-116</v>
      </c>
      <c r="E84" s="2">
        <v>-42</v>
      </c>
      <c r="F84" s="2">
        <v>-33</v>
      </c>
      <c r="G84" s="2">
        <v>-32</v>
      </c>
      <c r="H84" s="2">
        <v>-1044</v>
      </c>
      <c r="I84" s="2">
        <v>705</v>
      </c>
      <c r="J84" s="2">
        <v>-27</v>
      </c>
      <c r="K84" s="2">
        <f>991-1534</f>
        <v>-543</v>
      </c>
      <c r="T84" s="2">
        <v>-147</v>
      </c>
      <c r="U84" s="2">
        <f>741-1139</f>
        <v>-398</v>
      </c>
    </row>
    <row r="85" spans="2:21" s="2" customFormat="1" x14ac:dyDescent="0.3">
      <c r="B85" s="2" t="s">
        <v>70</v>
      </c>
      <c r="C85" s="2">
        <v>-497</v>
      </c>
      <c r="D85" s="2">
        <v>-499</v>
      </c>
      <c r="E85" s="2">
        <v>-507</v>
      </c>
      <c r="F85" s="2">
        <v>-508</v>
      </c>
      <c r="G85" s="2">
        <v>-508</v>
      </c>
      <c r="H85" s="2">
        <v>-509</v>
      </c>
      <c r="I85" s="2">
        <v>-516</v>
      </c>
      <c r="J85" s="2">
        <v>-513</v>
      </c>
      <c r="K85" s="2">
        <v>-510</v>
      </c>
      <c r="T85" s="2">
        <v>-2011</v>
      </c>
      <c r="U85" s="2">
        <v>-2046</v>
      </c>
    </row>
    <row r="86" spans="2:21" s="2" customFormat="1" x14ac:dyDescent="0.3">
      <c r="B86" s="2" t="s">
        <v>71</v>
      </c>
      <c r="D86" s="2">
        <v>0</v>
      </c>
      <c r="E86" s="2">
        <v>0</v>
      </c>
      <c r="F86" s="2">
        <v>0</v>
      </c>
      <c r="H86" s="2">
        <v>-155</v>
      </c>
      <c r="I86" s="2">
        <v>-351</v>
      </c>
      <c r="J86" s="2">
        <v>-501</v>
      </c>
      <c r="K86" s="2">
        <v>-250</v>
      </c>
      <c r="U86" s="2">
        <v>-1007</v>
      </c>
    </row>
    <row r="87" spans="2:21" s="2" customFormat="1" x14ac:dyDescent="0.3">
      <c r="B87" s="2" t="s">
        <v>78</v>
      </c>
      <c r="C87" s="2">
        <v>-118</v>
      </c>
      <c r="D87" s="2">
        <v>-3</v>
      </c>
      <c r="E87" s="2">
        <v>-3</v>
      </c>
      <c r="F87" s="2">
        <v>-3</v>
      </c>
      <c r="G87" s="2">
        <v>-91</v>
      </c>
      <c r="H87" s="2">
        <v>-3</v>
      </c>
      <c r="I87" s="2">
        <v>-4</v>
      </c>
      <c r="J87" s="2">
        <v>-1</v>
      </c>
      <c r="K87" s="2">
        <v>-60</v>
      </c>
      <c r="T87" s="2">
        <v>-127</v>
      </c>
      <c r="U87" s="2">
        <v>-99</v>
      </c>
    </row>
    <row r="88" spans="2:21" s="4" customFormat="1" x14ac:dyDescent="0.3">
      <c r="B88" s="4" t="s">
        <v>72</v>
      </c>
      <c r="C88" s="4">
        <f t="shared" ref="C88:J88" si="43">SUM(C84:C87)</f>
        <v>-571</v>
      </c>
      <c r="D88" s="4">
        <f t="shared" si="43"/>
        <v>-618</v>
      </c>
      <c r="E88" s="4">
        <f t="shared" si="43"/>
        <v>-552</v>
      </c>
      <c r="F88" s="4">
        <f t="shared" si="43"/>
        <v>-544</v>
      </c>
      <c r="G88" s="4">
        <f t="shared" si="43"/>
        <v>-631</v>
      </c>
      <c r="H88" s="4">
        <f t="shared" si="43"/>
        <v>-1711</v>
      </c>
      <c r="I88" s="4">
        <f t="shared" si="43"/>
        <v>-166</v>
      </c>
      <c r="J88" s="4">
        <f t="shared" si="43"/>
        <v>-1042</v>
      </c>
      <c r="K88" s="4">
        <f>SUM(K84:K87)</f>
        <v>-1363</v>
      </c>
      <c r="N88" s="2"/>
      <c r="O88" s="2"/>
      <c r="R88" s="2"/>
      <c r="S88" s="2"/>
      <c r="T88" s="4">
        <f t="shared" ref="T88:U88" si="44">SUM(T84:T87)</f>
        <v>-2285</v>
      </c>
      <c r="U88" s="4">
        <f t="shared" si="44"/>
        <v>-3550</v>
      </c>
    </row>
    <row r="89" spans="2:21" s="4" customFormat="1" x14ac:dyDescent="0.3">
      <c r="B89" s="4" t="s">
        <v>73</v>
      </c>
      <c r="C89" s="4">
        <f t="shared" ref="C89:J89" si="45">C80+C83+C88</f>
        <v>-908</v>
      </c>
      <c r="D89" s="4">
        <f t="shared" si="45"/>
        <v>296</v>
      </c>
      <c r="E89" s="4">
        <f t="shared" si="45"/>
        <v>293</v>
      </c>
      <c r="F89" s="4">
        <f t="shared" si="45"/>
        <v>1895</v>
      </c>
      <c r="G89" s="4">
        <f t="shared" si="45"/>
        <v>-201</v>
      </c>
      <c r="H89" s="4">
        <f t="shared" si="45"/>
        <v>-107</v>
      </c>
      <c r="I89" s="4">
        <f t="shared" si="45"/>
        <v>-64</v>
      </c>
      <c r="J89" s="4">
        <f t="shared" si="45"/>
        <v>1329</v>
      </c>
      <c r="K89" s="4">
        <f>K80+K83+K88</f>
        <v>-1875</v>
      </c>
      <c r="N89" s="2"/>
      <c r="O89" s="2"/>
      <c r="R89" s="2"/>
      <c r="S89" s="2"/>
      <c r="T89" s="4">
        <f t="shared" ref="T89:U89" si="46">T80+T83+T88</f>
        <v>1576</v>
      </c>
      <c r="U89" s="4">
        <f t="shared" si="46"/>
        <v>957</v>
      </c>
    </row>
    <row r="90" spans="2:21" s="2" customFormat="1" x14ac:dyDescent="0.3">
      <c r="B90" s="2" t="s">
        <v>74</v>
      </c>
      <c r="C90" s="2">
        <v>2229</v>
      </c>
      <c r="D90" s="2">
        <f t="shared" ref="D90:J90" si="47">C91</f>
        <v>1321</v>
      </c>
      <c r="E90" s="2">
        <f t="shared" si="47"/>
        <v>1617</v>
      </c>
      <c r="F90" s="2">
        <f t="shared" si="47"/>
        <v>1910</v>
      </c>
      <c r="G90" s="2">
        <f t="shared" si="47"/>
        <v>3805</v>
      </c>
      <c r="H90" s="2">
        <f t="shared" si="47"/>
        <v>3604</v>
      </c>
      <c r="I90" s="2">
        <f t="shared" si="47"/>
        <v>3497</v>
      </c>
      <c r="J90" s="2">
        <f t="shared" si="47"/>
        <v>3433</v>
      </c>
      <c r="K90" s="2">
        <f>J91</f>
        <v>4762</v>
      </c>
      <c r="T90" s="2">
        <v>2229</v>
      </c>
      <c r="U90" s="2">
        <f t="shared" ref="U90" si="48">T91</f>
        <v>3805</v>
      </c>
    </row>
    <row r="91" spans="2:21" s="2" customFormat="1" x14ac:dyDescent="0.3">
      <c r="B91" s="2" t="s">
        <v>75</v>
      </c>
      <c r="C91" s="2">
        <f t="shared" ref="C91:J91" si="49">C90+C89</f>
        <v>1321</v>
      </c>
      <c r="D91" s="2">
        <f t="shared" si="49"/>
        <v>1617</v>
      </c>
      <c r="E91" s="2">
        <f t="shared" si="49"/>
        <v>1910</v>
      </c>
      <c r="F91" s="2">
        <f t="shared" si="49"/>
        <v>3805</v>
      </c>
      <c r="G91" s="2">
        <f t="shared" si="49"/>
        <v>3604</v>
      </c>
      <c r="H91" s="2">
        <f t="shared" si="49"/>
        <v>3497</v>
      </c>
      <c r="I91" s="2">
        <f t="shared" si="49"/>
        <v>3433</v>
      </c>
      <c r="J91" s="2">
        <f t="shared" si="49"/>
        <v>4762</v>
      </c>
      <c r="K91" s="2">
        <f>K90+K89</f>
        <v>2887</v>
      </c>
      <c r="T91" s="2">
        <f t="shared" ref="T91:U91" si="50">T90+T89</f>
        <v>3805</v>
      </c>
      <c r="U91" s="2">
        <f t="shared" si="50"/>
        <v>4762</v>
      </c>
    </row>
    <row r="92" spans="2:21" s="2" customFormat="1" x14ac:dyDescent="0.3"/>
    <row r="93" spans="2:21" s="2" customFormat="1" x14ac:dyDescent="0.3">
      <c r="B93" s="2" t="s">
        <v>76</v>
      </c>
      <c r="C93" s="2">
        <f t="shared" ref="C93:J93" si="51">C80+C81</f>
        <v>-340</v>
      </c>
      <c r="D93" s="2">
        <f t="shared" si="51"/>
        <v>913</v>
      </c>
      <c r="E93" s="2">
        <f t="shared" si="51"/>
        <v>807</v>
      </c>
      <c r="F93" s="2">
        <f t="shared" si="51"/>
        <v>2435</v>
      </c>
      <c r="G93" s="2">
        <f t="shared" si="51"/>
        <v>427</v>
      </c>
      <c r="H93" s="2">
        <f t="shared" si="51"/>
        <v>1599</v>
      </c>
      <c r="I93" s="2">
        <f t="shared" si="51"/>
        <v>84</v>
      </c>
      <c r="J93" s="2">
        <f t="shared" si="51"/>
        <v>2366</v>
      </c>
      <c r="K93" s="2">
        <f>K80+K81</f>
        <v>-515</v>
      </c>
      <c r="T93" s="2">
        <f t="shared" ref="T93:U93" si="52">T80+T81</f>
        <v>3815</v>
      </c>
      <c r="U93" s="2">
        <f t="shared" si="52"/>
        <v>4476</v>
      </c>
    </row>
    <row r="94" spans="2:21" s="7" customFormat="1" x14ac:dyDescent="0.3">
      <c r="B94" s="7" t="s">
        <v>77</v>
      </c>
      <c r="C94" s="7">
        <f t="shared" ref="C94:J94" si="53">-C81/C71</f>
        <v>1.6894736842105262</v>
      </c>
      <c r="D94" s="7">
        <f t="shared" si="53"/>
        <v>1.4610778443113772</v>
      </c>
      <c r="E94" s="7">
        <f t="shared" si="53"/>
        <v>1.160659114315139</v>
      </c>
      <c r="F94" s="7">
        <f t="shared" si="53"/>
        <v>0.61794500723588996</v>
      </c>
      <c r="G94" s="7">
        <f t="shared" si="53"/>
        <v>0.71549893842887469</v>
      </c>
      <c r="H94" s="7">
        <f t="shared" si="53"/>
        <v>0.53607382550335569</v>
      </c>
      <c r="I94" s="7">
        <f t="shared" si="53"/>
        <v>0.7669789227166276</v>
      </c>
      <c r="J94" s="7">
        <f t="shared" si="53"/>
        <v>0.83680870353581138</v>
      </c>
      <c r="K94" s="7">
        <f>-K81/K71</f>
        <v>0.76254826254826258</v>
      </c>
      <c r="T94" s="7">
        <f t="shared" ref="T94:U94" si="54">-T81/T71</f>
        <v>1.1614306428226195</v>
      </c>
      <c r="U94" s="7">
        <f t="shared" si="54"/>
        <v>0.70667318504033239</v>
      </c>
    </row>
    <row r="95" spans="2:21" x14ac:dyDescent="0.3">
      <c r="B95" s="2" t="s">
        <v>79</v>
      </c>
      <c r="C95" s="2">
        <f t="shared" ref="C95:K95" si="55">C19+C72</f>
        <v>1995</v>
      </c>
      <c r="D95" s="2">
        <f t="shared" si="55"/>
        <v>1880</v>
      </c>
      <c r="E95" s="2">
        <f t="shared" si="55"/>
        <v>2039</v>
      </c>
      <c r="F95" s="2">
        <f t="shared" si="55"/>
        <v>2594</v>
      </c>
      <c r="G95" s="2">
        <f t="shared" si="55"/>
        <v>2014</v>
      </c>
      <c r="H95" s="2">
        <f t="shared" si="55"/>
        <v>2379</v>
      </c>
      <c r="I95" s="2">
        <f t="shared" si="55"/>
        <v>1922</v>
      </c>
      <c r="J95" s="2">
        <f t="shared" si="55"/>
        <v>2233</v>
      </c>
      <c r="K95" s="2">
        <f t="shared" si="55"/>
        <v>2259</v>
      </c>
      <c r="T95" s="2">
        <f>T19+T72</f>
        <v>8508</v>
      </c>
      <c r="U95" s="2">
        <f>U19+U72</f>
        <v>8548</v>
      </c>
    </row>
    <row r="96" spans="2:21" s="10" customFormat="1" x14ac:dyDescent="0.3">
      <c r="B96" s="10" t="s">
        <v>91</v>
      </c>
      <c r="C96" s="10">
        <f t="shared" ref="C96:J96" si="56">C95/C13</f>
        <v>7.878524603111918E-2</v>
      </c>
      <c r="D96" s="10">
        <f t="shared" si="56"/>
        <v>7.5889072780850123E-2</v>
      </c>
      <c r="E96" s="10">
        <f t="shared" si="56"/>
        <v>8.0281911961571778E-2</v>
      </c>
      <c r="F96" s="10">
        <f t="shared" si="56"/>
        <v>8.12682101569598E-2</v>
      </c>
      <c r="G96" s="10">
        <f t="shared" si="56"/>
        <v>8.2100199747258573E-2</v>
      </c>
      <c r="H96" s="10">
        <f t="shared" si="56"/>
        <v>9.3470061291843473E-2</v>
      </c>
      <c r="I96" s="10">
        <f t="shared" si="56"/>
        <v>7.4879227053140096E-2</v>
      </c>
      <c r="J96" s="10">
        <f t="shared" si="56"/>
        <v>7.2230308911531621E-2</v>
      </c>
      <c r="K96" s="10">
        <f>K95/K13</f>
        <v>9.4732869244317702E-2</v>
      </c>
      <c r="T96" s="10">
        <f t="shared" ref="T96:U96" si="57">T95/T13</f>
        <v>7.9209026924365988E-2</v>
      </c>
      <c r="U96" s="10">
        <f t="shared" si="57"/>
        <v>8.0213201208640658E-2</v>
      </c>
    </row>
    <row r="99" spans="2:21" s="2" customFormat="1" x14ac:dyDescent="0.3">
      <c r="B99" s="2" t="s">
        <v>39</v>
      </c>
      <c r="C99" s="2">
        <v>274</v>
      </c>
      <c r="D99" s="2">
        <v>274</v>
      </c>
      <c r="E99" s="2">
        <v>273</v>
      </c>
      <c r="F99" s="2">
        <v>273</v>
      </c>
      <c r="G99" s="2">
        <v>273</v>
      </c>
      <c r="H99" s="2">
        <v>273</v>
      </c>
      <c r="I99" s="2">
        <v>273</v>
      </c>
      <c r="J99" s="2">
        <v>273</v>
      </c>
      <c r="K99" s="2">
        <v>273</v>
      </c>
    </row>
    <row r="100" spans="2:21" s="2" customFormat="1" x14ac:dyDescent="0.3">
      <c r="B100" s="2" t="s">
        <v>40</v>
      </c>
      <c r="C100" s="2">
        <v>1530</v>
      </c>
      <c r="D100" s="2">
        <v>1534</v>
      </c>
      <c r="E100" s="2">
        <v>1542</v>
      </c>
      <c r="F100" s="2">
        <v>1542</v>
      </c>
      <c r="G100" s="2">
        <v>1547</v>
      </c>
      <c r="H100" s="2">
        <v>1549</v>
      </c>
      <c r="I100" s="2">
        <v>1559</v>
      </c>
      <c r="J100" s="2">
        <v>1559</v>
      </c>
      <c r="K100" s="2">
        <v>1562</v>
      </c>
    </row>
    <row r="101" spans="2:21" s="2" customFormat="1" x14ac:dyDescent="0.3">
      <c r="B101" s="2" t="s">
        <v>41</v>
      </c>
      <c r="C101" s="2">
        <v>150</v>
      </c>
      <c r="D101" s="2">
        <v>147</v>
      </c>
      <c r="E101" s="2">
        <v>141</v>
      </c>
      <c r="F101" s="2">
        <v>141</v>
      </c>
      <c r="G101" s="2">
        <v>143</v>
      </c>
      <c r="H101" s="2">
        <v>144</v>
      </c>
      <c r="I101" s="2">
        <v>146</v>
      </c>
      <c r="J101" s="2">
        <v>146</v>
      </c>
      <c r="K101" s="2">
        <v>146</v>
      </c>
    </row>
    <row r="102" spans="2:21" s="2" customFormat="1" x14ac:dyDescent="0.3">
      <c r="B102" s="2" t="s">
        <v>42</v>
      </c>
      <c r="C102" s="2">
        <f t="shared" ref="C102:J102" si="58">SUM(C99:C101)</f>
        <v>1954</v>
      </c>
      <c r="D102" s="2">
        <f t="shared" si="58"/>
        <v>1955</v>
      </c>
      <c r="E102" s="2">
        <f t="shared" si="58"/>
        <v>1956</v>
      </c>
      <c r="F102" s="2">
        <f t="shared" si="58"/>
        <v>1956</v>
      </c>
      <c r="G102" s="2">
        <f t="shared" si="58"/>
        <v>1963</v>
      </c>
      <c r="H102" s="2">
        <f t="shared" si="58"/>
        <v>1966</v>
      </c>
      <c r="I102" s="2">
        <f t="shared" si="58"/>
        <v>1978</v>
      </c>
      <c r="J102" s="2">
        <f t="shared" si="58"/>
        <v>1978</v>
      </c>
      <c r="K102" s="2">
        <f>SUM(K99:K101)</f>
        <v>1981</v>
      </c>
    </row>
    <row r="103" spans="2:21" x14ac:dyDescent="0.3">
      <c r="B103" s="2" t="s">
        <v>89</v>
      </c>
      <c r="K103" s="2">
        <v>440000</v>
      </c>
    </row>
    <row r="105" spans="2:21" x14ac:dyDescent="0.3">
      <c r="B105" s="2" t="s">
        <v>88</v>
      </c>
      <c r="T105" s="5">
        <f>T13/F102</f>
        <v>54.914110429447852</v>
      </c>
      <c r="U105" s="5">
        <f>U13/J102</f>
        <v>53.875631951466126</v>
      </c>
    </row>
    <row r="106" spans="2:21" x14ac:dyDescent="0.3">
      <c r="B106" s="2" t="s">
        <v>90</v>
      </c>
      <c r="U106" s="5">
        <f>U13/K103</f>
        <v>0.24219545454545455</v>
      </c>
    </row>
  </sheetData>
  <phoneticPr fontId="3" type="noConversion"/>
  <hyperlinks>
    <hyperlink ref="A1" location="Main!A1" display="Main" xr:uid="{06A4A946-3043-4BE8-BE43-B297F53B044E}"/>
  </hyperlinks>
  <pageMargins left="0.7" right="0.7" top="0.75" bottom="0.75" header="0.3" footer="0.3"/>
  <ignoredErrors>
    <ignoredError sqref="T13:U13 T15:U15 T21:U21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2025-12-29T16:14:11Z</dcterms:modified>
</cp:coreProperties>
</file>