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GegaMukhigulashvili\Desktop\CTF\"/>
    </mc:Choice>
  </mc:AlternateContent>
  <xr:revisionPtr revIDLastSave="0" documentId="13_ncr:1_{0BEB2995-1491-43F4-B24A-29DC52728595}" xr6:coauthVersionLast="47" xr6:coauthVersionMax="47" xr10:uidLastSave="{00000000-0000-0000-0000-000000000000}"/>
  <bookViews>
    <workbookView xWindow="22932" yWindow="-108" windowWidth="19416" windowHeight="10296" activeTab="4" xr2:uid="{00000000-000D-0000-FFFF-FFFF00000000}"/>
  </bookViews>
  <sheets>
    <sheet name="UIP" sheetId="2" r:id="rId1"/>
    <sheet name="UOP" sheetId="3" r:id="rId2"/>
    <sheet name="DIP" sheetId="1" r:id="rId3"/>
    <sheet name="DOP" sheetId="4" r:id="rId4"/>
    <sheet name="DIC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30" i="5" l="1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D2" i="5"/>
  <c r="D202" i="5"/>
  <c r="D201" i="5"/>
  <c r="D200" i="5"/>
  <c r="D199" i="5"/>
  <c r="D198" i="5"/>
  <c r="D197" i="5"/>
  <c r="D196" i="5"/>
  <c r="D195" i="5"/>
  <c r="D194" i="5"/>
  <c r="D193" i="5"/>
  <c r="D192" i="5"/>
  <c r="D191" i="5"/>
  <c r="D190" i="5"/>
  <c r="D189" i="5"/>
  <c r="D188" i="5"/>
  <c r="D187" i="5"/>
  <c r="D186" i="5"/>
  <c r="D185" i="5"/>
  <c r="D184" i="5"/>
  <c r="D183" i="5"/>
  <c r="D182" i="5"/>
  <c r="D181" i="5"/>
  <c r="D180" i="5"/>
  <c r="D179" i="5"/>
  <c r="D178" i="5"/>
  <c r="D177" i="5"/>
  <c r="D176" i="5"/>
  <c r="D175" i="5"/>
  <c r="D174" i="5"/>
  <c r="D173" i="5"/>
  <c r="D172" i="5"/>
  <c r="D171" i="5"/>
  <c r="D170" i="5"/>
  <c r="D169" i="5"/>
  <c r="D168" i="5"/>
  <c r="D167" i="5"/>
  <c r="D166" i="5"/>
  <c r="D165" i="5"/>
  <c r="D164" i="5"/>
  <c r="D163" i="5"/>
  <c r="D162" i="5"/>
  <c r="D161" i="5"/>
  <c r="D160" i="5"/>
  <c r="D159" i="5"/>
  <c r="D158" i="5"/>
  <c r="D157" i="5"/>
  <c r="D156" i="5"/>
  <c r="D155" i="5"/>
  <c r="D154" i="5"/>
  <c r="D153" i="5"/>
  <c r="D152" i="5"/>
  <c r="D151" i="5"/>
  <c r="D150" i="5"/>
  <c r="D149" i="5"/>
  <c r="D148" i="5"/>
  <c r="D147" i="5"/>
  <c r="D146" i="5"/>
  <c r="D145" i="5"/>
  <c r="D144" i="5"/>
  <c r="D143" i="5"/>
  <c r="D142" i="5"/>
  <c r="D141" i="5"/>
  <c r="D140" i="5"/>
  <c r="D139" i="5"/>
  <c r="D138" i="5"/>
  <c r="D137" i="5"/>
  <c r="D136" i="5"/>
  <c r="D135" i="5"/>
  <c r="D134" i="5"/>
  <c r="D133" i="5"/>
  <c r="D132" i="5"/>
  <c r="D131" i="5"/>
  <c r="D130" i="5"/>
  <c r="D129" i="5"/>
  <c r="D128" i="5"/>
  <c r="D127" i="5"/>
  <c r="D126" i="5"/>
  <c r="D125" i="5"/>
  <c r="D124" i="5"/>
  <c r="D123" i="5"/>
  <c r="D122" i="5"/>
  <c r="D121" i="5"/>
  <c r="D120" i="5"/>
  <c r="D119" i="5"/>
  <c r="D118" i="5"/>
  <c r="D117" i="5"/>
  <c r="D116" i="5"/>
  <c r="D115" i="5"/>
  <c r="D114" i="5"/>
  <c r="D113" i="5"/>
  <c r="D112" i="5"/>
  <c r="D111" i="5"/>
  <c r="D110" i="5"/>
  <c r="D109" i="5"/>
  <c r="D108" i="5"/>
  <c r="D107" i="5"/>
  <c r="D106" i="5"/>
  <c r="D105" i="5"/>
  <c r="D104" i="5"/>
  <c r="D103" i="5"/>
  <c r="D102" i="5"/>
  <c r="D101" i="5"/>
  <c r="D100" i="5"/>
  <c r="D99" i="5"/>
  <c r="D98" i="5"/>
  <c r="D97" i="5"/>
  <c r="D96" i="5"/>
  <c r="D95" i="5"/>
  <c r="D94" i="5"/>
  <c r="D93" i="5"/>
  <c r="D92" i="5"/>
  <c r="D91" i="5"/>
  <c r="D90" i="5"/>
  <c r="D89" i="5"/>
  <c r="D88" i="5"/>
  <c r="D87" i="5"/>
  <c r="D86" i="5"/>
  <c r="D85" i="5"/>
  <c r="D84" i="5"/>
  <c r="D83" i="5"/>
  <c r="D82" i="5"/>
  <c r="D81" i="5"/>
  <c r="D80" i="5"/>
  <c r="D79" i="5"/>
  <c r="D78" i="5"/>
  <c r="D77" i="5"/>
  <c r="D76" i="5"/>
  <c r="D75" i="5"/>
  <c r="D74" i="5"/>
  <c r="D73" i="5"/>
  <c r="D72" i="5"/>
  <c r="D71" i="5"/>
  <c r="D70" i="5"/>
  <c r="D69" i="5"/>
  <c r="D68" i="5"/>
  <c r="D67" i="5"/>
  <c r="D66" i="5"/>
  <c r="D65" i="5"/>
  <c r="D64" i="5"/>
  <c r="D63" i="5"/>
  <c r="D62" i="5"/>
  <c r="D61" i="5"/>
  <c r="D60" i="5"/>
  <c r="D59" i="5"/>
  <c r="D58" i="5"/>
  <c r="D57" i="5"/>
  <c r="D56" i="5"/>
  <c r="D55" i="5"/>
  <c r="D54" i="5"/>
  <c r="D53" i="5"/>
  <c r="D52" i="5"/>
  <c r="D51" i="5"/>
  <c r="D50" i="5"/>
  <c r="D49" i="5"/>
  <c r="D48" i="5"/>
  <c r="D47" i="5"/>
  <c r="D46" i="5"/>
  <c r="D45" i="5"/>
  <c r="D44" i="5"/>
  <c r="D43" i="5"/>
  <c r="D42" i="5"/>
  <c r="D41" i="5"/>
  <c r="D40" i="5"/>
  <c r="D39" i="5"/>
  <c r="D38" i="5"/>
  <c r="D37" i="5"/>
  <c r="D36" i="5"/>
  <c r="D35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D3" i="5"/>
  <c r="G202" i="5"/>
  <c r="G201" i="5"/>
  <c r="G200" i="5"/>
  <c r="G199" i="5"/>
  <c r="G198" i="5"/>
  <c r="G197" i="5"/>
  <c r="G196" i="5"/>
  <c r="G195" i="5"/>
  <c r="G194" i="5"/>
  <c r="G193" i="5"/>
  <c r="G192" i="5"/>
  <c r="G191" i="5"/>
  <c r="G190" i="5"/>
  <c r="G189" i="5"/>
  <c r="G188" i="5"/>
  <c r="G187" i="5"/>
  <c r="G186" i="5"/>
  <c r="G185" i="5"/>
  <c r="G184" i="5"/>
  <c r="G183" i="5"/>
  <c r="G182" i="5"/>
  <c r="G181" i="5"/>
  <c r="G180" i="5"/>
  <c r="G179" i="5"/>
  <c r="G178" i="5"/>
  <c r="G177" i="5"/>
  <c r="G176" i="5"/>
  <c r="G175" i="5"/>
  <c r="G174" i="5"/>
  <c r="G173" i="5"/>
  <c r="G172" i="5"/>
  <c r="G171" i="5"/>
  <c r="G170" i="5"/>
  <c r="G169" i="5"/>
  <c r="G168" i="5"/>
  <c r="G167" i="5"/>
  <c r="G166" i="5"/>
  <c r="G165" i="5"/>
  <c r="G164" i="5"/>
  <c r="G163" i="5"/>
  <c r="G162" i="5"/>
  <c r="G161" i="5"/>
  <c r="G160" i="5"/>
  <c r="G159" i="5"/>
  <c r="G158" i="5"/>
  <c r="G157" i="5"/>
  <c r="G156" i="5"/>
  <c r="G155" i="5"/>
  <c r="G154" i="5"/>
  <c r="G153" i="5"/>
  <c r="G152" i="5"/>
  <c r="G151" i="5"/>
  <c r="G150" i="5"/>
  <c r="G149" i="5"/>
  <c r="G148" i="5"/>
  <c r="G147" i="5"/>
  <c r="G146" i="5"/>
  <c r="G145" i="5"/>
  <c r="G144" i="5"/>
  <c r="G143" i="5"/>
  <c r="G142" i="5"/>
  <c r="G141" i="5"/>
  <c r="G140" i="5"/>
  <c r="G139" i="5"/>
  <c r="G138" i="5"/>
  <c r="G137" i="5"/>
  <c r="G136" i="5"/>
  <c r="G135" i="5"/>
  <c r="G134" i="5"/>
  <c r="G133" i="5"/>
  <c r="G132" i="5"/>
  <c r="G131" i="5"/>
  <c r="G130" i="5"/>
  <c r="G129" i="5"/>
  <c r="G128" i="5"/>
  <c r="G127" i="5"/>
  <c r="G126" i="5"/>
  <c r="G125" i="5"/>
  <c r="G124" i="5"/>
  <c r="G123" i="5"/>
  <c r="G122" i="5"/>
  <c r="G121" i="5"/>
  <c r="G120" i="5"/>
  <c r="G119" i="5"/>
  <c r="G118" i="5"/>
  <c r="G117" i="5"/>
  <c r="G116" i="5"/>
  <c r="G115" i="5"/>
  <c r="G114" i="5"/>
  <c r="G113" i="5"/>
  <c r="G112" i="5"/>
  <c r="G111" i="5"/>
  <c r="G110" i="5"/>
  <c r="G109" i="5"/>
  <c r="G108" i="5"/>
  <c r="G107" i="5"/>
  <c r="G106" i="5"/>
  <c r="G105" i="5"/>
  <c r="G104" i="5"/>
  <c r="G103" i="5"/>
  <c r="G102" i="5"/>
  <c r="G101" i="5"/>
  <c r="G100" i="5"/>
  <c r="G99" i="5"/>
  <c r="G98" i="5"/>
  <c r="G97" i="5"/>
  <c r="G96" i="5"/>
  <c r="G95" i="5"/>
  <c r="G94" i="5"/>
  <c r="G93" i="5"/>
  <c r="G92" i="5"/>
  <c r="G91" i="5"/>
  <c r="G90" i="5"/>
  <c r="G89" i="5"/>
  <c r="G88" i="5"/>
  <c r="G87" i="5"/>
  <c r="G86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G2" i="5"/>
  <c r="I153" i="5"/>
  <c r="I154" i="5" s="1"/>
  <c r="AF153" i="5"/>
  <c r="AE153" i="5"/>
  <c r="AD153" i="5"/>
  <c r="AC153" i="5"/>
  <c r="AB153" i="5"/>
  <c r="V153" i="5"/>
  <c r="U153" i="5"/>
  <c r="T153" i="5"/>
  <c r="S153" i="5"/>
  <c r="R153" i="5"/>
  <c r="Q153" i="5"/>
  <c r="N153" i="5"/>
  <c r="L153" i="5"/>
  <c r="AA153" i="5"/>
  <c r="AD4" i="5"/>
  <c r="I4" i="5"/>
  <c r="I5" i="5" s="1"/>
  <c r="AB3" i="5"/>
  <c r="AA3" i="5"/>
  <c r="Y3" i="5"/>
  <c r="X3" i="5"/>
  <c r="V3" i="5"/>
  <c r="U3" i="5"/>
  <c r="T3" i="5"/>
  <c r="N3" i="5"/>
  <c r="L3" i="5"/>
  <c r="I3" i="5"/>
  <c r="AC3" i="5" s="1"/>
  <c r="AF2" i="5"/>
  <c r="AE2" i="5"/>
  <c r="AD2" i="5"/>
  <c r="AC2" i="5"/>
  <c r="AB2" i="5"/>
  <c r="AA2" i="5"/>
  <c r="Y2" i="5"/>
  <c r="X2" i="5"/>
  <c r="V2" i="5"/>
  <c r="U2" i="5"/>
  <c r="T2" i="5"/>
  <c r="S2" i="5"/>
  <c r="R2" i="5"/>
  <c r="Q2" i="5"/>
  <c r="O2" i="5"/>
  <c r="N2" i="5"/>
  <c r="L2" i="5"/>
  <c r="K2" i="5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P102" i="4"/>
  <c r="P101" i="4"/>
  <c r="P100" i="4"/>
  <c r="P99" i="4"/>
  <c r="P98" i="4"/>
  <c r="P97" i="4"/>
  <c r="P96" i="4"/>
  <c r="P95" i="4"/>
  <c r="P94" i="4"/>
  <c r="P93" i="4"/>
  <c r="P92" i="4"/>
  <c r="P91" i="4"/>
  <c r="P90" i="4"/>
  <c r="P89" i="4"/>
  <c r="P88" i="4"/>
  <c r="P87" i="4"/>
  <c r="P86" i="4"/>
  <c r="P85" i="4"/>
  <c r="P84" i="4"/>
  <c r="P83" i="4"/>
  <c r="P82" i="4"/>
  <c r="P81" i="4"/>
  <c r="P80" i="4"/>
  <c r="P79" i="4"/>
  <c r="P78" i="4"/>
  <c r="P77" i="4"/>
  <c r="P76" i="4"/>
  <c r="P75" i="4"/>
  <c r="P74" i="4"/>
  <c r="P73" i="4"/>
  <c r="P72" i="4"/>
  <c r="P71" i="4"/>
  <c r="P70" i="4"/>
  <c r="P69" i="4"/>
  <c r="P68" i="4"/>
  <c r="P67" i="4"/>
  <c r="P66" i="4"/>
  <c r="P65" i="4"/>
  <c r="P64" i="4"/>
  <c r="P63" i="4"/>
  <c r="P62" i="4"/>
  <c r="P61" i="4"/>
  <c r="P60" i="4"/>
  <c r="P59" i="4"/>
  <c r="P58" i="4"/>
  <c r="P57" i="4"/>
  <c r="P56" i="4"/>
  <c r="P55" i="4"/>
  <c r="P54" i="4"/>
  <c r="P53" i="4"/>
  <c r="P52" i="4"/>
  <c r="P51" i="4"/>
  <c r="P50" i="4"/>
  <c r="P49" i="4"/>
  <c r="P48" i="4"/>
  <c r="P47" i="4"/>
  <c r="P46" i="4"/>
  <c r="P45" i="4"/>
  <c r="P44" i="4"/>
  <c r="P43" i="4"/>
  <c r="P42" i="4"/>
  <c r="P41" i="4"/>
  <c r="P40" i="4"/>
  <c r="P39" i="4"/>
  <c r="P38" i="4"/>
  <c r="P37" i="4"/>
  <c r="P36" i="4"/>
  <c r="P35" i="4"/>
  <c r="P34" i="4"/>
  <c r="P33" i="4"/>
  <c r="P32" i="4"/>
  <c r="P31" i="4"/>
  <c r="P30" i="4"/>
  <c r="P29" i="4"/>
  <c r="P28" i="4"/>
  <c r="P27" i="4"/>
  <c r="P26" i="4"/>
  <c r="P25" i="4"/>
  <c r="P24" i="4"/>
  <c r="P23" i="4"/>
  <c r="P22" i="4"/>
  <c r="P21" i="4"/>
  <c r="P20" i="4"/>
  <c r="P19" i="4"/>
  <c r="P18" i="4"/>
  <c r="P17" i="4"/>
  <c r="P16" i="4"/>
  <c r="P15" i="4"/>
  <c r="P14" i="4"/>
  <c r="P13" i="4"/>
  <c r="P12" i="4"/>
  <c r="P11" i="4"/>
  <c r="P10" i="4"/>
  <c r="P9" i="4"/>
  <c r="P8" i="4"/>
  <c r="P7" i="4"/>
  <c r="P6" i="4"/>
  <c r="P5" i="4"/>
  <c r="P4" i="4"/>
  <c r="P3" i="4"/>
  <c r="P2" i="4"/>
  <c r="J4" i="4"/>
  <c r="D4" i="4"/>
  <c r="N3" i="4"/>
  <c r="M3" i="4"/>
  <c r="L3" i="4"/>
  <c r="K3" i="4"/>
  <c r="J3" i="4"/>
  <c r="E3" i="4"/>
  <c r="D3" i="4"/>
  <c r="I3" i="4" s="1"/>
  <c r="Q2" i="4"/>
  <c r="N2" i="4"/>
  <c r="M2" i="4"/>
  <c r="L2" i="4"/>
  <c r="K2" i="4"/>
  <c r="J2" i="4"/>
  <c r="I2" i="4"/>
  <c r="H2" i="4"/>
  <c r="G2" i="4"/>
  <c r="F2" i="4"/>
  <c r="E2" i="4"/>
  <c r="E152" i="3"/>
  <c r="D152" i="3"/>
  <c r="E151" i="3"/>
  <c r="D151" i="3"/>
  <c r="E150" i="3"/>
  <c r="D150" i="3"/>
  <c r="E149" i="3"/>
  <c r="D149" i="3"/>
  <c r="E148" i="3"/>
  <c r="D148" i="3"/>
  <c r="E147" i="3"/>
  <c r="D147" i="3"/>
  <c r="E146" i="3"/>
  <c r="D146" i="3"/>
  <c r="E145" i="3"/>
  <c r="D145" i="3"/>
  <c r="E144" i="3"/>
  <c r="D144" i="3"/>
  <c r="E143" i="3"/>
  <c r="D143" i="3"/>
  <c r="E142" i="3"/>
  <c r="D142" i="3"/>
  <c r="E141" i="3"/>
  <c r="D141" i="3"/>
  <c r="E140" i="3"/>
  <c r="D140" i="3"/>
  <c r="E139" i="3"/>
  <c r="D139" i="3"/>
  <c r="E138" i="3"/>
  <c r="D138" i="3"/>
  <c r="E137" i="3"/>
  <c r="D137" i="3"/>
  <c r="E136" i="3"/>
  <c r="D136" i="3"/>
  <c r="E135" i="3"/>
  <c r="D135" i="3"/>
  <c r="E134" i="3"/>
  <c r="D134" i="3"/>
  <c r="E133" i="3"/>
  <c r="D133" i="3"/>
  <c r="E132" i="3"/>
  <c r="D132" i="3"/>
  <c r="E131" i="3"/>
  <c r="D131" i="3"/>
  <c r="E130" i="3"/>
  <c r="D130" i="3"/>
  <c r="E129" i="3"/>
  <c r="D129" i="3"/>
  <c r="E128" i="3"/>
  <c r="D128" i="3"/>
  <c r="E127" i="3"/>
  <c r="D127" i="3"/>
  <c r="E126" i="3"/>
  <c r="D126" i="3"/>
  <c r="E125" i="3"/>
  <c r="D125" i="3"/>
  <c r="E124" i="3"/>
  <c r="D124" i="3"/>
  <c r="E123" i="3"/>
  <c r="D123" i="3"/>
  <c r="E122" i="3"/>
  <c r="D122" i="3"/>
  <c r="E121" i="3"/>
  <c r="D121" i="3"/>
  <c r="E120" i="3"/>
  <c r="D120" i="3"/>
  <c r="E119" i="3"/>
  <c r="D119" i="3"/>
  <c r="E118" i="3"/>
  <c r="D118" i="3"/>
  <c r="E117" i="3"/>
  <c r="D117" i="3"/>
  <c r="E116" i="3"/>
  <c r="D116" i="3"/>
  <c r="E115" i="3"/>
  <c r="D115" i="3"/>
  <c r="E114" i="3"/>
  <c r="D114" i="3"/>
  <c r="E113" i="3"/>
  <c r="D113" i="3"/>
  <c r="E112" i="3"/>
  <c r="D112" i="3"/>
  <c r="E111" i="3"/>
  <c r="D111" i="3"/>
  <c r="E110" i="3"/>
  <c r="D110" i="3"/>
  <c r="E109" i="3"/>
  <c r="D109" i="3"/>
  <c r="E108" i="3"/>
  <c r="D108" i="3"/>
  <c r="E107" i="3"/>
  <c r="D107" i="3"/>
  <c r="E106" i="3"/>
  <c r="D106" i="3"/>
  <c r="E105" i="3"/>
  <c r="D105" i="3"/>
  <c r="E104" i="3"/>
  <c r="D104" i="3"/>
  <c r="E103" i="3"/>
  <c r="D103" i="3"/>
  <c r="E102" i="3"/>
  <c r="D102" i="3"/>
  <c r="E101" i="3"/>
  <c r="D101" i="3"/>
  <c r="E100" i="3"/>
  <c r="D100" i="3"/>
  <c r="E99" i="3"/>
  <c r="D99" i="3"/>
  <c r="E98" i="3"/>
  <c r="D98" i="3"/>
  <c r="E97" i="3"/>
  <c r="D97" i="3"/>
  <c r="E96" i="3"/>
  <c r="D96" i="3"/>
  <c r="E95" i="3"/>
  <c r="D95" i="3"/>
  <c r="E94" i="3"/>
  <c r="D94" i="3"/>
  <c r="E93" i="3"/>
  <c r="D93" i="3"/>
  <c r="E92" i="3"/>
  <c r="D92" i="3"/>
  <c r="E91" i="3"/>
  <c r="D91" i="3"/>
  <c r="E90" i="3"/>
  <c r="D90" i="3"/>
  <c r="E89" i="3"/>
  <c r="D89" i="3"/>
  <c r="E88" i="3"/>
  <c r="D88" i="3"/>
  <c r="E87" i="3"/>
  <c r="D87" i="3"/>
  <c r="E86" i="3"/>
  <c r="D86" i="3"/>
  <c r="E85" i="3"/>
  <c r="D85" i="3"/>
  <c r="E84" i="3"/>
  <c r="D84" i="3"/>
  <c r="E83" i="3"/>
  <c r="D83" i="3"/>
  <c r="E82" i="3"/>
  <c r="D82" i="3"/>
  <c r="E81" i="3"/>
  <c r="D81" i="3"/>
  <c r="E80" i="3"/>
  <c r="D80" i="3"/>
  <c r="E79" i="3"/>
  <c r="D79" i="3"/>
  <c r="E78" i="3"/>
  <c r="D78" i="3"/>
  <c r="E77" i="3"/>
  <c r="D77" i="3"/>
  <c r="E76" i="3"/>
  <c r="D76" i="3"/>
  <c r="E75" i="3"/>
  <c r="D75" i="3"/>
  <c r="E74" i="3"/>
  <c r="D74" i="3"/>
  <c r="E73" i="3"/>
  <c r="D73" i="3"/>
  <c r="E72" i="3"/>
  <c r="D72" i="3"/>
  <c r="E71" i="3"/>
  <c r="D71" i="3"/>
  <c r="E70" i="3"/>
  <c r="D70" i="3"/>
  <c r="E69" i="3"/>
  <c r="D69" i="3"/>
  <c r="E68" i="3"/>
  <c r="D68" i="3"/>
  <c r="E67" i="3"/>
  <c r="D67" i="3"/>
  <c r="E66" i="3"/>
  <c r="D66" i="3"/>
  <c r="E65" i="3"/>
  <c r="D65" i="3"/>
  <c r="E64" i="3"/>
  <c r="D64" i="3"/>
  <c r="E63" i="3"/>
  <c r="D63" i="3"/>
  <c r="E62" i="3"/>
  <c r="D62" i="3"/>
  <c r="E61" i="3"/>
  <c r="D61" i="3"/>
  <c r="E60" i="3"/>
  <c r="D60" i="3"/>
  <c r="E59" i="3"/>
  <c r="D59" i="3"/>
  <c r="E58" i="3"/>
  <c r="D58" i="3"/>
  <c r="E57" i="3"/>
  <c r="D57" i="3"/>
  <c r="E56" i="3"/>
  <c r="D56" i="3"/>
  <c r="E55" i="3"/>
  <c r="D55" i="3"/>
  <c r="E54" i="3"/>
  <c r="D54" i="3"/>
  <c r="E53" i="3"/>
  <c r="D53" i="3"/>
  <c r="E52" i="3"/>
  <c r="D52" i="3"/>
  <c r="E51" i="3"/>
  <c r="D51" i="3"/>
  <c r="E50" i="3"/>
  <c r="D50" i="3"/>
  <c r="E49" i="3"/>
  <c r="D49" i="3"/>
  <c r="E48" i="3"/>
  <c r="D48" i="3"/>
  <c r="E47" i="3"/>
  <c r="D47" i="3"/>
  <c r="E46" i="3"/>
  <c r="D46" i="3"/>
  <c r="E45" i="3"/>
  <c r="D45" i="3"/>
  <c r="E44" i="3"/>
  <c r="D44" i="3"/>
  <c r="E43" i="3"/>
  <c r="D43" i="3"/>
  <c r="E42" i="3"/>
  <c r="D42" i="3"/>
  <c r="E41" i="3"/>
  <c r="D41" i="3"/>
  <c r="E40" i="3"/>
  <c r="D40" i="3"/>
  <c r="E39" i="3"/>
  <c r="D39" i="3"/>
  <c r="E38" i="3"/>
  <c r="D38" i="3"/>
  <c r="E37" i="3"/>
  <c r="D37" i="3"/>
  <c r="E36" i="3"/>
  <c r="D36" i="3"/>
  <c r="E35" i="3"/>
  <c r="D35" i="3"/>
  <c r="E34" i="3"/>
  <c r="D34" i="3"/>
  <c r="E33" i="3"/>
  <c r="D33" i="3"/>
  <c r="E32" i="3"/>
  <c r="D32" i="3"/>
  <c r="E31" i="3"/>
  <c r="D31" i="3"/>
  <c r="E30" i="3"/>
  <c r="D30" i="3"/>
  <c r="E29" i="3"/>
  <c r="D29" i="3"/>
  <c r="E28" i="3"/>
  <c r="D28" i="3"/>
  <c r="E27" i="3"/>
  <c r="D27" i="3"/>
  <c r="E26" i="3"/>
  <c r="D26" i="3"/>
  <c r="E25" i="3"/>
  <c r="D25" i="3"/>
  <c r="E24" i="3"/>
  <c r="D24" i="3"/>
  <c r="E23" i="3"/>
  <c r="D23" i="3"/>
  <c r="E22" i="3"/>
  <c r="D22" i="3"/>
  <c r="E21" i="3"/>
  <c r="D21" i="3"/>
  <c r="E20" i="3"/>
  <c r="D20" i="3"/>
  <c r="E19" i="3"/>
  <c r="D19" i="3"/>
  <c r="E18" i="3"/>
  <c r="D18" i="3"/>
  <c r="E17" i="3"/>
  <c r="D17" i="3"/>
  <c r="E16" i="3"/>
  <c r="D16" i="3"/>
  <c r="E15" i="3"/>
  <c r="D15" i="3"/>
  <c r="E14" i="3"/>
  <c r="D14" i="3"/>
  <c r="E13" i="3"/>
  <c r="D13" i="3"/>
  <c r="E12" i="3"/>
  <c r="D12" i="3"/>
  <c r="E11" i="3"/>
  <c r="D11" i="3"/>
  <c r="E10" i="3"/>
  <c r="D10" i="3"/>
  <c r="E9" i="3"/>
  <c r="D9" i="3"/>
  <c r="E8" i="3"/>
  <c r="D8" i="3"/>
  <c r="E7" i="3"/>
  <c r="D7" i="3"/>
  <c r="E6" i="3"/>
  <c r="D6" i="3"/>
  <c r="E5" i="3"/>
  <c r="D5" i="3"/>
  <c r="E4" i="3"/>
  <c r="D4" i="3"/>
  <c r="E3" i="3"/>
  <c r="D3" i="3"/>
  <c r="E2" i="3"/>
  <c r="D2" i="3"/>
  <c r="P2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I4" i="3"/>
  <c r="I5" i="3" s="1"/>
  <c r="I3" i="3"/>
  <c r="AD3" i="3"/>
  <c r="AC3" i="3"/>
  <c r="AB3" i="3"/>
  <c r="AA3" i="3"/>
  <c r="Y3" i="3"/>
  <c r="X3" i="3"/>
  <c r="V3" i="3"/>
  <c r="U3" i="3"/>
  <c r="T3" i="3"/>
  <c r="O3" i="3"/>
  <c r="N3" i="3"/>
  <c r="L3" i="3"/>
  <c r="K3" i="3"/>
  <c r="AF2" i="3"/>
  <c r="AE2" i="3"/>
  <c r="AD2" i="3"/>
  <c r="AC2" i="3"/>
  <c r="AB2" i="3"/>
  <c r="AA2" i="3"/>
  <c r="Y2" i="3"/>
  <c r="X2" i="3"/>
  <c r="V2" i="3"/>
  <c r="U2" i="3"/>
  <c r="T2" i="3"/>
  <c r="S2" i="3"/>
  <c r="R2" i="3"/>
  <c r="Q2" i="3"/>
  <c r="O2" i="3"/>
  <c r="N2" i="3"/>
  <c r="L2" i="3"/>
  <c r="K2" i="3"/>
  <c r="Y102" i="2"/>
  <c r="X102" i="2"/>
  <c r="Y101" i="2"/>
  <c r="X101" i="2"/>
  <c r="Y100" i="2"/>
  <c r="X100" i="2"/>
  <c r="Y99" i="2"/>
  <c r="X99" i="2"/>
  <c r="Y98" i="2"/>
  <c r="X98" i="2"/>
  <c r="Y97" i="2"/>
  <c r="X97" i="2"/>
  <c r="Y96" i="2"/>
  <c r="X96" i="2"/>
  <c r="Y95" i="2"/>
  <c r="X95" i="2"/>
  <c r="Y94" i="2"/>
  <c r="X94" i="2"/>
  <c r="Y93" i="2"/>
  <c r="X93" i="2"/>
  <c r="Y92" i="2"/>
  <c r="X92" i="2"/>
  <c r="Y91" i="2"/>
  <c r="X91" i="2"/>
  <c r="Y90" i="2"/>
  <c r="X90" i="2"/>
  <c r="Y89" i="2"/>
  <c r="X89" i="2"/>
  <c r="Y88" i="2"/>
  <c r="X88" i="2"/>
  <c r="Y87" i="2"/>
  <c r="X87" i="2"/>
  <c r="Y86" i="2"/>
  <c r="X86" i="2"/>
  <c r="Y85" i="2"/>
  <c r="X85" i="2"/>
  <c r="Y84" i="2"/>
  <c r="X84" i="2"/>
  <c r="Y83" i="2"/>
  <c r="X83" i="2"/>
  <c r="Y82" i="2"/>
  <c r="X82" i="2"/>
  <c r="Y81" i="2"/>
  <c r="X81" i="2"/>
  <c r="Y80" i="2"/>
  <c r="X80" i="2"/>
  <c r="Y79" i="2"/>
  <c r="X79" i="2"/>
  <c r="Y78" i="2"/>
  <c r="X78" i="2"/>
  <c r="Y77" i="2"/>
  <c r="X77" i="2"/>
  <c r="Y76" i="2"/>
  <c r="X76" i="2"/>
  <c r="Y75" i="2"/>
  <c r="X75" i="2"/>
  <c r="Y74" i="2"/>
  <c r="X74" i="2"/>
  <c r="Y73" i="2"/>
  <c r="X73" i="2"/>
  <c r="Y72" i="2"/>
  <c r="X72" i="2"/>
  <c r="Y71" i="2"/>
  <c r="X71" i="2"/>
  <c r="Y70" i="2"/>
  <c r="X70" i="2"/>
  <c r="Y69" i="2"/>
  <c r="X69" i="2"/>
  <c r="Y68" i="2"/>
  <c r="X68" i="2"/>
  <c r="Y67" i="2"/>
  <c r="X67" i="2"/>
  <c r="Y66" i="2"/>
  <c r="X66" i="2"/>
  <c r="Y65" i="2"/>
  <c r="X65" i="2"/>
  <c r="Y64" i="2"/>
  <c r="X64" i="2"/>
  <c r="Y63" i="2"/>
  <c r="X63" i="2"/>
  <c r="Y62" i="2"/>
  <c r="X62" i="2"/>
  <c r="Y61" i="2"/>
  <c r="X61" i="2"/>
  <c r="Y60" i="2"/>
  <c r="X60" i="2"/>
  <c r="Y59" i="2"/>
  <c r="X59" i="2"/>
  <c r="Y58" i="2"/>
  <c r="X58" i="2"/>
  <c r="Y57" i="2"/>
  <c r="X57" i="2"/>
  <c r="Y56" i="2"/>
  <c r="X56" i="2"/>
  <c r="Y55" i="2"/>
  <c r="X55" i="2"/>
  <c r="Y54" i="2"/>
  <c r="X54" i="2"/>
  <c r="Y53" i="2"/>
  <c r="X53" i="2"/>
  <c r="Y52" i="2"/>
  <c r="X52" i="2"/>
  <c r="Y51" i="2"/>
  <c r="X51" i="2"/>
  <c r="Y50" i="2"/>
  <c r="X50" i="2"/>
  <c r="Y49" i="2"/>
  <c r="X49" i="2"/>
  <c r="Y48" i="2"/>
  <c r="X48" i="2"/>
  <c r="Y47" i="2"/>
  <c r="X47" i="2"/>
  <c r="Y46" i="2"/>
  <c r="X46" i="2"/>
  <c r="Y45" i="2"/>
  <c r="X45" i="2"/>
  <c r="Y44" i="2"/>
  <c r="X44" i="2"/>
  <c r="Y43" i="2"/>
  <c r="X43" i="2"/>
  <c r="Y42" i="2"/>
  <c r="X42" i="2"/>
  <c r="Y41" i="2"/>
  <c r="X41" i="2"/>
  <c r="Y40" i="2"/>
  <c r="X40" i="2"/>
  <c r="Y39" i="2"/>
  <c r="X39" i="2"/>
  <c r="Y38" i="2"/>
  <c r="X38" i="2"/>
  <c r="Y37" i="2"/>
  <c r="X37" i="2"/>
  <c r="Y36" i="2"/>
  <c r="X36" i="2"/>
  <c r="Y35" i="2"/>
  <c r="X35" i="2"/>
  <c r="Y34" i="2"/>
  <c r="X34" i="2"/>
  <c r="Y33" i="2"/>
  <c r="X33" i="2"/>
  <c r="Y32" i="2"/>
  <c r="X32" i="2"/>
  <c r="Y31" i="2"/>
  <c r="X31" i="2"/>
  <c r="Y30" i="2"/>
  <c r="X30" i="2"/>
  <c r="Y29" i="2"/>
  <c r="X29" i="2"/>
  <c r="Y28" i="2"/>
  <c r="X28" i="2"/>
  <c r="Y27" i="2"/>
  <c r="X27" i="2"/>
  <c r="Y26" i="2"/>
  <c r="X26" i="2"/>
  <c r="Y25" i="2"/>
  <c r="X25" i="2"/>
  <c r="Y24" i="2"/>
  <c r="X24" i="2"/>
  <c r="Y23" i="2"/>
  <c r="X23" i="2"/>
  <c r="Y22" i="2"/>
  <c r="X22" i="2"/>
  <c r="Y21" i="2"/>
  <c r="X21" i="2"/>
  <c r="Y20" i="2"/>
  <c r="X20" i="2"/>
  <c r="Y19" i="2"/>
  <c r="X19" i="2"/>
  <c r="Y18" i="2"/>
  <c r="X18" i="2"/>
  <c r="Y17" i="2"/>
  <c r="X17" i="2"/>
  <c r="Y16" i="2"/>
  <c r="X16" i="2"/>
  <c r="Y15" i="2"/>
  <c r="X15" i="2"/>
  <c r="Y14" i="2"/>
  <c r="X14" i="2"/>
  <c r="Y13" i="2"/>
  <c r="X13" i="2"/>
  <c r="Y12" i="2"/>
  <c r="X12" i="2"/>
  <c r="Y11" i="2"/>
  <c r="X11" i="2"/>
  <c r="Y10" i="2"/>
  <c r="X10" i="2"/>
  <c r="Y9" i="2"/>
  <c r="X9" i="2"/>
  <c r="Y8" i="2"/>
  <c r="X8" i="2"/>
  <c r="Y7" i="2"/>
  <c r="X7" i="2"/>
  <c r="Y6" i="2"/>
  <c r="X6" i="2"/>
  <c r="Y5" i="2"/>
  <c r="X5" i="2"/>
  <c r="Y4" i="2"/>
  <c r="X4" i="2"/>
  <c r="Y3" i="2"/>
  <c r="X3" i="2"/>
  <c r="X2" i="2"/>
  <c r="Y2" i="2"/>
  <c r="O2" i="2"/>
  <c r="N2" i="2"/>
  <c r="AA2" i="2"/>
  <c r="AE2" i="2"/>
  <c r="AF2" i="2"/>
  <c r="V2" i="2"/>
  <c r="AD2" i="2"/>
  <c r="U2" i="2"/>
  <c r="T2" i="2"/>
  <c r="AC2" i="2"/>
  <c r="S2" i="2"/>
  <c r="AB2" i="2"/>
  <c r="R2" i="2"/>
  <c r="Q2" i="2"/>
  <c r="L2" i="2"/>
  <c r="I3" i="2"/>
  <c r="AF3" i="2" s="1"/>
  <c r="K2" i="2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Q2" i="1"/>
  <c r="N102" i="1"/>
  <c r="M102" i="1"/>
  <c r="L102" i="1"/>
  <c r="K102" i="1"/>
  <c r="J102" i="1"/>
  <c r="I102" i="1"/>
  <c r="H102" i="1"/>
  <c r="G102" i="1"/>
  <c r="F102" i="1"/>
  <c r="E102" i="1"/>
  <c r="N101" i="1"/>
  <c r="M101" i="1"/>
  <c r="L101" i="1"/>
  <c r="K101" i="1"/>
  <c r="J101" i="1"/>
  <c r="I101" i="1"/>
  <c r="H101" i="1"/>
  <c r="G101" i="1"/>
  <c r="F101" i="1"/>
  <c r="E101" i="1"/>
  <c r="N100" i="1"/>
  <c r="M100" i="1"/>
  <c r="L100" i="1"/>
  <c r="K100" i="1"/>
  <c r="J100" i="1"/>
  <c r="I100" i="1"/>
  <c r="H100" i="1"/>
  <c r="G100" i="1"/>
  <c r="F100" i="1"/>
  <c r="E100" i="1"/>
  <c r="N99" i="1"/>
  <c r="M99" i="1"/>
  <c r="L99" i="1"/>
  <c r="K99" i="1"/>
  <c r="J99" i="1"/>
  <c r="I99" i="1"/>
  <c r="H99" i="1"/>
  <c r="G99" i="1"/>
  <c r="F99" i="1"/>
  <c r="E99" i="1"/>
  <c r="N98" i="1"/>
  <c r="M98" i="1"/>
  <c r="L98" i="1"/>
  <c r="K98" i="1"/>
  <c r="J98" i="1"/>
  <c r="I98" i="1"/>
  <c r="H98" i="1"/>
  <c r="G98" i="1"/>
  <c r="F98" i="1"/>
  <c r="E98" i="1"/>
  <c r="N97" i="1"/>
  <c r="M97" i="1"/>
  <c r="L97" i="1"/>
  <c r="K97" i="1"/>
  <c r="J97" i="1"/>
  <c r="I97" i="1"/>
  <c r="H97" i="1"/>
  <c r="G97" i="1"/>
  <c r="F97" i="1"/>
  <c r="E97" i="1"/>
  <c r="N96" i="1"/>
  <c r="M96" i="1"/>
  <c r="L96" i="1"/>
  <c r="K96" i="1"/>
  <c r="J96" i="1"/>
  <c r="I96" i="1"/>
  <c r="H96" i="1"/>
  <c r="G96" i="1"/>
  <c r="F96" i="1"/>
  <c r="E96" i="1"/>
  <c r="N95" i="1"/>
  <c r="M95" i="1"/>
  <c r="L95" i="1"/>
  <c r="K95" i="1"/>
  <c r="J95" i="1"/>
  <c r="I95" i="1"/>
  <c r="H95" i="1"/>
  <c r="G95" i="1"/>
  <c r="F95" i="1"/>
  <c r="E95" i="1"/>
  <c r="N94" i="1"/>
  <c r="M94" i="1"/>
  <c r="L94" i="1"/>
  <c r="K94" i="1"/>
  <c r="J94" i="1"/>
  <c r="I94" i="1"/>
  <c r="H94" i="1"/>
  <c r="G94" i="1"/>
  <c r="F94" i="1"/>
  <c r="E94" i="1"/>
  <c r="N93" i="1"/>
  <c r="M93" i="1"/>
  <c r="L93" i="1"/>
  <c r="K93" i="1"/>
  <c r="J93" i="1"/>
  <c r="I93" i="1"/>
  <c r="H93" i="1"/>
  <c r="G93" i="1"/>
  <c r="F93" i="1"/>
  <c r="E93" i="1"/>
  <c r="N92" i="1"/>
  <c r="M92" i="1"/>
  <c r="L92" i="1"/>
  <c r="K92" i="1"/>
  <c r="J92" i="1"/>
  <c r="I92" i="1"/>
  <c r="H92" i="1"/>
  <c r="G92" i="1"/>
  <c r="F92" i="1"/>
  <c r="E92" i="1"/>
  <c r="N91" i="1"/>
  <c r="M91" i="1"/>
  <c r="L91" i="1"/>
  <c r="K91" i="1"/>
  <c r="J91" i="1"/>
  <c r="I91" i="1"/>
  <c r="H91" i="1"/>
  <c r="G91" i="1"/>
  <c r="F91" i="1"/>
  <c r="E91" i="1"/>
  <c r="N90" i="1"/>
  <c r="M90" i="1"/>
  <c r="L90" i="1"/>
  <c r="K90" i="1"/>
  <c r="J90" i="1"/>
  <c r="I90" i="1"/>
  <c r="H90" i="1"/>
  <c r="G90" i="1"/>
  <c r="F90" i="1"/>
  <c r="E90" i="1"/>
  <c r="N89" i="1"/>
  <c r="M89" i="1"/>
  <c r="L89" i="1"/>
  <c r="K89" i="1"/>
  <c r="J89" i="1"/>
  <c r="I89" i="1"/>
  <c r="H89" i="1"/>
  <c r="G89" i="1"/>
  <c r="F89" i="1"/>
  <c r="E89" i="1"/>
  <c r="N88" i="1"/>
  <c r="M88" i="1"/>
  <c r="L88" i="1"/>
  <c r="K88" i="1"/>
  <c r="J88" i="1"/>
  <c r="I88" i="1"/>
  <c r="H88" i="1"/>
  <c r="G88" i="1"/>
  <c r="F88" i="1"/>
  <c r="E88" i="1"/>
  <c r="N87" i="1"/>
  <c r="M87" i="1"/>
  <c r="L87" i="1"/>
  <c r="K87" i="1"/>
  <c r="J87" i="1"/>
  <c r="I87" i="1"/>
  <c r="H87" i="1"/>
  <c r="G87" i="1"/>
  <c r="F87" i="1"/>
  <c r="E87" i="1"/>
  <c r="N86" i="1"/>
  <c r="M86" i="1"/>
  <c r="L86" i="1"/>
  <c r="K86" i="1"/>
  <c r="J86" i="1"/>
  <c r="I86" i="1"/>
  <c r="H86" i="1"/>
  <c r="G86" i="1"/>
  <c r="F86" i="1"/>
  <c r="E86" i="1"/>
  <c r="N85" i="1"/>
  <c r="M85" i="1"/>
  <c r="L85" i="1"/>
  <c r="K85" i="1"/>
  <c r="J85" i="1"/>
  <c r="I85" i="1"/>
  <c r="H85" i="1"/>
  <c r="G85" i="1"/>
  <c r="F85" i="1"/>
  <c r="E85" i="1"/>
  <c r="N84" i="1"/>
  <c r="M84" i="1"/>
  <c r="L84" i="1"/>
  <c r="K84" i="1"/>
  <c r="J84" i="1"/>
  <c r="I84" i="1"/>
  <c r="H84" i="1"/>
  <c r="G84" i="1"/>
  <c r="F84" i="1"/>
  <c r="E84" i="1"/>
  <c r="N83" i="1"/>
  <c r="M83" i="1"/>
  <c r="L83" i="1"/>
  <c r="K83" i="1"/>
  <c r="J83" i="1"/>
  <c r="I83" i="1"/>
  <c r="H83" i="1"/>
  <c r="G83" i="1"/>
  <c r="F83" i="1"/>
  <c r="E83" i="1"/>
  <c r="N82" i="1"/>
  <c r="M82" i="1"/>
  <c r="L82" i="1"/>
  <c r="K82" i="1"/>
  <c r="J82" i="1"/>
  <c r="I82" i="1"/>
  <c r="H82" i="1"/>
  <c r="G82" i="1"/>
  <c r="F82" i="1"/>
  <c r="E82" i="1"/>
  <c r="N81" i="1"/>
  <c r="M81" i="1"/>
  <c r="L81" i="1"/>
  <c r="K81" i="1"/>
  <c r="J81" i="1"/>
  <c r="I81" i="1"/>
  <c r="H81" i="1"/>
  <c r="G81" i="1"/>
  <c r="F81" i="1"/>
  <c r="E81" i="1"/>
  <c r="N80" i="1"/>
  <c r="M80" i="1"/>
  <c r="L80" i="1"/>
  <c r="K80" i="1"/>
  <c r="J80" i="1"/>
  <c r="I80" i="1"/>
  <c r="H80" i="1"/>
  <c r="G80" i="1"/>
  <c r="F80" i="1"/>
  <c r="E80" i="1"/>
  <c r="N79" i="1"/>
  <c r="M79" i="1"/>
  <c r="L79" i="1"/>
  <c r="K79" i="1"/>
  <c r="J79" i="1"/>
  <c r="I79" i="1"/>
  <c r="H79" i="1"/>
  <c r="G79" i="1"/>
  <c r="F79" i="1"/>
  <c r="E79" i="1"/>
  <c r="N78" i="1"/>
  <c r="M78" i="1"/>
  <c r="L78" i="1"/>
  <c r="K78" i="1"/>
  <c r="J78" i="1"/>
  <c r="I78" i="1"/>
  <c r="H78" i="1"/>
  <c r="G78" i="1"/>
  <c r="F78" i="1"/>
  <c r="E78" i="1"/>
  <c r="N77" i="1"/>
  <c r="M77" i="1"/>
  <c r="L77" i="1"/>
  <c r="K77" i="1"/>
  <c r="J77" i="1"/>
  <c r="I77" i="1"/>
  <c r="H77" i="1"/>
  <c r="G77" i="1"/>
  <c r="F77" i="1"/>
  <c r="E77" i="1"/>
  <c r="N76" i="1"/>
  <c r="M76" i="1"/>
  <c r="L76" i="1"/>
  <c r="K76" i="1"/>
  <c r="J76" i="1"/>
  <c r="I76" i="1"/>
  <c r="H76" i="1"/>
  <c r="G76" i="1"/>
  <c r="F76" i="1"/>
  <c r="E76" i="1"/>
  <c r="N75" i="1"/>
  <c r="M75" i="1"/>
  <c r="L75" i="1"/>
  <c r="K75" i="1"/>
  <c r="J75" i="1"/>
  <c r="I75" i="1"/>
  <c r="H75" i="1"/>
  <c r="G75" i="1"/>
  <c r="F75" i="1"/>
  <c r="E75" i="1"/>
  <c r="N74" i="1"/>
  <c r="M74" i="1"/>
  <c r="L74" i="1"/>
  <c r="K74" i="1"/>
  <c r="J74" i="1"/>
  <c r="I74" i="1"/>
  <c r="H74" i="1"/>
  <c r="G74" i="1"/>
  <c r="F74" i="1"/>
  <c r="E74" i="1"/>
  <c r="N73" i="1"/>
  <c r="M73" i="1"/>
  <c r="L73" i="1"/>
  <c r="K73" i="1"/>
  <c r="J73" i="1"/>
  <c r="I73" i="1"/>
  <c r="H73" i="1"/>
  <c r="G73" i="1"/>
  <c r="F73" i="1"/>
  <c r="E73" i="1"/>
  <c r="N72" i="1"/>
  <c r="M72" i="1"/>
  <c r="L72" i="1"/>
  <c r="K72" i="1"/>
  <c r="J72" i="1"/>
  <c r="I72" i="1"/>
  <c r="H72" i="1"/>
  <c r="G72" i="1"/>
  <c r="F72" i="1"/>
  <c r="E72" i="1"/>
  <c r="N71" i="1"/>
  <c r="M71" i="1"/>
  <c r="L71" i="1"/>
  <c r="K71" i="1"/>
  <c r="J71" i="1"/>
  <c r="I71" i="1"/>
  <c r="H71" i="1"/>
  <c r="G71" i="1"/>
  <c r="F71" i="1"/>
  <c r="E71" i="1"/>
  <c r="N70" i="1"/>
  <c r="M70" i="1"/>
  <c r="L70" i="1"/>
  <c r="K70" i="1"/>
  <c r="J70" i="1"/>
  <c r="I70" i="1"/>
  <c r="H70" i="1"/>
  <c r="G70" i="1"/>
  <c r="F70" i="1"/>
  <c r="E70" i="1"/>
  <c r="N69" i="1"/>
  <c r="M69" i="1"/>
  <c r="L69" i="1"/>
  <c r="K69" i="1"/>
  <c r="J69" i="1"/>
  <c r="I69" i="1"/>
  <c r="H69" i="1"/>
  <c r="G69" i="1"/>
  <c r="F69" i="1"/>
  <c r="E69" i="1"/>
  <c r="N68" i="1"/>
  <c r="M68" i="1"/>
  <c r="L68" i="1"/>
  <c r="K68" i="1"/>
  <c r="J68" i="1"/>
  <c r="I68" i="1"/>
  <c r="H68" i="1"/>
  <c r="G68" i="1"/>
  <c r="F68" i="1"/>
  <c r="E68" i="1"/>
  <c r="N67" i="1"/>
  <c r="M67" i="1"/>
  <c r="L67" i="1"/>
  <c r="K67" i="1"/>
  <c r="J67" i="1"/>
  <c r="I67" i="1"/>
  <c r="H67" i="1"/>
  <c r="G67" i="1"/>
  <c r="F67" i="1"/>
  <c r="E67" i="1"/>
  <c r="N66" i="1"/>
  <c r="M66" i="1"/>
  <c r="L66" i="1"/>
  <c r="K66" i="1"/>
  <c r="J66" i="1"/>
  <c r="I66" i="1"/>
  <c r="H66" i="1"/>
  <c r="G66" i="1"/>
  <c r="F66" i="1"/>
  <c r="E66" i="1"/>
  <c r="N65" i="1"/>
  <c r="M65" i="1"/>
  <c r="L65" i="1"/>
  <c r="K65" i="1"/>
  <c r="J65" i="1"/>
  <c r="I65" i="1"/>
  <c r="H65" i="1"/>
  <c r="G65" i="1"/>
  <c r="F65" i="1"/>
  <c r="E65" i="1"/>
  <c r="N64" i="1"/>
  <c r="M64" i="1"/>
  <c r="L64" i="1"/>
  <c r="K64" i="1"/>
  <c r="J64" i="1"/>
  <c r="I64" i="1"/>
  <c r="H64" i="1"/>
  <c r="G64" i="1"/>
  <c r="F64" i="1"/>
  <c r="E64" i="1"/>
  <c r="N63" i="1"/>
  <c r="M63" i="1"/>
  <c r="L63" i="1"/>
  <c r="K63" i="1"/>
  <c r="J63" i="1"/>
  <c r="I63" i="1"/>
  <c r="H63" i="1"/>
  <c r="G63" i="1"/>
  <c r="F63" i="1"/>
  <c r="E63" i="1"/>
  <c r="N62" i="1"/>
  <c r="M62" i="1"/>
  <c r="L62" i="1"/>
  <c r="K62" i="1"/>
  <c r="J62" i="1"/>
  <c r="I62" i="1"/>
  <c r="H62" i="1"/>
  <c r="G62" i="1"/>
  <c r="F62" i="1"/>
  <c r="E62" i="1"/>
  <c r="N61" i="1"/>
  <c r="M61" i="1"/>
  <c r="L61" i="1"/>
  <c r="K61" i="1"/>
  <c r="J61" i="1"/>
  <c r="I61" i="1"/>
  <c r="H61" i="1"/>
  <c r="G61" i="1"/>
  <c r="F61" i="1"/>
  <c r="E61" i="1"/>
  <c r="N60" i="1"/>
  <c r="M60" i="1"/>
  <c r="L60" i="1"/>
  <c r="K60" i="1"/>
  <c r="J60" i="1"/>
  <c r="I60" i="1"/>
  <c r="H60" i="1"/>
  <c r="G60" i="1"/>
  <c r="F60" i="1"/>
  <c r="E60" i="1"/>
  <c r="N59" i="1"/>
  <c r="M59" i="1"/>
  <c r="L59" i="1"/>
  <c r="K59" i="1"/>
  <c r="J59" i="1"/>
  <c r="I59" i="1"/>
  <c r="H59" i="1"/>
  <c r="G59" i="1"/>
  <c r="F59" i="1"/>
  <c r="E59" i="1"/>
  <c r="N58" i="1"/>
  <c r="M58" i="1"/>
  <c r="L58" i="1"/>
  <c r="K58" i="1"/>
  <c r="J58" i="1"/>
  <c r="I58" i="1"/>
  <c r="H58" i="1"/>
  <c r="G58" i="1"/>
  <c r="F58" i="1"/>
  <c r="E58" i="1"/>
  <c r="N57" i="1"/>
  <c r="M57" i="1"/>
  <c r="L57" i="1"/>
  <c r="K57" i="1"/>
  <c r="J57" i="1"/>
  <c r="I57" i="1"/>
  <c r="H57" i="1"/>
  <c r="G57" i="1"/>
  <c r="F57" i="1"/>
  <c r="E57" i="1"/>
  <c r="N56" i="1"/>
  <c r="M56" i="1"/>
  <c r="L56" i="1"/>
  <c r="K56" i="1"/>
  <c r="J56" i="1"/>
  <c r="I56" i="1"/>
  <c r="H56" i="1"/>
  <c r="G56" i="1"/>
  <c r="F56" i="1"/>
  <c r="E56" i="1"/>
  <c r="N55" i="1"/>
  <c r="M55" i="1"/>
  <c r="L55" i="1"/>
  <c r="K55" i="1"/>
  <c r="J55" i="1"/>
  <c r="I55" i="1"/>
  <c r="H55" i="1"/>
  <c r="G55" i="1"/>
  <c r="F55" i="1"/>
  <c r="E55" i="1"/>
  <c r="N54" i="1"/>
  <c r="M54" i="1"/>
  <c r="L54" i="1"/>
  <c r="K54" i="1"/>
  <c r="J54" i="1"/>
  <c r="I54" i="1"/>
  <c r="H54" i="1"/>
  <c r="G54" i="1"/>
  <c r="F54" i="1"/>
  <c r="E54" i="1"/>
  <c r="N53" i="1"/>
  <c r="M53" i="1"/>
  <c r="L53" i="1"/>
  <c r="K53" i="1"/>
  <c r="J53" i="1"/>
  <c r="I53" i="1"/>
  <c r="H53" i="1"/>
  <c r="G53" i="1"/>
  <c r="F53" i="1"/>
  <c r="E53" i="1"/>
  <c r="N52" i="1"/>
  <c r="M52" i="1"/>
  <c r="L52" i="1"/>
  <c r="K52" i="1"/>
  <c r="J52" i="1"/>
  <c r="I52" i="1"/>
  <c r="H52" i="1"/>
  <c r="G52" i="1"/>
  <c r="F52" i="1"/>
  <c r="E52" i="1"/>
  <c r="N51" i="1"/>
  <c r="M51" i="1"/>
  <c r="L51" i="1"/>
  <c r="K51" i="1"/>
  <c r="J51" i="1"/>
  <c r="I51" i="1"/>
  <c r="H51" i="1"/>
  <c r="G51" i="1"/>
  <c r="F51" i="1"/>
  <c r="E51" i="1"/>
  <c r="N50" i="1"/>
  <c r="M50" i="1"/>
  <c r="L50" i="1"/>
  <c r="K50" i="1"/>
  <c r="J50" i="1"/>
  <c r="I50" i="1"/>
  <c r="H50" i="1"/>
  <c r="G50" i="1"/>
  <c r="F50" i="1"/>
  <c r="E50" i="1"/>
  <c r="N49" i="1"/>
  <c r="M49" i="1"/>
  <c r="L49" i="1"/>
  <c r="K49" i="1"/>
  <c r="J49" i="1"/>
  <c r="I49" i="1"/>
  <c r="H49" i="1"/>
  <c r="G49" i="1"/>
  <c r="F49" i="1"/>
  <c r="E49" i="1"/>
  <c r="N48" i="1"/>
  <c r="M48" i="1"/>
  <c r="L48" i="1"/>
  <c r="K48" i="1"/>
  <c r="J48" i="1"/>
  <c r="I48" i="1"/>
  <c r="H48" i="1"/>
  <c r="G48" i="1"/>
  <c r="F48" i="1"/>
  <c r="E48" i="1"/>
  <c r="N47" i="1"/>
  <c r="M47" i="1"/>
  <c r="L47" i="1"/>
  <c r="K47" i="1"/>
  <c r="J47" i="1"/>
  <c r="I47" i="1"/>
  <c r="H47" i="1"/>
  <c r="G47" i="1"/>
  <c r="F47" i="1"/>
  <c r="E47" i="1"/>
  <c r="N46" i="1"/>
  <c r="M46" i="1"/>
  <c r="L46" i="1"/>
  <c r="K46" i="1"/>
  <c r="J46" i="1"/>
  <c r="I46" i="1"/>
  <c r="H46" i="1"/>
  <c r="G46" i="1"/>
  <c r="F46" i="1"/>
  <c r="E46" i="1"/>
  <c r="N45" i="1"/>
  <c r="M45" i="1"/>
  <c r="L45" i="1"/>
  <c r="K45" i="1"/>
  <c r="J45" i="1"/>
  <c r="I45" i="1"/>
  <c r="H45" i="1"/>
  <c r="G45" i="1"/>
  <c r="F45" i="1"/>
  <c r="E45" i="1"/>
  <c r="N44" i="1"/>
  <c r="M44" i="1"/>
  <c r="L44" i="1"/>
  <c r="K44" i="1"/>
  <c r="J44" i="1"/>
  <c r="I44" i="1"/>
  <c r="H44" i="1"/>
  <c r="G44" i="1"/>
  <c r="F44" i="1"/>
  <c r="E44" i="1"/>
  <c r="N43" i="1"/>
  <c r="M43" i="1"/>
  <c r="L43" i="1"/>
  <c r="K43" i="1"/>
  <c r="J43" i="1"/>
  <c r="I43" i="1"/>
  <c r="H43" i="1"/>
  <c r="G43" i="1"/>
  <c r="F43" i="1"/>
  <c r="E43" i="1"/>
  <c r="N42" i="1"/>
  <c r="M42" i="1"/>
  <c r="L42" i="1"/>
  <c r="K42" i="1"/>
  <c r="J42" i="1"/>
  <c r="I42" i="1"/>
  <c r="H42" i="1"/>
  <c r="G42" i="1"/>
  <c r="F42" i="1"/>
  <c r="E42" i="1"/>
  <c r="N41" i="1"/>
  <c r="M41" i="1"/>
  <c r="L41" i="1"/>
  <c r="K41" i="1"/>
  <c r="J41" i="1"/>
  <c r="I41" i="1"/>
  <c r="H41" i="1"/>
  <c r="G41" i="1"/>
  <c r="F41" i="1"/>
  <c r="E41" i="1"/>
  <c r="N40" i="1"/>
  <c r="M40" i="1"/>
  <c r="L40" i="1"/>
  <c r="K40" i="1"/>
  <c r="J40" i="1"/>
  <c r="I40" i="1"/>
  <c r="H40" i="1"/>
  <c r="G40" i="1"/>
  <c r="F40" i="1"/>
  <c r="E40" i="1"/>
  <c r="N39" i="1"/>
  <c r="M39" i="1"/>
  <c r="L39" i="1"/>
  <c r="K39" i="1"/>
  <c r="J39" i="1"/>
  <c r="I39" i="1"/>
  <c r="H39" i="1"/>
  <c r="G39" i="1"/>
  <c r="F39" i="1"/>
  <c r="E39" i="1"/>
  <c r="N38" i="1"/>
  <c r="M38" i="1"/>
  <c r="L38" i="1"/>
  <c r="K38" i="1"/>
  <c r="J38" i="1"/>
  <c r="I38" i="1"/>
  <c r="H38" i="1"/>
  <c r="G38" i="1"/>
  <c r="F38" i="1"/>
  <c r="E38" i="1"/>
  <c r="N37" i="1"/>
  <c r="M37" i="1"/>
  <c r="L37" i="1"/>
  <c r="K37" i="1"/>
  <c r="J37" i="1"/>
  <c r="I37" i="1"/>
  <c r="H37" i="1"/>
  <c r="G37" i="1"/>
  <c r="F37" i="1"/>
  <c r="E37" i="1"/>
  <c r="N36" i="1"/>
  <c r="M36" i="1"/>
  <c r="L36" i="1"/>
  <c r="K36" i="1"/>
  <c r="J36" i="1"/>
  <c r="I36" i="1"/>
  <c r="H36" i="1"/>
  <c r="G36" i="1"/>
  <c r="F36" i="1"/>
  <c r="E36" i="1"/>
  <c r="N35" i="1"/>
  <c r="M35" i="1"/>
  <c r="L35" i="1"/>
  <c r="K35" i="1"/>
  <c r="J35" i="1"/>
  <c r="I35" i="1"/>
  <c r="H35" i="1"/>
  <c r="G35" i="1"/>
  <c r="F35" i="1"/>
  <c r="E35" i="1"/>
  <c r="N34" i="1"/>
  <c r="M34" i="1"/>
  <c r="L34" i="1"/>
  <c r="K34" i="1"/>
  <c r="J34" i="1"/>
  <c r="I34" i="1"/>
  <c r="H34" i="1"/>
  <c r="G34" i="1"/>
  <c r="F34" i="1"/>
  <c r="E34" i="1"/>
  <c r="N33" i="1"/>
  <c r="M33" i="1"/>
  <c r="L33" i="1"/>
  <c r="K33" i="1"/>
  <c r="J33" i="1"/>
  <c r="I33" i="1"/>
  <c r="H33" i="1"/>
  <c r="G33" i="1"/>
  <c r="F33" i="1"/>
  <c r="E33" i="1"/>
  <c r="N32" i="1"/>
  <c r="M32" i="1"/>
  <c r="L32" i="1"/>
  <c r="K32" i="1"/>
  <c r="J32" i="1"/>
  <c r="I32" i="1"/>
  <c r="H32" i="1"/>
  <c r="G32" i="1"/>
  <c r="F32" i="1"/>
  <c r="E32" i="1"/>
  <c r="N31" i="1"/>
  <c r="M31" i="1"/>
  <c r="L31" i="1"/>
  <c r="K31" i="1"/>
  <c r="J31" i="1"/>
  <c r="I31" i="1"/>
  <c r="H31" i="1"/>
  <c r="G31" i="1"/>
  <c r="F31" i="1"/>
  <c r="E31" i="1"/>
  <c r="N30" i="1"/>
  <c r="M30" i="1"/>
  <c r="L30" i="1"/>
  <c r="K30" i="1"/>
  <c r="J30" i="1"/>
  <c r="I30" i="1"/>
  <c r="H30" i="1"/>
  <c r="G30" i="1"/>
  <c r="F30" i="1"/>
  <c r="E30" i="1"/>
  <c r="N29" i="1"/>
  <c r="M29" i="1"/>
  <c r="L29" i="1"/>
  <c r="K29" i="1"/>
  <c r="J29" i="1"/>
  <c r="I29" i="1"/>
  <c r="H29" i="1"/>
  <c r="G29" i="1"/>
  <c r="F29" i="1"/>
  <c r="E29" i="1"/>
  <c r="N28" i="1"/>
  <c r="M28" i="1"/>
  <c r="L28" i="1"/>
  <c r="K28" i="1"/>
  <c r="J28" i="1"/>
  <c r="I28" i="1"/>
  <c r="H28" i="1"/>
  <c r="G28" i="1"/>
  <c r="F28" i="1"/>
  <c r="E28" i="1"/>
  <c r="N27" i="1"/>
  <c r="M27" i="1"/>
  <c r="L27" i="1"/>
  <c r="K27" i="1"/>
  <c r="J27" i="1"/>
  <c r="I27" i="1"/>
  <c r="H27" i="1"/>
  <c r="G27" i="1"/>
  <c r="F27" i="1"/>
  <c r="E27" i="1"/>
  <c r="N26" i="1"/>
  <c r="M26" i="1"/>
  <c r="L26" i="1"/>
  <c r="K26" i="1"/>
  <c r="J26" i="1"/>
  <c r="I26" i="1"/>
  <c r="H26" i="1"/>
  <c r="G26" i="1"/>
  <c r="F26" i="1"/>
  <c r="E26" i="1"/>
  <c r="N25" i="1"/>
  <c r="M25" i="1"/>
  <c r="L25" i="1"/>
  <c r="K25" i="1"/>
  <c r="J25" i="1"/>
  <c r="I25" i="1"/>
  <c r="H25" i="1"/>
  <c r="G25" i="1"/>
  <c r="F25" i="1"/>
  <c r="E25" i="1"/>
  <c r="N24" i="1"/>
  <c r="M24" i="1"/>
  <c r="L24" i="1"/>
  <c r="K24" i="1"/>
  <c r="J24" i="1"/>
  <c r="I24" i="1"/>
  <c r="H24" i="1"/>
  <c r="G24" i="1"/>
  <c r="F24" i="1"/>
  <c r="E24" i="1"/>
  <c r="N23" i="1"/>
  <c r="M23" i="1"/>
  <c r="L23" i="1"/>
  <c r="K23" i="1"/>
  <c r="J23" i="1"/>
  <c r="I23" i="1"/>
  <c r="H23" i="1"/>
  <c r="G23" i="1"/>
  <c r="F23" i="1"/>
  <c r="E23" i="1"/>
  <c r="N22" i="1"/>
  <c r="M22" i="1"/>
  <c r="L22" i="1"/>
  <c r="K22" i="1"/>
  <c r="J22" i="1"/>
  <c r="I22" i="1"/>
  <c r="H22" i="1"/>
  <c r="G22" i="1"/>
  <c r="F22" i="1"/>
  <c r="E22" i="1"/>
  <c r="N21" i="1"/>
  <c r="M21" i="1"/>
  <c r="L21" i="1"/>
  <c r="K21" i="1"/>
  <c r="J21" i="1"/>
  <c r="I21" i="1"/>
  <c r="H21" i="1"/>
  <c r="G21" i="1"/>
  <c r="F21" i="1"/>
  <c r="E21" i="1"/>
  <c r="N20" i="1"/>
  <c r="M20" i="1"/>
  <c r="L20" i="1"/>
  <c r="K20" i="1"/>
  <c r="J20" i="1"/>
  <c r="I20" i="1"/>
  <c r="H20" i="1"/>
  <c r="G20" i="1"/>
  <c r="F20" i="1"/>
  <c r="E20" i="1"/>
  <c r="N19" i="1"/>
  <c r="M19" i="1"/>
  <c r="L19" i="1"/>
  <c r="K19" i="1"/>
  <c r="J19" i="1"/>
  <c r="I19" i="1"/>
  <c r="H19" i="1"/>
  <c r="G19" i="1"/>
  <c r="F19" i="1"/>
  <c r="E19" i="1"/>
  <c r="N18" i="1"/>
  <c r="M18" i="1"/>
  <c r="L18" i="1"/>
  <c r="K18" i="1"/>
  <c r="J18" i="1"/>
  <c r="I18" i="1"/>
  <c r="H18" i="1"/>
  <c r="G18" i="1"/>
  <c r="F18" i="1"/>
  <c r="E18" i="1"/>
  <c r="N17" i="1"/>
  <c r="M17" i="1"/>
  <c r="L17" i="1"/>
  <c r="K17" i="1"/>
  <c r="J17" i="1"/>
  <c r="I17" i="1"/>
  <c r="H17" i="1"/>
  <c r="G17" i="1"/>
  <c r="F17" i="1"/>
  <c r="E17" i="1"/>
  <c r="N16" i="1"/>
  <c r="M16" i="1"/>
  <c r="L16" i="1"/>
  <c r="K16" i="1"/>
  <c r="J16" i="1"/>
  <c r="I16" i="1"/>
  <c r="H16" i="1"/>
  <c r="G16" i="1"/>
  <c r="F16" i="1"/>
  <c r="E16" i="1"/>
  <c r="N15" i="1"/>
  <c r="M15" i="1"/>
  <c r="L15" i="1"/>
  <c r="K15" i="1"/>
  <c r="J15" i="1"/>
  <c r="I15" i="1"/>
  <c r="H15" i="1"/>
  <c r="G15" i="1"/>
  <c r="F15" i="1"/>
  <c r="E15" i="1"/>
  <c r="N14" i="1"/>
  <c r="M14" i="1"/>
  <c r="L14" i="1"/>
  <c r="K14" i="1"/>
  <c r="J14" i="1"/>
  <c r="I14" i="1"/>
  <c r="H14" i="1"/>
  <c r="G14" i="1"/>
  <c r="F14" i="1"/>
  <c r="E14" i="1"/>
  <c r="N13" i="1"/>
  <c r="M13" i="1"/>
  <c r="L13" i="1"/>
  <c r="K13" i="1"/>
  <c r="J13" i="1"/>
  <c r="I13" i="1"/>
  <c r="H13" i="1"/>
  <c r="G13" i="1"/>
  <c r="F13" i="1"/>
  <c r="E13" i="1"/>
  <c r="N12" i="1"/>
  <c r="M12" i="1"/>
  <c r="L12" i="1"/>
  <c r="K12" i="1"/>
  <c r="J12" i="1"/>
  <c r="I12" i="1"/>
  <c r="H12" i="1"/>
  <c r="G12" i="1"/>
  <c r="F12" i="1"/>
  <c r="E12" i="1"/>
  <c r="N11" i="1"/>
  <c r="M11" i="1"/>
  <c r="L11" i="1"/>
  <c r="K11" i="1"/>
  <c r="J11" i="1"/>
  <c r="I11" i="1"/>
  <c r="H11" i="1"/>
  <c r="G11" i="1"/>
  <c r="F11" i="1"/>
  <c r="E11" i="1"/>
  <c r="N10" i="1"/>
  <c r="M10" i="1"/>
  <c r="L10" i="1"/>
  <c r="K10" i="1"/>
  <c r="J10" i="1"/>
  <c r="I10" i="1"/>
  <c r="H10" i="1"/>
  <c r="G10" i="1"/>
  <c r="F10" i="1"/>
  <c r="E10" i="1"/>
  <c r="N9" i="1"/>
  <c r="M9" i="1"/>
  <c r="L9" i="1"/>
  <c r="K9" i="1"/>
  <c r="J9" i="1"/>
  <c r="I9" i="1"/>
  <c r="H9" i="1"/>
  <c r="G9" i="1"/>
  <c r="F9" i="1"/>
  <c r="E9" i="1"/>
  <c r="N8" i="1"/>
  <c r="M8" i="1"/>
  <c r="L8" i="1"/>
  <c r="K8" i="1"/>
  <c r="J8" i="1"/>
  <c r="I8" i="1"/>
  <c r="H8" i="1"/>
  <c r="G8" i="1"/>
  <c r="F8" i="1"/>
  <c r="E8" i="1"/>
  <c r="N7" i="1"/>
  <c r="M7" i="1"/>
  <c r="L7" i="1"/>
  <c r="K7" i="1"/>
  <c r="J7" i="1"/>
  <c r="I7" i="1"/>
  <c r="H7" i="1"/>
  <c r="G7" i="1"/>
  <c r="F7" i="1"/>
  <c r="E7" i="1"/>
  <c r="N6" i="1"/>
  <c r="M6" i="1"/>
  <c r="L6" i="1"/>
  <c r="K6" i="1"/>
  <c r="J6" i="1"/>
  <c r="I6" i="1"/>
  <c r="H6" i="1"/>
  <c r="G6" i="1"/>
  <c r="F6" i="1"/>
  <c r="E6" i="1"/>
  <c r="N5" i="1"/>
  <c r="M5" i="1"/>
  <c r="L5" i="1"/>
  <c r="K5" i="1"/>
  <c r="J5" i="1"/>
  <c r="I5" i="1"/>
  <c r="H5" i="1"/>
  <c r="G5" i="1"/>
  <c r="F5" i="1"/>
  <c r="E5" i="1"/>
  <c r="N4" i="1"/>
  <c r="M4" i="1"/>
  <c r="L4" i="1"/>
  <c r="K4" i="1"/>
  <c r="J4" i="1"/>
  <c r="I4" i="1"/>
  <c r="H4" i="1"/>
  <c r="G4" i="1"/>
  <c r="F4" i="1"/>
  <c r="E4" i="1"/>
  <c r="N3" i="1"/>
  <c r="M3" i="1"/>
  <c r="L3" i="1"/>
  <c r="K3" i="1"/>
  <c r="J3" i="1"/>
  <c r="I3" i="1"/>
  <c r="H3" i="1"/>
  <c r="G3" i="1"/>
  <c r="F3" i="1"/>
  <c r="E3" i="1"/>
  <c r="D4" i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3" i="1"/>
  <c r="I2" i="1"/>
  <c r="N2" i="1"/>
  <c r="M2" i="1"/>
  <c r="L2" i="1"/>
  <c r="K2" i="1"/>
  <c r="J2" i="1"/>
  <c r="H2" i="1"/>
  <c r="G2" i="1"/>
  <c r="F2" i="1"/>
  <c r="E2" i="1"/>
  <c r="X154" i="5" l="1"/>
  <c r="AB154" i="5"/>
  <c r="T154" i="5"/>
  <c r="AA154" i="5"/>
  <c r="Y154" i="5"/>
  <c r="U154" i="5"/>
  <c r="N154" i="5"/>
  <c r="L154" i="5"/>
  <c r="K154" i="5"/>
  <c r="I155" i="5"/>
  <c r="R155" i="5" s="1"/>
  <c r="S154" i="5"/>
  <c r="O153" i="5"/>
  <c r="N155" i="5"/>
  <c r="V154" i="5"/>
  <c r="AF154" i="5"/>
  <c r="R154" i="5"/>
  <c r="AE154" i="5"/>
  <c r="Q154" i="5"/>
  <c r="AD154" i="5"/>
  <c r="O154" i="5"/>
  <c r="AC154" i="5"/>
  <c r="X153" i="5"/>
  <c r="Y153" i="5"/>
  <c r="K153" i="5"/>
  <c r="X5" i="5"/>
  <c r="I6" i="5"/>
  <c r="V5" i="5"/>
  <c r="U5" i="5"/>
  <c r="T5" i="5"/>
  <c r="AA5" i="5"/>
  <c r="Y5" i="5"/>
  <c r="S5" i="5"/>
  <c r="R5" i="5"/>
  <c r="Q5" i="5"/>
  <c r="N5" i="5"/>
  <c r="AD5" i="5"/>
  <c r="AC5" i="5"/>
  <c r="AB5" i="5"/>
  <c r="O5" i="5"/>
  <c r="AF5" i="5"/>
  <c r="L5" i="5"/>
  <c r="AE5" i="5"/>
  <c r="K5" i="5"/>
  <c r="K4" i="5"/>
  <c r="L4" i="5"/>
  <c r="N4" i="5"/>
  <c r="O4" i="5"/>
  <c r="Q4" i="5"/>
  <c r="V4" i="5"/>
  <c r="U4" i="5"/>
  <c r="T4" i="5"/>
  <c r="S4" i="5"/>
  <c r="AF4" i="5"/>
  <c r="R4" i="5"/>
  <c r="AE4" i="5"/>
  <c r="X4" i="5"/>
  <c r="Y4" i="5"/>
  <c r="AA4" i="5"/>
  <c r="S3" i="5"/>
  <c r="AF3" i="5"/>
  <c r="R3" i="5"/>
  <c r="AE3" i="5"/>
  <c r="Q3" i="5"/>
  <c r="AD3" i="5"/>
  <c r="O3" i="5"/>
  <c r="AB4" i="5"/>
  <c r="K3" i="5"/>
  <c r="AC4" i="5"/>
  <c r="H4" i="4"/>
  <c r="G4" i="4"/>
  <c r="Q4" i="4" s="1"/>
  <c r="F4" i="4"/>
  <c r="D5" i="4"/>
  <c r="E4" i="4"/>
  <c r="I4" i="4"/>
  <c r="K4" i="4"/>
  <c r="L4" i="4"/>
  <c r="M4" i="4"/>
  <c r="N4" i="4"/>
  <c r="Q3" i="4"/>
  <c r="F3" i="4"/>
  <c r="G3" i="4"/>
  <c r="H3" i="4"/>
  <c r="O5" i="3"/>
  <c r="L5" i="3"/>
  <c r="K5" i="3"/>
  <c r="G5" i="3" s="1"/>
  <c r="U5" i="3"/>
  <c r="T5" i="3"/>
  <c r="AF5" i="3"/>
  <c r="AE5" i="3"/>
  <c r="AD5" i="3"/>
  <c r="AB5" i="3"/>
  <c r="S5" i="3"/>
  <c r="R5" i="3"/>
  <c r="Q5" i="3"/>
  <c r="AC5" i="3"/>
  <c r="N5" i="3"/>
  <c r="Y5" i="3"/>
  <c r="AA5" i="3"/>
  <c r="V5" i="3"/>
  <c r="I6" i="3"/>
  <c r="X5" i="3"/>
  <c r="G3" i="3"/>
  <c r="S4" i="3"/>
  <c r="N4" i="3"/>
  <c r="K4" i="3"/>
  <c r="G4" i="3" s="1"/>
  <c r="Y4" i="3"/>
  <c r="X4" i="3"/>
  <c r="AD4" i="3"/>
  <c r="AC4" i="3"/>
  <c r="AA4" i="3"/>
  <c r="V4" i="3"/>
  <c r="U4" i="3"/>
  <c r="T4" i="3"/>
  <c r="O4" i="3"/>
  <c r="Q3" i="3"/>
  <c r="AE3" i="3"/>
  <c r="R3" i="3"/>
  <c r="AF3" i="3"/>
  <c r="S3" i="3"/>
  <c r="G2" i="3"/>
  <c r="L4" i="3"/>
  <c r="AB4" i="3"/>
  <c r="Q4" i="3"/>
  <c r="AE4" i="3"/>
  <c r="R4" i="3"/>
  <c r="AF4" i="3"/>
  <c r="AA3" i="2"/>
  <c r="G2" i="2"/>
  <c r="N3" i="2"/>
  <c r="AC3" i="2"/>
  <c r="AD3" i="2"/>
  <c r="AE3" i="2"/>
  <c r="I4" i="2"/>
  <c r="AA4" i="2" s="1"/>
  <c r="AB3" i="2"/>
  <c r="L3" i="2"/>
  <c r="R3" i="2"/>
  <c r="S3" i="2"/>
  <c r="Q3" i="2"/>
  <c r="V3" i="2"/>
  <c r="T3" i="2"/>
  <c r="U3" i="2"/>
  <c r="O3" i="2"/>
  <c r="K3" i="2"/>
  <c r="S155" i="5" l="1"/>
  <c r="AA155" i="5"/>
  <c r="Q155" i="5"/>
  <c r="L155" i="5"/>
  <c r="K155" i="5"/>
  <c r="I156" i="5"/>
  <c r="AC155" i="5"/>
  <c r="T155" i="5"/>
  <c r="AD155" i="5"/>
  <c r="AE155" i="5"/>
  <c r="O155" i="5"/>
  <c r="V155" i="5"/>
  <c r="AF155" i="5"/>
  <c r="Y155" i="5"/>
  <c r="X155" i="5"/>
  <c r="AB155" i="5"/>
  <c r="U155" i="5"/>
  <c r="AD156" i="5"/>
  <c r="O156" i="5"/>
  <c r="AC156" i="5"/>
  <c r="N156" i="5"/>
  <c r="AB156" i="5"/>
  <c r="L156" i="5"/>
  <c r="V156" i="5"/>
  <c r="U156" i="5"/>
  <c r="Q156" i="5"/>
  <c r="AF156" i="5"/>
  <c r="AE156" i="5"/>
  <c r="AA156" i="5"/>
  <c r="Y156" i="5"/>
  <c r="X156" i="5"/>
  <c r="S156" i="5"/>
  <c r="K156" i="5"/>
  <c r="AD6" i="5"/>
  <c r="AA6" i="5"/>
  <c r="K6" i="5"/>
  <c r="Y6" i="5"/>
  <c r="X6" i="5"/>
  <c r="V6" i="5"/>
  <c r="S6" i="5"/>
  <c r="R6" i="5"/>
  <c r="Q6" i="5"/>
  <c r="U6" i="5"/>
  <c r="I7" i="5"/>
  <c r="O6" i="5"/>
  <c r="N6" i="5"/>
  <c r="AF6" i="5"/>
  <c r="T6" i="5"/>
  <c r="AB6" i="5"/>
  <c r="L6" i="5"/>
  <c r="AE6" i="5"/>
  <c r="AC6" i="5"/>
  <c r="G5" i="4"/>
  <c r="F5" i="4"/>
  <c r="D6" i="4"/>
  <c r="E5" i="4"/>
  <c r="Q5" i="4"/>
  <c r="N5" i="4"/>
  <c r="M5" i="4"/>
  <c r="L5" i="4"/>
  <c r="K5" i="4"/>
  <c r="J5" i="4"/>
  <c r="I5" i="4"/>
  <c r="H5" i="4"/>
  <c r="U6" i="3"/>
  <c r="AF6" i="3"/>
  <c r="R6" i="3"/>
  <c r="V6" i="3"/>
  <c r="I7" i="3"/>
  <c r="X6" i="3"/>
  <c r="Q6" i="3"/>
  <c r="T6" i="3"/>
  <c r="S6" i="3"/>
  <c r="AA6" i="3"/>
  <c r="Y6" i="3"/>
  <c r="O6" i="3"/>
  <c r="N6" i="3"/>
  <c r="L6" i="3"/>
  <c r="K6" i="3"/>
  <c r="AE6" i="3"/>
  <c r="AD6" i="3"/>
  <c r="AC6" i="3"/>
  <c r="AB6" i="3"/>
  <c r="U4" i="2"/>
  <c r="N4" i="2"/>
  <c r="L4" i="2"/>
  <c r="I5" i="2"/>
  <c r="O4" i="2"/>
  <c r="T4" i="2"/>
  <c r="V4" i="2"/>
  <c r="Q4" i="2"/>
  <c r="R4" i="2"/>
  <c r="K4" i="2"/>
  <c r="G4" i="2" s="1"/>
  <c r="G3" i="2"/>
  <c r="AC5" i="2"/>
  <c r="AF4" i="2"/>
  <c r="AE4" i="2"/>
  <c r="AC4" i="2"/>
  <c r="AB4" i="2"/>
  <c r="AD4" i="2"/>
  <c r="S4" i="2"/>
  <c r="V5" i="2"/>
  <c r="T5" i="2"/>
  <c r="I157" i="5" l="1"/>
  <c r="N157" i="5" s="1"/>
  <c r="R156" i="5"/>
  <c r="T156" i="5"/>
  <c r="U7" i="5"/>
  <c r="AF7" i="5"/>
  <c r="R7" i="5"/>
  <c r="Q7" i="5"/>
  <c r="O7" i="5"/>
  <c r="AE7" i="5"/>
  <c r="N7" i="5"/>
  <c r="AD7" i="5"/>
  <c r="L7" i="5"/>
  <c r="T7" i="5"/>
  <c r="S7" i="5"/>
  <c r="AC7" i="5"/>
  <c r="X7" i="5"/>
  <c r="K7" i="5"/>
  <c r="Y7" i="5"/>
  <c r="V7" i="5"/>
  <c r="I8" i="5"/>
  <c r="AB7" i="5"/>
  <c r="AA7" i="5"/>
  <c r="F6" i="4"/>
  <c r="D7" i="4"/>
  <c r="E6" i="4"/>
  <c r="M6" i="4"/>
  <c r="J6" i="4"/>
  <c r="H6" i="4"/>
  <c r="I6" i="4"/>
  <c r="G6" i="4"/>
  <c r="Q6" i="4" s="1"/>
  <c r="K6" i="4"/>
  <c r="N6" i="4"/>
  <c r="L6" i="4"/>
  <c r="AA7" i="3"/>
  <c r="K7" i="3"/>
  <c r="V7" i="3"/>
  <c r="AF7" i="3"/>
  <c r="O7" i="3"/>
  <c r="R7" i="3"/>
  <c r="L7" i="3"/>
  <c r="G7" i="3" s="1"/>
  <c r="Q7" i="3"/>
  <c r="N7" i="3"/>
  <c r="AE7" i="3"/>
  <c r="AB7" i="3"/>
  <c r="I8" i="3"/>
  <c r="Y7" i="3"/>
  <c r="X7" i="3"/>
  <c r="U7" i="3"/>
  <c r="T7" i="3"/>
  <c r="S7" i="3"/>
  <c r="AD7" i="3"/>
  <c r="AC7" i="3"/>
  <c r="G6" i="3"/>
  <c r="AF5" i="2"/>
  <c r="AA5" i="2"/>
  <c r="U5" i="2"/>
  <c r="N5" i="2"/>
  <c r="K5" i="2"/>
  <c r="AD5" i="2"/>
  <c r="AE5" i="2"/>
  <c r="O5" i="2"/>
  <c r="AB5" i="2"/>
  <c r="Q5" i="2"/>
  <c r="L5" i="2"/>
  <c r="R5" i="2"/>
  <c r="S5" i="2"/>
  <c r="I6" i="2"/>
  <c r="AA6" i="2" s="1"/>
  <c r="AF6" i="2"/>
  <c r="AE6" i="2"/>
  <c r="AD6" i="2"/>
  <c r="U6" i="2"/>
  <c r="I7" i="2"/>
  <c r="R6" i="2"/>
  <c r="Q6" i="2"/>
  <c r="I158" i="5" l="1"/>
  <c r="AF158" i="5" s="1"/>
  <c r="O157" i="5"/>
  <c r="Q157" i="5"/>
  <c r="Y157" i="5"/>
  <c r="AC157" i="5"/>
  <c r="S157" i="5"/>
  <c r="T157" i="5"/>
  <c r="AF157" i="5"/>
  <c r="U157" i="5"/>
  <c r="AA157" i="5"/>
  <c r="AB157" i="5"/>
  <c r="L157" i="5"/>
  <c r="AE157" i="5"/>
  <c r="V157" i="5"/>
  <c r="R157" i="5"/>
  <c r="X157" i="5"/>
  <c r="K157" i="5"/>
  <c r="AD157" i="5"/>
  <c r="AB158" i="5"/>
  <c r="L158" i="5"/>
  <c r="AA158" i="5"/>
  <c r="K158" i="5"/>
  <c r="O158" i="5"/>
  <c r="N158" i="5"/>
  <c r="AD158" i="5"/>
  <c r="AC158" i="5"/>
  <c r="V158" i="5"/>
  <c r="U158" i="5"/>
  <c r="AE158" i="5"/>
  <c r="X158" i="5"/>
  <c r="T158" i="5"/>
  <c r="X8" i="5"/>
  <c r="T8" i="5"/>
  <c r="AA8" i="5"/>
  <c r="Y8" i="5"/>
  <c r="V8" i="5"/>
  <c r="U8" i="5"/>
  <c r="Q8" i="5"/>
  <c r="AB8" i="5"/>
  <c r="O8" i="5"/>
  <c r="I9" i="5"/>
  <c r="N8" i="5"/>
  <c r="L8" i="5"/>
  <c r="K8" i="5"/>
  <c r="AE8" i="5"/>
  <c r="S8" i="5"/>
  <c r="R8" i="5"/>
  <c r="AF8" i="5"/>
  <c r="AD8" i="5"/>
  <c r="AC8" i="5"/>
  <c r="D8" i="4"/>
  <c r="E7" i="4"/>
  <c r="N7" i="4"/>
  <c r="L7" i="4"/>
  <c r="M7" i="4"/>
  <c r="K7" i="4"/>
  <c r="J7" i="4"/>
  <c r="I7" i="4"/>
  <c r="H7" i="4"/>
  <c r="G7" i="4"/>
  <c r="Q7" i="4" s="1"/>
  <c r="F7" i="4"/>
  <c r="AE8" i="3"/>
  <c r="Q8" i="3"/>
  <c r="AB8" i="3"/>
  <c r="L8" i="3"/>
  <c r="Y8" i="3"/>
  <c r="AF8" i="3"/>
  <c r="K8" i="3"/>
  <c r="AC8" i="3"/>
  <c r="AA8" i="3"/>
  <c r="AD8" i="3"/>
  <c r="G8" i="3"/>
  <c r="I9" i="3"/>
  <c r="U8" i="3"/>
  <c r="X8" i="3"/>
  <c r="V8" i="3"/>
  <c r="T8" i="3"/>
  <c r="S8" i="3"/>
  <c r="R8" i="3"/>
  <c r="O8" i="3"/>
  <c r="N8" i="3"/>
  <c r="N7" i="2"/>
  <c r="AA7" i="2"/>
  <c r="G5" i="2"/>
  <c r="AC6" i="2"/>
  <c r="N6" i="2"/>
  <c r="T6" i="2"/>
  <c r="V6" i="2"/>
  <c r="O6" i="2"/>
  <c r="S6" i="2"/>
  <c r="K6" i="2"/>
  <c r="AB6" i="2"/>
  <c r="L6" i="2"/>
  <c r="AB7" i="2"/>
  <c r="AF7" i="2"/>
  <c r="AE7" i="2"/>
  <c r="AC7" i="2"/>
  <c r="AD7" i="2"/>
  <c r="I8" i="2"/>
  <c r="V7" i="2"/>
  <c r="T7" i="2"/>
  <c r="U7" i="2"/>
  <c r="L7" i="2"/>
  <c r="K7" i="2"/>
  <c r="O7" i="2"/>
  <c r="R7" i="2"/>
  <c r="Q7" i="2"/>
  <c r="S7" i="2"/>
  <c r="I159" i="5" l="1"/>
  <c r="K159" i="5" s="1"/>
  <c r="R158" i="5"/>
  <c r="Q158" i="5"/>
  <c r="S158" i="5"/>
  <c r="Y158" i="5"/>
  <c r="S159" i="5"/>
  <c r="AF159" i="5"/>
  <c r="R159" i="5"/>
  <c r="AE159" i="5"/>
  <c r="Q159" i="5"/>
  <c r="AD159" i="5"/>
  <c r="AB159" i="5"/>
  <c r="Y159" i="5"/>
  <c r="X159" i="5"/>
  <c r="U159" i="5"/>
  <c r="T159" i="5"/>
  <c r="L159" i="5"/>
  <c r="O159" i="5"/>
  <c r="N159" i="5"/>
  <c r="AA159" i="5"/>
  <c r="V159" i="5"/>
  <c r="AA9" i="5"/>
  <c r="K9" i="5"/>
  <c r="X9" i="5"/>
  <c r="I10" i="5"/>
  <c r="V9" i="5"/>
  <c r="Q9" i="5"/>
  <c r="O9" i="5"/>
  <c r="AF9" i="5"/>
  <c r="N9" i="5"/>
  <c r="AE9" i="5"/>
  <c r="L9" i="5"/>
  <c r="S9" i="5"/>
  <c r="U9" i="5"/>
  <c r="R9" i="5"/>
  <c r="AD9" i="5"/>
  <c r="Y9" i="5"/>
  <c r="T9" i="5"/>
  <c r="AC9" i="5"/>
  <c r="AB9" i="5"/>
  <c r="N8" i="4"/>
  <c r="M8" i="4"/>
  <c r="K8" i="4"/>
  <c r="F8" i="4"/>
  <c r="E8" i="4"/>
  <c r="D9" i="4"/>
  <c r="L8" i="4"/>
  <c r="J8" i="4"/>
  <c r="G8" i="4"/>
  <c r="Q8" i="4" s="1"/>
  <c r="I8" i="4"/>
  <c r="H8" i="4"/>
  <c r="X9" i="3"/>
  <c r="T9" i="3"/>
  <c r="U9" i="3"/>
  <c r="AC9" i="3"/>
  <c r="Y9" i="3"/>
  <c r="AB9" i="3"/>
  <c r="AA9" i="3"/>
  <c r="L9" i="3"/>
  <c r="V9" i="3"/>
  <c r="K9" i="3"/>
  <c r="G9" i="3" s="1"/>
  <c r="AF9" i="3"/>
  <c r="AE9" i="3"/>
  <c r="AD9" i="3"/>
  <c r="S9" i="3"/>
  <c r="R9" i="3"/>
  <c r="Q9" i="3"/>
  <c r="O9" i="3"/>
  <c r="I10" i="3"/>
  <c r="N9" i="3"/>
  <c r="G7" i="2"/>
  <c r="N8" i="2"/>
  <c r="AA8" i="2"/>
  <c r="G6" i="2"/>
  <c r="AF8" i="2"/>
  <c r="AB8" i="2"/>
  <c r="AE8" i="2"/>
  <c r="AD8" i="2"/>
  <c r="AC8" i="2"/>
  <c r="V8" i="2"/>
  <c r="T8" i="2"/>
  <c r="U8" i="2"/>
  <c r="S8" i="2"/>
  <c r="L8" i="2"/>
  <c r="R8" i="2"/>
  <c r="Q8" i="2"/>
  <c r="K8" i="2"/>
  <c r="I9" i="2"/>
  <c r="O8" i="2"/>
  <c r="AC159" i="5" l="1"/>
  <c r="I160" i="5"/>
  <c r="Y160" i="5"/>
  <c r="X160" i="5"/>
  <c r="V160" i="5"/>
  <c r="AC160" i="5"/>
  <c r="AB160" i="5"/>
  <c r="AA160" i="5"/>
  <c r="T160" i="5"/>
  <c r="S160" i="5"/>
  <c r="Q160" i="5"/>
  <c r="O160" i="5"/>
  <c r="AF160" i="5"/>
  <c r="AE160" i="5"/>
  <c r="AD160" i="5"/>
  <c r="U160" i="5"/>
  <c r="R160" i="5"/>
  <c r="N160" i="5"/>
  <c r="L160" i="5"/>
  <c r="K160" i="5"/>
  <c r="AC10" i="5"/>
  <c r="N10" i="5"/>
  <c r="AA10" i="5"/>
  <c r="K10" i="5"/>
  <c r="Y10" i="5"/>
  <c r="AD10" i="5"/>
  <c r="AB10" i="5"/>
  <c r="X10" i="5"/>
  <c r="V10" i="5"/>
  <c r="S10" i="5"/>
  <c r="R10" i="5"/>
  <c r="Q10" i="5"/>
  <c r="O10" i="5"/>
  <c r="I11" i="5"/>
  <c r="L10" i="5"/>
  <c r="U10" i="5"/>
  <c r="AF10" i="5"/>
  <c r="AE10" i="5"/>
  <c r="T10" i="5"/>
  <c r="N9" i="4"/>
  <c r="M9" i="4"/>
  <c r="L9" i="4"/>
  <c r="J9" i="4"/>
  <c r="K9" i="4"/>
  <c r="H9" i="4"/>
  <c r="I9" i="4"/>
  <c r="G9" i="4"/>
  <c r="F9" i="4"/>
  <c r="E9" i="4"/>
  <c r="Q9" i="4"/>
  <c r="D10" i="4"/>
  <c r="AE10" i="3"/>
  <c r="Q10" i="3"/>
  <c r="AB10" i="3"/>
  <c r="L10" i="3"/>
  <c r="R10" i="3"/>
  <c r="Y10" i="3"/>
  <c r="X10" i="3"/>
  <c r="V10" i="3"/>
  <c r="U10" i="3"/>
  <c r="O10" i="3"/>
  <c r="N10" i="3"/>
  <c r="K10" i="3"/>
  <c r="AF10" i="3"/>
  <c r="AD10" i="3"/>
  <c r="AC10" i="3"/>
  <c r="AA10" i="3"/>
  <c r="I11" i="3"/>
  <c r="T10" i="3"/>
  <c r="S10" i="3"/>
  <c r="N9" i="2"/>
  <c r="AA9" i="2"/>
  <c r="AB9" i="2"/>
  <c r="AF9" i="2"/>
  <c r="AE9" i="2"/>
  <c r="AD9" i="2"/>
  <c r="AC9" i="2"/>
  <c r="G8" i="2"/>
  <c r="V9" i="2"/>
  <c r="I10" i="2"/>
  <c r="U9" i="2"/>
  <c r="T9" i="2"/>
  <c r="S9" i="2"/>
  <c r="Q9" i="2"/>
  <c r="L9" i="2"/>
  <c r="O9" i="2"/>
  <c r="R9" i="2"/>
  <c r="K9" i="2"/>
  <c r="I161" i="5" l="1"/>
  <c r="AE161" i="5" s="1"/>
  <c r="AD161" i="5"/>
  <c r="O161" i="5"/>
  <c r="AC161" i="5"/>
  <c r="N161" i="5"/>
  <c r="X161" i="5"/>
  <c r="V161" i="5"/>
  <c r="U161" i="5"/>
  <c r="T161" i="5"/>
  <c r="AB161" i="5"/>
  <c r="AA161" i="5"/>
  <c r="L161" i="5"/>
  <c r="AE11" i="5"/>
  <c r="Q11" i="5"/>
  <c r="AD11" i="5"/>
  <c r="AC11" i="5"/>
  <c r="N11" i="5"/>
  <c r="AB11" i="5"/>
  <c r="L11" i="5"/>
  <c r="U11" i="5"/>
  <c r="T11" i="5"/>
  <c r="S11" i="5"/>
  <c r="I12" i="5"/>
  <c r="R11" i="5"/>
  <c r="X11" i="5"/>
  <c r="Y11" i="5"/>
  <c r="V11" i="5"/>
  <c r="O11" i="5"/>
  <c r="K11" i="5"/>
  <c r="AA11" i="5"/>
  <c r="AF11" i="5"/>
  <c r="N10" i="4"/>
  <c r="M10" i="4"/>
  <c r="L10" i="4"/>
  <c r="K10" i="4"/>
  <c r="I10" i="4"/>
  <c r="D11" i="4"/>
  <c r="J10" i="4"/>
  <c r="H10" i="4"/>
  <c r="G10" i="4"/>
  <c r="Q10" i="4" s="1"/>
  <c r="F10" i="4"/>
  <c r="E10" i="4"/>
  <c r="X11" i="3"/>
  <c r="T11" i="3"/>
  <c r="I12" i="3"/>
  <c r="AD11" i="3"/>
  <c r="L11" i="3"/>
  <c r="V11" i="3"/>
  <c r="R11" i="3"/>
  <c r="U11" i="3"/>
  <c r="S11" i="3"/>
  <c r="AA11" i="3"/>
  <c r="Y11" i="3"/>
  <c r="Q11" i="3"/>
  <c r="O11" i="3"/>
  <c r="N11" i="3"/>
  <c r="K11" i="3"/>
  <c r="AF11" i="3"/>
  <c r="AE11" i="3"/>
  <c r="AC11" i="3"/>
  <c r="AB11" i="3"/>
  <c r="G10" i="3"/>
  <c r="N10" i="2"/>
  <c r="AA10" i="2"/>
  <c r="AF10" i="2"/>
  <c r="AE10" i="2"/>
  <c r="AD10" i="2"/>
  <c r="AC10" i="2"/>
  <c r="AB10" i="2"/>
  <c r="G9" i="2"/>
  <c r="V10" i="2"/>
  <c r="U10" i="2"/>
  <c r="I11" i="2"/>
  <c r="K10" i="2"/>
  <c r="O10" i="2"/>
  <c r="Q10" i="2"/>
  <c r="T10" i="2"/>
  <c r="S10" i="2"/>
  <c r="R10" i="2"/>
  <c r="L10" i="2"/>
  <c r="Y161" i="5" l="1"/>
  <c r="Q161" i="5"/>
  <c r="AF161" i="5"/>
  <c r="I162" i="5"/>
  <c r="R161" i="5"/>
  <c r="K161" i="5"/>
  <c r="S161" i="5"/>
  <c r="V162" i="5"/>
  <c r="U162" i="5"/>
  <c r="T162" i="5"/>
  <c r="S162" i="5"/>
  <c r="AF162" i="5"/>
  <c r="N162" i="5"/>
  <c r="AD162" i="5"/>
  <c r="AE162" i="5"/>
  <c r="L162" i="5"/>
  <c r="K162" i="5"/>
  <c r="AC162" i="5"/>
  <c r="AB162" i="5"/>
  <c r="AA162" i="5"/>
  <c r="Y162" i="5"/>
  <c r="S12" i="5"/>
  <c r="AF12" i="5"/>
  <c r="R12" i="5"/>
  <c r="AE12" i="5"/>
  <c r="Q12" i="5"/>
  <c r="AD12" i="5"/>
  <c r="O12" i="5"/>
  <c r="N12" i="5"/>
  <c r="I13" i="5"/>
  <c r="L12" i="5"/>
  <c r="K12" i="5"/>
  <c r="AA12" i="5"/>
  <c r="Y12" i="5"/>
  <c r="AB12" i="5"/>
  <c r="X12" i="5"/>
  <c r="V12" i="5"/>
  <c r="U12" i="5"/>
  <c r="T12" i="5"/>
  <c r="AC12" i="5"/>
  <c r="M11" i="4"/>
  <c r="L11" i="4"/>
  <c r="K11" i="4"/>
  <c r="J11" i="4"/>
  <c r="H11" i="4"/>
  <c r="F11" i="4"/>
  <c r="E11" i="4"/>
  <c r="G11" i="4"/>
  <c r="Q11" i="4" s="1"/>
  <c r="D12" i="4"/>
  <c r="I11" i="4"/>
  <c r="N11" i="4"/>
  <c r="G11" i="3"/>
  <c r="AC12" i="3"/>
  <c r="N12" i="3"/>
  <c r="I13" i="3"/>
  <c r="Y12" i="3"/>
  <c r="V12" i="3"/>
  <c r="R12" i="3"/>
  <c r="L12" i="3"/>
  <c r="Q12" i="3"/>
  <c r="O12" i="3"/>
  <c r="AF12" i="3"/>
  <c r="AB12" i="3"/>
  <c r="AA12" i="3"/>
  <c r="X12" i="3"/>
  <c r="U12" i="3"/>
  <c r="T12" i="3"/>
  <c r="S12" i="3"/>
  <c r="K12" i="3"/>
  <c r="AE12" i="3"/>
  <c r="AD12" i="3"/>
  <c r="N11" i="2"/>
  <c r="AA11" i="2"/>
  <c r="AB11" i="2"/>
  <c r="AF11" i="2"/>
  <c r="AE11" i="2"/>
  <c r="AD11" i="2"/>
  <c r="AC11" i="2"/>
  <c r="G10" i="2"/>
  <c r="U11" i="2"/>
  <c r="T11" i="2"/>
  <c r="I12" i="2"/>
  <c r="S11" i="2"/>
  <c r="R11" i="2"/>
  <c r="Q11" i="2"/>
  <c r="L11" i="2"/>
  <c r="K11" i="2"/>
  <c r="V11" i="2"/>
  <c r="O11" i="2"/>
  <c r="I163" i="5" l="1"/>
  <c r="O162" i="5"/>
  <c r="Q162" i="5"/>
  <c r="X162" i="5"/>
  <c r="R162" i="5"/>
  <c r="AC163" i="5"/>
  <c r="N163" i="5"/>
  <c r="AB163" i="5"/>
  <c r="L163" i="5"/>
  <c r="AA163" i="5"/>
  <c r="K163" i="5"/>
  <c r="R163" i="5"/>
  <c r="Q163" i="5"/>
  <c r="O163" i="5"/>
  <c r="AE163" i="5"/>
  <c r="AD163" i="5"/>
  <c r="Y163" i="5"/>
  <c r="X163" i="5"/>
  <c r="V163" i="5"/>
  <c r="T163" i="5"/>
  <c r="S163" i="5"/>
  <c r="U163" i="5"/>
  <c r="AF163" i="5"/>
  <c r="U13" i="5"/>
  <c r="T13" i="5"/>
  <c r="S13" i="5"/>
  <c r="AF13" i="5"/>
  <c r="R13" i="5"/>
  <c r="AE13" i="5"/>
  <c r="K13" i="5"/>
  <c r="AD13" i="5"/>
  <c r="AC13" i="5"/>
  <c r="AB13" i="5"/>
  <c r="I14" i="5"/>
  <c r="AA13" i="5"/>
  <c r="Y13" i="5"/>
  <c r="X13" i="5"/>
  <c r="L13" i="5"/>
  <c r="V13" i="5"/>
  <c r="Q13" i="5"/>
  <c r="O13" i="5"/>
  <c r="N13" i="5"/>
  <c r="L12" i="4"/>
  <c r="K12" i="4"/>
  <c r="J12" i="4"/>
  <c r="I12" i="4"/>
  <c r="G12" i="4"/>
  <c r="N12" i="4"/>
  <c r="M12" i="4"/>
  <c r="H12" i="4"/>
  <c r="F12" i="4"/>
  <c r="E12" i="4"/>
  <c r="Q12" i="4"/>
  <c r="D13" i="4"/>
  <c r="G12" i="3"/>
  <c r="U13" i="3"/>
  <c r="AF13" i="3"/>
  <c r="R13" i="3"/>
  <c r="S13" i="3"/>
  <c r="N13" i="3"/>
  <c r="AC13" i="3"/>
  <c r="AE13" i="3"/>
  <c r="L13" i="3"/>
  <c r="AD13" i="3"/>
  <c r="K13" i="3"/>
  <c r="G13" i="3" s="1"/>
  <c r="T13" i="3"/>
  <c r="AB13" i="3"/>
  <c r="AA13" i="3"/>
  <c r="Y13" i="3"/>
  <c r="X13" i="3"/>
  <c r="V13" i="3"/>
  <c r="Q13" i="3"/>
  <c r="I14" i="3"/>
  <c r="O13" i="3"/>
  <c r="N12" i="2"/>
  <c r="AA12" i="2"/>
  <c r="AF12" i="2"/>
  <c r="AE12" i="2"/>
  <c r="AC12" i="2"/>
  <c r="AB12" i="2"/>
  <c r="AD12" i="2"/>
  <c r="G11" i="2"/>
  <c r="T12" i="2"/>
  <c r="S12" i="2"/>
  <c r="O12" i="2"/>
  <c r="I13" i="2"/>
  <c r="V12" i="2"/>
  <c r="U12" i="2"/>
  <c r="R12" i="2"/>
  <c r="K12" i="2"/>
  <c r="Q12" i="2"/>
  <c r="L12" i="2"/>
  <c r="I164" i="5" l="1"/>
  <c r="T164" i="5"/>
  <c r="S164" i="5"/>
  <c r="AF164" i="5"/>
  <c r="R164" i="5"/>
  <c r="AE164" i="5"/>
  <c r="L164" i="5"/>
  <c r="AD164" i="5"/>
  <c r="K164" i="5"/>
  <c r="AC164" i="5"/>
  <c r="Y164" i="5"/>
  <c r="V164" i="5"/>
  <c r="U164" i="5"/>
  <c r="AB164" i="5"/>
  <c r="Q164" i="5"/>
  <c r="O164" i="5"/>
  <c r="N164" i="5"/>
  <c r="X14" i="5"/>
  <c r="I15" i="5"/>
  <c r="V14" i="5"/>
  <c r="U14" i="5"/>
  <c r="T14" i="5"/>
  <c r="AC14" i="5"/>
  <c r="AB14" i="5"/>
  <c r="AA14" i="5"/>
  <c r="Y14" i="5"/>
  <c r="K14" i="5"/>
  <c r="N14" i="5"/>
  <c r="AF14" i="5"/>
  <c r="AE14" i="5"/>
  <c r="S14" i="5"/>
  <c r="L14" i="5"/>
  <c r="AD14" i="5"/>
  <c r="O14" i="5"/>
  <c r="R14" i="5"/>
  <c r="Q14" i="5"/>
  <c r="K13" i="4"/>
  <c r="J13" i="4"/>
  <c r="I13" i="4"/>
  <c r="H13" i="4"/>
  <c r="F13" i="4"/>
  <c r="D14" i="4"/>
  <c r="N13" i="4"/>
  <c r="M13" i="4"/>
  <c r="L13" i="4"/>
  <c r="G13" i="4"/>
  <c r="Q13" i="4" s="1"/>
  <c r="E13" i="4"/>
  <c r="AC14" i="3"/>
  <c r="N14" i="3"/>
  <c r="Y14" i="3"/>
  <c r="AF14" i="3"/>
  <c r="O14" i="3"/>
  <c r="AE14" i="3"/>
  <c r="K14" i="3"/>
  <c r="G14" i="3" s="1"/>
  <c r="AA14" i="3"/>
  <c r="AD14" i="3"/>
  <c r="AB14" i="3"/>
  <c r="Q14" i="3"/>
  <c r="L14" i="3"/>
  <c r="X14" i="3"/>
  <c r="V14" i="3"/>
  <c r="I15" i="3"/>
  <c r="U14" i="3"/>
  <c r="T14" i="3"/>
  <c r="S14" i="3"/>
  <c r="R14" i="3"/>
  <c r="N13" i="2"/>
  <c r="AA13" i="2"/>
  <c r="AB13" i="2"/>
  <c r="AE13" i="2"/>
  <c r="AD13" i="2"/>
  <c r="AC13" i="2"/>
  <c r="AF13" i="2"/>
  <c r="G12" i="2"/>
  <c r="S13" i="2"/>
  <c r="R13" i="2"/>
  <c r="K13" i="2"/>
  <c r="O13" i="2"/>
  <c r="I14" i="2"/>
  <c r="V13" i="2"/>
  <c r="U13" i="2"/>
  <c r="T13" i="2"/>
  <c r="Q13" i="2"/>
  <c r="L13" i="2"/>
  <c r="I165" i="5" l="1"/>
  <c r="X164" i="5"/>
  <c r="AA164" i="5"/>
  <c r="AA165" i="5"/>
  <c r="K165" i="5"/>
  <c r="Y165" i="5"/>
  <c r="X165" i="5"/>
  <c r="AD165" i="5"/>
  <c r="AC165" i="5"/>
  <c r="AB165" i="5"/>
  <c r="U165" i="5"/>
  <c r="T165" i="5"/>
  <c r="S165" i="5"/>
  <c r="R165" i="5"/>
  <c r="Q165" i="5"/>
  <c r="AF165" i="5"/>
  <c r="AE165" i="5"/>
  <c r="V165" i="5"/>
  <c r="O165" i="5"/>
  <c r="N165" i="5"/>
  <c r="L165" i="5"/>
  <c r="AA15" i="5"/>
  <c r="K15" i="5"/>
  <c r="Y15" i="5"/>
  <c r="X15" i="5"/>
  <c r="I16" i="5"/>
  <c r="V15" i="5"/>
  <c r="U15" i="5"/>
  <c r="T15" i="5"/>
  <c r="S15" i="5"/>
  <c r="R15" i="5"/>
  <c r="N15" i="5"/>
  <c r="L15" i="5"/>
  <c r="AB15" i="5"/>
  <c r="AE15" i="5"/>
  <c r="AF15" i="5"/>
  <c r="O15" i="5"/>
  <c r="AD15" i="5"/>
  <c r="AC15" i="5"/>
  <c r="Q15" i="5"/>
  <c r="J14" i="4"/>
  <c r="I14" i="4"/>
  <c r="H14" i="4"/>
  <c r="G14" i="4"/>
  <c r="D15" i="4"/>
  <c r="E14" i="4"/>
  <c r="K14" i="4"/>
  <c r="F14" i="4"/>
  <c r="Q14" i="4"/>
  <c r="L14" i="4"/>
  <c r="N14" i="4"/>
  <c r="M14" i="4"/>
  <c r="I16" i="3"/>
  <c r="T15" i="3"/>
  <c r="AE15" i="3"/>
  <c r="Q15" i="3"/>
  <c r="AB15" i="3"/>
  <c r="AA15" i="3"/>
  <c r="AC15" i="3"/>
  <c r="X15" i="3"/>
  <c r="Y15" i="3"/>
  <c r="V15" i="3"/>
  <c r="R15" i="3"/>
  <c r="G15" i="3"/>
  <c r="O15" i="3"/>
  <c r="N15" i="3"/>
  <c r="L15" i="3"/>
  <c r="K15" i="3"/>
  <c r="AF15" i="3"/>
  <c r="AD15" i="3"/>
  <c r="U15" i="3"/>
  <c r="S15" i="3"/>
  <c r="N14" i="2"/>
  <c r="AA14" i="2"/>
  <c r="AF14" i="2"/>
  <c r="AE14" i="2"/>
  <c r="AD14" i="2"/>
  <c r="AC14" i="2"/>
  <c r="AB14" i="2"/>
  <c r="G13" i="2"/>
  <c r="R14" i="2"/>
  <c r="Q14" i="2"/>
  <c r="L14" i="2"/>
  <c r="O14" i="2"/>
  <c r="K14" i="2"/>
  <c r="U14" i="2"/>
  <c r="T14" i="2"/>
  <c r="S14" i="2"/>
  <c r="V14" i="2"/>
  <c r="I15" i="2"/>
  <c r="I166" i="5" l="1"/>
  <c r="AF166" i="5"/>
  <c r="R166" i="5"/>
  <c r="AE166" i="5"/>
  <c r="Q166" i="5"/>
  <c r="AD166" i="5"/>
  <c r="O166" i="5"/>
  <c r="Y166" i="5"/>
  <c r="X166" i="5"/>
  <c r="V166" i="5"/>
  <c r="T166" i="5"/>
  <c r="S166" i="5"/>
  <c r="N166" i="5"/>
  <c r="L166" i="5"/>
  <c r="K166" i="5"/>
  <c r="AC166" i="5"/>
  <c r="AB166" i="5"/>
  <c r="U166" i="5"/>
  <c r="AA166" i="5"/>
  <c r="AC16" i="5"/>
  <c r="N16" i="5"/>
  <c r="AB16" i="5"/>
  <c r="L16" i="5"/>
  <c r="AA16" i="5"/>
  <c r="K16" i="5"/>
  <c r="Y16" i="5"/>
  <c r="S16" i="5"/>
  <c r="I17" i="5"/>
  <c r="R16" i="5"/>
  <c r="Q16" i="5"/>
  <c r="O16" i="5"/>
  <c r="U16" i="5"/>
  <c r="X16" i="5"/>
  <c r="T16" i="5"/>
  <c r="V16" i="5"/>
  <c r="AD16" i="5"/>
  <c r="AF16" i="5"/>
  <c r="AE16" i="5"/>
  <c r="I15" i="4"/>
  <c r="H15" i="4"/>
  <c r="G15" i="4"/>
  <c r="F15" i="4"/>
  <c r="Q15" i="4"/>
  <c r="N15" i="4"/>
  <c r="M15" i="4"/>
  <c r="L15" i="4"/>
  <c r="K15" i="4"/>
  <c r="J15" i="4"/>
  <c r="E15" i="4"/>
  <c r="D16" i="4"/>
  <c r="AB16" i="3"/>
  <c r="L16" i="3"/>
  <c r="X16" i="3"/>
  <c r="V16" i="3"/>
  <c r="U16" i="3"/>
  <c r="I17" i="3"/>
  <c r="AC16" i="3"/>
  <c r="T16" i="3"/>
  <c r="AA16" i="3"/>
  <c r="Y16" i="3"/>
  <c r="AE16" i="3"/>
  <c r="Q16" i="3"/>
  <c r="N16" i="3"/>
  <c r="AD16" i="3"/>
  <c r="S16" i="3"/>
  <c r="R16" i="3"/>
  <c r="O16" i="3"/>
  <c r="K16" i="3"/>
  <c r="G16" i="3" s="1"/>
  <c r="AF16" i="3"/>
  <c r="N15" i="2"/>
  <c r="AA15" i="2"/>
  <c r="G14" i="2"/>
  <c r="AB15" i="2"/>
  <c r="AF15" i="2"/>
  <c r="AE15" i="2"/>
  <c r="AC15" i="2"/>
  <c r="AD15" i="2"/>
  <c r="R15" i="2"/>
  <c r="Q15" i="2"/>
  <c r="L15" i="2"/>
  <c r="T15" i="2"/>
  <c r="K15" i="2"/>
  <c r="S15" i="2"/>
  <c r="I16" i="2"/>
  <c r="V15" i="2"/>
  <c r="U15" i="2"/>
  <c r="O15" i="2"/>
  <c r="I167" i="5" l="1"/>
  <c r="X167" i="5"/>
  <c r="V167" i="5"/>
  <c r="U167" i="5"/>
  <c r="T167" i="5"/>
  <c r="S167" i="5"/>
  <c r="R167" i="5"/>
  <c r="O167" i="5"/>
  <c r="L167" i="5"/>
  <c r="AF167" i="5"/>
  <c r="N167" i="5"/>
  <c r="AE167" i="5"/>
  <c r="AD167" i="5"/>
  <c r="K167" i="5"/>
  <c r="AC167" i="5"/>
  <c r="AB167" i="5"/>
  <c r="AA167" i="5"/>
  <c r="Y167" i="5"/>
  <c r="Q167" i="5"/>
  <c r="AE17" i="5"/>
  <c r="Q17" i="5"/>
  <c r="AD17" i="5"/>
  <c r="O17" i="5"/>
  <c r="AC17" i="5"/>
  <c r="N17" i="5"/>
  <c r="AB17" i="5"/>
  <c r="L17" i="5"/>
  <c r="K17" i="5"/>
  <c r="AF17" i="5"/>
  <c r="X17" i="5"/>
  <c r="V17" i="5"/>
  <c r="U17" i="5"/>
  <c r="T17" i="5"/>
  <c r="S17" i="5"/>
  <c r="I18" i="5"/>
  <c r="AA17" i="5"/>
  <c r="Y17" i="5"/>
  <c r="R17" i="5"/>
  <c r="H16" i="4"/>
  <c r="G16" i="4"/>
  <c r="F16" i="4"/>
  <c r="D17" i="4"/>
  <c r="E16" i="4"/>
  <c r="L16" i="4"/>
  <c r="Q16" i="4"/>
  <c r="N16" i="4"/>
  <c r="M16" i="4"/>
  <c r="K16" i="4"/>
  <c r="J16" i="4"/>
  <c r="I16" i="4"/>
  <c r="T17" i="3"/>
  <c r="AE17" i="3"/>
  <c r="Q17" i="3"/>
  <c r="S17" i="3"/>
  <c r="I18" i="3"/>
  <c r="R17" i="3"/>
  <c r="AA17" i="3"/>
  <c r="V17" i="3"/>
  <c r="Y17" i="3"/>
  <c r="X17" i="3"/>
  <c r="AF17" i="3"/>
  <c r="AD17" i="3"/>
  <c r="AC17" i="3"/>
  <c r="AB17" i="3"/>
  <c r="U17" i="3"/>
  <c r="O17" i="3"/>
  <c r="N17" i="3"/>
  <c r="L17" i="3"/>
  <c r="K17" i="3"/>
  <c r="G17" i="3" s="1"/>
  <c r="N16" i="2"/>
  <c r="AA16" i="2"/>
  <c r="G15" i="2"/>
  <c r="AF16" i="2"/>
  <c r="AB16" i="2"/>
  <c r="AE16" i="2"/>
  <c r="AD16" i="2"/>
  <c r="AC16" i="2"/>
  <c r="Q16" i="2"/>
  <c r="R16" i="2"/>
  <c r="L16" i="2"/>
  <c r="V16" i="2"/>
  <c r="T16" i="2"/>
  <c r="U16" i="2"/>
  <c r="I17" i="2"/>
  <c r="S16" i="2"/>
  <c r="K16" i="2"/>
  <c r="O16" i="2"/>
  <c r="I168" i="5" l="1"/>
  <c r="AA168" i="5" s="1"/>
  <c r="AD168" i="5"/>
  <c r="O168" i="5"/>
  <c r="AC168" i="5"/>
  <c r="N168" i="5"/>
  <c r="AB168" i="5"/>
  <c r="L168" i="5"/>
  <c r="S168" i="5"/>
  <c r="R168" i="5"/>
  <c r="Q168" i="5"/>
  <c r="AF168" i="5"/>
  <c r="AE168" i="5"/>
  <c r="Y168" i="5"/>
  <c r="X168" i="5"/>
  <c r="U168" i="5"/>
  <c r="T168" i="5"/>
  <c r="K168" i="5"/>
  <c r="V168" i="5"/>
  <c r="S18" i="5"/>
  <c r="AF18" i="5"/>
  <c r="R18" i="5"/>
  <c r="AE18" i="5"/>
  <c r="Q18" i="5"/>
  <c r="AD18" i="5"/>
  <c r="O18" i="5"/>
  <c r="AC18" i="5"/>
  <c r="AB18" i="5"/>
  <c r="AA18" i="5"/>
  <c r="Y18" i="5"/>
  <c r="U18" i="5"/>
  <c r="N18" i="5"/>
  <c r="X18" i="5"/>
  <c r="V18" i="5"/>
  <c r="I19" i="5"/>
  <c r="T18" i="5"/>
  <c r="L18" i="5"/>
  <c r="K18" i="5"/>
  <c r="G17" i="4"/>
  <c r="F17" i="4"/>
  <c r="D18" i="4"/>
  <c r="E17" i="4"/>
  <c r="N17" i="4"/>
  <c r="K17" i="4"/>
  <c r="M17" i="4"/>
  <c r="L17" i="4"/>
  <c r="J17" i="4"/>
  <c r="I17" i="4"/>
  <c r="H17" i="4"/>
  <c r="Q17" i="4" s="1"/>
  <c r="AB18" i="3"/>
  <c r="L18" i="3"/>
  <c r="X18" i="3"/>
  <c r="I19" i="3"/>
  <c r="AF18" i="3"/>
  <c r="O18" i="3"/>
  <c r="AE18" i="3"/>
  <c r="N18" i="3"/>
  <c r="Y18" i="3"/>
  <c r="V18" i="3"/>
  <c r="U18" i="3"/>
  <c r="T18" i="3"/>
  <c r="S18" i="3"/>
  <c r="Q18" i="3"/>
  <c r="K18" i="3"/>
  <c r="AD18" i="3"/>
  <c r="AC18" i="3"/>
  <c r="AA18" i="3"/>
  <c r="R18" i="3"/>
  <c r="N17" i="2"/>
  <c r="AA17" i="2"/>
  <c r="AB17" i="2"/>
  <c r="AF17" i="2"/>
  <c r="AE17" i="2"/>
  <c r="AD17" i="2"/>
  <c r="AC17" i="2"/>
  <c r="G16" i="2"/>
  <c r="L17" i="2"/>
  <c r="R17" i="2"/>
  <c r="Q17" i="2"/>
  <c r="V17" i="2"/>
  <c r="U17" i="2"/>
  <c r="S17" i="2"/>
  <c r="K17" i="2"/>
  <c r="T17" i="2"/>
  <c r="O17" i="2"/>
  <c r="I18" i="2"/>
  <c r="I169" i="5" l="1"/>
  <c r="AA169" i="5" s="1"/>
  <c r="AF169" i="5"/>
  <c r="N169" i="5"/>
  <c r="AE169" i="5"/>
  <c r="L169" i="5"/>
  <c r="AD169" i="5"/>
  <c r="K169" i="5"/>
  <c r="AB169" i="5"/>
  <c r="AC169" i="5"/>
  <c r="O169" i="5"/>
  <c r="R169" i="5"/>
  <c r="Q169" i="5"/>
  <c r="U19" i="5"/>
  <c r="T19" i="5"/>
  <c r="S19" i="5"/>
  <c r="AF19" i="5"/>
  <c r="R19" i="5"/>
  <c r="AA19" i="5"/>
  <c r="Y19" i="5"/>
  <c r="X19" i="5"/>
  <c r="V19" i="5"/>
  <c r="I20" i="5"/>
  <c r="AE19" i="5"/>
  <c r="AD19" i="5"/>
  <c r="AC19" i="5"/>
  <c r="Q19" i="5"/>
  <c r="L19" i="5"/>
  <c r="K19" i="5"/>
  <c r="AB19" i="5"/>
  <c r="O19" i="5"/>
  <c r="N19" i="5"/>
  <c r="F18" i="4"/>
  <c r="D19" i="4"/>
  <c r="E18" i="4"/>
  <c r="M18" i="4"/>
  <c r="J18" i="4"/>
  <c r="N18" i="4"/>
  <c r="L18" i="4"/>
  <c r="K18" i="4"/>
  <c r="I18" i="4"/>
  <c r="H18" i="4"/>
  <c r="Q18" i="4" s="1"/>
  <c r="G18" i="4"/>
  <c r="G18" i="3"/>
  <c r="AF19" i="3"/>
  <c r="R19" i="3"/>
  <c r="AC19" i="3"/>
  <c r="N19" i="3"/>
  <c r="Y19" i="3"/>
  <c r="X19" i="3"/>
  <c r="U19" i="3"/>
  <c r="Q19" i="3"/>
  <c r="T19" i="3"/>
  <c r="S19" i="3"/>
  <c r="O19" i="3"/>
  <c r="AD19" i="3"/>
  <c r="AB19" i="3"/>
  <c r="AA19" i="3"/>
  <c r="V19" i="3"/>
  <c r="L19" i="3"/>
  <c r="K19" i="3"/>
  <c r="G19" i="3"/>
  <c r="I20" i="3"/>
  <c r="AE19" i="3"/>
  <c r="N18" i="2"/>
  <c r="AA18" i="2"/>
  <c r="AF18" i="2"/>
  <c r="AE18" i="2"/>
  <c r="AD18" i="2"/>
  <c r="AC18" i="2"/>
  <c r="AB18" i="2"/>
  <c r="G17" i="2"/>
  <c r="K18" i="2"/>
  <c r="R18" i="2"/>
  <c r="Q18" i="2"/>
  <c r="I19" i="2"/>
  <c r="V18" i="2"/>
  <c r="O18" i="2"/>
  <c r="U18" i="2"/>
  <c r="T18" i="2"/>
  <c r="S18" i="2"/>
  <c r="L18" i="2"/>
  <c r="S169" i="5" l="1"/>
  <c r="V169" i="5"/>
  <c r="T169" i="5"/>
  <c r="X169" i="5"/>
  <c r="U169" i="5"/>
  <c r="Y169" i="5"/>
  <c r="I170" i="5"/>
  <c r="U170" i="5" s="1"/>
  <c r="AB170" i="5"/>
  <c r="L170" i="5"/>
  <c r="AA170" i="5"/>
  <c r="S170" i="5"/>
  <c r="R170" i="5"/>
  <c r="AF170" i="5"/>
  <c r="X170" i="5"/>
  <c r="X20" i="5"/>
  <c r="I21" i="5"/>
  <c r="V20" i="5"/>
  <c r="U20" i="5"/>
  <c r="T20" i="5"/>
  <c r="S20" i="5"/>
  <c r="R20" i="5"/>
  <c r="Q20" i="5"/>
  <c r="O20" i="5"/>
  <c r="K20" i="5"/>
  <c r="AE20" i="5"/>
  <c r="AC20" i="5"/>
  <c r="N20" i="5"/>
  <c r="AF20" i="5"/>
  <c r="AD20" i="5"/>
  <c r="AB20" i="5"/>
  <c r="AA20" i="5"/>
  <c r="Y20" i="5"/>
  <c r="L20" i="5"/>
  <c r="D20" i="4"/>
  <c r="E19" i="4"/>
  <c r="N19" i="4"/>
  <c r="L19" i="4"/>
  <c r="I19" i="4"/>
  <c r="K19" i="4"/>
  <c r="H19" i="4"/>
  <c r="J19" i="4"/>
  <c r="G19" i="4"/>
  <c r="Q19" i="4" s="1"/>
  <c r="F19" i="4"/>
  <c r="M19" i="4"/>
  <c r="V20" i="3"/>
  <c r="S20" i="3"/>
  <c r="R20" i="3"/>
  <c r="Q20" i="3"/>
  <c r="T20" i="3"/>
  <c r="L20" i="3"/>
  <c r="I21" i="3"/>
  <c r="O20" i="3"/>
  <c r="N20" i="3"/>
  <c r="AF20" i="3"/>
  <c r="K20" i="3"/>
  <c r="X20" i="3"/>
  <c r="AE20" i="3"/>
  <c r="AD20" i="3"/>
  <c r="AC20" i="3"/>
  <c r="AB20" i="3"/>
  <c r="AA20" i="3"/>
  <c r="Y20" i="3"/>
  <c r="U20" i="3"/>
  <c r="N19" i="2"/>
  <c r="AA19" i="2"/>
  <c r="AB19" i="2"/>
  <c r="AF19" i="2"/>
  <c r="AE19" i="2"/>
  <c r="AD19" i="2"/>
  <c r="AC19" i="2"/>
  <c r="G18" i="2"/>
  <c r="O19" i="2"/>
  <c r="R19" i="2"/>
  <c r="Q19" i="2"/>
  <c r="S19" i="2"/>
  <c r="L19" i="2"/>
  <c r="K19" i="2"/>
  <c r="I20" i="2"/>
  <c r="U19" i="2"/>
  <c r="T19" i="2"/>
  <c r="V19" i="2"/>
  <c r="T170" i="5" l="1"/>
  <c r="I171" i="5"/>
  <c r="R171" i="5" s="1"/>
  <c r="V170" i="5"/>
  <c r="AC170" i="5"/>
  <c r="AD170" i="5"/>
  <c r="N170" i="5"/>
  <c r="AE170" i="5"/>
  <c r="O170" i="5"/>
  <c r="Y170" i="5"/>
  <c r="Q170" i="5"/>
  <c r="K170" i="5"/>
  <c r="S171" i="5"/>
  <c r="AF171" i="5"/>
  <c r="AE171" i="5"/>
  <c r="Q171" i="5"/>
  <c r="AA171" i="5"/>
  <c r="Y171" i="5"/>
  <c r="X171" i="5"/>
  <c r="U171" i="5"/>
  <c r="T171" i="5"/>
  <c r="O171" i="5"/>
  <c r="L171" i="5"/>
  <c r="AD171" i="5"/>
  <c r="AB171" i="5"/>
  <c r="V171" i="5"/>
  <c r="K171" i="5"/>
  <c r="AA21" i="5"/>
  <c r="K21" i="5"/>
  <c r="Y21" i="5"/>
  <c r="X21" i="5"/>
  <c r="I22" i="5"/>
  <c r="V21" i="5"/>
  <c r="Q21" i="5"/>
  <c r="O21" i="5"/>
  <c r="N21" i="5"/>
  <c r="AF21" i="5"/>
  <c r="L21" i="5"/>
  <c r="S21" i="5"/>
  <c r="T21" i="5"/>
  <c r="R21" i="5"/>
  <c r="AE21" i="5"/>
  <c r="AB21" i="5"/>
  <c r="U21" i="5"/>
  <c r="AD21" i="5"/>
  <c r="AC21" i="5"/>
  <c r="N20" i="4"/>
  <c r="M20" i="4"/>
  <c r="K20" i="4"/>
  <c r="H20" i="4"/>
  <c r="D21" i="4"/>
  <c r="L20" i="4"/>
  <c r="J20" i="4"/>
  <c r="I20" i="4"/>
  <c r="G20" i="4"/>
  <c r="Q20" i="4" s="1"/>
  <c r="F20" i="4"/>
  <c r="E20" i="4"/>
  <c r="G20" i="3"/>
  <c r="AD21" i="3"/>
  <c r="O21" i="3"/>
  <c r="AA21" i="3"/>
  <c r="K21" i="3"/>
  <c r="AF21" i="3"/>
  <c r="N21" i="3"/>
  <c r="AE21" i="3"/>
  <c r="L21" i="3"/>
  <c r="S21" i="3"/>
  <c r="Q21" i="3"/>
  <c r="I22" i="3"/>
  <c r="R21" i="3"/>
  <c r="T21" i="3"/>
  <c r="AC21" i="3"/>
  <c r="AB21" i="3"/>
  <c r="Y21" i="3"/>
  <c r="X21" i="3"/>
  <c r="V21" i="3"/>
  <c r="U21" i="3"/>
  <c r="N20" i="2"/>
  <c r="AA20" i="2"/>
  <c r="G19" i="2"/>
  <c r="AF20" i="2"/>
  <c r="AE20" i="2"/>
  <c r="AC20" i="2"/>
  <c r="AB20" i="2"/>
  <c r="AD20" i="2"/>
  <c r="I21" i="2"/>
  <c r="R20" i="2"/>
  <c r="Q20" i="2"/>
  <c r="L20" i="2"/>
  <c r="O20" i="2"/>
  <c r="K20" i="2"/>
  <c r="V20" i="2"/>
  <c r="U20" i="2"/>
  <c r="T20" i="2"/>
  <c r="S20" i="2"/>
  <c r="AC171" i="5" l="1"/>
  <c r="I172" i="5"/>
  <c r="N171" i="5"/>
  <c r="Y172" i="5"/>
  <c r="X172" i="5"/>
  <c r="V172" i="5"/>
  <c r="U172" i="5"/>
  <c r="T172" i="5"/>
  <c r="S172" i="5"/>
  <c r="Q172" i="5"/>
  <c r="O172" i="5"/>
  <c r="AF172" i="5"/>
  <c r="AE172" i="5"/>
  <c r="L172" i="5"/>
  <c r="AD172" i="5"/>
  <c r="K172" i="5"/>
  <c r="AB172" i="5"/>
  <c r="AC172" i="5"/>
  <c r="AA172" i="5"/>
  <c r="R172" i="5"/>
  <c r="AC22" i="5"/>
  <c r="N22" i="5"/>
  <c r="AB22" i="5"/>
  <c r="L22" i="5"/>
  <c r="AA22" i="5"/>
  <c r="K22" i="5"/>
  <c r="Y22" i="5"/>
  <c r="AF22" i="5"/>
  <c r="AE22" i="5"/>
  <c r="AD22" i="5"/>
  <c r="U22" i="5"/>
  <c r="T22" i="5"/>
  <c r="V22" i="5"/>
  <c r="S22" i="5"/>
  <c r="R22" i="5"/>
  <c r="Q22" i="5"/>
  <c r="X22" i="5"/>
  <c r="O22" i="5"/>
  <c r="I23" i="5"/>
  <c r="N21" i="4"/>
  <c r="M21" i="4"/>
  <c r="L21" i="4"/>
  <c r="J21" i="4"/>
  <c r="G21" i="4"/>
  <c r="Q21" i="4" s="1"/>
  <c r="I21" i="4"/>
  <c r="H21" i="4"/>
  <c r="F21" i="4"/>
  <c r="E21" i="4"/>
  <c r="K21" i="4"/>
  <c r="D22" i="4"/>
  <c r="V22" i="3"/>
  <c r="S22" i="3"/>
  <c r="AB22" i="3"/>
  <c r="AA22" i="3"/>
  <c r="Q22" i="3"/>
  <c r="I23" i="3"/>
  <c r="L22" i="3"/>
  <c r="O22" i="3"/>
  <c r="N22" i="3"/>
  <c r="AF22" i="3"/>
  <c r="AE22" i="3"/>
  <c r="K22" i="3"/>
  <c r="G22" i="3" s="1"/>
  <c r="AC22" i="3"/>
  <c r="Y22" i="3"/>
  <c r="X22" i="3"/>
  <c r="U22" i="3"/>
  <c r="T22" i="3"/>
  <c r="R22" i="3"/>
  <c r="AD22" i="3"/>
  <c r="G21" i="3"/>
  <c r="N21" i="2"/>
  <c r="AA21" i="2"/>
  <c r="AB21" i="2"/>
  <c r="AE21" i="2"/>
  <c r="AD21" i="2"/>
  <c r="AC21" i="2"/>
  <c r="AF21" i="2"/>
  <c r="G20" i="2"/>
  <c r="R21" i="2"/>
  <c r="Q21" i="2"/>
  <c r="T21" i="2"/>
  <c r="L21" i="2"/>
  <c r="S21" i="2"/>
  <c r="I22" i="2"/>
  <c r="V21" i="2"/>
  <c r="U21" i="2"/>
  <c r="K21" i="2"/>
  <c r="O21" i="2"/>
  <c r="I173" i="5" l="1"/>
  <c r="N172" i="5"/>
  <c r="AE173" i="5"/>
  <c r="Q173" i="5"/>
  <c r="AD173" i="5"/>
  <c r="O173" i="5"/>
  <c r="AC173" i="5"/>
  <c r="N173" i="5"/>
  <c r="T173" i="5"/>
  <c r="S173" i="5"/>
  <c r="AF173" i="5"/>
  <c r="AA173" i="5"/>
  <c r="Y173" i="5"/>
  <c r="V173" i="5"/>
  <c r="U173" i="5"/>
  <c r="L173" i="5"/>
  <c r="X173" i="5"/>
  <c r="AE23" i="5"/>
  <c r="Q23" i="5"/>
  <c r="AD23" i="5"/>
  <c r="O23" i="5"/>
  <c r="AC23" i="5"/>
  <c r="N23" i="5"/>
  <c r="AB23" i="5"/>
  <c r="L23" i="5"/>
  <c r="AA23" i="5"/>
  <c r="Y23" i="5"/>
  <c r="X23" i="5"/>
  <c r="V23" i="5"/>
  <c r="AF23" i="5"/>
  <c r="U23" i="5"/>
  <c r="S23" i="5"/>
  <c r="T23" i="5"/>
  <c r="I24" i="5"/>
  <c r="R23" i="5"/>
  <c r="K23" i="5"/>
  <c r="N22" i="4"/>
  <c r="M22" i="4"/>
  <c r="L22" i="4"/>
  <c r="K22" i="4"/>
  <c r="I22" i="4"/>
  <c r="F22" i="4"/>
  <c r="D23" i="4"/>
  <c r="J22" i="4"/>
  <c r="H22" i="4"/>
  <c r="G22" i="4"/>
  <c r="Q22" i="4" s="1"/>
  <c r="E22" i="4"/>
  <c r="AD23" i="3"/>
  <c r="O23" i="3"/>
  <c r="AA23" i="3"/>
  <c r="K23" i="3"/>
  <c r="I24" i="3"/>
  <c r="V23" i="3"/>
  <c r="U23" i="3"/>
  <c r="Q23" i="3"/>
  <c r="AF23" i="3"/>
  <c r="N23" i="3"/>
  <c r="L23" i="3"/>
  <c r="AE23" i="3"/>
  <c r="AC23" i="3"/>
  <c r="AB23" i="3"/>
  <c r="Y23" i="3"/>
  <c r="X23" i="3"/>
  <c r="T23" i="3"/>
  <c r="S23" i="3"/>
  <c r="R23" i="3"/>
  <c r="N22" i="2"/>
  <c r="AA22" i="2"/>
  <c r="G21" i="2"/>
  <c r="AF22" i="2"/>
  <c r="AD22" i="2"/>
  <c r="AE22" i="2"/>
  <c r="AC22" i="2"/>
  <c r="AB22" i="2"/>
  <c r="R22" i="2"/>
  <c r="Q22" i="2"/>
  <c r="V22" i="2"/>
  <c r="T22" i="2"/>
  <c r="U22" i="2"/>
  <c r="S22" i="2"/>
  <c r="L22" i="2"/>
  <c r="K22" i="2"/>
  <c r="O22" i="2"/>
  <c r="I23" i="2"/>
  <c r="I174" i="5" l="1"/>
  <c r="L174" i="5" s="1"/>
  <c r="AB173" i="5"/>
  <c r="K173" i="5"/>
  <c r="R173" i="5"/>
  <c r="V174" i="5"/>
  <c r="U174" i="5"/>
  <c r="T174" i="5"/>
  <c r="O174" i="5"/>
  <c r="AF174" i="5"/>
  <c r="N174" i="5"/>
  <c r="AE174" i="5"/>
  <c r="AC174" i="5"/>
  <c r="AB174" i="5"/>
  <c r="AA174" i="5"/>
  <c r="Y174" i="5"/>
  <c r="X174" i="5"/>
  <c r="AD174" i="5"/>
  <c r="Q174" i="5"/>
  <c r="K174" i="5"/>
  <c r="S174" i="5"/>
  <c r="R174" i="5"/>
  <c r="S24" i="5"/>
  <c r="AF24" i="5"/>
  <c r="R24" i="5"/>
  <c r="AE24" i="5"/>
  <c r="Q24" i="5"/>
  <c r="AD24" i="5"/>
  <c r="O24" i="5"/>
  <c r="X24" i="5"/>
  <c r="V24" i="5"/>
  <c r="U24" i="5"/>
  <c r="T24" i="5"/>
  <c r="AC24" i="5"/>
  <c r="N24" i="5"/>
  <c r="AB24" i="5"/>
  <c r="AA24" i="5"/>
  <c r="I25" i="5"/>
  <c r="Y24" i="5"/>
  <c r="L24" i="5"/>
  <c r="K24" i="5"/>
  <c r="M23" i="4"/>
  <c r="L23" i="4"/>
  <c r="K23" i="4"/>
  <c r="J23" i="4"/>
  <c r="H23" i="4"/>
  <c r="D24" i="4"/>
  <c r="E23" i="4"/>
  <c r="G23" i="4"/>
  <c r="Q23" i="4" s="1"/>
  <c r="F23" i="4"/>
  <c r="I23" i="4"/>
  <c r="N23" i="4"/>
  <c r="T24" i="3"/>
  <c r="I25" i="3"/>
  <c r="AE24" i="3"/>
  <c r="Q24" i="3"/>
  <c r="O24" i="3"/>
  <c r="AF24" i="3"/>
  <c r="N24" i="3"/>
  <c r="K24" i="3"/>
  <c r="AD24" i="3"/>
  <c r="G24" i="3"/>
  <c r="AC24" i="3"/>
  <c r="AB24" i="3"/>
  <c r="AA24" i="3"/>
  <c r="U24" i="3"/>
  <c r="S24" i="3"/>
  <c r="R24" i="3"/>
  <c r="L24" i="3"/>
  <c r="Y24" i="3"/>
  <c r="X24" i="3"/>
  <c r="V24" i="3"/>
  <c r="G23" i="3"/>
  <c r="N23" i="2"/>
  <c r="AA23" i="2"/>
  <c r="AB23" i="2"/>
  <c r="AF23" i="2"/>
  <c r="AE23" i="2"/>
  <c r="AD23" i="2"/>
  <c r="AC23" i="2"/>
  <c r="G22" i="2"/>
  <c r="V23" i="2"/>
  <c r="R23" i="2"/>
  <c r="Q23" i="2"/>
  <c r="I24" i="2"/>
  <c r="U23" i="2"/>
  <c r="T23" i="2"/>
  <c r="L23" i="2"/>
  <c r="S23" i="2"/>
  <c r="K23" i="2"/>
  <c r="G23" i="2" s="1"/>
  <c r="O23" i="2"/>
  <c r="I175" i="5" l="1"/>
  <c r="AC175" i="5"/>
  <c r="N175" i="5"/>
  <c r="AB175" i="5"/>
  <c r="L175" i="5"/>
  <c r="AA175" i="5"/>
  <c r="K175" i="5"/>
  <c r="AF175" i="5"/>
  <c r="AE175" i="5"/>
  <c r="AD175" i="5"/>
  <c r="X175" i="5"/>
  <c r="U175" i="5"/>
  <c r="V175" i="5"/>
  <c r="T175" i="5"/>
  <c r="S175" i="5"/>
  <c r="Y175" i="5"/>
  <c r="R175" i="5"/>
  <c r="Q175" i="5"/>
  <c r="O175" i="5"/>
  <c r="U25" i="5"/>
  <c r="T25" i="5"/>
  <c r="S25" i="5"/>
  <c r="AF25" i="5"/>
  <c r="R25" i="5"/>
  <c r="Q25" i="5"/>
  <c r="O25" i="5"/>
  <c r="N25" i="5"/>
  <c r="I26" i="5"/>
  <c r="L25" i="5"/>
  <c r="AE25" i="5"/>
  <c r="AD25" i="5"/>
  <c r="AC25" i="5"/>
  <c r="AA25" i="5"/>
  <c r="V25" i="5"/>
  <c r="K25" i="5"/>
  <c r="AB25" i="5"/>
  <c r="Y25" i="5"/>
  <c r="X25" i="5"/>
  <c r="N24" i="4"/>
  <c r="L24" i="4"/>
  <c r="K24" i="4"/>
  <c r="J24" i="4"/>
  <c r="I24" i="4"/>
  <c r="G24" i="4"/>
  <c r="Q24" i="4" s="1"/>
  <c r="D25" i="4"/>
  <c r="M24" i="4"/>
  <c r="H24" i="4"/>
  <c r="F24" i="4"/>
  <c r="E24" i="4"/>
  <c r="AB25" i="3"/>
  <c r="L25" i="3"/>
  <c r="X25" i="3"/>
  <c r="AD25" i="3"/>
  <c r="K25" i="3"/>
  <c r="AC25" i="3"/>
  <c r="N25" i="3"/>
  <c r="Y25" i="3"/>
  <c r="I26" i="3"/>
  <c r="AF25" i="3"/>
  <c r="AE25" i="3"/>
  <c r="AA25" i="3"/>
  <c r="T25" i="3"/>
  <c r="V25" i="3"/>
  <c r="U25" i="3"/>
  <c r="S25" i="3"/>
  <c r="R25" i="3"/>
  <c r="Q25" i="3"/>
  <c r="O25" i="3"/>
  <c r="N24" i="2"/>
  <c r="AA24" i="2"/>
  <c r="AF24" i="2"/>
  <c r="AB24" i="2"/>
  <c r="AE24" i="2"/>
  <c r="AD24" i="2"/>
  <c r="AC24" i="2"/>
  <c r="U24" i="2"/>
  <c r="R24" i="2"/>
  <c r="Q24" i="2"/>
  <c r="I25" i="2"/>
  <c r="K24" i="2"/>
  <c r="O24" i="2"/>
  <c r="V24" i="2"/>
  <c r="T24" i="2"/>
  <c r="S24" i="2"/>
  <c r="L24" i="2"/>
  <c r="I176" i="5" l="1"/>
  <c r="T176" i="5"/>
  <c r="S176" i="5"/>
  <c r="AF176" i="5"/>
  <c r="R176" i="5"/>
  <c r="AB176" i="5"/>
  <c r="AA176" i="5"/>
  <c r="Y176" i="5"/>
  <c r="V176" i="5"/>
  <c r="U176" i="5"/>
  <c r="K176" i="5"/>
  <c r="AE176" i="5"/>
  <c r="AD176" i="5"/>
  <c r="AC176" i="5"/>
  <c r="X176" i="5"/>
  <c r="L176" i="5"/>
  <c r="X26" i="5"/>
  <c r="I27" i="5"/>
  <c r="V26" i="5"/>
  <c r="U26" i="5"/>
  <c r="T26" i="5"/>
  <c r="N26" i="5"/>
  <c r="AF26" i="5"/>
  <c r="L26" i="5"/>
  <c r="AE26" i="5"/>
  <c r="K26" i="5"/>
  <c r="AD26" i="5"/>
  <c r="Q26" i="5"/>
  <c r="O26" i="5"/>
  <c r="AC26" i="5"/>
  <c r="S26" i="5"/>
  <c r="Y26" i="5"/>
  <c r="R26" i="5"/>
  <c r="AB26" i="5"/>
  <c r="AA26" i="5"/>
  <c r="M25" i="4"/>
  <c r="N25" i="4"/>
  <c r="L25" i="4"/>
  <c r="K25" i="4"/>
  <c r="J25" i="4"/>
  <c r="H25" i="4"/>
  <c r="F25" i="4"/>
  <c r="E25" i="4"/>
  <c r="I25" i="4"/>
  <c r="G25" i="4"/>
  <c r="Q25" i="4" s="1"/>
  <c r="D26" i="4"/>
  <c r="G25" i="3"/>
  <c r="T26" i="3"/>
  <c r="AE26" i="3"/>
  <c r="Q26" i="3"/>
  <c r="Y26" i="3"/>
  <c r="X26" i="3"/>
  <c r="I27" i="3"/>
  <c r="AF26" i="3"/>
  <c r="K26" i="3"/>
  <c r="G26" i="3" s="1"/>
  <c r="AD26" i="3"/>
  <c r="AC26" i="3"/>
  <c r="AB26" i="3"/>
  <c r="AA26" i="3"/>
  <c r="N26" i="3"/>
  <c r="L26" i="3"/>
  <c r="V26" i="3"/>
  <c r="U26" i="3"/>
  <c r="S26" i="3"/>
  <c r="R26" i="3"/>
  <c r="O26" i="3"/>
  <c r="N25" i="2"/>
  <c r="AA25" i="2"/>
  <c r="AB25" i="2"/>
  <c r="AC25" i="2"/>
  <c r="AF25" i="2"/>
  <c r="AE25" i="2"/>
  <c r="AD25" i="2"/>
  <c r="G24" i="2"/>
  <c r="O25" i="2"/>
  <c r="U25" i="2"/>
  <c r="S25" i="2"/>
  <c r="R25" i="2"/>
  <c r="K25" i="2"/>
  <c r="V25" i="2"/>
  <c r="T25" i="2"/>
  <c r="Q25" i="2"/>
  <c r="I26" i="2"/>
  <c r="L25" i="2"/>
  <c r="I177" i="5" l="1"/>
  <c r="O176" i="5"/>
  <c r="N176" i="5"/>
  <c r="Q176" i="5"/>
  <c r="AA177" i="5"/>
  <c r="K177" i="5"/>
  <c r="Y177" i="5"/>
  <c r="X177" i="5"/>
  <c r="V177" i="5"/>
  <c r="U177" i="5"/>
  <c r="T177" i="5"/>
  <c r="R177" i="5"/>
  <c r="O177" i="5"/>
  <c r="Q177" i="5"/>
  <c r="AF177" i="5"/>
  <c r="N177" i="5"/>
  <c r="AE177" i="5"/>
  <c r="L177" i="5"/>
  <c r="AD177" i="5"/>
  <c r="AC177" i="5"/>
  <c r="AB177" i="5"/>
  <c r="S177" i="5"/>
  <c r="AA27" i="5"/>
  <c r="K27" i="5"/>
  <c r="Y27" i="5"/>
  <c r="X27" i="5"/>
  <c r="I28" i="5"/>
  <c r="V27" i="5"/>
  <c r="AE27" i="5"/>
  <c r="AD27" i="5"/>
  <c r="AC27" i="5"/>
  <c r="AB27" i="5"/>
  <c r="S27" i="5"/>
  <c r="R27" i="5"/>
  <c r="Q27" i="5"/>
  <c r="O27" i="5"/>
  <c r="N27" i="5"/>
  <c r="AF27" i="5"/>
  <c r="T27" i="5"/>
  <c r="L27" i="5"/>
  <c r="U27" i="5"/>
  <c r="N26" i="4"/>
  <c r="L26" i="4"/>
  <c r="M26" i="4"/>
  <c r="K26" i="4"/>
  <c r="I26" i="4"/>
  <c r="G26" i="4"/>
  <c r="Q26" i="4" s="1"/>
  <c r="F26" i="4"/>
  <c r="D27" i="4"/>
  <c r="J26" i="4"/>
  <c r="H26" i="4"/>
  <c r="E26" i="4"/>
  <c r="I28" i="3"/>
  <c r="Y27" i="3"/>
  <c r="U27" i="3"/>
  <c r="R27" i="3"/>
  <c r="Q27" i="3"/>
  <c r="AC27" i="3"/>
  <c r="AB27" i="3"/>
  <c r="AA27" i="3"/>
  <c r="X27" i="3"/>
  <c r="V27" i="3"/>
  <c r="T27" i="3"/>
  <c r="S27" i="3"/>
  <c r="O27" i="3"/>
  <c r="N27" i="3"/>
  <c r="L27" i="3"/>
  <c r="K27" i="3"/>
  <c r="G27" i="3" s="1"/>
  <c r="AF27" i="3"/>
  <c r="AE27" i="3"/>
  <c r="AD27" i="3"/>
  <c r="N26" i="2"/>
  <c r="AA26" i="2"/>
  <c r="G25" i="2"/>
  <c r="AF26" i="2"/>
  <c r="AE26" i="2"/>
  <c r="AD26" i="2"/>
  <c r="AC26" i="2"/>
  <c r="AB26" i="2"/>
  <c r="I27" i="2"/>
  <c r="U26" i="2"/>
  <c r="T26" i="2"/>
  <c r="S26" i="2"/>
  <c r="R26" i="2"/>
  <c r="L26" i="2"/>
  <c r="Q26" i="2"/>
  <c r="V26" i="2"/>
  <c r="K26" i="2"/>
  <c r="O26" i="2"/>
  <c r="I178" i="5" l="1"/>
  <c r="AF178" i="5"/>
  <c r="R178" i="5"/>
  <c r="AE178" i="5"/>
  <c r="Q178" i="5"/>
  <c r="AD178" i="5"/>
  <c r="O178" i="5"/>
  <c r="U178" i="5"/>
  <c r="T178" i="5"/>
  <c r="S178" i="5"/>
  <c r="L178" i="5"/>
  <c r="AC178" i="5"/>
  <c r="K178" i="5"/>
  <c r="AB178" i="5"/>
  <c r="AA178" i="5"/>
  <c r="X178" i="5"/>
  <c r="V178" i="5"/>
  <c r="N178" i="5"/>
  <c r="Y178" i="5"/>
  <c r="AC28" i="5"/>
  <c r="N28" i="5"/>
  <c r="AB28" i="5"/>
  <c r="L28" i="5"/>
  <c r="AA28" i="5"/>
  <c r="K28" i="5"/>
  <c r="Y28" i="5"/>
  <c r="X28" i="5"/>
  <c r="V28" i="5"/>
  <c r="U28" i="5"/>
  <c r="T28" i="5"/>
  <c r="AE28" i="5"/>
  <c r="AD28" i="5"/>
  <c r="S28" i="5"/>
  <c r="AF28" i="5"/>
  <c r="R28" i="5"/>
  <c r="Q28" i="5"/>
  <c r="O28" i="5"/>
  <c r="I29" i="5"/>
  <c r="M27" i="4"/>
  <c r="K27" i="4"/>
  <c r="D28" i="4"/>
  <c r="N27" i="4"/>
  <c r="J27" i="4"/>
  <c r="H27" i="4"/>
  <c r="G27" i="4"/>
  <c r="Q27" i="4" s="1"/>
  <c r="L27" i="4"/>
  <c r="I27" i="4"/>
  <c r="F27" i="4"/>
  <c r="E27" i="4"/>
  <c r="AF28" i="3"/>
  <c r="R28" i="3"/>
  <c r="AC28" i="3"/>
  <c r="N28" i="3"/>
  <c r="AE28" i="3"/>
  <c r="L28" i="3"/>
  <c r="AD28" i="3"/>
  <c r="K28" i="3"/>
  <c r="G28" i="3" s="1"/>
  <c r="AA28" i="3"/>
  <c r="X28" i="3"/>
  <c r="V28" i="3"/>
  <c r="Y28" i="3"/>
  <c r="U28" i="3"/>
  <c r="Q28" i="3"/>
  <c r="AB28" i="3"/>
  <c r="T28" i="3"/>
  <c r="I29" i="3"/>
  <c r="S28" i="3"/>
  <c r="O28" i="3"/>
  <c r="N27" i="2"/>
  <c r="AA27" i="2"/>
  <c r="G26" i="2"/>
  <c r="AB27" i="2"/>
  <c r="AF27" i="2"/>
  <c r="AE27" i="2"/>
  <c r="AD27" i="2"/>
  <c r="AC27" i="2"/>
  <c r="U27" i="2"/>
  <c r="V27" i="2"/>
  <c r="T27" i="2"/>
  <c r="I28" i="2"/>
  <c r="S27" i="2"/>
  <c r="R27" i="2"/>
  <c r="Q27" i="2"/>
  <c r="L27" i="2"/>
  <c r="K27" i="2"/>
  <c r="O27" i="2"/>
  <c r="I179" i="5" l="1"/>
  <c r="X179" i="5"/>
  <c r="V179" i="5"/>
  <c r="U179" i="5"/>
  <c r="Q179" i="5"/>
  <c r="O179" i="5"/>
  <c r="AF179" i="5"/>
  <c r="N179" i="5"/>
  <c r="AE179" i="5"/>
  <c r="AD179" i="5"/>
  <c r="AB179" i="5"/>
  <c r="AA179" i="5"/>
  <c r="Y179" i="5"/>
  <c r="R179" i="5"/>
  <c r="L179" i="5"/>
  <c r="T179" i="5"/>
  <c r="S179" i="5"/>
  <c r="AE29" i="5"/>
  <c r="Q29" i="5"/>
  <c r="AD29" i="5"/>
  <c r="O29" i="5"/>
  <c r="AC29" i="5"/>
  <c r="N29" i="5"/>
  <c r="AB29" i="5"/>
  <c r="L29" i="5"/>
  <c r="U29" i="5"/>
  <c r="T29" i="5"/>
  <c r="S29" i="5"/>
  <c r="I30" i="5"/>
  <c r="R29" i="5"/>
  <c r="AF29" i="5"/>
  <c r="K29" i="5"/>
  <c r="AA29" i="5"/>
  <c r="Y29" i="5"/>
  <c r="X29" i="5"/>
  <c r="V29" i="5"/>
  <c r="L28" i="4"/>
  <c r="J28" i="4"/>
  <c r="D29" i="4"/>
  <c r="M28" i="4"/>
  <c r="I28" i="4"/>
  <c r="H28" i="4"/>
  <c r="F28" i="4"/>
  <c r="E28" i="4"/>
  <c r="G28" i="4"/>
  <c r="Q28" i="4" s="1"/>
  <c r="N28" i="4"/>
  <c r="K28" i="4"/>
  <c r="Y29" i="3"/>
  <c r="U29" i="3"/>
  <c r="AB29" i="3"/>
  <c r="AA29" i="3"/>
  <c r="AC29" i="3"/>
  <c r="X29" i="3"/>
  <c r="V29" i="3"/>
  <c r="T29" i="3"/>
  <c r="S29" i="3"/>
  <c r="O29" i="3"/>
  <c r="N29" i="3"/>
  <c r="L29" i="3"/>
  <c r="K29" i="3"/>
  <c r="G29" i="3" s="1"/>
  <c r="I30" i="3"/>
  <c r="AF29" i="3"/>
  <c r="AE29" i="3"/>
  <c r="AD29" i="3"/>
  <c r="R29" i="3"/>
  <c r="Q29" i="3"/>
  <c r="N28" i="2"/>
  <c r="AA28" i="2"/>
  <c r="G27" i="2"/>
  <c r="AF28" i="2"/>
  <c r="AE28" i="2"/>
  <c r="AD28" i="2"/>
  <c r="AC28" i="2"/>
  <c r="AB28" i="2"/>
  <c r="U28" i="2"/>
  <c r="V28" i="2"/>
  <c r="I29" i="2"/>
  <c r="T28" i="2"/>
  <c r="S28" i="2"/>
  <c r="R28" i="2"/>
  <c r="K28" i="2"/>
  <c r="O28" i="2"/>
  <c r="Q28" i="2"/>
  <c r="L28" i="2"/>
  <c r="I180" i="5" l="1"/>
  <c r="AC179" i="5"/>
  <c r="K179" i="5"/>
  <c r="AD180" i="5"/>
  <c r="O180" i="5"/>
  <c r="AC180" i="5"/>
  <c r="N180" i="5"/>
  <c r="AB180" i="5"/>
  <c r="L180" i="5"/>
  <c r="K180" i="5"/>
  <c r="AF180" i="5"/>
  <c r="AE180" i="5"/>
  <c r="AA180" i="5"/>
  <c r="Y180" i="5"/>
  <c r="V180" i="5"/>
  <c r="X180" i="5"/>
  <c r="U180" i="5"/>
  <c r="T180" i="5"/>
  <c r="S180" i="5"/>
  <c r="R180" i="5"/>
  <c r="Q180" i="5"/>
  <c r="S30" i="5"/>
  <c r="AF30" i="5"/>
  <c r="R30" i="5"/>
  <c r="AE30" i="5"/>
  <c r="Q30" i="5"/>
  <c r="AD30" i="5"/>
  <c r="O30" i="5"/>
  <c r="N30" i="5"/>
  <c r="I31" i="5"/>
  <c r="L30" i="5"/>
  <c r="K30" i="5"/>
  <c r="AB30" i="5"/>
  <c r="Y30" i="5"/>
  <c r="U30" i="5"/>
  <c r="V30" i="5"/>
  <c r="T30" i="5"/>
  <c r="AC30" i="5"/>
  <c r="AA30" i="5"/>
  <c r="X30" i="5"/>
  <c r="K29" i="4"/>
  <c r="I29" i="4"/>
  <c r="F29" i="4"/>
  <c r="E29" i="4"/>
  <c r="D30" i="4"/>
  <c r="M29" i="4"/>
  <c r="L29" i="4"/>
  <c r="N29" i="4"/>
  <c r="J29" i="4"/>
  <c r="H29" i="4"/>
  <c r="G29" i="4"/>
  <c r="Q29" i="4" s="1"/>
  <c r="AF30" i="3"/>
  <c r="R30" i="3"/>
  <c r="AC30" i="3"/>
  <c r="N30" i="3"/>
  <c r="V30" i="3"/>
  <c r="U30" i="3"/>
  <c r="AA30" i="3"/>
  <c r="Y30" i="3"/>
  <c r="X30" i="3"/>
  <c r="T30" i="3"/>
  <c r="S30" i="3"/>
  <c r="AE30" i="3"/>
  <c r="AD30" i="3"/>
  <c r="AB30" i="3"/>
  <c r="Q30" i="3"/>
  <c r="I31" i="3"/>
  <c r="O30" i="3"/>
  <c r="L30" i="3"/>
  <c r="K30" i="3"/>
  <c r="G30" i="3" s="1"/>
  <c r="N29" i="2"/>
  <c r="AA29" i="2"/>
  <c r="AB29" i="2"/>
  <c r="AE29" i="2"/>
  <c r="AD29" i="2"/>
  <c r="AC29" i="2"/>
  <c r="AF29" i="2"/>
  <c r="G28" i="2"/>
  <c r="V29" i="2"/>
  <c r="U29" i="2"/>
  <c r="I30" i="2"/>
  <c r="K29" i="2"/>
  <c r="O29" i="2"/>
  <c r="R29" i="2"/>
  <c r="Q29" i="2"/>
  <c r="L29" i="2"/>
  <c r="T29" i="2"/>
  <c r="S29" i="2"/>
  <c r="I181" i="5" l="1"/>
  <c r="U181" i="5"/>
  <c r="T181" i="5"/>
  <c r="S181" i="5"/>
  <c r="AC181" i="5"/>
  <c r="AB181" i="5"/>
  <c r="AA181" i="5"/>
  <c r="Y181" i="5"/>
  <c r="X181" i="5"/>
  <c r="V181" i="5"/>
  <c r="R181" i="5"/>
  <c r="Q181" i="5"/>
  <c r="O181" i="5"/>
  <c r="AD181" i="5"/>
  <c r="N181" i="5"/>
  <c r="L181" i="5"/>
  <c r="K181" i="5"/>
  <c r="AF181" i="5"/>
  <c r="AE181" i="5"/>
  <c r="U31" i="5"/>
  <c r="T31" i="5"/>
  <c r="S31" i="5"/>
  <c r="AF31" i="5"/>
  <c r="R31" i="5"/>
  <c r="AE31" i="5"/>
  <c r="K31" i="5"/>
  <c r="AD31" i="5"/>
  <c r="AC31" i="5"/>
  <c r="AB31" i="5"/>
  <c r="Y31" i="5"/>
  <c r="V31" i="5"/>
  <c r="AA31" i="5"/>
  <c r="X31" i="5"/>
  <c r="Q31" i="5"/>
  <c r="O31" i="5"/>
  <c r="N31" i="5"/>
  <c r="I32" i="5"/>
  <c r="L31" i="5"/>
  <c r="N30" i="4"/>
  <c r="J30" i="4"/>
  <c r="H30" i="4"/>
  <c r="K30" i="4"/>
  <c r="I30" i="4"/>
  <c r="G30" i="4"/>
  <c r="F30" i="4"/>
  <c r="E30" i="4"/>
  <c r="D31" i="4"/>
  <c r="Q30" i="4"/>
  <c r="M30" i="4"/>
  <c r="L30" i="4"/>
  <c r="V31" i="3"/>
  <c r="S31" i="3"/>
  <c r="AF31" i="3"/>
  <c r="O31" i="3"/>
  <c r="AE31" i="3"/>
  <c r="N31" i="3"/>
  <c r="I32" i="3"/>
  <c r="X31" i="3"/>
  <c r="U31" i="3"/>
  <c r="T31" i="3"/>
  <c r="R31" i="3"/>
  <c r="Q31" i="3"/>
  <c r="AD31" i="3"/>
  <c r="AC31" i="3"/>
  <c r="AB31" i="3"/>
  <c r="AA31" i="3"/>
  <c r="Y31" i="3"/>
  <c r="L31" i="3"/>
  <c r="K31" i="3"/>
  <c r="G31" i="3" s="1"/>
  <c r="N30" i="2"/>
  <c r="AA30" i="2"/>
  <c r="AF30" i="2"/>
  <c r="AE30" i="2"/>
  <c r="AD30" i="2"/>
  <c r="AC30" i="2"/>
  <c r="AB30" i="2"/>
  <c r="G29" i="2"/>
  <c r="U30" i="2"/>
  <c r="V30" i="2"/>
  <c r="I31" i="2"/>
  <c r="R30" i="2"/>
  <c r="L30" i="2"/>
  <c r="Q30" i="2"/>
  <c r="T30" i="2"/>
  <c r="S30" i="2"/>
  <c r="K30" i="2"/>
  <c r="O30" i="2"/>
  <c r="I182" i="5" l="1"/>
  <c r="AB182" i="5"/>
  <c r="L182" i="5"/>
  <c r="AA182" i="5"/>
  <c r="K182" i="5"/>
  <c r="Y182" i="5"/>
  <c r="X182" i="5"/>
  <c r="V182" i="5"/>
  <c r="U182" i="5"/>
  <c r="T182" i="5"/>
  <c r="R182" i="5"/>
  <c r="O182" i="5"/>
  <c r="AF182" i="5"/>
  <c r="N182" i="5"/>
  <c r="AE182" i="5"/>
  <c r="AD182" i="5"/>
  <c r="AC182" i="5"/>
  <c r="X32" i="5"/>
  <c r="I33" i="5"/>
  <c r="V32" i="5"/>
  <c r="U32" i="5"/>
  <c r="T32" i="5"/>
  <c r="AC32" i="5"/>
  <c r="AB32" i="5"/>
  <c r="AA32" i="5"/>
  <c r="Y32" i="5"/>
  <c r="R32" i="5"/>
  <c r="O32" i="5"/>
  <c r="S32" i="5"/>
  <c r="L32" i="5"/>
  <c r="AF32" i="5"/>
  <c r="AE32" i="5"/>
  <c r="AD32" i="5"/>
  <c r="Q32" i="5"/>
  <c r="N32" i="5"/>
  <c r="K32" i="5"/>
  <c r="N31" i="4"/>
  <c r="M31" i="4"/>
  <c r="I31" i="4"/>
  <c r="G31" i="4"/>
  <c r="Q31" i="4" s="1"/>
  <c r="L31" i="4"/>
  <c r="K31" i="4"/>
  <c r="J31" i="4"/>
  <c r="H31" i="4"/>
  <c r="E31" i="4"/>
  <c r="D32" i="4"/>
  <c r="F31" i="4"/>
  <c r="AB32" i="3"/>
  <c r="L32" i="3"/>
  <c r="G32" i="3" s="1"/>
  <c r="X32" i="3"/>
  <c r="AA32" i="3"/>
  <c r="I33" i="3"/>
  <c r="Y32" i="3"/>
  <c r="S32" i="3"/>
  <c r="R32" i="3"/>
  <c r="Q32" i="3"/>
  <c r="O32" i="3"/>
  <c r="N32" i="3"/>
  <c r="T32" i="3"/>
  <c r="K32" i="3"/>
  <c r="AF32" i="3"/>
  <c r="AE32" i="3"/>
  <c r="AD32" i="3"/>
  <c r="AC32" i="3"/>
  <c r="V32" i="3"/>
  <c r="U32" i="3"/>
  <c r="N31" i="2"/>
  <c r="AA31" i="2"/>
  <c r="G30" i="2"/>
  <c r="AB31" i="2"/>
  <c r="AF31" i="2"/>
  <c r="AE31" i="2"/>
  <c r="AD31" i="2"/>
  <c r="AC31" i="2"/>
  <c r="T31" i="2"/>
  <c r="V31" i="2"/>
  <c r="S31" i="2"/>
  <c r="U31" i="2"/>
  <c r="K31" i="2"/>
  <c r="O31" i="2"/>
  <c r="R31" i="2"/>
  <c r="L31" i="2"/>
  <c r="I32" i="2"/>
  <c r="Q31" i="2"/>
  <c r="I183" i="5" l="1"/>
  <c r="Q182" i="5"/>
  <c r="S182" i="5"/>
  <c r="S183" i="5"/>
  <c r="AF183" i="5"/>
  <c r="R183" i="5"/>
  <c r="AE183" i="5"/>
  <c r="Q183" i="5"/>
  <c r="V183" i="5"/>
  <c r="U183" i="5"/>
  <c r="O183" i="5"/>
  <c r="N183" i="5"/>
  <c r="AD183" i="5"/>
  <c r="L183" i="5"/>
  <c r="K183" i="5"/>
  <c r="AC183" i="5"/>
  <c r="AB183" i="5"/>
  <c r="AA183" i="5"/>
  <c r="Y183" i="5"/>
  <c r="X183" i="5"/>
  <c r="AA33" i="5"/>
  <c r="K33" i="5"/>
  <c r="Y33" i="5"/>
  <c r="X33" i="5"/>
  <c r="I34" i="5"/>
  <c r="V33" i="5"/>
  <c r="U33" i="5"/>
  <c r="T33" i="5"/>
  <c r="S33" i="5"/>
  <c r="R33" i="5"/>
  <c r="O33" i="5"/>
  <c r="AF33" i="5"/>
  <c r="L33" i="5"/>
  <c r="Q33" i="5"/>
  <c r="AD33" i="5"/>
  <c r="N33" i="5"/>
  <c r="AC33" i="5"/>
  <c r="AE33" i="5"/>
  <c r="AB33" i="5"/>
  <c r="M32" i="4"/>
  <c r="L32" i="4"/>
  <c r="H32" i="4"/>
  <c r="F32" i="4"/>
  <c r="D33" i="4"/>
  <c r="Q32" i="4"/>
  <c r="N32" i="4"/>
  <c r="J32" i="4"/>
  <c r="I32" i="4"/>
  <c r="E32" i="4"/>
  <c r="K32" i="4"/>
  <c r="G32" i="4"/>
  <c r="T33" i="3"/>
  <c r="AE33" i="3"/>
  <c r="Q33" i="3"/>
  <c r="I34" i="3"/>
  <c r="V33" i="3"/>
  <c r="U33" i="3"/>
  <c r="R33" i="3"/>
  <c r="O33" i="3"/>
  <c r="N33" i="3"/>
  <c r="L33" i="3"/>
  <c r="AF33" i="3"/>
  <c r="K33" i="3"/>
  <c r="AC33" i="3"/>
  <c r="AB33" i="3"/>
  <c r="AA33" i="3"/>
  <c r="Y33" i="3"/>
  <c r="X33" i="3"/>
  <c r="S33" i="3"/>
  <c r="AD33" i="3"/>
  <c r="N32" i="2"/>
  <c r="AA32" i="2"/>
  <c r="AF32" i="2"/>
  <c r="AB32" i="2"/>
  <c r="AE32" i="2"/>
  <c r="AD32" i="2"/>
  <c r="AC32" i="2"/>
  <c r="G31" i="2"/>
  <c r="S32" i="2"/>
  <c r="V32" i="2"/>
  <c r="O32" i="2"/>
  <c r="I33" i="2"/>
  <c r="T32" i="2"/>
  <c r="U32" i="2"/>
  <c r="R32" i="2"/>
  <c r="Q32" i="2"/>
  <c r="L32" i="2"/>
  <c r="K32" i="2"/>
  <c r="I184" i="5" l="1"/>
  <c r="T183" i="5"/>
  <c r="Y184" i="5"/>
  <c r="X184" i="5"/>
  <c r="V184" i="5"/>
  <c r="R184" i="5"/>
  <c r="Q184" i="5"/>
  <c r="O184" i="5"/>
  <c r="AF184" i="5"/>
  <c r="N184" i="5"/>
  <c r="AE184" i="5"/>
  <c r="L184" i="5"/>
  <c r="AD184" i="5"/>
  <c r="K184" i="5"/>
  <c r="AC184" i="5"/>
  <c r="AB184" i="5"/>
  <c r="AA184" i="5"/>
  <c r="U184" i="5"/>
  <c r="T184" i="5"/>
  <c r="S184" i="5"/>
  <c r="AC34" i="5"/>
  <c r="N34" i="5"/>
  <c r="AB34" i="5"/>
  <c r="L34" i="5"/>
  <c r="AA34" i="5"/>
  <c r="K34" i="5"/>
  <c r="Y34" i="5"/>
  <c r="S34" i="5"/>
  <c r="I35" i="5"/>
  <c r="R34" i="5"/>
  <c r="Q34" i="5"/>
  <c r="O34" i="5"/>
  <c r="AF34" i="5"/>
  <c r="AD34" i="5"/>
  <c r="AE34" i="5"/>
  <c r="X34" i="5"/>
  <c r="V34" i="5"/>
  <c r="U34" i="5"/>
  <c r="T34" i="5"/>
  <c r="L33" i="4"/>
  <c r="K33" i="4"/>
  <c r="G33" i="4"/>
  <c r="D34" i="4"/>
  <c r="E33" i="4"/>
  <c r="H33" i="4"/>
  <c r="F33" i="4"/>
  <c r="N33" i="4"/>
  <c r="Q33" i="4"/>
  <c r="M33" i="4"/>
  <c r="J33" i="4"/>
  <c r="I33" i="4"/>
  <c r="G33" i="3"/>
  <c r="AB34" i="3"/>
  <c r="L34" i="3"/>
  <c r="X34" i="3"/>
  <c r="R34" i="3"/>
  <c r="Q34" i="3"/>
  <c r="S34" i="3"/>
  <c r="O34" i="3"/>
  <c r="N34" i="3"/>
  <c r="AF34" i="3"/>
  <c r="K34" i="3"/>
  <c r="G34" i="3" s="1"/>
  <c r="AE34" i="3"/>
  <c r="I35" i="3"/>
  <c r="AD34" i="3"/>
  <c r="AC34" i="3"/>
  <c r="AA34" i="3"/>
  <c r="Y34" i="3"/>
  <c r="V34" i="3"/>
  <c r="U34" i="3"/>
  <c r="T34" i="3"/>
  <c r="N33" i="2"/>
  <c r="AA33" i="2"/>
  <c r="AB33" i="2"/>
  <c r="AF33" i="2"/>
  <c r="AE33" i="2"/>
  <c r="AD33" i="2"/>
  <c r="AC33" i="2"/>
  <c r="G32" i="2"/>
  <c r="R33" i="2"/>
  <c r="V33" i="2"/>
  <c r="K33" i="2"/>
  <c r="O33" i="2"/>
  <c r="I34" i="2"/>
  <c r="U33" i="2"/>
  <c r="T33" i="2"/>
  <c r="S33" i="2"/>
  <c r="Q33" i="2"/>
  <c r="L33" i="2"/>
  <c r="I185" i="5" l="1"/>
  <c r="AE185" i="5"/>
  <c r="Q185" i="5"/>
  <c r="AD185" i="5"/>
  <c r="O185" i="5"/>
  <c r="AC185" i="5"/>
  <c r="N185" i="5"/>
  <c r="L185" i="5"/>
  <c r="K185" i="5"/>
  <c r="AF185" i="5"/>
  <c r="AA185" i="5"/>
  <c r="X185" i="5"/>
  <c r="Y185" i="5"/>
  <c r="V185" i="5"/>
  <c r="U185" i="5"/>
  <c r="R185" i="5"/>
  <c r="S185" i="5"/>
  <c r="T185" i="5"/>
  <c r="AE35" i="5"/>
  <c r="Q35" i="5"/>
  <c r="AD35" i="5"/>
  <c r="O35" i="5"/>
  <c r="AC35" i="5"/>
  <c r="N35" i="5"/>
  <c r="AB35" i="5"/>
  <c r="L35" i="5"/>
  <c r="K35" i="5"/>
  <c r="AF35" i="5"/>
  <c r="Y35" i="5"/>
  <c r="V35" i="5"/>
  <c r="AA35" i="5"/>
  <c r="R35" i="5"/>
  <c r="T35" i="5"/>
  <c r="S35" i="5"/>
  <c r="I36" i="5"/>
  <c r="X35" i="5"/>
  <c r="U35" i="5"/>
  <c r="K34" i="4"/>
  <c r="J34" i="4"/>
  <c r="F34" i="4"/>
  <c r="M34" i="4"/>
  <c r="L34" i="4"/>
  <c r="I34" i="4"/>
  <c r="H34" i="4"/>
  <c r="G34" i="4"/>
  <c r="Q34" i="4" s="1"/>
  <c r="E34" i="4"/>
  <c r="D35" i="4"/>
  <c r="N34" i="4"/>
  <c r="T35" i="3"/>
  <c r="AE35" i="3"/>
  <c r="Q35" i="3"/>
  <c r="I36" i="3"/>
  <c r="AD35" i="3"/>
  <c r="L35" i="3"/>
  <c r="AC35" i="3"/>
  <c r="K35" i="3"/>
  <c r="G35" i="3" s="1"/>
  <c r="R35" i="3"/>
  <c r="O35" i="3"/>
  <c r="N35" i="3"/>
  <c r="AF35" i="3"/>
  <c r="X35" i="3"/>
  <c r="V35" i="3"/>
  <c r="U35" i="3"/>
  <c r="S35" i="3"/>
  <c r="AB35" i="3"/>
  <c r="AA35" i="3"/>
  <c r="Y35" i="3"/>
  <c r="N34" i="2"/>
  <c r="AA34" i="2"/>
  <c r="AF34" i="2"/>
  <c r="AE34" i="2"/>
  <c r="AD34" i="2"/>
  <c r="AC34" i="2"/>
  <c r="AB34" i="2"/>
  <c r="G33" i="2"/>
  <c r="Q34" i="2"/>
  <c r="V34" i="2"/>
  <c r="L34" i="2"/>
  <c r="K34" i="2"/>
  <c r="S34" i="2"/>
  <c r="O34" i="2"/>
  <c r="R34" i="2"/>
  <c r="U34" i="2"/>
  <c r="T34" i="2"/>
  <c r="I35" i="2"/>
  <c r="I186" i="5" l="1"/>
  <c r="X186" i="5" s="1"/>
  <c r="AB185" i="5"/>
  <c r="V186" i="5"/>
  <c r="U186" i="5"/>
  <c r="T186" i="5"/>
  <c r="AD186" i="5"/>
  <c r="K186" i="5"/>
  <c r="AC186" i="5"/>
  <c r="AB186" i="5"/>
  <c r="AA186" i="5"/>
  <c r="R186" i="5"/>
  <c r="Q186" i="5"/>
  <c r="AF186" i="5"/>
  <c r="AE186" i="5"/>
  <c r="L186" i="5"/>
  <c r="O186" i="5"/>
  <c r="N186" i="5"/>
  <c r="S36" i="5"/>
  <c r="AF36" i="5"/>
  <c r="R36" i="5"/>
  <c r="AE36" i="5"/>
  <c r="Q36" i="5"/>
  <c r="AD36" i="5"/>
  <c r="O36" i="5"/>
  <c r="AC36" i="5"/>
  <c r="AB36" i="5"/>
  <c r="AA36" i="5"/>
  <c r="Y36" i="5"/>
  <c r="V36" i="5"/>
  <c r="T36" i="5"/>
  <c r="X36" i="5"/>
  <c r="U36" i="5"/>
  <c r="N36" i="5"/>
  <c r="L36" i="5"/>
  <c r="K36" i="5"/>
  <c r="I37" i="5"/>
  <c r="J35" i="4"/>
  <c r="I35" i="4"/>
  <c r="D36" i="4"/>
  <c r="E35" i="4"/>
  <c r="N35" i="4"/>
  <c r="M35" i="4"/>
  <c r="L35" i="4"/>
  <c r="K35" i="4"/>
  <c r="G35" i="4"/>
  <c r="Q35" i="4" s="1"/>
  <c r="F35" i="4"/>
  <c r="H35" i="4"/>
  <c r="Y36" i="3"/>
  <c r="I37" i="3"/>
  <c r="U36" i="3"/>
  <c r="X36" i="3"/>
  <c r="V36" i="3"/>
  <c r="N36" i="3"/>
  <c r="AF36" i="3"/>
  <c r="L36" i="3"/>
  <c r="AE36" i="3"/>
  <c r="K36" i="3"/>
  <c r="AD36" i="3"/>
  <c r="AC36" i="3"/>
  <c r="AB36" i="3"/>
  <c r="AA36" i="3"/>
  <c r="T36" i="3"/>
  <c r="S36" i="3"/>
  <c r="R36" i="3"/>
  <c r="Q36" i="3"/>
  <c r="O36" i="3"/>
  <c r="N35" i="2"/>
  <c r="AA35" i="2"/>
  <c r="AB35" i="2"/>
  <c r="AF35" i="2"/>
  <c r="AE35" i="2"/>
  <c r="AD35" i="2"/>
  <c r="AC35" i="2"/>
  <c r="G34" i="2"/>
  <c r="L35" i="2"/>
  <c r="G35" i="2" s="1"/>
  <c r="V35" i="2"/>
  <c r="R35" i="2"/>
  <c r="Q35" i="2"/>
  <c r="T35" i="2"/>
  <c r="U35" i="2"/>
  <c r="I36" i="2"/>
  <c r="K35" i="2"/>
  <c r="S35" i="2"/>
  <c r="O35" i="2"/>
  <c r="S186" i="5" l="1"/>
  <c r="I187" i="5"/>
  <c r="Y186" i="5"/>
  <c r="AC187" i="5"/>
  <c r="N187" i="5"/>
  <c r="AB187" i="5"/>
  <c r="L187" i="5"/>
  <c r="AA187" i="5"/>
  <c r="K187" i="5"/>
  <c r="Y187" i="5"/>
  <c r="X187" i="5"/>
  <c r="V187" i="5"/>
  <c r="U187" i="5"/>
  <c r="T187" i="5"/>
  <c r="R187" i="5"/>
  <c r="S187" i="5"/>
  <c r="Q187" i="5"/>
  <c r="O187" i="5"/>
  <c r="AF187" i="5"/>
  <c r="AE187" i="5"/>
  <c r="AD187" i="5"/>
  <c r="U37" i="5"/>
  <c r="T37" i="5"/>
  <c r="S37" i="5"/>
  <c r="AF37" i="5"/>
  <c r="R37" i="5"/>
  <c r="AA37" i="5"/>
  <c r="Y37" i="5"/>
  <c r="X37" i="5"/>
  <c r="V37" i="5"/>
  <c r="O37" i="5"/>
  <c r="I38" i="5"/>
  <c r="L37" i="5"/>
  <c r="AE37" i="5"/>
  <c r="AD37" i="5"/>
  <c r="AC37" i="5"/>
  <c r="AB37" i="5"/>
  <c r="Q37" i="5"/>
  <c r="N37" i="5"/>
  <c r="K37" i="5"/>
  <c r="I36" i="4"/>
  <c r="H36" i="4"/>
  <c r="N36" i="4"/>
  <c r="E36" i="4"/>
  <c r="D37" i="4"/>
  <c r="L36" i="4"/>
  <c r="K36" i="4"/>
  <c r="F36" i="4"/>
  <c r="G36" i="4"/>
  <c r="Q36" i="4" s="1"/>
  <c r="M36" i="4"/>
  <c r="J36" i="4"/>
  <c r="G36" i="3"/>
  <c r="AF37" i="3"/>
  <c r="R37" i="3"/>
  <c r="AC37" i="3"/>
  <c r="N37" i="3"/>
  <c r="T37" i="3"/>
  <c r="S37" i="3"/>
  <c r="K37" i="3"/>
  <c r="G37" i="3" s="1"/>
  <c r="AE37" i="3"/>
  <c r="AD37" i="3"/>
  <c r="AB37" i="3"/>
  <c r="AA37" i="3"/>
  <c r="O37" i="3"/>
  <c r="L37" i="3"/>
  <c r="I38" i="3"/>
  <c r="Y37" i="3"/>
  <c r="X37" i="3"/>
  <c r="V37" i="3"/>
  <c r="U37" i="3"/>
  <c r="Q37" i="3"/>
  <c r="N36" i="2"/>
  <c r="AA36" i="2"/>
  <c r="AF36" i="2"/>
  <c r="AE36" i="2"/>
  <c r="AD36" i="2"/>
  <c r="AB36" i="2"/>
  <c r="AC36" i="2"/>
  <c r="K36" i="2"/>
  <c r="V36" i="2"/>
  <c r="S36" i="2"/>
  <c r="R36" i="2"/>
  <c r="I37" i="2"/>
  <c r="Q36" i="2"/>
  <c r="L36" i="2"/>
  <c r="O36" i="2"/>
  <c r="U36" i="2"/>
  <c r="T36" i="2"/>
  <c r="I188" i="5" l="1"/>
  <c r="T188" i="5"/>
  <c r="S188" i="5"/>
  <c r="AF188" i="5"/>
  <c r="R188" i="5"/>
  <c r="X188" i="5"/>
  <c r="V188" i="5"/>
  <c r="U188" i="5"/>
  <c r="Q188" i="5"/>
  <c r="O188" i="5"/>
  <c r="AD188" i="5"/>
  <c r="K188" i="5"/>
  <c r="AC188" i="5"/>
  <c r="Y188" i="5"/>
  <c r="AA188" i="5"/>
  <c r="AB188" i="5"/>
  <c r="X38" i="5"/>
  <c r="I39" i="5"/>
  <c r="V38" i="5"/>
  <c r="U38" i="5"/>
  <c r="T38" i="5"/>
  <c r="S38" i="5"/>
  <c r="R38" i="5"/>
  <c r="Q38" i="5"/>
  <c r="O38" i="5"/>
  <c r="AF38" i="5"/>
  <c r="L38" i="5"/>
  <c r="AD38" i="5"/>
  <c r="N38" i="5"/>
  <c r="K38" i="5"/>
  <c r="AB38" i="5"/>
  <c r="AA38" i="5"/>
  <c r="Y38" i="5"/>
  <c r="AE38" i="5"/>
  <c r="AC38" i="5"/>
  <c r="H37" i="4"/>
  <c r="G37" i="4"/>
  <c r="N37" i="4"/>
  <c r="M37" i="4"/>
  <c r="K37" i="4"/>
  <c r="J37" i="4"/>
  <c r="I37" i="4"/>
  <c r="F37" i="4"/>
  <c r="E37" i="4"/>
  <c r="D38" i="4"/>
  <c r="Q37" i="4"/>
  <c r="L37" i="4"/>
  <c r="Y38" i="3"/>
  <c r="U38" i="3"/>
  <c r="AF38" i="3"/>
  <c r="O38" i="3"/>
  <c r="AE38" i="3"/>
  <c r="N38" i="3"/>
  <c r="AD38" i="3"/>
  <c r="K38" i="3"/>
  <c r="G38" i="3" s="1"/>
  <c r="AC38" i="3"/>
  <c r="AB38" i="3"/>
  <c r="AA38" i="3"/>
  <c r="X38" i="3"/>
  <c r="I39" i="3"/>
  <c r="V38" i="3"/>
  <c r="T38" i="3"/>
  <c r="S38" i="3"/>
  <c r="R38" i="3"/>
  <c r="Q38" i="3"/>
  <c r="L38" i="3"/>
  <c r="N37" i="2"/>
  <c r="AA37" i="2"/>
  <c r="AB37" i="2"/>
  <c r="AE37" i="2"/>
  <c r="AD37" i="2"/>
  <c r="AC37" i="2"/>
  <c r="AF37" i="2"/>
  <c r="G36" i="2"/>
  <c r="O37" i="2"/>
  <c r="V37" i="2"/>
  <c r="T37" i="2"/>
  <c r="S37" i="2"/>
  <c r="I38" i="2"/>
  <c r="U37" i="2"/>
  <c r="R37" i="2"/>
  <c r="Q37" i="2"/>
  <c r="K37" i="2"/>
  <c r="L37" i="2"/>
  <c r="I189" i="5" l="1"/>
  <c r="N188" i="5"/>
  <c r="L188" i="5"/>
  <c r="AE188" i="5"/>
  <c r="AA189" i="5"/>
  <c r="K189" i="5"/>
  <c r="Y189" i="5"/>
  <c r="X189" i="5"/>
  <c r="S189" i="5"/>
  <c r="R189" i="5"/>
  <c r="O189" i="5"/>
  <c r="AF189" i="5"/>
  <c r="N189" i="5"/>
  <c r="AE189" i="5"/>
  <c r="L189" i="5"/>
  <c r="AD189" i="5"/>
  <c r="AC189" i="5"/>
  <c r="AB189" i="5"/>
  <c r="T189" i="5"/>
  <c r="V189" i="5"/>
  <c r="U189" i="5"/>
  <c r="AA39" i="5"/>
  <c r="K39" i="5"/>
  <c r="Y39" i="5"/>
  <c r="X39" i="5"/>
  <c r="I40" i="5"/>
  <c r="V39" i="5"/>
  <c r="Q39" i="5"/>
  <c r="O39" i="5"/>
  <c r="N39" i="5"/>
  <c r="AF39" i="5"/>
  <c r="L39" i="5"/>
  <c r="AD39" i="5"/>
  <c r="AB39" i="5"/>
  <c r="AE39" i="5"/>
  <c r="AC39" i="5"/>
  <c r="U39" i="5"/>
  <c r="T39" i="5"/>
  <c r="S39" i="5"/>
  <c r="R39" i="5"/>
  <c r="G38" i="4"/>
  <c r="F38" i="4"/>
  <c r="N38" i="4"/>
  <c r="M38" i="4"/>
  <c r="L38" i="4"/>
  <c r="D39" i="4"/>
  <c r="K38" i="4"/>
  <c r="J38" i="4"/>
  <c r="H38" i="4"/>
  <c r="Q38" i="4" s="1"/>
  <c r="E38" i="4"/>
  <c r="I38" i="4"/>
  <c r="I40" i="3"/>
  <c r="AD39" i="3"/>
  <c r="O39" i="3"/>
  <c r="AA39" i="3"/>
  <c r="K39" i="3"/>
  <c r="Y39" i="3"/>
  <c r="X39" i="3"/>
  <c r="V39" i="3"/>
  <c r="AF39" i="3"/>
  <c r="AE39" i="3"/>
  <c r="AC39" i="3"/>
  <c r="AB39" i="3"/>
  <c r="U39" i="3"/>
  <c r="T39" i="3"/>
  <c r="S39" i="3"/>
  <c r="R39" i="3"/>
  <c r="Q39" i="3"/>
  <c r="N39" i="3"/>
  <c r="L39" i="3"/>
  <c r="G39" i="3" s="1"/>
  <c r="N38" i="2"/>
  <c r="AA38" i="2"/>
  <c r="AF38" i="2"/>
  <c r="AD38" i="2"/>
  <c r="AC38" i="2"/>
  <c r="AB38" i="2"/>
  <c r="AE38" i="2"/>
  <c r="G37" i="2"/>
  <c r="I39" i="2"/>
  <c r="V38" i="2"/>
  <c r="U38" i="2"/>
  <c r="T38" i="2"/>
  <c r="Q38" i="2"/>
  <c r="K38" i="2"/>
  <c r="L38" i="2"/>
  <c r="O38" i="2"/>
  <c r="S38" i="2"/>
  <c r="R38" i="2"/>
  <c r="I190" i="5" l="1"/>
  <c r="Q189" i="5"/>
  <c r="AF190" i="5"/>
  <c r="R190" i="5"/>
  <c r="AE190" i="5"/>
  <c r="Q190" i="5"/>
  <c r="AD190" i="5"/>
  <c r="O190" i="5"/>
  <c r="N190" i="5"/>
  <c r="L190" i="5"/>
  <c r="K190" i="5"/>
  <c r="AC190" i="5"/>
  <c r="AB190" i="5"/>
  <c r="Y190" i="5"/>
  <c r="AA190" i="5"/>
  <c r="X190" i="5"/>
  <c r="V190" i="5"/>
  <c r="U190" i="5"/>
  <c r="T190" i="5"/>
  <c r="S190" i="5"/>
  <c r="AC40" i="5"/>
  <c r="N40" i="5"/>
  <c r="AB40" i="5"/>
  <c r="L40" i="5"/>
  <c r="AA40" i="5"/>
  <c r="K40" i="5"/>
  <c r="Y40" i="5"/>
  <c r="AF40" i="5"/>
  <c r="AE40" i="5"/>
  <c r="AD40" i="5"/>
  <c r="V40" i="5"/>
  <c r="T40" i="5"/>
  <c r="Q40" i="5"/>
  <c r="I41" i="5"/>
  <c r="O40" i="5"/>
  <c r="R40" i="5"/>
  <c r="X40" i="5"/>
  <c r="U40" i="5"/>
  <c r="S40" i="5"/>
  <c r="F39" i="4"/>
  <c r="D40" i="4"/>
  <c r="E39" i="4"/>
  <c r="M39" i="4"/>
  <c r="L39" i="4"/>
  <c r="K39" i="4"/>
  <c r="G39" i="4"/>
  <c r="N39" i="4"/>
  <c r="Q39" i="4"/>
  <c r="J39" i="4"/>
  <c r="I39" i="4"/>
  <c r="H39" i="4"/>
  <c r="U40" i="3"/>
  <c r="AF40" i="3"/>
  <c r="R40" i="3"/>
  <c r="T40" i="3"/>
  <c r="S40" i="3"/>
  <c r="Q40" i="3"/>
  <c r="AE40" i="3"/>
  <c r="G40" i="3"/>
  <c r="AD40" i="3"/>
  <c r="AC40" i="3"/>
  <c r="AB40" i="3"/>
  <c r="AA40" i="3"/>
  <c r="I41" i="3"/>
  <c r="V40" i="3"/>
  <c r="O40" i="3"/>
  <c r="N40" i="3"/>
  <c r="L40" i="3"/>
  <c r="K40" i="3"/>
  <c r="Y40" i="3"/>
  <c r="X40" i="3"/>
  <c r="N39" i="2"/>
  <c r="AA39" i="2"/>
  <c r="G38" i="2"/>
  <c r="AB39" i="2"/>
  <c r="AF39" i="2"/>
  <c r="AE39" i="2"/>
  <c r="AD39" i="2"/>
  <c r="AC39" i="2"/>
  <c r="V39" i="2"/>
  <c r="U39" i="2"/>
  <c r="T39" i="2"/>
  <c r="R39" i="2"/>
  <c r="S39" i="2"/>
  <c r="Q39" i="2"/>
  <c r="I40" i="2"/>
  <c r="L39" i="2"/>
  <c r="K39" i="2"/>
  <c r="G39" i="2" s="1"/>
  <c r="O39" i="2"/>
  <c r="I191" i="5" l="1"/>
  <c r="X191" i="5"/>
  <c r="V191" i="5"/>
  <c r="U191" i="5"/>
  <c r="AE191" i="5"/>
  <c r="L191" i="5"/>
  <c r="AD191" i="5"/>
  <c r="K191" i="5"/>
  <c r="AC191" i="5"/>
  <c r="AB191" i="5"/>
  <c r="AA191" i="5"/>
  <c r="Y191" i="5"/>
  <c r="T191" i="5"/>
  <c r="S191" i="5"/>
  <c r="R191" i="5"/>
  <c r="AF191" i="5"/>
  <c r="Q191" i="5"/>
  <c r="O191" i="5"/>
  <c r="N191" i="5"/>
  <c r="AE41" i="5"/>
  <c r="Q41" i="5"/>
  <c r="AD41" i="5"/>
  <c r="O41" i="5"/>
  <c r="AC41" i="5"/>
  <c r="N41" i="5"/>
  <c r="AB41" i="5"/>
  <c r="L41" i="5"/>
  <c r="AA41" i="5"/>
  <c r="Y41" i="5"/>
  <c r="X41" i="5"/>
  <c r="V41" i="5"/>
  <c r="T41" i="5"/>
  <c r="I42" i="5"/>
  <c r="R41" i="5"/>
  <c r="U41" i="5"/>
  <c r="S41" i="5"/>
  <c r="K41" i="5"/>
  <c r="AF41" i="5"/>
  <c r="D41" i="4"/>
  <c r="E40" i="4"/>
  <c r="L40" i="4"/>
  <c r="K40" i="4"/>
  <c r="J40" i="4"/>
  <c r="N40" i="4"/>
  <c r="M40" i="4"/>
  <c r="I40" i="4"/>
  <c r="H40" i="4"/>
  <c r="G40" i="4"/>
  <c r="Q40" i="4" s="1"/>
  <c r="F40" i="4"/>
  <c r="AC41" i="3"/>
  <c r="N41" i="3"/>
  <c r="Y41" i="3"/>
  <c r="Q41" i="3"/>
  <c r="AF41" i="3"/>
  <c r="O41" i="3"/>
  <c r="AE41" i="3"/>
  <c r="L41" i="3"/>
  <c r="AD41" i="3"/>
  <c r="AB41" i="3"/>
  <c r="I42" i="3"/>
  <c r="AA41" i="3"/>
  <c r="X41" i="3"/>
  <c r="V41" i="3"/>
  <c r="U41" i="3"/>
  <c r="T41" i="3"/>
  <c r="S41" i="3"/>
  <c r="R41" i="3"/>
  <c r="K41" i="3"/>
  <c r="N40" i="2"/>
  <c r="AA40" i="2"/>
  <c r="AF40" i="2"/>
  <c r="AB40" i="2"/>
  <c r="AE40" i="2"/>
  <c r="AD40" i="2"/>
  <c r="AC40" i="2"/>
  <c r="V40" i="2"/>
  <c r="I41" i="2"/>
  <c r="U40" i="2"/>
  <c r="O40" i="2"/>
  <c r="T40" i="2"/>
  <c r="S40" i="2"/>
  <c r="R40" i="2"/>
  <c r="L40" i="2"/>
  <c r="K40" i="2"/>
  <c r="Q40" i="2"/>
  <c r="I192" i="5" l="1"/>
  <c r="AD192" i="5"/>
  <c r="O192" i="5"/>
  <c r="AC192" i="5"/>
  <c r="N192" i="5"/>
  <c r="AB192" i="5"/>
  <c r="L192" i="5"/>
  <c r="AA192" i="5"/>
  <c r="Y192" i="5"/>
  <c r="X192" i="5"/>
  <c r="U192" i="5"/>
  <c r="T192" i="5"/>
  <c r="S192" i="5"/>
  <c r="R192" i="5"/>
  <c r="Q192" i="5"/>
  <c r="K192" i="5"/>
  <c r="AE192" i="5"/>
  <c r="AF192" i="5"/>
  <c r="S42" i="5"/>
  <c r="AF42" i="5"/>
  <c r="R42" i="5"/>
  <c r="AE42" i="5"/>
  <c r="Q42" i="5"/>
  <c r="AD42" i="5"/>
  <c r="O42" i="5"/>
  <c r="X42" i="5"/>
  <c r="V42" i="5"/>
  <c r="U42" i="5"/>
  <c r="T42" i="5"/>
  <c r="I43" i="5"/>
  <c r="L42" i="5"/>
  <c r="AC42" i="5"/>
  <c r="AB42" i="5"/>
  <c r="AA42" i="5"/>
  <c r="N42" i="5"/>
  <c r="Y42" i="5"/>
  <c r="K42" i="5"/>
  <c r="K41" i="4"/>
  <c r="J41" i="4"/>
  <c r="I41" i="4"/>
  <c r="D42" i="4"/>
  <c r="N41" i="4"/>
  <c r="M41" i="4"/>
  <c r="H41" i="4"/>
  <c r="G41" i="4"/>
  <c r="Q41" i="4" s="1"/>
  <c r="E41" i="4"/>
  <c r="L41" i="4"/>
  <c r="F41" i="4"/>
  <c r="G41" i="3"/>
  <c r="U42" i="3"/>
  <c r="AF42" i="3"/>
  <c r="R42" i="3"/>
  <c r="AC42" i="3"/>
  <c r="K42" i="3"/>
  <c r="AB42" i="3"/>
  <c r="AA42" i="3"/>
  <c r="N42" i="3"/>
  <c r="L42" i="3"/>
  <c r="I43" i="3"/>
  <c r="AE42" i="3"/>
  <c r="AD42" i="3"/>
  <c r="S42" i="3"/>
  <c r="Q42" i="3"/>
  <c r="O42" i="3"/>
  <c r="Y42" i="3"/>
  <c r="X42" i="3"/>
  <c r="V42" i="3"/>
  <c r="T42" i="3"/>
  <c r="N41" i="2"/>
  <c r="AA41" i="2"/>
  <c r="G40" i="2"/>
  <c r="AB41" i="2"/>
  <c r="AF41" i="2"/>
  <c r="AE41" i="2"/>
  <c r="AD41" i="2"/>
  <c r="AC41" i="2"/>
  <c r="V41" i="2"/>
  <c r="I42" i="2"/>
  <c r="O41" i="2"/>
  <c r="T41" i="2"/>
  <c r="R41" i="2"/>
  <c r="S41" i="2"/>
  <c r="Q41" i="2"/>
  <c r="L41" i="2"/>
  <c r="U41" i="2"/>
  <c r="K41" i="2"/>
  <c r="I193" i="5" l="1"/>
  <c r="V192" i="5"/>
  <c r="U193" i="5"/>
  <c r="T193" i="5"/>
  <c r="S193" i="5"/>
  <c r="Y193" i="5"/>
  <c r="X193" i="5"/>
  <c r="V193" i="5"/>
  <c r="R193" i="5"/>
  <c r="Q193" i="5"/>
  <c r="N193" i="5"/>
  <c r="O193" i="5"/>
  <c r="AF193" i="5"/>
  <c r="AE193" i="5"/>
  <c r="L193" i="5"/>
  <c r="AD193" i="5"/>
  <c r="K193" i="5"/>
  <c r="AC193" i="5"/>
  <c r="AB193" i="5"/>
  <c r="AA193" i="5"/>
  <c r="U43" i="5"/>
  <c r="T43" i="5"/>
  <c r="S43" i="5"/>
  <c r="AF43" i="5"/>
  <c r="R43" i="5"/>
  <c r="Q43" i="5"/>
  <c r="O43" i="5"/>
  <c r="N43" i="5"/>
  <c r="I44" i="5"/>
  <c r="L43" i="5"/>
  <c r="AD43" i="5"/>
  <c r="AB43" i="5"/>
  <c r="K43" i="5"/>
  <c r="X43" i="5"/>
  <c r="AE43" i="5"/>
  <c r="V43" i="5"/>
  <c r="AC43" i="5"/>
  <c r="AA43" i="5"/>
  <c r="Y43" i="5"/>
  <c r="N42" i="4"/>
  <c r="J42" i="4"/>
  <c r="I42" i="4"/>
  <c r="H42" i="4"/>
  <c r="G42" i="4"/>
  <c r="F42" i="4"/>
  <c r="E42" i="4"/>
  <c r="D43" i="4"/>
  <c r="Q42" i="4"/>
  <c r="M42" i="4"/>
  <c r="L42" i="4"/>
  <c r="K42" i="4"/>
  <c r="AB43" i="3"/>
  <c r="L43" i="3"/>
  <c r="X43" i="3"/>
  <c r="V43" i="3"/>
  <c r="U43" i="3"/>
  <c r="T43" i="3"/>
  <c r="N43" i="3"/>
  <c r="K43" i="3"/>
  <c r="I44" i="3"/>
  <c r="AF43" i="3"/>
  <c r="G43" i="3"/>
  <c r="AE43" i="3"/>
  <c r="AD43" i="3"/>
  <c r="AC43" i="3"/>
  <c r="AA43" i="3"/>
  <c r="Y43" i="3"/>
  <c r="S43" i="3"/>
  <c r="R43" i="3"/>
  <c r="Q43" i="3"/>
  <c r="O43" i="3"/>
  <c r="G42" i="3"/>
  <c r="G41" i="2"/>
  <c r="N42" i="2"/>
  <c r="AA42" i="2"/>
  <c r="AF42" i="2"/>
  <c r="AE42" i="2"/>
  <c r="AD42" i="2"/>
  <c r="AC42" i="2"/>
  <c r="AB42" i="2"/>
  <c r="U42" i="2"/>
  <c r="Q42" i="2"/>
  <c r="K42" i="2"/>
  <c r="L42" i="2"/>
  <c r="I43" i="2"/>
  <c r="V42" i="2"/>
  <c r="T42" i="2"/>
  <c r="S42" i="2"/>
  <c r="R42" i="2"/>
  <c r="O42" i="2"/>
  <c r="I194" i="5" l="1"/>
  <c r="AB194" i="5"/>
  <c r="L194" i="5"/>
  <c r="AA194" i="5"/>
  <c r="K194" i="5"/>
  <c r="Y194" i="5"/>
  <c r="X194" i="5"/>
  <c r="T194" i="5"/>
  <c r="S194" i="5"/>
  <c r="R194" i="5"/>
  <c r="N194" i="5"/>
  <c r="AE194" i="5"/>
  <c r="AD194" i="5"/>
  <c r="AC194" i="5"/>
  <c r="V194" i="5"/>
  <c r="U194" i="5"/>
  <c r="X44" i="5"/>
  <c r="I45" i="5"/>
  <c r="V44" i="5"/>
  <c r="U44" i="5"/>
  <c r="T44" i="5"/>
  <c r="N44" i="5"/>
  <c r="AF44" i="5"/>
  <c r="L44" i="5"/>
  <c r="AE44" i="5"/>
  <c r="K44" i="5"/>
  <c r="AD44" i="5"/>
  <c r="AB44" i="5"/>
  <c r="Y44" i="5"/>
  <c r="AC44" i="5"/>
  <c r="AA44" i="5"/>
  <c r="S44" i="5"/>
  <c r="R44" i="5"/>
  <c r="Q44" i="5"/>
  <c r="O44" i="5"/>
  <c r="N43" i="4"/>
  <c r="M43" i="4"/>
  <c r="I43" i="4"/>
  <c r="H43" i="4"/>
  <c r="G43" i="4"/>
  <c r="Q43" i="4" s="1"/>
  <c r="L43" i="4"/>
  <c r="K43" i="4"/>
  <c r="J43" i="4"/>
  <c r="F43" i="4"/>
  <c r="D44" i="4"/>
  <c r="E43" i="4"/>
  <c r="AF44" i="3"/>
  <c r="R44" i="3"/>
  <c r="AC44" i="3"/>
  <c r="N44" i="3"/>
  <c r="Q44" i="3"/>
  <c r="O44" i="3"/>
  <c r="AE44" i="3"/>
  <c r="L44" i="3"/>
  <c r="I45" i="3"/>
  <c r="AD44" i="3"/>
  <c r="AB44" i="3"/>
  <c r="AA44" i="3"/>
  <c r="K44" i="3"/>
  <c r="G44" i="3" s="1"/>
  <c r="Y44" i="3"/>
  <c r="X44" i="3"/>
  <c r="V44" i="3"/>
  <c r="U44" i="3"/>
  <c r="T44" i="3"/>
  <c r="S44" i="3"/>
  <c r="N43" i="2"/>
  <c r="AA43" i="2"/>
  <c r="G42" i="2"/>
  <c r="AB43" i="2"/>
  <c r="AE43" i="2"/>
  <c r="AD43" i="2"/>
  <c r="AC43" i="2"/>
  <c r="AF43" i="2"/>
  <c r="T43" i="2"/>
  <c r="O43" i="2"/>
  <c r="U43" i="2"/>
  <c r="R43" i="2"/>
  <c r="S43" i="2"/>
  <c r="Q43" i="2"/>
  <c r="L43" i="2"/>
  <c r="K43" i="2"/>
  <c r="I44" i="2"/>
  <c r="V43" i="2"/>
  <c r="I195" i="5" l="1"/>
  <c r="AF194" i="5"/>
  <c r="O194" i="5"/>
  <c r="Q194" i="5"/>
  <c r="S195" i="5"/>
  <c r="AF195" i="5"/>
  <c r="R195" i="5"/>
  <c r="AE195" i="5"/>
  <c r="Q195" i="5"/>
  <c r="T195" i="5"/>
  <c r="O195" i="5"/>
  <c r="N195" i="5"/>
  <c r="L195" i="5"/>
  <c r="AD195" i="5"/>
  <c r="K195" i="5"/>
  <c r="AC195" i="5"/>
  <c r="AB195" i="5"/>
  <c r="AA195" i="5"/>
  <c r="Y195" i="5"/>
  <c r="U195" i="5"/>
  <c r="V195" i="5"/>
  <c r="X195" i="5"/>
  <c r="AA45" i="5"/>
  <c r="K45" i="5"/>
  <c r="Y45" i="5"/>
  <c r="X45" i="5"/>
  <c r="I46" i="5"/>
  <c r="V45" i="5"/>
  <c r="AE45" i="5"/>
  <c r="AD45" i="5"/>
  <c r="AC45" i="5"/>
  <c r="AB45" i="5"/>
  <c r="T45" i="5"/>
  <c r="R45" i="5"/>
  <c r="L45" i="5"/>
  <c r="O45" i="5"/>
  <c r="N45" i="5"/>
  <c r="AF45" i="5"/>
  <c r="U45" i="5"/>
  <c r="S45" i="5"/>
  <c r="Q45" i="5"/>
  <c r="M44" i="4"/>
  <c r="L44" i="4"/>
  <c r="H44" i="4"/>
  <c r="G44" i="4"/>
  <c r="F44" i="4"/>
  <c r="D45" i="4"/>
  <c r="Q44" i="4"/>
  <c r="K44" i="4"/>
  <c r="J44" i="4"/>
  <c r="N44" i="4"/>
  <c r="I44" i="4"/>
  <c r="E44" i="4"/>
  <c r="Y45" i="3"/>
  <c r="U45" i="3"/>
  <c r="AD45" i="3"/>
  <c r="L45" i="3"/>
  <c r="AC45" i="3"/>
  <c r="K45" i="3"/>
  <c r="G45" i="3" s="1"/>
  <c r="AB45" i="3"/>
  <c r="I46" i="3"/>
  <c r="O45" i="3"/>
  <c r="N45" i="3"/>
  <c r="AF45" i="3"/>
  <c r="AE45" i="3"/>
  <c r="X45" i="3"/>
  <c r="V45" i="3"/>
  <c r="T45" i="3"/>
  <c r="S45" i="3"/>
  <c r="R45" i="3"/>
  <c r="Q45" i="3"/>
  <c r="AA45" i="3"/>
  <c r="N44" i="2"/>
  <c r="AA44" i="2"/>
  <c r="AF44" i="2"/>
  <c r="AE44" i="2"/>
  <c r="AD44" i="2"/>
  <c r="AC44" i="2"/>
  <c r="AB44" i="2"/>
  <c r="G43" i="2"/>
  <c r="S44" i="2"/>
  <c r="K44" i="2"/>
  <c r="O44" i="2"/>
  <c r="I45" i="2"/>
  <c r="V44" i="2"/>
  <c r="U44" i="2"/>
  <c r="T44" i="2"/>
  <c r="Q44" i="2"/>
  <c r="R44" i="2"/>
  <c r="L44" i="2"/>
  <c r="I196" i="5" l="1"/>
  <c r="AD196" i="5" s="1"/>
  <c r="Y196" i="5"/>
  <c r="X196" i="5"/>
  <c r="V196" i="5"/>
  <c r="U196" i="5"/>
  <c r="O196" i="5"/>
  <c r="N196" i="5"/>
  <c r="AF196" i="5"/>
  <c r="L196" i="5"/>
  <c r="AE196" i="5"/>
  <c r="K196" i="5"/>
  <c r="AC196" i="5"/>
  <c r="AB196" i="5"/>
  <c r="AA196" i="5"/>
  <c r="T196" i="5"/>
  <c r="Q196" i="5"/>
  <c r="S196" i="5"/>
  <c r="R196" i="5"/>
  <c r="AC46" i="5"/>
  <c r="N46" i="5"/>
  <c r="AB46" i="5"/>
  <c r="L46" i="5"/>
  <c r="AA46" i="5"/>
  <c r="K46" i="5"/>
  <c r="Y46" i="5"/>
  <c r="X46" i="5"/>
  <c r="V46" i="5"/>
  <c r="U46" i="5"/>
  <c r="T46" i="5"/>
  <c r="I47" i="5"/>
  <c r="R46" i="5"/>
  <c r="O46" i="5"/>
  <c r="S46" i="5"/>
  <c r="Q46" i="5"/>
  <c r="AF46" i="5"/>
  <c r="AE46" i="5"/>
  <c r="AD46" i="5"/>
  <c r="L45" i="4"/>
  <c r="K45" i="4"/>
  <c r="G45" i="4"/>
  <c r="F45" i="4"/>
  <c r="D46" i="4"/>
  <c r="E45" i="4"/>
  <c r="J45" i="4"/>
  <c r="I45" i="4"/>
  <c r="H45" i="4"/>
  <c r="Q45" i="4" s="1"/>
  <c r="M45" i="4"/>
  <c r="N45" i="4"/>
  <c r="AF46" i="3"/>
  <c r="R46" i="3"/>
  <c r="AC46" i="3"/>
  <c r="N46" i="3"/>
  <c r="Y46" i="3"/>
  <c r="X46" i="3"/>
  <c r="I47" i="3"/>
  <c r="V46" i="3"/>
  <c r="O46" i="3"/>
  <c r="L46" i="3"/>
  <c r="K46" i="3"/>
  <c r="G46" i="3" s="1"/>
  <c r="AE46" i="3"/>
  <c r="AD46" i="3"/>
  <c r="AB46" i="3"/>
  <c r="AA46" i="3"/>
  <c r="U46" i="3"/>
  <c r="T46" i="3"/>
  <c r="S46" i="3"/>
  <c r="Q46" i="3"/>
  <c r="N45" i="2"/>
  <c r="AA45" i="2"/>
  <c r="AB45" i="2"/>
  <c r="AE45" i="2"/>
  <c r="AD45" i="2"/>
  <c r="AC45" i="2"/>
  <c r="AF45" i="2"/>
  <c r="G44" i="2"/>
  <c r="R45" i="2"/>
  <c r="L45" i="2"/>
  <c r="K45" i="2"/>
  <c r="G45" i="2" s="1"/>
  <c r="Q45" i="2"/>
  <c r="O45" i="2"/>
  <c r="V45" i="2"/>
  <c r="U45" i="2"/>
  <c r="T45" i="2"/>
  <c r="S45" i="2"/>
  <c r="I46" i="2"/>
  <c r="I197" i="5" l="1"/>
  <c r="AE197" i="5" s="1"/>
  <c r="Q197" i="5"/>
  <c r="L197" i="5"/>
  <c r="AD197" i="5"/>
  <c r="O197" i="5"/>
  <c r="AC197" i="5"/>
  <c r="N197" i="5"/>
  <c r="AB197" i="5"/>
  <c r="K197" i="5"/>
  <c r="Y197" i="5"/>
  <c r="X197" i="5"/>
  <c r="V197" i="5"/>
  <c r="U197" i="5"/>
  <c r="T197" i="5"/>
  <c r="S197" i="5"/>
  <c r="R197" i="5"/>
  <c r="AE47" i="5"/>
  <c r="Q47" i="5"/>
  <c r="AD47" i="5"/>
  <c r="O47" i="5"/>
  <c r="AC47" i="5"/>
  <c r="N47" i="5"/>
  <c r="AB47" i="5"/>
  <c r="L47" i="5"/>
  <c r="U47" i="5"/>
  <c r="T47" i="5"/>
  <c r="S47" i="5"/>
  <c r="I48" i="5"/>
  <c r="R47" i="5"/>
  <c r="AF47" i="5"/>
  <c r="AA47" i="5"/>
  <c r="Y47" i="5"/>
  <c r="X47" i="5"/>
  <c r="V47" i="5"/>
  <c r="K47" i="5"/>
  <c r="K46" i="4"/>
  <c r="J46" i="4"/>
  <c r="F46" i="4"/>
  <c r="D47" i="4"/>
  <c r="E46" i="4"/>
  <c r="N46" i="4"/>
  <c r="M46" i="4"/>
  <c r="L46" i="4"/>
  <c r="I46" i="4"/>
  <c r="G46" i="4"/>
  <c r="Q46" i="4" s="1"/>
  <c r="H46" i="4"/>
  <c r="V47" i="3"/>
  <c r="S47" i="3"/>
  <c r="I48" i="3"/>
  <c r="R47" i="3"/>
  <c r="Q47" i="3"/>
  <c r="AF47" i="3"/>
  <c r="O47" i="3"/>
  <c r="L47" i="3"/>
  <c r="K47" i="3"/>
  <c r="AE47" i="3"/>
  <c r="G47" i="3"/>
  <c r="AD47" i="3"/>
  <c r="AC47" i="3"/>
  <c r="X47" i="3"/>
  <c r="U47" i="3"/>
  <c r="T47" i="3"/>
  <c r="N47" i="3"/>
  <c r="AB47" i="3"/>
  <c r="AA47" i="3"/>
  <c r="Y47" i="3"/>
  <c r="N46" i="2"/>
  <c r="AA46" i="2"/>
  <c r="AF46" i="2"/>
  <c r="AE46" i="2"/>
  <c r="AD46" i="2"/>
  <c r="AC46" i="2"/>
  <c r="AB46" i="2"/>
  <c r="Q46" i="2"/>
  <c r="R46" i="2"/>
  <c r="L46" i="2"/>
  <c r="K46" i="2"/>
  <c r="G46" i="2" s="1"/>
  <c r="O46" i="2"/>
  <c r="I47" i="2"/>
  <c r="V46" i="2"/>
  <c r="U46" i="2"/>
  <c r="T46" i="2"/>
  <c r="S46" i="2"/>
  <c r="I198" i="5" l="1"/>
  <c r="AE198" i="5" s="1"/>
  <c r="AA197" i="5"/>
  <c r="AF197" i="5"/>
  <c r="S48" i="5"/>
  <c r="AF48" i="5"/>
  <c r="R48" i="5"/>
  <c r="AE48" i="5"/>
  <c r="Q48" i="5"/>
  <c r="AD48" i="5"/>
  <c r="O48" i="5"/>
  <c r="N48" i="5"/>
  <c r="I49" i="5"/>
  <c r="L48" i="5"/>
  <c r="K48" i="5"/>
  <c r="AB48" i="5"/>
  <c r="Y48" i="5"/>
  <c r="T48" i="5"/>
  <c r="V48" i="5"/>
  <c r="AC48" i="5"/>
  <c r="U48" i="5"/>
  <c r="AA48" i="5"/>
  <c r="X48" i="5"/>
  <c r="J47" i="4"/>
  <c r="I47" i="4"/>
  <c r="D48" i="4"/>
  <c r="E47" i="4"/>
  <c r="F47" i="4"/>
  <c r="M47" i="4"/>
  <c r="L47" i="4"/>
  <c r="N47" i="4"/>
  <c r="K47" i="4"/>
  <c r="H47" i="4"/>
  <c r="Q47" i="4" s="1"/>
  <c r="G47" i="4"/>
  <c r="AD48" i="3"/>
  <c r="O48" i="3"/>
  <c r="I49" i="3"/>
  <c r="AA48" i="3"/>
  <c r="K48" i="3"/>
  <c r="AF48" i="3"/>
  <c r="N48" i="3"/>
  <c r="AE48" i="3"/>
  <c r="L48" i="3"/>
  <c r="AC48" i="3"/>
  <c r="R48" i="3"/>
  <c r="Q48" i="3"/>
  <c r="AB48" i="3"/>
  <c r="Y48" i="3"/>
  <c r="X48" i="3"/>
  <c r="V48" i="3"/>
  <c r="U48" i="3"/>
  <c r="T48" i="3"/>
  <c r="S48" i="3"/>
  <c r="N47" i="2"/>
  <c r="AA47" i="2"/>
  <c r="AB47" i="2"/>
  <c r="AF47" i="2"/>
  <c r="AE47" i="2"/>
  <c r="AD47" i="2"/>
  <c r="AC47" i="2"/>
  <c r="L47" i="2"/>
  <c r="S47" i="2"/>
  <c r="R47" i="2"/>
  <c r="U47" i="2"/>
  <c r="Q47" i="2"/>
  <c r="T47" i="2"/>
  <c r="V47" i="2"/>
  <c r="O47" i="2"/>
  <c r="I48" i="2"/>
  <c r="K47" i="2"/>
  <c r="I199" i="5" l="1"/>
  <c r="Y199" i="5" s="1"/>
  <c r="N198" i="5"/>
  <c r="O198" i="5"/>
  <c r="Q198" i="5"/>
  <c r="R198" i="5"/>
  <c r="X198" i="5"/>
  <c r="AC198" i="5"/>
  <c r="K198" i="5"/>
  <c r="L198" i="5"/>
  <c r="AF198" i="5"/>
  <c r="T198" i="5"/>
  <c r="U198" i="5"/>
  <c r="S198" i="5"/>
  <c r="Y198" i="5"/>
  <c r="V198" i="5"/>
  <c r="AA198" i="5"/>
  <c r="AB198" i="5"/>
  <c r="AD198" i="5"/>
  <c r="L199" i="5"/>
  <c r="AA199" i="5"/>
  <c r="K199" i="5"/>
  <c r="R199" i="5"/>
  <c r="Q199" i="5"/>
  <c r="U49" i="5"/>
  <c r="T49" i="5"/>
  <c r="S49" i="5"/>
  <c r="AF49" i="5"/>
  <c r="R49" i="5"/>
  <c r="AE49" i="5"/>
  <c r="K49" i="5"/>
  <c r="AD49" i="5"/>
  <c r="AC49" i="5"/>
  <c r="AB49" i="5"/>
  <c r="Y49" i="5"/>
  <c r="V49" i="5"/>
  <c r="AA49" i="5"/>
  <c r="X49" i="5"/>
  <c r="Q49" i="5"/>
  <c r="O49" i="5"/>
  <c r="N49" i="5"/>
  <c r="I50" i="5"/>
  <c r="L49" i="5"/>
  <c r="I48" i="4"/>
  <c r="H48" i="4"/>
  <c r="N48" i="4"/>
  <c r="L48" i="4"/>
  <c r="K48" i="4"/>
  <c r="J48" i="4"/>
  <c r="G48" i="4"/>
  <c r="Q48" i="4" s="1"/>
  <c r="F48" i="4"/>
  <c r="E48" i="4"/>
  <c r="D49" i="4"/>
  <c r="M48" i="4"/>
  <c r="V49" i="3"/>
  <c r="S49" i="3"/>
  <c r="AB49" i="3"/>
  <c r="I50" i="3"/>
  <c r="AA49" i="3"/>
  <c r="Y49" i="3"/>
  <c r="Q49" i="3"/>
  <c r="O49" i="3"/>
  <c r="N49" i="3"/>
  <c r="L49" i="3"/>
  <c r="AF49" i="3"/>
  <c r="K49" i="3"/>
  <c r="T49" i="3"/>
  <c r="R49" i="3"/>
  <c r="AE49" i="3"/>
  <c r="AD49" i="3"/>
  <c r="AC49" i="3"/>
  <c r="X49" i="3"/>
  <c r="U49" i="3"/>
  <c r="G48" i="3"/>
  <c r="N48" i="2"/>
  <c r="AA48" i="2"/>
  <c r="G47" i="2"/>
  <c r="AF48" i="2"/>
  <c r="AB48" i="2"/>
  <c r="AC48" i="2"/>
  <c r="AE48" i="2"/>
  <c r="AD48" i="2"/>
  <c r="K48" i="2"/>
  <c r="T48" i="2"/>
  <c r="S48" i="2"/>
  <c r="I49" i="2"/>
  <c r="V48" i="2"/>
  <c r="U48" i="2"/>
  <c r="R48" i="2"/>
  <c r="Q48" i="2"/>
  <c r="L48" i="2"/>
  <c r="O48" i="2"/>
  <c r="I200" i="5" l="1"/>
  <c r="O199" i="5"/>
  <c r="AB199" i="5"/>
  <c r="T199" i="5"/>
  <c r="N199" i="5"/>
  <c r="U199" i="5"/>
  <c r="AC199" i="5"/>
  <c r="V199" i="5"/>
  <c r="S199" i="5"/>
  <c r="X199" i="5"/>
  <c r="AD199" i="5"/>
  <c r="AE199" i="5"/>
  <c r="AF199" i="5"/>
  <c r="T200" i="5"/>
  <c r="AE200" i="5"/>
  <c r="S200" i="5"/>
  <c r="AF200" i="5"/>
  <c r="R200" i="5"/>
  <c r="Q200" i="5"/>
  <c r="AD200" i="5"/>
  <c r="AC200" i="5"/>
  <c r="AB200" i="5"/>
  <c r="AA200" i="5"/>
  <c r="Y200" i="5"/>
  <c r="X200" i="5"/>
  <c r="V200" i="5"/>
  <c r="U200" i="5"/>
  <c r="O200" i="5"/>
  <c r="N200" i="5"/>
  <c r="L200" i="5"/>
  <c r="K200" i="5"/>
  <c r="X50" i="5"/>
  <c r="I51" i="5"/>
  <c r="V50" i="5"/>
  <c r="U50" i="5"/>
  <c r="T50" i="5"/>
  <c r="AC50" i="5"/>
  <c r="AB50" i="5"/>
  <c r="AA50" i="5"/>
  <c r="Y50" i="5"/>
  <c r="R50" i="5"/>
  <c r="O50" i="5"/>
  <c r="S50" i="5"/>
  <c r="AF50" i="5"/>
  <c r="AE50" i="5"/>
  <c r="L50" i="5"/>
  <c r="AD50" i="5"/>
  <c r="Q50" i="5"/>
  <c r="N50" i="5"/>
  <c r="K50" i="5"/>
  <c r="H49" i="4"/>
  <c r="Q49" i="4" s="1"/>
  <c r="G49" i="4"/>
  <c r="N49" i="4"/>
  <c r="M49" i="4"/>
  <c r="D50" i="4"/>
  <c r="L49" i="4"/>
  <c r="K49" i="4"/>
  <c r="I49" i="4"/>
  <c r="F49" i="4"/>
  <c r="J49" i="4"/>
  <c r="E49" i="4"/>
  <c r="G49" i="3"/>
  <c r="AD50" i="3"/>
  <c r="O50" i="3"/>
  <c r="AA50" i="3"/>
  <c r="K50" i="3"/>
  <c r="I51" i="3"/>
  <c r="V50" i="3"/>
  <c r="U50" i="3"/>
  <c r="T50" i="3"/>
  <c r="R50" i="3"/>
  <c r="Q50" i="3"/>
  <c r="N50" i="3"/>
  <c r="L50" i="3"/>
  <c r="AF50" i="3"/>
  <c r="AE50" i="3"/>
  <c r="AC50" i="3"/>
  <c r="AB50" i="3"/>
  <c r="Y50" i="3"/>
  <c r="X50" i="3"/>
  <c r="S50" i="3"/>
  <c r="N49" i="2"/>
  <c r="AA49" i="2"/>
  <c r="G48" i="2"/>
  <c r="AB49" i="2"/>
  <c r="AF49" i="2"/>
  <c r="AE49" i="2"/>
  <c r="AD49" i="2"/>
  <c r="AC49" i="2"/>
  <c r="O49" i="2"/>
  <c r="U49" i="2"/>
  <c r="T49" i="2"/>
  <c r="I50" i="2"/>
  <c r="S49" i="2"/>
  <c r="R49" i="2"/>
  <c r="L49" i="2"/>
  <c r="K49" i="2"/>
  <c r="V49" i="2"/>
  <c r="Q49" i="2"/>
  <c r="I201" i="5" l="1"/>
  <c r="AA51" i="5"/>
  <c r="K51" i="5"/>
  <c r="Y51" i="5"/>
  <c r="X51" i="5"/>
  <c r="I52" i="5"/>
  <c r="V51" i="5"/>
  <c r="U51" i="5"/>
  <c r="T51" i="5"/>
  <c r="S51" i="5"/>
  <c r="R51" i="5"/>
  <c r="O51" i="5"/>
  <c r="AF51" i="5"/>
  <c r="L51" i="5"/>
  <c r="Q51" i="5"/>
  <c r="N51" i="5"/>
  <c r="AC51" i="5"/>
  <c r="AB51" i="5"/>
  <c r="AE51" i="5"/>
  <c r="AD51" i="5"/>
  <c r="G50" i="4"/>
  <c r="Q50" i="4" s="1"/>
  <c r="F50" i="4"/>
  <c r="N50" i="4"/>
  <c r="M50" i="4"/>
  <c r="L50" i="4"/>
  <c r="H50" i="4"/>
  <c r="E50" i="4"/>
  <c r="I50" i="4"/>
  <c r="D51" i="4"/>
  <c r="K50" i="4"/>
  <c r="J50" i="4"/>
  <c r="I52" i="3"/>
  <c r="T51" i="3"/>
  <c r="AE51" i="3"/>
  <c r="Q51" i="3"/>
  <c r="AD51" i="3"/>
  <c r="O51" i="3"/>
  <c r="N51" i="3"/>
  <c r="AF51" i="3"/>
  <c r="L51" i="3"/>
  <c r="S51" i="3"/>
  <c r="R51" i="3"/>
  <c r="K51" i="3"/>
  <c r="G51" i="3" s="1"/>
  <c r="AC51" i="3"/>
  <c r="AB51" i="3"/>
  <c r="AA51" i="3"/>
  <c r="Y51" i="3"/>
  <c r="X51" i="3"/>
  <c r="V51" i="3"/>
  <c r="U51" i="3"/>
  <c r="G50" i="3"/>
  <c r="N50" i="2"/>
  <c r="AA50" i="2"/>
  <c r="AF50" i="2"/>
  <c r="AE50" i="2"/>
  <c r="AD50" i="2"/>
  <c r="AC50" i="2"/>
  <c r="AB50" i="2"/>
  <c r="G49" i="2"/>
  <c r="I51" i="2"/>
  <c r="V50" i="2"/>
  <c r="U50" i="2"/>
  <c r="L50" i="2"/>
  <c r="O50" i="2"/>
  <c r="K50" i="2"/>
  <c r="S50" i="2"/>
  <c r="Q50" i="2"/>
  <c r="R50" i="2"/>
  <c r="T50" i="2"/>
  <c r="I202" i="5" l="1"/>
  <c r="AF202" i="5" s="1"/>
  <c r="AC201" i="5"/>
  <c r="AE201" i="5"/>
  <c r="O201" i="5"/>
  <c r="V201" i="5"/>
  <c r="Q201" i="5"/>
  <c r="K201" i="5"/>
  <c r="U201" i="5"/>
  <c r="L201" i="5"/>
  <c r="X201" i="5"/>
  <c r="AF201" i="5"/>
  <c r="AA201" i="5"/>
  <c r="T201" i="5"/>
  <c r="AB201" i="5"/>
  <c r="AD201" i="5"/>
  <c r="N201" i="5"/>
  <c r="Y201" i="5"/>
  <c r="R201" i="5"/>
  <c r="S201" i="5"/>
  <c r="Q202" i="5"/>
  <c r="L202" i="5"/>
  <c r="AC52" i="5"/>
  <c r="N52" i="5"/>
  <c r="AB52" i="5"/>
  <c r="L52" i="5"/>
  <c r="AA52" i="5"/>
  <c r="K52" i="5"/>
  <c r="Y52" i="5"/>
  <c r="S52" i="5"/>
  <c r="I53" i="5"/>
  <c r="R52" i="5"/>
  <c r="Q52" i="5"/>
  <c r="O52" i="5"/>
  <c r="AF52" i="5"/>
  <c r="AD52" i="5"/>
  <c r="AE52" i="5"/>
  <c r="X52" i="5"/>
  <c r="V52" i="5"/>
  <c r="U52" i="5"/>
  <c r="T52" i="5"/>
  <c r="F51" i="4"/>
  <c r="D52" i="4"/>
  <c r="E51" i="4"/>
  <c r="M51" i="4"/>
  <c r="L51" i="4"/>
  <c r="K51" i="4"/>
  <c r="N51" i="4"/>
  <c r="J51" i="4"/>
  <c r="I51" i="4"/>
  <c r="H51" i="4"/>
  <c r="G51" i="4"/>
  <c r="Q51" i="4" s="1"/>
  <c r="AE52" i="3"/>
  <c r="Q52" i="3"/>
  <c r="AB52" i="3"/>
  <c r="L52" i="3"/>
  <c r="X52" i="3"/>
  <c r="U52" i="3"/>
  <c r="R52" i="3"/>
  <c r="T52" i="3"/>
  <c r="S52" i="3"/>
  <c r="K52" i="3"/>
  <c r="I53" i="3"/>
  <c r="AF52" i="3"/>
  <c r="AD52" i="3"/>
  <c r="AC52" i="3"/>
  <c r="AA52" i="3"/>
  <c r="Y52" i="3"/>
  <c r="V52" i="3"/>
  <c r="O52" i="3"/>
  <c r="N52" i="3"/>
  <c r="N51" i="2"/>
  <c r="AA51" i="2"/>
  <c r="AB51" i="2"/>
  <c r="AF51" i="2"/>
  <c r="AE51" i="2"/>
  <c r="AD51" i="2"/>
  <c r="AC51" i="2"/>
  <c r="G50" i="2"/>
  <c r="I52" i="2"/>
  <c r="V51" i="2"/>
  <c r="S51" i="2"/>
  <c r="Q51" i="2"/>
  <c r="R51" i="2"/>
  <c r="U51" i="2"/>
  <c r="T51" i="2"/>
  <c r="L51" i="2"/>
  <c r="K51" i="2"/>
  <c r="O51" i="2"/>
  <c r="R202" i="5" l="1"/>
  <c r="S202" i="5"/>
  <c r="AE202" i="5"/>
  <c r="T202" i="5"/>
  <c r="V202" i="5"/>
  <c r="X202" i="5"/>
  <c r="AC202" i="5"/>
  <c r="O202" i="5"/>
  <c r="K202" i="5"/>
  <c r="AD202" i="5"/>
  <c r="U202" i="5"/>
  <c r="Y202" i="5"/>
  <c r="AB202" i="5"/>
  <c r="AA202" i="5"/>
  <c r="N202" i="5"/>
  <c r="AE53" i="5"/>
  <c r="Q53" i="5"/>
  <c r="AD53" i="5"/>
  <c r="O53" i="5"/>
  <c r="AC53" i="5"/>
  <c r="N53" i="5"/>
  <c r="AB53" i="5"/>
  <c r="L53" i="5"/>
  <c r="K53" i="5"/>
  <c r="AF53" i="5"/>
  <c r="Y53" i="5"/>
  <c r="V53" i="5"/>
  <c r="AA53" i="5"/>
  <c r="R53" i="5"/>
  <c r="T53" i="5"/>
  <c r="S53" i="5"/>
  <c r="I54" i="5"/>
  <c r="X53" i="5"/>
  <c r="U53" i="5"/>
  <c r="D53" i="4"/>
  <c r="E52" i="4"/>
  <c r="L52" i="4"/>
  <c r="K52" i="4"/>
  <c r="J52" i="4"/>
  <c r="N52" i="4"/>
  <c r="I52" i="4"/>
  <c r="H52" i="4"/>
  <c r="M52" i="4"/>
  <c r="G52" i="4"/>
  <c r="Q52" i="4" s="1"/>
  <c r="F52" i="4"/>
  <c r="G52" i="3"/>
  <c r="O53" i="3"/>
  <c r="AE53" i="3"/>
  <c r="L53" i="3"/>
  <c r="R53" i="3"/>
  <c r="AF53" i="3"/>
  <c r="X53" i="3"/>
  <c r="Y53" i="3"/>
  <c r="U53" i="3"/>
  <c r="T53" i="3"/>
  <c r="Q53" i="3"/>
  <c r="AA53" i="3"/>
  <c r="K53" i="3"/>
  <c r="AC53" i="3"/>
  <c r="N53" i="3"/>
  <c r="S53" i="3"/>
  <c r="V53" i="3"/>
  <c r="I54" i="3"/>
  <c r="AD53" i="3"/>
  <c r="AB53" i="3"/>
  <c r="N52" i="2"/>
  <c r="AA52" i="2"/>
  <c r="AF52" i="2"/>
  <c r="AE52" i="2"/>
  <c r="AD52" i="2"/>
  <c r="AB52" i="2"/>
  <c r="AC52" i="2"/>
  <c r="G51" i="2"/>
  <c r="I53" i="2"/>
  <c r="V52" i="2"/>
  <c r="T52" i="2"/>
  <c r="U52" i="2"/>
  <c r="L52" i="2"/>
  <c r="K52" i="2"/>
  <c r="O52" i="2"/>
  <c r="S52" i="2"/>
  <c r="Q52" i="2"/>
  <c r="R52" i="2"/>
  <c r="S54" i="5" l="1"/>
  <c r="AF54" i="5"/>
  <c r="R54" i="5"/>
  <c r="AE54" i="5"/>
  <c r="Q54" i="5"/>
  <c r="AD54" i="5"/>
  <c r="O54" i="5"/>
  <c r="AC54" i="5"/>
  <c r="AB54" i="5"/>
  <c r="AA54" i="5"/>
  <c r="Y54" i="5"/>
  <c r="V54" i="5"/>
  <c r="T54" i="5"/>
  <c r="X54" i="5"/>
  <c r="U54" i="5"/>
  <c r="N54" i="5"/>
  <c r="L54" i="5"/>
  <c r="K54" i="5"/>
  <c r="I55" i="5"/>
  <c r="K53" i="4"/>
  <c r="J53" i="4"/>
  <c r="I53" i="4"/>
  <c r="H53" i="4"/>
  <c r="G53" i="4"/>
  <c r="Q53" i="4" s="1"/>
  <c r="F53" i="4"/>
  <c r="E53" i="4"/>
  <c r="D54" i="4"/>
  <c r="N53" i="4"/>
  <c r="M53" i="4"/>
  <c r="L53" i="4"/>
  <c r="G53" i="3"/>
  <c r="K54" i="3"/>
  <c r="AC54" i="3"/>
  <c r="Y54" i="3"/>
  <c r="AB54" i="3"/>
  <c r="X54" i="3"/>
  <c r="V54" i="3"/>
  <c r="AD54" i="3"/>
  <c r="T54" i="3"/>
  <c r="U54" i="3"/>
  <c r="S54" i="3"/>
  <c r="I55" i="3"/>
  <c r="R54" i="3"/>
  <c r="Q54" i="3"/>
  <c r="O54" i="3"/>
  <c r="AF54" i="3"/>
  <c r="AE54" i="3"/>
  <c r="N54" i="3"/>
  <c r="AA54" i="3"/>
  <c r="L54" i="3"/>
  <c r="G54" i="3"/>
  <c r="N53" i="2"/>
  <c r="AA53" i="2"/>
  <c r="G52" i="2"/>
  <c r="AB53" i="2"/>
  <c r="AE53" i="2"/>
  <c r="AD53" i="2"/>
  <c r="AC53" i="2"/>
  <c r="AF53" i="2"/>
  <c r="V53" i="2"/>
  <c r="I54" i="2"/>
  <c r="T53" i="2"/>
  <c r="U53" i="2"/>
  <c r="S53" i="2"/>
  <c r="R53" i="2"/>
  <c r="Q53" i="2"/>
  <c r="K53" i="2"/>
  <c r="O53" i="2"/>
  <c r="L53" i="2"/>
  <c r="U55" i="5" l="1"/>
  <c r="T55" i="5"/>
  <c r="S55" i="5"/>
  <c r="AF55" i="5"/>
  <c r="R55" i="5"/>
  <c r="AA55" i="5"/>
  <c r="Y55" i="5"/>
  <c r="X55" i="5"/>
  <c r="V55" i="5"/>
  <c r="O55" i="5"/>
  <c r="I56" i="5"/>
  <c r="L55" i="5"/>
  <c r="AE55" i="5"/>
  <c r="Q55" i="5"/>
  <c r="AD55" i="5"/>
  <c r="AC55" i="5"/>
  <c r="AB55" i="5"/>
  <c r="N55" i="5"/>
  <c r="K55" i="5"/>
  <c r="N54" i="4"/>
  <c r="J54" i="4"/>
  <c r="I54" i="4"/>
  <c r="H54" i="4"/>
  <c r="D55" i="4"/>
  <c r="M54" i="4"/>
  <c r="L54" i="4"/>
  <c r="K54" i="4"/>
  <c r="G54" i="4"/>
  <c r="Q54" i="4" s="1"/>
  <c r="E54" i="4"/>
  <c r="F54" i="4"/>
  <c r="X55" i="3"/>
  <c r="AF55" i="3"/>
  <c r="AE55" i="3"/>
  <c r="AD55" i="3"/>
  <c r="AC55" i="3"/>
  <c r="Y55" i="3"/>
  <c r="R55" i="3"/>
  <c r="AB55" i="3"/>
  <c r="I56" i="3"/>
  <c r="L55" i="3"/>
  <c r="AA55" i="3"/>
  <c r="K55" i="3"/>
  <c r="G55" i="3" s="1"/>
  <c r="U55" i="3"/>
  <c r="N55" i="3"/>
  <c r="T55" i="3"/>
  <c r="S55" i="3"/>
  <c r="O55" i="3"/>
  <c r="V55" i="3"/>
  <c r="Q55" i="3"/>
  <c r="N54" i="2"/>
  <c r="AA54" i="2"/>
  <c r="AF54" i="2"/>
  <c r="AE54" i="2"/>
  <c r="AD54" i="2"/>
  <c r="AC54" i="2"/>
  <c r="AB54" i="2"/>
  <c r="G53" i="2"/>
  <c r="U54" i="2"/>
  <c r="O54" i="2"/>
  <c r="L54" i="2"/>
  <c r="K54" i="2"/>
  <c r="V54" i="2"/>
  <c r="T54" i="2"/>
  <c r="S54" i="2"/>
  <c r="R54" i="2"/>
  <c r="Q54" i="2"/>
  <c r="I55" i="2"/>
  <c r="X56" i="5" l="1"/>
  <c r="I57" i="5"/>
  <c r="V56" i="5"/>
  <c r="U56" i="5"/>
  <c r="T56" i="5"/>
  <c r="S56" i="5"/>
  <c r="R56" i="5"/>
  <c r="Q56" i="5"/>
  <c r="O56" i="5"/>
  <c r="AF56" i="5"/>
  <c r="L56" i="5"/>
  <c r="AD56" i="5"/>
  <c r="N56" i="5"/>
  <c r="AA56" i="5"/>
  <c r="K56" i="5"/>
  <c r="AB56" i="5"/>
  <c r="Y56" i="5"/>
  <c r="AE56" i="5"/>
  <c r="AC56" i="5"/>
  <c r="N55" i="4"/>
  <c r="M55" i="4"/>
  <c r="I55" i="4"/>
  <c r="H55" i="4"/>
  <c r="G55" i="4"/>
  <c r="D56" i="4"/>
  <c r="Q55" i="4"/>
  <c r="L55" i="4"/>
  <c r="K55" i="4"/>
  <c r="E55" i="4"/>
  <c r="F55" i="4"/>
  <c r="J55" i="4"/>
  <c r="AE56" i="3"/>
  <c r="AB56" i="3"/>
  <c r="Q56" i="3"/>
  <c r="U56" i="3"/>
  <c r="AD56" i="3"/>
  <c r="O56" i="3"/>
  <c r="I57" i="3"/>
  <c r="AC56" i="3"/>
  <c r="N56" i="3"/>
  <c r="L56" i="3"/>
  <c r="G56" i="3" s="1"/>
  <c r="R56" i="3"/>
  <c r="V56" i="3"/>
  <c r="Y56" i="3"/>
  <c r="K56" i="3"/>
  <c r="T56" i="3"/>
  <c r="S56" i="3"/>
  <c r="AA56" i="3"/>
  <c r="AF56" i="3"/>
  <c r="X56" i="3"/>
  <c r="N55" i="2"/>
  <c r="AA55" i="2"/>
  <c r="G54" i="2"/>
  <c r="AB55" i="2"/>
  <c r="AF55" i="2"/>
  <c r="AE55" i="2"/>
  <c r="AD55" i="2"/>
  <c r="AC55" i="2"/>
  <c r="T55" i="2"/>
  <c r="K55" i="2"/>
  <c r="O55" i="2"/>
  <c r="S55" i="2"/>
  <c r="Q55" i="2"/>
  <c r="R55" i="2"/>
  <c r="L55" i="2"/>
  <c r="V55" i="2"/>
  <c r="U55" i="2"/>
  <c r="I56" i="2"/>
  <c r="AA57" i="5" l="1"/>
  <c r="K57" i="5"/>
  <c r="Y57" i="5"/>
  <c r="X57" i="5"/>
  <c r="I58" i="5"/>
  <c r="V57" i="5"/>
  <c r="Q57" i="5"/>
  <c r="O57" i="5"/>
  <c r="N57" i="5"/>
  <c r="AF57" i="5"/>
  <c r="L57" i="5"/>
  <c r="AD57" i="5"/>
  <c r="AB57" i="5"/>
  <c r="AE57" i="5"/>
  <c r="AC57" i="5"/>
  <c r="U57" i="5"/>
  <c r="T57" i="5"/>
  <c r="S57" i="5"/>
  <c r="R57" i="5"/>
  <c r="M56" i="4"/>
  <c r="L56" i="4"/>
  <c r="H56" i="4"/>
  <c r="G56" i="4"/>
  <c r="F56" i="4"/>
  <c r="K56" i="4"/>
  <c r="J56" i="4"/>
  <c r="I56" i="4"/>
  <c r="E56" i="4"/>
  <c r="D57" i="4"/>
  <c r="Q56" i="4"/>
  <c r="N56" i="4"/>
  <c r="X57" i="3"/>
  <c r="V57" i="3"/>
  <c r="AF57" i="3"/>
  <c r="T57" i="3"/>
  <c r="R57" i="3"/>
  <c r="L57" i="3"/>
  <c r="AE57" i="3"/>
  <c r="I58" i="3"/>
  <c r="AA57" i="3"/>
  <c r="AD57" i="3"/>
  <c r="N57" i="3"/>
  <c r="Y57" i="3"/>
  <c r="S57" i="3"/>
  <c r="K57" i="3"/>
  <c r="G57" i="3" s="1"/>
  <c r="Q57" i="3"/>
  <c r="U57" i="3"/>
  <c r="AC57" i="3"/>
  <c r="AB57" i="3"/>
  <c r="O57" i="3"/>
  <c r="N56" i="2"/>
  <c r="AA56" i="2"/>
  <c r="AF56" i="2"/>
  <c r="AB56" i="2"/>
  <c r="AE56" i="2"/>
  <c r="AD56" i="2"/>
  <c r="AC56" i="2"/>
  <c r="G55" i="2"/>
  <c r="S56" i="2"/>
  <c r="L56" i="2"/>
  <c r="K56" i="2"/>
  <c r="G56" i="2" s="1"/>
  <c r="U56" i="2"/>
  <c r="V56" i="2"/>
  <c r="R56" i="2"/>
  <c r="I57" i="2"/>
  <c r="T56" i="2"/>
  <c r="Q56" i="2"/>
  <c r="O56" i="2"/>
  <c r="AC58" i="5" l="1"/>
  <c r="N58" i="5"/>
  <c r="AB58" i="5"/>
  <c r="L58" i="5"/>
  <c r="AA58" i="5"/>
  <c r="K58" i="5"/>
  <c r="Y58" i="5"/>
  <c r="AF58" i="5"/>
  <c r="AE58" i="5"/>
  <c r="AD58" i="5"/>
  <c r="V58" i="5"/>
  <c r="T58" i="5"/>
  <c r="Q58" i="5"/>
  <c r="I59" i="5"/>
  <c r="O58" i="5"/>
  <c r="X58" i="5"/>
  <c r="U58" i="5"/>
  <c r="S58" i="5"/>
  <c r="R58" i="5"/>
  <c r="L57" i="4"/>
  <c r="K57" i="4"/>
  <c r="G57" i="4"/>
  <c r="F57" i="4"/>
  <c r="D58" i="4"/>
  <c r="E57" i="4"/>
  <c r="N57" i="4"/>
  <c r="M57" i="4"/>
  <c r="J57" i="4"/>
  <c r="H57" i="4"/>
  <c r="Q57" i="4" s="1"/>
  <c r="I57" i="4"/>
  <c r="U58" i="3"/>
  <c r="N58" i="3"/>
  <c r="T58" i="3"/>
  <c r="S58" i="3"/>
  <c r="AF58" i="3"/>
  <c r="R58" i="3"/>
  <c r="AD58" i="3"/>
  <c r="AE58" i="3"/>
  <c r="AC58" i="3"/>
  <c r="L58" i="3"/>
  <c r="G58" i="3" s="1"/>
  <c r="AB58" i="3"/>
  <c r="AA58" i="3"/>
  <c r="Y58" i="3"/>
  <c r="Q58" i="3"/>
  <c r="O58" i="3"/>
  <c r="X58" i="3"/>
  <c r="I59" i="3"/>
  <c r="K58" i="3"/>
  <c r="V58" i="3"/>
  <c r="N57" i="2"/>
  <c r="AA57" i="2"/>
  <c r="AB57" i="2"/>
  <c r="AC57" i="2"/>
  <c r="AF57" i="2"/>
  <c r="AE57" i="2"/>
  <c r="AD57" i="2"/>
  <c r="R57" i="2"/>
  <c r="Q57" i="2"/>
  <c r="L57" i="2"/>
  <c r="I58" i="2"/>
  <c r="T57" i="2"/>
  <c r="K57" i="2"/>
  <c r="S57" i="2"/>
  <c r="O57" i="2"/>
  <c r="V57" i="2"/>
  <c r="U57" i="2"/>
  <c r="AE59" i="5" l="1"/>
  <c r="Q59" i="5"/>
  <c r="AD59" i="5"/>
  <c r="O59" i="5"/>
  <c r="AC59" i="5"/>
  <c r="N59" i="5"/>
  <c r="AB59" i="5"/>
  <c r="L59" i="5"/>
  <c r="AA59" i="5"/>
  <c r="Y59" i="5"/>
  <c r="X59" i="5"/>
  <c r="V59" i="5"/>
  <c r="T59" i="5"/>
  <c r="I60" i="5"/>
  <c r="R59" i="5"/>
  <c r="U59" i="5"/>
  <c r="S59" i="5"/>
  <c r="K59" i="5"/>
  <c r="AF59" i="5"/>
  <c r="K58" i="4"/>
  <c r="J58" i="4"/>
  <c r="F58" i="4"/>
  <c r="D59" i="4"/>
  <c r="E58" i="4"/>
  <c r="G58" i="4"/>
  <c r="Q58" i="4" s="1"/>
  <c r="N58" i="4"/>
  <c r="M58" i="4"/>
  <c r="L58" i="4"/>
  <c r="I58" i="4"/>
  <c r="H58" i="4"/>
  <c r="X59" i="3"/>
  <c r="Q59" i="3"/>
  <c r="O59" i="3"/>
  <c r="V59" i="3"/>
  <c r="N59" i="3"/>
  <c r="U59" i="3"/>
  <c r="Y59" i="3"/>
  <c r="AE59" i="3"/>
  <c r="AC59" i="3"/>
  <c r="AB59" i="3"/>
  <c r="AD59" i="3"/>
  <c r="AF59" i="3"/>
  <c r="AA59" i="3"/>
  <c r="T59" i="3"/>
  <c r="K59" i="3"/>
  <c r="R59" i="3"/>
  <c r="I60" i="3"/>
  <c r="L59" i="3"/>
  <c r="S59" i="3"/>
  <c r="G59" i="3"/>
  <c r="N58" i="2"/>
  <c r="AA58" i="2"/>
  <c r="AF58" i="2"/>
  <c r="AE58" i="2"/>
  <c r="AD58" i="2"/>
  <c r="AC58" i="2"/>
  <c r="AB58" i="2"/>
  <c r="G57" i="2"/>
  <c r="Q58" i="2"/>
  <c r="S58" i="2"/>
  <c r="R58" i="2"/>
  <c r="O58" i="2"/>
  <c r="I59" i="2"/>
  <c r="V58" i="2"/>
  <c r="U58" i="2"/>
  <c r="T58" i="2"/>
  <c r="K58" i="2"/>
  <c r="L58" i="2"/>
  <c r="S60" i="5" l="1"/>
  <c r="AF60" i="5"/>
  <c r="R60" i="5"/>
  <c r="AE60" i="5"/>
  <c r="Q60" i="5"/>
  <c r="AD60" i="5"/>
  <c r="O60" i="5"/>
  <c r="X60" i="5"/>
  <c r="V60" i="5"/>
  <c r="U60" i="5"/>
  <c r="T60" i="5"/>
  <c r="I61" i="5"/>
  <c r="L60" i="5"/>
  <c r="AC60" i="5"/>
  <c r="AB60" i="5"/>
  <c r="AA60" i="5"/>
  <c r="Y60" i="5"/>
  <c r="N60" i="5"/>
  <c r="K60" i="5"/>
  <c r="J59" i="4"/>
  <c r="I59" i="4"/>
  <c r="D60" i="4"/>
  <c r="E59" i="4"/>
  <c r="M59" i="4"/>
  <c r="L59" i="4"/>
  <c r="K59" i="4"/>
  <c r="H59" i="4"/>
  <c r="G59" i="4"/>
  <c r="Q59" i="4" s="1"/>
  <c r="F59" i="4"/>
  <c r="N59" i="4"/>
  <c r="N60" i="3"/>
  <c r="L60" i="3"/>
  <c r="G60" i="3" s="1"/>
  <c r="AA60" i="3"/>
  <c r="Q60" i="3"/>
  <c r="K60" i="3"/>
  <c r="I61" i="3"/>
  <c r="AD60" i="3"/>
  <c r="X60" i="3"/>
  <c r="AB60" i="3"/>
  <c r="V60" i="3"/>
  <c r="AF60" i="3"/>
  <c r="U60" i="3"/>
  <c r="AE60" i="3"/>
  <c r="R60" i="3"/>
  <c r="T60" i="3"/>
  <c r="S60" i="3"/>
  <c r="O60" i="3"/>
  <c r="Y60" i="3"/>
  <c r="AC60" i="3"/>
  <c r="N59" i="2"/>
  <c r="AA59" i="2"/>
  <c r="AB59" i="2"/>
  <c r="AF59" i="2"/>
  <c r="AE59" i="2"/>
  <c r="AD59" i="2"/>
  <c r="AC59" i="2"/>
  <c r="G58" i="2"/>
  <c r="L59" i="2"/>
  <c r="T59" i="2"/>
  <c r="S59" i="2"/>
  <c r="R59" i="2"/>
  <c r="K59" i="2"/>
  <c r="Q59" i="2"/>
  <c r="O59" i="2"/>
  <c r="U59" i="2"/>
  <c r="I60" i="2"/>
  <c r="V59" i="2"/>
  <c r="U61" i="5" l="1"/>
  <c r="T61" i="5"/>
  <c r="S61" i="5"/>
  <c r="AF61" i="5"/>
  <c r="R61" i="5"/>
  <c r="Q61" i="5"/>
  <c r="O61" i="5"/>
  <c r="N61" i="5"/>
  <c r="I62" i="5"/>
  <c r="L61" i="5"/>
  <c r="AD61" i="5"/>
  <c r="AB61" i="5"/>
  <c r="K61" i="5"/>
  <c r="X61" i="5"/>
  <c r="AE61" i="5"/>
  <c r="AC61" i="5"/>
  <c r="AA61" i="5"/>
  <c r="Y61" i="5"/>
  <c r="V61" i="5"/>
  <c r="I60" i="4"/>
  <c r="H60" i="4"/>
  <c r="N60" i="4"/>
  <c r="D61" i="4"/>
  <c r="M60" i="4"/>
  <c r="L60" i="4"/>
  <c r="J60" i="4"/>
  <c r="G60" i="4"/>
  <c r="Q60" i="4" s="1"/>
  <c r="E60" i="4"/>
  <c r="K60" i="4"/>
  <c r="F60" i="4"/>
  <c r="AC61" i="3"/>
  <c r="S61" i="3"/>
  <c r="N61" i="3"/>
  <c r="O61" i="3"/>
  <c r="Y61" i="3"/>
  <c r="L61" i="3"/>
  <c r="AA61" i="3"/>
  <c r="AF61" i="3"/>
  <c r="K61" i="3"/>
  <c r="G61" i="3" s="1"/>
  <c r="R61" i="3"/>
  <c r="V61" i="3"/>
  <c r="Q61" i="3"/>
  <c r="I62" i="3"/>
  <c r="AB61" i="3"/>
  <c r="X61" i="3"/>
  <c r="AD61" i="3"/>
  <c r="AE61" i="3"/>
  <c r="U61" i="3"/>
  <c r="T61" i="3"/>
  <c r="N60" i="2"/>
  <c r="AA60" i="2"/>
  <c r="AF60" i="2"/>
  <c r="AE60" i="2"/>
  <c r="AD60" i="2"/>
  <c r="AC60" i="2"/>
  <c r="AB60" i="2"/>
  <c r="G59" i="2"/>
  <c r="K60" i="2"/>
  <c r="U60" i="2"/>
  <c r="T60" i="2"/>
  <c r="S60" i="2"/>
  <c r="V60" i="2"/>
  <c r="I61" i="2"/>
  <c r="R60" i="2"/>
  <c r="Q60" i="2"/>
  <c r="L60" i="2"/>
  <c r="O60" i="2"/>
  <c r="X62" i="5" l="1"/>
  <c r="I63" i="5"/>
  <c r="V62" i="5"/>
  <c r="U62" i="5"/>
  <c r="T62" i="5"/>
  <c r="N62" i="5"/>
  <c r="AF62" i="5"/>
  <c r="L62" i="5"/>
  <c r="AE62" i="5"/>
  <c r="K62" i="5"/>
  <c r="AD62" i="5"/>
  <c r="AB62" i="5"/>
  <c r="Y62" i="5"/>
  <c r="AC62" i="5"/>
  <c r="AA62" i="5"/>
  <c r="S62" i="5"/>
  <c r="R62" i="5"/>
  <c r="Q62" i="5"/>
  <c r="O62" i="5"/>
  <c r="H61" i="4"/>
  <c r="G61" i="4"/>
  <c r="N61" i="4"/>
  <c r="M61" i="4"/>
  <c r="I61" i="4"/>
  <c r="F61" i="4"/>
  <c r="E61" i="4"/>
  <c r="D62" i="4"/>
  <c r="Q61" i="4"/>
  <c r="L61" i="4"/>
  <c r="K61" i="4"/>
  <c r="J61" i="4"/>
  <c r="L62" i="3"/>
  <c r="G62" i="3" s="1"/>
  <c r="AE62" i="3"/>
  <c r="K62" i="3"/>
  <c r="R62" i="3"/>
  <c r="AD62" i="3"/>
  <c r="O62" i="3"/>
  <c r="Y62" i="3"/>
  <c r="AC62" i="3"/>
  <c r="AF62" i="3"/>
  <c r="N62" i="3"/>
  <c r="X62" i="3"/>
  <c r="AA62" i="3"/>
  <c r="V62" i="3"/>
  <c r="S62" i="3"/>
  <c r="Q62" i="3"/>
  <c r="I63" i="3"/>
  <c r="AB62" i="3"/>
  <c r="U62" i="3"/>
  <c r="T62" i="3"/>
  <c r="N61" i="2"/>
  <c r="AA61" i="2"/>
  <c r="AB61" i="2"/>
  <c r="AE61" i="2"/>
  <c r="AD61" i="2"/>
  <c r="AC61" i="2"/>
  <c r="AF61" i="2"/>
  <c r="G60" i="2"/>
  <c r="O61" i="2"/>
  <c r="V61" i="2"/>
  <c r="U61" i="2"/>
  <c r="I62" i="2"/>
  <c r="K61" i="2"/>
  <c r="T61" i="2"/>
  <c r="S61" i="2"/>
  <c r="Q61" i="2"/>
  <c r="L61" i="2"/>
  <c r="R61" i="2"/>
  <c r="AA63" i="5" l="1"/>
  <c r="K63" i="5"/>
  <c r="Y63" i="5"/>
  <c r="X63" i="5"/>
  <c r="I64" i="5"/>
  <c r="V63" i="5"/>
  <c r="AE63" i="5"/>
  <c r="AD63" i="5"/>
  <c r="AC63" i="5"/>
  <c r="AB63" i="5"/>
  <c r="T63" i="5"/>
  <c r="R63" i="5"/>
  <c r="L63" i="5"/>
  <c r="O63" i="5"/>
  <c r="N63" i="5"/>
  <c r="AF63" i="5"/>
  <c r="U63" i="5"/>
  <c r="S63" i="5"/>
  <c r="Q63" i="5"/>
  <c r="G62" i="4"/>
  <c r="F62" i="4"/>
  <c r="N62" i="4"/>
  <c r="M62" i="4"/>
  <c r="L62" i="4"/>
  <c r="K62" i="4"/>
  <c r="J62" i="4"/>
  <c r="I62" i="4"/>
  <c r="H62" i="4"/>
  <c r="Q62" i="4" s="1"/>
  <c r="D63" i="4"/>
  <c r="E62" i="4"/>
  <c r="AF63" i="3"/>
  <c r="K63" i="3"/>
  <c r="AC63" i="3"/>
  <c r="AE63" i="3"/>
  <c r="AB63" i="3"/>
  <c r="Q63" i="3"/>
  <c r="AA63" i="3"/>
  <c r="V63" i="3"/>
  <c r="U63" i="3"/>
  <c r="X63" i="3"/>
  <c r="N63" i="3"/>
  <c r="O63" i="3"/>
  <c r="AD63" i="3"/>
  <c r="R63" i="3"/>
  <c r="Y63" i="3"/>
  <c r="T63" i="3"/>
  <c r="I64" i="3"/>
  <c r="S63" i="3"/>
  <c r="L63" i="3"/>
  <c r="G63" i="3"/>
  <c r="N62" i="2"/>
  <c r="AA62" i="2"/>
  <c r="AF62" i="2"/>
  <c r="AE62" i="2"/>
  <c r="AD62" i="2"/>
  <c r="AC62" i="2"/>
  <c r="AB62" i="2"/>
  <c r="G61" i="2"/>
  <c r="I63" i="2"/>
  <c r="V62" i="2"/>
  <c r="K62" i="2"/>
  <c r="O62" i="2"/>
  <c r="U62" i="2"/>
  <c r="S62" i="2"/>
  <c r="T62" i="2"/>
  <c r="R62" i="2"/>
  <c r="Q62" i="2"/>
  <c r="L62" i="2"/>
  <c r="AA64" i="5" l="1"/>
  <c r="K64" i="5"/>
  <c r="AE64" i="5"/>
  <c r="O64" i="5"/>
  <c r="AD64" i="5"/>
  <c r="N64" i="5"/>
  <c r="AC64" i="5"/>
  <c r="L64" i="5"/>
  <c r="AB64" i="5"/>
  <c r="Y64" i="5"/>
  <c r="X64" i="5"/>
  <c r="V64" i="5"/>
  <c r="U64" i="5"/>
  <c r="S64" i="5"/>
  <c r="I65" i="5"/>
  <c r="Q64" i="5"/>
  <c r="T64" i="5"/>
  <c r="R64" i="5"/>
  <c r="AF64" i="5"/>
  <c r="F63" i="4"/>
  <c r="D64" i="4"/>
  <c r="E63" i="4"/>
  <c r="M63" i="4"/>
  <c r="L63" i="4"/>
  <c r="K63" i="4"/>
  <c r="J63" i="4"/>
  <c r="I63" i="4"/>
  <c r="N63" i="4"/>
  <c r="H63" i="4"/>
  <c r="Q63" i="4" s="1"/>
  <c r="G63" i="4"/>
  <c r="U64" i="3"/>
  <c r="O64" i="3"/>
  <c r="AD64" i="3"/>
  <c r="S64" i="3"/>
  <c r="I65" i="3"/>
  <c r="AA64" i="3"/>
  <c r="AF64" i="3"/>
  <c r="N64" i="3"/>
  <c r="AE64" i="3"/>
  <c r="V64" i="3"/>
  <c r="AB64" i="3"/>
  <c r="T64" i="3"/>
  <c r="AC64" i="3"/>
  <c r="Y64" i="3"/>
  <c r="X64" i="3"/>
  <c r="L64" i="3"/>
  <c r="R64" i="3"/>
  <c r="Q64" i="3"/>
  <c r="K64" i="3"/>
  <c r="G64" i="3"/>
  <c r="N63" i="2"/>
  <c r="AA63" i="2"/>
  <c r="AB63" i="2"/>
  <c r="AF63" i="2"/>
  <c r="AE63" i="2"/>
  <c r="AD63" i="2"/>
  <c r="AC63" i="2"/>
  <c r="G62" i="2"/>
  <c r="I64" i="2"/>
  <c r="R63" i="2"/>
  <c r="L63" i="2"/>
  <c r="Q63" i="2"/>
  <c r="V63" i="2"/>
  <c r="U63" i="2"/>
  <c r="T63" i="2"/>
  <c r="S63" i="2"/>
  <c r="K63" i="2"/>
  <c r="O63" i="2"/>
  <c r="AC65" i="5" l="1"/>
  <c r="N65" i="5"/>
  <c r="T65" i="5"/>
  <c r="S65" i="5"/>
  <c r="R65" i="5"/>
  <c r="AF65" i="5"/>
  <c r="Q65" i="5"/>
  <c r="Y65" i="5"/>
  <c r="X65" i="5"/>
  <c r="V65" i="5"/>
  <c r="U65" i="5"/>
  <c r="L65" i="5"/>
  <c r="I66" i="5"/>
  <c r="AE65" i="5"/>
  <c r="AD65" i="5"/>
  <c r="AB65" i="5"/>
  <c r="AA65" i="5"/>
  <c r="O65" i="5"/>
  <c r="K65" i="5"/>
  <c r="D65" i="4"/>
  <c r="E64" i="4"/>
  <c r="L64" i="4"/>
  <c r="K64" i="4"/>
  <c r="J64" i="4"/>
  <c r="I64" i="4"/>
  <c r="H64" i="4"/>
  <c r="G64" i="4"/>
  <c r="Q64" i="4" s="1"/>
  <c r="F64" i="4"/>
  <c r="M64" i="4"/>
  <c r="N64" i="4"/>
  <c r="R65" i="3"/>
  <c r="Q65" i="3"/>
  <c r="V65" i="3"/>
  <c r="N65" i="3"/>
  <c r="U65" i="3"/>
  <c r="L65" i="3"/>
  <c r="AB65" i="3"/>
  <c r="AF65" i="3"/>
  <c r="T65" i="3"/>
  <c r="AE65" i="3"/>
  <c r="Y65" i="3"/>
  <c r="S65" i="3"/>
  <c r="X65" i="3"/>
  <c r="I66" i="3"/>
  <c r="O65" i="3"/>
  <c r="AC65" i="3"/>
  <c r="AD65" i="3"/>
  <c r="AA65" i="3"/>
  <c r="K65" i="3"/>
  <c r="G65" i="3"/>
  <c r="N64" i="2"/>
  <c r="AA64" i="2"/>
  <c r="AF64" i="2"/>
  <c r="AB64" i="2"/>
  <c r="AE64" i="2"/>
  <c r="AD64" i="2"/>
  <c r="AC64" i="2"/>
  <c r="G63" i="2"/>
  <c r="U64" i="2"/>
  <c r="S64" i="2"/>
  <c r="T64" i="2"/>
  <c r="R64" i="2"/>
  <c r="L64" i="2"/>
  <c r="K64" i="2"/>
  <c r="Q64" i="2"/>
  <c r="O64" i="2"/>
  <c r="I65" i="2"/>
  <c r="V64" i="2"/>
  <c r="AE66" i="5" l="1"/>
  <c r="Q66" i="5"/>
  <c r="AD66" i="5"/>
  <c r="Y66" i="5"/>
  <c r="X66" i="5"/>
  <c r="V66" i="5"/>
  <c r="U66" i="5"/>
  <c r="T66" i="5"/>
  <c r="S66" i="5"/>
  <c r="R66" i="5"/>
  <c r="O66" i="5"/>
  <c r="L66" i="5"/>
  <c r="N66" i="5"/>
  <c r="K66" i="5"/>
  <c r="AA66" i="5"/>
  <c r="I67" i="5"/>
  <c r="AF66" i="5"/>
  <c r="AC66" i="5"/>
  <c r="AB66" i="5"/>
  <c r="K65" i="4"/>
  <c r="J65" i="4"/>
  <c r="I65" i="4"/>
  <c r="D66" i="4"/>
  <c r="N65" i="4"/>
  <c r="M65" i="4"/>
  <c r="L65" i="4"/>
  <c r="H65" i="4"/>
  <c r="F65" i="4"/>
  <c r="E65" i="4"/>
  <c r="G65" i="4"/>
  <c r="Q65" i="4" s="1"/>
  <c r="K66" i="3"/>
  <c r="Q66" i="3"/>
  <c r="Y66" i="3"/>
  <c r="R66" i="3"/>
  <c r="I67" i="3"/>
  <c r="S66" i="3"/>
  <c r="AE66" i="3"/>
  <c r="AC66" i="3"/>
  <c r="U66" i="3"/>
  <c r="AB66" i="3"/>
  <c r="N66" i="3"/>
  <c r="V66" i="3"/>
  <c r="O66" i="3"/>
  <c r="X66" i="3"/>
  <c r="L66" i="3"/>
  <c r="G66" i="3" s="1"/>
  <c r="T66" i="3"/>
  <c r="AF66" i="3"/>
  <c r="AD66" i="3"/>
  <c r="AA66" i="3"/>
  <c r="N65" i="2"/>
  <c r="AA65" i="2"/>
  <c r="AB65" i="2"/>
  <c r="AF65" i="2"/>
  <c r="AE65" i="2"/>
  <c r="AD65" i="2"/>
  <c r="AC65" i="2"/>
  <c r="G64" i="2"/>
  <c r="V65" i="2"/>
  <c r="K65" i="2"/>
  <c r="O65" i="2"/>
  <c r="I66" i="2"/>
  <c r="U65" i="2"/>
  <c r="S65" i="2"/>
  <c r="Q65" i="2"/>
  <c r="L65" i="2"/>
  <c r="T65" i="2"/>
  <c r="R65" i="2"/>
  <c r="S67" i="5" l="1"/>
  <c r="AF67" i="5"/>
  <c r="R67" i="5"/>
  <c r="O67" i="5"/>
  <c r="AE67" i="5"/>
  <c r="N67" i="5"/>
  <c r="AD67" i="5"/>
  <c r="L67" i="5"/>
  <c r="AC67" i="5"/>
  <c r="K67" i="5"/>
  <c r="V67" i="5"/>
  <c r="U67" i="5"/>
  <c r="T67" i="5"/>
  <c r="Q67" i="5"/>
  <c r="I68" i="5"/>
  <c r="AB67" i="5"/>
  <c r="AA67" i="5"/>
  <c r="Y67" i="5"/>
  <c r="X67" i="5"/>
  <c r="N66" i="4"/>
  <c r="J66" i="4"/>
  <c r="I66" i="4"/>
  <c r="H66" i="4"/>
  <c r="E66" i="4"/>
  <c r="D67" i="4"/>
  <c r="M66" i="4"/>
  <c r="L66" i="4"/>
  <c r="K66" i="4"/>
  <c r="G66" i="4"/>
  <c r="Q66" i="4" s="1"/>
  <c r="F66" i="4"/>
  <c r="AE67" i="3"/>
  <c r="AC67" i="3"/>
  <c r="AD67" i="3"/>
  <c r="R67" i="3"/>
  <c r="AB67" i="3"/>
  <c r="Y67" i="3"/>
  <c r="U67" i="3"/>
  <c r="T67" i="3"/>
  <c r="K67" i="3"/>
  <c r="G67" i="3" s="1"/>
  <c r="I68" i="3"/>
  <c r="AF67" i="3"/>
  <c r="X67" i="3"/>
  <c r="V67" i="3"/>
  <c r="N67" i="3"/>
  <c r="L67" i="3"/>
  <c r="AA67" i="3"/>
  <c r="Q67" i="3"/>
  <c r="O67" i="3"/>
  <c r="S67" i="3"/>
  <c r="N66" i="2"/>
  <c r="AA66" i="2"/>
  <c r="G65" i="2"/>
  <c r="AF66" i="2"/>
  <c r="AE66" i="2"/>
  <c r="AD66" i="2"/>
  <c r="AC66" i="2"/>
  <c r="AB66" i="2"/>
  <c r="V66" i="2"/>
  <c r="U66" i="2"/>
  <c r="O66" i="2"/>
  <c r="Q66" i="2"/>
  <c r="L66" i="2"/>
  <c r="K66" i="2"/>
  <c r="T66" i="2"/>
  <c r="R66" i="2"/>
  <c r="S66" i="2"/>
  <c r="I67" i="2"/>
  <c r="U68" i="5" l="1"/>
  <c r="T68" i="5"/>
  <c r="Y68" i="5"/>
  <c r="X68" i="5"/>
  <c r="V68" i="5"/>
  <c r="S68" i="5"/>
  <c r="R68" i="5"/>
  <c r="Q68" i="5"/>
  <c r="O68" i="5"/>
  <c r="N68" i="5"/>
  <c r="I69" i="5"/>
  <c r="K68" i="5"/>
  <c r="AE68" i="5"/>
  <c r="L68" i="5"/>
  <c r="AA68" i="5"/>
  <c r="AB68" i="5"/>
  <c r="AF68" i="5"/>
  <c r="AD68" i="5"/>
  <c r="AC68" i="5"/>
  <c r="N67" i="4"/>
  <c r="M67" i="4"/>
  <c r="I67" i="4"/>
  <c r="H67" i="4"/>
  <c r="G67" i="4"/>
  <c r="L67" i="4"/>
  <c r="K67" i="4"/>
  <c r="J67" i="4"/>
  <c r="F67" i="4"/>
  <c r="E67" i="4"/>
  <c r="D68" i="4"/>
  <c r="Q67" i="4"/>
  <c r="L68" i="3"/>
  <c r="AB68" i="3"/>
  <c r="Q68" i="3"/>
  <c r="AA68" i="3"/>
  <c r="AD68" i="3"/>
  <c r="O68" i="3"/>
  <c r="AF68" i="3"/>
  <c r="AC68" i="3"/>
  <c r="N68" i="3"/>
  <c r="K68" i="3"/>
  <c r="U68" i="3"/>
  <c r="T68" i="3"/>
  <c r="I69" i="3"/>
  <c r="AE68" i="3"/>
  <c r="S68" i="3"/>
  <c r="V68" i="3"/>
  <c r="R68" i="3"/>
  <c r="Y68" i="3"/>
  <c r="X68" i="3"/>
  <c r="N67" i="2"/>
  <c r="AA67" i="2"/>
  <c r="AB67" i="2"/>
  <c r="AF67" i="2"/>
  <c r="AE67" i="2"/>
  <c r="AD67" i="2"/>
  <c r="AC67" i="2"/>
  <c r="G66" i="2"/>
  <c r="U67" i="2"/>
  <c r="T67" i="2"/>
  <c r="K67" i="2"/>
  <c r="G67" i="2" s="1"/>
  <c r="S67" i="2"/>
  <c r="R67" i="2"/>
  <c r="Q67" i="2"/>
  <c r="V67" i="2"/>
  <c r="I68" i="2"/>
  <c r="O67" i="2"/>
  <c r="L67" i="2"/>
  <c r="X69" i="5" l="1"/>
  <c r="I70" i="5"/>
  <c r="V69" i="5"/>
  <c r="U69" i="5"/>
  <c r="Q69" i="5"/>
  <c r="O69" i="5"/>
  <c r="AF69" i="5"/>
  <c r="N69" i="5"/>
  <c r="AE69" i="5"/>
  <c r="L69" i="5"/>
  <c r="Y69" i="5"/>
  <c r="T69" i="5"/>
  <c r="S69" i="5"/>
  <c r="R69" i="5"/>
  <c r="AD69" i="5"/>
  <c r="AC69" i="5"/>
  <c r="AB69" i="5"/>
  <c r="AA69" i="5"/>
  <c r="K69" i="5"/>
  <c r="M68" i="4"/>
  <c r="L68" i="4"/>
  <c r="H68" i="4"/>
  <c r="G68" i="4"/>
  <c r="F68" i="4"/>
  <c r="D69" i="4"/>
  <c r="Q68" i="4"/>
  <c r="N68" i="4"/>
  <c r="K68" i="4"/>
  <c r="I68" i="4"/>
  <c r="E68" i="4"/>
  <c r="J68" i="4"/>
  <c r="G68" i="3"/>
  <c r="AD69" i="3"/>
  <c r="AC69" i="3"/>
  <c r="AF69" i="3"/>
  <c r="AB69" i="3"/>
  <c r="R69" i="3"/>
  <c r="V69" i="3"/>
  <c r="L69" i="3"/>
  <c r="I70" i="3"/>
  <c r="K69" i="3"/>
  <c r="O69" i="3"/>
  <c r="S69" i="3"/>
  <c r="Y69" i="3"/>
  <c r="AE69" i="3"/>
  <c r="X69" i="3"/>
  <c r="Q69" i="3"/>
  <c r="T69" i="3"/>
  <c r="U69" i="3"/>
  <c r="N69" i="3"/>
  <c r="AA69" i="3"/>
  <c r="G69" i="3"/>
  <c r="N68" i="2"/>
  <c r="AA68" i="2"/>
  <c r="AF68" i="2"/>
  <c r="AE68" i="2"/>
  <c r="AD68" i="2"/>
  <c r="AC68" i="2"/>
  <c r="AB68" i="2"/>
  <c r="T68" i="2"/>
  <c r="S68" i="2"/>
  <c r="L68" i="2"/>
  <c r="V68" i="2"/>
  <c r="I69" i="2"/>
  <c r="Q68" i="2"/>
  <c r="O68" i="2"/>
  <c r="K68" i="2"/>
  <c r="R68" i="2"/>
  <c r="U68" i="2"/>
  <c r="AA70" i="5" l="1"/>
  <c r="K70" i="5"/>
  <c r="Y70" i="5"/>
  <c r="X70" i="5"/>
  <c r="AD70" i="5"/>
  <c r="AC70" i="5"/>
  <c r="AB70" i="5"/>
  <c r="V70" i="5"/>
  <c r="U70" i="5"/>
  <c r="T70" i="5"/>
  <c r="S70" i="5"/>
  <c r="R70" i="5"/>
  <c r="O70" i="5"/>
  <c r="L70" i="5"/>
  <c r="Q70" i="5"/>
  <c r="AF70" i="5"/>
  <c r="N70" i="5"/>
  <c r="AE70" i="5"/>
  <c r="I71" i="5"/>
  <c r="L69" i="4"/>
  <c r="K69" i="4"/>
  <c r="G69" i="4"/>
  <c r="F69" i="4"/>
  <c r="D70" i="4"/>
  <c r="E69" i="4"/>
  <c r="H69" i="4"/>
  <c r="N69" i="4"/>
  <c r="I69" i="4"/>
  <c r="J69" i="4"/>
  <c r="Q69" i="4"/>
  <c r="M69" i="4"/>
  <c r="I71" i="3"/>
  <c r="AA70" i="3"/>
  <c r="T70" i="3"/>
  <c r="Y70" i="3"/>
  <c r="S70" i="3"/>
  <c r="AB70" i="3"/>
  <c r="AD70" i="3"/>
  <c r="X70" i="3"/>
  <c r="K70" i="3"/>
  <c r="G70" i="3" s="1"/>
  <c r="AC70" i="3"/>
  <c r="R70" i="3"/>
  <c r="O70" i="3"/>
  <c r="Q70" i="3"/>
  <c r="AF70" i="3"/>
  <c r="U70" i="3"/>
  <c r="V70" i="3"/>
  <c r="N70" i="3"/>
  <c r="AE70" i="3"/>
  <c r="L70" i="3"/>
  <c r="N69" i="2"/>
  <c r="AA69" i="2"/>
  <c r="G68" i="2"/>
  <c r="AB69" i="2"/>
  <c r="AF69" i="2"/>
  <c r="AE69" i="2"/>
  <c r="AD69" i="2"/>
  <c r="AC69" i="2"/>
  <c r="S69" i="2"/>
  <c r="R69" i="2"/>
  <c r="Q69" i="2"/>
  <c r="I70" i="2"/>
  <c r="O69" i="2"/>
  <c r="V69" i="2"/>
  <c r="K69" i="2"/>
  <c r="U69" i="2"/>
  <c r="T69" i="2"/>
  <c r="L69" i="2"/>
  <c r="AC71" i="5" l="1"/>
  <c r="N71" i="5"/>
  <c r="AB71" i="5"/>
  <c r="L71" i="5"/>
  <c r="AA71" i="5"/>
  <c r="K71" i="5"/>
  <c r="U71" i="5"/>
  <c r="T71" i="5"/>
  <c r="I72" i="5"/>
  <c r="S71" i="5"/>
  <c r="R71" i="5"/>
  <c r="AD71" i="5"/>
  <c r="Y71" i="5"/>
  <c r="X71" i="5"/>
  <c r="V71" i="5"/>
  <c r="O71" i="5"/>
  <c r="AF71" i="5"/>
  <c r="AE71" i="5"/>
  <c r="Q71" i="5"/>
  <c r="K70" i="4"/>
  <c r="J70" i="4"/>
  <c r="F70" i="4"/>
  <c r="D71" i="4"/>
  <c r="E70" i="4"/>
  <c r="N70" i="4"/>
  <c r="M70" i="4"/>
  <c r="L70" i="4"/>
  <c r="I70" i="4"/>
  <c r="H70" i="4"/>
  <c r="G70" i="4"/>
  <c r="Q70" i="4" s="1"/>
  <c r="X71" i="3"/>
  <c r="N71" i="3"/>
  <c r="I72" i="3"/>
  <c r="AE71" i="3"/>
  <c r="V71" i="3"/>
  <c r="AD71" i="3"/>
  <c r="U71" i="3"/>
  <c r="R71" i="3"/>
  <c r="AB71" i="3"/>
  <c r="AF71" i="3"/>
  <c r="K71" i="3"/>
  <c r="G71" i="3" s="1"/>
  <c r="AC71" i="3"/>
  <c r="Y71" i="3"/>
  <c r="T71" i="3"/>
  <c r="AA71" i="3"/>
  <c r="L71" i="3"/>
  <c r="S71" i="3"/>
  <c r="Q71" i="3"/>
  <c r="O71" i="3"/>
  <c r="N70" i="2"/>
  <c r="AA70" i="2"/>
  <c r="AE70" i="2"/>
  <c r="AF70" i="2"/>
  <c r="AD70" i="2"/>
  <c r="AC70" i="2"/>
  <c r="AB70" i="2"/>
  <c r="G69" i="2"/>
  <c r="R70" i="2"/>
  <c r="Q70" i="2"/>
  <c r="T70" i="2"/>
  <c r="U70" i="2"/>
  <c r="L70" i="2"/>
  <c r="S70" i="2"/>
  <c r="K70" i="2"/>
  <c r="O70" i="2"/>
  <c r="V70" i="2"/>
  <c r="I71" i="2"/>
  <c r="AE72" i="5" l="1"/>
  <c r="Q72" i="5"/>
  <c r="AD72" i="5"/>
  <c r="O72" i="5"/>
  <c r="AC72" i="5"/>
  <c r="N72" i="5"/>
  <c r="AB72" i="5"/>
  <c r="L72" i="5"/>
  <c r="K72" i="5"/>
  <c r="AF72" i="5"/>
  <c r="AA72" i="5"/>
  <c r="Y72" i="5"/>
  <c r="X72" i="5"/>
  <c r="V72" i="5"/>
  <c r="T72" i="5"/>
  <c r="R72" i="5"/>
  <c r="U72" i="5"/>
  <c r="S72" i="5"/>
  <c r="I73" i="5"/>
  <c r="J71" i="4"/>
  <c r="I71" i="4"/>
  <c r="D72" i="4"/>
  <c r="E71" i="4"/>
  <c r="N71" i="4"/>
  <c r="M71" i="4"/>
  <c r="K71" i="4"/>
  <c r="H71" i="4"/>
  <c r="L71" i="4"/>
  <c r="G71" i="4"/>
  <c r="Q71" i="4" s="1"/>
  <c r="F71" i="4"/>
  <c r="T72" i="3"/>
  <c r="S72" i="3"/>
  <c r="AA72" i="3"/>
  <c r="L72" i="3"/>
  <c r="K72" i="3"/>
  <c r="R72" i="3"/>
  <c r="Y72" i="3"/>
  <c r="N72" i="3"/>
  <c r="X72" i="3"/>
  <c r="I73" i="3"/>
  <c r="Q72" i="3"/>
  <c r="AC72" i="3"/>
  <c r="O72" i="3"/>
  <c r="AB72" i="3"/>
  <c r="AF72" i="3"/>
  <c r="U72" i="3"/>
  <c r="AE72" i="3"/>
  <c r="AD72" i="3"/>
  <c r="V72" i="3"/>
  <c r="G72" i="3"/>
  <c r="N71" i="2"/>
  <c r="AA71" i="2"/>
  <c r="G70" i="2"/>
  <c r="AB71" i="2"/>
  <c r="AF71" i="2"/>
  <c r="AC71" i="2"/>
  <c r="AE71" i="2"/>
  <c r="AD71" i="2"/>
  <c r="Q71" i="2"/>
  <c r="L71" i="2"/>
  <c r="U71" i="2"/>
  <c r="O71" i="2"/>
  <c r="I72" i="2"/>
  <c r="V71" i="2"/>
  <c r="T71" i="2"/>
  <c r="S71" i="2"/>
  <c r="R71" i="2"/>
  <c r="K71" i="2"/>
  <c r="S73" i="5" l="1"/>
  <c r="AF73" i="5"/>
  <c r="R73" i="5"/>
  <c r="AE73" i="5"/>
  <c r="Q73" i="5"/>
  <c r="AD73" i="5"/>
  <c r="O73" i="5"/>
  <c r="AC73" i="5"/>
  <c r="AB73" i="5"/>
  <c r="AA73" i="5"/>
  <c r="Y73" i="5"/>
  <c r="I74" i="5"/>
  <c r="V73" i="5"/>
  <c r="T73" i="5"/>
  <c r="K73" i="5"/>
  <c r="X73" i="5"/>
  <c r="U73" i="5"/>
  <c r="N73" i="5"/>
  <c r="L73" i="5"/>
  <c r="I72" i="4"/>
  <c r="H72" i="4"/>
  <c r="N72" i="4"/>
  <c r="J72" i="4"/>
  <c r="G72" i="4"/>
  <c r="Q72" i="4" s="1"/>
  <c r="F72" i="4"/>
  <c r="E72" i="4"/>
  <c r="D73" i="4"/>
  <c r="M72" i="4"/>
  <c r="L72" i="4"/>
  <c r="K72" i="4"/>
  <c r="N73" i="3"/>
  <c r="Q73" i="3"/>
  <c r="AB73" i="3"/>
  <c r="U73" i="3"/>
  <c r="L73" i="3"/>
  <c r="O73" i="3"/>
  <c r="AA73" i="3"/>
  <c r="V73" i="3"/>
  <c r="K73" i="3"/>
  <c r="S73" i="3"/>
  <c r="AD73" i="3"/>
  <c r="R73" i="3"/>
  <c r="Y73" i="3"/>
  <c r="I74" i="3"/>
  <c r="AF73" i="3"/>
  <c r="AE73" i="3"/>
  <c r="X73" i="3"/>
  <c r="AC73" i="3"/>
  <c r="T73" i="3"/>
  <c r="N72" i="2"/>
  <c r="AA72" i="2"/>
  <c r="G71" i="2"/>
  <c r="AF72" i="2"/>
  <c r="AE72" i="2"/>
  <c r="AD72" i="2"/>
  <c r="AC72" i="2"/>
  <c r="AB72" i="2"/>
  <c r="L72" i="2"/>
  <c r="K72" i="2"/>
  <c r="G72" i="2" s="1"/>
  <c r="V72" i="2"/>
  <c r="R72" i="2"/>
  <c r="Q72" i="2"/>
  <c r="S72" i="2"/>
  <c r="O72" i="2"/>
  <c r="U72" i="2"/>
  <c r="I73" i="2"/>
  <c r="T72" i="2"/>
  <c r="U74" i="5" l="1"/>
  <c r="T74" i="5"/>
  <c r="S74" i="5"/>
  <c r="AF74" i="5"/>
  <c r="R74" i="5"/>
  <c r="AA74" i="5"/>
  <c r="Y74" i="5"/>
  <c r="X74" i="5"/>
  <c r="V74" i="5"/>
  <c r="K74" i="5"/>
  <c r="I75" i="5"/>
  <c r="AD74" i="5"/>
  <c r="AB74" i="5"/>
  <c r="AE74" i="5"/>
  <c r="AC74" i="5"/>
  <c r="Q74" i="5"/>
  <c r="O74" i="5"/>
  <c r="N74" i="5"/>
  <c r="L74" i="5"/>
  <c r="H73" i="4"/>
  <c r="G73" i="4"/>
  <c r="N73" i="4"/>
  <c r="M73" i="4"/>
  <c r="D74" i="4"/>
  <c r="Q73" i="4"/>
  <c r="L73" i="4"/>
  <c r="K73" i="4"/>
  <c r="J73" i="4"/>
  <c r="I73" i="4"/>
  <c r="E73" i="4"/>
  <c r="F73" i="4"/>
  <c r="G73" i="3"/>
  <c r="O74" i="3"/>
  <c r="V74" i="3"/>
  <c r="AC74" i="3"/>
  <c r="S74" i="3"/>
  <c r="N74" i="3"/>
  <c r="L74" i="3"/>
  <c r="U74" i="3"/>
  <c r="K74" i="3"/>
  <c r="T74" i="3"/>
  <c r="AB74" i="3"/>
  <c r="AA74" i="3"/>
  <c r="Y74" i="3"/>
  <c r="X74" i="3"/>
  <c r="AE74" i="3"/>
  <c r="R74" i="3"/>
  <c r="Q74" i="3"/>
  <c r="I75" i="3"/>
  <c r="AD74" i="3"/>
  <c r="AF74" i="3"/>
  <c r="G74" i="3"/>
  <c r="N73" i="2"/>
  <c r="AA73" i="2"/>
  <c r="AB73" i="2"/>
  <c r="AF73" i="2"/>
  <c r="AE73" i="2"/>
  <c r="AD73" i="2"/>
  <c r="AC73" i="2"/>
  <c r="K73" i="2"/>
  <c r="O73" i="2"/>
  <c r="T73" i="2"/>
  <c r="S73" i="2"/>
  <c r="R73" i="2"/>
  <c r="L73" i="2"/>
  <c r="Q73" i="2"/>
  <c r="I74" i="2"/>
  <c r="V73" i="2"/>
  <c r="U73" i="2"/>
  <c r="X75" i="5" l="1"/>
  <c r="I76" i="5"/>
  <c r="V75" i="5"/>
  <c r="U75" i="5"/>
  <c r="T75" i="5"/>
  <c r="S75" i="5"/>
  <c r="R75" i="5"/>
  <c r="Q75" i="5"/>
  <c r="O75" i="5"/>
  <c r="N75" i="5"/>
  <c r="L75" i="5"/>
  <c r="K75" i="5"/>
  <c r="AF75" i="5"/>
  <c r="AD75" i="5"/>
  <c r="AA75" i="5"/>
  <c r="Y75" i="5"/>
  <c r="AB75" i="5"/>
  <c r="AE75" i="5"/>
  <c r="AC75" i="5"/>
  <c r="G74" i="4"/>
  <c r="Q74" i="4" s="1"/>
  <c r="F74" i="4"/>
  <c r="N74" i="4"/>
  <c r="M74" i="4"/>
  <c r="L74" i="4"/>
  <c r="D75" i="4"/>
  <c r="K74" i="4"/>
  <c r="J74" i="4"/>
  <c r="E74" i="4"/>
  <c r="H74" i="4"/>
  <c r="I74" i="4"/>
  <c r="U75" i="3"/>
  <c r="S75" i="3"/>
  <c r="N75" i="3"/>
  <c r="AF75" i="3"/>
  <c r="AE75" i="3"/>
  <c r="I76" i="3"/>
  <c r="AC75" i="3"/>
  <c r="X75" i="3"/>
  <c r="T75" i="3"/>
  <c r="R75" i="3"/>
  <c r="O75" i="3"/>
  <c r="Q75" i="3"/>
  <c r="AA75" i="3"/>
  <c r="L75" i="3"/>
  <c r="AD75" i="3"/>
  <c r="AB75" i="3"/>
  <c r="K75" i="3"/>
  <c r="Y75" i="3"/>
  <c r="V75" i="3"/>
  <c r="G75" i="3"/>
  <c r="N74" i="2"/>
  <c r="AA74" i="2"/>
  <c r="AE74" i="2"/>
  <c r="AF74" i="2"/>
  <c r="AD74" i="2"/>
  <c r="AC74" i="2"/>
  <c r="AB74" i="2"/>
  <c r="G73" i="2"/>
  <c r="O74" i="2"/>
  <c r="I75" i="2"/>
  <c r="V74" i="2"/>
  <c r="U74" i="2"/>
  <c r="T74" i="2"/>
  <c r="L74" i="2"/>
  <c r="K74" i="2"/>
  <c r="G74" i="2" s="1"/>
  <c r="S74" i="2"/>
  <c r="Q74" i="2"/>
  <c r="R74" i="2"/>
  <c r="AA76" i="5" l="1"/>
  <c r="K76" i="5"/>
  <c r="Y76" i="5"/>
  <c r="X76" i="5"/>
  <c r="I77" i="5"/>
  <c r="V76" i="5"/>
  <c r="Q76" i="5"/>
  <c r="O76" i="5"/>
  <c r="N76" i="5"/>
  <c r="AF76" i="5"/>
  <c r="L76" i="5"/>
  <c r="U76" i="5"/>
  <c r="T76" i="5"/>
  <c r="S76" i="5"/>
  <c r="R76" i="5"/>
  <c r="AE76" i="5"/>
  <c r="AD76" i="5"/>
  <c r="AC76" i="5"/>
  <c r="AB76" i="5"/>
  <c r="F75" i="4"/>
  <c r="D76" i="4"/>
  <c r="E75" i="4"/>
  <c r="M75" i="4"/>
  <c r="L75" i="4"/>
  <c r="K75" i="4"/>
  <c r="J75" i="4"/>
  <c r="I75" i="4"/>
  <c r="H75" i="4"/>
  <c r="G75" i="4"/>
  <c r="Q75" i="4"/>
  <c r="N75" i="4"/>
  <c r="T76" i="3"/>
  <c r="AB76" i="3"/>
  <c r="L76" i="3"/>
  <c r="X76" i="3"/>
  <c r="V76" i="3"/>
  <c r="R76" i="3"/>
  <c r="I77" i="3"/>
  <c r="Q76" i="3"/>
  <c r="AF76" i="3"/>
  <c r="K76" i="3"/>
  <c r="AE76" i="3"/>
  <c r="U76" i="3"/>
  <c r="S76" i="3"/>
  <c r="AA76" i="3"/>
  <c r="AC76" i="3"/>
  <c r="Y76" i="3"/>
  <c r="N76" i="3"/>
  <c r="O76" i="3"/>
  <c r="AD76" i="3"/>
  <c r="N75" i="2"/>
  <c r="AA75" i="2"/>
  <c r="AB75" i="2"/>
  <c r="AF75" i="2"/>
  <c r="AE75" i="2"/>
  <c r="AD75" i="2"/>
  <c r="AC75" i="2"/>
  <c r="I76" i="2"/>
  <c r="O75" i="2"/>
  <c r="U75" i="2"/>
  <c r="T75" i="2"/>
  <c r="V75" i="2"/>
  <c r="S75" i="2"/>
  <c r="R75" i="2"/>
  <c r="K75" i="2"/>
  <c r="Q75" i="2"/>
  <c r="L75" i="2"/>
  <c r="AC77" i="5" l="1"/>
  <c r="N77" i="5"/>
  <c r="AB77" i="5"/>
  <c r="L77" i="5"/>
  <c r="AA77" i="5"/>
  <c r="K77" i="5"/>
  <c r="Y77" i="5"/>
  <c r="AF77" i="5"/>
  <c r="AE77" i="5"/>
  <c r="AD77" i="5"/>
  <c r="X77" i="5"/>
  <c r="V77" i="5"/>
  <c r="U77" i="5"/>
  <c r="T77" i="5"/>
  <c r="R77" i="5"/>
  <c r="O77" i="5"/>
  <c r="S77" i="5"/>
  <c r="Q77" i="5"/>
  <c r="I78" i="5"/>
  <c r="D77" i="4"/>
  <c r="E76" i="4"/>
  <c r="L76" i="4"/>
  <c r="K76" i="4"/>
  <c r="J76" i="4"/>
  <c r="N76" i="4"/>
  <c r="M76" i="4"/>
  <c r="I76" i="4"/>
  <c r="G76" i="4"/>
  <c r="Q76" i="4" s="1"/>
  <c r="F76" i="4"/>
  <c r="H76" i="4"/>
  <c r="G76" i="3"/>
  <c r="AD77" i="3"/>
  <c r="AE77" i="3"/>
  <c r="I78" i="3"/>
  <c r="V77" i="3"/>
  <c r="AB77" i="3"/>
  <c r="U77" i="3"/>
  <c r="AA77" i="3"/>
  <c r="R77" i="3"/>
  <c r="Y77" i="3"/>
  <c r="Q77" i="3"/>
  <c r="T77" i="3"/>
  <c r="S77" i="3"/>
  <c r="K77" i="3"/>
  <c r="O77" i="3"/>
  <c r="N77" i="3"/>
  <c r="L77" i="3"/>
  <c r="X77" i="3"/>
  <c r="AC77" i="3"/>
  <c r="AF77" i="3"/>
  <c r="G77" i="3"/>
  <c r="N76" i="2"/>
  <c r="AA76" i="2"/>
  <c r="AF76" i="2"/>
  <c r="AE76" i="2"/>
  <c r="AC76" i="2"/>
  <c r="AB76" i="2"/>
  <c r="AD76" i="2"/>
  <c r="G75" i="2"/>
  <c r="O76" i="2"/>
  <c r="R76" i="2"/>
  <c r="L76" i="2"/>
  <c r="Q76" i="2"/>
  <c r="K76" i="2"/>
  <c r="I77" i="2"/>
  <c r="V76" i="2"/>
  <c r="U76" i="2"/>
  <c r="T76" i="2"/>
  <c r="S76" i="2"/>
  <c r="AF78" i="5" l="1"/>
  <c r="R78" i="5"/>
  <c r="Q78" i="5"/>
  <c r="AE78" i="5"/>
  <c r="O78" i="5"/>
  <c r="AD78" i="5"/>
  <c r="N78" i="5"/>
  <c r="AC78" i="5"/>
  <c r="L78" i="5"/>
  <c r="AB78" i="5"/>
  <c r="AA78" i="5"/>
  <c r="Y78" i="5"/>
  <c r="X78" i="5"/>
  <c r="I79" i="5"/>
  <c r="U78" i="5"/>
  <c r="S78" i="5"/>
  <c r="V78" i="5"/>
  <c r="T78" i="5"/>
  <c r="K78" i="5"/>
  <c r="K77" i="4"/>
  <c r="J77" i="4"/>
  <c r="I77" i="4"/>
  <c r="F77" i="4"/>
  <c r="E77" i="4"/>
  <c r="N77" i="4"/>
  <c r="M77" i="4"/>
  <c r="D78" i="4"/>
  <c r="L77" i="4"/>
  <c r="G77" i="4"/>
  <c r="Q77" i="4" s="1"/>
  <c r="H77" i="4"/>
  <c r="K78" i="3"/>
  <c r="S78" i="3"/>
  <c r="Y78" i="3"/>
  <c r="R78" i="3"/>
  <c r="V78" i="3"/>
  <c r="U78" i="3"/>
  <c r="L78" i="3"/>
  <c r="AF78" i="3"/>
  <c r="AD78" i="3"/>
  <c r="I79" i="3"/>
  <c r="Q78" i="3"/>
  <c r="O78" i="3"/>
  <c r="AB78" i="3"/>
  <c r="T78" i="3"/>
  <c r="X78" i="3"/>
  <c r="AE78" i="3"/>
  <c r="AC78" i="3"/>
  <c r="N78" i="3"/>
  <c r="AA78" i="3"/>
  <c r="N77" i="2"/>
  <c r="AA77" i="2"/>
  <c r="AB77" i="2"/>
  <c r="AF77" i="2"/>
  <c r="AE77" i="2"/>
  <c r="AD77" i="2"/>
  <c r="AC77" i="2"/>
  <c r="G76" i="2"/>
  <c r="V77" i="2"/>
  <c r="K77" i="2"/>
  <c r="L77" i="2"/>
  <c r="O77" i="2"/>
  <c r="T77" i="2"/>
  <c r="S77" i="2"/>
  <c r="U77" i="2"/>
  <c r="I78" i="2"/>
  <c r="R77" i="2"/>
  <c r="Q77" i="2"/>
  <c r="T79" i="5" l="1"/>
  <c r="V79" i="5"/>
  <c r="I80" i="5"/>
  <c r="U79" i="5"/>
  <c r="S79" i="5"/>
  <c r="R79" i="5"/>
  <c r="AB79" i="5"/>
  <c r="AA79" i="5"/>
  <c r="Y79" i="5"/>
  <c r="X79" i="5"/>
  <c r="K79" i="5"/>
  <c r="AE79" i="5"/>
  <c r="AC79" i="5"/>
  <c r="AF79" i="5"/>
  <c r="AD79" i="5"/>
  <c r="Q79" i="5"/>
  <c r="O79" i="5"/>
  <c r="N79" i="5"/>
  <c r="L79" i="5"/>
  <c r="N78" i="4"/>
  <c r="J78" i="4"/>
  <c r="I78" i="4"/>
  <c r="H78" i="4"/>
  <c r="M78" i="4"/>
  <c r="L78" i="4"/>
  <c r="K78" i="4"/>
  <c r="G78" i="4"/>
  <c r="F78" i="4"/>
  <c r="E78" i="4"/>
  <c r="Q78" i="4"/>
  <c r="D79" i="4"/>
  <c r="R79" i="3"/>
  <c r="AD79" i="3"/>
  <c r="AB79" i="3"/>
  <c r="O79" i="3"/>
  <c r="L79" i="3"/>
  <c r="AA79" i="3"/>
  <c r="K79" i="3"/>
  <c r="G79" i="3" s="1"/>
  <c r="Q79" i="3"/>
  <c r="V79" i="3"/>
  <c r="I80" i="3"/>
  <c r="U79" i="3"/>
  <c r="AF79" i="3"/>
  <c r="AE79" i="3"/>
  <c r="X79" i="3"/>
  <c r="AC79" i="3"/>
  <c r="N79" i="3"/>
  <c r="T79" i="3"/>
  <c r="Y79" i="3"/>
  <c r="S79" i="3"/>
  <c r="G78" i="3"/>
  <c r="N78" i="2"/>
  <c r="AA78" i="2"/>
  <c r="AE78" i="2"/>
  <c r="AF78" i="2"/>
  <c r="AD78" i="2"/>
  <c r="AC78" i="2"/>
  <c r="AB78" i="2"/>
  <c r="G77" i="2"/>
  <c r="V78" i="2"/>
  <c r="U78" i="2"/>
  <c r="L78" i="2"/>
  <c r="R78" i="2"/>
  <c r="Q78" i="2"/>
  <c r="I79" i="2"/>
  <c r="K78" i="2"/>
  <c r="O78" i="2"/>
  <c r="T78" i="2"/>
  <c r="S78" i="2"/>
  <c r="I81" i="5" l="1"/>
  <c r="V80" i="5"/>
  <c r="AB80" i="5"/>
  <c r="K80" i="5"/>
  <c r="AA80" i="5"/>
  <c r="Y80" i="5"/>
  <c r="X80" i="5"/>
  <c r="U80" i="5"/>
  <c r="T80" i="5"/>
  <c r="S80" i="5"/>
  <c r="R80" i="5"/>
  <c r="Q80" i="5"/>
  <c r="O80" i="5"/>
  <c r="N80" i="5"/>
  <c r="L80" i="5"/>
  <c r="AC80" i="5"/>
  <c r="AD80" i="5"/>
  <c r="AF80" i="5"/>
  <c r="AE80" i="5"/>
  <c r="N79" i="4"/>
  <c r="M79" i="4"/>
  <c r="I79" i="4"/>
  <c r="H79" i="4"/>
  <c r="G79" i="4"/>
  <c r="Q79" i="4" s="1"/>
  <c r="D80" i="4"/>
  <c r="L79" i="4"/>
  <c r="J79" i="4"/>
  <c r="F79" i="4"/>
  <c r="K79" i="4"/>
  <c r="E79" i="4"/>
  <c r="AE80" i="3"/>
  <c r="U80" i="3"/>
  <c r="Q80" i="3"/>
  <c r="I81" i="3"/>
  <c r="X80" i="3"/>
  <c r="AC80" i="3"/>
  <c r="N80" i="3"/>
  <c r="S80" i="3"/>
  <c r="R80" i="3"/>
  <c r="K80" i="3"/>
  <c r="L80" i="3"/>
  <c r="AF80" i="3"/>
  <c r="AB80" i="3"/>
  <c r="AA80" i="3"/>
  <c r="Y80" i="3"/>
  <c r="AD80" i="3"/>
  <c r="O80" i="3"/>
  <c r="V80" i="3"/>
  <c r="T80" i="3"/>
  <c r="N79" i="2"/>
  <c r="AA79" i="2"/>
  <c r="AB79" i="2"/>
  <c r="AF79" i="2"/>
  <c r="AE79" i="2"/>
  <c r="AD79" i="2"/>
  <c r="AC79" i="2"/>
  <c r="G78" i="2"/>
  <c r="U79" i="2"/>
  <c r="T79" i="2"/>
  <c r="Q79" i="2"/>
  <c r="V79" i="2"/>
  <c r="S79" i="2"/>
  <c r="K79" i="2"/>
  <c r="O79" i="2"/>
  <c r="I80" i="2"/>
  <c r="L79" i="2"/>
  <c r="R79" i="2"/>
  <c r="Y81" i="5" l="1"/>
  <c r="AF81" i="5"/>
  <c r="Q81" i="5"/>
  <c r="AE81" i="5"/>
  <c r="O81" i="5"/>
  <c r="AD81" i="5"/>
  <c r="N81" i="5"/>
  <c r="AC81" i="5"/>
  <c r="L81" i="5"/>
  <c r="U81" i="5"/>
  <c r="T81" i="5"/>
  <c r="S81" i="5"/>
  <c r="R81" i="5"/>
  <c r="AB81" i="5"/>
  <c r="AA81" i="5"/>
  <c r="X81" i="5"/>
  <c r="V81" i="5"/>
  <c r="I82" i="5"/>
  <c r="K81" i="5"/>
  <c r="M80" i="4"/>
  <c r="L80" i="4"/>
  <c r="H80" i="4"/>
  <c r="G80" i="4"/>
  <c r="F80" i="4"/>
  <c r="I80" i="4"/>
  <c r="E80" i="4"/>
  <c r="Q80" i="4"/>
  <c r="D81" i="4"/>
  <c r="N80" i="4"/>
  <c r="K80" i="4"/>
  <c r="J80" i="4"/>
  <c r="G80" i="3"/>
  <c r="S81" i="3"/>
  <c r="T81" i="3"/>
  <c r="AF81" i="3"/>
  <c r="N81" i="3"/>
  <c r="I82" i="3"/>
  <c r="Q81" i="3"/>
  <c r="AB81" i="3"/>
  <c r="AD81" i="3"/>
  <c r="AA81" i="3"/>
  <c r="U81" i="3"/>
  <c r="AC81" i="3"/>
  <c r="Y81" i="3"/>
  <c r="V81" i="3"/>
  <c r="R81" i="3"/>
  <c r="AE81" i="3"/>
  <c r="L81" i="3"/>
  <c r="K81" i="3"/>
  <c r="X81" i="3"/>
  <c r="O81" i="3"/>
  <c r="G81" i="3"/>
  <c r="N80" i="2"/>
  <c r="AA80" i="2"/>
  <c r="G79" i="2"/>
  <c r="AF80" i="2"/>
  <c r="AE80" i="2"/>
  <c r="AD80" i="2"/>
  <c r="AC80" i="2"/>
  <c r="AB80" i="2"/>
  <c r="T80" i="2"/>
  <c r="S80" i="2"/>
  <c r="R80" i="2"/>
  <c r="V80" i="2"/>
  <c r="Q80" i="2"/>
  <c r="L80" i="2"/>
  <c r="U80" i="2"/>
  <c r="K80" i="2"/>
  <c r="O80" i="2"/>
  <c r="I81" i="2"/>
  <c r="AB82" i="5" l="1"/>
  <c r="L82" i="5"/>
  <c r="I83" i="5"/>
  <c r="U82" i="5"/>
  <c r="T82" i="5"/>
  <c r="S82" i="5"/>
  <c r="R82" i="5"/>
  <c r="Q82" i="5"/>
  <c r="O82" i="5"/>
  <c r="N82" i="5"/>
  <c r="K82" i="5"/>
  <c r="AF82" i="5"/>
  <c r="AE82" i="5"/>
  <c r="AD82" i="5"/>
  <c r="AC82" i="5"/>
  <c r="Y82" i="5"/>
  <c r="V82" i="5"/>
  <c r="AA82" i="5"/>
  <c r="X82" i="5"/>
  <c r="L81" i="4"/>
  <c r="K81" i="4"/>
  <c r="G81" i="4"/>
  <c r="Q81" i="4" s="1"/>
  <c r="F81" i="4"/>
  <c r="D82" i="4"/>
  <c r="E81" i="4"/>
  <c r="N81" i="4"/>
  <c r="M81" i="4"/>
  <c r="J81" i="4"/>
  <c r="I81" i="4"/>
  <c r="H81" i="4"/>
  <c r="Q82" i="3"/>
  <c r="AF82" i="3"/>
  <c r="L82" i="3"/>
  <c r="K82" i="3"/>
  <c r="AE82" i="3"/>
  <c r="I83" i="3"/>
  <c r="U82" i="3"/>
  <c r="N82" i="3"/>
  <c r="T82" i="3"/>
  <c r="X82" i="3"/>
  <c r="O82" i="3"/>
  <c r="S82" i="3"/>
  <c r="AB82" i="3"/>
  <c r="Y82" i="3"/>
  <c r="R82" i="3"/>
  <c r="V82" i="3"/>
  <c r="AC82" i="3"/>
  <c r="AD82" i="3"/>
  <c r="AA82" i="3"/>
  <c r="G82" i="3"/>
  <c r="N81" i="2"/>
  <c r="AA81" i="2"/>
  <c r="G80" i="2"/>
  <c r="AB81" i="2"/>
  <c r="AF81" i="2"/>
  <c r="AE81" i="2"/>
  <c r="AD81" i="2"/>
  <c r="AC81" i="2"/>
  <c r="S81" i="2"/>
  <c r="R81" i="2"/>
  <c r="U81" i="2"/>
  <c r="I82" i="2"/>
  <c r="V81" i="2"/>
  <c r="T81" i="2"/>
  <c r="Q81" i="2"/>
  <c r="K81" i="2"/>
  <c r="O81" i="2"/>
  <c r="L81" i="2"/>
  <c r="AD83" i="5" l="1"/>
  <c r="O83" i="5"/>
  <c r="AA83" i="5"/>
  <c r="Y83" i="5"/>
  <c r="X83" i="5"/>
  <c r="V83" i="5"/>
  <c r="I84" i="5"/>
  <c r="Q83" i="5"/>
  <c r="N83" i="5"/>
  <c r="L83" i="5"/>
  <c r="K83" i="5"/>
  <c r="AE83" i="5"/>
  <c r="AB83" i="5"/>
  <c r="S83" i="5"/>
  <c r="R83" i="5"/>
  <c r="AF83" i="5"/>
  <c r="AC83" i="5"/>
  <c r="U83" i="5"/>
  <c r="T83" i="5"/>
  <c r="K82" i="4"/>
  <c r="J82" i="4"/>
  <c r="F82" i="4"/>
  <c r="D83" i="4"/>
  <c r="E82" i="4"/>
  <c r="N82" i="4"/>
  <c r="L82" i="4"/>
  <c r="I82" i="4"/>
  <c r="M82" i="4"/>
  <c r="H82" i="4"/>
  <c r="Q82" i="4" s="1"/>
  <c r="G82" i="4"/>
  <c r="AB83" i="3"/>
  <c r="AF83" i="3"/>
  <c r="AE83" i="3"/>
  <c r="AA83" i="3"/>
  <c r="AD83" i="3"/>
  <c r="Y83" i="3"/>
  <c r="I84" i="3"/>
  <c r="R83" i="3"/>
  <c r="Q83" i="3"/>
  <c r="N83" i="3"/>
  <c r="O83" i="3"/>
  <c r="V83" i="3"/>
  <c r="U83" i="3"/>
  <c r="S83" i="3"/>
  <c r="K83" i="3"/>
  <c r="AC83" i="3"/>
  <c r="X83" i="3"/>
  <c r="T83" i="3"/>
  <c r="L83" i="3"/>
  <c r="G83" i="3"/>
  <c r="N82" i="2"/>
  <c r="AA82" i="2"/>
  <c r="AF82" i="2"/>
  <c r="AE82" i="2"/>
  <c r="AD82" i="2"/>
  <c r="AC82" i="2"/>
  <c r="AB82" i="2"/>
  <c r="G81" i="2"/>
  <c r="R82" i="2"/>
  <c r="Q82" i="2"/>
  <c r="V82" i="2"/>
  <c r="K82" i="2"/>
  <c r="O82" i="2"/>
  <c r="U82" i="2"/>
  <c r="S82" i="2"/>
  <c r="T82" i="2"/>
  <c r="L82" i="2"/>
  <c r="I83" i="2"/>
  <c r="AF84" i="5" l="1"/>
  <c r="R84" i="5"/>
  <c r="AE84" i="5"/>
  <c r="Q84" i="5"/>
  <c r="AD84" i="5"/>
  <c r="O84" i="5"/>
  <c r="I85" i="5"/>
  <c r="S84" i="5"/>
  <c r="N84" i="5"/>
  <c r="L84" i="5"/>
  <c r="K84" i="5"/>
  <c r="X84" i="5"/>
  <c r="V84" i="5"/>
  <c r="U84" i="5"/>
  <c r="T84" i="5"/>
  <c r="AC84" i="5"/>
  <c r="AB84" i="5"/>
  <c r="AA84" i="5"/>
  <c r="Y84" i="5"/>
  <c r="J83" i="4"/>
  <c r="I83" i="4"/>
  <c r="D84" i="4"/>
  <c r="E83" i="4"/>
  <c r="K83" i="4"/>
  <c r="H83" i="4"/>
  <c r="G83" i="4"/>
  <c r="Q83" i="4" s="1"/>
  <c r="F83" i="4"/>
  <c r="L83" i="4"/>
  <c r="M83" i="4"/>
  <c r="N83" i="4"/>
  <c r="U84" i="3"/>
  <c r="T84" i="3"/>
  <c r="I85" i="3"/>
  <c r="V84" i="3"/>
  <c r="K84" i="3"/>
  <c r="AF84" i="3"/>
  <c r="AA84" i="3"/>
  <c r="Q84" i="3"/>
  <c r="AE84" i="3"/>
  <c r="R84" i="3"/>
  <c r="O84" i="3"/>
  <c r="L84" i="3"/>
  <c r="AD84" i="3"/>
  <c r="AB84" i="3"/>
  <c r="N84" i="3"/>
  <c r="AC84" i="3"/>
  <c r="X84" i="3"/>
  <c r="S84" i="3"/>
  <c r="Y84" i="3"/>
  <c r="N83" i="2"/>
  <c r="AA83" i="2"/>
  <c r="AB83" i="2"/>
  <c r="AF83" i="2"/>
  <c r="AE83" i="2"/>
  <c r="AD83" i="2"/>
  <c r="AC83" i="2"/>
  <c r="G82" i="2"/>
  <c r="Q83" i="2"/>
  <c r="L83" i="2"/>
  <c r="K83" i="2"/>
  <c r="G83" i="2" s="1"/>
  <c r="O83" i="2"/>
  <c r="U83" i="2"/>
  <c r="S83" i="2"/>
  <c r="R83" i="2"/>
  <c r="T83" i="2"/>
  <c r="I84" i="2"/>
  <c r="V83" i="2"/>
  <c r="T85" i="5" l="1"/>
  <c r="S85" i="5"/>
  <c r="AF85" i="5"/>
  <c r="R85" i="5"/>
  <c r="AC85" i="5"/>
  <c r="AB85" i="5"/>
  <c r="AA85" i="5"/>
  <c r="Y85" i="5"/>
  <c r="O85" i="5"/>
  <c r="N85" i="5"/>
  <c r="L85" i="5"/>
  <c r="K85" i="5"/>
  <c r="I86" i="5"/>
  <c r="AE85" i="5"/>
  <c r="AD85" i="5"/>
  <c r="V85" i="5"/>
  <c r="Q85" i="5"/>
  <c r="X85" i="5"/>
  <c r="U85" i="5"/>
  <c r="I84" i="4"/>
  <c r="H84" i="4"/>
  <c r="Q84" i="4" s="1"/>
  <c r="N84" i="4"/>
  <c r="D85" i="4"/>
  <c r="M84" i="4"/>
  <c r="L84" i="4"/>
  <c r="K84" i="4"/>
  <c r="J84" i="4"/>
  <c r="F84" i="4"/>
  <c r="E84" i="4"/>
  <c r="G84" i="4"/>
  <c r="G84" i="3"/>
  <c r="U85" i="3"/>
  <c r="X85" i="3"/>
  <c r="T85" i="3"/>
  <c r="N85" i="3"/>
  <c r="AB85" i="3"/>
  <c r="AD85" i="3"/>
  <c r="AA85" i="3"/>
  <c r="V85" i="3"/>
  <c r="O85" i="3"/>
  <c r="K85" i="3"/>
  <c r="Y85" i="3"/>
  <c r="AC85" i="3"/>
  <c r="S85" i="3"/>
  <c r="AF85" i="3"/>
  <c r="L85" i="3"/>
  <c r="R85" i="3"/>
  <c r="Q85" i="3"/>
  <c r="AE85" i="3"/>
  <c r="I86" i="3"/>
  <c r="N84" i="2"/>
  <c r="AA84" i="2"/>
  <c r="AF84" i="2"/>
  <c r="AE84" i="2"/>
  <c r="AD84" i="2"/>
  <c r="AC84" i="2"/>
  <c r="AB84" i="2"/>
  <c r="L84" i="2"/>
  <c r="K84" i="2"/>
  <c r="S84" i="2"/>
  <c r="R84" i="2"/>
  <c r="V84" i="2"/>
  <c r="I85" i="2"/>
  <c r="U84" i="2"/>
  <c r="Q84" i="2"/>
  <c r="O84" i="2"/>
  <c r="T84" i="2"/>
  <c r="I87" i="5" l="1"/>
  <c r="V86" i="5"/>
  <c r="U86" i="5"/>
  <c r="T86" i="5"/>
  <c r="X86" i="5"/>
  <c r="S86" i="5"/>
  <c r="R86" i="5"/>
  <c r="Q86" i="5"/>
  <c r="O86" i="5"/>
  <c r="N86" i="5"/>
  <c r="L86" i="5"/>
  <c r="K86" i="5"/>
  <c r="AF86" i="5"/>
  <c r="AD86" i="5"/>
  <c r="Y86" i="5"/>
  <c r="AA86" i="5"/>
  <c r="AE86" i="5"/>
  <c r="AC86" i="5"/>
  <c r="AB86" i="5"/>
  <c r="H85" i="4"/>
  <c r="G85" i="4"/>
  <c r="N85" i="4"/>
  <c r="M85" i="4"/>
  <c r="E85" i="4"/>
  <c r="D86" i="4"/>
  <c r="Q85" i="4"/>
  <c r="L85" i="4"/>
  <c r="K85" i="4"/>
  <c r="J85" i="4"/>
  <c r="I85" i="4"/>
  <c r="F85" i="4"/>
  <c r="G85" i="3"/>
  <c r="L86" i="3"/>
  <c r="AF86" i="3"/>
  <c r="AA86" i="3"/>
  <c r="K86" i="3"/>
  <c r="AE86" i="3"/>
  <c r="X86" i="3"/>
  <c r="T86" i="3"/>
  <c r="S86" i="3"/>
  <c r="V86" i="3"/>
  <c r="U86" i="3"/>
  <c r="I87" i="3"/>
  <c r="O86" i="3"/>
  <c r="N86" i="3"/>
  <c r="Y86" i="3"/>
  <c r="AD86" i="3"/>
  <c r="AC86" i="3"/>
  <c r="R86" i="3"/>
  <c r="Q86" i="3"/>
  <c r="AB86" i="3"/>
  <c r="G86" i="3"/>
  <c r="N85" i="2"/>
  <c r="AA85" i="2"/>
  <c r="AB85" i="2"/>
  <c r="AF85" i="2"/>
  <c r="AE85" i="2"/>
  <c r="AC85" i="2"/>
  <c r="AD85" i="2"/>
  <c r="G84" i="2"/>
  <c r="K85" i="2"/>
  <c r="O85" i="2"/>
  <c r="I86" i="2"/>
  <c r="U85" i="2"/>
  <c r="T85" i="2"/>
  <c r="V85" i="2"/>
  <c r="S85" i="2"/>
  <c r="Q85" i="2"/>
  <c r="L85" i="2"/>
  <c r="R85" i="2"/>
  <c r="Y87" i="5" l="1"/>
  <c r="X87" i="5"/>
  <c r="I88" i="5"/>
  <c r="V87" i="5"/>
  <c r="O87" i="5"/>
  <c r="AF87" i="5"/>
  <c r="N87" i="5"/>
  <c r="AE87" i="5"/>
  <c r="L87" i="5"/>
  <c r="AD87" i="5"/>
  <c r="K87" i="5"/>
  <c r="T87" i="5"/>
  <c r="S87" i="5"/>
  <c r="R87" i="5"/>
  <c r="Q87" i="5"/>
  <c r="AC87" i="5"/>
  <c r="AB87" i="5"/>
  <c r="AA87" i="5"/>
  <c r="U87" i="5"/>
  <c r="G86" i="4"/>
  <c r="F86" i="4"/>
  <c r="N86" i="4"/>
  <c r="M86" i="4"/>
  <c r="L86" i="4"/>
  <c r="K86" i="4"/>
  <c r="J86" i="4"/>
  <c r="I86" i="4"/>
  <c r="H86" i="4"/>
  <c r="Q86" i="4" s="1"/>
  <c r="E86" i="4"/>
  <c r="D87" i="4"/>
  <c r="AD87" i="3"/>
  <c r="T87" i="3"/>
  <c r="O87" i="3"/>
  <c r="S87" i="3"/>
  <c r="AA87" i="3"/>
  <c r="AE87" i="3"/>
  <c r="N87" i="3"/>
  <c r="Y87" i="3"/>
  <c r="AC87" i="3"/>
  <c r="X87" i="3"/>
  <c r="L87" i="3"/>
  <c r="G87" i="3" s="1"/>
  <c r="R87" i="3"/>
  <c r="AF87" i="3"/>
  <c r="AB87" i="3"/>
  <c r="Q87" i="3"/>
  <c r="V87" i="3"/>
  <c r="I88" i="3"/>
  <c r="K87" i="3"/>
  <c r="U87" i="3"/>
  <c r="N86" i="2"/>
  <c r="AA86" i="2"/>
  <c r="AF86" i="2"/>
  <c r="AE86" i="2"/>
  <c r="AD86" i="2"/>
  <c r="AB86" i="2"/>
  <c r="AC86" i="2"/>
  <c r="G85" i="2"/>
  <c r="O86" i="2"/>
  <c r="I87" i="2"/>
  <c r="V86" i="2"/>
  <c r="S86" i="2"/>
  <c r="Q86" i="2"/>
  <c r="L86" i="2"/>
  <c r="R86" i="2"/>
  <c r="U86" i="2"/>
  <c r="T86" i="2"/>
  <c r="K86" i="2"/>
  <c r="G86" i="2" s="1"/>
  <c r="AB88" i="5" l="1"/>
  <c r="L88" i="5"/>
  <c r="AA88" i="5"/>
  <c r="K88" i="5"/>
  <c r="Y88" i="5"/>
  <c r="AC88" i="5"/>
  <c r="X88" i="5"/>
  <c r="V88" i="5"/>
  <c r="U88" i="5"/>
  <c r="T88" i="5"/>
  <c r="S88" i="5"/>
  <c r="R88" i="5"/>
  <c r="Q88" i="5"/>
  <c r="I89" i="5"/>
  <c r="AF88" i="5"/>
  <c r="AD88" i="5"/>
  <c r="AE88" i="5"/>
  <c r="O88" i="5"/>
  <c r="N88" i="5"/>
  <c r="F87" i="4"/>
  <c r="D88" i="4"/>
  <c r="E87" i="4"/>
  <c r="M87" i="4"/>
  <c r="L87" i="4"/>
  <c r="K87" i="4"/>
  <c r="N87" i="4"/>
  <c r="J87" i="4"/>
  <c r="I87" i="4"/>
  <c r="H87" i="4"/>
  <c r="Q87" i="4" s="1"/>
  <c r="G87" i="4"/>
  <c r="I89" i="3"/>
  <c r="AB88" i="3"/>
  <c r="U88" i="3"/>
  <c r="Y88" i="3"/>
  <c r="T88" i="3"/>
  <c r="X88" i="3"/>
  <c r="K88" i="3"/>
  <c r="AD88" i="3"/>
  <c r="V88" i="3"/>
  <c r="AC88" i="3"/>
  <c r="Q88" i="3"/>
  <c r="O88" i="3"/>
  <c r="R88" i="3"/>
  <c r="AA88" i="3"/>
  <c r="S88" i="3"/>
  <c r="N88" i="3"/>
  <c r="L88" i="3"/>
  <c r="AF88" i="3"/>
  <c r="AE88" i="3"/>
  <c r="G88" i="3"/>
  <c r="N87" i="2"/>
  <c r="AA87" i="2"/>
  <c r="AB87" i="2"/>
  <c r="AF87" i="2"/>
  <c r="AE87" i="2"/>
  <c r="AD87" i="2"/>
  <c r="AC87" i="2"/>
  <c r="I88" i="2"/>
  <c r="K87" i="2"/>
  <c r="U87" i="2"/>
  <c r="T87" i="2"/>
  <c r="V87" i="2"/>
  <c r="O87" i="2"/>
  <c r="L87" i="2"/>
  <c r="S87" i="2"/>
  <c r="R87" i="2"/>
  <c r="Q87" i="2"/>
  <c r="AD89" i="5" l="1"/>
  <c r="O89" i="5"/>
  <c r="AC89" i="5"/>
  <c r="N89" i="5"/>
  <c r="AB89" i="5"/>
  <c r="L89" i="5"/>
  <c r="T89" i="5"/>
  <c r="I90" i="5"/>
  <c r="S89" i="5"/>
  <c r="R89" i="5"/>
  <c r="Q89" i="5"/>
  <c r="Y89" i="5"/>
  <c r="X89" i="5"/>
  <c r="V89" i="5"/>
  <c r="U89" i="5"/>
  <c r="K89" i="5"/>
  <c r="AE89" i="5"/>
  <c r="AA89" i="5"/>
  <c r="AF89" i="5"/>
  <c r="D89" i="4"/>
  <c r="E88" i="4"/>
  <c r="L88" i="4"/>
  <c r="K88" i="4"/>
  <c r="J88" i="4"/>
  <c r="G88" i="4"/>
  <c r="Q88" i="4" s="1"/>
  <c r="F88" i="4"/>
  <c r="N88" i="4"/>
  <c r="M88" i="4"/>
  <c r="I88" i="4"/>
  <c r="H88" i="4"/>
  <c r="Y89" i="3"/>
  <c r="K89" i="3"/>
  <c r="X89" i="3"/>
  <c r="R89" i="3"/>
  <c r="AB89" i="3"/>
  <c r="AC89" i="3"/>
  <c r="V89" i="3"/>
  <c r="AF89" i="3"/>
  <c r="Q89" i="3"/>
  <c r="AD89" i="3"/>
  <c r="O89" i="3"/>
  <c r="N89" i="3"/>
  <c r="I90" i="3"/>
  <c r="L89" i="3"/>
  <c r="AE89" i="3"/>
  <c r="U89" i="3"/>
  <c r="AA89" i="3"/>
  <c r="S89" i="3"/>
  <c r="T89" i="3"/>
  <c r="G89" i="3"/>
  <c r="N88" i="2"/>
  <c r="AA88" i="2"/>
  <c r="AF88" i="2"/>
  <c r="AE88" i="2"/>
  <c r="AD88" i="2"/>
  <c r="AC88" i="2"/>
  <c r="AB88" i="2"/>
  <c r="G87" i="2"/>
  <c r="L88" i="2"/>
  <c r="O88" i="2"/>
  <c r="I89" i="2"/>
  <c r="U88" i="2"/>
  <c r="T88" i="2"/>
  <c r="V88" i="2"/>
  <c r="S88" i="2"/>
  <c r="R88" i="2"/>
  <c r="Q88" i="2"/>
  <c r="K88" i="2"/>
  <c r="AF90" i="5" l="1"/>
  <c r="R90" i="5"/>
  <c r="AE90" i="5"/>
  <c r="Q90" i="5"/>
  <c r="AD90" i="5"/>
  <c r="O90" i="5"/>
  <c r="K90" i="5"/>
  <c r="AC90" i="5"/>
  <c r="AB90" i="5"/>
  <c r="AA90" i="5"/>
  <c r="Y90" i="5"/>
  <c r="X90" i="5"/>
  <c r="V90" i="5"/>
  <c r="U90" i="5"/>
  <c r="I91" i="5"/>
  <c r="S90" i="5"/>
  <c r="L90" i="5"/>
  <c r="T90" i="5"/>
  <c r="N90" i="5"/>
  <c r="K89" i="4"/>
  <c r="J89" i="4"/>
  <c r="I89" i="4"/>
  <c r="N89" i="4"/>
  <c r="G89" i="4"/>
  <c r="Q89" i="4" s="1"/>
  <c r="M89" i="4"/>
  <c r="L89" i="4"/>
  <c r="H89" i="4"/>
  <c r="F89" i="4"/>
  <c r="E89" i="4"/>
  <c r="D90" i="4"/>
  <c r="I91" i="3"/>
  <c r="K90" i="3"/>
  <c r="AD90" i="3"/>
  <c r="U90" i="3"/>
  <c r="Y90" i="3"/>
  <c r="AB90" i="3"/>
  <c r="O90" i="3"/>
  <c r="S90" i="3"/>
  <c r="T90" i="3"/>
  <c r="L90" i="3"/>
  <c r="G90" i="3" s="1"/>
  <c r="V90" i="3"/>
  <c r="Q90" i="3"/>
  <c r="AA90" i="3"/>
  <c r="AC90" i="3"/>
  <c r="N90" i="3"/>
  <c r="R90" i="3"/>
  <c r="AF90" i="3"/>
  <c r="AE90" i="3"/>
  <c r="X90" i="3"/>
  <c r="N89" i="2"/>
  <c r="AA89" i="2"/>
  <c r="AB89" i="2"/>
  <c r="AF89" i="2"/>
  <c r="AE89" i="2"/>
  <c r="AD89" i="2"/>
  <c r="AC89" i="2"/>
  <c r="G88" i="2"/>
  <c r="V89" i="2"/>
  <c r="Q89" i="2"/>
  <c r="L89" i="2"/>
  <c r="K89" i="2"/>
  <c r="S89" i="2"/>
  <c r="O89" i="2"/>
  <c r="R89" i="2"/>
  <c r="I90" i="2"/>
  <c r="U89" i="2"/>
  <c r="T89" i="2"/>
  <c r="T91" i="5" l="1"/>
  <c r="S91" i="5"/>
  <c r="AF91" i="5"/>
  <c r="R91" i="5"/>
  <c r="AE91" i="5"/>
  <c r="Y91" i="5"/>
  <c r="X91" i="5"/>
  <c r="V91" i="5"/>
  <c r="U91" i="5"/>
  <c r="AD91" i="5"/>
  <c r="AC91" i="5"/>
  <c r="AB91" i="5"/>
  <c r="AA91" i="5"/>
  <c r="K91" i="5"/>
  <c r="I92" i="5"/>
  <c r="Q91" i="5"/>
  <c r="O91" i="5"/>
  <c r="N91" i="5"/>
  <c r="L91" i="5"/>
  <c r="N90" i="4"/>
  <c r="J90" i="4"/>
  <c r="I90" i="4"/>
  <c r="H90" i="4"/>
  <c r="D91" i="4"/>
  <c r="M90" i="4"/>
  <c r="L90" i="4"/>
  <c r="K90" i="4"/>
  <c r="G90" i="4"/>
  <c r="Q90" i="4" s="1"/>
  <c r="F90" i="4"/>
  <c r="E90" i="4"/>
  <c r="Y91" i="3"/>
  <c r="AF91" i="3"/>
  <c r="X91" i="3"/>
  <c r="T91" i="3"/>
  <c r="AA91" i="3"/>
  <c r="K91" i="3"/>
  <c r="V91" i="3"/>
  <c r="AE91" i="3"/>
  <c r="U91" i="3"/>
  <c r="AD91" i="3"/>
  <c r="R91" i="3"/>
  <c r="AC91" i="3"/>
  <c r="I92" i="3"/>
  <c r="AB91" i="3"/>
  <c r="O91" i="3"/>
  <c r="N91" i="3"/>
  <c r="L91" i="3"/>
  <c r="Q91" i="3"/>
  <c r="S91" i="3"/>
  <c r="G91" i="3"/>
  <c r="N90" i="2"/>
  <c r="AA90" i="2"/>
  <c r="G89" i="2"/>
  <c r="AF90" i="2"/>
  <c r="AE90" i="2"/>
  <c r="AD90" i="2"/>
  <c r="AC90" i="2"/>
  <c r="AB90" i="2"/>
  <c r="V90" i="2"/>
  <c r="U90" i="2"/>
  <c r="R90" i="2"/>
  <c r="S90" i="2"/>
  <c r="Q90" i="2"/>
  <c r="I91" i="2"/>
  <c r="T90" i="2"/>
  <c r="L90" i="2"/>
  <c r="O90" i="2"/>
  <c r="K90" i="2"/>
  <c r="I93" i="5" l="1"/>
  <c r="V92" i="5"/>
  <c r="U92" i="5"/>
  <c r="T92" i="5"/>
  <c r="S92" i="5"/>
  <c r="R92" i="5"/>
  <c r="Q92" i="5"/>
  <c r="O92" i="5"/>
  <c r="N92" i="5"/>
  <c r="AF92" i="5"/>
  <c r="AE92" i="5"/>
  <c r="AD92" i="5"/>
  <c r="AC92" i="5"/>
  <c r="AB92" i="5"/>
  <c r="AA92" i="5"/>
  <c r="Y92" i="5"/>
  <c r="X92" i="5"/>
  <c r="K92" i="5"/>
  <c r="L92" i="5"/>
  <c r="N91" i="4"/>
  <c r="M91" i="4"/>
  <c r="I91" i="4"/>
  <c r="H91" i="4"/>
  <c r="G91" i="4"/>
  <c r="J91" i="4"/>
  <c r="F91" i="4"/>
  <c r="E91" i="4"/>
  <c r="D92" i="4"/>
  <c r="Q91" i="4"/>
  <c r="L91" i="4"/>
  <c r="K91" i="4"/>
  <c r="AB92" i="3"/>
  <c r="T92" i="3"/>
  <c r="L92" i="3"/>
  <c r="S92" i="3"/>
  <c r="AD92" i="3"/>
  <c r="V92" i="3"/>
  <c r="N92" i="3"/>
  <c r="I93" i="3"/>
  <c r="AA92" i="3"/>
  <c r="O92" i="3"/>
  <c r="R92" i="3"/>
  <c r="U92" i="3"/>
  <c r="K92" i="3"/>
  <c r="Y92" i="3"/>
  <c r="Q92" i="3"/>
  <c r="X92" i="3"/>
  <c r="AF92" i="3"/>
  <c r="AC92" i="3"/>
  <c r="AE92" i="3"/>
  <c r="G92" i="3"/>
  <c r="N91" i="2"/>
  <c r="AA91" i="2"/>
  <c r="AB91" i="2"/>
  <c r="AF91" i="2"/>
  <c r="AE91" i="2"/>
  <c r="AD91" i="2"/>
  <c r="AC91" i="2"/>
  <c r="G90" i="2"/>
  <c r="U91" i="2"/>
  <c r="T91" i="2"/>
  <c r="S91" i="2"/>
  <c r="V91" i="2"/>
  <c r="L91" i="2"/>
  <c r="O91" i="2"/>
  <c r="K91" i="2"/>
  <c r="I92" i="2"/>
  <c r="R91" i="2"/>
  <c r="Q91" i="2"/>
  <c r="Y93" i="5" l="1"/>
  <c r="X93" i="5"/>
  <c r="I94" i="5"/>
  <c r="V93" i="5"/>
  <c r="U93" i="5"/>
  <c r="O93" i="5"/>
  <c r="N93" i="5"/>
  <c r="AF93" i="5"/>
  <c r="L93" i="5"/>
  <c r="AE93" i="5"/>
  <c r="K93" i="5"/>
  <c r="AC93" i="5"/>
  <c r="AA93" i="5"/>
  <c r="Q93" i="5"/>
  <c r="R93" i="5"/>
  <c r="AD93" i="5"/>
  <c r="AB93" i="5"/>
  <c r="T93" i="5"/>
  <c r="S93" i="5"/>
  <c r="M92" i="4"/>
  <c r="L92" i="4"/>
  <c r="H92" i="4"/>
  <c r="G92" i="4"/>
  <c r="F92" i="4"/>
  <c r="Q92" i="4"/>
  <c r="N92" i="4"/>
  <c r="J92" i="4"/>
  <c r="K92" i="4"/>
  <c r="I92" i="4"/>
  <c r="E92" i="4"/>
  <c r="D93" i="4"/>
  <c r="AC93" i="3"/>
  <c r="AF93" i="3"/>
  <c r="N93" i="3"/>
  <c r="AA93" i="3"/>
  <c r="S93" i="3"/>
  <c r="R93" i="3"/>
  <c r="Q93" i="3"/>
  <c r="AE93" i="3"/>
  <c r="X93" i="3"/>
  <c r="Y93" i="3"/>
  <c r="V93" i="3"/>
  <c r="AB93" i="3"/>
  <c r="U93" i="3"/>
  <c r="L93" i="3"/>
  <c r="K93" i="3"/>
  <c r="T93" i="3"/>
  <c r="AD93" i="3"/>
  <c r="I94" i="3"/>
  <c r="O93" i="3"/>
  <c r="G93" i="3"/>
  <c r="N92" i="2"/>
  <c r="AA92" i="2"/>
  <c r="G91" i="2"/>
  <c r="AF92" i="2"/>
  <c r="AE92" i="2"/>
  <c r="AD92" i="2"/>
  <c r="AC92" i="2"/>
  <c r="AB92" i="2"/>
  <c r="T92" i="2"/>
  <c r="S92" i="2"/>
  <c r="V92" i="2"/>
  <c r="I93" i="2"/>
  <c r="L92" i="2"/>
  <c r="O92" i="2"/>
  <c r="K92" i="2"/>
  <c r="U92" i="2"/>
  <c r="Q92" i="2"/>
  <c r="R92" i="2"/>
  <c r="AB94" i="5" l="1"/>
  <c r="L94" i="5"/>
  <c r="AA94" i="5"/>
  <c r="K94" i="5"/>
  <c r="Y94" i="5"/>
  <c r="X94" i="5"/>
  <c r="AF94" i="5"/>
  <c r="AE94" i="5"/>
  <c r="AD94" i="5"/>
  <c r="AC94" i="5"/>
  <c r="R94" i="5"/>
  <c r="Q94" i="5"/>
  <c r="O94" i="5"/>
  <c r="N94" i="5"/>
  <c r="V94" i="5"/>
  <c r="U94" i="5"/>
  <c r="T94" i="5"/>
  <c r="S94" i="5"/>
  <c r="I95" i="5"/>
  <c r="L93" i="4"/>
  <c r="K93" i="4"/>
  <c r="G93" i="4"/>
  <c r="F93" i="4"/>
  <c r="D94" i="4"/>
  <c r="E93" i="4"/>
  <c r="Q93" i="4"/>
  <c r="N93" i="4"/>
  <c r="M93" i="4"/>
  <c r="J93" i="4"/>
  <c r="I93" i="4"/>
  <c r="H93" i="4"/>
  <c r="R94" i="3"/>
  <c r="S94" i="3"/>
  <c r="AA94" i="3"/>
  <c r="Q94" i="3"/>
  <c r="Y94" i="3"/>
  <c r="AD94" i="3"/>
  <c r="AC94" i="3"/>
  <c r="K94" i="3"/>
  <c r="G94" i="3" s="1"/>
  <c r="AF94" i="3"/>
  <c r="T94" i="3"/>
  <c r="AE94" i="3"/>
  <c r="N94" i="3"/>
  <c r="AB94" i="3"/>
  <c r="V94" i="3"/>
  <c r="U94" i="3"/>
  <c r="X94" i="3"/>
  <c r="O94" i="3"/>
  <c r="L94" i="3"/>
  <c r="I95" i="3"/>
  <c r="N93" i="2"/>
  <c r="AA93" i="2"/>
  <c r="G92" i="2"/>
  <c r="AB93" i="2"/>
  <c r="AF93" i="2"/>
  <c r="AE93" i="2"/>
  <c r="AD93" i="2"/>
  <c r="AC93" i="2"/>
  <c r="S93" i="2"/>
  <c r="R93" i="2"/>
  <c r="V93" i="2"/>
  <c r="T93" i="2"/>
  <c r="Q93" i="2"/>
  <c r="U93" i="2"/>
  <c r="L93" i="2"/>
  <c r="O93" i="2"/>
  <c r="K93" i="2"/>
  <c r="I94" i="2"/>
  <c r="X95" i="5" l="1"/>
  <c r="AE95" i="5"/>
  <c r="O95" i="5"/>
  <c r="AD95" i="5"/>
  <c r="N95" i="5"/>
  <c r="AC95" i="5"/>
  <c r="L95" i="5"/>
  <c r="AB95" i="5"/>
  <c r="K95" i="5"/>
  <c r="AA95" i="5"/>
  <c r="Y95" i="5"/>
  <c r="V95" i="5"/>
  <c r="U95" i="5"/>
  <c r="T95" i="5"/>
  <c r="S95" i="5"/>
  <c r="R95" i="5"/>
  <c r="Q95" i="5"/>
  <c r="I96" i="5"/>
  <c r="AF95" i="5"/>
  <c r="K94" i="4"/>
  <c r="J94" i="4"/>
  <c r="F94" i="4"/>
  <c r="D95" i="4"/>
  <c r="E94" i="4"/>
  <c r="L94" i="4"/>
  <c r="I94" i="4"/>
  <c r="H94" i="4"/>
  <c r="G94" i="4"/>
  <c r="Q94" i="4" s="1"/>
  <c r="M94" i="4"/>
  <c r="N94" i="4"/>
  <c r="T95" i="3"/>
  <c r="K95" i="3"/>
  <c r="S95" i="3"/>
  <c r="AE95" i="3"/>
  <c r="AA95" i="3"/>
  <c r="AC95" i="3"/>
  <c r="N95" i="3"/>
  <c r="L95" i="3"/>
  <c r="G95" i="3" s="1"/>
  <c r="Y95" i="3"/>
  <c r="R95" i="3"/>
  <c r="X95" i="3"/>
  <c r="AF95" i="3"/>
  <c r="V95" i="3"/>
  <c r="AD95" i="3"/>
  <c r="U95" i="3"/>
  <c r="AB95" i="3"/>
  <c r="Q95" i="3"/>
  <c r="O95" i="3"/>
  <c r="I96" i="3"/>
  <c r="N94" i="2"/>
  <c r="AA94" i="2"/>
  <c r="G93" i="2"/>
  <c r="AF94" i="2"/>
  <c r="AE94" i="2"/>
  <c r="AD94" i="2"/>
  <c r="AC94" i="2"/>
  <c r="AB94" i="2"/>
  <c r="R94" i="2"/>
  <c r="Q94" i="2"/>
  <c r="O94" i="2"/>
  <c r="I95" i="2"/>
  <c r="V94" i="2"/>
  <c r="L94" i="2"/>
  <c r="U94" i="2"/>
  <c r="T94" i="2"/>
  <c r="S94" i="2"/>
  <c r="K94" i="2"/>
  <c r="AA96" i="5" l="1"/>
  <c r="K96" i="5"/>
  <c r="T96" i="5"/>
  <c r="S96" i="5"/>
  <c r="R96" i="5"/>
  <c r="AF96" i="5"/>
  <c r="Q96" i="5"/>
  <c r="Y96" i="5"/>
  <c r="X96" i="5"/>
  <c r="V96" i="5"/>
  <c r="U96" i="5"/>
  <c r="AE96" i="5"/>
  <c r="AD96" i="5"/>
  <c r="AC96" i="5"/>
  <c r="AB96" i="5"/>
  <c r="O96" i="5"/>
  <c r="N96" i="5"/>
  <c r="L96" i="5"/>
  <c r="I97" i="5"/>
  <c r="J95" i="4"/>
  <c r="I95" i="4"/>
  <c r="D96" i="4"/>
  <c r="E95" i="4"/>
  <c r="N95" i="4"/>
  <c r="M95" i="4"/>
  <c r="L95" i="4"/>
  <c r="K95" i="4"/>
  <c r="H95" i="4"/>
  <c r="G95" i="4"/>
  <c r="Q95" i="4" s="1"/>
  <c r="F95" i="4"/>
  <c r="AE96" i="3"/>
  <c r="AF96" i="3"/>
  <c r="AD96" i="3"/>
  <c r="O96" i="3"/>
  <c r="L96" i="3"/>
  <c r="Q96" i="3"/>
  <c r="K96" i="3"/>
  <c r="Y96" i="3"/>
  <c r="I97" i="3"/>
  <c r="V96" i="3"/>
  <c r="S96" i="3"/>
  <c r="U96" i="3"/>
  <c r="R96" i="3"/>
  <c r="N96" i="3"/>
  <c r="AB96" i="3"/>
  <c r="X96" i="3"/>
  <c r="AA96" i="3"/>
  <c r="T96" i="3"/>
  <c r="AC96" i="3"/>
  <c r="G96" i="3"/>
  <c r="N95" i="2"/>
  <c r="AA95" i="2"/>
  <c r="AB95" i="2"/>
  <c r="AF95" i="2"/>
  <c r="AE95" i="2"/>
  <c r="AD95" i="2"/>
  <c r="AC95" i="2"/>
  <c r="G94" i="2"/>
  <c r="Q95" i="2"/>
  <c r="L95" i="2"/>
  <c r="I96" i="2"/>
  <c r="R95" i="2"/>
  <c r="K95" i="2"/>
  <c r="O95" i="2"/>
  <c r="V95" i="2"/>
  <c r="T95" i="2"/>
  <c r="U95" i="2"/>
  <c r="S95" i="2"/>
  <c r="AC97" i="5" l="1"/>
  <c r="N97" i="5"/>
  <c r="Y97" i="5"/>
  <c r="X97" i="5"/>
  <c r="V97" i="5"/>
  <c r="I98" i="5"/>
  <c r="U97" i="5"/>
  <c r="T97" i="5"/>
  <c r="S97" i="5"/>
  <c r="R97" i="5"/>
  <c r="Q97" i="5"/>
  <c r="AF97" i="5"/>
  <c r="AD97" i="5"/>
  <c r="AA97" i="5"/>
  <c r="K97" i="5"/>
  <c r="AE97" i="5"/>
  <c r="AB97" i="5"/>
  <c r="O97" i="5"/>
  <c r="L97" i="5"/>
  <c r="I96" i="4"/>
  <c r="H96" i="4"/>
  <c r="N96" i="4"/>
  <c r="F96" i="4"/>
  <c r="E96" i="4"/>
  <c r="D97" i="4"/>
  <c r="M96" i="4"/>
  <c r="L96" i="4"/>
  <c r="G96" i="4"/>
  <c r="Q96" i="4" s="1"/>
  <c r="K96" i="4"/>
  <c r="J96" i="4"/>
  <c r="AB97" i="3"/>
  <c r="Y97" i="3"/>
  <c r="Q97" i="3"/>
  <c r="X97" i="3"/>
  <c r="T97" i="3"/>
  <c r="AA97" i="3"/>
  <c r="AD97" i="3"/>
  <c r="L97" i="3"/>
  <c r="G97" i="3" s="1"/>
  <c r="R97" i="3"/>
  <c r="AC97" i="3"/>
  <c r="I98" i="3"/>
  <c r="AE97" i="3"/>
  <c r="V97" i="3"/>
  <c r="O97" i="3"/>
  <c r="U97" i="3"/>
  <c r="AF97" i="3"/>
  <c r="N97" i="3"/>
  <c r="S97" i="3"/>
  <c r="K97" i="3"/>
  <c r="N96" i="2"/>
  <c r="AA96" i="2"/>
  <c r="G95" i="2"/>
  <c r="AF96" i="2"/>
  <c r="AE96" i="2"/>
  <c r="AD96" i="2"/>
  <c r="AC96" i="2"/>
  <c r="AB96" i="2"/>
  <c r="L96" i="2"/>
  <c r="K96" i="2"/>
  <c r="G96" i="2" s="1"/>
  <c r="T96" i="2"/>
  <c r="S96" i="2"/>
  <c r="V96" i="2"/>
  <c r="R96" i="2"/>
  <c r="Q96" i="2"/>
  <c r="U96" i="2"/>
  <c r="I97" i="2"/>
  <c r="O96" i="2"/>
  <c r="AE98" i="5" l="1"/>
  <c r="Q98" i="5"/>
  <c r="AD98" i="5"/>
  <c r="N98" i="5"/>
  <c r="AC98" i="5"/>
  <c r="L98" i="5"/>
  <c r="AB98" i="5"/>
  <c r="K98" i="5"/>
  <c r="AA98" i="5"/>
  <c r="T98" i="5"/>
  <c r="S98" i="5"/>
  <c r="R98" i="5"/>
  <c r="I99" i="5"/>
  <c r="O98" i="5"/>
  <c r="Y98" i="5"/>
  <c r="X98" i="5"/>
  <c r="V98" i="5"/>
  <c r="U98" i="5"/>
  <c r="AF98" i="5"/>
  <c r="H97" i="4"/>
  <c r="G97" i="4"/>
  <c r="N97" i="4"/>
  <c r="M97" i="4"/>
  <c r="L97" i="4"/>
  <c r="K97" i="4"/>
  <c r="J97" i="4"/>
  <c r="I97" i="4"/>
  <c r="F97" i="4"/>
  <c r="E97" i="4"/>
  <c r="D98" i="4"/>
  <c r="Q97" i="4"/>
  <c r="AB98" i="3"/>
  <c r="AD98" i="3"/>
  <c r="AC98" i="3"/>
  <c r="Y98" i="3"/>
  <c r="AF98" i="3"/>
  <c r="I99" i="3"/>
  <c r="U98" i="3"/>
  <c r="L98" i="3"/>
  <c r="AA98" i="3"/>
  <c r="X98" i="3"/>
  <c r="K98" i="3"/>
  <c r="R98" i="3"/>
  <c r="V98" i="3"/>
  <c r="S98" i="3"/>
  <c r="N98" i="3"/>
  <c r="T98" i="3"/>
  <c r="AE98" i="3"/>
  <c r="Q98" i="3"/>
  <c r="O98" i="3"/>
  <c r="N97" i="2"/>
  <c r="AA97" i="2"/>
  <c r="AB97" i="2"/>
  <c r="AD97" i="2"/>
  <c r="AC97" i="2"/>
  <c r="AF97" i="2"/>
  <c r="AE97" i="2"/>
  <c r="K97" i="2"/>
  <c r="O97" i="2"/>
  <c r="V97" i="2"/>
  <c r="U97" i="2"/>
  <c r="I98" i="2"/>
  <c r="T97" i="2"/>
  <c r="R97" i="2"/>
  <c r="Q97" i="2"/>
  <c r="S97" i="2"/>
  <c r="L97" i="2"/>
  <c r="S99" i="5" l="1"/>
  <c r="T99" i="5"/>
  <c r="R99" i="5"/>
  <c r="AF99" i="5"/>
  <c r="Q99" i="5"/>
  <c r="AE99" i="5"/>
  <c r="O99" i="5"/>
  <c r="N99" i="5"/>
  <c r="L99" i="5"/>
  <c r="K99" i="5"/>
  <c r="I100" i="5"/>
  <c r="Y99" i="5"/>
  <c r="X99" i="5"/>
  <c r="V99" i="5"/>
  <c r="U99" i="5"/>
  <c r="AC99" i="5"/>
  <c r="AA99" i="5"/>
  <c r="AD99" i="5"/>
  <c r="AB99" i="5"/>
  <c r="G98" i="4"/>
  <c r="F98" i="4"/>
  <c r="N98" i="4"/>
  <c r="M98" i="4"/>
  <c r="L98" i="4"/>
  <c r="D99" i="4"/>
  <c r="K98" i="4"/>
  <c r="J98" i="4"/>
  <c r="I98" i="4"/>
  <c r="H98" i="4"/>
  <c r="Q98" i="4" s="1"/>
  <c r="E98" i="4"/>
  <c r="G98" i="3"/>
  <c r="AD99" i="3"/>
  <c r="U99" i="3"/>
  <c r="N99" i="3"/>
  <c r="V99" i="3"/>
  <c r="K99" i="3"/>
  <c r="Y99" i="3"/>
  <c r="X99" i="3"/>
  <c r="O99" i="3"/>
  <c r="I100" i="3"/>
  <c r="AC99" i="3"/>
  <c r="AE99" i="3"/>
  <c r="AB99" i="3"/>
  <c r="R99" i="3"/>
  <c r="L99" i="3"/>
  <c r="AA99" i="3"/>
  <c r="Q99" i="3"/>
  <c r="T99" i="3"/>
  <c r="S99" i="3"/>
  <c r="AF99" i="3"/>
  <c r="G99" i="3"/>
  <c r="N98" i="2"/>
  <c r="AA98" i="2"/>
  <c r="AE98" i="2"/>
  <c r="AF98" i="2"/>
  <c r="AD98" i="2"/>
  <c r="AC98" i="2"/>
  <c r="AB98" i="2"/>
  <c r="G97" i="2"/>
  <c r="O98" i="2"/>
  <c r="I99" i="2"/>
  <c r="L98" i="2"/>
  <c r="K98" i="2"/>
  <c r="R98" i="2"/>
  <c r="V98" i="2"/>
  <c r="U98" i="2"/>
  <c r="T98" i="2"/>
  <c r="S98" i="2"/>
  <c r="Q98" i="2"/>
  <c r="U100" i="5" l="1"/>
  <c r="Y100" i="5"/>
  <c r="X100" i="5"/>
  <c r="V100" i="5"/>
  <c r="I101" i="5"/>
  <c r="T100" i="5"/>
  <c r="N100" i="5"/>
  <c r="L100" i="5"/>
  <c r="AF100" i="5"/>
  <c r="K100" i="5"/>
  <c r="AE100" i="5"/>
  <c r="AD100" i="5"/>
  <c r="AC100" i="5"/>
  <c r="AB100" i="5"/>
  <c r="AA100" i="5"/>
  <c r="S100" i="5"/>
  <c r="R100" i="5"/>
  <c r="Q100" i="5"/>
  <c r="O100" i="5"/>
  <c r="F99" i="4"/>
  <c r="D100" i="4"/>
  <c r="E99" i="4"/>
  <c r="M99" i="4"/>
  <c r="L99" i="4"/>
  <c r="K99" i="4"/>
  <c r="H99" i="4"/>
  <c r="G99" i="4"/>
  <c r="Q99" i="4" s="1"/>
  <c r="N99" i="4"/>
  <c r="J99" i="4"/>
  <c r="I99" i="4"/>
  <c r="N100" i="3"/>
  <c r="O100" i="3"/>
  <c r="AF100" i="3"/>
  <c r="AA100" i="3"/>
  <c r="R100" i="3"/>
  <c r="Y100" i="3"/>
  <c r="AE100" i="3"/>
  <c r="X100" i="3"/>
  <c r="Q100" i="3"/>
  <c r="K100" i="3"/>
  <c r="AD100" i="3"/>
  <c r="L100" i="3"/>
  <c r="AB100" i="3"/>
  <c r="AC100" i="3"/>
  <c r="S100" i="3"/>
  <c r="V100" i="3"/>
  <c r="U100" i="3"/>
  <c r="T100" i="3"/>
  <c r="I101" i="3"/>
  <c r="N99" i="2"/>
  <c r="AA99" i="2"/>
  <c r="AB99" i="2"/>
  <c r="AF99" i="2"/>
  <c r="AE99" i="2"/>
  <c r="AD99" i="2"/>
  <c r="AC99" i="2"/>
  <c r="G98" i="2"/>
  <c r="I100" i="2"/>
  <c r="Q99" i="2"/>
  <c r="T99" i="2"/>
  <c r="R99" i="2"/>
  <c r="L99" i="2"/>
  <c r="S99" i="2"/>
  <c r="V99" i="2"/>
  <c r="U99" i="2"/>
  <c r="K99" i="2"/>
  <c r="O99" i="2"/>
  <c r="X101" i="5" l="1"/>
  <c r="AD101" i="5"/>
  <c r="N101" i="5"/>
  <c r="AC101" i="5"/>
  <c r="L101" i="5"/>
  <c r="AB101" i="5"/>
  <c r="K101" i="5"/>
  <c r="AA101" i="5"/>
  <c r="AF101" i="5"/>
  <c r="AE101" i="5"/>
  <c r="I102" i="5"/>
  <c r="V101" i="5"/>
  <c r="T101" i="5"/>
  <c r="O101" i="5"/>
  <c r="Q101" i="5"/>
  <c r="Y101" i="5"/>
  <c r="U101" i="5"/>
  <c r="S101" i="5"/>
  <c r="R101" i="5"/>
  <c r="D101" i="4"/>
  <c r="E100" i="4"/>
  <c r="L100" i="4"/>
  <c r="K100" i="4"/>
  <c r="J100" i="4"/>
  <c r="N100" i="4"/>
  <c r="M100" i="4"/>
  <c r="I100" i="4"/>
  <c r="H100" i="4"/>
  <c r="G100" i="4"/>
  <c r="Q100" i="4" s="1"/>
  <c r="F100" i="4"/>
  <c r="G100" i="3"/>
  <c r="U101" i="3"/>
  <c r="AF101" i="3"/>
  <c r="R101" i="3"/>
  <c r="L101" i="3"/>
  <c r="X101" i="3"/>
  <c r="AB101" i="3"/>
  <c r="V101" i="3"/>
  <c r="T101" i="3"/>
  <c r="O101" i="3"/>
  <c r="S101" i="3"/>
  <c r="N101" i="3"/>
  <c r="I102" i="3"/>
  <c r="AA101" i="3"/>
  <c r="AE101" i="3"/>
  <c r="Y101" i="3"/>
  <c r="AD101" i="3"/>
  <c r="Q101" i="3"/>
  <c r="K101" i="3"/>
  <c r="G101" i="3" s="1"/>
  <c r="AC101" i="3"/>
  <c r="N100" i="2"/>
  <c r="AA100" i="2"/>
  <c r="G99" i="2"/>
  <c r="AF100" i="2"/>
  <c r="AE100" i="2"/>
  <c r="AD100" i="2"/>
  <c r="AC100" i="2"/>
  <c r="AB100" i="2"/>
  <c r="R100" i="2"/>
  <c r="K100" i="2"/>
  <c r="O100" i="2"/>
  <c r="V100" i="2"/>
  <c r="U100" i="2"/>
  <c r="I101" i="2"/>
  <c r="T100" i="2"/>
  <c r="S100" i="2"/>
  <c r="L100" i="2"/>
  <c r="Q100" i="2"/>
  <c r="AA102" i="5" l="1"/>
  <c r="K102" i="5"/>
  <c r="X102" i="5"/>
  <c r="S102" i="5"/>
  <c r="R102" i="5"/>
  <c r="Q102" i="5"/>
  <c r="AF102" i="5"/>
  <c r="O102" i="5"/>
  <c r="AE102" i="5"/>
  <c r="AD102" i="5"/>
  <c r="AC102" i="5"/>
  <c r="AB102" i="5"/>
  <c r="N102" i="5"/>
  <c r="L102" i="5"/>
  <c r="Y102" i="5"/>
  <c r="V102" i="5"/>
  <c r="U102" i="5"/>
  <c r="T102" i="5"/>
  <c r="I103" i="5"/>
  <c r="K101" i="4"/>
  <c r="J101" i="4"/>
  <c r="I101" i="4"/>
  <c r="D102" i="4"/>
  <c r="N101" i="4"/>
  <c r="M101" i="4"/>
  <c r="L101" i="4"/>
  <c r="H101" i="4"/>
  <c r="G101" i="4"/>
  <c r="Q101" i="4" s="1"/>
  <c r="F101" i="4"/>
  <c r="E101" i="4"/>
  <c r="V102" i="3"/>
  <c r="N102" i="3"/>
  <c r="Y102" i="3"/>
  <c r="R102" i="3"/>
  <c r="Q102" i="3"/>
  <c r="O102" i="3"/>
  <c r="U102" i="3"/>
  <c r="AF102" i="3"/>
  <c r="T102" i="3"/>
  <c r="AE102" i="3"/>
  <c r="AA102" i="3"/>
  <c r="AD102" i="3"/>
  <c r="L102" i="3"/>
  <c r="X102" i="3"/>
  <c r="K102" i="3"/>
  <c r="S102" i="3"/>
  <c r="AB102" i="3"/>
  <c r="AC102" i="3"/>
  <c r="I103" i="3"/>
  <c r="G102" i="3"/>
  <c r="N101" i="2"/>
  <c r="AA101" i="2"/>
  <c r="AB101" i="2"/>
  <c r="AF101" i="2"/>
  <c r="AE101" i="2"/>
  <c r="AD101" i="2"/>
  <c r="AC101" i="2"/>
  <c r="G100" i="2"/>
  <c r="V101" i="2"/>
  <c r="S101" i="2"/>
  <c r="Q101" i="2"/>
  <c r="L101" i="2"/>
  <c r="I102" i="2"/>
  <c r="U101" i="2"/>
  <c r="T101" i="2"/>
  <c r="R101" i="2"/>
  <c r="K101" i="2"/>
  <c r="O101" i="2"/>
  <c r="AC103" i="5" l="1"/>
  <c r="N103" i="5"/>
  <c r="AA103" i="5"/>
  <c r="K103" i="5"/>
  <c r="AB103" i="5"/>
  <c r="Y103" i="5"/>
  <c r="X103" i="5"/>
  <c r="V103" i="5"/>
  <c r="AF103" i="5"/>
  <c r="AE103" i="5"/>
  <c r="AD103" i="5"/>
  <c r="U103" i="5"/>
  <c r="T103" i="5"/>
  <c r="S103" i="5"/>
  <c r="R103" i="5"/>
  <c r="I104" i="5"/>
  <c r="Q103" i="5"/>
  <c r="O103" i="5"/>
  <c r="L103" i="5"/>
  <c r="N102" i="4"/>
  <c r="L102" i="4"/>
  <c r="K102" i="4"/>
  <c r="J102" i="4"/>
  <c r="I102" i="4"/>
  <c r="H102" i="4"/>
  <c r="M102" i="4"/>
  <c r="G102" i="4"/>
  <c r="Q102" i="4" s="1"/>
  <c r="F102" i="4"/>
  <c r="E102" i="4"/>
  <c r="X103" i="3"/>
  <c r="AC103" i="3"/>
  <c r="U103" i="3"/>
  <c r="V103" i="3"/>
  <c r="O103" i="3"/>
  <c r="AF103" i="3"/>
  <c r="I104" i="3"/>
  <c r="L103" i="3"/>
  <c r="AB103" i="3"/>
  <c r="AE103" i="3"/>
  <c r="Y103" i="3"/>
  <c r="AD103" i="3"/>
  <c r="R103" i="3"/>
  <c r="T103" i="3"/>
  <c r="Q103" i="3"/>
  <c r="S103" i="3"/>
  <c r="N103" i="3"/>
  <c r="K103" i="3"/>
  <c r="AA103" i="3"/>
  <c r="G103" i="3"/>
  <c r="N102" i="2"/>
  <c r="AA102" i="2"/>
  <c r="G101" i="2"/>
  <c r="AF102" i="2"/>
  <c r="AE102" i="2"/>
  <c r="AD102" i="2"/>
  <c r="AC102" i="2"/>
  <c r="AB102" i="2"/>
  <c r="V102" i="2"/>
  <c r="U102" i="2"/>
  <c r="T102" i="2"/>
  <c r="S102" i="2"/>
  <c r="R102" i="2"/>
  <c r="Q102" i="2"/>
  <c r="K102" i="2"/>
  <c r="O102" i="2"/>
  <c r="L102" i="2"/>
  <c r="AE104" i="5" l="1"/>
  <c r="Q104" i="5"/>
  <c r="AD104" i="5"/>
  <c r="AC104" i="5"/>
  <c r="N104" i="5"/>
  <c r="I105" i="5"/>
  <c r="S104" i="5"/>
  <c r="R104" i="5"/>
  <c r="O104" i="5"/>
  <c r="L104" i="5"/>
  <c r="AF104" i="5"/>
  <c r="AB104" i="5"/>
  <c r="AA104" i="5"/>
  <c r="Y104" i="5"/>
  <c r="X104" i="5"/>
  <c r="V104" i="5"/>
  <c r="U104" i="5"/>
  <c r="T104" i="5"/>
  <c r="K104" i="5"/>
  <c r="I105" i="3"/>
  <c r="AB104" i="3"/>
  <c r="T104" i="3"/>
  <c r="L104" i="3"/>
  <c r="S104" i="3"/>
  <c r="U104" i="3"/>
  <c r="AD104" i="3"/>
  <c r="V104" i="3"/>
  <c r="AA104" i="3"/>
  <c r="Q104" i="3"/>
  <c r="K104" i="3"/>
  <c r="G104" i="3" s="1"/>
  <c r="O104" i="3"/>
  <c r="Y104" i="3"/>
  <c r="AE104" i="3"/>
  <c r="R104" i="3"/>
  <c r="N104" i="3"/>
  <c r="X104" i="3"/>
  <c r="AC104" i="3"/>
  <c r="AF104" i="3"/>
  <c r="G102" i="2"/>
  <c r="S105" i="5" l="1"/>
  <c r="AF105" i="5"/>
  <c r="R105" i="5"/>
  <c r="AE105" i="5"/>
  <c r="Q105" i="5"/>
  <c r="AC105" i="5"/>
  <c r="AB105" i="5"/>
  <c r="AA105" i="5"/>
  <c r="Y105" i="5"/>
  <c r="I106" i="5"/>
  <c r="AD105" i="5"/>
  <c r="O105" i="5"/>
  <c r="N105" i="5"/>
  <c r="L105" i="5"/>
  <c r="K105" i="5"/>
  <c r="V105" i="5"/>
  <c r="U105" i="5"/>
  <c r="T105" i="5"/>
  <c r="X105" i="5"/>
  <c r="AD105" i="3"/>
  <c r="AE105" i="3"/>
  <c r="K105" i="3"/>
  <c r="O105" i="3"/>
  <c r="AC105" i="3"/>
  <c r="Q105" i="3"/>
  <c r="N105" i="3"/>
  <c r="AA105" i="3"/>
  <c r="AB105" i="3"/>
  <c r="Y105" i="3"/>
  <c r="L105" i="3"/>
  <c r="X105" i="3"/>
  <c r="V105" i="3"/>
  <c r="R105" i="3"/>
  <c r="U105" i="3"/>
  <c r="I106" i="3"/>
  <c r="T105" i="3"/>
  <c r="S105" i="3"/>
  <c r="AF105" i="3"/>
  <c r="I107" i="5" l="1"/>
  <c r="U106" i="5"/>
  <c r="T106" i="5"/>
  <c r="S106" i="5"/>
  <c r="X106" i="5"/>
  <c r="V106" i="5"/>
  <c r="R106" i="5"/>
  <c r="Q106" i="5"/>
  <c r="AF106" i="5"/>
  <c r="AE106" i="5"/>
  <c r="AD106" i="5"/>
  <c r="AC106" i="5"/>
  <c r="AB106" i="5"/>
  <c r="AA106" i="5"/>
  <c r="Y106" i="5"/>
  <c r="N106" i="5"/>
  <c r="K106" i="5"/>
  <c r="O106" i="5"/>
  <c r="L106" i="5"/>
  <c r="G105" i="3"/>
  <c r="AF106" i="3"/>
  <c r="U106" i="3"/>
  <c r="R106" i="3"/>
  <c r="T106" i="3"/>
  <c r="N106" i="3"/>
  <c r="AC106" i="3"/>
  <c r="L106" i="3"/>
  <c r="AB106" i="3"/>
  <c r="I107" i="3"/>
  <c r="V106" i="3"/>
  <c r="AE106" i="3"/>
  <c r="S106" i="3"/>
  <c r="Q106" i="3"/>
  <c r="Y106" i="3"/>
  <c r="AD106" i="3"/>
  <c r="AA106" i="3"/>
  <c r="O106" i="3"/>
  <c r="X106" i="3"/>
  <c r="K106" i="3"/>
  <c r="G106" i="3"/>
  <c r="Y107" i="5" l="1"/>
  <c r="X107" i="5"/>
  <c r="U107" i="5"/>
  <c r="AC107" i="5"/>
  <c r="AB107" i="5"/>
  <c r="AA107" i="5"/>
  <c r="Q107" i="5"/>
  <c r="O107" i="5"/>
  <c r="I108" i="5"/>
  <c r="N107" i="5"/>
  <c r="L107" i="5"/>
  <c r="K107" i="5"/>
  <c r="V107" i="5"/>
  <c r="T107" i="5"/>
  <c r="S107" i="5"/>
  <c r="R107" i="5"/>
  <c r="AF107" i="5"/>
  <c r="AE107" i="5"/>
  <c r="AD107" i="5"/>
  <c r="Y107" i="3"/>
  <c r="AB107" i="3"/>
  <c r="X107" i="3"/>
  <c r="AA107" i="3"/>
  <c r="V107" i="3"/>
  <c r="Q107" i="3"/>
  <c r="K107" i="3"/>
  <c r="AC107" i="3"/>
  <c r="AE107" i="3"/>
  <c r="U107" i="3"/>
  <c r="R107" i="3"/>
  <c r="I108" i="3"/>
  <c r="O107" i="3"/>
  <c r="T107" i="3"/>
  <c r="N107" i="3"/>
  <c r="AF107" i="3"/>
  <c r="S107" i="3"/>
  <c r="AD107" i="3"/>
  <c r="L107" i="3"/>
  <c r="G107" i="3"/>
  <c r="AB108" i="5" l="1"/>
  <c r="L108" i="5"/>
  <c r="AA108" i="5"/>
  <c r="K108" i="5"/>
  <c r="X108" i="5"/>
  <c r="T108" i="5"/>
  <c r="I109" i="5"/>
  <c r="S108" i="5"/>
  <c r="R108" i="5"/>
  <c r="O108" i="5"/>
  <c r="N108" i="5"/>
  <c r="Y108" i="5"/>
  <c r="V108" i="5"/>
  <c r="U108" i="5"/>
  <c r="Q108" i="5"/>
  <c r="AF108" i="5"/>
  <c r="AE108" i="5"/>
  <c r="AD108" i="5"/>
  <c r="AC108" i="5"/>
  <c r="X108" i="3"/>
  <c r="L108" i="3"/>
  <c r="R108" i="3"/>
  <c r="K108" i="3"/>
  <c r="AF108" i="3"/>
  <c r="U108" i="3"/>
  <c r="O108" i="3"/>
  <c r="S108" i="3"/>
  <c r="AC108" i="3"/>
  <c r="AB108" i="3"/>
  <c r="V108" i="3"/>
  <c r="AA108" i="3"/>
  <c r="Q108" i="3"/>
  <c r="I109" i="3"/>
  <c r="T108" i="3"/>
  <c r="N108" i="3"/>
  <c r="AE108" i="3"/>
  <c r="AD108" i="3"/>
  <c r="Y108" i="3"/>
  <c r="G108" i="3"/>
  <c r="AD109" i="5" l="1"/>
  <c r="O109" i="5"/>
  <c r="AC109" i="5"/>
  <c r="N109" i="5"/>
  <c r="AA109" i="5"/>
  <c r="K109" i="5"/>
  <c r="L109" i="5"/>
  <c r="AF109" i="5"/>
  <c r="AE109" i="5"/>
  <c r="R109" i="5"/>
  <c r="Q109" i="5"/>
  <c r="I110" i="5"/>
  <c r="AB109" i="5"/>
  <c r="Y109" i="5"/>
  <c r="X109" i="5"/>
  <c r="U109" i="5"/>
  <c r="S109" i="5"/>
  <c r="V109" i="5"/>
  <c r="T109" i="5"/>
  <c r="AD109" i="3"/>
  <c r="AB109" i="3"/>
  <c r="O109" i="3"/>
  <c r="R109" i="3"/>
  <c r="AC109" i="3"/>
  <c r="U109" i="3"/>
  <c r="K109" i="3"/>
  <c r="T109" i="3"/>
  <c r="Y109" i="3"/>
  <c r="X109" i="3"/>
  <c r="AE109" i="3"/>
  <c r="N109" i="3"/>
  <c r="Q109" i="3"/>
  <c r="V109" i="3"/>
  <c r="L109" i="3"/>
  <c r="I110" i="3"/>
  <c r="AF109" i="3"/>
  <c r="AA109" i="3"/>
  <c r="S109" i="3"/>
  <c r="G109" i="3"/>
  <c r="AF110" i="5" l="1"/>
  <c r="R110" i="5"/>
  <c r="AE110" i="5"/>
  <c r="Q110" i="5"/>
  <c r="AC110" i="5"/>
  <c r="N110" i="5"/>
  <c r="Y110" i="5"/>
  <c r="X110" i="5"/>
  <c r="V110" i="5"/>
  <c r="L110" i="5"/>
  <c r="I111" i="5"/>
  <c r="K110" i="5"/>
  <c r="AD110" i="5"/>
  <c r="AB110" i="5"/>
  <c r="AA110" i="5"/>
  <c r="U110" i="5"/>
  <c r="T110" i="5"/>
  <c r="S110" i="5"/>
  <c r="O110" i="5"/>
  <c r="R110" i="3"/>
  <c r="I111" i="3"/>
  <c r="Q110" i="3"/>
  <c r="O110" i="3"/>
  <c r="AC110" i="3"/>
  <c r="K110" i="3"/>
  <c r="V110" i="3"/>
  <c r="AE110" i="3"/>
  <c r="AA110" i="3"/>
  <c r="AD110" i="3"/>
  <c r="Y110" i="3"/>
  <c r="L110" i="3"/>
  <c r="X110" i="3"/>
  <c r="N110" i="3"/>
  <c r="U110" i="3"/>
  <c r="AB110" i="3"/>
  <c r="T110" i="3"/>
  <c r="AF110" i="3"/>
  <c r="S110" i="3"/>
  <c r="G110" i="3"/>
  <c r="T111" i="5" l="1"/>
  <c r="S111" i="5"/>
  <c r="AE111" i="5"/>
  <c r="Q111" i="5"/>
  <c r="R111" i="5"/>
  <c r="I112" i="5"/>
  <c r="O111" i="5"/>
  <c r="N111" i="5"/>
  <c r="K111" i="5"/>
  <c r="AF111" i="5"/>
  <c r="AD111" i="5"/>
  <c r="X111" i="5"/>
  <c r="V111" i="5"/>
  <c r="U111" i="5"/>
  <c r="L111" i="5"/>
  <c r="Y111" i="5"/>
  <c r="AA111" i="5"/>
  <c r="AB111" i="5"/>
  <c r="AC111" i="5"/>
  <c r="T111" i="3"/>
  <c r="AD111" i="3"/>
  <c r="S111" i="3"/>
  <c r="AB111" i="3"/>
  <c r="AC111" i="3"/>
  <c r="Q111" i="3"/>
  <c r="N111" i="3"/>
  <c r="V111" i="3"/>
  <c r="L111" i="3"/>
  <c r="AF111" i="3"/>
  <c r="U111" i="3"/>
  <c r="AA111" i="3"/>
  <c r="I112" i="3"/>
  <c r="Y111" i="3"/>
  <c r="R111" i="3"/>
  <c r="AE111" i="3"/>
  <c r="X111" i="3"/>
  <c r="O111" i="3"/>
  <c r="K111" i="3"/>
  <c r="I113" i="5" l="1"/>
  <c r="V112" i="5"/>
  <c r="U112" i="5"/>
  <c r="S112" i="5"/>
  <c r="AD112" i="5"/>
  <c r="K112" i="5"/>
  <c r="AC112" i="5"/>
  <c r="AB112" i="5"/>
  <c r="N112" i="5"/>
  <c r="L112" i="5"/>
  <c r="AF112" i="5"/>
  <c r="AE112" i="5"/>
  <c r="AA112" i="5"/>
  <c r="Y112" i="5"/>
  <c r="X112" i="5"/>
  <c r="R112" i="5"/>
  <c r="O112" i="5"/>
  <c r="T112" i="5"/>
  <c r="Q112" i="5"/>
  <c r="G111" i="3"/>
  <c r="I113" i="3"/>
  <c r="AA112" i="3"/>
  <c r="S112" i="3"/>
  <c r="V112" i="3"/>
  <c r="Y112" i="3"/>
  <c r="U112" i="3"/>
  <c r="X112" i="3"/>
  <c r="K112" i="3"/>
  <c r="G112" i="3" s="1"/>
  <c r="AB112" i="3"/>
  <c r="O112" i="3"/>
  <c r="AD112" i="3"/>
  <c r="T112" i="3"/>
  <c r="L112" i="3"/>
  <c r="AF112" i="3"/>
  <c r="AC112" i="3"/>
  <c r="AE112" i="3"/>
  <c r="Q112" i="3"/>
  <c r="N112" i="3"/>
  <c r="R112" i="3"/>
  <c r="Y113" i="5" l="1"/>
  <c r="X113" i="5"/>
  <c r="U113" i="5"/>
  <c r="V113" i="5"/>
  <c r="T113" i="5"/>
  <c r="S113" i="5"/>
  <c r="L113" i="5"/>
  <c r="K113" i="5"/>
  <c r="AF113" i="5"/>
  <c r="AE113" i="5"/>
  <c r="I114" i="5"/>
  <c r="R113" i="5"/>
  <c r="Q113" i="5"/>
  <c r="O113" i="5"/>
  <c r="N113" i="5"/>
  <c r="AD113" i="5"/>
  <c r="AC113" i="5"/>
  <c r="AB113" i="5"/>
  <c r="AA113" i="5"/>
  <c r="Y113" i="3"/>
  <c r="U113" i="3"/>
  <c r="AC113" i="3"/>
  <c r="O113" i="3"/>
  <c r="AF113" i="3"/>
  <c r="AE113" i="3"/>
  <c r="AD113" i="3"/>
  <c r="V113" i="3"/>
  <c r="X113" i="3"/>
  <c r="AA113" i="3"/>
  <c r="I114" i="3"/>
  <c r="T113" i="3"/>
  <c r="N113" i="3"/>
  <c r="S113" i="3"/>
  <c r="AB113" i="3"/>
  <c r="R113" i="3"/>
  <c r="Q113" i="3"/>
  <c r="L113" i="3"/>
  <c r="K113" i="3"/>
  <c r="G113" i="3"/>
  <c r="AB114" i="5" l="1"/>
  <c r="L114" i="5"/>
  <c r="AA114" i="5"/>
  <c r="K114" i="5"/>
  <c r="X114" i="5"/>
  <c r="Q114" i="5"/>
  <c r="O114" i="5"/>
  <c r="AF114" i="5"/>
  <c r="N114" i="5"/>
  <c r="I115" i="5"/>
  <c r="AE114" i="5"/>
  <c r="AD114" i="5"/>
  <c r="T114" i="5"/>
  <c r="S114" i="5"/>
  <c r="R114" i="5"/>
  <c r="AC114" i="5"/>
  <c r="Y114" i="5"/>
  <c r="V114" i="5"/>
  <c r="U114" i="5"/>
  <c r="L114" i="3"/>
  <c r="Q114" i="3"/>
  <c r="O114" i="3"/>
  <c r="K114" i="3"/>
  <c r="G114" i="3" s="1"/>
  <c r="N114" i="3"/>
  <c r="Y114" i="3"/>
  <c r="S114" i="3"/>
  <c r="AA114" i="3"/>
  <c r="AF114" i="3"/>
  <c r="V114" i="3"/>
  <c r="AB114" i="3"/>
  <c r="AD114" i="3"/>
  <c r="I115" i="3"/>
  <c r="AC114" i="3"/>
  <c r="U114" i="3"/>
  <c r="T114" i="3"/>
  <c r="X114" i="3"/>
  <c r="AE114" i="3"/>
  <c r="R114" i="3"/>
  <c r="AD115" i="5" l="1"/>
  <c r="O115" i="5"/>
  <c r="AC115" i="5"/>
  <c r="N115" i="5"/>
  <c r="AA115" i="5"/>
  <c r="K115" i="5"/>
  <c r="AB115" i="5"/>
  <c r="Y115" i="5"/>
  <c r="X115" i="5"/>
  <c r="AF115" i="5"/>
  <c r="AE115" i="5"/>
  <c r="V115" i="5"/>
  <c r="U115" i="5"/>
  <c r="T115" i="5"/>
  <c r="S115" i="5"/>
  <c r="R115" i="5"/>
  <c r="Q115" i="5"/>
  <c r="L115" i="5"/>
  <c r="I116" i="5"/>
  <c r="O115" i="3"/>
  <c r="AE115" i="3"/>
  <c r="AC115" i="3"/>
  <c r="V115" i="3"/>
  <c r="N115" i="3"/>
  <c r="U115" i="3"/>
  <c r="R115" i="3"/>
  <c r="AB115" i="3"/>
  <c r="AA115" i="3"/>
  <c r="Y115" i="3"/>
  <c r="X115" i="3"/>
  <c r="AD115" i="3"/>
  <c r="AF115" i="3"/>
  <c r="I116" i="3"/>
  <c r="K115" i="3"/>
  <c r="T115" i="3"/>
  <c r="Q115" i="3"/>
  <c r="S115" i="3"/>
  <c r="L115" i="3"/>
  <c r="G115" i="3"/>
  <c r="AF116" i="5" l="1"/>
  <c r="R116" i="5"/>
  <c r="AE116" i="5"/>
  <c r="Q116" i="5"/>
  <c r="AC116" i="5"/>
  <c r="N116" i="5"/>
  <c r="U116" i="5"/>
  <c r="T116" i="5"/>
  <c r="I117" i="5"/>
  <c r="S116" i="5"/>
  <c r="AD116" i="5"/>
  <c r="AB116" i="5"/>
  <c r="AA116" i="5"/>
  <c r="Y116" i="5"/>
  <c r="X116" i="5"/>
  <c r="V116" i="5"/>
  <c r="L116" i="5"/>
  <c r="O116" i="5"/>
  <c r="K116" i="5"/>
  <c r="R116" i="3"/>
  <c r="I117" i="3"/>
  <c r="AE116" i="3"/>
  <c r="AD116" i="3"/>
  <c r="T116" i="3"/>
  <c r="U116" i="3"/>
  <c r="AF116" i="3"/>
  <c r="K116" i="3"/>
  <c r="G116" i="3" s="1"/>
  <c r="Q116" i="3"/>
  <c r="N116" i="3"/>
  <c r="AB116" i="3"/>
  <c r="AC116" i="3"/>
  <c r="AA116" i="3"/>
  <c r="S116" i="3"/>
  <c r="Y116" i="3"/>
  <c r="O116" i="3"/>
  <c r="X116" i="3"/>
  <c r="V116" i="3"/>
  <c r="L116" i="3"/>
  <c r="T117" i="5" l="1"/>
  <c r="S117" i="5"/>
  <c r="AE117" i="5"/>
  <c r="Q117" i="5"/>
  <c r="AF117" i="5"/>
  <c r="L117" i="5"/>
  <c r="AD117" i="5"/>
  <c r="K117" i="5"/>
  <c r="AC117" i="5"/>
  <c r="I118" i="5"/>
  <c r="AB117" i="5"/>
  <c r="AA117" i="5"/>
  <c r="R117" i="5"/>
  <c r="O117" i="5"/>
  <c r="N117" i="5"/>
  <c r="Y117" i="5"/>
  <c r="X117" i="5"/>
  <c r="V117" i="5"/>
  <c r="U117" i="5"/>
  <c r="Y117" i="3"/>
  <c r="L117" i="3"/>
  <c r="S117" i="3"/>
  <c r="AC117" i="3"/>
  <c r="Q117" i="3"/>
  <c r="AA117" i="3"/>
  <c r="AD117" i="3"/>
  <c r="O117" i="3"/>
  <c r="U117" i="3"/>
  <c r="T117" i="3"/>
  <c r="K117" i="3"/>
  <c r="AF117" i="3"/>
  <c r="AE117" i="3"/>
  <c r="X117" i="3"/>
  <c r="V117" i="3"/>
  <c r="I118" i="3"/>
  <c r="R117" i="3"/>
  <c r="AB117" i="3"/>
  <c r="N117" i="3"/>
  <c r="I119" i="5" l="1"/>
  <c r="V118" i="5"/>
  <c r="U118" i="5"/>
  <c r="S118" i="5"/>
  <c r="AA118" i="5"/>
  <c r="Y118" i="5"/>
  <c r="X118" i="5"/>
  <c r="AF118" i="5"/>
  <c r="AE118" i="5"/>
  <c r="AD118" i="5"/>
  <c r="AC118" i="5"/>
  <c r="AB118" i="5"/>
  <c r="T118" i="5"/>
  <c r="R118" i="5"/>
  <c r="Q118" i="5"/>
  <c r="N118" i="5"/>
  <c r="L118" i="5"/>
  <c r="K118" i="5"/>
  <c r="O118" i="5"/>
  <c r="G117" i="3"/>
  <c r="I119" i="3"/>
  <c r="X118" i="3"/>
  <c r="O118" i="3"/>
  <c r="AD118" i="3"/>
  <c r="V118" i="3"/>
  <c r="T118" i="3"/>
  <c r="U118" i="3"/>
  <c r="S118" i="3"/>
  <c r="AB118" i="3"/>
  <c r="L118" i="3"/>
  <c r="G118" i="3" s="1"/>
  <c r="AA118" i="3"/>
  <c r="K118" i="3"/>
  <c r="Y118" i="3"/>
  <c r="AF118" i="3"/>
  <c r="AE118" i="3"/>
  <c r="Q118" i="3"/>
  <c r="N118" i="3"/>
  <c r="AC118" i="3"/>
  <c r="R118" i="3"/>
  <c r="Y119" i="5" l="1"/>
  <c r="X119" i="5"/>
  <c r="U119" i="5"/>
  <c r="I120" i="5"/>
  <c r="R119" i="5"/>
  <c r="Q119" i="5"/>
  <c r="O119" i="5"/>
  <c r="AE119" i="5"/>
  <c r="AD119" i="5"/>
  <c r="AC119" i="5"/>
  <c r="AB119" i="5"/>
  <c r="AF119" i="5"/>
  <c r="AA119" i="5"/>
  <c r="V119" i="5"/>
  <c r="T119" i="5"/>
  <c r="S119" i="5"/>
  <c r="L119" i="5"/>
  <c r="N119" i="5"/>
  <c r="K119" i="5"/>
  <c r="AD119" i="3"/>
  <c r="K119" i="3"/>
  <c r="AE119" i="3"/>
  <c r="Y119" i="3"/>
  <c r="AC119" i="3"/>
  <c r="X119" i="3"/>
  <c r="U119" i="3"/>
  <c r="R119" i="3"/>
  <c r="T119" i="3"/>
  <c r="Q119" i="3"/>
  <c r="S119" i="3"/>
  <c r="AF119" i="3"/>
  <c r="AB119" i="3"/>
  <c r="O119" i="3"/>
  <c r="AA119" i="3"/>
  <c r="V119" i="3"/>
  <c r="N119" i="3"/>
  <c r="I120" i="3"/>
  <c r="L119" i="3"/>
  <c r="G119" i="3"/>
  <c r="AB120" i="5" l="1"/>
  <c r="L120" i="5"/>
  <c r="AA120" i="5"/>
  <c r="K120" i="5"/>
  <c r="X120" i="5"/>
  <c r="AE120" i="5"/>
  <c r="AD120" i="5"/>
  <c r="AC120" i="5"/>
  <c r="AF120" i="5"/>
  <c r="Y120" i="5"/>
  <c r="V120" i="5"/>
  <c r="Q120" i="5"/>
  <c r="O120" i="5"/>
  <c r="N120" i="5"/>
  <c r="U120" i="5"/>
  <c r="T120" i="5"/>
  <c r="S120" i="5"/>
  <c r="R120" i="5"/>
  <c r="I121" i="5"/>
  <c r="I121" i="3"/>
  <c r="AC120" i="3"/>
  <c r="R120" i="3"/>
  <c r="N120" i="3"/>
  <c r="AB120" i="3"/>
  <c r="AD120" i="3"/>
  <c r="L120" i="3"/>
  <c r="X120" i="3"/>
  <c r="AE120" i="3"/>
  <c r="AF120" i="3"/>
  <c r="O120" i="3"/>
  <c r="AA120" i="3"/>
  <c r="S120" i="3"/>
  <c r="K120" i="3"/>
  <c r="U120" i="3"/>
  <c r="Y120" i="3"/>
  <c r="T120" i="3"/>
  <c r="V120" i="3"/>
  <c r="Q120" i="3"/>
  <c r="G120" i="3"/>
  <c r="AD121" i="5" l="1"/>
  <c r="O121" i="5"/>
  <c r="AC121" i="5"/>
  <c r="N121" i="5"/>
  <c r="AA121" i="5"/>
  <c r="K121" i="5"/>
  <c r="V121" i="5"/>
  <c r="U121" i="5"/>
  <c r="T121" i="5"/>
  <c r="AF121" i="5"/>
  <c r="AE121" i="5"/>
  <c r="AB121" i="5"/>
  <c r="Y121" i="5"/>
  <c r="X121" i="5"/>
  <c r="S121" i="5"/>
  <c r="R121" i="5"/>
  <c r="Q121" i="5"/>
  <c r="I122" i="5"/>
  <c r="L121" i="5"/>
  <c r="O121" i="3"/>
  <c r="S121" i="3"/>
  <c r="L121" i="3"/>
  <c r="AB121" i="3"/>
  <c r="AA121" i="3"/>
  <c r="T121" i="3"/>
  <c r="AC121" i="3"/>
  <c r="K121" i="3"/>
  <c r="N121" i="3"/>
  <c r="X121" i="3"/>
  <c r="AD121" i="3"/>
  <c r="R121" i="3"/>
  <c r="V121" i="3"/>
  <c r="Q121" i="3"/>
  <c r="U121" i="3"/>
  <c r="AF121" i="3"/>
  <c r="I122" i="3"/>
  <c r="AE121" i="3"/>
  <c r="Y121" i="3"/>
  <c r="AF122" i="5" l="1"/>
  <c r="R122" i="5"/>
  <c r="AE122" i="5"/>
  <c r="Q122" i="5"/>
  <c r="AC122" i="5"/>
  <c r="N122" i="5"/>
  <c r="O122" i="5"/>
  <c r="L122" i="5"/>
  <c r="K122" i="5"/>
  <c r="AB122" i="5"/>
  <c r="AA122" i="5"/>
  <c r="Y122" i="5"/>
  <c r="X122" i="5"/>
  <c r="I123" i="5"/>
  <c r="AD122" i="5"/>
  <c r="U122" i="5"/>
  <c r="S122" i="5"/>
  <c r="V122" i="5"/>
  <c r="T122" i="5"/>
  <c r="G121" i="3"/>
  <c r="AA122" i="3"/>
  <c r="AD122" i="3"/>
  <c r="X122" i="3"/>
  <c r="N122" i="3"/>
  <c r="AF122" i="3"/>
  <c r="T122" i="3"/>
  <c r="AC122" i="3"/>
  <c r="U122" i="3"/>
  <c r="R122" i="3"/>
  <c r="S122" i="3"/>
  <c r="AE122" i="3"/>
  <c r="O122" i="3"/>
  <c r="Q122" i="3"/>
  <c r="K122" i="3"/>
  <c r="Y122" i="3"/>
  <c r="I123" i="3"/>
  <c r="V122" i="3"/>
  <c r="L122" i="3"/>
  <c r="G122" i="3" s="1"/>
  <c r="AB122" i="3"/>
  <c r="T123" i="5" l="1"/>
  <c r="S123" i="5"/>
  <c r="AE123" i="5"/>
  <c r="Q123" i="5"/>
  <c r="AB123" i="5"/>
  <c r="AA123" i="5"/>
  <c r="Y123" i="5"/>
  <c r="AD123" i="5"/>
  <c r="AC123" i="5"/>
  <c r="X123" i="5"/>
  <c r="V123" i="5"/>
  <c r="L123" i="5"/>
  <c r="K123" i="5"/>
  <c r="I124" i="5"/>
  <c r="AF123" i="5"/>
  <c r="U123" i="5"/>
  <c r="R123" i="5"/>
  <c r="O123" i="5"/>
  <c r="N123" i="5"/>
  <c r="S123" i="3"/>
  <c r="AC123" i="3"/>
  <c r="AF123" i="3"/>
  <c r="AB123" i="3"/>
  <c r="AA123" i="3"/>
  <c r="X123" i="3"/>
  <c r="V123" i="3"/>
  <c r="U123" i="3"/>
  <c r="T123" i="3"/>
  <c r="O123" i="3"/>
  <c r="R123" i="3"/>
  <c r="AE123" i="3"/>
  <c r="Q123" i="3"/>
  <c r="N123" i="3"/>
  <c r="K123" i="3"/>
  <c r="AD123" i="3"/>
  <c r="L123" i="3"/>
  <c r="Y123" i="3"/>
  <c r="I124" i="3"/>
  <c r="I125" i="5" l="1"/>
  <c r="V124" i="5"/>
  <c r="U124" i="5"/>
  <c r="S124" i="5"/>
  <c r="T124" i="5"/>
  <c r="R124" i="5"/>
  <c r="Q124" i="5"/>
  <c r="AC124" i="5"/>
  <c r="AB124" i="5"/>
  <c r="AA124" i="5"/>
  <c r="Y124" i="5"/>
  <c r="X124" i="5"/>
  <c r="O124" i="5"/>
  <c r="N124" i="5"/>
  <c r="L124" i="5"/>
  <c r="K124" i="5"/>
  <c r="AF124" i="5"/>
  <c r="AE124" i="5"/>
  <c r="AD124" i="5"/>
  <c r="G123" i="3"/>
  <c r="AB124" i="3"/>
  <c r="AA124" i="3"/>
  <c r="N124" i="3"/>
  <c r="AD124" i="3"/>
  <c r="K124" i="3"/>
  <c r="S124" i="3"/>
  <c r="AE124" i="3"/>
  <c r="O124" i="3"/>
  <c r="I125" i="3"/>
  <c r="V124" i="3"/>
  <c r="L124" i="3"/>
  <c r="G124" i="3" s="1"/>
  <c r="X124" i="3"/>
  <c r="T124" i="3"/>
  <c r="AF124" i="3"/>
  <c r="R124" i="3"/>
  <c r="Q124" i="3"/>
  <c r="U124" i="3"/>
  <c r="Y124" i="3"/>
  <c r="AC124" i="3"/>
  <c r="Y125" i="5" l="1"/>
  <c r="X125" i="5"/>
  <c r="U125" i="5"/>
  <c r="AF125" i="5"/>
  <c r="N125" i="5"/>
  <c r="AE125" i="5"/>
  <c r="L125" i="5"/>
  <c r="AD125" i="5"/>
  <c r="K125" i="5"/>
  <c r="AB125" i="5"/>
  <c r="AA125" i="5"/>
  <c r="V125" i="5"/>
  <c r="T125" i="5"/>
  <c r="I126" i="5"/>
  <c r="AC125" i="5"/>
  <c r="R125" i="5"/>
  <c r="O125" i="5"/>
  <c r="S125" i="5"/>
  <c r="Q125" i="5"/>
  <c r="I126" i="3"/>
  <c r="Y125" i="3"/>
  <c r="Q125" i="3"/>
  <c r="AB125" i="3"/>
  <c r="U125" i="3"/>
  <c r="R125" i="3"/>
  <c r="X125" i="3"/>
  <c r="T125" i="3"/>
  <c r="AF125" i="3"/>
  <c r="AA125" i="3"/>
  <c r="O125" i="3"/>
  <c r="AC125" i="3"/>
  <c r="AE125" i="3"/>
  <c r="N125" i="3"/>
  <c r="V125" i="3"/>
  <c r="AD125" i="3"/>
  <c r="L125" i="3"/>
  <c r="S125" i="3"/>
  <c r="K125" i="3"/>
  <c r="G125" i="3" s="1"/>
  <c r="AB126" i="5" l="1"/>
  <c r="L126" i="5"/>
  <c r="AA126" i="5"/>
  <c r="K126" i="5"/>
  <c r="X126" i="5"/>
  <c r="Y126" i="5"/>
  <c r="V126" i="5"/>
  <c r="U126" i="5"/>
  <c r="AD126" i="5"/>
  <c r="AC126" i="5"/>
  <c r="T126" i="5"/>
  <c r="S126" i="5"/>
  <c r="I127" i="5"/>
  <c r="R126" i="5"/>
  <c r="Q126" i="5"/>
  <c r="O126" i="5"/>
  <c r="N126" i="5"/>
  <c r="AF126" i="5"/>
  <c r="AE126" i="5"/>
  <c r="L126" i="3"/>
  <c r="S126" i="3"/>
  <c r="AA126" i="3"/>
  <c r="R126" i="3"/>
  <c r="K126" i="3"/>
  <c r="G126" i="3" s="1"/>
  <c r="Q126" i="3"/>
  <c r="V126" i="3"/>
  <c r="AE126" i="3"/>
  <c r="U126" i="3"/>
  <c r="AD126" i="3"/>
  <c r="I127" i="3"/>
  <c r="AC126" i="3"/>
  <c r="T126" i="3"/>
  <c r="O126" i="3"/>
  <c r="N126" i="3"/>
  <c r="AF126" i="3"/>
  <c r="Y126" i="3"/>
  <c r="AB126" i="3"/>
  <c r="X126" i="3"/>
  <c r="AD127" i="5" l="1"/>
  <c r="O127" i="5"/>
  <c r="AC127" i="5"/>
  <c r="N127" i="5"/>
  <c r="AA127" i="5"/>
  <c r="K127" i="5"/>
  <c r="I128" i="5"/>
  <c r="S127" i="5"/>
  <c r="R127" i="5"/>
  <c r="Q127" i="5"/>
  <c r="Y127" i="5"/>
  <c r="X127" i="5"/>
  <c r="V127" i="5"/>
  <c r="U127" i="5"/>
  <c r="T127" i="5"/>
  <c r="L127" i="5"/>
  <c r="AE127" i="5"/>
  <c r="AF127" i="5"/>
  <c r="AB127" i="5"/>
  <c r="AD127" i="3"/>
  <c r="X127" i="3"/>
  <c r="O127" i="3"/>
  <c r="V127" i="3"/>
  <c r="AC127" i="3"/>
  <c r="S127" i="3"/>
  <c r="AA127" i="3"/>
  <c r="I128" i="3"/>
  <c r="Y127" i="3"/>
  <c r="N127" i="3"/>
  <c r="T127" i="3"/>
  <c r="AF127" i="3"/>
  <c r="R127" i="3"/>
  <c r="L127" i="3"/>
  <c r="Q127" i="3"/>
  <c r="AE127" i="3"/>
  <c r="U127" i="3"/>
  <c r="K127" i="3"/>
  <c r="AB127" i="3"/>
  <c r="G127" i="3"/>
  <c r="AF128" i="5" l="1"/>
  <c r="R128" i="5"/>
  <c r="AE128" i="5"/>
  <c r="Q128" i="5"/>
  <c r="AC128" i="5"/>
  <c r="N128" i="5"/>
  <c r="AD128" i="5"/>
  <c r="AB128" i="5"/>
  <c r="AA128" i="5"/>
  <c r="X128" i="5"/>
  <c r="V128" i="5"/>
  <c r="U128" i="5"/>
  <c r="T128" i="5"/>
  <c r="Y128" i="5"/>
  <c r="S128" i="5"/>
  <c r="O128" i="5"/>
  <c r="L128" i="5"/>
  <c r="K128" i="5"/>
  <c r="I129" i="5"/>
  <c r="AB128" i="3"/>
  <c r="AF128" i="3"/>
  <c r="N128" i="3"/>
  <c r="R128" i="3"/>
  <c r="L128" i="3"/>
  <c r="AC128" i="3"/>
  <c r="AE128" i="3"/>
  <c r="K128" i="3"/>
  <c r="Q128" i="3"/>
  <c r="Y128" i="3"/>
  <c r="V128" i="3"/>
  <c r="X128" i="3"/>
  <c r="U128" i="3"/>
  <c r="S128" i="3"/>
  <c r="I129" i="3"/>
  <c r="O128" i="3"/>
  <c r="T128" i="3"/>
  <c r="AD128" i="3"/>
  <c r="AA128" i="3"/>
  <c r="G128" i="3"/>
  <c r="T129" i="5" l="1"/>
  <c r="S129" i="5"/>
  <c r="AE129" i="5"/>
  <c r="Q129" i="5"/>
  <c r="X129" i="5"/>
  <c r="V129" i="5"/>
  <c r="U129" i="5"/>
  <c r="AA129" i="5"/>
  <c r="Y129" i="5"/>
  <c r="R129" i="5"/>
  <c r="O129" i="5"/>
  <c r="I130" i="5"/>
  <c r="AF129" i="5"/>
  <c r="AD129" i="5"/>
  <c r="AC129" i="5"/>
  <c r="AB129" i="5"/>
  <c r="L129" i="5"/>
  <c r="N129" i="5"/>
  <c r="K129" i="5"/>
  <c r="V129" i="3"/>
  <c r="O129" i="3"/>
  <c r="T129" i="3"/>
  <c r="N129" i="3"/>
  <c r="X129" i="3"/>
  <c r="S129" i="3"/>
  <c r="AF129" i="3"/>
  <c r="AD129" i="3"/>
  <c r="AE129" i="3"/>
  <c r="L129" i="3"/>
  <c r="U129" i="3"/>
  <c r="AC129" i="3"/>
  <c r="Q129" i="3"/>
  <c r="K129" i="3"/>
  <c r="I130" i="3"/>
  <c r="AB129" i="3"/>
  <c r="R129" i="3"/>
  <c r="AA129" i="3"/>
  <c r="Y129" i="3"/>
  <c r="I131" i="5" l="1"/>
  <c r="V130" i="5"/>
  <c r="U130" i="5"/>
  <c r="S130" i="5"/>
  <c r="O130" i="5"/>
  <c r="AF130" i="5"/>
  <c r="N130" i="5"/>
  <c r="AE130" i="5"/>
  <c r="L130" i="5"/>
  <c r="Y130" i="5"/>
  <c r="X130" i="5"/>
  <c r="T130" i="5"/>
  <c r="R130" i="5"/>
  <c r="Q130" i="5"/>
  <c r="K130" i="5"/>
  <c r="AD130" i="5"/>
  <c r="AC130" i="5"/>
  <c r="AB130" i="5"/>
  <c r="AA130" i="5"/>
  <c r="G129" i="3"/>
  <c r="I131" i="3"/>
  <c r="N130" i="3"/>
  <c r="V130" i="3"/>
  <c r="AE130" i="3"/>
  <c r="U130" i="3"/>
  <c r="AC130" i="3"/>
  <c r="Q130" i="3"/>
  <c r="X130" i="3"/>
  <c r="T130" i="3"/>
  <c r="L130" i="3"/>
  <c r="G130" i="3" s="1"/>
  <c r="S130" i="3"/>
  <c r="K130" i="3"/>
  <c r="R130" i="3"/>
  <c r="AD130" i="3"/>
  <c r="AA130" i="3"/>
  <c r="AF130" i="3"/>
  <c r="Y130" i="3"/>
  <c r="AB130" i="3"/>
  <c r="O130" i="3"/>
  <c r="Y131" i="5" l="1"/>
  <c r="X131" i="5"/>
  <c r="U131" i="5"/>
  <c r="AC131" i="5"/>
  <c r="AB131" i="5"/>
  <c r="AA131" i="5"/>
  <c r="T131" i="5"/>
  <c r="S131" i="5"/>
  <c r="R131" i="5"/>
  <c r="Q131" i="5"/>
  <c r="AF131" i="5"/>
  <c r="AE131" i="5"/>
  <c r="AD131" i="5"/>
  <c r="V131" i="5"/>
  <c r="I132" i="5"/>
  <c r="K131" i="5"/>
  <c r="N131" i="5"/>
  <c r="L131" i="5"/>
  <c r="O131" i="5"/>
  <c r="Q131" i="3"/>
  <c r="Y131" i="3"/>
  <c r="AF131" i="3"/>
  <c r="X131" i="3"/>
  <c r="AE131" i="3"/>
  <c r="AD131" i="3"/>
  <c r="AA131" i="3"/>
  <c r="L131" i="3"/>
  <c r="G131" i="3" s="1"/>
  <c r="V131" i="3"/>
  <c r="AC131" i="3"/>
  <c r="U131" i="3"/>
  <c r="K131" i="3"/>
  <c r="O131" i="3"/>
  <c r="AB131" i="3"/>
  <c r="N131" i="3"/>
  <c r="T131" i="3"/>
  <c r="S131" i="3"/>
  <c r="I132" i="3"/>
  <c r="R131" i="3"/>
  <c r="AB132" i="5" l="1"/>
  <c r="L132" i="5"/>
  <c r="AA132" i="5"/>
  <c r="K132" i="5"/>
  <c r="X132" i="5"/>
  <c r="T132" i="5"/>
  <c r="I133" i="5"/>
  <c r="S132" i="5"/>
  <c r="R132" i="5"/>
  <c r="V132" i="5"/>
  <c r="U132" i="5"/>
  <c r="Q132" i="5"/>
  <c r="O132" i="5"/>
  <c r="AF132" i="5"/>
  <c r="AE132" i="5"/>
  <c r="AD132" i="5"/>
  <c r="AC132" i="5"/>
  <c r="Y132" i="5"/>
  <c r="N132" i="5"/>
  <c r="AB132" i="3"/>
  <c r="AF132" i="3"/>
  <c r="L132" i="3"/>
  <c r="AE132" i="3"/>
  <c r="AA132" i="3"/>
  <c r="Y132" i="3"/>
  <c r="K132" i="3"/>
  <c r="AC132" i="3"/>
  <c r="X132" i="3"/>
  <c r="V132" i="3"/>
  <c r="T132" i="3"/>
  <c r="AD132" i="3"/>
  <c r="I133" i="3"/>
  <c r="U132" i="3"/>
  <c r="S132" i="3"/>
  <c r="R132" i="3"/>
  <c r="Q132" i="3"/>
  <c r="O132" i="3"/>
  <c r="N132" i="3"/>
  <c r="G132" i="3"/>
  <c r="AD133" i="5" l="1"/>
  <c r="O133" i="5"/>
  <c r="AC133" i="5"/>
  <c r="N133" i="5"/>
  <c r="AA133" i="5"/>
  <c r="K133" i="5"/>
  <c r="L133" i="5"/>
  <c r="AF133" i="5"/>
  <c r="AE133" i="5"/>
  <c r="U133" i="5"/>
  <c r="T133" i="5"/>
  <c r="S133" i="5"/>
  <c r="R133" i="5"/>
  <c r="Q133" i="5"/>
  <c r="AB133" i="5"/>
  <c r="Y133" i="5"/>
  <c r="X133" i="5"/>
  <c r="V133" i="5"/>
  <c r="I134" i="5"/>
  <c r="Q133" i="3"/>
  <c r="AD133" i="3"/>
  <c r="I134" i="3"/>
  <c r="O133" i="3"/>
  <c r="T133" i="3"/>
  <c r="R133" i="3"/>
  <c r="AC133" i="3"/>
  <c r="X133" i="3"/>
  <c r="N133" i="3"/>
  <c r="V133" i="3"/>
  <c r="AA133" i="3"/>
  <c r="U133" i="3"/>
  <c r="K133" i="3"/>
  <c r="AB133" i="3"/>
  <c r="L133" i="3"/>
  <c r="Y133" i="3"/>
  <c r="AF133" i="3"/>
  <c r="AE133" i="3"/>
  <c r="S133" i="3"/>
  <c r="G133" i="3"/>
  <c r="AF134" i="5" l="1"/>
  <c r="R134" i="5"/>
  <c r="AE134" i="5"/>
  <c r="Q134" i="5"/>
  <c r="AC134" i="5"/>
  <c r="N134" i="5"/>
  <c r="Y134" i="5"/>
  <c r="X134" i="5"/>
  <c r="V134" i="5"/>
  <c r="T134" i="5"/>
  <c r="S134" i="5"/>
  <c r="O134" i="5"/>
  <c r="L134" i="5"/>
  <c r="AD134" i="5"/>
  <c r="AB134" i="5"/>
  <c r="AA134" i="5"/>
  <c r="U134" i="5"/>
  <c r="I135" i="5"/>
  <c r="K134" i="5"/>
  <c r="L134" i="3"/>
  <c r="I135" i="3"/>
  <c r="AF134" i="3"/>
  <c r="K134" i="3"/>
  <c r="S134" i="3"/>
  <c r="X134" i="3"/>
  <c r="V134" i="3"/>
  <c r="R134" i="3"/>
  <c r="AB134" i="3"/>
  <c r="AE134" i="3"/>
  <c r="AA134" i="3"/>
  <c r="Q134" i="3"/>
  <c r="U134" i="3"/>
  <c r="AC134" i="3"/>
  <c r="T134" i="3"/>
  <c r="N134" i="3"/>
  <c r="AD134" i="3"/>
  <c r="Y134" i="3"/>
  <c r="O134" i="3"/>
  <c r="G134" i="3"/>
  <c r="T135" i="5" l="1"/>
  <c r="S135" i="5"/>
  <c r="AE135" i="5"/>
  <c r="Q135" i="5"/>
  <c r="R135" i="5"/>
  <c r="I136" i="5"/>
  <c r="O135" i="5"/>
  <c r="N135" i="5"/>
  <c r="V135" i="5"/>
  <c r="U135" i="5"/>
  <c r="L135" i="5"/>
  <c r="K135" i="5"/>
  <c r="AF135" i="5"/>
  <c r="AD135" i="5"/>
  <c r="AC135" i="5"/>
  <c r="AA135" i="5"/>
  <c r="X135" i="5"/>
  <c r="AB135" i="5"/>
  <c r="Y135" i="5"/>
  <c r="AD135" i="3"/>
  <c r="T135" i="3"/>
  <c r="AC135" i="3"/>
  <c r="S135" i="3"/>
  <c r="X135" i="3"/>
  <c r="L135" i="3"/>
  <c r="K135" i="3"/>
  <c r="AF135" i="3"/>
  <c r="AE135" i="3"/>
  <c r="V135" i="3"/>
  <c r="Q135" i="3"/>
  <c r="U135" i="3"/>
  <c r="R135" i="3"/>
  <c r="Y135" i="3"/>
  <c r="I136" i="3"/>
  <c r="AA135" i="3"/>
  <c r="O135" i="3"/>
  <c r="AB135" i="3"/>
  <c r="N135" i="3"/>
  <c r="G135" i="3"/>
  <c r="I137" i="5" l="1"/>
  <c r="V136" i="5"/>
  <c r="U136" i="5"/>
  <c r="S136" i="5"/>
  <c r="AD136" i="5"/>
  <c r="K136" i="5"/>
  <c r="AC136" i="5"/>
  <c r="AB136" i="5"/>
  <c r="R136" i="5"/>
  <c r="Q136" i="5"/>
  <c r="O136" i="5"/>
  <c r="N136" i="5"/>
  <c r="L136" i="5"/>
  <c r="AF136" i="5"/>
  <c r="AE136" i="5"/>
  <c r="AA136" i="5"/>
  <c r="Y136" i="5"/>
  <c r="X136" i="5"/>
  <c r="T136" i="5"/>
  <c r="I137" i="3"/>
  <c r="AF136" i="3"/>
  <c r="V136" i="3"/>
  <c r="AE136" i="3"/>
  <c r="U136" i="3"/>
  <c r="X136" i="3"/>
  <c r="S136" i="3"/>
  <c r="AA136" i="3"/>
  <c r="AD136" i="3"/>
  <c r="Y136" i="3"/>
  <c r="K136" i="3"/>
  <c r="T136" i="3"/>
  <c r="AC136" i="3"/>
  <c r="R136" i="3"/>
  <c r="AB136" i="3"/>
  <c r="O136" i="3"/>
  <c r="N136" i="3"/>
  <c r="L136" i="3"/>
  <c r="Q136" i="3"/>
  <c r="G136" i="3"/>
  <c r="Y137" i="5" l="1"/>
  <c r="X137" i="5"/>
  <c r="U137" i="5"/>
  <c r="V137" i="5"/>
  <c r="T137" i="5"/>
  <c r="S137" i="5"/>
  <c r="I138" i="5"/>
  <c r="R137" i="5"/>
  <c r="Q137" i="5"/>
  <c r="O137" i="5"/>
  <c r="N137" i="5"/>
  <c r="L137" i="5"/>
  <c r="AD137" i="5"/>
  <c r="AC137" i="5"/>
  <c r="AB137" i="5"/>
  <c r="AA137" i="5"/>
  <c r="K137" i="5"/>
  <c r="AE137" i="5"/>
  <c r="AF137" i="5"/>
  <c r="Y137" i="3"/>
  <c r="AA137" i="3"/>
  <c r="X137" i="3"/>
  <c r="R137" i="3"/>
  <c r="I138" i="3"/>
  <c r="AC137" i="3"/>
  <c r="N137" i="3"/>
  <c r="K137" i="3"/>
  <c r="AF137" i="3"/>
  <c r="U137" i="3"/>
  <c r="Q137" i="3"/>
  <c r="V137" i="3"/>
  <c r="O137" i="3"/>
  <c r="T137" i="3"/>
  <c r="AE137" i="3"/>
  <c r="S137" i="3"/>
  <c r="AD137" i="3"/>
  <c r="L137" i="3"/>
  <c r="AB137" i="3"/>
  <c r="G137" i="3"/>
  <c r="AB138" i="5" l="1"/>
  <c r="L138" i="5"/>
  <c r="AA138" i="5"/>
  <c r="K138" i="5"/>
  <c r="X138" i="5"/>
  <c r="Q138" i="5"/>
  <c r="O138" i="5"/>
  <c r="AF138" i="5"/>
  <c r="N138" i="5"/>
  <c r="AE138" i="5"/>
  <c r="U138" i="5"/>
  <c r="T138" i="5"/>
  <c r="S138" i="5"/>
  <c r="R138" i="5"/>
  <c r="I139" i="5"/>
  <c r="AC138" i="5"/>
  <c r="V138" i="5"/>
  <c r="AD138" i="5"/>
  <c r="Y138" i="5"/>
  <c r="AD138" i="3"/>
  <c r="AB138" i="3"/>
  <c r="AC138" i="3"/>
  <c r="L138" i="3"/>
  <c r="Y138" i="3"/>
  <c r="AA138" i="3"/>
  <c r="T138" i="3"/>
  <c r="K138" i="3"/>
  <c r="U138" i="3"/>
  <c r="X138" i="3"/>
  <c r="V138" i="3"/>
  <c r="Q138" i="3"/>
  <c r="S138" i="3"/>
  <c r="O138" i="3"/>
  <c r="R138" i="3"/>
  <c r="AF138" i="3"/>
  <c r="N138" i="3"/>
  <c r="I139" i="3"/>
  <c r="AE138" i="3"/>
  <c r="G138" i="3"/>
  <c r="AD139" i="5" l="1"/>
  <c r="O139" i="5"/>
  <c r="AC139" i="5"/>
  <c r="N139" i="5"/>
  <c r="AA139" i="5"/>
  <c r="K139" i="5"/>
  <c r="AB139" i="5"/>
  <c r="Y139" i="5"/>
  <c r="X139" i="5"/>
  <c r="V139" i="5"/>
  <c r="U139" i="5"/>
  <c r="T139" i="5"/>
  <c r="S139" i="5"/>
  <c r="R139" i="5"/>
  <c r="Q139" i="5"/>
  <c r="L139" i="5"/>
  <c r="AF139" i="5"/>
  <c r="AE139" i="5"/>
  <c r="I140" i="5"/>
  <c r="Q139" i="3"/>
  <c r="AD139" i="3"/>
  <c r="T139" i="3"/>
  <c r="O139" i="3"/>
  <c r="S139" i="3"/>
  <c r="AC139" i="3"/>
  <c r="R139" i="3"/>
  <c r="N139" i="3"/>
  <c r="AF139" i="3"/>
  <c r="AA139" i="3"/>
  <c r="V139" i="3"/>
  <c r="K139" i="3"/>
  <c r="U139" i="3"/>
  <c r="AB139" i="3"/>
  <c r="AE139" i="3"/>
  <c r="Y139" i="3"/>
  <c r="X139" i="3"/>
  <c r="I140" i="3"/>
  <c r="L139" i="3"/>
  <c r="G139" i="3"/>
  <c r="AF140" i="5" l="1"/>
  <c r="R140" i="5"/>
  <c r="AE140" i="5"/>
  <c r="Q140" i="5"/>
  <c r="AC140" i="5"/>
  <c r="N140" i="5"/>
  <c r="U140" i="5"/>
  <c r="T140" i="5"/>
  <c r="I141" i="5"/>
  <c r="S140" i="5"/>
  <c r="O140" i="5"/>
  <c r="AA140" i="5"/>
  <c r="Y140" i="5"/>
  <c r="X140" i="5"/>
  <c r="V140" i="5"/>
  <c r="AD140" i="5"/>
  <c r="AB140" i="5"/>
  <c r="L140" i="5"/>
  <c r="K140" i="5"/>
  <c r="AB140" i="3"/>
  <c r="AF140" i="3"/>
  <c r="X140" i="3"/>
  <c r="R140" i="3"/>
  <c r="V140" i="3"/>
  <c r="S140" i="3"/>
  <c r="AD140" i="3"/>
  <c r="AE140" i="3"/>
  <c r="O140" i="3"/>
  <c r="Q140" i="3"/>
  <c r="L140" i="3"/>
  <c r="G140" i="3" s="1"/>
  <c r="AC140" i="3"/>
  <c r="K140" i="3"/>
  <c r="N140" i="3"/>
  <c r="AA140" i="3"/>
  <c r="U140" i="3"/>
  <c r="Y140" i="3"/>
  <c r="T140" i="3"/>
  <c r="I141" i="3"/>
  <c r="T141" i="5" l="1"/>
  <c r="S141" i="5"/>
  <c r="AE141" i="5"/>
  <c r="Q141" i="5"/>
  <c r="AF141" i="5"/>
  <c r="L141" i="5"/>
  <c r="AD141" i="5"/>
  <c r="K141" i="5"/>
  <c r="AC141" i="5"/>
  <c r="AB141" i="5"/>
  <c r="AA141" i="5"/>
  <c r="Y141" i="5"/>
  <c r="X141" i="5"/>
  <c r="V141" i="5"/>
  <c r="I142" i="5"/>
  <c r="U141" i="5"/>
  <c r="R141" i="5"/>
  <c r="O141" i="5"/>
  <c r="N141" i="5"/>
  <c r="AA141" i="3"/>
  <c r="T141" i="3"/>
  <c r="Y141" i="3"/>
  <c r="U141" i="3"/>
  <c r="AE141" i="3"/>
  <c r="Q141" i="3"/>
  <c r="O141" i="3"/>
  <c r="AF141" i="3"/>
  <c r="N141" i="3"/>
  <c r="AD141" i="3"/>
  <c r="K141" i="3"/>
  <c r="G141" i="3" s="1"/>
  <c r="S141" i="3"/>
  <c r="R141" i="3"/>
  <c r="L141" i="3"/>
  <c r="X141" i="3"/>
  <c r="V141" i="3"/>
  <c r="AC141" i="3"/>
  <c r="I142" i="3"/>
  <c r="AB141" i="3"/>
  <c r="I143" i="5" l="1"/>
  <c r="V142" i="5"/>
  <c r="U142" i="5"/>
  <c r="S142" i="5"/>
  <c r="AA142" i="5"/>
  <c r="Y142" i="5"/>
  <c r="X142" i="5"/>
  <c r="T142" i="5"/>
  <c r="AE142" i="5"/>
  <c r="AD142" i="5"/>
  <c r="AC142" i="5"/>
  <c r="AB142" i="5"/>
  <c r="R142" i="5"/>
  <c r="Q142" i="5"/>
  <c r="O142" i="5"/>
  <c r="N142" i="5"/>
  <c r="L142" i="5"/>
  <c r="K142" i="5"/>
  <c r="AF142" i="5"/>
  <c r="I143" i="3"/>
  <c r="L142" i="3"/>
  <c r="V142" i="3"/>
  <c r="T142" i="3"/>
  <c r="U142" i="3"/>
  <c r="AC142" i="3"/>
  <c r="AD142" i="3"/>
  <c r="S142" i="3"/>
  <c r="AB142" i="3"/>
  <c r="AA142" i="3"/>
  <c r="R142" i="3"/>
  <c r="Y142" i="3"/>
  <c r="O142" i="3"/>
  <c r="X142" i="3"/>
  <c r="N142" i="3"/>
  <c r="K142" i="3"/>
  <c r="AF142" i="3"/>
  <c r="AE142" i="3"/>
  <c r="Q142" i="3"/>
  <c r="G142" i="3"/>
  <c r="Y143" i="5" l="1"/>
  <c r="X143" i="5"/>
  <c r="U143" i="5"/>
  <c r="I144" i="5"/>
  <c r="R143" i="5"/>
  <c r="Q143" i="5"/>
  <c r="O143" i="5"/>
  <c r="AF143" i="5"/>
  <c r="N143" i="5"/>
  <c r="AE143" i="5"/>
  <c r="AD143" i="5"/>
  <c r="AC143" i="5"/>
  <c r="AB143" i="5"/>
  <c r="AA143" i="5"/>
  <c r="V143" i="5"/>
  <c r="T143" i="5"/>
  <c r="S143" i="5"/>
  <c r="K143" i="5"/>
  <c r="L143" i="5"/>
  <c r="Y143" i="3"/>
  <c r="T143" i="3"/>
  <c r="X143" i="3"/>
  <c r="S143" i="3"/>
  <c r="U143" i="3"/>
  <c r="N143" i="3"/>
  <c r="I144" i="3"/>
  <c r="AA143" i="3"/>
  <c r="R143" i="3"/>
  <c r="V143" i="3"/>
  <c r="Q143" i="3"/>
  <c r="O143" i="3"/>
  <c r="AE143" i="3"/>
  <c r="AC143" i="3"/>
  <c r="AD143" i="3"/>
  <c r="L143" i="3"/>
  <c r="K143" i="3"/>
  <c r="G143" i="3" s="1"/>
  <c r="AF143" i="3"/>
  <c r="AB143" i="3"/>
  <c r="AB144" i="5" l="1"/>
  <c r="L144" i="5"/>
  <c r="AA144" i="5"/>
  <c r="K144" i="5"/>
  <c r="X144" i="5"/>
  <c r="AE144" i="5"/>
  <c r="AD144" i="5"/>
  <c r="AC144" i="5"/>
  <c r="Y144" i="5"/>
  <c r="AF144" i="5"/>
  <c r="R144" i="5"/>
  <c r="Q144" i="5"/>
  <c r="O144" i="5"/>
  <c r="N144" i="5"/>
  <c r="V144" i="5"/>
  <c r="U144" i="5"/>
  <c r="T144" i="5"/>
  <c r="S144" i="5"/>
  <c r="I145" i="5"/>
  <c r="AB144" i="3"/>
  <c r="T144" i="3"/>
  <c r="L144" i="3"/>
  <c r="Q144" i="3"/>
  <c r="AA144" i="3"/>
  <c r="O144" i="3"/>
  <c r="K144" i="3"/>
  <c r="N144" i="3"/>
  <c r="X144" i="3"/>
  <c r="R144" i="3"/>
  <c r="AE144" i="3"/>
  <c r="I145" i="3"/>
  <c r="AD144" i="3"/>
  <c r="S144" i="3"/>
  <c r="AC144" i="3"/>
  <c r="AF144" i="3"/>
  <c r="Y144" i="3"/>
  <c r="V144" i="3"/>
  <c r="U144" i="3"/>
  <c r="G144" i="3"/>
  <c r="AD145" i="5" l="1"/>
  <c r="O145" i="5"/>
  <c r="AC145" i="5"/>
  <c r="N145" i="5"/>
  <c r="AA145" i="5"/>
  <c r="K145" i="5"/>
  <c r="V145" i="5"/>
  <c r="U145" i="5"/>
  <c r="T145" i="5"/>
  <c r="I146" i="5"/>
  <c r="S145" i="5"/>
  <c r="AF145" i="5"/>
  <c r="AE145" i="5"/>
  <c r="AB145" i="5"/>
  <c r="Y145" i="5"/>
  <c r="X145" i="5"/>
  <c r="L145" i="5"/>
  <c r="R145" i="5"/>
  <c r="Q145" i="5"/>
  <c r="AE145" i="3"/>
  <c r="AD145" i="3"/>
  <c r="Q145" i="3"/>
  <c r="O145" i="3"/>
  <c r="I146" i="3"/>
  <c r="U145" i="3"/>
  <c r="T145" i="3"/>
  <c r="AF145" i="3"/>
  <c r="AC145" i="3"/>
  <c r="Y145" i="3"/>
  <c r="N145" i="3"/>
  <c r="X145" i="3"/>
  <c r="AA145" i="3"/>
  <c r="S145" i="3"/>
  <c r="K145" i="3"/>
  <c r="R145" i="3"/>
  <c r="V145" i="3"/>
  <c r="L145" i="3"/>
  <c r="AB145" i="3"/>
  <c r="G145" i="3"/>
  <c r="AF146" i="5" l="1"/>
  <c r="R146" i="5"/>
  <c r="AE146" i="5"/>
  <c r="Q146" i="5"/>
  <c r="AC146" i="5"/>
  <c r="N146" i="5"/>
  <c r="O146" i="5"/>
  <c r="L146" i="5"/>
  <c r="K146" i="5"/>
  <c r="AD146" i="5"/>
  <c r="I147" i="5"/>
  <c r="AB146" i="5"/>
  <c r="AA146" i="5"/>
  <c r="Y146" i="5"/>
  <c r="X146" i="5"/>
  <c r="U146" i="5"/>
  <c r="S146" i="5"/>
  <c r="V146" i="5"/>
  <c r="T146" i="5"/>
  <c r="AA146" i="3"/>
  <c r="AF146" i="3"/>
  <c r="Y146" i="3"/>
  <c r="R146" i="3"/>
  <c r="X146" i="3"/>
  <c r="AE146" i="3"/>
  <c r="T146" i="3"/>
  <c r="Q146" i="3"/>
  <c r="S146" i="3"/>
  <c r="AC146" i="3"/>
  <c r="I147" i="3"/>
  <c r="N146" i="3"/>
  <c r="V146" i="3"/>
  <c r="O146" i="3"/>
  <c r="L146" i="3"/>
  <c r="AD146" i="3"/>
  <c r="U146" i="3"/>
  <c r="K146" i="3"/>
  <c r="AB146" i="3"/>
  <c r="G146" i="3"/>
  <c r="T147" i="5" l="1"/>
  <c r="S147" i="5"/>
  <c r="AE147" i="5"/>
  <c r="Q147" i="5"/>
  <c r="AB147" i="5"/>
  <c r="AA147" i="5"/>
  <c r="Y147" i="5"/>
  <c r="X147" i="5"/>
  <c r="N147" i="5"/>
  <c r="L147" i="5"/>
  <c r="K147" i="5"/>
  <c r="I148" i="5"/>
  <c r="V147" i="5"/>
  <c r="U147" i="5"/>
  <c r="R147" i="5"/>
  <c r="O147" i="5"/>
  <c r="AF147" i="5"/>
  <c r="AD147" i="5"/>
  <c r="AC147" i="5"/>
  <c r="AC147" i="3"/>
  <c r="V147" i="3"/>
  <c r="T147" i="3"/>
  <c r="U147" i="3"/>
  <c r="AA147" i="3"/>
  <c r="N147" i="3"/>
  <c r="Y147" i="3"/>
  <c r="L147" i="3"/>
  <c r="AF147" i="3"/>
  <c r="X147" i="3"/>
  <c r="S147" i="3"/>
  <c r="I148" i="3"/>
  <c r="AE147" i="3"/>
  <c r="R147" i="3"/>
  <c r="Q147" i="3"/>
  <c r="O147" i="3"/>
  <c r="AB147" i="3"/>
  <c r="K147" i="3"/>
  <c r="AD147" i="3"/>
  <c r="G147" i="3"/>
  <c r="I149" i="5" l="1"/>
  <c r="V148" i="5"/>
  <c r="U148" i="5"/>
  <c r="S148" i="5"/>
  <c r="T148" i="5"/>
  <c r="R148" i="5"/>
  <c r="Q148" i="5"/>
  <c r="O148" i="5"/>
  <c r="N148" i="5"/>
  <c r="L148" i="5"/>
  <c r="K148" i="5"/>
  <c r="AF148" i="5"/>
  <c r="AE148" i="5"/>
  <c r="AD148" i="5"/>
  <c r="AC148" i="5"/>
  <c r="Y148" i="5"/>
  <c r="AB148" i="5"/>
  <c r="AA148" i="5"/>
  <c r="X148" i="5"/>
  <c r="L148" i="3"/>
  <c r="I149" i="3"/>
  <c r="K148" i="3"/>
  <c r="V148" i="3"/>
  <c r="AF148" i="3"/>
  <c r="U148" i="3"/>
  <c r="S148" i="3"/>
  <c r="T148" i="3"/>
  <c r="Y148" i="3"/>
  <c r="R148" i="3"/>
  <c r="X148" i="3"/>
  <c r="Q148" i="3"/>
  <c r="O148" i="3"/>
  <c r="AD148" i="3"/>
  <c r="AC148" i="3"/>
  <c r="AA148" i="3"/>
  <c r="N148" i="3"/>
  <c r="AE148" i="3"/>
  <c r="AB148" i="3"/>
  <c r="G148" i="3"/>
  <c r="Y149" i="5" l="1"/>
  <c r="X149" i="5"/>
  <c r="U149" i="5"/>
  <c r="AF149" i="5"/>
  <c r="N149" i="5"/>
  <c r="AE149" i="5"/>
  <c r="L149" i="5"/>
  <c r="AD149" i="5"/>
  <c r="K149" i="5"/>
  <c r="AC149" i="5"/>
  <c r="S149" i="5"/>
  <c r="R149" i="5"/>
  <c r="Q149" i="5"/>
  <c r="O149" i="5"/>
  <c r="AB149" i="5"/>
  <c r="AA149" i="5"/>
  <c r="V149" i="5"/>
  <c r="T149" i="5"/>
  <c r="I150" i="5"/>
  <c r="V149" i="3"/>
  <c r="Y149" i="3"/>
  <c r="AA149" i="3"/>
  <c r="X149" i="3"/>
  <c r="T149" i="3"/>
  <c r="U149" i="3"/>
  <c r="Q149" i="3"/>
  <c r="AF149" i="3"/>
  <c r="O149" i="3"/>
  <c r="N149" i="3"/>
  <c r="I150" i="3"/>
  <c r="AE149" i="3"/>
  <c r="S149" i="3"/>
  <c r="L149" i="3"/>
  <c r="R149" i="3"/>
  <c r="AD149" i="3"/>
  <c r="K149" i="3"/>
  <c r="AC149" i="3"/>
  <c r="AB149" i="3"/>
  <c r="G149" i="3"/>
  <c r="AB150" i="5" l="1"/>
  <c r="L150" i="5"/>
  <c r="AA150" i="5"/>
  <c r="K150" i="5"/>
  <c r="X150" i="5"/>
  <c r="Y150" i="5"/>
  <c r="V150" i="5"/>
  <c r="U150" i="5"/>
  <c r="T150" i="5"/>
  <c r="S150" i="5"/>
  <c r="R150" i="5"/>
  <c r="Q150" i="5"/>
  <c r="O150" i="5"/>
  <c r="AF150" i="5"/>
  <c r="AE150" i="5"/>
  <c r="AD150" i="5"/>
  <c r="AC150" i="5"/>
  <c r="I151" i="5"/>
  <c r="N150" i="5"/>
  <c r="AC150" i="3"/>
  <c r="AB150" i="3"/>
  <c r="AF150" i="3"/>
  <c r="L150" i="3"/>
  <c r="S150" i="3"/>
  <c r="AA150" i="3"/>
  <c r="R150" i="3"/>
  <c r="K150" i="3"/>
  <c r="G150" i="3" s="1"/>
  <c r="N150" i="3"/>
  <c r="X150" i="3"/>
  <c r="I151" i="3"/>
  <c r="Y150" i="3"/>
  <c r="Q150" i="3"/>
  <c r="V150" i="3"/>
  <c r="O150" i="3"/>
  <c r="U150" i="3"/>
  <c r="AE150" i="3"/>
  <c r="AD150" i="3"/>
  <c r="T150" i="3"/>
  <c r="AD151" i="5" l="1"/>
  <c r="O151" i="5"/>
  <c r="AC151" i="5"/>
  <c r="N151" i="5"/>
  <c r="AA151" i="5"/>
  <c r="K151" i="5"/>
  <c r="I152" i="5"/>
  <c r="S151" i="5"/>
  <c r="R151" i="5"/>
  <c r="Q151" i="5"/>
  <c r="L151" i="5"/>
  <c r="X151" i="5"/>
  <c r="V151" i="5"/>
  <c r="U151" i="5"/>
  <c r="T151" i="5"/>
  <c r="AF151" i="5"/>
  <c r="AE151" i="5"/>
  <c r="AB151" i="5"/>
  <c r="Y151" i="5"/>
  <c r="AD151" i="3"/>
  <c r="Y151" i="3"/>
  <c r="O151" i="3"/>
  <c r="X151" i="3"/>
  <c r="AC151" i="3"/>
  <c r="AF151" i="3"/>
  <c r="R151" i="3"/>
  <c r="Q151" i="3"/>
  <c r="N151" i="3"/>
  <c r="AE151" i="3"/>
  <c r="AA151" i="3"/>
  <c r="L151" i="3"/>
  <c r="G151" i="3" s="1"/>
  <c r="K151" i="3"/>
  <c r="U151" i="3"/>
  <c r="I152" i="3"/>
  <c r="T151" i="3"/>
  <c r="S151" i="3"/>
  <c r="AB151" i="3"/>
  <c r="V151" i="3"/>
  <c r="AF152" i="5" l="1"/>
  <c r="R152" i="5"/>
  <c r="AE152" i="5"/>
  <c r="Q152" i="5"/>
  <c r="AC152" i="5"/>
  <c r="N152" i="5"/>
  <c r="AD152" i="5"/>
  <c r="AB152" i="5"/>
  <c r="AA152" i="5"/>
  <c r="Y152" i="5"/>
  <c r="X152" i="5"/>
  <c r="V152" i="5"/>
  <c r="U152" i="5"/>
  <c r="T152" i="5"/>
  <c r="S152" i="5"/>
  <c r="O152" i="5"/>
  <c r="L152" i="5"/>
  <c r="K152" i="5"/>
  <c r="AF152" i="3"/>
  <c r="U152" i="3"/>
  <c r="R152" i="3"/>
  <c r="T152" i="3"/>
  <c r="AE152" i="3"/>
  <c r="L152" i="3"/>
  <c r="Q152" i="3"/>
  <c r="K152" i="3"/>
  <c r="G152" i="3" s="1"/>
  <c r="AC152" i="3"/>
  <c r="S152" i="3"/>
  <c r="N152" i="3"/>
  <c r="O152" i="3"/>
  <c r="AD152" i="3"/>
  <c r="AB152" i="3"/>
  <c r="AA152" i="3"/>
  <c r="Y152" i="3"/>
  <c r="X152" i="3"/>
  <c r="V152" i="3"/>
</calcChain>
</file>

<file path=xl/sharedStrings.xml><?xml version="1.0" encoding="utf-8"?>
<sst xmlns="http://schemas.openxmlformats.org/spreadsheetml/2006/main" count="132" uniqueCount="50">
  <si>
    <t>P</t>
  </si>
  <si>
    <t>Sigma</t>
  </si>
  <si>
    <t>r</t>
  </si>
  <si>
    <t>r_d</t>
  </si>
  <si>
    <t>K</t>
  </si>
  <si>
    <t>H1</t>
  </si>
  <si>
    <t>H2</t>
  </si>
  <si>
    <t>T</t>
  </si>
  <si>
    <t>a</t>
  </si>
  <si>
    <t>b</t>
  </si>
  <si>
    <t>N(d1)</t>
  </si>
  <si>
    <t>N(d2)</t>
  </si>
  <si>
    <t>N(d3)</t>
  </si>
  <si>
    <t>N(d4)</t>
  </si>
  <si>
    <t>N(d5)</t>
  </si>
  <si>
    <t>N(d6)</t>
  </si>
  <si>
    <t>N(d7)</t>
  </si>
  <si>
    <t>N(d8)</t>
  </si>
  <si>
    <t>Vanilla Put</t>
  </si>
  <si>
    <t>UIP K&gt;H</t>
  </si>
  <si>
    <t>UIP K&lt;H</t>
  </si>
  <si>
    <t>N(d3) H1</t>
  </si>
  <si>
    <t>N(d4) H1</t>
  </si>
  <si>
    <t>N(d5) H1</t>
  </si>
  <si>
    <t>N(d6) H1</t>
  </si>
  <si>
    <t>N(d7) H1</t>
  </si>
  <si>
    <t>N(d8) H1</t>
  </si>
  <si>
    <t>N(d3) H2</t>
  </si>
  <si>
    <t>N(d4) H2</t>
  </si>
  <si>
    <t>N(d5) H2</t>
  </si>
  <si>
    <t>N(d6) H2</t>
  </si>
  <si>
    <t>N(d7) H2</t>
  </si>
  <si>
    <t>N(d8) H2</t>
  </si>
  <si>
    <t xml:space="preserve">N(d1) </t>
  </si>
  <si>
    <t>a H1</t>
  </si>
  <si>
    <t>b H1</t>
  </si>
  <si>
    <t>a H2</t>
  </si>
  <si>
    <t>b H2</t>
  </si>
  <si>
    <t>UOP K&lt;H</t>
  </si>
  <si>
    <t>UOP K&gt;H</t>
  </si>
  <si>
    <t>DIP H&gt;K</t>
  </si>
  <si>
    <t>DIP H &lt; K  = Vanilla put</t>
  </si>
  <si>
    <t>DOP H &gt; K  knocked out immediately</t>
  </si>
  <si>
    <t>DOP H&lt;K</t>
  </si>
  <si>
    <t>Vanilla Call</t>
  </si>
  <si>
    <t>DIC H&gt;K</t>
  </si>
  <si>
    <t>DIC H&lt;K</t>
  </si>
  <si>
    <t>WRONG FIX!</t>
  </si>
  <si>
    <t>K and H are icorrect</t>
  </si>
  <si>
    <t>So d s have to switch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</si>
</sst>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#,##0.000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C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0" fillId="2" borderId="0" xfId="0" applyFill="1"/>
    <xf numFmtId="164" fontId="0" fillId="2" borderId="0" xfId="0" applyNumberFormat="1" applyFill="1"/>
    <xf numFmtId="0" fontId="0" fillId="3" borderId="0" xfId="0" applyFill="1"/>
    <xf numFmtId="164" fontId="0" fillId="3" borderId="0" xfId="0" applyNumberFormat="1" applyFill="1"/>
    <xf numFmtId="165" fontId="0" fillId="0" borderId="0" xfId="0" applyNumberFormat="1"/>
    <xf numFmtId="0" fontId="0" fillId="0" borderId="0" xfId="0" applyFill="1"/>
    <xf numFmtId="16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050"/>
              <a:t>Up-and-in put. </a:t>
            </a:r>
            <a:r>
              <a:rPr lang="el-GR" sz="1050"/>
              <a:t>σ = 0.2, </a:t>
            </a:r>
            <a:r>
              <a:rPr lang="en-US" sz="1050"/>
              <a:t>r = 0.05, rd = 0, K = 100, T = 1 and H = 120.</a:t>
            </a:r>
          </a:p>
        </c:rich>
      </c:tx>
      <c:layout>
        <c:manualLayout>
          <c:xMode val="edge"/>
          <c:yMode val="edge"/>
          <c:x val="2.1842268648192276E-2"/>
          <c:y val="1.26337423383067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79893518711963"/>
          <c:y val="9.9281744556902946E-2"/>
          <c:w val="0.84681678474707534"/>
          <c:h val="0.78393908225796693"/>
        </c:manualLayout>
      </c:layout>
      <c:lineChart>
        <c:grouping val="standard"/>
        <c:varyColors val="0"/>
        <c:ser>
          <c:idx val="0"/>
          <c:order val="0"/>
          <c:tx>
            <c:v>Up-and-in put</c:v>
          </c:tx>
          <c:spPr>
            <a:ln w="28575" cap="rnd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UIP!$I$2:$I$102</c:f>
              <c:numCache>
                <c:formatCode>General</c:formatCode>
                <c:ptCount val="101"/>
                <c:pt idx="0">
                  <c:v>50</c:v>
                </c:pt>
                <c:pt idx="1">
                  <c:v>51</c:v>
                </c:pt>
                <c:pt idx="2">
                  <c:v>52</c:v>
                </c:pt>
                <c:pt idx="3">
                  <c:v>53</c:v>
                </c:pt>
                <c:pt idx="4">
                  <c:v>54</c:v>
                </c:pt>
                <c:pt idx="5">
                  <c:v>55</c:v>
                </c:pt>
                <c:pt idx="6">
                  <c:v>56</c:v>
                </c:pt>
                <c:pt idx="7">
                  <c:v>57</c:v>
                </c:pt>
                <c:pt idx="8">
                  <c:v>58</c:v>
                </c:pt>
                <c:pt idx="9">
                  <c:v>59</c:v>
                </c:pt>
                <c:pt idx="10">
                  <c:v>60</c:v>
                </c:pt>
                <c:pt idx="11">
                  <c:v>61</c:v>
                </c:pt>
                <c:pt idx="12">
                  <c:v>62</c:v>
                </c:pt>
                <c:pt idx="13">
                  <c:v>63</c:v>
                </c:pt>
                <c:pt idx="14">
                  <c:v>64</c:v>
                </c:pt>
                <c:pt idx="15">
                  <c:v>65</c:v>
                </c:pt>
                <c:pt idx="16">
                  <c:v>66</c:v>
                </c:pt>
                <c:pt idx="17">
                  <c:v>67</c:v>
                </c:pt>
                <c:pt idx="18">
                  <c:v>68</c:v>
                </c:pt>
                <c:pt idx="19">
                  <c:v>69</c:v>
                </c:pt>
                <c:pt idx="20">
                  <c:v>70</c:v>
                </c:pt>
                <c:pt idx="21">
                  <c:v>71</c:v>
                </c:pt>
                <c:pt idx="22">
                  <c:v>72</c:v>
                </c:pt>
                <c:pt idx="23">
                  <c:v>73</c:v>
                </c:pt>
                <c:pt idx="24">
                  <c:v>74</c:v>
                </c:pt>
                <c:pt idx="25">
                  <c:v>75</c:v>
                </c:pt>
                <c:pt idx="26">
                  <c:v>76</c:v>
                </c:pt>
                <c:pt idx="27">
                  <c:v>77</c:v>
                </c:pt>
                <c:pt idx="28">
                  <c:v>78</c:v>
                </c:pt>
                <c:pt idx="29">
                  <c:v>79</c:v>
                </c:pt>
                <c:pt idx="30">
                  <c:v>80</c:v>
                </c:pt>
                <c:pt idx="31">
                  <c:v>81</c:v>
                </c:pt>
                <c:pt idx="32">
                  <c:v>82</c:v>
                </c:pt>
                <c:pt idx="33">
                  <c:v>83</c:v>
                </c:pt>
                <c:pt idx="34">
                  <c:v>84</c:v>
                </c:pt>
                <c:pt idx="35">
                  <c:v>85</c:v>
                </c:pt>
                <c:pt idx="36">
                  <c:v>86</c:v>
                </c:pt>
                <c:pt idx="37">
                  <c:v>87</c:v>
                </c:pt>
                <c:pt idx="38">
                  <c:v>88</c:v>
                </c:pt>
                <c:pt idx="39">
                  <c:v>89</c:v>
                </c:pt>
                <c:pt idx="40">
                  <c:v>90</c:v>
                </c:pt>
                <c:pt idx="41">
                  <c:v>91</c:v>
                </c:pt>
                <c:pt idx="42">
                  <c:v>92</c:v>
                </c:pt>
                <c:pt idx="43">
                  <c:v>93</c:v>
                </c:pt>
                <c:pt idx="44">
                  <c:v>94</c:v>
                </c:pt>
                <c:pt idx="45">
                  <c:v>95</c:v>
                </c:pt>
                <c:pt idx="46">
                  <c:v>96</c:v>
                </c:pt>
                <c:pt idx="47">
                  <c:v>97</c:v>
                </c:pt>
                <c:pt idx="48">
                  <c:v>98</c:v>
                </c:pt>
                <c:pt idx="49">
                  <c:v>99</c:v>
                </c:pt>
                <c:pt idx="50">
                  <c:v>100</c:v>
                </c:pt>
                <c:pt idx="51">
                  <c:v>101</c:v>
                </c:pt>
                <c:pt idx="52">
                  <c:v>102</c:v>
                </c:pt>
                <c:pt idx="53">
                  <c:v>103</c:v>
                </c:pt>
                <c:pt idx="54">
                  <c:v>104</c:v>
                </c:pt>
                <c:pt idx="55">
                  <c:v>105</c:v>
                </c:pt>
                <c:pt idx="56">
                  <c:v>106</c:v>
                </c:pt>
                <c:pt idx="57">
                  <c:v>107</c:v>
                </c:pt>
                <c:pt idx="58">
                  <c:v>108</c:v>
                </c:pt>
                <c:pt idx="59">
                  <c:v>109</c:v>
                </c:pt>
                <c:pt idx="60">
                  <c:v>110</c:v>
                </c:pt>
                <c:pt idx="61">
                  <c:v>111</c:v>
                </c:pt>
                <c:pt idx="62">
                  <c:v>112</c:v>
                </c:pt>
                <c:pt idx="63">
                  <c:v>113</c:v>
                </c:pt>
                <c:pt idx="64">
                  <c:v>114</c:v>
                </c:pt>
                <c:pt idx="65">
                  <c:v>115</c:v>
                </c:pt>
                <c:pt idx="66">
                  <c:v>116</c:v>
                </c:pt>
                <c:pt idx="67">
                  <c:v>117</c:v>
                </c:pt>
                <c:pt idx="68">
                  <c:v>118</c:v>
                </c:pt>
                <c:pt idx="69">
                  <c:v>119</c:v>
                </c:pt>
                <c:pt idx="70">
                  <c:v>120</c:v>
                </c:pt>
                <c:pt idx="71">
                  <c:v>121</c:v>
                </c:pt>
                <c:pt idx="72">
                  <c:v>122</c:v>
                </c:pt>
                <c:pt idx="73">
                  <c:v>123</c:v>
                </c:pt>
                <c:pt idx="74">
                  <c:v>124</c:v>
                </c:pt>
                <c:pt idx="75">
                  <c:v>125</c:v>
                </c:pt>
                <c:pt idx="76">
                  <c:v>126</c:v>
                </c:pt>
                <c:pt idx="77">
                  <c:v>127</c:v>
                </c:pt>
                <c:pt idx="78">
                  <c:v>128</c:v>
                </c:pt>
                <c:pt idx="79">
                  <c:v>129</c:v>
                </c:pt>
                <c:pt idx="80">
                  <c:v>130</c:v>
                </c:pt>
                <c:pt idx="81">
                  <c:v>131</c:v>
                </c:pt>
                <c:pt idx="82">
                  <c:v>132</c:v>
                </c:pt>
                <c:pt idx="83">
                  <c:v>133</c:v>
                </c:pt>
                <c:pt idx="84">
                  <c:v>134</c:v>
                </c:pt>
                <c:pt idx="85">
                  <c:v>135</c:v>
                </c:pt>
                <c:pt idx="86">
                  <c:v>136</c:v>
                </c:pt>
                <c:pt idx="87">
                  <c:v>137</c:v>
                </c:pt>
                <c:pt idx="88">
                  <c:v>138</c:v>
                </c:pt>
                <c:pt idx="89">
                  <c:v>139</c:v>
                </c:pt>
                <c:pt idx="90">
                  <c:v>140</c:v>
                </c:pt>
                <c:pt idx="91">
                  <c:v>141</c:v>
                </c:pt>
                <c:pt idx="92">
                  <c:v>142</c:v>
                </c:pt>
                <c:pt idx="93">
                  <c:v>143</c:v>
                </c:pt>
                <c:pt idx="94">
                  <c:v>144</c:v>
                </c:pt>
                <c:pt idx="95">
                  <c:v>145</c:v>
                </c:pt>
                <c:pt idx="96">
                  <c:v>146</c:v>
                </c:pt>
                <c:pt idx="97">
                  <c:v>147</c:v>
                </c:pt>
                <c:pt idx="98">
                  <c:v>148</c:v>
                </c:pt>
                <c:pt idx="99">
                  <c:v>149</c:v>
                </c:pt>
                <c:pt idx="100">
                  <c:v>150</c:v>
                </c:pt>
              </c:numCache>
            </c:numRef>
          </c:cat>
          <c:val>
            <c:numRef>
              <c:f>UIP!$D$2:$D$71</c:f>
              <c:numCache>
                <c:formatCode>0.0000</c:formatCode>
                <c:ptCount val="70"/>
                <c:pt idx="0">
                  <c:v>3.1745408906732952E-7</c:v>
                </c:pt>
                <c:pt idx="1">
                  <c:v>5.4314914832793635E-7</c:v>
                </c:pt>
                <c:pt idx="2">
                  <c:v>9.1140497105486465E-7</c:v>
                </c:pt>
                <c:pt idx="3">
                  <c:v>1.5012724236467968E-6</c:v>
                </c:pt>
                <c:pt idx="4">
                  <c:v>2.4296280126166145E-6</c:v>
                </c:pt>
                <c:pt idx="5">
                  <c:v>3.8663860838977418E-6</c:v>
                </c:pt>
                <c:pt idx="6">
                  <c:v>6.05462528286053E-6</c:v>
                </c:pt>
                <c:pt idx="7">
                  <c:v>9.3367887675065305E-6</c:v>
                </c:pt>
                <c:pt idx="8">
                  <c:v>1.4188263164873188E-5</c:v>
                </c:pt>
                <c:pt idx="9">
                  <c:v>2.1259771751708798E-5</c:v>
                </c:pt>
                <c:pt idx="10">
                  <c:v>3.1430123208289751E-5</c:v>
                </c:pt>
                <c:pt idx="11">
                  <c:v>4.5870928392150205E-5</c:v>
                </c:pt>
                <c:pt idx="12">
                  <c:v>6.6124923741437596E-5</c:v>
                </c:pt>
                <c:pt idx="13">
                  <c:v>9.4199511535989454E-5</c:v>
                </c:pt>
                <c:pt idx="14">
                  <c:v>1.3267703586453258E-4</c:v>
                </c:pt>
                <c:pt idx="15">
                  <c:v>1.8484315206248464E-4</c:v>
                </c:pt>
                <c:pt idx="16">
                  <c:v>2.5483441217789664E-4</c:v>
                </c:pt>
                <c:pt idx="17">
                  <c:v>3.4780587801401096E-4</c:v>
                </c:pt>
                <c:pt idx="18">
                  <c:v>4.7011918788231535E-4</c:v>
                </c:pt>
                <c:pt idx="19">
                  <c:v>6.2955104803702998E-4</c:v>
                </c:pt>
                <c:pt idx="20">
                  <c:v>8.3552160280268156E-4</c:v>
                </c:pt>
                <c:pt idx="21">
                  <c:v>1.0993415697538554E-3</c:v>
                </c:pt>
                <c:pt idx="22">
                  <c:v>1.4344764219165369E-3</c:v>
                </c:pt>
                <c:pt idx="23">
                  <c:v>1.8568252741989685E-3</c:v>
                </c:pt>
                <c:pt idx="24">
                  <c:v>2.3850115043139927E-3</c:v>
                </c:pt>
                <c:pt idx="25">
                  <c:v>3.0406815286820182E-3</c:v>
                </c:pt>
                <c:pt idx="26">
                  <c:v>3.8488075809723632E-3</c:v>
                </c:pt>
                <c:pt idx="27">
                  <c:v>4.8379898245065334E-3</c:v>
                </c:pt>
                <c:pt idx="28">
                  <c:v>6.0407526880541657E-3</c:v>
                </c:pt>
                <c:pt idx="29">
                  <c:v>7.493829964192622E-3</c:v>
                </c:pt>
                <c:pt idx="30">
                  <c:v>9.2384329645185947E-3</c:v>
                </c:pt>
                <c:pt idx="31">
                  <c:v>1.1320495897834376E-2</c:v>
                </c:pt>
                <c:pt idx="32">
                  <c:v>1.3790892633851776E-2</c:v>
                </c:pt>
                <c:pt idx="33">
                  <c:v>1.6705619140282124E-2</c:v>
                </c:pt>
                <c:pt idx="34">
                  <c:v>2.0125936135895195E-2</c:v>
                </c:pt>
                <c:pt idx="35">
                  <c:v>2.4118466883177814E-2</c:v>
                </c:pt>
                <c:pt idx="36">
                  <c:v>2.8755245544768326E-2</c:v>
                </c:pt>
                <c:pt idx="37">
                  <c:v>3.4113712137994523E-2</c:v>
                </c:pt>
                <c:pt idx="38">
                  <c:v>4.027665082851839E-2</c:v>
                </c:pt>
                <c:pt idx="39">
                  <c:v>4.7332069092082318E-2</c:v>
                </c:pt>
                <c:pt idx="40">
                  <c:v>5.5373016125139674E-2</c:v>
                </c:pt>
                <c:pt idx="41">
                  <c:v>6.4497339782170204E-2</c:v>
                </c:pt>
                <c:pt idx="42">
                  <c:v>7.4807382240152265E-2</c:v>
                </c:pt>
                <c:pt idx="43">
                  <c:v>8.6409615519249305E-2</c:v>
                </c:pt>
                <c:pt idx="44">
                  <c:v>9.9414218903898677E-2</c:v>
                </c:pt>
                <c:pt idx="45">
                  <c:v>0.11393460119150878</c:v>
                </c:pt>
                <c:pt idx="46">
                  <c:v>0.13008687152966703</c:v>
                </c:pt>
                <c:pt idx="47">
                  <c:v>0.14798926337144858</c:v>
                </c:pt>
                <c:pt idx="48">
                  <c:v>0.16776151676850315</c:v>
                </c:pt>
                <c:pt idx="49">
                  <c:v>0.18952422482156139</c:v>
                </c:pt>
                <c:pt idx="50">
                  <c:v>0.21339815060915113</c:v>
                </c:pt>
                <c:pt idx="51">
                  <c:v>0.23950352131060892</c:v>
                </c:pt>
                <c:pt idx="52">
                  <c:v>0.26795930652548083</c:v>
                </c:pt>
                <c:pt idx="53">
                  <c:v>0.29888248796588934</c:v>
                </c:pt>
                <c:pt idx="54">
                  <c:v>0.33238732776270652</c:v>
                </c:pt>
                <c:pt idx="55">
                  <c:v>0.36858464258292489</c:v>
                </c:pt>
                <c:pt idx="56">
                  <c:v>0.40758109060922276</c:v>
                </c:pt>
                <c:pt idx="57">
                  <c:v>0.4494784781906116</c:v>
                </c:pt>
                <c:pt idx="58">
                  <c:v>0.49437309264202245</c:v>
                </c:pt>
                <c:pt idx="59">
                  <c:v>0.54235506726143967</c:v>
                </c:pt>
                <c:pt idx="60">
                  <c:v>0.59350778415441319</c:v>
                </c:pt>
                <c:pt idx="61">
                  <c:v>0.64790731991933637</c:v>
                </c:pt>
                <c:pt idx="62">
                  <c:v>0.70562193866317546</c:v>
                </c:pt>
                <c:pt idx="63">
                  <c:v>0.76671163619800886</c:v>
                </c:pt>
                <c:pt idx="64">
                  <c:v>0.83122773862472599</c:v>
                </c:pt>
                <c:pt idx="65">
                  <c:v>0.89921255785229626</c:v>
                </c:pt>
                <c:pt idx="66">
                  <c:v>0.97069910594005648</c:v>
                </c:pt>
                <c:pt idx="67">
                  <c:v>1.0457108694949433</c:v>
                </c:pt>
                <c:pt idx="68">
                  <c:v>1.1242616447157641</c:v>
                </c:pt>
                <c:pt idx="69">
                  <c:v>1.2063554330596347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5D-457B-BBEE-95E9F6BF5C16}"/>
            </c:ext>
          </c:extLst>
        </c:ser>
        <c:ser>
          <c:idx val="1"/>
          <c:order val="1"/>
          <c:tx>
            <c:v>Vanilla put</c:v>
          </c:tx>
          <c:spPr>
            <a:ln w="1905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UIP!$I$2:$I$102</c:f>
              <c:numCache>
                <c:formatCode>General</c:formatCode>
                <c:ptCount val="101"/>
                <c:pt idx="0">
                  <c:v>50</c:v>
                </c:pt>
                <c:pt idx="1">
                  <c:v>51</c:v>
                </c:pt>
                <c:pt idx="2">
                  <c:v>52</c:v>
                </c:pt>
                <c:pt idx="3">
                  <c:v>53</c:v>
                </c:pt>
                <c:pt idx="4">
                  <c:v>54</c:v>
                </c:pt>
                <c:pt idx="5">
                  <c:v>55</c:v>
                </c:pt>
                <c:pt idx="6">
                  <c:v>56</c:v>
                </c:pt>
                <c:pt idx="7">
                  <c:v>57</c:v>
                </c:pt>
                <c:pt idx="8">
                  <c:v>58</c:v>
                </c:pt>
                <c:pt idx="9">
                  <c:v>59</c:v>
                </c:pt>
                <c:pt idx="10">
                  <c:v>60</c:v>
                </c:pt>
                <c:pt idx="11">
                  <c:v>61</c:v>
                </c:pt>
                <c:pt idx="12">
                  <c:v>62</c:v>
                </c:pt>
                <c:pt idx="13">
                  <c:v>63</c:v>
                </c:pt>
                <c:pt idx="14">
                  <c:v>64</c:v>
                </c:pt>
                <c:pt idx="15">
                  <c:v>65</c:v>
                </c:pt>
                <c:pt idx="16">
                  <c:v>66</c:v>
                </c:pt>
                <c:pt idx="17">
                  <c:v>67</c:v>
                </c:pt>
                <c:pt idx="18">
                  <c:v>68</c:v>
                </c:pt>
                <c:pt idx="19">
                  <c:v>69</c:v>
                </c:pt>
                <c:pt idx="20">
                  <c:v>70</c:v>
                </c:pt>
                <c:pt idx="21">
                  <c:v>71</c:v>
                </c:pt>
                <c:pt idx="22">
                  <c:v>72</c:v>
                </c:pt>
                <c:pt idx="23">
                  <c:v>73</c:v>
                </c:pt>
                <c:pt idx="24">
                  <c:v>74</c:v>
                </c:pt>
                <c:pt idx="25">
                  <c:v>75</c:v>
                </c:pt>
                <c:pt idx="26">
                  <c:v>76</c:v>
                </c:pt>
                <c:pt idx="27">
                  <c:v>77</c:v>
                </c:pt>
                <c:pt idx="28">
                  <c:v>78</c:v>
                </c:pt>
                <c:pt idx="29">
                  <c:v>79</c:v>
                </c:pt>
                <c:pt idx="30">
                  <c:v>80</c:v>
                </c:pt>
                <c:pt idx="31">
                  <c:v>81</c:v>
                </c:pt>
                <c:pt idx="32">
                  <c:v>82</c:v>
                </c:pt>
                <c:pt idx="33">
                  <c:v>83</c:v>
                </c:pt>
                <c:pt idx="34">
                  <c:v>84</c:v>
                </c:pt>
                <c:pt idx="35">
                  <c:v>85</c:v>
                </c:pt>
                <c:pt idx="36">
                  <c:v>86</c:v>
                </c:pt>
                <c:pt idx="37">
                  <c:v>87</c:v>
                </c:pt>
                <c:pt idx="38">
                  <c:v>88</c:v>
                </c:pt>
                <c:pt idx="39">
                  <c:v>89</c:v>
                </c:pt>
                <c:pt idx="40">
                  <c:v>90</c:v>
                </c:pt>
                <c:pt idx="41">
                  <c:v>91</c:v>
                </c:pt>
                <c:pt idx="42">
                  <c:v>92</c:v>
                </c:pt>
                <c:pt idx="43">
                  <c:v>93</c:v>
                </c:pt>
                <c:pt idx="44">
                  <c:v>94</c:v>
                </c:pt>
                <c:pt idx="45">
                  <c:v>95</c:v>
                </c:pt>
                <c:pt idx="46">
                  <c:v>96</c:v>
                </c:pt>
                <c:pt idx="47">
                  <c:v>97</c:v>
                </c:pt>
                <c:pt idx="48">
                  <c:v>98</c:v>
                </c:pt>
                <c:pt idx="49">
                  <c:v>99</c:v>
                </c:pt>
                <c:pt idx="50">
                  <c:v>100</c:v>
                </c:pt>
                <c:pt idx="51">
                  <c:v>101</c:v>
                </c:pt>
                <c:pt idx="52">
                  <c:v>102</c:v>
                </c:pt>
                <c:pt idx="53">
                  <c:v>103</c:v>
                </c:pt>
                <c:pt idx="54">
                  <c:v>104</c:v>
                </c:pt>
                <c:pt idx="55">
                  <c:v>105</c:v>
                </c:pt>
                <c:pt idx="56">
                  <c:v>106</c:v>
                </c:pt>
                <c:pt idx="57">
                  <c:v>107</c:v>
                </c:pt>
                <c:pt idx="58">
                  <c:v>108</c:v>
                </c:pt>
                <c:pt idx="59">
                  <c:v>109</c:v>
                </c:pt>
                <c:pt idx="60">
                  <c:v>110</c:v>
                </c:pt>
                <c:pt idx="61">
                  <c:v>111</c:v>
                </c:pt>
                <c:pt idx="62">
                  <c:v>112</c:v>
                </c:pt>
                <c:pt idx="63">
                  <c:v>113</c:v>
                </c:pt>
                <c:pt idx="64">
                  <c:v>114</c:v>
                </c:pt>
                <c:pt idx="65">
                  <c:v>115</c:v>
                </c:pt>
                <c:pt idx="66">
                  <c:v>116</c:v>
                </c:pt>
                <c:pt idx="67">
                  <c:v>117</c:v>
                </c:pt>
                <c:pt idx="68">
                  <c:v>118</c:v>
                </c:pt>
                <c:pt idx="69">
                  <c:v>119</c:v>
                </c:pt>
                <c:pt idx="70">
                  <c:v>120</c:v>
                </c:pt>
                <c:pt idx="71">
                  <c:v>121</c:v>
                </c:pt>
                <c:pt idx="72">
                  <c:v>122</c:v>
                </c:pt>
                <c:pt idx="73">
                  <c:v>123</c:v>
                </c:pt>
                <c:pt idx="74">
                  <c:v>124</c:v>
                </c:pt>
                <c:pt idx="75">
                  <c:v>125</c:v>
                </c:pt>
                <c:pt idx="76">
                  <c:v>126</c:v>
                </c:pt>
                <c:pt idx="77">
                  <c:v>127</c:v>
                </c:pt>
                <c:pt idx="78">
                  <c:v>128</c:v>
                </c:pt>
                <c:pt idx="79">
                  <c:v>129</c:v>
                </c:pt>
                <c:pt idx="80">
                  <c:v>130</c:v>
                </c:pt>
                <c:pt idx="81">
                  <c:v>131</c:v>
                </c:pt>
                <c:pt idx="82">
                  <c:v>132</c:v>
                </c:pt>
                <c:pt idx="83">
                  <c:v>133</c:v>
                </c:pt>
                <c:pt idx="84">
                  <c:v>134</c:v>
                </c:pt>
                <c:pt idx="85">
                  <c:v>135</c:v>
                </c:pt>
                <c:pt idx="86">
                  <c:v>136</c:v>
                </c:pt>
                <c:pt idx="87">
                  <c:v>137</c:v>
                </c:pt>
                <c:pt idx="88">
                  <c:v>138</c:v>
                </c:pt>
                <c:pt idx="89">
                  <c:v>139</c:v>
                </c:pt>
                <c:pt idx="90">
                  <c:v>140</c:v>
                </c:pt>
                <c:pt idx="91">
                  <c:v>141</c:v>
                </c:pt>
                <c:pt idx="92">
                  <c:v>142</c:v>
                </c:pt>
                <c:pt idx="93">
                  <c:v>143</c:v>
                </c:pt>
                <c:pt idx="94">
                  <c:v>144</c:v>
                </c:pt>
                <c:pt idx="95">
                  <c:v>145</c:v>
                </c:pt>
                <c:pt idx="96">
                  <c:v>146</c:v>
                </c:pt>
                <c:pt idx="97">
                  <c:v>147</c:v>
                </c:pt>
                <c:pt idx="98">
                  <c:v>148</c:v>
                </c:pt>
                <c:pt idx="99">
                  <c:v>149</c:v>
                </c:pt>
                <c:pt idx="100">
                  <c:v>150</c:v>
                </c:pt>
              </c:numCache>
            </c:numRef>
          </c:cat>
          <c:val>
            <c:numRef>
              <c:f>UIP!$G$2:$G$102</c:f>
              <c:numCache>
                <c:formatCode>0.0000</c:formatCode>
                <c:ptCount val="101"/>
                <c:pt idx="0">
                  <c:v>45.125341867624712</c:v>
                </c:pt>
                <c:pt idx="1">
                  <c:v>44.126430890383716</c:v>
                </c:pt>
                <c:pt idx="2">
                  <c:v>43.127935198978562</c:v>
                </c:pt>
                <c:pt idx="3">
                  <c:v>42.129982523744545</c:v>
                </c:pt>
                <c:pt idx="4">
                  <c:v>41.132729858016731</c:v>
                </c:pt>
                <c:pt idx="5">
                  <c:v>40.136367465526732</c:v>
                </c:pt>
                <c:pt idx="6">
                  <c:v>39.141122848081693</c:v>
                </c:pt>
                <c:pt idx="7">
                  <c:v>38.147264549243388</c:v>
                </c:pt>
                <c:pt idx="8">
                  <c:v>37.15510566283433</c:v>
                </c:pt>
                <c:pt idx="9">
                  <c:v>36.165006913461681</c:v>
                </c:pt>
                <c:pt idx="10">
                  <c:v>35.177379180141827</c:v>
                </c:pt>
                <c:pt idx="11">
                  <c:v>34.192685343490979</c:v>
                </c:pt>
                <c:pt idx="12">
                  <c:v>33.211441351479039</c:v>
                </c:pt>
                <c:pt idx="13">
                  <c:v>32.234216417812732</c:v>
                </c:pt>
                <c:pt idx="14">
                  <c:v>31.261632289780536</c:v>
                </c:pt>
                <c:pt idx="15">
                  <c:v>30.294361547853441</c:v>
                </c:pt>
                <c:pt idx="16">
                  <c:v>29.333124926384784</c:v>
                </c:pt>
                <c:pt idx="17">
                  <c:v>28.378687672250663</c:v>
                </c:pt>
                <c:pt idx="18">
                  <c:v>27.431854985107151</c:v>
                </c:pt>
                <c:pt idx="19">
                  <c:v>26.493466608083708</c:v>
                </c:pt>
                <c:pt idx="20">
                  <c:v>25.564390660286776</c:v>
                </c:pt>
                <c:pt idx="21">
                  <c:v>24.645516821719681</c:v>
                </c:pt>
                <c:pt idx="22">
                  <c:v>23.737748996587626</c:v>
                </c:pt>
                <c:pt idx="23">
                  <c:v>22.84199759209848</c:v>
                </c:pt>
                <c:pt idx="24">
                  <c:v>21.9591715566349</c:v>
                </c:pt>
                <c:pt idx="25">
                  <c:v>21.090170323586094</c:v>
                </c:pt>
                <c:pt idx="26">
                  <c:v>20.235875805380999</c:v>
                </c:pt>
                <c:pt idx="27">
                  <c:v>19.397144576686756</c:v>
                </c:pt>
                <c:pt idx="28">
                  <c:v>18.574800376771094</c:v>
                </c:pt>
                <c:pt idx="29">
                  <c:v>17.769627049195478</c:v>
                </c:pt>
                <c:pt idx="30">
                  <c:v>16.982362022883592</c:v>
                </c:pt>
                <c:pt idx="31">
                  <c:v>16.213690422794571</c:v>
                </c:pt>
                <c:pt idx="32">
                  <c:v>15.464239881516903</c:v>
                </c:pt>
                <c:pt idx="33">
                  <c:v>14.734576105659428</c:v>
                </c:pt>
                <c:pt idx="34">
                  <c:v>14.025199233478872</c:v>
                </c:pt>
                <c:pt idx="35">
                  <c:v>13.336541003219281</c:v>
                </c:pt>
                <c:pt idx="36">
                  <c:v>12.668962735557898</c:v>
                </c:pt>
                <c:pt idx="37">
                  <c:v>12.022754118683949</c:v>
                </c:pt>
                <c:pt idx="38">
                  <c:v>11.398132771146962</c:v>
                </c:pt>
                <c:pt idx="39">
                  <c:v>10.795244545883776</c:v>
                </c:pt>
                <c:pt idx="40">
                  <c:v>10.214164528888958</c:v>
                </c:pt>
                <c:pt idx="41">
                  <c:v>9.654898677884546</c:v>
                </c:pt>
                <c:pt idx="42">
                  <c:v>9.1173860400704427</c:v>
                </c:pt>
                <c:pt idx="43">
                  <c:v>8.601501483542819</c:v>
                </c:pt>
                <c:pt idx="44">
                  <c:v>8.1070588741637977</c:v>
                </c:pt>
                <c:pt idx="45">
                  <c:v>7.6338146284241191</c:v>
                </c:pt>
                <c:pt idx="46">
                  <c:v>7.1814715730135106</c:v>
                </c:pt>
                <c:pt idx="47">
                  <c:v>6.7496830432356489</c:v>
                </c:pt>
                <c:pt idx="48">
                  <c:v>6.3380571548986637</c:v>
                </c:pt>
                <c:pt idx="49">
                  <c:v>5.9461611877030123</c:v>
                </c:pt>
                <c:pt idx="50">
                  <c:v>5.5735260222569707</c:v>
                </c:pt>
                <c:pt idx="51">
                  <c:v>5.2196505775088156</c:v>
                </c:pt>
                <c:pt idx="52">
                  <c:v>4.8840062004327649</c:v>
                </c:pt>
                <c:pt idx="53">
                  <c:v>4.5660409650977414</c:v>
                </c:pt>
                <c:pt idx="54">
                  <c:v>4.265183843650874</c:v>
                </c:pt>
                <c:pt idx="55">
                  <c:v>3.980848717144525</c:v>
                </c:pt>
                <c:pt idx="56">
                  <c:v>3.7124381994290729</c:v>
                </c:pt>
                <c:pt idx="57">
                  <c:v>3.4593472524347533</c:v>
                </c:pt>
                <c:pt idx="58">
                  <c:v>3.2209665760124864</c:v>
                </c:pt>
                <c:pt idx="59">
                  <c:v>2.9966857600373231</c:v>
                </c:pt>
                <c:pt idx="60">
                  <c:v>2.7858961906618447</c:v>
                </c:pt>
                <c:pt idx="61">
                  <c:v>2.587993706415503</c:v>
                </c:pt>
                <c:pt idx="62">
                  <c:v>2.4023810032591228</c:v>
                </c:pt>
                <c:pt idx="63">
                  <c:v>2.2284697907222437</c:v>
                </c:pt>
                <c:pt idx="64">
                  <c:v>2.0656827038723549</c:v>
                </c:pt>
                <c:pt idx="65">
                  <c:v>1.9134549781025498</c:v>
                </c:pt>
                <c:pt idx="66">
                  <c:v>1.7712358955913885</c:v>
                </c:pt>
                <c:pt idx="67">
                  <c:v>1.6384900138085357</c:v>
                </c:pt>
                <c:pt idx="68">
                  <c:v>1.5146981876313248</c:v>
                </c:pt>
                <c:pt idx="69">
                  <c:v>1.3993583975323389</c:v>
                </c:pt>
                <c:pt idx="70">
                  <c:v>1.2919863969187162</c:v>
                </c:pt>
                <c:pt idx="71">
                  <c:v>1.1921161920808743</c:v>
                </c:pt>
                <c:pt idx="72">
                  <c:v>1.0993003683698532</c:v>
                </c:pt>
                <c:pt idx="73">
                  <c:v>1.0131102761942259</c:v>
                </c:pt>
                <c:pt idx="74">
                  <c:v>0.93313609023896049</c:v>
                </c:pt>
                <c:pt idx="75">
                  <c:v>0.85898675498108901</c:v>
                </c:pt>
                <c:pt idx="76">
                  <c:v>0.7902898291391125</c:v>
                </c:pt>
                <c:pt idx="77">
                  <c:v>0.72669124116166017</c:v>
                </c:pt>
                <c:pt idx="78">
                  <c:v>0.66785496726021165</c:v>
                </c:pt>
                <c:pt idx="79">
                  <c:v>0.61346264283614005</c:v>
                </c:pt>
                <c:pt idx="80">
                  <c:v>0.56321311746137326</c:v>
                </c:pt>
                <c:pt idx="81">
                  <c:v>0.51682196285963755</c:v>
                </c:pt>
                <c:pt idx="82">
                  <c:v>0.47402094260976924</c:v>
                </c:pt>
                <c:pt idx="83">
                  <c:v>0.43455745157399406</c:v>
                </c:pt>
                <c:pt idx="84">
                  <c:v>0.39819393233744904</c:v>
                </c:pt>
                <c:pt idx="85">
                  <c:v>0.36470727525369284</c:v>
                </c:pt>
                <c:pt idx="86">
                  <c:v>0.33388820801690144</c:v>
                </c:pt>
                <c:pt idx="87">
                  <c:v>0.30554068004056489</c:v>
                </c:pt>
                <c:pt idx="88">
                  <c:v>0.27948124630927396</c:v>
                </c:pt>
                <c:pt idx="89">
                  <c:v>0.25553845479603865</c:v>
                </c:pt>
                <c:pt idx="90">
                  <c:v>0.23355224099623229</c:v>
                </c:pt>
                <c:pt idx="91">
                  <c:v>0.21337333262886204</c:v>
                </c:pt>
                <c:pt idx="92">
                  <c:v>0.19486266709054689</c:v>
                </c:pt>
                <c:pt idx="93">
                  <c:v>0.17789082382222432</c:v>
                </c:pt>
                <c:pt idx="94">
                  <c:v>0.16233747335903104</c:v>
                </c:pt>
                <c:pt idx="95">
                  <c:v>0.14809084448137355</c:v>
                </c:pt>
                <c:pt idx="96">
                  <c:v>0.13504721056619928</c:v>
                </c:pt>
                <c:pt idx="97">
                  <c:v>0.12311039595317652</c:v>
                </c:pt>
                <c:pt idx="98">
                  <c:v>0.11219130288665724</c:v>
                </c:pt>
                <c:pt idx="99">
                  <c:v>0.10220745936970843</c:v>
                </c:pt>
                <c:pt idx="100">
                  <c:v>9.3082588070615202E-2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5D-457B-BBEE-95E9F6BF5C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3666160"/>
        <c:axId val="993670000"/>
      </c:lineChart>
      <c:catAx>
        <c:axId val="9936661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1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b="1" i="1"/>
                  <a:t>P</a:t>
                </a:r>
              </a:p>
            </c:rich>
          </c:tx>
          <c:layout>
            <c:manualLayout>
              <c:xMode val="edge"/>
              <c:yMode val="edge"/>
              <c:x val="0.52315797963465194"/>
              <c:y val="0.909394942536683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1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93670000"/>
        <c:crosses val="autoZero"/>
        <c:auto val="1"/>
        <c:lblAlgn val="ctr"/>
        <c:lblOffset val="100"/>
        <c:tickLblSkip val="20"/>
        <c:tickMarkSkip val="20"/>
        <c:noMultiLvlLbl val="0"/>
      </c:catAx>
      <c:valAx>
        <c:axId val="993670000"/>
        <c:scaling>
          <c:orientation val="minMax"/>
          <c:max val="4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1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b="1" i="1"/>
                  <a:t>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1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93666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3803649981877387"/>
          <c:y val="0.12211523779066583"/>
          <c:w val="0.20079275686444745"/>
          <c:h val="0.1077862151944129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050"/>
              <a:t>Up-and-in put. </a:t>
            </a:r>
            <a:r>
              <a:rPr lang="el-GR" sz="1050"/>
              <a:t>σ = 0.2, </a:t>
            </a:r>
            <a:r>
              <a:rPr lang="en-US" sz="1050"/>
              <a:t>r = 0.05, rd = 0, K = 100, T = 1 and H = 80.</a:t>
            </a:r>
          </a:p>
        </c:rich>
      </c:tx>
      <c:layout>
        <c:manualLayout>
          <c:xMode val="edge"/>
          <c:yMode val="edge"/>
          <c:x val="2.1842268648192276E-2"/>
          <c:y val="1.26337423383067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79893518711963"/>
          <c:y val="9.9281744556902946E-2"/>
          <c:w val="0.84681678474707534"/>
          <c:h val="0.78393908225796693"/>
        </c:manualLayout>
      </c:layout>
      <c:lineChart>
        <c:grouping val="standard"/>
        <c:varyColors val="0"/>
        <c:ser>
          <c:idx val="0"/>
          <c:order val="0"/>
          <c:tx>
            <c:v>Up-and-in put</c:v>
          </c:tx>
          <c:spPr>
            <a:ln w="28575" cap="rnd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UIP!$I$2:$I$102</c:f>
              <c:numCache>
                <c:formatCode>General</c:formatCode>
                <c:ptCount val="101"/>
                <c:pt idx="0">
                  <c:v>50</c:v>
                </c:pt>
                <c:pt idx="1">
                  <c:v>51</c:v>
                </c:pt>
                <c:pt idx="2">
                  <c:v>52</c:v>
                </c:pt>
                <c:pt idx="3">
                  <c:v>53</c:v>
                </c:pt>
                <c:pt idx="4">
                  <c:v>54</c:v>
                </c:pt>
                <c:pt idx="5">
                  <c:v>55</c:v>
                </c:pt>
                <c:pt idx="6">
                  <c:v>56</c:v>
                </c:pt>
                <c:pt idx="7">
                  <c:v>57</c:v>
                </c:pt>
                <c:pt idx="8">
                  <c:v>58</c:v>
                </c:pt>
                <c:pt idx="9">
                  <c:v>59</c:v>
                </c:pt>
                <c:pt idx="10">
                  <c:v>60</c:v>
                </c:pt>
                <c:pt idx="11">
                  <c:v>61</c:v>
                </c:pt>
                <c:pt idx="12">
                  <c:v>62</c:v>
                </c:pt>
                <c:pt idx="13">
                  <c:v>63</c:v>
                </c:pt>
                <c:pt idx="14">
                  <c:v>64</c:v>
                </c:pt>
                <c:pt idx="15">
                  <c:v>65</c:v>
                </c:pt>
                <c:pt idx="16">
                  <c:v>66</c:v>
                </c:pt>
                <c:pt idx="17">
                  <c:v>67</c:v>
                </c:pt>
                <c:pt idx="18">
                  <c:v>68</c:v>
                </c:pt>
                <c:pt idx="19">
                  <c:v>69</c:v>
                </c:pt>
                <c:pt idx="20">
                  <c:v>70</c:v>
                </c:pt>
                <c:pt idx="21">
                  <c:v>71</c:v>
                </c:pt>
                <c:pt idx="22">
                  <c:v>72</c:v>
                </c:pt>
                <c:pt idx="23">
                  <c:v>73</c:v>
                </c:pt>
                <c:pt idx="24">
                  <c:v>74</c:v>
                </c:pt>
                <c:pt idx="25">
                  <c:v>75</c:v>
                </c:pt>
                <c:pt idx="26">
                  <c:v>76</c:v>
                </c:pt>
                <c:pt idx="27">
                  <c:v>77</c:v>
                </c:pt>
                <c:pt idx="28">
                  <c:v>78</c:v>
                </c:pt>
                <c:pt idx="29">
                  <c:v>79</c:v>
                </c:pt>
                <c:pt idx="30">
                  <c:v>80</c:v>
                </c:pt>
                <c:pt idx="31">
                  <c:v>81</c:v>
                </c:pt>
                <c:pt idx="32">
                  <c:v>82</c:v>
                </c:pt>
                <c:pt idx="33">
                  <c:v>83</c:v>
                </c:pt>
                <c:pt idx="34">
                  <c:v>84</c:v>
                </c:pt>
                <c:pt idx="35">
                  <c:v>85</c:v>
                </c:pt>
                <c:pt idx="36">
                  <c:v>86</c:v>
                </c:pt>
                <c:pt idx="37">
                  <c:v>87</c:v>
                </c:pt>
                <c:pt idx="38">
                  <c:v>88</c:v>
                </c:pt>
                <c:pt idx="39">
                  <c:v>89</c:v>
                </c:pt>
                <c:pt idx="40">
                  <c:v>90</c:v>
                </c:pt>
                <c:pt idx="41">
                  <c:v>91</c:v>
                </c:pt>
                <c:pt idx="42">
                  <c:v>92</c:v>
                </c:pt>
                <c:pt idx="43">
                  <c:v>93</c:v>
                </c:pt>
                <c:pt idx="44">
                  <c:v>94</c:v>
                </c:pt>
                <c:pt idx="45">
                  <c:v>95</c:v>
                </c:pt>
                <c:pt idx="46">
                  <c:v>96</c:v>
                </c:pt>
                <c:pt idx="47">
                  <c:v>97</c:v>
                </c:pt>
                <c:pt idx="48">
                  <c:v>98</c:v>
                </c:pt>
                <c:pt idx="49">
                  <c:v>99</c:v>
                </c:pt>
                <c:pt idx="50">
                  <c:v>100</c:v>
                </c:pt>
                <c:pt idx="51">
                  <c:v>101</c:v>
                </c:pt>
                <c:pt idx="52">
                  <c:v>102</c:v>
                </c:pt>
                <c:pt idx="53">
                  <c:v>103</c:v>
                </c:pt>
                <c:pt idx="54">
                  <c:v>104</c:v>
                </c:pt>
                <c:pt idx="55">
                  <c:v>105</c:v>
                </c:pt>
                <c:pt idx="56">
                  <c:v>106</c:v>
                </c:pt>
                <c:pt idx="57">
                  <c:v>107</c:v>
                </c:pt>
                <c:pt idx="58">
                  <c:v>108</c:v>
                </c:pt>
                <c:pt idx="59">
                  <c:v>109</c:v>
                </c:pt>
                <c:pt idx="60">
                  <c:v>110</c:v>
                </c:pt>
                <c:pt idx="61">
                  <c:v>111</c:v>
                </c:pt>
                <c:pt idx="62">
                  <c:v>112</c:v>
                </c:pt>
                <c:pt idx="63">
                  <c:v>113</c:v>
                </c:pt>
                <c:pt idx="64">
                  <c:v>114</c:v>
                </c:pt>
                <c:pt idx="65">
                  <c:v>115</c:v>
                </c:pt>
                <c:pt idx="66">
                  <c:v>116</c:v>
                </c:pt>
                <c:pt idx="67">
                  <c:v>117</c:v>
                </c:pt>
                <c:pt idx="68">
                  <c:v>118</c:v>
                </c:pt>
                <c:pt idx="69">
                  <c:v>119</c:v>
                </c:pt>
                <c:pt idx="70">
                  <c:v>120</c:v>
                </c:pt>
                <c:pt idx="71">
                  <c:v>121</c:v>
                </c:pt>
                <c:pt idx="72">
                  <c:v>122</c:v>
                </c:pt>
                <c:pt idx="73">
                  <c:v>123</c:v>
                </c:pt>
                <c:pt idx="74">
                  <c:v>124</c:v>
                </c:pt>
                <c:pt idx="75">
                  <c:v>125</c:v>
                </c:pt>
                <c:pt idx="76">
                  <c:v>126</c:v>
                </c:pt>
                <c:pt idx="77">
                  <c:v>127</c:v>
                </c:pt>
                <c:pt idx="78">
                  <c:v>128</c:v>
                </c:pt>
                <c:pt idx="79">
                  <c:v>129</c:v>
                </c:pt>
                <c:pt idx="80">
                  <c:v>130</c:v>
                </c:pt>
                <c:pt idx="81">
                  <c:v>131</c:v>
                </c:pt>
                <c:pt idx="82">
                  <c:v>132</c:v>
                </c:pt>
                <c:pt idx="83">
                  <c:v>133</c:v>
                </c:pt>
                <c:pt idx="84">
                  <c:v>134</c:v>
                </c:pt>
                <c:pt idx="85">
                  <c:v>135</c:v>
                </c:pt>
                <c:pt idx="86">
                  <c:v>136</c:v>
                </c:pt>
                <c:pt idx="87">
                  <c:v>137</c:v>
                </c:pt>
                <c:pt idx="88">
                  <c:v>138</c:v>
                </c:pt>
                <c:pt idx="89">
                  <c:v>139</c:v>
                </c:pt>
                <c:pt idx="90">
                  <c:v>140</c:v>
                </c:pt>
                <c:pt idx="91">
                  <c:v>141</c:v>
                </c:pt>
                <c:pt idx="92">
                  <c:v>142</c:v>
                </c:pt>
                <c:pt idx="93">
                  <c:v>143</c:v>
                </c:pt>
                <c:pt idx="94">
                  <c:v>144</c:v>
                </c:pt>
                <c:pt idx="95">
                  <c:v>145</c:v>
                </c:pt>
                <c:pt idx="96">
                  <c:v>146</c:v>
                </c:pt>
                <c:pt idx="97">
                  <c:v>147</c:v>
                </c:pt>
                <c:pt idx="98">
                  <c:v>148</c:v>
                </c:pt>
                <c:pt idx="99">
                  <c:v>149</c:v>
                </c:pt>
                <c:pt idx="100">
                  <c:v>150</c:v>
                </c:pt>
              </c:numCache>
            </c:numRef>
          </c:cat>
          <c:val>
            <c:numRef>
              <c:f>UIP!$E$2:$E$31</c:f>
              <c:numCache>
                <c:formatCode>0.0000</c:formatCode>
                <c:ptCount val="30"/>
                <c:pt idx="0">
                  <c:v>0.48472805713626244</c:v>
                </c:pt>
                <c:pt idx="1">
                  <c:v>0.6193681075648354</c:v>
                </c:pt>
                <c:pt idx="2">
                  <c:v>0.78086824184871961</c:v>
                </c:pt>
                <c:pt idx="3">
                  <c:v>0.97206668383842487</c:v>
                </c:pt>
                <c:pt idx="4">
                  <c:v>1.1956250351306155</c:v>
                </c:pt>
                <c:pt idx="5">
                  <c:v>1.4539437794324845</c:v>
                </c:pt>
                <c:pt idx="6">
                  <c:v>1.7490819752445796</c:v>
                </c:pt>
                <c:pt idx="7">
                  <c:v>2.082684506450482</c:v>
                </c:pt>
                <c:pt idx="8">
                  <c:v>2.4559198602194527</c:v>
                </c:pt>
                <c:pt idx="9">
                  <c:v>2.8694308544028324</c:v>
                </c:pt>
                <c:pt idx="10">
                  <c:v>3.3233000864397155</c:v>
                </c:pt>
                <c:pt idx="11">
                  <c:v>3.8170311695465546</c:v>
                </c:pt>
                <c:pt idx="12">
                  <c:v>4.3495461054234141</c:v>
                </c:pt>
                <c:pt idx="13">
                  <c:v>4.9191984573567638</c:v>
                </c:pt>
                <c:pt idx="14">
                  <c:v>5.5238013682764588</c:v>
                </c:pt>
                <c:pt idx="15">
                  <c:v>6.1606689417368301</c:v>
                </c:pt>
                <c:pt idx="16">
                  <c:v>6.8266690878714122</c:v>
                </c:pt>
                <c:pt idx="17">
                  <c:v>7.5182856403815954</c:v>
                </c:pt>
                <c:pt idx="18">
                  <c:v>8.2316873758567866</c:v>
                </c:pt>
                <c:pt idx="19">
                  <c:v>8.9628015076511929</c:v>
                </c:pt>
                <c:pt idx="20">
                  <c:v>9.7073892721772879</c:v>
                </c:pt>
                <c:pt idx="21">
                  <c:v>10.461121360915747</c:v>
                </c:pt>
                <c:pt idx="22">
                  <c:v>11.21965115932398</c:v>
                </c:pt>
                <c:pt idx="23">
                  <c:v>11.9786840157333</c:v>
                </c:pt>
                <c:pt idx="24">
                  <c:v>12.734041060948279</c:v>
                </c:pt>
                <c:pt idx="25">
                  <c:v>13.481716415368489</c:v>
                </c:pt>
                <c:pt idx="26">
                  <c:v>14.217926939606912</c:v>
                </c:pt>
                <c:pt idx="27">
                  <c:v>14.939153993611065</c:v>
                </c:pt>
                <c:pt idx="28">
                  <c:v>15.642176957573383</c:v>
                </c:pt>
                <c:pt idx="29">
                  <c:v>16.324098527418997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79-4805-9871-23838BD69189}"/>
            </c:ext>
          </c:extLst>
        </c:ser>
        <c:ser>
          <c:idx val="1"/>
          <c:order val="1"/>
          <c:tx>
            <c:v>Vanilla put</c:v>
          </c:tx>
          <c:spPr>
            <a:ln w="1905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UIP!$I$2:$I$102</c:f>
              <c:numCache>
                <c:formatCode>General</c:formatCode>
                <c:ptCount val="101"/>
                <c:pt idx="0">
                  <c:v>50</c:v>
                </c:pt>
                <c:pt idx="1">
                  <c:v>51</c:v>
                </c:pt>
                <c:pt idx="2">
                  <c:v>52</c:v>
                </c:pt>
                <c:pt idx="3">
                  <c:v>53</c:v>
                </c:pt>
                <c:pt idx="4">
                  <c:v>54</c:v>
                </c:pt>
                <c:pt idx="5">
                  <c:v>55</c:v>
                </c:pt>
                <c:pt idx="6">
                  <c:v>56</c:v>
                </c:pt>
                <c:pt idx="7">
                  <c:v>57</c:v>
                </c:pt>
                <c:pt idx="8">
                  <c:v>58</c:v>
                </c:pt>
                <c:pt idx="9">
                  <c:v>59</c:v>
                </c:pt>
                <c:pt idx="10">
                  <c:v>60</c:v>
                </c:pt>
                <c:pt idx="11">
                  <c:v>61</c:v>
                </c:pt>
                <c:pt idx="12">
                  <c:v>62</c:v>
                </c:pt>
                <c:pt idx="13">
                  <c:v>63</c:v>
                </c:pt>
                <c:pt idx="14">
                  <c:v>64</c:v>
                </c:pt>
                <c:pt idx="15">
                  <c:v>65</c:v>
                </c:pt>
                <c:pt idx="16">
                  <c:v>66</c:v>
                </c:pt>
                <c:pt idx="17">
                  <c:v>67</c:v>
                </c:pt>
                <c:pt idx="18">
                  <c:v>68</c:v>
                </c:pt>
                <c:pt idx="19">
                  <c:v>69</c:v>
                </c:pt>
                <c:pt idx="20">
                  <c:v>70</c:v>
                </c:pt>
                <c:pt idx="21">
                  <c:v>71</c:v>
                </c:pt>
                <c:pt idx="22">
                  <c:v>72</c:v>
                </c:pt>
                <c:pt idx="23">
                  <c:v>73</c:v>
                </c:pt>
                <c:pt idx="24">
                  <c:v>74</c:v>
                </c:pt>
                <c:pt idx="25">
                  <c:v>75</c:v>
                </c:pt>
                <c:pt idx="26">
                  <c:v>76</c:v>
                </c:pt>
                <c:pt idx="27">
                  <c:v>77</c:v>
                </c:pt>
                <c:pt idx="28">
                  <c:v>78</c:v>
                </c:pt>
                <c:pt idx="29">
                  <c:v>79</c:v>
                </c:pt>
                <c:pt idx="30">
                  <c:v>80</c:v>
                </c:pt>
                <c:pt idx="31">
                  <c:v>81</c:v>
                </c:pt>
                <c:pt idx="32">
                  <c:v>82</c:v>
                </c:pt>
                <c:pt idx="33">
                  <c:v>83</c:v>
                </c:pt>
                <c:pt idx="34">
                  <c:v>84</c:v>
                </c:pt>
                <c:pt idx="35">
                  <c:v>85</c:v>
                </c:pt>
                <c:pt idx="36">
                  <c:v>86</c:v>
                </c:pt>
                <c:pt idx="37">
                  <c:v>87</c:v>
                </c:pt>
                <c:pt idx="38">
                  <c:v>88</c:v>
                </c:pt>
                <c:pt idx="39">
                  <c:v>89</c:v>
                </c:pt>
                <c:pt idx="40">
                  <c:v>90</c:v>
                </c:pt>
                <c:pt idx="41">
                  <c:v>91</c:v>
                </c:pt>
                <c:pt idx="42">
                  <c:v>92</c:v>
                </c:pt>
                <c:pt idx="43">
                  <c:v>93</c:v>
                </c:pt>
                <c:pt idx="44">
                  <c:v>94</c:v>
                </c:pt>
                <c:pt idx="45">
                  <c:v>95</c:v>
                </c:pt>
                <c:pt idx="46">
                  <c:v>96</c:v>
                </c:pt>
                <c:pt idx="47">
                  <c:v>97</c:v>
                </c:pt>
                <c:pt idx="48">
                  <c:v>98</c:v>
                </c:pt>
                <c:pt idx="49">
                  <c:v>99</c:v>
                </c:pt>
                <c:pt idx="50">
                  <c:v>100</c:v>
                </c:pt>
                <c:pt idx="51">
                  <c:v>101</c:v>
                </c:pt>
                <c:pt idx="52">
                  <c:v>102</c:v>
                </c:pt>
                <c:pt idx="53">
                  <c:v>103</c:v>
                </c:pt>
                <c:pt idx="54">
                  <c:v>104</c:v>
                </c:pt>
                <c:pt idx="55">
                  <c:v>105</c:v>
                </c:pt>
                <c:pt idx="56">
                  <c:v>106</c:v>
                </c:pt>
                <c:pt idx="57">
                  <c:v>107</c:v>
                </c:pt>
                <c:pt idx="58">
                  <c:v>108</c:v>
                </c:pt>
                <c:pt idx="59">
                  <c:v>109</c:v>
                </c:pt>
                <c:pt idx="60">
                  <c:v>110</c:v>
                </c:pt>
                <c:pt idx="61">
                  <c:v>111</c:v>
                </c:pt>
                <c:pt idx="62">
                  <c:v>112</c:v>
                </c:pt>
                <c:pt idx="63">
                  <c:v>113</c:v>
                </c:pt>
                <c:pt idx="64">
                  <c:v>114</c:v>
                </c:pt>
                <c:pt idx="65">
                  <c:v>115</c:v>
                </c:pt>
                <c:pt idx="66">
                  <c:v>116</c:v>
                </c:pt>
                <c:pt idx="67">
                  <c:v>117</c:v>
                </c:pt>
                <c:pt idx="68">
                  <c:v>118</c:v>
                </c:pt>
                <c:pt idx="69">
                  <c:v>119</c:v>
                </c:pt>
                <c:pt idx="70">
                  <c:v>120</c:v>
                </c:pt>
                <c:pt idx="71">
                  <c:v>121</c:v>
                </c:pt>
                <c:pt idx="72">
                  <c:v>122</c:v>
                </c:pt>
                <c:pt idx="73">
                  <c:v>123</c:v>
                </c:pt>
                <c:pt idx="74">
                  <c:v>124</c:v>
                </c:pt>
                <c:pt idx="75">
                  <c:v>125</c:v>
                </c:pt>
                <c:pt idx="76">
                  <c:v>126</c:v>
                </c:pt>
                <c:pt idx="77">
                  <c:v>127</c:v>
                </c:pt>
                <c:pt idx="78">
                  <c:v>128</c:v>
                </c:pt>
                <c:pt idx="79">
                  <c:v>129</c:v>
                </c:pt>
                <c:pt idx="80">
                  <c:v>130</c:v>
                </c:pt>
                <c:pt idx="81">
                  <c:v>131</c:v>
                </c:pt>
                <c:pt idx="82">
                  <c:v>132</c:v>
                </c:pt>
                <c:pt idx="83">
                  <c:v>133</c:v>
                </c:pt>
                <c:pt idx="84">
                  <c:v>134</c:v>
                </c:pt>
                <c:pt idx="85">
                  <c:v>135</c:v>
                </c:pt>
                <c:pt idx="86">
                  <c:v>136</c:v>
                </c:pt>
                <c:pt idx="87">
                  <c:v>137</c:v>
                </c:pt>
                <c:pt idx="88">
                  <c:v>138</c:v>
                </c:pt>
                <c:pt idx="89">
                  <c:v>139</c:v>
                </c:pt>
                <c:pt idx="90">
                  <c:v>140</c:v>
                </c:pt>
                <c:pt idx="91">
                  <c:v>141</c:v>
                </c:pt>
                <c:pt idx="92">
                  <c:v>142</c:v>
                </c:pt>
                <c:pt idx="93">
                  <c:v>143</c:v>
                </c:pt>
                <c:pt idx="94">
                  <c:v>144</c:v>
                </c:pt>
                <c:pt idx="95">
                  <c:v>145</c:v>
                </c:pt>
                <c:pt idx="96">
                  <c:v>146</c:v>
                </c:pt>
                <c:pt idx="97">
                  <c:v>147</c:v>
                </c:pt>
                <c:pt idx="98">
                  <c:v>148</c:v>
                </c:pt>
                <c:pt idx="99">
                  <c:v>149</c:v>
                </c:pt>
                <c:pt idx="100">
                  <c:v>150</c:v>
                </c:pt>
              </c:numCache>
            </c:numRef>
          </c:cat>
          <c:val>
            <c:numRef>
              <c:f>UIP!$G$2:$G$102</c:f>
              <c:numCache>
                <c:formatCode>0.0000</c:formatCode>
                <c:ptCount val="101"/>
                <c:pt idx="0">
                  <c:v>45.125341867624712</c:v>
                </c:pt>
                <c:pt idx="1">
                  <c:v>44.126430890383716</c:v>
                </c:pt>
                <c:pt idx="2">
                  <c:v>43.127935198978562</c:v>
                </c:pt>
                <c:pt idx="3">
                  <c:v>42.129982523744545</c:v>
                </c:pt>
                <c:pt idx="4">
                  <c:v>41.132729858016731</c:v>
                </c:pt>
                <c:pt idx="5">
                  <c:v>40.136367465526732</c:v>
                </c:pt>
                <c:pt idx="6">
                  <c:v>39.141122848081693</c:v>
                </c:pt>
                <c:pt idx="7">
                  <c:v>38.147264549243388</c:v>
                </c:pt>
                <c:pt idx="8">
                  <c:v>37.15510566283433</c:v>
                </c:pt>
                <c:pt idx="9">
                  <c:v>36.165006913461681</c:v>
                </c:pt>
                <c:pt idx="10">
                  <c:v>35.177379180141827</c:v>
                </c:pt>
                <c:pt idx="11">
                  <c:v>34.192685343490979</c:v>
                </c:pt>
                <c:pt idx="12">
                  <c:v>33.211441351479039</c:v>
                </c:pt>
                <c:pt idx="13">
                  <c:v>32.234216417812732</c:v>
                </c:pt>
                <c:pt idx="14">
                  <c:v>31.261632289780536</c:v>
                </c:pt>
                <c:pt idx="15">
                  <c:v>30.294361547853441</c:v>
                </c:pt>
                <c:pt idx="16">
                  <c:v>29.333124926384784</c:v>
                </c:pt>
                <c:pt idx="17">
                  <c:v>28.378687672250663</c:v>
                </c:pt>
                <c:pt idx="18">
                  <c:v>27.431854985107151</c:v>
                </c:pt>
                <c:pt idx="19">
                  <c:v>26.493466608083708</c:v>
                </c:pt>
                <c:pt idx="20">
                  <c:v>25.564390660286776</c:v>
                </c:pt>
                <c:pt idx="21">
                  <c:v>24.645516821719681</c:v>
                </c:pt>
                <c:pt idx="22">
                  <c:v>23.737748996587626</c:v>
                </c:pt>
                <c:pt idx="23">
                  <c:v>22.84199759209848</c:v>
                </c:pt>
                <c:pt idx="24">
                  <c:v>21.9591715566349</c:v>
                </c:pt>
                <c:pt idx="25">
                  <c:v>21.090170323586094</c:v>
                </c:pt>
                <c:pt idx="26">
                  <c:v>20.235875805380999</c:v>
                </c:pt>
                <c:pt idx="27">
                  <c:v>19.397144576686756</c:v>
                </c:pt>
                <c:pt idx="28">
                  <c:v>18.574800376771094</c:v>
                </c:pt>
                <c:pt idx="29">
                  <c:v>17.769627049195478</c:v>
                </c:pt>
                <c:pt idx="30">
                  <c:v>16.982362022883592</c:v>
                </c:pt>
                <c:pt idx="31">
                  <c:v>16.213690422794571</c:v>
                </c:pt>
                <c:pt idx="32">
                  <c:v>15.464239881516903</c:v>
                </c:pt>
                <c:pt idx="33">
                  <c:v>14.734576105659428</c:v>
                </c:pt>
                <c:pt idx="34">
                  <c:v>14.025199233478872</c:v>
                </c:pt>
                <c:pt idx="35">
                  <c:v>13.336541003219281</c:v>
                </c:pt>
                <c:pt idx="36">
                  <c:v>12.668962735557898</c:v>
                </c:pt>
                <c:pt idx="37">
                  <c:v>12.022754118683949</c:v>
                </c:pt>
                <c:pt idx="38">
                  <c:v>11.398132771146962</c:v>
                </c:pt>
                <c:pt idx="39">
                  <c:v>10.795244545883776</c:v>
                </c:pt>
                <c:pt idx="40">
                  <c:v>10.214164528888958</c:v>
                </c:pt>
                <c:pt idx="41">
                  <c:v>9.654898677884546</c:v>
                </c:pt>
                <c:pt idx="42">
                  <c:v>9.1173860400704427</c:v>
                </c:pt>
                <c:pt idx="43">
                  <c:v>8.601501483542819</c:v>
                </c:pt>
                <c:pt idx="44">
                  <c:v>8.1070588741637977</c:v>
                </c:pt>
                <c:pt idx="45">
                  <c:v>7.6338146284241191</c:v>
                </c:pt>
                <c:pt idx="46">
                  <c:v>7.1814715730135106</c:v>
                </c:pt>
                <c:pt idx="47">
                  <c:v>6.7496830432356489</c:v>
                </c:pt>
                <c:pt idx="48">
                  <c:v>6.3380571548986637</c:v>
                </c:pt>
                <c:pt idx="49">
                  <c:v>5.9461611877030123</c:v>
                </c:pt>
                <c:pt idx="50">
                  <c:v>5.5735260222569707</c:v>
                </c:pt>
                <c:pt idx="51">
                  <c:v>5.2196505775088156</c:v>
                </c:pt>
                <c:pt idx="52">
                  <c:v>4.8840062004327649</c:v>
                </c:pt>
                <c:pt idx="53">
                  <c:v>4.5660409650977414</c:v>
                </c:pt>
                <c:pt idx="54">
                  <c:v>4.265183843650874</c:v>
                </c:pt>
                <c:pt idx="55">
                  <c:v>3.980848717144525</c:v>
                </c:pt>
                <c:pt idx="56">
                  <c:v>3.7124381994290729</c:v>
                </c:pt>
                <c:pt idx="57">
                  <c:v>3.4593472524347533</c:v>
                </c:pt>
                <c:pt idx="58">
                  <c:v>3.2209665760124864</c:v>
                </c:pt>
                <c:pt idx="59">
                  <c:v>2.9966857600373231</c:v>
                </c:pt>
                <c:pt idx="60">
                  <c:v>2.7858961906618447</c:v>
                </c:pt>
                <c:pt idx="61">
                  <c:v>2.587993706415503</c:v>
                </c:pt>
                <c:pt idx="62">
                  <c:v>2.4023810032591228</c:v>
                </c:pt>
                <c:pt idx="63">
                  <c:v>2.2284697907222437</c:v>
                </c:pt>
                <c:pt idx="64">
                  <c:v>2.0656827038723549</c:v>
                </c:pt>
                <c:pt idx="65">
                  <c:v>1.9134549781025498</c:v>
                </c:pt>
                <c:pt idx="66">
                  <c:v>1.7712358955913885</c:v>
                </c:pt>
                <c:pt idx="67">
                  <c:v>1.6384900138085357</c:v>
                </c:pt>
                <c:pt idx="68">
                  <c:v>1.5146981876313248</c:v>
                </c:pt>
                <c:pt idx="69">
                  <c:v>1.3993583975323389</c:v>
                </c:pt>
                <c:pt idx="70">
                  <c:v>1.2919863969187162</c:v>
                </c:pt>
                <c:pt idx="71">
                  <c:v>1.1921161920808743</c:v>
                </c:pt>
                <c:pt idx="72">
                  <c:v>1.0993003683698532</c:v>
                </c:pt>
                <c:pt idx="73">
                  <c:v>1.0131102761942259</c:v>
                </c:pt>
                <c:pt idx="74">
                  <c:v>0.93313609023896049</c:v>
                </c:pt>
                <c:pt idx="75">
                  <c:v>0.85898675498108901</c:v>
                </c:pt>
                <c:pt idx="76">
                  <c:v>0.7902898291391125</c:v>
                </c:pt>
                <c:pt idx="77">
                  <c:v>0.72669124116166017</c:v>
                </c:pt>
                <c:pt idx="78">
                  <c:v>0.66785496726021165</c:v>
                </c:pt>
                <c:pt idx="79">
                  <c:v>0.61346264283614005</c:v>
                </c:pt>
                <c:pt idx="80">
                  <c:v>0.56321311746137326</c:v>
                </c:pt>
                <c:pt idx="81">
                  <c:v>0.51682196285963755</c:v>
                </c:pt>
                <c:pt idx="82">
                  <c:v>0.47402094260976924</c:v>
                </c:pt>
                <c:pt idx="83">
                  <c:v>0.43455745157399406</c:v>
                </c:pt>
                <c:pt idx="84">
                  <c:v>0.39819393233744904</c:v>
                </c:pt>
                <c:pt idx="85">
                  <c:v>0.36470727525369284</c:v>
                </c:pt>
                <c:pt idx="86">
                  <c:v>0.33388820801690144</c:v>
                </c:pt>
                <c:pt idx="87">
                  <c:v>0.30554068004056489</c:v>
                </c:pt>
                <c:pt idx="88">
                  <c:v>0.27948124630927396</c:v>
                </c:pt>
                <c:pt idx="89">
                  <c:v>0.25553845479603865</c:v>
                </c:pt>
                <c:pt idx="90">
                  <c:v>0.23355224099623229</c:v>
                </c:pt>
                <c:pt idx="91">
                  <c:v>0.21337333262886204</c:v>
                </c:pt>
                <c:pt idx="92">
                  <c:v>0.19486266709054689</c:v>
                </c:pt>
                <c:pt idx="93">
                  <c:v>0.17789082382222432</c:v>
                </c:pt>
                <c:pt idx="94">
                  <c:v>0.16233747335903104</c:v>
                </c:pt>
                <c:pt idx="95">
                  <c:v>0.14809084448137355</c:v>
                </c:pt>
                <c:pt idx="96">
                  <c:v>0.13504721056619928</c:v>
                </c:pt>
                <c:pt idx="97">
                  <c:v>0.12311039595317652</c:v>
                </c:pt>
                <c:pt idx="98">
                  <c:v>0.11219130288665724</c:v>
                </c:pt>
                <c:pt idx="99">
                  <c:v>0.10220745936970843</c:v>
                </c:pt>
                <c:pt idx="100">
                  <c:v>9.3082588070615202E-2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79-4805-9871-23838BD691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3666160"/>
        <c:axId val="993670000"/>
      </c:lineChart>
      <c:catAx>
        <c:axId val="9936661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1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b="1" i="1"/>
                  <a:t>P</a:t>
                </a:r>
              </a:p>
            </c:rich>
          </c:tx>
          <c:layout>
            <c:manualLayout>
              <c:xMode val="edge"/>
              <c:yMode val="edge"/>
              <c:x val="0.52315797963465194"/>
              <c:y val="0.909394942536683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1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93670000"/>
        <c:crosses val="autoZero"/>
        <c:auto val="1"/>
        <c:lblAlgn val="ctr"/>
        <c:lblOffset val="100"/>
        <c:tickLblSkip val="20"/>
        <c:tickMarkSkip val="20"/>
        <c:noMultiLvlLbl val="0"/>
      </c:catAx>
      <c:valAx>
        <c:axId val="993670000"/>
        <c:scaling>
          <c:orientation val="minMax"/>
          <c:max val="6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1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b="1" i="1"/>
                  <a:t>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1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93666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3803649981877387"/>
          <c:y val="0.12211523779066583"/>
          <c:w val="0.20079275686444745"/>
          <c:h val="0.1077862151944129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050"/>
              <a:t>Up-and-out put. </a:t>
            </a:r>
            <a:r>
              <a:rPr lang="el-GR" sz="1050"/>
              <a:t>σ = 0.2, </a:t>
            </a:r>
            <a:r>
              <a:rPr lang="en-US" sz="1050"/>
              <a:t>r = 0.05, rd = 0, K = 100, T = 1 and H = 120.</a:t>
            </a:r>
          </a:p>
        </c:rich>
      </c:tx>
      <c:layout>
        <c:manualLayout>
          <c:xMode val="edge"/>
          <c:yMode val="edge"/>
          <c:x val="2.1842268648192276E-2"/>
          <c:y val="1.26337423383067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79893518711963"/>
          <c:y val="9.9281744556902946E-2"/>
          <c:w val="0.84681678474707534"/>
          <c:h val="0.78393908225796693"/>
        </c:manualLayout>
      </c:layout>
      <c:lineChart>
        <c:grouping val="standard"/>
        <c:varyColors val="0"/>
        <c:ser>
          <c:idx val="0"/>
          <c:order val="0"/>
          <c:tx>
            <c:v>Up-and-out put</c:v>
          </c:tx>
          <c:spPr>
            <a:ln w="28575" cap="rnd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UOP!$I$52:$I$152</c:f>
              <c:numCache>
                <c:formatCode>General</c:formatCode>
                <c:ptCount val="101"/>
                <c:pt idx="0">
                  <c:v>50</c:v>
                </c:pt>
                <c:pt idx="1">
                  <c:v>51</c:v>
                </c:pt>
                <c:pt idx="2">
                  <c:v>52</c:v>
                </c:pt>
                <c:pt idx="3">
                  <c:v>53</c:v>
                </c:pt>
                <c:pt idx="4">
                  <c:v>54</c:v>
                </c:pt>
                <c:pt idx="5">
                  <c:v>55</c:v>
                </c:pt>
                <c:pt idx="6">
                  <c:v>56</c:v>
                </c:pt>
                <c:pt idx="7">
                  <c:v>57</c:v>
                </c:pt>
                <c:pt idx="8">
                  <c:v>58</c:v>
                </c:pt>
                <c:pt idx="9">
                  <c:v>59</c:v>
                </c:pt>
                <c:pt idx="10">
                  <c:v>60</c:v>
                </c:pt>
                <c:pt idx="11">
                  <c:v>61</c:v>
                </c:pt>
                <c:pt idx="12">
                  <c:v>62</c:v>
                </c:pt>
                <c:pt idx="13">
                  <c:v>63</c:v>
                </c:pt>
                <c:pt idx="14">
                  <c:v>64</c:v>
                </c:pt>
                <c:pt idx="15">
                  <c:v>65</c:v>
                </c:pt>
                <c:pt idx="16">
                  <c:v>66</c:v>
                </c:pt>
                <c:pt idx="17">
                  <c:v>67</c:v>
                </c:pt>
                <c:pt idx="18">
                  <c:v>68</c:v>
                </c:pt>
                <c:pt idx="19">
                  <c:v>69</c:v>
                </c:pt>
                <c:pt idx="20">
                  <c:v>70</c:v>
                </c:pt>
                <c:pt idx="21">
                  <c:v>71</c:v>
                </c:pt>
                <c:pt idx="22">
                  <c:v>72</c:v>
                </c:pt>
                <c:pt idx="23">
                  <c:v>73</c:v>
                </c:pt>
                <c:pt idx="24">
                  <c:v>74</c:v>
                </c:pt>
                <c:pt idx="25">
                  <c:v>75</c:v>
                </c:pt>
                <c:pt idx="26">
                  <c:v>76</c:v>
                </c:pt>
                <c:pt idx="27">
                  <c:v>77</c:v>
                </c:pt>
                <c:pt idx="28">
                  <c:v>78</c:v>
                </c:pt>
                <c:pt idx="29">
                  <c:v>79</c:v>
                </c:pt>
                <c:pt idx="30">
                  <c:v>80</c:v>
                </c:pt>
                <c:pt idx="31">
                  <c:v>81</c:v>
                </c:pt>
                <c:pt idx="32">
                  <c:v>82</c:v>
                </c:pt>
                <c:pt idx="33">
                  <c:v>83</c:v>
                </c:pt>
                <c:pt idx="34">
                  <c:v>84</c:v>
                </c:pt>
                <c:pt idx="35">
                  <c:v>85</c:v>
                </c:pt>
                <c:pt idx="36">
                  <c:v>86</c:v>
                </c:pt>
                <c:pt idx="37">
                  <c:v>87</c:v>
                </c:pt>
                <c:pt idx="38">
                  <c:v>88</c:v>
                </c:pt>
                <c:pt idx="39">
                  <c:v>89</c:v>
                </c:pt>
                <c:pt idx="40">
                  <c:v>90</c:v>
                </c:pt>
                <c:pt idx="41">
                  <c:v>91</c:v>
                </c:pt>
                <c:pt idx="42">
                  <c:v>92</c:v>
                </c:pt>
                <c:pt idx="43">
                  <c:v>93</c:v>
                </c:pt>
                <c:pt idx="44">
                  <c:v>94</c:v>
                </c:pt>
                <c:pt idx="45">
                  <c:v>95</c:v>
                </c:pt>
                <c:pt idx="46">
                  <c:v>96</c:v>
                </c:pt>
                <c:pt idx="47">
                  <c:v>97</c:v>
                </c:pt>
                <c:pt idx="48">
                  <c:v>98</c:v>
                </c:pt>
                <c:pt idx="49">
                  <c:v>99</c:v>
                </c:pt>
                <c:pt idx="50">
                  <c:v>100</c:v>
                </c:pt>
                <c:pt idx="51">
                  <c:v>101</c:v>
                </c:pt>
                <c:pt idx="52">
                  <c:v>102</c:v>
                </c:pt>
                <c:pt idx="53">
                  <c:v>103</c:v>
                </c:pt>
                <c:pt idx="54">
                  <c:v>104</c:v>
                </c:pt>
                <c:pt idx="55">
                  <c:v>105</c:v>
                </c:pt>
                <c:pt idx="56">
                  <c:v>106</c:v>
                </c:pt>
                <c:pt idx="57">
                  <c:v>107</c:v>
                </c:pt>
                <c:pt idx="58">
                  <c:v>108</c:v>
                </c:pt>
                <c:pt idx="59">
                  <c:v>109</c:v>
                </c:pt>
                <c:pt idx="60">
                  <c:v>110</c:v>
                </c:pt>
                <c:pt idx="61">
                  <c:v>111</c:v>
                </c:pt>
                <c:pt idx="62">
                  <c:v>112</c:v>
                </c:pt>
                <c:pt idx="63">
                  <c:v>113</c:v>
                </c:pt>
                <c:pt idx="64">
                  <c:v>114</c:v>
                </c:pt>
                <c:pt idx="65">
                  <c:v>115</c:v>
                </c:pt>
                <c:pt idx="66">
                  <c:v>116</c:v>
                </c:pt>
                <c:pt idx="67">
                  <c:v>117</c:v>
                </c:pt>
                <c:pt idx="68">
                  <c:v>118</c:v>
                </c:pt>
                <c:pt idx="69">
                  <c:v>119</c:v>
                </c:pt>
                <c:pt idx="70">
                  <c:v>120</c:v>
                </c:pt>
                <c:pt idx="71">
                  <c:v>121</c:v>
                </c:pt>
                <c:pt idx="72">
                  <c:v>122</c:v>
                </c:pt>
                <c:pt idx="73">
                  <c:v>123</c:v>
                </c:pt>
                <c:pt idx="74">
                  <c:v>124</c:v>
                </c:pt>
                <c:pt idx="75">
                  <c:v>125</c:v>
                </c:pt>
                <c:pt idx="76">
                  <c:v>126</c:v>
                </c:pt>
                <c:pt idx="77">
                  <c:v>127</c:v>
                </c:pt>
                <c:pt idx="78">
                  <c:v>128</c:v>
                </c:pt>
                <c:pt idx="79">
                  <c:v>129</c:v>
                </c:pt>
                <c:pt idx="80">
                  <c:v>130</c:v>
                </c:pt>
                <c:pt idx="81">
                  <c:v>131</c:v>
                </c:pt>
                <c:pt idx="82">
                  <c:v>132</c:v>
                </c:pt>
                <c:pt idx="83">
                  <c:v>133</c:v>
                </c:pt>
                <c:pt idx="84">
                  <c:v>134</c:v>
                </c:pt>
                <c:pt idx="85">
                  <c:v>135</c:v>
                </c:pt>
                <c:pt idx="86">
                  <c:v>136</c:v>
                </c:pt>
                <c:pt idx="87">
                  <c:v>137</c:v>
                </c:pt>
                <c:pt idx="88">
                  <c:v>138</c:v>
                </c:pt>
                <c:pt idx="89">
                  <c:v>139</c:v>
                </c:pt>
                <c:pt idx="90">
                  <c:v>140</c:v>
                </c:pt>
                <c:pt idx="91">
                  <c:v>141</c:v>
                </c:pt>
                <c:pt idx="92">
                  <c:v>142</c:v>
                </c:pt>
                <c:pt idx="93">
                  <c:v>143</c:v>
                </c:pt>
                <c:pt idx="94">
                  <c:v>144</c:v>
                </c:pt>
                <c:pt idx="95">
                  <c:v>145</c:v>
                </c:pt>
                <c:pt idx="96">
                  <c:v>146</c:v>
                </c:pt>
                <c:pt idx="97">
                  <c:v>147</c:v>
                </c:pt>
                <c:pt idx="98">
                  <c:v>148</c:v>
                </c:pt>
                <c:pt idx="99">
                  <c:v>149</c:v>
                </c:pt>
                <c:pt idx="100">
                  <c:v>150</c:v>
                </c:pt>
              </c:numCache>
            </c:numRef>
          </c:cat>
          <c:val>
            <c:numRef>
              <c:f>UOP!$D$52:$D$121</c:f>
              <c:numCache>
                <c:formatCode>0.0000</c:formatCode>
                <c:ptCount val="70"/>
                <c:pt idx="0">
                  <c:v>45.125341550170617</c:v>
                </c:pt>
                <c:pt idx="1">
                  <c:v>44.126430347234567</c:v>
                </c:pt>
                <c:pt idx="2">
                  <c:v>43.127934287573595</c:v>
                </c:pt>
                <c:pt idx="3">
                  <c:v>42.12998102247213</c:v>
                </c:pt>
                <c:pt idx="4">
                  <c:v>41.132727428388726</c:v>
                </c:pt>
                <c:pt idx="5">
                  <c:v>40.136363599140644</c:v>
                </c:pt>
                <c:pt idx="6">
                  <c:v>39.141116793456412</c:v>
                </c:pt>
                <c:pt idx="7">
                  <c:v>38.147255212454638</c:v>
                </c:pt>
                <c:pt idx="8">
                  <c:v>37.155091474571165</c:v>
                </c:pt>
                <c:pt idx="9">
                  <c:v>36.164985653689932</c:v>
                </c:pt>
                <c:pt idx="10">
                  <c:v>35.177347750018612</c:v>
                </c:pt>
                <c:pt idx="11">
                  <c:v>34.192639472562576</c:v>
                </c:pt>
                <c:pt idx="12">
                  <c:v>33.211375226555305</c:v>
                </c:pt>
                <c:pt idx="13">
                  <c:v>32.234122218301195</c:v>
                </c:pt>
                <c:pt idx="14">
                  <c:v>31.261499612744664</c:v>
                </c:pt>
                <c:pt idx="15">
                  <c:v>30.294176704701385</c:v>
                </c:pt>
                <c:pt idx="16">
                  <c:v>29.332870091972616</c:v>
                </c:pt>
                <c:pt idx="17">
                  <c:v>28.378339866372649</c:v>
                </c:pt>
                <c:pt idx="18">
                  <c:v>27.43138486591927</c:v>
                </c:pt>
                <c:pt idx="19">
                  <c:v>26.492837057035658</c:v>
                </c:pt>
                <c:pt idx="20">
                  <c:v>25.563555138683967</c:v>
                </c:pt>
                <c:pt idx="21">
                  <c:v>24.644417480149926</c:v>
                </c:pt>
                <c:pt idx="22">
                  <c:v>23.736314520165706</c:v>
                </c:pt>
                <c:pt idx="23">
                  <c:v>22.840140766824291</c:v>
                </c:pt>
                <c:pt idx="24">
                  <c:v>21.956786545130583</c:v>
                </c:pt>
                <c:pt idx="25">
                  <c:v>21.087129642057405</c:v>
                </c:pt>
                <c:pt idx="26">
                  <c:v>20.232026997800048</c:v>
                </c:pt>
                <c:pt idx="27">
                  <c:v>19.392306586862247</c:v>
                </c:pt>
                <c:pt idx="28">
                  <c:v>18.568759624083036</c:v>
                </c:pt>
                <c:pt idx="29">
                  <c:v>17.762133219231288</c:v>
                </c:pt>
                <c:pt idx="30">
                  <c:v>16.973123589919084</c:v>
                </c:pt>
                <c:pt idx="31">
                  <c:v>16.202369926896736</c:v>
                </c:pt>
                <c:pt idx="32">
                  <c:v>15.450448988883046</c:v>
                </c:pt>
                <c:pt idx="33">
                  <c:v>14.717870486519146</c:v>
                </c:pt>
                <c:pt idx="34">
                  <c:v>14.005073297342982</c:v>
                </c:pt>
                <c:pt idx="35">
                  <c:v>13.312422536336115</c:v>
                </c:pt>
                <c:pt idx="36">
                  <c:v>12.640207490013118</c:v>
                </c:pt>
                <c:pt idx="37">
                  <c:v>11.988640406545954</c:v>
                </c:pt>
                <c:pt idx="38">
                  <c:v>11.357856120318445</c:v>
                </c:pt>
                <c:pt idx="39">
                  <c:v>10.747912476791697</c:v>
                </c:pt>
                <c:pt idx="40">
                  <c:v>10.158791512763806</c:v>
                </c:pt>
                <c:pt idx="41">
                  <c:v>9.5904013381023958</c:v>
                </c:pt>
                <c:pt idx="42">
                  <c:v>9.0425786578302905</c:v>
                </c:pt>
                <c:pt idx="43">
                  <c:v>8.5150918680235677</c:v>
                </c:pt>
                <c:pt idx="44">
                  <c:v>8.0076446552598952</c:v>
                </c:pt>
                <c:pt idx="45">
                  <c:v>7.5198800272325954</c:v>
                </c:pt>
                <c:pt idx="46">
                  <c:v>7.0513847014838404</c:v>
                </c:pt>
                <c:pt idx="47">
                  <c:v>6.6016937798642061</c:v>
                </c:pt>
                <c:pt idx="48">
                  <c:v>6.1702956381301632</c:v>
                </c:pt>
                <c:pt idx="49">
                  <c:v>5.7566369628814513</c:v>
                </c:pt>
                <c:pt idx="50">
                  <c:v>5.3601278716478191</c:v>
                </c:pt>
                <c:pt idx="51">
                  <c:v>4.9801470561982057</c:v>
                </c:pt>
                <c:pt idx="52">
                  <c:v>4.6160468939072885</c:v>
                </c:pt>
                <c:pt idx="53">
                  <c:v>4.2671584771318543</c:v>
                </c:pt>
                <c:pt idx="54">
                  <c:v>3.9327965158881604</c:v>
                </c:pt>
                <c:pt idx="55">
                  <c:v>3.612264074561601</c:v>
                </c:pt>
                <c:pt idx="56">
                  <c:v>3.3048571088198493</c:v>
                </c:pt>
                <c:pt idx="57">
                  <c:v>3.009868774244147</c:v>
                </c:pt>
                <c:pt idx="58">
                  <c:v>2.7265934833704719</c:v>
                </c:pt>
                <c:pt idx="59">
                  <c:v>2.4543306927758799</c:v>
                </c:pt>
                <c:pt idx="60">
                  <c:v>2.1923884065074351</c:v>
                </c:pt>
                <c:pt idx="61">
                  <c:v>1.9400863864961639</c:v>
                </c:pt>
                <c:pt idx="62">
                  <c:v>1.6967590645959394</c:v>
                </c:pt>
                <c:pt idx="63">
                  <c:v>1.4617581545242384</c:v>
                </c:pt>
                <c:pt idx="64">
                  <c:v>1.2344549652476378</c:v>
                </c:pt>
                <c:pt idx="65">
                  <c:v>1.0142424202502447</c:v>
                </c:pt>
                <c:pt idx="66">
                  <c:v>0.80053678965132757</c:v>
                </c:pt>
                <c:pt idx="67">
                  <c:v>0.59277914431360301</c:v>
                </c:pt>
                <c:pt idx="68">
                  <c:v>0.39043654291556518</c:v>
                </c:pt>
                <c:pt idx="69">
                  <c:v>0.19300296447271426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B0-4D1B-B975-C561842553FE}"/>
            </c:ext>
          </c:extLst>
        </c:ser>
        <c:ser>
          <c:idx val="1"/>
          <c:order val="1"/>
          <c:tx>
            <c:v>Vanilla put</c:v>
          </c:tx>
          <c:spPr>
            <a:ln w="1905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UOP!$I$52:$I$152</c:f>
              <c:numCache>
                <c:formatCode>General</c:formatCode>
                <c:ptCount val="101"/>
                <c:pt idx="0">
                  <c:v>50</c:v>
                </c:pt>
                <c:pt idx="1">
                  <c:v>51</c:v>
                </c:pt>
                <c:pt idx="2">
                  <c:v>52</c:v>
                </c:pt>
                <c:pt idx="3">
                  <c:v>53</c:v>
                </c:pt>
                <c:pt idx="4">
                  <c:v>54</c:v>
                </c:pt>
                <c:pt idx="5">
                  <c:v>55</c:v>
                </c:pt>
                <c:pt idx="6">
                  <c:v>56</c:v>
                </c:pt>
                <c:pt idx="7">
                  <c:v>57</c:v>
                </c:pt>
                <c:pt idx="8">
                  <c:v>58</c:v>
                </c:pt>
                <c:pt idx="9">
                  <c:v>59</c:v>
                </c:pt>
                <c:pt idx="10">
                  <c:v>60</c:v>
                </c:pt>
                <c:pt idx="11">
                  <c:v>61</c:v>
                </c:pt>
                <c:pt idx="12">
                  <c:v>62</c:v>
                </c:pt>
                <c:pt idx="13">
                  <c:v>63</c:v>
                </c:pt>
                <c:pt idx="14">
                  <c:v>64</c:v>
                </c:pt>
                <c:pt idx="15">
                  <c:v>65</c:v>
                </c:pt>
                <c:pt idx="16">
                  <c:v>66</c:v>
                </c:pt>
                <c:pt idx="17">
                  <c:v>67</c:v>
                </c:pt>
                <c:pt idx="18">
                  <c:v>68</c:v>
                </c:pt>
                <c:pt idx="19">
                  <c:v>69</c:v>
                </c:pt>
                <c:pt idx="20">
                  <c:v>70</c:v>
                </c:pt>
                <c:pt idx="21">
                  <c:v>71</c:v>
                </c:pt>
                <c:pt idx="22">
                  <c:v>72</c:v>
                </c:pt>
                <c:pt idx="23">
                  <c:v>73</c:v>
                </c:pt>
                <c:pt idx="24">
                  <c:v>74</c:v>
                </c:pt>
                <c:pt idx="25">
                  <c:v>75</c:v>
                </c:pt>
                <c:pt idx="26">
                  <c:v>76</c:v>
                </c:pt>
                <c:pt idx="27">
                  <c:v>77</c:v>
                </c:pt>
                <c:pt idx="28">
                  <c:v>78</c:v>
                </c:pt>
                <c:pt idx="29">
                  <c:v>79</c:v>
                </c:pt>
                <c:pt idx="30">
                  <c:v>80</c:v>
                </c:pt>
                <c:pt idx="31">
                  <c:v>81</c:v>
                </c:pt>
                <c:pt idx="32">
                  <c:v>82</c:v>
                </c:pt>
                <c:pt idx="33">
                  <c:v>83</c:v>
                </c:pt>
                <c:pt idx="34">
                  <c:v>84</c:v>
                </c:pt>
                <c:pt idx="35">
                  <c:v>85</c:v>
                </c:pt>
                <c:pt idx="36">
                  <c:v>86</c:v>
                </c:pt>
                <c:pt idx="37">
                  <c:v>87</c:v>
                </c:pt>
                <c:pt idx="38">
                  <c:v>88</c:v>
                </c:pt>
                <c:pt idx="39">
                  <c:v>89</c:v>
                </c:pt>
                <c:pt idx="40">
                  <c:v>90</c:v>
                </c:pt>
                <c:pt idx="41">
                  <c:v>91</c:v>
                </c:pt>
                <c:pt idx="42">
                  <c:v>92</c:v>
                </c:pt>
                <c:pt idx="43">
                  <c:v>93</c:v>
                </c:pt>
                <c:pt idx="44">
                  <c:v>94</c:v>
                </c:pt>
                <c:pt idx="45">
                  <c:v>95</c:v>
                </c:pt>
                <c:pt idx="46">
                  <c:v>96</c:v>
                </c:pt>
                <c:pt idx="47">
                  <c:v>97</c:v>
                </c:pt>
                <c:pt idx="48">
                  <c:v>98</c:v>
                </c:pt>
                <c:pt idx="49">
                  <c:v>99</c:v>
                </c:pt>
                <c:pt idx="50">
                  <c:v>100</c:v>
                </c:pt>
                <c:pt idx="51">
                  <c:v>101</c:v>
                </c:pt>
                <c:pt idx="52">
                  <c:v>102</c:v>
                </c:pt>
                <c:pt idx="53">
                  <c:v>103</c:v>
                </c:pt>
                <c:pt idx="54">
                  <c:v>104</c:v>
                </c:pt>
                <c:pt idx="55">
                  <c:v>105</c:v>
                </c:pt>
                <c:pt idx="56">
                  <c:v>106</c:v>
                </c:pt>
                <c:pt idx="57">
                  <c:v>107</c:v>
                </c:pt>
                <c:pt idx="58">
                  <c:v>108</c:v>
                </c:pt>
                <c:pt idx="59">
                  <c:v>109</c:v>
                </c:pt>
                <c:pt idx="60">
                  <c:v>110</c:v>
                </c:pt>
                <c:pt idx="61">
                  <c:v>111</c:v>
                </c:pt>
                <c:pt idx="62">
                  <c:v>112</c:v>
                </c:pt>
                <c:pt idx="63">
                  <c:v>113</c:v>
                </c:pt>
                <c:pt idx="64">
                  <c:v>114</c:v>
                </c:pt>
                <c:pt idx="65">
                  <c:v>115</c:v>
                </c:pt>
                <c:pt idx="66">
                  <c:v>116</c:v>
                </c:pt>
                <c:pt idx="67">
                  <c:v>117</c:v>
                </c:pt>
                <c:pt idx="68">
                  <c:v>118</c:v>
                </c:pt>
                <c:pt idx="69">
                  <c:v>119</c:v>
                </c:pt>
                <c:pt idx="70">
                  <c:v>120</c:v>
                </c:pt>
                <c:pt idx="71">
                  <c:v>121</c:v>
                </c:pt>
                <c:pt idx="72">
                  <c:v>122</c:v>
                </c:pt>
                <c:pt idx="73">
                  <c:v>123</c:v>
                </c:pt>
                <c:pt idx="74">
                  <c:v>124</c:v>
                </c:pt>
                <c:pt idx="75">
                  <c:v>125</c:v>
                </c:pt>
                <c:pt idx="76">
                  <c:v>126</c:v>
                </c:pt>
                <c:pt idx="77">
                  <c:v>127</c:v>
                </c:pt>
                <c:pt idx="78">
                  <c:v>128</c:v>
                </c:pt>
                <c:pt idx="79">
                  <c:v>129</c:v>
                </c:pt>
                <c:pt idx="80">
                  <c:v>130</c:v>
                </c:pt>
                <c:pt idx="81">
                  <c:v>131</c:v>
                </c:pt>
                <c:pt idx="82">
                  <c:v>132</c:v>
                </c:pt>
                <c:pt idx="83">
                  <c:v>133</c:v>
                </c:pt>
                <c:pt idx="84">
                  <c:v>134</c:v>
                </c:pt>
                <c:pt idx="85">
                  <c:v>135</c:v>
                </c:pt>
                <c:pt idx="86">
                  <c:v>136</c:v>
                </c:pt>
                <c:pt idx="87">
                  <c:v>137</c:v>
                </c:pt>
                <c:pt idx="88">
                  <c:v>138</c:v>
                </c:pt>
                <c:pt idx="89">
                  <c:v>139</c:v>
                </c:pt>
                <c:pt idx="90">
                  <c:v>140</c:v>
                </c:pt>
                <c:pt idx="91">
                  <c:v>141</c:v>
                </c:pt>
                <c:pt idx="92">
                  <c:v>142</c:v>
                </c:pt>
                <c:pt idx="93">
                  <c:v>143</c:v>
                </c:pt>
                <c:pt idx="94">
                  <c:v>144</c:v>
                </c:pt>
                <c:pt idx="95">
                  <c:v>145</c:v>
                </c:pt>
                <c:pt idx="96">
                  <c:v>146</c:v>
                </c:pt>
                <c:pt idx="97">
                  <c:v>147</c:v>
                </c:pt>
                <c:pt idx="98">
                  <c:v>148</c:v>
                </c:pt>
                <c:pt idx="99">
                  <c:v>149</c:v>
                </c:pt>
                <c:pt idx="100">
                  <c:v>150</c:v>
                </c:pt>
              </c:numCache>
            </c:numRef>
          </c:cat>
          <c:val>
            <c:numRef>
              <c:f>UOP!$G$52:$G$152</c:f>
              <c:numCache>
                <c:formatCode>0.0000</c:formatCode>
                <c:ptCount val="101"/>
                <c:pt idx="0">
                  <c:v>45.125341867624712</c:v>
                </c:pt>
                <c:pt idx="1">
                  <c:v>44.126430890383716</c:v>
                </c:pt>
                <c:pt idx="2">
                  <c:v>43.127935198978562</c:v>
                </c:pt>
                <c:pt idx="3">
                  <c:v>42.129982523744545</c:v>
                </c:pt>
                <c:pt idx="4">
                  <c:v>41.132729858016731</c:v>
                </c:pt>
                <c:pt idx="5">
                  <c:v>40.136367465526732</c:v>
                </c:pt>
                <c:pt idx="6">
                  <c:v>39.141122848081693</c:v>
                </c:pt>
                <c:pt idx="7">
                  <c:v>38.147264549243388</c:v>
                </c:pt>
                <c:pt idx="8">
                  <c:v>37.15510566283433</c:v>
                </c:pt>
                <c:pt idx="9">
                  <c:v>36.165006913461681</c:v>
                </c:pt>
                <c:pt idx="10">
                  <c:v>35.177379180141827</c:v>
                </c:pt>
                <c:pt idx="11">
                  <c:v>34.192685343490979</c:v>
                </c:pt>
                <c:pt idx="12">
                  <c:v>33.211441351479039</c:v>
                </c:pt>
                <c:pt idx="13">
                  <c:v>32.234216417812732</c:v>
                </c:pt>
                <c:pt idx="14">
                  <c:v>31.261632289780536</c:v>
                </c:pt>
                <c:pt idx="15">
                  <c:v>30.294361547853441</c:v>
                </c:pt>
                <c:pt idx="16">
                  <c:v>29.333124926384784</c:v>
                </c:pt>
                <c:pt idx="17">
                  <c:v>28.378687672250663</c:v>
                </c:pt>
                <c:pt idx="18">
                  <c:v>27.431854985107151</c:v>
                </c:pt>
                <c:pt idx="19">
                  <c:v>26.493466608083708</c:v>
                </c:pt>
                <c:pt idx="20">
                  <c:v>25.564390660286776</c:v>
                </c:pt>
                <c:pt idx="21">
                  <c:v>24.645516821719681</c:v>
                </c:pt>
                <c:pt idx="22">
                  <c:v>23.737748996587626</c:v>
                </c:pt>
                <c:pt idx="23">
                  <c:v>22.84199759209848</c:v>
                </c:pt>
                <c:pt idx="24">
                  <c:v>21.9591715566349</c:v>
                </c:pt>
                <c:pt idx="25">
                  <c:v>21.090170323586094</c:v>
                </c:pt>
                <c:pt idx="26">
                  <c:v>20.235875805380999</c:v>
                </c:pt>
                <c:pt idx="27">
                  <c:v>19.397144576686756</c:v>
                </c:pt>
                <c:pt idx="28">
                  <c:v>18.574800376771094</c:v>
                </c:pt>
                <c:pt idx="29">
                  <c:v>17.769627049195478</c:v>
                </c:pt>
                <c:pt idx="30">
                  <c:v>16.982362022883592</c:v>
                </c:pt>
                <c:pt idx="31">
                  <c:v>16.213690422794571</c:v>
                </c:pt>
                <c:pt idx="32">
                  <c:v>15.464239881516903</c:v>
                </c:pt>
                <c:pt idx="33">
                  <c:v>14.734576105659428</c:v>
                </c:pt>
                <c:pt idx="34">
                  <c:v>14.025199233478872</c:v>
                </c:pt>
                <c:pt idx="35">
                  <c:v>13.336541003219281</c:v>
                </c:pt>
                <c:pt idx="36">
                  <c:v>12.668962735557898</c:v>
                </c:pt>
                <c:pt idx="37">
                  <c:v>12.022754118683949</c:v>
                </c:pt>
                <c:pt idx="38">
                  <c:v>11.398132771146962</c:v>
                </c:pt>
                <c:pt idx="39">
                  <c:v>10.795244545883776</c:v>
                </c:pt>
                <c:pt idx="40">
                  <c:v>10.214164528888958</c:v>
                </c:pt>
                <c:pt idx="41">
                  <c:v>9.654898677884546</c:v>
                </c:pt>
                <c:pt idx="42">
                  <c:v>9.1173860400704427</c:v>
                </c:pt>
                <c:pt idx="43">
                  <c:v>8.601501483542819</c:v>
                </c:pt>
                <c:pt idx="44">
                  <c:v>8.1070588741637977</c:v>
                </c:pt>
                <c:pt idx="45">
                  <c:v>7.6338146284241191</c:v>
                </c:pt>
                <c:pt idx="46">
                  <c:v>7.1814715730135106</c:v>
                </c:pt>
                <c:pt idx="47">
                  <c:v>6.7496830432356489</c:v>
                </c:pt>
                <c:pt idx="48">
                  <c:v>6.3380571548986637</c:v>
                </c:pt>
                <c:pt idx="49">
                  <c:v>5.9461611877030123</c:v>
                </c:pt>
                <c:pt idx="50">
                  <c:v>5.5735260222569707</c:v>
                </c:pt>
                <c:pt idx="51">
                  <c:v>5.2196505775088156</c:v>
                </c:pt>
                <c:pt idx="52">
                  <c:v>4.8840062004327649</c:v>
                </c:pt>
                <c:pt idx="53">
                  <c:v>4.5660409650977414</c:v>
                </c:pt>
                <c:pt idx="54">
                  <c:v>4.265183843650874</c:v>
                </c:pt>
                <c:pt idx="55">
                  <c:v>3.980848717144525</c:v>
                </c:pt>
                <c:pt idx="56">
                  <c:v>3.7124381994290729</c:v>
                </c:pt>
                <c:pt idx="57">
                  <c:v>3.4593472524347533</c:v>
                </c:pt>
                <c:pt idx="58">
                  <c:v>3.2209665760124864</c:v>
                </c:pt>
                <c:pt idx="59">
                  <c:v>2.9966857600373231</c:v>
                </c:pt>
                <c:pt idx="60">
                  <c:v>2.7858961906618447</c:v>
                </c:pt>
                <c:pt idx="61">
                  <c:v>2.587993706415503</c:v>
                </c:pt>
                <c:pt idx="62">
                  <c:v>2.4023810032591228</c:v>
                </c:pt>
                <c:pt idx="63">
                  <c:v>2.2284697907222437</c:v>
                </c:pt>
                <c:pt idx="64">
                  <c:v>2.0656827038723549</c:v>
                </c:pt>
                <c:pt idx="65">
                  <c:v>1.9134549781025498</c:v>
                </c:pt>
                <c:pt idx="66">
                  <c:v>1.7712358955913885</c:v>
                </c:pt>
                <c:pt idx="67">
                  <c:v>1.6384900138085357</c:v>
                </c:pt>
                <c:pt idx="68">
                  <c:v>1.5146981876313248</c:v>
                </c:pt>
                <c:pt idx="69">
                  <c:v>1.3993583975323389</c:v>
                </c:pt>
                <c:pt idx="70">
                  <c:v>1.2919863969187162</c:v>
                </c:pt>
                <c:pt idx="71">
                  <c:v>1.1921161920808743</c:v>
                </c:pt>
                <c:pt idx="72">
                  <c:v>1.0993003683698532</c:v>
                </c:pt>
                <c:pt idx="73">
                  <c:v>1.0131102761942259</c:v>
                </c:pt>
                <c:pt idx="74">
                  <c:v>0.93313609023896049</c:v>
                </c:pt>
                <c:pt idx="75">
                  <c:v>0.85898675498108901</c:v>
                </c:pt>
                <c:pt idx="76">
                  <c:v>0.7902898291391125</c:v>
                </c:pt>
                <c:pt idx="77">
                  <c:v>0.72669124116166017</c:v>
                </c:pt>
                <c:pt idx="78">
                  <c:v>0.66785496726021165</c:v>
                </c:pt>
                <c:pt idx="79">
                  <c:v>0.61346264283614005</c:v>
                </c:pt>
                <c:pt idx="80">
                  <c:v>0.56321311746137326</c:v>
                </c:pt>
                <c:pt idx="81">
                  <c:v>0.51682196285963755</c:v>
                </c:pt>
                <c:pt idx="82">
                  <c:v>0.47402094260976924</c:v>
                </c:pt>
                <c:pt idx="83">
                  <c:v>0.43455745157399406</c:v>
                </c:pt>
                <c:pt idx="84">
                  <c:v>0.39819393233744904</c:v>
                </c:pt>
                <c:pt idx="85">
                  <c:v>0.36470727525369284</c:v>
                </c:pt>
                <c:pt idx="86">
                  <c:v>0.33388820801690144</c:v>
                </c:pt>
                <c:pt idx="87">
                  <c:v>0.30554068004056489</c:v>
                </c:pt>
                <c:pt idx="88">
                  <c:v>0.27948124630927396</c:v>
                </c:pt>
                <c:pt idx="89">
                  <c:v>0.25553845479603865</c:v>
                </c:pt>
                <c:pt idx="90">
                  <c:v>0.23355224099623229</c:v>
                </c:pt>
                <c:pt idx="91">
                  <c:v>0.21337333262886204</c:v>
                </c:pt>
                <c:pt idx="92">
                  <c:v>0.19486266709054689</c:v>
                </c:pt>
                <c:pt idx="93">
                  <c:v>0.17789082382222432</c:v>
                </c:pt>
                <c:pt idx="94">
                  <c:v>0.16233747335903104</c:v>
                </c:pt>
                <c:pt idx="95">
                  <c:v>0.14809084448137355</c:v>
                </c:pt>
                <c:pt idx="96">
                  <c:v>0.13504721056619928</c:v>
                </c:pt>
                <c:pt idx="97">
                  <c:v>0.12311039595317652</c:v>
                </c:pt>
                <c:pt idx="98">
                  <c:v>0.11219130288665724</c:v>
                </c:pt>
                <c:pt idx="99">
                  <c:v>0.10220745936970843</c:v>
                </c:pt>
                <c:pt idx="100">
                  <c:v>9.3082588070615202E-2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B0-4D1B-B975-C561842553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3666160"/>
        <c:axId val="993670000"/>
      </c:lineChart>
      <c:catAx>
        <c:axId val="9936661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1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b="1" i="1"/>
                  <a:t>P</a:t>
                </a:r>
              </a:p>
            </c:rich>
          </c:tx>
          <c:layout>
            <c:manualLayout>
              <c:xMode val="edge"/>
              <c:yMode val="edge"/>
              <c:x val="0.52315797963465194"/>
              <c:y val="0.909394942536683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1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93670000"/>
        <c:crosses val="autoZero"/>
        <c:auto val="1"/>
        <c:lblAlgn val="ctr"/>
        <c:lblOffset val="100"/>
        <c:tickLblSkip val="20"/>
        <c:tickMarkSkip val="20"/>
        <c:noMultiLvlLbl val="0"/>
      </c:catAx>
      <c:valAx>
        <c:axId val="993670000"/>
        <c:scaling>
          <c:orientation val="minMax"/>
          <c:max val="5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1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b="1" i="1"/>
                  <a:t>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1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93666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3803649981877387"/>
          <c:y val="0.12211523779066583"/>
          <c:w val="0.20079275686444745"/>
          <c:h val="0.1077862151944129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050"/>
              <a:t>Up-and-out put. </a:t>
            </a:r>
            <a:r>
              <a:rPr lang="el-GR" sz="1050"/>
              <a:t>σ = 0.2, </a:t>
            </a:r>
            <a:r>
              <a:rPr lang="en-US" sz="1050"/>
              <a:t>r = 0.05, rd = 0, K = 100, T = 1 and H = 80.</a:t>
            </a:r>
          </a:p>
        </c:rich>
      </c:tx>
      <c:layout>
        <c:manualLayout>
          <c:xMode val="edge"/>
          <c:yMode val="edge"/>
          <c:x val="2.1842268648192276E-2"/>
          <c:y val="1.26337423383067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79893518711963"/>
          <c:y val="9.9281744556902946E-2"/>
          <c:w val="0.84681678474707534"/>
          <c:h val="0.78393908225796693"/>
        </c:manualLayout>
      </c:layout>
      <c:lineChart>
        <c:grouping val="standard"/>
        <c:varyColors val="0"/>
        <c:ser>
          <c:idx val="0"/>
          <c:order val="0"/>
          <c:tx>
            <c:v>Up-and-out put</c:v>
          </c:tx>
          <c:spPr>
            <a:ln w="28575" cap="rnd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UOP!$I$2:$I$152</c:f>
              <c:numCache>
                <c:formatCode>General</c:formatCode>
                <c:ptCount val="1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</c:numCache>
            </c:numRef>
          </c:cat>
          <c:val>
            <c:numRef>
              <c:f>UOP!$E$3:$E$152</c:f>
              <c:numCache>
                <c:formatCode>0.0000</c:formatCode>
                <c:ptCount val="150"/>
                <c:pt idx="0">
                  <c:v>94.122942450071406</c:v>
                </c:pt>
                <c:pt idx="1">
                  <c:v>93.122942450071406</c:v>
                </c:pt>
                <c:pt idx="2">
                  <c:v>92.122942450071406</c:v>
                </c:pt>
                <c:pt idx="3">
                  <c:v>91.122942450071406</c:v>
                </c:pt>
                <c:pt idx="4">
                  <c:v>90.122942450071406</c:v>
                </c:pt>
                <c:pt idx="5">
                  <c:v>89.122942450071406</c:v>
                </c:pt>
                <c:pt idx="6">
                  <c:v>88.122942450071406</c:v>
                </c:pt>
                <c:pt idx="7">
                  <c:v>87.122942450071406</c:v>
                </c:pt>
                <c:pt idx="8">
                  <c:v>86.122942450071406</c:v>
                </c:pt>
                <c:pt idx="9">
                  <c:v>85.122942450071406</c:v>
                </c:pt>
                <c:pt idx="10">
                  <c:v>84.122942450071406</c:v>
                </c:pt>
                <c:pt idx="11">
                  <c:v>83.122942450071406</c:v>
                </c:pt>
                <c:pt idx="12">
                  <c:v>82.122942450071406</c:v>
                </c:pt>
                <c:pt idx="13">
                  <c:v>81.122942450071406</c:v>
                </c:pt>
                <c:pt idx="14">
                  <c:v>80.122942450071406</c:v>
                </c:pt>
                <c:pt idx="15">
                  <c:v>79.122942450071349</c:v>
                </c:pt>
                <c:pt idx="16">
                  <c:v>78.122942450070823</c:v>
                </c:pt>
                <c:pt idx="17">
                  <c:v>77.12294245006639</c:v>
                </c:pt>
                <c:pt idx="18">
                  <c:v>76.122942450035282</c:v>
                </c:pt>
                <c:pt idx="19">
                  <c:v>75.122942449851394</c:v>
                </c:pt>
                <c:pt idx="20">
                  <c:v>74.122942448915978</c:v>
                </c:pt>
                <c:pt idx="21">
                  <c:v>73.122942444751516</c:v>
                </c:pt>
                <c:pt idx="22">
                  <c:v>72.122942428290727</c:v>
                </c:pt>
                <c:pt idx="23">
                  <c:v>71.122942369809707</c:v>
                </c:pt>
                <c:pt idx="24">
                  <c:v>70.122942181067302</c:v>
                </c:pt>
                <c:pt idx="25">
                  <c:v>69.122941622563758</c:v>
                </c:pt>
                <c:pt idx="26">
                  <c:v>68.122940095039255</c:v>
                </c:pt>
                <c:pt idx="27">
                  <c:v>67.12293620609374</c:v>
                </c:pt>
                <c:pt idx="28">
                  <c:v>66.122926932059627</c:v>
                </c:pt>
                <c:pt idx="29">
                  <c:v>65.12290610156532</c:v>
                </c:pt>
                <c:pt idx="30">
                  <c:v>64.122861816375959</c:v>
                </c:pt>
                <c:pt idx="31">
                  <c:v>63.122772310998656</c:v>
                </c:pt>
                <c:pt idx="32">
                  <c:v>62.12259965749594</c:v>
                </c:pt>
                <c:pt idx="33">
                  <c:v>61.122280674613386</c:v>
                </c:pt>
                <c:pt idx="34">
                  <c:v>60.121714431238878</c:v>
                </c:pt>
                <c:pt idx="35">
                  <c:v>59.1207458695621</c:v>
                </c:pt>
                <c:pt idx="36">
                  <c:v>58.119145328195749</c:v>
                </c:pt>
                <c:pt idx="37">
                  <c:v>57.116584118280684</c:v>
                </c:pt>
                <c:pt idx="38">
                  <c:v>56.112606774674028</c:v>
                </c:pt>
                <c:pt idx="39">
                  <c:v>55.106601128655612</c:v>
                </c:pt>
                <c:pt idx="40">
                  <c:v>54.097767871760844</c:v>
                </c:pt>
                <c:pt idx="41">
                  <c:v>53.085091737754816</c:v>
                </c:pt>
                <c:pt idx="42">
                  <c:v>52.067316757696005</c:v>
                </c:pt>
                <c:pt idx="43">
                  <c:v>51.04292818793845</c:v>
                </c:pt>
                <c:pt idx="44">
                  <c:v>50.010143637305553</c:v>
                </c:pt>
                <c:pt idx="45">
                  <c:v>48.966915615376223</c:v>
                </c:pt>
                <c:pt idx="46">
                  <c:v>47.910947201934313</c:v>
                </c:pt>
                <c:pt idx="47">
                  <c:v>46.839721834887328</c:v>
                </c:pt>
                <c:pt idx="48">
                  <c:v>45.750547386172371</c:v>
                </c:pt>
                <c:pt idx="49">
                  <c:v>44.640613810488453</c:v>
                </c:pt>
                <c:pt idx="50">
                  <c:v>43.507062782818885</c:v>
                </c:pt>
                <c:pt idx="51">
                  <c:v>42.34706695712984</c:v>
                </c:pt>
                <c:pt idx="52">
                  <c:v>41.15791583990611</c:v>
                </c:pt>
                <c:pt idx="53">
                  <c:v>39.93710482288612</c:v>
                </c:pt>
                <c:pt idx="54">
                  <c:v>38.682423686094239</c:v>
                </c:pt>
                <c:pt idx="55">
                  <c:v>37.392040872837114</c:v>
                </c:pt>
                <c:pt idx="56">
                  <c:v>36.064580042792905</c:v>
                </c:pt>
                <c:pt idx="57">
                  <c:v>34.699185802614885</c:v>
                </c:pt>
                <c:pt idx="58">
                  <c:v>33.295576059058853</c:v>
                </c:pt>
                <c:pt idx="59">
                  <c:v>31.854079093702119</c:v>
                </c:pt>
                <c:pt idx="60">
                  <c:v>30.375654173944419</c:v>
                </c:pt>
                <c:pt idx="61">
                  <c:v>28.861895246055632</c:v>
                </c:pt>
                <c:pt idx="62">
                  <c:v>27.315017960455975</c:v>
                </c:pt>
                <c:pt idx="63">
                  <c:v>25.737830921504084</c:v>
                </c:pt>
                <c:pt idx="64">
                  <c:v>24.133692606116604</c:v>
                </c:pt>
                <c:pt idx="65">
                  <c:v>22.506455838513382</c:v>
                </c:pt>
                <c:pt idx="66">
                  <c:v>20.860402031869079</c:v>
                </c:pt>
                <c:pt idx="67">
                  <c:v>19.200167609250371</c:v>
                </c:pt>
                <c:pt idx="68">
                  <c:v>17.530665100432518</c:v>
                </c:pt>
                <c:pt idx="69">
                  <c:v>15.857001388109492</c:v>
                </c:pt>
                <c:pt idx="70">
                  <c:v>14.184395460803948</c:v>
                </c:pt>
                <c:pt idx="71">
                  <c:v>12.518097837263639</c:v>
                </c:pt>
                <c:pt idx="72">
                  <c:v>10.863313576365194</c:v>
                </c:pt>
                <c:pt idx="73">
                  <c:v>9.2251304956866118</c:v>
                </c:pt>
                <c:pt idx="74">
                  <c:v>7.6084539082176086</c:v>
                </c:pt>
                <c:pt idx="75">
                  <c:v>6.0179488657740734</c:v>
                </c:pt>
                <c:pt idx="76">
                  <c:v>4.4579905830756816</c:v>
                </c:pt>
                <c:pt idx="77">
                  <c:v>2.9326234191977116</c:v>
                </c:pt>
                <c:pt idx="78">
                  <c:v>1.4455285217764717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2D-4FE5-BA8A-31F5E772CA65}"/>
            </c:ext>
          </c:extLst>
        </c:ser>
        <c:ser>
          <c:idx val="1"/>
          <c:order val="1"/>
          <c:tx>
            <c:v>Vanilla put</c:v>
          </c:tx>
          <c:spPr>
            <a:ln w="1905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UOP!$I$2:$I$152</c:f>
              <c:numCache>
                <c:formatCode>General</c:formatCode>
                <c:ptCount val="1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</c:numCache>
            </c:numRef>
          </c:cat>
          <c:val>
            <c:numRef>
              <c:f>UOP!$G$3:$G$152</c:f>
              <c:numCache>
                <c:formatCode>0.0000</c:formatCode>
                <c:ptCount val="150"/>
                <c:pt idx="0">
                  <c:v>94.122942450071406</c:v>
                </c:pt>
                <c:pt idx="1">
                  <c:v>93.122942450071406</c:v>
                </c:pt>
                <c:pt idx="2">
                  <c:v>92.122942450071406</c:v>
                </c:pt>
                <c:pt idx="3">
                  <c:v>91.122942450071406</c:v>
                </c:pt>
                <c:pt idx="4">
                  <c:v>90.122942450071406</c:v>
                </c:pt>
                <c:pt idx="5">
                  <c:v>89.122942450071406</c:v>
                </c:pt>
                <c:pt idx="6">
                  <c:v>88.122942450071406</c:v>
                </c:pt>
                <c:pt idx="7">
                  <c:v>87.122942450071406</c:v>
                </c:pt>
                <c:pt idx="8">
                  <c:v>86.122942450071406</c:v>
                </c:pt>
                <c:pt idx="9">
                  <c:v>85.122942450071406</c:v>
                </c:pt>
                <c:pt idx="10">
                  <c:v>84.122942450071406</c:v>
                </c:pt>
                <c:pt idx="11">
                  <c:v>83.122942450071406</c:v>
                </c:pt>
                <c:pt idx="12">
                  <c:v>82.122942450071406</c:v>
                </c:pt>
                <c:pt idx="13">
                  <c:v>81.122942450071406</c:v>
                </c:pt>
                <c:pt idx="14">
                  <c:v>80.122942450071406</c:v>
                </c:pt>
                <c:pt idx="15">
                  <c:v>79.122942450071406</c:v>
                </c:pt>
                <c:pt idx="16">
                  <c:v>78.122942450071406</c:v>
                </c:pt>
                <c:pt idx="17">
                  <c:v>77.122942450071406</c:v>
                </c:pt>
                <c:pt idx="18">
                  <c:v>76.122942450071406</c:v>
                </c:pt>
                <c:pt idx="19">
                  <c:v>75.122942450071406</c:v>
                </c:pt>
                <c:pt idx="20">
                  <c:v>74.122942450071434</c:v>
                </c:pt>
                <c:pt idx="21">
                  <c:v>73.122942450071548</c:v>
                </c:pt>
                <c:pt idx="22">
                  <c:v>72.122942450072202</c:v>
                </c:pt>
                <c:pt idx="23">
                  <c:v>71.122942450075229</c:v>
                </c:pt>
                <c:pt idx="24">
                  <c:v>70.122942450087891</c:v>
                </c:pt>
                <c:pt idx="25">
                  <c:v>69.122942450136065</c:v>
                </c:pt>
                <c:pt idx="26">
                  <c:v>68.122942450304024</c:v>
                </c:pt>
                <c:pt idx="27">
                  <c:v>67.122942450844789</c:v>
                </c:pt>
                <c:pt idx="28">
                  <c:v>66.122942452463619</c:v>
                </c:pt>
                <c:pt idx="29">
                  <c:v>65.122942456997109</c:v>
                </c:pt>
                <c:pt idx="30">
                  <c:v>64.122942468937651</c:v>
                </c:pt>
                <c:pt idx="31">
                  <c:v>63.12294249865873</c:v>
                </c:pt>
                <c:pt idx="32">
                  <c:v>62.122942568872986</c:v>
                </c:pt>
                <c:pt idx="33">
                  <c:v>61.122942726920911</c:v>
                </c:pt>
                <c:pt idx="34">
                  <c:v>60.122943067073564</c:v>
                </c:pt>
                <c:pt idx="35">
                  <c:v>59.122943769263358</c:v>
                </c:pt>
                <c:pt idx="36">
                  <c:v>58.122945163631726</c:v>
                </c:pt>
                <c:pt idx="37">
                  <c:v>57.12294783403614</c:v>
                </c:pt>
                <c:pt idx="38">
                  <c:v>56.122952778136153</c:v>
                </c:pt>
                <c:pt idx="39">
                  <c:v>55.12296164670191</c:v>
                </c:pt>
                <c:pt idx="40">
                  <c:v>54.122977090044529</c:v>
                </c:pt>
                <c:pt idx="41">
                  <c:v>53.123003244505057</c:v>
                </c:pt>
                <c:pt idx="42">
                  <c:v>52.123046396190475</c:v>
                </c:pt>
                <c:pt idx="43">
                  <c:v>51.123115861970035</c:v>
                </c:pt>
                <c:pt idx="44">
                  <c:v>50.123225128486382</c:v>
                </c:pt>
                <c:pt idx="45">
                  <c:v>49.12339328799456</c:v>
                </c:pt>
                <c:pt idx="46">
                  <c:v>48.123646804750393</c:v>
                </c:pt>
                <c:pt idx="47">
                  <c:v>47.124021637160311</c:v>
                </c:pt>
                <c:pt idx="48">
                  <c:v>46.124565728964555</c:v>
                </c:pt>
                <c:pt idx="49">
                  <c:v>45.125341867624712</c:v>
                </c:pt>
                <c:pt idx="50">
                  <c:v>44.126430890383716</c:v>
                </c:pt>
                <c:pt idx="51">
                  <c:v>43.127935198978562</c:v>
                </c:pt>
                <c:pt idx="52">
                  <c:v>42.129982523744545</c:v>
                </c:pt>
                <c:pt idx="53">
                  <c:v>41.132729858016731</c:v>
                </c:pt>
                <c:pt idx="54">
                  <c:v>40.136367465526732</c:v>
                </c:pt>
                <c:pt idx="55">
                  <c:v>39.141122848081693</c:v>
                </c:pt>
                <c:pt idx="56">
                  <c:v>38.147264549243388</c:v>
                </c:pt>
                <c:pt idx="57">
                  <c:v>37.15510566283433</c:v>
                </c:pt>
                <c:pt idx="58">
                  <c:v>36.165006913461681</c:v>
                </c:pt>
                <c:pt idx="59">
                  <c:v>35.177379180141827</c:v>
                </c:pt>
                <c:pt idx="60">
                  <c:v>34.192685343490979</c:v>
                </c:pt>
                <c:pt idx="61">
                  <c:v>33.211441351479039</c:v>
                </c:pt>
                <c:pt idx="62">
                  <c:v>32.234216417812732</c:v>
                </c:pt>
                <c:pt idx="63">
                  <c:v>31.261632289780536</c:v>
                </c:pt>
                <c:pt idx="64">
                  <c:v>30.294361547853441</c:v>
                </c:pt>
                <c:pt idx="65">
                  <c:v>29.333124926384784</c:v>
                </c:pt>
                <c:pt idx="66">
                  <c:v>28.378687672250663</c:v>
                </c:pt>
                <c:pt idx="67">
                  <c:v>27.431854985107151</c:v>
                </c:pt>
                <c:pt idx="68">
                  <c:v>26.493466608083708</c:v>
                </c:pt>
                <c:pt idx="69">
                  <c:v>25.564390660286776</c:v>
                </c:pt>
                <c:pt idx="70">
                  <c:v>24.645516821719681</c:v>
                </c:pt>
                <c:pt idx="71">
                  <c:v>23.737748996587626</c:v>
                </c:pt>
                <c:pt idx="72">
                  <c:v>22.84199759209848</c:v>
                </c:pt>
                <c:pt idx="73">
                  <c:v>21.9591715566349</c:v>
                </c:pt>
                <c:pt idx="74">
                  <c:v>21.090170323586094</c:v>
                </c:pt>
                <c:pt idx="75">
                  <c:v>20.235875805380999</c:v>
                </c:pt>
                <c:pt idx="76">
                  <c:v>19.397144576686756</c:v>
                </c:pt>
                <c:pt idx="77">
                  <c:v>18.574800376771094</c:v>
                </c:pt>
                <c:pt idx="78">
                  <c:v>17.769627049195478</c:v>
                </c:pt>
                <c:pt idx="79">
                  <c:v>16.982362022883592</c:v>
                </c:pt>
                <c:pt idx="80">
                  <c:v>16.213690422794571</c:v>
                </c:pt>
                <c:pt idx="81">
                  <c:v>15.464239881516903</c:v>
                </c:pt>
                <c:pt idx="82">
                  <c:v>14.734576105659428</c:v>
                </c:pt>
                <c:pt idx="83">
                  <c:v>14.025199233478872</c:v>
                </c:pt>
                <c:pt idx="84">
                  <c:v>13.336541003219281</c:v>
                </c:pt>
                <c:pt idx="85">
                  <c:v>12.668962735557898</c:v>
                </c:pt>
                <c:pt idx="86">
                  <c:v>12.022754118683949</c:v>
                </c:pt>
                <c:pt idx="87">
                  <c:v>11.398132771146962</c:v>
                </c:pt>
                <c:pt idx="88">
                  <c:v>10.795244545883776</c:v>
                </c:pt>
                <c:pt idx="89">
                  <c:v>10.214164528888958</c:v>
                </c:pt>
                <c:pt idx="90">
                  <c:v>9.654898677884546</c:v>
                </c:pt>
                <c:pt idx="91">
                  <c:v>9.1173860400704427</c:v>
                </c:pt>
                <c:pt idx="92">
                  <c:v>8.601501483542819</c:v>
                </c:pt>
                <c:pt idx="93">
                  <c:v>8.1070588741637977</c:v>
                </c:pt>
                <c:pt idx="94">
                  <c:v>7.6338146284241191</c:v>
                </c:pt>
                <c:pt idx="95">
                  <c:v>7.1814715730135106</c:v>
                </c:pt>
                <c:pt idx="96">
                  <c:v>6.7496830432356489</c:v>
                </c:pt>
                <c:pt idx="97">
                  <c:v>6.3380571548986637</c:v>
                </c:pt>
                <c:pt idx="98">
                  <c:v>5.9461611877030123</c:v>
                </c:pt>
                <c:pt idx="99">
                  <c:v>5.5735260222569707</c:v>
                </c:pt>
                <c:pt idx="100">
                  <c:v>5.2196505775088156</c:v>
                </c:pt>
                <c:pt idx="101">
                  <c:v>4.8840062004327649</c:v>
                </c:pt>
                <c:pt idx="102">
                  <c:v>4.5660409650977414</c:v>
                </c:pt>
                <c:pt idx="103">
                  <c:v>4.265183843650874</c:v>
                </c:pt>
                <c:pt idx="104">
                  <c:v>3.980848717144525</c:v>
                </c:pt>
                <c:pt idx="105">
                  <c:v>3.7124381994290729</c:v>
                </c:pt>
                <c:pt idx="106">
                  <c:v>3.4593472524347533</c:v>
                </c:pt>
                <c:pt idx="107">
                  <c:v>3.2209665760124864</c:v>
                </c:pt>
                <c:pt idx="108">
                  <c:v>2.9966857600373231</c:v>
                </c:pt>
                <c:pt idx="109">
                  <c:v>2.7858961906618447</c:v>
                </c:pt>
                <c:pt idx="110">
                  <c:v>2.587993706415503</c:v>
                </c:pt>
                <c:pt idx="111">
                  <c:v>2.4023810032591228</c:v>
                </c:pt>
                <c:pt idx="112">
                  <c:v>2.2284697907222437</c:v>
                </c:pt>
                <c:pt idx="113">
                  <c:v>2.0656827038723549</c:v>
                </c:pt>
                <c:pt idx="114">
                  <c:v>1.9134549781025498</c:v>
                </c:pt>
                <c:pt idx="115">
                  <c:v>1.7712358955913885</c:v>
                </c:pt>
                <c:pt idx="116">
                  <c:v>1.6384900138085357</c:v>
                </c:pt>
                <c:pt idx="117">
                  <c:v>1.5146981876313248</c:v>
                </c:pt>
                <c:pt idx="118">
                  <c:v>1.3993583975323389</c:v>
                </c:pt>
                <c:pt idx="119">
                  <c:v>1.2919863969187162</c:v>
                </c:pt>
                <c:pt idx="120">
                  <c:v>1.1921161920808743</c:v>
                </c:pt>
                <c:pt idx="121">
                  <c:v>1.0993003683698532</c:v>
                </c:pt>
                <c:pt idx="122">
                  <c:v>1.0131102761942259</c:v>
                </c:pt>
                <c:pt idx="123">
                  <c:v>0.93313609023896049</c:v>
                </c:pt>
                <c:pt idx="124">
                  <c:v>0.85898675498108901</c:v>
                </c:pt>
                <c:pt idx="125">
                  <c:v>0.7902898291391125</c:v>
                </c:pt>
                <c:pt idx="126">
                  <c:v>0.72669124116166017</c:v>
                </c:pt>
                <c:pt idx="127">
                  <c:v>0.66785496726021165</c:v>
                </c:pt>
                <c:pt idx="128">
                  <c:v>0.61346264283614005</c:v>
                </c:pt>
                <c:pt idx="129">
                  <c:v>0.56321311746137326</c:v>
                </c:pt>
                <c:pt idx="130">
                  <c:v>0.51682196285963755</c:v>
                </c:pt>
                <c:pt idx="131">
                  <c:v>0.47402094260976924</c:v>
                </c:pt>
                <c:pt idx="132">
                  <c:v>0.43455745157399406</c:v>
                </c:pt>
                <c:pt idx="133">
                  <c:v>0.39819393233744904</c:v>
                </c:pt>
                <c:pt idx="134">
                  <c:v>0.36470727525369284</c:v>
                </c:pt>
                <c:pt idx="135">
                  <c:v>0.33388820801690144</c:v>
                </c:pt>
                <c:pt idx="136">
                  <c:v>0.30554068004056489</c:v>
                </c:pt>
                <c:pt idx="137">
                  <c:v>0.27948124630927396</c:v>
                </c:pt>
                <c:pt idx="138">
                  <c:v>0.25553845479603865</c:v>
                </c:pt>
                <c:pt idx="139">
                  <c:v>0.23355224099623229</c:v>
                </c:pt>
                <c:pt idx="140">
                  <c:v>0.21337333262886204</c:v>
                </c:pt>
                <c:pt idx="141">
                  <c:v>0.19486266709054689</c:v>
                </c:pt>
                <c:pt idx="142">
                  <c:v>0.17789082382222432</c:v>
                </c:pt>
                <c:pt idx="143">
                  <c:v>0.16233747335903104</c:v>
                </c:pt>
                <c:pt idx="144">
                  <c:v>0.14809084448137355</c:v>
                </c:pt>
                <c:pt idx="145">
                  <c:v>0.13504721056619928</c:v>
                </c:pt>
                <c:pt idx="146">
                  <c:v>0.12311039595317652</c:v>
                </c:pt>
                <c:pt idx="147">
                  <c:v>0.11219130288665724</c:v>
                </c:pt>
                <c:pt idx="148">
                  <c:v>0.10220745936970843</c:v>
                </c:pt>
                <c:pt idx="149">
                  <c:v>9.3082588070615202E-2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2D-4FE5-BA8A-31F5E772CA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3666160"/>
        <c:axId val="993670000"/>
      </c:lineChart>
      <c:catAx>
        <c:axId val="9936661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1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b="1" i="1"/>
                  <a:t>P</a:t>
                </a:r>
              </a:p>
            </c:rich>
          </c:tx>
          <c:layout>
            <c:manualLayout>
              <c:xMode val="edge"/>
              <c:yMode val="edge"/>
              <c:x val="0.52315797963465194"/>
              <c:y val="0.909394942536683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1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93670000"/>
        <c:crosses val="autoZero"/>
        <c:auto val="1"/>
        <c:lblAlgn val="ctr"/>
        <c:lblOffset val="100"/>
        <c:tickLblSkip val="20"/>
        <c:tickMarkSkip val="20"/>
        <c:noMultiLvlLbl val="0"/>
      </c:catAx>
      <c:valAx>
        <c:axId val="993670000"/>
        <c:scaling>
          <c:orientation val="minMax"/>
          <c:max val="1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1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b="1" i="1"/>
                  <a:t>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1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93666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3803649981877387"/>
          <c:y val="0.12211523779066583"/>
          <c:w val="0.20079275686444745"/>
          <c:h val="0.1077862151944129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050"/>
              <a:t>Down-and-in put. </a:t>
            </a:r>
            <a:r>
              <a:rPr lang="el-GR" sz="1050"/>
              <a:t>σ = 0.2, </a:t>
            </a:r>
            <a:r>
              <a:rPr lang="en-US" sz="1050"/>
              <a:t>r = 0.05, rd = 0, K = 100, T = 1 and H = 80.</a:t>
            </a:r>
          </a:p>
        </c:rich>
      </c:tx>
      <c:layout>
        <c:manualLayout>
          <c:xMode val="edge"/>
          <c:yMode val="edge"/>
          <c:x val="2.1842268648192276E-2"/>
          <c:y val="1.26337423383067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79893518711963"/>
          <c:y val="9.9281744556902946E-2"/>
          <c:w val="0.84681678474707534"/>
          <c:h val="0.78393908225796693"/>
        </c:manualLayout>
      </c:layout>
      <c:lineChart>
        <c:grouping val="standard"/>
        <c:varyColors val="0"/>
        <c:ser>
          <c:idx val="0"/>
          <c:order val="0"/>
          <c:tx>
            <c:v>Up-and-in put</c:v>
          </c:tx>
          <c:spPr>
            <a:ln w="28575" cap="rnd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DIP!$D$2:$D$102</c:f>
              <c:numCache>
                <c:formatCode>General</c:formatCode>
                <c:ptCount val="101"/>
                <c:pt idx="0">
                  <c:v>50</c:v>
                </c:pt>
                <c:pt idx="1">
                  <c:v>51</c:v>
                </c:pt>
                <c:pt idx="2">
                  <c:v>52</c:v>
                </c:pt>
                <c:pt idx="3">
                  <c:v>53</c:v>
                </c:pt>
                <c:pt idx="4">
                  <c:v>54</c:v>
                </c:pt>
                <c:pt idx="5">
                  <c:v>55</c:v>
                </c:pt>
                <c:pt idx="6">
                  <c:v>56</c:v>
                </c:pt>
                <c:pt idx="7">
                  <c:v>57</c:v>
                </c:pt>
                <c:pt idx="8">
                  <c:v>58</c:v>
                </c:pt>
                <c:pt idx="9">
                  <c:v>59</c:v>
                </c:pt>
                <c:pt idx="10">
                  <c:v>60</c:v>
                </c:pt>
                <c:pt idx="11">
                  <c:v>61</c:v>
                </c:pt>
                <c:pt idx="12">
                  <c:v>62</c:v>
                </c:pt>
                <c:pt idx="13">
                  <c:v>63</c:v>
                </c:pt>
                <c:pt idx="14">
                  <c:v>64</c:v>
                </c:pt>
                <c:pt idx="15">
                  <c:v>65</c:v>
                </c:pt>
                <c:pt idx="16">
                  <c:v>66</c:v>
                </c:pt>
                <c:pt idx="17">
                  <c:v>67</c:v>
                </c:pt>
                <c:pt idx="18">
                  <c:v>68</c:v>
                </c:pt>
                <c:pt idx="19">
                  <c:v>69</c:v>
                </c:pt>
                <c:pt idx="20">
                  <c:v>70</c:v>
                </c:pt>
                <c:pt idx="21">
                  <c:v>71</c:v>
                </c:pt>
                <c:pt idx="22">
                  <c:v>72</c:v>
                </c:pt>
                <c:pt idx="23">
                  <c:v>73</c:v>
                </c:pt>
                <c:pt idx="24">
                  <c:v>74</c:v>
                </c:pt>
                <c:pt idx="25">
                  <c:v>75</c:v>
                </c:pt>
                <c:pt idx="26">
                  <c:v>76</c:v>
                </c:pt>
                <c:pt idx="27">
                  <c:v>77</c:v>
                </c:pt>
                <c:pt idx="28">
                  <c:v>78</c:v>
                </c:pt>
                <c:pt idx="29">
                  <c:v>79</c:v>
                </c:pt>
                <c:pt idx="30">
                  <c:v>80</c:v>
                </c:pt>
                <c:pt idx="31">
                  <c:v>81</c:v>
                </c:pt>
                <c:pt idx="32">
                  <c:v>82</c:v>
                </c:pt>
                <c:pt idx="33">
                  <c:v>83</c:v>
                </c:pt>
                <c:pt idx="34">
                  <c:v>84</c:v>
                </c:pt>
                <c:pt idx="35">
                  <c:v>85</c:v>
                </c:pt>
                <c:pt idx="36">
                  <c:v>86</c:v>
                </c:pt>
                <c:pt idx="37">
                  <c:v>87</c:v>
                </c:pt>
                <c:pt idx="38">
                  <c:v>88</c:v>
                </c:pt>
                <c:pt idx="39">
                  <c:v>89</c:v>
                </c:pt>
                <c:pt idx="40">
                  <c:v>90</c:v>
                </c:pt>
                <c:pt idx="41">
                  <c:v>91</c:v>
                </c:pt>
                <c:pt idx="42">
                  <c:v>92</c:v>
                </c:pt>
                <c:pt idx="43">
                  <c:v>93</c:v>
                </c:pt>
                <c:pt idx="44">
                  <c:v>94</c:v>
                </c:pt>
                <c:pt idx="45">
                  <c:v>95</c:v>
                </c:pt>
                <c:pt idx="46">
                  <c:v>96</c:v>
                </c:pt>
                <c:pt idx="47">
                  <c:v>97</c:v>
                </c:pt>
                <c:pt idx="48">
                  <c:v>98</c:v>
                </c:pt>
                <c:pt idx="49">
                  <c:v>99</c:v>
                </c:pt>
                <c:pt idx="50">
                  <c:v>100</c:v>
                </c:pt>
                <c:pt idx="51">
                  <c:v>101</c:v>
                </c:pt>
                <c:pt idx="52">
                  <c:v>102</c:v>
                </c:pt>
                <c:pt idx="53">
                  <c:v>103</c:v>
                </c:pt>
                <c:pt idx="54">
                  <c:v>104</c:v>
                </c:pt>
                <c:pt idx="55">
                  <c:v>105</c:v>
                </c:pt>
                <c:pt idx="56">
                  <c:v>106</c:v>
                </c:pt>
                <c:pt idx="57">
                  <c:v>107</c:v>
                </c:pt>
                <c:pt idx="58">
                  <c:v>108</c:v>
                </c:pt>
                <c:pt idx="59">
                  <c:v>109</c:v>
                </c:pt>
                <c:pt idx="60">
                  <c:v>110</c:v>
                </c:pt>
                <c:pt idx="61">
                  <c:v>111</c:v>
                </c:pt>
                <c:pt idx="62">
                  <c:v>112</c:v>
                </c:pt>
                <c:pt idx="63">
                  <c:v>113</c:v>
                </c:pt>
                <c:pt idx="64">
                  <c:v>114</c:v>
                </c:pt>
                <c:pt idx="65">
                  <c:v>115</c:v>
                </c:pt>
                <c:pt idx="66">
                  <c:v>116</c:v>
                </c:pt>
                <c:pt idx="67">
                  <c:v>117</c:v>
                </c:pt>
                <c:pt idx="68">
                  <c:v>118</c:v>
                </c:pt>
                <c:pt idx="69">
                  <c:v>119</c:v>
                </c:pt>
                <c:pt idx="70">
                  <c:v>120</c:v>
                </c:pt>
                <c:pt idx="71">
                  <c:v>121</c:v>
                </c:pt>
                <c:pt idx="72">
                  <c:v>122</c:v>
                </c:pt>
                <c:pt idx="73">
                  <c:v>123</c:v>
                </c:pt>
                <c:pt idx="74">
                  <c:v>124</c:v>
                </c:pt>
                <c:pt idx="75">
                  <c:v>125</c:v>
                </c:pt>
                <c:pt idx="76">
                  <c:v>126</c:v>
                </c:pt>
                <c:pt idx="77">
                  <c:v>127</c:v>
                </c:pt>
                <c:pt idx="78">
                  <c:v>128</c:v>
                </c:pt>
                <c:pt idx="79">
                  <c:v>129</c:v>
                </c:pt>
                <c:pt idx="80">
                  <c:v>130</c:v>
                </c:pt>
                <c:pt idx="81">
                  <c:v>131</c:v>
                </c:pt>
                <c:pt idx="82">
                  <c:v>132</c:v>
                </c:pt>
                <c:pt idx="83">
                  <c:v>133</c:v>
                </c:pt>
                <c:pt idx="84">
                  <c:v>134</c:v>
                </c:pt>
                <c:pt idx="85">
                  <c:v>135</c:v>
                </c:pt>
                <c:pt idx="86">
                  <c:v>136</c:v>
                </c:pt>
                <c:pt idx="87">
                  <c:v>137</c:v>
                </c:pt>
                <c:pt idx="88">
                  <c:v>138</c:v>
                </c:pt>
                <c:pt idx="89">
                  <c:v>139</c:v>
                </c:pt>
                <c:pt idx="90">
                  <c:v>140</c:v>
                </c:pt>
                <c:pt idx="91">
                  <c:v>141</c:v>
                </c:pt>
                <c:pt idx="92">
                  <c:v>142</c:v>
                </c:pt>
                <c:pt idx="93">
                  <c:v>143</c:v>
                </c:pt>
                <c:pt idx="94">
                  <c:v>144</c:v>
                </c:pt>
                <c:pt idx="95">
                  <c:v>145</c:v>
                </c:pt>
                <c:pt idx="96">
                  <c:v>146</c:v>
                </c:pt>
                <c:pt idx="97">
                  <c:v>147</c:v>
                </c:pt>
                <c:pt idx="98">
                  <c:v>148</c:v>
                </c:pt>
                <c:pt idx="99">
                  <c:v>149</c:v>
                </c:pt>
                <c:pt idx="100">
                  <c:v>150</c:v>
                </c:pt>
              </c:numCache>
            </c:numRef>
          </c:cat>
          <c:val>
            <c:numRef>
              <c:f>DIP!$P$2:$P$102</c:f>
              <c:numCache>
                <c:formatCode>0.0000</c:formatCode>
                <c:ptCount val="10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16.030858415905719</c:v>
                </c:pt>
                <c:pt idx="32">
                  <c:v>15.1059539759082</c:v>
                </c:pt>
                <c:pt idx="33">
                  <c:v>14.209583668702834</c:v>
                </c:pt>
                <c:pt idx="34">
                  <c:v>13.343399483114766</c:v>
                </c:pt>
                <c:pt idx="35">
                  <c:v>12.508768111441732</c:v>
                </c:pt>
                <c:pt idx="36">
                  <c:v>11.706773745021266</c:v>
                </c:pt>
                <c:pt idx="37">
                  <c:v>10.938225320738908</c:v>
                </c:pt>
                <c:pt idx="38">
                  <c:v>10.203667536089178</c:v>
                </c:pt>
                <c:pt idx="39">
                  <c:v>9.5033949543549667</c:v>
                </c:pt>
                <c:pt idx="40">
                  <c:v>8.8374685436406608</c:v>
                </c:pt>
                <c:pt idx="41">
                  <c:v>8.205734030017922</c:v>
                </c:pt>
                <c:pt idx="42">
                  <c:v>7.6078414922966004</c:v>
                </c:pt>
                <c:pt idx="43">
                  <c:v>7.043265680612361</c:v>
                </c:pt>
                <c:pt idx="44">
                  <c:v>6.5113266002056029</c:v>
                </c:pt>
                <c:pt idx="45">
                  <c:v>6.0112099629391835</c:v>
                </c:pt>
                <c:pt idx="46">
                  <c:v>5.5419871701745826</c:v>
                </c:pt>
                <c:pt idx="47">
                  <c:v>5.1026345499021346</c:v>
                </c:pt>
                <c:pt idx="48">
                  <c:v>4.6920516271988291</c:v>
                </c:pt>
                <c:pt idx="49">
                  <c:v>4.3090782592006427</c:v>
                </c:pt>
                <c:pt idx="50">
                  <c:v>3.952510513175195</c:v>
                </c:pt>
                <c:pt idx="51">
                  <c:v>3.6211152085772671</c:v>
                </c:pt>
                <c:pt idx="52">
                  <c:v>3.3136430809981903</c:v>
                </c:pt>
                <c:pt idx="53">
                  <c:v>3.0288405577026545</c:v>
                </c:pt>
                <c:pt idx="54">
                  <c:v>2.7654601611419416</c:v>
                </c:pt>
                <c:pt idx="55">
                  <c:v>2.5222695787152301</c:v>
                </c:pt>
                <c:pt idx="56">
                  <c:v>2.2980594544692128</c:v>
                </c:pt>
                <c:pt idx="57">
                  <c:v>2.0916499717819104</c:v>
                </c:pt>
                <c:pt idx="58">
                  <c:v>1.9018963057992568</c:v>
                </c:pt>
                <c:pt idx="59">
                  <c:v>1.7276930309244616</c:v>
                </c:pt>
                <c:pt idx="60">
                  <c:v>1.5679775724335698</c:v>
                </c:pt>
                <c:pt idx="61">
                  <c:v>1.4217327927290633</c:v>
                </c:pt>
                <c:pt idx="62">
                  <c:v>1.2879888022403136</c:v>
                </c:pt>
                <c:pt idx="63">
                  <c:v>1.1658240829025237</c:v>
                </c:pt>
                <c:pt idx="64">
                  <c:v>1.0543660088252897</c:v>
                </c:pt>
                <c:pt idx="65">
                  <c:v>0.95279084449600937</c:v>
                </c:pt>
                <c:pt idx="66">
                  <c:v>0.86032329591094836</c:v>
                </c:pt>
                <c:pt idx="67">
                  <c:v>0.77623568461548365</c:v>
                </c:pt>
                <c:pt idx="68">
                  <c:v>0.69984680895384122</c:v>
                </c:pt>
                <c:pt idx="69">
                  <c:v>0.63052055104098859</c:v>
                </c:pt>
                <c:pt idx="70">
                  <c:v>0.56766428220313925</c:v>
                </c:pt>
                <c:pt idx="71">
                  <c:v>0.51072711399713278</c:v>
                </c:pt>
                <c:pt idx="72">
                  <c:v>0.45919803649140811</c:v>
                </c:pt>
                <c:pt idx="73">
                  <c:v>0.41260398033667545</c:v>
                </c:pt>
                <c:pt idx="74">
                  <c:v>0.37050783431441081</c:v>
                </c:pt>
                <c:pt idx="75">
                  <c:v>0.33250644555618591</c:v>
                </c:pt>
                <c:pt idx="76">
                  <c:v>0.29822862549200924</c:v>
                </c:pt>
                <c:pt idx="77">
                  <c:v>0.26733318081752944</c:v>
                </c:pt>
                <c:pt idx="78">
                  <c:v>0.23950698536544501</c:v>
                </c:pt>
                <c:pt idx="79">
                  <c:v>0.21446310571742233</c:v>
                </c:pt>
                <c:pt idx="80">
                  <c:v>0.19193899068417575</c:v>
                </c:pt>
                <c:pt idx="81">
                  <c:v>0.17169473239556621</c:v>
                </c:pt>
                <c:pt idx="82">
                  <c:v>0.15351140466058122</c:v>
                </c:pt>
                <c:pt idx="83">
                  <c:v>0.13718948245430207</c:v>
                </c:pt>
                <c:pt idx="84">
                  <c:v>0.12254734484566254</c:v>
                </c:pt>
                <c:pt idx="85">
                  <c:v>0.10941986236991663</c:v>
                </c:pt>
                <c:pt idx="86">
                  <c:v>9.7657068753705334E-2</c:v>
                </c:pt>
                <c:pt idx="87">
                  <c:v>8.7122915992894567E-2</c:v>
                </c:pt>
                <c:pt idx="88">
                  <c:v>7.7694111046093972E-2</c:v>
                </c:pt>
                <c:pt idx="89">
                  <c:v>6.9259031818104611E-2</c:v>
                </c:pt>
                <c:pt idx="90">
                  <c:v>6.1716719649510476E-2</c:v>
                </c:pt>
                <c:pt idx="91">
                  <c:v>5.4975945184014469E-2</c:v>
                </c:pt>
                <c:pt idx="92">
                  <c:v>4.8954344238283709E-2</c:v>
                </c:pt>
                <c:pt idx="93">
                  <c:v>4.3577620135656997E-2</c:v>
                </c:pt>
                <c:pt idx="94">
                  <c:v>3.8778808872078491E-2</c:v>
                </c:pt>
                <c:pt idx="95">
                  <c:v>3.4497603448816583E-2</c:v>
                </c:pt>
                <c:pt idx="96">
                  <c:v>3.0679733720791774E-2</c:v>
                </c:pt>
                <c:pt idx="97">
                  <c:v>2.7276398164723839E-2</c:v>
                </c:pt>
                <c:pt idx="98">
                  <c:v>2.4243744056411373E-2</c:v>
                </c:pt>
                <c:pt idx="99">
                  <c:v>2.1542392658606191E-2</c:v>
                </c:pt>
                <c:pt idx="100">
                  <c:v>1.9137006150035551E-2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11-4EFA-97B4-52731E104050}"/>
            </c:ext>
          </c:extLst>
        </c:ser>
        <c:ser>
          <c:idx val="1"/>
          <c:order val="1"/>
          <c:tx>
            <c:v>Vanilla put</c:v>
          </c:tx>
          <c:spPr>
            <a:ln w="1905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DIP!$D$2:$D$102</c:f>
              <c:numCache>
                <c:formatCode>General</c:formatCode>
                <c:ptCount val="101"/>
                <c:pt idx="0">
                  <c:v>50</c:v>
                </c:pt>
                <c:pt idx="1">
                  <c:v>51</c:v>
                </c:pt>
                <c:pt idx="2">
                  <c:v>52</c:v>
                </c:pt>
                <c:pt idx="3">
                  <c:v>53</c:v>
                </c:pt>
                <c:pt idx="4">
                  <c:v>54</c:v>
                </c:pt>
                <c:pt idx="5">
                  <c:v>55</c:v>
                </c:pt>
                <c:pt idx="6">
                  <c:v>56</c:v>
                </c:pt>
                <c:pt idx="7">
                  <c:v>57</c:v>
                </c:pt>
                <c:pt idx="8">
                  <c:v>58</c:v>
                </c:pt>
                <c:pt idx="9">
                  <c:v>59</c:v>
                </c:pt>
                <c:pt idx="10">
                  <c:v>60</c:v>
                </c:pt>
                <c:pt idx="11">
                  <c:v>61</c:v>
                </c:pt>
                <c:pt idx="12">
                  <c:v>62</c:v>
                </c:pt>
                <c:pt idx="13">
                  <c:v>63</c:v>
                </c:pt>
                <c:pt idx="14">
                  <c:v>64</c:v>
                </c:pt>
                <c:pt idx="15">
                  <c:v>65</c:v>
                </c:pt>
                <c:pt idx="16">
                  <c:v>66</c:v>
                </c:pt>
                <c:pt idx="17">
                  <c:v>67</c:v>
                </c:pt>
                <c:pt idx="18">
                  <c:v>68</c:v>
                </c:pt>
                <c:pt idx="19">
                  <c:v>69</c:v>
                </c:pt>
                <c:pt idx="20">
                  <c:v>70</c:v>
                </c:pt>
                <c:pt idx="21">
                  <c:v>71</c:v>
                </c:pt>
                <c:pt idx="22">
                  <c:v>72</c:v>
                </c:pt>
                <c:pt idx="23">
                  <c:v>73</c:v>
                </c:pt>
                <c:pt idx="24">
                  <c:v>74</c:v>
                </c:pt>
                <c:pt idx="25">
                  <c:v>75</c:v>
                </c:pt>
                <c:pt idx="26">
                  <c:v>76</c:v>
                </c:pt>
                <c:pt idx="27">
                  <c:v>77</c:v>
                </c:pt>
                <c:pt idx="28">
                  <c:v>78</c:v>
                </c:pt>
                <c:pt idx="29">
                  <c:v>79</c:v>
                </c:pt>
                <c:pt idx="30">
                  <c:v>80</c:v>
                </c:pt>
                <c:pt idx="31">
                  <c:v>81</c:v>
                </c:pt>
                <c:pt idx="32">
                  <c:v>82</c:v>
                </c:pt>
                <c:pt idx="33">
                  <c:v>83</c:v>
                </c:pt>
                <c:pt idx="34">
                  <c:v>84</c:v>
                </c:pt>
                <c:pt idx="35">
                  <c:v>85</c:v>
                </c:pt>
                <c:pt idx="36">
                  <c:v>86</c:v>
                </c:pt>
                <c:pt idx="37">
                  <c:v>87</c:v>
                </c:pt>
                <c:pt idx="38">
                  <c:v>88</c:v>
                </c:pt>
                <c:pt idx="39">
                  <c:v>89</c:v>
                </c:pt>
                <c:pt idx="40">
                  <c:v>90</c:v>
                </c:pt>
                <c:pt idx="41">
                  <c:v>91</c:v>
                </c:pt>
                <c:pt idx="42">
                  <c:v>92</c:v>
                </c:pt>
                <c:pt idx="43">
                  <c:v>93</c:v>
                </c:pt>
                <c:pt idx="44">
                  <c:v>94</c:v>
                </c:pt>
                <c:pt idx="45">
                  <c:v>95</c:v>
                </c:pt>
                <c:pt idx="46">
                  <c:v>96</c:v>
                </c:pt>
                <c:pt idx="47">
                  <c:v>97</c:v>
                </c:pt>
                <c:pt idx="48">
                  <c:v>98</c:v>
                </c:pt>
                <c:pt idx="49">
                  <c:v>99</c:v>
                </c:pt>
                <c:pt idx="50">
                  <c:v>100</c:v>
                </c:pt>
                <c:pt idx="51">
                  <c:v>101</c:v>
                </c:pt>
                <c:pt idx="52">
                  <c:v>102</c:v>
                </c:pt>
                <c:pt idx="53">
                  <c:v>103</c:v>
                </c:pt>
                <c:pt idx="54">
                  <c:v>104</c:v>
                </c:pt>
                <c:pt idx="55">
                  <c:v>105</c:v>
                </c:pt>
                <c:pt idx="56">
                  <c:v>106</c:v>
                </c:pt>
                <c:pt idx="57">
                  <c:v>107</c:v>
                </c:pt>
                <c:pt idx="58">
                  <c:v>108</c:v>
                </c:pt>
                <c:pt idx="59">
                  <c:v>109</c:v>
                </c:pt>
                <c:pt idx="60">
                  <c:v>110</c:v>
                </c:pt>
                <c:pt idx="61">
                  <c:v>111</c:v>
                </c:pt>
                <c:pt idx="62">
                  <c:v>112</c:v>
                </c:pt>
                <c:pt idx="63">
                  <c:v>113</c:v>
                </c:pt>
                <c:pt idx="64">
                  <c:v>114</c:v>
                </c:pt>
                <c:pt idx="65">
                  <c:v>115</c:v>
                </c:pt>
                <c:pt idx="66">
                  <c:v>116</c:v>
                </c:pt>
                <c:pt idx="67">
                  <c:v>117</c:v>
                </c:pt>
                <c:pt idx="68">
                  <c:v>118</c:v>
                </c:pt>
                <c:pt idx="69">
                  <c:v>119</c:v>
                </c:pt>
                <c:pt idx="70">
                  <c:v>120</c:v>
                </c:pt>
                <c:pt idx="71">
                  <c:v>121</c:v>
                </c:pt>
                <c:pt idx="72">
                  <c:v>122</c:v>
                </c:pt>
                <c:pt idx="73">
                  <c:v>123</c:v>
                </c:pt>
                <c:pt idx="74">
                  <c:v>124</c:v>
                </c:pt>
                <c:pt idx="75">
                  <c:v>125</c:v>
                </c:pt>
                <c:pt idx="76">
                  <c:v>126</c:v>
                </c:pt>
                <c:pt idx="77">
                  <c:v>127</c:v>
                </c:pt>
                <c:pt idx="78">
                  <c:v>128</c:v>
                </c:pt>
                <c:pt idx="79">
                  <c:v>129</c:v>
                </c:pt>
                <c:pt idx="80">
                  <c:v>130</c:v>
                </c:pt>
                <c:pt idx="81">
                  <c:v>131</c:v>
                </c:pt>
                <c:pt idx="82">
                  <c:v>132</c:v>
                </c:pt>
                <c:pt idx="83">
                  <c:v>133</c:v>
                </c:pt>
                <c:pt idx="84">
                  <c:v>134</c:v>
                </c:pt>
                <c:pt idx="85">
                  <c:v>135</c:v>
                </c:pt>
                <c:pt idx="86">
                  <c:v>136</c:v>
                </c:pt>
                <c:pt idx="87">
                  <c:v>137</c:v>
                </c:pt>
                <c:pt idx="88">
                  <c:v>138</c:v>
                </c:pt>
                <c:pt idx="89">
                  <c:v>139</c:v>
                </c:pt>
                <c:pt idx="90">
                  <c:v>140</c:v>
                </c:pt>
                <c:pt idx="91">
                  <c:v>141</c:v>
                </c:pt>
                <c:pt idx="92">
                  <c:v>142</c:v>
                </c:pt>
                <c:pt idx="93">
                  <c:v>143</c:v>
                </c:pt>
                <c:pt idx="94">
                  <c:v>144</c:v>
                </c:pt>
                <c:pt idx="95">
                  <c:v>145</c:v>
                </c:pt>
                <c:pt idx="96">
                  <c:v>146</c:v>
                </c:pt>
                <c:pt idx="97">
                  <c:v>147</c:v>
                </c:pt>
                <c:pt idx="98">
                  <c:v>148</c:v>
                </c:pt>
                <c:pt idx="99">
                  <c:v>149</c:v>
                </c:pt>
                <c:pt idx="100">
                  <c:v>150</c:v>
                </c:pt>
              </c:numCache>
            </c:numRef>
          </c:cat>
          <c:val>
            <c:numRef>
              <c:f>DIP!$Q$2:$Q$102</c:f>
              <c:numCache>
                <c:formatCode>0.0000</c:formatCode>
                <c:ptCount val="101"/>
                <c:pt idx="0">
                  <c:v>45.125341867624712</c:v>
                </c:pt>
                <c:pt idx="1">
                  <c:v>44.126430890383716</c:v>
                </c:pt>
                <c:pt idx="2">
                  <c:v>43.127935198978562</c:v>
                </c:pt>
                <c:pt idx="3">
                  <c:v>42.129982523744545</c:v>
                </c:pt>
                <c:pt idx="4">
                  <c:v>41.132729858016731</c:v>
                </c:pt>
                <c:pt idx="5">
                  <c:v>40.136367465526732</c:v>
                </c:pt>
                <c:pt idx="6">
                  <c:v>39.141122848081693</c:v>
                </c:pt>
                <c:pt idx="7">
                  <c:v>38.147264549243388</c:v>
                </c:pt>
                <c:pt idx="8">
                  <c:v>37.15510566283433</c:v>
                </c:pt>
                <c:pt idx="9">
                  <c:v>36.165006913461681</c:v>
                </c:pt>
                <c:pt idx="10">
                  <c:v>35.177379180141827</c:v>
                </c:pt>
                <c:pt idx="11">
                  <c:v>34.192685343490979</c:v>
                </c:pt>
                <c:pt idx="12">
                  <c:v>33.211441351479039</c:v>
                </c:pt>
                <c:pt idx="13">
                  <c:v>32.234216417812732</c:v>
                </c:pt>
                <c:pt idx="14">
                  <c:v>31.261632289780536</c:v>
                </c:pt>
                <c:pt idx="15">
                  <c:v>30.294361547853441</c:v>
                </c:pt>
                <c:pt idx="16">
                  <c:v>29.333124926384784</c:v>
                </c:pt>
                <c:pt idx="17">
                  <c:v>28.378687672250663</c:v>
                </c:pt>
                <c:pt idx="18">
                  <c:v>27.431854985107151</c:v>
                </c:pt>
                <c:pt idx="19">
                  <c:v>26.493466608083708</c:v>
                </c:pt>
                <c:pt idx="20">
                  <c:v>25.564390660286776</c:v>
                </c:pt>
                <c:pt idx="21">
                  <c:v>24.645516821719681</c:v>
                </c:pt>
                <c:pt idx="22">
                  <c:v>23.737748996587626</c:v>
                </c:pt>
                <c:pt idx="23">
                  <c:v>22.84199759209848</c:v>
                </c:pt>
                <c:pt idx="24">
                  <c:v>21.9591715566349</c:v>
                </c:pt>
                <c:pt idx="25">
                  <c:v>21.090170323586094</c:v>
                </c:pt>
                <c:pt idx="26">
                  <c:v>20.235875805380999</c:v>
                </c:pt>
                <c:pt idx="27">
                  <c:v>19.397144576686756</c:v>
                </c:pt>
                <c:pt idx="28">
                  <c:v>18.574800376771094</c:v>
                </c:pt>
                <c:pt idx="29">
                  <c:v>17.769627049195478</c:v>
                </c:pt>
                <c:pt idx="30">
                  <c:v>16.982362022883592</c:v>
                </c:pt>
                <c:pt idx="31">
                  <c:v>16.213690422794571</c:v>
                </c:pt>
                <c:pt idx="32">
                  <c:v>15.464239881516903</c:v>
                </c:pt>
                <c:pt idx="33">
                  <c:v>14.734576105659428</c:v>
                </c:pt>
                <c:pt idx="34">
                  <c:v>14.025199233478872</c:v>
                </c:pt>
                <c:pt idx="35">
                  <c:v>13.336541003219281</c:v>
                </c:pt>
                <c:pt idx="36">
                  <c:v>12.668962735557898</c:v>
                </c:pt>
                <c:pt idx="37">
                  <c:v>12.022754118683949</c:v>
                </c:pt>
                <c:pt idx="38">
                  <c:v>11.398132771146962</c:v>
                </c:pt>
                <c:pt idx="39">
                  <c:v>10.795244545883776</c:v>
                </c:pt>
                <c:pt idx="40">
                  <c:v>10.214164528888958</c:v>
                </c:pt>
                <c:pt idx="41">
                  <c:v>9.654898677884546</c:v>
                </c:pt>
                <c:pt idx="42">
                  <c:v>9.1173860400704427</c:v>
                </c:pt>
                <c:pt idx="43">
                  <c:v>8.601501483542819</c:v>
                </c:pt>
                <c:pt idx="44">
                  <c:v>8.1070588741637977</c:v>
                </c:pt>
                <c:pt idx="45">
                  <c:v>7.6338146284241191</c:v>
                </c:pt>
                <c:pt idx="46">
                  <c:v>7.1814715730135106</c:v>
                </c:pt>
                <c:pt idx="47">
                  <c:v>6.7496830432356489</c:v>
                </c:pt>
                <c:pt idx="48">
                  <c:v>6.3380571548986637</c:v>
                </c:pt>
                <c:pt idx="49">
                  <c:v>5.9461611877030123</c:v>
                </c:pt>
                <c:pt idx="50">
                  <c:v>5.5735260222569707</c:v>
                </c:pt>
                <c:pt idx="51">
                  <c:v>5.2196505775088156</c:v>
                </c:pt>
                <c:pt idx="52">
                  <c:v>4.8840062004327649</c:v>
                </c:pt>
                <c:pt idx="53">
                  <c:v>4.5660409650977414</c:v>
                </c:pt>
                <c:pt idx="54">
                  <c:v>4.265183843650874</c:v>
                </c:pt>
                <c:pt idx="55">
                  <c:v>3.980848717144525</c:v>
                </c:pt>
                <c:pt idx="56">
                  <c:v>3.7124381994290729</c:v>
                </c:pt>
                <c:pt idx="57">
                  <c:v>3.4593472524347533</c:v>
                </c:pt>
                <c:pt idx="58">
                  <c:v>3.2209665760124864</c:v>
                </c:pt>
                <c:pt idx="59">
                  <c:v>2.9966857600373231</c:v>
                </c:pt>
                <c:pt idx="60">
                  <c:v>2.7858961906618447</c:v>
                </c:pt>
                <c:pt idx="61">
                  <c:v>2.587993706415503</c:v>
                </c:pt>
                <c:pt idx="62">
                  <c:v>2.4023810032591228</c:v>
                </c:pt>
                <c:pt idx="63">
                  <c:v>2.2284697907222437</c:v>
                </c:pt>
                <c:pt idx="64">
                  <c:v>2.0656827038723549</c:v>
                </c:pt>
                <c:pt idx="65">
                  <c:v>1.9134549781025498</c:v>
                </c:pt>
                <c:pt idx="66">
                  <c:v>1.7712358955913885</c:v>
                </c:pt>
                <c:pt idx="67">
                  <c:v>1.6384900138085357</c:v>
                </c:pt>
                <c:pt idx="68">
                  <c:v>1.5146981876313248</c:v>
                </c:pt>
                <c:pt idx="69">
                  <c:v>1.3993583975323389</c:v>
                </c:pt>
                <c:pt idx="70">
                  <c:v>1.2919863969187162</c:v>
                </c:pt>
                <c:pt idx="71">
                  <c:v>1.1921161920808743</c:v>
                </c:pt>
                <c:pt idx="72">
                  <c:v>1.0993003683698532</c:v>
                </c:pt>
                <c:pt idx="73">
                  <c:v>1.0131102761942259</c:v>
                </c:pt>
                <c:pt idx="74">
                  <c:v>0.93313609023896049</c:v>
                </c:pt>
                <c:pt idx="75">
                  <c:v>0.85898675498108901</c:v>
                </c:pt>
                <c:pt idx="76">
                  <c:v>0.7902898291391125</c:v>
                </c:pt>
                <c:pt idx="77">
                  <c:v>0.72669124116166017</c:v>
                </c:pt>
                <c:pt idx="78">
                  <c:v>0.66785496726021165</c:v>
                </c:pt>
                <c:pt idx="79">
                  <c:v>0.61346264283614005</c:v>
                </c:pt>
                <c:pt idx="80">
                  <c:v>0.56321311746137326</c:v>
                </c:pt>
                <c:pt idx="81">
                  <c:v>0.51682196285963755</c:v>
                </c:pt>
                <c:pt idx="82">
                  <c:v>0.47402094260976924</c:v>
                </c:pt>
                <c:pt idx="83">
                  <c:v>0.43455745157399406</c:v>
                </c:pt>
                <c:pt idx="84">
                  <c:v>0.39819393233744904</c:v>
                </c:pt>
                <c:pt idx="85">
                  <c:v>0.36470727525369284</c:v>
                </c:pt>
                <c:pt idx="86">
                  <c:v>0.33388820801690144</c:v>
                </c:pt>
                <c:pt idx="87">
                  <c:v>0.30554068004056489</c:v>
                </c:pt>
                <c:pt idx="88">
                  <c:v>0.27948124630927396</c:v>
                </c:pt>
                <c:pt idx="89">
                  <c:v>0.25553845479603865</c:v>
                </c:pt>
                <c:pt idx="90">
                  <c:v>0.23355224099623229</c:v>
                </c:pt>
                <c:pt idx="91">
                  <c:v>0.21337333262886204</c:v>
                </c:pt>
                <c:pt idx="92">
                  <c:v>0.19486266709054689</c:v>
                </c:pt>
                <c:pt idx="93">
                  <c:v>0.17789082382222432</c:v>
                </c:pt>
                <c:pt idx="94">
                  <c:v>0.16233747335903104</c:v>
                </c:pt>
                <c:pt idx="95">
                  <c:v>0.14809084448137355</c:v>
                </c:pt>
                <c:pt idx="96">
                  <c:v>0.13504721056619928</c:v>
                </c:pt>
                <c:pt idx="97">
                  <c:v>0.12311039595317652</c:v>
                </c:pt>
                <c:pt idx="98">
                  <c:v>0.11219130288665724</c:v>
                </c:pt>
                <c:pt idx="99">
                  <c:v>0.10220745936970843</c:v>
                </c:pt>
                <c:pt idx="100">
                  <c:v>9.3082588070615202E-2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11-4EFA-97B4-52731E1040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3666160"/>
        <c:axId val="993670000"/>
      </c:lineChart>
      <c:catAx>
        <c:axId val="9936661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1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b="1" i="1"/>
                  <a:t>P</a:t>
                </a:r>
              </a:p>
            </c:rich>
          </c:tx>
          <c:layout>
            <c:manualLayout>
              <c:xMode val="edge"/>
              <c:yMode val="edge"/>
              <c:x val="0.52315797963465194"/>
              <c:y val="0.909394942536683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1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93670000"/>
        <c:crosses val="autoZero"/>
        <c:auto val="1"/>
        <c:lblAlgn val="ctr"/>
        <c:lblOffset val="100"/>
        <c:tickLblSkip val="20"/>
        <c:tickMarkSkip val="20"/>
        <c:noMultiLvlLbl val="0"/>
      </c:catAx>
      <c:valAx>
        <c:axId val="993670000"/>
        <c:scaling>
          <c:orientation val="minMax"/>
          <c:max val="5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1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b="1" i="1"/>
                  <a:t>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1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93666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3803649981877387"/>
          <c:y val="0.12211523779066583"/>
          <c:w val="0.20079275686444745"/>
          <c:h val="0.1077862151944129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050"/>
              <a:t>Down-and-out put. </a:t>
            </a:r>
            <a:r>
              <a:rPr lang="el-GR" sz="1050"/>
              <a:t>σ = 0.2, </a:t>
            </a:r>
            <a:r>
              <a:rPr lang="en-US" sz="1050"/>
              <a:t>r = 0.05, rd = 0, K = 100, T = 1 and H = 80.</a:t>
            </a:r>
          </a:p>
        </c:rich>
      </c:tx>
      <c:layout>
        <c:manualLayout>
          <c:xMode val="edge"/>
          <c:yMode val="edge"/>
          <c:x val="2.1842268648192276E-2"/>
          <c:y val="1.26337423383067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79893518711963"/>
          <c:y val="9.9281744556902946E-2"/>
          <c:w val="0.84681678474707534"/>
          <c:h val="0.78393908225796693"/>
        </c:manualLayout>
      </c:layout>
      <c:lineChart>
        <c:grouping val="standard"/>
        <c:varyColors val="0"/>
        <c:ser>
          <c:idx val="0"/>
          <c:order val="0"/>
          <c:tx>
            <c:v>Down-and-out put</c:v>
          </c:tx>
          <c:spPr>
            <a:ln w="28575" cap="rnd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DOP!$D$2:$D$102</c:f>
              <c:numCache>
                <c:formatCode>General</c:formatCode>
                <c:ptCount val="101"/>
                <c:pt idx="0">
                  <c:v>50</c:v>
                </c:pt>
                <c:pt idx="1">
                  <c:v>51</c:v>
                </c:pt>
                <c:pt idx="2">
                  <c:v>52</c:v>
                </c:pt>
                <c:pt idx="3">
                  <c:v>53</c:v>
                </c:pt>
                <c:pt idx="4">
                  <c:v>54</c:v>
                </c:pt>
                <c:pt idx="5">
                  <c:v>55</c:v>
                </c:pt>
                <c:pt idx="6">
                  <c:v>56</c:v>
                </c:pt>
                <c:pt idx="7">
                  <c:v>57</c:v>
                </c:pt>
                <c:pt idx="8">
                  <c:v>58</c:v>
                </c:pt>
                <c:pt idx="9">
                  <c:v>59</c:v>
                </c:pt>
                <c:pt idx="10">
                  <c:v>60</c:v>
                </c:pt>
                <c:pt idx="11">
                  <c:v>61</c:v>
                </c:pt>
                <c:pt idx="12">
                  <c:v>62</c:v>
                </c:pt>
                <c:pt idx="13">
                  <c:v>63</c:v>
                </c:pt>
                <c:pt idx="14">
                  <c:v>64</c:v>
                </c:pt>
                <c:pt idx="15">
                  <c:v>65</c:v>
                </c:pt>
                <c:pt idx="16">
                  <c:v>66</c:v>
                </c:pt>
                <c:pt idx="17">
                  <c:v>67</c:v>
                </c:pt>
                <c:pt idx="18">
                  <c:v>68</c:v>
                </c:pt>
                <c:pt idx="19">
                  <c:v>69</c:v>
                </c:pt>
                <c:pt idx="20">
                  <c:v>70</c:v>
                </c:pt>
                <c:pt idx="21">
                  <c:v>71</c:v>
                </c:pt>
                <c:pt idx="22">
                  <c:v>72</c:v>
                </c:pt>
                <c:pt idx="23">
                  <c:v>73</c:v>
                </c:pt>
                <c:pt idx="24">
                  <c:v>74</c:v>
                </c:pt>
                <c:pt idx="25">
                  <c:v>75</c:v>
                </c:pt>
                <c:pt idx="26">
                  <c:v>76</c:v>
                </c:pt>
                <c:pt idx="27">
                  <c:v>77</c:v>
                </c:pt>
                <c:pt idx="28">
                  <c:v>78</c:v>
                </c:pt>
                <c:pt idx="29">
                  <c:v>79</c:v>
                </c:pt>
                <c:pt idx="30">
                  <c:v>80</c:v>
                </c:pt>
                <c:pt idx="31">
                  <c:v>81</c:v>
                </c:pt>
                <c:pt idx="32">
                  <c:v>82</c:v>
                </c:pt>
                <c:pt idx="33">
                  <c:v>83</c:v>
                </c:pt>
                <c:pt idx="34">
                  <c:v>84</c:v>
                </c:pt>
                <c:pt idx="35">
                  <c:v>85</c:v>
                </c:pt>
                <c:pt idx="36">
                  <c:v>86</c:v>
                </c:pt>
                <c:pt idx="37">
                  <c:v>87</c:v>
                </c:pt>
                <c:pt idx="38">
                  <c:v>88</c:v>
                </c:pt>
                <c:pt idx="39">
                  <c:v>89</c:v>
                </c:pt>
                <c:pt idx="40">
                  <c:v>90</c:v>
                </c:pt>
                <c:pt idx="41">
                  <c:v>91</c:v>
                </c:pt>
                <c:pt idx="42">
                  <c:v>92</c:v>
                </c:pt>
                <c:pt idx="43">
                  <c:v>93</c:v>
                </c:pt>
                <c:pt idx="44">
                  <c:v>94</c:v>
                </c:pt>
                <c:pt idx="45">
                  <c:v>95</c:v>
                </c:pt>
                <c:pt idx="46">
                  <c:v>96</c:v>
                </c:pt>
                <c:pt idx="47">
                  <c:v>97</c:v>
                </c:pt>
                <c:pt idx="48">
                  <c:v>98</c:v>
                </c:pt>
                <c:pt idx="49">
                  <c:v>99</c:v>
                </c:pt>
                <c:pt idx="50">
                  <c:v>100</c:v>
                </c:pt>
                <c:pt idx="51">
                  <c:v>101</c:v>
                </c:pt>
                <c:pt idx="52">
                  <c:v>102</c:v>
                </c:pt>
                <c:pt idx="53">
                  <c:v>103</c:v>
                </c:pt>
                <c:pt idx="54">
                  <c:v>104</c:v>
                </c:pt>
                <c:pt idx="55">
                  <c:v>105</c:v>
                </c:pt>
                <c:pt idx="56">
                  <c:v>106</c:v>
                </c:pt>
                <c:pt idx="57">
                  <c:v>107</c:v>
                </c:pt>
                <c:pt idx="58">
                  <c:v>108</c:v>
                </c:pt>
                <c:pt idx="59">
                  <c:v>109</c:v>
                </c:pt>
                <c:pt idx="60">
                  <c:v>110</c:v>
                </c:pt>
                <c:pt idx="61">
                  <c:v>111</c:v>
                </c:pt>
                <c:pt idx="62">
                  <c:v>112</c:v>
                </c:pt>
                <c:pt idx="63">
                  <c:v>113</c:v>
                </c:pt>
                <c:pt idx="64">
                  <c:v>114</c:v>
                </c:pt>
                <c:pt idx="65">
                  <c:v>115</c:v>
                </c:pt>
                <c:pt idx="66">
                  <c:v>116</c:v>
                </c:pt>
                <c:pt idx="67">
                  <c:v>117</c:v>
                </c:pt>
                <c:pt idx="68">
                  <c:v>118</c:v>
                </c:pt>
                <c:pt idx="69">
                  <c:v>119</c:v>
                </c:pt>
                <c:pt idx="70">
                  <c:v>120</c:v>
                </c:pt>
                <c:pt idx="71">
                  <c:v>121</c:v>
                </c:pt>
                <c:pt idx="72">
                  <c:v>122</c:v>
                </c:pt>
                <c:pt idx="73">
                  <c:v>123</c:v>
                </c:pt>
                <c:pt idx="74">
                  <c:v>124</c:v>
                </c:pt>
                <c:pt idx="75">
                  <c:v>125</c:v>
                </c:pt>
                <c:pt idx="76">
                  <c:v>126</c:v>
                </c:pt>
                <c:pt idx="77">
                  <c:v>127</c:v>
                </c:pt>
                <c:pt idx="78">
                  <c:v>128</c:v>
                </c:pt>
                <c:pt idx="79">
                  <c:v>129</c:v>
                </c:pt>
                <c:pt idx="80">
                  <c:v>130</c:v>
                </c:pt>
                <c:pt idx="81">
                  <c:v>131</c:v>
                </c:pt>
                <c:pt idx="82">
                  <c:v>132</c:v>
                </c:pt>
                <c:pt idx="83">
                  <c:v>133</c:v>
                </c:pt>
                <c:pt idx="84">
                  <c:v>134</c:v>
                </c:pt>
                <c:pt idx="85">
                  <c:v>135</c:v>
                </c:pt>
                <c:pt idx="86">
                  <c:v>136</c:v>
                </c:pt>
                <c:pt idx="87">
                  <c:v>137</c:v>
                </c:pt>
                <c:pt idx="88">
                  <c:v>138</c:v>
                </c:pt>
                <c:pt idx="89">
                  <c:v>139</c:v>
                </c:pt>
                <c:pt idx="90">
                  <c:v>140</c:v>
                </c:pt>
                <c:pt idx="91">
                  <c:v>141</c:v>
                </c:pt>
                <c:pt idx="92">
                  <c:v>142</c:v>
                </c:pt>
                <c:pt idx="93">
                  <c:v>143</c:v>
                </c:pt>
                <c:pt idx="94">
                  <c:v>144</c:v>
                </c:pt>
                <c:pt idx="95">
                  <c:v>145</c:v>
                </c:pt>
                <c:pt idx="96">
                  <c:v>146</c:v>
                </c:pt>
                <c:pt idx="97">
                  <c:v>147</c:v>
                </c:pt>
                <c:pt idx="98">
                  <c:v>148</c:v>
                </c:pt>
                <c:pt idx="99">
                  <c:v>149</c:v>
                </c:pt>
                <c:pt idx="100">
                  <c:v>150</c:v>
                </c:pt>
              </c:numCache>
            </c:numRef>
          </c:cat>
          <c:val>
            <c:numRef>
              <c:f>DOP!$P$2:$P$102</c:f>
              <c:numCache>
                <c:formatCode>0.0000</c:formatCode>
                <c:ptCount val="10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0.18283200688886136</c:v>
                </c:pt>
                <c:pt idx="32">
                  <c:v>0.35828590560869422</c:v>
                </c:pt>
                <c:pt idx="33">
                  <c:v>0.52499243695661058</c:v>
                </c:pt>
                <c:pt idx="34">
                  <c:v>0.681799750364112</c:v>
                </c:pt>
                <c:pt idx="35">
                  <c:v>0.82777289177754376</c:v>
                </c:pt>
                <c:pt idx="36">
                  <c:v>0.96218899053664231</c:v>
                </c:pt>
                <c:pt idx="37">
                  <c:v>1.0845287979450369</c:v>
                </c:pt>
                <c:pt idx="38">
                  <c:v>1.1944652350577858</c:v>
                </c:pt>
                <c:pt idx="39">
                  <c:v>1.2918495915288037</c:v>
                </c:pt>
                <c:pt idx="40">
                  <c:v>1.3766959852482934</c:v>
                </c:pt>
                <c:pt idx="41">
                  <c:v>1.4491646478666347</c:v>
                </c:pt>
                <c:pt idx="42">
                  <c:v>1.5095445477738458</c:v>
                </c:pt>
                <c:pt idx="43">
                  <c:v>1.5582358029304544</c:v>
                </c:pt>
                <c:pt idx="44">
                  <c:v>1.5957322739582018</c:v>
                </c:pt>
                <c:pt idx="45">
                  <c:v>1.6226046654849284</c:v>
                </c:pt>
                <c:pt idx="46">
                  <c:v>1.6394844028389208</c:v>
                </c:pt>
                <c:pt idx="47">
                  <c:v>1.647048493333525</c:v>
                </c:pt>
                <c:pt idx="48">
                  <c:v>1.6460055276998382</c:v>
                </c:pt>
                <c:pt idx="49">
                  <c:v>1.6370829285023696</c:v>
                </c:pt>
                <c:pt idx="50">
                  <c:v>1.6210155090817793</c:v>
                </c:pt>
                <c:pt idx="51">
                  <c:v>1.5985353689315502</c:v>
                </c:pt>
                <c:pt idx="52">
                  <c:v>1.5703631194345817</c:v>
                </c:pt>
                <c:pt idx="53">
                  <c:v>1.5372004073950905</c:v>
                </c:pt>
                <c:pt idx="54">
                  <c:v>1.4997236825089253</c:v>
                </c:pt>
                <c:pt idx="55">
                  <c:v>1.4585791384292932</c:v>
                </c:pt>
                <c:pt idx="56">
                  <c:v>1.4143787449598584</c:v>
                </c:pt>
                <c:pt idx="57">
                  <c:v>1.3676972806528447</c:v>
                </c:pt>
                <c:pt idx="58">
                  <c:v>1.319070270213242</c:v>
                </c:pt>
                <c:pt idx="59">
                  <c:v>1.2689927291128598</c:v>
                </c:pt>
                <c:pt idx="60">
                  <c:v>1.2179186182282749</c:v>
                </c:pt>
                <c:pt idx="61">
                  <c:v>1.1662609136864379</c:v>
                </c:pt>
                <c:pt idx="62">
                  <c:v>1.1143922010188021</c:v>
                </c:pt>
                <c:pt idx="63">
                  <c:v>1.0626457078197244</c:v>
                </c:pt>
                <c:pt idx="64">
                  <c:v>1.0113166950470731</c:v>
                </c:pt>
                <c:pt idx="65">
                  <c:v>0.96066413360653158</c:v>
                </c:pt>
                <c:pt idx="66">
                  <c:v>0.91091259968043481</c:v>
                </c:pt>
                <c:pt idx="67">
                  <c:v>0.86225432919306044</c:v>
                </c:pt>
                <c:pt idx="68">
                  <c:v>0.81485137867748847</c:v>
                </c:pt>
                <c:pt idx="69">
                  <c:v>0.76883784649136011</c:v>
                </c:pt>
                <c:pt idx="70">
                  <c:v>0.72432211471558006</c:v>
                </c:pt>
                <c:pt idx="71">
                  <c:v>0.68138907808373972</c:v>
                </c:pt>
                <c:pt idx="72">
                  <c:v>0.64010233187843468</c:v>
                </c:pt>
                <c:pt idx="73">
                  <c:v>0.60050629585754933</c:v>
                </c:pt>
                <c:pt idx="74">
                  <c:v>0.56262825592455279</c:v>
                </c:pt>
                <c:pt idx="75">
                  <c:v>0.52648030942490021</c:v>
                </c:pt>
                <c:pt idx="76">
                  <c:v>0.4920612036471006</c:v>
                </c:pt>
                <c:pt idx="77">
                  <c:v>0.45935806034412607</c:v>
                </c:pt>
                <c:pt idx="78">
                  <c:v>0.42834798189477219</c:v>
                </c:pt>
                <c:pt idx="79">
                  <c:v>0.39899953711870584</c:v>
                </c:pt>
                <c:pt idx="80">
                  <c:v>0.37127412677721239</c:v>
                </c:pt>
                <c:pt idx="81">
                  <c:v>0.34512723046405824</c:v>
                </c:pt>
                <c:pt idx="82">
                  <c:v>0.32050953794919224</c:v>
                </c:pt>
                <c:pt idx="83">
                  <c:v>0.29736796911967822</c:v>
                </c:pt>
                <c:pt idx="84">
                  <c:v>0.27564658749180104</c:v>
                </c:pt>
                <c:pt idx="85">
                  <c:v>0.25528741288376455</c:v>
                </c:pt>
                <c:pt idx="86">
                  <c:v>0.2362311392631895</c:v>
                </c:pt>
                <c:pt idx="87">
                  <c:v>0.21841776404765678</c:v>
                </c:pt>
                <c:pt idx="88">
                  <c:v>0.20178713526320191</c:v>
                </c:pt>
                <c:pt idx="89">
                  <c:v>0.18627942297794675</c:v>
                </c:pt>
                <c:pt idx="90">
                  <c:v>0.17183552134671887</c:v>
                </c:pt>
                <c:pt idx="91">
                  <c:v>0.15839738744483611</c:v>
                </c:pt>
                <c:pt idx="92">
                  <c:v>0.14590832285226307</c:v>
                </c:pt>
                <c:pt idx="93">
                  <c:v>0.13431320368656952</c:v>
                </c:pt>
                <c:pt idx="94">
                  <c:v>0.12355866448696551</c:v>
                </c:pt>
                <c:pt idx="95">
                  <c:v>0.11359324103257196</c:v>
                </c:pt>
                <c:pt idx="96">
                  <c:v>0.10436747684539771</c:v>
                </c:pt>
                <c:pt idx="97">
                  <c:v>9.5833997788442593E-2</c:v>
                </c:pt>
                <c:pt idx="98">
                  <c:v>8.7947558830242745E-2</c:v>
                </c:pt>
                <c:pt idx="99">
                  <c:v>8.0665066711080202E-2</c:v>
                </c:pt>
                <c:pt idx="100">
                  <c:v>7.3945581920569659E-2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7A-4FB7-BBB1-493AEE7FA41E}"/>
            </c:ext>
          </c:extLst>
        </c:ser>
        <c:ser>
          <c:idx val="1"/>
          <c:order val="1"/>
          <c:tx>
            <c:v>Vanilla put</c:v>
          </c:tx>
          <c:spPr>
            <a:ln w="1905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DOP!$D$2:$D$102</c:f>
              <c:numCache>
                <c:formatCode>General</c:formatCode>
                <c:ptCount val="101"/>
                <c:pt idx="0">
                  <c:v>50</c:v>
                </c:pt>
                <c:pt idx="1">
                  <c:v>51</c:v>
                </c:pt>
                <c:pt idx="2">
                  <c:v>52</c:v>
                </c:pt>
                <c:pt idx="3">
                  <c:v>53</c:v>
                </c:pt>
                <c:pt idx="4">
                  <c:v>54</c:v>
                </c:pt>
                <c:pt idx="5">
                  <c:v>55</c:v>
                </c:pt>
                <c:pt idx="6">
                  <c:v>56</c:v>
                </c:pt>
                <c:pt idx="7">
                  <c:v>57</c:v>
                </c:pt>
                <c:pt idx="8">
                  <c:v>58</c:v>
                </c:pt>
                <c:pt idx="9">
                  <c:v>59</c:v>
                </c:pt>
                <c:pt idx="10">
                  <c:v>60</c:v>
                </c:pt>
                <c:pt idx="11">
                  <c:v>61</c:v>
                </c:pt>
                <c:pt idx="12">
                  <c:v>62</c:v>
                </c:pt>
                <c:pt idx="13">
                  <c:v>63</c:v>
                </c:pt>
                <c:pt idx="14">
                  <c:v>64</c:v>
                </c:pt>
                <c:pt idx="15">
                  <c:v>65</c:v>
                </c:pt>
                <c:pt idx="16">
                  <c:v>66</c:v>
                </c:pt>
                <c:pt idx="17">
                  <c:v>67</c:v>
                </c:pt>
                <c:pt idx="18">
                  <c:v>68</c:v>
                </c:pt>
                <c:pt idx="19">
                  <c:v>69</c:v>
                </c:pt>
                <c:pt idx="20">
                  <c:v>70</c:v>
                </c:pt>
                <c:pt idx="21">
                  <c:v>71</c:v>
                </c:pt>
                <c:pt idx="22">
                  <c:v>72</c:v>
                </c:pt>
                <c:pt idx="23">
                  <c:v>73</c:v>
                </c:pt>
                <c:pt idx="24">
                  <c:v>74</c:v>
                </c:pt>
                <c:pt idx="25">
                  <c:v>75</c:v>
                </c:pt>
                <c:pt idx="26">
                  <c:v>76</c:v>
                </c:pt>
                <c:pt idx="27">
                  <c:v>77</c:v>
                </c:pt>
                <c:pt idx="28">
                  <c:v>78</c:v>
                </c:pt>
                <c:pt idx="29">
                  <c:v>79</c:v>
                </c:pt>
                <c:pt idx="30">
                  <c:v>80</c:v>
                </c:pt>
                <c:pt idx="31">
                  <c:v>81</c:v>
                </c:pt>
                <c:pt idx="32">
                  <c:v>82</c:v>
                </c:pt>
                <c:pt idx="33">
                  <c:v>83</c:v>
                </c:pt>
                <c:pt idx="34">
                  <c:v>84</c:v>
                </c:pt>
                <c:pt idx="35">
                  <c:v>85</c:v>
                </c:pt>
                <c:pt idx="36">
                  <c:v>86</c:v>
                </c:pt>
                <c:pt idx="37">
                  <c:v>87</c:v>
                </c:pt>
                <c:pt idx="38">
                  <c:v>88</c:v>
                </c:pt>
                <c:pt idx="39">
                  <c:v>89</c:v>
                </c:pt>
                <c:pt idx="40">
                  <c:v>90</c:v>
                </c:pt>
                <c:pt idx="41">
                  <c:v>91</c:v>
                </c:pt>
                <c:pt idx="42">
                  <c:v>92</c:v>
                </c:pt>
                <c:pt idx="43">
                  <c:v>93</c:v>
                </c:pt>
                <c:pt idx="44">
                  <c:v>94</c:v>
                </c:pt>
                <c:pt idx="45">
                  <c:v>95</c:v>
                </c:pt>
                <c:pt idx="46">
                  <c:v>96</c:v>
                </c:pt>
                <c:pt idx="47">
                  <c:v>97</c:v>
                </c:pt>
                <c:pt idx="48">
                  <c:v>98</c:v>
                </c:pt>
                <c:pt idx="49">
                  <c:v>99</c:v>
                </c:pt>
                <c:pt idx="50">
                  <c:v>100</c:v>
                </c:pt>
                <c:pt idx="51">
                  <c:v>101</c:v>
                </c:pt>
                <c:pt idx="52">
                  <c:v>102</c:v>
                </c:pt>
                <c:pt idx="53">
                  <c:v>103</c:v>
                </c:pt>
                <c:pt idx="54">
                  <c:v>104</c:v>
                </c:pt>
                <c:pt idx="55">
                  <c:v>105</c:v>
                </c:pt>
                <c:pt idx="56">
                  <c:v>106</c:v>
                </c:pt>
                <c:pt idx="57">
                  <c:v>107</c:v>
                </c:pt>
                <c:pt idx="58">
                  <c:v>108</c:v>
                </c:pt>
                <c:pt idx="59">
                  <c:v>109</c:v>
                </c:pt>
                <c:pt idx="60">
                  <c:v>110</c:v>
                </c:pt>
                <c:pt idx="61">
                  <c:v>111</c:v>
                </c:pt>
                <c:pt idx="62">
                  <c:v>112</c:v>
                </c:pt>
                <c:pt idx="63">
                  <c:v>113</c:v>
                </c:pt>
                <c:pt idx="64">
                  <c:v>114</c:v>
                </c:pt>
                <c:pt idx="65">
                  <c:v>115</c:v>
                </c:pt>
                <c:pt idx="66">
                  <c:v>116</c:v>
                </c:pt>
                <c:pt idx="67">
                  <c:v>117</c:v>
                </c:pt>
                <c:pt idx="68">
                  <c:v>118</c:v>
                </c:pt>
                <c:pt idx="69">
                  <c:v>119</c:v>
                </c:pt>
                <c:pt idx="70">
                  <c:v>120</c:v>
                </c:pt>
                <c:pt idx="71">
                  <c:v>121</c:v>
                </c:pt>
                <c:pt idx="72">
                  <c:v>122</c:v>
                </c:pt>
                <c:pt idx="73">
                  <c:v>123</c:v>
                </c:pt>
                <c:pt idx="74">
                  <c:v>124</c:v>
                </c:pt>
                <c:pt idx="75">
                  <c:v>125</c:v>
                </c:pt>
                <c:pt idx="76">
                  <c:v>126</c:v>
                </c:pt>
                <c:pt idx="77">
                  <c:v>127</c:v>
                </c:pt>
                <c:pt idx="78">
                  <c:v>128</c:v>
                </c:pt>
                <c:pt idx="79">
                  <c:v>129</c:v>
                </c:pt>
                <c:pt idx="80">
                  <c:v>130</c:v>
                </c:pt>
                <c:pt idx="81">
                  <c:v>131</c:v>
                </c:pt>
                <c:pt idx="82">
                  <c:v>132</c:v>
                </c:pt>
                <c:pt idx="83">
                  <c:v>133</c:v>
                </c:pt>
                <c:pt idx="84">
                  <c:v>134</c:v>
                </c:pt>
                <c:pt idx="85">
                  <c:v>135</c:v>
                </c:pt>
                <c:pt idx="86">
                  <c:v>136</c:v>
                </c:pt>
                <c:pt idx="87">
                  <c:v>137</c:v>
                </c:pt>
                <c:pt idx="88">
                  <c:v>138</c:v>
                </c:pt>
                <c:pt idx="89">
                  <c:v>139</c:v>
                </c:pt>
                <c:pt idx="90">
                  <c:v>140</c:v>
                </c:pt>
                <c:pt idx="91">
                  <c:v>141</c:v>
                </c:pt>
                <c:pt idx="92">
                  <c:v>142</c:v>
                </c:pt>
                <c:pt idx="93">
                  <c:v>143</c:v>
                </c:pt>
                <c:pt idx="94">
                  <c:v>144</c:v>
                </c:pt>
                <c:pt idx="95">
                  <c:v>145</c:v>
                </c:pt>
                <c:pt idx="96">
                  <c:v>146</c:v>
                </c:pt>
                <c:pt idx="97">
                  <c:v>147</c:v>
                </c:pt>
                <c:pt idx="98">
                  <c:v>148</c:v>
                </c:pt>
                <c:pt idx="99">
                  <c:v>149</c:v>
                </c:pt>
                <c:pt idx="100">
                  <c:v>150</c:v>
                </c:pt>
              </c:numCache>
            </c:numRef>
          </c:cat>
          <c:val>
            <c:numRef>
              <c:f>DOP!$Q$2:$Q$102</c:f>
              <c:numCache>
                <c:formatCode>0.0000</c:formatCode>
                <c:ptCount val="101"/>
                <c:pt idx="0">
                  <c:v>45.125341867624712</c:v>
                </c:pt>
                <c:pt idx="1">
                  <c:v>44.126430890383716</c:v>
                </c:pt>
                <c:pt idx="2">
                  <c:v>43.127935198978562</c:v>
                </c:pt>
                <c:pt idx="3">
                  <c:v>42.129982523744545</c:v>
                </c:pt>
                <c:pt idx="4">
                  <c:v>41.132729858016731</c:v>
                </c:pt>
                <c:pt idx="5">
                  <c:v>40.136367465526732</c:v>
                </c:pt>
                <c:pt idx="6">
                  <c:v>39.141122848081693</c:v>
                </c:pt>
                <c:pt idx="7">
                  <c:v>38.147264549243388</c:v>
                </c:pt>
                <c:pt idx="8">
                  <c:v>37.15510566283433</c:v>
                </c:pt>
                <c:pt idx="9">
                  <c:v>36.165006913461681</c:v>
                </c:pt>
                <c:pt idx="10">
                  <c:v>35.177379180141827</c:v>
                </c:pt>
                <c:pt idx="11">
                  <c:v>34.192685343490979</c:v>
                </c:pt>
                <c:pt idx="12">
                  <c:v>33.211441351479039</c:v>
                </c:pt>
                <c:pt idx="13">
                  <c:v>32.234216417812732</c:v>
                </c:pt>
                <c:pt idx="14">
                  <c:v>31.261632289780536</c:v>
                </c:pt>
                <c:pt idx="15">
                  <c:v>30.294361547853441</c:v>
                </c:pt>
                <c:pt idx="16">
                  <c:v>29.333124926384784</c:v>
                </c:pt>
                <c:pt idx="17">
                  <c:v>28.378687672250663</c:v>
                </c:pt>
                <c:pt idx="18">
                  <c:v>27.431854985107151</c:v>
                </c:pt>
                <c:pt idx="19">
                  <c:v>26.493466608083708</c:v>
                </c:pt>
                <c:pt idx="20">
                  <c:v>25.564390660286776</c:v>
                </c:pt>
                <c:pt idx="21">
                  <c:v>24.645516821719681</c:v>
                </c:pt>
                <c:pt idx="22">
                  <c:v>23.737748996587626</c:v>
                </c:pt>
                <c:pt idx="23">
                  <c:v>22.84199759209848</c:v>
                </c:pt>
                <c:pt idx="24">
                  <c:v>21.9591715566349</c:v>
                </c:pt>
                <c:pt idx="25">
                  <c:v>21.090170323586094</c:v>
                </c:pt>
                <c:pt idx="26">
                  <c:v>20.235875805380999</c:v>
                </c:pt>
                <c:pt idx="27">
                  <c:v>19.397144576686756</c:v>
                </c:pt>
                <c:pt idx="28">
                  <c:v>18.574800376771094</c:v>
                </c:pt>
                <c:pt idx="29">
                  <c:v>17.769627049195478</c:v>
                </c:pt>
                <c:pt idx="30">
                  <c:v>16.982362022883592</c:v>
                </c:pt>
                <c:pt idx="31">
                  <c:v>16.213690422794571</c:v>
                </c:pt>
                <c:pt idx="32">
                  <c:v>15.464239881516903</c:v>
                </c:pt>
                <c:pt idx="33">
                  <c:v>14.734576105659428</c:v>
                </c:pt>
                <c:pt idx="34">
                  <c:v>14.025199233478872</c:v>
                </c:pt>
                <c:pt idx="35">
                  <c:v>13.336541003219281</c:v>
                </c:pt>
                <c:pt idx="36">
                  <c:v>12.668962735557898</c:v>
                </c:pt>
                <c:pt idx="37">
                  <c:v>12.022754118683949</c:v>
                </c:pt>
                <c:pt idx="38">
                  <c:v>11.398132771146962</c:v>
                </c:pt>
                <c:pt idx="39">
                  <c:v>10.795244545883776</c:v>
                </c:pt>
                <c:pt idx="40">
                  <c:v>10.214164528888958</c:v>
                </c:pt>
                <c:pt idx="41">
                  <c:v>9.654898677884546</c:v>
                </c:pt>
                <c:pt idx="42">
                  <c:v>9.1173860400704427</c:v>
                </c:pt>
                <c:pt idx="43">
                  <c:v>8.601501483542819</c:v>
                </c:pt>
                <c:pt idx="44">
                  <c:v>8.1070588741637977</c:v>
                </c:pt>
                <c:pt idx="45">
                  <c:v>7.6338146284241191</c:v>
                </c:pt>
                <c:pt idx="46">
                  <c:v>7.1814715730135106</c:v>
                </c:pt>
                <c:pt idx="47">
                  <c:v>6.7496830432356489</c:v>
                </c:pt>
                <c:pt idx="48">
                  <c:v>6.3380571548986637</c:v>
                </c:pt>
                <c:pt idx="49">
                  <c:v>5.9461611877030123</c:v>
                </c:pt>
                <c:pt idx="50">
                  <c:v>5.5735260222569707</c:v>
                </c:pt>
                <c:pt idx="51">
                  <c:v>5.2196505775088156</c:v>
                </c:pt>
                <c:pt idx="52">
                  <c:v>4.8840062004327649</c:v>
                </c:pt>
                <c:pt idx="53">
                  <c:v>4.5660409650977414</c:v>
                </c:pt>
                <c:pt idx="54">
                  <c:v>4.265183843650874</c:v>
                </c:pt>
                <c:pt idx="55">
                  <c:v>3.980848717144525</c:v>
                </c:pt>
                <c:pt idx="56">
                  <c:v>3.7124381994290729</c:v>
                </c:pt>
                <c:pt idx="57">
                  <c:v>3.4593472524347533</c:v>
                </c:pt>
                <c:pt idx="58">
                  <c:v>3.2209665760124864</c:v>
                </c:pt>
                <c:pt idx="59">
                  <c:v>2.9966857600373231</c:v>
                </c:pt>
                <c:pt idx="60">
                  <c:v>2.7858961906618447</c:v>
                </c:pt>
                <c:pt idx="61">
                  <c:v>2.587993706415503</c:v>
                </c:pt>
                <c:pt idx="62">
                  <c:v>2.4023810032591228</c:v>
                </c:pt>
                <c:pt idx="63">
                  <c:v>2.2284697907222437</c:v>
                </c:pt>
                <c:pt idx="64">
                  <c:v>2.0656827038723549</c:v>
                </c:pt>
                <c:pt idx="65">
                  <c:v>1.9134549781025498</c:v>
                </c:pt>
                <c:pt idx="66">
                  <c:v>1.7712358955913885</c:v>
                </c:pt>
                <c:pt idx="67">
                  <c:v>1.6384900138085357</c:v>
                </c:pt>
                <c:pt idx="68">
                  <c:v>1.5146981876313248</c:v>
                </c:pt>
                <c:pt idx="69">
                  <c:v>1.3993583975323389</c:v>
                </c:pt>
                <c:pt idx="70">
                  <c:v>1.2919863969187162</c:v>
                </c:pt>
                <c:pt idx="71">
                  <c:v>1.1921161920808743</c:v>
                </c:pt>
                <c:pt idx="72">
                  <c:v>1.0993003683698532</c:v>
                </c:pt>
                <c:pt idx="73">
                  <c:v>1.0131102761942259</c:v>
                </c:pt>
                <c:pt idx="74">
                  <c:v>0.93313609023896049</c:v>
                </c:pt>
                <c:pt idx="75">
                  <c:v>0.85898675498108901</c:v>
                </c:pt>
                <c:pt idx="76">
                  <c:v>0.7902898291391125</c:v>
                </c:pt>
                <c:pt idx="77">
                  <c:v>0.72669124116166017</c:v>
                </c:pt>
                <c:pt idx="78">
                  <c:v>0.66785496726021165</c:v>
                </c:pt>
                <c:pt idx="79">
                  <c:v>0.61346264283614005</c:v>
                </c:pt>
                <c:pt idx="80">
                  <c:v>0.56321311746137326</c:v>
                </c:pt>
                <c:pt idx="81">
                  <c:v>0.51682196285963755</c:v>
                </c:pt>
                <c:pt idx="82">
                  <c:v>0.47402094260976924</c:v>
                </c:pt>
                <c:pt idx="83">
                  <c:v>0.43455745157399406</c:v>
                </c:pt>
                <c:pt idx="84">
                  <c:v>0.39819393233744904</c:v>
                </c:pt>
                <c:pt idx="85">
                  <c:v>0.36470727525369284</c:v>
                </c:pt>
                <c:pt idx="86">
                  <c:v>0.33388820801690144</c:v>
                </c:pt>
                <c:pt idx="87">
                  <c:v>0.30554068004056489</c:v>
                </c:pt>
                <c:pt idx="88">
                  <c:v>0.27948124630927396</c:v>
                </c:pt>
                <c:pt idx="89">
                  <c:v>0.25553845479603865</c:v>
                </c:pt>
                <c:pt idx="90">
                  <c:v>0.23355224099623229</c:v>
                </c:pt>
                <c:pt idx="91">
                  <c:v>0.21337333262886204</c:v>
                </c:pt>
                <c:pt idx="92">
                  <c:v>0.19486266709054689</c:v>
                </c:pt>
                <c:pt idx="93">
                  <c:v>0.17789082382222432</c:v>
                </c:pt>
                <c:pt idx="94">
                  <c:v>0.16233747335903104</c:v>
                </c:pt>
                <c:pt idx="95">
                  <c:v>0.14809084448137355</c:v>
                </c:pt>
                <c:pt idx="96">
                  <c:v>0.13504721056619928</c:v>
                </c:pt>
                <c:pt idx="97">
                  <c:v>0.12311039595317652</c:v>
                </c:pt>
                <c:pt idx="98">
                  <c:v>0.11219130288665724</c:v>
                </c:pt>
                <c:pt idx="99">
                  <c:v>0.10220745936970843</c:v>
                </c:pt>
                <c:pt idx="100">
                  <c:v>9.3082588070615202E-2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7A-4FB7-BBB1-493AEE7FA4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3666160"/>
        <c:axId val="993670000"/>
      </c:lineChart>
      <c:catAx>
        <c:axId val="9936661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1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b="1" i="1"/>
                  <a:t>P</a:t>
                </a:r>
              </a:p>
            </c:rich>
          </c:tx>
          <c:layout>
            <c:manualLayout>
              <c:xMode val="edge"/>
              <c:yMode val="edge"/>
              <c:x val="0.52315797963465194"/>
              <c:y val="0.909394942536683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1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93670000"/>
        <c:crosses val="autoZero"/>
        <c:auto val="1"/>
        <c:lblAlgn val="ctr"/>
        <c:lblOffset val="100"/>
        <c:tickLblSkip val="20"/>
        <c:tickMarkSkip val="20"/>
        <c:noMultiLvlLbl val="0"/>
      </c:catAx>
      <c:valAx>
        <c:axId val="993670000"/>
        <c:scaling>
          <c:orientation val="minMax"/>
          <c:max val="5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1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b="1" i="1"/>
                  <a:t>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1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93666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7004929726567125"/>
          <c:y val="0.17234886637032085"/>
          <c:w val="0.25152357578064766"/>
          <c:h val="0.1112570125974327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050"/>
              <a:t>Down-and-in call </a:t>
            </a:r>
            <a:r>
              <a:rPr lang="el-GR" sz="1050"/>
              <a:t>σ = 0.2, </a:t>
            </a:r>
            <a:r>
              <a:rPr lang="en-US" sz="1050"/>
              <a:t>r = 0.05, rd = 0, K = 100, T = 1 and H = 120.</a:t>
            </a:r>
          </a:p>
        </c:rich>
      </c:tx>
      <c:layout>
        <c:manualLayout>
          <c:xMode val="edge"/>
          <c:yMode val="edge"/>
          <c:x val="2.1842268648192276E-2"/>
          <c:y val="1.26337423383067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79893518711963"/>
          <c:y val="9.9281744556902946E-2"/>
          <c:w val="0.84681678474707534"/>
          <c:h val="0.78393908225796693"/>
        </c:manualLayout>
      </c:layout>
      <c:lineChart>
        <c:grouping val="standard"/>
        <c:varyColors val="0"/>
        <c:ser>
          <c:idx val="0"/>
          <c:order val="0"/>
          <c:tx>
            <c:v>Down-and-in call</c:v>
          </c:tx>
          <c:spPr>
            <a:ln w="28575" cap="rnd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DIC!$I$2:$I$202</c:f>
              <c:numCache>
                <c:formatCode>General</c:formatCode>
                <c:ptCount val="2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</c:numCache>
            </c:numRef>
          </c:cat>
          <c:val>
            <c:numRef>
              <c:f>DIC!$D$2:$D$202</c:f>
              <c:numCache>
                <c:formatCode>0.0000</c:formatCode>
                <c:ptCount val="20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24.970974473817094</c:v>
                </c:pt>
                <c:pt idx="122">
                  <c:v>23.822590241426226</c:v>
                </c:pt>
                <c:pt idx="123">
                  <c:v>22.721985011415526</c:v>
                </c:pt>
                <c:pt idx="124">
                  <c:v>21.667330969386398</c:v>
                </c:pt>
                <c:pt idx="125">
                  <c:v>20.656874219419706</c:v>
                </c:pt>
                <c:pt idx="126">
                  <c:v>19.688930613496737</c:v>
                </c:pt>
                <c:pt idx="127">
                  <c:v>18.761881892614568</c:v>
                </c:pt>
                <c:pt idx="128">
                  <c:v>17.874172117750504</c:v>
                </c:pt>
                <c:pt idx="129">
                  <c:v>17.024304370021639</c:v>
                </c:pt>
                <c:pt idx="130">
                  <c:v>16.21083770051775</c:v>
                </c:pt>
                <c:pt idx="131">
                  <c:v>15.432384311361673</c:v>
                </c:pt>
                <c:pt idx="132">
                  <c:v>14.687606950582904</c:v>
                </c:pt>
                <c:pt idx="133">
                  <c:v>13.975216504375467</c:v>
                </c:pt>
                <c:pt idx="134">
                  <c:v>13.293969771261139</c:v>
                </c:pt>
                <c:pt idx="135">
                  <c:v>12.642667403591162</c:v>
                </c:pt>
                <c:pt idx="136">
                  <c:v>12.020152002699071</c:v>
                </c:pt>
                <c:pt idx="137">
                  <c:v>11.425306354865093</c:v>
                </c:pt>
                <c:pt idx="138">
                  <c:v>10.857051796069996</c:v>
                </c:pt>
                <c:pt idx="139">
                  <c:v>10.314346694303566</c:v>
                </c:pt>
                <c:pt idx="140">
                  <c:v>9.7961850389506537</c:v>
                </c:pt>
                <c:pt idx="141">
                  <c:v>9.3015951275088042</c:v>
                </c:pt>
                <c:pt idx="142">
                  <c:v>8.8296383405893408</c:v>
                </c:pt>
                <c:pt idx="143">
                  <c:v>8.3794079968278439</c:v>
                </c:pt>
                <c:pt idx="144">
                  <c:v>7.9500282799707662</c:v>
                </c:pt>
                <c:pt idx="145">
                  <c:v>7.5406532310194621</c:v>
                </c:pt>
                <c:pt idx="146">
                  <c:v>7.1504657988972014</c:v>
                </c:pt>
                <c:pt idx="147">
                  <c:v>6.7786769436600451</c:v>
                </c:pt>
                <c:pt idx="148">
                  <c:v>6.4245247867988411</c:v>
                </c:pt>
                <c:pt idx="149">
                  <c:v>6.0872738036771992</c:v>
                </c:pt>
                <c:pt idx="150">
                  <c:v>5.7662140536193078</c:v>
                </c:pt>
                <c:pt idx="151">
                  <c:v>5.460660443601153</c:v>
                </c:pt>
                <c:pt idx="152">
                  <c:v>5.1699520219125041</c:v>
                </c:pt>
                <c:pt idx="153">
                  <c:v>4.8934512985406293</c:v>
                </c:pt>
                <c:pt idx="154">
                  <c:v>4.6305435893865479</c:v>
                </c:pt>
                <c:pt idx="155">
                  <c:v>4.3806363817554832</c:v>
                </c:pt>
                <c:pt idx="156">
                  <c:v>4.1431587188712591</c:v>
                </c:pt>
                <c:pt idx="157">
                  <c:v>3.9175606014456257</c:v>
                </c:pt>
                <c:pt idx="158">
                  <c:v>3.7033124045934507</c:v>
                </c:pt>
                <c:pt idx="159">
                  <c:v>3.4999043086202057</c:v>
                </c:pt>
                <c:pt idx="160">
                  <c:v>3.3068457424231674</c:v>
                </c:pt>
                <c:pt idx="161">
                  <c:v>3.1236648384418046</c:v>
                </c:pt>
                <c:pt idx="162">
                  <c:v>2.9499078982677602</c:v>
                </c:pt>
                <c:pt idx="163">
                  <c:v>2.7851388681808373</c:v>
                </c:pt>
                <c:pt idx="164">
                  <c:v>2.6289388240167284</c:v>
                </c:pt>
                <c:pt idx="165">
                  <c:v>2.4809054648952618</c:v>
                </c:pt>
                <c:pt idx="166">
                  <c:v>2.3406526154453218</c:v>
                </c:pt>
                <c:pt idx="167">
                  <c:v>2.2078097362573281</c:v>
                </c:pt>
                <c:pt idx="168">
                  <c:v>2.0820214423738914</c:v>
                </c:pt>
                <c:pt idx="169">
                  <c:v>1.9629470296996452</c:v>
                </c:pt>
                <c:pt idx="170">
                  <c:v>1.8502600092683874</c:v>
                </c:pt>
                <c:pt idx="171">
                  <c:v>1.743647649354072</c:v>
                </c:pt>
                <c:pt idx="172">
                  <c:v>1.6428105254516723</c:v>
                </c:pt>
                <c:pt idx="173">
                  <c:v>1.5474620781844663</c:v>
                </c:pt>
                <c:pt idx="174">
                  <c:v>1.4573281792182353</c:v>
                </c:pt>
                <c:pt idx="175">
                  <c:v>1.3721467052799934</c:v>
                </c:pt>
                <c:pt idx="176">
                  <c:v>1.2916671203901622</c:v>
                </c:pt>
                <c:pt idx="177">
                  <c:v>1.2156500664235139</c:v>
                </c:pt>
                <c:pt idx="178">
                  <c:v>1.1438669621160109</c:v>
                </c:pt>
                <c:pt idx="179">
                  <c:v>1.0760996106328022</c:v>
                </c:pt>
                <c:pt idx="180">
                  <c:v>1.0121398158074939</c:v>
                </c:pt>
                <c:pt idx="181">
                  <c:v>0.95178900715470505</c:v>
                </c:pt>
                <c:pt idx="182">
                  <c:v>0.89485787374790693</c:v>
                </c:pt>
                <c:pt idx="183">
                  <c:v>0.84116600704250821</c:v>
                </c:pt>
                <c:pt idx="184">
                  <c:v>0.79054155271054594</c:v>
                </c:pt>
                <c:pt idx="185">
                  <c:v>0.74282087153890863</c:v>
                </c:pt>
                <c:pt idx="186">
                  <c:v>0.69784820942757442</c:v>
                </c:pt>
                <c:pt idx="187">
                  <c:v>0.65547537650855769</c:v>
                </c:pt>
                <c:pt idx="188">
                  <c:v>0.61556143539017949</c:v>
                </c:pt>
                <c:pt idx="189">
                  <c:v>0.57797239851503956</c:v>
                </c:pt>
                <c:pt idx="190">
                  <c:v>0.5425809346042314</c:v>
                </c:pt>
                <c:pt idx="191">
                  <c:v>0.50926608414457153</c:v>
                </c:pt>
                <c:pt idx="192">
                  <c:v>0.47791298386057601</c:v>
                </c:pt>
                <c:pt idx="193">
                  <c:v>0.4484126000980071</c:v>
                </c:pt>
                <c:pt idx="194">
                  <c:v>0.42066147103228158</c:v>
                </c:pt>
                <c:pt idx="195">
                  <c:v>0.39456145760136518</c:v>
                </c:pt>
                <c:pt idx="196">
                  <c:v>0.37001950305080289</c:v>
                </c:pt>
                <c:pt idx="197">
                  <c:v>0.3469474009665996</c:v>
                </c:pt>
                <c:pt idx="198">
                  <c:v>0.32526157166139846</c:v>
                </c:pt>
                <c:pt idx="199">
                  <c:v>0.3048828467692255</c:v>
                </c:pt>
                <c:pt idx="200">
                  <c:v>0.28573626189559631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E3-489B-A8B8-147DB62152AF}"/>
            </c:ext>
          </c:extLst>
        </c:ser>
        <c:ser>
          <c:idx val="1"/>
          <c:order val="1"/>
          <c:tx>
            <c:v>Vanilla call</c:v>
          </c:tx>
          <c:spPr>
            <a:ln w="1905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DIC!$I$2:$I$202</c:f>
              <c:numCache>
                <c:formatCode>General</c:formatCode>
                <c:ptCount val="2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</c:numCache>
            </c:numRef>
          </c:cat>
          <c:val>
            <c:numRef>
              <c:f>DIC!$G$2:$G$202</c:f>
              <c:numCache>
                <c:formatCode>0.0000</c:formatCode>
                <c:ptCount val="201"/>
                <c:pt idx="0">
                  <c:v>0</c:v>
                </c:pt>
                <c:pt idx="1">
                  <c:v>3.3779173112772867E-116</c:v>
                </c:pt>
                <c:pt idx="2">
                  <c:v>3.1219438495059009E-84</c:v>
                </c:pt>
                <c:pt idx="3">
                  <c:v>6.1262127541399711E-68</c:v>
                </c:pt>
                <c:pt idx="4">
                  <c:v>1.868531216165193E-57</c:v>
                </c:pt>
                <c:pt idx="5">
                  <c:v>6.1613191000110048E-50</c:v>
                </c:pt>
                <c:pt idx="6">
                  <c:v>3.4251849086664113E-44</c:v>
                </c:pt>
                <c:pt idx="7">
                  <c:v>1.2979405903482001E-39</c:v>
                </c:pt>
                <c:pt idx="8">
                  <c:v>7.4674730715600056E-36</c:v>
                </c:pt>
                <c:pt idx="9">
                  <c:v>1.0738472459899287E-32</c:v>
                </c:pt>
                <c:pt idx="10">
                  <c:v>5.3672870662279289E-30</c:v>
                </c:pt>
                <c:pt idx="11">
                  <c:v>1.171727581548892E-27</c:v>
                </c:pt>
                <c:pt idx="12">
                  <c:v>1.3166954224611643E-25</c:v>
                </c:pt>
                <c:pt idx="13">
                  <c:v>8.6014111708274816E-24</c:v>
                </c:pt>
                <c:pt idx="14">
                  <c:v>3.5826851098104758E-22</c:v>
                </c:pt>
                <c:pt idx="15">
                  <c:v>1.0221733954828153E-20</c:v>
                </c:pt>
                <c:pt idx="16">
                  <c:v>2.113936999146956E-19</c:v>
                </c:pt>
                <c:pt idx="17">
                  <c:v>3.3160334891350847E-18</c:v>
                </c:pt>
                <c:pt idx="18">
                  <c:v>4.093794853367837E-17</c:v>
                </c:pt>
                <c:pt idx="19">
                  <c:v>4.1000952605410968E-16</c:v>
                </c:pt>
                <c:pt idx="20">
                  <c:v>3.4165035313177665E-15</c:v>
                </c:pt>
                <c:pt idx="21">
                  <c:v>2.4192983498542493E-14</c:v>
                </c:pt>
                <c:pt idx="22">
                  <c:v>1.4821947939544193E-13</c:v>
                </c:pt>
                <c:pt idx="23">
                  <c:v>7.9776464228073465E-13</c:v>
                </c:pt>
                <c:pt idx="24">
                  <c:v>3.8221505281552668E-12</c:v>
                </c:pt>
                <c:pt idx="25">
                  <c:v>1.6487011599371323E-11</c:v>
                </c:pt>
                <c:pt idx="26">
                  <c:v>6.4665454629224215E-11</c:v>
                </c:pt>
                <c:pt idx="27">
                  <c:v>2.3262446209694378E-10</c:v>
                </c:pt>
                <c:pt idx="28">
                  <c:v>7.7337987045492174E-10</c:v>
                </c:pt>
                <c:pt idx="29">
                  <c:v>2.3922161528052749E-9</c:v>
                </c:pt>
                <c:pt idx="30">
                  <c:v>6.9257019428127786E-9</c:v>
                </c:pt>
                <c:pt idx="31">
                  <c:v>1.8866241860107727E-8</c:v>
                </c:pt>
                <c:pt idx="32">
                  <c:v>4.8587326055543578E-8</c:v>
                </c:pt>
                <c:pt idx="33">
                  <c:v>1.1880157592936108E-7</c:v>
                </c:pt>
                <c:pt idx="34">
                  <c:v>2.7684950632814252E-7</c:v>
                </c:pt>
                <c:pt idx="35">
                  <c:v>6.1700215878344764E-7</c:v>
                </c:pt>
                <c:pt idx="36">
                  <c:v>1.3191919478522241E-6</c:v>
                </c:pt>
                <c:pt idx="37">
                  <c:v>2.713560320463204E-6</c:v>
                </c:pt>
                <c:pt idx="38">
                  <c:v>5.3839647403694047E-6</c:v>
                </c:pt>
                <c:pt idx="39">
                  <c:v>1.0328064750079905E-5</c:v>
                </c:pt>
                <c:pt idx="40">
                  <c:v>1.9196630502059386E-5</c:v>
                </c:pt>
                <c:pt idx="41">
                  <c:v>3.4639973120737248E-5</c:v>
                </c:pt>
                <c:pt idx="42">
                  <c:v>6.0794433644128284E-5</c:v>
                </c:pt>
                <c:pt idx="43">
                  <c:v>1.0394611906164395E-4</c:v>
                </c:pt>
                <c:pt idx="44">
                  <c:v>1.7341189862898248E-4</c:v>
                </c:pt>
                <c:pt idx="45">
                  <c:v>2.8267841497771513E-4</c:v>
                </c:pt>
                <c:pt idx="46">
                  <c:v>4.5083792315345206E-4</c:v>
                </c:pt>
                <c:pt idx="47">
                  <c:v>7.0435467898373114E-4</c:v>
                </c:pt>
                <c:pt idx="48">
                  <c:v>1.0791870889113563E-3</c:v>
                </c:pt>
                <c:pt idx="49">
                  <c:v>1.6232788931468227E-3</c:v>
                </c:pt>
                <c:pt idx="50">
                  <c:v>2.3994175533096421E-3</c:v>
                </c:pt>
                <c:pt idx="51">
                  <c:v>3.4884403123105479E-3</c:v>
                </c:pt>
                <c:pt idx="52">
                  <c:v>4.9927489071568687E-3</c:v>
                </c:pt>
                <c:pt idx="53">
                  <c:v>7.0400736731369706E-3</c:v>
                </c:pt>
                <c:pt idx="54">
                  <c:v>9.7874079453318386E-3</c:v>
                </c:pt>
                <c:pt idx="55">
                  <c:v>1.3425015455323958E-2</c:v>
                </c:pt>
                <c:pt idx="56">
                  <c:v>1.8180398010283261E-2</c:v>
                </c:pt>
                <c:pt idx="57">
                  <c:v>2.4322099171987077E-2</c:v>
                </c:pt>
                <c:pt idx="58">
                  <c:v>3.2163212762931381E-2</c:v>
                </c:pt>
                <c:pt idx="59">
                  <c:v>4.2064463390275142E-2</c:v>
                </c:pt>
                <c:pt idx="60">
                  <c:v>5.4436730070420158E-2</c:v>
                </c:pt>
                <c:pt idx="61">
                  <c:v>6.9742893419567964E-2</c:v>
                </c:pt>
                <c:pt idx="62">
                  <c:v>8.8498901407637609E-2</c:v>
                </c:pt>
                <c:pt idx="63">
                  <c:v>0.11127396774132747</c:v>
                </c:pt>
                <c:pt idx="64">
                  <c:v>0.13868983970912718</c:v>
                </c:pt>
                <c:pt idx="65">
                  <c:v>0.17141909778203512</c:v>
                </c:pt>
                <c:pt idx="66">
                  <c:v>0.21018247631337816</c:v>
                </c:pt>
                <c:pt idx="67">
                  <c:v>0.25574522217925999</c:v>
                </c:pt>
                <c:pt idx="68">
                  <c:v>0.30891253503574445</c:v>
                </c:pt>
                <c:pt idx="69">
                  <c:v>0.37052415801230154</c:v>
                </c:pt>
                <c:pt idx="70">
                  <c:v>0.44144821021536718</c:v>
                </c:pt>
                <c:pt idx="71">
                  <c:v>0.52257437164828069</c:v>
                </c:pt>
                <c:pt idx="72">
                  <c:v>0.61480654651622491</c:v>
                </c:pt>
                <c:pt idx="73">
                  <c:v>0.71905514202707987</c:v>
                </c:pt>
                <c:pt idx="74">
                  <c:v>0.83622910656348992</c:v>
                </c:pt>
                <c:pt idx="75">
                  <c:v>0.96722787351468931</c:v>
                </c:pt>
                <c:pt idx="76">
                  <c:v>1.1129333553095933</c:v>
                </c:pt>
                <c:pt idx="77">
                  <c:v>1.2742021266153465</c:v>
                </c:pt>
                <c:pt idx="78">
                  <c:v>1.4518579266996881</c:v>
                </c:pt>
                <c:pt idx="79">
                  <c:v>1.6466845991240717</c:v>
                </c:pt>
                <c:pt idx="80">
                  <c:v>1.8594195728121825</c:v>
                </c:pt>
                <c:pt idx="81">
                  <c:v>2.0907479727231681</c:v>
                </c:pt>
                <c:pt idx="82">
                  <c:v>2.34129743144549</c:v>
                </c:pt>
                <c:pt idx="83">
                  <c:v>2.6116336555880224</c:v>
                </c:pt>
                <c:pt idx="84">
                  <c:v>2.90225678340747</c:v>
                </c:pt>
                <c:pt idx="85">
                  <c:v>3.2135985531478788</c:v>
                </c:pt>
                <c:pt idx="86">
                  <c:v>3.5460202854864882</c:v>
                </c:pt>
                <c:pt idx="87">
                  <c:v>3.8998116686125428</c:v>
                </c:pt>
                <c:pt idx="88">
                  <c:v>4.2751903210755557</c:v>
                </c:pt>
                <c:pt idx="89">
                  <c:v>4.6723020958123698</c:v>
                </c:pt>
                <c:pt idx="90">
                  <c:v>5.0912220788175517</c:v>
                </c:pt>
                <c:pt idx="91">
                  <c:v>5.5319562278131471</c:v>
                </c:pt>
                <c:pt idx="92">
                  <c:v>5.9944435899990367</c:v>
                </c:pt>
                <c:pt idx="93">
                  <c:v>6.4785590334714129</c:v>
                </c:pt>
                <c:pt idx="94">
                  <c:v>6.9841164240923916</c:v>
                </c:pt>
                <c:pt idx="95">
                  <c:v>7.5108721783527059</c:v>
                </c:pt>
                <c:pt idx="96">
                  <c:v>8.0585291229420974</c:v>
                </c:pt>
                <c:pt idx="97">
                  <c:v>8.62674059316425</c:v>
                </c:pt>
                <c:pt idx="98">
                  <c:v>9.2151147048272577</c:v>
                </c:pt>
                <c:pt idx="99">
                  <c:v>9.8232187376315991</c:v>
                </c:pt>
                <c:pt idx="100">
                  <c:v>10.450583572185565</c:v>
                </c:pt>
                <c:pt idx="101">
                  <c:v>11.096708127437402</c:v>
                </c:pt>
                <c:pt idx="102">
                  <c:v>11.761063750361359</c:v>
                </c:pt>
                <c:pt idx="103">
                  <c:v>12.443098515026335</c:v>
                </c:pt>
                <c:pt idx="104">
                  <c:v>13.142241393579468</c:v>
                </c:pt>
                <c:pt idx="105">
                  <c:v>13.857906267073119</c:v>
                </c:pt>
                <c:pt idx="106">
                  <c:v>14.589495749357667</c:v>
                </c:pt>
                <c:pt idx="107">
                  <c:v>15.336404802363347</c:v>
                </c:pt>
                <c:pt idx="108">
                  <c:v>16.09802412594108</c:v>
                </c:pt>
                <c:pt idx="109">
                  <c:v>16.873743309965917</c:v>
                </c:pt>
                <c:pt idx="110">
                  <c:v>17.662953740590439</c:v>
                </c:pt>
                <c:pt idx="111">
                  <c:v>18.465051256344097</c:v>
                </c:pt>
                <c:pt idx="112">
                  <c:v>19.279438553187717</c:v>
                </c:pt>
                <c:pt idx="113">
                  <c:v>20.105527340650838</c:v>
                </c:pt>
                <c:pt idx="114">
                  <c:v>20.942740253800949</c:v>
                </c:pt>
                <c:pt idx="115">
                  <c:v>21.790512528031144</c:v>
                </c:pt>
                <c:pt idx="116">
                  <c:v>22.648293445519982</c:v>
                </c:pt>
                <c:pt idx="117">
                  <c:v>23.51554756373713</c:v>
                </c:pt>
                <c:pt idx="118">
                  <c:v>24.391755737559919</c:v>
                </c:pt>
                <c:pt idx="119">
                  <c:v>25.276415947460933</c:v>
                </c:pt>
                <c:pt idx="120">
                  <c:v>26.16904394684731</c:v>
                </c:pt>
                <c:pt idx="121">
                  <c:v>27.069173742009468</c:v>
                </c:pt>
                <c:pt idx="122">
                  <c:v>27.976357918298447</c:v>
                </c:pt>
                <c:pt idx="123">
                  <c:v>28.89016782612282</c:v>
                </c:pt>
                <c:pt idx="124">
                  <c:v>29.810193640167554</c:v>
                </c:pt>
                <c:pt idx="125">
                  <c:v>30.736044304909683</c:v>
                </c:pt>
                <c:pt idx="126">
                  <c:v>31.667347379067706</c:v>
                </c:pt>
                <c:pt idx="127">
                  <c:v>32.603748791090254</c:v>
                </c:pt>
                <c:pt idx="128">
                  <c:v>33.544912517188806</c:v>
                </c:pt>
                <c:pt idx="129">
                  <c:v>34.490520192764734</c:v>
                </c:pt>
                <c:pt idx="130">
                  <c:v>35.440270667389981</c:v>
                </c:pt>
                <c:pt idx="131">
                  <c:v>36.393879512788217</c:v>
                </c:pt>
                <c:pt idx="132">
                  <c:v>37.351078492538363</c:v>
                </c:pt>
                <c:pt idx="133">
                  <c:v>38.311615001502574</c:v>
                </c:pt>
                <c:pt idx="134">
                  <c:v>39.275251482266043</c:v>
                </c:pt>
                <c:pt idx="135">
                  <c:v>40.241764825182273</c:v>
                </c:pt>
                <c:pt idx="136">
                  <c:v>41.210945757945495</c:v>
                </c:pt>
                <c:pt idx="137">
                  <c:v>42.182598229969145</c:v>
                </c:pt>
                <c:pt idx="138">
                  <c:v>43.156538796237882</c:v>
                </c:pt>
                <c:pt idx="139">
                  <c:v>44.132596004724633</c:v>
                </c:pt>
                <c:pt idx="140">
                  <c:v>45.110609790924826</c:v>
                </c:pt>
                <c:pt idx="141">
                  <c:v>46.090430882557456</c:v>
                </c:pt>
                <c:pt idx="142">
                  <c:v>47.071920217019127</c:v>
                </c:pt>
                <c:pt idx="143">
                  <c:v>48.054948373750833</c:v>
                </c:pt>
                <c:pt idx="144">
                  <c:v>49.039395023287625</c:v>
                </c:pt>
                <c:pt idx="145">
                  <c:v>50.025148394409968</c:v>
                </c:pt>
                <c:pt idx="146">
                  <c:v>51.012104760494793</c:v>
                </c:pt>
                <c:pt idx="147">
                  <c:v>52.000167945881756</c:v>
                </c:pt>
                <c:pt idx="148">
                  <c:v>52.989248852815251</c:v>
                </c:pt>
                <c:pt idx="149">
                  <c:v>53.979265009298288</c:v>
                </c:pt>
                <c:pt idx="150">
                  <c:v>54.970140137999195</c:v>
                </c:pt>
                <c:pt idx="151">
                  <c:v>55.961803746180166</c:v>
                </c:pt>
                <c:pt idx="152">
                  <c:v>56.95419073647011</c:v>
                </c:pt>
                <c:pt idx="153">
                  <c:v>57.947241038178646</c:v>
                </c:pt>
                <c:pt idx="154">
                  <c:v>58.940899258742462</c:v>
                </c:pt>
                <c:pt idx="155">
                  <c:v>59.935114354807993</c:v>
                </c:pt>
                <c:pt idx="156">
                  <c:v>60.92983932238235</c:v>
                </c:pt>
                <c:pt idx="157">
                  <c:v>61.925030905427874</c:v>
                </c:pt>
                <c:pt idx="158">
                  <c:v>62.92064932223245</c:v>
                </c:pt>
                <c:pt idx="159">
                  <c:v>63.916658008853716</c:v>
                </c:pt>
                <c:pt idx="160">
                  <c:v>64.913023378915014</c:v>
                </c:pt>
                <c:pt idx="161">
                  <c:v>65.909714599015402</c:v>
                </c:pt>
                <c:pt idx="162">
                  <c:v>66.906703379012413</c:v>
                </c:pt>
                <c:pt idx="163">
                  <c:v>67.90396377643502</c:v>
                </c:pt>
                <c:pt idx="164">
                  <c:v>68.90147201429231</c:v>
                </c:pt>
                <c:pt idx="165">
                  <c:v>69.899206311553712</c:v>
                </c:pt>
                <c:pt idx="166">
                  <c:v>70.897146725591895</c:v>
                </c:pt>
                <c:pt idx="167">
                  <c:v>71.895275005898029</c:v>
                </c:pt>
                <c:pt idx="168">
                  <c:v>72.893574458400153</c:v>
                </c:pt>
                <c:pt idx="169">
                  <c:v>73.892029819737502</c:v>
                </c:pt>
                <c:pt idx="170">
                  <c:v>74.890627140869839</c:v>
                </c:pt>
                <c:pt idx="171">
                  <c:v>75.889353679424644</c:v>
                </c:pt>
                <c:pt idx="172">
                  <c:v>76.888197800212708</c:v>
                </c:pt>
                <c:pt idx="173">
                  <c:v>77.887148883368795</c:v>
                </c:pt>
                <c:pt idx="174">
                  <c:v>78.886197239601245</c:v>
                </c:pt>
                <c:pt idx="175">
                  <c:v>79.885334032060555</c:v>
                </c:pt>
                <c:pt idx="176">
                  <c:v>80.8845512043642</c:v>
                </c:pt>
                <c:pt idx="177">
                  <c:v>81.883841414340353</c:v>
                </c:pt>
                <c:pt idx="178">
                  <c:v>82.883197973078339</c:v>
                </c:pt>
                <c:pt idx="179">
                  <c:v>83.88261478889909</c:v>
                </c:pt>
                <c:pt idx="180">
                  <c:v>84.882086315881011</c:v>
                </c:pt>
                <c:pt idx="181">
                  <c:v>85.881607506601725</c:v>
                </c:pt>
                <c:pt idx="182">
                  <c:v>86.881173768775511</c:v>
                </c:pt>
                <c:pt idx="183">
                  <c:v>87.880780925489816</c:v>
                </c:pt>
                <c:pt idx="184">
                  <c:v>88.88042517876211</c:v>
                </c:pt>
                <c:pt idx="185">
                  <c:v>89.880103076158321</c:v>
                </c:pt>
                <c:pt idx="186">
                  <c:v>90.879811480232036</c:v>
                </c:pt>
                <c:pt idx="187">
                  <c:v>91.879547540560608</c:v>
                </c:pt>
                <c:pt idx="188">
                  <c:v>92.879308668169642</c:v>
                </c:pt>
                <c:pt idx="189">
                  <c:v>93.879092512154102</c:v>
                </c:pt>
                <c:pt idx="190">
                  <c:v>94.878896938316402</c:v>
                </c:pt>
                <c:pt idx="191">
                  <c:v>95.878720009657044</c:v>
                </c:pt>
                <c:pt idx="192">
                  <c:v>96.878559968564517</c:v>
                </c:pt>
                <c:pt idx="193">
                  <c:v>97.878415220563241</c:v>
                </c:pt>
                <c:pt idx="194">
                  <c:v>98.878284319490177</c:v>
                </c:pt>
                <c:pt idx="195">
                  <c:v>99.878165953978495</c:v>
                </c:pt>
                <c:pt idx="196">
                  <c:v>100.87805893513934</c:v>
                </c:pt>
                <c:pt idx="197">
                  <c:v>101.8779621853385</c:v>
                </c:pt>
                <c:pt idx="198">
                  <c:v>102.87787472797504</c:v>
                </c:pt>
                <c:pt idx="199">
                  <c:v>103.87779567817533</c:v>
                </c:pt>
                <c:pt idx="200">
                  <c:v>104.87772423432371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E3-489B-A8B8-147DB62152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3666160"/>
        <c:axId val="993670000"/>
      </c:lineChart>
      <c:catAx>
        <c:axId val="9936661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1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b="1" i="1"/>
                  <a:t>P</a:t>
                </a:r>
              </a:p>
            </c:rich>
          </c:tx>
          <c:layout>
            <c:manualLayout>
              <c:xMode val="edge"/>
              <c:yMode val="edge"/>
              <c:x val="0.48078782930424951"/>
              <c:y val="0.9446724597394404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1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93670000"/>
        <c:crosses val="autoZero"/>
        <c:auto val="1"/>
        <c:lblAlgn val="ctr"/>
        <c:lblOffset val="100"/>
        <c:tickLblSkip val="50"/>
        <c:tickMarkSkip val="20"/>
        <c:noMultiLvlLbl val="0"/>
      </c:catAx>
      <c:valAx>
        <c:axId val="993670000"/>
        <c:scaling>
          <c:orientation val="minMax"/>
          <c:max val="1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1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b="1" i="1"/>
                  <a:t>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1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93666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2644483760808339"/>
          <c:y val="0.16515346850290202"/>
          <c:w val="0.20079275686444745"/>
          <c:h val="0.1077862151944129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050"/>
              <a:t>Down-and-in call </a:t>
            </a:r>
            <a:r>
              <a:rPr lang="el-GR" sz="1050"/>
              <a:t>σ = 0.2, </a:t>
            </a:r>
            <a:r>
              <a:rPr lang="en-US" sz="1050"/>
              <a:t>r = 0.05, rd = 0, K = 100, T = 1 and H = 80</a:t>
            </a:r>
          </a:p>
        </c:rich>
      </c:tx>
      <c:layout>
        <c:manualLayout>
          <c:xMode val="edge"/>
          <c:yMode val="edge"/>
          <c:x val="2.1842268648192276E-2"/>
          <c:y val="1.26337423383067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79893518711963"/>
          <c:y val="9.9281744556902946E-2"/>
          <c:w val="0.84681678474707534"/>
          <c:h val="0.78393908225796693"/>
        </c:manualLayout>
      </c:layout>
      <c:lineChart>
        <c:grouping val="standard"/>
        <c:varyColors val="0"/>
        <c:ser>
          <c:idx val="0"/>
          <c:order val="0"/>
          <c:tx>
            <c:v>Down-and-in call</c:v>
          </c:tx>
          <c:spPr>
            <a:ln w="28575" cap="rnd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DIC!$I$52:$I$122</c:f>
              <c:numCache>
                <c:formatCode>General</c:formatCode>
                <c:ptCount val="71"/>
                <c:pt idx="0">
                  <c:v>50</c:v>
                </c:pt>
                <c:pt idx="1">
                  <c:v>51</c:v>
                </c:pt>
                <c:pt idx="2">
                  <c:v>52</c:v>
                </c:pt>
                <c:pt idx="3">
                  <c:v>53</c:v>
                </c:pt>
                <c:pt idx="4">
                  <c:v>54</c:v>
                </c:pt>
                <c:pt idx="5">
                  <c:v>55</c:v>
                </c:pt>
                <c:pt idx="6">
                  <c:v>56</c:v>
                </c:pt>
                <c:pt idx="7">
                  <c:v>57</c:v>
                </c:pt>
                <c:pt idx="8">
                  <c:v>58</c:v>
                </c:pt>
                <c:pt idx="9">
                  <c:v>59</c:v>
                </c:pt>
                <c:pt idx="10">
                  <c:v>60</c:v>
                </c:pt>
                <c:pt idx="11">
                  <c:v>61</c:v>
                </c:pt>
                <c:pt idx="12">
                  <c:v>62</c:v>
                </c:pt>
                <c:pt idx="13">
                  <c:v>63</c:v>
                </c:pt>
                <c:pt idx="14">
                  <c:v>64</c:v>
                </c:pt>
                <c:pt idx="15">
                  <c:v>65</c:v>
                </c:pt>
                <c:pt idx="16">
                  <c:v>66</c:v>
                </c:pt>
                <c:pt idx="17">
                  <c:v>67</c:v>
                </c:pt>
                <c:pt idx="18">
                  <c:v>68</c:v>
                </c:pt>
                <c:pt idx="19">
                  <c:v>69</c:v>
                </c:pt>
                <c:pt idx="20">
                  <c:v>70</c:v>
                </c:pt>
                <c:pt idx="21">
                  <c:v>71</c:v>
                </c:pt>
                <c:pt idx="22">
                  <c:v>72</c:v>
                </c:pt>
                <c:pt idx="23">
                  <c:v>73</c:v>
                </c:pt>
                <c:pt idx="24">
                  <c:v>74</c:v>
                </c:pt>
                <c:pt idx="25">
                  <c:v>75</c:v>
                </c:pt>
                <c:pt idx="26">
                  <c:v>76</c:v>
                </c:pt>
                <c:pt idx="27">
                  <c:v>77</c:v>
                </c:pt>
                <c:pt idx="28">
                  <c:v>78</c:v>
                </c:pt>
                <c:pt idx="29">
                  <c:v>79</c:v>
                </c:pt>
                <c:pt idx="30">
                  <c:v>80</c:v>
                </c:pt>
                <c:pt idx="31">
                  <c:v>81</c:v>
                </c:pt>
                <c:pt idx="32">
                  <c:v>82</c:v>
                </c:pt>
                <c:pt idx="33">
                  <c:v>83</c:v>
                </c:pt>
                <c:pt idx="34">
                  <c:v>84</c:v>
                </c:pt>
                <c:pt idx="35">
                  <c:v>85</c:v>
                </c:pt>
                <c:pt idx="36">
                  <c:v>86</c:v>
                </c:pt>
                <c:pt idx="37">
                  <c:v>87</c:v>
                </c:pt>
                <c:pt idx="38">
                  <c:v>88</c:v>
                </c:pt>
                <c:pt idx="39">
                  <c:v>89</c:v>
                </c:pt>
                <c:pt idx="40">
                  <c:v>90</c:v>
                </c:pt>
                <c:pt idx="41">
                  <c:v>91</c:v>
                </c:pt>
                <c:pt idx="42">
                  <c:v>92</c:v>
                </c:pt>
                <c:pt idx="43">
                  <c:v>93</c:v>
                </c:pt>
                <c:pt idx="44">
                  <c:v>94</c:v>
                </c:pt>
                <c:pt idx="45">
                  <c:v>95</c:v>
                </c:pt>
                <c:pt idx="46">
                  <c:v>96</c:v>
                </c:pt>
                <c:pt idx="47">
                  <c:v>97</c:v>
                </c:pt>
                <c:pt idx="48">
                  <c:v>98</c:v>
                </c:pt>
                <c:pt idx="49">
                  <c:v>99</c:v>
                </c:pt>
                <c:pt idx="50">
                  <c:v>100</c:v>
                </c:pt>
                <c:pt idx="51">
                  <c:v>101</c:v>
                </c:pt>
                <c:pt idx="52">
                  <c:v>102</c:v>
                </c:pt>
                <c:pt idx="53">
                  <c:v>103</c:v>
                </c:pt>
                <c:pt idx="54">
                  <c:v>104</c:v>
                </c:pt>
                <c:pt idx="55">
                  <c:v>105</c:v>
                </c:pt>
                <c:pt idx="56">
                  <c:v>106</c:v>
                </c:pt>
                <c:pt idx="57">
                  <c:v>107</c:v>
                </c:pt>
                <c:pt idx="58">
                  <c:v>108</c:v>
                </c:pt>
                <c:pt idx="59">
                  <c:v>109</c:v>
                </c:pt>
                <c:pt idx="60">
                  <c:v>110</c:v>
                </c:pt>
                <c:pt idx="61">
                  <c:v>111</c:v>
                </c:pt>
                <c:pt idx="62">
                  <c:v>112</c:v>
                </c:pt>
                <c:pt idx="63">
                  <c:v>113</c:v>
                </c:pt>
                <c:pt idx="64">
                  <c:v>114</c:v>
                </c:pt>
                <c:pt idx="65">
                  <c:v>115</c:v>
                </c:pt>
                <c:pt idx="66">
                  <c:v>116</c:v>
                </c:pt>
                <c:pt idx="67">
                  <c:v>117</c:v>
                </c:pt>
                <c:pt idx="68">
                  <c:v>118</c:v>
                </c:pt>
                <c:pt idx="69">
                  <c:v>119</c:v>
                </c:pt>
                <c:pt idx="70">
                  <c:v>120</c:v>
                </c:pt>
              </c:numCache>
            </c:numRef>
          </c:cat>
          <c:val>
            <c:numRef>
              <c:f>DIC!$E$52:$E$122</c:f>
              <c:numCache>
                <c:formatCode>0.0000</c:formatCode>
                <c:ptCount val="7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1.8015860280517906</c:v>
                </c:pt>
                <c:pt idx="32">
                  <c:v>1.766120624112963</c:v>
                </c:pt>
                <c:pt idx="33">
                  <c:v>1.7482051757819441</c:v>
                </c:pt>
                <c:pt idx="34">
                  <c:v>1.743602846694893</c:v>
                </c:pt>
                <c:pt idx="35">
                  <c:v>1.7486247301882356</c:v>
                </c:pt>
                <c:pt idx="36">
                  <c:v>1.7600942931257464</c:v>
                </c:pt>
                <c:pt idx="37">
                  <c:v>1.7753103094670655</c:v>
                </c:pt>
                <c:pt idx="38">
                  <c:v>1.7920088976873805</c:v>
                </c:pt>
                <c:pt idx="39">
                  <c:v>1.8083252448715434</c:v>
                </c:pt>
                <c:pt idx="40">
                  <c:v>1.8227555548294774</c:v>
                </c:pt>
                <c:pt idx="41">
                  <c:v>1.8341197019905842</c:v>
                </c:pt>
                <c:pt idx="42">
                  <c:v>1.8415250107804511</c:v>
                </c:pt>
                <c:pt idx="43">
                  <c:v>1.8443315148243968</c:v>
                </c:pt>
                <c:pt idx="44">
                  <c:v>1.8421189843260279</c:v>
                </c:pt>
                <c:pt idx="45">
                  <c:v>1.8346559455119511</c:v>
                </c:pt>
                <c:pt idx="46">
                  <c:v>1.8218708548163427</c:v>
                </c:pt>
                <c:pt idx="47">
                  <c:v>1.803825533782053</c:v>
                </c:pt>
                <c:pt idx="48">
                  <c:v>1.78069091935469</c:v>
                </c:pt>
                <c:pt idx="49">
                  <c:v>1.7527251388949381</c:v>
                </c:pt>
                <c:pt idx="50">
                  <c:v>1.7202538800827867</c:v>
                </c:pt>
                <c:pt idx="51">
                  <c:v>1.6836529929571462</c:v>
                </c:pt>
                <c:pt idx="52">
                  <c:v>1.6433332344518305</c:v>
                </c:pt>
                <c:pt idx="53">
                  <c:v>1.5997270446345055</c:v>
                </c:pt>
                <c:pt idx="54">
                  <c:v>1.5532772280072997</c:v>
                </c:pt>
                <c:pt idx="55">
                  <c:v>1.5044274021863515</c:v>
                </c:pt>
                <c:pt idx="56">
                  <c:v>1.4536140695097757</c:v>
                </c:pt>
                <c:pt idx="57">
                  <c:v>1.4012601640702478</c:v>
                </c:pt>
                <c:pt idx="58">
                  <c:v>1.3477699267839363</c:v>
                </c:pt>
                <c:pt idx="59">
                  <c:v>1.2935249638547823</c:v>
                </c:pt>
                <c:pt idx="60">
                  <c:v>1.2388813488744699</c:v>
                </c:pt>
                <c:pt idx="61">
                  <c:v>1.1841676353496968</c:v>
                </c:pt>
                <c:pt idx="62">
                  <c:v>1.1296836542496855</c:v>
                </c:pt>
                <c:pt idx="63">
                  <c:v>1.0756999798482578</c:v>
                </c:pt>
                <c:pt idx="64">
                  <c:v>1.0224579563709888</c:v>
                </c:pt>
                <c:pt idx="65">
                  <c:v>0.97017018747056838</c:v>
                </c:pt>
                <c:pt idx="66">
                  <c:v>0.919021400110557</c:v>
                </c:pt>
                <c:pt idx="67">
                  <c:v>0.86916960384849773</c:v>
                </c:pt>
                <c:pt idx="68">
                  <c:v>0.8207474756199904</c:v>
                </c:pt>
                <c:pt idx="69">
                  <c:v>0.77386390881943257</c:v>
                </c:pt>
                <c:pt idx="70">
                  <c:v>0.72860567366273266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84-4CBC-93B5-DC18CB4B83F0}"/>
            </c:ext>
          </c:extLst>
        </c:ser>
        <c:ser>
          <c:idx val="1"/>
          <c:order val="1"/>
          <c:tx>
            <c:v>Vanilla Call</c:v>
          </c:tx>
          <c:spPr>
            <a:ln w="1905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DIC!$I$52:$I$122</c:f>
              <c:numCache>
                <c:formatCode>General</c:formatCode>
                <c:ptCount val="71"/>
                <c:pt idx="0">
                  <c:v>50</c:v>
                </c:pt>
                <c:pt idx="1">
                  <c:v>51</c:v>
                </c:pt>
                <c:pt idx="2">
                  <c:v>52</c:v>
                </c:pt>
                <c:pt idx="3">
                  <c:v>53</c:v>
                </c:pt>
                <c:pt idx="4">
                  <c:v>54</c:v>
                </c:pt>
                <c:pt idx="5">
                  <c:v>55</c:v>
                </c:pt>
                <c:pt idx="6">
                  <c:v>56</c:v>
                </c:pt>
                <c:pt idx="7">
                  <c:v>57</c:v>
                </c:pt>
                <c:pt idx="8">
                  <c:v>58</c:v>
                </c:pt>
                <c:pt idx="9">
                  <c:v>59</c:v>
                </c:pt>
                <c:pt idx="10">
                  <c:v>60</c:v>
                </c:pt>
                <c:pt idx="11">
                  <c:v>61</c:v>
                </c:pt>
                <c:pt idx="12">
                  <c:v>62</c:v>
                </c:pt>
                <c:pt idx="13">
                  <c:v>63</c:v>
                </c:pt>
                <c:pt idx="14">
                  <c:v>64</c:v>
                </c:pt>
                <c:pt idx="15">
                  <c:v>65</c:v>
                </c:pt>
                <c:pt idx="16">
                  <c:v>66</c:v>
                </c:pt>
                <c:pt idx="17">
                  <c:v>67</c:v>
                </c:pt>
                <c:pt idx="18">
                  <c:v>68</c:v>
                </c:pt>
                <c:pt idx="19">
                  <c:v>69</c:v>
                </c:pt>
                <c:pt idx="20">
                  <c:v>70</c:v>
                </c:pt>
                <c:pt idx="21">
                  <c:v>71</c:v>
                </c:pt>
                <c:pt idx="22">
                  <c:v>72</c:v>
                </c:pt>
                <c:pt idx="23">
                  <c:v>73</c:v>
                </c:pt>
                <c:pt idx="24">
                  <c:v>74</c:v>
                </c:pt>
                <c:pt idx="25">
                  <c:v>75</c:v>
                </c:pt>
                <c:pt idx="26">
                  <c:v>76</c:v>
                </c:pt>
                <c:pt idx="27">
                  <c:v>77</c:v>
                </c:pt>
                <c:pt idx="28">
                  <c:v>78</c:v>
                </c:pt>
                <c:pt idx="29">
                  <c:v>79</c:v>
                </c:pt>
                <c:pt idx="30">
                  <c:v>80</c:v>
                </c:pt>
                <c:pt idx="31">
                  <c:v>81</c:v>
                </c:pt>
                <c:pt idx="32">
                  <c:v>82</c:v>
                </c:pt>
                <c:pt idx="33">
                  <c:v>83</c:v>
                </c:pt>
                <c:pt idx="34">
                  <c:v>84</c:v>
                </c:pt>
                <c:pt idx="35">
                  <c:v>85</c:v>
                </c:pt>
                <c:pt idx="36">
                  <c:v>86</c:v>
                </c:pt>
                <c:pt idx="37">
                  <c:v>87</c:v>
                </c:pt>
                <c:pt idx="38">
                  <c:v>88</c:v>
                </c:pt>
                <c:pt idx="39">
                  <c:v>89</c:v>
                </c:pt>
                <c:pt idx="40">
                  <c:v>90</c:v>
                </c:pt>
                <c:pt idx="41">
                  <c:v>91</c:v>
                </c:pt>
                <c:pt idx="42">
                  <c:v>92</c:v>
                </c:pt>
                <c:pt idx="43">
                  <c:v>93</c:v>
                </c:pt>
                <c:pt idx="44">
                  <c:v>94</c:v>
                </c:pt>
                <c:pt idx="45">
                  <c:v>95</c:v>
                </c:pt>
                <c:pt idx="46">
                  <c:v>96</c:v>
                </c:pt>
                <c:pt idx="47">
                  <c:v>97</c:v>
                </c:pt>
                <c:pt idx="48">
                  <c:v>98</c:v>
                </c:pt>
                <c:pt idx="49">
                  <c:v>99</c:v>
                </c:pt>
                <c:pt idx="50">
                  <c:v>100</c:v>
                </c:pt>
                <c:pt idx="51">
                  <c:v>101</c:v>
                </c:pt>
                <c:pt idx="52">
                  <c:v>102</c:v>
                </c:pt>
                <c:pt idx="53">
                  <c:v>103</c:v>
                </c:pt>
                <c:pt idx="54">
                  <c:v>104</c:v>
                </c:pt>
                <c:pt idx="55">
                  <c:v>105</c:v>
                </c:pt>
                <c:pt idx="56">
                  <c:v>106</c:v>
                </c:pt>
                <c:pt idx="57">
                  <c:v>107</c:v>
                </c:pt>
                <c:pt idx="58">
                  <c:v>108</c:v>
                </c:pt>
                <c:pt idx="59">
                  <c:v>109</c:v>
                </c:pt>
                <c:pt idx="60">
                  <c:v>110</c:v>
                </c:pt>
                <c:pt idx="61">
                  <c:v>111</c:v>
                </c:pt>
                <c:pt idx="62">
                  <c:v>112</c:v>
                </c:pt>
                <c:pt idx="63">
                  <c:v>113</c:v>
                </c:pt>
                <c:pt idx="64">
                  <c:v>114</c:v>
                </c:pt>
                <c:pt idx="65">
                  <c:v>115</c:v>
                </c:pt>
                <c:pt idx="66">
                  <c:v>116</c:v>
                </c:pt>
                <c:pt idx="67">
                  <c:v>117</c:v>
                </c:pt>
                <c:pt idx="68">
                  <c:v>118</c:v>
                </c:pt>
                <c:pt idx="69">
                  <c:v>119</c:v>
                </c:pt>
                <c:pt idx="70">
                  <c:v>120</c:v>
                </c:pt>
              </c:numCache>
            </c:numRef>
          </c:cat>
          <c:val>
            <c:numRef>
              <c:f>DIC!$G$50:$G$122</c:f>
              <c:numCache>
                <c:formatCode>0.0000</c:formatCode>
                <c:ptCount val="73"/>
                <c:pt idx="0">
                  <c:v>1.0791870889113563E-3</c:v>
                </c:pt>
                <c:pt idx="1">
                  <c:v>1.6232788931468227E-3</c:v>
                </c:pt>
                <c:pt idx="2">
                  <c:v>2.3994175533096421E-3</c:v>
                </c:pt>
                <c:pt idx="3">
                  <c:v>3.4884403123105479E-3</c:v>
                </c:pt>
                <c:pt idx="4">
                  <c:v>4.9927489071568687E-3</c:v>
                </c:pt>
                <c:pt idx="5">
                  <c:v>7.0400736731369706E-3</c:v>
                </c:pt>
                <c:pt idx="6">
                  <c:v>9.7874079453318386E-3</c:v>
                </c:pt>
                <c:pt idx="7">
                  <c:v>1.3425015455323958E-2</c:v>
                </c:pt>
                <c:pt idx="8">
                  <c:v>1.8180398010283261E-2</c:v>
                </c:pt>
                <c:pt idx="9">
                  <c:v>2.4322099171987077E-2</c:v>
                </c:pt>
                <c:pt idx="10">
                  <c:v>3.2163212762931381E-2</c:v>
                </c:pt>
                <c:pt idx="11">
                  <c:v>4.2064463390275142E-2</c:v>
                </c:pt>
                <c:pt idx="12">
                  <c:v>5.4436730070420158E-2</c:v>
                </c:pt>
                <c:pt idx="13">
                  <c:v>6.9742893419567964E-2</c:v>
                </c:pt>
                <c:pt idx="14">
                  <c:v>8.8498901407637609E-2</c:v>
                </c:pt>
                <c:pt idx="15">
                  <c:v>0.11127396774132747</c:v>
                </c:pt>
                <c:pt idx="16">
                  <c:v>0.13868983970912718</c:v>
                </c:pt>
                <c:pt idx="17">
                  <c:v>0.17141909778203512</c:v>
                </c:pt>
                <c:pt idx="18">
                  <c:v>0.21018247631337816</c:v>
                </c:pt>
                <c:pt idx="19">
                  <c:v>0.25574522217925999</c:v>
                </c:pt>
                <c:pt idx="20">
                  <c:v>0.30891253503574445</c:v>
                </c:pt>
                <c:pt idx="21">
                  <c:v>0.37052415801230154</c:v>
                </c:pt>
                <c:pt idx="22">
                  <c:v>0.44144821021536718</c:v>
                </c:pt>
                <c:pt idx="23">
                  <c:v>0.52257437164828069</c:v>
                </c:pt>
                <c:pt idx="24">
                  <c:v>0.61480654651622491</c:v>
                </c:pt>
                <c:pt idx="25">
                  <c:v>0.71905514202707987</c:v>
                </c:pt>
                <c:pt idx="26">
                  <c:v>0.83622910656348992</c:v>
                </c:pt>
                <c:pt idx="27">
                  <c:v>0.96722787351468931</c:v>
                </c:pt>
                <c:pt idx="28">
                  <c:v>1.1129333553095933</c:v>
                </c:pt>
                <c:pt idx="29">
                  <c:v>1.2742021266153465</c:v>
                </c:pt>
                <c:pt idx="30">
                  <c:v>1.4518579266996881</c:v>
                </c:pt>
                <c:pt idx="31">
                  <c:v>1.6466845991240717</c:v>
                </c:pt>
                <c:pt idx="32">
                  <c:v>1.8594195728121825</c:v>
                </c:pt>
                <c:pt idx="33">
                  <c:v>2.0907479727231681</c:v>
                </c:pt>
                <c:pt idx="34">
                  <c:v>2.34129743144549</c:v>
                </c:pt>
                <c:pt idx="35">
                  <c:v>2.6116336555880224</c:v>
                </c:pt>
                <c:pt idx="36">
                  <c:v>2.90225678340747</c:v>
                </c:pt>
                <c:pt idx="37">
                  <c:v>3.2135985531478788</c:v>
                </c:pt>
                <c:pt idx="38">
                  <c:v>3.5460202854864882</c:v>
                </c:pt>
                <c:pt idx="39">
                  <c:v>3.8998116686125428</c:v>
                </c:pt>
                <c:pt idx="40">
                  <c:v>4.2751903210755557</c:v>
                </c:pt>
                <c:pt idx="41">
                  <c:v>4.6723020958123698</c:v>
                </c:pt>
                <c:pt idx="42">
                  <c:v>5.0912220788175517</c:v>
                </c:pt>
                <c:pt idx="43">
                  <c:v>5.5319562278131471</c:v>
                </c:pt>
                <c:pt idx="44">
                  <c:v>5.9944435899990367</c:v>
                </c:pt>
                <c:pt idx="45">
                  <c:v>6.4785590334714129</c:v>
                </c:pt>
                <c:pt idx="46">
                  <c:v>6.9841164240923916</c:v>
                </c:pt>
                <c:pt idx="47">
                  <c:v>7.5108721783527059</c:v>
                </c:pt>
                <c:pt idx="48">
                  <c:v>8.0585291229420974</c:v>
                </c:pt>
                <c:pt idx="49">
                  <c:v>8.62674059316425</c:v>
                </c:pt>
                <c:pt idx="50">
                  <c:v>9.2151147048272577</c:v>
                </c:pt>
                <c:pt idx="51">
                  <c:v>9.8232187376315991</c:v>
                </c:pt>
                <c:pt idx="52">
                  <c:v>10.450583572185565</c:v>
                </c:pt>
                <c:pt idx="53">
                  <c:v>11.096708127437402</c:v>
                </c:pt>
                <c:pt idx="54">
                  <c:v>11.761063750361359</c:v>
                </c:pt>
                <c:pt idx="55">
                  <c:v>12.443098515026335</c:v>
                </c:pt>
                <c:pt idx="56">
                  <c:v>13.142241393579468</c:v>
                </c:pt>
                <c:pt idx="57">
                  <c:v>13.857906267073119</c:v>
                </c:pt>
                <c:pt idx="58">
                  <c:v>14.589495749357667</c:v>
                </c:pt>
                <c:pt idx="59">
                  <c:v>15.336404802363347</c:v>
                </c:pt>
                <c:pt idx="60">
                  <c:v>16.09802412594108</c:v>
                </c:pt>
                <c:pt idx="61">
                  <c:v>16.873743309965917</c:v>
                </c:pt>
                <c:pt idx="62">
                  <c:v>17.662953740590439</c:v>
                </c:pt>
                <c:pt idx="63">
                  <c:v>18.465051256344097</c:v>
                </c:pt>
                <c:pt idx="64">
                  <c:v>19.279438553187717</c:v>
                </c:pt>
                <c:pt idx="65">
                  <c:v>20.105527340650838</c:v>
                </c:pt>
                <c:pt idx="66">
                  <c:v>20.942740253800949</c:v>
                </c:pt>
                <c:pt idx="67">
                  <c:v>21.790512528031144</c:v>
                </c:pt>
                <c:pt idx="68">
                  <c:v>22.648293445519982</c:v>
                </c:pt>
                <c:pt idx="69">
                  <c:v>23.51554756373713</c:v>
                </c:pt>
                <c:pt idx="70">
                  <c:v>24.391755737559919</c:v>
                </c:pt>
                <c:pt idx="71">
                  <c:v>25.276415947460933</c:v>
                </c:pt>
                <c:pt idx="72">
                  <c:v>26.16904394684731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84-4CBC-93B5-DC18CB4B83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3666160"/>
        <c:axId val="993670000"/>
      </c:lineChart>
      <c:catAx>
        <c:axId val="9936661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1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b="1" i="1"/>
                  <a:t>P</a:t>
                </a:r>
              </a:p>
            </c:rich>
          </c:tx>
          <c:layout>
            <c:manualLayout>
              <c:xMode val="edge"/>
              <c:yMode val="edge"/>
              <c:x val="0.52315804101800911"/>
              <c:y val="0.93825834586063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1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93670000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993670000"/>
        <c:scaling>
          <c:orientation val="minMax"/>
          <c:max val="2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1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b="1" i="1"/>
                  <a:t>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1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93666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2644483760808339"/>
          <c:y val="0.16515346850290202"/>
          <c:w val="0.20079275686444745"/>
          <c:h val="0.1077862151944129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128788</xdr:colOff>
      <xdr:row>2</xdr:row>
      <xdr:rowOff>115327</xdr:rowOff>
    </xdr:from>
    <xdr:to>
      <xdr:col>20</xdr:col>
      <xdr:colOff>608680</xdr:colOff>
      <xdr:row>24</xdr:row>
      <xdr:rowOff>112945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961AB0-AB1C-47EE-A6B7-752C4BB807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21464</xdr:colOff>
      <xdr:row>2</xdr:row>
      <xdr:rowOff>128789</xdr:rowOff>
    </xdr:from>
    <xdr:to>
      <xdr:col>33</xdr:col>
      <xdr:colOff>501356</xdr:colOff>
      <xdr:row>24</xdr:row>
      <xdr:rowOff>126407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9EC99D7-6F0C-475C-A212-26EAEC8F14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485665</xdr:colOff>
      <xdr:row>3</xdr:row>
      <xdr:rowOff>27778</xdr:rowOff>
    </xdr:from>
    <xdr:to>
      <xdr:col>16</xdr:col>
      <xdr:colOff>354076</xdr:colOff>
      <xdr:row>25</xdr:row>
      <xdr:rowOff>25395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FEC999-2B1B-40DC-AA36-66697062C6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510650</xdr:colOff>
      <xdr:row>2</xdr:row>
      <xdr:rowOff>15900</xdr:rowOff>
    </xdr:from>
    <xdr:to>
      <xdr:col>28</xdr:col>
      <xdr:colOff>379061</xdr:colOff>
      <xdr:row>24</xdr:row>
      <xdr:rowOff>13517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DBA7145-32A0-40EE-A8DA-69D2F28CB6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356719</xdr:colOff>
      <xdr:row>2</xdr:row>
      <xdr:rowOff>53182</xdr:rowOff>
    </xdr:from>
    <xdr:to>
      <xdr:col>11</xdr:col>
      <xdr:colOff>599440</xdr:colOff>
      <xdr:row>24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1FD51F-9D98-5B86-C228-6CD3335BBB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356719</xdr:colOff>
      <xdr:row>2</xdr:row>
      <xdr:rowOff>53182</xdr:rowOff>
    </xdr:from>
    <xdr:to>
      <xdr:col>11</xdr:col>
      <xdr:colOff>599440</xdr:colOff>
      <xdr:row>24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CEF004-5B10-4FB4-BA9E-8B6BC86EDE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172514</xdr:colOff>
      <xdr:row>1</xdr:row>
      <xdr:rowOff>163477</xdr:rowOff>
    </xdr:from>
    <xdr:to>
      <xdr:col>16</xdr:col>
      <xdr:colOff>40925</xdr:colOff>
      <xdr:row>23</xdr:row>
      <xdr:rowOff>161094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493D5E-2C07-4997-996E-57E262D8B1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110836</xdr:colOff>
      <xdr:row>1</xdr:row>
      <xdr:rowOff>152400</xdr:rowOff>
    </xdr:from>
    <xdr:to>
      <xdr:col>28</xdr:col>
      <xdr:colOff>588847</xdr:colOff>
      <xdr:row>23</xdr:row>
      <xdr:rowOff>150017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B2764F2-EDA8-4F31-9E88-D666EBE102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2A678-A216-40EC-83FE-352F84F9241C}">
  <dimension ref="A1:AN103"/>
  <sheetViews>
    <sheetView zoomScale="71" workbookViewId="0">
      <selection activeCell="E6" sqref="E6"/>
    </sheetView>
  </sheetViews>
  <sheetFormatPr defaultRowHeight="14.4" x14ac:dyDescent="0.3"/>
  <cols>
    <col min="4" max="17" width="8.88671875" style="1"/>
  </cols>
  <sheetData>
    <row r="1" spans="1:32" x14ac:dyDescent="0.3">
      <c r="A1" t="s">
        <v>1</v>
      </c>
      <c r="B1">
        <v>0.2</v>
      </c>
      <c r="D1" t="s">
        <v>20</v>
      </c>
      <c r="E1" t="s">
        <v>19</v>
      </c>
      <c r="F1"/>
      <c r="G1" t="s">
        <v>18</v>
      </c>
      <c r="H1"/>
      <c r="I1" t="s">
        <v>0</v>
      </c>
      <c r="J1"/>
      <c r="K1" t="s">
        <v>33</v>
      </c>
      <c r="L1" t="s">
        <v>11</v>
      </c>
      <c r="M1"/>
      <c r="N1" t="s">
        <v>34</v>
      </c>
      <c r="O1" t="s">
        <v>35</v>
      </c>
      <c r="P1"/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X1" t="s">
        <v>36</v>
      </c>
      <c r="Y1" t="s">
        <v>37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</row>
    <row r="2" spans="1:32" x14ac:dyDescent="0.3">
      <c r="A2" t="s">
        <v>2</v>
      </c>
      <c r="B2">
        <v>0.05</v>
      </c>
      <c r="D2" s="1">
        <f>IF(I2&lt;$B$6,-I2*O2*V2+$B$4*EXP(-$B$2*$B$5)*N2*U2,NA())</f>
        <v>3.1745408906732952E-7</v>
      </c>
      <c r="E2" s="1">
        <f>+IF(I2&lt;$B$7,-I2*(AA2-K2+Y2*AD2)+$B$4*EXP(-$B$2*$B$5)*(AB2-L2+X2*AC2),NA())</f>
        <v>0.48472805713626244</v>
      </c>
      <c r="G2" s="1">
        <f t="shared" ref="G2:G33" si="0">+I2*K2-$B$4*EXP(-$B$2*$B$5)*L2+$B$4*EXP(-$B$2*$B$5)-I2</f>
        <v>45.125341867624712</v>
      </c>
      <c r="I2">
        <v>50</v>
      </c>
      <c r="K2" s="1">
        <f>_xlfn.NORM.S.DIST((LN(I2/$B$4)+($B$2-$B$3+0.5*$B$1^2)*$B$5)/($B$1*SQRT($B$5)),TRUE)</f>
        <v>9.1743260394515119E-4</v>
      </c>
      <c r="L2" s="1">
        <f>_xlfn.NORM.S.DIST((LN(I2/$B$4)+($B$2-$B$3-0.5*$B$1^2)*$B$5)/($B$1*SQRT($B$5)),TRUE)</f>
        <v>4.5701080648094782E-4</v>
      </c>
      <c r="N2" s="1">
        <f t="shared" ref="N2:N33" si="1">($B$6/I2)^(-1+(2*($B$2-$B$3))/($B$1^2))</f>
        <v>3.7180640123591182</v>
      </c>
      <c r="O2" s="1">
        <f t="shared" ref="O2:O33" si="2">($B$6/I2)^(1+(2*($B$2-$B$3))/($B$1^2))</f>
        <v>21.41604871118852</v>
      </c>
      <c r="Q2" s="1">
        <f>_xlfn.NORM.S.DIST((LN(I2/$B$6)+($B$2-$B$3+0.5*$B$1^2)*$B$5)/($B$1*SQRT($B$5)),TRUE)</f>
        <v>2.8205272883515916E-5</v>
      </c>
      <c r="R2" s="1">
        <f>_xlfn.NORM.S.DIST((LN(I2/$B$6)+($B$2-$B$3-0.5*$B$1^2)*$B$5)/($B$1*SQRT($B$5)),TRUE)</f>
        <v>1.1823316928607766E-5</v>
      </c>
      <c r="S2" s="1">
        <f>_xlfn.NORM.S.DIST((LN(I2/$B$6)-($B$2-$B$3-0.5*$B$1^2)*$B$5)/($B$1*SQRT($B$5)),TRUE)</f>
        <v>2.9864876524010504E-6</v>
      </c>
      <c r="T2" s="1">
        <f>_xlfn.NORM.S.DIST((LN(I2/$B$6)-($B$2-$B$3+0.5*$B$1^2)*$B$5)/($B$1*SQRT($B$5)),TRUE)</f>
        <v>1.1373802769172456E-6</v>
      </c>
      <c r="U2" s="1">
        <f>_xlfn.NORM.S.DIST((LN((I2*$B$4)/($B$6^2))-($B$2-$B$3-0.5*$B$1^2)*$B$5)/($B$1*SQRT($B$5)),TRUE)</f>
        <v>2.679752492646637E-8</v>
      </c>
      <c r="V2" s="1">
        <f>_xlfn.NORM.S.DIST((LN((I2*$B$4)/($B$6^2))-($B$2-$B$3+0.5*$B$1^2)*$B$5)/($B$1*SQRT($B$5)),TRUE)</f>
        <v>8.5544370340941452E-9</v>
      </c>
      <c r="W2" s="1"/>
      <c r="X2" s="6">
        <f>($B$7/I2)^(-1+(2*($B$2-$B$3))/($B$1^2))</f>
        <v>2.0238577025077626</v>
      </c>
      <c r="Y2" s="6">
        <f>($B$7/I2)^(1+(2*($B$2-$B$3))/($B$1^2))</f>
        <v>5.1810757184198728</v>
      </c>
      <c r="AA2">
        <f>_xlfn.NORM.S.DIST((LN(I2/$B$7)+($B$2-$B$3+0.5*$B$1^2)*$B$5)/($B$1*SQRT($B$5)),TRUE)</f>
        <v>2.2749152233532584E-2</v>
      </c>
      <c r="AB2">
        <f>_xlfn.NORM.S.DIST((LN(I2/$B$7)+($B$2-$B$3-0.5*$B$1^2)*$B$5)/($B$1*SQRT($B$5)),TRUE)</f>
        <v>1.3902803796273839E-2</v>
      </c>
      <c r="AC2">
        <f>_xlfn.NORM.S.DIST((LN(I2/$B$7)-($B$2-$B$3-0.5*$B$1^2)*$B$5)/($B$1*SQRT($B$5)),TRUE)</f>
        <v>6.209347260441719E-3</v>
      </c>
      <c r="AD2">
        <f>_xlfn.NORM.S.DIST((LN(I2/$B$7)-($B$2-$B$3+0.5*$B$1^2)*$B$5)/($B$1*SQRT($B$5)),TRUE)</f>
        <v>3.4667847070069002E-3</v>
      </c>
      <c r="AE2">
        <f>_xlfn.NORM.S.DIST((LN((I2*$B$4)/($B$7^2))-($B$2-$B$3-0.5*$B$1^2)*$B$5)/($B$1*SQRT($B$5)),TRUE)</f>
        <v>8.3133247389647266E-2</v>
      </c>
      <c r="AF2">
        <f>_xlfn.NORM.S.DIST((LN((I2*$B$4)/($B$7^2))-($B$2-$B$3+0.5*$B$1^2)*$B$5)/($B$1*SQRT($B$5)),TRUE)</f>
        <v>5.6562688592755796E-2</v>
      </c>
    </row>
    <row r="3" spans="1:32" x14ac:dyDescent="0.3">
      <c r="A3" t="s">
        <v>3</v>
      </c>
      <c r="B3">
        <v>0</v>
      </c>
      <c r="D3" s="1">
        <f t="shared" ref="D3:D66" si="3">IF(I3&lt;$B$6,-I3*O3*V3+$B$4*EXP(-$B$2*$B$5)*N3*U3,NA())</f>
        <v>5.4314914832793635E-7</v>
      </c>
      <c r="E3" s="1">
        <f t="shared" ref="E3:E66" si="4">+IF(I3&lt;$B$7,-I3*(AA3-K3+Y3*AD3)+$B$4*EXP(-$B$2*$B$5)*(AB3-L3+X3*AC3),NA())</f>
        <v>0.6193681075648354</v>
      </c>
      <c r="G3" s="1">
        <f t="shared" si="0"/>
        <v>44.126430890383716</v>
      </c>
      <c r="I3">
        <f>+I2+1</f>
        <v>51</v>
      </c>
      <c r="K3" s="1">
        <f t="shared" ref="K3:K66" si="5">_xlfn.NORM.S.DIST((LN(I3/$B$4)+($B$2-$B$3+0.5*$B$1^2)*$B$5)/($B$1*SQRT($B$5)),TRUE)</f>
        <v>1.2776169461878996E-3</v>
      </c>
      <c r="L3" s="1">
        <f t="shared" ref="L3:L66" si="6">_xlfn.NORM.S.DIST((LN(I3/$B$4)+($B$2-$B$3-0.5*$B$1^2)*$B$5)/($B$1*SQRT($B$5)),TRUE)</f>
        <v>6.4831913684379548E-4</v>
      </c>
      <c r="N3" s="1">
        <f t="shared" si="1"/>
        <v>3.6092470063405662</v>
      </c>
      <c r="O3" s="1">
        <f t="shared" si="2"/>
        <v>19.981990346522164</v>
      </c>
      <c r="Q3" s="1">
        <f t="shared" ref="Q3:Q66" si="7">_xlfn.NORM.S.DIST((LN(I3/$B$6)+($B$2-$B$3+0.5*$B$1^2)*$B$5)/($B$1*SQRT($B$5)),TRUE)</f>
        <v>4.2768794194211969E-5</v>
      </c>
      <c r="R3" s="1">
        <f t="shared" ref="R3:R66" si="8">_xlfn.NORM.S.DIST((LN(I3/$B$6)+($B$2-$B$3-0.5*$B$1^2)*$B$5)/($B$1*SQRT($B$5)),TRUE)</f>
        <v>1.8270328551257164E-5</v>
      </c>
      <c r="S3" s="1">
        <f t="shared" ref="S3:S66" si="9">_xlfn.NORM.S.DIST((LN(I3/$B$6)-($B$2-$B$3-0.5*$B$1^2)*$B$5)/($B$1*SQRT($B$5)),TRUE)</f>
        <v>4.7482642032338097E-6</v>
      </c>
      <c r="T3" s="1">
        <f t="shared" ref="T3:T66" si="10">_xlfn.NORM.S.DIST((LN(I3/$B$6)-($B$2-$B$3+0.5*$B$1^2)*$B$5)/($B$1*SQRT($B$5)),TRUE)</f>
        <v>1.8431265280689045E-6</v>
      </c>
      <c r="U3" s="1">
        <f t="shared" ref="U3:U66" si="11">_xlfn.NORM.S.DIST((LN((I3*$B$4)/($B$6^2))-($B$2-$B$3-0.5*$B$1^2)*$B$5)/($B$1*SQRT($B$5)),TRUE)</f>
        <v>4.6489101110128096E-8</v>
      </c>
      <c r="V3" s="1">
        <f t="shared" ref="V3:V66" si="12">_xlfn.NORM.S.DIST((LN((I3*$B$4)/($B$6^2))-($B$2-$B$3+0.5*$B$1^2)*$B$5)/($B$1*SQRT($B$5)),TRUE)</f>
        <v>1.5128908713341578E-8</v>
      </c>
      <c r="W3" s="1"/>
      <c r="X3" s="6">
        <f t="shared" ref="X3:X66" si="13">($B$7/I3)^(-1+(2*($B$2-$B$3))/($B$1^2))</f>
        <v>1.9646252269338018</v>
      </c>
      <c r="Y3" s="6">
        <f t="shared" ref="Y3:Y66" si="14">($B$7/I3)^(1+(2*($B$2-$B$3))/($B$1^2))</f>
        <v>4.8341412735010882</v>
      </c>
      <c r="AA3">
        <f t="shared" ref="AA3:AA66" si="15">_xlfn.NORM.S.DIST((LN(I3/$B$7)+($B$2-$B$3+0.5*$B$1^2)*$B$5)/($B$1*SQRT($B$5)),TRUE)</f>
        <v>2.865067821472797E-2</v>
      </c>
      <c r="AB3">
        <f t="shared" ref="AB3:AB66" si="16">_xlfn.NORM.S.DIST((LN(I3/$B$7)+($B$2-$B$3-0.5*$B$1^2)*$B$5)/($B$1*SQRT($B$5)),TRUE)</f>
        <v>1.7820263241407418E-2</v>
      </c>
      <c r="AC3">
        <f t="shared" ref="AC3:AC66" si="17">_xlfn.NORM.S.DIST((LN(I3/$B$7)-($B$2-$B$3-0.5*$B$1^2)*$B$5)/($B$1*SQRT($B$5)),TRUE)</f>
        <v>8.1750563286935723E-3</v>
      </c>
      <c r="AD3">
        <f t="shared" ref="AD3:AD66" si="18">_xlfn.NORM.S.DIST((LN(I3/$B$7)-($B$2-$B$3+0.5*$B$1^2)*$B$5)/($B$1*SQRT($B$5)),TRUE)</f>
        <v>4.6475548292301593E-3</v>
      </c>
      <c r="AE3">
        <f t="shared" ref="AE3:AE66" si="19">_xlfn.NORM.S.DIST((LN((I3*$B$4)/($B$7^2))-($B$2-$B$3-0.5*$B$1^2)*$B$5)/($B$1*SQRT($B$5)),TRUE)</f>
        <v>9.9345961421302129E-2</v>
      </c>
      <c r="AF3">
        <f t="shared" ref="AF3:AF66" si="20">_xlfn.NORM.S.DIST((LN((I3*$B$4)/($B$7^2))-($B$2-$B$3+0.5*$B$1^2)*$B$5)/($B$1*SQRT($B$5)),TRUE)</f>
        <v>6.8733873521170955E-2</v>
      </c>
    </row>
    <row r="4" spans="1:32" x14ac:dyDescent="0.3">
      <c r="A4" t="s">
        <v>4</v>
      </c>
      <c r="B4">
        <v>100</v>
      </c>
      <c r="D4" s="1">
        <f t="shared" si="3"/>
        <v>9.1140497105486465E-7</v>
      </c>
      <c r="E4" s="1">
        <f t="shared" si="4"/>
        <v>0.78086824184871961</v>
      </c>
      <c r="G4" s="1">
        <f t="shared" si="0"/>
        <v>43.127935198978562</v>
      </c>
      <c r="I4">
        <f t="shared" ref="I4:I67" si="21">+I3+1</f>
        <v>52</v>
      </c>
      <c r="K4" s="1">
        <f t="shared" si="5"/>
        <v>1.7522228265699302E-3</v>
      </c>
      <c r="L4" s="1">
        <f t="shared" si="6"/>
        <v>9.0538450405572843E-4</v>
      </c>
      <c r="N4" s="1">
        <f t="shared" si="1"/>
        <v>3.5056362706742288</v>
      </c>
      <c r="O4" s="1">
        <f t="shared" si="2"/>
        <v>18.669068897081683</v>
      </c>
      <c r="Q4" s="1">
        <f t="shared" si="7"/>
        <v>6.3749498959222778E-5</v>
      </c>
      <c r="R4" s="1">
        <f t="shared" si="8"/>
        <v>2.7741661403064781E-5</v>
      </c>
      <c r="S4" s="1">
        <f t="shared" si="9"/>
        <v>7.4135938468825088E-6</v>
      </c>
      <c r="T4" s="1">
        <f t="shared" si="10"/>
        <v>2.9319220533624358E-6</v>
      </c>
      <c r="U4" s="1">
        <f t="shared" si="11"/>
        <v>7.9058436486100296E-8</v>
      </c>
      <c r="V4" s="1">
        <f t="shared" si="12"/>
        <v>2.6217707931922959E-8</v>
      </c>
      <c r="W4" s="1"/>
      <c r="X4" s="6">
        <f t="shared" si="13"/>
        <v>1.9082266859878223</v>
      </c>
      <c r="Y4" s="6">
        <f t="shared" si="14"/>
        <v>4.5165128662433673</v>
      </c>
      <c r="AA4">
        <f t="shared" si="15"/>
        <v>3.5622349442744658E-2</v>
      </c>
      <c r="AB4">
        <f t="shared" si="16"/>
        <v>2.2539605701555526E-2</v>
      </c>
      <c r="AC4">
        <f t="shared" si="17"/>
        <v>1.0613719533783083E-2</v>
      </c>
      <c r="AD4">
        <f t="shared" si="18"/>
        <v>6.1413842177723815E-3</v>
      </c>
      <c r="AE4">
        <f t="shared" si="19"/>
        <v>0.11737793736165314</v>
      </c>
      <c r="AF4">
        <f t="shared" si="20"/>
        <v>8.2538559587976901E-2</v>
      </c>
    </row>
    <row r="5" spans="1:32" x14ac:dyDescent="0.3">
      <c r="A5" t="s">
        <v>7</v>
      </c>
      <c r="B5">
        <v>1</v>
      </c>
      <c r="D5" s="1">
        <f t="shared" si="3"/>
        <v>1.5012724236467968E-6</v>
      </c>
      <c r="E5" s="1">
        <f t="shared" si="4"/>
        <v>0.97206668383842487</v>
      </c>
      <c r="G5" s="1">
        <f t="shared" si="0"/>
        <v>42.129982523744545</v>
      </c>
      <c r="I5">
        <f t="shared" si="21"/>
        <v>53</v>
      </c>
      <c r="K5" s="1">
        <f t="shared" si="5"/>
        <v>2.3685252013891452E-3</v>
      </c>
      <c r="L5" s="1">
        <f t="shared" si="6"/>
        <v>1.2456696454977963E-3</v>
      </c>
      <c r="N5" s="1">
        <f t="shared" si="1"/>
        <v>3.406889632588431</v>
      </c>
      <c r="O5" s="1">
        <f t="shared" si="2"/>
        <v>17.46500915246472</v>
      </c>
      <c r="Q5" s="1">
        <f t="shared" si="7"/>
        <v>9.3485650904132612E-5</v>
      </c>
      <c r="R5" s="1">
        <f t="shared" si="8"/>
        <v>4.142563356598838E-5</v>
      </c>
      <c r="S5" s="1">
        <f t="shared" si="9"/>
        <v>1.1376882034574421E-5</v>
      </c>
      <c r="T5" s="1">
        <f t="shared" si="10"/>
        <v>4.582310539262224E-6</v>
      </c>
      <c r="U5" s="1">
        <f t="shared" si="11"/>
        <v>1.3191530652540808E-7</v>
      </c>
      <c r="V5" s="1">
        <f t="shared" si="12"/>
        <v>4.4562379133000753E-8</v>
      </c>
      <c r="W5" s="1"/>
      <c r="X5" s="6">
        <f t="shared" si="13"/>
        <v>1.8544758244043809</v>
      </c>
      <c r="Y5" s="6">
        <f t="shared" si="14"/>
        <v>4.2252208174396726</v>
      </c>
      <c r="AA5">
        <f t="shared" si="15"/>
        <v>4.3755712948085744E-2</v>
      </c>
      <c r="AB5">
        <f t="shared" si="16"/>
        <v>2.8152105063271458E-2</v>
      </c>
      <c r="AC5">
        <f t="shared" si="17"/>
        <v>1.359867579004825E-2</v>
      </c>
      <c r="AD5">
        <f t="shared" si="18"/>
        <v>8.0053047701296228E-3</v>
      </c>
      <c r="AE5">
        <f t="shared" si="19"/>
        <v>0.13720659260116119</v>
      </c>
      <c r="AF5">
        <f t="shared" si="20"/>
        <v>9.8013164834676869E-2</v>
      </c>
    </row>
    <row r="6" spans="1:32" x14ac:dyDescent="0.3">
      <c r="A6" s="2" t="s">
        <v>5</v>
      </c>
      <c r="B6" s="2">
        <v>120</v>
      </c>
      <c r="D6" s="1">
        <f t="shared" si="3"/>
        <v>2.4296280126166145E-6</v>
      </c>
      <c r="E6" s="1">
        <f t="shared" si="4"/>
        <v>1.1956250351306155</v>
      </c>
      <c r="G6" s="1">
        <f t="shared" si="0"/>
        <v>41.132729858016731</v>
      </c>
      <c r="I6">
        <f t="shared" si="21"/>
        <v>54</v>
      </c>
      <c r="K6" s="1">
        <f t="shared" si="5"/>
        <v>3.1577875391597013E-3</v>
      </c>
      <c r="L6" s="1">
        <f t="shared" si="6"/>
        <v>1.6897408241303975E-3</v>
      </c>
      <c r="N6" s="1">
        <f t="shared" si="1"/>
        <v>3.3126932999996876</v>
      </c>
      <c r="O6" s="1">
        <f t="shared" si="2"/>
        <v>16.358979259257715</v>
      </c>
      <c r="Q6" s="1">
        <f t="shared" si="7"/>
        <v>1.3498130254662092E-4</v>
      </c>
      <c r="R6" s="1">
        <f t="shared" si="8"/>
        <v>6.0884157390947899E-5</v>
      </c>
      <c r="S6" s="1">
        <f t="shared" si="9"/>
        <v>1.7174135655352391E-5</v>
      </c>
      <c r="T6" s="1">
        <f t="shared" si="10"/>
        <v>7.042290294211278E-6</v>
      </c>
      <c r="U6" s="1">
        <f t="shared" si="11"/>
        <v>2.1616010518059937E-7</v>
      </c>
      <c r="V6" s="1">
        <f t="shared" si="12"/>
        <v>7.4356332887257477E-8</v>
      </c>
      <c r="W6" s="1"/>
      <c r="X6" s="6">
        <f t="shared" si="13"/>
        <v>1.8032018354079538</v>
      </c>
      <c r="Y6" s="6">
        <f t="shared" si="14"/>
        <v>3.9576446318967431</v>
      </c>
      <c r="AA6">
        <f t="shared" si="15"/>
        <v>5.3132294571672213E-2</v>
      </c>
      <c r="AB6">
        <f t="shared" si="16"/>
        <v>3.4745595898136056E-2</v>
      </c>
      <c r="AC6">
        <f t="shared" si="17"/>
        <v>1.7205901257852745E-2</v>
      </c>
      <c r="AD6">
        <f t="shared" si="18"/>
        <v>1.0300640705599095E-2</v>
      </c>
      <c r="AE6">
        <f t="shared" si="19"/>
        <v>0.15877743546210796</v>
      </c>
      <c r="AF6">
        <f t="shared" si="20"/>
        <v>0.1151677281472737</v>
      </c>
    </row>
    <row r="7" spans="1:32" x14ac:dyDescent="0.3">
      <c r="A7" s="4" t="s">
        <v>6</v>
      </c>
      <c r="B7" s="4">
        <v>80</v>
      </c>
      <c r="D7" s="1">
        <f t="shared" si="3"/>
        <v>3.8663860838977418E-6</v>
      </c>
      <c r="E7" s="1">
        <f t="shared" si="4"/>
        <v>1.4539437794324845</v>
      </c>
      <c r="G7" s="1">
        <f t="shared" si="0"/>
        <v>40.136367465526732</v>
      </c>
      <c r="I7">
        <f t="shared" si="21"/>
        <v>55</v>
      </c>
      <c r="K7" s="1">
        <f t="shared" si="5"/>
        <v>4.1552807396121006E-3</v>
      </c>
      <c r="L7" s="1">
        <f t="shared" si="6"/>
        <v>2.2614462892193688E-3</v>
      </c>
      <c r="N7" s="1">
        <f t="shared" si="1"/>
        <v>3.2227590365498009</v>
      </c>
      <c r="O7" s="1">
        <f t="shared" si="2"/>
        <v>15.341398388865166</v>
      </c>
      <c r="Q7" s="1">
        <f t="shared" si="7"/>
        <v>1.920363365612158E-4</v>
      </c>
      <c r="R7" s="1">
        <f t="shared" si="8"/>
        <v>8.8138166801798382E-5</v>
      </c>
      <c r="S7" s="1">
        <f t="shared" si="9"/>
        <v>2.5522197646146374E-5</v>
      </c>
      <c r="T7" s="1">
        <f t="shared" si="10"/>
        <v>1.0650758689453577E-5</v>
      </c>
      <c r="U7" s="1">
        <f t="shared" si="11"/>
        <v>3.4813605864693601E-7</v>
      </c>
      <c r="V7" s="1">
        <f t="shared" si="12"/>
        <v>1.219014393748156E-7</v>
      </c>
      <c r="W7" s="1"/>
      <c r="X7" s="6">
        <f t="shared" si="13"/>
        <v>1.7542478229978973</v>
      </c>
      <c r="Y7" s="6">
        <f t="shared" si="14"/>
        <v>3.7114664684914191</v>
      </c>
      <c r="AA7">
        <f t="shared" si="15"/>
        <v>6.3820924457033038E-2</v>
      </c>
      <c r="AB7">
        <f t="shared" si="16"/>
        <v>4.2402031588428042E-2</v>
      </c>
      <c r="AC7">
        <f t="shared" si="17"/>
        <v>2.1512498545705458E-2</v>
      </c>
      <c r="AD7">
        <f t="shared" si="18"/>
        <v>1.309215477789037E-2</v>
      </c>
      <c r="AE7">
        <f t="shared" si="19"/>
        <v>0.18200529487704187</v>
      </c>
      <c r="AF7">
        <f t="shared" si="20"/>
        <v>0.13398500959213649</v>
      </c>
    </row>
    <row r="8" spans="1:32" x14ac:dyDescent="0.3">
      <c r="D8" s="1">
        <f t="shared" si="3"/>
        <v>6.05462528286053E-6</v>
      </c>
      <c r="E8" s="1">
        <f t="shared" si="4"/>
        <v>1.7490819752445796</v>
      </c>
      <c r="G8" s="1">
        <f t="shared" si="0"/>
        <v>39.141122848081693</v>
      </c>
      <c r="I8">
        <f t="shared" si="21"/>
        <v>56</v>
      </c>
      <c r="K8" s="1">
        <f t="shared" si="5"/>
        <v>5.4001828370714424E-3</v>
      </c>
      <c r="L8" s="1">
        <f t="shared" si="6"/>
        <v>2.9880261642968565E-3</v>
      </c>
      <c r="N8" s="1">
        <f t="shared" si="1"/>
        <v>3.1368216630488552</v>
      </c>
      <c r="O8" s="1">
        <f t="shared" si="2"/>
        <v>14.403772942571276</v>
      </c>
      <c r="Q8" s="1">
        <f t="shared" si="7"/>
        <v>2.6938616829620178E-4</v>
      </c>
      <c r="R8" s="1">
        <f t="shared" si="8"/>
        <v>1.2576343632043953E-4</v>
      </c>
      <c r="S8" s="1">
        <f t="shared" si="9"/>
        <v>3.7365145140463469E-5</v>
      </c>
      <c r="T8" s="1">
        <f t="shared" si="10"/>
        <v>1.5863663476101462E-5</v>
      </c>
      <c r="U8" s="1">
        <f t="shared" si="11"/>
        <v>5.5151003582977043E-7</v>
      </c>
      <c r="V8" s="1">
        <f t="shared" si="12"/>
        <v>1.965097518306494E-7</v>
      </c>
      <c r="W8" s="1"/>
      <c r="X8" s="6">
        <f t="shared" si="13"/>
        <v>1.7074694419062764</v>
      </c>
      <c r="Y8" s="6">
        <f t="shared" si="14"/>
        <v>3.4846315140944415</v>
      </c>
      <c r="AA8">
        <f t="shared" si="15"/>
        <v>7.5875389491867534E-2</v>
      </c>
      <c r="AB8">
        <f t="shared" si="16"/>
        <v>5.1195105289887979E-2</v>
      </c>
      <c r="AC8">
        <f t="shared" si="17"/>
        <v>2.6595026593737539E-2</v>
      </c>
      <c r="AD8">
        <f t="shared" si="18"/>
        <v>1.6446999584280534E-2</v>
      </c>
      <c r="AE8">
        <f t="shared" si="19"/>
        <v>0.20677654565179621</v>
      </c>
      <c r="AF8">
        <f t="shared" si="20"/>
        <v>0.15442050322526796</v>
      </c>
    </row>
    <row r="9" spans="1:32" x14ac:dyDescent="0.3">
      <c r="D9" s="1">
        <f t="shared" si="3"/>
        <v>9.3367887675065305E-6</v>
      </c>
      <c r="E9" s="1">
        <f t="shared" si="4"/>
        <v>2.082684506450482</v>
      </c>
      <c r="G9" s="1">
        <f t="shared" si="0"/>
        <v>38.147264549243388</v>
      </c>
      <c r="I9">
        <f t="shared" si="21"/>
        <v>57</v>
      </c>
      <c r="K9" s="1">
        <f t="shared" si="5"/>
        <v>6.9353501388724004E-3</v>
      </c>
      <c r="L9" s="1">
        <f t="shared" si="6"/>
        <v>3.9001406935920669E-3</v>
      </c>
      <c r="N9" s="1">
        <f t="shared" si="1"/>
        <v>3.0546368425684687</v>
      </c>
      <c r="O9" s="1">
        <f t="shared" si="2"/>
        <v>13.538556642962741</v>
      </c>
      <c r="Q9" s="1">
        <f t="shared" si="7"/>
        <v>3.7284816618583512E-4</v>
      </c>
      <c r="R9" s="1">
        <f t="shared" si="8"/>
        <v>1.7699584221381417E-4</v>
      </c>
      <c r="S9" s="1">
        <f t="shared" si="9"/>
        <v>5.392816958867757E-5</v>
      </c>
      <c r="T9" s="1">
        <f t="shared" si="10"/>
        <v>2.3285344166242748E-5</v>
      </c>
      <c r="U9" s="1">
        <f t="shared" si="11"/>
        <v>8.6001572921963184E-7</v>
      </c>
      <c r="V9" s="1">
        <f t="shared" si="12"/>
        <v>3.1172124916176357E-7</v>
      </c>
      <c r="W9" s="1"/>
      <c r="X9" s="6">
        <f t="shared" si="13"/>
        <v>1.6627336919553466</v>
      </c>
      <c r="Y9" s="6">
        <f t="shared" si="14"/>
        <v>3.2753141362001279</v>
      </c>
      <c r="AA9">
        <f t="shared" si="15"/>
        <v>8.9332506213167073E-2</v>
      </c>
      <c r="AB9">
        <f t="shared" si="16"/>
        <v>6.118802891746674E-2</v>
      </c>
      <c r="AC9">
        <f t="shared" si="17"/>
        <v>3.2527728623287462E-2</v>
      </c>
      <c r="AD9">
        <f t="shared" si="18"/>
        <v>2.0433501163701309E-2</v>
      </c>
      <c r="AE9">
        <f t="shared" si="19"/>
        <v>0.23295218009952234</v>
      </c>
      <c r="AF9">
        <f t="shared" si="20"/>
        <v>0.17640332581220575</v>
      </c>
    </row>
    <row r="10" spans="1:32" x14ac:dyDescent="0.3">
      <c r="D10" s="1">
        <f t="shared" si="3"/>
        <v>1.4188263164873188E-5</v>
      </c>
      <c r="E10" s="1">
        <f t="shared" si="4"/>
        <v>2.4559198602194527</v>
      </c>
      <c r="G10" s="1">
        <f t="shared" si="0"/>
        <v>37.15510566283433</v>
      </c>
      <c r="I10">
        <f t="shared" si="21"/>
        <v>58</v>
      </c>
      <c r="K10" s="1">
        <f t="shared" si="5"/>
        <v>8.8069554637979063E-3</v>
      </c>
      <c r="L10" s="1">
        <f t="shared" si="6"/>
        <v>5.0318061217311284E-3</v>
      </c>
      <c r="N10" s="1">
        <f t="shared" si="1"/>
        <v>2.9759791126679014</v>
      </c>
      <c r="O10" s="1">
        <f t="shared" si="2"/>
        <v>12.739030684428588</v>
      </c>
      <c r="Q10" s="1">
        <f t="shared" si="7"/>
        <v>5.0947106205093129E-4</v>
      </c>
      <c r="R10" s="1">
        <f t="shared" si="8"/>
        <v>2.458445404036906E-4</v>
      </c>
      <c r="S10" s="1">
        <f t="shared" si="9"/>
        <v>7.6779023750349646E-5</v>
      </c>
      <c r="T10" s="1">
        <f t="shared" si="10"/>
        <v>3.3705457858299041E-5</v>
      </c>
      <c r="U10" s="1">
        <f t="shared" si="11"/>
        <v>1.3210122936251444E-6</v>
      </c>
      <c r="V10" s="1">
        <f t="shared" si="12"/>
        <v>4.8692200830871074E-7</v>
      </c>
      <c r="W10" s="1"/>
      <c r="X10" s="6">
        <f t="shared" si="13"/>
        <v>1.6199178469371129</v>
      </c>
      <c r="Y10" s="6">
        <f t="shared" si="14"/>
        <v>3.0818888883464699</v>
      </c>
      <c r="AA10">
        <f t="shared" si="15"/>
        <v>0.1042106847970086</v>
      </c>
      <c r="AB10">
        <f t="shared" si="16"/>
        <v>7.2431556640269429E-2</v>
      </c>
      <c r="AC10">
        <f t="shared" si="17"/>
        <v>3.9380721058774548E-2</v>
      </c>
      <c r="AD10">
        <f t="shared" si="18"/>
        <v>2.5119810624071742E-2</v>
      </c>
      <c r="AE10">
        <f t="shared" si="19"/>
        <v>0.26037154833098097</v>
      </c>
      <c r="AF10">
        <f t="shared" si="20"/>
        <v>0.19983790503042118</v>
      </c>
    </row>
    <row r="11" spans="1:32" x14ac:dyDescent="0.3">
      <c r="D11" s="1">
        <f t="shared" si="3"/>
        <v>2.1259771751708798E-5</v>
      </c>
      <c r="E11" s="1">
        <f t="shared" si="4"/>
        <v>2.8694308544028324</v>
      </c>
      <c r="G11" s="1">
        <f t="shared" si="0"/>
        <v>36.165006913461681</v>
      </c>
      <c r="I11">
        <f t="shared" si="21"/>
        <v>59</v>
      </c>
      <c r="K11" s="1">
        <f t="shared" si="5"/>
        <v>1.1063994588625184E-2</v>
      </c>
      <c r="L11" s="1">
        <f t="shared" si="6"/>
        <v>6.4202305102069755E-3</v>
      </c>
      <c r="N11" s="1">
        <f t="shared" si="1"/>
        <v>2.9006401334737317</v>
      </c>
      <c r="O11" s="1">
        <f t="shared" si="2"/>
        <v>11.999200781965452</v>
      </c>
      <c r="Q11" s="1">
        <f t="shared" si="7"/>
        <v>6.8768291468394773E-4</v>
      </c>
      <c r="R11" s="1">
        <f t="shared" si="8"/>
        <v>3.3721094408398504E-4</v>
      </c>
      <c r="S11" s="1">
        <f t="shared" si="9"/>
        <v>1.0789683919917692E-4</v>
      </c>
      <c r="T11" s="1">
        <f t="shared" si="10"/>
        <v>4.8141758141430317E-5</v>
      </c>
      <c r="U11" s="1">
        <f t="shared" si="11"/>
        <v>2.0000296768458776E-6</v>
      </c>
      <c r="V11" s="1">
        <f t="shared" si="12"/>
        <v>7.4946130730697429E-7</v>
      </c>
      <c r="W11" s="1"/>
      <c r="X11" s="6">
        <f t="shared" si="13"/>
        <v>1.5789085009886965</v>
      </c>
      <c r="Y11" s="6">
        <f t="shared" si="14"/>
        <v>2.9029056036563219</v>
      </c>
      <c r="AA11">
        <f t="shared" si="15"/>
        <v>0.12050902942373484</v>
      </c>
      <c r="AB11">
        <f t="shared" si="16"/>
        <v>8.4962326393855592E-2</v>
      </c>
      <c r="AC11">
        <f t="shared" si="17"/>
        <v>4.7218208422958319E-2</v>
      </c>
      <c r="AD11">
        <f t="shared" si="18"/>
        <v>3.0572466228807632E-2</v>
      </c>
      <c r="AE11">
        <f t="shared" si="19"/>
        <v>0.28885657424382638</v>
      </c>
      <c r="AF11">
        <f t="shared" si="20"/>
        <v>0.22460635899946862</v>
      </c>
    </row>
    <row r="12" spans="1:32" x14ac:dyDescent="0.3">
      <c r="D12" s="1">
        <f t="shared" si="3"/>
        <v>3.1430123208289751E-5</v>
      </c>
      <c r="E12" s="1">
        <f t="shared" si="4"/>
        <v>3.3233000864397155</v>
      </c>
      <c r="G12" s="1">
        <f t="shared" si="0"/>
        <v>35.177379180141827</v>
      </c>
      <c r="I12">
        <f t="shared" si="21"/>
        <v>60</v>
      </c>
      <c r="K12" s="1">
        <f t="shared" si="5"/>
        <v>1.3757667572379631E-2</v>
      </c>
      <c r="L12" s="1">
        <f t="shared" si="6"/>
        <v>8.1055453543928818E-3</v>
      </c>
      <c r="N12" s="1">
        <f t="shared" si="1"/>
        <v>2.8284271247461894</v>
      </c>
      <c r="O12" s="1">
        <f t="shared" si="2"/>
        <v>11.313708498984754</v>
      </c>
      <c r="Q12" s="1">
        <f t="shared" si="7"/>
        <v>9.1743260394515119E-4</v>
      </c>
      <c r="R12" s="1">
        <f t="shared" si="8"/>
        <v>4.5701080648094782E-4</v>
      </c>
      <c r="S12" s="1">
        <f t="shared" si="9"/>
        <v>1.4974779677862354E-4</v>
      </c>
      <c r="T12" s="1">
        <f t="shared" si="10"/>
        <v>6.7888833299424009E-5</v>
      </c>
      <c r="U12" s="1">
        <f t="shared" si="11"/>
        <v>2.9864876524010504E-6</v>
      </c>
      <c r="V12" s="1">
        <f t="shared" si="12"/>
        <v>1.1373802769172456E-6</v>
      </c>
      <c r="W12" s="1"/>
      <c r="X12" s="6">
        <f t="shared" si="13"/>
        <v>1.5396007178390017</v>
      </c>
      <c r="Y12" s="6">
        <f t="shared" si="14"/>
        <v>2.7370679428248912</v>
      </c>
      <c r="AA12">
        <f t="shared" si="15"/>
        <v>0.13820699431731612</v>
      </c>
      <c r="AB12">
        <f t="shared" si="16"/>
        <v>9.88015767617475E-2</v>
      </c>
      <c r="AC12">
        <f t="shared" si="17"/>
        <v>5.6096787909261946E-2</v>
      </c>
      <c r="AD12">
        <f t="shared" si="18"/>
        <v>3.6854912861482687E-2</v>
      </c>
      <c r="AE12">
        <f t="shared" si="19"/>
        <v>0.31821625137768728</v>
      </c>
      <c r="AF12">
        <f t="shared" si="20"/>
        <v>0.25057143637985901</v>
      </c>
    </row>
    <row r="13" spans="1:32" x14ac:dyDescent="0.3">
      <c r="D13" s="1">
        <f t="shared" si="3"/>
        <v>4.5870928392150205E-5</v>
      </c>
      <c r="E13" s="1">
        <f t="shared" si="4"/>
        <v>3.8170311695465546</v>
      </c>
      <c r="G13" s="1">
        <f t="shared" si="0"/>
        <v>34.192685343490979</v>
      </c>
      <c r="I13">
        <f t="shared" si="21"/>
        <v>61</v>
      </c>
      <c r="K13" s="1">
        <f t="shared" si="5"/>
        <v>1.6940646996379562E-2</v>
      </c>
      <c r="L13" s="1">
        <f t="shared" si="6"/>
        <v>1.0130432769837662E-2</v>
      </c>
      <c r="N13" s="1">
        <f t="shared" si="1"/>
        <v>2.7591614687932182</v>
      </c>
      <c r="O13" s="1">
        <f t="shared" si="2"/>
        <v>10.677754676329572</v>
      </c>
      <c r="Q13" s="1">
        <f t="shared" si="7"/>
        <v>1.2103194106655622E-3</v>
      </c>
      <c r="R13" s="1">
        <f t="shared" si="8"/>
        <v>6.1229618267778058E-4</v>
      </c>
      <c r="S13" s="1">
        <f t="shared" si="9"/>
        <v>2.0536678233629046E-4</v>
      </c>
      <c r="T13" s="1">
        <f t="shared" si="10"/>
        <v>9.4572713395884198E-5</v>
      </c>
      <c r="U13" s="1">
        <f t="shared" si="11"/>
        <v>4.4007876441888383E-6</v>
      </c>
      <c r="V13" s="1">
        <f t="shared" si="12"/>
        <v>1.7028781913443898E-6</v>
      </c>
      <c r="W13" s="1"/>
      <c r="X13" s="6">
        <f t="shared" si="13"/>
        <v>1.5018972703314573</v>
      </c>
      <c r="Y13" s="6">
        <f t="shared" si="14"/>
        <v>2.5832148696912993</v>
      </c>
      <c r="AA13">
        <f t="shared" si="15"/>
        <v>0.15726458971827267</v>
      </c>
      <c r="AB13">
        <f t="shared" si="16"/>
        <v>0.1139542784481312</v>
      </c>
      <c r="AC13">
        <f t="shared" si="17"/>
        <v>6.6063902902151583E-2</v>
      </c>
      <c r="AD13">
        <f t="shared" si="18"/>
        <v>4.4026027898188956E-2</v>
      </c>
      <c r="AE13">
        <f t="shared" si="19"/>
        <v>0.34825123067510422</v>
      </c>
      <c r="AF13">
        <f t="shared" si="20"/>
        <v>0.27757987299880582</v>
      </c>
    </row>
    <row r="14" spans="1:32" x14ac:dyDescent="0.3">
      <c r="D14" s="1">
        <f t="shared" si="3"/>
        <v>6.6124923741437596E-5</v>
      </c>
      <c r="E14" s="1">
        <f t="shared" si="4"/>
        <v>4.3495461054234141</v>
      </c>
      <c r="G14" s="1">
        <f t="shared" si="0"/>
        <v>33.211441351479039</v>
      </c>
      <c r="I14">
        <f t="shared" si="21"/>
        <v>62</v>
      </c>
      <c r="K14" s="1">
        <f t="shared" si="5"/>
        <v>2.0666250043050845E-2</v>
      </c>
      <c r="L14" s="1">
        <f t="shared" si="6"/>
        <v>1.2539652060149441E-2</v>
      </c>
      <c r="N14" s="1">
        <f t="shared" si="1"/>
        <v>2.6926774592525895</v>
      </c>
      <c r="O14" s="1">
        <f t="shared" si="2"/>
        <v>10.087033146003458</v>
      </c>
      <c r="Q14" s="1">
        <f t="shared" si="7"/>
        <v>1.5797050143678589E-3</v>
      </c>
      <c r="R14" s="1">
        <f t="shared" si="8"/>
        <v>8.1137359038847671E-4</v>
      </c>
      <c r="S14" s="1">
        <f t="shared" si="9"/>
        <v>2.7844379488041791E-4</v>
      </c>
      <c r="T14" s="1">
        <f t="shared" si="10"/>
        <v>1.3021102964255521E-4</v>
      </c>
      <c r="U14" s="1">
        <f t="shared" si="11"/>
        <v>6.4029834285757579E-6</v>
      </c>
      <c r="V14" s="1">
        <f t="shared" si="12"/>
        <v>2.5166545333636246E-6</v>
      </c>
      <c r="W14" s="1"/>
      <c r="X14" s="6">
        <f t="shared" si="13"/>
        <v>1.4657079593472637</v>
      </c>
      <c r="Y14" s="6">
        <f t="shared" si="14"/>
        <v>2.4403046149382122</v>
      </c>
      <c r="AA14">
        <f t="shared" si="15"/>
        <v>0.17762310931678654</v>
      </c>
      <c r="AB14">
        <f t="shared" si="16"/>
        <v>0.13040870066703703</v>
      </c>
      <c r="AC14">
        <f t="shared" si="17"/>
        <v>7.7156497587044362E-2</v>
      </c>
      <c r="AD14">
        <f t="shared" si="18"/>
        <v>5.2138702234498846E-2</v>
      </c>
      <c r="AE14">
        <f t="shared" si="19"/>
        <v>0.37875832873076487</v>
      </c>
      <c r="AF14">
        <f t="shared" si="20"/>
        <v>0.30546601653577515</v>
      </c>
    </row>
    <row r="15" spans="1:32" x14ac:dyDescent="0.3">
      <c r="D15" s="1">
        <f t="shared" si="3"/>
        <v>9.4199511535989454E-5</v>
      </c>
      <c r="E15" s="1">
        <f t="shared" si="4"/>
        <v>4.9191984573567638</v>
      </c>
      <c r="G15" s="1">
        <f t="shared" si="0"/>
        <v>32.234216417812732</v>
      </c>
      <c r="I15">
        <f t="shared" si="21"/>
        <v>63</v>
      </c>
      <c r="K15" s="1">
        <f t="shared" si="5"/>
        <v>2.498753548684823E-2</v>
      </c>
      <c r="L15" s="1">
        <f t="shared" si="6"/>
        <v>1.5379473450350702E-2</v>
      </c>
      <c r="N15" s="1">
        <f t="shared" si="1"/>
        <v>2.6288211784470628</v>
      </c>
      <c r="O15" s="1">
        <f t="shared" si="2"/>
        <v>9.5376732097852592</v>
      </c>
      <c r="Q15" s="1">
        <f t="shared" si="7"/>
        <v>2.0408022407732368E-3</v>
      </c>
      <c r="R15" s="1">
        <f t="shared" si="8"/>
        <v>1.0639143421267369E-3</v>
      </c>
      <c r="S15" s="1">
        <f t="shared" si="9"/>
        <v>3.7341350999990061E-4</v>
      </c>
      <c r="T15" s="1">
        <f t="shared" si="10"/>
        <v>1.772781605626936E-4</v>
      </c>
      <c r="U15" s="1">
        <f t="shared" si="11"/>
        <v>9.2032373333405496E-6</v>
      </c>
      <c r="V15" s="1">
        <f t="shared" si="12"/>
        <v>3.6732747151432806E-6</v>
      </c>
      <c r="W15" s="1"/>
      <c r="X15" s="6">
        <f t="shared" si="13"/>
        <v>1.4309490027149485</v>
      </c>
      <c r="Y15" s="6">
        <f t="shared" si="14"/>
        <v>2.3074007602357445</v>
      </c>
      <c r="AA15">
        <f t="shared" si="15"/>
        <v>0.19920633128044682</v>
      </c>
      <c r="AB15">
        <f t="shared" si="16"/>
        <v>0.14813641423131851</v>
      </c>
      <c r="AC15">
        <f t="shared" si="17"/>
        <v>8.9399915534194394E-2</v>
      </c>
      <c r="AD15">
        <f t="shared" si="18"/>
        <v>6.1238522672663394E-2</v>
      </c>
      <c r="AE15">
        <f t="shared" si="19"/>
        <v>0.40953480802606818</v>
      </c>
      <c r="AF15">
        <f t="shared" si="20"/>
        <v>0.33405557425897331</v>
      </c>
    </row>
    <row r="16" spans="1:32" x14ac:dyDescent="0.3">
      <c r="D16" s="1">
        <f t="shared" si="3"/>
        <v>1.3267703586453258E-4</v>
      </c>
      <c r="E16" s="1">
        <f t="shared" si="4"/>
        <v>5.5238013682764588</v>
      </c>
      <c r="G16" s="1">
        <f t="shared" si="0"/>
        <v>31.261632289780536</v>
      </c>
      <c r="I16">
        <f t="shared" si="21"/>
        <v>64</v>
      </c>
      <c r="K16" s="1">
        <f t="shared" si="5"/>
        <v>2.9956349889287862E-2</v>
      </c>
      <c r="L16" s="1">
        <f t="shared" si="6"/>
        <v>1.8697030468110387E-2</v>
      </c>
      <c r="N16" s="1">
        <f t="shared" si="1"/>
        <v>2.5674494883054653</v>
      </c>
      <c r="O16" s="1">
        <f t="shared" si="2"/>
        <v>9.0261896073239019</v>
      </c>
      <c r="Q16" s="1">
        <f t="shared" si="7"/>
        <v>2.6107351273405338E-3</v>
      </c>
      <c r="R16" s="1">
        <f t="shared" si="8"/>
        <v>1.3810528052442058E-3</v>
      </c>
      <c r="S16" s="1">
        <f t="shared" si="9"/>
        <v>4.9554605520694625E-4</v>
      </c>
      <c r="T16" s="1">
        <f t="shared" si="10"/>
        <v>2.3877453660152483E-4</v>
      </c>
      <c r="U16" s="1">
        <f t="shared" si="11"/>
        <v>1.307426133889746E-5</v>
      </c>
      <c r="V16" s="1">
        <f t="shared" si="12"/>
        <v>5.297713859583358E-6</v>
      </c>
      <c r="W16" s="1"/>
      <c r="X16" s="6">
        <f t="shared" si="13"/>
        <v>1.3975424859373684</v>
      </c>
      <c r="Y16" s="6">
        <f t="shared" si="14"/>
        <v>2.1836601342771385</v>
      </c>
      <c r="AA16">
        <f t="shared" si="15"/>
        <v>0.22192212964817964</v>
      </c>
      <c r="AB16">
        <f t="shared" si="16"/>
        <v>0.16709271590694216</v>
      </c>
      <c r="AC16">
        <f t="shared" si="17"/>
        <v>0.10280707440266672</v>
      </c>
      <c r="AD16">
        <f t="shared" si="18"/>
        <v>7.1362597335071901E-2</v>
      </c>
      <c r="AE16">
        <f t="shared" si="19"/>
        <v>0.4403823076297575</v>
      </c>
      <c r="AF16">
        <f t="shared" si="20"/>
        <v>0.3631693488243809</v>
      </c>
    </row>
    <row r="17" spans="1:32" x14ac:dyDescent="0.3">
      <c r="D17" s="1">
        <f t="shared" si="3"/>
        <v>1.8484315206248464E-4</v>
      </c>
      <c r="E17" s="1">
        <f t="shared" si="4"/>
        <v>6.1606689417368301</v>
      </c>
      <c r="G17" s="1">
        <f t="shared" si="0"/>
        <v>30.294361547853441</v>
      </c>
      <c r="I17">
        <f t="shared" si="21"/>
        <v>65</v>
      </c>
      <c r="K17" s="1">
        <f t="shared" si="5"/>
        <v>3.5622349442744658E-2</v>
      </c>
      <c r="L17" s="1">
        <f t="shared" si="6"/>
        <v>2.2539605701555526E-2</v>
      </c>
      <c r="N17" s="1">
        <f t="shared" si="1"/>
        <v>2.5084291217972576</v>
      </c>
      <c r="O17" s="1">
        <f t="shared" si="2"/>
        <v>8.5494389003267504</v>
      </c>
      <c r="Q17" s="1">
        <f t="shared" si="7"/>
        <v>3.308565348358869E-3</v>
      </c>
      <c r="R17" s="1">
        <f t="shared" si="8"/>
        <v>1.7754682808127731E-3</v>
      </c>
      <c r="S17" s="1">
        <f t="shared" si="9"/>
        <v>6.5103674335929037E-4</v>
      </c>
      <c r="T17" s="1">
        <f t="shared" si="10"/>
        <v>3.1829900827689455E-4</v>
      </c>
      <c r="U17" s="1">
        <f t="shared" si="11"/>
        <v>1.8365926415152705E-5</v>
      </c>
      <c r="V17" s="1">
        <f t="shared" si="12"/>
        <v>7.5532354145673781E-6</v>
      </c>
      <c r="W17" s="1"/>
      <c r="X17" s="6">
        <f t="shared" si="13"/>
        <v>1.3654158676313333</v>
      </c>
      <c r="Y17" s="6">
        <f t="shared" si="14"/>
        <v>2.0683222610273453</v>
      </c>
      <c r="AA17">
        <f t="shared" si="15"/>
        <v>0.24566442187804399</v>
      </c>
      <c r="AB17">
        <f t="shared" si="16"/>
        <v>0.18721744347703587</v>
      </c>
      <c r="AC17">
        <f t="shared" si="17"/>
        <v>0.11737793736165314</v>
      </c>
      <c r="AD17">
        <f t="shared" si="18"/>
        <v>8.2538559587976901E-2</v>
      </c>
      <c r="AE17">
        <f t="shared" si="19"/>
        <v>0.471110331754173</v>
      </c>
      <c r="AF17">
        <f t="shared" si="20"/>
        <v>0.39262684222089195</v>
      </c>
    </row>
    <row r="18" spans="1:32" x14ac:dyDescent="0.3">
      <c r="D18" s="1">
        <f t="shared" si="3"/>
        <v>2.5483441217789664E-4</v>
      </c>
      <c r="E18" s="1">
        <f t="shared" si="4"/>
        <v>6.8266690878714122</v>
      </c>
      <c r="G18" s="1">
        <f t="shared" si="0"/>
        <v>29.333124926384784</v>
      </c>
      <c r="I18">
        <f t="shared" si="21"/>
        <v>66</v>
      </c>
      <c r="K18" s="1">
        <f t="shared" si="5"/>
        <v>4.2032024926565832E-2</v>
      </c>
      <c r="L18" s="1">
        <f t="shared" si="6"/>
        <v>2.6953867308990524E-2</v>
      </c>
      <c r="N18" s="1">
        <f t="shared" si="1"/>
        <v>2.4516358635026978</v>
      </c>
      <c r="O18" s="1">
        <f t="shared" si="2"/>
        <v>8.1045813669510665</v>
      </c>
      <c r="Q18" s="1">
        <f t="shared" si="7"/>
        <v>4.1552807396121006E-3</v>
      </c>
      <c r="R18" s="1">
        <f t="shared" si="8"/>
        <v>2.2614462892193688E-3</v>
      </c>
      <c r="S18" s="1">
        <f t="shared" si="9"/>
        <v>8.470922523813075E-4</v>
      </c>
      <c r="T18" s="1">
        <f t="shared" si="10"/>
        <v>4.2012292401665376E-4</v>
      </c>
      <c r="U18" s="1">
        <f t="shared" si="11"/>
        <v>2.5522197646146374E-5</v>
      </c>
      <c r="V18" s="1">
        <f t="shared" si="12"/>
        <v>1.0650758689453577E-5</v>
      </c>
      <c r="W18" s="1"/>
      <c r="X18" s="6">
        <f t="shared" si="13"/>
        <v>1.3345015334864976</v>
      </c>
      <c r="Y18" s="6">
        <f t="shared" si="14"/>
        <v>1.960700141026994</v>
      </c>
      <c r="AA18">
        <f t="shared" si="15"/>
        <v>0.27031537177288706</v>
      </c>
      <c r="AB18">
        <f t="shared" si="16"/>
        <v>0.20843613848885223</v>
      </c>
      <c r="AC18">
        <f t="shared" si="17"/>
        <v>0.13309929011570709</v>
      </c>
      <c r="AD18">
        <f t="shared" si="18"/>
        <v>9.4783778553500134E-2</v>
      </c>
      <c r="AE18">
        <f t="shared" si="19"/>
        <v>0.50153923252208465</v>
      </c>
      <c r="AF18">
        <f t="shared" si="20"/>
        <v>0.42224962650741954</v>
      </c>
    </row>
    <row r="19" spans="1:32" x14ac:dyDescent="0.3">
      <c r="D19" s="1">
        <f t="shared" si="3"/>
        <v>3.4780587801401096E-4</v>
      </c>
      <c r="E19" s="1">
        <f t="shared" si="4"/>
        <v>7.5182856403815954</v>
      </c>
      <c r="G19" s="1">
        <f t="shared" si="0"/>
        <v>28.378687672250663</v>
      </c>
      <c r="I19">
        <f t="shared" si="21"/>
        <v>67</v>
      </c>
      <c r="K19" s="1">
        <f t="shared" si="5"/>
        <v>4.9227757121873481E-2</v>
      </c>
      <c r="L19" s="1">
        <f t="shared" si="6"/>
        <v>3.1985075593968647E-2</v>
      </c>
      <c r="N19" s="1">
        <f t="shared" si="1"/>
        <v>2.3969538093786471</v>
      </c>
      <c r="O19" s="1">
        <f t="shared" si="2"/>
        <v>7.6890476397978453</v>
      </c>
      <c r="Q19" s="1">
        <f t="shared" si="7"/>
        <v>5.1737425628935619E-3</v>
      </c>
      <c r="R19" s="1">
        <f t="shared" si="8"/>
        <v>2.8549153137111308E-3</v>
      </c>
      <c r="S19" s="1">
        <f t="shared" si="9"/>
        <v>1.0920105493672542E-3</v>
      </c>
      <c r="T19" s="1">
        <f t="shared" si="10"/>
        <v>5.4926432427571743E-4</v>
      </c>
      <c r="U19" s="1">
        <f t="shared" si="11"/>
        <v>3.5100516687975343E-5</v>
      </c>
      <c r="V19" s="1">
        <f t="shared" si="12"/>
        <v>1.4859860865575864E-5</v>
      </c>
      <c r="W19" s="1"/>
      <c r="X19" s="6">
        <f t="shared" si="13"/>
        <v>1.3047363933329026</v>
      </c>
      <c r="Y19" s="6">
        <f t="shared" si="14"/>
        <v>1.8601721802919522</v>
      </c>
      <c r="AA19">
        <f t="shared" si="15"/>
        <v>0.29574776464432601</v>
      </c>
      <c r="AB19">
        <f t="shared" si="16"/>
        <v>0.23066150416550998</v>
      </c>
      <c r="AC19">
        <f t="shared" si="17"/>
        <v>0.14994482113619231</v>
      </c>
      <c r="AD19">
        <f t="shared" si="18"/>
        <v>0.10810479610568276</v>
      </c>
      <c r="AE19">
        <f t="shared" si="19"/>
        <v>0.53150265079777548</v>
      </c>
      <c r="AF19">
        <f t="shared" si="20"/>
        <v>0.45186440054290344</v>
      </c>
    </row>
    <row r="20" spans="1:32" x14ac:dyDescent="0.3">
      <c r="D20" s="1">
        <f t="shared" si="3"/>
        <v>4.7011918788231535E-4</v>
      </c>
      <c r="E20" s="1">
        <f t="shared" si="4"/>
        <v>8.2316873758567866</v>
      </c>
      <c r="G20" s="1">
        <f t="shared" si="0"/>
        <v>27.431854985107151</v>
      </c>
      <c r="I20">
        <f t="shared" si="21"/>
        <v>68</v>
      </c>
      <c r="K20" s="1">
        <f t="shared" si="5"/>
        <v>5.7246928835850606E-2</v>
      </c>
      <c r="L20" s="1">
        <f t="shared" si="6"/>
        <v>3.7676280122255684E-2</v>
      </c>
      <c r="N20" s="1">
        <f t="shared" si="1"/>
        <v>2.3442746970178989</v>
      </c>
      <c r="O20" s="1">
        <f t="shared" si="2"/>
        <v>7.3005094370799615</v>
      </c>
      <c r="Q20" s="1">
        <f t="shared" si="7"/>
        <v>6.3885892190024057E-3</v>
      </c>
      <c r="R20" s="1">
        <f t="shared" si="8"/>
        <v>3.5734554789650123E-3</v>
      </c>
      <c r="S20" s="1">
        <f t="shared" si="9"/>
        <v>1.3952517475251561E-3</v>
      </c>
      <c r="T20" s="1">
        <f t="shared" si="10"/>
        <v>7.1156045000099369E-4</v>
      </c>
      <c r="U20" s="1">
        <f t="shared" si="11"/>
        <v>4.7793706754746315E-5</v>
      </c>
      <c r="V20" s="1">
        <f t="shared" si="12"/>
        <v>2.0521543979897405E-5</v>
      </c>
      <c r="W20" s="1"/>
      <c r="X20" s="6">
        <f t="shared" si="13"/>
        <v>1.2760615165803304</v>
      </c>
      <c r="Y20" s="6">
        <f t="shared" si="14"/>
        <v>1.7661751094537446</v>
      </c>
      <c r="AA20">
        <f t="shared" si="15"/>
        <v>0.32182747298832592</v>
      </c>
      <c r="AB20">
        <f t="shared" si="16"/>
        <v>0.2537950995737065</v>
      </c>
      <c r="AC20">
        <f t="shared" si="17"/>
        <v>0.16787549234269009</v>
      </c>
      <c r="AD20">
        <f t="shared" si="18"/>
        <v>0.12249700173414359</v>
      </c>
      <c r="AE20">
        <f t="shared" si="19"/>
        <v>0.56084940381856596</v>
      </c>
      <c r="AF20">
        <f t="shared" si="20"/>
        <v>0.48130567310904271</v>
      </c>
    </row>
    <row r="21" spans="1:32" x14ac:dyDescent="0.3">
      <c r="D21" s="1">
        <f t="shared" si="3"/>
        <v>6.2955104803702998E-4</v>
      </c>
      <c r="E21" s="1">
        <f t="shared" si="4"/>
        <v>8.9628015076511929</v>
      </c>
      <c r="G21" s="1">
        <f t="shared" si="0"/>
        <v>26.493466608083708</v>
      </c>
      <c r="I21">
        <f t="shared" si="21"/>
        <v>69</v>
      </c>
      <c r="K21" s="1">
        <f t="shared" si="5"/>
        <v>6.6121117521279929E-2</v>
      </c>
      <c r="L21" s="1">
        <f t="shared" si="6"/>
        <v>4.4067528221766718E-2</v>
      </c>
      <c r="N21" s="1">
        <f t="shared" si="1"/>
        <v>2.2934972987679543</v>
      </c>
      <c r="O21" s="1">
        <f t="shared" si="2"/>
        <v>6.9368538337026964</v>
      </c>
      <c r="Q21" s="1">
        <f t="shared" si="7"/>
        <v>7.8260953124683289E-3</v>
      </c>
      <c r="R21" s="1">
        <f t="shared" si="8"/>
        <v>4.4362762182043715E-3</v>
      </c>
      <c r="S21" s="1">
        <f t="shared" si="9"/>
        <v>1.7674970647608768E-3</v>
      </c>
      <c r="T21" s="1">
        <f t="shared" si="10"/>
        <v>9.1373659689153409E-4</v>
      </c>
      <c r="U21" s="1">
        <f t="shared" si="11"/>
        <v>6.4454418957119095E-5</v>
      </c>
      <c r="V21" s="1">
        <f t="shared" si="12"/>
        <v>2.8062875345440639E-5</v>
      </c>
      <c r="W21" s="1"/>
      <c r="X21" s="6">
        <f t="shared" si="13"/>
        <v>1.248421801874007</v>
      </c>
      <c r="Y21" s="6">
        <f t="shared" si="14"/>
        <v>1.6781977592929311</v>
      </c>
      <c r="AA21">
        <f t="shared" si="15"/>
        <v>0.3484159355677145</v>
      </c>
      <c r="AB21">
        <f t="shared" si="16"/>
        <v>0.27772920778458887</v>
      </c>
      <c r="AC21">
        <f t="shared" si="17"/>
        <v>0.18684017843760983</v>
      </c>
      <c r="AD21">
        <f t="shared" si="18"/>
        <v>0.13794454823523097</v>
      </c>
      <c r="AE21">
        <f t="shared" si="19"/>
        <v>0.58944482984891855</v>
      </c>
      <c r="AF21">
        <f t="shared" si="20"/>
        <v>0.51041803352424431</v>
      </c>
    </row>
    <row r="22" spans="1:32" x14ac:dyDescent="0.3">
      <c r="D22" s="1">
        <f t="shared" si="3"/>
        <v>8.3552160280268156E-4</v>
      </c>
      <c r="E22" s="1">
        <f t="shared" si="4"/>
        <v>9.7073892721772879</v>
      </c>
      <c r="G22" s="1">
        <f t="shared" si="0"/>
        <v>25.564390660286776</v>
      </c>
      <c r="I22">
        <f t="shared" si="21"/>
        <v>70</v>
      </c>
      <c r="K22" s="1">
        <f t="shared" si="5"/>
        <v>7.5875389491867534E-2</v>
      </c>
      <c r="L22" s="1">
        <f t="shared" si="6"/>
        <v>5.1195105289887979E-2</v>
      </c>
      <c r="N22" s="1">
        <f t="shared" si="1"/>
        <v>2.244526870998778</v>
      </c>
      <c r="O22" s="1">
        <f t="shared" si="2"/>
        <v>6.5961606004862032</v>
      </c>
      <c r="Q22" s="1">
        <f t="shared" si="7"/>
        <v>9.513986244577147E-3</v>
      </c>
      <c r="R22" s="1">
        <f t="shared" si="8"/>
        <v>5.4641606904456616E-3</v>
      </c>
      <c r="S22" s="1">
        <f t="shared" si="9"/>
        <v>2.2206931286693704E-3</v>
      </c>
      <c r="T22" s="1">
        <f t="shared" si="10"/>
        <v>1.1634692317187842E-3</v>
      </c>
      <c r="U22" s="1">
        <f t="shared" si="11"/>
        <v>8.6122073220825981E-5</v>
      </c>
      <c r="V22" s="1">
        <f t="shared" si="12"/>
        <v>3.8013580622109409E-5</v>
      </c>
      <c r="W22" s="1"/>
      <c r="X22" s="6">
        <f t="shared" si="13"/>
        <v>1.2217656773139398</v>
      </c>
      <c r="Y22" s="6">
        <f t="shared" si="14"/>
        <v>1.5957755785324927</v>
      </c>
      <c r="AA22">
        <f t="shared" si="15"/>
        <v>0.37537257997691609</v>
      </c>
      <c r="AB22">
        <f t="shared" si="16"/>
        <v>0.3023488152322148</v>
      </c>
      <c r="AC22">
        <f t="shared" si="17"/>
        <v>0.20677654565179621</v>
      </c>
      <c r="AD22">
        <f t="shared" si="18"/>
        <v>0.15442050322526796</v>
      </c>
      <c r="AE22">
        <f t="shared" si="19"/>
        <v>0.61717161772794926</v>
      </c>
      <c r="AF22">
        <f t="shared" si="20"/>
        <v>0.53905799013656419</v>
      </c>
    </row>
    <row r="23" spans="1:32" x14ac:dyDescent="0.3">
      <c r="D23" s="1">
        <f t="shared" si="3"/>
        <v>1.0993415697538554E-3</v>
      </c>
      <c r="E23" s="1">
        <f t="shared" si="4"/>
        <v>10.461121360915747</v>
      </c>
      <c r="G23" s="1">
        <f t="shared" si="0"/>
        <v>24.645516821719681</v>
      </c>
      <c r="I23">
        <f t="shared" si="21"/>
        <v>71</v>
      </c>
      <c r="K23" s="1">
        <f t="shared" si="5"/>
        <v>8.6527713105777324E-2</v>
      </c>
      <c r="L23" s="1">
        <f t="shared" si="6"/>
        <v>5.9090826188563622E-2</v>
      </c>
      <c r="N23" s="1">
        <f t="shared" si="1"/>
        <v>2.197274653609552</v>
      </c>
      <c r="O23" s="1">
        <f t="shared" si="2"/>
        <v>6.2766822082875509</v>
      </c>
      <c r="Q23" s="1">
        <f t="shared" si="7"/>
        <v>1.14812098126912E-2</v>
      </c>
      <c r="R23" s="1">
        <f t="shared" si="8"/>
        <v>6.6793755240741473E-3</v>
      </c>
      <c r="S23" s="1">
        <f t="shared" si="9"/>
        <v>2.768079045846849E-3</v>
      </c>
      <c r="T23" s="1">
        <f t="shared" si="10"/>
        <v>1.4694412309147181E-3</v>
      </c>
      <c r="U23" s="1">
        <f t="shared" si="11"/>
        <v>1.140521734499057E-4</v>
      </c>
      <c r="V23" s="1">
        <f t="shared" si="12"/>
        <v>5.1024632326207465E-5</v>
      </c>
      <c r="W23" s="1"/>
      <c r="X23" s="6">
        <f t="shared" si="13"/>
        <v>1.196044828020902</v>
      </c>
      <c r="Y23" s="6">
        <f t="shared" si="14"/>
        <v>1.518485796336793</v>
      </c>
      <c r="AA23">
        <f t="shared" si="15"/>
        <v>0.40255712781938857</v>
      </c>
      <c r="AB23">
        <f t="shared" si="16"/>
        <v>0.32753364143264074</v>
      </c>
      <c r="AC23">
        <f t="shared" si="17"/>
        <v>0.22761213497074548</v>
      </c>
      <c r="AD23">
        <f t="shared" si="18"/>
        <v>0.17188722427012917</v>
      </c>
      <c r="AE23">
        <f t="shared" si="19"/>
        <v>0.64393016284585802</v>
      </c>
      <c r="AF23">
        <f t="shared" si="20"/>
        <v>0.56709537429657186</v>
      </c>
    </row>
    <row r="24" spans="1:32" x14ac:dyDescent="0.3">
      <c r="D24" s="1">
        <f t="shared" si="3"/>
        <v>1.4344764219165369E-3</v>
      </c>
      <c r="E24" s="1">
        <f t="shared" si="4"/>
        <v>11.21965115932398</v>
      </c>
      <c r="G24" s="1">
        <f t="shared" si="0"/>
        <v>23.737748996587626</v>
      </c>
      <c r="I24">
        <f t="shared" si="21"/>
        <v>72</v>
      </c>
      <c r="K24" s="1">
        <f t="shared" si="5"/>
        <v>9.808850421185164E-2</v>
      </c>
      <c r="L24" s="1">
        <f t="shared" si="6"/>
        <v>6.7781395220415125E-2</v>
      </c>
      <c r="N24" s="1">
        <f t="shared" si="1"/>
        <v>2.1516574145596756</v>
      </c>
      <c r="O24" s="1">
        <f t="shared" si="2"/>
        <v>5.9768261515546541</v>
      </c>
      <c r="Q24" s="1">
        <f t="shared" si="7"/>
        <v>1.3757667572379631E-2</v>
      </c>
      <c r="R24" s="1">
        <f t="shared" si="8"/>
        <v>8.1055453543928818E-3</v>
      </c>
      <c r="S24" s="1">
        <f t="shared" si="9"/>
        <v>3.4241939211222855E-3</v>
      </c>
      <c r="T24" s="1">
        <f t="shared" si="10"/>
        <v>1.8413871101374847E-3</v>
      </c>
      <c r="U24" s="1">
        <f t="shared" si="11"/>
        <v>1.4974779677862354E-4</v>
      </c>
      <c r="V24" s="1">
        <f t="shared" si="12"/>
        <v>6.7888833299424009E-5</v>
      </c>
      <c r="W24" s="1"/>
      <c r="X24" s="6">
        <f t="shared" si="13"/>
        <v>1.1712139482105108</v>
      </c>
      <c r="Y24" s="6">
        <f t="shared" si="14"/>
        <v>1.4459431459389025</v>
      </c>
      <c r="AA24">
        <f t="shared" si="15"/>
        <v>0.4298317318895431</v>
      </c>
      <c r="AB24">
        <f t="shared" si="16"/>
        <v>0.35316016226972924</v>
      </c>
      <c r="AC24">
        <f t="shared" si="17"/>
        <v>0.24926561103492151</v>
      </c>
      <c r="AD24">
        <f t="shared" si="18"/>
        <v>0.19029693922450786</v>
      </c>
      <c r="AE24">
        <f t="shared" si="19"/>
        <v>0.66963850085793852</v>
      </c>
      <c r="AF24">
        <f t="shared" si="20"/>
        <v>0.59441432211371659</v>
      </c>
    </row>
    <row r="25" spans="1:32" x14ac:dyDescent="0.3">
      <c r="D25" s="1">
        <f t="shared" si="3"/>
        <v>1.8568252741989685E-3</v>
      </c>
      <c r="E25" s="1">
        <f t="shared" si="4"/>
        <v>11.9786840157333</v>
      </c>
      <c r="G25" s="1">
        <f t="shared" si="0"/>
        <v>22.84199759209848</v>
      </c>
      <c r="I25">
        <f t="shared" si="21"/>
        <v>73</v>
      </c>
      <c r="K25" s="1">
        <f t="shared" si="5"/>
        <v>0.1105603128221091</v>
      </c>
      <c r="L25" s="1">
        <f t="shared" si="6"/>
        <v>7.7287849856471358E-2</v>
      </c>
      <c r="N25" s="1">
        <f t="shared" si="1"/>
        <v>2.107597034814352</v>
      </c>
      <c r="O25" s="1">
        <f t="shared" si="2"/>
        <v>5.6951392946756743</v>
      </c>
      <c r="Q25" s="1">
        <f t="shared" si="7"/>
        <v>1.6373909925660273E-2</v>
      </c>
      <c r="R25" s="1">
        <f t="shared" si="8"/>
        <v>9.7674925582422033E-3</v>
      </c>
      <c r="S25" s="1">
        <f t="shared" si="9"/>
        <v>4.2048628678389181E-3</v>
      </c>
      <c r="T25" s="1">
        <f t="shared" si="10"/>
        <v>2.2901261894813464E-3</v>
      </c>
      <c r="U25" s="1">
        <f t="shared" si="11"/>
        <v>1.9499297278367447E-4</v>
      </c>
      <c r="V25" s="1">
        <f t="shared" si="12"/>
        <v>8.9563345185283822E-5</v>
      </c>
      <c r="W25" s="1"/>
      <c r="X25" s="6">
        <f t="shared" si="13"/>
        <v>1.1472305152662217</v>
      </c>
      <c r="Y25" s="6">
        <f t="shared" si="14"/>
        <v>1.3777960776325424</v>
      </c>
      <c r="AA25">
        <f t="shared" si="15"/>
        <v>0.45706290559787938</v>
      </c>
      <c r="AB25">
        <f t="shared" si="16"/>
        <v>0.37910357573287645</v>
      </c>
      <c r="AC25">
        <f t="shared" si="17"/>
        <v>0.27164813580399183</v>
      </c>
      <c r="AD25">
        <f t="shared" si="18"/>
        <v>0.20959250833250315</v>
      </c>
      <c r="AE25">
        <f t="shared" si="19"/>
        <v>0.69423187660077446</v>
      </c>
      <c r="AF25">
        <f t="shared" si="20"/>
        <v>0.62091385826713208</v>
      </c>
    </row>
    <row r="26" spans="1:32" x14ac:dyDescent="0.3">
      <c r="D26" s="1">
        <f t="shared" si="3"/>
        <v>2.3850115043139927E-3</v>
      </c>
      <c r="E26" s="1">
        <f t="shared" si="4"/>
        <v>12.734041060948279</v>
      </c>
      <c r="G26" s="1">
        <f t="shared" si="0"/>
        <v>21.9591715566349</v>
      </c>
      <c r="I26">
        <f t="shared" si="21"/>
        <v>74</v>
      </c>
      <c r="K26" s="1">
        <f t="shared" si="5"/>
        <v>0.12393765558058713</v>
      </c>
      <c r="L26" s="1">
        <f t="shared" si="6"/>
        <v>8.7625100650928198E-2</v>
      </c>
      <c r="N26" s="1">
        <f t="shared" si="1"/>
        <v>2.0650201296227455</v>
      </c>
      <c r="O26" s="1">
        <f t="shared" si="2"/>
        <v>5.4302939858596684</v>
      </c>
      <c r="Q26" s="1">
        <f t="shared" si="7"/>
        <v>1.9360799989301843E-2</v>
      </c>
      <c r="R26" s="1">
        <f t="shared" si="8"/>
        <v>1.1691043534005439E-2</v>
      </c>
      <c r="S26" s="1">
        <f t="shared" si="9"/>
        <v>5.127159983307151E-3</v>
      </c>
      <c r="T26" s="1">
        <f t="shared" si="10"/>
        <v>2.8275817826230506E-3</v>
      </c>
      <c r="U26" s="1">
        <f t="shared" si="11"/>
        <v>2.5188758284135109E-4</v>
      </c>
      <c r="V26" s="1">
        <f t="shared" si="12"/>
        <v>1.1719405721965098E-4</v>
      </c>
      <c r="W26" s="1"/>
      <c r="X26" s="6">
        <f t="shared" si="13"/>
        <v>1.1240545835892679</v>
      </c>
      <c r="Y26" s="6">
        <f t="shared" si="14"/>
        <v>1.3137233993738704</v>
      </c>
      <c r="AA26">
        <f t="shared" si="15"/>
        <v>0.48412321576396822</v>
      </c>
      <c r="AB26">
        <f t="shared" si="16"/>
        <v>0.40523966584835919</v>
      </c>
      <c r="AC26">
        <f t="shared" si="17"/>
        <v>0.2946648256257105</v>
      </c>
      <c r="AD26">
        <f t="shared" si="18"/>
        <v>0.22970834084517741</v>
      </c>
      <c r="AE26">
        <f t="shared" si="19"/>
        <v>0.71766200861468776</v>
      </c>
      <c r="AF26">
        <f t="shared" si="20"/>
        <v>0.64650811532792618</v>
      </c>
    </row>
    <row r="27" spans="1:32" x14ac:dyDescent="0.3">
      <c r="D27" s="1">
        <f t="shared" si="3"/>
        <v>3.0406815286820182E-3</v>
      </c>
      <c r="E27" s="1">
        <f t="shared" si="4"/>
        <v>13.481716415368489</v>
      </c>
      <c r="G27" s="1">
        <f t="shared" si="0"/>
        <v>21.090170323586094</v>
      </c>
      <c r="I27">
        <f t="shared" si="21"/>
        <v>75</v>
      </c>
      <c r="K27" s="1">
        <f t="shared" si="5"/>
        <v>0.13820699431731612</v>
      </c>
      <c r="L27" s="1">
        <f t="shared" si="6"/>
        <v>9.88015767617475E-2</v>
      </c>
      <c r="N27" s="1">
        <f t="shared" si="1"/>
        <v>2.0238577025077626</v>
      </c>
      <c r="O27" s="1">
        <f t="shared" si="2"/>
        <v>5.1810757184198728</v>
      </c>
      <c r="Q27" s="1">
        <f t="shared" si="7"/>
        <v>2.2749152233532584E-2</v>
      </c>
      <c r="R27" s="1">
        <f t="shared" si="8"/>
        <v>1.3902803796273839E-2</v>
      </c>
      <c r="S27" s="1">
        <f t="shared" si="9"/>
        <v>6.209347260441719E-3</v>
      </c>
      <c r="T27" s="1">
        <f t="shared" si="10"/>
        <v>3.4667847070069002E-3</v>
      </c>
      <c r="U27" s="1">
        <f t="shared" si="11"/>
        <v>3.2288332509379974E-4</v>
      </c>
      <c r="V27" s="1">
        <f t="shared" si="12"/>
        <v>1.5214163184933881E-4</v>
      </c>
      <c r="W27" s="1"/>
      <c r="X27" s="6">
        <f t="shared" si="13"/>
        <v>1.1016485962545541</v>
      </c>
      <c r="Y27" s="6">
        <f t="shared" si="14"/>
        <v>1.2534312917385149</v>
      </c>
      <c r="AA27">
        <f t="shared" si="15"/>
        <v>0.51089272036957423</v>
      </c>
      <c r="AB27">
        <f t="shared" si="16"/>
        <v>0.43144652813697848</v>
      </c>
      <c r="AC27">
        <f t="shared" si="17"/>
        <v>0.31821625137768728</v>
      </c>
      <c r="AD27">
        <f t="shared" si="18"/>
        <v>0.25057143637985901</v>
      </c>
      <c r="AE27">
        <f t="shared" si="19"/>
        <v>0.73989610987649923</v>
      </c>
      <c r="AF27">
        <f t="shared" si="20"/>
        <v>0.67112622855285142</v>
      </c>
    </row>
    <row r="28" spans="1:32" x14ac:dyDescent="0.3">
      <c r="D28" s="1">
        <f t="shared" si="3"/>
        <v>3.8488075809723632E-3</v>
      </c>
      <c r="E28" s="1">
        <f t="shared" si="4"/>
        <v>14.217926939606912</v>
      </c>
      <c r="G28" s="1">
        <f t="shared" si="0"/>
        <v>20.235875805380999</v>
      </c>
      <c r="I28">
        <f t="shared" si="21"/>
        <v>76</v>
      </c>
      <c r="K28" s="1">
        <f t="shared" si="5"/>
        <v>0.15334685695990033</v>
      </c>
      <c r="L28" s="1">
        <f t="shared" si="6"/>
        <v>0.1108189833296617</v>
      </c>
      <c r="N28" s="1">
        <f t="shared" si="1"/>
        <v>1.9840448287501362</v>
      </c>
      <c r="O28" s="1">
        <f t="shared" si="2"/>
        <v>4.9463721492385675</v>
      </c>
      <c r="Q28" s="1">
        <f t="shared" si="7"/>
        <v>2.6569352633256983E-2</v>
      </c>
      <c r="R28" s="1">
        <f t="shared" si="8"/>
        <v>1.6429905018881613E-2</v>
      </c>
      <c r="S28" s="1">
        <f t="shared" si="9"/>
        <v>7.4707889513296434E-3</v>
      </c>
      <c r="T28" s="1">
        <f t="shared" si="10"/>
        <v>4.2218596811131135E-3</v>
      </c>
      <c r="U28" s="1">
        <f t="shared" si="11"/>
        <v>4.1082020955801645E-4</v>
      </c>
      <c r="V28" s="1">
        <f t="shared" si="12"/>
        <v>1.9600900231502857E-4</v>
      </c>
      <c r="W28" s="1"/>
      <c r="X28" s="6">
        <f t="shared" si="13"/>
        <v>1.0799772127212148</v>
      </c>
      <c r="Y28" s="6">
        <f t="shared" si="14"/>
        <v>1.1966506512146422</v>
      </c>
      <c r="AA28">
        <f t="shared" si="15"/>
        <v>0.53726014255325238</v>
      </c>
      <c r="AB28">
        <f t="shared" si="16"/>
        <v>0.45760612784927152</v>
      </c>
      <c r="AC28">
        <f t="shared" si="17"/>
        <v>0.34219994363471501</v>
      </c>
      <c r="AD28">
        <f t="shared" si="18"/>
        <v>0.27210251994096124</v>
      </c>
      <c r="AE28">
        <f t="shared" si="19"/>
        <v>0.76091572331767421</v>
      </c>
      <c r="AF28">
        <f t="shared" si="20"/>
        <v>0.69471195013527043</v>
      </c>
    </row>
    <row r="29" spans="1:32" x14ac:dyDescent="0.3">
      <c r="D29" s="1">
        <f t="shared" si="3"/>
        <v>4.8379898245065334E-3</v>
      </c>
      <c r="E29" s="1">
        <f t="shared" si="4"/>
        <v>14.939153993611065</v>
      </c>
      <c r="G29" s="1">
        <f t="shared" si="0"/>
        <v>19.397144576686756</v>
      </c>
      <c r="I29">
        <f t="shared" si="21"/>
        <v>77</v>
      </c>
      <c r="K29" s="1">
        <f t="shared" si="5"/>
        <v>0.16932809344974412</v>
      </c>
      <c r="L29" s="1">
        <f t="shared" si="6"/>
        <v>0.12367217377857848</v>
      </c>
      <c r="N29" s="1">
        <f t="shared" si="1"/>
        <v>1.9455203655034572</v>
      </c>
      <c r="O29" s="1">
        <f t="shared" si="2"/>
        <v>4.7251633097064909</v>
      </c>
      <c r="Q29" s="1">
        <f t="shared" si="7"/>
        <v>3.085096761921852E-2</v>
      </c>
      <c r="R29" s="1">
        <f t="shared" si="8"/>
        <v>1.929972793879664E-2</v>
      </c>
      <c r="S29" s="1">
        <f t="shared" si="9"/>
        <v>8.9318414732527055E-3</v>
      </c>
      <c r="T29" s="1">
        <f t="shared" si="10"/>
        <v>5.1079934965473518E-3</v>
      </c>
      <c r="U29" s="1">
        <f t="shared" si="11"/>
        <v>5.1896297362782906E-4</v>
      </c>
      <c r="V29" s="1">
        <f t="shared" si="12"/>
        <v>2.5067003504056993E-4</v>
      </c>
      <c r="W29" s="1"/>
      <c r="X29" s="6">
        <f t="shared" si="13"/>
        <v>1.0590071510392218</v>
      </c>
      <c r="Y29" s="6">
        <f t="shared" si="14"/>
        <v>1.1431347219853294</v>
      </c>
      <c r="AA29">
        <f t="shared" si="15"/>
        <v>0.56312378077476588</v>
      </c>
      <c r="AB29">
        <f t="shared" si="16"/>
        <v>0.48360567011896261</v>
      </c>
      <c r="AC29">
        <f t="shared" si="17"/>
        <v>0.36651186811168257</v>
      </c>
      <c r="AD29">
        <f t="shared" si="18"/>
        <v>0.2942172393555133</v>
      </c>
      <c r="AE29">
        <f t="shared" si="19"/>
        <v>0.78071542695438045</v>
      </c>
      <c r="AF29">
        <f t="shared" si="20"/>
        <v>0.71722302872953592</v>
      </c>
    </row>
    <row r="30" spans="1:32" x14ac:dyDescent="0.3">
      <c r="D30" s="1">
        <f t="shared" si="3"/>
        <v>6.0407526880541657E-3</v>
      </c>
      <c r="E30" s="1">
        <f t="shared" si="4"/>
        <v>15.642176957573383</v>
      </c>
      <c r="G30" s="1">
        <f t="shared" si="0"/>
        <v>18.574800376771094</v>
      </c>
      <c r="I30">
        <f t="shared" si="21"/>
        <v>78</v>
      </c>
      <c r="K30" s="1">
        <f t="shared" si="5"/>
        <v>0.18611425617187966</v>
      </c>
      <c r="L30" s="1">
        <f t="shared" si="6"/>
        <v>0.13734913700303766</v>
      </c>
      <c r="N30" s="1">
        <f t="shared" si="1"/>
        <v>1.9082266859878223</v>
      </c>
      <c r="O30" s="1">
        <f t="shared" si="2"/>
        <v>4.5165128662433673</v>
      </c>
      <c r="Q30" s="1">
        <f t="shared" si="7"/>
        <v>3.5622349442744658E-2</v>
      </c>
      <c r="R30" s="1">
        <f t="shared" si="8"/>
        <v>2.2539605701555526E-2</v>
      </c>
      <c r="S30" s="1">
        <f t="shared" si="9"/>
        <v>1.0613719533783083E-2</v>
      </c>
      <c r="T30" s="1">
        <f t="shared" si="10"/>
        <v>6.1413842177723815E-3</v>
      </c>
      <c r="U30" s="1">
        <f t="shared" si="11"/>
        <v>6.5103674335929037E-4</v>
      </c>
      <c r="V30" s="1">
        <f t="shared" si="12"/>
        <v>3.1829900827689455E-4</v>
      </c>
      <c r="W30" s="1"/>
      <c r="X30" s="6">
        <f t="shared" si="13"/>
        <v>1.0387070431627348</v>
      </c>
      <c r="Y30" s="6">
        <f t="shared" si="14"/>
        <v>1.092656981630753</v>
      </c>
      <c r="AA30">
        <f t="shared" si="15"/>
        <v>0.5883921625111701</v>
      </c>
      <c r="AB30">
        <f t="shared" si="16"/>
        <v>0.50933876873775241</v>
      </c>
      <c r="AC30">
        <f t="shared" si="17"/>
        <v>0.39104784068993775</v>
      </c>
      <c r="AD30">
        <f t="shared" si="18"/>
        <v>0.31682739472420379</v>
      </c>
      <c r="AE30">
        <f t="shared" si="19"/>
        <v>0.79930145847003164</v>
      </c>
      <c r="AF30">
        <f t="shared" si="20"/>
        <v>0.73863040002463587</v>
      </c>
    </row>
    <row r="31" spans="1:32" x14ac:dyDescent="0.3">
      <c r="D31" s="1">
        <f t="shared" si="3"/>
        <v>7.493829964192622E-3</v>
      </c>
      <c r="E31" s="1">
        <f t="shared" si="4"/>
        <v>16.324098527418997</v>
      </c>
      <c r="G31" s="1">
        <f t="shared" si="0"/>
        <v>17.769627049195478</v>
      </c>
      <c r="I31">
        <f t="shared" si="21"/>
        <v>79</v>
      </c>
      <c r="K31" s="1">
        <f t="shared" si="5"/>
        <v>0.20366209182294573</v>
      </c>
      <c r="L31" s="1">
        <f t="shared" si="6"/>
        <v>0.15183109650407789</v>
      </c>
      <c r="N31" s="1">
        <f t="shared" si="1"/>
        <v>1.8721094354835059</v>
      </c>
      <c r="O31" s="1">
        <f t="shared" si="2"/>
        <v>4.3195603061949202</v>
      </c>
      <c r="Q31" s="1">
        <f t="shared" si="7"/>
        <v>4.091024567101692E-2</v>
      </c>
      <c r="R31" s="1">
        <f t="shared" si="8"/>
        <v>2.6176512766714947E-2</v>
      </c>
      <c r="S31" s="1">
        <f t="shared" si="9"/>
        <v>1.2538339730136627E-2</v>
      </c>
      <c r="T31" s="1">
        <f t="shared" si="10"/>
        <v>7.3391710598562357E-3</v>
      </c>
      <c r="U31" s="1">
        <f t="shared" si="11"/>
        <v>8.1126121307918914E-4</v>
      </c>
      <c r="V31" s="1">
        <f t="shared" si="12"/>
        <v>4.0140049985602479E-4</v>
      </c>
      <c r="W31" s="1"/>
      <c r="X31" s="6">
        <f t="shared" si="13"/>
        <v>1.0190473021298787</v>
      </c>
      <c r="Y31" s="6">
        <f t="shared" si="14"/>
        <v>1.045009250702007</v>
      </c>
      <c r="AA31">
        <f t="shared" si="15"/>
        <v>0.61298445497748055</v>
      </c>
      <c r="AB31">
        <f t="shared" si="16"/>
        <v>0.53470640725485508</v>
      </c>
      <c r="AC31">
        <f t="shared" si="17"/>
        <v>0.41570485590560652</v>
      </c>
      <c r="AD31">
        <f t="shared" si="18"/>
        <v>0.33984217120075344</v>
      </c>
      <c r="AE31">
        <f t="shared" si="19"/>
        <v>0.8166903033041073</v>
      </c>
      <c r="AF31">
        <f t="shared" si="20"/>
        <v>0.7589172325759701</v>
      </c>
    </row>
    <row r="32" spans="1:32" x14ac:dyDescent="0.3">
      <c r="A32" s="4"/>
      <c r="B32" s="4"/>
      <c r="C32" s="4"/>
      <c r="D32" s="1">
        <f t="shared" si="3"/>
        <v>9.2384329645185947E-3</v>
      </c>
      <c r="E32" s="5" t="e">
        <f t="shared" si="4"/>
        <v>#N/A</v>
      </c>
      <c r="F32" s="5"/>
      <c r="G32" s="5">
        <f t="shared" si="0"/>
        <v>16.982362022883592</v>
      </c>
      <c r="H32" s="5"/>
      <c r="I32" s="4">
        <f t="shared" si="21"/>
        <v>80</v>
      </c>
      <c r="J32" s="5"/>
      <c r="K32" s="5">
        <f t="shared" si="5"/>
        <v>0.22192212964817964</v>
      </c>
      <c r="L32" s="5">
        <f t="shared" si="6"/>
        <v>0.16709271590694216</v>
      </c>
      <c r="N32" s="1">
        <f t="shared" si="1"/>
        <v>1.8371173070873832</v>
      </c>
      <c r="O32" s="1">
        <f t="shared" si="2"/>
        <v>4.1335139409466128</v>
      </c>
      <c r="Q32" s="1">
        <f t="shared" si="7"/>
        <v>4.6739420414998095E-2</v>
      </c>
      <c r="R32" s="1">
        <f t="shared" si="8"/>
        <v>3.0236744884907962E-2</v>
      </c>
      <c r="S32" s="1">
        <f t="shared" si="9"/>
        <v>1.472814343081426E-2</v>
      </c>
      <c r="T32" s="1">
        <f t="shared" si="10"/>
        <v>8.7193450126342963E-3</v>
      </c>
      <c r="U32" s="1">
        <f t="shared" si="11"/>
        <v>1.0043825773046688E-3</v>
      </c>
      <c r="V32" s="1">
        <f t="shared" si="12"/>
        <v>5.0283922303537092E-4</v>
      </c>
      <c r="W32" s="1"/>
      <c r="X32" s="6">
        <f t="shared" si="13"/>
        <v>1</v>
      </c>
      <c r="Y32" s="6">
        <f t="shared" si="14"/>
        <v>1</v>
      </c>
      <c r="AA32" s="4">
        <f t="shared" si="15"/>
        <v>0.6368306511756191</v>
      </c>
      <c r="AB32" s="4">
        <f t="shared" si="16"/>
        <v>0.5596176923702425</v>
      </c>
      <c r="AC32" s="4">
        <f t="shared" si="17"/>
        <v>0.4403823076297575</v>
      </c>
      <c r="AD32" s="4">
        <f t="shared" si="18"/>
        <v>0.3631693488243809</v>
      </c>
      <c r="AE32" s="4">
        <f t="shared" si="19"/>
        <v>0.83290728409305792</v>
      </c>
      <c r="AF32" s="4">
        <f t="shared" si="20"/>
        <v>0.77807787035182041</v>
      </c>
    </row>
    <row r="33" spans="4:32" x14ac:dyDescent="0.3">
      <c r="D33" s="1">
        <f t="shared" si="3"/>
        <v>1.1320495897834376E-2</v>
      </c>
      <c r="E33" s="1" t="e">
        <f t="shared" si="4"/>
        <v>#N/A</v>
      </c>
      <c r="G33" s="1">
        <f t="shared" si="0"/>
        <v>16.213690422794571</v>
      </c>
      <c r="I33">
        <f t="shared" si="21"/>
        <v>81</v>
      </c>
      <c r="K33" s="1">
        <f t="shared" si="5"/>
        <v>0.24083934958525399</v>
      </c>
      <c r="L33" s="1">
        <f t="shared" si="6"/>
        <v>0.1831024030067662</v>
      </c>
      <c r="N33" s="1">
        <f t="shared" si="1"/>
        <v>1.8032018354079538</v>
      </c>
      <c r="O33" s="1">
        <f t="shared" si="2"/>
        <v>3.9576446318967431</v>
      </c>
      <c r="Q33" s="1">
        <f t="shared" si="7"/>
        <v>5.3132294571672213E-2</v>
      </c>
      <c r="R33" s="1">
        <f t="shared" si="8"/>
        <v>3.4745595898136056E-2</v>
      </c>
      <c r="S33" s="1">
        <f t="shared" si="9"/>
        <v>1.7205901257852745E-2</v>
      </c>
      <c r="T33" s="1">
        <f t="shared" si="10"/>
        <v>1.0300640705599095E-2</v>
      </c>
      <c r="U33" s="1">
        <f t="shared" si="11"/>
        <v>1.2357024266122976E-3</v>
      </c>
      <c r="V33" s="1">
        <f t="shared" si="12"/>
        <v>6.258693021164957E-4</v>
      </c>
      <c r="W33" s="1"/>
      <c r="X33" s="6">
        <f t="shared" si="13"/>
        <v>0.98153875555546322</v>
      </c>
      <c r="Y33" s="6">
        <f t="shared" si="14"/>
        <v>0.95745283273204751</v>
      </c>
      <c r="AA33">
        <f t="shared" si="15"/>
        <v>0.65987155310599599</v>
      </c>
      <c r="AB33">
        <f t="shared" si="16"/>
        <v>0.58399040500775801</v>
      </c>
      <c r="AC33">
        <f t="shared" si="17"/>
        <v>0.46498308559388407</v>
      </c>
      <c r="AD33">
        <f t="shared" si="18"/>
        <v>0.38671646607246096</v>
      </c>
      <c r="AE33">
        <f t="shared" si="19"/>
        <v>0.84798518299710601</v>
      </c>
      <c r="AF33">
        <f t="shared" si="20"/>
        <v>0.79611670983651983</v>
      </c>
    </row>
    <row r="34" spans="4:32" x14ac:dyDescent="0.3">
      <c r="D34" s="1">
        <f t="shared" si="3"/>
        <v>1.3790892633851776E-2</v>
      </c>
      <c r="E34" s="1" t="e">
        <f t="shared" si="4"/>
        <v>#N/A</v>
      </c>
      <c r="G34" s="1">
        <f t="shared" ref="G34:G65" si="22">+I34*K34-$B$4*EXP(-$B$2*$B$5)*L34+$B$4*EXP(-$B$2*$B$5)-I34</f>
        <v>15.464239881516903</v>
      </c>
      <c r="I34">
        <f t="shared" si="21"/>
        <v>82</v>
      </c>
      <c r="K34" s="1">
        <f t="shared" si="5"/>
        <v>0.26035391304643163</v>
      </c>
      <c r="L34" s="1">
        <f t="shared" si="6"/>
        <v>0.19982270258658966</v>
      </c>
      <c r="N34" s="1">
        <f t="shared" ref="N34:N65" si="23">($B$6/I34)^(-1+(2*($B$2-$B$3))/($B$1^2))</f>
        <v>1.7703172065633184</v>
      </c>
      <c r="O34" s="1">
        <f t="shared" ref="O34:O65" si="24">($B$6/I34)^(1+(2*($B$2-$B$3))/($B$1^2))</f>
        <v>3.7912801568280456</v>
      </c>
      <c r="Q34" s="1">
        <f t="shared" si="7"/>
        <v>6.0108611855159887E-2</v>
      </c>
      <c r="R34" s="1">
        <f t="shared" si="8"/>
        <v>3.972703719928139E-2</v>
      </c>
      <c r="S34" s="1">
        <f t="shared" si="9"/>
        <v>1.9994501940852519E-2</v>
      </c>
      <c r="T34" s="1">
        <f t="shared" si="10"/>
        <v>1.2102410428987322E-2</v>
      </c>
      <c r="U34" s="1">
        <f t="shared" si="11"/>
        <v>1.5111028143876039E-3</v>
      </c>
      <c r="V34" s="1">
        <f t="shared" si="12"/>
        <v>7.7416244054419347E-4</v>
      </c>
      <c r="W34" s="1"/>
      <c r="X34" s="6">
        <f t="shared" si="13"/>
        <v>0.96363863087764834</v>
      </c>
      <c r="Y34" s="6">
        <f t="shared" si="14"/>
        <v>0.91720512159680978</v>
      </c>
      <c r="AA34">
        <f t="shared" si="15"/>
        <v>0.68205857631160149</v>
      </c>
      <c r="AB34">
        <f t="shared" si="16"/>
        <v>0.60775135896277344</v>
      </c>
      <c r="AC34">
        <f t="shared" si="17"/>
        <v>0.48941453623024889</v>
      </c>
      <c r="AD34">
        <f t="shared" si="18"/>
        <v>0.41039191710681877</v>
      </c>
      <c r="AE34">
        <f t="shared" si="19"/>
        <v>0.86196292228464055</v>
      </c>
      <c r="AF34">
        <f t="shared" si="20"/>
        <v>0.81304704534907979</v>
      </c>
    </row>
    <row r="35" spans="4:32" x14ac:dyDescent="0.3">
      <c r="D35" s="1">
        <f t="shared" si="3"/>
        <v>1.6705619140282124E-2</v>
      </c>
      <c r="E35" s="1" t="e">
        <f t="shared" si="4"/>
        <v>#N/A</v>
      </c>
      <c r="G35" s="1">
        <f t="shared" si="22"/>
        <v>14.734576105659428</v>
      </c>
      <c r="I35">
        <f t="shared" si="21"/>
        <v>83</v>
      </c>
      <c r="K35" s="1">
        <f t="shared" si="5"/>
        <v>0.28040193881670084</v>
      </c>
      <c r="L35" s="1">
        <f t="shared" si="6"/>
        <v>0.21721076676158513</v>
      </c>
      <c r="N35" s="1">
        <f t="shared" si="23"/>
        <v>1.7384200830134504</v>
      </c>
      <c r="O35" s="1">
        <f t="shared" si="24"/>
        <v>3.6338001444903014</v>
      </c>
      <c r="Q35" s="1">
        <f t="shared" si="7"/>
        <v>6.7685136721914188E-2</v>
      </c>
      <c r="R35" s="1">
        <f t="shared" si="8"/>
        <v>4.5203405618383811E-2</v>
      </c>
      <c r="S35" s="1">
        <f t="shared" si="9"/>
        <v>2.3116728696888477E-2</v>
      </c>
      <c r="T35" s="1">
        <f t="shared" si="10"/>
        <v>1.4144481630682007E-2</v>
      </c>
      <c r="U35" s="1">
        <f t="shared" si="11"/>
        <v>1.8370667152420755E-3</v>
      </c>
      <c r="V35" s="1">
        <f t="shared" si="12"/>
        <v>9.518344050814555E-4</v>
      </c>
      <c r="W35" s="1"/>
      <c r="X35" s="6">
        <f t="shared" si="13"/>
        <v>0.94627603599771759</v>
      </c>
      <c r="Y35" s="6">
        <f t="shared" si="14"/>
        <v>0.87910678333363224</v>
      </c>
      <c r="AA35">
        <f t="shared" si="15"/>
        <v>0.70335340118209677</v>
      </c>
      <c r="AB35">
        <f t="shared" si="16"/>
        <v>0.63083658060465964</v>
      </c>
      <c r="AC35">
        <f t="shared" si="17"/>
        <v>0.51358928085737543</v>
      </c>
      <c r="AD35">
        <f t="shared" si="18"/>
        <v>0.43410596620095415</v>
      </c>
      <c r="AE35">
        <f t="shared" si="19"/>
        <v>0.87488432272693184</v>
      </c>
      <c r="AF35">
        <f t="shared" si="20"/>
        <v>0.82888991174106652</v>
      </c>
    </row>
    <row r="36" spans="4:32" x14ac:dyDescent="0.3">
      <c r="D36" s="1">
        <f t="shared" si="3"/>
        <v>2.0125936135895195E-2</v>
      </c>
      <c r="E36" s="1" t="e">
        <f t="shared" si="4"/>
        <v>#N/A</v>
      </c>
      <c r="G36" s="1">
        <f t="shared" si="22"/>
        <v>14.025199233478872</v>
      </c>
      <c r="I36">
        <f t="shared" si="21"/>
        <v>84</v>
      </c>
      <c r="K36" s="1">
        <f t="shared" si="5"/>
        <v>0.30091630679418058</v>
      </c>
      <c r="L36" s="1">
        <f t="shared" si="6"/>
        <v>0.23521889053261621</v>
      </c>
      <c r="N36" s="1">
        <f t="shared" si="23"/>
        <v>1.7074694419062764</v>
      </c>
      <c r="O36" s="1">
        <f t="shared" si="24"/>
        <v>3.4846315140944415</v>
      </c>
      <c r="Q36" s="1">
        <f t="shared" si="7"/>
        <v>7.5875389491867534E-2</v>
      </c>
      <c r="R36" s="1">
        <f t="shared" si="8"/>
        <v>5.1195105289887979E-2</v>
      </c>
      <c r="S36" s="1">
        <f t="shared" si="9"/>
        <v>2.6595026593737539E-2</v>
      </c>
      <c r="T36" s="1">
        <f t="shared" si="10"/>
        <v>1.6446999584280534E-2</v>
      </c>
      <c r="U36" s="1">
        <f t="shared" si="11"/>
        <v>2.2206931286693704E-3</v>
      </c>
      <c r="V36" s="1">
        <f t="shared" si="12"/>
        <v>1.1634692317187842E-3</v>
      </c>
      <c r="W36" s="1"/>
      <c r="X36" s="6">
        <f t="shared" si="13"/>
        <v>0.92942864090336486</v>
      </c>
      <c r="Y36" s="6">
        <f t="shared" si="14"/>
        <v>0.84301917542255311</v>
      </c>
      <c r="AA36">
        <f t="shared" si="15"/>
        <v>0.72372749676293524</v>
      </c>
      <c r="AB36">
        <f t="shared" si="16"/>
        <v>0.65319132580079731</v>
      </c>
      <c r="AC36">
        <f t="shared" si="17"/>
        <v>0.53742588843117112</v>
      </c>
      <c r="AD36">
        <f t="shared" si="18"/>
        <v>0.45777166641519473</v>
      </c>
      <c r="AE36">
        <f t="shared" si="19"/>
        <v>0.88679695401783565</v>
      </c>
      <c r="AF36">
        <f t="shared" si="20"/>
        <v>0.84367294904761647</v>
      </c>
    </row>
    <row r="37" spans="4:32" x14ac:dyDescent="0.3">
      <c r="D37" s="1">
        <f t="shared" si="3"/>
        <v>2.4118466883177814E-2</v>
      </c>
      <c r="E37" s="1" t="e">
        <f t="shared" si="4"/>
        <v>#N/A</v>
      </c>
      <c r="G37" s="1">
        <f t="shared" si="22"/>
        <v>13.336541003219281</v>
      </c>
      <c r="I37">
        <f t="shared" si="21"/>
        <v>85</v>
      </c>
      <c r="K37" s="1">
        <f t="shared" si="5"/>
        <v>0.32182747298832592</v>
      </c>
      <c r="L37" s="1">
        <f t="shared" si="6"/>
        <v>0.2537950995737065</v>
      </c>
      <c r="N37" s="1">
        <f t="shared" si="23"/>
        <v>1.6774264257487188</v>
      </c>
      <c r="O37" s="1">
        <f t="shared" si="24"/>
        <v>3.3432443641220138</v>
      </c>
      <c r="Q37" s="1">
        <f t="shared" si="7"/>
        <v>8.4689423060889252E-2</v>
      </c>
      <c r="R37" s="1">
        <f t="shared" si="8"/>
        <v>5.7720328709073912E-2</v>
      </c>
      <c r="S37" s="1">
        <f t="shared" si="9"/>
        <v>3.0451264570840828E-2</v>
      </c>
      <c r="T37" s="1">
        <f t="shared" si="10"/>
        <v>1.9030257260808918E-2</v>
      </c>
      <c r="U37" s="1">
        <f t="shared" si="11"/>
        <v>2.6697061330234655E-3</v>
      </c>
      <c r="V37" s="1">
        <f t="shared" si="12"/>
        <v>1.4141405532240453E-3</v>
      </c>
      <c r="W37" s="1"/>
      <c r="X37" s="6">
        <f t="shared" si="13"/>
        <v>0.91307529425443001</v>
      </c>
      <c r="Y37" s="6">
        <f t="shared" si="14"/>
        <v>0.80881410148489297</v>
      </c>
      <c r="AA37">
        <f t="shared" si="15"/>
        <v>0.74316154234047893</v>
      </c>
      <c r="AB37">
        <f t="shared" si="16"/>
        <v>0.67476995206984969</v>
      </c>
      <c r="AC37">
        <f t="shared" si="17"/>
        <v>0.56084940381856596</v>
      </c>
      <c r="AD37">
        <f t="shared" si="18"/>
        <v>0.48130567310904271</v>
      </c>
      <c r="AE37">
        <f t="shared" si="19"/>
        <v>0.89775108666486181</v>
      </c>
      <c r="AF37">
        <f t="shared" si="20"/>
        <v>0.85742930915653504</v>
      </c>
    </row>
    <row r="38" spans="4:32" x14ac:dyDescent="0.3">
      <c r="D38" s="1">
        <f t="shared" si="3"/>
        <v>2.8755245544768326E-2</v>
      </c>
      <c r="E38" s="1" t="e">
        <f t="shared" si="4"/>
        <v>#N/A</v>
      </c>
      <c r="G38" s="1">
        <f t="shared" si="22"/>
        <v>12.668962735557898</v>
      </c>
      <c r="I38">
        <f t="shared" si="21"/>
        <v>86</v>
      </c>
      <c r="K38" s="1">
        <f t="shared" si="5"/>
        <v>0.3430642802517952</v>
      </c>
      <c r="L38" s="1">
        <f t="shared" si="6"/>
        <v>0.27288377701092037</v>
      </c>
      <c r="N38" s="1">
        <f t="shared" si="23"/>
        <v>1.6482542043310278</v>
      </c>
      <c r="O38" s="1">
        <f t="shared" si="24"/>
        <v>3.2091482615422935</v>
      </c>
      <c r="Q38" s="1">
        <f t="shared" si="7"/>
        <v>9.4133644622169735E-2</v>
      </c>
      <c r="R38" s="1">
        <f t="shared" si="8"/>
        <v>6.4794801723024445E-2</v>
      </c>
      <c r="S38" s="1">
        <f t="shared" si="9"/>
        <v>3.4706495919351002E-2</v>
      </c>
      <c r="T38" s="1">
        <f t="shared" si="10"/>
        <v>2.1914514726419212E-2</v>
      </c>
      <c r="U38" s="1">
        <f t="shared" si="11"/>
        <v>3.1924572643742223E-3</v>
      </c>
      <c r="V38" s="1">
        <f t="shared" si="12"/>
        <v>1.709429455353213E-3</v>
      </c>
      <c r="W38" s="1"/>
      <c r="X38" s="6">
        <f t="shared" si="13"/>
        <v>0.8971959482240226</v>
      </c>
      <c r="Y38" s="6">
        <f t="shared" si="14"/>
        <v>0.77637291355242621</v>
      </c>
      <c r="AA38">
        <f t="shared" si="15"/>
        <v>0.76164477095898886</v>
      </c>
      <c r="AB38">
        <f t="shared" si="16"/>
        <v>0.69553566504313602</v>
      </c>
      <c r="AC38">
        <f t="shared" si="17"/>
        <v>0.58379173577955823</v>
      </c>
      <c r="AD38">
        <f t="shared" si="18"/>
        <v>0.50462894624179744</v>
      </c>
      <c r="AE38">
        <f t="shared" si="19"/>
        <v>0.90779875064684978</v>
      </c>
      <c r="AF38">
        <f t="shared" si="20"/>
        <v>0.87019662026882283</v>
      </c>
    </row>
    <row r="39" spans="4:32" x14ac:dyDescent="0.3">
      <c r="D39" s="1">
        <f t="shared" si="3"/>
        <v>3.4113712137994523E-2</v>
      </c>
      <c r="E39" s="1" t="e">
        <f t="shared" si="4"/>
        <v>#N/A</v>
      </c>
      <c r="G39" s="1">
        <f t="shared" si="22"/>
        <v>12.022754118683949</v>
      </c>
      <c r="I39">
        <f t="shared" si="21"/>
        <v>87</v>
      </c>
      <c r="K39" s="1">
        <f t="shared" si="5"/>
        <v>0.36455475057991477</v>
      </c>
      <c r="L39" s="1">
        <f t="shared" si="6"/>
        <v>0.29242631604295122</v>
      </c>
      <c r="N39" s="1">
        <f t="shared" si="23"/>
        <v>1.6199178469371129</v>
      </c>
      <c r="O39" s="1">
        <f t="shared" si="24"/>
        <v>3.0818888883464699</v>
      </c>
      <c r="Q39" s="1">
        <f t="shared" si="7"/>
        <v>0.1042106847970086</v>
      </c>
      <c r="R39" s="1">
        <f t="shared" si="8"/>
        <v>7.2431556640269429E-2</v>
      </c>
      <c r="S39" s="1">
        <f t="shared" si="9"/>
        <v>3.9380721058774548E-2</v>
      </c>
      <c r="T39" s="1">
        <f t="shared" si="10"/>
        <v>2.5119810624071742E-2</v>
      </c>
      <c r="U39" s="1">
        <f t="shared" si="11"/>
        <v>3.7979206809347077E-3</v>
      </c>
      <c r="V39" s="1">
        <f t="shared" si="12"/>
        <v>2.0554382890498107E-3</v>
      </c>
      <c r="W39" s="1"/>
      <c r="X39" s="6">
        <f t="shared" si="13"/>
        <v>0.8817715889386375</v>
      </c>
      <c r="Y39" s="6">
        <f t="shared" si="14"/>
        <v>0.74558570078045705</v>
      </c>
      <c r="AA39">
        <f t="shared" si="15"/>
        <v>0.77917425741541391</v>
      </c>
      <c r="AB39">
        <f t="shared" si="16"/>
        <v>0.71546015870446644</v>
      </c>
      <c r="AC39">
        <f t="shared" si="17"/>
        <v>0.60619191153837015</v>
      </c>
      <c r="AD39">
        <f t="shared" si="18"/>
        <v>0.52766733853206538</v>
      </c>
      <c r="AE39">
        <f t="shared" si="19"/>
        <v>0.91699290261301969</v>
      </c>
      <c r="AF39">
        <f t="shared" si="20"/>
        <v>0.88201602094958687</v>
      </c>
    </row>
    <row r="40" spans="4:32" x14ac:dyDescent="0.3">
      <c r="D40" s="1">
        <f t="shared" si="3"/>
        <v>4.027665082851839E-2</v>
      </c>
      <c r="E40" s="1" t="e">
        <f t="shared" si="4"/>
        <v>#N/A</v>
      </c>
      <c r="G40" s="1">
        <f t="shared" si="22"/>
        <v>11.398132771146962</v>
      </c>
      <c r="I40">
        <f t="shared" si="21"/>
        <v>88</v>
      </c>
      <c r="K40" s="1">
        <f t="shared" si="5"/>
        <v>0.38622684639358018</v>
      </c>
      <c r="L40" s="1">
        <f t="shared" si="6"/>
        <v>0.31236178566653661</v>
      </c>
      <c r="N40" s="1">
        <f t="shared" si="23"/>
        <v>1.5923842039667511</v>
      </c>
      <c r="O40" s="1">
        <f t="shared" si="24"/>
        <v>2.9610450073761894</v>
      </c>
      <c r="Q40" s="1">
        <f t="shared" si="7"/>
        <v>0.11491931554951951</v>
      </c>
      <c r="R40" s="1">
        <f t="shared" si="8"/>
        <v>8.0640737004004204E-2</v>
      </c>
      <c r="S40" s="1">
        <f t="shared" si="9"/>
        <v>4.4492656395177341E-2</v>
      </c>
      <c r="T40" s="1">
        <f t="shared" si="10"/>
        <v>2.8665768473640302E-2</v>
      </c>
      <c r="U40" s="1">
        <f t="shared" si="11"/>
        <v>4.495680674777942E-3</v>
      </c>
      <c r="V40" s="1">
        <f t="shared" si="12"/>
        <v>2.4587998994228606E-3</v>
      </c>
      <c r="W40" s="1"/>
      <c r="X40" s="6">
        <f t="shared" si="13"/>
        <v>0.86678417204144753</v>
      </c>
      <c r="Y40" s="6">
        <f t="shared" si="14"/>
        <v>0.716350555406155</v>
      </c>
      <c r="AA40">
        <f t="shared" si="15"/>
        <v>0.79575417130958659</v>
      </c>
      <c r="AB40">
        <f t="shared" si="16"/>
        <v>0.73452316868917078</v>
      </c>
      <c r="AC40">
        <f t="shared" si="17"/>
        <v>0.62799620698115977</v>
      </c>
      <c r="AD40">
        <f t="shared" si="18"/>
        <v>0.5503520693628241</v>
      </c>
      <c r="AE40">
        <f t="shared" si="19"/>
        <v>0.92538670049523342</v>
      </c>
      <c r="AF40">
        <f t="shared" si="20"/>
        <v>0.89293127197839894</v>
      </c>
    </row>
    <row r="41" spans="4:32" x14ac:dyDescent="0.3">
      <c r="D41" s="1">
        <f t="shared" si="3"/>
        <v>4.7332069092082318E-2</v>
      </c>
      <c r="E41" s="1" t="e">
        <f t="shared" si="4"/>
        <v>#N/A</v>
      </c>
      <c r="G41" s="1">
        <f t="shared" si="22"/>
        <v>10.795244545883776</v>
      </c>
      <c r="I41">
        <f t="shared" si="21"/>
        <v>89</v>
      </c>
      <c r="K41" s="1">
        <f t="shared" si="5"/>
        <v>0.4080091899555649</v>
      </c>
      <c r="L41" s="1">
        <f t="shared" si="6"/>
        <v>0.33262759745726467</v>
      </c>
      <c r="N41" s="1">
        <f t="shared" si="23"/>
        <v>1.565621797178798</v>
      </c>
      <c r="O41" s="1">
        <f t="shared" si="24"/>
        <v>2.8462257138460663</v>
      </c>
      <c r="Q41" s="1">
        <f t="shared" si="7"/>
        <v>0.12625441725337555</v>
      </c>
      <c r="R41" s="1">
        <f t="shared" si="8"/>
        <v>8.942943687782702E-2</v>
      </c>
      <c r="S41" s="1">
        <f t="shared" si="9"/>
        <v>5.0059512909320168E-2</v>
      </c>
      <c r="T41" s="1">
        <f t="shared" si="10"/>
        <v>3.2571400639016798E-2</v>
      </c>
      <c r="U41" s="1">
        <f t="shared" si="11"/>
        <v>5.2959112062649699E-3</v>
      </c>
      <c r="V41" s="1">
        <f t="shared" si="12"/>
        <v>2.9266817785055734E-3</v>
      </c>
      <c r="W41" s="1"/>
      <c r="X41" s="6">
        <f t="shared" si="13"/>
        <v>0.85221656294827364</v>
      </c>
      <c r="Y41" s="6">
        <f t="shared" si="14"/>
        <v>0.68857290782337466</v>
      </c>
      <c r="AA41">
        <f t="shared" si="15"/>
        <v>0.8113950135242648</v>
      </c>
      <c r="AB41">
        <f t="shared" si="16"/>
        <v>0.75271195725349704</v>
      </c>
      <c r="AC41">
        <f t="shared" si="17"/>
        <v>0.64915816315169494</v>
      </c>
      <c r="AD41">
        <f t="shared" si="18"/>
        <v>0.57262008678983101</v>
      </c>
      <c r="AE41">
        <f t="shared" si="19"/>
        <v>0.93303288208696988</v>
      </c>
      <c r="AF41">
        <f t="shared" si="20"/>
        <v>0.90298795104202267</v>
      </c>
    </row>
    <row r="42" spans="4:32" x14ac:dyDescent="0.3">
      <c r="D42" s="1">
        <f t="shared" si="3"/>
        <v>5.5373016125139674E-2</v>
      </c>
      <c r="E42" s="1" t="e">
        <f t="shared" si="4"/>
        <v>#N/A</v>
      </c>
      <c r="G42" s="1">
        <f t="shared" si="22"/>
        <v>10.214164528888958</v>
      </c>
      <c r="I42">
        <f t="shared" si="21"/>
        <v>90</v>
      </c>
      <c r="K42" s="1">
        <f t="shared" si="5"/>
        <v>0.4298317318895431</v>
      </c>
      <c r="L42" s="1">
        <f t="shared" si="6"/>
        <v>0.35316016226972924</v>
      </c>
      <c r="N42" s="1">
        <f t="shared" si="23"/>
        <v>1.5396007178390017</v>
      </c>
      <c r="O42" s="1">
        <f t="shared" si="24"/>
        <v>2.7370679428248912</v>
      </c>
      <c r="Q42" s="1">
        <f t="shared" si="7"/>
        <v>0.13820699431731612</v>
      </c>
      <c r="R42" s="1">
        <f t="shared" si="8"/>
        <v>9.88015767617475E-2</v>
      </c>
      <c r="S42" s="1">
        <f t="shared" si="9"/>
        <v>5.6096787909261946E-2</v>
      </c>
      <c r="T42" s="1">
        <f t="shared" si="10"/>
        <v>3.6854912861482687E-2</v>
      </c>
      <c r="U42" s="1">
        <f t="shared" si="11"/>
        <v>6.209347260441719E-3</v>
      </c>
      <c r="V42" s="1">
        <f t="shared" si="12"/>
        <v>3.4667847070069002E-3</v>
      </c>
      <c r="W42" s="1"/>
      <c r="X42" s="6">
        <f t="shared" si="13"/>
        <v>0.83805248140627853</v>
      </c>
      <c r="Y42" s="6">
        <f t="shared" si="14"/>
        <v>0.66216492358026935</v>
      </c>
      <c r="AA42">
        <f t="shared" si="15"/>
        <v>0.82611285217965236</v>
      </c>
      <c r="AB42">
        <f t="shared" si="16"/>
        <v>0.77002074747556115</v>
      </c>
      <c r="AC42">
        <f t="shared" si="17"/>
        <v>0.66963850085793852</v>
      </c>
      <c r="AD42">
        <f t="shared" si="18"/>
        <v>0.59441432211371659</v>
      </c>
      <c r="AE42">
        <f t="shared" si="19"/>
        <v>0.93998324236194897</v>
      </c>
      <c r="AF42">
        <f t="shared" si="20"/>
        <v>0.9122327325859062</v>
      </c>
    </row>
    <row r="43" spans="4:32" x14ac:dyDescent="0.3">
      <c r="D43" s="1">
        <f t="shared" si="3"/>
        <v>6.4497339782170204E-2</v>
      </c>
      <c r="E43" s="1" t="e">
        <f t="shared" si="4"/>
        <v>#N/A</v>
      </c>
      <c r="G43" s="1">
        <f t="shared" si="22"/>
        <v>9.654898677884546</v>
      </c>
      <c r="I43">
        <f t="shared" si="21"/>
        <v>91</v>
      </c>
      <c r="K43" s="1">
        <f t="shared" si="5"/>
        <v>0.45162636161494119</v>
      </c>
      <c r="L43" s="1">
        <f t="shared" si="6"/>
        <v>0.37389552681062799</v>
      </c>
      <c r="N43" s="1">
        <f t="shared" si="23"/>
        <v>1.5142925321227636</v>
      </c>
      <c r="O43" s="1">
        <f t="shared" si="24"/>
        <v>2.633234206323849</v>
      </c>
      <c r="Q43" s="1">
        <f t="shared" si="7"/>
        <v>0.15076423788163992</v>
      </c>
      <c r="R43" s="1">
        <f t="shared" si="8"/>
        <v>0.10875781751070462</v>
      </c>
      <c r="S43" s="1">
        <f t="shared" si="9"/>
        <v>6.2618073099600949E-2</v>
      </c>
      <c r="T43" s="1">
        <f t="shared" si="10"/>
        <v>4.1533512246582131E-2</v>
      </c>
      <c r="U43" s="1">
        <f t="shared" si="11"/>
        <v>7.2472479558163636E-3</v>
      </c>
      <c r="V43" s="1">
        <f t="shared" si="12"/>
        <v>4.0873355193955891E-3</v>
      </c>
      <c r="W43" s="1"/>
      <c r="X43" s="6">
        <f t="shared" si="13"/>
        <v>0.8242764500017502</v>
      </c>
      <c r="Y43" s="6">
        <f t="shared" si="14"/>
        <v>0.63704495592455035</v>
      </c>
      <c r="AA43">
        <f t="shared" si="15"/>
        <v>0.83992857174251268</v>
      </c>
      <c r="AB43">
        <f t="shared" si="16"/>
        <v>0.78645012291291072</v>
      </c>
      <c r="AC43">
        <f t="shared" si="17"/>
        <v>0.68940494589318801</v>
      </c>
      <c r="AD43">
        <f t="shared" si="18"/>
        <v>0.61568384320214653</v>
      </c>
      <c r="AE43">
        <f t="shared" si="19"/>
        <v>0.94628820300694261</v>
      </c>
      <c r="AF43">
        <f t="shared" si="20"/>
        <v>0.92071275285110543</v>
      </c>
    </row>
    <row r="44" spans="4:32" x14ac:dyDescent="0.3">
      <c r="D44" s="1">
        <f t="shared" si="3"/>
        <v>7.4807382240152265E-2</v>
      </c>
      <c r="E44" s="1" t="e">
        <f t="shared" si="4"/>
        <v>#N/A</v>
      </c>
      <c r="G44" s="1">
        <f t="shared" si="22"/>
        <v>9.1173860400704427</v>
      </c>
      <c r="I44">
        <f t="shared" si="21"/>
        <v>92</v>
      </c>
      <c r="K44" s="1">
        <f t="shared" si="5"/>
        <v>0.47332745432577039</v>
      </c>
      <c r="L44" s="1">
        <f t="shared" si="6"/>
        <v>0.39476998125538587</v>
      </c>
      <c r="N44" s="1">
        <f t="shared" si="23"/>
        <v>1.4896701931830278</v>
      </c>
      <c r="O44" s="1">
        <f t="shared" si="24"/>
        <v>2.5344105366062855</v>
      </c>
      <c r="Q44" s="1">
        <f t="shared" si="7"/>
        <v>0.16390963328833216</v>
      </c>
      <c r="R44" s="1">
        <f t="shared" si="8"/>
        <v>0.11929551288771287</v>
      </c>
      <c r="S44" s="1">
        <f t="shared" si="9"/>
        <v>6.9634881778698698E-2</v>
      </c>
      <c r="T44" s="1">
        <f t="shared" si="10"/>
        <v>4.6623221519402014E-2</v>
      </c>
      <c r="U44" s="1">
        <f t="shared" si="11"/>
        <v>8.4213514714197718E-3</v>
      </c>
      <c r="V44" s="1">
        <f t="shared" si="12"/>
        <v>4.7970737053345414E-3</v>
      </c>
      <c r="W44" s="1"/>
      <c r="X44" s="6">
        <f t="shared" si="13"/>
        <v>0.81087374629592501</v>
      </c>
      <c r="Y44" s="6">
        <f t="shared" si="14"/>
        <v>0.6131370482388846</v>
      </c>
      <c r="AA44">
        <f t="shared" si="15"/>
        <v>0.85286714664627372</v>
      </c>
      <c r="AB44">
        <f t="shared" si="16"/>
        <v>0.80200640740621953</v>
      </c>
      <c r="AC44">
        <f t="shared" si="17"/>
        <v>0.70843197766458088</v>
      </c>
      <c r="AD44">
        <f t="shared" si="18"/>
        <v>0.63638391410337869</v>
      </c>
      <c r="AE44">
        <f t="shared" si="19"/>
        <v>0.95199646676696037</v>
      </c>
      <c r="AF44">
        <f t="shared" si="20"/>
        <v>0.92847505825306986</v>
      </c>
    </row>
    <row r="45" spans="4:32" x14ac:dyDescent="0.3">
      <c r="D45" s="1">
        <f t="shared" si="3"/>
        <v>8.6409615519249305E-2</v>
      </c>
      <c r="E45" s="1" t="e">
        <f t="shared" si="4"/>
        <v>#N/A</v>
      </c>
      <c r="G45" s="1">
        <f t="shared" si="22"/>
        <v>8.601501483542819</v>
      </c>
      <c r="I45">
        <f t="shared" si="21"/>
        <v>93</v>
      </c>
      <c r="K45" s="1">
        <f t="shared" si="5"/>
        <v>0.49487235088282017</v>
      </c>
      <c r="L45" s="1">
        <f t="shared" si="6"/>
        <v>0.41572063037670659</v>
      </c>
      <c r="N45" s="1">
        <f t="shared" si="23"/>
        <v>1.4657079593472637</v>
      </c>
      <c r="O45" s="1">
        <f t="shared" si="24"/>
        <v>2.4403046149382122</v>
      </c>
      <c r="Q45" s="1">
        <f t="shared" si="7"/>
        <v>0.17762310931678654</v>
      </c>
      <c r="R45" s="1">
        <f t="shared" si="8"/>
        <v>0.13040870066703703</v>
      </c>
      <c r="S45" s="1">
        <f t="shared" si="9"/>
        <v>7.7156497587044362E-2</v>
      </c>
      <c r="T45" s="1">
        <f t="shared" si="10"/>
        <v>5.2138702234498846E-2</v>
      </c>
      <c r="U45" s="1">
        <f t="shared" si="11"/>
        <v>9.7438219948171798E-3</v>
      </c>
      <c r="V45" s="1">
        <f t="shared" si="12"/>
        <v>5.6052316470987093E-3</v>
      </c>
      <c r="W45" s="1"/>
      <c r="X45" s="6">
        <f t="shared" si="13"/>
        <v>0.79783035829706372</v>
      </c>
      <c r="Y45" s="6">
        <f t="shared" si="14"/>
        <v>0.59037048133902281</v>
      </c>
      <c r="AA45">
        <f t="shared" si="15"/>
        <v>0.86495694855523819</v>
      </c>
      <c r="AB45">
        <f t="shared" si="16"/>
        <v>0.81670103806091809</v>
      </c>
      <c r="AC45">
        <f t="shared" si="17"/>
        <v>0.7267005139631878</v>
      </c>
      <c r="AD45">
        <f t="shared" si="18"/>
        <v>0.65647596949256359</v>
      </c>
      <c r="AE45">
        <f t="shared" si="19"/>
        <v>0.95715474868543249</v>
      </c>
      <c r="AF45">
        <f t="shared" si="20"/>
        <v>0.93556613378022968</v>
      </c>
    </row>
    <row r="46" spans="4:32" x14ac:dyDescent="0.3">
      <c r="D46" s="1">
        <f t="shared" si="3"/>
        <v>9.9414218903898677E-2</v>
      </c>
      <c r="E46" s="1" t="e">
        <f t="shared" si="4"/>
        <v>#N/A</v>
      </c>
      <c r="G46" s="1">
        <f t="shared" si="22"/>
        <v>8.1070588741637977</v>
      </c>
      <c r="I46">
        <f t="shared" si="21"/>
        <v>94</v>
      </c>
      <c r="K46" s="1">
        <f t="shared" si="5"/>
        <v>0.51620176861942191</v>
      </c>
      <c r="L46" s="1">
        <f t="shared" si="6"/>
        <v>0.43668592198918132</v>
      </c>
      <c r="N46" s="1">
        <f t="shared" si="23"/>
        <v>1.4423813179558265</v>
      </c>
      <c r="O46" s="1">
        <f t="shared" si="24"/>
        <v>2.3506440672888074</v>
      </c>
      <c r="Q46" s="1">
        <f t="shared" si="7"/>
        <v>0.1918812255751671</v>
      </c>
      <c r="R46" s="1">
        <f t="shared" si="8"/>
        <v>0.14208813152537744</v>
      </c>
      <c r="S46" s="1">
        <f t="shared" si="9"/>
        <v>8.518984680601456E-2</v>
      </c>
      <c r="T46" s="1">
        <f t="shared" si="10"/>
        <v>5.8093089446966339E-2</v>
      </c>
      <c r="U46" s="1">
        <f t="shared" si="11"/>
        <v>1.1227189028727786E-2</v>
      </c>
      <c r="V46" s="1">
        <f t="shared" si="12"/>
        <v>6.521508385353497E-3</v>
      </c>
      <c r="W46" s="1"/>
      <c r="X46" s="6">
        <f t="shared" si="13"/>
        <v>0.78513294300330649</v>
      </c>
      <c r="Y46" s="6">
        <f t="shared" si="14"/>
        <v>0.56867936116129036</v>
      </c>
      <c r="AA46">
        <f t="shared" si="15"/>
        <v>0.87622909432807694</v>
      </c>
      <c r="AB46">
        <f t="shared" si="16"/>
        <v>0.83054994272576588</v>
      </c>
      <c r="AC46">
        <f t="shared" si="17"/>
        <v>0.74419754425916673</v>
      </c>
      <c r="AD46">
        <f t="shared" si="18"/>
        <v>0.67592751316183319</v>
      </c>
      <c r="AE46">
        <f t="shared" si="19"/>
        <v>0.96180757610739231</v>
      </c>
      <c r="AF46">
        <f t="shared" si="20"/>
        <v>0.94203150696867644</v>
      </c>
    </row>
    <row r="47" spans="4:32" x14ac:dyDescent="0.3">
      <c r="D47" s="1">
        <f t="shared" si="3"/>
        <v>0.11393460119150878</v>
      </c>
      <c r="E47" s="1" t="e">
        <f t="shared" si="4"/>
        <v>#N/A</v>
      </c>
      <c r="G47" s="1">
        <f t="shared" si="22"/>
        <v>7.6338146284241191</v>
      </c>
      <c r="I47">
        <f t="shared" si="21"/>
        <v>95</v>
      </c>
      <c r="K47" s="1">
        <f t="shared" si="5"/>
        <v>0.53726014255325238</v>
      </c>
      <c r="L47" s="1">
        <f t="shared" si="6"/>
        <v>0.45760612784927152</v>
      </c>
      <c r="N47" s="1">
        <f t="shared" si="23"/>
        <v>1.4196669143975149</v>
      </c>
      <c r="O47" s="1">
        <f t="shared" si="24"/>
        <v>2.2651749105068379</v>
      </c>
      <c r="Q47" s="1">
        <f t="shared" si="7"/>
        <v>0.20665739395023219</v>
      </c>
      <c r="R47" s="1">
        <f t="shared" si="8"/>
        <v>0.15432133433439268</v>
      </c>
      <c r="S47" s="1">
        <f t="shared" si="9"/>
        <v>9.3739395758481767E-2</v>
      </c>
      <c r="T47" s="1">
        <f t="shared" si="10"/>
        <v>6.4497840126618841E-2</v>
      </c>
      <c r="U47" s="1">
        <f t="shared" si="11"/>
        <v>1.2884279524171054E-2</v>
      </c>
      <c r="V47" s="1">
        <f t="shared" si="12"/>
        <v>7.5560369025960816E-3</v>
      </c>
      <c r="W47" s="1"/>
      <c r="X47" s="6">
        <f t="shared" si="13"/>
        <v>0.77276878777452385</v>
      </c>
      <c r="Y47" s="6">
        <f t="shared" si="14"/>
        <v>0.54800224285395582</v>
      </c>
      <c r="AA47">
        <f t="shared" si="15"/>
        <v>0.88671683983477745</v>
      </c>
      <c r="AB47">
        <f t="shared" si="16"/>
        <v>0.84357293157586133</v>
      </c>
      <c r="AC47">
        <f t="shared" si="17"/>
        <v>0.76091572331767421</v>
      </c>
      <c r="AD47">
        <f t="shared" si="18"/>
        <v>0.69471195013527043</v>
      </c>
      <c r="AE47">
        <f t="shared" si="19"/>
        <v>0.96599714934349357</v>
      </c>
      <c r="AF47">
        <f t="shared" si="20"/>
        <v>0.94791542220534164</v>
      </c>
    </row>
    <row r="48" spans="4:32" x14ac:dyDescent="0.3">
      <c r="D48" s="1">
        <f t="shared" si="3"/>
        <v>0.13008687152966703</v>
      </c>
      <c r="E48" s="1" t="e">
        <f t="shared" si="4"/>
        <v>#N/A</v>
      </c>
      <c r="G48" s="1">
        <f t="shared" si="22"/>
        <v>7.1814715730135106</v>
      </c>
      <c r="I48">
        <f t="shared" si="21"/>
        <v>96</v>
      </c>
      <c r="K48" s="1">
        <f t="shared" si="5"/>
        <v>0.55799589783012893</v>
      </c>
      <c r="L48" s="1">
        <f t="shared" si="6"/>
        <v>0.47842377345126075</v>
      </c>
      <c r="N48" s="1">
        <f t="shared" si="23"/>
        <v>1.3975424859373684</v>
      </c>
      <c r="O48" s="1">
        <f t="shared" si="24"/>
        <v>2.1836601342771385</v>
      </c>
      <c r="Q48" s="1">
        <f t="shared" si="7"/>
        <v>0.22192212964817964</v>
      </c>
      <c r="R48" s="1">
        <f t="shared" si="8"/>
        <v>0.16709271590694216</v>
      </c>
      <c r="S48" s="1">
        <f t="shared" si="9"/>
        <v>0.10280707440266672</v>
      </c>
      <c r="T48" s="1">
        <f t="shared" si="10"/>
        <v>7.1362597335071901E-2</v>
      </c>
      <c r="U48" s="1">
        <f t="shared" si="11"/>
        <v>1.472814343081426E-2</v>
      </c>
      <c r="V48" s="1">
        <f t="shared" si="12"/>
        <v>8.7193450126342963E-3</v>
      </c>
      <c r="W48" s="1"/>
      <c r="X48" s="6">
        <f t="shared" si="13"/>
        <v>0.76072577431273081</v>
      </c>
      <c r="Y48" s="6">
        <f t="shared" si="14"/>
        <v>0.52828178771717416</v>
      </c>
      <c r="AA48">
        <f t="shared" si="15"/>
        <v>0.89645502307708047</v>
      </c>
      <c r="AB48">
        <f t="shared" si="16"/>
        <v>0.85579311074329822</v>
      </c>
      <c r="AC48">
        <f t="shared" si="17"/>
        <v>0.77685293615924467</v>
      </c>
      <c r="AD48">
        <f t="shared" si="18"/>
        <v>0.71280836209487286</v>
      </c>
      <c r="AE48">
        <f t="shared" si="19"/>
        <v>0.96976325511509198</v>
      </c>
      <c r="AF48">
        <f t="shared" si="20"/>
        <v>0.95326057958500188</v>
      </c>
    </row>
    <row r="49" spans="4:32" x14ac:dyDescent="0.3">
      <c r="D49" s="1">
        <f t="shared" si="3"/>
        <v>0.14798926337144858</v>
      </c>
      <c r="E49" s="1" t="e">
        <f t="shared" si="4"/>
        <v>#N/A</v>
      </c>
      <c r="G49" s="1">
        <f t="shared" si="22"/>
        <v>6.7496830432356489</v>
      </c>
      <c r="I49">
        <f t="shared" si="21"/>
        <v>97</v>
      </c>
      <c r="K49" s="1">
        <f t="shared" si="5"/>
        <v>0.57836165538771045</v>
      </c>
      <c r="L49" s="1">
        <f t="shared" si="6"/>
        <v>0.49908401439917849</v>
      </c>
      <c r="N49" s="1">
        <f t="shared" si="23"/>
        <v>1.3759867999671302</v>
      </c>
      <c r="O49" s="1">
        <f t="shared" si="24"/>
        <v>2.1058784057313931</v>
      </c>
      <c r="Q49" s="1">
        <f t="shared" si="7"/>
        <v>0.23764332710463104</v>
      </c>
      <c r="R49" s="1">
        <f t="shared" si="8"/>
        <v>0.18038369276044663</v>
      </c>
      <c r="S49" s="1">
        <f t="shared" si="9"/>
        <v>0.11239222674940497</v>
      </c>
      <c r="T49" s="1">
        <f t="shared" si="10"/>
        <v>7.8695071893254614E-2</v>
      </c>
      <c r="U49" s="1">
        <f t="shared" si="11"/>
        <v>1.6771973367921165E-2</v>
      </c>
      <c r="V49" s="1">
        <f t="shared" si="12"/>
        <v>1.0022310043642008E-2</v>
      </c>
      <c r="W49" s="1"/>
      <c r="X49" s="6">
        <f t="shared" si="13"/>
        <v>0.74899234504989654</v>
      </c>
      <c r="Y49" s="6">
        <f t="shared" si="14"/>
        <v>0.50946444981606309</v>
      </c>
      <c r="AA49">
        <f t="shared" si="15"/>
        <v>0.90547955856518691</v>
      </c>
      <c r="AB49">
        <f t="shared" si="16"/>
        <v>0.867236324357613</v>
      </c>
      <c r="AC49">
        <f t="shared" si="17"/>
        <v>0.79201184448145401</v>
      </c>
      <c r="AD49">
        <f t="shared" si="18"/>
        <v>0.73020123568045026</v>
      </c>
      <c r="AE49">
        <f t="shared" si="19"/>
        <v>0.97314322526908714</v>
      </c>
      <c r="AF49">
        <f t="shared" si="20"/>
        <v>0.95810793225525503</v>
      </c>
    </row>
    <row r="50" spans="4:32" x14ac:dyDescent="0.3">
      <c r="D50" s="1">
        <f t="shared" si="3"/>
        <v>0.16776151676850315</v>
      </c>
      <c r="E50" s="1" t="e">
        <f t="shared" si="4"/>
        <v>#N/A</v>
      </c>
      <c r="G50" s="1">
        <f t="shared" si="22"/>
        <v>6.3380571548986637</v>
      </c>
      <c r="I50">
        <f t="shared" si="21"/>
        <v>98</v>
      </c>
      <c r="K50" s="1">
        <f t="shared" si="5"/>
        <v>0.59831437381129005</v>
      </c>
      <c r="L50" s="1">
        <f t="shared" si="6"/>
        <v>0.51953495818970086</v>
      </c>
      <c r="N50" s="1">
        <f t="shared" si="23"/>
        <v>1.3549795963407871</v>
      </c>
      <c r="O50" s="1">
        <f t="shared" si="24"/>
        <v>2.0316228849757745</v>
      </c>
      <c r="Q50" s="1">
        <f t="shared" si="7"/>
        <v>0.25378655589922583</v>
      </c>
      <c r="R50" s="1">
        <f t="shared" si="8"/>
        <v>0.19417285204943896</v>
      </c>
      <c r="S50" s="1">
        <f t="shared" si="9"/>
        <v>0.12249158828093468</v>
      </c>
      <c r="T50" s="1">
        <f t="shared" si="10"/>
        <v>8.6500942952475304E-2</v>
      </c>
      <c r="U50" s="1">
        <f t="shared" si="11"/>
        <v>1.9029019219765648E-2</v>
      </c>
      <c r="V50" s="1">
        <f t="shared" si="12"/>
        <v>1.147610759955286E-2</v>
      </c>
      <c r="W50" s="1"/>
      <c r="X50" s="6">
        <f t="shared" si="13"/>
        <v>0.73755747175938879</v>
      </c>
      <c r="Y50" s="6">
        <f t="shared" si="14"/>
        <v>0.4915001894273312</v>
      </c>
      <c r="AA50">
        <f t="shared" si="15"/>
        <v>0.91382698361496317</v>
      </c>
      <c r="AB50">
        <f t="shared" si="16"/>
        <v>0.87793062988707093</v>
      </c>
      <c r="AC50">
        <f t="shared" si="17"/>
        <v>0.80639942366149853</v>
      </c>
      <c r="AD50">
        <f t="shared" si="18"/>
        <v>0.74688015291233223</v>
      </c>
      <c r="AE50">
        <f t="shared" si="19"/>
        <v>0.97617193372502287</v>
      </c>
      <c r="AF50">
        <f t="shared" si="20"/>
        <v>0.96249653608884822</v>
      </c>
    </row>
    <row r="51" spans="4:32" x14ac:dyDescent="0.3">
      <c r="D51" s="1">
        <f t="shared" si="3"/>
        <v>0.18952422482156139</v>
      </c>
      <c r="E51" s="1" t="e">
        <f t="shared" si="4"/>
        <v>#N/A</v>
      </c>
      <c r="G51" s="1">
        <f t="shared" si="22"/>
        <v>5.9461611877030123</v>
      </c>
      <c r="I51">
        <f t="shared" si="21"/>
        <v>99</v>
      </c>
      <c r="K51" s="1">
        <f t="shared" si="5"/>
        <v>0.6178154311601376</v>
      </c>
      <c r="L51" s="1">
        <f t="shared" si="6"/>
        <v>0.53972793129449159</v>
      </c>
      <c r="N51" s="1">
        <f t="shared" si="23"/>
        <v>1.3345015334864976</v>
      </c>
      <c r="O51" s="1">
        <f t="shared" si="24"/>
        <v>1.960700141026994</v>
      </c>
      <c r="Q51" s="1">
        <f t="shared" si="7"/>
        <v>0.27031537177288706</v>
      </c>
      <c r="R51" s="1">
        <f t="shared" si="8"/>
        <v>0.20843613848885223</v>
      </c>
      <c r="S51" s="1">
        <f t="shared" si="9"/>
        <v>0.13309929011570709</v>
      </c>
      <c r="T51" s="1">
        <f t="shared" si="10"/>
        <v>9.4783778553500134E-2</v>
      </c>
      <c r="U51" s="1">
        <f t="shared" si="11"/>
        <v>2.1512498545705458E-2</v>
      </c>
      <c r="V51" s="1">
        <f t="shared" si="12"/>
        <v>1.309215477789037E-2</v>
      </c>
      <c r="W51" s="1"/>
      <c r="X51" s="6">
        <f t="shared" si="13"/>
        <v>0.72641062622302177</v>
      </c>
      <c r="Y51" s="6">
        <f t="shared" si="14"/>
        <v>0.47434221077720023</v>
      </c>
      <c r="AA51">
        <f t="shared" si="15"/>
        <v>0.9215340561452976</v>
      </c>
      <c r="AB51">
        <f t="shared" si="16"/>
        <v>0.88790581032931848</v>
      </c>
      <c r="AC51">
        <f t="shared" si="17"/>
        <v>0.82002649841141206</v>
      </c>
      <c r="AD51">
        <f t="shared" si="18"/>
        <v>0.76283945251746776</v>
      </c>
      <c r="AE51">
        <f t="shared" si="19"/>
        <v>0.97888182516118905</v>
      </c>
      <c r="AF51">
        <f t="shared" si="20"/>
        <v>0.96646344558738972</v>
      </c>
    </row>
    <row r="52" spans="4:32" x14ac:dyDescent="0.3">
      <c r="D52" s="1">
        <f t="shared" si="3"/>
        <v>0.21339815060915113</v>
      </c>
      <c r="E52" s="1" t="e">
        <f t="shared" si="4"/>
        <v>#N/A</v>
      </c>
      <c r="G52" s="1">
        <f t="shared" si="22"/>
        <v>5.5735260222569707</v>
      </c>
      <c r="I52">
        <f t="shared" si="21"/>
        <v>100</v>
      </c>
      <c r="K52" s="1">
        <f t="shared" si="5"/>
        <v>0.6368306511756191</v>
      </c>
      <c r="L52" s="1">
        <f t="shared" si="6"/>
        <v>0.5596176923702425</v>
      </c>
      <c r="N52" s="1">
        <f t="shared" si="23"/>
        <v>1.3145341380123985</v>
      </c>
      <c r="O52" s="1">
        <f t="shared" si="24"/>
        <v>1.8929291587378538</v>
      </c>
      <c r="Q52" s="1">
        <f t="shared" si="7"/>
        <v>0.28719163790512708</v>
      </c>
      <c r="R52" s="1">
        <f t="shared" si="8"/>
        <v>0.22314706384075533</v>
      </c>
      <c r="S52" s="1">
        <f t="shared" si="9"/>
        <v>0.14420688925670178</v>
      </c>
      <c r="T52" s="1">
        <f t="shared" si="10"/>
        <v>0.10354497692291953</v>
      </c>
      <c r="U52" s="1">
        <f t="shared" si="11"/>
        <v>2.4235503765815347E-2</v>
      </c>
      <c r="V52" s="1">
        <f t="shared" si="12"/>
        <v>1.4882048309757576E-2</v>
      </c>
      <c r="W52" s="1"/>
      <c r="X52" s="6">
        <f t="shared" si="13"/>
        <v>0.71554175279993282</v>
      </c>
      <c r="Y52" s="6">
        <f t="shared" si="14"/>
        <v>0.45794672179195706</v>
      </c>
      <c r="AA52">
        <f t="shared" si="15"/>
        <v>0.92863740266492811</v>
      </c>
      <c r="AB52">
        <f t="shared" si="16"/>
        <v>0.89719292559733332</v>
      </c>
      <c r="AC52">
        <f t="shared" si="17"/>
        <v>0.83290728409305792</v>
      </c>
      <c r="AD52">
        <f t="shared" si="18"/>
        <v>0.77807787035182041</v>
      </c>
      <c r="AE52">
        <f t="shared" si="19"/>
        <v>0.98130296953188956</v>
      </c>
      <c r="AF52">
        <f t="shared" si="20"/>
        <v>0.97004365011071214</v>
      </c>
    </row>
    <row r="53" spans="4:32" x14ac:dyDescent="0.3">
      <c r="D53" s="1">
        <f t="shared" si="3"/>
        <v>0.23950352131060892</v>
      </c>
      <c r="E53" s="1" t="e">
        <f t="shared" si="4"/>
        <v>#N/A</v>
      </c>
      <c r="G53" s="1">
        <f t="shared" si="22"/>
        <v>5.2196505775088156</v>
      </c>
      <c r="I53">
        <f t="shared" si="21"/>
        <v>101</v>
      </c>
      <c r="K53" s="1">
        <f t="shared" si="5"/>
        <v>0.65533027875009464</v>
      </c>
      <c r="L53" s="1">
        <f t="shared" si="6"/>
        <v>0.57916259324335895</v>
      </c>
      <c r="N53" s="1">
        <f t="shared" si="23"/>
        <v>1.295059757547492</v>
      </c>
      <c r="O53" s="1">
        <f t="shared" si="24"/>
        <v>1.8281404282603555</v>
      </c>
      <c r="Q53" s="1">
        <f t="shared" si="7"/>
        <v>0.30437585175469839</v>
      </c>
      <c r="R53" s="1">
        <f t="shared" si="8"/>
        <v>0.23827693536881633</v>
      </c>
      <c r="S53" s="1">
        <f t="shared" si="9"/>
        <v>0.1558034238871259</v>
      </c>
      <c r="T53" s="1">
        <f t="shared" si="10"/>
        <v>0.11278372892170997</v>
      </c>
      <c r="U53" s="1">
        <f t="shared" si="11"/>
        <v>2.7210907136967392E-2</v>
      </c>
      <c r="V53" s="1">
        <f t="shared" si="12"/>
        <v>1.6857498167974855E-2</v>
      </c>
      <c r="W53" s="1"/>
      <c r="X53" s="6">
        <f t="shared" si="13"/>
        <v>0.70494124275641168</v>
      </c>
      <c r="Y53" s="6">
        <f t="shared" si="14"/>
        <v>0.44227271381639399</v>
      </c>
      <c r="AA53">
        <f t="shared" si="15"/>
        <v>0.93517321442855583</v>
      </c>
      <c r="AB53">
        <f t="shared" si="16"/>
        <v>0.90582390438921867</v>
      </c>
      <c r="AC53">
        <f t="shared" si="17"/>
        <v>0.84505893964733114</v>
      </c>
      <c r="AD53">
        <f t="shared" si="18"/>
        <v>0.792598166437258</v>
      </c>
      <c r="AE53">
        <f t="shared" si="19"/>
        <v>0.98346313711068023</v>
      </c>
      <c r="AF53">
        <f t="shared" si="20"/>
        <v>0.97327004481168378</v>
      </c>
    </row>
    <row r="54" spans="4:32" x14ac:dyDescent="0.3">
      <c r="D54" s="1">
        <f t="shared" si="3"/>
        <v>0.26795930652548083</v>
      </c>
      <c r="E54" s="1" t="e">
        <f t="shared" si="4"/>
        <v>#N/A</v>
      </c>
      <c r="G54" s="1">
        <f t="shared" si="22"/>
        <v>4.8840062004327649</v>
      </c>
      <c r="I54">
        <f t="shared" si="21"/>
        <v>102</v>
      </c>
      <c r="K54" s="1">
        <f t="shared" si="5"/>
        <v>0.67328890984990841</v>
      </c>
      <c r="L54" s="1">
        <f t="shared" si="6"/>
        <v>0.59832469001053878</v>
      </c>
      <c r="N54" s="1">
        <f t="shared" si="23"/>
        <v>1.2760615165803304</v>
      </c>
      <c r="O54" s="1">
        <f t="shared" si="24"/>
        <v>1.7661751094537446</v>
      </c>
      <c r="Q54" s="1">
        <f t="shared" si="7"/>
        <v>0.32182747298832592</v>
      </c>
      <c r="R54" s="1">
        <f t="shared" si="8"/>
        <v>0.2537950995737065</v>
      </c>
      <c r="S54" s="1">
        <f t="shared" si="9"/>
        <v>0.16787549234269009</v>
      </c>
      <c r="T54" s="1">
        <f t="shared" si="10"/>
        <v>0.12249700173414359</v>
      </c>
      <c r="U54" s="1">
        <f t="shared" si="11"/>
        <v>3.0451264570840828E-2</v>
      </c>
      <c r="V54" s="1">
        <f t="shared" si="12"/>
        <v>1.9030257260808918E-2</v>
      </c>
      <c r="W54" s="1"/>
      <c r="X54" s="6">
        <f t="shared" si="13"/>
        <v>0.69459991022752576</v>
      </c>
      <c r="Y54" s="6">
        <f t="shared" si="14"/>
        <v>0.42728175946329922</v>
      </c>
      <c r="AA54">
        <f t="shared" si="15"/>
        <v>0.94117698919754822</v>
      </c>
      <c r="AB54">
        <f t="shared" si="16"/>
        <v>0.91383117691846294</v>
      </c>
      <c r="AC54">
        <f t="shared" si="17"/>
        <v>0.85650113707446129</v>
      </c>
      <c r="AD54">
        <f t="shared" si="18"/>
        <v>0.80640674539872814</v>
      </c>
      <c r="AE54">
        <f t="shared" si="19"/>
        <v>0.985387889355127</v>
      </c>
      <c r="AF54">
        <f t="shared" si="20"/>
        <v>0.97617343101057674</v>
      </c>
    </row>
    <row r="55" spans="4:32" x14ac:dyDescent="0.3">
      <c r="D55" s="1">
        <f t="shared" si="3"/>
        <v>0.29888248796588934</v>
      </c>
      <c r="E55" s="1" t="e">
        <f t="shared" si="4"/>
        <v>#N/A</v>
      </c>
      <c r="G55" s="1">
        <f t="shared" si="22"/>
        <v>4.5660409650977414</v>
      </c>
      <c r="I55">
        <f t="shared" si="21"/>
        <v>103</v>
      </c>
      <c r="K55" s="1">
        <f t="shared" si="5"/>
        <v>0.69068538126044221</v>
      </c>
      <c r="L55" s="1">
        <f t="shared" si="6"/>
        <v>0.61706980716674775</v>
      </c>
      <c r="N55" s="1">
        <f t="shared" si="23"/>
        <v>1.2575232750777456</v>
      </c>
      <c r="O55" s="1">
        <f t="shared" si="24"/>
        <v>1.7068842644094198</v>
      </c>
      <c r="Q55" s="1">
        <f t="shared" si="7"/>
        <v>0.33950524830739515</v>
      </c>
      <c r="R55" s="1">
        <f t="shared" si="8"/>
        <v>0.26966919750429919</v>
      </c>
      <c r="S55" s="1">
        <f t="shared" si="9"/>
        <v>0.18040735409797162</v>
      </c>
      <c r="T55" s="1">
        <f t="shared" si="10"/>
        <v>0.13267954357217823</v>
      </c>
      <c r="U55" s="1">
        <f t="shared" si="11"/>
        <v>3.3968719364268853E-2</v>
      </c>
      <c r="V55" s="1">
        <f t="shared" si="12"/>
        <v>2.1412047890161871E-2</v>
      </c>
      <c r="W55" s="1"/>
      <c r="X55" s="6">
        <f t="shared" si="13"/>
        <v>0.68450896969201058</v>
      </c>
      <c r="Y55" s="6">
        <f t="shared" si="14"/>
        <v>0.41293782694211212</v>
      </c>
      <c r="AA55">
        <f t="shared" si="15"/>
        <v>0.94668331564370345</v>
      </c>
      <c r="AB55">
        <f t="shared" si="16"/>
        <v>0.92124734811100606</v>
      </c>
      <c r="AC55">
        <f t="shared" si="17"/>
        <v>0.86725565143805716</v>
      </c>
      <c r="AD55">
        <f t="shared" si="18"/>
        <v>0.81951327632329596</v>
      </c>
      <c r="AE55">
        <f t="shared" si="19"/>
        <v>0.98710068147268659</v>
      </c>
      <c r="AF55">
        <f t="shared" si="20"/>
        <v>0.97878254114339447</v>
      </c>
    </row>
    <row r="56" spans="4:32" x14ac:dyDescent="0.3">
      <c r="D56" s="1">
        <f t="shared" si="3"/>
        <v>0.33238732776270652</v>
      </c>
      <c r="E56" s="1" t="e">
        <f t="shared" si="4"/>
        <v>#N/A</v>
      </c>
      <c r="G56" s="1">
        <f t="shared" si="22"/>
        <v>4.265183843650874</v>
      </c>
      <c r="I56">
        <f t="shared" si="21"/>
        <v>104</v>
      </c>
      <c r="K56" s="1">
        <f t="shared" si="5"/>
        <v>0.70750262557146315</v>
      </c>
      <c r="L56" s="1">
        <f t="shared" si="6"/>
        <v>0.63536755812169832</v>
      </c>
      <c r="N56" s="1">
        <f t="shared" si="23"/>
        <v>1.2394295896836336</v>
      </c>
      <c r="O56" s="1">
        <f t="shared" si="24"/>
        <v>1.6501281519456659</v>
      </c>
      <c r="Q56" s="1">
        <f t="shared" si="7"/>
        <v>0.35736752931931803</v>
      </c>
      <c r="R56" s="1">
        <f t="shared" si="8"/>
        <v>0.28586542798801884</v>
      </c>
      <c r="S56" s="1">
        <f t="shared" si="9"/>
        <v>0.19338105085852</v>
      </c>
      <c r="T56" s="1">
        <f t="shared" si="10"/>
        <v>0.14332390887652693</v>
      </c>
      <c r="U56" s="1">
        <f t="shared" si="11"/>
        <v>3.7774906913709952E-2</v>
      </c>
      <c r="V56" s="1">
        <f t="shared" si="12"/>
        <v>2.4014485703518672E-2</v>
      </c>
      <c r="W56" s="1"/>
      <c r="X56" s="6">
        <f t="shared" si="13"/>
        <v>0.67466001485156113</v>
      </c>
      <c r="Y56" s="6">
        <f t="shared" si="14"/>
        <v>0.39920710937962195</v>
      </c>
      <c r="AA56">
        <f t="shared" si="15"/>
        <v>0.95172569716748268</v>
      </c>
      <c r="AB56">
        <f t="shared" si="16"/>
        <v>0.92810491023994279</v>
      </c>
      <c r="AC56">
        <f t="shared" si="17"/>
        <v>0.87734597446819662</v>
      </c>
      <c r="AD56">
        <f t="shared" si="18"/>
        <v>0.83193031728903177</v>
      </c>
      <c r="AE56">
        <f t="shared" si="19"/>
        <v>0.98862297312366176</v>
      </c>
      <c r="AF56">
        <f t="shared" si="20"/>
        <v>0.98112408384567318</v>
      </c>
    </row>
    <row r="57" spans="4:32" x14ac:dyDescent="0.3">
      <c r="D57" s="1">
        <f t="shared" si="3"/>
        <v>0.36858464258292489</v>
      </c>
      <c r="E57" s="1" t="e">
        <f t="shared" si="4"/>
        <v>#N/A</v>
      </c>
      <c r="G57" s="1">
        <f t="shared" si="22"/>
        <v>3.980848717144525</v>
      </c>
      <c r="I57">
        <f t="shared" si="21"/>
        <v>105</v>
      </c>
      <c r="K57" s="1">
        <f t="shared" si="5"/>
        <v>0.72372749676293524</v>
      </c>
      <c r="L57" s="1">
        <f t="shared" si="6"/>
        <v>0.65319132580079731</v>
      </c>
      <c r="N57" s="1">
        <f t="shared" si="23"/>
        <v>1.2217656773139398</v>
      </c>
      <c r="O57" s="1">
        <f t="shared" si="24"/>
        <v>1.5957755785324927</v>
      </c>
      <c r="Q57" s="1">
        <f t="shared" si="7"/>
        <v>0.37537257997691609</v>
      </c>
      <c r="R57" s="1">
        <f t="shared" si="8"/>
        <v>0.3023488152322148</v>
      </c>
      <c r="S57" s="1">
        <f t="shared" si="9"/>
        <v>0.20677654565179621</v>
      </c>
      <c r="T57" s="1">
        <f t="shared" si="10"/>
        <v>0.15442050322526796</v>
      </c>
      <c r="U57" s="1">
        <f t="shared" si="11"/>
        <v>4.1880861469940536E-2</v>
      </c>
      <c r="V57" s="1">
        <f t="shared" si="12"/>
        <v>2.6849001907670679E-2</v>
      </c>
      <c r="W57" s="1"/>
      <c r="X57" s="6">
        <f t="shared" si="13"/>
        <v>0.665044998814453</v>
      </c>
      <c r="Y57" s="6">
        <f t="shared" si="14"/>
        <v>0.38605786779251688</v>
      </c>
      <c r="AA57">
        <f t="shared" si="15"/>
        <v>0.95633641174698181</v>
      </c>
      <c r="AB57">
        <f t="shared" si="16"/>
        <v>0.93443599345878015</v>
      </c>
      <c r="AC57">
        <f t="shared" si="17"/>
        <v>0.88679695401783565</v>
      </c>
      <c r="AD57">
        <f t="shared" si="18"/>
        <v>0.84367294904761647</v>
      </c>
      <c r="AE57">
        <f t="shared" si="19"/>
        <v>0.98997434421804986</v>
      </c>
      <c r="AF57">
        <f t="shared" si="20"/>
        <v>0.98322280517141969</v>
      </c>
    </row>
    <row r="58" spans="4:32" x14ac:dyDescent="0.3">
      <c r="D58" s="1">
        <f t="shared" si="3"/>
        <v>0.40758109060922276</v>
      </c>
      <c r="E58" s="1" t="e">
        <f t="shared" si="4"/>
        <v>#N/A</v>
      </c>
      <c r="G58" s="1">
        <f t="shared" si="22"/>
        <v>3.7124381994290729</v>
      </c>
      <c r="I58">
        <f t="shared" si="21"/>
        <v>106</v>
      </c>
      <c r="K58" s="1">
        <f t="shared" si="5"/>
        <v>0.73935057160139073</v>
      </c>
      <c r="L58" s="1">
        <f t="shared" si="6"/>
        <v>0.67051820725444633</v>
      </c>
      <c r="N58" s="1">
        <f t="shared" si="23"/>
        <v>1.2045173809787126</v>
      </c>
      <c r="O58" s="1">
        <f t="shared" si="24"/>
        <v>1.5437033006491154</v>
      </c>
      <c r="Q58" s="1">
        <f t="shared" si="7"/>
        <v>0.39347887051406405</v>
      </c>
      <c r="R58" s="1">
        <f t="shared" si="8"/>
        <v>0.31908347740946863</v>
      </c>
      <c r="S58" s="1">
        <f t="shared" si="9"/>
        <v>0.22057187765911171</v>
      </c>
      <c r="T58" s="1">
        <f t="shared" si="10"/>
        <v>0.16595764691775911</v>
      </c>
      <c r="U58" s="1">
        <f t="shared" si="11"/>
        <v>4.6296925957135346E-2</v>
      </c>
      <c r="V58" s="1">
        <f t="shared" si="12"/>
        <v>2.9926764538806556E-2</v>
      </c>
      <c r="W58" s="1"/>
      <c r="X58" s="6">
        <f t="shared" si="13"/>
        <v>0.65565621549142561</v>
      </c>
      <c r="Y58" s="6">
        <f t="shared" si="14"/>
        <v>0.37346028650277013</v>
      </c>
      <c r="AA58">
        <f t="shared" si="15"/>
        <v>0.96054640437342387</v>
      </c>
      <c r="AB58">
        <f t="shared" si="16"/>
        <v>0.94027215229914518</v>
      </c>
      <c r="AC58">
        <f t="shared" si="17"/>
        <v>0.89563446088788079</v>
      </c>
      <c r="AD58">
        <f t="shared" si="18"/>
        <v>0.85475842160530546</v>
      </c>
      <c r="AE58">
        <f t="shared" si="19"/>
        <v>0.99117261324342731</v>
      </c>
      <c r="AF58">
        <f t="shared" si="20"/>
        <v>0.98510156238334556</v>
      </c>
    </row>
    <row r="59" spans="4:32" x14ac:dyDescent="0.3">
      <c r="D59" s="1">
        <f t="shared" si="3"/>
        <v>0.4494784781906116</v>
      </c>
      <c r="E59" s="1" t="e">
        <f t="shared" si="4"/>
        <v>#N/A</v>
      </c>
      <c r="G59" s="1">
        <f t="shared" si="22"/>
        <v>3.4593472524347533</v>
      </c>
      <c r="I59">
        <f t="shared" si="21"/>
        <v>107</v>
      </c>
      <c r="K59" s="1">
        <f t="shared" si="5"/>
        <v>0.75436593183090661</v>
      </c>
      <c r="L59" s="1">
        <f t="shared" si="6"/>
        <v>0.68732892632984965</v>
      </c>
      <c r="N59" s="1">
        <f t="shared" si="23"/>
        <v>1.1876711376754896</v>
      </c>
      <c r="O59" s="1">
        <f t="shared" si="24"/>
        <v>1.4937954740612323</v>
      </c>
      <c r="Q59" s="1">
        <f t="shared" si="7"/>
        <v>0.41164535522814039</v>
      </c>
      <c r="R59" s="1">
        <f t="shared" si="8"/>
        <v>0.33603289304539841</v>
      </c>
      <c r="S59" s="1">
        <f t="shared" si="9"/>
        <v>0.23474333042666837</v>
      </c>
      <c r="T59" s="1">
        <f t="shared" si="10"/>
        <v>0.17792165598851581</v>
      </c>
      <c r="U59" s="1">
        <f t="shared" si="11"/>
        <v>5.1032665833434389E-2</v>
      </c>
      <c r="V59" s="1">
        <f t="shared" si="12"/>
        <v>3.3258599597797762E-2</v>
      </c>
      <c r="W59" s="1"/>
      <c r="X59" s="6">
        <f t="shared" si="13"/>
        <v>0.64648628211905335</v>
      </c>
      <c r="Y59" s="6">
        <f t="shared" si="14"/>
        <v>0.36138633990409136</v>
      </c>
      <c r="AA59">
        <f t="shared" si="15"/>
        <v>0.96438520864683053</v>
      </c>
      <c r="AB59">
        <f t="shared" si="16"/>
        <v>0.94564418590711241</v>
      </c>
      <c r="AC59">
        <f t="shared" si="17"/>
        <v>0.90388508388213895</v>
      </c>
      <c r="AD59">
        <f t="shared" si="18"/>
        <v>0.86520581674476194</v>
      </c>
      <c r="AE59">
        <f t="shared" si="19"/>
        <v>0.99223395599796105</v>
      </c>
      <c r="AF59">
        <f t="shared" si="20"/>
        <v>0.98678140717551133</v>
      </c>
    </row>
    <row r="60" spans="4:32" x14ac:dyDescent="0.3">
      <c r="D60" s="1">
        <f t="shared" si="3"/>
        <v>0.49437309264202245</v>
      </c>
      <c r="E60" s="1" t="e">
        <f t="shared" si="4"/>
        <v>#N/A</v>
      </c>
      <c r="G60" s="1">
        <f t="shared" si="22"/>
        <v>3.2209665760124864</v>
      </c>
      <c r="I60">
        <f t="shared" si="21"/>
        <v>108</v>
      </c>
      <c r="K60" s="1">
        <f t="shared" si="5"/>
        <v>0.76877093185612155</v>
      </c>
      <c r="L60" s="1">
        <f t="shared" si="6"/>
        <v>0.70360771850229697</v>
      </c>
      <c r="N60" s="1">
        <f t="shared" si="23"/>
        <v>1.1712139482105108</v>
      </c>
      <c r="O60" s="1">
        <f t="shared" si="24"/>
        <v>1.4459431459389025</v>
      </c>
      <c r="Q60" s="1">
        <f t="shared" si="7"/>
        <v>0.4298317318895431</v>
      </c>
      <c r="R60" s="1">
        <f t="shared" si="8"/>
        <v>0.35316016226972924</v>
      </c>
      <c r="S60" s="1">
        <f t="shared" si="9"/>
        <v>0.24926561103492151</v>
      </c>
      <c r="T60" s="1">
        <f t="shared" si="10"/>
        <v>0.19029693922450786</v>
      </c>
      <c r="U60" s="1">
        <f t="shared" si="11"/>
        <v>5.6096787909261946E-2</v>
      </c>
      <c r="V60" s="1">
        <f t="shared" si="12"/>
        <v>3.6854912861482687E-2</v>
      </c>
      <c r="W60" s="1"/>
      <c r="X60" s="6">
        <f t="shared" si="13"/>
        <v>0.6375281228324966</v>
      </c>
      <c r="Y60" s="6">
        <f t="shared" si="14"/>
        <v>0.34980966959259063</v>
      </c>
      <c r="AA60">
        <f t="shared" si="15"/>
        <v>0.96788089418668477</v>
      </c>
      <c r="AB60">
        <f t="shared" si="16"/>
        <v>0.95058198959185258</v>
      </c>
      <c r="AC60">
        <f t="shared" si="17"/>
        <v>0.91157585338411162</v>
      </c>
      <c r="AD60">
        <f t="shared" si="18"/>
        <v>0.87503572887441761</v>
      </c>
      <c r="AE60">
        <f t="shared" si="19"/>
        <v>0.99317302299516619</v>
      </c>
      <c r="AF60">
        <f t="shared" si="20"/>
        <v>0.98828167559542968</v>
      </c>
    </row>
    <row r="61" spans="4:32" x14ac:dyDescent="0.3">
      <c r="D61" s="1">
        <f t="shared" si="3"/>
        <v>0.54235506726143967</v>
      </c>
      <c r="E61" s="1" t="e">
        <f t="shared" si="4"/>
        <v>#N/A</v>
      </c>
      <c r="G61" s="1">
        <f t="shared" si="22"/>
        <v>2.9966857600373231</v>
      </c>
      <c r="I61">
        <f t="shared" si="21"/>
        <v>109</v>
      </c>
      <c r="K61" s="1">
        <f t="shared" si="5"/>
        <v>0.78256595628200953</v>
      </c>
      <c r="L61" s="1">
        <f t="shared" si="6"/>
        <v>0.71934219192902771</v>
      </c>
      <c r="N61" s="1">
        <f t="shared" si="23"/>
        <v>1.1551333488154167</v>
      </c>
      <c r="O61" s="1">
        <f t="shared" si="24"/>
        <v>1.4000437861242321</v>
      </c>
      <c r="Q61" s="1">
        <f t="shared" si="7"/>
        <v>0.44799868098659307</v>
      </c>
      <c r="R61" s="1">
        <f t="shared" si="8"/>
        <v>0.3704282602621628</v>
      </c>
      <c r="S61" s="1">
        <f t="shared" si="9"/>
        <v>0.26411203778927395</v>
      </c>
      <c r="T61" s="1">
        <f t="shared" si="10"/>
        <v>0.20306610961109084</v>
      </c>
      <c r="U61" s="1">
        <f t="shared" si="11"/>
        <v>6.149706496663139E-2</v>
      </c>
      <c r="V61" s="1">
        <f t="shared" si="12"/>
        <v>4.0725613170770447E-2</v>
      </c>
      <c r="W61" s="1"/>
      <c r="X61" s="6">
        <f t="shared" si="13"/>
        <v>0.62877495321558818</v>
      </c>
      <c r="Y61" s="6">
        <f t="shared" si="14"/>
        <v>0.33870547096875386</v>
      </c>
      <c r="AA61">
        <f t="shared" si="15"/>
        <v>0.97106003664318818</v>
      </c>
      <c r="AB61">
        <f t="shared" si="16"/>
        <v>0.95511443513911298</v>
      </c>
      <c r="AC61">
        <f t="shared" si="17"/>
        <v>0.91873399326125427</v>
      </c>
      <c r="AD61">
        <f t="shared" si="18"/>
        <v>0.88426996598895702</v>
      </c>
      <c r="AE61">
        <f t="shared" si="19"/>
        <v>0.9940030541555106</v>
      </c>
      <c r="AF61">
        <f t="shared" si="20"/>
        <v>0.98962008231424536</v>
      </c>
    </row>
    <row r="62" spans="4:32" x14ac:dyDescent="0.3">
      <c r="D62" s="1">
        <f t="shared" si="3"/>
        <v>0.59350778415441319</v>
      </c>
      <c r="E62" s="1" t="e">
        <f t="shared" si="4"/>
        <v>#N/A</v>
      </c>
      <c r="G62" s="1">
        <f t="shared" si="22"/>
        <v>2.7858961906618447</v>
      </c>
      <c r="I62">
        <f t="shared" si="21"/>
        <v>110</v>
      </c>
      <c r="K62" s="1">
        <f t="shared" si="5"/>
        <v>0.79575417130958659</v>
      </c>
      <c r="L62" s="1">
        <f t="shared" si="6"/>
        <v>0.73452316868917078</v>
      </c>
      <c r="N62" s="1">
        <f t="shared" si="23"/>
        <v>1.1394173844372948</v>
      </c>
      <c r="O62" s="1">
        <f t="shared" si="24"/>
        <v>1.3560008542063671</v>
      </c>
      <c r="Q62" s="1">
        <f t="shared" si="7"/>
        <v>0.46610808343260601</v>
      </c>
      <c r="R62" s="1">
        <f t="shared" si="8"/>
        <v>0.38780028051611359</v>
      </c>
      <c r="S62" s="1">
        <f t="shared" si="9"/>
        <v>0.27925473401840983</v>
      </c>
      <c r="T62" s="1">
        <f t="shared" si="10"/>
        <v>0.21621010851680567</v>
      </c>
      <c r="U62" s="1">
        <f t="shared" si="11"/>
        <v>6.7240266939169777E-2</v>
      </c>
      <c r="V62" s="1">
        <f t="shared" si="12"/>
        <v>4.4880037974974633E-2</v>
      </c>
      <c r="W62" s="1"/>
      <c r="X62" s="6">
        <f t="shared" si="13"/>
        <v>0.62022026576177591</v>
      </c>
      <c r="Y62" s="6">
        <f t="shared" si="14"/>
        <v>0.32805038850209639</v>
      </c>
      <c r="AA62">
        <f t="shared" si="15"/>
        <v>0.97394770726295776</v>
      </c>
      <c r="AB62">
        <f t="shared" si="16"/>
        <v>0.95926927728848843</v>
      </c>
      <c r="AC62">
        <f t="shared" si="17"/>
        <v>0.92538670049523342</v>
      </c>
      <c r="AD62">
        <f t="shared" si="18"/>
        <v>0.89293127197839894</v>
      </c>
      <c r="AE62">
        <f t="shared" si="19"/>
        <v>0.9947359897058049</v>
      </c>
      <c r="AF62">
        <f t="shared" si="20"/>
        <v>0.99081281724723091</v>
      </c>
    </row>
    <row r="63" spans="4:32" x14ac:dyDescent="0.3">
      <c r="D63" s="1">
        <f t="shared" si="3"/>
        <v>0.64790731991933637</v>
      </c>
      <c r="E63" s="1" t="e">
        <f t="shared" si="4"/>
        <v>#N/A</v>
      </c>
      <c r="G63" s="1">
        <f t="shared" si="22"/>
        <v>2.587993706415503</v>
      </c>
      <c r="I63">
        <f t="shared" si="21"/>
        <v>111</v>
      </c>
      <c r="K63" s="1">
        <f t="shared" si="5"/>
        <v>0.80834127360036523</v>
      </c>
      <c r="L63" s="1">
        <f t="shared" si="6"/>
        <v>0.74914451001870741</v>
      </c>
      <c r="N63" s="1">
        <f t="shared" si="23"/>
        <v>1.1240545835892679</v>
      </c>
      <c r="O63" s="1">
        <f t="shared" si="24"/>
        <v>1.3137233993738704</v>
      </c>
      <c r="Q63" s="1">
        <f t="shared" si="7"/>
        <v>0.48412321576396822</v>
      </c>
      <c r="R63" s="1">
        <f t="shared" si="8"/>
        <v>0.40523966584835919</v>
      </c>
      <c r="S63" s="1">
        <f t="shared" si="9"/>
        <v>0.2946648256257105</v>
      </c>
      <c r="T63" s="1">
        <f t="shared" si="10"/>
        <v>0.22970834084517741</v>
      </c>
      <c r="U63" s="1">
        <f t="shared" si="11"/>
        <v>7.333209932046196E-2</v>
      </c>
      <c r="V63" s="1">
        <f t="shared" si="12"/>
        <v>4.9326881879660868E-2</v>
      </c>
      <c r="W63" s="1"/>
      <c r="X63" s="6">
        <f t="shared" si="13"/>
        <v>0.6118578161845174</v>
      </c>
      <c r="Y63" s="6">
        <f t="shared" si="14"/>
        <v>0.31782241892548574</v>
      </c>
      <c r="AA63">
        <f t="shared" si="15"/>
        <v>0.97656747915804221</v>
      </c>
      <c r="AB63">
        <f t="shared" si="16"/>
        <v>0.96307308377646306</v>
      </c>
      <c r="AC63">
        <f t="shared" si="17"/>
        <v>0.93156095160402175</v>
      </c>
      <c r="AD63">
        <f t="shared" si="18"/>
        <v>0.90104307103613523</v>
      </c>
      <c r="AE63">
        <f t="shared" si="19"/>
        <v>0.99538257647271955</v>
      </c>
      <c r="AF63">
        <f t="shared" si="20"/>
        <v>0.99187464285040072</v>
      </c>
    </row>
    <row r="64" spans="4:32" x14ac:dyDescent="0.3">
      <c r="D64" s="1">
        <f t="shared" si="3"/>
        <v>0.70562193866317546</v>
      </c>
      <c r="E64" s="1" t="e">
        <f t="shared" si="4"/>
        <v>#N/A</v>
      </c>
      <c r="G64" s="1">
        <f t="shared" si="22"/>
        <v>2.4023810032591228</v>
      </c>
      <c r="I64">
        <f t="shared" si="21"/>
        <v>112</v>
      </c>
      <c r="K64" s="1">
        <f t="shared" si="5"/>
        <v>0.82033523982574619</v>
      </c>
      <c r="L64" s="1">
        <f t="shared" si="6"/>
        <v>0.76320292915036259</v>
      </c>
      <c r="N64" s="1">
        <f t="shared" si="23"/>
        <v>1.109033934657355</v>
      </c>
      <c r="O64" s="1">
        <f t="shared" si="24"/>
        <v>1.2731256902954329</v>
      </c>
      <c r="Q64" s="1">
        <f t="shared" si="7"/>
        <v>0.50200892223798765</v>
      </c>
      <c r="R64" s="1">
        <f t="shared" si="8"/>
        <v>0.42271042539420911</v>
      </c>
      <c r="S64" s="1">
        <f t="shared" si="9"/>
        <v>0.31031264013011478</v>
      </c>
      <c r="T64" s="1">
        <f t="shared" si="10"/>
        <v>0.24353881933136284</v>
      </c>
      <c r="U64" s="1">
        <f t="shared" si="11"/>
        <v>7.9777149369444716E-2</v>
      </c>
      <c r="V64" s="1">
        <f t="shared" si="12"/>
        <v>5.4074128903337376E-2</v>
      </c>
      <c r="W64" s="1"/>
      <c r="X64" s="6">
        <f t="shared" si="13"/>
        <v>0.60368161052036906</v>
      </c>
      <c r="Y64" s="6">
        <f t="shared" si="14"/>
        <v>0.30800082169406595</v>
      </c>
      <c r="AA64">
        <f t="shared" si="15"/>
        <v>0.97894144763979696</v>
      </c>
      <c r="AB64">
        <f t="shared" si="16"/>
        <v>0.96655118639654458</v>
      </c>
      <c r="AC64">
        <f t="shared" si="17"/>
        <v>0.93728333465765845</v>
      </c>
      <c r="AD64">
        <f t="shared" si="18"/>
        <v>0.90862923448857424</v>
      </c>
      <c r="AE64">
        <f t="shared" si="19"/>
        <v>0.99595246898444945</v>
      </c>
      <c r="AF64">
        <f t="shared" si="20"/>
        <v>0.99281899071166491</v>
      </c>
    </row>
    <row r="65" spans="1:32" x14ac:dyDescent="0.3">
      <c r="D65" s="1">
        <f t="shared" si="3"/>
        <v>0.76671163619800886</v>
      </c>
      <c r="E65" s="1" t="e">
        <f t="shared" si="4"/>
        <v>#N/A</v>
      </c>
      <c r="G65" s="1">
        <f t="shared" si="22"/>
        <v>2.2284697907222437</v>
      </c>
      <c r="I65">
        <f t="shared" si="21"/>
        <v>113</v>
      </c>
      <c r="K65" s="1">
        <f t="shared" si="5"/>
        <v>0.83174607971983117</v>
      </c>
      <c r="L65" s="1">
        <f t="shared" si="6"/>
        <v>0.77669779513464388</v>
      </c>
      <c r="N65" s="1">
        <f t="shared" si="23"/>
        <v>1.0943448635671746</v>
      </c>
      <c r="O65" s="1">
        <f t="shared" si="24"/>
        <v>1.2341268725324863</v>
      </c>
      <c r="Q65" s="1">
        <f t="shared" si="7"/>
        <v>0.51973176359260664</v>
      </c>
      <c r="R65" s="1">
        <f t="shared" si="8"/>
        <v>0.44017733613972398</v>
      </c>
      <c r="S65" s="1">
        <f t="shared" si="9"/>
        <v>0.32616790505119747</v>
      </c>
      <c r="T65" s="1">
        <f t="shared" si="10"/>
        <v>0.25767831614151071</v>
      </c>
      <c r="U65" s="1">
        <f t="shared" si="11"/>
        <v>8.6578840577899843E-2</v>
      </c>
      <c r="V65" s="1">
        <f t="shared" si="12"/>
        <v>5.9128989097563339E-2</v>
      </c>
      <c r="W65" s="1"/>
      <c r="X65" s="6">
        <f t="shared" si="13"/>
        <v>0.59568589297227792</v>
      </c>
      <c r="Y65" s="6">
        <f t="shared" si="14"/>
        <v>0.29856603610483035</v>
      </c>
      <c r="AA65">
        <f t="shared" si="15"/>
        <v>0.98109026220167073</v>
      </c>
      <c r="AB65">
        <f t="shared" si="16"/>
        <v>0.96972765061407018</v>
      </c>
      <c r="AC65">
        <f t="shared" si="17"/>
        <v>0.94257990548787274</v>
      </c>
      <c r="AD65">
        <f t="shared" si="18"/>
        <v>0.91571386999966409</v>
      </c>
      <c r="AE65">
        <f t="shared" si="19"/>
        <v>0.99645432498754971</v>
      </c>
      <c r="AF65">
        <f t="shared" si="20"/>
        <v>0.99365805631665827</v>
      </c>
    </row>
    <row r="66" spans="1:32" x14ac:dyDescent="0.3">
      <c r="D66" s="1">
        <f t="shared" si="3"/>
        <v>0.83122773862472599</v>
      </c>
      <c r="E66" s="1" t="e">
        <f t="shared" si="4"/>
        <v>#N/A</v>
      </c>
      <c r="G66" s="1">
        <f t="shared" ref="G66:G102" si="25">+I66*K66-$B$4*EXP(-$B$2*$B$5)*L66+$B$4*EXP(-$B$2*$B$5)-I66</f>
        <v>2.0656827038723549</v>
      </c>
      <c r="I66">
        <f t="shared" si="21"/>
        <v>114</v>
      </c>
      <c r="K66" s="1">
        <f t="shared" si="5"/>
        <v>0.84258559506308628</v>
      </c>
      <c r="L66" s="1">
        <f t="shared" si="6"/>
        <v>0.78963093075906521</v>
      </c>
      <c r="N66" s="1">
        <f t="shared" ref="N66:N102" si="26">($B$6/I66)^(-1+(2*($B$2-$B$3))/($B$1^2))</f>
        <v>1.0799772127212148</v>
      </c>
      <c r="O66" s="1">
        <f t="shared" ref="O66:O102" si="27">($B$6/I66)^(1+(2*($B$2-$B$3))/($B$1^2))</f>
        <v>1.1966506512146422</v>
      </c>
      <c r="Q66" s="1">
        <f t="shared" si="7"/>
        <v>0.53726014255325238</v>
      </c>
      <c r="R66" s="1">
        <f t="shared" si="8"/>
        <v>0.45760612784927152</v>
      </c>
      <c r="S66" s="1">
        <f t="shared" si="9"/>
        <v>0.34219994363471501</v>
      </c>
      <c r="T66" s="1">
        <f t="shared" si="10"/>
        <v>0.27210251994096124</v>
      </c>
      <c r="U66" s="1">
        <f t="shared" si="11"/>
        <v>9.3739395758481767E-2</v>
      </c>
      <c r="V66" s="1">
        <f t="shared" si="12"/>
        <v>6.4497840126618841E-2</v>
      </c>
      <c r="W66" s="1"/>
      <c r="X66" s="6">
        <f t="shared" si="13"/>
        <v>0.58786513444448496</v>
      </c>
      <c r="Y66" s="6">
        <f t="shared" si="14"/>
        <v>0.28949960452790879</v>
      </c>
      <c r="AA66">
        <f t="shared" si="15"/>
        <v>0.98303316796088658</v>
      </c>
      <c r="AB66">
        <f t="shared" si="16"/>
        <v>0.97262526138800387</v>
      </c>
      <c r="AC66">
        <f t="shared" si="17"/>
        <v>0.94747606654598904</v>
      </c>
      <c r="AD66">
        <f t="shared" si="18"/>
        <v>0.92232113279036421</v>
      </c>
      <c r="AE66">
        <f t="shared" si="19"/>
        <v>0.99689589514751331</v>
      </c>
      <c r="AF66">
        <f t="shared" si="20"/>
        <v>0.99440289110097091</v>
      </c>
    </row>
    <row r="67" spans="1:32" x14ac:dyDescent="0.3">
      <c r="D67" s="1">
        <f t="shared" ref="D67:D102" si="28">IF(I67&lt;$B$6,-I67*O67*V67+$B$4*EXP(-$B$2*$B$5)*N67*U67,NA())</f>
        <v>0.89921255785229626</v>
      </c>
      <c r="E67" s="1" t="e">
        <f t="shared" ref="E67:E102" si="29">+IF(I67&lt;$B$7,-I67*(AA67-K67+Y67*AD67)+$B$4*EXP(-$B$2*$B$5)*(AB67-L67+X67*AC67),NA())</f>
        <v>#N/A</v>
      </c>
      <c r="G67" s="1">
        <f t="shared" si="25"/>
        <v>1.9134549781025498</v>
      </c>
      <c r="I67">
        <f t="shared" si="21"/>
        <v>115</v>
      </c>
      <c r="K67" s="1">
        <f t="shared" ref="K67:K102" si="30">_xlfn.NORM.S.DIST((LN(I67/$B$4)+($B$2-$B$3+0.5*$B$1^2)*$B$5)/($B$1*SQRT($B$5)),TRUE)</f>
        <v>0.85286714664627372</v>
      </c>
      <c r="L67" s="1">
        <f t="shared" ref="L67:L102" si="31">_xlfn.NORM.S.DIST((LN(I67/$B$4)+($B$2-$B$3-0.5*$B$1^2)*$B$5)/($B$1*SQRT($B$5)),TRUE)</f>
        <v>0.80200640740621953</v>
      </c>
      <c r="N67" s="1">
        <f t="shared" si="26"/>
        <v>1.0659212211239981</v>
      </c>
      <c r="O67" s="1">
        <f t="shared" si="27"/>
        <v>1.1606249969138429</v>
      </c>
      <c r="Q67" s="1">
        <f t="shared" ref="Q67:Q102" si="32">_xlfn.NORM.S.DIST((LN(I67/$B$6)+($B$2-$B$3+0.5*$B$1^2)*$B$5)/($B$1*SQRT($B$5)),TRUE)</f>
        <v>0.55456440646278482</v>
      </c>
      <c r="R67" s="1">
        <f t="shared" ref="R67:R102" si="33">_xlfn.NORM.S.DIST((LN(I67/$B$6)+($B$2-$B$3-0.5*$B$1^2)*$B$5)/($B$1*SQRT($B$5)),TRUE)</f>
        <v>0.47496365054348288</v>
      </c>
      <c r="S67" s="1">
        <f t="shared" ref="S67:S102" si="34">_xlfn.NORM.S.DIST((LN(I67/$B$6)-($B$2-$B$3-0.5*$B$1^2)*$B$5)/($B$1*SQRT($B$5)),TRUE)</f>
        <v>0.35837786607500999</v>
      </c>
      <c r="T67" s="1">
        <f t="shared" ref="T67:T102" si="35">_xlfn.NORM.S.DIST((LN(I67/$B$6)-($B$2-$B$3+0.5*$B$1^2)*$B$5)/($B$1*SQRT($B$5)),TRUE)</f>
        <v>0.28678619663158716</v>
      </c>
      <c r="U67" s="1">
        <f t="shared" ref="U67:U102" si="36">_xlfn.NORM.S.DIST((LN((I67*$B$4)/($B$6^2))-($B$2-$B$3-0.5*$B$1^2)*$B$5)/($B$1*SQRT($B$5)),TRUE)</f>
        <v>0.10125980900402062</v>
      </c>
      <c r="V67" s="1">
        <f t="shared" ref="V67:V102" si="37">_xlfn.NORM.S.DIST((LN((I67*$B$4)/($B$6^2))-($B$2-$B$3+0.5*$B$1^2)*$B$5)/($B$1*SQRT($B$5)),TRUE)</f>
        <v>7.0186174337999035E-2</v>
      </c>
      <c r="W67" s="1"/>
      <c r="X67" s="6">
        <f t="shared" ref="X67:X102" si="38">($B$7/I67)^(-1+(2*($B$2-$B$3))/($B$1^2))</f>
        <v>0.58021402172403413</v>
      </c>
      <c r="Y67" s="6">
        <f t="shared" ref="Y67:Y102" si="39">($B$7/I67)^(1+(2*($B$2-$B$3))/($B$1^2))</f>
        <v>0.28078410125019426</v>
      </c>
      <c r="AA67">
        <f t="shared" ref="AA67:AA102" si="40">_xlfn.NORM.S.DIST((LN(I67/$B$7)+($B$2-$B$3+0.5*$B$1^2)*$B$5)/($B$1*SQRT($B$5)),TRUE)</f>
        <v>0.98478805459312491</v>
      </c>
      <c r="AB67">
        <f t="shared" ref="AB67:AB102" si="41">_xlfn.NORM.S.DIST((LN(I67/$B$7)+($B$2-$B$3-0.5*$B$1^2)*$B$5)/($B$1*SQRT($B$5)),TRUE)</f>
        <v>0.97526552298781288</v>
      </c>
      <c r="AC67">
        <f t="shared" ref="AC67:AC102" si="42">_xlfn.NORM.S.DIST((LN(I67/$B$7)-($B$2-$B$3-0.5*$B$1^2)*$B$5)/($B$1*SQRT($B$5)),TRUE)</f>
        <v>0.95199646676696037</v>
      </c>
      <c r="AD67">
        <f t="shared" ref="AD67:AD102" si="43">_xlfn.NORM.S.DIST((LN(I67/$B$7)-($B$2-$B$3+0.5*$B$1^2)*$B$5)/($B$1*SQRT($B$5)),TRUE)</f>
        <v>0.92847505825306986</v>
      </c>
      <c r="AE67">
        <f t="shared" ref="AE67:AE102" si="44">_xlfn.NORM.S.DIST((LN((I67*$B$4)/($B$7^2))-($B$2-$B$3-0.5*$B$1^2)*$B$5)/($B$1*SQRT($B$5)),TRUE)</f>
        <v>0.99728410683500357</v>
      </c>
      <c r="AF67">
        <f t="shared" ref="AF67:AF102" si="45">_xlfn.NORM.S.DIST((LN((I67*$B$4)/($B$7^2))-($B$2-$B$3+0.5*$B$1^2)*$B$5)/($B$1*SQRT($B$5)),TRUE)</f>
        <v>0.99506349110332482</v>
      </c>
    </row>
    <row r="68" spans="1:32" x14ac:dyDescent="0.3">
      <c r="D68" s="1">
        <f t="shared" si="28"/>
        <v>0.97069910594005648</v>
      </c>
      <c r="E68" s="1" t="e">
        <f t="shared" si="29"/>
        <v>#N/A</v>
      </c>
      <c r="G68" s="1">
        <f t="shared" si="25"/>
        <v>1.7712358955913885</v>
      </c>
      <c r="I68">
        <f t="shared" ref="I68:I102" si="46">+I67+1</f>
        <v>116</v>
      </c>
      <c r="K68" s="1">
        <f t="shared" si="30"/>
        <v>0.86260543090421016</v>
      </c>
      <c r="L68" s="1">
        <f t="shared" si="31"/>
        <v>0.81383033940525762</v>
      </c>
      <c r="N68" s="1">
        <f t="shared" si="26"/>
        <v>1.0521675056184989</v>
      </c>
      <c r="O68" s="1">
        <f t="shared" si="27"/>
        <v>1.1259818728378705</v>
      </c>
      <c r="Q68" s="1">
        <f t="shared" si="32"/>
        <v>0.57161692766713057</v>
      </c>
      <c r="R68" s="1">
        <f t="shared" si="33"/>
        <v>0.49221802396537861</v>
      </c>
      <c r="S68" s="1">
        <f t="shared" si="34"/>
        <v>0.37467075456510834</v>
      </c>
      <c r="T68" s="1">
        <f t="shared" si="35"/>
        <v>0.30170335201599996</v>
      </c>
      <c r="U68" s="1">
        <f t="shared" si="36"/>
        <v>0.10913982666179026</v>
      </c>
      <c r="V68" s="1">
        <f t="shared" si="37"/>
        <v>7.6198551784912472E-2</v>
      </c>
      <c r="W68" s="1"/>
      <c r="X68" s="6">
        <f t="shared" si="38"/>
        <v>0.5727274472671724</v>
      </c>
      <c r="Y68" s="6">
        <f t="shared" si="39"/>
        <v>0.27240306647665752</v>
      </c>
      <c r="AA68">
        <f t="shared" si="40"/>
        <v>0.98637151101248588</v>
      </c>
      <c r="AB68">
        <f t="shared" si="41"/>
        <v>0.97766867074380182</v>
      </c>
      <c r="AC68">
        <f t="shared" si="42"/>
        <v>0.95616492074352288</v>
      </c>
      <c r="AD68">
        <f t="shared" si="43"/>
        <v>0.93419941513038673</v>
      </c>
      <c r="AE68">
        <f t="shared" si="44"/>
        <v>0.99762514200798902</v>
      </c>
      <c r="AF68">
        <f t="shared" si="45"/>
        <v>0.99564888170998167</v>
      </c>
    </row>
    <row r="69" spans="1:32" x14ac:dyDescent="0.3">
      <c r="D69" s="1">
        <f t="shared" si="28"/>
        <v>1.0457108694949433</v>
      </c>
      <c r="E69" s="1" t="e">
        <f t="shared" si="29"/>
        <v>#N/A</v>
      </c>
      <c r="G69" s="1">
        <f t="shared" si="25"/>
        <v>1.6384900138085357</v>
      </c>
      <c r="I69">
        <f t="shared" si="46"/>
        <v>117</v>
      </c>
      <c r="K69" s="1">
        <f t="shared" si="30"/>
        <v>0.87181626757110786</v>
      </c>
      <c r="L69" s="1">
        <f t="shared" si="31"/>
        <v>0.82511068014195521</v>
      </c>
      <c r="N69" s="1">
        <f t="shared" si="26"/>
        <v>1.0387070431627348</v>
      </c>
      <c r="O69" s="1">
        <f t="shared" si="27"/>
        <v>1.092656981630753</v>
      </c>
      <c r="Q69" s="1">
        <f t="shared" si="32"/>
        <v>0.5883921625111701</v>
      </c>
      <c r="R69" s="1">
        <f t="shared" si="33"/>
        <v>0.50933876873775241</v>
      </c>
      <c r="S69" s="1">
        <f t="shared" si="34"/>
        <v>0.39104784068993775</v>
      </c>
      <c r="T69" s="1">
        <f t="shared" si="35"/>
        <v>0.31682739472420379</v>
      </c>
      <c r="U69" s="1">
        <f t="shared" si="36"/>
        <v>0.11737793736165314</v>
      </c>
      <c r="V69" s="1">
        <f t="shared" si="37"/>
        <v>8.2538559587976901E-2</v>
      </c>
      <c r="W69" s="1"/>
      <c r="X69" s="6">
        <f t="shared" si="38"/>
        <v>0.56540049955194749</v>
      </c>
      <c r="Y69" s="6">
        <f t="shared" si="39"/>
        <v>0.26434094507505762</v>
      </c>
      <c r="AA69">
        <f t="shared" si="40"/>
        <v>0.98779888425805484</v>
      </c>
      <c r="AB69">
        <f t="shared" si="41"/>
        <v>0.97985369282853307</v>
      </c>
      <c r="AC69">
        <f t="shared" si="42"/>
        <v>0.96000434549706559</v>
      </c>
      <c r="AD69">
        <f t="shared" si="43"/>
        <v>0.93951757826242488</v>
      </c>
      <c r="AE69">
        <f t="shared" si="44"/>
        <v>0.99792450928643961</v>
      </c>
      <c r="AF69">
        <f t="shared" si="45"/>
        <v>0.99616719813132748</v>
      </c>
    </row>
    <row r="70" spans="1:32" x14ac:dyDescent="0.3">
      <c r="D70" s="1">
        <f t="shared" si="28"/>
        <v>1.1242616447157641</v>
      </c>
      <c r="E70" s="1" t="e">
        <f t="shared" si="29"/>
        <v>#N/A</v>
      </c>
      <c r="G70" s="1">
        <f t="shared" si="25"/>
        <v>1.5146981876313248</v>
      </c>
      <c r="I70">
        <f t="shared" si="46"/>
        <v>118</v>
      </c>
      <c r="K70" s="1">
        <f t="shared" si="30"/>
        <v>0.88051639939636051</v>
      </c>
      <c r="L70" s="1">
        <f t="shared" si="31"/>
        <v>0.83585702190555955</v>
      </c>
      <c r="N70" s="1">
        <f t="shared" si="26"/>
        <v>1.0255311540805641</v>
      </c>
      <c r="O70" s="1">
        <f t="shared" si="27"/>
        <v>1.0605895302183368</v>
      </c>
      <c r="Q70" s="1">
        <f t="shared" si="32"/>
        <v>0.60486668998683846</v>
      </c>
      <c r="R70" s="1">
        <f t="shared" si="33"/>
        <v>0.52629691916017629</v>
      </c>
      <c r="S70" s="1">
        <f t="shared" si="34"/>
        <v>0.40747867386890063</v>
      </c>
      <c r="T70" s="1">
        <f t="shared" si="35"/>
        <v>0.33213129783361917</v>
      </c>
      <c r="U70" s="1">
        <f t="shared" si="36"/>
        <v>0.12597137103595463</v>
      </c>
      <c r="V70" s="1">
        <f t="shared" si="37"/>
        <v>8.9208777946682791E-2</v>
      </c>
      <c r="W70" s="1"/>
      <c r="X70" s="6">
        <f t="shared" si="38"/>
        <v>0.55822845396109722</v>
      </c>
      <c r="Y70" s="6">
        <f t="shared" si="39"/>
        <v>0.25658302968622676</v>
      </c>
      <c r="AA70">
        <f t="shared" si="40"/>
        <v>0.98908434124597511</v>
      </c>
      <c r="AB70">
        <f t="shared" si="41"/>
        <v>0.98183836033049221</v>
      </c>
      <c r="AC70">
        <f t="shared" si="42"/>
        <v>0.96353671314497191</v>
      </c>
      <c r="AD70">
        <f t="shared" si="43"/>
        <v>0.94445241978258343</v>
      </c>
      <c r="AE70">
        <f t="shared" si="44"/>
        <v>0.99818711038360775</v>
      </c>
      <c r="AF70">
        <f t="shared" si="45"/>
        <v>0.99662576137926517</v>
      </c>
    </row>
    <row r="71" spans="1:32" x14ac:dyDescent="0.3">
      <c r="D71" s="1">
        <f t="shared" si="28"/>
        <v>1.2063554330596347</v>
      </c>
      <c r="E71" s="1" t="e">
        <f t="shared" si="29"/>
        <v>#N/A</v>
      </c>
      <c r="G71" s="1">
        <f t="shared" si="25"/>
        <v>1.3993583975323389</v>
      </c>
      <c r="I71">
        <f t="shared" si="46"/>
        <v>119</v>
      </c>
      <c r="K71" s="1">
        <f t="shared" si="30"/>
        <v>0.88872330467353755</v>
      </c>
      <c r="L71" s="1">
        <f t="shared" si="31"/>
        <v>0.84608040117066008</v>
      </c>
      <c r="N71" s="1">
        <f t="shared" si="26"/>
        <v>1.0126314862254127</v>
      </c>
      <c r="O71" s="1">
        <f t="shared" si="27"/>
        <v>1.0297220112736347</v>
      </c>
      <c r="Q71" s="1">
        <f t="shared" si="32"/>
        <v>0.6210192312289885</v>
      </c>
      <c r="R71" s="1">
        <f t="shared" si="33"/>
        <v>0.54306511781731348</v>
      </c>
      <c r="S71" s="1">
        <f t="shared" si="34"/>
        <v>0.42393327974742334</v>
      </c>
      <c r="T71" s="1">
        <f t="shared" si="35"/>
        <v>0.34758775772327288</v>
      </c>
      <c r="U71" s="1">
        <f t="shared" si="36"/>
        <v>0.13491610677306645</v>
      </c>
      <c r="V71" s="1">
        <f t="shared" si="37"/>
        <v>9.621075303319912E-2</v>
      </c>
      <c r="W71" s="1"/>
      <c r="X71" s="6">
        <f t="shared" si="38"/>
        <v>0.55120676416187431</v>
      </c>
      <c r="Y71" s="6">
        <f t="shared" si="39"/>
        <v>0.2491154078550947</v>
      </c>
      <c r="AA71">
        <f t="shared" si="40"/>
        <v>0.99024093223043252</v>
      </c>
      <c r="AB71">
        <f t="shared" si="41"/>
        <v>0.98363926404507684</v>
      </c>
      <c r="AC71">
        <f t="shared" si="42"/>
        <v>0.96678301780243459</v>
      </c>
      <c r="AD71">
        <f t="shared" si="43"/>
        <v>0.94902621755419747</v>
      </c>
      <c r="AE71">
        <f t="shared" si="44"/>
        <v>0.99841730110893645</v>
      </c>
      <c r="AF71">
        <f t="shared" si="45"/>
        <v>0.99703114962094608</v>
      </c>
    </row>
    <row r="72" spans="1:32" x14ac:dyDescent="0.3">
      <c r="A72" s="2"/>
      <c r="B72" s="2"/>
      <c r="C72" s="2"/>
      <c r="D72" s="3" t="e">
        <f t="shared" si="28"/>
        <v>#N/A</v>
      </c>
      <c r="E72" s="1" t="e">
        <f t="shared" si="29"/>
        <v>#N/A</v>
      </c>
      <c r="F72" s="3"/>
      <c r="G72" s="3">
        <f t="shared" si="25"/>
        <v>1.2919863969187162</v>
      </c>
      <c r="H72" s="3"/>
      <c r="I72" s="2">
        <f t="shared" si="46"/>
        <v>120</v>
      </c>
      <c r="J72" s="3"/>
      <c r="K72" s="3">
        <f t="shared" si="30"/>
        <v>0.89645502307708047</v>
      </c>
      <c r="L72" s="3">
        <f t="shared" si="31"/>
        <v>0.85579311074329822</v>
      </c>
      <c r="M72" s="3"/>
      <c r="N72" s="3">
        <f t="shared" si="26"/>
        <v>1</v>
      </c>
      <c r="O72" s="3">
        <f t="shared" si="27"/>
        <v>1</v>
      </c>
      <c r="P72" s="3"/>
      <c r="Q72" s="3">
        <f t="shared" si="32"/>
        <v>0.6368306511756191</v>
      </c>
      <c r="R72" s="3">
        <f t="shared" si="33"/>
        <v>0.5596176923702425</v>
      </c>
      <c r="S72" s="3">
        <f t="shared" si="34"/>
        <v>0.4403823076297575</v>
      </c>
      <c r="T72" s="3">
        <f t="shared" si="35"/>
        <v>0.3631693488243809</v>
      </c>
      <c r="U72" s="3">
        <f t="shared" si="36"/>
        <v>0.14420688925670178</v>
      </c>
      <c r="V72" s="3">
        <f t="shared" si="37"/>
        <v>0.10354497692291953</v>
      </c>
      <c r="W72" s="3"/>
      <c r="X72" s="6">
        <f t="shared" si="38"/>
        <v>0.54433105395181747</v>
      </c>
      <c r="Y72" s="6">
        <f t="shared" si="39"/>
        <v>0.24192491286747436</v>
      </c>
      <c r="AA72">
        <f t="shared" si="40"/>
        <v>0.99128065498736573</v>
      </c>
      <c r="AB72">
        <f t="shared" si="41"/>
        <v>0.9852718565691857</v>
      </c>
      <c r="AC72">
        <f t="shared" si="42"/>
        <v>0.96976325511509198</v>
      </c>
      <c r="AD72">
        <f t="shared" si="43"/>
        <v>0.95326057958500188</v>
      </c>
      <c r="AE72">
        <f t="shared" si="44"/>
        <v>0.99861894719475575</v>
      </c>
      <c r="AF72">
        <f t="shared" si="45"/>
        <v>0.99738926487265944</v>
      </c>
    </row>
    <row r="73" spans="1:32" x14ac:dyDescent="0.3">
      <c r="D73" s="1" t="e">
        <f t="shared" si="28"/>
        <v>#N/A</v>
      </c>
      <c r="E73" s="1" t="e">
        <f t="shared" si="29"/>
        <v>#N/A</v>
      </c>
      <c r="G73" s="1">
        <f t="shared" si="25"/>
        <v>1.1921161920808743</v>
      </c>
      <c r="I73">
        <f t="shared" si="46"/>
        <v>121</v>
      </c>
      <c r="K73" s="1">
        <f t="shared" si="30"/>
        <v>0.90372999507109986</v>
      </c>
      <c r="L73" s="1">
        <f t="shared" si="31"/>
        <v>0.86500851994546191</v>
      </c>
      <c r="N73" s="1">
        <f t="shared" si="26"/>
        <v>0.98762895417911245</v>
      </c>
      <c r="O73" s="1">
        <f t="shared" si="27"/>
        <v>0.97137196504195211</v>
      </c>
      <c r="Q73" s="1">
        <f t="shared" si="32"/>
        <v>0.65228394379934251</v>
      </c>
      <c r="R73" s="1">
        <f t="shared" si="33"/>
        <v>0.57593071507851412</v>
      </c>
      <c r="S73" s="1">
        <f t="shared" si="34"/>
        <v>0.45679716623430006</v>
      </c>
      <c r="T73" s="1">
        <f t="shared" si="35"/>
        <v>0.37884867305970554</v>
      </c>
      <c r="U73" s="1">
        <f t="shared" si="36"/>
        <v>0.15383725346050517</v>
      </c>
      <c r="V73" s="1">
        <f t="shared" si="37"/>
        <v>0.11121087463892682</v>
      </c>
      <c r="W73" s="1"/>
      <c r="X73" s="6">
        <f t="shared" si="38"/>
        <v>0.53759710954164752</v>
      </c>
      <c r="Y73" s="6">
        <f t="shared" si="39"/>
        <v>0.23499907800468164</v>
      </c>
      <c r="AA73">
        <f t="shared" si="40"/>
        <v>0.9922145188905217</v>
      </c>
      <c r="AB73">
        <f t="shared" si="41"/>
        <v>0.98675049844166396</v>
      </c>
      <c r="AC73">
        <f t="shared" si="42"/>
        <v>0.97249641289275079</v>
      </c>
      <c r="AD73">
        <f t="shared" si="43"/>
        <v>0.95717638312881614</v>
      </c>
      <c r="AE73">
        <f t="shared" si="44"/>
        <v>0.99879547522436674</v>
      </c>
      <c r="AF73">
        <f t="shared" si="45"/>
        <v>0.99770539506947642</v>
      </c>
    </row>
    <row r="74" spans="1:32" x14ac:dyDescent="0.3">
      <c r="D74" s="1" t="e">
        <f t="shared" si="28"/>
        <v>#N/A</v>
      </c>
      <c r="E74" s="1" t="e">
        <f t="shared" si="29"/>
        <v>#N/A</v>
      </c>
      <c r="G74" s="1">
        <f t="shared" si="25"/>
        <v>1.0993003683698532</v>
      </c>
      <c r="I74">
        <f t="shared" si="46"/>
        <v>122</v>
      </c>
      <c r="K74" s="1">
        <f t="shared" si="30"/>
        <v>0.91056691495246678</v>
      </c>
      <c r="L74" s="1">
        <f t="shared" si="31"/>
        <v>0.87374090377331592</v>
      </c>
      <c r="N74" s="1">
        <f t="shared" si="26"/>
        <v>0.97551089248616007</v>
      </c>
      <c r="O74" s="1">
        <f t="shared" si="27"/>
        <v>0.94378909243487663</v>
      </c>
      <c r="Q74" s="1">
        <f t="shared" si="32"/>
        <v>0.66736420237851046</v>
      </c>
      <c r="R74" s="1">
        <f t="shared" si="33"/>
        <v>0.59198204575242364</v>
      </c>
      <c r="S74" s="1">
        <f t="shared" si="34"/>
        <v>0.47315014723543747</v>
      </c>
      <c r="T74" s="1">
        <f t="shared" si="35"/>
        <v>0.39459850290017867</v>
      </c>
      <c r="U74" s="1">
        <f t="shared" si="36"/>
        <v>0.1637995571927445</v>
      </c>
      <c r="V74" s="1">
        <f t="shared" si="37"/>
        <v>0.11920679831233753</v>
      </c>
      <c r="W74" s="1"/>
      <c r="X74" s="6">
        <f t="shared" si="38"/>
        <v>0.53100087224846948</v>
      </c>
      <c r="Y74" s="6">
        <f t="shared" si="39"/>
        <v>0.22832609395258024</v>
      </c>
      <c r="AA74">
        <f t="shared" si="40"/>
        <v>0.99305260819058838</v>
      </c>
      <c r="AB74">
        <f t="shared" si="41"/>
        <v>0.98808850722076658</v>
      </c>
      <c r="AC74">
        <f t="shared" si="42"/>
        <v>0.97500047139999424</v>
      </c>
      <c r="AD74">
        <f t="shared" si="43"/>
        <v>0.96079372718010714</v>
      </c>
      <c r="AE74">
        <f t="shared" si="44"/>
        <v>0.99894991895485297</v>
      </c>
      <c r="AF74">
        <f t="shared" si="45"/>
        <v>0.99798427160354564</v>
      </c>
    </row>
    <row r="75" spans="1:32" x14ac:dyDescent="0.3">
      <c r="D75" s="1" t="e">
        <f t="shared" si="28"/>
        <v>#N/A</v>
      </c>
      <c r="E75" s="1" t="e">
        <f t="shared" si="29"/>
        <v>#N/A</v>
      </c>
      <c r="G75" s="1">
        <f t="shared" si="25"/>
        <v>1.0131102761942259</v>
      </c>
      <c r="I75">
        <f t="shared" si="46"/>
        <v>123</v>
      </c>
      <c r="K75" s="1">
        <f t="shared" si="30"/>
        <v>0.91698459741532046</v>
      </c>
      <c r="L75" s="1">
        <f t="shared" si="31"/>
        <v>0.88200528174366433</v>
      </c>
      <c r="N75" s="1">
        <f t="shared" si="26"/>
        <v>0.96363863087764834</v>
      </c>
      <c r="O75" s="1">
        <f t="shared" si="27"/>
        <v>0.91720512159680978</v>
      </c>
      <c r="Q75" s="1">
        <f t="shared" si="32"/>
        <v>0.68205857631160149</v>
      </c>
      <c r="R75" s="1">
        <f t="shared" si="33"/>
        <v>0.60775135896277344</v>
      </c>
      <c r="S75" s="1">
        <f t="shared" si="34"/>
        <v>0.48941453623024889</v>
      </c>
      <c r="T75" s="1">
        <f t="shared" si="35"/>
        <v>0.41039191710681877</v>
      </c>
      <c r="U75" s="1">
        <f t="shared" si="36"/>
        <v>0.17408502101977125</v>
      </c>
      <c r="V75" s="1">
        <f t="shared" si="37"/>
        <v>0.12753002838822317</v>
      </c>
      <c r="W75" s="1"/>
      <c r="X75" s="6">
        <f t="shared" si="38"/>
        <v>0.52453843157431668</v>
      </c>
      <c r="Y75" s="6">
        <f t="shared" si="39"/>
        <v>0.22189476912390949</v>
      </c>
      <c r="AA75">
        <f t="shared" si="40"/>
        <v>0.99380414393477001</v>
      </c>
      <c r="AB75">
        <f t="shared" si="41"/>
        <v>0.98929820853023032</v>
      </c>
      <c r="AC75">
        <f t="shared" si="42"/>
        <v>0.97729241195308647</v>
      </c>
      <c r="AD75">
        <f t="shared" si="43"/>
        <v>0.96413189708324154</v>
      </c>
      <c r="AE75">
        <f t="shared" si="44"/>
        <v>0.99908496133575109</v>
      </c>
      <c r="AF75">
        <f t="shared" si="45"/>
        <v>0.99823012246863074</v>
      </c>
    </row>
    <row r="76" spans="1:32" x14ac:dyDescent="0.3">
      <c r="D76" s="1" t="e">
        <f t="shared" si="28"/>
        <v>#N/A</v>
      </c>
      <c r="E76" s="1" t="e">
        <f t="shared" si="29"/>
        <v>#N/A</v>
      </c>
      <c r="G76" s="1">
        <f t="shared" si="25"/>
        <v>0.93313609023896049</v>
      </c>
      <c r="I76">
        <f t="shared" si="46"/>
        <v>124</v>
      </c>
      <c r="K76" s="1">
        <f t="shared" si="30"/>
        <v>0.92300185737501328</v>
      </c>
      <c r="L76" s="1">
        <f t="shared" si="31"/>
        <v>0.88981726694126828</v>
      </c>
      <c r="N76" s="1">
        <f t="shared" si="26"/>
        <v>0.95200524549283505</v>
      </c>
      <c r="O76" s="1">
        <f t="shared" si="27"/>
        <v>0.89157619244906505</v>
      </c>
      <c r="Q76" s="1">
        <f t="shared" si="32"/>
        <v>0.69635621598977593</v>
      </c>
      <c r="R76" s="1">
        <f t="shared" si="33"/>
        <v>0.62322015643981632</v>
      </c>
      <c r="S76" s="1">
        <f t="shared" si="34"/>
        <v>0.50556471093249389</v>
      </c>
      <c r="T76" s="1">
        <f t="shared" si="35"/>
        <v>0.42620242836653516</v>
      </c>
      <c r="U76" s="1">
        <f t="shared" si="36"/>
        <v>0.18468377503970274</v>
      </c>
      <c r="V76" s="1">
        <f t="shared" si="37"/>
        <v>0.13617678173834005</v>
      </c>
      <c r="W76" s="1"/>
      <c r="X76" s="6">
        <f t="shared" si="38"/>
        <v>0.51820601864677351</v>
      </c>
      <c r="Y76" s="6">
        <f t="shared" si="39"/>
        <v>0.21569449267295462</v>
      </c>
      <c r="AA76">
        <f t="shared" si="40"/>
        <v>0.99447754407681122</v>
      </c>
      <c r="AB76">
        <f t="shared" si="41"/>
        <v>0.99039098823658189</v>
      </c>
      <c r="AC76">
        <f t="shared" si="42"/>
        <v>0.97938823257128538</v>
      </c>
      <c r="AD76">
        <f t="shared" si="43"/>
        <v>0.96720934001076908</v>
      </c>
      <c r="AE76">
        <f t="shared" si="44"/>
        <v>0.99920297252608858</v>
      </c>
      <c r="AF76">
        <f t="shared" si="45"/>
        <v>0.99844672118233002</v>
      </c>
    </row>
    <row r="77" spans="1:32" x14ac:dyDescent="0.3">
      <c r="D77" s="1" t="e">
        <f t="shared" si="28"/>
        <v>#N/A</v>
      </c>
      <c r="E77" s="1" t="e">
        <f t="shared" si="29"/>
        <v>#N/A</v>
      </c>
      <c r="G77" s="1">
        <f t="shared" si="25"/>
        <v>0.85898675498108901</v>
      </c>
      <c r="I77">
        <f t="shared" si="46"/>
        <v>125</v>
      </c>
      <c r="K77" s="1">
        <f t="shared" si="30"/>
        <v>0.92863740266492811</v>
      </c>
      <c r="L77" s="1">
        <f t="shared" si="31"/>
        <v>0.89719292559733332</v>
      </c>
      <c r="N77" s="1">
        <f t="shared" si="26"/>
        <v>0.94060406122874041</v>
      </c>
      <c r="O77" s="1">
        <f t="shared" si="27"/>
        <v>0.8668607028284071</v>
      </c>
      <c r="Q77" s="1">
        <f t="shared" si="32"/>
        <v>0.71024820723254445</v>
      </c>
      <c r="R77" s="1">
        <f t="shared" si="33"/>
        <v>0.63837176567510001</v>
      </c>
      <c r="S77" s="1">
        <f t="shared" si="34"/>
        <v>0.52157622654873936</v>
      </c>
      <c r="T77" s="1">
        <f t="shared" si="35"/>
        <v>0.44200410216987113</v>
      </c>
      <c r="U77" s="1">
        <f t="shared" si="36"/>
        <v>0.19558491192974464</v>
      </c>
      <c r="V77" s="1">
        <f t="shared" si="37"/>
        <v>0.14514222647795641</v>
      </c>
      <c r="W77" s="1"/>
      <c r="X77" s="6">
        <f t="shared" si="38"/>
        <v>0.51200000000000012</v>
      </c>
      <c r="Y77" s="6">
        <f t="shared" si="39"/>
        <v>0.20971520000000007</v>
      </c>
      <c r="AA77">
        <f t="shared" si="40"/>
        <v>0.99508048142678229</v>
      </c>
      <c r="AB77">
        <f t="shared" si="41"/>
        <v>0.9913773450413681</v>
      </c>
      <c r="AC77">
        <f t="shared" si="42"/>
        <v>0.98130296953188956</v>
      </c>
      <c r="AD77">
        <f t="shared" si="43"/>
        <v>0.97004365011071214</v>
      </c>
      <c r="AE77">
        <f t="shared" si="44"/>
        <v>0.99930604420858538</v>
      </c>
      <c r="AF77">
        <f t="shared" si="45"/>
        <v>0.99863743168202224</v>
      </c>
    </row>
    <row r="78" spans="1:32" x14ac:dyDescent="0.3">
      <c r="D78" s="1" t="e">
        <f t="shared" si="28"/>
        <v>#N/A</v>
      </c>
      <c r="E78" s="1" t="e">
        <f t="shared" si="29"/>
        <v>#N/A</v>
      </c>
      <c r="G78" s="1">
        <f t="shared" si="25"/>
        <v>0.7902898291391125</v>
      </c>
      <c r="I78">
        <f t="shared" si="46"/>
        <v>126</v>
      </c>
      <c r="K78" s="1">
        <f t="shared" si="30"/>
        <v>0.93390973911785757</v>
      </c>
      <c r="L78" s="1">
        <f t="shared" si="31"/>
        <v>0.90414864736680345</v>
      </c>
      <c r="N78" s="1">
        <f t="shared" si="26"/>
        <v>0.92942864090336486</v>
      </c>
      <c r="O78" s="1">
        <f t="shared" si="27"/>
        <v>0.84301917542255311</v>
      </c>
      <c r="Q78" s="1">
        <f t="shared" si="32"/>
        <v>0.72372749676293524</v>
      </c>
      <c r="R78" s="1">
        <f t="shared" si="33"/>
        <v>0.65319132580079731</v>
      </c>
      <c r="S78" s="1">
        <f t="shared" si="34"/>
        <v>0.53742588843117112</v>
      </c>
      <c r="T78" s="1">
        <f t="shared" si="35"/>
        <v>0.45777166641519473</v>
      </c>
      <c r="U78" s="1">
        <f t="shared" si="36"/>
        <v>0.20677654565179621</v>
      </c>
      <c r="V78" s="1">
        <f t="shared" si="37"/>
        <v>0.15442050322526796</v>
      </c>
      <c r="W78" s="1"/>
      <c r="X78" s="6">
        <f t="shared" si="38"/>
        <v>0.50591687167593391</v>
      </c>
      <c r="Y78" s="6">
        <f t="shared" si="39"/>
        <v>0.20394734055971128</v>
      </c>
      <c r="AA78">
        <f t="shared" si="40"/>
        <v>0.99561993917670844</v>
      </c>
      <c r="AB78">
        <f t="shared" si="41"/>
        <v>0.99226694288282624</v>
      </c>
      <c r="AC78">
        <f t="shared" si="42"/>
        <v>0.98305072377992153</v>
      </c>
      <c r="AD78">
        <f t="shared" si="43"/>
        <v>0.97265156217864246</v>
      </c>
      <c r="AE78">
        <f t="shared" si="44"/>
        <v>0.9993960204921577</v>
      </c>
      <c r="AF78">
        <f t="shared" si="45"/>
        <v>0.99880524940737259</v>
      </c>
    </row>
    <row r="79" spans="1:32" x14ac:dyDescent="0.3">
      <c r="D79" s="1" t="e">
        <f t="shared" si="28"/>
        <v>#N/A</v>
      </c>
      <c r="E79" s="1" t="e">
        <f t="shared" si="29"/>
        <v>#N/A</v>
      </c>
      <c r="G79" s="1">
        <f t="shared" si="25"/>
        <v>0.72669124116166017</v>
      </c>
      <c r="I79">
        <f t="shared" si="46"/>
        <v>127</v>
      </c>
      <c r="K79" s="1">
        <f t="shared" si="30"/>
        <v>0.93883708746290406</v>
      </c>
      <c r="L79" s="1">
        <f t="shared" si="31"/>
        <v>0.91070102632883321</v>
      </c>
      <c r="N79" s="1">
        <f t="shared" si="26"/>
        <v>0.91847277497244251</v>
      </c>
      <c r="O79" s="1">
        <f t="shared" si="27"/>
        <v>0.8200141335236637</v>
      </c>
      <c r="Q79" s="1">
        <f t="shared" si="32"/>
        <v>0.73678881015395459</v>
      </c>
      <c r="R79" s="1">
        <f t="shared" si="33"/>
        <v>0.66766576186223203</v>
      </c>
      <c r="S79" s="1">
        <f t="shared" si="34"/>
        <v>0.55309181222780057</v>
      </c>
      <c r="T79" s="1">
        <f t="shared" si="35"/>
        <v>0.47348061135559588</v>
      </c>
      <c r="U79" s="1">
        <f t="shared" si="36"/>
        <v>0.21824587517139135</v>
      </c>
      <c r="V79" s="1">
        <f t="shared" si="37"/>
        <v>0.16400475248871363</v>
      </c>
      <c r="W79" s="1"/>
      <c r="X79" s="6">
        <f t="shared" si="38"/>
        <v>0.4999532536268001</v>
      </c>
      <c r="Y79" s="6">
        <f t="shared" si="39"/>
        <v>0.1983818478028099</v>
      </c>
      <c r="AA79">
        <f t="shared" si="40"/>
        <v>0.99610226381324407</v>
      </c>
      <c r="AB79">
        <f t="shared" si="41"/>
        <v>0.99306866264209059</v>
      </c>
      <c r="AC79">
        <f t="shared" si="42"/>
        <v>0.98464469124354781</v>
      </c>
      <c r="AD79">
        <f t="shared" si="43"/>
        <v>0.9750489527737114</v>
      </c>
      <c r="AE79">
        <f t="shared" si="44"/>
        <v>0.99947452568322448</v>
      </c>
      <c r="AF79">
        <f t="shared" si="45"/>
        <v>0.99895283879252861</v>
      </c>
    </row>
    <row r="80" spans="1:32" x14ac:dyDescent="0.3">
      <c r="D80" s="1" t="e">
        <f t="shared" si="28"/>
        <v>#N/A</v>
      </c>
      <c r="E80" s="1" t="e">
        <f t="shared" si="29"/>
        <v>#N/A</v>
      </c>
      <c r="G80" s="1">
        <f t="shared" si="25"/>
        <v>0.66785496726021165</v>
      </c>
      <c r="I80">
        <f t="shared" si="46"/>
        <v>128</v>
      </c>
      <c r="K80" s="1">
        <f t="shared" si="30"/>
        <v>0.94343731140724418</v>
      </c>
      <c r="L80" s="1">
        <f t="shared" si="31"/>
        <v>0.91686675261035278</v>
      </c>
      <c r="N80" s="1">
        <f t="shared" si="26"/>
        <v>0.90773047176736332</v>
      </c>
      <c r="O80" s="1">
        <f t="shared" si="27"/>
        <v>0.79780998495178423</v>
      </c>
      <c r="Q80" s="1">
        <f t="shared" si="32"/>
        <v>0.74942856362014099</v>
      </c>
      <c r="R80" s="1">
        <f t="shared" si="33"/>
        <v>0.68178374862231272</v>
      </c>
      <c r="S80" s="1">
        <f t="shared" si="34"/>
        <v>0.56855347186302152</v>
      </c>
      <c r="T80" s="1">
        <f t="shared" si="35"/>
        <v>0.48910727963042572</v>
      </c>
      <c r="U80" s="1">
        <f t="shared" si="36"/>
        <v>0.22997925252443879</v>
      </c>
      <c r="V80" s="1">
        <f t="shared" si="37"/>
        <v>0.17388714782034762</v>
      </c>
      <c r="W80" s="1"/>
      <c r="X80" s="6">
        <f t="shared" si="38"/>
        <v>0.49410588440130931</v>
      </c>
      <c r="Y80" s="6">
        <f t="shared" si="39"/>
        <v>0.19301011109426147</v>
      </c>
      <c r="AA80">
        <f t="shared" si="40"/>
        <v>0.9965332152929931</v>
      </c>
      <c r="AB80">
        <f t="shared" si="41"/>
        <v>0.99379065273955824</v>
      </c>
      <c r="AC80">
        <f t="shared" si="42"/>
        <v>0.98609719620372616</v>
      </c>
      <c r="AD80">
        <f t="shared" si="43"/>
        <v>0.97725084776646742</v>
      </c>
      <c r="AE80">
        <f t="shared" si="44"/>
        <v>0.99954298919351903</v>
      </c>
      <c r="AF80">
        <f t="shared" si="45"/>
        <v>0.99908256739605483</v>
      </c>
    </row>
    <row r="81" spans="4:32" x14ac:dyDescent="0.3">
      <c r="D81" s="1" t="e">
        <f t="shared" si="28"/>
        <v>#N/A</v>
      </c>
      <c r="E81" s="1" t="e">
        <f t="shared" si="29"/>
        <v>#N/A</v>
      </c>
      <c r="G81" s="1">
        <f t="shared" si="25"/>
        <v>0.61346264283614005</v>
      </c>
      <c r="I81">
        <f t="shared" si="46"/>
        <v>129</v>
      </c>
      <c r="K81" s="1">
        <f t="shared" si="30"/>
        <v>0.94772785622765154</v>
      </c>
      <c r="L81" s="1">
        <f t="shared" si="31"/>
        <v>0.92266251442620761</v>
      </c>
      <c r="N81" s="1">
        <f t="shared" si="26"/>
        <v>0.8971959482240226</v>
      </c>
      <c r="O81" s="1">
        <f t="shared" si="27"/>
        <v>0.77637291355242621</v>
      </c>
      <c r="Q81" s="1">
        <f t="shared" si="32"/>
        <v>0.76164477095898886</v>
      </c>
      <c r="R81" s="1">
        <f t="shared" si="33"/>
        <v>0.69553566504313602</v>
      </c>
      <c r="S81" s="1">
        <f t="shared" si="34"/>
        <v>0.58379173577955823</v>
      </c>
      <c r="T81" s="1">
        <f t="shared" si="35"/>
        <v>0.50462894624179744</v>
      </c>
      <c r="U81" s="1">
        <f t="shared" si="36"/>
        <v>0.24196225455428627</v>
      </c>
      <c r="V81" s="1">
        <f t="shared" si="37"/>
        <v>0.18405893433251697</v>
      </c>
      <c r="W81" s="1"/>
      <c r="X81" s="6">
        <f t="shared" si="38"/>
        <v>0.48837161609808244</v>
      </c>
      <c r="Y81" s="6">
        <f t="shared" si="39"/>
        <v>0.18782394946383793</v>
      </c>
      <c r="AA81">
        <f t="shared" si="40"/>
        <v>0.99691801441070993</v>
      </c>
      <c r="AB81">
        <f t="shared" si="41"/>
        <v>0.99444037828783194</v>
      </c>
      <c r="AC81">
        <f t="shared" si="42"/>
        <v>0.98741972696006663</v>
      </c>
      <c r="AD81">
        <f t="shared" si="43"/>
        <v>0.979271435378266</v>
      </c>
      <c r="AE81">
        <f t="shared" si="44"/>
        <v>0.99960266783782126</v>
      </c>
      <c r="AF81">
        <f t="shared" si="45"/>
        <v>0.99919653689722765</v>
      </c>
    </row>
    <row r="82" spans="4:32" x14ac:dyDescent="0.3">
      <c r="D82" s="1" t="e">
        <f t="shared" si="28"/>
        <v>#N/A</v>
      </c>
      <c r="E82" s="1" t="e">
        <f t="shared" si="29"/>
        <v>#N/A</v>
      </c>
      <c r="G82" s="1">
        <f t="shared" si="25"/>
        <v>0.56321311746137326</v>
      </c>
      <c r="I82">
        <f t="shared" si="46"/>
        <v>130</v>
      </c>
      <c r="K82" s="1">
        <f t="shared" si="30"/>
        <v>0.95172569716748268</v>
      </c>
      <c r="L82" s="1">
        <f t="shared" si="31"/>
        <v>0.92810491023994279</v>
      </c>
      <c r="N82" s="1">
        <f t="shared" si="26"/>
        <v>0.88686362107432881</v>
      </c>
      <c r="O82" s="1">
        <f t="shared" si="27"/>
        <v>0.75567077772013824</v>
      </c>
      <c r="Q82" s="1">
        <f t="shared" si="32"/>
        <v>0.77343694686933229</v>
      </c>
      <c r="R82" s="1">
        <f t="shared" si="33"/>
        <v>0.70891354058188571</v>
      </c>
      <c r="S82" s="1">
        <f t="shared" si="34"/>
        <v>0.59878889195688989</v>
      </c>
      <c r="T82" s="1">
        <f t="shared" si="35"/>
        <v>0.52002388844654357</v>
      </c>
      <c r="U82" s="1">
        <f t="shared" si="36"/>
        <v>0.25417975763793765</v>
      </c>
      <c r="V82" s="1">
        <f t="shared" si="37"/>
        <v>0.19451047214061304</v>
      </c>
      <c r="W82" s="1"/>
      <c r="X82" s="6">
        <f t="shared" si="38"/>
        <v>0.48274740957091467</v>
      </c>
      <c r="Y82" s="6">
        <f t="shared" si="39"/>
        <v>0.18281558705644105</v>
      </c>
      <c r="AA82">
        <f t="shared" si="40"/>
        <v>0.99726138733643122</v>
      </c>
      <c r="AB82">
        <f t="shared" si="41"/>
        <v>0.9950246685392018</v>
      </c>
      <c r="AC82">
        <f t="shared" si="42"/>
        <v>0.98862297312366176</v>
      </c>
      <c r="AD82">
        <f t="shared" si="43"/>
        <v>0.98112408384567318</v>
      </c>
      <c r="AE82">
        <f t="shared" si="44"/>
        <v>0.99965466575982087</v>
      </c>
      <c r="AF82">
        <f t="shared" si="45"/>
        <v>0.99929661118440283</v>
      </c>
    </row>
    <row r="83" spans="4:32" x14ac:dyDescent="0.3">
      <c r="D83" s="1" t="e">
        <f t="shared" si="28"/>
        <v>#N/A</v>
      </c>
      <c r="E83" s="1" t="e">
        <f t="shared" si="29"/>
        <v>#N/A</v>
      </c>
      <c r="G83" s="1">
        <f t="shared" si="25"/>
        <v>0.51682196285963755</v>
      </c>
      <c r="I83">
        <f t="shared" si="46"/>
        <v>131</v>
      </c>
      <c r="K83" s="1">
        <f t="shared" si="30"/>
        <v>0.95544729691900188</v>
      </c>
      <c r="L83" s="1">
        <f t="shared" si="31"/>
        <v>0.93321037067576951</v>
      </c>
      <c r="N83" s="1">
        <f t="shared" si="26"/>
        <v>0.87672809847393396</v>
      </c>
      <c r="O83" s="1">
        <f t="shared" si="27"/>
        <v>0.73567301544342689</v>
      </c>
      <c r="Q83" s="1">
        <f t="shared" si="32"/>
        <v>0.78480600778954035</v>
      </c>
      <c r="R83" s="1">
        <f t="shared" si="33"/>
        <v>0.72191099441709938</v>
      </c>
      <c r="S83" s="1">
        <f t="shared" si="34"/>
        <v>0.61352866229148995</v>
      </c>
      <c r="T83" s="1">
        <f t="shared" si="35"/>
        <v>0.53527144563537665</v>
      </c>
      <c r="U83" s="1">
        <f t="shared" si="36"/>
        <v>0.26661601472428914</v>
      </c>
      <c r="V83" s="1">
        <f t="shared" si="37"/>
        <v>0.2052312842666493</v>
      </c>
      <c r="W83" s="1"/>
      <c r="X83" s="6">
        <f t="shared" si="38"/>
        <v>0.47723032987148928</v>
      </c>
      <c r="Y83" s="6">
        <f t="shared" si="39"/>
        <v>0.17797763016010323</v>
      </c>
      <c r="AA83">
        <f t="shared" si="40"/>
        <v>0.9975676073355042</v>
      </c>
      <c r="AB83">
        <f t="shared" si="41"/>
        <v>0.9955497624284384</v>
      </c>
      <c r="AC83">
        <f t="shared" si="42"/>
        <v>0.98971686395109681</v>
      </c>
      <c r="AD83">
        <f t="shared" si="43"/>
        <v>0.98282136291704547</v>
      </c>
      <c r="AE83">
        <f t="shared" si="44"/>
        <v>0.99969995220863961</v>
      </c>
      <c r="AF83">
        <f t="shared" si="45"/>
        <v>0.99938444175553931</v>
      </c>
    </row>
    <row r="84" spans="4:32" x14ac:dyDescent="0.3">
      <c r="D84" s="1" t="e">
        <f t="shared" si="28"/>
        <v>#N/A</v>
      </c>
      <c r="E84" s="1" t="e">
        <f t="shared" si="29"/>
        <v>#N/A</v>
      </c>
      <c r="G84" s="1">
        <f t="shared" si="25"/>
        <v>0.47402094260976924</v>
      </c>
      <c r="I84">
        <f t="shared" si="46"/>
        <v>132</v>
      </c>
      <c r="K84" s="1">
        <f t="shared" si="30"/>
        <v>0.95890857146666941</v>
      </c>
      <c r="L84" s="1">
        <f t="shared" si="31"/>
        <v>0.93799508975339752</v>
      </c>
      <c r="N84" s="1">
        <f t="shared" si="26"/>
        <v>0.86678417204144753</v>
      </c>
      <c r="O84" s="1">
        <f t="shared" si="27"/>
        <v>0.716350555406155</v>
      </c>
      <c r="Q84" s="1">
        <f t="shared" si="32"/>
        <v>0.79575417130958659</v>
      </c>
      <c r="R84" s="1">
        <f t="shared" si="33"/>
        <v>0.73452316868917078</v>
      </c>
      <c r="S84" s="1">
        <f t="shared" si="34"/>
        <v>0.62799620698115977</v>
      </c>
      <c r="T84" s="1">
        <f t="shared" si="35"/>
        <v>0.5503520693628241</v>
      </c>
      <c r="U84" s="1">
        <f t="shared" si="36"/>
        <v>0.27925473401840983</v>
      </c>
      <c r="V84" s="1">
        <f t="shared" si="37"/>
        <v>0.21621010851680567</v>
      </c>
      <c r="W84" s="1"/>
      <c r="X84" s="6">
        <f t="shared" si="38"/>
        <v>0.47181754191607467</v>
      </c>
      <c r="Y84" s="6">
        <f t="shared" si="39"/>
        <v>0.17330304569920096</v>
      </c>
      <c r="AA84">
        <f t="shared" si="40"/>
        <v>0.99784053371638637</v>
      </c>
      <c r="AB84">
        <f t="shared" si="41"/>
        <v>0.99602135206635323</v>
      </c>
      <c r="AC84">
        <f t="shared" si="42"/>
        <v>0.99071060721160209</v>
      </c>
      <c r="AD84">
        <f t="shared" si="43"/>
        <v>0.98437506846128353</v>
      </c>
      <c r="AE84">
        <f t="shared" si="44"/>
        <v>0.99973937737275376</v>
      </c>
      <c r="AF84">
        <f t="shared" si="45"/>
        <v>0.99946149064325762</v>
      </c>
    </row>
    <row r="85" spans="4:32" x14ac:dyDescent="0.3">
      <c r="D85" s="1" t="e">
        <f t="shared" si="28"/>
        <v>#N/A</v>
      </c>
      <c r="E85" s="1" t="e">
        <f t="shared" si="29"/>
        <v>#N/A</v>
      </c>
      <c r="G85" s="1">
        <f t="shared" si="25"/>
        <v>0.43455745157399406</v>
      </c>
      <c r="I85">
        <f t="shared" si="46"/>
        <v>133</v>
      </c>
      <c r="K85" s="1">
        <f t="shared" si="30"/>
        <v>0.9621248635726366</v>
      </c>
      <c r="L85" s="1">
        <f t="shared" si="31"/>
        <v>0.94247496497193139</v>
      </c>
      <c r="N85" s="1">
        <f t="shared" si="26"/>
        <v>0.85702680928597463</v>
      </c>
      <c r="O85" s="1">
        <f t="shared" si="27"/>
        <v>0.69767573371688818</v>
      </c>
      <c r="Q85" s="1">
        <f t="shared" si="32"/>
        <v>0.80628485511948444</v>
      </c>
      <c r="R85" s="1">
        <f t="shared" si="33"/>
        <v>0.74674665679729102</v>
      </c>
      <c r="S85" s="1">
        <f t="shared" si="34"/>
        <v>0.64217811959996962</v>
      </c>
      <c r="T85" s="1">
        <f t="shared" si="35"/>
        <v>0.56524736377359686</v>
      </c>
      <c r="U85" s="1">
        <f t="shared" si="36"/>
        <v>0.2920791586635717</v>
      </c>
      <c r="V85" s="1">
        <f t="shared" si="37"/>
        <v>0.22743495283076337</v>
      </c>
      <c r="W85" s="1"/>
      <c r="X85" s="6">
        <f t="shared" si="38"/>
        <v>0.46650630636359791</v>
      </c>
      <c r="Y85" s="6">
        <f t="shared" si="39"/>
        <v>0.16878514108920945</v>
      </c>
      <c r="AA85">
        <f t="shared" si="40"/>
        <v>0.99808364807581762</v>
      </c>
      <c r="AB85">
        <f t="shared" si="41"/>
        <v>0.99644462408676504</v>
      </c>
      <c r="AC85">
        <f t="shared" si="42"/>
        <v>0.99161272815114698</v>
      </c>
      <c r="AD85">
        <f t="shared" si="43"/>
        <v>0.98579624953964062</v>
      </c>
      <c r="AE85">
        <f t="shared" si="44"/>
        <v>0.99977368646245013</v>
      </c>
      <c r="AF85">
        <f t="shared" si="45"/>
        <v>0.99952905106758216</v>
      </c>
    </row>
    <row r="86" spans="4:32" x14ac:dyDescent="0.3">
      <c r="D86" s="1" t="e">
        <f t="shared" si="28"/>
        <v>#N/A</v>
      </c>
      <c r="E86" s="1" t="e">
        <f t="shared" si="29"/>
        <v>#N/A</v>
      </c>
      <c r="G86" s="1">
        <f t="shared" si="25"/>
        <v>0.39819393233744904</v>
      </c>
      <c r="I86">
        <f t="shared" si="46"/>
        <v>134</v>
      </c>
      <c r="K86" s="1">
        <f t="shared" si="30"/>
        <v>0.9651109231995767</v>
      </c>
      <c r="L86" s="1">
        <f t="shared" si="31"/>
        <v>0.94666554573564521</v>
      </c>
      <c r="N86" s="1">
        <f t="shared" si="26"/>
        <v>0.84745114640128449</v>
      </c>
      <c r="O86" s="1">
        <f t="shared" si="27"/>
        <v>0.67962221587093441</v>
      </c>
      <c r="Q86" s="1">
        <f t="shared" si="32"/>
        <v>0.81640257636382918</v>
      </c>
      <c r="R86" s="1">
        <f t="shared" si="33"/>
        <v>0.75857942774559395</v>
      </c>
      <c r="S86" s="1">
        <f t="shared" si="34"/>
        <v>0.65606241358259276</v>
      </c>
      <c r="T86" s="1">
        <f t="shared" si="35"/>
        <v>0.57994011674329082</v>
      </c>
      <c r="U86" s="1">
        <f t="shared" si="36"/>
        <v>0.30507214679621941</v>
      </c>
      <c r="V86" s="1">
        <f t="shared" si="37"/>
        <v>0.23889315359138796</v>
      </c>
      <c r="W86" s="1"/>
      <c r="X86" s="6">
        <f t="shared" si="38"/>
        <v>0.46129397569328712</v>
      </c>
      <c r="Y86" s="6">
        <f t="shared" si="39"/>
        <v>0.16441754535737566</v>
      </c>
      <c r="AA86">
        <f t="shared" si="40"/>
        <v>0.99830008793030389</v>
      </c>
      <c r="AB86">
        <f t="shared" si="41"/>
        <v>0.99682429878982193</v>
      </c>
      <c r="AC86">
        <f t="shared" si="42"/>
        <v>0.9924311081831233</v>
      </c>
      <c r="AD86">
        <f t="shared" si="43"/>
        <v>0.98709523735967808</v>
      </c>
      <c r="AE86">
        <f t="shared" si="44"/>
        <v>0.99980353221673346</v>
      </c>
      <c r="AF86">
        <f t="shared" si="45"/>
        <v>0.99958826600921735</v>
      </c>
    </row>
    <row r="87" spans="4:32" x14ac:dyDescent="0.3">
      <c r="D87" s="1" t="e">
        <f t="shared" si="28"/>
        <v>#N/A</v>
      </c>
      <c r="E87" s="1" t="e">
        <f t="shared" si="29"/>
        <v>#N/A</v>
      </c>
      <c r="G87" s="1">
        <f t="shared" si="25"/>
        <v>0.36470727525369284</v>
      </c>
      <c r="I87">
        <f t="shared" si="46"/>
        <v>135</v>
      </c>
      <c r="K87" s="1">
        <f t="shared" si="30"/>
        <v>0.96788089418668477</v>
      </c>
      <c r="L87" s="1">
        <f t="shared" si="31"/>
        <v>0.95058198959185258</v>
      </c>
      <c r="N87" s="1">
        <f t="shared" si="26"/>
        <v>0.83805248140627853</v>
      </c>
      <c r="O87" s="1">
        <f t="shared" si="27"/>
        <v>0.66216492358026935</v>
      </c>
      <c r="Q87" s="1">
        <f t="shared" si="32"/>
        <v>0.82611285217965236</v>
      </c>
      <c r="R87" s="1">
        <f t="shared" si="33"/>
        <v>0.77002074747556115</v>
      </c>
      <c r="S87" s="1">
        <f t="shared" si="34"/>
        <v>0.66963850085793852</v>
      </c>
      <c r="T87" s="1">
        <f t="shared" si="35"/>
        <v>0.59441432211371659</v>
      </c>
      <c r="U87" s="1">
        <f t="shared" si="36"/>
        <v>0.31821625137768728</v>
      </c>
      <c r="V87" s="1">
        <f t="shared" si="37"/>
        <v>0.25057143637985901</v>
      </c>
      <c r="W87" s="1"/>
      <c r="X87" s="6">
        <f t="shared" si="38"/>
        <v>0.45617799047081553</v>
      </c>
      <c r="Y87" s="6">
        <f t="shared" si="39"/>
        <v>0.16019419144105454</v>
      </c>
      <c r="AA87">
        <f t="shared" si="40"/>
        <v>0.99849267783750539</v>
      </c>
      <c r="AB87">
        <f t="shared" si="41"/>
        <v>0.99716466705871831</v>
      </c>
      <c r="AC87">
        <f t="shared" si="42"/>
        <v>0.99317302299516619</v>
      </c>
      <c r="AD87">
        <f t="shared" si="43"/>
        <v>0.98828167559542968</v>
      </c>
      <c r="AE87">
        <f t="shared" si="44"/>
        <v>0.99982948599595933</v>
      </c>
      <c r="AF87">
        <f t="shared" si="45"/>
        <v>0.99964014488522979</v>
      </c>
    </row>
    <row r="88" spans="4:32" x14ac:dyDescent="0.3">
      <c r="D88" s="1" t="e">
        <f t="shared" si="28"/>
        <v>#N/A</v>
      </c>
      <c r="E88" s="1" t="e">
        <f t="shared" si="29"/>
        <v>#N/A</v>
      </c>
      <c r="G88" s="1">
        <f t="shared" si="25"/>
        <v>0.33388820801690144</v>
      </c>
      <c r="I88">
        <f t="shared" si="46"/>
        <v>136</v>
      </c>
      <c r="K88" s="1">
        <f t="shared" si="30"/>
        <v>0.97044830652084724</v>
      </c>
      <c r="L88" s="1">
        <f t="shared" si="31"/>
        <v>0.95423902573801844</v>
      </c>
      <c r="N88" s="1">
        <f t="shared" si="26"/>
        <v>0.82882626761269784</v>
      </c>
      <c r="O88" s="1">
        <f t="shared" si="27"/>
        <v>0.64527996613445338</v>
      </c>
      <c r="Q88" s="1">
        <f t="shared" si="32"/>
        <v>0.83542210210370427</v>
      </c>
      <c r="R88" s="1">
        <f t="shared" si="33"/>
        <v>0.78107109806128328</v>
      </c>
      <c r="S88" s="1">
        <f t="shared" si="34"/>
        <v>0.68289716338288942</v>
      </c>
      <c r="T88" s="1">
        <f t="shared" si="35"/>
        <v>0.60865519345590435</v>
      </c>
      <c r="U88" s="1">
        <f t="shared" si="36"/>
        <v>0.33149379923947009</v>
      </c>
      <c r="V88" s="1">
        <f t="shared" si="37"/>
        <v>0.26245597866331194</v>
      </c>
      <c r="W88" s="1"/>
      <c r="X88" s="6">
        <f t="shared" si="38"/>
        <v>0.45115587579257099</v>
      </c>
      <c r="Y88" s="6">
        <f t="shared" si="39"/>
        <v>0.15610929958220449</v>
      </c>
      <c r="AA88">
        <f t="shared" si="40"/>
        <v>0.99866395812177255</v>
      </c>
      <c r="AB88">
        <f t="shared" si="41"/>
        <v>0.99746962505531978</v>
      </c>
      <c r="AC88">
        <f t="shared" si="42"/>
        <v>0.99384517981575904</v>
      </c>
      <c r="AD88">
        <f t="shared" si="43"/>
        <v>0.98936455161914827</v>
      </c>
      <c r="AE88">
        <f t="shared" si="44"/>
        <v>0.99985204760749036</v>
      </c>
      <c r="AF88">
        <f t="shared" si="45"/>
        <v>0.99968557849764961</v>
      </c>
    </row>
    <row r="89" spans="4:32" x14ac:dyDescent="0.3">
      <c r="D89" s="1" t="e">
        <f t="shared" si="28"/>
        <v>#N/A</v>
      </c>
      <c r="E89" s="1" t="e">
        <f t="shared" si="29"/>
        <v>#N/A</v>
      </c>
      <c r="G89" s="1">
        <f t="shared" si="25"/>
        <v>0.30554068004056489</v>
      </c>
      <c r="I89">
        <f t="shared" si="46"/>
        <v>137</v>
      </c>
      <c r="K89" s="1">
        <f t="shared" si="30"/>
        <v>0.97282607357540929</v>
      </c>
      <c r="L89" s="1">
        <f t="shared" si="31"/>
        <v>0.95765092525051032</v>
      </c>
      <c r="N89" s="1">
        <f t="shared" si="26"/>
        <v>0.81976810740218575</v>
      </c>
      <c r="O89" s="1">
        <f t="shared" si="27"/>
        <v>0.62894457598121778</v>
      </c>
      <c r="Q89" s="1">
        <f t="shared" si="32"/>
        <v>0.84433755294664037</v>
      </c>
      <c r="R89" s="1">
        <f t="shared" si="33"/>
        <v>0.79173209558025015</v>
      </c>
      <c r="S89" s="1">
        <f t="shared" si="34"/>
        <v>0.69583051832853704</v>
      </c>
      <c r="T89" s="1">
        <f t="shared" si="35"/>
        <v>0.62264916983721397</v>
      </c>
      <c r="U89" s="1">
        <f t="shared" si="36"/>
        <v>0.34488696881555769</v>
      </c>
      <c r="V89" s="1">
        <f t="shared" si="37"/>
        <v>0.27453247390911495</v>
      </c>
      <c r="W89" s="1"/>
      <c r="X89" s="6">
        <f t="shared" si="38"/>
        <v>0.44622523789831831</v>
      </c>
      <c r="Y89" s="6">
        <f t="shared" si="39"/>
        <v>0.15215736174272665</v>
      </c>
      <c r="AA89">
        <f t="shared" si="40"/>
        <v>0.99881621132529441</v>
      </c>
      <c r="AB89">
        <f t="shared" si="41"/>
        <v>0.99774270672368093</v>
      </c>
      <c r="AC89">
        <f t="shared" si="42"/>
        <v>0.99445375363276622</v>
      </c>
      <c r="AD89">
        <f t="shared" si="43"/>
        <v>0.99035222824737867</v>
      </c>
      <c r="AE89">
        <f t="shared" si="44"/>
        <v>0.99987165399847133</v>
      </c>
      <c r="AF89">
        <f t="shared" si="45"/>
        <v>0.99972535241403804</v>
      </c>
    </row>
    <row r="90" spans="4:32" x14ac:dyDescent="0.3">
      <c r="D90" s="1" t="e">
        <f t="shared" si="28"/>
        <v>#N/A</v>
      </c>
      <c r="E90" s="1" t="e">
        <f t="shared" si="29"/>
        <v>#N/A</v>
      </c>
      <c r="G90" s="1">
        <f t="shared" si="25"/>
        <v>0.27948124630927396</v>
      </c>
      <c r="I90">
        <f t="shared" si="46"/>
        <v>138</v>
      </c>
      <c r="K90" s="1">
        <f t="shared" si="30"/>
        <v>0.975026493722573</v>
      </c>
      <c r="L90" s="1">
        <f t="shared" si="31"/>
        <v>0.96083147748977749</v>
      </c>
      <c r="N90" s="1">
        <f t="shared" si="26"/>
        <v>0.81087374629592501</v>
      </c>
      <c r="O90" s="1">
        <f t="shared" si="27"/>
        <v>0.6131370482388846</v>
      </c>
      <c r="Q90" s="1">
        <f t="shared" si="32"/>
        <v>0.85286714664627372</v>
      </c>
      <c r="R90" s="1">
        <f t="shared" si="33"/>
        <v>0.80200640740621953</v>
      </c>
      <c r="S90" s="1">
        <f t="shared" si="34"/>
        <v>0.70843197766458088</v>
      </c>
      <c r="T90" s="1">
        <f t="shared" si="35"/>
        <v>0.63638391410337869</v>
      </c>
      <c r="U90" s="1">
        <f t="shared" si="36"/>
        <v>0.35837786607500999</v>
      </c>
      <c r="V90" s="1">
        <f t="shared" si="37"/>
        <v>0.28678619663158716</v>
      </c>
      <c r="W90" s="1"/>
      <c r="X90" s="6">
        <f t="shared" si="38"/>
        <v>0.44138376094311954</v>
      </c>
      <c r="Y90" s="6">
        <f t="shared" si="39"/>
        <v>0.14833312697101264</v>
      </c>
      <c r="AA90">
        <f t="shared" si="40"/>
        <v>0.99895148651067656</v>
      </c>
      <c r="AB90">
        <f t="shared" si="41"/>
        <v>0.99798711414946795</v>
      </c>
      <c r="AC90">
        <f t="shared" si="42"/>
        <v>0.99500442219920282</v>
      </c>
      <c r="AD90">
        <f t="shared" si="43"/>
        <v>0.99125247565736629</v>
      </c>
      <c r="AE90">
        <f t="shared" si="44"/>
        <v>0.99988868693741428</v>
      </c>
      <c r="AF90">
        <f t="shared" si="45"/>
        <v>0.99976015892767445</v>
      </c>
    </row>
    <row r="91" spans="4:32" x14ac:dyDescent="0.3">
      <c r="D91" s="1" t="e">
        <f t="shared" si="28"/>
        <v>#N/A</v>
      </c>
      <c r="E91" s="1" t="e">
        <f t="shared" si="29"/>
        <v>#N/A</v>
      </c>
      <c r="G91" s="1">
        <f t="shared" si="25"/>
        <v>0.25553845479603865</v>
      </c>
      <c r="I91">
        <f t="shared" si="46"/>
        <v>139</v>
      </c>
      <c r="K91" s="1">
        <f t="shared" si="30"/>
        <v>0.97706125576129765</v>
      </c>
      <c r="L91" s="1">
        <f t="shared" si="31"/>
        <v>0.96379397214522255</v>
      </c>
      <c r="N91" s="1">
        <f t="shared" si="26"/>
        <v>0.80213906730109319</v>
      </c>
      <c r="O91" s="1">
        <f t="shared" si="27"/>
        <v>0.59783668387432021</v>
      </c>
      <c r="Q91" s="1">
        <f t="shared" si="32"/>
        <v>0.86101945153075055</v>
      </c>
      <c r="R91" s="1">
        <f t="shared" si="33"/>
        <v>0.81189766960347654</v>
      </c>
      <c r="S91" s="1">
        <f t="shared" si="34"/>
        <v>0.72069620287346747</v>
      </c>
      <c r="T91" s="1">
        <f t="shared" si="35"/>
        <v>0.64984830421222528</v>
      </c>
      <c r="U91" s="1">
        <f t="shared" si="36"/>
        <v>0.37194859820991349</v>
      </c>
      <c r="V91" s="1">
        <f t="shared" si="37"/>
        <v>0.29920206789285025</v>
      </c>
      <c r="W91" s="1"/>
      <c r="X91" s="6">
        <f t="shared" si="38"/>
        <v>0.43662920391993193</v>
      </c>
      <c r="Y91" s="6">
        <f t="shared" si="39"/>
        <v>0.14463158765527478</v>
      </c>
      <c r="AA91">
        <f t="shared" si="40"/>
        <v>0.99907162154271301</v>
      </c>
      <c r="AB91">
        <f t="shared" si="41"/>
        <v>0.99820574583841559</v>
      </c>
      <c r="AC91">
        <f t="shared" si="42"/>
        <v>0.99550239969968557</v>
      </c>
      <c r="AD91">
        <f t="shared" si="43"/>
        <v>0.99207250317890772</v>
      </c>
      <c r="AE91">
        <f t="shared" si="44"/>
        <v>0.99990347979471861</v>
      </c>
      <c r="AF91">
        <f t="shared" si="45"/>
        <v>0.99979060773387041</v>
      </c>
    </row>
    <row r="92" spans="4:32" x14ac:dyDescent="0.3">
      <c r="D92" s="1" t="e">
        <f t="shared" si="28"/>
        <v>#N/A</v>
      </c>
      <c r="E92" s="1" t="e">
        <f t="shared" si="29"/>
        <v>#N/A</v>
      </c>
      <c r="G92" s="1">
        <f t="shared" si="25"/>
        <v>0.23355224099623229</v>
      </c>
      <c r="I92">
        <f t="shared" si="46"/>
        <v>140</v>
      </c>
      <c r="K92" s="1">
        <f t="shared" si="30"/>
        <v>0.97894144763979696</v>
      </c>
      <c r="L92" s="1">
        <f t="shared" si="31"/>
        <v>0.96655118639654458</v>
      </c>
      <c r="N92" s="1">
        <f t="shared" si="26"/>
        <v>0.79356008551932977</v>
      </c>
      <c r="O92" s="1">
        <f t="shared" si="27"/>
        <v>0.58302373629991577</v>
      </c>
      <c r="Q92" s="1">
        <f t="shared" si="32"/>
        <v>0.86880357734575875</v>
      </c>
      <c r="R92" s="1">
        <f t="shared" si="33"/>
        <v>0.82141040503441998</v>
      </c>
      <c r="S92" s="1">
        <f t="shared" si="34"/>
        <v>0.73261905550536699</v>
      </c>
      <c r="T92" s="1">
        <f t="shared" si="35"/>
        <v>0.66303241817375203</v>
      </c>
      <c r="U92" s="1">
        <f t="shared" si="36"/>
        <v>0.3855813446774668</v>
      </c>
      <c r="V92" s="1">
        <f t="shared" si="37"/>
        <v>0.3117647207991161</v>
      </c>
      <c r="W92" s="1"/>
      <c r="X92" s="6">
        <f t="shared" si="38"/>
        <v>0.43195939772483116</v>
      </c>
      <c r="Y92" s="6">
        <f t="shared" si="39"/>
        <v>0.14104796660402646</v>
      </c>
      <c r="AA92">
        <f t="shared" si="40"/>
        <v>0.99917826347709271</v>
      </c>
      <c r="AB92">
        <f t="shared" si="41"/>
        <v>0.99840122298865419</v>
      </c>
      <c r="AC92">
        <f t="shared" si="42"/>
        <v>0.99595246898444945</v>
      </c>
      <c r="AD92">
        <f t="shared" si="43"/>
        <v>0.99281899071166491</v>
      </c>
      <c r="AE92">
        <f t="shared" si="44"/>
        <v>0.99991632352152593</v>
      </c>
      <c r="AF92">
        <f t="shared" si="45"/>
        <v>0.99981723544813117</v>
      </c>
    </row>
    <row r="93" spans="4:32" x14ac:dyDescent="0.3">
      <c r="D93" s="1" t="e">
        <f t="shared" si="28"/>
        <v>#N/A</v>
      </c>
      <c r="E93" s="1" t="e">
        <f t="shared" si="29"/>
        <v>#N/A</v>
      </c>
      <c r="G93" s="1">
        <f t="shared" si="25"/>
        <v>0.21337333262886204</v>
      </c>
      <c r="I93">
        <f t="shared" si="46"/>
        <v>141</v>
      </c>
      <c r="K93" s="1">
        <f t="shared" si="30"/>
        <v>0.98067756798963868</v>
      </c>
      <c r="L93" s="1">
        <f t="shared" si="31"/>
        <v>0.96911537668599956</v>
      </c>
      <c r="N93" s="1">
        <f t="shared" si="26"/>
        <v>0.78513294300330649</v>
      </c>
      <c r="O93" s="1">
        <f t="shared" si="27"/>
        <v>0.56867936116129036</v>
      </c>
      <c r="Q93" s="1">
        <f t="shared" si="32"/>
        <v>0.87622909432807694</v>
      </c>
      <c r="R93" s="1">
        <f t="shared" si="33"/>
        <v>0.83054994272576588</v>
      </c>
      <c r="S93" s="1">
        <f t="shared" si="34"/>
        <v>0.74419754425916673</v>
      </c>
      <c r="T93" s="1">
        <f t="shared" si="35"/>
        <v>0.67592751316183319</v>
      </c>
      <c r="U93" s="1">
        <f t="shared" si="36"/>
        <v>0.39925842523955229</v>
      </c>
      <c r="V93" s="1">
        <f t="shared" si="37"/>
        <v>0.32445856555656394</v>
      </c>
      <c r="W93" s="1"/>
      <c r="X93" s="6">
        <f t="shared" si="38"/>
        <v>0.42737224235728211</v>
      </c>
      <c r="Y93" s="6">
        <f t="shared" si="39"/>
        <v>0.13757770489847626</v>
      </c>
      <c r="AA93">
        <f t="shared" si="40"/>
        <v>0.99927288718215723</v>
      </c>
      <c r="AB93">
        <f t="shared" si="41"/>
        <v>0.99857591384049316</v>
      </c>
      <c r="AC93">
        <f t="shared" si="42"/>
        <v>0.99635901230689394</v>
      </c>
      <c r="AD93">
        <f t="shared" si="43"/>
        <v>0.99349811955880396</v>
      </c>
      <c r="AE93">
        <f t="shared" si="44"/>
        <v>0.99992747191640086</v>
      </c>
      <c r="AF93">
        <f t="shared" si="45"/>
        <v>0.99984051408154739</v>
      </c>
    </row>
    <row r="94" spans="4:32" x14ac:dyDescent="0.3">
      <c r="D94" s="1" t="e">
        <f t="shared" si="28"/>
        <v>#N/A</v>
      </c>
      <c r="E94" s="1" t="e">
        <f t="shared" si="29"/>
        <v>#N/A</v>
      </c>
      <c r="G94" s="1">
        <f t="shared" si="25"/>
        <v>0.19486266709054689</v>
      </c>
      <c r="I94">
        <f t="shared" si="46"/>
        <v>142</v>
      </c>
      <c r="K94" s="1">
        <f t="shared" si="30"/>
        <v>0.98227954002642315</v>
      </c>
      <c r="L94" s="1">
        <f t="shared" si="31"/>
        <v>0.97149827461696203</v>
      </c>
      <c r="N94" s="1">
        <f t="shared" si="26"/>
        <v>0.77685390384831843</v>
      </c>
      <c r="O94" s="1">
        <f t="shared" si="27"/>
        <v>0.55478556910413523</v>
      </c>
      <c r="Q94" s="1">
        <f t="shared" si="32"/>
        <v>0.88330595654121402</v>
      </c>
      <c r="R94" s="1">
        <f t="shared" si="33"/>
        <v>0.83932233897345188</v>
      </c>
      <c r="S94" s="1">
        <f t="shared" si="34"/>
        <v>0.75542976924416472</v>
      </c>
      <c r="T94" s="1">
        <f t="shared" si="35"/>
        <v>0.68852599936663439</v>
      </c>
      <c r="U94" s="1">
        <f t="shared" si="36"/>
        <v>0.4129623646882134</v>
      </c>
      <c r="V94" s="1">
        <f t="shared" si="37"/>
        <v>0.33726785367659085</v>
      </c>
      <c r="W94" s="1"/>
      <c r="X94" s="6">
        <f t="shared" si="38"/>
        <v>0.42286570424833902</v>
      </c>
      <c r="Y94" s="6">
        <f t="shared" si="39"/>
        <v>0.13421645046565017</v>
      </c>
      <c r="AA94">
        <f t="shared" si="40"/>
        <v>0.99935681231692419</v>
      </c>
      <c r="AB94">
        <f t="shared" si="41"/>
        <v>0.99873195619345223</v>
      </c>
      <c r="AC94">
        <f t="shared" si="42"/>
        <v>0.99672604052570291</v>
      </c>
      <c r="AD94">
        <f t="shared" si="43"/>
        <v>0.99411560250467546</v>
      </c>
      <c r="AE94">
        <f t="shared" si="44"/>
        <v>0.99993714626023311</v>
      </c>
      <c r="AF94">
        <f t="shared" si="45"/>
        <v>0.99986085857897367</v>
      </c>
    </row>
    <row r="95" spans="4:32" x14ac:dyDescent="0.3">
      <c r="D95" s="1" t="e">
        <f t="shared" si="28"/>
        <v>#N/A</v>
      </c>
      <c r="E95" s="1" t="e">
        <f t="shared" si="29"/>
        <v>#N/A</v>
      </c>
      <c r="G95" s="1">
        <f t="shared" si="25"/>
        <v>0.17789082382222432</v>
      </c>
      <c r="I95">
        <f t="shared" si="46"/>
        <v>143</v>
      </c>
      <c r="K95" s="1">
        <f t="shared" si="30"/>
        <v>0.98375672740954911</v>
      </c>
      <c r="L95" s="1">
        <f t="shared" si="31"/>
        <v>0.97371108651764771</v>
      </c>
      <c r="N95" s="1">
        <f t="shared" si="26"/>
        <v>0.76871934950659215</v>
      </c>
      <c r="O95" s="1">
        <f t="shared" si="27"/>
        <v>0.54132518132402208</v>
      </c>
      <c r="Q95" s="1">
        <f t="shared" si="32"/>
        <v>0.89004442962772268</v>
      </c>
      <c r="R95" s="1">
        <f t="shared" si="33"/>
        <v>0.84773430060321808</v>
      </c>
      <c r="S95" s="1">
        <f t="shared" si="34"/>
        <v>0.7663148640429942</v>
      </c>
      <c r="T95" s="1">
        <f t="shared" si="35"/>
        <v>0.70082140915456637</v>
      </c>
      <c r="U95" s="1">
        <f t="shared" si="36"/>
        <v>0.4266759539904042</v>
      </c>
      <c r="V95" s="1">
        <f t="shared" si="37"/>
        <v>0.35017674094811863</v>
      </c>
      <c r="W95" s="1"/>
      <c r="X95" s="6">
        <f t="shared" si="38"/>
        <v>0.41843781371007888</v>
      </c>
      <c r="Y95" s="6">
        <f t="shared" si="39"/>
        <v>0.13096004732478381</v>
      </c>
      <c r="AA95">
        <f t="shared" si="40"/>
        <v>0.99943121878470054</v>
      </c>
      <c r="AB95">
        <f t="shared" si="41"/>
        <v>0.99887127818437715</v>
      </c>
      <c r="AC95">
        <f t="shared" si="42"/>
        <v>0.99705722075400949</v>
      </c>
      <c r="AD95">
        <f t="shared" si="43"/>
        <v>0.99467671299731342</v>
      </c>
      <c r="AE95">
        <f t="shared" si="44"/>
        <v>0.9999455393914285</v>
      </c>
      <c r="AF95">
        <f t="shared" si="45"/>
        <v>0.99987863351628059</v>
      </c>
    </row>
    <row r="96" spans="4:32" x14ac:dyDescent="0.3">
      <c r="D96" s="1" t="e">
        <f t="shared" si="28"/>
        <v>#N/A</v>
      </c>
      <c r="E96" s="1" t="e">
        <f t="shared" si="29"/>
        <v>#N/A</v>
      </c>
      <c r="G96" s="1">
        <f t="shared" si="25"/>
        <v>0.16233747335903104</v>
      </c>
      <c r="I96">
        <f t="shared" si="46"/>
        <v>144</v>
      </c>
      <c r="K96" s="1">
        <f t="shared" si="30"/>
        <v>0.98511795169024241</v>
      </c>
      <c r="L96" s="1">
        <f t="shared" si="31"/>
        <v>0.97576449623418471</v>
      </c>
      <c r="N96" s="1">
        <f t="shared" si="26"/>
        <v>0.76072577431273081</v>
      </c>
      <c r="O96" s="1">
        <f t="shared" si="27"/>
        <v>0.52828178771717416</v>
      </c>
      <c r="Q96" s="1">
        <f t="shared" si="32"/>
        <v>0.89645502307708047</v>
      </c>
      <c r="R96" s="1">
        <f t="shared" si="33"/>
        <v>0.85579311074329822</v>
      </c>
      <c r="S96" s="1">
        <f t="shared" si="34"/>
        <v>0.77685293615924467</v>
      </c>
      <c r="T96" s="1">
        <f t="shared" si="35"/>
        <v>0.71280836209487286</v>
      </c>
      <c r="U96" s="1">
        <f t="shared" si="36"/>
        <v>0.4403823076297575</v>
      </c>
      <c r="V96" s="1">
        <f t="shared" si="37"/>
        <v>0.3631693488243809</v>
      </c>
      <c r="W96" s="1"/>
      <c r="X96" s="6">
        <f t="shared" si="38"/>
        <v>0.41408666249996123</v>
      </c>
      <c r="Y96" s="6">
        <f t="shared" si="39"/>
        <v>0.12780452546295101</v>
      </c>
      <c r="AA96">
        <f t="shared" si="40"/>
        <v>0.9994971607769646</v>
      </c>
      <c r="AB96">
        <f t="shared" si="41"/>
        <v>0.99899561742269538</v>
      </c>
      <c r="AC96">
        <f t="shared" si="42"/>
        <v>0.99735590245618744</v>
      </c>
      <c r="AD96">
        <f t="shared" si="43"/>
        <v>0.99518631332597396</v>
      </c>
      <c r="AE96">
        <f t="shared" si="44"/>
        <v>0.99995281928586111</v>
      </c>
      <c r="AF96">
        <f t="shared" si="45"/>
        <v>0.99989415904426648</v>
      </c>
    </row>
    <row r="97" spans="4:40" x14ac:dyDescent="0.3">
      <c r="D97" s="1" t="e">
        <f t="shared" si="28"/>
        <v>#N/A</v>
      </c>
      <c r="E97" s="1" t="e">
        <f t="shared" si="29"/>
        <v>#N/A</v>
      </c>
      <c r="G97" s="1">
        <f t="shared" si="25"/>
        <v>0.14809084448137355</v>
      </c>
      <c r="I97">
        <f t="shared" si="46"/>
        <v>145</v>
      </c>
      <c r="K97" s="1">
        <f t="shared" si="30"/>
        <v>0.98637151101248588</v>
      </c>
      <c r="L97" s="1">
        <f t="shared" si="31"/>
        <v>0.97766867074380182</v>
      </c>
      <c r="N97" s="1">
        <f t="shared" si="26"/>
        <v>0.75286978120939374</v>
      </c>
      <c r="O97" s="1">
        <f t="shared" si="27"/>
        <v>0.51563970746327092</v>
      </c>
      <c r="Q97" s="1">
        <f t="shared" si="32"/>
        <v>0.90254842705778571</v>
      </c>
      <c r="R97" s="1">
        <f t="shared" si="33"/>
        <v>0.86350655740813065</v>
      </c>
      <c r="S97" s="1">
        <f t="shared" si="34"/>
        <v>0.78704500639405184</v>
      </c>
      <c r="T97" s="1">
        <f t="shared" si="35"/>
        <v>0.72448252639943445</v>
      </c>
      <c r="U97" s="1">
        <f t="shared" si="36"/>
        <v>0.45406491696646012</v>
      </c>
      <c r="V97" s="1">
        <f t="shared" si="37"/>
        <v>0.37622982390270832</v>
      </c>
      <c r="W97" s="1"/>
      <c r="X97" s="6">
        <f t="shared" si="38"/>
        <v>0.40981040149418352</v>
      </c>
      <c r="Y97" s="6">
        <f t="shared" si="39"/>
        <v>0.12474609129906179</v>
      </c>
      <c r="AA97">
        <f t="shared" si="40"/>
        <v>0.99955557951700991</v>
      </c>
      <c r="AB97">
        <f t="shared" si="41"/>
        <v>0.999106538579563</v>
      </c>
      <c r="AC97">
        <f t="shared" si="42"/>
        <v>0.99762514200798902</v>
      </c>
      <c r="AD97">
        <f t="shared" si="43"/>
        <v>0.99564888170998167</v>
      </c>
      <c r="AE97">
        <f t="shared" si="44"/>
        <v>0.99995913219915977</v>
      </c>
      <c r="AF97">
        <f t="shared" si="45"/>
        <v>0.99990771615870755</v>
      </c>
    </row>
    <row r="98" spans="4:40" x14ac:dyDescent="0.3">
      <c r="D98" s="1" t="e">
        <f t="shared" si="28"/>
        <v>#N/A</v>
      </c>
      <c r="E98" s="1" t="e">
        <f t="shared" si="29"/>
        <v>#N/A</v>
      </c>
      <c r="G98" s="1">
        <f t="shared" si="25"/>
        <v>0.13504721056619928</v>
      </c>
      <c r="I98">
        <f t="shared" si="46"/>
        <v>146</v>
      </c>
      <c r="K98" s="1">
        <f t="shared" si="30"/>
        <v>0.98752519976548314</v>
      </c>
      <c r="L98" s="1">
        <f t="shared" si="31"/>
        <v>0.97943326820622145</v>
      </c>
      <c r="N98" s="1">
        <f t="shared" si="26"/>
        <v>0.74514807766294444</v>
      </c>
      <c r="O98" s="1">
        <f t="shared" si="27"/>
        <v>0.5033839518833928</v>
      </c>
      <c r="Q98" s="1">
        <f t="shared" si="32"/>
        <v>0.90833545381744496</v>
      </c>
      <c r="R98" s="1">
        <f t="shared" si="33"/>
        <v>0.87088286513777591</v>
      </c>
      <c r="S98" s="1">
        <f t="shared" si="34"/>
        <v>0.79689294765528706</v>
      </c>
      <c r="T98" s="1">
        <f t="shared" si="35"/>
        <v>0.73584057730568608</v>
      </c>
      <c r="U98" s="1">
        <f t="shared" si="36"/>
        <v>0.46770769947828139</v>
      </c>
      <c r="V98" s="1">
        <f t="shared" si="37"/>
        <v>0.38934239520788133</v>
      </c>
      <c r="W98" s="1"/>
      <c r="X98" s="6">
        <f t="shared" si="38"/>
        <v>0.40560723846444124</v>
      </c>
      <c r="Y98" s="6">
        <f t="shared" si="39"/>
        <v>0.1217811186982747</v>
      </c>
      <c r="AA98">
        <f t="shared" si="40"/>
        <v>0.99960731480727982</v>
      </c>
      <c r="AB98">
        <f t="shared" si="41"/>
        <v>0.99920544952709855</v>
      </c>
      <c r="AC98">
        <f t="shared" si="42"/>
        <v>0.99786772574821225</v>
      </c>
      <c r="AD98">
        <f t="shared" si="43"/>
        <v>0.99606853823803032</v>
      </c>
      <c r="AE98">
        <f t="shared" si="44"/>
        <v>0.99996460542265009</v>
      </c>
      <c r="AF98">
        <f t="shared" si="45"/>
        <v>0.99991955136849087</v>
      </c>
    </row>
    <row r="99" spans="4:40" x14ac:dyDescent="0.3">
      <c r="D99" s="1" t="e">
        <f t="shared" si="28"/>
        <v>#N/A</v>
      </c>
      <c r="E99" s="1" t="e">
        <f t="shared" si="29"/>
        <v>#N/A</v>
      </c>
      <c r="G99" s="1">
        <f t="shared" si="25"/>
        <v>0.12311039595317652</v>
      </c>
      <c r="I99">
        <f t="shared" si="46"/>
        <v>147</v>
      </c>
      <c r="K99" s="1">
        <f t="shared" si="30"/>
        <v>0.98858632891861442</v>
      </c>
      <c r="L99" s="1">
        <f t="shared" si="31"/>
        <v>0.98106744809894708</v>
      </c>
      <c r="N99" s="1">
        <f t="shared" si="26"/>
        <v>0.73755747175938879</v>
      </c>
      <c r="O99" s="1">
        <f t="shared" si="27"/>
        <v>0.4915001894273312</v>
      </c>
      <c r="Q99" s="1">
        <f t="shared" si="32"/>
        <v>0.91382698361496317</v>
      </c>
      <c r="R99" s="1">
        <f t="shared" si="33"/>
        <v>0.87793062988707093</v>
      </c>
      <c r="S99" s="1">
        <f t="shared" si="34"/>
        <v>0.80639942366149853</v>
      </c>
      <c r="T99" s="1">
        <f t="shared" si="35"/>
        <v>0.74688015291233223</v>
      </c>
      <c r="U99" s="1">
        <f t="shared" si="36"/>
        <v>0.48129504378600868</v>
      </c>
      <c r="V99" s="1">
        <f t="shared" si="37"/>
        <v>0.40249142902219875</v>
      </c>
      <c r="W99" s="1"/>
      <c r="X99" s="6">
        <f t="shared" si="38"/>
        <v>0.40147543595282598</v>
      </c>
      <c r="Y99" s="6">
        <f t="shared" si="39"/>
        <v>0.11890614050155429</v>
      </c>
      <c r="AA99">
        <f t="shared" si="40"/>
        <v>0.99965311547854385</v>
      </c>
      <c r="AB99">
        <f t="shared" si="41"/>
        <v>0.99929361612231904</v>
      </c>
      <c r="AC99">
        <f t="shared" si="42"/>
        <v>0.9980861915601863</v>
      </c>
      <c r="AD99">
        <f t="shared" si="43"/>
        <v>0.99644906961702029</v>
      </c>
      <c r="AE99">
        <f t="shared" si="44"/>
        <v>0.99996934969862272</v>
      </c>
      <c r="AF99">
        <f t="shared" si="45"/>
        <v>0.99992988082681877</v>
      </c>
    </row>
    <row r="100" spans="4:40" x14ac:dyDescent="0.3">
      <c r="D100" s="1" t="e">
        <f t="shared" si="28"/>
        <v>#N/A</v>
      </c>
      <c r="E100" s="1" t="e">
        <f t="shared" si="29"/>
        <v>#N/A</v>
      </c>
      <c r="G100" s="1">
        <f t="shared" si="25"/>
        <v>0.11219130288665724</v>
      </c>
      <c r="I100">
        <f t="shared" si="46"/>
        <v>148</v>
      </c>
      <c r="K100" s="1">
        <f t="shared" si="30"/>
        <v>0.98956174680035192</v>
      </c>
      <c r="L100" s="1">
        <f t="shared" si="31"/>
        <v>0.98257988310964695</v>
      </c>
      <c r="N100" s="1">
        <f t="shared" si="26"/>
        <v>0.73009486847148364</v>
      </c>
      <c r="O100" s="1">
        <f t="shared" si="27"/>
        <v>0.47997471265473723</v>
      </c>
      <c r="Q100" s="1">
        <f t="shared" si="32"/>
        <v>0.91903391511431187</v>
      </c>
      <c r="R100" s="1">
        <f t="shared" si="33"/>
        <v>0.88465875731158217</v>
      </c>
      <c r="S100" s="1">
        <f t="shared" si="34"/>
        <v>0.81556782796100868</v>
      </c>
      <c r="T100" s="1">
        <f t="shared" si="35"/>
        <v>0.75759980795437287</v>
      </c>
      <c r="U100" s="1">
        <f t="shared" si="36"/>
        <v>0.4948118504047434</v>
      </c>
      <c r="V100" s="1">
        <f t="shared" si="37"/>
        <v>0.41566148103815392</v>
      </c>
      <c r="W100" s="1"/>
      <c r="X100" s="6">
        <f t="shared" si="38"/>
        <v>0.39741330923989621</v>
      </c>
      <c r="Y100" s="6">
        <f t="shared" si="39"/>
        <v>0.11611784053758838</v>
      </c>
      <c r="AA100">
        <f t="shared" si="40"/>
        <v>0.99969364883317147</v>
      </c>
      <c r="AB100">
        <f t="shared" si="41"/>
        <v>0.99937217572801285</v>
      </c>
      <c r="AC100">
        <f t="shared" si="42"/>
        <v>0.99828284902937237</v>
      </c>
      <c r="AD100">
        <f t="shared" si="43"/>
        <v>0.99679395270675641</v>
      </c>
      <c r="AE100">
        <f t="shared" si="44"/>
        <v>0.99997346133551135</v>
      </c>
      <c r="AF100">
        <f t="shared" si="45"/>
        <v>0.99993889398406655</v>
      </c>
    </row>
    <row r="101" spans="4:40" x14ac:dyDescent="0.3">
      <c r="D101" s="1" t="e">
        <f t="shared" si="28"/>
        <v>#N/A</v>
      </c>
      <c r="E101" s="1" t="e">
        <f t="shared" si="29"/>
        <v>#N/A</v>
      </c>
      <c r="G101" s="1">
        <f t="shared" si="25"/>
        <v>0.10220745936970843</v>
      </c>
      <c r="I101">
        <f t="shared" si="46"/>
        <v>149</v>
      </c>
      <c r="K101" s="1">
        <f t="shared" si="30"/>
        <v>0.99045786011120007</v>
      </c>
      <c r="L101" s="1">
        <f t="shared" si="31"/>
        <v>0.9839787724859248</v>
      </c>
      <c r="N101" s="1">
        <f t="shared" si="26"/>
        <v>0.72275726608841528</v>
      </c>
      <c r="O101" s="1">
        <f t="shared" si="27"/>
        <v>0.46879440708405828</v>
      </c>
      <c r="Q101" s="1">
        <f t="shared" si="32"/>
        <v>0.92396712013948767</v>
      </c>
      <c r="R101" s="1">
        <f t="shared" si="33"/>
        <v>0.89107640455425874</v>
      </c>
      <c r="S101" s="1">
        <f t="shared" si="34"/>
        <v>0.82440222364506455</v>
      </c>
      <c r="T101" s="1">
        <f t="shared" si="35"/>
        <v>0.76799896597841311</v>
      </c>
      <c r="U101" s="1">
        <f t="shared" si="36"/>
        <v>0.50824356819845917</v>
      </c>
      <c r="V101" s="1">
        <f t="shared" si="37"/>
        <v>0.4288373456421668</v>
      </c>
      <c r="W101" s="1"/>
      <c r="X101" s="6">
        <f t="shared" si="38"/>
        <v>0.39341922440124127</v>
      </c>
      <c r="Y101" s="6">
        <f t="shared" si="39"/>
        <v>0.11341304608657016</v>
      </c>
      <c r="AA101">
        <f t="shared" si="40"/>
        <v>0.9997295091688666</v>
      </c>
      <c r="AB101">
        <f t="shared" si="41"/>
        <v>0.99944214955975696</v>
      </c>
      <c r="AC101">
        <f t="shared" si="42"/>
        <v>0.99845979822956343</v>
      </c>
      <c r="AD101">
        <f t="shared" si="43"/>
        <v>0.99710637683159453</v>
      </c>
      <c r="AE101">
        <f t="shared" si="44"/>
        <v>0.9999770240589877</v>
      </c>
      <c r="AF101">
        <f t="shared" si="45"/>
        <v>0.99994675681499912</v>
      </c>
    </row>
    <row r="102" spans="4:40" x14ac:dyDescent="0.3">
      <c r="D102" s="1" t="e">
        <f t="shared" si="28"/>
        <v>#N/A</v>
      </c>
      <c r="E102" s="1" t="e">
        <f t="shared" si="29"/>
        <v>#N/A</v>
      </c>
      <c r="G102" s="1">
        <f t="shared" si="25"/>
        <v>9.3082588070615202E-2</v>
      </c>
      <c r="I102">
        <f t="shared" si="46"/>
        <v>150</v>
      </c>
      <c r="K102" s="1">
        <f t="shared" si="30"/>
        <v>0.99128065498736573</v>
      </c>
      <c r="L102" s="1">
        <f t="shared" si="31"/>
        <v>0.9852718565691857</v>
      </c>
      <c r="N102" s="1">
        <f t="shared" si="26"/>
        <v>0.71554175279993282</v>
      </c>
      <c r="O102" s="1">
        <f t="shared" si="27"/>
        <v>0.45794672179195706</v>
      </c>
      <c r="Q102" s="1">
        <f t="shared" si="32"/>
        <v>0.92863740266492811</v>
      </c>
      <c r="R102" s="1">
        <f t="shared" si="33"/>
        <v>0.89719292559733332</v>
      </c>
      <c r="S102" s="1">
        <f t="shared" si="34"/>
        <v>0.83290728409305792</v>
      </c>
      <c r="T102" s="1">
        <f t="shared" si="35"/>
        <v>0.77807787035182041</v>
      </c>
      <c r="U102" s="1">
        <f t="shared" si="36"/>
        <v>0.52157622654873936</v>
      </c>
      <c r="V102" s="1">
        <f t="shared" si="37"/>
        <v>0.44200410216987113</v>
      </c>
      <c r="W102" s="1"/>
      <c r="X102" s="6">
        <f t="shared" si="38"/>
        <v>0.3894915964481182</v>
      </c>
      <c r="Y102" s="6">
        <f t="shared" si="39"/>
        <v>0.11078872076746474</v>
      </c>
      <c r="AA102">
        <f t="shared" si="40"/>
        <v>0.99976122546339852</v>
      </c>
      <c r="AB102">
        <f t="shared" si="41"/>
        <v>0.99950445394479304</v>
      </c>
      <c r="AC102">
        <f t="shared" si="42"/>
        <v>0.99861894719475575</v>
      </c>
      <c r="AD102">
        <f t="shared" si="43"/>
        <v>0.99738926487265944</v>
      </c>
      <c r="AE102">
        <f t="shared" si="44"/>
        <v>0.99998011063087555</v>
      </c>
      <c r="AF102">
        <f t="shared" si="45"/>
        <v>0.99995361466768151</v>
      </c>
    </row>
    <row r="103" spans="4:40" x14ac:dyDescent="0.3">
      <c r="G103" s="1">
        <v>2</v>
      </c>
      <c r="H103" s="1">
        <v>2</v>
      </c>
      <c r="I103" s="1">
        <v>2</v>
      </c>
      <c r="J103" s="1">
        <v>2</v>
      </c>
      <c r="K103" s="1">
        <v>2</v>
      </c>
      <c r="L103" s="1">
        <v>2</v>
      </c>
      <c r="N103" s="1">
        <v>2</v>
      </c>
      <c r="O103" s="1">
        <v>2</v>
      </c>
      <c r="Q103" s="1">
        <v>2</v>
      </c>
      <c r="R103" s="1">
        <v>2</v>
      </c>
      <c r="S103" s="1">
        <v>2</v>
      </c>
      <c r="T103" s="1">
        <v>2</v>
      </c>
      <c r="U103" s="1">
        <v>2</v>
      </c>
      <c r="V103" s="1">
        <v>2</v>
      </c>
      <c r="W103" s="1"/>
      <c r="X103" s="1"/>
      <c r="Y103" s="1">
        <v>2</v>
      </c>
      <c r="Z103" s="1"/>
      <c r="AA103" s="1">
        <v>2</v>
      </c>
      <c r="AB103" s="1">
        <v>2</v>
      </c>
      <c r="AC103" s="1">
        <v>2</v>
      </c>
      <c r="AD103" s="1">
        <v>2</v>
      </c>
      <c r="AE103" s="1">
        <v>2</v>
      </c>
      <c r="AF103" s="1">
        <v>2</v>
      </c>
      <c r="AG103" s="1">
        <v>2</v>
      </c>
      <c r="AH103" s="1">
        <v>2</v>
      </c>
      <c r="AI103" s="1">
        <v>2</v>
      </c>
      <c r="AJ103" s="1">
        <v>2</v>
      </c>
      <c r="AK103" s="1">
        <v>2</v>
      </c>
      <c r="AL103" s="1">
        <v>2</v>
      </c>
      <c r="AM103" s="1">
        <v>2</v>
      </c>
      <c r="AN103" s="1">
        <v>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7272F-BE89-4FD6-B96B-148BF124EF24}">
  <dimension ref="A1:AN153"/>
  <sheetViews>
    <sheetView topLeftCell="A123" zoomScale="62" zoomScaleNormal="55" workbookViewId="0">
      <selection activeCell="C13" sqref="A1:XFD1048576"/>
    </sheetView>
  </sheetViews>
  <sheetFormatPr defaultRowHeight="14.4" x14ac:dyDescent="0.3"/>
  <cols>
    <col min="4" max="17" width="8.88671875" style="1"/>
  </cols>
  <sheetData>
    <row r="1" spans="1:32" x14ac:dyDescent="0.3">
      <c r="A1" t="s">
        <v>1</v>
      </c>
      <c r="B1">
        <v>0.2</v>
      </c>
      <c r="D1" t="s">
        <v>38</v>
      </c>
      <c r="E1" t="s">
        <v>39</v>
      </c>
      <c r="F1"/>
      <c r="G1" t="s">
        <v>18</v>
      </c>
      <c r="H1"/>
      <c r="I1" t="s">
        <v>0</v>
      </c>
      <c r="J1"/>
      <c r="K1" t="s">
        <v>33</v>
      </c>
      <c r="L1" t="s">
        <v>11</v>
      </c>
      <c r="M1"/>
      <c r="N1" t="s">
        <v>34</v>
      </c>
      <c r="O1" t="s">
        <v>35</v>
      </c>
      <c r="P1"/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X1" t="s">
        <v>36</v>
      </c>
      <c r="Y1" t="s">
        <v>37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</row>
    <row r="2" spans="1:32" x14ac:dyDescent="0.3">
      <c r="A2" t="s">
        <v>2</v>
      </c>
      <c r="B2">
        <v>0.05</v>
      </c>
      <c r="D2" s="1" t="e">
        <f>IF(I2&lt;$B$6,-I2*(1-K2-O2*V2)+$B$4*EXP(-$B$2*$B$5)*(1-L2-N2*U2),NA())</f>
        <v>#NUM!</v>
      </c>
      <c r="E2" s="1" t="e">
        <f>+IF(I2&lt;$B$7,-I2*(1-AA2-Y2*AD2)+$B$4*EXP(-$B$2*$B$5)*(1-AB2-X2*AC2),NA())</f>
        <v>#NUM!</v>
      </c>
      <c r="G2" s="1" t="e">
        <f t="shared" ref="G2:G33" si="0">+I2*K2-$B$4*EXP(-$B$2*$B$5)*L2+$B$4*EXP(-$B$2*$B$5)-I2</f>
        <v>#NUM!</v>
      </c>
      <c r="I2">
        <v>0</v>
      </c>
      <c r="K2" s="1" t="e">
        <f t="shared" ref="K2:K33" si="1">_xlfn.NORM.S.DIST((LN(I2/$B$4)+($B$2-$B$3+0.5*$B$1^2)*$B$5)/($B$1*SQRT($B$5)),TRUE)</f>
        <v>#NUM!</v>
      </c>
      <c r="L2" s="1" t="e">
        <f t="shared" ref="L2:L33" si="2">_xlfn.NORM.S.DIST((LN(I2/$B$4)+($B$2-$B$3-0.5*$B$1^2)*$B$5)/($B$1*SQRT($B$5)),TRUE)</f>
        <v>#NUM!</v>
      </c>
      <c r="N2" s="1" t="e">
        <f t="shared" ref="N2:N33" si="3">($B$6/I2)^(-1+(2*($B$2-$B$3))/($B$1^2))</f>
        <v>#DIV/0!</v>
      </c>
      <c r="O2" s="1" t="e">
        <f t="shared" ref="O2:O33" si="4">($B$6/I2)^(1+(2*($B$2-$B$3))/($B$1^2))</f>
        <v>#DIV/0!</v>
      </c>
      <c r="Q2" s="1" t="e">
        <f t="shared" ref="Q2:Q33" si="5">_xlfn.NORM.S.DIST((LN(I2/$B$6)+($B$2-$B$3+0.5*$B$1^2)*$B$5)/($B$1*SQRT($B$5)),TRUE)</f>
        <v>#NUM!</v>
      </c>
      <c r="R2" s="1" t="e">
        <f t="shared" ref="R2:R33" si="6">_xlfn.NORM.S.DIST((LN(I2/$B$6)+($B$2-$B$3-0.5*$B$1^2)*$B$5)/($B$1*SQRT($B$5)),TRUE)</f>
        <v>#NUM!</v>
      </c>
      <c r="S2" s="1" t="e">
        <f t="shared" ref="S2:S33" si="7">_xlfn.NORM.S.DIST((LN(I2/$B$6)-($B$2-$B$3-0.5*$B$1^2)*$B$5)/($B$1*SQRT($B$5)),TRUE)</f>
        <v>#NUM!</v>
      </c>
      <c r="T2" s="1" t="e">
        <f t="shared" ref="T2:T33" si="8">_xlfn.NORM.S.DIST((LN(I2/$B$6)-($B$2-$B$3+0.5*$B$1^2)*$B$5)/($B$1*SQRT($B$5)),TRUE)</f>
        <v>#NUM!</v>
      </c>
      <c r="U2" s="1" t="e">
        <f t="shared" ref="U2:U33" si="9">_xlfn.NORM.S.DIST((LN((I2*$B$4)/($B$6^2))-($B$2-$B$3-0.5*$B$1^2)*$B$5)/($B$1*SQRT($B$5)),TRUE)</f>
        <v>#NUM!</v>
      </c>
      <c r="V2" s="1" t="e">
        <f t="shared" ref="V2:V33" si="10">_xlfn.NORM.S.DIST((LN((I2*$B$4)/($B$6^2))-($B$2-$B$3+0.5*$B$1^2)*$B$5)/($B$1*SQRT($B$5)),TRUE)</f>
        <v>#NUM!</v>
      </c>
      <c r="W2" s="1"/>
      <c r="X2" s="6" t="e">
        <f t="shared" ref="X2:X33" si="11">($B$7/I2)^(-1+(2*($B$2-$B$3))/($B$1^2))</f>
        <v>#DIV/0!</v>
      </c>
      <c r="Y2" s="6" t="e">
        <f t="shared" ref="Y2:Y33" si="12">($B$7/I2)^(1+(2*($B$2-$B$3))/($B$1^2))</f>
        <v>#DIV/0!</v>
      </c>
      <c r="AA2" t="e">
        <f t="shared" ref="AA2:AA33" si="13">_xlfn.NORM.S.DIST((LN(I2/$B$7)+($B$2-$B$3+0.5*$B$1^2)*$B$5)/($B$1*SQRT($B$5)),TRUE)</f>
        <v>#NUM!</v>
      </c>
      <c r="AB2" t="e">
        <f t="shared" ref="AB2:AB33" si="14">_xlfn.NORM.S.DIST((LN(I2/$B$7)+($B$2-$B$3-0.5*$B$1^2)*$B$5)/($B$1*SQRT($B$5)),TRUE)</f>
        <v>#NUM!</v>
      </c>
      <c r="AC2" t="e">
        <f t="shared" ref="AC2:AC33" si="15">_xlfn.NORM.S.DIST((LN(I2/$B$7)-($B$2-$B$3-0.5*$B$1^2)*$B$5)/($B$1*SQRT($B$5)),TRUE)</f>
        <v>#NUM!</v>
      </c>
      <c r="AD2" t="e">
        <f t="shared" ref="AD2:AD33" si="16">_xlfn.NORM.S.DIST((LN(I2/$B$7)-($B$2-$B$3+0.5*$B$1^2)*$B$5)/($B$1*SQRT($B$5)),TRUE)</f>
        <v>#NUM!</v>
      </c>
      <c r="AE2" t="e">
        <f t="shared" ref="AE2:AE33" si="17">_xlfn.NORM.S.DIST((LN((I2*$B$4)/($B$7^2))-($B$2-$B$3-0.5*$B$1^2)*$B$5)/($B$1*SQRT($B$5)),TRUE)</f>
        <v>#NUM!</v>
      </c>
      <c r="AF2" t="e">
        <f t="shared" ref="AF2:AF33" si="18">_xlfn.NORM.S.DIST((LN((I2*$B$4)/($B$7^2))-($B$2-$B$3+0.5*$B$1^2)*$B$5)/($B$1*SQRT($B$5)),TRUE)</f>
        <v>#NUM!</v>
      </c>
    </row>
    <row r="3" spans="1:32" x14ac:dyDescent="0.3">
      <c r="A3" t="s">
        <v>3</v>
      </c>
      <c r="B3">
        <v>0</v>
      </c>
      <c r="D3" s="1">
        <f t="shared" ref="D3:D66" si="19">IF(I3&lt;$B$6,-I3*(1-K3-O3*V3)+$B$4*EXP(-$B$2*$B$5)*(1-L3-N3*U3),NA())</f>
        <v>94.122942450071406</v>
      </c>
      <c r="E3" s="1">
        <f t="shared" ref="E3:E66" si="20">+IF(I3&lt;$B$7,-I3*(1-AA3-Y3*AD3)+$B$4*EXP(-$B$2*$B$5)*(1-AB3-X3*AC3),NA())</f>
        <v>94.122942450071406</v>
      </c>
      <c r="G3" s="1">
        <f t="shared" si="0"/>
        <v>94.122942450071406</v>
      </c>
      <c r="I3">
        <f>+I2+1</f>
        <v>1</v>
      </c>
      <c r="K3" s="1">
        <f t="shared" si="1"/>
        <v>3.8783834210037943E-114</v>
      </c>
      <c r="L3" s="1">
        <f t="shared" si="2"/>
        <v>4.0417213228123134E-116</v>
      </c>
      <c r="N3" s="1">
        <f t="shared" si="3"/>
        <v>1314.5341380123955</v>
      </c>
      <c r="O3" s="1">
        <f t="shared" si="4"/>
        <v>18929291.587378468</v>
      </c>
      <c r="Q3" s="1">
        <f t="shared" si="5"/>
        <v>2.5919722937552914E-123</v>
      </c>
      <c r="R3" s="1">
        <f t="shared" si="6"/>
        <v>2.2516967157254E-125</v>
      </c>
      <c r="S3" s="1">
        <f t="shared" si="7"/>
        <v>1.6916632902507637E-128</v>
      </c>
      <c r="T3" s="1">
        <f t="shared" si="8"/>
        <v>1.329961398941793E-130</v>
      </c>
      <c r="U3" s="1">
        <f t="shared" si="9"/>
        <v>3.128986545297318E-138</v>
      </c>
      <c r="V3" s="1">
        <f t="shared" si="10"/>
        <v>2.050580011278628E-140</v>
      </c>
      <c r="W3" s="1"/>
      <c r="X3" s="6">
        <f t="shared" si="11"/>
        <v>715.54175279993103</v>
      </c>
      <c r="Y3" s="6">
        <f t="shared" si="12"/>
        <v>4579467.2179195546</v>
      </c>
      <c r="AA3">
        <f t="shared" si="13"/>
        <v>2.1269075360882476E-103</v>
      </c>
      <c r="AB3">
        <f t="shared" si="14"/>
        <v>2.7693647076519271E-105</v>
      </c>
      <c r="AC3">
        <f t="shared" si="15"/>
        <v>3.8178873874478134E-108</v>
      </c>
      <c r="AD3">
        <f t="shared" si="16"/>
        <v>4.4989853483547746E-110</v>
      </c>
      <c r="AE3">
        <f t="shared" si="17"/>
        <v>1.0548600354559423E-97</v>
      </c>
      <c r="AF3">
        <f t="shared" si="18"/>
        <v>1.55307037188393E-99</v>
      </c>
    </row>
    <row r="4" spans="1:32" x14ac:dyDescent="0.3">
      <c r="A4" t="s">
        <v>4</v>
      </c>
      <c r="B4">
        <v>100</v>
      </c>
      <c r="D4" s="1">
        <f t="shared" si="19"/>
        <v>93.122942450071406</v>
      </c>
      <c r="E4" s="1">
        <f t="shared" si="20"/>
        <v>93.122942450071406</v>
      </c>
      <c r="G4" s="1">
        <f t="shared" si="0"/>
        <v>93.122942450071406</v>
      </c>
      <c r="I4">
        <f t="shared" ref="I4:I52" si="21">+I3+1</f>
        <v>2</v>
      </c>
      <c r="K4" s="1">
        <f t="shared" si="1"/>
        <v>1.522952292937352E-82</v>
      </c>
      <c r="L4" s="1">
        <f t="shared" si="2"/>
        <v>3.1692513601143146E-84</v>
      </c>
      <c r="N4" s="1">
        <f t="shared" si="3"/>
        <v>464.75800154488883</v>
      </c>
      <c r="O4" s="1">
        <f t="shared" si="4"/>
        <v>1673128.8055615989</v>
      </c>
      <c r="Q4" s="1">
        <f t="shared" si="5"/>
        <v>2.3811906773290944E-90</v>
      </c>
      <c r="R4" s="1">
        <f t="shared" si="6"/>
        <v>4.1312648977823815E-92</v>
      </c>
      <c r="S4" s="1">
        <f t="shared" si="7"/>
        <v>8.760356191203571E-95</v>
      </c>
      <c r="T4" s="1">
        <f t="shared" si="8"/>
        <v>1.3755721542648674E-96</v>
      </c>
      <c r="U4" s="1">
        <f t="shared" si="9"/>
        <v>3.7939802198648788E-103</v>
      </c>
      <c r="V4" s="1">
        <f t="shared" si="10"/>
        <v>4.9664920212083314E-105</v>
      </c>
      <c r="W4" s="1"/>
      <c r="X4" s="6">
        <f t="shared" si="11"/>
        <v>252.98221281346994</v>
      </c>
      <c r="Y4" s="6">
        <f t="shared" si="12"/>
        <v>404771.54050155147</v>
      </c>
      <c r="AA4">
        <f t="shared" si="13"/>
        <v>1.7639106298434153E-73</v>
      </c>
      <c r="AB4">
        <f t="shared" si="14"/>
        <v>4.5854899249226462E-75</v>
      </c>
      <c r="AC4">
        <f t="shared" si="15"/>
        <v>1.7834982717357497E-77</v>
      </c>
      <c r="AD4">
        <f t="shared" si="16"/>
        <v>4.196409858492927E-79</v>
      </c>
      <c r="AE4">
        <f t="shared" si="17"/>
        <v>1.0413315963663327E-68</v>
      </c>
      <c r="AF4">
        <f t="shared" si="18"/>
        <v>3.0606566838341485E-70</v>
      </c>
    </row>
    <row r="5" spans="1:32" x14ac:dyDescent="0.3">
      <c r="A5" t="s">
        <v>7</v>
      </c>
      <c r="B5">
        <v>1</v>
      </c>
      <c r="D5" s="1">
        <f t="shared" si="19"/>
        <v>92.122942450071406</v>
      </c>
      <c r="E5" s="1">
        <f t="shared" si="20"/>
        <v>92.122942450071406</v>
      </c>
      <c r="G5" s="1">
        <f t="shared" si="0"/>
        <v>92.122942450071406</v>
      </c>
      <c r="I5">
        <f t="shared" si="21"/>
        <v>3</v>
      </c>
      <c r="K5" s="1">
        <f t="shared" si="1"/>
        <v>1.7865444751312625E-66</v>
      </c>
      <c r="L5" s="1">
        <f t="shared" si="2"/>
        <v>5.5700246033005371E-68</v>
      </c>
      <c r="N5" s="1">
        <f t="shared" si="3"/>
        <v>252.98221281346994</v>
      </c>
      <c r="O5" s="1">
        <f t="shared" si="4"/>
        <v>404771.54050155147</v>
      </c>
      <c r="Q5" s="1">
        <f t="shared" si="5"/>
        <v>1.7639106298434153E-73</v>
      </c>
      <c r="R5" s="1">
        <f t="shared" si="6"/>
        <v>4.5854899249226462E-75</v>
      </c>
      <c r="S5" s="1">
        <f t="shared" si="7"/>
        <v>1.7834982717357497E-77</v>
      </c>
      <c r="T5" s="1">
        <f t="shared" si="8"/>
        <v>4.196409858492927E-79</v>
      </c>
      <c r="U5" s="1">
        <f t="shared" si="9"/>
        <v>4.8809712521198393E-85</v>
      </c>
      <c r="V5" s="1">
        <f t="shared" si="10"/>
        <v>9.5750883108649213E-87</v>
      </c>
      <c r="W5" s="1"/>
      <c r="X5" s="6">
        <f t="shared" si="11"/>
        <v>137.70607453181907</v>
      </c>
      <c r="Y5" s="6">
        <f t="shared" si="12"/>
        <v>97924.319667071453</v>
      </c>
      <c r="AA5">
        <f t="shared" si="13"/>
        <v>2.1705726773845239E-58</v>
      </c>
      <c r="AB5">
        <f t="shared" si="14"/>
        <v>8.4525553417330698E-60</v>
      </c>
      <c r="AC5">
        <f t="shared" si="15"/>
        <v>6.0277660820236837E-62</v>
      </c>
      <c r="AD5">
        <f t="shared" si="16"/>
        <v>2.1247034806192949E-63</v>
      </c>
      <c r="AE5">
        <f t="shared" si="17"/>
        <v>3.6937582881014562E-54</v>
      </c>
      <c r="AF5">
        <f t="shared" si="18"/>
        <v>1.6261287323349001E-55</v>
      </c>
    </row>
    <row r="6" spans="1:32" x14ac:dyDescent="0.3">
      <c r="A6" s="2" t="s">
        <v>5</v>
      </c>
      <c r="B6" s="2">
        <v>120</v>
      </c>
      <c r="D6" s="1">
        <f t="shared" si="19"/>
        <v>91.122942450071406</v>
      </c>
      <c r="E6" s="1">
        <f t="shared" si="20"/>
        <v>91.122942450071406</v>
      </c>
      <c r="G6" s="1">
        <f t="shared" si="0"/>
        <v>91.122942450071406</v>
      </c>
      <c r="I6">
        <f t="shared" si="21"/>
        <v>4</v>
      </c>
      <c r="K6" s="1">
        <f t="shared" si="1"/>
        <v>3.7532120707012284E-56</v>
      </c>
      <c r="L6" s="1">
        <f t="shared" si="2"/>
        <v>1.5586140187968149E-57</v>
      </c>
      <c r="N6" s="1">
        <f t="shared" si="3"/>
        <v>164.31676725154966</v>
      </c>
      <c r="O6" s="1">
        <f t="shared" si="4"/>
        <v>147885.09052639472</v>
      </c>
      <c r="Q6" s="1">
        <f t="shared" si="5"/>
        <v>1.3689511511280254E-62</v>
      </c>
      <c r="R6" s="1">
        <f t="shared" si="6"/>
        <v>4.7406063513453801E-64</v>
      </c>
      <c r="S6" s="1">
        <f t="shared" si="7"/>
        <v>2.834931619647393E-66</v>
      </c>
      <c r="T6" s="1">
        <f t="shared" si="8"/>
        <v>8.8859989574499487E-68</v>
      </c>
      <c r="U6" s="1">
        <f t="shared" si="9"/>
        <v>2.868026126737534E-73</v>
      </c>
      <c r="V6" s="1">
        <f t="shared" si="10"/>
        <v>7.4957206573019748E-75</v>
      </c>
      <c r="W6" s="1"/>
      <c r="X6" s="6">
        <f t="shared" si="11"/>
        <v>89.442719099991436</v>
      </c>
      <c r="Y6" s="6">
        <f t="shared" si="12"/>
        <v>35777.087639996564</v>
      </c>
      <c r="AA6">
        <f t="shared" si="13"/>
        <v>9.2189581436738312E-49</v>
      </c>
      <c r="AB6">
        <f t="shared" si="14"/>
        <v>4.7810399507184207E-50</v>
      </c>
      <c r="AC6">
        <f t="shared" si="15"/>
        <v>5.2402825544047589E-52</v>
      </c>
      <c r="AD6">
        <f t="shared" si="16"/>
        <v>2.4601094018827852E-53</v>
      </c>
      <c r="AE6">
        <f t="shared" si="17"/>
        <v>6.4953434314971245E-45</v>
      </c>
      <c r="AF6">
        <f t="shared" si="18"/>
        <v>3.8077906506682091E-46</v>
      </c>
    </row>
    <row r="7" spans="1:32" x14ac:dyDescent="0.3">
      <c r="A7" s="4" t="s">
        <v>6</v>
      </c>
      <c r="B7" s="4">
        <v>80</v>
      </c>
      <c r="D7" s="1">
        <f t="shared" si="19"/>
        <v>90.122942450071406</v>
      </c>
      <c r="E7" s="1">
        <f t="shared" si="20"/>
        <v>90.122942450071406</v>
      </c>
      <c r="G7" s="1">
        <f t="shared" si="0"/>
        <v>90.122942450071406</v>
      </c>
      <c r="I7">
        <f t="shared" si="21"/>
        <v>5</v>
      </c>
      <c r="K7" s="1">
        <f t="shared" si="1"/>
        <v>9.2189581436738312E-49</v>
      </c>
      <c r="L7" s="1">
        <f t="shared" si="2"/>
        <v>4.7810399507184207E-50</v>
      </c>
      <c r="N7" s="1">
        <f t="shared" si="3"/>
        <v>117.5755076535924</v>
      </c>
      <c r="O7" s="1">
        <f t="shared" si="4"/>
        <v>67723.492408469232</v>
      </c>
      <c r="Q7" s="1">
        <f t="shared" si="5"/>
        <v>9.2601985470347743E-55</v>
      </c>
      <c r="R7" s="1">
        <f t="shared" si="6"/>
        <v>4.0051120537944382E-56</v>
      </c>
      <c r="S7" s="1">
        <f t="shared" si="7"/>
        <v>3.3431973762388766E-58</v>
      </c>
      <c r="T7" s="1">
        <f t="shared" si="8"/>
        <v>1.3088655212525801E-59</v>
      </c>
      <c r="U7" s="1">
        <f t="shared" si="9"/>
        <v>9.3203297956145551E-65</v>
      </c>
      <c r="V7" s="1">
        <f t="shared" si="10"/>
        <v>3.0427387035627142E-66</v>
      </c>
      <c r="W7" s="1"/>
      <c r="X7" s="6">
        <f t="shared" si="11"/>
        <v>63.999999999999922</v>
      </c>
      <c r="Y7" s="6">
        <f t="shared" si="12"/>
        <v>16383.999999999962</v>
      </c>
      <c r="AA7">
        <f t="shared" si="13"/>
        <v>6.5584966517680255E-42</v>
      </c>
      <c r="AB7">
        <f t="shared" si="14"/>
        <v>4.2470306948736852E-43</v>
      </c>
      <c r="AC7">
        <f t="shared" si="15"/>
        <v>6.4953434314971245E-45</v>
      </c>
      <c r="AD7">
        <f t="shared" si="16"/>
        <v>3.8077906506682091E-46</v>
      </c>
      <c r="AE7">
        <f t="shared" si="17"/>
        <v>2.3329681361505397E-38</v>
      </c>
      <c r="AF7">
        <f t="shared" si="18"/>
        <v>1.7075679196580941E-39</v>
      </c>
    </row>
    <row r="8" spans="1:32" x14ac:dyDescent="0.3">
      <c r="D8" s="1">
        <f t="shared" si="19"/>
        <v>89.122942450071406</v>
      </c>
      <c r="E8" s="1">
        <f t="shared" si="20"/>
        <v>89.122942450071406</v>
      </c>
      <c r="G8" s="1">
        <f t="shared" si="0"/>
        <v>89.122942450071406</v>
      </c>
      <c r="I8">
        <f t="shared" si="21"/>
        <v>6</v>
      </c>
      <c r="K8" s="1">
        <f t="shared" si="1"/>
        <v>4.0130648257068873E-43</v>
      </c>
      <c r="L8" s="1">
        <f t="shared" si="2"/>
        <v>2.4952834565471187E-44</v>
      </c>
      <c r="N8" s="1">
        <f t="shared" si="3"/>
        <v>89.442719099991436</v>
      </c>
      <c r="O8" s="1">
        <f t="shared" si="4"/>
        <v>35777.087639996564</v>
      </c>
      <c r="Q8" s="1">
        <f t="shared" si="5"/>
        <v>9.2189581436738312E-49</v>
      </c>
      <c r="R8" s="1">
        <f t="shared" si="6"/>
        <v>4.7810399507184207E-50</v>
      </c>
      <c r="S8" s="1">
        <f t="shared" si="7"/>
        <v>5.2402825544047589E-52</v>
      </c>
      <c r="T8" s="1">
        <f t="shared" si="8"/>
        <v>2.4601094018827852E-53</v>
      </c>
      <c r="U8" s="1">
        <f t="shared" si="9"/>
        <v>3.3431973762388766E-58</v>
      </c>
      <c r="V8" s="1">
        <f t="shared" si="10"/>
        <v>1.3088655212525801E-59</v>
      </c>
      <c r="W8" s="1"/>
      <c r="X8" s="6">
        <f t="shared" si="11"/>
        <v>48.686449556014708</v>
      </c>
      <c r="Y8" s="6">
        <f t="shared" si="12"/>
        <v>8655.3688099581668</v>
      </c>
      <c r="AA8">
        <f t="shared" si="13"/>
        <v>1.0379923233765804E-36</v>
      </c>
      <c r="AB8">
        <f t="shared" si="14"/>
        <v>8.0577483603226757E-38</v>
      </c>
      <c r="AC8">
        <f t="shared" si="15"/>
        <v>1.6175654379212582E-39</v>
      </c>
      <c r="AD8">
        <f t="shared" si="16"/>
        <v>1.1368473541933256E-40</v>
      </c>
      <c r="AE8">
        <f t="shared" si="17"/>
        <v>2.1133997109776863E-33</v>
      </c>
      <c r="AF8">
        <f t="shared" si="18"/>
        <v>1.8541560479935375E-34</v>
      </c>
    </row>
    <row r="9" spans="1:32" x14ac:dyDescent="0.3">
      <c r="D9" s="1">
        <f t="shared" si="19"/>
        <v>88.122942450071406</v>
      </c>
      <c r="E9" s="1">
        <f t="shared" si="20"/>
        <v>88.122942450071406</v>
      </c>
      <c r="G9" s="1">
        <f t="shared" si="0"/>
        <v>88.122942450071406</v>
      </c>
      <c r="I9">
        <f t="shared" si="21"/>
        <v>7</v>
      </c>
      <c r="K9" s="1">
        <f t="shared" si="1"/>
        <v>1.2327665218423271E-38</v>
      </c>
      <c r="L9" s="1">
        <f t="shared" si="2"/>
        <v>8.9353539482052565E-40</v>
      </c>
      <c r="N9" s="1">
        <f t="shared" si="3"/>
        <v>70.978171818070649</v>
      </c>
      <c r="O9" s="1">
        <f t="shared" si="4"/>
        <v>20858.89130980034</v>
      </c>
      <c r="Q9" s="1">
        <f t="shared" si="5"/>
        <v>5.6973535985469912E-44</v>
      </c>
      <c r="R9" s="1">
        <f t="shared" si="6"/>
        <v>3.4446410912737526E-45</v>
      </c>
      <c r="S9" s="1">
        <f t="shared" si="7"/>
        <v>4.7526671658372448E-47</v>
      </c>
      <c r="T9" s="1">
        <f t="shared" si="8"/>
        <v>2.6012843321423635E-48</v>
      </c>
      <c r="U9" s="1">
        <f t="shared" si="9"/>
        <v>6.1038116557016675E-53</v>
      </c>
      <c r="V9" s="1">
        <f t="shared" si="10"/>
        <v>2.7862325587097294E-54</v>
      </c>
      <c r="W9" s="1"/>
      <c r="X9" s="6">
        <f t="shared" si="11"/>
        <v>38.635623073303563</v>
      </c>
      <c r="Y9" s="6">
        <f t="shared" si="12"/>
        <v>5046.2854626355693</v>
      </c>
      <c r="AA9">
        <f t="shared" si="13"/>
        <v>1.3562652923641581E-32</v>
      </c>
      <c r="AB9">
        <f t="shared" si="14"/>
        <v>1.2271164812822993E-33</v>
      </c>
      <c r="AC9">
        <f t="shared" si="15"/>
        <v>3.0998489271045027E-35</v>
      </c>
      <c r="AD9">
        <f t="shared" si="16"/>
        <v>2.5394159850088051E-36</v>
      </c>
      <c r="AE9">
        <f t="shared" si="17"/>
        <v>1.723566362763864E-29</v>
      </c>
      <c r="AF9">
        <f t="shared" si="18"/>
        <v>1.7622605899592793E-30</v>
      </c>
    </row>
    <row r="10" spans="1:32" x14ac:dyDescent="0.3">
      <c r="D10" s="1">
        <f t="shared" si="19"/>
        <v>87.122942450071406</v>
      </c>
      <c r="E10" s="1">
        <f t="shared" si="20"/>
        <v>87.122942450071406</v>
      </c>
      <c r="G10" s="1">
        <f t="shared" si="0"/>
        <v>87.122942450071406</v>
      </c>
      <c r="I10">
        <f t="shared" si="21"/>
        <v>8</v>
      </c>
      <c r="K10" s="1">
        <f t="shared" si="1"/>
        <v>5.8979941794646483E-35</v>
      </c>
      <c r="L10" s="1">
        <f t="shared" si="2"/>
        <v>4.8818092599411942E-36</v>
      </c>
      <c r="N10" s="1">
        <f t="shared" si="3"/>
        <v>58.094750193111189</v>
      </c>
      <c r="O10" s="1">
        <f t="shared" si="4"/>
        <v>13071.318793450006</v>
      </c>
      <c r="Q10" s="1">
        <f t="shared" si="5"/>
        <v>4.9926110944785579E-40</v>
      </c>
      <c r="R10" s="1">
        <f t="shared" si="6"/>
        <v>3.447367182635415E-41</v>
      </c>
      <c r="S10" s="1">
        <f t="shared" si="7"/>
        <v>5.8053739617988346E-43</v>
      </c>
      <c r="T10" s="1">
        <f t="shared" si="8"/>
        <v>3.6290262132914769E-44</v>
      </c>
      <c r="U10" s="1">
        <f t="shared" si="9"/>
        <v>1.3664562171407057E-48</v>
      </c>
      <c r="V10" s="1">
        <f t="shared" si="10"/>
        <v>7.1244907704033862E-50</v>
      </c>
      <c r="W10" s="1"/>
      <c r="X10" s="6">
        <f t="shared" si="11"/>
        <v>31.622776601683775</v>
      </c>
      <c r="Y10" s="6">
        <f t="shared" si="12"/>
        <v>3162.2776601683804</v>
      </c>
      <c r="AA10">
        <f t="shared" si="13"/>
        <v>3.0959927757765066E-29</v>
      </c>
      <c r="AB10">
        <f t="shared" si="14"/>
        <v>3.1983029821760345E-30</v>
      </c>
      <c r="AC10">
        <f t="shared" si="15"/>
        <v>9.8575040740402066E-32</v>
      </c>
      <c r="AD10">
        <f t="shared" si="16"/>
        <v>9.2208513940774282E-33</v>
      </c>
      <c r="AE10">
        <f t="shared" si="17"/>
        <v>2.6164588502309554E-26</v>
      </c>
      <c r="AF10">
        <f t="shared" si="18"/>
        <v>3.0541406749769472E-27</v>
      </c>
    </row>
    <row r="11" spans="1:32" x14ac:dyDescent="0.3">
      <c r="D11" s="1">
        <f t="shared" si="19"/>
        <v>86.122942450071406</v>
      </c>
      <c r="E11" s="1">
        <f t="shared" si="20"/>
        <v>86.122942450071406</v>
      </c>
      <c r="G11" s="1">
        <f t="shared" si="0"/>
        <v>86.122942450071406</v>
      </c>
      <c r="I11">
        <f t="shared" si="21"/>
        <v>9</v>
      </c>
      <c r="K11" s="1">
        <f t="shared" si="1"/>
        <v>7.1923242086311164E-32</v>
      </c>
      <c r="L11" s="1">
        <f t="shared" si="2"/>
        <v>6.6920838435062868E-33</v>
      </c>
      <c r="N11" s="1">
        <f t="shared" si="3"/>
        <v>48.686449556014708</v>
      </c>
      <c r="O11" s="1">
        <f t="shared" si="4"/>
        <v>8655.3688099581668</v>
      </c>
      <c r="Q11" s="1">
        <f t="shared" si="5"/>
        <v>1.0379923233765804E-36</v>
      </c>
      <c r="R11" s="1">
        <f t="shared" si="6"/>
        <v>8.0577483603226757E-38</v>
      </c>
      <c r="S11" s="1">
        <f t="shared" si="7"/>
        <v>1.6175654379212582E-39</v>
      </c>
      <c r="T11" s="1">
        <f t="shared" si="8"/>
        <v>1.1368473541933256E-40</v>
      </c>
      <c r="U11" s="1">
        <f t="shared" si="9"/>
        <v>6.4953434314971245E-45</v>
      </c>
      <c r="V11" s="1">
        <f t="shared" si="10"/>
        <v>3.8077906506682091E-46</v>
      </c>
      <c r="W11" s="1"/>
      <c r="X11" s="6">
        <f t="shared" si="11"/>
        <v>26.50154639999748</v>
      </c>
      <c r="Y11" s="6">
        <f t="shared" si="12"/>
        <v>2093.9493451849844</v>
      </c>
      <c r="AA11">
        <f t="shared" si="13"/>
        <v>1.9665404658480261E-26</v>
      </c>
      <c r="AB11">
        <f t="shared" si="14"/>
        <v>2.283334036654704E-27</v>
      </c>
      <c r="AC11">
        <f t="shared" si="15"/>
        <v>8.3861526070306484E-29</v>
      </c>
      <c r="AD11">
        <f t="shared" si="16"/>
        <v>8.8175285775036045E-30</v>
      </c>
      <c r="AE11">
        <f t="shared" si="17"/>
        <v>1.1600654061024709E-23</v>
      </c>
      <c r="AF11">
        <f t="shared" si="18"/>
        <v>1.5217991064522391E-24</v>
      </c>
    </row>
    <row r="12" spans="1:32" x14ac:dyDescent="0.3">
      <c r="D12" s="1">
        <f t="shared" si="19"/>
        <v>85.122942450071406</v>
      </c>
      <c r="E12" s="1">
        <f t="shared" si="20"/>
        <v>85.122942450071406</v>
      </c>
      <c r="G12" s="1">
        <f t="shared" si="0"/>
        <v>85.122942450071406</v>
      </c>
      <c r="I12">
        <f t="shared" si="21"/>
        <v>10</v>
      </c>
      <c r="K12" s="1">
        <f t="shared" si="1"/>
        <v>3.0959927757765066E-29</v>
      </c>
      <c r="L12" s="1">
        <f t="shared" si="2"/>
        <v>3.1983029821760345E-30</v>
      </c>
      <c r="N12" s="1">
        <f t="shared" si="3"/>
        <v>41.569219381653014</v>
      </c>
      <c r="O12" s="1">
        <f t="shared" si="4"/>
        <v>5985.9675909580365</v>
      </c>
      <c r="Q12" s="1">
        <f t="shared" si="5"/>
        <v>7.198943909076031E-34</v>
      </c>
      <c r="R12" s="1">
        <f t="shared" si="6"/>
        <v>6.205271943059105E-35</v>
      </c>
      <c r="S12" s="1">
        <f t="shared" si="7"/>
        <v>1.4575845596137744E-36</v>
      </c>
      <c r="T12" s="1">
        <f t="shared" si="8"/>
        <v>1.1375419223832521E-37</v>
      </c>
      <c r="U12" s="1">
        <f t="shared" si="9"/>
        <v>9.4361511225448211E-42</v>
      </c>
      <c r="V12" s="1">
        <f t="shared" si="10"/>
        <v>6.1431600648946784E-43</v>
      </c>
      <c r="W12" s="1"/>
      <c r="X12" s="6">
        <f t="shared" si="11"/>
        <v>22.62741699796949</v>
      </c>
      <c r="Y12" s="6">
        <f t="shared" si="12"/>
        <v>1448.1546878700467</v>
      </c>
      <c r="AA12">
        <f t="shared" si="13"/>
        <v>4.725368041595524E-24</v>
      </c>
      <c r="AB12">
        <f t="shared" si="14"/>
        <v>6.0905844791187023E-25</v>
      </c>
      <c r="AC12">
        <f t="shared" si="15"/>
        <v>2.6164588502309554E-26</v>
      </c>
      <c r="AD12">
        <f t="shared" si="16"/>
        <v>3.0541406749769472E-27</v>
      </c>
      <c r="AE12">
        <f t="shared" si="17"/>
        <v>2.0215222040142242E-21</v>
      </c>
      <c r="AF12">
        <f t="shared" si="18"/>
        <v>2.9434799090763067E-22</v>
      </c>
    </row>
    <row r="13" spans="1:32" x14ac:dyDescent="0.3">
      <c r="D13" s="1">
        <f t="shared" si="19"/>
        <v>84.122942450071406</v>
      </c>
      <c r="E13" s="1">
        <f t="shared" si="20"/>
        <v>84.122942450071406</v>
      </c>
      <c r="G13" s="1">
        <f t="shared" si="0"/>
        <v>84.122942450071406</v>
      </c>
      <c r="I13">
        <f t="shared" si="21"/>
        <v>11</v>
      </c>
      <c r="K13" s="1">
        <f t="shared" si="1"/>
        <v>5.8944780787508038E-27</v>
      </c>
      <c r="L13" s="1">
        <f t="shared" si="2"/>
        <v>6.6931835417231837E-28</v>
      </c>
      <c r="N13" s="1">
        <f t="shared" si="3"/>
        <v>36.031541404135403</v>
      </c>
      <c r="O13" s="1">
        <f t="shared" si="4"/>
        <v>4288.0512084260363</v>
      </c>
      <c r="Q13" s="1">
        <f t="shared" si="5"/>
        <v>2.1095402788965561E-31</v>
      </c>
      <c r="R13" s="1">
        <f t="shared" si="6"/>
        <v>1.9989109961877346E-32</v>
      </c>
      <c r="S13" s="1">
        <f t="shared" si="7"/>
        <v>5.4119420761388463E-34</v>
      </c>
      <c r="T13" s="1">
        <f t="shared" si="8"/>
        <v>4.6432449689184907E-35</v>
      </c>
      <c r="U13" s="1">
        <f t="shared" si="9"/>
        <v>5.3959678092289754E-39</v>
      </c>
      <c r="V13" s="1">
        <f t="shared" si="10"/>
        <v>3.862193704781678E-40</v>
      </c>
      <c r="W13" s="1"/>
      <c r="X13" s="6">
        <f t="shared" si="11"/>
        <v>19.613086908021572</v>
      </c>
      <c r="Y13" s="6">
        <f t="shared" si="12"/>
        <v>1037.3864149697358</v>
      </c>
      <c r="AA13">
        <f t="shared" si="13"/>
        <v>5.3114322553391113E-22</v>
      </c>
      <c r="AB13">
        <f t="shared" si="14"/>
        <v>7.5236682304931727E-23</v>
      </c>
      <c r="AC13">
        <f t="shared" si="15"/>
        <v>3.7239514163994878E-24</v>
      </c>
      <c r="AD13">
        <f t="shared" si="16"/>
        <v>4.7775940917159777E-25</v>
      </c>
      <c r="AE13">
        <f t="shared" si="17"/>
        <v>1.6996168012596181E-19</v>
      </c>
      <c r="AF13">
        <f t="shared" si="18"/>
        <v>2.719425098291395E-20</v>
      </c>
    </row>
    <row r="14" spans="1:32" x14ac:dyDescent="0.3">
      <c r="D14" s="1">
        <f t="shared" si="19"/>
        <v>83.122942450071406</v>
      </c>
      <c r="E14" s="1">
        <f t="shared" si="20"/>
        <v>83.122942450071406</v>
      </c>
      <c r="G14" s="1">
        <f t="shared" si="0"/>
        <v>83.122942450071406</v>
      </c>
      <c r="I14">
        <f t="shared" si="21"/>
        <v>12</v>
      </c>
      <c r="K14" s="1">
        <f t="shared" si="1"/>
        <v>5.8370536342514026E-25</v>
      </c>
      <c r="L14" s="1">
        <f t="shared" si="2"/>
        <v>7.2251705443857501E-26</v>
      </c>
      <c r="N14" s="1">
        <f t="shared" si="3"/>
        <v>31.622776601683775</v>
      </c>
      <c r="O14" s="1">
        <f t="shared" si="4"/>
        <v>3162.2776601683804</v>
      </c>
      <c r="Q14" s="1">
        <f t="shared" si="5"/>
        <v>3.0959927757765066E-29</v>
      </c>
      <c r="R14" s="1">
        <f t="shared" si="6"/>
        <v>3.1983029821760345E-30</v>
      </c>
      <c r="S14" s="1">
        <f t="shared" si="7"/>
        <v>9.8575040740402066E-32</v>
      </c>
      <c r="T14" s="1">
        <f t="shared" si="8"/>
        <v>9.2208513940774282E-33</v>
      </c>
      <c r="U14" s="1">
        <f t="shared" si="9"/>
        <v>1.4575845596137744E-36</v>
      </c>
      <c r="V14" s="1">
        <f t="shared" si="10"/>
        <v>1.1375419223832521E-37</v>
      </c>
      <c r="W14" s="1"/>
      <c r="X14" s="6">
        <f t="shared" si="11"/>
        <v>17.213259316477394</v>
      </c>
      <c r="Y14" s="6">
        <f t="shared" si="12"/>
        <v>765.03374739899527</v>
      </c>
      <c r="AA14">
        <f t="shared" si="13"/>
        <v>3.2522560083758554E-20</v>
      </c>
      <c r="AB14">
        <f t="shared" si="14"/>
        <v>5.0210459748156337E-21</v>
      </c>
      <c r="AC14">
        <f t="shared" si="15"/>
        <v>2.8280318814415476E-22</v>
      </c>
      <c r="AD14">
        <f t="shared" si="16"/>
        <v>3.9547388428770602E-23</v>
      </c>
      <c r="AE14">
        <f t="shared" si="17"/>
        <v>7.985786651562147E-18</v>
      </c>
      <c r="AF14">
        <f t="shared" si="18"/>
        <v>1.3924572829093834E-18</v>
      </c>
    </row>
    <row r="15" spans="1:32" x14ac:dyDescent="0.3">
      <c r="D15" s="1">
        <f t="shared" si="19"/>
        <v>82.122942450071406</v>
      </c>
      <c r="E15" s="1">
        <f t="shared" si="20"/>
        <v>82.122942450071406</v>
      </c>
      <c r="G15" s="1">
        <f t="shared" si="0"/>
        <v>82.122942450071406</v>
      </c>
      <c r="I15">
        <f t="shared" si="21"/>
        <v>13</v>
      </c>
      <c r="K15" s="1">
        <f t="shared" si="1"/>
        <v>3.3897526192517653E-23</v>
      </c>
      <c r="L15" s="1">
        <f t="shared" si="2"/>
        <v>4.5421894887102253E-24</v>
      </c>
      <c r="N15" s="1">
        <f t="shared" si="3"/>
        <v>28.045090165393805</v>
      </c>
      <c r="O15" s="1">
        <f t="shared" si="4"/>
        <v>2389.6408188264545</v>
      </c>
      <c r="Q15" s="1">
        <f t="shared" si="5"/>
        <v>2.5814037725685317E-27</v>
      </c>
      <c r="R15" s="1">
        <f t="shared" si="6"/>
        <v>2.887131895556264E-28</v>
      </c>
      <c r="S15" s="1">
        <f t="shared" si="7"/>
        <v>1.0024610133257789E-29</v>
      </c>
      <c r="T15" s="1">
        <f t="shared" si="8"/>
        <v>1.0152770291475004E-30</v>
      </c>
      <c r="U15" s="1">
        <f t="shared" si="9"/>
        <v>2.1296524991977638E-34</v>
      </c>
      <c r="V15" s="1">
        <f t="shared" si="10"/>
        <v>1.7996548816201535E-35</v>
      </c>
      <c r="W15" s="1"/>
      <c r="X15" s="6">
        <f t="shared" si="11"/>
        <v>15.265813487902566</v>
      </c>
      <c r="Y15" s="6">
        <f t="shared" si="12"/>
        <v>578.11364687915045</v>
      </c>
      <c r="AA15">
        <f t="shared" si="13"/>
        <v>1.2141233144317831E-18</v>
      </c>
      <c r="AB15">
        <f t="shared" si="14"/>
        <v>2.0287887379064838E-19</v>
      </c>
      <c r="AC15">
        <f t="shared" si="15"/>
        <v>1.2867773681353812E-20</v>
      </c>
      <c r="AD15">
        <f t="shared" si="16"/>
        <v>1.947779056726465E-21</v>
      </c>
      <c r="AE15">
        <f t="shared" si="17"/>
        <v>2.3372912781235644E-16</v>
      </c>
      <c r="AF15">
        <f t="shared" si="18"/>
        <v>4.4104787871210627E-17</v>
      </c>
    </row>
    <row r="16" spans="1:32" x14ac:dyDescent="0.3">
      <c r="D16" s="1">
        <f t="shared" si="19"/>
        <v>81.122942450071406</v>
      </c>
      <c r="E16" s="1">
        <f t="shared" si="20"/>
        <v>81.122942450071406</v>
      </c>
      <c r="G16" s="1">
        <f t="shared" si="0"/>
        <v>81.122942450071406</v>
      </c>
      <c r="I16">
        <f t="shared" si="21"/>
        <v>14</v>
      </c>
      <c r="K16" s="1">
        <f t="shared" si="1"/>
        <v>1.2645583399798442E-21</v>
      </c>
      <c r="L16" s="1">
        <f t="shared" si="2"/>
        <v>1.8234873524692729E-22</v>
      </c>
      <c r="N16" s="1">
        <f t="shared" si="3"/>
        <v>25.094573304390828</v>
      </c>
      <c r="O16" s="1">
        <f t="shared" si="4"/>
        <v>1843.682936649122</v>
      </c>
      <c r="Q16" s="1">
        <f t="shared" si="5"/>
        <v>1.3457634713847751E-25</v>
      </c>
      <c r="R16" s="1">
        <f t="shared" si="6"/>
        <v>1.6199274627002235E-26</v>
      </c>
      <c r="S16" s="1">
        <f t="shared" si="7"/>
        <v>6.2804101219944188E-28</v>
      </c>
      <c r="T16" s="1">
        <f t="shared" si="8"/>
        <v>6.8461069021397606E-29</v>
      </c>
      <c r="U16" s="1">
        <f t="shared" si="9"/>
        <v>1.8658234082848108E-32</v>
      </c>
      <c r="V16" s="1">
        <f t="shared" si="10"/>
        <v>1.6971646680943528E-33</v>
      </c>
      <c r="W16" s="1"/>
      <c r="X16" s="6">
        <f t="shared" si="11"/>
        <v>13.659755535250206</v>
      </c>
      <c r="Y16" s="6">
        <f t="shared" si="12"/>
        <v>446.0328338040884</v>
      </c>
      <c r="AA16">
        <f t="shared" si="13"/>
        <v>3.0096613091179078E-17</v>
      </c>
      <c r="AB16">
        <f t="shared" si="14"/>
        <v>5.4109946975199496E-18</v>
      </c>
      <c r="AC16">
        <f t="shared" si="15"/>
        <v>3.8304762049813255E-19</v>
      </c>
      <c r="AD16">
        <f t="shared" si="16"/>
        <v>6.2389895542339309E-20</v>
      </c>
      <c r="AE16">
        <f t="shared" si="17"/>
        <v>4.6262578094125597E-15</v>
      </c>
      <c r="AF16">
        <f t="shared" si="18"/>
        <v>9.3913869801513795E-16</v>
      </c>
    </row>
    <row r="17" spans="4:32" x14ac:dyDescent="0.3">
      <c r="D17" s="1">
        <f t="shared" si="19"/>
        <v>80.122942450071406</v>
      </c>
      <c r="E17" s="1">
        <f t="shared" si="20"/>
        <v>80.122942450071406</v>
      </c>
      <c r="G17" s="1">
        <f t="shared" si="0"/>
        <v>80.122942450071406</v>
      </c>
      <c r="I17">
        <f t="shared" si="21"/>
        <v>15</v>
      </c>
      <c r="K17" s="1">
        <f t="shared" si="1"/>
        <v>3.2522560083758554E-20</v>
      </c>
      <c r="L17" s="1">
        <f t="shared" si="2"/>
        <v>5.0210459748156337E-21</v>
      </c>
      <c r="N17" s="1">
        <f t="shared" si="3"/>
        <v>22.62741699796949</v>
      </c>
      <c r="O17" s="1">
        <f t="shared" si="4"/>
        <v>1448.1546878700467</v>
      </c>
      <c r="Q17" s="1">
        <f t="shared" si="5"/>
        <v>4.725368041595524E-24</v>
      </c>
      <c r="R17" s="1">
        <f t="shared" si="6"/>
        <v>6.0905844791187023E-25</v>
      </c>
      <c r="S17" s="1">
        <f t="shared" si="7"/>
        <v>2.6164588502309554E-26</v>
      </c>
      <c r="T17" s="1">
        <f t="shared" si="8"/>
        <v>3.0541406749769472E-27</v>
      </c>
      <c r="U17" s="1">
        <f t="shared" si="9"/>
        <v>1.06199860868055E-30</v>
      </c>
      <c r="V17" s="1">
        <f t="shared" si="10"/>
        <v>1.0345031058931063E-31</v>
      </c>
      <c r="W17" s="1"/>
      <c r="X17" s="6">
        <f t="shared" si="11"/>
        <v>12.316805742712006</v>
      </c>
      <c r="Y17" s="6">
        <f t="shared" si="12"/>
        <v>350.34469668158613</v>
      </c>
      <c r="AA17">
        <f t="shared" si="13"/>
        <v>5.2923326359582771E-16</v>
      </c>
      <c r="AB17">
        <f t="shared" si="14"/>
        <v>1.0185161177880192E-16</v>
      </c>
      <c r="AC17">
        <f t="shared" si="15"/>
        <v>7.985786651562147E-18</v>
      </c>
      <c r="AD17">
        <f t="shared" si="16"/>
        <v>1.3924572829093834E-18</v>
      </c>
      <c r="AE17">
        <f t="shared" si="17"/>
        <v>6.5989415071905835E-14</v>
      </c>
      <c r="AF17">
        <f t="shared" si="18"/>
        <v>1.4337526178704929E-14</v>
      </c>
    </row>
    <row r="18" spans="4:32" x14ac:dyDescent="0.3">
      <c r="D18" s="1">
        <f t="shared" si="19"/>
        <v>79.122942450071406</v>
      </c>
      <c r="E18" s="1">
        <f t="shared" si="20"/>
        <v>79.122942450071349</v>
      </c>
      <c r="G18" s="1">
        <f t="shared" si="0"/>
        <v>79.122942450071406</v>
      </c>
      <c r="I18">
        <f t="shared" si="21"/>
        <v>16</v>
      </c>
      <c r="K18" s="1">
        <f t="shared" si="1"/>
        <v>6.0970680317637213E-19</v>
      </c>
      <c r="L18" s="1">
        <f t="shared" si="2"/>
        <v>1.0033242144414019E-19</v>
      </c>
      <c r="N18" s="1">
        <f t="shared" si="3"/>
        <v>20.539595906443704</v>
      </c>
      <c r="O18" s="1">
        <f t="shared" si="4"/>
        <v>1155.3522697374581</v>
      </c>
      <c r="Q18" s="1">
        <f t="shared" si="5"/>
        <v>1.1851600977466153E-22</v>
      </c>
      <c r="R18" s="1">
        <f t="shared" si="6"/>
        <v>1.6284091758899065E-23</v>
      </c>
      <c r="S18" s="1">
        <f t="shared" si="7"/>
        <v>7.6998354472915115E-25</v>
      </c>
      <c r="T18" s="1">
        <f t="shared" si="8"/>
        <v>9.5817151547320452E-26</v>
      </c>
      <c r="U18" s="1">
        <f t="shared" si="9"/>
        <v>4.1841824529149542E-29</v>
      </c>
      <c r="V18" s="1">
        <f t="shared" si="10"/>
        <v>4.3455098873733581E-30</v>
      </c>
      <c r="W18" s="1"/>
      <c r="X18" s="6">
        <f t="shared" si="11"/>
        <v>11.18033988749894</v>
      </c>
      <c r="Y18" s="6">
        <f t="shared" si="12"/>
        <v>279.50849718747344</v>
      </c>
      <c r="AA18">
        <f t="shared" si="13"/>
        <v>6.9545740076096708E-15</v>
      </c>
      <c r="AB18">
        <f t="shared" si="14"/>
        <v>1.4263118142301936E-15</v>
      </c>
      <c r="AC18">
        <f t="shared" si="15"/>
        <v>1.2303612286907442E-16</v>
      </c>
      <c r="AD18">
        <f t="shared" si="16"/>
        <v>2.2864574966133094E-17</v>
      </c>
      <c r="AE18">
        <f t="shared" si="17"/>
        <v>7.1315695442829648E-13</v>
      </c>
      <c r="AF18">
        <f t="shared" si="18"/>
        <v>1.6509883389398103E-13</v>
      </c>
    </row>
    <row r="19" spans="4:32" x14ac:dyDescent="0.3">
      <c r="D19" s="1">
        <f t="shared" si="19"/>
        <v>78.122942450071406</v>
      </c>
      <c r="E19" s="1">
        <f t="shared" si="20"/>
        <v>78.122942450070823</v>
      </c>
      <c r="G19" s="1">
        <f t="shared" si="0"/>
        <v>78.122942450071406</v>
      </c>
      <c r="I19">
        <f t="shared" si="21"/>
        <v>17</v>
      </c>
      <c r="K19" s="1">
        <f t="shared" si="1"/>
        <v>8.7128677630408052E-18</v>
      </c>
      <c r="L19" s="1">
        <f t="shared" si="2"/>
        <v>1.5222691261738813E-18</v>
      </c>
      <c r="N19" s="1">
        <f t="shared" si="3"/>
        <v>18.754197576143177</v>
      </c>
      <c r="O19" s="1">
        <f t="shared" si="4"/>
        <v>934.46520794623439</v>
      </c>
      <c r="Q19" s="1">
        <f t="shared" si="5"/>
        <v>2.2257345184889129E-21</v>
      </c>
      <c r="R19" s="1">
        <f t="shared" si="6"/>
        <v>3.247311416466813E-22</v>
      </c>
      <c r="S19" s="1">
        <f t="shared" si="7"/>
        <v>1.6801829465301966E-23</v>
      </c>
      <c r="T19" s="1">
        <f t="shared" si="8"/>
        <v>2.2202736837438913E-24</v>
      </c>
      <c r="U19" s="1">
        <f t="shared" si="9"/>
        <v>1.2007819516679633E-27</v>
      </c>
      <c r="V19" s="1">
        <f t="shared" si="10"/>
        <v>1.3243985341372176E-28</v>
      </c>
      <c r="W19" s="1"/>
      <c r="X19" s="6">
        <f t="shared" si="11"/>
        <v>10.208492132642636</v>
      </c>
      <c r="Y19" s="6">
        <f t="shared" si="12"/>
        <v>226.07041401007902</v>
      </c>
      <c r="AA19">
        <f t="shared" si="13"/>
        <v>7.1202592709010816E-14</v>
      </c>
      <c r="AB19">
        <f t="shared" si="14"/>
        <v>1.5500963972828163E-14</v>
      </c>
      <c r="AC19">
        <f t="shared" si="15"/>
        <v>1.4624814863148911E-15</v>
      </c>
      <c r="AD19">
        <f t="shared" si="16"/>
        <v>2.8852591147841011E-16</v>
      </c>
      <c r="AE19">
        <f t="shared" si="17"/>
        <v>6.0778592818590512E-12</v>
      </c>
      <c r="AF19">
        <f t="shared" si="18"/>
        <v>1.4933481538863458E-12</v>
      </c>
    </row>
    <row r="20" spans="4:32" x14ac:dyDescent="0.3">
      <c r="D20" s="1">
        <f t="shared" si="19"/>
        <v>77.122942450071406</v>
      </c>
      <c r="E20" s="1">
        <f t="shared" si="20"/>
        <v>77.12294245006639</v>
      </c>
      <c r="G20" s="1">
        <f t="shared" si="0"/>
        <v>77.122942450071406</v>
      </c>
      <c r="I20">
        <f t="shared" si="21"/>
        <v>18</v>
      </c>
      <c r="K20" s="1">
        <f t="shared" si="1"/>
        <v>9.8419499779181867E-17</v>
      </c>
      <c r="L20" s="1">
        <f t="shared" si="2"/>
        <v>1.8193434758391414E-17</v>
      </c>
      <c r="N20" s="1">
        <f t="shared" si="3"/>
        <v>17.213259316477394</v>
      </c>
      <c r="O20" s="1">
        <f t="shared" si="4"/>
        <v>765.03374739899527</v>
      </c>
      <c r="Q20" s="1">
        <f t="shared" si="5"/>
        <v>3.2522560083758554E-20</v>
      </c>
      <c r="R20" s="1">
        <f t="shared" si="6"/>
        <v>5.0210459748156337E-21</v>
      </c>
      <c r="S20" s="1">
        <f t="shared" si="7"/>
        <v>2.8280318814415476E-22</v>
      </c>
      <c r="T20" s="1">
        <f t="shared" si="8"/>
        <v>3.9547388428770602E-23</v>
      </c>
      <c r="U20" s="1">
        <f t="shared" si="9"/>
        <v>2.6164588502309554E-26</v>
      </c>
      <c r="V20" s="1">
        <f t="shared" si="10"/>
        <v>3.0541406749769472E-27</v>
      </c>
      <c r="W20" s="1"/>
      <c r="X20" s="6">
        <f t="shared" si="11"/>
        <v>9.3697115856840796</v>
      </c>
      <c r="Y20" s="6">
        <f t="shared" si="12"/>
        <v>185.08072268017943</v>
      </c>
      <c r="AA20">
        <f t="shared" si="13"/>
        <v>5.875139171950686E-13</v>
      </c>
      <c r="AB20">
        <f t="shared" si="14"/>
        <v>1.3529740570671529E-13</v>
      </c>
      <c r="AC20">
        <f t="shared" si="15"/>
        <v>1.3888981866640865E-14</v>
      </c>
      <c r="AD20">
        <f t="shared" si="16"/>
        <v>2.8988131543255323E-15</v>
      </c>
      <c r="AE20">
        <f t="shared" si="17"/>
        <v>4.2195890636831716E-11</v>
      </c>
      <c r="AF20">
        <f t="shared" si="18"/>
        <v>1.0965241966775813E-11</v>
      </c>
    </row>
    <row r="21" spans="4:32" x14ac:dyDescent="0.3">
      <c r="D21" s="1">
        <f t="shared" si="19"/>
        <v>76.122942450071406</v>
      </c>
      <c r="E21" s="1">
        <f t="shared" si="20"/>
        <v>76.122942450035282</v>
      </c>
      <c r="G21" s="1">
        <f t="shared" si="0"/>
        <v>76.122942450071406</v>
      </c>
      <c r="I21">
        <f t="shared" si="21"/>
        <v>19</v>
      </c>
      <c r="K21" s="1">
        <f t="shared" si="1"/>
        <v>9.0543227104900868E-16</v>
      </c>
      <c r="L21" s="1">
        <f t="shared" si="2"/>
        <v>1.7654209585339054E-16</v>
      </c>
      <c r="N21" s="1">
        <f t="shared" si="3"/>
        <v>15.872358630001079</v>
      </c>
      <c r="O21" s="1">
        <f t="shared" si="4"/>
        <v>633.13563510253641</v>
      </c>
      <c r="Q21" s="1">
        <f t="shared" si="5"/>
        <v>3.8161568800800115E-19</v>
      </c>
      <c r="R21" s="1">
        <f t="shared" si="6"/>
        <v>6.2151538627067642E-20</v>
      </c>
      <c r="S21" s="1">
        <f t="shared" si="7"/>
        <v>3.7930268074808453E-21</v>
      </c>
      <c r="T21" s="1">
        <f t="shared" si="8"/>
        <v>5.5957837580500086E-22</v>
      </c>
      <c r="U21" s="1">
        <f t="shared" si="9"/>
        <v>4.479421069989619E-25</v>
      </c>
      <c r="V21" s="1">
        <f t="shared" si="10"/>
        <v>5.516661223300269E-26</v>
      </c>
      <c r="W21" s="1"/>
      <c r="X21" s="6">
        <f t="shared" si="11"/>
        <v>8.6398177017697115</v>
      </c>
      <c r="Y21" s="6">
        <f t="shared" si="12"/>
        <v>153.17128335547412</v>
      </c>
      <c r="AA21">
        <f t="shared" si="13"/>
        <v>4.0170497690538889E-12</v>
      </c>
      <c r="AB21">
        <f t="shared" si="14"/>
        <v>9.7552535646136275E-13</v>
      </c>
      <c r="AC21">
        <f t="shared" si="15"/>
        <v>1.084545752348187E-13</v>
      </c>
      <c r="AD21">
        <f t="shared" si="16"/>
        <v>2.3872986709410904E-14</v>
      </c>
      <c r="AE21">
        <f t="shared" si="17"/>
        <v>2.4508370900776799E-10</v>
      </c>
      <c r="AF21">
        <f t="shared" si="18"/>
        <v>6.7150336255539933E-11</v>
      </c>
    </row>
    <row r="22" spans="4:32" x14ac:dyDescent="0.3">
      <c r="D22" s="1">
        <f t="shared" si="19"/>
        <v>75.122942450071406</v>
      </c>
      <c r="E22" s="1">
        <f t="shared" si="20"/>
        <v>75.122942449851394</v>
      </c>
      <c r="G22" s="1">
        <f t="shared" si="0"/>
        <v>75.122942450071406</v>
      </c>
      <c r="I22">
        <f t="shared" si="21"/>
        <v>20</v>
      </c>
      <c r="K22" s="1">
        <f t="shared" si="1"/>
        <v>6.9545740076096708E-15</v>
      </c>
      <c r="L22" s="1">
        <f t="shared" si="2"/>
        <v>1.4263118142301936E-15</v>
      </c>
      <c r="N22" s="1">
        <f t="shared" si="3"/>
        <v>14.696938456699058</v>
      </c>
      <c r="O22" s="1">
        <f t="shared" si="4"/>
        <v>529.08978444116599</v>
      </c>
      <c r="Q22" s="1">
        <f t="shared" si="5"/>
        <v>3.6915518023892455E-18</v>
      </c>
      <c r="R22" s="1">
        <f t="shared" si="6"/>
        <v>6.3247817272400842E-19</v>
      </c>
      <c r="S22" s="1">
        <f t="shared" si="7"/>
        <v>4.165010575606484E-20</v>
      </c>
      <c r="T22" s="1">
        <f t="shared" si="8"/>
        <v>6.464396859377646E-21</v>
      </c>
      <c r="U22" s="1">
        <f t="shared" si="9"/>
        <v>6.1996817136901193E-24</v>
      </c>
      <c r="V22" s="1">
        <f t="shared" si="10"/>
        <v>8.0333987238404607E-25</v>
      </c>
      <c r="W22" s="1"/>
      <c r="X22" s="6">
        <f t="shared" si="11"/>
        <v>7.9999999999999947</v>
      </c>
      <c r="Y22" s="6">
        <f t="shared" si="12"/>
        <v>127.99999999999986</v>
      </c>
      <c r="AA22">
        <f t="shared" si="13"/>
        <v>2.3290692496354182E-11</v>
      </c>
      <c r="AB22">
        <f t="shared" si="14"/>
        <v>5.9478847713994216E-12</v>
      </c>
      <c r="AC22">
        <f t="shared" si="15"/>
        <v>7.1315695442829648E-13</v>
      </c>
      <c r="AD22">
        <f t="shared" si="16"/>
        <v>1.6509883389398103E-13</v>
      </c>
      <c r="AE22">
        <f t="shared" si="17"/>
        <v>1.217534242227955E-9</v>
      </c>
      <c r="AF22">
        <f t="shared" si="18"/>
        <v>3.5074023241753198E-10</v>
      </c>
    </row>
    <row r="23" spans="4:32" x14ac:dyDescent="0.3">
      <c r="D23" s="1">
        <f t="shared" si="19"/>
        <v>74.122942450071434</v>
      </c>
      <c r="E23" s="1">
        <f t="shared" si="20"/>
        <v>74.122942448915978</v>
      </c>
      <c r="G23" s="1">
        <f t="shared" si="0"/>
        <v>74.122942450071434</v>
      </c>
      <c r="I23">
        <f t="shared" si="21"/>
        <v>21</v>
      </c>
      <c r="K23" s="1">
        <f t="shared" si="1"/>
        <v>4.5538127676338244E-14</v>
      </c>
      <c r="L23" s="1">
        <f t="shared" si="2"/>
        <v>9.7989788130640501E-15</v>
      </c>
      <c r="N23" s="1">
        <f t="shared" si="3"/>
        <v>13.659755535250206</v>
      </c>
      <c r="O23" s="1">
        <f t="shared" si="4"/>
        <v>446.0328338040884</v>
      </c>
      <c r="Q23" s="1">
        <f t="shared" si="5"/>
        <v>3.0096613091179078E-17</v>
      </c>
      <c r="R23" s="1">
        <f t="shared" si="6"/>
        <v>5.4109946975199496E-18</v>
      </c>
      <c r="S23" s="1">
        <f t="shared" si="7"/>
        <v>3.8304762049813255E-19</v>
      </c>
      <c r="T23" s="1">
        <f t="shared" si="8"/>
        <v>6.2389895542339309E-20</v>
      </c>
      <c r="U23" s="1">
        <f t="shared" si="9"/>
        <v>7.1050817086045057E-23</v>
      </c>
      <c r="V23" s="1">
        <f t="shared" si="10"/>
        <v>9.6624678251447953E-24</v>
      </c>
      <c r="W23" s="1"/>
      <c r="X23" s="6">
        <f t="shared" si="11"/>
        <v>7.4354291272269162</v>
      </c>
      <c r="Y23" s="6">
        <f t="shared" si="12"/>
        <v>107.90645445408673</v>
      </c>
      <c r="AA23">
        <f t="shared" si="13"/>
        <v>1.1674570851236902E-10</v>
      </c>
      <c r="AB23">
        <f t="shared" si="14"/>
        <v>3.1273435707620151E-11</v>
      </c>
      <c r="AC23">
        <f t="shared" si="15"/>
        <v>4.0287644458058522E-12</v>
      </c>
      <c r="AD23">
        <f t="shared" si="16"/>
        <v>9.7845036258087906E-13</v>
      </c>
      <c r="AE23">
        <f t="shared" si="17"/>
        <v>5.2699669218033663E-9</v>
      </c>
      <c r="AF23">
        <f t="shared" si="18"/>
        <v>1.5921525028898885E-9</v>
      </c>
    </row>
    <row r="24" spans="4:32" x14ac:dyDescent="0.3">
      <c r="D24" s="1">
        <f t="shared" si="19"/>
        <v>73.122942450071548</v>
      </c>
      <c r="E24" s="1">
        <f t="shared" si="20"/>
        <v>73.122942444751516</v>
      </c>
      <c r="G24" s="1">
        <f t="shared" si="0"/>
        <v>73.122942450071548</v>
      </c>
      <c r="I24">
        <f t="shared" si="21"/>
        <v>22</v>
      </c>
      <c r="K24" s="1">
        <f t="shared" si="1"/>
        <v>2.5871988402614472E-13</v>
      </c>
      <c r="L24" s="1">
        <f t="shared" si="2"/>
        <v>5.8278453403494149E-14</v>
      </c>
      <c r="N24" s="1">
        <f t="shared" si="3"/>
        <v>12.739073631734</v>
      </c>
      <c r="O24" s="1">
        <f t="shared" si="4"/>
        <v>379.01376094415207</v>
      </c>
      <c r="Q24" s="1">
        <f t="shared" si="5"/>
        <v>2.1070348985162073E-16</v>
      </c>
      <c r="R24" s="1">
        <f t="shared" si="6"/>
        <v>3.9661305145121606E-17</v>
      </c>
      <c r="S24" s="1">
        <f t="shared" si="7"/>
        <v>3.0079295697292599E-18</v>
      </c>
      <c r="T24" s="1">
        <f t="shared" si="8"/>
        <v>5.1297045473084866E-19</v>
      </c>
      <c r="U24" s="1">
        <f t="shared" si="9"/>
        <v>6.8810189809402865E-22</v>
      </c>
      <c r="V24" s="1">
        <f t="shared" si="10"/>
        <v>9.7988542955716682E-23</v>
      </c>
      <c r="W24" s="1"/>
      <c r="X24" s="6">
        <f t="shared" si="11"/>
        <v>6.9342733763315767</v>
      </c>
      <c r="Y24" s="6">
        <f t="shared" si="12"/>
        <v>91.692871091987811</v>
      </c>
      <c r="AA24">
        <f t="shared" si="13"/>
        <v>5.1425800678478822E-10</v>
      </c>
      <c r="AB24">
        <f t="shared" si="14"/>
        <v>1.4417055220439466E-10</v>
      </c>
      <c r="AC24">
        <f t="shared" si="15"/>
        <v>1.988648155341764E-11</v>
      </c>
      <c r="AD24">
        <f t="shared" si="16"/>
        <v>5.055238403267664E-12</v>
      </c>
      <c r="AE24">
        <f t="shared" si="17"/>
        <v>2.0187552276080206E-8</v>
      </c>
      <c r="AF24">
        <f t="shared" si="18"/>
        <v>6.3816777783657747E-9</v>
      </c>
    </row>
    <row r="25" spans="4:32" x14ac:dyDescent="0.3">
      <c r="D25" s="1">
        <f t="shared" si="19"/>
        <v>72.122942450072202</v>
      </c>
      <c r="E25" s="1">
        <f t="shared" si="20"/>
        <v>72.122942428290727</v>
      </c>
      <c r="G25" s="1">
        <f t="shared" si="0"/>
        <v>72.122942450072202</v>
      </c>
      <c r="I25">
        <f t="shared" si="21"/>
        <v>23</v>
      </c>
      <c r="K25" s="1">
        <f t="shared" si="1"/>
        <v>1.2946963916570756E-12</v>
      </c>
      <c r="L25" s="1">
        <f t="shared" si="2"/>
        <v>3.0466101677882074E-13</v>
      </c>
      <c r="N25" s="1">
        <f t="shared" si="3"/>
        <v>11.917361545464216</v>
      </c>
      <c r="O25" s="1">
        <f t="shared" si="4"/>
        <v>324.40454868560454</v>
      </c>
      <c r="Q25" s="1">
        <f t="shared" si="5"/>
        <v>1.2870723122260016E-15</v>
      </c>
      <c r="R25" s="1">
        <f t="shared" si="6"/>
        <v>2.5312456800479774E-16</v>
      </c>
      <c r="S25" s="1">
        <f t="shared" si="7"/>
        <v>2.0502697540876989E-17</v>
      </c>
      <c r="T25" s="1">
        <f t="shared" si="8"/>
        <v>3.653422871645924E-18</v>
      </c>
      <c r="U25" s="1">
        <f t="shared" si="9"/>
        <v>5.7301932145420481E-21</v>
      </c>
      <c r="V25" s="1">
        <f t="shared" si="10"/>
        <v>8.5270213672207382E-22</v>
      </c>
      <c r="W25" s="1"/>
      <c r="X25" s="6">
        <f t="shared" si="11"/>
        <v>6.4869899703673974</v>
      </c>
      <c r="Y25" s="6">
        <f t="shared" si="12"/>
        <v>78.4815421745772</v>
      </c>
      <c r="AA25">
        <f t="shared" si="13"/>
        <v>2.0185981353119779E-9</v>
      </c>
      <c r="AB25">
        <f t="shared" si="14"/>
        <v>5.9101647520690114E-10</v>
      </c>
      <c r="AC25">
        <f t="shared" si="15"/>
        <v>8.7017825445878441E-11</v>
      </c>
      <c r="AD25">
        <f t="shared" si="16"/>
        <v>2.3104928354354792E-11</v>
      </c>
      <c r="AE25">
        <f t="shared" si="17"/>
        <v>6.9356621635202096E-8</v>
      </c>
      <c r="AF25">
        <f t="shared" si="18"/>
        <v>2.2892987641509155E-8</v>
      </c>
    </row>
    <row r="26" spans="4:32" x14ac:dyDescent="0.3">
      <c r="D26" s="1">
        <f t="shared" si="19"/>
        <v>71.122942450075229</v>
      </c>
      <c r="E26" s="1">
        <f t="shared" si="20"/>
        <v>71.122942369809707</v>
      </c>
      <c r="G26" s="1">
        <f t="shared" si="0"/>
        <v>71.122942450075229</v>
      </c>
      <c r="I26">
        <f t="shared" si="21"/>
        <v>24</v>
      </c>
      <c r="K26" s="1">
        <f t="shared" si="1"/>
        <v>5.7809817789495238E-12</v>
      </c>
      <c r="L26" s="1">
        <f t="shared" si="2"/>
        <v>1.4183898089301802E-12</v>
      </c>
      <c r="N26" s="1">
        <f t="shared" si="3"/>
        <v>11.18033988749894</v>
      </c>
      <c r="O26" s="1">
        <f t="shared" si="4"/>
        <v>279.50849718747344</v>
      </c>
      <c r="Q26" s="1">
        <f t="shared" si="5"/>
        <v>6.9545740076096708E-15</v>
      </c>
      <c r="R26" s="1">
        <f t="shared" si="6"/>
        <v>1.4263118142301936E-15</v>
      </c>
      <c r="S26" s="1">
        <f t="shared" si="7"/>
        <v>1.2303612286907442E-16</v>
      </c>
      <c r="T26" s="1">
        <f t="shared" si="8"/>
        <v>2.2864574966133094E-17</v>
      </c>
      <c r="U26" s="1">
        <f t="shared" si="9"/>
        <v>4.165010575606484E-20</v>
      </c>
      <c r="V26" s="1">
        <f t="shared" si="10"/>
        <v>6.464396859377646E-21</v>
      </c>
      <c r="W26" s="1"/>
      <c r="X26" s="6">
        <f t="shared" si="11"/>
        <v>6.0858061945018438</v>
      </c>
      <c r="Y26" s="6">
        <f t="shared" si="12"/>
        <v>67.620068827798264</v>
      </c>
      <c r="AA26">
        <f t="shared" si="13"/>
        <v>7.1455449261630954E-9</v>
      </c>
      <c r="AB26">
        <f t="shared" si="14"/>
        <v>2.1807635518735402E-9</v>
      </c>
      <c r="AC26">
        <f t="shared" si="15"/>
        <v>3.4174373263463366E-10</v>
      </c>
      <c r="AD26">
        <f t="shared" si="16"/>
        <v>9.4597931418874908E-11</v>
      </c>
      <c r="AE26">
        <f t="shared" si="17"/>
        <v>2.1616010518059937E-7</v>
      </c>
      <c r="AF26">
        <f t="shared" si="18"/>
        <v>7.4356332887257477E-8</v>
      </c>
    </row>
    <row r="27" spans="4:32" x14ac:dyDescent="0.3">
      <c r="D27" s="1">
        <f t="shared" si="19"/>
        <v>70.122942450087891</v>
      </c>
      <c r="E27" s="1">
        <f t="shared" si="20"/>
        <v>70.122942181067302</v>
      </c>
      <c r="G27" s="1">
        <f t="shared" si="0"/>
        <v>70.122942450087891</v>
      </c>
      <c r="I27">
        <f t="shared" si="21"/>
        <v>25</v>
      </c>
      <c r="K27" s="1">
        <f t="shared" si="1"/>
        <v>2.3290692496354182E-11</v>
      </c>
      <c r="L27" s="1">
        <f t="shared" si="2"/>
        <v>5.9478847713994216E-12</v>
      </c>
      <c r="N27" s="1">
        <f t="shared" si="3"/>
        <v>10.516273104099183</v>
      </c>
      <c r="O27" s="1">
        <f t="shared" si="4"/>
        <v>242.29493231844506</v>
      </c>
      <c r="Q27" s="1">
        <f t="shared" si="5"/>
        <v>3.3638038027249227E-14</v>
      </c>
      <c r="R27" s="1">
        <f t="shared" si="6"/>
        <v>7.1817550234948687E-15</v>
      </c>
      <c r="S27" s="1">
        <f t="shared" si="7"/>
        <v>6.5804552228764035E-16</v>
      </c>
      <c r="T27" s="1">
        <f t="shared" si="8"/>
        <v>1.2731283889100058E-16</v>
      </c>
      <c r="U27" s="1">
        <f t="shared" si="9"/>
        <v>2.6768355074988086E-19</v>
      </c>
      <c r="V27" s="1">
        <f t="shared" si="10"/>
        <v>4.3257619881716289E-20</v>
      </c>
      <c r="W27" s="1"/>
      <c r="X27" s="6">
        <f t="shared" si="11"/>
        <v>5.7243340223994581</v>
      </c>
      <c r="Y27" s="6">
        <f t="shared" si="12"/>
        <v>58.617180389370453</v>
      </c>
      <c r="AA27">
        <f t="shared" si="13"/>
        <v>2.3047154830644316E-8</v>
      </c>
      <c r="AB27">
        <f t="shared" si="14"/>
        <v>7.3189683153981556E-9</v>
      </c>
      <c r="AC27">
        <f t="shared" si="15"/>
        <v>1.217534242227955E-9</v>
      </c>
      <c r="AD27">
        <f t="shared" si="16"/>
        <v>3.5074023241753198E-10</v>
      </c>
      <c r="AE27">
        <f t="shared" si="17"/>
        <v>6.1719443344965551E-7</v>
      </c>
      <c r="AF27">
        <f t="shared" si="18"/>
        <v>2.2086306708559788E-7</v>
      </c>
    </row>
    <row r="28" spans="4:32" x14ac:dyDescent="0.3">
      <c r="D28" s="1">
        <f t="shared" si="19"/>
        <v>69.122942450136065</v>
      </c>
      <c r="E28" s="1">
        <f t="shared" si="20"/>
        <v>69.122941622563758</v>
      </c>
      <c r="G28" s="1">
        <f t="shared" si="0"/>
        <v>69.122942450136065</v>
      </c>
      <c r="I28">
        <f t="shared" si="21"/>
        <v>26</v>
      </c>
      <c r="K28" s="1">
        <f t="shared" si="1"/>
        <v>8.5492755717427925E-11</v>
      </c>
      <c r="L28" s="1">
        <f t="shared" si="2"/>
        <v>2.2687967155312505E-11</v>
      </c>
      <c r="N28" s="1">
        <f t="shared" si="3"/>
        <v>9.9154367174690652</v>
      </c>
      <c r="O28" s="1">
        <f t="shared" si="4"/>
        <v>211.21640344904515</v>
      </c>
      <c r="Q28" s="1">
        <f t="shared" si="5"/>
        <v>1.4715360703207685E-13</v>
      </c>
      <c r="R28" s="1">
        <f t="shared" si="6"/>
        <v>3.2653459469665967E-14</v>
      </c>
      <c r="S28" s="1">
        <f t="shared" si="7"/>
        <v>3.170414104131021E-15</v>
      </c>
      <c r="T28" s="1">
        <f t="shared" si="8"/>
        <v>6.375602810894102E-16</v>
      </c>
      <c r="U28" s="1">
        <f t="shared" si="9"/>
        <v>1.5384739828515276E-18</v>
      </c>
      <c r="V28" s="1">
        <f t="shared" si="10"/>
        <v>2.5844277577977272E-19</v>
      </c>
      <c r="W28" s="1"/>
      <c r="X28" s="6">
        <f t="shared" si="11"/>
        <v>5.3972801188124846</v>
      </c>
      <c r="Y28" s="6">
        <f t="shared" si="12"/>
        <v>51.098510000591567</v>
      </c>
      <c r="AA28">
        <f t="shared" si="13"/>
        <v>6.8341887228179841E-8</v>
      </c>
      <c r="AB28">
        <f t="shared" si="14"/>
        <v>2.2546196270636571E-8</v>
      </c>
      <c r="AC28">
        <f t="shared" si="15"/>
        <v>3.9718057704486112E-9</v>
      </c>
      <c r="AD28">
        <f t="shared" si="16"/>
        <v>1.1888118835644446E-9</v>
      </c>
      <c r="AE28">
        <f t="shared" si="17"/>
        <v>1.6283154702711064E-6</v>
      </c>
      <c r="AF28">
        <f t="shared" si="18"/>
        <v>6.0518405340403049E-7</v>
      </c>
    </row>
    <row r="29" spans="4:32" x14ac:dyDescent="0.3">
      <c r="D29" s="1">
        <f t="shared" si="19"/>
        <v>68.122942450304024</v>
      </c>
      <c r="E29" s="1">
        <f t="shared" si="20"/>
        <v>68.122940095039255</v>
      </c>
      <c r="G29" s="1">
        <f t="shared" si="0"/>
        <v>68.122942450304024</v>
      </c>
      <c r="I29">
        <f t="shared" si="21"/>
        <v>27</v>
      </c>
      <c r="K29" s="1">
        <f t="shared" si="1"/>
        <v>2.8835740811706899E-10</v>
      </c>
      <c r="L29" s="1">
        <f t="shared" si="2"/>
        <v>7.9402774583307157E-11</v>
      </c>
      <c r="N29" s="1">
        <f t="shared" si="3"/>
        <v>9.3697115856840796</v>
      </c>
      <c r="O29" s="1">
        <f t="shared" si="4"/>
        <v>185.08072268017943</v>
      </c>
      <c r="Q29" s="1">
        <f t="shared" si="5"/>
        <v>5.875139171950686E-13</v>
      </c>
      <c r="R29" s="1">
        <f t="shared" si="6"/>
        <v>1.3529740570671529E-13</v>
      </c>
      <c r="S29" s="1">
        <f t="shared" si="7"/>
        <v>1.3888981866640865E-14</v>
      </c>
      <c r="T29" s="1">
        <f t="shared" si="8"/>
        <v>2.8988131543255323E-15</v>
      </c>
      <c r="U29" s="1">
        <f t="shared" si="9"/>
        <v>7.985786651562147E-18</v>
      </c>
      <c r="V29" s="1">
        <f t="shared" si="10"/>
        <v>1.3924572829093834E-18</v>
      </c>
      <c r="W29" s="1"/>
      <c r="X29" s="6">
        <f t="shared" si="11"/>
        <v>5.1002249826599702</v>
      </c>
      <c r="Y29" s="6">
        <f t="shared" si="12"/>
        <v>44.77563770785158</v>
      </c>
      <c r="AA29">
        <f t="shared" si="13"/>
        <v>1.8777712708537683E-7</v>
      </c>
      <c r="AB29">
        <f t="shared" si="14"/>
        <v>6.425828687068855E-8</v>
      </c>
      <c r="AC29">
        <f t="shared" si="15"/>
        <v>1.1960499975056302E-8</v>
      </c>
      <c r="AD29">
        <f t="shared" si="16"/>
        <v>3.7140238717537412E-9</v>
      </c>
      <c r="AE29">
        <f t="shared" si="17"/>
        <v>3.9991187720106534E-6</v>
      </c>
      <c r="AF29">
        <f t="shared" si="18"/>
        <v>1.5413520127629522E-6</v>
      </c>
    </row>
    <row r="30" spans="4:32" x14ac:dyDescent="0.3">
      <c r="D30" s="1">
        <f t="shared" si="19"/>
        <v>67.122942450844789</v>
      </c>
      <c r="E30" s="1">
        <f t="shared" si="20"/>
        <v>67.12293620609374</v>
      </c>
      <c r="G30" s="1">
        <f t="shared" si="0"/>
        <v>67.122942450844789</v>
      </c>
      <c r="I30">
        <f t="shared" si="21"/>
        <v>28</v>
      </c>
      <c r="K30" s="1">
        <f t="shared" si="1"/>
        <v>9.0038688615161265E-10</v>
      </c>
      <c r="L30" s="1">
        <f t="shared" si="2"/>
        <v>2.5690387946753312E-10</v>
      </c>
      <c r="N30" s="1">
        <f t="shared" si="3"/>
        <v>8.8722714772588329</v>
      </c>
      <c r="O30" s="1">
        <f t="shared" si="4"/>
        <v>162.96008835781535</v>
      </c>
      <c r="Q30" s="1">
        <f t="shared" si="5"/>
        <v>2.157872465354697E-12</v>
      </c>
      <c r="R30" s="1">
        <f t="shared" si="6"/>
        <v>5.1500487723388355E-13</v>
      </c>
      <c r="S30" s="1">
        <f t="shared" si="7"/>
        <v>5.5781350385099799E-14</v>
      </c>
      <c r="T30" s="1">
        <f t="shared" si="8"/>
        <v>1.2066617372888797E-14</v>
      </c>
      <c r="U30" s="1">
        <f t="shared" si="9"/>
        <v>3.7764752581414141E-17</v>
      </c>
      <c r="V30" s="1">
        <f t="shared" si="10"/>
        <v>6.8256502406505837E-18</v>
      </c>
      <c r="W30" s="1"/>
      <c r="X30" s="6">
        <f t="shared" si="11"/>
        <v>4.8294528841629489</v>
      </c>
      <c r="Y30" s="6">
        <f t="shared" si="12"/>
        <v>39.424105176840392</v>
      </c>
      <c r="AA30">
        <f t="shared" si="13"/>
        <v>4.8135716654207685E-7</v>
      </c>
      <c r="AB30">
        <f t="shared" si="14"/>
        <v>1.7062654131739445E-7</v>
      </c>
      <c r="AC30">
        <f t="shared" si="15"/>
        <v>3.3486035356912335E-8</v>
      </c>
      <c r="AD30">
        <f t="shared" si="16"/>
        <v>1.0772714246049581E-8</v>
      </c>
      <c r="AE30">
        <f t="shared" si="17"/>
        <v>9.2032373333405496E-6</v>
      </c>
      <c r="AF30">
        <f t="shared" si="18"/>
        <v>3.6732747151432806E-6</v>
      </c>
    </row>
    <row r="31" spans="4:32" x14ac:dyDescent="0.3">
      <c r="D31" s="1">
        <f t="shared" si="19"/>
        <v>66.122942452463633</v>
      </c>
      <c r="E31" s="1">
        <f t="shared" si="20"/>
        <v>66.122926932059627</v>
      </c>
      <c r="G31" s="1">
        <f t="shared" si="0"/>
        <v>66.122942452463619</v>
      </c>
      <c r="I31">
        <f t="shared" si="21"/>
        <v>29</v>
      </c>
      <c r="K31" s="1">
        <f t="shared" si="1"/>
        <v>2.6199012220929581E-9</v>
      </c>
      <c r="L31" s="1">
        <f t="shared" si="2"/>
        <v>7.7357698776521902E-10</v>
      </c>
      <c r="N31" s="1">
        <f t="shared" si="3"/>
        <v>8.4173400449479896</v>
      </c>
      <c r="O31" s="1">
        <f t="shared" si="4"/>
        <v>144.12567972324734</v>
      </c>
      <c r="Q31" s="1">
        <f t="shared" si="5"/>
        <v>7.3425142438143188E-12</v>
      </c>
      <c r="R31" s="1">
        <f t="shared" si="6"/>
        <v>1.8137921204841073E-12</v>
      </c>
      <c r="S31" s="1">
        <f t="shared" si="7"/>
        <v>2.0688405868350245E-13</v>
      </c>
      <c r="T31" s="1">
        <f t="shared" si="8"/>
        <v>4.6324857419437187E-14</v>
      </c>
      <c r="U31" s="1">
        <f t="shared" si="9"/>
        <v>1.639616400516915E-16</v>
      </c>
      <c r="V31" s="1">
        <f t="shared" si="10"/>
        <v>3.0678763033080196E-17</v>
      </c>
      <c r="W31" s="1"/>
      <c r="X31" s="6">
        <f t="shared" si="11"/>
        <v>4.5818195781373756</v>
      </c>
      <c r="Y31" s="6">
        <f t="shared" si="12"/>
        <v>34.867592509012155</v>
      </c>
      <c r="AA31">
        <f t="shared" si="13"/>
        <v>1.1582218484878434E-6</v>
      </c>
      <c r="AB31">
        <f t="shared" si="14"/>
        <v>4.2471480574641375E-7</v>
      </c>
      <c r="AC31">
        <f t="shared" si="15"/>
        <v>8.7713207750768535E-8</v>
      </c>
      <c r="AD31">
        <f t="shared" si="16"/>
        <v>2.9196426829122256E-8</v>
      </c>
      <c r="AE31">
        <f t="shared" si="17"/>
        <v>1.9960511117919658E-5</v>
      </c>
      <c r="AF31">
        <f t="shared" si="18"/>
        <v>8.2392424327169528E-6</v>
      </c>
    </row>
    <row r="32" spans="4:32" x14ac:dyDescent="0.3">
      <c r="D32" s="1">
        <f t="shared" si="19"/>
        <v>65.122942456997094</v>
      </c>
      <c r="E32" s="1">
        <f t="shared" si="20"/>
        <v>65.12290610156532</v>
      </c>
      <c r="G32" s="1">
        <f t="shared" si="0"/>
        <v>65.122942456997109</v>
      </c>
      <c r="I32">
        <f t="shared" si="21"/>
        <v>30</v>
      </c>
      <c r="K32" s="1">
        <f t="shared" si="1"/>
        <v>7.1455449261630954E-9</v>
      </c>
      <c r="L32" s="1">
        <f t="shared" si="2"/>
        <v>2.1807635518735402E-9</v>
      </c>
      <c r="N32" s="1">
        <f t="shared" si="3"/>
        <v>7.9999999999999947</v>
      </c>
      <c r="O32" s="1">
        <f t="shared" si="4"/>
        <v>127.99999999999986</v>
      </c>
      <c r="Q32" s="1">
        <f t="shared" si="5"/>
        <v>2.3290692496354182E-11</v>
      </c>
      <c r="R32" s="1">
        <f t="shared" si="6"/>
        <v>5.9478847713994216E-12</v>
      </c>
      <c r="S32" s="1">
        <f t="shared" si="7"/>
        <v>7.1315695442829648E-13</v>
      </c>
      <c r="T32" s="1">
        <f t="shared" si="8"/>
        <v>1.6509883389398103E-13</v>
      </c>
      <c r="U32" s="1">
        <f t="shared" si="9"/>
        <v>6.5804552228764035E-16</v>
      </c>
      <c r="V32" s="1">
        <f t="shared" si="10"/>
        <v>1.2731283889100058E-16</v>
      </c>
      <c r="W32" s="1"/>
      <c r="X32" s="6">
        <f t="shared" si="11"/>
        <v>4.3546484316145362</v>
      </c>
      <c r="Y32" s="6">
        <f t="shared" si="12"/>
        <v>30.966388847036701</v>
      </c>
      <c r="AA32">
        <f t="shared" si="13"/>
        <v>2.6299375466787597E-6</v>
      </c>
      <c r="AB32">
        <f t="shared" si="14"/>
        <v>9.9643364359629094E-7</v>
      </c>
      <c r="AC32">
        <f t="shared" si="15"/>
        <v>2.1616010518059937E-7</v>
      </c>
      <c r="AD32">
        <f t="shared" si="16"/>
        <v>7.4356332887257477E-8</v>
      </c>
      <c r="AE32">
        <f t="shared" si="17"/>
        <v>4.100851185988515E-5</v>
      </c>
      <c r="AF32">
        <f t="shared" si="18"/>
        <v>1.7484640021787857E-5</v>
      </c>
    </row>
    <row r="33" spans="4:32" x14ac:dyDescent="0.3">
      <c r="D33" s="1">
        <f t="shared" si="19"/>
        <v>64.122942468937609</v>
      </c>
      <c r="E33" s="1">
        <f t="shared" si="20"/>
        <v>64.122861816375959</v>
      </c>
      <c r="G33" s="1">
        <f t="shared" si="0"/>
        <v>64.122942468937651</v>
      </c>
      <c r="I33">
        <f t="shared" si="21"/>
        <v>31</v>
      </c>
      <c r="K33" s="1">
        <f t="shared" si="1"/>
        <v>1.8362795076026353E-8</v>
      </c>
      <c r="L33" s="1">
        <f t="shared" si="2"/>
        <v>5.7859901231040617E-9</v>
      </c>
      <c r="N33" s="1">
        <f t="shared" si="3"/>
        <v>7.6160419639426733</v>
      </c>
      <c r="O33" s="1">
        <f t="shared" si="4"/>
        <v>114.12175263348023</v>
      </c>
      <c r="Q33" s="1">
        <f t="shared" si="5"/>
        <v>6.9254859918192026E-11</v>
      </c>
      <c r="R33" s="1">
        <f t="shared" si="6"/>
        <v>1.8263408164069966E-11</v>
      </c>
      <c r="S33" s="1">
        <f t="shared" si="7"/>
        <v>2.2980489278536355E-12</v>
      </c>
      <c r="T33" s="1">
        <f t="shared" si="8"/>
        <v>5.4942066781294551E-13</v>
      </c>
      <c r="U33" s="1">
        <f t="shared" si="9"/>
        <v>2.4562781083725008E-15</v>
      </c>
      <c r="V33" s="1">
        <f t="shared" si="10"/>
        <v>4.9082957591077651E-16</v>
      </c>
      <c r="W33" s="1"/>
      <c r="X33" s="6">
        <f t="shared" si="11"/>
        <v>4.1456481491741863</v>
      </c>
      <c r="Y33" s="6">
        <f t="shared" si="12"/>
        <v>27.608895062138185</v>
      </c>
      <c r="AA33">
        <f t="shared" si="13"/>
        <v>5.662396892342781E-6</v>
      </c>
      <c r="AB33">
        <f t="shared" si="14"/>
        <v>2.2141377062302222E-6</v>
      </c>
      <c r="AC33">
        <f t="shared" si="15"/>
        <v>5.036751654050167E-7</v>
      </c>
      <c r="AD33">
        <f t="shared" si="16"/>
        <v>1.7884571199345191E-7</v>
      </c>
      <c r="AE33">
        <f t="shared" si="17"/>
        <v>8.0171080096613006E-5</v>
      </c>
      <c r="AF33">
        <f t="shared" si="18"/>
        <v>3.5266684023925525E-5</v>
      </c>
    </row>
    <row r="34" spans="4:32" x14ac:dyDescent="0.3">
      <c r="D34" s="1">
        <f t="shared" si="19"/>
        <v>63.122942498658595</v>
      </c>
      <c r="E34" s="1">
        <f t="shared" si="20"/>
        <v>63.122772310998656</v>
      </c>
      <c r="G34" s="1">
        <f t="shared" ref="G34:G65" si="22">+I34*K34-$B$4*EXP(-$B$2*$B$5)*L34+$B$4*EXP(-$B$2*$B$5)-I34</f>
        <v>63.12294249865873</v>
      </c>
      <c r="I34">
        <f t="shared" si="21"/>
        <v>32</v>
      </c>
      <c r="K34" s="1">
        <f t="shared" ref="K34:K65" si="23">_xlfn.NORM.S.DIST((LN(I34/$B$4)+($B$2-$B$3+0.5*$B$1^2)*$B$5)/($B$1*SQRT($B$5)),TRUE)</f>
        <v>4.4669699034676287E-8</v>
      </c>
      <c r="L34" s="1">
        <f t="shared" ref="L34:L65" si="24">_xlfn.NORM.S.DIST((LN(I34/$B$4)+($B$2-$B$3-0.5*$B$1^2)*$B$5)/($B$1*SQRT($B$5)),TRUE)</f>
        <v>1.4516403797946865E-8</v>
      </c>
      <c r="N34" s="1">
        <f t="shared" ref="N34:N65" si="25">($B$6/I34)^(-1+(2*($B$2-$B$3))/($B$1^2))</f>
        <v>7.261843774138903</v>
      </c>
      <c r="O34" s="1">
        <f t="shared" ref="O34:O65" si="26">($B$6/I34)^(1+(2*($B$2-$B$3))/($B$1^2))</f>
        <v>102.11967807382828</v>
      </c>
      <c r="Q34" s="1">
        <f t="shared" ref="Q34:Q65" si="27">_xlfn.NORM.S.DIST((LN(I34/$B$6)+($B$2-$B$3+0.5*$B$1^2)*$B$5)/($B$1*SQRT($B$5)),TRUE)</f>
        <v>1.9400137708079806E-10</v>
      </c>
      <c r="R34" s="1">
        <f t="shared" ref="R34:R65" si="28">_xlfn.NORM.S.DIST((LN(I34/$B$6)+($B$2-$B$3-0.5*$B$1^2)*$B$5)/($B$1*SQRT($B$5)),TRUE)</f>
        <v>5.2775491077561992E-11</v>
      </c>
      <c r="S34" s="1">
        <f t="shared" ref="S34:S65" si="29">_xlfn.NORM.S.DIST((LN(I34/$B$6)-($B$2-$B$3-0.5*$B$1^2)*$B$5)/($B$1*SQRT($B$5)),TRUE)</f>
        <v>6.9579637793280797E-12</v>
      </c>
      <c r="T34" s="1">
        <f t="shared" ref="T34:T65" si="30">_xlfn.NORM.S.DIST((LN(I34/$B$6)-($B$2-$B$3+0.5*$B$1^2)*$B$5)/($B$1*SQRT($B$5)),TRUE)</f>
        <v>1.7161698058496133E-12</v>
      </c>
      <c r="U34" s="1">
        <f t="shared" ref="U34:U65" si="31">_xlfn.NORM.S.DIST((LN((I34*$B$4)/($B$6^2))-($B$2-$B$3-0.5*$B$1^2)*$B$5)/($B$1*SQRT($B$5)),TRUE)</f>
        <v>8.5739100064308443E-15</v>
      </c>
      <c r="V34" s="1">
        <f t="shared" ref="V34:V65" si="32">_xlfn.NORM.S.DIST((LN((I34*$B$4)/($B$6^2))-($B$2-$B$3+0.5*$B$1^2)*$B$5)/($B$1*SQRT($B$5)),TRUE)</f>
        <v>1.7677296109400466E-15</v>
      </c>
      <c r="W34" s="1"/>
      <c r="X34" s="6">
        <f t="shared" ref="X34:X65" si="33">($B$7/I34)^(-1+(2*($B$2-$B$3))/($B$1^2))</f>
        <v>3.9528470752104727</v>
      </c>
      <c r="Y34" s="6">
        <f t="shared" ref="Y34:Y65" si="34">($B$7/I34)^(1+(2*($B$2-$B$3))/($B$1^2))</f>
        <v>24.705294220065458</v>
      </c>
      <c r="AA34">
        <f t="shared" ref="AA34:AA65" si="35">_xlfn.NORM.S.DIST((LN(I34/$B$7)+($B$2-$B$3+0.5*$B$1^2)*$B$5)/($B$1*SQRT($B$5)),TRUE)</f>
        <v>1.160929174145217E-5</v>
      </c>
      <c r="AB34">
        <f t="shared" ref="AB34:AB65" si="36">_xlfn.NORM.S.DIST((LN(I34/$B$7)+($B$2-$B$3-0.5*$B$1^2)*$B$5)/($B$1*SQRT($B$5)),TRUE)</f>
        <v>4.6799965149279635E-6</v>
      </c>
      <c r="AC34">
        <f t="shared" ref="AC34:AC65" si="37">_xlfn.NORM.S.DIST((LN(I34/$B$7)-($B$2-$B$3-0.5*$B$1^2)*$B$5)/($B$1*SQRT($B$5)),TRUE)</f>
        <v>1.1145885521503829E-6</v>
      </c>
      <c r="AD34">
        <f t="shared" ref="AD34:AD65" si="38">_xlfn.NORM.S.DIST((LN(I34/$B$7)-($B$2-$B$3+0.5*$B$1^2)*$B$5)/($B$1*SQRT($B$5)),TRUE)</f>
        <v>4.0809966018448673E-7</v>
      </c>
      <c r="AE34">
        <f t="shared" ref="AE34:AE65" si="39">_xlfn.NORM.S.DIST((LN((I34*$B$4)/($B$7^2))-($B$2-$B$3-0.5*$B$1^2)*$B$5)/($B$1*SQRT($B$5)),TRUE)</f>
        <v>1.4974779677862354E-4</v>
      </c>
      <c r="AF34">
        <f t="shared" ref="AF34:AF65" si="40">_xlfn.NORM.S.DIST((LN((I34*$B$4)/($B$7^2))-($B$2-$B$3+0.5*$B$1^2)*$B$5)/($B$1*SQRT($B$5)),TRUE)</f>
        <v>6.7888833299424009E-5</v>
      </c>
    </row>
    <row r="35" spans="4:32" x14ac:dyDescent="0.3">
      <c r="D35" s="1">
        <f t="shared" si="19"/>
        <v>62.122942568872503</v>
      </c>
      <c r="E35" s="1">
        <f t="shared" si="20"/>
        <v>62.12259965749594</v>
      </c>
      <c r="G35" s="1">
        <f t="shared" si="22"/>
        <v>62.122942568872986</v>
      </c>
      <c r="I35">
        <f t="shared" si="21"/>
        <v>33</v>
      </c>
      <c r="K35" s="1">
        <f t="shared" si="23"/>
        <v>1.0329214899528226E-7</v>
      </c>
      <c r="L35" s="1">
        <f t="shared" si="24"/>
        <v>3.4585130108246394E-8</v>
      </c>
      <c r="N35" s="1">
        <f t="shared" si="25"/>
        <v>6.9342733763315767</v>
      </c>
      <c r="O35" s="1">
        <f t="shared" si="26"/>
        <v>91.692871091987811</v>
      </c>
      <c r="Q35" s="1">
        <f t="shared" si="27"/>
        <v>5.1425800678478822E-10</v>
      </c>
      <c r="R35" s="1">
        <f t="shared" si="28"/>
        <v>1.4417055220439466E-10</v>
      </c>
      <c r="S35" s="1">
        <f t="shared" si="29"/>
        <v>1.988648155341764E-11</v>
      </c>
      <c r="T35" s="1">
        <f t="shared" si="30"/>
        <v>5.055238403267664E-12</v>
      </c>
      <c r="U35" s="1">
        <f t="shared" si="31"/>
        <v>2.8124870822505054E-14</v>
      </c>
      <c r="V35" s="1">
        <f t="shared" si="32"/>
        <v>5.9770339147586962E-15</v>
      </c>
      <c r="W35" s="1"/>
      <c r="X35" s="6">
        <f t="shared" si="33"/>
        <v>3.7745403353285947</v>
      </c>
      <c r="Y35" s="6">
        <f t="shared" si="34"/>
        <v>22.182789849497713</v>
      </c>
      <c r="AA35">
        <f t="shared" si="35"/>
        <v>2.2751933965039418E-5</v>
      </c>
      <c r="AB35">
        <f t="shared" si="36"/>
        <v>9.4461514899935578E-6</v>
      </c>
      <c r="AC35">
        <f t="shared" si="37"/>
        <v>2.3517569056786618E-6</v>
      </c>
      <c r="AD35">
        <f t="shared" si="38"/>
        <v>8.8701959708586074E-7</v>
      </c>
      <c r="AE35">
        <f t="shared" si="39"/>
        <v>2.6821051694881026E-4</v>
      </c>
      <c r="AF35">
        <f t="shared" si="40"/>
        <v>1.2518673764345796E-4</v>
      </c>
    </row>
    <row r="36" spans="4:32" x14ac:dyDescent="0.3">
      <c r="D36" s="1">
        <f t="shared" si="19"/>
        <v>61.122942726919504</v>
      </c>
      <c r="E36" s="1">
        <f t="shared" si="20"/>
        <v>61.122280674613386</v>
      </c>
      <c r="G36" s="1">
        <f t="shared" si="22"/>
        <v>61.122942726920911</v>
      </c>
      <c r="I36">
        <f t="shared" si="21"/>
        <v>34</v>
      </c>
      <c r="K36" s="1">
        <f t="shared" si="23"/>
        <v>2.2789207560764433E-7</v>
      </c>
      <c r="L36" s="1">
        <f t="shared" si="24"/>
        <v>7.8545520900527564E-8</v>
      </c>
      <c r="N36" s="1">
        <f t="shared" si="25"/>
        <v>6.6306101409015774</v>
      </c>
      <c r="O36" s="1">
        <f t="shared" si="26"/>
        <v>82.595835665209933</v>
      </c>
      <c r="Q36" s="1">
        <f t="shared" si="27"/>
        <v>1.2951526634429361E-9</v>
      </c>
      <c r="R36" s="1">
        <f t="shared" si="28"/>
        <v>3.7383657028738436E-10</v>
      </c>
      <c r="S36" s="1">
        <f t="shared" si="29"/>
        <v>5.3875527168544469E-11</v>
      </c>
      <c r="T36" s="1">
        <f t="shared" si="30"/>
        <v>1.4101952428576204E-11</v>
      </c>
      <c r="U36" s="1">
        <f t="shared" si="31"/>
        <v>8.7082769398253544E-14</v>
      </c>
      <c r="V36" s="1">
        <f t="shared" si="32"/>
        <v>1.9058357257216162E-14</v>
      </c>
      <c r="W36" s="1"/>
      <c r="X36" s="6">
        <f t="shared" si="33"/>
        <v>3.6092470063405662</v>
      </c>
      <c r="Y36" s="6">
        <f t="shared" si="34"/>
        <v>19.981990346522164</v>
      </c>
      <c r="AA36">
        <f t="shared" si="35"/>
        <v>4.2768794194211969E-5</v>
      </c>
      <c r="AB36">
        <f t="shared" si="36"/>
        <v>1.8270328551257164E-5</v>
      </c>
      <c r="AC36">
        <f t="shared" si="37"/>
        <v>4.7482642032338097E-6</v>
      </c>
      <c r="AD36">
        <f t="shared" si="38"/>
        <v>1.8431265280689045E-6</v>
      </c>
      <c r="AE36">
        <f t="shared" si="39"/>
        <v>4.6214423623724569E-4</v>
      </c>
      <c r="AF36">
        <f t="shared" si="40"/>
        <v>2.218618087274106E-4</v>
      </c>
    </row>
    <row r="37" spans="4:32" x14ac:dyDescent="0.3">
      <c r="D37" s="1">
        <f t="shared" si="19"/>
        <v>60.122943067069542</v>
      </c>
      <c r="E37" s="1">
        <f t="shared" si="20"/>
        <v>60.121714431238878</v>
      </c>
      <c r="G37" s="1">
        <f t="shared" si="22"/>
        <v>60.122943067073564</v>
      </c>
      <c r="I37">
        <f t="shared" si="21"/>
        <v>35</v>
      </c>
      <c r="K37" s="1">
        <f t="shared" si="23"/>
        <v>4.8135716654207685E-7</v>
      </c>
      <c r="L37" s="1">
        <f t="shared" si="24"/>
        <v>1.7062654131739445E-7</v>
      </c>
      <c r="N37" s="1">
        <f t="shared" si="25"/>
        <v>6.3484806841546355</v>
      </c>
      <c r="O37" s="1">
        <f t="shared" si="26"/>
        <v>74.627038246389162</v>
      </c>
      <c r="Q37" s="1">
        <f t="shared" si="27"/>
        <v>3.1102660015233567E-9</v>
      </c>
      <c r="R37" s="1">
        <f t="shared" si="28"/>
        <v>9.2351494319994472E-10</v>
      </c>
      <c r="S37" s="1">
        <f t="shared" si="29"/>
        <v>1.3887157413089771E-10</v>
      </c>
      <c r="T37" s="1">
        <f t="shared" si="30"/>
        <v>3.7396117800396106E-11</v>
      </c>
      <c r="U37" s="1">
        <f t="shared" si="31"/>
        <v>2.5552851896635299E-13</v>
      </c>
      <c r="V37" s="1">
        <f t="shared" si="32"/>
        <v>5.7540479926579355E-14</v>
      </c>
      <c r="W37" s="1"/>
      <c r="X37" s="6">
        <f t="shared" si="33"/>
        <v>3.4556751817986475</v>
      </c>
      <c r="Y37" s="6">
        <f t="shared" si="34"/>
        <v>18.05413972531538</v>
      </c>
      <c r="AA37">
        <f t="shared" si="35"/>
        <v>7.7352465855156453E-5</v>
      </c>
      <c r="AB37">
        <f t="shared" si="36"/>
        <v>3.396915296842879E-5</v>
      </c>
      <c r="AC37">
        <f t="shared" si="37"/>
        <v>9.2032373333405496E-6</v>
      </c>
      <c r="AD37">
        <f t="shared" si="38"/>
        <v>3.6732747151432806E-6</v>
      </c>
      <c r="AE37">
        <f t="shared" si="39"/>
        <v>7.6831569162560444E-4</v>
      </c>
      <c r="AF37">
        <f t="shared" si="40"/>
        <v>3.7902434717411161E-4</v>
      </c>
    </row>
    <row r="38" spans="4:32" x14ac:dyDescent="0.3">
      <c r="D38" s="1">
        <f t="shared" si="19"/>
        <v>59.122943769252423</v>
      </c>
      <c r="E38" s="1">
        <f t="shared" si="20"/>
        <v>59.1207458695621</v>
      </c>
      <c r="G38" s="1">
        <f t="shared" si="22"/>
        <v>59.122943769263358</v>
      </c>
      <c r="I38">
        <f t="shared" si="21"/>
        <v>36</v>
      </c>
      <c r="K38" s="1">
        <f t="shared" si="23"/>
        <v>9.7636259450815934E-7</v>
      </c>
      <c r="L38" s="1">
        <f t="shared" si="24"/>
        <v>3.5564355541459722E-7</v>
      </c>
      <c r="N38" s="1">
        <f t="shared" si="25"/>
        <v>6.0858061945018438</v>
      </c>
      <c r="O38" s="1">
        <f t="shared" si="26"/>
        <v>67.620068827798264</v>
      </c>
      <c r="Q38" s="1">
        <f t="shared" si="27"/>
        <v>7.1455449261630954E-9</v>
      </c>
      <c r="R38" s="1">
        <f t="shared" si="28"/>
        <v>2.1807635518735402E-9</v>
      </c>
      <c r="S38" s="1">
        <f t="shared" si="29"/>
        <v>3.4174373263463366E-10</v>
      </c>
      <c r="T38" s="1">
        <f t="shared" si="30"/>
        <v>9.4597931418874908E-11</v>
      </c>
      <c r="U38" s="1">
        <f t="shared" si="31"/>
        <v>7.1315695442829648E-13</v>
      </c>
      <c r="V38" s="1">
        <f t="shared" si="32"/>
        <v>1.6509883389398103E-13</v>
      </c>
      <c r="W38" s="1"/>
      <c r="X38" s="6">
        <f t="shared" si="33"/>
        <v>3.3126932999996876</v>
      </c>
      <c r="Y38" s="6">
        <f t="shared" si="34"/>
        <v>16.358979259257715</v>
      </c>
      <c r="AA38">
        <f t="shared" si="35"/>
        <v>1.3498130254662092E-4</v>
      </c>
      <c r="AB38">
        <f t="shared" si="36"/>
        <v>6.0884157390947899E-5</v>
      </c>
      <c r="AC38">
        <f t="shared" si="37"/>
        <v>1.7174135655352391E-5</v>
      </c>
      <c r="AD38">
        <f t="shared" si="38"/>
        <v>7.042290294211278E-6</v>
      </c>
      <c r="AE38">
        <f t="shared" si="39"/>
        <v>1.2357024266122976E-3</v>
      </c>
      <c r="AF38">
        <f t="shared" si="40"/>
        <v>6.258693021164957E-4</v>
      </c>
    </row>
    <row r="39" spans="4:32" x14ac:dyDescent="0.3">
      <c r="D39" s="1">
        <f t="shared" si="19"/>
        <v>58.122945163603262</v>
      </c>
      <c r="E39" s="1">
        <f t="shared" si="20"/>
        <v>58.119145328195749</v>
      </c>
      <c r="G39" s="1">
        <f t="shared" si="22"/>
        <v>58.122945163631726</v>
      </c>
      <c r="I39">
        <f t="shared" si="21"/>
        <v>37</v>
      </c>
      <c r="K39" s="1">
        <f t="shared" si="23"/>
        <v>1.9070694374513789E-6</v>
      </c>
      <c r="L39" s="1">
        <f t="shared" si="24"/>
        <v>7.1326650666688753E-7</v>
      </c>
      <c r="N39" s="1">
        <f t="shared" si="25"/>
        <v>5.8407589477718656</v>
      </c>
      <c r="O39" s="1">
        <f t="shared" si="26"/>
        <v>61.436763219806352</v>
      </c>
      <c r="Q39" s="1">
        <f t="shared" si="27"/>
        <v>1.5751724532463085E-8</v>
      </c>
      <c r="R39" s="1">
        <f t="shared" si="28"/>
        <v>4.9372906067697088E-9</v>
      </c>
      <c r="S39" s="1">
        <f t="shared" si="29"/>
        <v>8.0536919495569384E-10</v>
      </c>
      <c r="T39" s="1">
        <f t="shared" si="30"/>
        <v>2.2898434633764195E-10</v>
      </c>
      <c r="U39" s="1">
        <f t="shared" si="31"/>
        <v>1.8993256585883445E-12</v>
      </c>
      <c r="V39" s="1">
        <f t="shared" si="32"/>
        <v>4.516961246182493E-13</v>
      </c>
      <c r="W39" s="1"/>
      <c r="X39" s="6">
        <f t="shared" si="33"/>
        <v>3.1793064739191679</v>
      </c>
      <c r="Y39" s="6">
        <f t="shared" si="34"/>
        <v>14.863083588811302</v>
      </c>
      <c r="AA39">
        <f t="shared" si="35"/>
        <v>2.2783792189418176E-4</v>
      </c>
      <c r="AB39">
        <f t="shared" si="36"/>
        <v>1.0546891509979135E-4</v>
      </c>
      <c r="AC39">
        <f t="shared" si="37"/>
        <v>3.0937508146205369E-5</v>
      </c>
      <c r="AD39">
        <f t="shared" si="38"/>
        <v>1.3022767892906798E-5</v>
      </c>
      <c r="AE39">
        <f t="shared" si="39"/>
        <v>1.9272764615117031E-3</v>
      </c>
      <c r="AF39">
        <f t="shared" si="40"/>
        <v>1.0013694222865376E-3</v>
      </c>
    </row>
    <row r="40" spans="4:32" x14ac:dyDescent="0.3">
      <c r="D40" s="1">
        <f t="shared" si="19"/>
        <v>57.122947833965192</v>
      </c>
      <c r="E40" s="1">
        <f t="shared" si="20"/>
        <v>57.116584118280684</v>
      </c>
      <c r="G40" s="1">
        <f t="shared" si="22"/>
        <v>57.12294783403614</v>
      </c>
      <c r="I40">
        <f t="shared" si="21"/>
        <v>38</v>
      </c>
      <c r="K40" s="1">
        <f t="shared" si="23"/>
        <v>3.596094022369637E-6</v>
      </c>
      <c r="L40" s="1">
        <f t="shared" si="24"/>
        <v>1.3799784229611821E-6</v>
      </c>
      <c r="N40" s="1">
        <f t="shared" si="25"/>
        <v>5.6117262103492926</v>
      </c>
      <c r="O40" s="1">
        <f t="shared" si="26"/>
        <v>55.961812623981864</v>
      </c>
      <c r="Q40" s="1">
        <f t="shared" si="27"/>
        <v>3.340824355569192E-8</v>
      </c>
      <c r="R40" s="1">
        <f t="shared" si="28"/>
        <v>1.0746816078763563E-8</v>
      </c>
      <c r="S40" s="1">
        <f t="shared" si="29"/>
        <v>1.8227154856396506E-9</v>
      </c>
      <c r="T40" s="1">
        <f t="shared" si="30"/>
        <v>5.3191090614528788E-10</v>
      </c>
      <c r="U40" s="1">
        <f t="shared" si="31"/>
        <v>4.8415618921404001E-12</v>
      </c>
      <c r="V40" s="1">
        <f t="shared" si="32"/>
        <v>1.1819565813414624E-12</v>
      </c>
      <c r="W40" s="1"/>
      <c r="X40" s="6">
        <f t="shared" si="33"/>
        <v>3.0546368425684687</v>
      </c>
      <c r="Y40" s="6">
        <f t="shared" si="34"/>
        <v>13.538556642962741</v>
      </c>
      <c r="AA40">
        <f t="shared" si="35"/>
        <v>3.7284816618583512E-4</v>
      </c>
      <c r="AB40">
        <f t="shared" si="36"/>
        <v>1.7699584221381417E-4</v>
      </c>
      <c r="AC40">
        <f t="shared" si="37"/>
        <v>5.392816958867757E-5</v>
      </c>
      <c r="AD40">
        <f t="shared" si="38"/>
        <v>2.3285344166242748E-5</v>
      </c>
      <c r="AE40">
        <f t="shared" si="39"/>
        <v>2.9213180325820412E-3</v>
      </c>
      <c r="AF40">
        <f t="shared" si="40"/>
        <v>1.5558387587201953E-3</v>
      </c>
    </row>
    <row r="41" spans="4:32" x14ac:dyDescent="0.3">
      <c r="D41" s="1">
        <f t="shared" si="19"/>
        <v>56.122952777966269</v>
      </c>
      <c r="E41" s="1">
        <f t="shared" si="20"/>
        <v>56.112606774674028</v>
      </c>
      <c r="G41" s="1">
        <f t="shared" si="22"/>
        <v>56.122952778136153</v>
      </c>
      <c r="I41">
        <f t="shared" si="21"/>
        <v>39</v>
      </c>
      <c r="K41" s="1">
        <f t="shared" si="23"/>
        <v>6.5615392433820567E-6</v>
      </c>
      <c r="L41" s="1">
        <f t="shared" si="24"/>
        <v>2.5816270966461883E-6</v>
      </c>
      <c r="N41" s="1">
        <f t="shared" si="25"/>
        <v>5.3972801188124846</v>
      </c>
      <c r="O41" s="1">
        <f t="shared" si="26"/>
        <v>51.098510000591567</v>
      </c>
      <c r="Q41" s="1">
        <f t="shared" si="27"/>
        <v>6.8341887228179841E-8</v>
      </c>
      <c r="R41" s="1">
        <f t="shared" si="28"/>
        <v>2.2546196270636571E-8</v>
      </c>
      <c r="S41" s="1">
        <f t="shared" si="29"/>
        <v>3.9718057704486112E-9</v>
      </c>
      <c r="T41" s="1">
        <f t="shared" si="30"/>
        <v>1.1888118835644446E-9</v>
      </c>
      <c r="U41" s="1">
        <f t="shared" si="31"/>
        <v>1.1844964952810377E-11</v>
      </c>
      <c r="V41" s="1">
        <f t="shared" si="32"/>
        <v>2.9663089944065865E-12</v>
      </c>
      <c r="W41" s="1"/>
      <c r="X41" s="6">
        <f t="shared" si="33"/>
        <v>2.9379071755463899</v>
      </c>
      <c r="Y41" s="6">
        <f t="shared" si="34"/>
        <v>12.362002579550884</v>
      </c>
      <c r="AA41">
        <f t="shared" si="35"/>
        <v>5.9279379842721116E-4</v>
      </c>
      <c r="AB41">
        <f t="shared" si="36"/>
        <v>2.8836850645607678E-4</v>
      </c>
      <c r="AC41">
        <f t="shared" si="37"/>
        <v>9.1162770522832407E-5</v>
      </c>
      <c r="AD41">
        <f t="shared" si="38"/>
        <v>4.0347773008873232E-5</v>
      </c>
      <c r="AE41">
        <f t="shared" si="39"/>
        <v>4.3120413209055061E-3</v>
      </c>
      <c r="AF41">
        <f t="shared" si="40"/>
        <v>2.3521998462339819E-3</v>
      </c>
    </row>
    <row r="42" spans="4:32" x14ac:dyDescent="0.3">
      <c r="D42" s="1">
        <f t="shared" si="19"/>
        <v>55.122961646310245</v>
      </c>
      <c r="E42" s="1">
        <f t="shared" si="20"/>
        <v>55.106601128655612</v>
      </c>
      <c r="G42" s="1">
        <f t="shared" si="22"/>
        <v>55.12296164670191</v>
      </c>
      <c r="I42">
        <f t="shared" si="21"/>
        <v>40</v>
      </c>
      <c r="K42" s="1">
        <f t="shared" si="23"/>
        <v>1.160929174145217E-5</v>
      </c>
      <c r="L42" s="1">
        <f t="shared" si="24"/>
        <v>4.6799965149279635E-6</v>
      </c>
      <c r="N42" s="1">
        <f t="shared" si="25"/>
        <v>5.1961524227066294</v>
      </c>
      <c r="O42" s="1">
        <f t="shared" si="26"/>
        <v>46.765371804359674</v>
      </c>
      <c r="Q42" s="1">
        <f t="shared" si="27"/>
        <v>1.3514858565556464E-7</v>
      </c>
      <c r="R42" s="1">
        <f t="shared" si="28"/>
        <v>4.5694883915968676E-8</v>
      </c>
      <c r="S42" s="1">
        <f t="shared" si="29"/>
        <v>8.3526347484318184E-9</v>
      </c>
      <c r="T42" s="1">
        <f t="shared" si="30"/>
        <v>2.5625051681591032E-9</v>
      </c>
      <c r="U42" s="1">
        <f t="shared" si="31"/>
        <v>2.7882672075559507E-11</v>
      </c>
      <c r="V42" s="1">
        <f t="shared" si="32"/>
        <v>7.1580742011885616E-12</v>
      </c>
      <c r="W42" s="1"/>
      <c r="X42" s="6">
        <f t="shared" si="33"/>
        <v>2.8284271247461894</v>
      </c>
      <c r="Y42" s="6">
        <f t="shared" si="34"/>
        <v>11.313708498984754</v>
      </c>
      <c r="AA42">
        <f t="shared" si="35"/>
        <v>9.1743260394515119E-4</v>
      </c>
      <c r="AB42">
        <f t="shared" si="36"/>
        <v>4.5701080648094782E-4</v>
      </c>
      <c r="AC42">
        <f t="shared" si="37"/>
        <v>1.4974779677862354E-4</v>
      </c>
      <c r="AD42">
        <f t="shared" si="38"/>
        <v>6.7888833299424009E-5</v>
      </c>
      <c r="AE42">
        <f t="shared" si="39"/>
        <v>6.209347260441719E-3</v>
      </c>
      <c r="AF42">
        <f t="shared" si="40"/>
        <v>3.4667847070069002E-3</v>
      </c>
    </row>
    <row r="43" spans="4:32" x14ac:dyDescent="0.3">
      <c r="D43" s="1">
        <f t="shared" si="19"/>
        <v>54.12297708917302</v>
      </c>
      <c r="E43" s="1">
        <f t="shared" si="20"/>
        <v>54.097767871760844</v>
      </c>
      <c r="G43" s="1">
        <f t="shared" si="22"/>
        <v>54.122977090044529</v>
      </c>
      <c r="I43">
        <f t="shared" si="21"/>
        <v>41</v>
      </c>
      <c r="K43" s="1">
        <f t="shared" si="23"/>
        <v>1.9955817501853583E-5</v>
      </c>
      <c r="L43" s="1">
        <f t="shared" si="24"/>
        <v>8.2372193739331859E-6</v>
      </c>
      <c r="N43" s="1">
        <f t="shared" si="25"/>
        <v>5.0072132064485908</v>
      </c>
      <c r="O43" s="1">
        <f t="shared" si="26"/>
        <v>42.893438532337719</v>
      </c>
      <c r="Q43" s="1">
        <f t="shared" si="27"/>
        <v>2.588981090143626E-7</v>
      </c>
      <c r="R43" s="1">
        <f t="shared" si="28"/>
        <v>8.9655772597467751E-8</v>
      </c>
      <c r="S43" s="1">
        <f t="shared" si="29"/>
        <v>1.6988766294266607E-8</v>
      </c>
      <c r="T43" s="1">
        <f t="shared" si="30"/>
        <v>5.338806811033004E-9</v>
      </c>
      <c r="U43" s="1">
        <f t="shared" si="31"/>
        <v>6.3297656995363797E-11</v>
      </c>
      <c r="V43" s="1">
        <f t="shared" si="32"/>
        <v>1.6647740098003631E-11</v>
      </c>
      <c r="W43" s="1"/>
      <c r="X43" s="6">
        <f t="shared" si="33"/>
        <v>2.7255816420276213</v>
      </c>
      <c r="Y43" s="6">
        <f t="shared" si="34"/>
        <v>10.376991379522178</v>
      </c>
      <c r="AA43">
        <f t="shared" si="35"/>
        <v>1.3845433042028856E-3</v>
      </c>
      <c r="AB43">
        <f t="shared" si="36"/>
        <v>7.0578963390557665E-4</v>
      </c>
      <c r="AC43">
        <f t="shared" si="37"/>
        <v>2.3946438441911039E-4</v>
      </c>
      <c r="AD43">
        <f t="shared" si="38"/>
        <v>1.1112941760599381E-4</v>
      </c>
      <c r="AE43">
        <f t="shared" si="39"/>
        <v>8.7375760072513214E-3</v>
      </c>
      <c r="AF43">
        <f t="shared" si="40"/>
        <v>4.9895152161861436E-3</v>
      </c>
    </row>
    <row r="44" spans="4:32" x14ac:dyDescent="0.3">
      <c r="D44" s="1">
        <f t="shared" si="19"/>
        <v>53.123003242629551</v>
      </c>
      <c r="E44" s="1">
        <f t="shared" si="20"/>
        <v>53.085091737754816</v>
      </c>
      <c r="G44" s="1">
        <f t="shared" si="22"/>
        <v>53.123003244505057</v>
      </c>
      <c r="I44">
        <f t="shared" si="21"/>
        <v>42</v>
      </c>
      <c r="K44" s="1">
        <f t="shared" si="23"/>
        <v>3.3386202879984969E-5</v>
      </c>
      <c r="L44" s="1">
        <f t="shared" si="24"/>
        <v>1.410202473519293E-5</v>
      </c>
      <c r="N44" s="1">
        <f t="shared" si="25"/>
        <v>4.8294528841629489</v>
      </c>
      <c r="O44" s="1">
        <f t="shared" si="26"/>
        <v>39.424105176840392</v>
      </c>
      <c r="Q44" s="1">
        <f t="shared" si="27"/>
        <v>4.8135716654207685E-7</v>
      </c>
      <c r="R44" s="1">
        <f t="shared" si="28"/>
        <v>1.7062654131739445E-7</v>
      </c>
      <c r="S44" s="1">
        <f t="shared" si="29"/>
        <v>3.3486035356912335E-8</v>
      </c>
      <c r="T44" s="1">
        <f t="shared" si="30"/>
        <v>1.0772714246049581E-8</v>
      </c>
      <c r="U44" s="1">
        <f t="shared" si="31"/>
        <v>1.3887157413089771E-10</v>
      </c>
      <c r="V44" s="1">
        <f t="shared" si="32"/>
        <v>3.7396117800396106E-11</v>
      </c>
      <c r="W44" s="1"/>
      <c r="X44" s="6">
        <f t="shared" si="33"/>
        <v>2.6288211784470628</v>
      </c>
      <c r="Y44" s="6">
        <f t="shared" si="34"/>
        <v>9.5376732097852592</v>
      </c>
      <c r="AA44">
        <f t="shared" si="35"/>
        <v>2.0408022407732368E-3</v>
      </c>
      <c r="AB44">
        <f t="shared" si="36"/>
        <v>1.0639143421267369E-3</v>
      </c>
      <c r="AC44">
        <f t="shared" si="37"/>
        <v>3.7341350999990061E-4</v>
      </c>
      <c r="AD44">
        <f t="shared" si="38"/>
        <v>1.772781605626936E-4</v>
      </c>
      <c r="AE44">
        <f t="shared" si="39"/>
        <v>1.2033207533923998E-2</v>
      </c>
      <c r="AF44">
        <f t="shared" si="40"/>
        <v>7.0233419357510277E-3</v>
      </c>
    </row>
    <row r="45" spans="4:32" x14ac:dyDescent="0.3">
      <c r="D45" s="1">
        <f t="shared" si="19"/>
        <v>52.123046392279363</v>
      </c>
      <c r="E45" s="1">
        <f t="shared" si="20"/>
        <v>52.067316757696005</v>
      </c>
      <c r="G45" s="1">
        <f t="shared" si="22"/>
        <v>52.123046396190475</v>
      </c>
      <c r="I45">
        <f t="shared" si="21"/>
        <v>43</v>
      </c>
      <c r="K45" s="1">
        <f t="shared" si="23"/>
        <v>5.4451089656212282E-5</v>
      </c>
      <c r="L45" s="1">
        <f t="shared" si="24"/>
        <v>2.3521672884855176E-5</v>
      </c>
      <c r="N45" s="1">
        <f t="shared" si="25"/>
        <v>4.6619669000068269</v>
      </c>
      <c r="O45" s="1">
        <f t="shared" si="26"/>
        <v>36.307367961113201</v>
      </c>
      <c r="Q45" s="1">
        <f t="shared" si="27"/>
        <v>8.7014124239548893E-7</v>
      </c>
      <c r="R45" s="1">
        <f t="shared" si="28"/>
        <v>3.1553469010592013E-7</v>
      </c>
      <c r="S45" s="1">
        <f t="shared" si="29"/>
        <v>6.4079884969143154E-8</v>
      </c>
      <c r="T45" s="1">
        <f t="shared" si="30"/>
        <v>2.1091727552156234E-8</v>
      </c>
      <c r="U45" s="1">
        <f t="shared" si="31"/>
        <v>2.9502518407117788E-10</v>
      </c>
      <c r="V45" s="1">
        <f t="shared" si="32"/>
        <v>8.1296061584226966E-11</v>
      </c>
      <c r="W45" s="1"/>
      <c r="X45" s="6">
        <f t="shared" si="33"/>
        <v>2.5376533561692027</v>
      </c>
      <c r="Y45" s="6">
        <f t="shared" si="34"/>
        <v>8.783656830439643</v>
      </c>
      <c r="AA45">
        <f t="shared" si="35"/>
        <v>2.9423960660020752E-3</v>
      </c>
      <c r="AB45">
        <f t="shared" si="36"/>
        <v>1.5677462767756916E-3</v>
      </c>
      <c r="AC45">
        <f t="shared" si="37"/>
        <v>5.6869589186225563E-4</v>
      </c>
      <c r="AD45">
        <f t="shared" si="38"/>
        <v>2.7603293596861994E-4</v>
      </c>
      <c r="AE45">
        <f t="shared" si="39"/>
        <v>1.6241544614785081E-2</v>
      </c>
      <c r="AF45">
        <f t="shared" si="40"/>
        <v>9.6828693662010072E-3</v>
      </c>
    </row>
    <row r="46" spans="4:32" x14ac:dyDescent="0.3">
      <c r="D46" s="1">
        <f t="shared" si="19"/>
        <v>51.123115854052756</v>
      </c>
      <c r="E46" s="1">
        <f t="shared" si="20"/>
        <v>51.04292818793845</v>
      </c>
      <c r="G46" s="1">
        <f t="shared" si="22"/>
        <v>51.123115861970035</v>
      </c>
      <c r="I46">
        <f t="shared" si="21"/>
        <v>44</v>
      </c>
      <c r="K46" s="1">
        <f t="shared" si="23"/>
        <v>8.670439426361129E-5</v>
      </c>
      <c r="L46" s="1">
        <f t="shared" si="24"/>
        <v>3.8282893224011917E-5</v>
      </c>
      <c r="N46" s="1">
        <f t="shared" si="25"/>
        <v>4.5039426755169272</v>
      </c>
      <c r="O46" s="1">
        <f t="shared" si="26"/>
        <v>33.500400065828373</v>
      </c>
      <c r="Q46" s="1">
        <f t="shared" si="27"/>
        <v>1.5317896542716742E-6</v>
      </c>
      <c r="R46" s="1">
        <f t="shared" si="28"/>
        <v>5.6792933075937444E-7</v>
      </c>
      <c r="S46" s="1">
        <f t="shared" si="29"/>
        <v>1.1925237675293426E-7</v>
      </c>
      <c r="T46" s="1">
        <f t="shared" si="30"/>
        <v>4.0137254841815342E-8</v>
      </c>
      <c r="U46" s="1">
        <f t="shared" si="31"/>
        <v>6.0800506190033875E-10</v>
      </c>
      <c r="V46" s="1">
        <f t="shared" si="32"/>
        <v>1.7134753580333216E-10</v>
      </c>
      <c r="W46" s="1"/>
      <c r="X46" s="6">
        <f t="shared" si="33"/>
        <v>2.4516358635026978</v>
      </c>
      <c r="Y46" s="6">
        <f t="shared" si="34"/>
        <v>8.1045813669510665</v>
      </c>
      <c r="AA46">
        <f t="shared" si="35"/>
        <v>4.1552807396121006E-3</v>
      </c>
      <c r="AB46">
        <f t="shared" si="36"/>
        <v>2.2614462892193688E-3</v>
      </c>
      <c r="AC46">
        <f t="shared" si="37"/>
        <v>8.470922523813075E-4</v>
      </c>
      <c r="AD46">
        <f t="shared" si="38"/>
        <v>4.2012292401665376E-4</v>
      </c>
      <c r="AE46">
        <f t="shared" si="39"/>
        <v>2.1512498545705458E-2</v>
      </c>
      <c r="AF46">
        <f t="shared" si="40"/>
        <v>1.309215477789037E-2</v>
      </c>
    </row>
    <row r="47" spans="4:32" x14ac:dyDescent="0.3">
      <c r="D47" s="1">
        <f t="shared" si="19"/>
        <v>50.123225112903</v>
      </c>
      <c r="E47" s="1">
        <f t="shared" si="20"/>
        <v>50.010143637305553</v>
      </c>
      <c r="G47" s="1">
        <f t="shared" si="22"/>
        <v>50.123225128486382</v>
      </c>
      <c r="I47">
        <f t="shared" si="21"/>
        <v>45</v>
      </c>
      <c r="K47" s="1">
        <f t="shared" si="23"/>
        <v>1.3498130254662092E-4</v>
      </c>
      <c r="L47" s="1">
        <f t="shared" si="24"/>
        <v>6.0884157390947899E-5</v>
      </c>
      <c r="N47" s="1">
        <f t="shared" si="25"/>
        <v>4.3546484316145362</v>
      </c>
      <c r="O47" s="1">
        <f t="shared" si="26"/>
        <v>30.966388847036701</v>
      </c>
      <c r="Q47" s="1">
        <f t="shared" si="27"/>
        <v>2.6299375466787597E-6</v>
      </c>
      <c r="R47" s="1">
        <f t="shared" si="28"/>
        <v>9.9643364359629094E-7</v>
      </c>
      <c r="S47" s="1">
        <f t="shared" si="29"/>
        <v>2.1616010518059937E-7</v>
      </c>
      <c r="T47" s="1">
        <f t="shared" si="30"/>
        <v>7.4356332887257477E-8</v>
      </c>
      <c r="U47" s="1">
        <f t="shared" si="31"/>
        <v>1.217534242227955E-9</v>
      </c>
      <c r="V47" s="1">
        <f t="shared" si="32"/>
        <v>3.5074023241753198E-10</v>
      </c>
      <c r="W47" s="1"/>
      <c r="X47" s="6">
        <f t="shared" si="33"/>
        <v>2.3703703703703698</v>
      </c>
      <c r="Y47" s="6">
        <f t="shared" si="34"/>
        <v>7.4915409236396853</v>
      </c>
      <c r="AA47">
        <f t="shared" si="35"/>
        <v>5.7550120147769595E-3</v>
      </c>
      <c r="AB47">
        <f t="shared" si="36"/>
        <v>3.1973886164727121E-3</v>
      </c>
      <c r="AC47">
        <f t="shared" si="37"/>
        <v>1.2357024266122976E-3</v>
      </c>
      <c r="AD47">
        <f t="shared" si="38"/>
        <v>6.258693021164957E-4</v>
      </c>
      <c r="AE47">
        <f t="shared" si="39"/>
        <v>2.7995674914997961E-2</v>
      </c>
      <c r="AF47">
        <f t="shared" si="40"/>
        <v>1.7381731197722253E-2</v>
      </c>
    </row>
    <row r="48" spans="4:32" x14ac:dyDescent="0.3">
      <c r="D48" s="1">
        <f t="shared" si="19"/>
        <v>49.123393258125965</v>
      </c>
      <c r="E48" s="1">
        <f t="shared" si="20"/>
        <v>48.966915615376223</v>
      </c>
      <c r="G48" s="1">
        <f t="shared" si="22"/>
        <v>49.12339328799456</v>
      </c>
      <c r="I48">
        <f t="shared" si="21"/>
        <v>46</v>
      </c>
      <c r="K48" s="1">
        <f t="shared" si="23"/>
        <v>2.0571308682042872E-4</v>
      </c>
      <c r="L48" s="1">
        <f t="shared" si="24"/>
        <v>9.4740173489865626E-5</v>
      </c>
      <c r="N48" s="1">
        <f t="shared" si="25"/>
        <v>4.213423581324772</v>
      </c>
      <c r="O48" s="1">
        <f t="shared" si="26"/>
        <v>28.67358202791905</v>
      </c>
      <c r="Q48" s="1">
        <f t="shared" si="27"/>
        <v>4.4099144459012436E-6</v>
      </c>
      <c r="R48" s="1">
        <f t="shared" si="28"/>
        <v>1.7065560123254485E-6</v>
      </c>
      <c r="S48" s="1">
        <f t="shared" si="29"/>
        <v>3.8218441234548808E-7</v>
      </c>
      <c r="T48" s="1">
        <f t="shared" si="30"/>
        <v>1.3429459294254899E-7</v>
      </c>
      <c r="U48" s="1">
        <f t="shared" si="31"/>
        <v>2.3727462203226242E-9</v>
      </c>
      <c r="V48" s="1">
        <f t="shared" si="32"/>
        <v>6.9834928955269331E-10</v>
      </c>
      <c r="W48" s="1"/>
      <c r="X48" s="6">
        <f t="shared" si="33"/>
        <v>2.2934972987679543</v>
      </c>
      <c r="Y48" s="6">
        <f t="shared" si="34"/>
        <v>6.9368538337026964</v>
      </c>
      <c r="AA48">
        <f t="shared" si="35"/>
        <v>7.8260953124683289E-3</v>
      </c>
      <c r="AB48">
        <f t="shared" si="36"/>
        <v>4.4362762182043715E-3</v>
      </c>
      <c r="AC48">
        <f t="shared" si="37"/>
        <v>1.7674970647608768E-3</v>
      </c>
      <c r="AD48">
        <f t="shared" si="38"/>
        <v>9.1373659689153409E-4</v>
      </c>
      <c r="AE48">
        <f t="shared" si="39"/>
        <v>3.5835016740248374E-2</v>
      </c>
      <c r="AF48">
        <f t="shared" si="40"/>
        <v>2.2684966205611973E-2</v>
      </c>
    </row>
    <row r="49" spans="4:32" x14ac:dyDescent="0.3">
      <c r="D49" s="1">
        <f t="shared" si="19"/>
        <v>48.123646748923349</v>
      </c>
      <c r="E49" s="1">
        <f t="shared" si="20"/>
        <v>47.910947201934313</v>
      </c>
      <c r="G49" s="1">
        <f t="shared" si="22"/>
        <v>48.123646804750393</v>
      </c>
      <c r="I49">
        <f t="shared" si="21"/>
        <v>47</v>
      </c>
      <c r="K49" s="1">
        <f t="shared" si="23"/>
        <v>3.0727196955907823E-4</v>
      </c>
      <c r="L49" s="1">
        <f t="shared" si="24"/>
        <v>1.4441760879614835E-4</v>
      </c>
      <c r="N49" s="1">
        <f t="shared" si="25"/>
        <v>4.0796704439334173</v>
      </c>
      <c r="O49" s="1">
        <f t="shared" si="26"/>
        <v>26.594501762173483</v>
      </c>
      <c r="Q49" s="1">
        <f t="shared" si="27"/>
        <v>7.2312101121688032E-6</v>
      </c>
      <c r="R49" s="1">
        <f t="shared" si="28"/>
        <v>2.8567846083157421E-6</v>
      </c>
      <c r="S49" s="1">
        <f t="shared" si="29"/>
        <v>6.5999347045610909E-7</v>
      </c>
      <c r="T49" s="1">
        <f t="shared" si="30"/>
        <v>2.3678749870363095E-7</v>
      </c>
      <c r="U49" s="1">
        <f t="shared" si="31"/>
        <v>4.5065003456548515E-9</v>
      </c>
      <c r="V49" s="1">
        <f t="shared" si="32"/>
        <v>1.3544726598578517E-9</v>
      </c>
      <c r="W49" s="1"/>
      <c r="X49" s="6">
        <f t="shared" si="33"/>
        <v>2.220691312522356</v>
      </c>
      <c r="Y49" s="6">
        <f t="shared" si="34"/>
        <v>6.4338725215677117</v>
      </c>
      <c r="AA49">
        <f t="shared" si="35"/>
        <v>1.0460831548304459E-2</v>
      </c>
      <c r="AB49">
        <f t="shared" si="36"/>
        <v>6.0469053902063455E-3</v>
      </c>
      <c r="AC49">
        <f t="shared" si="37"/>
        <v>2.4817340755639117E-3</v>
      </c>
      <c r="AD49">
        <f t="shared" si="38"/>
        <v>1.3088420037555752E-3</v>
      </c>
      <c r="AE49">
        <f t="shared" si="39"/>
        <v>4.5163299849355569E-2</v>
      </c>
      <c r="AF49">
        <f t="shared" si="40"/>
        <v>2.9133920897404603E-2</v>
      </c>
    </row>
    <row r="50" spans="4:32" x14ac:dyDescent="0.3">
      <c r="D50" s="1">
        <f t="shared" si="19"/>
        <v>47.12402153527313</v>
      </c>
      <c r="E50" s="1">
        <f t="shared" si="20"/>
        <v>46.839721834887328</v>
      </c>
      <c r="G50" s="1">
        <f t="shared" si="22"/>
        <v>47.124021637160311</v>
      </c>
      <c r="I50">
        <f t="shared" si="21"/>
        <v>48</v>
      </c>
      <c r="K50" s="1">
        <f t="shared" si="23"/>
        <v>4.5033578808841257E-4</v>
      </c>
      <c r="L50" s="1">
        <f t="shared" si="24"/>
        <v>2.1589881694536491E-4</v>
      </c>
      <c r="N50" s="1">
        <f t="shared" si="25"/>
        <v>3.9528470752104727</v>
      </c>
      <c r="O50" s="1">
        <f t="shared" si="26"/>
        <v>24.705294220065458</v>
      </c>
      <c r="Q50" s="1">
        <f t="shared" si="27"/>
        <v>1.160929174145217E-5</v>
      </c>
      <c r="R50" s="1">
        <f t="shared" si="28"/>
        <v>4.6799965149279635E-6</v>
      </c>
      <c r="S50" s="1">
        <f t="shared" si="29"/>
        <v>1.1145885521503829E-6</v>
      </c>
      <c r="T50" s="1">
        <f t="shared" si="30"/>
        <v>4.0809966018448673E-7</v>
      </c>
      <c r="U50" s="1">
        <f t="shared" si="31"/>
        <v>8.3526347484318184E-9</v>
      </c>
      <c r="V50" s="1">
        <f t="shared" si="32"/>
        <v>2.5625051681591032E-9</v>
      </c>
      <c r="W50" s="1"/>
      <c r="X50" s="6">
        <f t="shared" si="33"/>
        <v>2.1516574145596756</v>
      </c>
      <c r="Y50" s="6">
        <f t="shared" si="34"/>
        <v>5.9768261515546541</v>
      </c>
      <c r="AA50">
        <f t="shared" si="35"/>
        <v>1.3757667572379631E-2</v>
      </c>
      <c r="AB50">
        <f t="shared" si="36"/>
        <v>8.1055453543928818E-3</v>
      </c>
      <c r="AC50">
        <f t="shared" si="37"/>
        <v>3.4241939211222855E-3</v>
      </c>
      <c r="AD50">
        <f t="shared" si="38"/>
        <v>1.8413871101374847E-3</v>
      </c>
      <c r="AE50">
        <f t="shared" si="39"/>
        <v>5.6096787909261946E-2</v>
      </c>
      <c r="AF50">
        <f t="shared" si="40"/>
        <v>3.6854912861482687E-2</v>
      </c>
    </row>
    <row r="51" spans="4:32" x14ac:dyDescent="0.3">
      <c r="D51" s="1">
        <f t="shared" si="19"/>
        <v>46.124565547175585</v>
      </c>
      <c r="E51" s="1">
        <f t="shared" si="20"/>
        <v>45.750547386172371</v>
      </c>
      <c r="G51" s="1">
        <f t="shared" si="22"/>
        <v>46.124565728964555</v>
      </c>
      <c r="I51">
        <f t="shared" si="21"/>
        <v>49</v>
      </c>
      <c r="K51" s="1">
        <f t="shared" si="23"/>
        <v>6.4825887039439683E-4</v>
      </c>
      <c r="L51" s="1">
        <f t="shared" si="24"/>
        <v>3.1686788675612499E-4</v>
      </c>
      <c r="N51" s="1">
        <f t="shared" si="25"/>
        <v>3.8324610437679252</v>
      </c>
      <c r="O51" s="1">
        <f t="shared" si="26"/>
        <v>22.985189100482348</v>
      </c>
      <c r="Q51" s="1">
        <f t="shared" si="27"/>
        <v>1.8268209730879702E-5</v>
      </c>
      <c r="R51" s="1">
        <f t="shared" si="28"/>
        <v>7.5112835162480556E-6</v>
      </c>
      <c r="S51" s="1">
        <f t="shared" si="29"/>
        <v>1.842889200141712E-6</v>
      </c>
      <c r="T51" s="1">
        <f t="shared" si="30"/>
        <v>6.8831990919199341E-7</v>
      </c>
      <c r="U51" s="1">
        <f t="shared" si="31"/>
        <v>1.5126604604103471E-8</v>
      </c>
      <c r="V51" s="1">
        <f t="shared" si="32"/>
        <v>4.7348058049935661E-9</v>
      </c>
      <c r="W51" s="1"/>
      <c r="X51" s="6">
        <f t="shared" si="33"/>
        <v>2.0861275591834767</v>
      </c>
      <c r="Y51" s="6">
        <f t="shared" si="34"/>
        <v>5.5606898703766143</v>
      </c>
      <c r="AA51">
        <f t="shared" si="35"/>
        <v>1.7819092570737247E-2</v>
      </c>
      <c r="AB51">
        <f t="shared" si="36"/>
        <v>1.0694920154366383E-2</v>
      </c>
      <c r="AC51">
        <f t="shared" si="37"/>
        <v>4.6471934879403591E-3</v>
      </c>
      <c r="AD51">
        <f t="shared" si="38"/>
        <v>2.5469758800936299E-3</v>
      </c>
      <c r="AE51">
        <f t="shared" si="39"/>
        <v>6.8730342253458837E-2</v>
      </c>
      <c r="AF51">
        <f t="shared" si="40"/>
        <v>4.5964010137109622E-2</v>
      </c>
    </row>
    <row r="52" spans="4:32" x14ac:dyDescent="0.3">
      <c r="D52" s="1">
        <f t="shared" si="19"/>
        <v>45.125341550170617</v>
      </c>
      <c r="E52" s="1">
        <f t="shared" si="20"/>
        <v>44.640613810488453</v>
      </c>
      <c r="G52" s="1">
        <f t="shared" si="22"/>
        <v>45.125341867624712</v>
      </c>
      <c r="I52">
        <f t="shared" si="21"/>
        <v>50</v>
      </c>
      <c r="K52" s="1">
        <f t="shared" si="23"/>
        <v>9.1743260394515119E-4</v>
      </c>
      <c r="L52" s="1">
        <f t="shared" si="24"/>
        <v>4.5701080648094782E-4</v>
      </c>
      <c r="N52" s="1">
        <f t="shared" si="25"/>
        <v>3.7180640123591182</v>
      </c>
      <c r="O52" s="1">
        <f t="shared" si="26"/>
        <v>21.41604871118852</v>
      </c>
      <c r="Q52" s="1">
        <f t="shared" si="27"/>
        <v>2.8205272883515916E-5</v>
      </c>
      <c r="R52" s="1">
        <f t="shared" si="28"/>
        <v>1.1823316928607766E-5</v>
      </c>
      <c r="S52" s="1">
        <f t="shared" si="29"/>
        <v>2.9864876524010504E-6</v>
      </c>
      <c r="T52" s="1">
        <f t="shared" si="30"/>
        <v>1.1373802769172456E-6</v>
      </c>
      <c r="U52" s="1">
        <f t="shared" si="31"/>
        <v>2.679752492646637E-8</v>
      </c>
      <c r="V52" s="1">
        <f t="shared" si="32"/>
        <v>8.5544370340941452E-9</v>
      </c>
      <c r="W52" s="1"/>
      <c r="X52" s="6">
        <f t="shared" si="33"/>
        <v>2.0238577025077626</v>
      </c>
      <c r="Y52" s="6">
        <f t="shared" si="34"/>
        <v>5.1810757184198728</v>
      </c>
      <c r="AA52">
        <f t="shared" si="35"/>
        <v>2.2749152233532584E-2</v>
      </c>
      <c r="AB52">
        <f t="shared" si="36"/>
        <v>1.3902803796273839E-2</v>
      </c>
      <c r="AC52">
        <f t="shared" si="37"/>
        <v>6.209347260441719E-3</v>
      </c>
      <c r="AD52">
        <f t="shared" si="38"/>
        <v>3.4667847070069002E-3</v>
      </c>
      <c r="AE52">
        <f t="shared" si="39"/>
        <v>8.3133247389647266E-2</v>
      </c>
      <c r="AF52">
        <f t="shared" si="40"/>
        <v>5.6562688592755796E-2</v>
      </c>
    </row>
    <row r="53" spans="4:32" x14ac:dyDescent="0.3">
      <c r="D53" s="1">
        <f t="shared" si="19"/>
        <v>44.126430347234567</v>
      </c>
      <c r="E53" s="1">
        <f t="shared" si="20"/>
        <v>43.507062782818885</v>
      </c>
      <c r="G53" s="1">
        <f t="shared" si="22"/>
        <v>44.126430890383716</v>
      </c>
      <c r="I53">
        <f>+I52+1</f>
        <v>51</v>
      </c>
      <c r="K53" s="1">
        <f t="shared" si="23"/>
        <v>1.2776169461878996E-3</v>
      </c>
      <c r="L53" s="1">
        <f t="shared" si="24"/>
        <v>6.4831913684379548E-4</v>
      </c>
      <c r="N53" s="1">
        <f t="shared" si="25"/>
        <v>3.6092470063405662</v>
      </c>
      <c r="O53" s="1">
        <f t="shared" si="26"/>
        <v>19.981990346522164</v>
      </c>
      <c r="Q53" s="1">
        <f t="shared" si="27"/>
        <v>4.2768794194211969E-5</v>
      </c>
      <c r="R53" s="1">
        <f t="shared" si="28"/>
        <v>1.8270328551257164E-5</v>
      </c>
      <c r="S53" s="1">
        <f t="shared" si="29"/>
        <v>4.7482642032338097E-6</v>
      </c>
      <c r="T53" s="1">
        <f t="shared" si="30"/>
        <v>1.8431265280689045E-6</v>
      </c>
      <c r="U53" s="1">
        <f t="shared" si="31"/>
        <v>4.6489101110128096E-8</v>
      </c>
      <c r="V53" s="1">
        <f t="shared" si="32"/>
        <v>1.5128908713341578E-8</v>
      </c>
      <c r="W53" s="1"/>
      <c r="X53" s="6">
        <f t="shared" si="33"/>
        <v>1.9646252269338018</v>
      </c>
      <c r="Y53" s="6">
        <f t="shared" si="34"/>
        <v>4.8341412735010882</v>
      </c>
      <c r="AA53">
        <f t="shared" si="35"/>
        <v>2.865067821472797E-2</v>
      </c>
      <c r="AB53">
        <f t="shared" si="36"/>
        <v>1.7820263241407418E-2</v>
      </c>
      <c r="AC53">
        <f t="shared" si="37"/>
        <v>8.1750563286935723E-3</v>
      </c>
      <c r="AD53">
        <f t="shared" si="38"/>
        <v>4.6475548292301593E-3</v>
      </c>
      <c r="AE53">
        <f t="shared" si="39"/>
        <v>9.9345961421302129E-2</v>
      </c>
      <c r="AF53">
        <f t="shared" si="40"/>
        <v>6.8733873521170955E-2</v>
      </c>
    </row>
    <row r="54" spans="4:32" x14ac:dyDescent="0.3">
      <c r="D54" s="1">
        <f t="shared" si="19"/>
        <v>43.127934287573595</v>
      </c>
      <c r="E54" s="1">
        <f t="shared" si="20"/>
        <v>42.34706695712984</v>
      </c>
      <c r="G54" s="1">
        <f t="shared" si="22"/>
        <v>43.127935198978562</v>
      </c>
      <c r="I54">
        <f t="shared" ref="I54:I117" si="41">+I53+1</f>
        <v>52</v>
      </c>
      <c r="K54" s="1">
        <f t="shared" si="23"/>
        <v>1.7522228265699302E-3</v>
      </c>
      <c r="L54" s="1">
        <f t="shared" si="24"/>
        <v>9.0538450405572843E-4</v>
      </c>
      <c r="N54" s="1">
        <f t="shared" si="25"/>
        <v>3.5056362706742288</v>
      </c>
      <c r="O54" s="1">
        <f t="shared" si="26"/>
        <v>18.669068897081683</v>
      </c>
      <c r="Q54" s="1">
        <f t="shared" si="27"/>
        <v>6.3749498959222778E-5</v>
      </c>
      <c r="R54" s="1">
        <f t="shared" si="28"/>
        <v>2.7741661403064781E-5</v>
      </c>
      <c r="S54" s="1">
        <f t="shared" si="29"/>
        <v>7.4135938468825088E-6</v>
      </c>
      <c r="T54" s="1">
        <f t="shared" si="30"/>
        <v>2.9319220533624358E-6</v>
      </c>
      <c r="U54" s="1">
        <f t="shared" si="31"/>
        <v>7.9058436486100296E-8</v>
      </c>
      <c r="V54" s="1">
        <f t="shared" si="32"/>
        <v>2.6217707931922959E-8</v>
      </c>
      <c r="W54" s="1"/>
      <c r="X54" s="6">
        <f t="shared" si="33"/>
        <v>1.9082266859878223</v>
      </c>
      <c r="Y54" s="6">
        <f t="shared" si="34"/>
        <v>4.5165128662433673</v>
      </c>
      <c r="AA54">
        <f t="shared" si="35"/>
        <v>3.5622349442744658E-2</v>
      </c>
      <c r="AB54">
        <f t="shared" si="36"/>
        <v>2.2539605701555526E-2</v>
      </c>
      <c r="AC54">
        <f t="shared" si="37"/>
        <v>1.0613719533783083E-2</v>
      </c>
      <c r="AD54">
        <f t="shared" si="38"/>
        <v>6.1413842177723815E-3</v>
      </c>
      <c r="AE54">
        <f t="shared" si="39"/>
        <v>0.11737793736165314</v>
      </c>
      <c r="AF54">
        <f t="shared" si="40"/>
        <v>8.2538559587976901E-2</v>
      </c>
    </row>
    <row r="55" spans="4:32" x14ac:dyDescent="0.3">
      <c r="D55" s="1">
        <f t="shared" si="19"/>
        <v>42.12998102247213</v>
      </c>
      <c r="E55" s="1">
        <f t="shared" si="20"/>
        <v>41.15791583990611</v>
      </c>
      <c r="G55" s="1">
        <f t="shared" si="22"/>
        <v>42.129982523744545</v>
      </c>
      <c r="I55">
        <f t="shared" si="41"/>
        <v>53</v>
      </c>
      <c r="K55" s="1">
        <f t="shared" si="23"/>
        <v>2.3685252013891452E-3</v>
      </c>
      <c r="L55" s="1">
        <f t="shared" si="24"/>
        <v>1.2456696454977963E-3</v>
      </c>
      <c r="N55" s="1">
        <f t="shared" si="25"/>
        <v>3.406889632588431</v>
      </c>
      <c r="O55" s="1">
        <f t="shared" si="26"/>
        <v>17.46500915246472</v>
      </c>
      <c r="Q55" s="1">
        <f t="shared" si="27"/>
        <v>9.3485650904132612E-5</v>
      </c>
      <c r="R55" s="1">
        <f t="shared" si="28"/>
        <v>4.142563356598838E-5</v>
      </c>
      <c r="S55" s="1">
        <f t="shared" si="29"/>
        <v>1.1376882034574421E-5</v>
      </c>
      <c r="T55" s="1">
        <f t="shared" si="30"/>
        <v>4.582310539262224E-6</v>
      </c>
      <c r="U55" s="1">
        <f t="shared" si="31"/>
        <v>1.3191530652540808E-7</v>
      </c>
      <c r="V55" s="1">
        <f t="shared" si="32"/>
        <v>4.4562379133000753E-8</v>
      </c>
      <c r="W55" s="1"/>
      <c r="X55" s="6">
        <f t="shared" si="33"/>
        <v>1.8544758244043809</v>
      </c>
      <c r="Y55" s="6">
        <f t="shared" si="34"/>
        <v>4.2252208174396726</v>
      </c>
      <c r="AA55">
        <f t="shared" si="35"/>
        <v>4.3755712948085744E-2</v>
      </c>
      <c r="AB55">
        <f t="shared" si="36"/>
        <v>2.8152105063271458E-2</v>
      </c>
      <c r="AC55">
        <f t="shared" si="37"/>
        <v>1.359867579004825E-2</v>
      </c>
      <c r="AD55">
        <f t="shared" si="38"/>
        <v>8.0053047701296228E-3</v>
      </c>
      <c r="AE55">
        <f t="shared" si="39"/>
        <v>0.13720659260116119</v>
      </c>
      <c r="AF55">
        <f t="shared" si="40"/>
        <v>9.8013164834676869E-2</v>
      </c>
    </row>
    <row r="56" spans="4:32" x14ac:dyDescent="0.3">
      <c r="D56" s="1">
        <f t="shared" si="19"/>
        <v>41.132727428388726</v>
      </c>
      <c r="E56" s="1">
        <f t="shared" si="20"/>
        <v>39.93710482288612</v>
      </c>
      <c r="G56" s="1">
        <f t="shared" si="22"/>
        <v>41.132729858016731</v>
      </c>
      <c r="I56">
        <f t="shared" si="41"/>
        <v>54</v>
      </c>
      <c r="K56" s="1">
        <f t="shared" si="23"/>
        <v>3.1577875391597013E-3</v>
      </c>
      <c r="L56" s="1">
        <f t="shared" si="24"/>
        <v>1.6897408241303975E-3</v>
      </c>
      <c r="N56" s="1">
        <f t="shared" si="25"/>
        <v>3.3126932999996876</v>
      </c>
      <c r="O56" s="1">
        <f t="shared" si="26"/>
        <v>16.358979259257715</v>
      </c>
      <c r="Q56" s="1">
        <f t="shared" si="27"/>
        <v>1.3498130254662092E-4</v>
      </c>
      <c r="R56" s="1">
        <f t="shared" si="28"/>
        <v>6.0884157390947899E-5</v>
      </c>
      <c r="S56" s="1">
        <f t="shared" si="29"/>
        <v>1.7174135655352391E-5</v>
      </c>
      <c r="T56" s="1">
        <f t="shared" si="30"/>
        <v>7.042290294211278E-6</v>
      </c>
      <c r="U56" s="1">
        <f t="shared" si="31"/>
        <v>2.1616010518059937E-7</v>
      </c>
      <c r="V56" s="1">
        <f t="shared" si="32"/>
        <v>7.4356332887257477E-8</v>
      </c>
      <c r="W56" s="1"/>
      <c r="X56" s="6">
        <f t="shared" si="33"/>
        <v>1.8032018354079538</v>
      </c>
      <c r="Y56" s="6">
        <f t="shared" si="34"/>
        <v>3.9576446318967431</v>
      </c>
      <c r="AA56">
        <f t="shared" si="35"/>
        <v>5.3132294571672213E-2</v>
      </c>
      <c r="AB56">
        <f t="shared" si="36"/>
        <v>3.4745595898136056E-2</v>
      </c>
      <c r="AC56">
        <f t="shared" si="37"/>
        <v>1.7205901257852745E-2</v>
      </c>
      <c r="AD56">
        <f t="shared" si="38"/>
        <v>1.0300640705599095E-2</v>
      </c>
      <c r="AE56">
        <f t="shared" si="39"/>
        <v>0.15877743546210796</v>
      </c>
      <c r="AF56">
        <f t="shared" si="40"/>
        <v>0.1151677281472737</v>
      </c>
    </row>
    <row r="57" spans="4:32" x14ac:dyDescent="0.3">
      <c r="D57" s="1">
        <f t="shared" si="19"/>
        <v>40.136363599140644</v>
      </c>
      <c r="E57" s="1">
        <f t="shared" si="20"/>
        <v>38.682423686094239</v>
      </c>
      <c r="G57" s="1">
        <f t="shared" si="22"/>
        <v>40.136367465526732</v>
      </c>
      <c r="I57">
        <f t="shared" si="41"/>
        <v>55</v>
      </c>
      <c r="K57" s="1">
        <f t="shared" si="23"/>
        <v>4.1552807396121006E-3</v>
      </c>
      <c r="L57" s="1">
        <f t="shared" si="24"/>
        <v>2.2614462892193688E-3</v>
      </c>
      <c r="N57" s="1">
        <f t="shared" si="25"/>
        <v>3.2227590365498009</v>
      </c>
      <c r="O57" s="1">
        <f t="shared" si="26"/>
        <v>15.341398388865166</v>
      </c>
      <c r="Q57" s="1">
        <f t="shared" si="27"/>
        <v>1.920363365612158E-4</v>
      </c>
      <c r="R57" s="1">
        <f t="shared" si="28"/>
        <v>8.8138166801798382E-5</v>
      </c>
      <c r="S57" s="1">
        <f t="shared" si="29"/>
        <v>2.5522197646146374E-5</v>
      </c>
      <c r="T57" s="1">
        <f t="shared" si="30"/>
        <v>1.0650758689453577E-5</v>
      </c>
      <c r="U57" s="1">
        <f t="shared" si="31"/>
        <v>3.4813605864693601E-7</v>
      </c>
      <c r="V57" s="1">
        <f t="shared" si="32"/>
        <v>1.219014393748156E-7</v>
      </c>
      <c r="W57" s="1"/>
      <c r="X57" s="6">
        <f t="shared" si="33"/>
        <v>1.7542478229978973</v>
      </c>
      <c r="Y57" s="6">
        <f t="shared" si="34"/>
        <v>3.7114664684914191</v>
      </c>
      <c r="AA57">
        <f t="shared" si="35"/>
        <v>6.3820924457033038E-2</v>
      </c>
      <c r="AB57">
        <f t="shared" si="36"/>
        <v>4.2402031588428042E-2</v>
      </c>
      <c r="AC57">
        <f t="shared" si="37"/>
        <v>2.1512498545705458E-2</v>
      </c>
      <c r="AD57">
        <f t="shared" si="38"/>
        <v>1.309215477789037E-2</v>
      </c>
      <c r="AE57">
        <f t="shared" si="39"/>
        <v>0.18200529487704187</v>
      </c>
      <c r="AF57">
        <f t="shared" si="40"/>
        <v>0.13398500959213649</v>
      </c>
    </row>
    <row r="58" spans="4:32" x14ac:dyDescent="0.3">
      <c r="D58" s="1">
        <f t="shared" si="19"/>
        <v>39.141116793456412</v>
      </c>
      <c r="E58" s="1">
        <f t="shared" si="20"/>
        <v>37.392040872837114</v>
      </c>
      <c r="G58" s="1">
        <f t="shared" si="22"/>
        <v>39.141122848081693</v>
      </c>
      <c r="I58">
        <f t="shared" si="41"/>
        <v>56</v>
      </c>
      <c r="K58" s="1">
        <f t="shared" si="23"/>
        <v>5.4001828370714424E-3</v>
      </c>
      <c r="L58" s="1">
        <f t="shared" si="24"/>
        <v>2.9880261642968565E-3</v>
      </c>
      <c r="N58" s="1">
        <f t="shared" si="25"/>
        <v>3.1368216630488552</v>
      </c>
      <c r="O58" s="1">
        <f t="shared" si="26"/>
        <v>14.403772942571276</v>
      </c>
      <c r="Q58" s="1">
        <f t="shared" si="27"/>
        <v>2.6938616829620178E-4</v>
      </c>
      <c r="R58" s="1">
        <f t="shared" si="28"/>
        <v>1.2576343632043953E-4</v>
      </c>
      <c r="S58" s="1">
        <f t="shared" si="29"/>
        <v>3.7365145140463469E-5</v>
      </c>
      <c r="T58" s="1">
        <f t="shared" si="30"/>
        <v>1.5863663476101462E-5</v>
      </c>
      <c r="U58" s="1">
        <f t="shared" si="31"/>
        <v>5.5151003582977043E-7</v>
      </c>
      <c r="V58" s="1">
        <f t="shared" si="32"/>
        <v>1.965097518306494E-7</v>
      </c>
      <c r="W58" s="1"/>
      <c r="X58" s="6">
        <f t="shared" si="33"/>
        <v>1.7074694419062764</v>
      </c>
      <c r="Y58" s="6">
        <f t="shared" si="34"/>
        <v>3.4846315140944415</v>
      </c>
      <c r="AA58">
        <f t="shared" si="35"/>
        <v>7.5875389491867534E-2</v>
      </c>
      <c r="AB58">
        <f t="shared" si="36"/>
        <v>5.1195105289887979E-2</v>
      </c>
      <c r="AC58">
        <f t="shared" si="37"/>
        <v>2.6595026593737539E-2</v>
      </c>
      <c r="AD58">
        <f t="shared" si="38"/>
        <v>1.6446999584280534E-2</v>
      </c>
      <c r="AE58">
        <f t="shared" si="39"/>
        <v>0.20677654565179621</v>
      </c>
      <c r="AF58">
        <f t="shared" si="40"/>
        <v>0.15442050322526796</v>
      </c>
    </row>
    <row r="59" spans="4:32" x14ac:dyDescent="0.3">
      <c r="D59" s="1">
        <f t="shared" si="19"/>
        <v>38.147255212454638</v>
      </c>
      <c r="E59" s="1">
        <f t="shared" si="20"/>
        <v>36.064580042792905</v>
      </c>
      <c r="G59" s="1">
        <f t="shared" si="22"/>
        <v>38.147264549243388</v>
      </c>
      <c r="I59">
        <f t="shared" si="41"/>
        <v>57</v>
      </c>
      <c r="K59" s="1">
        <f t="shared" si="23"/>
        <v>6.9353501388724004E-3</v>
      </c>
      <c r="L59" s="1">
        <f t="shared" si="24"/>
        <v>3.9001406935920669E-3</v>
      </c>
      <c r="N59" s="1">
        <f t="shared" si="25"/>
        <v>3.0546368425684687</v>
      </c>
      <c r="O59" s="1">
        <f t="shared" si="26"/>
        <v>13.538556642962741</v>
      </c>
      <c r="Q59" s="1">
        <f t="shared" si="27"/>
        <v>3.7284816618583512E-4</v>
      </c>
      <c r="R59" s="1">
        <f t="shared" si="28"/>
        <v>1.7699584221381417E-4</v>
      </c>
      <c r="S59" s="1">
        <f t="shared" si="29"/>
        <v>5.392816958867757E-5</v>
      </c>
      <c r="T59" s="1">
        <f t="shared" si="30"/>
        <v>2.3285344166242748E-5</v>
      </c>
      <c r="U59" s="1">
        <f t="shared" si="31"/>
        <v>8.6001572921963184E-7</v>
      </c>
      <c r="V59" s="1">
        <f t="shared" si="32"/>
        <v>3.1172124916176357E-7</v>
      </c>
      <c r="W59" s="1"/>
      <c r="X59" s="6">
        <f t="shared" si="33"/>
        <v>1.6627336919553466</v>
      </c>
      <c r="Y59" s="6">
        <f t="shared" si="34"/>
        <v>3.2753141362001279</v>
      </c>
      <c r="AA59">
        <f t="shared" si="35"/>
        <v>8.9332506213167073E-2</v>
      </c>
      <c r="AB59">
        <f t="shared" si="36"/>
        <v>6.118802891746674E-2</v>
      </c>
      <c r="AC59">
        <f t="shared" si="37"/>
        <v>3.2527728623287462E-2</v>
      </c>
      <c r="AD59">
        <f t="shared" si="38"/>
        <v>2.0433501163701309E-2</v>
      </c>
      <c r="AE59">
        <f t="shared" si="39"/>
        <v>0.23295218009952234</v>
      </c>
      <c r="AF59">
        <f t="shared" si="40"/>
        <v>0.17640332581220575</v>
      </c>
    </row>
    <row r="60" spans="4:32" x14ac:dyDescent="0.3">
      <c r="D60" s="1">
        <f t="shared" si="19"/>
        <v>37.155091474571165</v>
      </c>
      <c r="E60" s="1">
        <f t="shared" si="20"/>
        <v>34.699185802614885</v>
      </c>
      <c r="G60" s="1">
        <f t="shared" si="22"/>
        <v>37.15510566283433</v>
      </c>
      <c r="I60">
        <f t="shared" si="41"/>
        <v>58</v>
      </c>
      <c r="K60" s="1">
        <f t="shared" si="23"/>
        <v>8.8069554637979063E-3</v>
      </c>
      <c r="L60" s="1">
        <f t="shared" si="24"/>
        <v>5.0318061217311284E-3</v>
      </c>
      <c r="N60" s="1">
        <f t="shared" si="25"/>
        <v>2.9759791126679014</v>
      </c>
      <c r="O60" s="1">
        <f t="shared" si="26"/>
        <v>12.739030684428588</v>
      </c>
      <c r="Q60" s="1">
        <f t="shared" si="27"/>
        <v>5.0947106205093129E-4</v>
      </c>
      <c r="R60" s="1">
        <f t="shared" si="28"/>
        <v>2.458445404036906E-4</v>
      </c>
      <c r="S60" s="1">
        <f t="shared" si="29"/>
        <v>7.6779023750349646E-5</v>
      </c>
      <c r="T60" s="1">
        <f t="shared" si="30"/>
        <v>3.3705457858299041E-5</v>
      </c>
      <c r="U60" s="1">
        <f t="shared" si="31"/>
        <v>1.3210122936251444E-6</v>
      </c>
      <c r="V60" s="1">
        <f t="shared" si="32"/>
        <v>4.8692200830871074E-7</v>
      </c>
      <c r="W60" s="1"/>
      <c r="X60" s="6">
        <f t="shared" si="33"/>
        <v>1.6199178469371129</v>
      </c>
      <c r="Y60" s="6">
        <f t="shared" si="34"/>
        <v>3.0818888883464699</v>
      </c>
      <c r="AA60">
        <f t="shared" si="35"/>
        <v>0.1042106847970086</v>
      </c>
      <c r="AB60">
        <f t="shared" si="36"/>
        <v>7.2431556640269429E-2</v>
      </c>
      <c r="AC60">
        <f t="shared" si="37"/>
        <v>3.9380721058774548E-2</v>
      </c>
      <c r="AD60">
        <f t="shared" si="38"/>
        <v>2.5119810624071742E-2</v>
      </c>
      <c r="AE60">
        <f t="shared" si="39"/>
        <v>0.26037154833098097</v>
      </c>
      <c r="AF60">
        <f t="shared" si="40"/>
        <v>0.19983790503042118</v>
      </c>
    </row>
    <row r="61" spans="4:32" x14ac:dyDescent="0.3">
      <c r="D61" s="1">
        <f t="shared" si="19"/>
        <v>36.164985653689932</v>
      </c>
      <c r="E61" s="1">
        <f t="shared" si="20"/>
        <v>33.295576059058853</v>
      </c>
      <c r="G61" s="1">
        <f t="shared" si="22"/>
        <v>36.165006913461681</v>
      </c>
      <c r="I61">
        <f t="shared" si="41"/>
        <v>59</v>
      </c>
      <c r="K61" s="1">
        <f t="shared" si="23"/>
        <v>1.1063994588625184E-2</v>
      </c>
      <c r="L61" s="1">
        <f t="shared" si="24"/>
        <v>6.4202305102069755E-3</v>
      </c>
      <c r="N61" s="1">
        <f t="shared" si="25"/>
        <v>2.9006401334737317</v>
      </c>
      <c r="O61" s="1">
        <f t="shared" si="26"/>
        <v>11.999200781965452</v>
      </c>
      <c r="Q61" s="1">
        <f t="shared" si="27"/>
        <v>6.8768291468394773E-4</v>
      </c>
      <c r="R61" s="1">
        <f t="shared" si="28"/>
        <v>3.3721094408398504E-4</v>
      </c>
      <c r="S61" s="1">
        <f t="shared" si="29"/>
        <v>1.0789683919917692E-4</v>
      </c>
      <c r="T61" s="1">
        <f t="shared" si="30"/>
        <v>4.8141758141430317E-5</v>
      </c>
      <c r="U61" s="1">
        <f t="shared" si="31"/>
        <v>2.0000296768458776E-6</v>
      </c>
      <c r="V61" s="1">
        <f t="shared" si="32"/>
        <v>7.4946130730697429E-7</v>
      </c>
      <c r="W61" s="1"/>
      <c r="X61" s="6">
        <f t="shared" si="33"/>
        <v>1.5789085009886965</v>
      </c>
      <c r="Y61" s="6">
        <f t="shared" si="34"/>
        <v>2.9029056036563219</v>
      </c>
      <c r="AA61">
        <f t="shared" si="35"/>
        <v>0.12050902942373484</v>
      </c>
      <c r="AB61">
        <f t="shared" si="36"/>
        <v>8.4962326393855592E-2</v>
      </c>
      <c r="AC61">
        <f t="shared" si="37"/>
        <v>4.7218208422958319E-2</v>
      </c>
      <c r="AD61">
        <f t="shared" si="38"/>
        <v>3.0572466228807632E-2</v>
      </c>
      <c r="AE61">
        <f t="shared" si="39"/>
        <v>0.28885657424382638</v>
      </c>
      <c r="AF61">
        <f t="shared" si="40"/>
        <v>0.22460635899946862</v>
      </c>
    </row>
    <row r="62" spans="4:32" x14ac:dyDescent="0.3">
      <c r="D62" s="1">
        <f t="shared" si="19"/>
        <v>35.177347750018612</v>
      </c>
      <c r="E62" s="1">
        <f t="shared" si="20"/>
        <v>31.854079093702119</v>
      </c>
      <c r="G62" s="1">
        <f t="shared" si="22"/>
        <v>35.177379180141827</v>
      </c>
      <c r="I62">
        <f t="shared" si="41"/>
        <v>60</v>
      </c>
      <c r="K62" s="1">
        <f t="shared" si="23"/>
        <v>1.3757667572379631E-2</v>
      </c>
      <c r="L62" s="1">
        <f t="shared" si="24"/>
        <v>8.1055453543928818E-3</v>
      </c>
      <c r="N62" s="1">
        <f t="shared" si="25"/>
        <v>2.8284271247461894</v>
      </c>
      <c r="O62" s="1">
        <f t="shared" si="26"/>
        <v>11.313708498984754</v>
      </c>
      <c r="Q62" s="1">
        <f t="shared" si="27"/>
        <v>9.1743260394515119E-4</v>
      </c>
      <c r="R62" s="1">
        <f t="shared" si="28"/>
        <v>4.5701080648094782E-4</v>
      </c>
      <c r="S62" s="1">
        <f t="shared" si="29"/>
        <v>1.4974779677862354E-4</v>
      </c>
      <c r="T62" s="1">
        <f t="shared" si="30"/>
        <v>6.7888833299424009E-5</v>
      </c>
      <c r="U62" s="1">
        <f t="shared" si="31"/>
        <v>2.9864876524010504E-6</v>
      </c>
      <c r="V62" s="1">
        <f t="shared" si="32"/>
        <v>1.1373802769172456E-6</v>
      </c>
      <c r="W62" s="1"/>
      <c r="X62" s="6">
        <f t="shared" si="33"/>
        <v>1.5396007178390017</v>
      </c>
      <c r="Y62" s="6">
        <f t="shared" si="34"/>
        <v>2.7370679428248912</v>
      </c>
      <c r="AA62">
        <f t="shared" si="35"/>
        <v>0.13820699431731612</v>
      </c>
      <c r="AB62">
        <f t="shared" si="36"/>
        <v>9.88015767617475E-2</v>
      </c>
      <c r="AC62">
        <f t="shared" si="37"/>
        <v>5.6096787909261946E-2</v>
      </c>
      <c r="AD62">
        <f t="shared" si="38"/>
        <v>3.6854912861482687E-2</v>
      </c>
      <c r="AE62">
        <f t="shared" si="39"/>
        <v>0.31821625137768728</v>
      </c>
      <c r="AF62">
        <f t="shared" si="40"/>
        <v>0.25057143637985901</v>
      </c>
    </row>
    <row r="63" spans="4:32" x14ac:dyDescent="0.3">
      <c r="D63" s="1">
        <f t="shared" si="19"/>
        <v>34.192639472562576</v>
      </c>
      <c r="E63" s="1">
        <f t="shared" si="20"/>
        <v>30.375654173944419</v>
      </c>
      <c r="G63" s="1">
        <f t="shared" si="22"/>
        <v>34.192685343490979</v>
      </c>
      <c r="I63">
        <f t="shared" si="41"/>
        <v>61</v>
      </c>
      <c r="K63" s="1">
        <f t="shared" si="23"/>
        <v>1.6940646996379562E-2</v>
      </c>
      <c r="L63" s="1">
        <f t="shared" si="24"/>
        <v>1.0130432769837662E-2</v>
      </c>
      <c r="N63" s="1">
        <f t="shared" si="25"/>
        <v>2.7591614687932182</v>
      </c>
      <c r="O63" s="1">
        <f t="shared" si="26"/>
        <v>10.677754676329572</v>
      </c>
      <c r="Q63" s="1">
        <f t="shared" si="27"/>
        <v>1.2103194106655622E-3</v>
      </c>
      <c r="R63" s="1">
        <f t="shared" si="28"/>
        <v>6.1229618267778058E-4</v>
      </c>
      <c r="S63" s="1">
        <f t="shared" si="29"/>
        <v>2.0536678233629046E-4</v>
      </c>
      <c r="T63" s="1">
        <f t="shared" si="30"/>
        <v>9.4572713395884198E-5</v>
      </c>
      <c r="U63" s="1">
        <f t="shared" si="31"/>
        <v>4.4007876441888383E-6</v>
      </c>
      <c r="V63" s="1">
        <f t="shared" si="32"/>
        <v>1.7028781913443898E-6</v>
      </c>
      <c r="W63" s="1"/>
      <c r="X63" s="6">
        <f t="shared" si="33"/>
        <v>1.5018972703314573</v>
      </c>
      <c r="Y63" s="6">
        <f t="shared" si="34"/>
        <v>2.5832148696912993</v>
      </c>
      <c r="AA63">
        <f t="shared" si="35"/>
        <v>0.15726458971827267</v>
      </c>
      <c r="AB63">
        <f t="shared" si="36"/>
        <v>0.1139542784481312</v>
      </c>
      <c r="AC63">
        <f t="shared" si="37"/>
        <v>6.6063902902151583E-2</v>
      </c>
      <c r="AD63">
        <f t="shared" si="38"/>
        <v>4.4026027898188956E-2</v>
      </c>
      <c r="AE63">
        <f t="shared" si="39"/>
        <v>0.34825123067510422</v>
      </c>
      <c r="AF63">
        <f t="shared" si="40"/>
        <v>0.27757987299880582</v>
      </c>
    </row>
    <row r="64" spans="4:32" x14ac:dyDescent="0.3">
      <c r="D64" s="1">
        <f t="shared" si="19"/>
        <v>33.211375226555305</v>
      </c>
      <c r="E64" s="1">
        <f t="shared" si="20"/>
        <v>28.861895246055632</v>
      </c>
      <c r="G64" s="1">
        <f t="shared" si="22"/>
        <v>33.211441351479039</v>
      </c>
      <c r="I64">
        <f t="shared" si="41"/>
        <v>62</v>
      </c>
      <c r="K64" s="1">
        <f t="shared" si="23"/>
        <v>2.0666250043050845E-2</v>
      </c>
      <c r="L64" s="1">
        <f t="shared" si="24"/>
        <v>1.2539652060149441E-2</v>
      </c>
      <c r="N64" s="1">
        <f t="shared" si="25"/>
        <v>2.6926774592525895</v>
      </c>
      <c r="O64" s="1">
        <f t="shared" si="26"/>
        <v>10.087033146003458</v>
      </c>
      <c r="Q64" s="1">
        <f t="shared" si="27"/>
        <v>1.5797050143678589E-3</v>
      </c>
      <c r="R64" s="1">
        <f t="shared" si="28"/>
        <v>8.1137359038847671E-4</v>
      </c>
      <c r="S64" s="1">
        <f t="shared" si="29"/>
        <v>2.7844379488041791E-4</v>
      </c>
      <c r="T64" s="1">
        <f t="shared" si="30"/>
        <v>1.3021102964255521E-4</v>
      </c>
      <c r="U64" s="1">
        <f t="shared" si="31"/>
        <v>6.4029834285757579E-6</v>
      </c>
      <c r="V64" s="1">
        <f t="shared" si="32"/>
        <v>2.5166545333636246E-6</v>
      </c>
      <c r="W64" s="1"/>
      <c r="X64" s="6">
        <f t="shared" si="33"/>
        <v>1.4657079593472637</v>
      </c>
      <c r="Y64" s="6">
        <f t="shared" si="34"/>
        <v>2.4403046149382122</v>
      </c>
      <c r="AA64">
        <f t="shared" si="35"/>
        <v>0.17762310931678654</v>
      </c>
      <c r="AB64">
        <f t="shared" si="36"/>
        <v>0.13040870066703703</v>
      </c>
      <c r="AC64">
        <f t="shared" si="37"/>
        <v>7.7156497587044362E-2</v>
      </c>
      <c r="AD64">
        <f t="shared" si="38"/>
        <v>5.2138702234498846E-2</v>
      </c>
      <c r="AE64">
        <f t="shared" si="39"/>
        <v>0.37875832873076487</v>
      </c>
      <c r="AF64">
        <f t="shared" si="40"/>
        <v>0.30546601653577515</v>
      </c>
    </row>
    <row r="65" spans="4:32" x14ac:dyDescent="0.3">
      <c r="D65" s="1">
        <f t="shared" si="19"/>
        <v>32.234122218301195</v>
      </c>
      <c r="E65" s="1">
        <f t="shared" si="20"/>
        <v>27.315017960455975</v>
      </c>
      <c r="G65" s="1">
        <f t="shared" si="22"/>
        <v>32.234216417812732</v>
      </c>
      <c r="I65">
        <f t="shared" si="41"/>
        <v>63</v>
      </c>
      <c r="K65" s="1">
        <f t="shared" si="23"/>
        <v>2.498753548684823E-2</v>
      </c>
      <c r="L65" s="1">
        <f t="shared" si="24"/>
        <v>1.5379473450350702E-2</v>
      </c>
      <c r="N65" s="1">
        <f t="shared" si="25"/>
        <v>2.6288211784470628</v>
      </c>
      <c r="O65" s="1">
        <f t="shared" si="26"/>
        <v>9.5376732097852592</v>
      </c>
      <c r="Q65" s="1">
        <f t="shared" si="27"/>
        <v>2.0408022407732368E-3</v>
      </c>
      <c r="R65" s="1">
        <f t="shared" si="28"/>
        <v>1.0639143421267369E-3</v>
      </c>
      <c r="S65" s="1">
        <f t="shared" si="29"/>
        <v>3.7341350999990061E-4</v>
      </c>
      <c r="T65" s="1">
        <f t="shared" si="30"/>
        <v>1.772781605626936E-4</v>
      </c>
      <c r="U65" s="1">
        <f t="shared" si="31"/>
        <v>9.2032373333405496E-6</v>
      </c>
      <c r="V65" s="1">
        <f t="shared" si="32"/>
        <v>3.6732747151432806E-6</v>
      </c>
      <c r="W65" s="1"/>
      <c r="X65" s="6">
        <f t="shared" si="33"/>
        <v>1.4309490027149485</v>
      </c>
      <c r="Y65" s="6">
        <f t="shared" si="34"/>
        <v>2.3074007602357445</v>
      </c>
      <c r="AA65">
        <f t="shared" si="35"/>
        <v>0.19920633128044682</v>
      </c>
      <c r="AB65">
        <f t="shared" si="36"/>
        <v>0.14813641423131851</v>
      </c>
      <c r="AC65">
        <f t="shared" si="37"/>
        <v>8.9399915534194394E-2</v>
      </c>
      <c r="AD65">
        <f t="shared" si="38"/>
        <v>6.1238522672663394E-2</v>
      </c>
      <c r="AE65">
        <f t="shared" si="39"/>
        <v>0.40953480802606818</v>
      </c>
      <c r="AF65">
        <f t="shared" si="40"/>
        <v>0.33405557425897331</v>
      </c>
    </row>
    <row r="66" spans="4:32" x14ac:dyDescent="0.3">
      <c r="D66" s="1">
        <f t="shared" si="19"/>
        <v>31.261499612744664</v>
      </c>
      <c r="E66" s="1">
        <f t="shared" si="20"/>
        <v>25.737830921504084</v>
      </c>
      <c r="G66" s="1">
        <f t="shared" ref="G66:G97" si="42">+I66*K66-$B$4*EXP(-$B$2*$B$5)*L66+$B$4*EXP(-$B$2*$B$5)-I66</f>
        <v>31.261632289780536</v>
      </c>
      <c r="I66">
        <f t="shared" si="41"/>
        <v>64</v>
      </c>
      <c r="K66" s="1">
        <f t="shared" ref="K66:K97" si="43">_xlfn.NORM.S.DIST((LN(I66/$B$4)+($B$2-$B$3+0.5*$B$1^2)*$B$5)/($B$1*SQRT($B$5)),TRUE)</f>
        <v>2.9956349889287862E-2</v>
      </c>
      <c r="L66" s="1">
        <f t="shared" ref="L66:L97" si="44">_xlfn.NORM.S.DIST((LN(I66/$B$4)+($B$2-$B$3-0.5*$B$1^2)*$B$5)/($B$1*SQRT($B$5)),TRUE)</f>
        <v>1.8697030468110387E-2</v>
      </c>
      <c r="N66" s="1">
        <f t="shared" ref="N66:N97" si="45">($B$6/I66)^(-1+(2*($B$2-$B$3))/($B$1^2))</f>
        <v>2.5674494883054653</v>
      </c>
      <c r="O66" s="1">
        <f t="shared" ref="O66:O97" si="46">($B$6/I66)^(1+(2*($B$2-$B$3))/($B$1^2))</f>
        <v>9.0261896073239019</v>
      </c>
      <c r="Q66" s="1">
        <f t="shared" ref="Q66:Q97" si="47">_xlfn.NORM.S.DIST((LN(I66/$B$6)+($B$2-$B$3+0.5*$B$1^2)*$B$5)/($B$1*SQRT($B$5)),TRUE)</f>
        <v>2.6107351273405338E-3</v>
      </c>
      <c r="R66" s="1">
        <f t="shared" ref="R66:R97" si="48">_xlfn.NORM.S.DIST((LN(I66/$B$6)+($B$2-$B$3-0.5*$B$1^2)*$B$5)/($B$1*SQRT($B$5)),TRUE)</f>
        <v>1.3810528052442058E-3</v>
      </c>
      <c r="S66" s="1">
        <f t="shared" ref="S66:S97" si="49">_xlfn.NORM.S.DIST((LN(I66/$B$6)-($B$2-$B$3-0.5*$B$1^2)*$B$5)/($B$1*SQRT($B$5)),TRUE)</f>
        <v>4.9554605520694625E-4</v>
      </c>
      <c r="T66" s="1">
        <f t="shared" ref="T66:T97" si="50">_xlfn.NORM.S.DIST((LN(I66/$B$6)-($B$2-$B$3+0.5*$B$1^2)*$B$5)/($B$1*SQRT($B$5)),TRUE)</f>
        <v>2.3877453660152483E-4</v>
      </c>
      <c r="U66" s="1">
        <f t="shared" ref="U66:U97" si="51">_xlfn.NORM.S.DIST((LN((I66*$B$4)/($B$6^2))-($B$2-$B$3-0.5*$B$1^2)*$B$5)/($B$1*SQRT($B$5)),TRUE)</f>
        <v>1.307426133889746E-5</v>
      </c>
      <c r="V66" s="1">
        <f t="shared" ref="V66:V97" si="52">_xlfn.NORM.S.DIST((LN((I66*$B$4)/($B$6^2))-($B$2-$B$3+0.5*$B$1^2)*$B$5)/($B$1*SQRT($B$5)),TRUE)</f>
        <v>5.297713859583358E-6</v>
      </c>
      <c r="W66" s="1"/>
      <c r="X66" s="6">
        <f t="shared" ref="X66:X97" si="53">($B$7/I66)^(-1+(2*($B$2-$B$3))/($B$1^2))</f>
        <v>1.3975424859373684</v>
      </c>
      <c r="Y66" s="6">
        <f t="shared" ref="Y66:Y97" si="54">($B$7/I66)^(1+(2*($B$2-$B$3))/($B$1^2))</f>
        <v>2.1836601342771385</v>
      </c>
      <c r="AA66">
        <f t="shared" ref="AA66:AA97" si="55">_xlfn.NORM.S.DIST((LN(I66/$B$7)+($B$2-$B$3+0.5*$B$1^2)*$B$5)/($B$1*SQRT($B$5)),TRUE)</f>
        <v>0.22192212964817964</v>
      </c>
      <c r="AB66">
        <f t="shared" ref="AB66:AB97" si="56">_xlfn.NORM.S.DIST((LN(I66/$B$7)+($B$2-$B$3-0.5*$B$1^2)*$B$5)/($B$1*SQRT($B$5)),TRUE)</f>
        <v>0.16709271590694216</v>
      </c>
      <c r="AC66">
        <f t="shared" ref="AC66:AC97" si="57">_xlfn.NORM.S.DIST((LN(I66/$B$7)-($B$2-$B$3-0.5*$B$1^2)*$B$5)/($B$1*SQRT($B$5)),TRUE)</f>
        <v>0.10280707440266672</v>
      </c>
      <c r="AD66">
        <f t="shared" ref="AD66:AD97" si="58">_xlfn.NORM.S.DIST((LN(I66/$B$7)-($B$2-$B$3+0.5*$B$1^2)*$B$5)/($B$1*SQRT($B$5)),TRUE)</f>
        <v>7.1362597335071901E-2</v>
      </c>
      <c r="AE66">
        <f t="shared" ref="AE66:AE97" si="59">_xlfn.NORM.S.DIST((LN((I66*$B$4)/($B$7^2))-($B$2-$B$3-0.5*$B$1^2)*$B$5)/($B$1*SQRT($B$5)),TRUE)</f>
        <v>0.4403823076297575</v>
      </c>
      <c r="AF66">
        <f t="shared" ref="AF66:AF97" si="60">_xlfn.NORM.S.DIST((LN((I66*$B$4)/($B$7^2))-($B$2-$B$3+0.5*$B$1^2)*$B$5)/($B$1*SQRT($B$5)),TRUE)</f>
        <v>0.3631693488243809</v>
      </c>
    </row>
    <row r="67" spans="4:32" x14ac:dyDescent="0.3">
      <c r="D67" s="1">
        <f t="shared" ref="D67:D130" si="61">IF(I67&lt;$B$6,-I67*(1-K67-O67*V67)+$B$4*EXP(-$B$2*$B$5)*(1-L67-N67*U67),NA())</f>
        <v>30.294176704701385</v>
      </c>
      <c r="E67" s="1">
        <f t="shared" ref="E67:E130" si="62">+IF(I67&lt;$B$7,-I67*(1-AA67-Y67*AD67)+$B$4*EXP(-$B$2*$B$5)*(1-AB67-X67*AC67),NA())</f>
        <v>24.133692606116604</v>
      </c>
      <c r="G67" s="1">
        <f t="shared" si="42"/>
        <v>30.294361547853441</v>
      </c>
      <c r="I67">
        <f t="shared" si="41"/>
        <v>65</v>
      </c>
      <c r="K67" s="1">
        <f t="shared" si="43"/>
        <v>3.5622349442744658E-2</v>
      </c>
      <c r="L67" s="1">
        <f t="shared" si="44"/>
        <v>2.2539605701555526E-2</v>
      </c>
      <c r="N67" s="1">
        <f t="shared" si="45"/>
        <v>2.5084291217972576</v>
      </c>
      <c r="O67" s="1">
        <f t="shared" si="46"/>
        <v>8.5494389003267504</v>
      </c>
      <c r="Q67" s="1">
        <f t="shared" si="47"/>
        <v>3.308565348358869E-3</v>
      </c>
      <c r="R67" s="1">
        <f t="shared" si="48"/>
        <v>1.7754682808127731E-3</v>
      </c>
      <c r="S67" s="1">
        <f t="shared" si="49"/>
        <v>6.5103674335929037E-4</v>
      </c>
      <c r="T67" s="1">
        <f t="shared" si="50"/>
        <v>3.1829900827689455E-4</v>
      </c>
      <c r="U67" s="1">
        <f t="shared" si="51"/>
        <v>1.8365926415152705E-5</v>
      </c>
      <c r="V67" s="1">
        <f t="shared" si="52"/>
        <v>7.5532354145673781E-6</v>
      </c>
      <c r="W67" s="1"/>
      <c r="X67" s="6">
        <f t="shared" si="53"/>
        <v>1.3654158676313333</v>
      </c>
      <c r="Y67" s="6">
        <f t="shared" si="54"/>
        <v>2.0683222610273453</v>
      </c>
      <c r="AA67">
        <f t="shared" si="55"/>
        <v>0.24566442187804399</v>
      </c>
      <c r="AB67">
        <f t="shared" si="56"/>
        <v>0.18721744347703587</v>
      </c>
      <c r="AC67">
        <f t="shared" si="57"/>
        <v>0.11737793736165314</v>
      </c>
      <c r="AD67">
        <f t="shared" si="58"/>
        <v>8.2538559587976901E-2</v>
      </c>
      <c r="AE67">
        <f t="shared" si="59"/>
        <v>0.471110331754173</v>
      </c>
      <c r="AF67">
        <f t="shared" si="60"/>
        <v>0.39262684222089195</v>
      </c>
    </row>
    <row r="68" spans="4:32" x14ac:dyDescent="0.3">
      <c r="D68" s="1">
        <f t="shared" si="61"/>
        <v>29.332870091972616</v>
      </c>
      <c r="E68" s="1">
        <f t="shared" si="62"/>
        <v>22.506455838513382</v>
      </c>
      <c r="G68" s="1">
        <f t="shared" si="42"/>
        <v>29.333124926384784</v>
      </c>
      <c r="I68">
        <f t="shared" si="41"/>
        <v>66</v>
      </c>
      <c r="K68" s="1">
        <f t="shared" si="43"/>
        <v>4.2032024926565832E-2</v>
      </c>
      <c r="L68" s="1">
        <f t="shared" si="44"/>
        <v>2.6953867308990524E-2</v>
      </c>
      <c r="N68" s="1">
        <f t="shared" si="45"/>
        <v>2.4516358635026978</v>
      </c>
      <c r="O68" s="1">
        <f t="shared" si="46"/>
        <v>8.1045813669510665</v>
      </c>
      <c r="Q68" s="1">
        <f t="shared" si="47"/>
        <v>4.1552807396121006E-3</v>
      </c>
      <c r="R68" s="1">
        <f t="shared" si="48"/>
        <v>2.2614462892193688E-3</v>
      </c>
      <c r="S68" s="1">
        <f t="shared" si="49"/>
        <v>8.470922523813075E-4</v>
      </c>
      <c r="T68" s="1">
        <f t="shared" si="50"/>
        <v>4.2012292401665376E-4</v>
      </c>
      <c r="U68" s="1">
        <f t="shared" si="51"/>
        <v>2.5522197646146374E-5</v>
      </c>
      <c r="V68" s="1">
        <f t="shared" si="52"/>
        <v>1.0650758689453577E-5</v>
      </c>
      <c r="W68" s="1"/>
      <c r="X68" s="6">
        <f t="shared" si="53"/>
        <v>1.3345015334864976</v>
      </c>
      <c r="Y68" s="6">
        <f t="shared" si="54"/>
        <v>1.960700141026994</v>
      </c>
      <c r="AA68">
        <f t="shared" si="55"/>
        <v>0.27031537177288706</v>
      </c>
      <c r="AB68">
        <f t="shared" si="56"/>
        <v>0.20843613848885223</v>
      </c>
      <c r="AC68">
        <f t="shared" si="57"/>
        <v>0.13309929011570709</v>
      </c>
      <c r="AD68">
        <f t="shared" si="58"/>
        <v>9.4783778553500134E-2</v>
      </c>
      <c r="AE68">
        <f t="shared" si="59"/>
        <v>0.50153923252208465</v>
      </c>
      <c r="AF68">
        <f t="shared" si="60"/>
        <v>0.42224962650741954</v>
      </c>
    </row>
    <row r="69" spans="4:32" x14ac:dyDescent="0.3">
      <c r="D69" s="1">
        <f t="shared" si="61"/>
        <v>28.378339866372649</v>
      </c>
      <c r="E69" s="1">
        <f t="shared" si="62"/>
        <v>20.860402031869079</v>
      </c>
      <c r="G69" s="1">
        <f t="shared" si="42"/>
        <v>28.378687672250663</v>
      </c>
      <c r="I69">
        <f t="shared" si="41"/>
        <v>67</v>
      </c>
      <c r="K69" s="1">
        <f t="shared" si="43"/>
        <v>4.9227757121873481E-2</v>
      </c>
      <c r="L69" s="1">
        <f t="shared" si="44"/>
        <v>3.1985075593968647E-2</v>
      </c>
      <c r="N69" s="1">
        <f t="shared" si="45"/>
        <v>2.3969538093786471</v>
      </c>
      <c r="O69" s="1">
        <f t="shared" si="46"/>
        <v>7.6890476397978453</v>
      </c>
      <c r="Q69" s="1">
        <f t="shared" si="47"/>
        <v>5.1737425628935619E-3</v>
      </c>
      <c r="R69" s="1">
        <f t="shared" si="48"/>
        <v>2.8549153137111308E-3</v>
      </c>
      <c r="S69" s="1">
        <f t="shared" si="49"/>
        <v>1.0920105493672542E-3</v>
      </c>
      <c r="T69" s="1">
        <f t="shared" si="50"/>
        <v>5.4926432427571743E-4</v>
      </c>
      <c r="U69" s="1">
        <f t="shared" si="51"/>
        <v>3.5100516687975343E-5</v>
      </c>
      <c r="V69" s="1">
        <f t="shared" si="52"/>
        <v>1.4859860865575864E-5</v>
      </c>
      <c r="W69" s="1"/>
      <c r="X69" s="6">
        <f t="shared" si="53"/>
        <v>1.3047363933329026</v>
      </c>
      <c r="Y69" s="6">
        <f t="shared" si="54"/>
        <v>1.8601721802919522</v>
      </c>
      <c r="AA69">
        <f t="shared" si="55"/>
        <v>0.29574776464432601</v>
      </c>
      <c r="AB69">
        <f t="shared" si="56"/>
        <v>0.23066150416550998</v>
      </c>
      <c r="AC69">
        <f t="shared" si="57"/>
        <v>0.14994482113619231</v>
      </c>
      <c r="AD69">
        <f t="shared" si="58"/>
        <v>0.10810479610568276</v>
      </c>
      <c r="AE69">
        <f t="shared" si="59"/>
        <v>0.53150265079777548</v>
      </c>
      <c r="AF69">
        <f t="shared" si="60"/>
        <v>0.45186440054290344</v>
      </c>
    </row>
    <row r="70" spans="4:32" x14ac:dyDescent="0.3">
      <c r="D70" s="1">
        <f t="shared" si="61"/>
        <v>27.43138486591927</v>
      </c>
      <c r="E70" s="1">
        <f t="shared" si="62"/>
        <v>19.200167609250371</v>
      </c>
      <c r="G70" s="1">
        <f t="shared" si="42"/>
        <v>27.431854985107151</v>
      </c>
      <c r="I70">
        <f t="shared" si="41"/>
        <v>68</v>
      </c>
      <c r="K70" s="1">
        <f t="shared" si="43"/>
        <v>5.7246928835850606E-2</v>
      </c>
      <c r="L70" s="1">
        <f t="shared" si="44"/>
        <v>3.7676280122255684E-2</v>
      </c>
      <c r="N70" s="1">
        <f t="shared" si="45"/>
        <v>2.3442746970178989</v>
      </c>
      <c r="O70" s="1">
        <f t="shared" si="46"/>
        <v>7.3005094370799615</v>
      </c>
      <c r="Q70" s="1">
        <f t="shared" si="47"/>
        <v>6.3885892190024057E-3</v>
      </c>
      <c r="R70" s="1">
        <f t="shared" si="48"/>
        <v>3.5734554789650123E-3</v>
      </c>
      <c r="S70" s="1">
        <f t="shared" si="49"/>
        <v>1.3952517475251561E-3</v>
      </c>
      <c r="T70" s="1">
        <f t="shared" si="50"/>
        <v>7.1156045000099369E-4</v>
      </c>
      <c r="U70" s="1">
        <f t="shared" si="51"/>
        <v>4.7793706754746315E-5</v>
      </c>
      <c r="V70" s="1">
        <f t="shared" si="52"/>
        <v>2.0521543979897405E-5</v>
      </c>
      <c r="W70" s="1"/>
      <c r="X70" s="6">
        <f t="shared" si="53"/>
        <v>1.2760615165803304</v>
      </c>
      <c r="Y70" s="6">
        <f t="shared" si="54"/>
        <v>1.7661751094537446</v>
      </c>
      <c r="AA70">
        <f t="shared" si="55"/>
        <v>0.32182747298832592</v>
      </c>
      <c r="AB70">
        <f t="shared" si="56"/>
        <v>0.2537950995737065</v>
      </c>
      <c r="AC70">
        <f t="shared" si="57"/>
        <v>0.16787549234269009</v>
      </c>
      <c r="AD70">
        <f t="shared" si="58"/>
        <v>0.12249700173414359</v>
      </c>
      <c r="AE70">
        <f t="shared" si="59"/>
        <v>0.56084940381856596</v>
      </c>
      <c r="AF70">
        <f t="shared" si="60"/>
        <v>0.48130567310904271</v>
      </c>
    </row>
    <row r="71" spans="4:32" x14ac:dyDescent="0.3">
      <c r="D71" s="1">
        <f t="shared" si="61"/>
        <v>26.492837057035658</v>
      </c>
      <c r="E71" s="1">
        <f t="shared" si="62"/>
        <v>17.530665100432518</v>
      </c>
      <c r="G71" s="1">
        <f t="shared" si="42"/>
        <v>26.493466608083708</v>
      </c>
      <c r="I71">
        <f t="shared" si="41"/>
        <v>69</v>
      </c>
      <c r="K71" s="1">
        <f t="shared" si="43"/>
        <v>6.6121117521279929E-2</v>
      </c>
      <c r="L71" s="1">
        <f t="shared" si="44"/>
        <v>4.4067528221766718E-2</v>
      </c>
      <c r="N71" s="1">
        <f t="shared" si="45"/>
        <v>2.2934972987679543</v>
      </c>
      <c r="O71" s="1">
        <f t="shared" si="46"/>
        <v>6.9368538337026964</v>
      </c>
      <c r="Q71" s="1">
        <f t="shared" si="47"/>
        <v>7.8260953124683289E-3</v>
      </c>
      <c r="R71" s="1">
        <f t="shared" si="48"/>
        <v>4.4362762182043715E-3</v>
      </c>
      <c r="S71" s="1">
        <f t="shared" si="49"/>
        <v>1.7674970647608768E-3</v>
      </c>
      <c r="T71" s="1">
        <f t="shared" si="50"/>
        <v>9.1373659689153409E-4</v>
      </c>
      <c r="U71" s="1">
        <f t="shared" si="51"/>
        <v>6.4454418957119095E-5</v>
      </c>
      <c r="V71" s="1">
        <f t="shared" si="52"/>
        <v>2.8062875345440639E-5</v>
      </c>
      <c r="W71" s="1"/>
      <c r="X71" s="6">
        <f t="shared" si="53"/>
        <v>1.248421801874007</v>
      </c>
      <c r="Y71" s="6">
        <f t="shared" si="54"/>
        <v>1.6781977592929311</v>
      </c>
      <c r="AA71">
        <f t="shared" si="55"/>
        <v>0.3484159355677145</v>
      </c>
      <c r="AB71">
        <f t="shared" si="56"/>
        <v>0.27772920778458887</v>
      </c>
      <c r="AC71">
        <f t="shared" si="57"/>
        <v>0.18684017843760983</v>
      </c>
      <c r="AD71">
        <f t="shared" si="58"/>
        <v>0.13794454823523097</v>
      </c>
      <c r="AE71">
        <f t="shared" si="59"/>
        <v>0.58944482984891855</v>
      </c>
      <c r="AF71">
        <f t="shared" si="60"/>
        <v>0.51041803352424431</v>
      </c>
    </row>
    <row r="72" spans="4:32" x14ac:dyDescent="0.3">
      <c r="D72" s="1">
        <f t="shared" si="61"/>
        <v>25.563555138683967</v>
      </c>
      <c r="E72" s="1">
        <f t="shared" si="62"/>
        <v>15.857001388109492</v>
      </c>
      <c r="G72" s="1">
        <f t="shared" si="42"/>
        <v>25.564390660286776</v>
      </c>
      <c r="I72">
        <f t="shared" si="41"/>
        <v>70</v>
      </c>
      <c r="K72" s="1">
        <f t="shared" si="43"/>
        <v>7.5875389491867534E-2</v>
      </c>
      <c r="L72" s="1">
        <f t="shared" si="44"/>
        <v>5.1195105289887979E-2</v>
      </c>
      <c r="N72" s="1">
        <f t="shared" si="45"/>
        <v>2.244526870998778</v>
      </c>
      <c r="O72" s="1">
        <f t="shared" si="46"/>
        <v>6.5961606004862032</v>
      </c>
      <c r="Q72" s="1">
        <f t="shared" si="47"/>
        <v>9.513986244577147E-3</v>
      </c>
      <c r="R72" s="1">
        <f t="shared" si="48"/>
        <v>5.4641606904456616E-3</v>
      </c>
      <c r="S72" s="1">
        <f t="shared" si="49"/>
        <v>2.2206931286693704E-3</v>
      </c>
      <c r="T72" s="1">
        <f t="shared" si="50"/>
        <v>1.1634692317187842E-3</v>
      </c>
      <c r="U72" s="1">
        <f t="shared" si="51"/>
        <v>8.6122073220825981E-5</v>
      </c>
      <c r="V72" s="1">
        <f t="shared" si="52"/>
        <v>3.8013580622109409E-5</v>
      </c>
      <c r="W72" s="1"/>
      <c r="X72" s="6">
        <f t="shared" si="53"/>
        <v>1.2217656773139398</v>
      </c>
      <c r="Y72" s="6">
        <f t="shared" si="54"/>
        <v>1.5957755785324927</v>
      </c>
      <c r="AA72">
        <f t="shared" si="55"/>
        <v>0.37537257997691609</v>
      </c>
      <c r="AB72">
        <f t="shared" si="56"/>
        <v>0.3023488152322148</v>
      </c>
      <c r="AC72">
        <f t="shared" si="57"/>
        <v>0.20677654565179621</v>
      </c>
      <c r="AD72">
        <f t="shared" si="58"/>
        <v>0.15442050322526796</v>
      </c>
      <c r="AE72">
        <f t="shared" si="59"/>
        <v>0.61717161772794926</v>
      </c>
      <c r="AF72">
        <f t="shared" si="60"/>
        <v>0.53905799013656419</v>
      </c>
    </row>
    <row r="73" spans="4:32" x14ac:dyDescent="0.3">
      <c r="D73" s="1">
        <f t="shared" si="61"/>
        <v>24.644417480149926</v>
      </c>
      <c r="E73" s="1">
        <f t="shared" si="62"/>
        <v>14.184395460803948</v>
      </c>
      <c r="G73" s="1">
        <f t="shared" si="42"/>
        <v>24.645516821719681</v>
      </c>
      <c r="I73">
        <f t="shared" si="41"/>
        <v>71</v>
      </c>
      <c r="K73" s="1">
        <f t="shared" si="43"/>
        <v>8.6527713105777324E-2</v>
      </c>
      <c r="L73" s="1">
        <f t="shared" si="44"/>
        <v>5.9090826188563622E-2</v>
      </c>
      <c r="N73" s="1">
        <f t="shared" si="45"/>
        <v>2.197274653609552</v>
      </c>
      <c r="O73" s="1">
        <f t="shared" si="46"/>
        <v>6.2766822082875509</v>
      </c>
      <c r="Q73" s="1">
        <f t="shared" si="47"/>
        <v>1.14812098126912E-2</v>
      </c>
      <c r="R73" s="1">
        <f t="shared" si="48"/>
        <v>6.6793755240741473E-3</v>
      </c>
      <c r="S73" s="1">
        <f t="shared" si="49"/>
        <v>2.768079045846849E-3</v>
      </c>
      <c r="T73" s="1">
        <f t="shared" si="50"/>
        <v>1.4694412309147181E-3</v>
      </c>
      <c r="U73" s="1">
        <f t="shared" si="51"/>
        <v>1.140521734499057E-4</v>
      </c>
      <c r="V73" s="1">
        <f t="shared" si="52"/>
        <v>5.1024632326207465E-5</v>
      </c>
      <c r="W73" s="1"/>
      <c r="X73" s="6">
        <f t="shared" si="53"/>
        <v>1.196044828020902</v>
      </c>
      <c r="Y73" s="6">
        <f t="shared" si="54"/>
        <v>1.518485796336793</v>
      </c>
      <c r="AA73">
        <f t="shared" si="55"/>
        <v>0.40255712781938857</v>
      </c>
      <c r="AB73">
        <f t="shared" si="56"/>
        <v>0.32753364143264074</v>
      </c>
      <c r="AC73">
        <f t="shared" si="57"/>
        <v>0.22761213497074548</v>
      </c>
      <c r="AD73">
        <f t="shared" si="58"/>
        <v>0.17188722427012917</v>
      </c>
      <c r="AE73">
        <f t="shared" si="59"/>
        <v>0.64393016284585802</v>
      </c>
      <c r="AF73">
        <f t="shared" si="60"/>
        <v>0.56709537429657186</v>
      </c>
    </row>
    <row r="74" spans="4:32" x14ac:dyDescent="0.3">
      <c r="D74" s="1">
        <f t="shared" si="61"/>
        <v>23.736314520165706</v>
      </c>
      <c r="E74" s="1">
        <f t="shared" si="62"/>
        <v>12.518097837263639</v>
      </c>
      <c r="G74" s="1">
        <f t="shared" si="42"/>
        <v>23.737748996587626</v>
      </c>
      <c r="I74">
        <f t="shared" si="41"/>
        <v>72</v>
      </c>
      <c r="K74" s="1">
        <f t="shared" si="43"/>
        <v>9.808850421185164E-2</v>
      </c>
      <c r="L74" s="1">
        <f t="shared" si="44"/>
        <v>6.7781395220415125E-2</v>
      </c>
      <c r="N74" s="1">
        <f t="shared" si="45"/>
        <v>2.1516574145596756</v>
      </c>
      <c r="O74" s="1">
        <f t="shared" si="46"/>
        <v>5.9768261515546541</v>
      </c>
      <c r="Q74" s="1">
        <f t="shared" si="47"/>
        <v>1.3757667572379631E-2</v>
      </c>
      <c r="R74" s="1">
        <f t="shared" si="48"/>
        <v>8.1055453543928818E-3</v>
      </c>
      <c r="S74" s="1">
        <f t="shared" si="49"/>
        <v>3.4241939211222855E-3</v>
      </c>
      <c r="T74" s="1">
        <f t="shared" si="50"/>
        <v>1.8413871101374847E-3</v>
      </c>
      <c r="U74" s="1">
        <f t="shared" si="51"/>
        <v>1.4974779677862354E-4</v>
      </c>
      <c r="V74" s="1">
        <f t="shared" si="52"/>
        <v>6.7888833299424009E-5</v>
      </c>
      <c r="W74" s="1"/>
      <c r="X74" s="6">
        <f t="shared" si="53"/>
        <v>1.1712139482105108</v>
      </c>
      <c r="Y74" s="6">
        <f t="shared" si="54"/>
        <v>1.4459431459389025</v>
      </c>
      <c r="AA74">
        <f t="shared" si="55"/>
        <v>0.4298317318895431</v>
      </c>
      <c r="AB74">
        <f t="shared" si="56"/>
        <v>0.35316016226972924</v>
      </c>
      <c r="AC74">
        <f t="shared" si="57"/>
        <v>0.24926561103492151</v>
      </c>
      <c r="AD74">
        <f t="shared" si="58"/>
        <v>0.19029693922450786</v>
      </c>
      <c r="AE74">
        <f t="shared" si="59"/>
        <v>0.66963850085793852</v>
      </c>
      <c r="AF74">
        <f t="shared" si="60"/>
        <v>0.59441432211371659</v>
      </c>
    </row>
    <row r="75" spans="4:32" x14ac:dyDescent="0.3">
      <c r="D75" s="1">
        <f t="shared" si="61"/>
        <v>22.840140766824291</v>
      </c>
      <c r="E75" s="1">
        <f t="shared" si="62"/>
        <v>10.863313576365194</v>
      </c>
      <c r="G75" s="1">
        <f t="shared" si="42"/>
        <v>22.84199759209848</v>
      </c>
      <c r="I75">
        <f t="shared" si="41"/>
        <v>73</v>
      </c>
      <c r="K75" s="1">
        <f t="shared" si="43"/>
        <v>0.1105603128221091</v>
      </c>
      <c r="L75" s="1">
        <f t="shared" si="44"/>
        <v>7.7287849856471358E-2</v>
      </c>
      <c r="N75" s="1">
        <f t="shared" si="45"/>
        <v>2.107597034814352</v>
      </c>
      <c r="O75" s="1">
        <f t="shared" si="46"/>
        <v>5.6951392946756743</v>
      </c>
      <c r="Q75" s="1">
        <f t="shared" si="47"/>
        <v>1.6373909925660273E-2</v>
      </c>
      <c r="R75" s="1">
        <f t="shared" si="48"/>
        <v>9.7674925582422033E-3</v>
      </c>
      <c r="S75" s="1">
        <f t="shared" si="49"/>
        <v>4.2048628678389181E-3</v>
      </c>
      <c r="T75" s="1">
        <f t="shared" si="50"/>
        <v>2.2901261894813464E-3</v>
      </c>
      <c r="U75" s="1">
        <f t="shared" si="51"/>
        <v>1.9499297278367447E-4</v>
      </c>
      <c r="V75" s="1">
        <f t="shared" si="52"/>
        <v>8.9563345185283822E-5</v>
      </c>
      <c r="W75" s="1"/>
      <c r="X75" s="6">
        <f t="shared" si="53"/>
        <v>1.1472305152662217</v>
      </c>
      <c r="Y75" s="6">
        <f t="shared" si="54"/>
        <v>1.3777960776325424</v>
      </c>
      <c r="AA75">
        <f t="shared" si="55"/>
        <v>0.45706290559787938</v>
      </c>
      <c r="AB75">
        <f t="shared" si="56"/>
        <v>0.37910357573287645</v>
      </c>
      <c r="AC75">
        <f t="shared" si="57"/>
        <v>0.27164813580399183</v>
      </c>
      <c r="AD75">
        <f t="shared" si="58"/>
        <v>0.20959250833250315</v>
      </c>
      <c r="AE75">
        <f t="shared" si="59"/>
        <v>0.69423187660077446</v>
      </c>
      <c r="AF75">
        <f t="shared" si="60"/>
        <v>0.62091385826713208</v>
      </c>
    </row>
    <row r="76" spans="4:32" x14ac:dyDescent="0.3">
      <c r="D76" s="1">
        <f t="shared" si="61"/>
        <v>21.956786545130583</v>
      </c>
      <c r="E76" s="1">
        <f t="shared" si="62"/>
        <v>9.2251304956866118</v>
      </c>
      <c r="G76" s="1">
        <f t="shared" si="42"/>
        <v>21.9591715566349</v>
      </c>
      <c r="I76">
        <f t="shared" si="41"/>
        <v>74</v>
      </c>
      <c r="K76" s="1">
        <f t="shared" si="43"/>
        <v>0.12393765558058713</v>
      </c>
      <c r="L76" s="1">
        <f t="shared" si="44"/>
        <v>8.7625100650928198E-2</v>
      </c>
      <c r="N76" s="1">
        <f t="shared" si="45"/>
        <v>2.0650201296227455</v>
      </c>
      <c r="O76" s="1">
        <f t="shared" si="46"/>
        <v>5.4302939858596684</v>
      </c>
      <c r="Q76" s="1">
        <f t="shared" si="47"/>
        <v>1.9360799989301843E-2</v>
      </c>
      <c r="R76" s="1">
        <f t="shared" si="48"/>
        <v>1.1691043534005439E-2</v>
      </c>
      <c r="S76" s="1">
        <f t="shared" si="49"/>
        <v>5.127159983307151E-3</v>
      </c>
      <c r="T76" s="1">
        <f t="shared" si="50"/>
        <v>2.8275817826230506E-3</v>
      </c>
      <c r="U76" s="1">
        <f t="shared" si="51"/>
        <v>2.5188758284135109E-4</v>
      </c>
      <c r="V76" s="1">
        <f t="shared" si="52"/>
        <v>1.1719405721965098E-4</v>
      </c>
      <c r="W76" s="1"/>
      <c r="X76" s="6">
        <f t="shared" si="53"/>
        <v>1.1240545835892679</v>
      </c>
      <c r="Y76" s="6">
        <f t="shared" si="54"/>
        <v>1.3137233993738704</v>
      </c>
      <c r="AA76">
        <f t="shared" si="55"/>
        <v>0.48412321576396822</v>
      </c>
      <c r="AB76">
        <f t="shared" si="56"/>
        <v>0.40523966584835919</v>
      </c>
      <c r="AC76">
        <f t="shared" si="57"/>
        <v>0.2946648256257105</v>
      </c>
      <c r="AD76">
        <f t="shared" si="58"/>
        <v>0.22970834084517741</v>
      </c>
      <c r="AE76">
        <f t="shared" si="59"/>
        <v>0.71766200861468776</v>
      </c>
      <c r="AF76">
        <f t="shared" si="60"/>
        <v>0.64650811532792618</v>
      </c>
    </row>
    <row r="77" spans="4:32" x14ac:dyDescent="0.3">
      <c r="D77" s="1">
        <f t="shared" si="61"/>
        <v>21.087129642057405</v>
      </c>
      <c r="E77" s="1">
        <f t="shared" si="62"/>
        <v>7.6084539082176086</v>
      </c>
      <c r="G77" s="1">
        <f t="shared" si="42"/>
        <v>21.090170323586094</v>
      </c>
      <c r="I77">
        <f t="shared" si="41"/>
        <v>75</v>
      </c>
      <c r="K77" s="1">
        <f t="shared" si="43"/>
        <v>0.13820699431731612</v>
      </c>
      <c r="L77" s="1">
        <f t="shared" si="44"/>
        <v>9.88015767617475E-2</v>
      </c>
      <c r="N77" s="1">
        <f t="shared" si="45"/>
        <v>2.0238577025077626</v>
      </c>
      <c r="O77" s="1">
        <f t="shared" si="46"/>
        <v>5.1810757184198728</v>
      </c>
      <c r="Q77" s="1">
        <f t="shared" si="47"/>
        <v>2.2749152233532584E-2</v>
      </c>
      <c r="R77" s="1">
        <f t="shared" si="48"/>
        <v>1.3902803796273839E-2</v>
      </c>
      <c r="S77" s="1">
        <f t="shared" si="49"/>
        <v>6.209347260441719E-3</v>
      </c>
      <c r="T77" s="1">
        <f t="shared" si="50"/>
        <v>3.4667847070069002E-3</v>
      </c>
      <c r="U77" s="1">
        <f t="shared" si="51"/>
        <v>3.2288332509379974E-4</v>
      </c>
      <c r="V77" s="1">
        <f t="shared" si="52"/>
        <v>1.5214163184933881E-4</v>
      </c>
      <c r="W77" s="1"/>
      <c r="X77" s="6">
        <f t="shared" si="53"/>
        <v>1.1016485962545541</v>
      </c>
      <c r="Y77" s="6">
        <f t="shared" si="54"/>
        <v>1.2534312917385149</v>
      </c>
      <c r="AA77">
        <f t="shared" si="55"/>
        <v>0.51089272036957423</v>
      </c>
      <c r="AB77">
        <f t="shared" si="56"/>
        <v>0.43144652813697848</v>
      </c>
      <c r="AC77">
        <f t="shared" si="57"/>
        <v>0.31821625137768728</v>
      </c>
      <c r="AD77">
        <f t="shared" si="58"/>
        <v>0.25057143637985901</v>
      </c>
      <c r="AE77">
        <f t="shared" si="59"/>
        <v>0.73989610987649923</v>
      </c>
      <c r="AF77">
        <f t="shared" si="60"/>
        <v>0.67112622855285142</v>
      </c>
    </row>
    <row r="78" spans="4:32" x14ac:dyDescent="0.3">
      <c r="D78" s="1">
        <f t="shared" si="61"/>
        <v>20.232026997800048</v>
      </c>
      <c r="E78" s="1">
        <f t="shared" si="62"/>
        <v>6.0179488657740734</v>
      </c>
      <c r="G78" s="1">
        <f t="shared" si="42"/>
        <v>20.235875805380999</v>
      </c>
      <c r="I78">
        <f t="shared" si="41"/>
        <v>76</v>
      </c>
      <c r="K78" s="1">
        <f t="shared" si="43"/>
        <v>0.15334685695990033</v>
      </c>
      <c r="L78" s="1">
        <f t="shared" si="44"/>
        <v>0.1108189833296617</v>
      </c>
      <c r="N78" s="1">
        <f t="shared" si="45"/>
        <v>1.9840448287501362</v>
      </c>
      <c r="O78" s="1">
        <f t="shared" si="46"/>
        <v>4.9463721492385675</v>
      </c>
      <c r="Q78" s="1">
        <f t="shared" si="47"/>
        <v>2.6569352633256983E-2</v>
      </c>
      <c r="R78" s="1">
        <f t="shared" si="48"/>
        <v>1.6429905018881613E-2</v>
      </c>
      <c r="S78" s="1">
        <f t="shared" si="49"/>
        <v>7.4707889513296434E-3</v>
      </c>
      <c r="T78" s="1">
        <f t="shared" si="50"/>
        <v>4.2218596811131135E-3</v>
      </c>
      <c r="U78" s="1">
        <f t="shared" si="51"/>
        <v>4.1082020955801645E-4</v>
      </c>
      <c r="V78" s="1">
        <f t="shared" si="52"/>
        <v>1.9600900231502857E-4</v>
      </c>
      <c r="W78" s="1"/>
      <c r="X78" s="6">
        <f t="shared" si="53"/>
        <v>1.0799772127212148</v>
      </c>
      <c r="Y78" s="6">
        <f t="shared" si="54"/>
        <v>1.1966506512146422</v>
      </c>
      <c r="AA78">
        <f t="shared" si="55"/>
        <v>0.53726014255325238</v>
      </c>
      <c r="AB78">
        <f t="shared" si="56"/>
        <v>0.45760612784927152</v>
      </c>
      <c r="AC78">
        <f t="shared" si="57"/>
        <v>0.34219994363471501</v>
      </c>
      <c r="AD78">
        <f t="shared" si="58"/>
        <v>0.27210251994096124</v>
      </c>
      <c r="AE78">
        <f t="shared" si="59"/>
        <v>0.76091572331767421</v>
      </c>
      <c r="AF78">
        <f t="shared" si="60"/>
        <v>0.69471195013527043</v>
      </c>
    </row>
    <row r="79" spans="4:32" x14ac:dyDescent="0.3">
      <c r="D79" s="1">
        <f t="shared" si="61"/>
        <v>19.392306586862247</v>
      </c>
      <c r="E79" s="1">
        <f t="shared" si="62"/>
        <v>4.4579905830756816</v>
      </c>
      <c r="G79" s="1">
        <f t="shared" si="42"/>
        <v>19.397144576686756</v>
      </c>
      <c r="I79">
        <f t="shared" si="41"/>
        <v>77</v>
      </c>
      <c r="K79" s="1">
        <f t="shared" si="43"/>
        <v>0.16932809344974412</v>
      </c>
      <c r="L79" s="1">
        <f t="shared" si="44"/>
        <v>0.12367217377857848</v>
      </c>
      <c r="N79" s="1">
        <f t="shared" si="45"/>
        <v>1.9455203655034572</v>
      </c>
      <c r="O79" s="1">
        <f t="shared" si="46"/>
        <v>4.7251633097064909</v>
      </c>
      <c r="Q79" s="1">
        <f t="shared" si="47"/>
        <v>3.085096761921852E-2</v>
      </c>
      <c r="R79" s="1">
        <f t="shared" si="48"/>
        <v>1.929972793879664E-2</v>
      </c>
      <c r="S79" s="1">
        <f t="shared" si="49"/>
        <v>8.9318414732527055E-3</v>
      </c>
      <c r="T79" s="1">
        <f t="shared" si="50"/>
        <v>5.1079934965473518E-3</v>
      </c>
      <c r="U79" s="1">
        <f t="shared" si="51"/>
        <v>5.1896297362782906E-4</v>
      </c>
      <c r="V79" s="1">
        <f t="shared" si="52"/>
        <v>2.5067003504056993E-4</v>
      </c>
      <c r="W79" s="1"/>
      <c r="X79" s="6">
        <f t="shared" si="53"/>
        <v>1.0590071510392218</v>
      </c>
      <c r="Y79" s="6">
        <f t="shared" si="54"/>
        <v>1.1431347219853294</v>
      </c>
      <c r="AA79">
        <f t="shared" si="55"/>
        <v>0.56312378077476588</v>
      </c>
      <c r="AB79">
        <f t="shared" si="56"/>
        <v>0.48360567011896261</v>
      </c>
      <c r="AC79">
        <f t="shared" si="57"/>
        <v>0.36651186811168257</v>
      </c>
      <c r="AD79">
        <f t="shared" si="58"/>
        <v>0.2942172393555133</v>
      </c>
      <c r="AE79">
        <f t="shared" si="59"/>
        <v>0.78071542695438045</v>
      </c>
      <c r="AF79">
        <f t="shared" si="60"/>
        <v>0.71722302872953592</v>
      </c>
    </row>
    <row r="80" spans="4:32" x14ac:dyDescent="0.3">
      <c r="D80" s="1">
        <f t="shared" si="61"/>
        <v>18.568759624083036</v>
      </c>
      <c r="E80" s="1">
        <f t="shared" si="62"/>
        <v>2.9326234191977116</v>
      </c>
      <c r="G80" s="1">
        <f t="shared" si="42"/>
        <v>18.574800376771094</v>
      </c>
      <c r="I80">
        <f t="shared" si="41"/>
        <v>78</v>
      </c>
      <c r="K80" s="1">
        <f t="shared" si="43"/>
        <v>0.18611425617187966</v>
      </c>
      <c r="L80" s="1">
        <f t="shared" si="44"/>
        <v>0.13734913700303766</v>
      </c>
      <c r="N80" s="1">
        <f t="shared" si="45"/>
        <v>1.9082266859878223</v>
      </c>
      <c r="O80" s="1">
        <f t="shared" si="46"/>
        <v>4.5165128662433673</v>
      </c>
      <c r="Q80" s="1">
        <f t="shared" si="47"/>
        <v>3.5622349442744658E-2</v>
      </c>
      <c r="R80" s="1">
        <f t="shared" si="48"/>
        <v>2.2539605701555526E-2</v>
      </c>
      <c r="S80" s="1">
        <f t="shared" si="49"/>
        <v>1.0613719533783083E-2</v>
      </c>
      <c r="T80" s="1">
        <f t="shared" si="50"/>
        <v>6.1413842177723815E-3</v>
      </c>
      <c r="U80" s="1">
        <f t="shared" si="51"/>
        <v>6.5103674335929037E-4</v>
      </c>
      <c r="V80" s="1">
        <f t="shared" si="52"/>
        <v>3.1829900827689455E-4</v>
      </c>
      <c r="W80" s="1"/>
      <c r="X80" s="6">
        <f t="shared" si="53"/>
        <v>1.0387070431627348</v>
      </c>
      <c r="Y80" s="6">
        <f t="shared" si="54"/>
        <v>1.092656981630753</v>
      </c>
      <c r="AA80">
        <f t="shared" si="55"/>
        <v>0.5883921625111701</v>
      </c>
      <c r="AB80">
        <f t="shared" si="56"/>
        <v>0.50933876873775241</v>
      </c>
      <c r="AC80">
        <f t="shared" si="57"/>
        <v>0.39104784068993775</v>
      </c>
      <c r="AD80">
        <f t="shared" si="58"/>
        <v>0.31682739472420379</v>
      </c>
      <c r="AE80">
        <f t="shared" si="59"/>
        <v>0.79930145847003164</v>
      </c>
      <c r="AF80">
        <f t="shared" si="60"/>
        <v>0.73863040002463587</v>
      </c>
    </row>
    <row r="81" spans="1:32" x14ac:dyDescent="0.3">
      <c r="D81" s="1">
        <f t="shared" si="61"/>
        <v>17.762133219231288</v>
      </c>
      <c r="E81" s="1">
        <f t="shared" si="62"/>
        <v>1.4455285217764717</v>
      </c>
      <c r="G81" s="1">
        <f t="shared" si="42"/>
        <v>17.769627049195478</v>
      </c>
      <c r="I81">
        <f t="shared" si="41"/>
        <v>79</v>
      </c>
      <c r="K81" s="1">
        <f t="shared" si="43"/>
        <v>0.20366209182294573</v>
      </c>
      <c r="L81" s="1">
        <f t="shared" si="44"/>
        <v>0.15183109650407789</v>
      </c>
      <c r="N81" s="1">
        <f t="shared" si="45"/>
        <v>1.8721094354835059</v>
      </c>
      <c r="O81" s="1">
        <f t="shared" si="46"/>
        <v>4.3195603061949202</v>
      </c>
      <c r="Q81" s="1">
        <f t="shared" si="47"/>
        <v>4.091024567101692E-2</v>
      </c>
      <c r="R81" s="1">
        <f t="shared" si="48"/>
        <v>2.6176512766714947E-2</v>
      </c>
      <c r="S81" s="1">
        <f t="shared" si="49"/>
        <v>1.2538339730136627E-2</v>
      </c>
      <c r="T81" s="1">
        <f t="shared" si="50"/>
        <v>7.3391710598562357E-3</v>
      </c>
      <c r="U81" s="1">
        <f t="shared" si="51"/>
        <v>8.1126121307918914E-4</v>
      </c>
      <c r="V81" s="1">
        <f t="shared" si="52"/>
        <v>4.0140049985602479E-4</v>
      </c>
      <c r="W81" s="1"/>
      <c r="X81" s="6">
        <f t="shared" si="53"/>
        <v>1.0190473021298787</v>
      </c>
      <c r="Y81" s="6">
        <f t="shared" si="54"/>
        <v>1.045009250702007</v>
      </c>
      <c r="AA81">
        <f t="shared" si="55"/>
        <v>0.61298445497748055</v>
      </c>
      <c r="AB81">
        <f t="shared" si="56"/>
        <v>0.53470640725485508</v>
      </c>
      <c r="AC81">
        <f t="shared" si="57"/>
        <v>0.41570485590560652</v>
      </c>
      <c r="AD81">
        <f t="shared" si="58"/>
        <v>0.33984217120075344</v>
      </c>
      <c r="AE81">
        <f t="shared" si="59"/>
        <v>0.8166903033041073</v>
      </c>
      <c r="AF81">
        <f t="shared" si="60"/>
        <v>0.7589172325759701</v>
      </c>
    </row>
    <row r="82" spans="1:32" x14ac:dyDescent="0.3">
      <c r="A82" s="4"/>
      <c r="B82" s="4"/>
      <c r="C82" s="4"/>
      <c r="D82" s="1">
        <f t="shared" si="61"/>
        <v>16.973123589919084</v>
      </c>
      <c r="E82" s="1" t="e">
        <f t="shared" si="62"/>
        <v>#N/A</v>
      </c>
      <c r="F82" s="5"/>
      <c r="G82" s="5">
        <f t="shared" si="42"/>
        <v>16.982362022883592</v>
      </c>
      <c r="H82" s="5"/>
      <c r="I82" s="4">
        <f t="shared" si="41"/>
        <v>80</v>
      </c>
      <c r="J82" s="5"/>
      <c r="K82" s="5">
        <f t="shared" si="43"/>
        <v>0.22192212964817964</v>
      </c>
      <c r="L82" s="5">
        <f t="shared" si="44"/>
        <v>0.16709271590694216</v>
      </c>
      <c r="N82" s="1">
        <f t="shared" si="45"/>
        <v>1.8371173070873832</v>
      </c>
      <c r="O82" s="1">
        <f t="shared" si="46"/>
        <v>4.1335139409466128</v>
      </c>
      <c r="Q82" s="1">
        <f t="shared" si="47"/>
        <v>4.6739420414998095E-2</v>
      </c>
      <c r="R82" s="1">
        <f t="shared" si="48"/>
        <v>3.0236744884907962E-2</v>
      </c>
      <c r="S82" s="1">
        <f t="shared" si="49"/>
        <v>1.472814343081426E-2</v>
      </c>
      <c r="T82" s="1">
        <f t="shared" si="50"/>
        <v>8.7193450126342963E-3</v>
      </c>
      <c r="U82" s="1">
        <f t="shared" si="51"/>
        <v>1.0043825773046688E-3</v>
      </c>
      <c r="V82" s="1">
        <f t="shared" si="52"/>
        <v>5.0283922303537092E-4</v>
      </c>
      <c r="W82" s="1"/>
      <c r="X82" s="6">
        <f t="shared" si="53"/>
        <v>1</v>
      </c>
      <c r="Y82" s="6">
        <f t="shared" si="54"/>
        <v>1</v>
      </c>
      <c r="AA82" s="4">
        <f t="shared" si="55"/>
        <v>0.6368306511756191</v>
      </c>
      <c r="AB82" s="4">
        <f t="shared" si="56"/>
        <v>0.5596176923702425</v>
      </c>
      <c r="AC82" s="4">
        <f t="shared" si="57"/>
        <v>0.4403823076297575</v>
      </c>
      <c r="AD82" s="4">
        <f t="shared" si="58"/>
        <v>0.3631693488243809</v>
      </c>
      <c r="AE82" s="4">
        <f t="shared" si="59"/>
        <v>0.83290728409305792</v>
      </c>
      <c r="AF82" s="4">
        <f t="shared" si="60"/>
        <v>0.77807787035182041</v>
      </c>
    </row>
    <row r="83" spans="1:32" x14ac:dyDescent="0.3">
      <c r="D83" s="1">
        <f t="shared" si="61"/>
        <v>16.202369926896736</v>
      </c>
      <c r="E83" s="1" t="e">
        <f t="shared" si="62"/>
        <v>#N/A</v>
      </c>
      <c r="G83" s="1">
        <f t="shared" si="42"/>
        <v>16.213690422794571</v>
      </c>
      <c r="I83">
        <f t="shared" si="41"/>
        <v>81</v>
      </c>
      <c r="K83" s="1">
        <f t="shared" si="43"/>
        <v>0.24083934958525399</v>
      </c>
      <c r="L83" s="1">
        <f t="shared" si="44"/>
        <v>0.1831024030067662</v>
      </c>
      <c r="N83" s="1">
        <f t="shared" si="45"/>
        <v>1.8032018354079538</v>
      </c>
      <c r="O83" s="1">
        <f t="shared" si="46"/>
        <v>3.9576446318967431</v>
      </c>
      <c r="Q83" s="1">
        <f t="shared" si="47"/>
        <v>5.3132294571672213E-2</v>
      </c>
      <c r="R83" s="1">
        <f t="shared" si="48"/>
        <v>3.4745595898136056E-2</v>
      </c>
      <c r="S83" s="1">
        <f t="shared" si="49"/>
        <v>1.7205901257852745E-2</v>
      </c>
      <c r="T83" s="1">
        <f t="shared" si="50"/>
        <v>1.0300640705599095E-2</v>
      </c>
      <c r="U83" s="1">
        <f t="shared" si="51"/>
        <v>1.2357024266122976E-3</v>
      </c>
      <c r="V83" s="1">
        <f t="shared" si="52"/>
        <v>6.258693021164957E-4</v>
      </c>
      <c r="W83" s="1"/>
      <c r="X83" s="6">
        <f t="shared" si="53"/>
        <v>0.98153875555546322</v>
      </c>
      <c r="Y83" s="6">
        <f t="shared" si="54"/>
        <v>0.95745283273204751</v>
      </c>
      <c r="AA83">
        <f t="shared" si="55"/>
        <v>0.65987155310599599</v>
      </c>
      <c r="AB83">
        <f t="shared" si="56"/>
        <v>0.58399040500775801</v>
      </c>
      <c r="AC83">
        <f t="shared" si="57"/>
        <v>0.46498308559388407</v>
      </c>
      <c r="AD83">
        <f t="shared" si="58"/>
        <v>0.38671646607246096</v>
      </c>
      <c r="AE83">
        <f t="shared" si="59"/>
        <v>0.84798518299710601</v>
      </c>
      <c r="AF83">
        <f t="shared" si="60"/>
        <v>0.79611670983651983</v>
      </c>
    </row>
    <row r="84" spans="1:32" x14ac:dyDescent="0.3">
      <c r="D84" s="1">
        <f t="shared" si="61"/>
        <v>15.450448988883046</v>
      </c>
      <c r="E84" s="1" t="e">
        <f t="shared" si="62"/>
        <v>#N/A</v>
      </c>
      <c r="G84" s="1">
        <f t="shared" si="42"/>
        <v>15.464239881516903</v>
      </c>
      <c r="I84">
        <f t="shared" si="41"/>
        <v>82</v>
      </c>
      <c r="K84" s="1">
        <f t="shared" si="43"/>
        <v>0.26035391304643163</v>
      </c>
      <c r="L84" s="1">
        <f t="shared" si="44"/>
        <v>0.19982270258658966</v>
      </c>
      <c r="N84" s="1">
        <f t="shared" si="45"/>
        <v>1.7703172065633184</v>
      </c>
      <c r="O84" s="1">
        <f t="shared" si="46"/>
        <v>3.7912801568280456</v>
      </c>
      <c r="Q84" s="1">
        <f t="shared" si="47"/>
        <v>6.0108611855159887E-2</v>
      </c>
      <c r="R84" s="1">
        <f t="shared" si="48"/>
        <v>3.972703719928139E-2</v>
      </c>
      <c r="S84" s="1">
        <f t="shared" si="49"/>
        <v>1.9994501940852519E-2</v>
      </c>
      <c r="T84" s="1">
        <f t="shared" si="50"/>
        <v>1.2102410428987322E-2</v>
      </c>
      <c r="U84" s="1">
        <f t="shared" si="51"/>
        <v>1.5111028143876039E-3</v>
      </c>
      <c r="V84" s="1">
        <f t="shared" si="52"/>
        <v>7.7416244054419347E-4</v>
      </c>
      <c r="W84" s="1"/>
      <c r="X84" s="6">
        <f t="shared" si="53"/>
        <v>0.96363863087764834</v>
      </c>
      <c r="Y84" s="6">
        <f t="shared" si="54"/>
        <v>0.91720512159680978</v>
      </c>
      <c r="AA84">
        <f t="shared" si="55"/>
        <v>0.68205857631160149</v>
      </c>
      <c r="AB84">
        <f t="shared" si="56"/>
        <v>0.60775135896277344</v>
      </c>
      <c r="AC84">
        <f t="shared" si="57"/>
        <v>0.48941453623024889</v>
      </c>
      <c r="AD84">
        <f t="shared" si="58"/>
        <v>0.41039191710681877</v>
      </c>
      <c r="AE84">
        <f t="shared" si="59"/>
        <v>0.86196292228464055</v>
      </c>
      <c r="AF84">
        <f t="shared" si="60"/>
        <v>0.81304704534907979</v>
      </c>
    </row>
    <row r="85" spans="1:32" x14ac:dyDescent="0.3">
      <c r="D85" s="1">
        <f t="shared" si="61"/>
        <v>14.717870486519146</v>
      </c>
      <c r="E85" s="1" t="e">
        <f t="shared" si="62"/>
        <v>#N/A</v>
      </c>
      <c r="G85" s="1">
        <f t="shared" si="42"/>
        <v>14.734576105659428</v>
      </c>
      <c r="I85">
        <f t="shared" si="41"/>
        <v>83</v>
      </c>
      <c r="K85" s="1">
        <f t="shared" si="43"/>
        <v>0.28040193881670084</v>
      </c>
      <c r="L85" s="1">
        <f t="shared" si="44"/>
        <v>0.21721076676158513</v>
      </c>
      <c r="N85" s="1">
        <f t="shared" si="45"/>
        <v>1.7384200830134504</v>
      </c>
      <c r="O85" s="1">
        <f t="shared" si="46"/>
        <v>3.6338001444903014</v>
      </c>
      <c r="Q85" s="1">
        <f t="shared" si="47"/>
        <v>6.7685136721914188E-2</v>
      </c>
      <c r="R85" s="1">
        <f t="shared" si="48"/>
        <v>4.5203405618383811E-2</v>
      </c>
      <c r="S85" s="1">
        <f t="shared" si="49"/>
        <v>2.3116728696888477E-2</v>
      </c>
      <c r="T85" s="1">
        <f t="shared" si="50"/>
        <v>1.4144481630682007E-2</v>
      </c>
      <c r="U85" s="1">
        <f t="shared" si="51"/>
        <v>1.8370667152420755E-3</v>
      </c>
      <c r="V85" s="1">
        <f t="shared" si="52"/>
        <v>9.518344050814555E-4</v>
      </c>
      <c r="W85" s="1"/>
      <c r="X85" s="6">
        <f t="shared" si="53"/>
        <v>0.94627603599771759</v>
      </c>
      <c r="Y85" s="6">
        <f t="shared" si="54"/>
        <v>0.87910678333363224</v>
      </c>
      <c r="AA85">
        <f t="shared" si="55"/>
        <v>0.70335340118209677</v>
      </c>
      <c r="AB85">
        <f t="shared" si="56"/>
        <v>0.63083658060465964</v>
      </c>
      <c r="AC85">
        <f t="shared" si="57"/>
        <v>0.51358928085737543</v>
      </c>
      <c r="AD85">
        <f t="shared" si="58"/>
        <v>0.43410596620095415</v>
      </c>
      <c r="AE85">
        <f t="shared" si="59"/>
        <v>0.87488432272693184</v>
      </c>
      <c r="AF85">
        <f t="shared" si="60"/>
        <v>0.82888991174106652</v>
      </c>
    </row>
    <row r="86" spans="1:32" x14ac:dyDescent="0.3">
      <c r="D86" s="1">
        <f t="shared" si="61"/>
        <v>14.005073297342982</v>
      </c>
      <c r="E86" s="1" t="e">
        <f t="shared" si="62"/>
        <v>#N/A</v>
      </c>
      <c r="G86" s="1">
        <f t="shared" si="42"/>
        <v>14.025199233478872</v>
      </c>
      <c r="I86">
        <f t="shared" si="41"/>
        <v>84</v>
      </c>
      <c r="K86" s="1">
        <f t="shared" si="43"/>
        <v>0.30091630679418058</v>
      </c>
      <c r="L86" s="1">
        <f t="shared" si="44"/>
        <v>0.23521889053261621</v>
      </c>
      <c r="N86" s="1">
        <f t="shared" si="45"/>
        <v>1.7074694419062764</v>
      </c>
      <c r="O86" s="1">
        <f t="shared" si="46"/>
        <v>3.4846315140944415</v>
      </c>
      <c r="Q86" s="1">
        <f t="shared" si="47"/>
        <v>7.5875389491867534E-2</v>
      </c>
      <c r="R86" s="1">
        <f t="shared" si="48"/>
        <v>5.1195105289887979E-2</v>
      </c>
      <c r="S86" s="1">
        <f t="shared" si="49"/>
        <v>2.6595026593737539E-2</v>
      </c>
      <c r="T86" s="1">
        <f t="shared" si="50"/>
        <v>1.6446999584280534E-2</v>
      </c>
      <c r="U86" s="1">
        <f t="shared" si="51"/>
        <v>2.2206931286693704E-3</v>
      </c>
      <c r="V86" s="1">
        <f t="shared" si="52"/>
        <v>1.1634692317187842E-3</v>
      </c>
      <c r="W86" s="1"/>
      <c r="X86" s="6">
        <f t="shared" si="53"/>
        <v>0.92942864090336486</v>
      </c>
      <c r="Y86" s="6">
        <f t="shared" si="54"/>
        <v>0.84301917542255311</v>
      </c>
      <c r="AA86">
        <f t="shared" si="55"/>
        <v>0.72372749676293524</v>
      </c>
      <c r="AB86">
        <f t="shared" si="56"/>
        <v>0.65319132580079731</v>
      </c>
      <c r="AC86">
        <f t="shared" si="57"/>
        <v>0.53742588843117112</v>
      </c>
      <c r="AD86">
        <f t="shared" si="58"/>
        <v>0.45777166641519473</v>
      </c>
      <c r="AE86">
        <f t="shared" si="59"/>
        <v>0.88679695401783565</v>
      </c>
      <c r="AF86">
        <f t="shared" si="60"/>
        <v>0.84367294904761647</v>
      </c>
    </row>
    <row r="87" spans="1:32" x14ac:dyDescent="0.3">
      <c r="D87" s="1">
        <f t="shared" si="61"/>
        <v>13.312422536336115</v>
      </c>
      <c r="E87" s="1" t="e">
        <f t="shared" si="62"/>
        <v>#N/A</v>
      </c>
      <c r="G87" s="1">
        <f t="shared" si="42"/>
        <v>13.336541003219281</v>
      </c>
      <c r="I87">
        <f t="shared" si="41"/>
        <v>85</v>
      </c>
      <c r="K87" s="1">
        <f t="shared" si="43"/>
        <v>0.32182747298832592</v>
      </c>
      <c r="L87" s="1">
        <f t="shared" si="44"/>
        <v>0.2537950995737065</v>
      </c>
      <c r="N87" s="1">
        <f t="shared" si="45"/>
        <v>1.6774264257487188</v>
      </c>
      <c r="O87" s="1">
        <f t="shared" si="46"/>
        <v>3.3432443641220138</v>
      </c>
      <c r="Q87" s="1">
        <f t="shared" si="47"/>
        <v>8.4689423060889252E-2</v>
      </c>
      <c r="R87" s="1">
        <f t="shared" si="48"/>
        <v>5.7720328709073912E-2</v>
      </c>
      <c r="S87" s="1">
        <f t="shared" si="49"/>
        <v>3.0451264570840828E-2</v>
      </c>
      <c r="T87" s="1">
        <f t="shared" si="50"/>
        <v>1.9030257260808918E-2</v>
      </c>
      <c r="U87" s="1">
        <f t="shared" si="51"/>
        <v>2.6697061330234655E-3</v>
      </c>
      <c r="V87" s="1">
        <f t="shared" si="52"/>
        <v>1.4141405532240453E-3</v>
      </c>
      <c r="W87" s="1"/>
      <c r="X87" s="6">
        <f t="shared" si="53"/>
        <v>0.91307529425443001</v>
      </c>
      <c r="Y87" s="6">
        <f t="shared" si="54"/>
        <v>0.80881410148489297</v>
      </c>
      <c r="AA87">
        <f t="shared" si="55"/>
        <v>0.74316154234047893</v>
      </c>
      <c r="AB87">
        <f t="shared" si="56"/>
        <v>0.67476995206984969</v>
      </c>
      <c r="AC87">
        <f t="shared" si="57"/>
        <v>0.56084940381856596</v>
      </c>
      <c r="AD87">
        <f t="shared" si="58"/>
        <v>0.48130567310904271</v>
      </c>
      <c r="AE87">
        <f t="shared" si="59"/>
        <v>0.89775108666486181</v>
      </c>
      <c r="AF87">
        <f t="shared" si="60"/>
        <v>0.85742930915653504</v>
      </c>
    </row>
    <row r="88" spans="1:32" x14ac:dyDescent="0.3">
      <c r="D88" s="1">
        <f t="shared" si="61"/>
        <v>12.640207490013118</v>
      </c>
      <c r="E88" s="1" t="e">
        <f t="shared" si="62"/>
        <v>#N/A</v>
      </c>
      <c r="G88" s="1">
        <f t="shared" si="42"/>
        <v>12.668962735557898</v>
      </c>
      <c r="I88">
        <f t="shared" si="41"/>
        <v>86</v>
      </c>
      <c r="K88" s="1">
        <f t="shared" si="43"/>
        <v>0.3430642802517952</v>
      </c>
      <c r="L88" s="1">
        <f t="shared" si="44"/>
        <v>0.27288377701092037</v>
      </c>
      <c r="N88" s="1">
        <f t="shared" si="45"/>
        <v>1.6482542043310278</v>
      </c>
      <c r="O88" s="1">
        <f t="shared" si="46"/>
        <v>3.2091482615422935</v>
      </c>
      <c r="Q88" s="1">
        <f t="shared" si="47"/>
        <v>9.4133644622169735E-2</v>
      </c>
      <c r="R88" s="1">
        <f t="shared" si="48"/>
        <v>6.4794801723024445E-2</v>
      </c>
      <c r="S88" s="1">
        <f t="shared" si="49"/>
        <v>3.4706495919351002E-2</v>
      </c>
      <c r="T88" s="1">
        <f t="shared" si="50"/>
        <v>2.1914514726419212E-2</v>
      </c>
      <c r="U88" s="1">
        <f t="shared" si="51"/>
        <v>3.1924572643742223E-3</v>
      </c>
      <c r="V88" s="1">
        <f t="shared" si="52"/>
        <v>1.709429455353213E-3</v>
      </c>
      <c r="W88" s="1"/>
      <c r="X88" s="6">
        <f t="shared" si="53"/>
        <v>0.8971959482240226</v>
      </c>
      <c r="Y88" s="6">
        <f t="shared" si="54"/>
        <v>0.77637291355242621</v>
      </c>
      <c r="AA88">
        <f t="shared" si="55"/>
        <v>0.76164477095898886</v>
      </c>
      <c r="AB88">
        <f t="shared" si="56"/>
        <v>0.69553566504313602</v>
      </c>
      <c r="AC88">
        <f t="shared" si="57"/>
        <v>0.58379173577955823</v>
      </c>
      <c r="AD88">
        <f t="shared" si="58"/>
        <v>0.50462894624179744</v>
      </c>
      <c r="AE88">
        <f t="shared" si="59"/>
        <v>0.90779875064684978</v>
      </c>
      <c r="AF88">
        <f t="shared" si="60"/>
        <v>0.87019662026882283</v>
      </c>
    </row>
    <row r="89" spans="1:32" x14ac:dyDescent="0.3">
      <c r="D89" s="1">
        <f t="shared" si="61"/>
        <v>11.988640406545954</v>
      </c>
      <c r="E89" s="1" t="e">
        <f t="shared" si="62"/>
        <v>#N/A</v>
      </c>
      <c r="G89" s="1">
        <f t="shared" si="42"/>
        <v>12.022754118683949</v>
      </c>
      <c r="I89">
        <f t="shared" si="41"/>
        <v>87</v>
      </c>
      <c r="K89" s="1">
        <f t="shared" si="43"/>
        <v>0.36455475057991477</v>
      </c>
      <c r="L89" s="1">
        <f t="shared" si="44"/>
        <v>0.29242631604295122</v>
      </c>
      <c r="N89" s="1">
        <f t="shared" si="45"/>
        <v>1.6199178469371129</v>
      </c>
      <c r="O89" s="1">
        <f t="shared" si="46"/>
        <v>3.0818888883464699</v>
      </c>
      <c r="Q89" s="1">
        <f t="shared" si="47"/>
        <v>0.1042106847970086</v>
      </c>
      <c r="R89" s="1">
        <f t="shared" si="48"/>
        <v>7.2431556640269429E-2</v>
      </c>
      <c r="S89" s="1">
        <f t="shared" si="49"/>
        <v>3.9380721058774548E-2</v>
      </c>
      <c r="T89" s="1">
        <f t="shared" si="50"/>
        <v>2.5119810624071742E-2</v>
      </c>
      <c r="U89" s="1">
        <f t="shared" si="51"/>
        <v>3.7979206809347077E-3</v>
      </c>
      <c r="V89" s="1">
        <f t="shared" si="52"/>
        <v>2.0554382890498107E-3</v>
      </c>
      <c r="W89" s="1"/>
      <c r="X89" s="6">
        <f t="shared" si="53"/>
        <v>0.8817715889386375</v>
      </c>
      <c r="Y89" s="6">
        <f t="shared" si="54"/>
        <v>0.74558570078045705</v>
      </c>
      <c r="AA89">
        <f t="shared" si="55"/>
        <v>0.77917425741541391</v>
      </c>
      <c r="AB89">
        <f t="shared" si="56"/>
        <v>0.71546015870446644</v>
      </c>
      <c r="AC89">
        <f t="shared" si="57"/>
        <v>0.60619191153837015</v>
      </c>
      <c r="AD89">
        <f t="shared" si="58"/>
        <v>0.52766733853206538</v>
      </c>
      <c r="AE89">
        <f t="shared" si="59"/>
        <v>0.91699290261301969</v>
      </c>
      <c r="AF89">
        <f t="shared" si="60"/>
        <v>0.88201602094958687</v>
      </c>
    </row>
    <row r="90" spans="1:32" x14ac:dyDescent="0.3">
      <c r="D90" s="1">
        <f t="shared" si="61"/>
        <v>11.357856120318445</v>
      </c>
      <c r="E90" s="1" t="e">
        <f t="shared" si="62"/>
        <v>#N/A</v>
      </c>
      <c r="G90" s="1">
        <f t="shared" si="42"/>
        <v>11.398132771146962</v>
      </c>
      <c r="I90">
        <f t="shared" si="41"/>
        <v>88</v>
      </c>
      <c r="K90" s="1">
        <f t="shared" si="43"/>
        <v>0.38622684639358018</v>
      </c>
      <c r="L90" s="1">
        <f t="shared" si="44"/>
        <v>0.31236178566653661</v>
      </c>
      <c r="N90" s="1">
        <f t="shared" si="45"/>
        <v>1.5923842039667511</v>
      </c>
      <c r="O90" s="1">
        <f t="shared" si="46"/>
        <v>2.9610450073761894</v>
      </c>
      <c r="Q90" s="1">
        <f t="shared" si="47"/>
        <v>0.11491931554951951</v>
      </c>
      <c r="R90" s="1">
        <f t="shared" si="48"/>
        <v>8.0640737004004204E-2</v>
      </c>
      <c r="S90" s="1">
        <f t="shared" si="49"/>
        <v>4.4492656395177341E-2</v>
      </c>
      <c r="T90" s="1">
        <f t="shared" si="50"/>
        <v>2.8665768473640302E-2</v>
      </c>
      <c r="U90" s="1">
        <f t="shared" si="51"/>
        <v>4.495680674777942E-3</v>
      </c>
      <c r="V90" s="1">
        <f t="shared" si="52"/>
        <v>2.4587998994228606E-3</v>
      </c>
      <c r="W90" s="1"/>
      <c r="X90" s="6">
        <f t="shared" si="53"/>
        <v>0.86678417204144753</v>
      </c>
      <c r="Y90" s="6">
        <f t="shared" si="54"/>
        <v>0.716350555406155</v>
      </c>
      <c r="AA90">
        <f t="shared" si="55"/>
        <v>0.79575417130958659</v>
      </c>
      <c r="AB90">
        <f t="shared" si="56"/>
        <v>0.73452316868917078</v>
      </c>
      <c r="AC90">
        <f t="shared" si="57"/>
        <v>0.62799620698115977</v>
      </c>
      <c r="AD90">
        <f t="shared" si="58"/>
        <v>0.5503520693628241</v>
      </c>
      <c r="AE90">
        <f t="shared" si="59"/>
        <v>0.92538670049523342</v>
      </c>
      <c r="AF90">
        <f t="shared" si="60"/>
        <v>0.89293127197839894</v>
      </c>
    </row>
    <row r="91" spans="1:32" x14ac:dyDescent="0.3">
      <c r="D91" s="1">
        <f t="shared" si="61"/>
        <v>10.747912476791697</v>
      </c>
      <c r="E91" s="1" t="e">
        <f t="shared" si="62"/>
        <v>#N/A</v>
      </c>
      <c r="G91" s="1">
        <f t="shared" si="42"/>
        <v>10.795244545883776</v>
      </c>
      <c r="I91">
        <f t="shared" si="41"/>
        <v>89</v>
      </c>
      <c r="K91" s="1">
        <f t="shared" si="43"/>
        <v>0.4080091899555649</v>
      </c>
      <c r="L91" s="1">
        <f t="shared" si="44"/>
        <v>0.33262759745726467</v>
      </c>
      <c r="N91" s="1">
        <f t="shared" si="45"/>
        <v>1.565621797178798</v>
      </c>
      <c r="O91" s="1">
        <f t="shared" si="46"/>
        <v>2.8462257138460663</v>
      </c>
      <c r="Q91" s="1">
        <f t="shared" si="47"/>
        <v>0.12625441725337555</v>
      </c>
      <c r="R91" s="1">
        <f t="shared" si="48"/>
        <v>8.942943687782702E-2</v>
      </c>
      <c r="S91" s="1">
        <f t="shared" si="49"/>
        <v>5.0059512909320168E-2</v>
      </c>
      <c r="T91" s="1">
        <f t="shared" si="50"/>
        <v>3.2571400639016798E-2</v>
      </c>
      <c r="U91" s="1">
        <f t="shared" si="51"/>
        <v>5.2959112062649699E-3</v>
      </c>
      <c r="V91" s="1">
        <f t="shared" si="52"/>
        <v>2.9266817785055734E-3</v>
      </c>
      <c r="W91" s="1"/>
      <c r="X91" s="6">
        <f t="shared" si="53"/>
        <v>0.85221656294827364</v>
      </c>
      <c r="Y91" s="6">
        <f t="shared" si="54"/>
        <v>0.68857290782337466</v>
      </c>
      <c r="AA91">
        <f t="shared" si="55"/>
        <v>0.8113950135242648</v>
      </c>
      <c r="AB91">
        <f t="shared" si="56"/>
        <v>0.75271195725349704</v>
      </c>
      <c r="AC91">
        <f t="shared" si="57"/>
        <v>0.64915816315169494</v>
      </c>
      <c r="AD91">
        <f t="shared" si="58"/>
        <v>0.57262008678983101</v>
      </c>
      <c r="AE91">
        <f t="shared" si="59"/>
        <v>0.93303288208696988</v>
      </c>
      <c r="AF91">
        <f t="shared" si="60"/>
        <v>0.90298795104202267</v>
      </c>
    </row>
    <row r="92" spans="1:32" x14ac:dyDescent="0.3">
      <c r="D92" s="1">
        <f t="shared" si="61"/>
        <v>10.158791512763806</v>
      </c>
      <c r="E92" s="1" t="e">
        <f t="shared" si="62"/>
        <v>#N/A</v>
      </c>
      <c r="G92" s="1">
        <f t="shared" si="42"/>
        <v>10.214164528888958</v>
      </c>
      <c r="I92">
        <f t="shared" si="41"/>
        <v>90</v>
      </c>
      <c r="K92" s="1">
        <f t="shared" si="43"/>
        <v>0.4298317318895431</v>
      </c>
      <c r="L92" s="1">
        <f t="shared" si="44"/>
        <v>0.35316016226972924</v>
      </c>
      <c r="N92" s="1">
        <f t="shared" si="45"/>
        <v>1.5396007178390017</v>
      </c>
      <c r="O92" s="1">
        <f t="shared" si="46"/>
        <v>2.7370679428248912</v>
      </c>
      <c r="Q92" s="1">
        <f t="shared" si="47"/>
        <v>0.13820699431731612</v>
      </c>
      <c r="R92" s="1">
        <f t="shared" si="48"/>
        <v>9.88015767617475E-2</v>
      </c>
      <c r="S92" s="1">
        <f t="shared" si="49"/>
        <v>5.6096787909261946E-2</v>
      </c>
      <c r="T92" s="1">
        <f t="shared" si="50"/>
        <v>3.6854912861482687E-2</v>
      </c>
      <c r="U92" s="1">
        <f t="shared" si="51"/>
        <v>6.209347260441719E-3</v>
      </c>
      <c r="V92" s="1">
        <f t="shared" si="52"/>
        <v>3.4667847070069002E-3</v>
      </c>
      <c r="W92" s="1"/>
      <c r="X92" s="6">
        <f t="shared" si="53"/>
        <v>0.83805248140627853</v>
      </c>
      <c r="Y92" s="6">
        <f t="shared" si="54"/>
        <v>0.66216492358026935</v>
      </c>
      <c r="AA92">
        <f t="shared" si="55"/>
        <v>0.82611285217965236</v>
      </c>
      <c r="AB92">
        <f t="shared" si="56"/>
        <v>0.77002074747556115</v>
      </c>
      <c r="AC92">
        <f t="shared" si="57"/>
        <v>0.66963850085793852</v>
      </c>
      <c r="AD92">
        <f t="shared" si="58"/>
        <v>0.59441432211371659</v>
      </c>
      <c r="AE92">
        <f t="shared" si="59"/>
        <v>0.93998324236194897</v>
      </c>
      <c r="AF92">
        <f t="shared" si="60"/>
        <v>0.9122327325859062</v>
      </c>
    </row>
    <row r="93" spans="1:32" x14ac:dyDescent="0.3">
      <c r="D93" s="1">
        <f t="shared" si="61"/>
        <v>9.5904013381023958</v>
      </c>
      <c r="E93" s="1" t="e">
        <f t="shared" si="62"/>
        <v>#N/A</v>
      </c>
      <c r="G93" s="1">
        <f t="shared" si="42"/>
        <v>9.654898677884546</v>
      </c>
      <c r="I93">
        <f t="shared" si="41"/>
        <v>91</v>
      </c>
      <c r="K93" s="1">
        <f t="shared" si="43"/>
        <v>0.45162636161494119</v>
      </c>
      <c r="L93" s="1">
        <f t="shared" si="44"/>
        <v>0.37389552681062799</v>
      </c>
      <c r="N93" s="1">
        <f t="shared" si="45"/>
        <v>1.5142925321227636</v>
      </c>
      <c r="O93" s="1">
        <f t="shared" si="46"/>
        <v>2.633234206323849</v>
      </c>
      <c r="Q93" s="1">
        <f t="shared" si="47"/>
        <v>0.15076423788163992</v>
      </c>
      <c r="R93" s="1">
        <f t="shared" si="48"/>
        <v>0.10875781751070462</v>
      </c>
      <c r="S93" s="1">
        <f t="shared" si="49"/>
        <v>6.2618073099600949E-2</v>
      </c>
      <c r="T93" s="1">
        <f t="shared" si="50"/>
        <v>4.1533512246582131E-2</v>
      </c>
      <c r="U93" s="1">
        <f t="shared" si="51"/>
        <v>7.2472479558163636E-3</v>
      </c>
      <c r="V93" s="1">
        <f t="shared" si="52"/>
        <v>4.0873355193955891E-3</v>
      </c>
      <c r="W93" s="1"/>
      <c r="X93" s="6">
        <f t="shared" si="53"/>
        <v>0.8242764500017502</v>
      </c>
      <c r="Y93" s="6">
        <f t="shared" si="54"/>
        <v>0.63704495592455035</v>
      </c>
      <c r="AA93">
        <f t="shared" si="55"/>
        <v>0.83992857174251268</v>
      </c>
      <c r="AB93">
        <f t="shared" si="56"/>
        <v>0.78645012291291072</v>
      </c>
      <c r="AC93">
        <f t="shared" si="57"/>
        <v>0.68940494589318801</v>
      </c>
      <c r="AD93">
        <f t="shared" si="58"/>
        <v>0.61568384320214653</v>
      </c>
      <c r="AE93">
        <f t="shared" si="59"/>
        <v>0.94628820300694261</v>
      </c>
      <c r="AF93">
        <f t="shared" si="60"/>
        <v>0.92071275285110543</v>
      </c>
    </row>
    <row r="94" spans="1:32" x14ac:dyDescent="0.3">
      <c r="D94" s="1">
        <f t="shared" si="61"/>
        <v>9.0425786578302905</v>
      </c>
      <c r="E94" s="1" t="e">
        <f t="shared" si="62"/>
        <v>#N/A</v>
      </c>
      <c r="G94" s="1">
        <f t="shared" si="42"/>
        <v>9.1173860400704427</v>
      </c>
      <c r="I94">
        <f t="shared" si="41"/>
        <v>92</v>
      </c>
      <c r="K94" s="1">
        <f t="shared" si="43"/>
        <v>0.47332745432577039</v>
      </c>
      <c r="L94" s="1">
        <f t="shared" si="44"/>
        <v>0.39476998125538587</v>
      </c>
      <c r="N94" s="1">
        <f t="shared" si="45"/>
        <v>1.4896701931830278</v>
      </c>
      <c r="O94" s="1">
        <f t="shared" si="46"/>
        <v>2.5344105366062855</v>
      </c>
      <c r="Q94" s="1">
        <f t="shared" si="47"/>
        <v>0.16390963328833216</v>
      </c>
      <c r="R94" s="1">
        <f t="shared" si="48"/>
        <v>0.11929551288771287</v>
      </c>
      <c r="S94" s="1">
        <f t="shared" si="49"/>
        <v>6.9634881778698698E-2</v>
      </c>
      <c r="T94" s="1">
        <f t="shared" si="50"/>
        <v>4.6623221519402014E-2</v>
      </c>
      <c r="U94" s="1">
        <f t="shared" si="51"/>
        <v>8.4213514714197718E-3</v>
      </c>
      <c r="V94" s="1">
        <f t="shared" si="52"/>
        <v>4.7970737053345414E-3</v>
      </c>
      <c r="W94" s="1"/>
      <c r="X94" s="6">
        <f t="shared" si="53"/>
        <v>0.81087374629592501</v>
      </c>
      <c r="Y94" s="6">
        <f t="shared" si="54"/>
        <v>0.6131370482388846</v>
      </c>
      <c r="AA94">
        <f t="shared" si="55"/>
        <v>0.85286714664627372</v>
      </c>
      <c r="AB94">
        <f t="shared" si="56"/>
        <v>0.80200640740621953</v>
      </c>
      <c r="AC94">
        <f t="shared" si="57"/>
        <v>0.70843197766458088</v>
      </c>
      <c r="AD94">
        <f t="shared" si="58"/>
        <v>0.63638391410337869</v>
      </c>
      <c r="AE94">
        <f t="shared" si="59"/>
        <v>0.95199646676696037</v>
      </c>
      <c r="AF94">
        <f t="shared" si="60"/>
        <v>0.92847505825306986</v>
      </c>
    </row>
    <row r="95" spans="1:32" x14ac:dyDescent="0.3">
      <c r="D95" s="1">
        <f t="shared" si="61"/>
        <v>8.5150918680235677</v>
      </c>
      <c r="E95" s="1" t="e">
        <f t="shared" si="62"/>
        <v>#N/A</v>
      </c>
      <c r="G95" s="1">
        <f t="shared" si="42"/>
        <v>8.601501483542819</v>
      </c>
      <c r="I95">
        <f t="shared" si="41"/>
        <v>93</v>
      </c>
      <c r="K95" s="1">
        <f t="shared" si="43"/>
        <v>0.49487235088282017</v>
      </c>
      <c r="L95" s="1">
        <f t="shared" si="44"/>
        <v>0.41572063037670659</v>
      </c>
      <c r="N95" s="1">
        <f t="shared" si="45"/>
        <v>1.4657079593472637</v>
      </c>
      <c r="O95" s="1">
        <f t="shared" si="46"/>
        <v>2.4403046149382122</v>
      </c>
      <c r="Q95" s="1">
        <f t="shared" si="47"/>
        <v>0.17762310931678654</v>
      </c>
      <c r="R95" s="1">
        <f t="shared" si="48"/>
        <v>0.13040870066703703</v>
      </c>
      <c r="S95" s="1">
        <f t="shared" si="49"/>
        <v>7.7156497587044362E-2</v>
      </c>
      <c r="T95" s="1">
        <f t="shared" si="50"/>
        <v>5.2138702234498846E-2</v>
      </c>
      <c r="U95" s="1">
        <f t="shared" si="51"/>
        <v>9.7438219948171798E-3</v>
      </c>
      <c r="V95" s="1">
        <f t="shared" si="52"/>
        <v>5.6052316470987093E-3</v>
      </c>
      <c r="W95" s="1"/>
      <c r="X95" s="6">
        <f t="shared" si="53"/>
        <v>0.79783035829706372</v>
      </c>
      <c r="Y95" s="6">
        <f t="shared" si="54"/>
        <v>0.59037048133902281</v>
      </c>
      <c r="AA95">
        <f t="shared" si="55"/>
        <v>0.86495694855523819</v>
      </c>
      <c r="AB95">
        <f t="shared" si="56"/>
        <v>0.81670103806091809</v>
      </c>
      <c r="AC95">
        <f t="shared" si="57"/>
        <v>0.7267005139631878</v>
      </c>
      <c r="AD95">
        <f t="shared" si="58"/>
        <v>0.65647596949256359</v>
      </c>
      <c r="AE95">
        <f t="shared" si="59"/>
        <v>0.95715474868543249</v>
      </c>
      <c r="AF95">
        <f t="shared" si="60"/>
        <v>0.93556613378022968</v>
      </c>
    </row>
    <row r="96" spans="1:32" x14ac:dyDescent="0.3">
      <c r="D96" s="1">
        <f t="shared" si="61"/>
        <v>8.0076446552598952</v>
      </c>
      <c r="E96" s="1" t="e">
        <f t="shared" si="62"/>
        <v>#N/A</v>
      </c>
      <c r="G96" s="1">
        <f t="shared" si="42"/>
        <v>8.1070588741637977</v>
      </c>
      <c r="I96">
        <f t="shared" si="41"/>
        <v>94</v>
      </c>
      <c r="K96" s="1">
        <f t="shared" si="43"/>
        <v>0.51620176861942191</v>
      </c>
      <c r="L96" s="1">
        <f t="shared" si="44"/>
        <v>0.43668592198918132</v>
      </c>
      <c r="N96" s="1">
        <f t="shared" si="45"/>
        <v>1.4423813179558265</v>
      </c>
      <c r="O96" s="1">
        <f t="shared" si="46"/>
        <v>2.3506440672888074</v>
      </c>
      <c r="Q96" s="1">
        <f t="shared" si="47"/>
        <v>0.1918812255751671</v>
      </c>
      <c r="R96" s="1">
        <f t="shared" si="48"/>
        <v>0.14208813152537744</v>
      </c>
      <c r="S96" s="1">
        <f t="shared" si="49"/>
        <v>8.518984680601456E-2</v>
      </c>
      <c r="T96" s="1">
        <f t="shared" si="50"/>
        <v>5.8093089446966339E-2</v>
      </c>
      <c r="U96" s="1">
        <f t="shared" si="51"/>
        <v>1.1227189028727786E-2</v>
      </c>
      <c r="V96" s="1">
        <f t="shared" si="52"/>
        <v>6.521508385353497E-3</v>
      </c>
      <c r="W96" s="1"/>
      <c r="X96" s="6">
        <f t="shared" si="53"/>
        <v>0.78513294300330649</v>
      </c>
      <c r="Y96" s="6">
        <f t="shared" si="54"/>
        <v>0.56867936116129036</v>
      </c>
      <c r="AA96">
        <f t="shared" si="55"/>
        <v>0.87622909432807694</v>
      </c>
      <c r="AB96">
        <f t="shared" si="56"/>
        <v>0.83054994272576588</v>
      </c>
      <c r="AC96">
        <f t="shared" si="57"/>
        <v>0.74419754425916673</v>
      </c>
      <c r="AD96">
        <f t="shared" si="58"/>
        <v>0.67592751316183319</v>
      </c>
      <c r="AE96">
        <f t="shared" si="59"/>
        <v>0.96180757610739231</v>
      </c>
      <c r="AF96">
        <f t="shared" si="60"/>
        <v>0.94203150696867644</v>
      </c>
    </row>
    <row r="97" spans="4:32" x14ac:dyDescent="0.3">
      <c r="D97" s="1">
        <f t="shared" si="61"/>
        <v>7.5198800272325954</v>
      </c>
      <c r="E97" s="1" t="e">
        <f t="shared" si="62"/>
        <v>#N/A</v>
      </c>
      <c r="G97" s="1">
        <f t="shared" si="42"/>
        <v>7.6338146284241191</v>
      </c>
      <c r="I97">
        <f t="shared" si="41"/>
        <v>95</v>
      </c>
      <c r="K97" s="1">
        <f t="shared" si="43"/>
        <v>0.53726014255325238</v>
      </c>
      <c r="L97" s="1">
        <f t="shared" si="44"/>
        <v>0.45760612784927152</v>
      </c>
      <c r="N97" s="1">
        <f t="shared" si="45"/>
        <v>1.4196669143975149</v>
      </c>
      <c r="O97" s="1">
        <f t="shared" si="46"/>
        <v>2.2651749105068379</v>
      </c>
      <c r="Q97" s="1">
        <f t="shared" si="47"/>
        <v>0.20665739395023219</v>
      </c>
      <c r="R97" s="1">
        <f t="shared" si="48"/>
        <v>0.15432133433439268</v>
      </c>
      <c r="S97" s="1">
        <f t="shared" si="49"/>
        <v>9.3739395758481767E-2</v>
      </c>
      <c r="T97" s="1">
        <f t="shared" si="50"/>
        <v>6.4497840126618841E-2</v>
      </c>
      <c r="U97" s="1">
        <f t="shared" si="51"/>
        <v>1.2884279524171054E-2</v>
      </c>
      <c r="V97" s="1">
        <f t="shared" si="52"/>
        <v>7.5560369025960816E-3</v>
      </c>
      <c r="W97" s="1"/>
      <c r="X97" s="6">
        <f t="shared" si="53"/>
        <v>0.77276878777452385</v>
      </c>
      <c r="Y97" s="6">
        <f t="shared" si="54"/>
        <v>0.54800224285395582</v>
      </c>
      <c r="AA97">
        <f t="shared" si="55"/>
        <v>0.88671683983477745</v>
      </c>
      <c r="AB97">
        <f t="shared" si="56"/>
        <v>0.84357293157586133</v>
      </c>
      <c r="AC97">
        <f t="shared" si="57"/>
        <v>0.76091572331767421</v>
      </c>
      <c r="AD97">
        <f t="shared" si="58"/>
        <v>0.69471195013527043</v>
      </c>
      <c r="AE97">
        <f t="shared" si="59"/>
        <v>0.96599714934349357</v>
      </c>
      <c r="AF97">
        <f t="shared" si="60"/>
        <v>0.94791542220534164</v>
      </c>
    </row>
    <row r="98" spans="4:32" x14ac:dyDescent="0.3">
      <c r="D98" s="1">
        <f t="shared" si="61"/>
        <v>7.0513847014838404</v>
      </c>
      <c r="E98" s="1" t="e">
        <f t="shared" si="62"/>
        <v>#N/A</v>
      </c>
      <c r="G98" s="1">
        <f t="shared" ref="G98:G129" si="63">+I98*K98-$B$4*EXP(-$B$2*$B$5)*L98+$B$4*EXP(-$B$2*$B$5)-I98</f>
        <v>7.1814715730135106</v>
      </c>
      <c r="I98">
        <f t="shared" si="41"/>
        <v>96</v>
      </c>
      <c r="K98" s="1">
        <f t="shared" ref="K98:K129" si="64">_xlfn.NORM.S.DIST((LN(I98/$B$4)+($B$2-$B$3+0.5*$B$1^2)*$B$5)/($B$1*SQRT($B$5)),TRUE)</f>
        <v>0.55799589783012893</v>
      </c>
      <c r="L98" s="1">
        <f t="shared" ref="L98:L129" si="65">_xlfn.NORM.S.DIST((LN(I98/$B$4)+($B$2-$B$3-0.5*$B$1^2)*$B$5)/($B$1*SQRT($B$5)),TRUE)</f>
        <v>0.47842377345126075</v>
      </c>
      <c r="N98" s="1">
        <f t="shared" ref="N98:N129" si="66">($B$6/I98)^(-1+(2*($B$2-$B$3))/($B$1^2))</f>
        <v>1.3975424859373684</v>
      </c>
      <c r="O98" s="1">
        <f t="shared" ref="O98:O129" si="67">($B$6/I98)^(1+(2*($B$2-$B$3))/($B$1^2))</f>
        <v>2.1836601342771385</v>
      </c>
      <c r="Q98" s="1">
        <f t="shared" ref="Q98:Q129" si="68">_xlfn.NORM.S.DIST((LN(I98/$B$6)+($B$2-$B$3+0.5*$B$1^2)*$B$5)/($B$1*SQRT($B$5)),TRUE)</f>
        <v>0.22192212964817964</v>
      </c>
      <c r="R98" s="1">
        <f t="shared" ref="R98:R129" si="69">_xlfn.NORM.S.DIST((LN(I98/$B$6)+($B$2-$B$3-0.5*$B$1^2)*$B$5)/($B$1*SQRT($B$5)),TRUE)</f>
        <v>0.16709271590694216</v>
      </c>
      <c r="S98" s="1">
        <f t="shared" ref="S98:S129" si="70">_xlfn.NORM.S.DIST((LN(I98/$B$6)-($B$2-$B$3-0.5*$B$1^2)*$B$5)/($B$1*SQRT($B$5)),TRUE)</f>
        <v>0.10280707440266672</v>
      </c>
      <c r="T98" s="1">
        <f t="shared" ref="T98:T129" si="71">_xlfn.NORM.S.DIST((LN(I98/$B$6)-($B$2-$B$3+0.5*$B$1^2)*$B$5)/($B$1*SQRT($B$5)),TRUE)</f>
        <v>7.1362597335071901E-2</v>
      </c>
      <c r="U98" s="1">
        <f t="shared" ref="U98:U129" si="72">_xlfn.NORM.S.DIST((LN((I98*$B$4)/($B$6^2))-($B$2-$B$3-0.5*$B$1^2)*$B$5)/($B$1*SQRT($B$5)),TRUE)</f>
        <v>1.472814343081426E-2</v>
      </c>
      <c r="V98" s="1">
        <f t="shared" ref="V98:V129" si="73">_xlfn.NORM.S.DIST((LN((I98*$B$4)/($B$6^2))-($B$2-$B$3+0.5*$B$1^2)*$B$5)/($B$1*SQRT($B$5)),TRUE)</f>
        <v>8.7193450126342963E-3</v>
      </c>
      <c r="W98" s="1"/>
      <c r="X98" s="6">
        <f t="shared" ref="X98:X129" si="74">($B$7/I98)^(-1+(2*($B$2-$B$3))/($B$1^2))</f>
        <v>0.76072577431273081</v>
      </c>
      <c r="Y98" s="6">
        <f t="shared" ref="Y98:Y129" si="75">($B$7/I98)^(1+(2*($B$2-$B$3))/($B$1^2))</f>
        <v>0.52828178771717416</v>
      </c>
      <c r="AA98">
        <f t="shared" ref="AA98:AA129" si="76">_xlfn.NORM.S.DIST((LN(I98/$B$7)+($B$2-$B$3+0.5*$B$1^2)*$B$5)/($B$1*SQRT($B$5)),TRUE)</f>
        <v>0.89645502307708047</v>
      </c>
      <c r="AB98">
        <f t="shared" ref="AB98:AB129" si="77">_xlfn.NORM.S.DIST((LN(I98/$B$7)+($B$2-$B$3-0.5*$B$1^2)*$B$5)/($B$1*SQRT($B$5)),TRUE)</f>
        <v>0.85579311074329822</v>
      </c>
      <c r="AC98">
        <f t="shared" ref="AC98:AC129" si="78">_xlfn.NORM.S.DIST((LN(I98/$B$7)-($B$2-$B$3-0.5*$B$1^2)*$B$5)/($B$1*SQRT($B$5)),TRUE)</f>
        <v>0.77685293615924467</v>
      </c>
      <c r="AD98">
        <f t="shared" ref="AD98:AD129" si="79">_xlfn.NORM.S.DIST((LN(I98/$B$7)-($B$2-$B$3+0.5*$B$1^2)*$B$5)/($B$1*SQRT($B$5)),TRUE)</f>
        <v>0.71280836209487286</v>
      </c>
      <c r="AE98">
        <f t="shared" ref="AE98:AE129" si="80">_xlfn.NORM.S.DIST((LN((I98*$B$4)/($B$7^2))-($B$2-$B$3-0.5*$B$1^2)*$B$5)/($B$1*SQRT($B$5)),TRUE)</f>
        <v>0.96976325511509198</v>
      </c>
      <c r="AF98">
        <f t="shared" ref="AF98:AF129" si="81">_xlfn.NORM.S.DIST((LN((I98*$B$4)/($B$7^2))-($B$2-$B$3+0.5*$B$1^2)*$B$5)/($B$1*SQRT($B$5)),TRUE)</f>
        <v>0.95326057958500188</v>
      </c>
    </row>
    <row r="99" spans="4:32" x14ac:dyDescent="0.3">
      <c r="D99" s="1">
        <f t="shared" si="61"/>
        <v>6.6016937798642061</v>
      </c>
      <c r="E99" s="1" t="e">
        <f t="shared" si="62"/>
        <v>#N/A</v>
      </c>
      <c r="G99" s="1">
        <f t="shared" si="63"/>
        <v>6.7496830432356489</v>
      </c>
      <c r="I99">
        <f t="shared" si="41"/>
        <v>97</v>
      </c>
      <c r="K99" s="1">
        <f t="shared" si="64"/>
        <v>0.57836165538771045</v>
      </c>
      <c r="L99" s="1">
        <f t="shared" si="65"/>
        <v>0.49908401439917849</v>
      </c>
      <c r="N99" s="1">
        <f t="shared" si="66"/>
        <v>1.3759867999671302</v>
      </c>
      <c r="O99" s="1">
        <f t="shared" si="67"/>
        <v>2.1058784057313931</v>
      </c>
      <c r="Q99" s="1">
        <f t="shared" si="68"/>
        <v>0.23764332710463104</v>
      </c>
      <c r="R99" s="1">
        <f t="shared" si="69"/>
        <v>0.18038369276044663</v>
      </c>
      <c r="S99" s="1">
        <f t="shared" si="70"/>
        <v>0.11239222674940497</v>
      </c>
      <c r="T99" s="1">
        <f t="shared" si="71"/>
        <v>7.8695071893254614E-2</v>
      </c>
      <c r="U99" s="1">
        <f t="shared" si="72"/>
        <v>1.6771973367921165E-2</v>
      </c>
      <c r="V99" s="1">
        <f t="shared" si="73"/>
        <v>1.0022310043642008E-2</v>
      </c>
      <c r="W99" s="1"/>
      <c r="X99" s="6">
        <f t="shared" si="74"/>
        <v>0.74899234504989654</v>
      </c>
      <c r="Y99" s="6">
        <f t="shared" si="75"/>
        <v>0.50946444981606309</v>
      </c>
      <c r="AA99">
        <f t="shared" si="76"/>
        <v>0.90547955856518691</v>
      </c>
      <c r="AB99">
        <f t="shared" si="77"/>
        <v>0.867236324357613</v>
      </c>
      <c r="AC99">
        <f t="shared" si="78"/>
        <v>0.79201184448145401</v>
      </c>
      <c r="AD99">
        <f t="shared" si="79"/>
        <v>0.73020123568045026</v>
      </c>
      <c r="AE99">
        <f t="shared" si="80"/>
        <v>0.97314322526908714</v>
      </c>
      <c r="AF99">
        <f t="shared" si="81"/>
        <v>0.95810793225525503</v>
      </c>
    </row>
    <row r="100" spans="4:32" x14ac:dyDescent="0.3">
      <c r="D100" s="1">
        <f t="shared" si="61"/>
        <v>6.1702956381301632</v>
      </c>
      <c r="E100" s="1" t="e">
        <f t="shared" si="62"/>
        <v>#N/A</v>
      </c>
      <c r="G100" s="1">
        <f t="shared" si="63"/>
        <v>6.3380571548986637</v>
      </c>
      <c r="I100">
        <f t="shared" si="41"/>
        <v>98</v>
      </c>
      <c r="K100" s="1">
        <f t="shared" si="64"/>
        <v>0.59831437381129005</v>
      </c>
      <c r="L100" s="1">
        <f t="shared" si="65"/>
        <v>0.51953495818970086</v>
      </c>
      <c r="N100" s="1">
        <f t="shared" si="66"/>
        <v>1.3549795963407871</v>
      </c>
      <c r="O100" s="1">
        <f t="shared" si="67"/>
        <v>2.0316228849757745</v>
      </c>
      <c r="Q100" s="1">
        <f t="shared" si="68"/>
        <v>0.25378655589922583</v>
      </c>
      <c r="R100" s="1">
        <f t="shared" si="69"/>
        <v>0.19417285204943896</v>
      </c>
      <c r="S100" s="1">
        <f t="shared" si="70"/>
        <v>0.12249158828093468</v>
      </c>
      <c r="T100" s="1">
        <f t="shared" si="71"/>
        <v>8.6500942952475304E-2</v>
      </c>
      <c r="U100" s="1">
        <f t="shared" si="72"/>
        <v>1.9029019219765648E-2</v>
      </c>
      <c r="V100" s="1">
        <f t="shared" si="73"/>
        <v>1.147610759955286E-2</v>
      </c>
      <c r="W100" s="1"/>
      <c r="X100" s="6">
        <f t="shared" si="74"/>
        <v>0.73755747175938879</v>
      </c>
      <c r="Y100" s="6">
        <f t="shared" si="75"/>
        <v>0.4915001894273312</v>
      </c>
      <c r="AA100">
        <f t="shared" si="76"/>
        <v>0.91382698361496317</v>
      </c>
      <c r="AB100">
        <f t="shared" si="77"/>
        <v>0.87793062988707093</v>
      </c>
      <c r="AC100">
        <f t="shared" si="78"/>
        <v>0.80639942366149853</v>
      </c>
      <c r="AD100">
        <f t="shared" si="79"/>
        <v>0.74688015291233223</v>
      </c>
      <c r="AE100">
        <f t="shared" si="80"/>
        <v>0.97617193372502287</v>
      </c>
      <c r="AF100">
        <f t="shared" si="81"/>
        <v>0.96249653608884822</v>
      </c>
    </row>
    <row r="101" spans="4:32" x14ac:dyDescent="0.3">
      <c r="D101" s="1">
        <f t="shared" si="61"/>
        <v>5.7566369628814513</v>
      </c>
      <c r="E101" s="1" t="e">
        <f t="shared" si="62"/>
        <v>#N/A</v>
      </c>
      <c r="G101" s="1">
        <f t="shared" si="63"/>
        <v>5.9461611877030123</v>
      </c>
      <c r="I101">
        <f t="shared" si="41"/>
        <v>99</v>
      </c>
      <c r="K101" s="1">
        <f t="shared" si="64"/>
        <v>0.6178154311601376</v>
      </c>
      <c r="L101" s="1">
        <f t="shared" si="65"/>
        <v>0.53972793129449159</v>
      </c>
      <c r="N101" s="1">
        <f t="shared" si="66"/>
        <v>1.3345015334864976</v>
      </c>
      <c r="O101" s="1">
        <f t="shared" si="67"/>
        <v>1.960700141026994</v>
      </c>
      <c r="Q101" s="1">
        <f t="shared" si="68"/>
        <v>0.27031537177288706</v>
      </c>
      <c r="R101" s="1">
        <f t="shared" si="69"/>
        <v>0.20843613848885223</v>
      </c>
      <c r="S101" s="1">
        <f t="shared" si="70"/>
        <v>0.13309929011570709</v>
      </c>
      <c r="T101" s="1">
        <f t="shared" si="71"/>
        <v>9.4783778553500134E-2</v>
      </c>
      <c r="U101" s="1">
        <f t="shared" si="72"/>
        <v>2.1512498545705458E-2</v>
      </c>
      <c r="V101" s="1">
        <f t="shared" si="73"/>
        <v>1.309215477789037E-2</v>
      </c>
      <c r="W101" s="1"/>
      <c r="X101" s="6">
        <f t="shared" si="74"/>
        <v>0.72641062622302177</v>
      </c>
      <c r="Y101" s="6">
        <f t="shared" si="75"/>
        <v>0.47434221077720023</v>
      </c>
      <c r="AA101">
        <f t="shared" si="76"/>
        <v>0.9215340561452976</v>
      </c>
      <c r="AB101">
        <f t="shared" si="77"/>
        <v>0.88790581032931848</v>
      </c>
      <c r="AC101">
        <f t="shared" si="78"/>
        <v>0.82002649841141206</v>
      </c>
      <c r="AD101">
        <f t="shared" si="79"/>
        <v>0.76283945251746776</v>
      </c>
      <c r="AE101">
        <f t="shared" si="80"/>
        <v>0.97888182516118905</v>
      </c>
      <c r="AF101">
        <f t="shared" si="81"/>
        <v>0.96646344558738972</v>
      </c>
    </row>
    <row r="102" spans="4:32" x14ac:dyDescent="0.3">
      <c r="D102" s="1">
        <f t="shared" si="61"/>
        <v>5.3601278716478191</v>
      </c>
      <c r="E102" s="1" t="e">
        <f t="shared" si="62"/>
        <v>#N/A</v>
      </c>
      <c r="G102" s="1">
        <f t="shared" si="63"/>
        <v>5.5735260222569707</v>
      </c>
      <c r="I102">
        <f t="shared" si="41"/>
        <v>100</v>
      </c>
      <c r="K102" s="1">
        <f t="shared" si="64"/>
        <v>0.6368306511756191</v>
      </c>
      <c r="L102" s="1">
        <f t="shared" si="65"/>
        <v>0.5596176923702425</v>
      </c>
      <c r="N102" s="1">
        <f t="shared" si="66"/>
        <v>1.3145341380123985</v>
      </c>
      <c r="O102" s="1">
        <f t="shared" si="67"/>
        <v>1.8929291587378538</v>
      </c>
      <c r="Q102" s="1">
        <f t="shared" si="68"/>
        <v>0.28719163790512708</v>
      </c>
      <c r="R102" s="1">
        <f t="shared" si="69"/>
        <v>0.22314706384075533</v>
      </c>
      <c r="S102" s="1">
        <f t="shared" si="70"/>
        <v>0.14420688925670178</v>
      </c>
      <c r="T102" s="1">
        <f t="shared" si="71"/>
        <v>0.10354497692291953</v>
      </c>
      <c r="U102" s="1">
        <f t="shared" si="72"/>
        <v>2.4235503765815347E-2</v>
      </c>
      <c r="V102" s="1">
        <f t="shared" si="73"/>
        <v>1.4882048309757576E-2</v>
      </c>
      <c r="W102" s="1"/>
      <c r="X102" s="6">
        <f t="shared" si="74"/>
        <v>0.71554175279993282</v>
      </c>
      <c r="Y102" s="6">
        <f t="shared" si="75"/>
        <v>0.45794672179195706</v>
      </c>
      <c r="AA102">
        <f t="shared" si="76"/>
        <v>0.92863740266492811</v>
      </c>
      <c r="AB102">
        <f t="shared" si="77"/>
        <v>0.89719292559733332</v>
      </c>
      <c r="AC102">
        <f t="shared" si="78"/>
        <v>0.83290728409305792</v>
      </c>
      <c r="AD102">
        <f t="shared" si="79"/>
        <v>0.77807787035182041</v>
      </c>
      <c r="AE102">
        <f t="shared" si="80"/>
        <v>0.98130296953188956</v>
      </c>
      <c r="AF102">
        <f t="shared" si="81"/>
        <v>0.97004365011071214</v>
      </c>
    </row>
    <row r="103" spans="4:32" x14ac:dyDescent="0.3">
      <c r="D103" s="1">
        <f t="shared" si="61"/>
        <v>4.9801470561982057</v>
      </c>
      <c r="E103" s="1" t="e">
        <f t="shared" si="62"/>
        <v>#N/A</v>
      </c>
      <c r="G103" s="1">
        <f t="shared" si="63"/>
        <v>5.2196505775088156</v>
      </c>
      <c r="I103">
        <f t="shared" si="41"/>
        <v>101</v>
      </c>
      <c r="K103" s="1">
        <f t="shared" si="64"/>
        <v>0.65533027875009464</v>
      </c>
      <c r="L103" s="1">
        <f t="shared" si="65"/>
        <v>0.57916259324335895</v>
      </c>
      <c r="N103" s="1">
        <f t="shared" si="66"/>
        <v>1.295059757547492</v>
      </c>
      <c r="O103" s="1">
        <f t="shared" si="67"/>
        <v>1.8281404282603555</v>
      </c>
      <c r="Q103" s="1">
        <f t="shared" si="68"/>
        <v>0.30437585175469839</v>
      </c>
      <c r="R103" s="1">
        <f t="shared" si="69"/>
        <v>0.23827693536881633</v>
      </c>
      <c r="S103" s="1">
        <f t="shared" si="70"/>
        <v>0.1558034238871259</v>
      </c>
      <c r="T103" s="1">
        <f t="shared" si="71"/>
        <v>0.11278372892170997</v>
      </c>
      <c r="U103" s="1">
        <f t="shared" si="72"/>
        <v>2.7210907136967392E-2</v>
      </c>
      <c r="V103" s="1">
        <f t="shared" si="73"/>
        <v>1.6857498167974855E-2</v>
      </c>
      <c r="W103" s="1"/>
      <c r="X103" s="6">
        <f t="shared" si="74"/>
        <v>0.70494124275641168</v>
      </c>
      <c r="Y103" s="6">
        <f t="shared" si="75"/>
        <v>0.44227271381639399</v>
      </c>
      <c r="AA103">
        <f t="shared" si="76"/>
        <v>0.93517321442855583</v>
      </c>
      <c r="AB103">
        <f t="shared" si="77"/>
        <v>0.90582390438921867</v>
      </c>
      <c r="AC103">
        <f t="shared" si="78"/>
        <v>0.84505893964733114</v>
      </c>
      <c r="AD103">
        <f t="shared" si="79"/>
        <v>0.792598166437258</v>
      </c>
      <c r="AE103">
        <f t="shared" si="80"/>
        <v>0.98346313711068023</v>
      </c>
      <c r="AF103">
        <f t="shared" si="81"/>
        <v>0.97327004481168378</v>
      </c>
    </row>
    <row r="104" spans="4:32" x14ac:dyDescent="0.3">
      <c r="D104" s="1">
        <f t="shared" si="61"/>
        <v>4.6160468939072885</v>
      </c>
      <c r="E104" s="1" t="e">
        <f t="shared" si="62"/>
        <v>#N/A</v>
      </c>
      <c r="G104" s="1">
        <f t="shared" si="63"/>
        <v>4.8840062004327649</v>
      </c>
      <c r="I104">
        <f t="shared" si="41"/>
        <v>102</v>
      </c>
      <c r="K104" s="1">
        <f t="shared" si="64"/>
        <v>0.67328890984990841</v>
      </c>
      <c r="L104" s="1">
        <f t="shared" si="65"/>
        <v>0.59832469001053878</v>
      </c>
      <c r="N104" s="1">
        <f t="shared" si="66"/>
        <v>1.2760615165803304</v>
      </c>
      <c r="O104" s="1">
        <f t="shared" si="67"/>
        <v>1.7661751094537446</v>
      </c>
      <c r="Q104" s="1">
        <f t="shared" si="68"/>
        <v>0.32182747298832592</v>
      </c>
      <c r="R104" s="1">
        <f t="shared" si="69"/>
        <v>0.2537950995737065</v>
      </c>
      <c r="S104" s="1">
        <f t="shared" si="70"/>
        <v>0.16787549234269009</v>
      </c>
      <c r="T104" s="1">
        <f t="shared" si="71"/>
        <v>0.12249700173414359</v>
      </c>
      <c r="U104" s="1">
        <f t="shared" si="72"/>
        <v>3.0451264570840828E-2</v>
      </c>
      <c r="V104" s="1">
        <f t="shared" si="73"/>
        <v>1.9030257260808918E-2</v>
      </c>
      <c r="W104" s="1"/>
      <c r="X104" s="6">
        <f t="shared" si="74"/>
        <v>0.69459991022752576</v>
      </c>
      <c r="Y104" s="6">
        <f t="shared" si="75"/>
        <v>0.42728175946329922</v>
      </c>
      <c r="AA104">
        <f t="shared" si="76"/>
        <v>0.94117698919754822</v>
      </c>
      <c r="AB104">
        <f t="shared" si="77"/>
        <v>0.91383117691846294</v>
      </c>
      <c r="AC104">
        <f t="shared" si="78"/>
        <v>0.85650113707446129</v>
      </c>
      <c r="AD104">
        <f t="shared" si="79"/>
        <v>0.80640674539872814</v>
      </c>
      <c r="AE104">
        <f t="shared" si="80"/>
        <v>0.985387889355127</v>
      </c>
      <c r="AF104">
        <f t="shared" si="81"/>
        <v>0.97617343101057674</v>
      </c>
    </row>
    <row r="105" spans="4:32" x14ac:dyDescent="0.3">
      <c r="D105" s="1">
        <f t="shared" si="61"/>
        <v>4.2671584771318543</v>
      </c>
      <c r="E105" s="1" t="e">
        <f t="shared" si="62"/>
        <v>#N/A</v>
      </c>
      <c r="G105" s="1">
        <f t="shared" si="63"/>
        <v>4.5660409650977414</v>
      </c>
      <c r="I105">
        <f t="shared" si="41"/>
        <v>103</v>
      </c>
      <c r="K105" s="1">
        <f t="shared" si="64"/>
        <v>0.69068538126044221</v>
      </c>
      <c r="L105" s="1">
        <f t="shared" si="65"/>
        <v>0.61706980716674775</v>
      </c>
      <c r="N105" s="1">
        <f t="shared" si="66"/>
        <v>1.2575232750777456</v>
      </c>
      <c r="O105" s="1">
        <f t="shared" si="67"/>
        <v>1.7068842644094198</v>
      </c>
      <c r="Q105" s="1">
        <f t="shared" si="68"/>
        <v>0.33950524830739515</v>
      </c>
      <c r="R105" s="1">
        <f t="shared" si="69"/>
        <v>0.26966919750429919</v>
      </c>
      <c r="S105" s="1">
        <f t="shared" si="70"/>
        <v>0.18040735409797162</v>
      </c>
      <c r="T105" s="1">
        <f t="shared" si="71"/>
        <v>0.13267954357217823</v>
      </c>
      <c r="U105" s="1">
        <f t="shared" si="72"/>
        <v>3.3968719364268853E-2</v>
      </c>
      <c r="V105" s="1">
        <f t="shared" si="73"/>
        <v>2.1412047890161871E-2</v>
      </c>
      <c r="W105" s="1"/>
      <c r="X105" s="6">
        <f t="shared" si="74"/>
        <v>0.68450896969201058</v>
      </c>
      <c r="Y105" s="6">
        <f t="shared" si="75"/>
        <v>0.41293782694211212</v>
      </c>
      <c r="AA105">
        <f t="shared" si="76"/>
        <v>0.94668331564370345</v>
      </c>
      <c r="AB105">
        <f t="shared" si="77"/>
        <v>0.92124734811100606</v>
      </c>
      <c r="AC105">
        <f t="shared" si="78"/>
        <v>0.86725565143805716</v>
      </c>
      <c r="AD105">
        <f t="shared" si="79"/>
        <v>0.81951327632329596</v>
      </c>
      <c r="AE105">
        <f t="shared" si="80"/>
        <v>0.98710068147268659</v>
      </c>
      <c r="AF105">
        <f t="shared" si="81"/>
        <v>0.97878254114339447</v>
      </c>
    </row>
    <row r="106" spans="4:32" x14ac:dyDescent="0.3">
      <c r="D106" s="1">
        <f t="shared" si="61"/>
        <v>3.9327965158881604</v>
      </c>
      <c r="E106" s="1" t="e">
        <f t="shared" si="62"/>
        <v>#N/A</v>
      </c>
      <c r="G106" s="1">
        <f t="shared" si="63"/>
        <v>4.265183843650874</v>
      </c>
      <c r="I106">
        <f t="shared" si="41"/>
        <v>104</v>
      </c>
      <c r="K106" s="1">
        <f t="shared" si="64"/>
        <v>0.70750262557146315</v>
      </c>
      <c r="L106" s="1">
        <f t="shared" si="65"/>
        <v>0.63536755812169832</v>
      </c>
      <c r="N106" s="1">
        <f t="shared" si="66"/>
        <v>1.2394295896836336</v>
      </c>
      <c r="O106" s="1">
        <f t="shared" si="67"/>
        <v>1.6501281519456659</v>
      </c>
      <c r="Q106" s="1">
        <f t="shared" si="68"/>
        <v>0.35736752931931803</v>
      </c>
      <c r="R106" s="1">
        <f t="shared" si="69"/>
        <v>0.28586542798801884</v>
      </c>
      <c r="S106" s="1">
        <f t="shared" si="70"/>
        <v>0.19338105085852</v>
      </c>
      <c r="T106" s="1">
        <f t="shared" si="71"/>
        <v>0.14332390887652693</v>
      </c>
      <c r="U106" s="1">
        <f t="shared" si="72"/>
        <v>3.7774906913709952E-2</v>
      </c>
      <c r="V106" s="1">
        <f t="shared" si="73"/>
        <v>2.4014485703518672E-2</v>
      </c>
      <c r="W106" s="1"/>
      <c r="X106" s="6">
        <f t="shared" si="74"/>
        <v>0.67466001485156113</v>
      </c>
      <c r="Y106" s="6">
        <f t="shared" si="75"/>
        <v>0.39920710937962195</v>
      </c>
      <c r="AA106">
        <f t="shared" si="76"/>
        <v>0.95172569716748268</v>
      </c>
      <c r="AB106">
        <f t="shared" si="77"/>
        <v>0.92810491023994279</v>
      </c>
      <c r="AC106">
        <f t="shared" si="78"/>
        <v>0.87734597446819662</v>
      </c>
      <c r="AD106">
        <f t="shared" si="79"/>
        <v>0.83193031728903177</v>
      </c>
      <c r="AE106">
        <f t="shared" si="80"/>
        <v>0.98862297312366176</v>
      </c>
      <c r="AF106">
        <f t="shared" si="81"/>
        <v>0.98112408384567318</v>
      </c>
    </row>
    <row r="107" spans="4:32" x14ac:dyDescent="0.3">
      <c r="D107" s="1">
        <f t="shared" si="61"/>
        <v>3.612264074561601</v>
      </c>
      <c r="E107" s="1" t="e">
        <f t="shared" si="62"/>
        <v>#N/A</v>
      </c>
      <c r="G107" s="1">
        <f t="shared" si="63"/>
        <v>3.980848717144525</v>
      </c>
      <c r="I107">
        <f t="shared" si="41"/>
        <v>105</v>
      </c>
      <c r="K107" s="1">
        <f t="shared" si="64"/>
        <v>0.72372749676293524</v>
      </c>
      <c r="L107" s="1">
        <f t="shared" si="65"/>
        <v>0.65319132580079731</v>
      </c>
      <c r="N107" s="1">
        <f t="shared" si="66"/>
        <v>1.2217656773139398</v>
      </c>
      <c r="O107" s="1">
        <f t="shared" si="67"/>
        <v>1.5957755785324927</v>
      </c>
      <c r="Q107" s="1">
        <f t="shared" si="68"/>
        <v>0.37537257997691609</v>
      </c>
      <c r="R107" s="1">
        <f t="shared" si="69"/>
        <v>0.3023488152322148</v>
      </c>
      <c r="S107" s="1">
        <f t="shared" si="70"/>
        <v>0.20677654565179621</v>
      </c>
      <c r="T107" s="1">
        <f t="shared" si="71"/>
        <v>0.15442050322526796</v>
      </c>
      <c r="U107" s="1">
        <f t="shared" si="72"/>
        <v>4.1880861469940536E-2</v>
      </c>
      <c r="V107" s="1">
        <f t="shared" si="73"/>
        <v>2.6849001907670679E-2</v>
      </c>
      <c r="W107" s="1"/>
      <c r="X107" s="6">
        <f t="shared" si="74"/>
        <v>0.665044998814453</v>
      </c>
      <c r="Y107" s="6">
        <f t="shared" si="75"/>
        <v>0.38605786779251688</v>
      </c>
      <c r="AA107">
        <f t="shared" si="76"/>
        <v>0.95633641174698181</v>
      </c>
      <c r="AB107">
        <f t="shared" si="77"/>
        <v>0.93443599345878015</v>
      </c>
      <c r="AC107">
        <f t="shared" si="78"/>
        <v>0.88679695401783565</v>
      </c>
      <c r="AD107">
        <f t="shared" si="79"/>
        <v>0.84367294904761647</v>
      </c>
      <c r="AE107">
        <f t="shared" si="80"/>
        <v>0.98997434421804986</v>
      </c>
      <c r="AF107">
        <f t="shared" si="81"/>
        <v>0.98322280517141969</v>
      </c>
    </row>
    <row r="108" spans="4:32" x14ac:dyDescent="0.3">
      <c r="D108" s="1">
        <f t="shared" si="61"/>
        <v>3.3048571088198493</v>
      </c>
      <c r="E108" s="1" t="e">
        <f t="shared" si="62"/>
        <v>#N/A</v>
      </c>
      <c r="G108" s="1">
        <f t="shared" si="63"/>
        <v>3.7124381994290729</v>
      </c>
      <c r="I108">
        <f t="shared" si="41"/>
        <v>106</v>
      </c>
      <c r="K108" s="1">
        <f t="shared" si="64"/>
        <v>0.73935057160139073</v>
      </c>
      <c r="L108" s="1">
        <f t="shared" si="65"/>
        <v>0.67051820725444633</v>
      </c>
      <c r="N108" s="1">
        <f t="shared" si="66"/>
        <v>1.2045173809787126</v>
      </c>
      <c r="O108" s="1">
        <f t="shared" si="67"/>
        <v>1.5437033006491154</v>
      </c>
      <c r="Q108" s="1">
        <f t="shared" si="68"/>
        <v>0.39347887051406405</v>
      </c>
      <c r="R108" s="1">
        <f t="shared" si="69"/>
        <v>0.31908347740946863</v>
      </c>
      <c r="S108" s="1">
        <f t="shared" si="70"/>
        <v>0.22057187765911171</v>
      </c>
      <c r="T108" s="1">
        <f t="shared" si="71"/>
        <v>0.16595764691775911</v>
      </c>
      <c r="U108" s="1">
        <f t="shared" si="72"/>
        <v>4.6296925957135346E-2</v>
      </c>
      <c r="V108" s="1">
        <f t="shared" si="73"/>
        <v>2.9926764538806556E-2</v>
      </c>
      <c r="W108" s="1"/>
      <c r="X108" s="6">
        <f t="shared" si="74"/>
        <v>0.65565621549142561</v>
      </c>
      <c r="Y108" s="6">
        <f t="shared" si="75"/>
        <v>0.37346028650277013</v>
      </c>
      <c r="AA108">
        <f t="shared" si="76"/>
        <v>0.96054640437342387</v>
      </c>
      <c r="AB108">
        <f t="shared" si="77"/>
        <v>0.94027215229914518</v>
      </c>
      <c r="AC108">
        <f t="shared" si="78"/>
        <v>0.89563446088788079</v>
      </c>
      <c r="AD108">
        <f t="shared" si="79"/>
        <v>0.85475842160530546</v>
      </c>
      <c r="AE108">
        <f t="shared" si="80"/>
        <v>0.99117261324342731</v>
      </c>
      <c r="AF108">
        <f t="shared" si="81"/>
        <v>0.98510156238334556</v>
      </c>
    </row>
    <row r="109" spans="4:32" x14ac:dyDescent="0.3">
      <c r="D109" s="1">
        <f t="shared" si="61"/>
        <v>3.009868774244147</v>
      </c>
      <c r="E109" s="1" t="e">
        <f t="shared" si="62"/>
        <v>#N/A</v>
      </c>
      <c r="G109" s="1">
        <f t="shared" si="63"/>
        <v>3.4593472524347533</v>
      </c>
      <c r="I109">
        <f t="shared" si="41"/>
        <v>107</v>
      </c>
      <c r="K109" s="1">
        <f t="shared" si="64"/>
        <v>0.75436593183090661</v>
      </c>
      <c r="L109" s="1">
        <f t="shared" si="65"/>
        <v>0.68732892632984965</v>
      </c>
      <c r="N109" s="1">
        <f t="shared" si="66"/>
        <v>1.1876711376754896</v>
      </c>
      <c r="O109" s="1">
        <f t="shared" si="67"/>
        <v>1.4937954740612323</v>
      </c>
      <c r="Q109" s="1">
        <f t="shared" si="68"/>
        <v>0.41164535522814039</v>
      </c>
      <c r="R109" s="1">
        <f t="shared" si="69"/>
        <v>0.33603289304539841</v>
      </c>
      <c r="S109" s="1">
        <f t="shared" si="70"/>
        <v>0.23474333042666837</v>
      </c>
      <c r="T109" s="1">
        <f t="shared" si="71"/>
        <v>0.17792165598851581</v>
      </c>
      <c r="U109" s="1">
        <f t="shared" si="72"/>
        <v>5.1032665833434389E-2</v>
      </c>
      <c r="V109" s="1">
        <f t="shared" si="73"/>
        <v>3.3258599597797762E-2</v>
      </c>
      <c r="W109" s="1"/>
      <c r="X109" s="6">
        <f t="shared" si="74"/>
        <v>0.64648628211905335</v>
      </c>
      <c r="Y109" s="6">
        <f t="shared" si="75"/>
        <v>0.36138633990409136</v>
      </c>
      <c r="AA109">
        <f t="shared" si="76"/>
        <v>0.96438520864683053</v>
      </c>
      <c r="AB109">
        <f t="shared" si="77"/>
        <v>0.94564418590711241</v>
      </c>
      <c r="AC109">
        <f t="shared" si="78"/>
        <v>0.90388508388213895</v>
      </c>
      <c r="AD109">
        <f t="shared" si="79"/>
        <v>0.86520581674476194</v>
      </c>
      <c r="AE109">
        <f t="shared" si="80"/>
        <v>0.99223395599796105</v>
      </c>
      <c r="AF109">
        <f t="shared" si="81"/>
        <v>0.98678140717551133</v>
      </c>
    </row>
    <row r="110" spans="4:32" x14ac:dyDescent="0.3">
      <c r="D110" s="1">
        <f t="shared" si="61"/>
        <v>2.7265934833704719</v>
      </c>
      <c r="E110" s="1" t="e">
        <f t="shared" si="62"/>
        <v>#N/A</v>
      </c>
      <c r="G110" s="1">
        <f t="shared" si="63"/>
        <v>3.2209665760124864</v>
      </c>
      <c r="I110">
        <f t="shared" si="41"/>
        <v>108</v>
      </c>
      <c r="K110" s="1">
        <f t="shared" si="64"/>
        <v>0.76877093185612155</v>
      </c>
      <c r="L110" s="1">
        <f t="shared" si="65"/>
        <v>0.70360771850229697</v>
      </c>
      <c r="N110" s="1">
        <f t="shared" si="66"/>
        <v>1.1712139482105108</v>
      </c>
      <c r="O110" s="1">
        <f t="shared" si="67"/>
        <v>1.4459431459389025</v>
      </c>
      <c r="Q110" s="1">
        <f t="shared" si="68"/>
        <v>0.4298317318895431</v>
      </c>
      <c r="R110" s="1">
        <f t="shared" si="69"/>
        <v>0.35316016226972924</v>
      </c>
      <c r="S110" s="1">
        <f t="shared" si="70"/>
        <v>0.24926561103492151</v>
      </c>
      <c r="T110" s="1">
        <f t="shared" si="71"/>
        <v>0.19029693922450786</v>
      </c>
      <c r="U110" s="1">
        <f t="shared" si="72"/>
        <v>5.6096787909261946E-2</v>
      </c>
      <c r="V110" s="1">
        <f t="shared" si="73"/>
        <v>3.6854912861482687E-2</v>
      </c>
      <c r="W110" s="1"/>
      <c r="X110" s="6">
        <f t="shared" si="74"/>
        <v>0.6375281228324966</v>
      </c>
      <c r="Y110" s="6">
        <f t="shared" si="75"/>
        <v>0.34980966959259063</v>
      </c>
      <c r="AA110">
        <f t="shared" si="76"/>
        <v>0.96788089418668477</v>
      </c>
      <c r="AB110">
        <f t="shared" si="77"/>
        <v>0.95058198959185258</v>
      </c>
      <c r="AC110">
        <f t="shared" si="78"/>
        <v>0.91157585338411162</v>
      </c>
      <c r="AD110">
        <f t="shared" si="79"/>
        <v>0.87503572887441761</v>
      </c>
      <c r="AE110">
        <f t="shared" si="80"/>
        <v>0.99317302299516619</v>
      </c>
      <c r="AF110">
        <f t="shared" si="81"/>
        <v>0.98828167559542968</v>
      </c>
    </row>
    <row r="111" spans="4:32" x14ac:dyDescent="0.3">
      <c r="D111" s="1">
        <f t="shared" si="61"/>
        <v>2.4543306927758799</v>
      </c>
      <c r="E111" s="1" t="e">
        <f t="shared" si="62"/>
        <v>#N/A</v>
      </c>
      <c r="G111" s="1">
        <f t="shared" si="63"/>
        <v>2.9966857600373231</v>
      </c>
      <c r="I111">
        <f t="shared" si="41"/>
        <v>109</v>
      </c>
      <c r="K111" s="1">
        <f t="shared" si="64"/>
        <v>0.78256595628200953</v>
      </c>
      <c r="L111" s="1">
        <f t="shared" si="65"/>
        <v>0.71934219192902771</v>
      </c>
      <c r="N111" s="1">
        <f t="shared" si="66"/>
        <v>1.1551333488154167</v>
      </c>
      <c r="O111" s="1">
        <f t="shared" si="67"/>
        <v>1.4000437861242321</v>
      </c>
      <c r="Q111" s="1">
        <f t="shared" si="68"/>
        <v>0.44799868098659307</v>
      </c>
      <c r="R111" s="1">
        <f t="shared" si="69"/>
        <v>0.3704282602621628</v>
      </c>
      <c r="S111" s="1">
        <f t="shared" si="70"/>
        <v>0.26411203778927395</v>
      </c>
      <c r="T111" s="1">
        <f t="shared" si="71"/>
        <v>0.20306610961109084</v>
      </c>
      <c r="U111" s="1">
        <f t="shared" si="72"/>
        <v>6.149706496663139E-2</v>
      </c>
      <c r="V111" s="1">
        <f t="shared" si="73"/>
        <v>4.0725613170770447E-2</v>
      </c>
      <c r="W111" s="1"/>
      <c r="X111" s="6">
        <f t="shared" si="74"/>
        <v>0.62877495321558818</v>
      </c>
      <c r="Y111" s="6">
        <f t="shared" si="75"/>
        <v>0.33870547096875386</v>
      </c>
      <c r="AA111">
        <f t="shared" si="76"/>
        <v>0.97106003664318818</v>
      </c>
      <c r="AB111">
        <f t="shared" si="77"/>
        <v>0.95511443513911298</v>
      </c>
      <c r="AC111">
        <f t="shared" si="78"/>
        <v>0.91873399326125427</v>
      </c>
      <c r="AD111">
        <f t="shared" si="79"/>
        <v>0.88426996598895702</v>
      </c>
      <c r="AE111">
        <f t="shared" si="80"/>
        <v>0.9940030541555106</v>
      </c>
      <c r="AF111">
        <f t="shared" si="81"/>
        <v>0.98962008231424536</v>
      </c>
    </row>
    <row r="112" spans="4:32" x14ac:dyDescent="0.3">
      <c r="D112" s="1">
        <f t="shared" si="61"/>
        <v>2.1923884065074351</v>
      </c>
      <c r="E112" s="1" t="e">
        <f t="shared" si="62"/>
        <v>#N/A</v>
      </c>
      <c r="G112" s="1">
        <f t="shared" si="63"/>
        <v>2.7858961906618447</v>
      </c>
      <c r="I112">
        <f t="shared" si="41"/>
        <v>110</v>
      </c>
      <c r="K112" s="1">
        <f t="shared" si="64"/>
        <v>0.79575417130958659</v>
      </c>
      <c r="L112" s="1">
        <f t="shared" si="65"/>
        <v>0.73452316868917078</v>
      </c>
      <c r="N112" s="1">
        <f t="shared" si="66"/>
        <v>1.1394173844372948</v>
      </c>
      <c r="O112" s="1">
        <f t="shared" si="67"/>
        <v>1.3560008542063671</v>
      </c>
      <c r="Q112" s="1">
        <f t="shared" si="68"/>
        <v>0.46610808343260601</v>
      </c>
      <c r="R112" s="1">
        <f t="shared" si="69"/>
        <v>0.38780028051611359</v>
      </c>
      <c r="S112" s="1">
        <f t="shared" si="70"/>
        <v>0.27925473401840983</v>
      </c>
      <c r="T112" s="1">
        <f t="shared" si="71"/>
        <v>0.21621010851680567</v>
      </c>
      <c r="U112" s="1">
        <f t="shared" si="72"/>
        <v>6.7240266939169777E-2</v>
      </c>
      <c r="V112" s="1">
        <f t="shared" si="73"/>
        <v>4.4880037974974633E-2</v>
      </c>
      <c r="W112" s="1"/>
      <c r="X112" s="6">
        <f t="shared" si="74"/>
        <v>0.62022026576177591</v>
      </c>
      <c r="Y112" s="6">
        <f t="shared" si="75"/>
        <v>0.32805038850209639</v>
      </c>
      <c r="AA112">
        <f t="shared" si="76"/>
        <v>0.97394770726295776</v>
      </c>
      <c r="AB112">
        <f t="shared" si="77"/>
        <v>0.95926927728848843</v>
      </c>
      <c r="AC112">
        <f t="shared" si="78"/>
        <v>0.92538670049523342</v>
      </c>
      <c r="AD112">
        <f t="shared" si="79"/>
        <v>0.89293127197839894</v>
      </c>
      <c r="AE112">
        <f t="shared" si="80"/>
        <v>0.9947359897058049</v>
      </c>
      <c r="AF112">
        <f t="shared" si="81"/>
        <v>0.99081281724723091</v>
      </c>
    </row>
    <row r="113" spans="1:32" x14ac:dyDescent="0.3">
      <c r="D113" s="1">
        <f t="shared" si="61"/>
        <v>1.9400863864961639</v>
      </c>
      <c r="E113" s="1" t="e">
        <f t="shared" si="62"/>
        <v>#N/A</v>
      </c>
      <c r="G113" s="1">
        <f t="shared" si="63"/>
        <v>2.587993706415503</v>
      </c>
      <c r="I113">
        <f t="shared" si="41"/>
        <v>111</v>
      </c>
      <c r="K113" s="1">
        <f t="shared" si="64"/>
        <v>0.80834127360036523</v>
      </c>
      <c r="L113" s="1">
        <f t="shared" si="65"/>
        <v>0.74914451001870741</v>
      </c>
      <c r="N113" s="1">
        <f t="shared" si="66"/>
        <v>1.1240545835892679</v>
      </c>
      <c r="O113" s="1">
        <f t="shared" si="67"/>
        <v>1.3137233993738704</v>
      </c>
      <c r="Q113" s="1">
        <f t="shared" si="68"/>
        <v>0.48412321576396822</v>
      </c>
      <c r="R113" s="1">
        <f t="shared" si="69"/>
        <v>0.40523966584835919</v>
      </c>
      <c r="S113" s="1">
        <f t="shared" si="70"/>
        <v>0.2946648256257105</v>
      </c>
      <c r="T113" s="1">
        <f t="shared" si="71"/>
        <v>0.22970834084517741</v>
      </c>
      <c r="U113" s="1">
        <f t="shared" si="72"/>
        <v>7.333209932046196E-2</v>
      </c>
      <c r="V113" s="1">
        <f t="shared" si="73"/>
        <v>4.9326881879660868E-2</v>
      </c>
      <c r="W113" s="1"/>
      <c r="X113" s="6">
        <f t="shared" si="74"/>
        <v>0.6118578161845174</v>
      </c>
      <c r="Y113" s="6">
        <f t="shared" si="75"/>
        <v>0.31782241892548574</v>
      </c>
      <c r="AA113">
        <f t="shared" si="76"/>
        <v>0.97656747915804221</v>
      </c>
      <c r="AB113">
        <f t="shared" si="77"/>
        <v>0.96307308377646306</v>
      </c>
      <c r="AC113">
        <f t="shared" si="78"/>
        <v>0.93156095160402175</v>
      </c>
      <c r="AD113">
        <f t="shared" si="79"/>
        <v>0.90104307103613523</v>
      </c>
      <c r="AE113">
        <f t="shared" si="80"/>
        <v>0.99538257647271955</v>
      </c>
      <c r="AF113">
        <f t="shared" si="81"/>
        <v>0.99187464285040072</v>
      </c>
    </row>
    <row r="114" spans="1:32" x14ac:dyDescent="0.3">
      <c r="D114" s="1">
        <f t="shared" si="61"/>
        <v>1.6967590645959394</v>
      </c>
      <c r="E114" s="1" t="e">
        <f t="shared" si="62"/>
        <v>#N/A</v>
      </c>
      <c r="G114" s="1">
        <f t="shared" si="63"/>
        <v>2.4023810032591228</v>
      </c>
      <c r="I114">
        <f t="shared" si="41"/>
        <v>112</v>
      </c>
      <c r="K114" s="1">
        <f t="shared" si="64"/>
        <v>0.82033523982574619</v>
      </c>
      <c r="L114" s="1">
        <f t="shared" si="65"/>
        <v>0.76320292915036259</v>
      </c>
      <c r="N114" s="1">
        <f t="shared" si="66"/>
        <v>1.109033934657355</v>
      </c>
      <c r="O114" s="1">
        <f t="shared" si="67"/>
        <v>1.2731256902954329</v>
      </c>
      <c r="Q114" s="1">
        <f t="shared" si="68"/>
        <v>0.50200892223798765</v>
      </c>
      <c r="R114" s="1">
        <f t="shared" si="69"/>
        <v>0.42271042539420911</v>
      </c>
      <c r="S114" s="1">
        <f t="shared" si="70"/>
        <v>0.31031264013011478</v>
      </c>
      <c r="T114" s="1">
        <f t="shared" si="71"/>
        <v>0.24353881933136284</v>
      </c>
      <c r="U114" s="1">
        <f t="shared" si="72"/>
        <v>7.9777149369444716E-2</v>
      </c>
      <c r="V114" s="1">
        <f t="shared" si="73"/>
        <v>5.4074128903337376E-2</v>
      </c>
      <c r="W114" s="1"/>
      <c r="X114" s="6">
        <f t="shared" si="74"/>
        <v>0.60368161052036906</v>
      </c>
      <c r="Y114" s="6">
        <f t="shared" si="75"/>
        <v>0.30800082169406595</v>
      </c>
      <c r="AA114">
        <f t="shared" si="76"/>
        <v>0.97894144763979696</v>
      </c>
      <c r="AB114">
        <f t="shared" si="77"/>
        <v>0.96655118639654458</v>
      </c>
      <c r="AC114">
        <f t="shared" si="78"/>
        <v>0.93728333465765845</v>
      </c>
      <c r="AD114">
        <f t="shared" si="79"/>
        <v>0.90862923448857424</v>
      </c>
      <c r="AE114">
        <f t="shared" si="80"/>
        <v>0.99595246898444945</v>
      </c>
      <c r="AF114">
        <f t="shared" si="81"/>
        <v>0.99281899071166491</v>
      </c>
    </row>
    <row r="115" spans="1:32" x14ac:dyDescent="0.3">
      <c r="D115" s="1">
        <f t="shared" si="61"/>
        <v>1.4617581545242384</v>
      </c>
      <c r="E115" s="1" t="e">
        <f t="shared" si="62"/>
        <v>#N/A</v>
      </c>
      <c r="G115" s="1">
        <f t="shared" si="63"/>
        <v>2.2284697907222437</v>
      </c>
      <c r="I115">
        <f t="shared" si="41"/>
        <v>113</v>
      </c>
      <c r="K115" s="1">
        <f t="shared" si="64"/>
        <v>0.83174607971983117</v>
      </c>
      <c r="L115" s="1">
        <f t="shared" si="65"/>
        <v>0.77669779513464388</v>
      </c>
      <c r="N115" s="1">
        <f t="shared" si="66"/>
        <v>1.0943448635671746</v>
      </c>
      <c r="O115" s="1">
        <f t="shared" si="67"/>
        <v>1.2341268725324863</v>
      </c>
      <c r="Q115" s="1">
        <f t="shared" si="68"/>
        <v>0.51973176359260664</v>
      </c>
      <c r="R115" s="1">
        <f t="shared" si="69"/>
        <v>0.44017733613972398</v>
      </c>
      <c r="S115" s="1">
        <f t="shared" si="70"/>
        <v>0.32616790505119747</v>
      </c>
      <c r="T115" s="1">
        <f t="shared" si="71"/>
        <v>0.25767831614151071</v>
      </c>
      <c r="U115" s="1">
        <f t="shared" si="72"/>
        <v>8.6578840577899843E-2</v>
      </c>
      <c r="V115" s="1">
        <f t="shared" si="73"/>
        <v>5.9128989097563339E-2</v>
      </c>
      <c r="W115" s="1"/>
      <c r="X115" s="6">
        <f t="shared" si="74"/>
        <v>0.59568589297227792</v>
      </c>
      <c r="Y115" s="6">
        <f t="shared" si="75"/>
        <v>0.29856603610483035</v>
      </c>
      <c r="AA115">
        <f t="shared" si="76"/>
        <v>0.98109026220167073</v>
      </c>
      <c r="AB115">
        <f t="shared" si="77"/>
        <v>0.96972765061407018</v>
      </c>
      <c r="AC115">
        <f t="shared" si="78"/>
        <v>0.94257990548787274</v>
      </c>
      <c r="AD115">
        <f t="shared" si="79"/>
        <v>0.91571386999966409</v>
      </c>
      <c r="AE115">
        <f t="shared" si="80"/>
        <v>0.99645432498754971</v>
      </c>
      <c r="AF115">
        <f t="shared" si="81"/>
        <v>0.99365805631665827</v>
      </c>
    </row>
    <row r="116" spans="1:32" x14ac:dyDescent="0.3">
      <c r="D116" s="1">
        <f t="shared" si="61"/>
        <v>1.2344549652476378</v>
      </c>
      <c r="E116" s="1" t="e">
        <f t="shared" si="62"/>
        <v>#N/A</v>
      </c>
      <c r="G116" s="1">
        <f t="shared" si="63"/>
        <v>2.0656827038723549</v>
      </c>
      <c r="I116">
        <f t="shared" si="41"/>
        <v>114</v>
      </c>
      <c r="K116" s="1">
        <f t="shared" si="64"/>
        <v>0.84258559506308628</v>
      </c>
      <c r="L116" s="1">
        <f t="shared" si="65"/>
        <v>0.78963093075906521</v>
      </c>
      <c r="N116" s="1">
        <f t="shared" si="66"/>
        <v>1.0799772127212148</v>
      </c>
      <c r="O116" s="1">
        <f t="shared" si="67"/>
        <v>1.1966506512146422</v>
      </c>
      <c r="Q116" s="1">
        <f t="shared" si="68"/>
        <v>0.53726014255325238</v>
      </c>
      <c r="R116" s="1">
        <f t="shared" si="69"/>
        <v>0.45760612784927152</v>
      </c>
      <c r="S116" s="1">
        <f t="shared" si="70"/>
        <v>0.34219994363471501</v>
      </c>
      <c r="T116" s="1">
        <f t="shared" si="71"/>
        <v>0.27210251994096124</v>
      </c>
      <c r="U116" s="1">
        <f t="shared" si="72"/>
        <v>9.3739395758481767E-2</v>
      </c>
      <c r="V116" s="1">
        <f t="shared" si="73"/>
        <v>6.4497840126618841E-2</v>
      </c>
      <c r="W116" s="1"/>
      <c r="X116" s="6">
        <f t="shared" si="74"/>
        <v>0.58786513444448496</v>
      </c>
      <c r="Y116" s="6">
        <f t="shared" si="75"/>
        <v>0.28949960452790879</v>
      </c>
      <c r="AA116">
        <f t="shared" si="76"/>
        <v>0.98303316796088658</v>
      </c>
      <c r="AB116">
        <f t="shared" si="77"/>
        <v>0.97262526138800387</v>
      </c>
      <c r="AC116">
        <f t="shared" si="78"/>
        <v>0.94747606654598904</v>
      </c>
      <c r="AD116">
        <f t="shared" si="79"/>
        <v>0.92232113279036421</v>
      </c>
      <c r="AE116">
        <f t="shared" si="80"/>
        <v>0.99689589514751331</v>
      </c>
      <c r="AF116">
        <f t="shared" si="81"/>
        <v>0.99440289110097091</v>
      </c>
    </row>
    <row r="117" spans="1:32" x14ac:dyDescent="0.3">
      <c r="D117" s="1">
        <f t="shared" si="61"/>
        <v>1.0142424202502447</v>
      </c>
      <c r="E117" s="1" t="e">
        <f t="shared" si="62"/>
        <v>#N/A</v>
      </c>
      <c r="G117" s="1">
        <f t="shared" si="63"/>
        <v>1.9134549781025498</v>
      </c>
      <c r="I117">
        <f t="shared" si="41"/>
        <v>115</v>
      </c>
      <c r="K117" s="1">
        <f t="shared" si="64"/>
        <v>0.85286714664627372</v>
      </c>
      <c r="L117" s="1">
        <f t="shared" si="65"/>
        <v>0.80200640740621953</v>
      </c>
      <c r="N117" s="1">
        <f t="shared" si="66"/>
        <v>1.0659212211239981</v>
      </c>
      <c r="O117" s="1">
        <f t="shared" si="67"/>
        <v>1.1606249969138429</v>
      </c>
      <c r="Q117" s="1">
        <f t="shared" si="68"/>
        <v>0.55456440646278482</v>
      </c>
      <c r="R117" s="1">
        <f t="shared" si="69"/>
        <v>0.47496365054348288</v>
      </c>
      <c r="S117" s="1">
        <f t="shared" si="70"/>
        <v>0.35837786607500999</v>
      </c>
      <c r="T117" s="1">
        <f t="shared" si="71"/>
        <v>0.28678619663158716</v>
      </c>
      <c r="U117" s="1">
        <f t="shared" si="72"/>
        <v>0.10125980900402062</v>
      </c>
      <c r="V117" s="1">
        <f t="shared" si="73"/>
        <v>7.0186174337999035E-2</v>
      </c>
      <c r="W117" s="1"/>
      <c r="X117" s="6">
        <f t="shared" si="74"/>
        <v>0.58021402172403413</v>
      </c>
      <c r="Y117" s="6">
        <f t="shared" si="75"/>
        <v>0.28078410125019426</v>
      </c>
      <c r="AA117">
        <f t="shared" si="76"/>
        <v>0.98478805459312491</v>
      </c>
      <c r="AB117">
        <f t="shared" si="77"/>
        <v>0.97526552298781288</v>
      </c>
      <c r="AC117">
        <f t="shared" si="78"/>
        <v>0.95199646676696037</v>
      </c>
      <c r="AD117">
        <f t="shared" si="79"/>
        <v>0.92847505825306986</v>
      </c>
      <c r="AE117">
        <f t="shared" si="80"/>
        <v>0.99728410683500357</v>
      </c>
      <c r="AF117">
        <f t="shared" si="81"/>
        <v>0.99506349110332482</v>
      </c>
    </row>
    <row r="118" spans="1:32" x14ac:dyDescent="0.3">
      <c r="D118" s="1">
        <f t="shared" si="61"/>
        <v>0.80053678965132757</v>
      </c>
      <c r="E118" s="1" t="e">
        <f t="shared" si="62"/>
        <v>#N/A</v>
      </c>
      <c r="G118" s="1">
        <f t="shared" si="63"/>
        <v>1.7712358955913885</v>
      </c>
      <c r="I118">
        <f t="shared" ref="I118:I152" si="82">+I117+1</f>
        <v>116</v>
      </c>
      <c r="K118" s="1">
        <f t="shared" si="64"/>
        <v>0.86260543090421016</v>
      </c>
      <c r="L118" s="1">
        <f t="shared" si="65"/>
        <v>0.81383033940525762</v>
      </c>
      <c r="N118" s="1">
        <f t="shared" si="66"/>
        <v>1.0521675056184989</v>
      </c>
      <c r="O118" s="1">
        <f t="shared" si="67"/>
        <v>1.1259818728378705</v>
      </c>
      <c r="Q118" s="1">
        <f t="shared" si="68"/>
        <v>0.57161692766713057</v>
      </c>
      <c r="R118" s="1">
        <f t="shared" si="69"/>
        <v>0.49221802396537861</v>
      </c>
      <c r="S118" s="1">
        <f t="shared" si="70"/>
        <v>0.37467075456510834</v>
      </c>
      <c r="T118" s="1">
        <f t="shared" si="71"/>
        <v>0.30170335201599996</v>
      </c>
      <c r="U118" s="1">
        <f t="shared" si="72"/>
        <v>0.10913982666179026</v>
      </c>
      <c r="V118" s="1">
        <f t="shared" si="73"/>
        <v>7.6198551784912472E-2</v>
      </c>
      <c r="W118" s="1"/>
      <c r="X118" s="6">
        <f t="shared" si="74"/>
        <v>0.5727274472671724</v>
      </c>
      <c r="Y118" s="6">
        <f t="shared" si="75"/>
        <v>0.27240306647665752</v>
      </c>
      <c r="AA118">
        <f t="shared" si="76"/>
        <v>0.98637151101248588</v>
      </c>
      <c r="AB118">
        <f t="shared" si="77"/>
        <v>0.97766867074380182</v>
      </c>
      <c r="AC118">
        <f t="shared" si="78"/>
        <v>0.95616492074352288</v>
      </c>
      <c r="AD118">
        <f t="shared" si="79"/>
        <v>0.93419941513038673</v>
      </c>
      <c r="AE118">
        <f t="shared" si="80"/>
        <v>0.99762514200798902</v>
      </c>
      <c r="AF118">
        <f t="shared" si="81"/>
        <v>0.99564888170998167</v>
      </c>
    </row>
    <row r="119" spans="1:32" x14ac:dyDescent="0.3">
      <c r="D119" s="1">
        <f t="shared" si="61"/>
        <v>0.59277914431360301</v>
      </c>
      <c r="E119" s="1" t="e">
        <f t="shared" si="62"/>
        <v>#N/A</v>
      </c>
      <c r="G119" s="1">
        <f t="shared" si="63"/>
        <v>1.6384900138085357</v>
      </c>
      <c r="I119">
        <f t="shared" si="82"/>
        <v>117</v>
      </c>
      <c r="K119" s="1">
        <f t="shared" si="64"/>
        <v>0.87181626757110786</v>
      </c>
      <c r="L119" s="1">
        <f t="shared" si="65"/>
        <v>0.82511068014195521</v>
      </c>
      <c r="N119" s="1">
        <f t="shared" si="66"/>
        <v>1.0387070431627348</v>
      </c>
      <c r="O119" s="1">
        <f t="shared" si="67"/>
        <v>1.092656981630753</v>
      </c>
      <c r="Q119" s="1">
        <f t="shared" si="68"/>
        <v>0.5883921625111701</v>
      </c>
      <c r="R119" s="1">
        <f t="shared" si="69"/>
        <v>0.50933876873775241</v>
      </c>
      <c r="S119" s="1">
        <f t="shared" si="70"/>
        <v>0.39104784068993775</v>
      </c>
      <c r="T119" s="1">
        <f t="shared" si="71"/>
        <v>0.31682739472420379</v>
      </c>
      <c r="U119" s="1">
        <f t="shared" si="72"/>
        <v>0.11737793736165314</v>
      </c>
      <c r="V119" s="1">
        <f t="shared" si="73"/>
        <v>8.2538559587976901E-2</v>
      </c>
      <c r="W119" s="1"/>
      <c r="X119" s="6">
        <f t="shared" si="74"/>
        <v>0.56540049955194749</v>
      </c>
      <c r="Y119" s="6">
        <f t="shared" si="75"/>
        <v>0.26434094507505762</v>
      </c>
      <c r="AA119">
        <f t="shared" si="76"/>
        <v>0.98779888425805484</v>
      </c>
      <c r="AB119">
        <f t="shared" si="77"/>
        <v>0.97985369282853307</v>
      </c>
      <c r="AC119">
        <f t="shared" si="78"/>
        <v>0.96000434549706559</v>
      </c>
      <c r="AD119">
        <f t="shared" si="79"/>
        <v>0.93951757826242488</v>
      </c>
      <c r="AE119">
        <f t="shared" si="80"/>
        <v>0.99792450928643961</v>
      </c>
      <c r="AF119">
        <f t="shared" si="81"/>
        <v>0.99616719813132748</v>
      </c>
    </row>
    <row r="120" spans="1:32" x14ac:dyDescent="0.3">
      <c r="D120" s="1">
        <f t="shared" si="61"/>
        <v>0.39043654291556518</v>
      </c>
      <c r="E120" s="1" t="e">
        <f t="shared" si="62"/>
        <v>#N/A</v>
      </c>
      <c r="G120" s="1">
        <f t="shared" si="63"/>
        <v>1.5146981876313248</v>
      </c>
      <c r="I120">
        <f t="shared" si="82"/>
        <v>118</v>
      </c>
      <c r="K120" s="1">
        <f t="shared" si="64"/>
        <v>0.88051639939636051</v>
      </c>
      <c r="L120" s="1">
        <f t="shared" si="65"/>
        <v>0.83585702190555955</v>
      </c>
      <c r="N120" s="1">
        <f t="shared" si="66"/>
        <v>1.0255311540805641</v>
      </c>
      <c r="O120" s="1">
        <f t="shared" si="67"/>
        <v>1.0605895302183368</v>
      </c>
      <c r="Q120" s="1">
        <f t="shared" si="68"/>
        <v>0.60486668998683846</v>
      </c>
      <c r="R120" s="1">
        <f t="shared" si="69"/>
        <v>0.52629691916017629</v>
      </c>
      <c r="S120" s="1">
        <f t="shared" si="70"/>
        <v>0.40747867386890063</v>
      </c>
      <c r="T120" s="1">
        <f t="shared" si="71"/>
        <v>0.33213129783361917</v>
      </c>
      <c r="U120" s="1">
        <f t="shared" si="72"/>
        <v>0.12597137103595463</v>
      </c>
      <c r="V120" s="1">
        <f t="shared" si="73"/>
        <v>8.9208777946682791E-2</v>
      </c>
      <c r="W120" s="1"/>
      <c r="X120" s="6">
        <f t="shared" si="74"/>
        <v>0.55822845396109722</v>
      </c>
      <c r="Y120" s="6">
        <f t="shared" si="75"/>
        <v>0.25658302968622676</v>
      </c>
      <c r="AA120">
        <f t="shared" si="76"/>
        <v>0.98908434124597511</v>
      </c>
      <c r="AB120">
        <f t="shared" si="77"/>
        <v>0.98183836033049221</v>
      </c>
      <c r="AC120">
        <f t="shared" si="78"/>
        <v>0.96353671314497191</v>
      </c>
      <c r="AD120">
        <f t="shared" si="79"/>
        <v>0.94445241978258343</v>
      </c>
      <c r="AE120">
        <f t="shared" si="80"/>
        <v>0.99818711038360775</v>
      </c>
      <c r="AF120">
        <f t="shared" si="81"/>
        <v>0.99662576137926517</v>
      </c>
    </row>
    <row r="121" spans="1:32" x14ac:dyDescent="0.3">
      <c r="D121" s="1">
        <f t="shared" si="61"/>
        <v>0.19300296447271426</v>
      </c>
      <c r="E121" s="1" t="e">
        <f t="shared" si="62"/>
        <v>#N/A</v>
      </c>
      <c r="G121" s="1">
        <f t="shared" si="63"/>
        <v>1.3993583975323389</v>
      </c>
      <c r="I121">
        <f t="shared" si="82"/>
        <v>119</v>
      </c>
      <c r="K121" s="1">
        <f t="shared" si="64"/>
        <v>0.88872330467353755</v>
      </c>
      <c r="L121" s="1">
        <f t="shared" si="65"/>
        <v>0.84608040117066008</v>
      </c>
      <c r="N121" s="1">
        <f t="shared" si="66"/>
        <v>1.0126314862254127</v>
      </c>
      <c r="O121" s="1">
        <f t="shared" si="67"/>
        <v>1.0297220112736347</v>
      </c>
      <c r="Q121" s="1">
        <f t="shared" si="68"/>
        <v>0.6210192312289885</v>
      </c>
      <c r="R121" s="1">
        <f t="shared" si="69"/>
        <v>0.54306511781731348</v>
      </c>
      <c r="S121" s="1">
        <f t="shared" si="70"/>
        <v>0.42393327974742334</v>
      </c>
      <c r="T121" s="1">
        <f t="shared" si="71"/>
        <v>0.34758775772327288</v>
      </c>
      <c r="U121" s="1">
        <f t="shared" si="72"/>
        <v>0.13491610677306645</v>
      </c>
      <c r="V121" s="1">
        <f t="shared" si="73"/>
        <v>9.621075303319912E-2</v>
      </c>
      <c r="W121" s="1"/>
      <c r="X121" s="6">
        <f t="shared" si="74"/>
        <v>0.55120676416187431</v>
      </c>
      <c r="Y121" s="6">
        <f t="shared" si="75"/>
        <v>0.2491154078550947</v>
      </c>
      <c r="AA121">
        <f t="shared" si="76"/>
        <v>0.99024093223043252</v>
      </c>
      <c r="AB121">
        <f t="shared" si="77"/>
        <v>0.98363926404507684</v>
      </c>
      <c r="AC121">
        <f t="shared" si="78"/>
        <v>0.96678301780243459</v>
      </c>
      <c r="AD121">
        <f t="shared" si="79"/>
        <v>0.94902621755419747</v>
      </c>
      <c r="AE121">
        <f t="shared" si="80"/>
        <v>0.99841730110893645</v>
      </c>
      <c r="AF121">
        <f t="shared" si="81"/>
        <v>0.99703114962094608</v>
      </c>
    </row>
    <row r="122" spans="1:32" x14ac:dyDescent="0.3">
      <c r="A122" s="2"/>
      <c r="B122" s="2"/>
      <c r="C122" s="2"/>
      <c r="D122" s="3" t="e">
        <f t="shared" si="61"/>
        <v>#N/A</v>
      </c>
      <c r="E122" s="3" t="e">
        <f t="shared" si="62"/>
        <v>#N/A</v>
      </c>
      <c r="F122" s="3"/>
      <c r="G122" s="3">
        <f t="shared" si="63"/>
        <v>1.2919863969187162</v>
      </c>
      <c r="H122" s="3"/>
      <c r="I122" s="2">
        <f t="shared" si="82"/>
        <v>120</v>
      </c>
      <c r="J122" s="3"/>
      <c r="K122" s="3">
        <f t="shared" si="64"/>
        <v>0.89645502307708047</v>
      </c>
      <c r="L122" s="3">
        <f t="shared" si="65"/>
        <v>0.85579311074329822</v>
      </c>
      <c r="M122" s="3"/>
      <c r="N122" s="3">
        <f t="shared" si="66"/>
        <v>1</v>
      </c>
      <c r="O122" s="3">
        <f t="shared" si="67"/>
        <v>1</v>
      </c>
      <c r="P122" s="3"/>
      <c r="Q122" s="3">
        <f t="shared" si="68"/>
        <v>0.6368306511756191</v>
      </c>
      <c r="R122" s="3">
        <f t="shared" si="69"/>
        <v>0.5596176923702425</v>
      </c>
      <c r="S122" s="3">
        <f t="shared" si="70"/>
        <v>0.4403823076297575</v>
      </c>
      <c r="T122" s="3">
        <f t="shared" si="71"/>
        <v>0.3631693488243809</v>
      </c>
      <c r="U122" s="3">
        <f t="shared" si="72"/>
        <v>0.14420688925670178</v>
      </c>
      <c r="V122" s="3">
        <f t="shared" si="73"/>
        <v>0.10354497692291953</v>
      </c>
      <c r="W122" s="3"/>
      <c r="X122" s="6">
        <f t="shared" si="74"/>
        <v>0.54433105395181747</v>
      </c>
      <c r="Y122" s="6">
        <f t="shared" si="75"/>
        <v>0.24192491286747436</v>
      </c>
      <c r="AA122">
        <f t="shared" si="76"/>
        <v>0.99128065498736573</v>
      </c>
      <c r="AB122">
        <f t="shared" si="77"/>
        <v>0.9852718565691857</v>
      </c>
      <c r="AC122">
        <f t="shared" si="78"/>
        <v>0.96976325511509198</v>
      </c>
      <c r="AD122">
        <f t="shared" si="79"/>
        <v>0.95326057958500188</v>
      </c>
      <c r="AE122">
        <f t="shared" si="80"/>
        <v>0.99861894719475575</v>
      </c>
      <c r="AF122">
        <f t="shared" si="81"/>
        <v>0.99738926487265944</v>
      </c>
    </row>
    <row r="123" spans="1:32" x14ac:dyDescent="0.3">
      <c r="D123" s="1" t="e">
        <f t="shared" si="61"/>
        <v>#N/A</v>
      </c>
      <c r="E123" s="1" t="e">
        <f t="shared" si="62"/>
        <v>#N/A</v>
      </c>
      <c r="G123" s="1">
        <f t="shared" si="63"/>
        <v>1.1921161920808743</v>
      </c>
      <c r="I123">
        <f t="shared" si="82"/>
        <v>121</v>
      </c>
      <c r="K123" s="1">
        <f t="shared" si="64"/>
        <v>0.90372999507109986</v>
      </c>
      <c r="L123" s="1">
        <f t="shared" si="65"/>
        <v>0.86500851994546191</v>
      </c>
      <c r="N123" s="1">
        <f t="shared" si="66"/>
        <v>0.98762895417911245</v>
      </c>
      <c r="O123" s="1">
        <f t="shared" si="67"/>
        <v>0.97137196504195211</v>
      </c>
      <c r="Q123" s="1">
        <f t="shared" si="68"/>
        <v>0.65228394379934251</v>
      </c>
      <c r="R123" s="1">
        <f t="shared" si="69"/>
        <v>0.57593071507851412</v>
      </c>
      <c r="S123" s="1">
        <f t="shared" si="70"/>
        <v>0.45679716623430006</v>
      </c>
      <c r="T123" s="1">
        <f t="shared" si="71"/>
        <v>0.37884867305970554</v>
      </c>
      <c r="U123" s="1">
        <f t="shared" si="72"/>
        <v>0.15383725346050517</v>
      </c>
      <c r="V123" s="1">
        <f t="shared" si="73"/>
        <v>0.11121087463892682</v>
      </c>
      <c r="W123" s="1"/>
      <c r="X123" s="6">
        <f t="shared" si="74"/>
        <v>0.53759710954164752</v>
      </c>
      <c r="Y123" s="6">
        <f t="shared" si="75"/>
        <v>0.23499907800468164</v>
      </c>
      <c r="AA123">
        <f t="shared" si="76"/>
        <v>0.9922145188905217</v>
      </c>
      <c r="AB123">
        <f t="shared" si="77"/>
        <v>0.98675049844166396</v>
      </c>
      <c r="AC123">
        <f t="shared" si="78"/>
        <v>0.97249641289275079</v>
      </c>
      <c r="AD123">
        <f t="shared" si="79"/>
        <v>0.95717638312881614</v>
      </c>
      <c r="AE123">
        <f t="shared" si="80"/>
        <v>0.99879547522436674</v>
      </c>
      <c r="AF123">
        <f t="shared" si="81"/>
        <v>0.99770539506947642</v>
      </c>
    </row>
    <row r="124" spans="1:32" x14ac:dyDescent="0.3">
      <c r="D124" s="1" t="e">
        <f t="shared" si="61"/>
        <v>#N/A</v>
      </c>
      <c r="E124" s="1" t="e">
        <f t="shared" si="62"/>
        <v>#N/A</v>
      </c>
      <c r="G124" s="1">
        <f t="shared" si="63"/>
        <v>1.0993003683698532</v>
      </c>
      <c r="I124">
        <f t="shared" si="82"/>
        <v>122</v>
      </c>
      <c r="K124" s="1">
        <f t="shared" si="64"/>
        <v>0.91056691495246678</v>
      </c>
      <c r="L124" s="1">
        <f t="shared" si="65"/>
        <v>0.87374090377331592</v>
      </c>
      <c r="N124" s="1">
        <f t="shared" si="66"/>
        <v>0.97551089248616007</v>
      </c>
      <c r="O124" s="1">
        <f t="shared" si="67"/>
        <v>0.94378909243487663</v>
      </c>
      <c r="Q124" s="1">
        <f t="shared" si="68"/>
        <v>0.66736420237851046</v>
      </c>
      <c r="R124" s="1">
        <f t="shared" si="69"/>
        <v>0.59198204575242364</v>
      </c>
      <c r="S124" s="1">
        <f t="shared" si="70"/>
        <v>0.47315014723543747</v>
      </c>
      <c r="T124" s="1">
        <f t="shared" si="71"/>
        <v>0.39459850290017867</v>
      </c>
      <c r="U124" s="1">
        <f t="shared" si="72"/>
        <v>0.1637995571927445</v>
      </c>
      <c r="V124" s="1">
        <f t="shared" si="73"/>
        <v>0.11920679831233753</v>
      </c>
      <c r="W124" s="1"/>
      <c r="X124" s="6">
        <f t="shared" si="74"/>
        <v>0.53100087224846948</v>
      </c>
      <c r="Y124" s="6">
        <f t="shared" si="75"/>
        <v>0.22832609395258024</v>
      </c>
      <c r="AA124">
        <f t="shared" si="76"/>
        <v>0.99305260819058838</v>
      </c>
      <c r="AB124">
        <f t="shared" si="77"/>
        <v>0.98808850722076658</v>
      </c>
      <c r="AC124">
        <f t="shared" si="78"/>
        <v>0.97500047139999424</v>
      </c>
      <c r="AD124">
        <f t="shared" si="79"/>
        <v>0.96079372718010714</v>
      </c>
      <c r="AE124">
        <f t="shared" si="80"/>
        <v>0.99894991895485297</v>
      </c>
      <c r="AF124">
        <f t="shared" si="81"/>
        <v>0.99798427160354564</v>
      </c>
    </row>
    <row r="125" spans="1:32" x14ac:dyDescent="0.3">
      <c r="D125" s="1" t="e">
        <f t="shared" si="61"/>
        <v>#N/A</v>
      </c>
      <c r="E125" s="1" t="e">
        <f t="shared" si="62"/>
        <v>#N/A</v>
      </c>
      <c r="G125" s="1">
        <f t="shared" si="63"/>
        <v>1.0131102761942259</v>
      </c>
      <c r="I125">
        <f t="shared" si="82"/>
        <v>123</v>
      </c>
      <c r="K125" s="1">
        <f t="shared" si="64"/>
        <v>0.91698459741532046</v>
      </c>
      <c r="L125" s="1">
        <f t="shared" si="65"/>
        <v>0.88200528174366433</v>
      </c>
      <c r="N125" s="1">
        <f t="shared" si="66"/>
        <v>0.96363863087764834</v>
      </c>
      <c r="O125" s="1">
        <f t="shared" si="67"/>
        <v>0.91720512159680978</v>
      </c>
      <c r="Q125" s="1">
        <f t="shared" si="68"/>
        <v>0.68205857631160149</v>
      </c>
      <c r="R125" s="1">
        <f t="shared" si="69"/>
        <v>0.60775135896277344</v>
      </c>
      <c r="S125" s="1">
        <f t="shared" si="70"/>
        <v>0.48941453623024889</v>
      </c>
      <c r="T125" s="1">
        <f t="shared" si="71"/>
        <v>0.41039191710681877</v>
      </c>
      <c r="U125" s="1">
        <f t="shared" si="72"/>
        <v>0.17408502101977125</v>
      </c>
      <c r="V125" s="1">
        <f t="shared" si="73"/>
        <v>0.12753002838822317</v>
      </c>
      <c r="W125" s="1"/>
      <c r="X125" s="6">
        <f t="shared" si="74"/>
        <v>0.52453843157431668</v>
      </c>
      <c r="Y125" s="6">
        <f t="shared" si="75"/>
        <v>0.22189476912390949</v>
      </c>
      <c r="AA125">
        <f t="shared" si="76"/>
        <v>0.99380414393477001</v>
      </c>
      <c r="AB125">
        <f t="shared" si="77"/>
        <v>0.98929820853023032</v>
      </c>
      <c r="AC125">
        <f t="shared" si="78"/>
        <v>0.97729241195308647</v>
      </c>
      <c r="AD125">
        <f t="shared" si="79"/>
        <v>0.96413189708324154</v>
      </c>
      <c r="AE125">
        <f t="shared" si="80"/>
        <v>0.99908496133575109</v>
      </c>
      <c r="AF125">
        <f t="shared" si="81"/>
        <v>0.99823012246863074</v>
      </c>
    </row>
    <row r="126" spans="1:32" x14ac:dyDescent="0.3">
      <c r="D126" s="1" t="e">
        <f t="shared" si="61"/>
        <v>#N/A</v>
      </c>
      <c r="E126" s="1" t="e">
        <f t="shared" si="62"/>
        <v>#N/A</v>
      </c>
      <c r="G126" s="1">
        <f t="shared" si="63"/>
        <v>0.93313609023896049</v>
      </c>
      <c r="I126">
        <f t="shared" si="82"/>
        <v>124</v>
      </c>
      <c r="K126" s="1">
        <f t="shared" si="64"/>
        <v>0.92300185737501328</v>
      </c>
      <c r="L126" s="1">
        <f t="shared" si="65"/>
        <v>0.88981726694126828</v>
      </c>
      <c r="N126" s="1">
        <f t="shared" si="66"/>
        <v>0.95200524549283505</v>
      </c>
      <c r="O126" s="1">
        <f t="shared" si="67"/>
        <v>0.89157619244906505</v>
      </c>
      <c r="Q126" s="1">
        <f t="shared" si="68"/>
        <v>0.69635621598977593</v>
      </c>
      <c r="R126" s="1">
        <f t="shared" si="69"/>
        <v>0.62322015643981632</v>
      </c>
      <c r="S126" s="1">
        <f t="shared" si="70"/>
        <v>0.50556471093249389</v>
      </c>
      <c r="T126" s="1">
        <f t="shared" si="71"/>
        <v>0.42620242836653516</v>
      </c>
      <c r="U126" s="1">
        <f t="shared" si="72"/>
        <v>0.18468377503970274</v>
      </c>
      <c r="V126" s="1">
        <f t="shared" si="73"/>
        <v>0.13617678173834005</v>
      </c>
      <c r="W126" s="1"/>
      <c r="X126" s="6">
        <f t="shared" si="74"/>
        <v>0.51820601864677351</v>
      </c>
      <c r="Y126" s="6">
        <f t="shared" si="75"/>
        <v>0.21569449267295462</v>
      </c>
      <c r="AA126">
        <f t="shared" si="76"/>
        <v>0.99447754407681122</v>
      </c>
      <c r="AB126">
        <f t="shared" si="77"/>
        <v>0.99039098823658189</v>
      </c>
      <c r="AC126">
        <f t="shared" si="78"/>
        <v>0.97938823257128538</v>
      </c>
      <c r="AD126">
        <f t="shared" si="79"/>
        <v>0.96720934001076908</v>
      </c>
      <c r="AE126">
        <f t="shared" si="80"/>
        <v>0.99920297252608858</v>
      </c>
      <c r="AF126">
        <f t="shared" si="81"/>
        <v>0.99844672118233002</v>
      </c>
    </row>
    <row r="127" spans="1:32" x14ac:dyDescent="0.3">
      <c r="D127" s="1" t="e">
        <f t="shared" si="61"/>
        <v>#N/A</v>
      </c>
      <c r="E127" s="1" t="e">
        <f t="shared" si="62"/>
        <v>#N/A</v>
      </c>
      <c r="G127" s="1">
        <f t="shared" si="63"/>
        <v>0.85898675498108901</v>
      </c>
      <c r="I127">
        <f t="shared" si="82"/>
        <v>125</v>
      </c>
      <c r="K127" s="1">
        <f t="shared" si="64"/>
        <v>0.92863740266492811</v>
      </c>
      <c r="L127" s="1">
        <f t="shared" si="65"/>
        <v>0.89719292559733332</v>
      </c>
      <c r="N127" s="1">
        <f t="shared" si="66"/>
        <v>0.94060406122874041</v>
      </c>
      <c r="O127" s="1">
        <f t="shared" si="67"/>
        <v>0.8668607028284071</v>
      </c>
      <c r="Q127" s="1">
        <f t="shared" si="68"/>
        <v>0.71024820723254445</v>
      </c>
      <c r="R127" s="1">
        <f t="shared" si="69"/>
        <v>0.63837176567510001</v>
      </c>
      <c r="S127" s="1">
        <f t="shared" si="70"/>
        <v>0.52157622654873936</v>
      </c>
      <c r="T127" s="1">
        <f t="shared" si="71"/>
        <v>0.44200410216987113</v>
      </c>
      <c r="U127" s="1">
        <f t="shared" si="72"/>
        <v>0.19558491192974464</v>
      </c>
      <c r="V127" s="1">
        <f t="shared" si="73"/>
        <v>0.14514222647795641</v>
      </c>
      <c r="W127" s="1"/>
      <c r="X127" s="6">
        <f t="shared" si="74"/>
        <v>0.51200000000000012</v>
      </c>
      <c r="Y127" s="6">
        <f t="shared" si="75"/>
        <v>0.20971520000000007</v>
      </c>
      <c r="AA127">
        <f t="shared" si="76"/>
        <v>0.99508048142678229</v>
      </c>
      <c r="AB127">
        <f t="shared" si="77"/>
        <v>0.9913773450413681</v>
      </c>
      <c r="AC127">
        <f t="shared" si="78"/>
        <v>0.98130296953188956</v>
      </c>
      <c r="AD127">
        <f t="shared" si="79"/>
        <v>0.97004365011071214</v>
      </c>
      <c r="AE127">
        <f t="shared" si="80"/>
        <v>0.99930604420858538</v>
      </c>
      <c r="AF127">
        <f t="shared" si="81"/>
        <v>0.99863743168202224</v>
      </c>
    </row>
    <row r="128" spans="1:32" x14ac:dyDescent="0.3">
      <c r="D128" s="1" t="e">
        <f t="shared" si="61"/>
        <v>#N/A</v>
      </c>
      <c r="E128" s="1" t="e">
        <f t="shared" si="62"/>
        <v>#N/A</v>
      </c>
      <c r="G128" s="1">
        <f t="shared" si="63"/>
        <v>0.7902898291391125</v>
      </c>
      <c r="I128">
        <f t="shared" si="82"/>
        <v>126</v>
      </c>
      <c r="K128" s="1">
        <f t="shared" si="64"/>
        <v>0.93390973911785757</v>
      </c>
      <c r="L128" s="1">
        <f t="shared" si="65"/>
        <v>0.90414864736680345</v>
      </c>
      <c r="N128" s="1">
        <f t="shared" si="66"/>
        <v>0.92942864090336486</v>
      </c>
      <c r="O128" s="1">
        <f t="shared" si="67"/>
        <v>0.84301917542255311</v>
      </c>
      <c r="Q128" s="1">
        <f t="shared" si="68"/>
        <v>0.72372749676293524</v>
      </c>
      <c r="R128" s="1">
        <f t="shared" si="69"/>
        <v>0.65319132580079731</v>
      </c>
      <c r="S128" s="1">
        <f t="shared" si="70"/>
        <v>0.53742588843117112</v>
      </c>
      <c r="T128" s="1">
        <f t="shared" si="71"/>
        <v>0.45777166641519473</v>
      </c>
      <c r="U128" s="1">
        <f t="shared" si="72"/>
        <v>0.20677654565179621</v>
      </c>
      <c r="V128" s="1">
        <f t="shared" si="73"/>
        <v>0.15442050322526796</v>
      </c>
      <c r="W128" s="1"/>
      <c r="X128" s="6">
        <f t="shared" si="74"/>
        <v>0.50591687167593391</v>
      </c>
      <c r="Y128" s="6">
        <f t="shared" si="75"/>
        <v>0.20394734055971128</v>
      </c>
      <c r="AA128">
        <f t="shared" si="76"/>
        <v>0.99561993917670844</v>
      </c>
      <c r="AB128">
        <f t="shared" si="77"/>
        <v>0.99226694288282624</v>
      </c>
      <c r="AC128">
        <f t="shared" si="78"/>
        <v>0.98305072377992153</v>
      </c>
      <c r="AD128">
        <f t="shared" si="79"/>
        <v>0.97265156217864246</v>
      </c>
      <c r="AE128">
        <f t="shared" si="80"/>
        <v>0.9993960204921577</v>
      </c>
      <c r="AF128">
        <f t="shared" si="81"/>
        <v>0.99880524940737259</v>
      </c>
    </row>
    <row r="129" spans="4:32" x14ac:dyDescent="0.3">
      <c r="D129" s="1" t="e">
        <f t="shared" si="61"/>
        <v>#N/A</v>
      </c>
      <c r="E129" s="1" t="e">
        <f t="shared" si="62"/>
        <v>#N/A</v>
      </c>
      <c r="G129" s="1">
        <f t="shared" si="63"/>
        <v>0.72669124116166017</v>
      </c>
      <c r="I129">
        <f t="shared" si="82"/>
        <v>127</v>
      </c>
      <c r="K129" s="1">
        <f t="shared" si="64"/>
        <v>0.93883708746290406</v>
      </c>
      <c r="L129" s="1">
        <f t="shared" si="65"/>
        <v>0.91070102632883321</v>
      </c>
      <c r="N129" s="1">
        <f t="shared" si="66"/>
        <v>0.91847277497244251</v>
      </c>
      <c r="O129" s="1">
        <f t="shared" si="67"/>
        <v>0.8200141335236637</v>
      </c>
      <c r="Q129" s="1">
        <f t="shared" si="68"/>
        <v>0.73678881015395459</v>
      </c>
      <c r="R129" s="1">
        <f t="shared" si="69"/>
        <v>0.66766576186223203</v>
      </c>
      <c r="S129" s="1">
        <f t="shared" si="70"/>
        <v>0.55309181222780057</v>
      </c>
      <c r="T129" s="1">
        <f t="shared" si="71"/>
        <v>0.47348061135559588</v>
      </c>
      <c r="U129" s="1">
        <f t="shared" si="72"/>
        <v>0.21824587517139135</v>
      </c>
      <c r="V129" s="1">
        <f t="shared" si="73"/>
        <v>0.16400475248871363</v>
      </c>
      <c r="W129" s="1"/>
      <c r="X129" s="6">
        <f t="shared" si="74"/>
        <v>0.4999532536268001</v>
      </c>
      <c r="Y129" s="6">
        <f t="shared" si="75"/>
        <v>0.1983818478028099</v>
      </c>
      <c r="AA129">
        <f t="shared" si="76"/>
        <v>0.99610226381324407</v>
      </c>
      <c r="AB129">
        <f t="shared" si="77"/>
        <v>0.99306866264209059</v>
      </c>
      <c r="AC129">
        <f t="shared" si="78"/>
        <v>0.98464469124354781</v>
      </c>
      <c r="AD129">
        <f t="shared" si="79"/>
        <v>0.9750489527737114</v>
      </c>
      <c r="AE129">
        <f t="shared" si="80"/>
        <v>0.99947452568322448</v>
      </c>
      <c r="AF129">
        <f t="shared" si="81"/>
        <v>0.99895283879252861</v>
      </c>
    </row>
    <row r="130" spans="4:32" x14ac:dyDescent="0.3">
      <c r="D130" s="1" t="e">
        <f t="shared" si="61"/>
        <v>#N/A</v>
      </c>
      <c r="E130" s="1" t="e">
        <f t="shared" si="62"/>
        <v>#N/A</v>
      </c>
      <c r="G130" s="1">
        <f t="shared" ref="G130:G152" si="83">+I130*K130-$B$4*EXP(-$B$2*$B$5)*L130+$B$4*EXP(-$B$2*$B$5)-I130</f>
        <v>0.66785496726021165</v>
      </c>
      <c r="I130">
        <f t="shared" si="82"/>
        <v>128</v>
      </c>
      <c r="K130" s="1">
        <f t="shared" ref="K130:K152" si="84">_xlfn.NORM.S.DIST((LN(I130/$B$4)+($B$2-$B$3+0.5*$B$1^2)*$B$5)/($B$1*SQRT($B$5)),TRUE)</f>
        <v>0.94343731140724418</v>
      </c>
      <c r="L130" s="1">
        <f t="shared" ref="L130:L152" si="85">_xlfn.NORM.S.DIST((LN(I130/$B$4)+($B$2-$B$3-0.5*$B$1^2)*$B$5)/($B$1*SQRT($B$5)),TRUE)</f>
        <v>0.91686675261035278</v>
      </c>
      <c r="N130" s="1">
        <f t="shared" ref="N130:N152" si="86">($B$6/I130)^(-1+(2*($B$2-$B$3))/($B$1^2))</f>
        <v>0.90773047176736332</v>
      </c>
      <c r="O130" s="1">
        <f t="shared" ref="O130:O152" si="87">($B$6/I130)^(1+(2*($B$2-$B$3))/($B$1^2))</f>
        <v>0.79780998495178423</v>
      </c>
      <c r="Q130" s="1">
        <f t="shared" ref="Q130:Q152" si="88">_xlfn.NORM.S.DIST((LN(I130/$B$6)+($B$2-$B$3+0.5*$B$1^2)*$B$5)/($B$1*SQRT($B$5)),TRUE)</f>
        <v>0.74942856362014099</v>
      </c>
      <c r="R130" s="1">
        <f t="shared" ref="R130:R152" si="89">_xlfn.NORM.S.DIST((LN(I130/$B$6)+($B$2-$B$3-0.5*$B$1^2)*$B$5)/($B$1*SQRT($B$5)),TRUE)</f>
        <v>0.68178374862231272</v>
      </c>
      <c r="S130" s="1">
        <f t="shared" ref="S130:S152" si="90">_xlfn.NORM.S.DIST((LN(I130/$B$6)-($B$2-$B$3-0.5*$B$1^2)*$B$5)/($B$1*SQRT($B$5)),TRUE)</f>
        <v>0.56855347186302152</v>
      </c>
      <c r="T130" s="1">
        <f t="shared" ref="T130:T152" si="91">_xlfn.NORM.S.DIST((LN(I130/$B$6)-($B$2-$B$3+0.5*$B$1^2)*$B$5)/($B$1*SQRT($B$5)),TRUE)</f>
        <v>0.48910727963042572</v>
      </c>
      <c r="U130" s="1">
        <f t="shared" ref="U130:U152" si="92">_xlfn.NORM.S.DIST((LN((I130*$B$4)/($B$6^2))-($B$2-$B$3-0.5*$B$1^2)*$B$5)/($B$1*SQRT($B$5)),TRUE)</f>
        <v>0.22997925252443879</v>
      </c>
      <c r="V130" s="1">
        <f t="shared" ref="V130:V152" si="93">_xlfn.NORM.S.DIST((LN((I130*$B$4)/($B$6^2))-($B$2-$B$3+0.5*$B$1^2)*$B$5)/($B$1*SQRT($B$5)),TRUE)</f>
        <v>0.17388714782034762</v>
      </c>
      <c r="W130" s="1"/>
      <c r="X130" s="6">
        <f t="shared" ref="X130:X152" si="94">($B$7/I130)^(-1+(2*($B$2-$B$3))/($B$1^2))</f>
        <v>0.49410588440130931</v>
      </c>
      <c r="Y130" s="6">
        <f t="shared" ref="Y130:Y152" si="95">($B$7/I130)^(1+(2*($B$2-$B$3))/($B$1^2))</f>
        <v>0.19301011109426147</v>
      </c>
      <c r="AA130">
        <f t="shared" ref="AA130:AA152" si="96">_xlfn.NORM.S.DIST((LN(I130/$B$7)+($B$2-$B$3+0.5*$B$1^2)*$B$5)/($B$1*SQRT($B$5)),TRUE)</f>
        <v>0.9965332152929931</v>
      </c>
      <c r="AB130">
        <f t="shared" ref="AB130:AB152" si="97">_xlfn.NORM.S.DIST((LN(I130/$B$7)+($B$2-$B$3-0.5*$B$1^2)*$B$5)/($B$1*SQRT($B$5)),TRUE)</f>
        <v>0.99379065273955824</v>
      </c>
      <c r="AC130">
        <f t="shared" ref="AC130:AC152" si="98">_xlfn.NORM.S.DIST((LN(I130/$B$7)-($B$2-$B$3-0.5*$B$1^2)*$B$5)/($B$1*SQRT($B$5)),TRUE)</f>
        <v>0.98609719620372616</v>
      </c>
      <c r="AD130">
        <f t="shared" ref="AD130:AD152" si="99">_xlfn.NORM.S.DIST((LN(I130/$B$7)-($B$2-$B$3+0.5*$B$1^2)*$B$5)/($B$1*SQRT($B$5)),TRUE)</f>
        <v>0.97725084776646742</v>
      </c>
      <c r="AE130">
        <f t="shared" ref="AE130:AE152" si="100">_xlfn.NORM.S.DIST((LN((I130*$B$4)/($B$7^2))-($B$2-$B$3-0.5*$B$1^2)*$B$5)/($B$1*SQRT($B$5)),TRUE)</f>
        <v>0.99954298919351903</v>
      </c>
      <c r="AF130">
        <f t="shared" ref="AF130:AF152" si="101">_xlfn.NORM.S.DIST((LN((I130*$B$4)/($B$7^2))-($B$2-$B$3+0.5*$B$1^2)*$B$5)/($B$1*SQRT($B$5)),TRUE)</f>
        <v>0.99908256739605483</v>
      </c>
    </row>
    <row r="131" spans="4:32" x14ac:dyDescent="0.3">
      <c r="D131" s="1" t="e">
        <f t="shared" ref="D131:D152" si="102">IF(I131&lt;$B$6,-I131*(1-K131-O131*V131)+$B$4*EXP(-$B$2*$B$5)*(1-L131-N131*U131),NA())</f>
        <v>#N/A</v>
      </c>
      <c r="E131" s="1" t="e">
        <f t="shared" ref="E131:E152" si="103">+IF(I131&lt;$B$7,-I131*(1-AA131-Y131*AD131)+$B$4*EXP(-$B$2*$B$5)*(1-AB131-X131*AC131),NA())</f>
        <v>#N/A</v>
      </c>
      <c r="G131" s="1">
        <f t="shared" si="83"/>
        <v>0.61346264283614005</v>
      </c>
      <c r="I131">
        <f t="shared" si="82"/>
        <v>129</v>
      </c>
      <c r="K131" s="1">
        <f t="shared" si="84"/>
        <v>0.94772785622765154</v>
      </c>
      <c r="L131" s="1">
        <f t="shared" si="85"/>
        <v>0.92266251442620761</v>
      </c>
      <c r="N131" s="1">
        <f t="shared" si="86"/>
        <v>0.8971959482240226</v>
      </c>
      <c r="O131" s="1">
        <f t="shared" si="87"/>
        <v>0.77637291355242621</v>
      </c>
      <c r="Q131" s="1">
        <f t="shared" si="88"/>
        <v>0.76164477095898886</v>
      </c>
      <c r="R131" s="1">
        <f t="shared" si="89"/>
        <v>0.69553566504313602</v>
      </c>
      <c r="S131" s="1">
        <f t="shared" si="90"/>
        <v>0.58379173577955823</v>
      </c>
      <c r="T131" s="1">
        <f t="shared" si="91"/>
        <v>0.50462894624179744</v>
      </c>
      <c r="U131" s="1">
        <f t="shared" si="92"/>
        <v>0.24196225455428627</v>
      </c>
      <c r="V131" s="1">
        <f t="shared" si="93"/>
        <v>0.18405893433251697</v>
      </c>
      <c r="W131" s="1"/>
      <c r="X131" s="6">
        <f t="shared" si="94"/>
        <v>0.48837161609808244</v>
      </c>
      <c r="Y131" s="6">
        <f t="shared" si="95"/>
        <v>0.18782394946383793</v>
      </c>
      <c r="AA131">
        <f t="shared" si="96"/>
        <v>0.99691801441070993</v>
      </c>
      <c r="AB131">
        <f t="shared" si="97"/>
        <v>0.99444037828783194</v>
      </c>
      <c r="AC131">
        <f t="shared" si="98"/>
        <v>0.98741972696006663</v>
      </c>
      <c r="AD131">
        <f t="shared" si="99"/>
        <v>0.979271435378266</v>
      </c>
      <c r="AE131">
        <f t="shared" si="100"/>
        <v>0.99960266783782126</v>
      </c>
      <c r="AF131">
        <f t="shared" si="101"/>
        <v>0.99919653689722765</v>
      </c>
    </row>
    <row r="132" spans="4:32" x14ac:dyDescent="0.3">
      <c r="D132" s="1" t="e">
        <f t="shared" si="102"/>
        <v>#N/A</v>
      </c>
      <c r="E132" s="1" t="e">
        <f t="shared" si="103"/>
        <v>#N/A</v>
      </c>
      <c r="G132" s="1">
        <f t="shared" si="83"/>
        <v>0.56321311746137326</v>
      </c>
      <c r="I132">
        <f t="shared" si="82"/>
        <v>130</v>
      </c>
      <c r="K132" s="1">
        <f t="shared" si="84"/>
        <v>0.95172569716748268</v>
      </c>
      <c r="L132" s="1">
        <f t="shared" si="85"/>
        <v>0.92810491023994279</v>
      </c>
      <c r="N132" s="1">
        <f t="shared" si="86"/>
        <v>0.88686362107432881</v>
      </c>
      <c r="O132" s="1">
        <f t="shared" si="87"/>
        <v>0.75567077772013824</v>
      </c>
      <c r="Q132" s="1">
        <f t="shared" si="88"/>
        <v>0.77343694686933229</v>
      </c>
      <c r="R132" s="1">
        <f t="shared" si="89"/>
        <v>0.70891354058188571</v>
      </c>
      <c r="S132" s="1">
        <f t="shared" si="90"/>
        <v>0.59878889195688989</v>
      </c>
      <c r="T132" s="1">
        <f t="shared" si="91"/>
        <v>0.52002388844654357</v>
      </c>
      <c r="U132" s="1">
        <f t="shared" si="92"/>
        <v>0.25417975763793765</v>
      </c>
      <c r="V132" s="1">
        <f t="shared" si="93"/>
        <v>0.19451047214061304</v>
      </c>
      <c r="W132" s="1"/>
      <c r="X132" s="6">
        <f t="shared" si="94"/>
        <v>0.48274740957091467</v>
      </c>
      <c r="Y132" s="6">
        <f t="shared" si="95"/>
        <v>0.18281558705644105</v>
      </c>
      <c r="AA132">
        <f t="shared" si="96"/>
        <v>0.99726138733643122</v>
      </c>
      <c r="AB132">
        <f t="shared" si="97"/>
        <v>0.9950246685392018</v>
      </c>
      <c r="AC132">
        <f t="shared" si="98"/>
        <v>0.98862297312366176</v>
      </c>
      <c r="AD132">
        <f t="shared" si="99"/>
        <v>0.98112408384567318</v>
      </c>
      <c r="AE132">
        <f t="shared" si="100"/>
        <v>0.99965466575982087</v>
      </c>
      <c r="AF132">
        <f t="shared" si="101"/>
        <v>0.99929661118440283</v>
      </c>
    </row>
    <row r="133" spans="4:32" x14ac:dyDescent="0.3">
      <c r="D133" s="1" t="e">
        <f t="shared" si="102"/>
        <v>#N/A</v>
      </c>
      <c r="E133" s="1" t="e">
        <f t="shared" si="103"/>
        <v>#N/A</v>
      </c>
      <c r="G133" s="1">
        <f t="shared" si="83"/>
        <v>0.51682196285963755</v>
      </c>
      <c r="I133">
        <f t="shared" si="82"/>
        <v>131</v>
      </c>
      <c r="K133" s="1">
        <f t="shared" si="84"/>
        <v>0.95544729691900188</v>
      </c>
      <c r="L133" s="1">
        <f t="shared" si="85"/>
        <v>0.93321037067576951</v>
      </c>
      <c r="N133" s="1">
        <f t="shared" si="86"/>
        <v>0.87672809847393396</v>
      </c>
      <c r="O133" s="1">
        <f t="shared" si="87"/>
        <v>0.73567301544342689</v>
      </c>
      <c r="Q133" s="1">
        <f t="shared" si="88"/>
        <v>0.78480600778954035</v>
      </c>
      <c r="R133" s="1">
        <f t="shared" si="89"/>
        <v>0.72191099441709938</v>
      </c>
      <c r="S133" s="1">
        <f t="shared" si="90"/>
        <v>0.61352866229148995</v>
      </c>
      <c r="T133" s="1">
        <f t="shared" si="91"/>
        <v>0.53527144563537665</v>
      </c>
      <c r="U133" s="1">
        <f t="shared" si="92"/>
        <v>0.26661601472428914</v>
      </c>
      <c r="V133" s="1">
        <f t="shared" si="93"/>
        <v>0.2052312842666493</v>
      </c>
      <c r="W133" s="1"/>
      <c r="X133" s="6">
        <f t="shared" si="94"/>
        <v>0.47723032987148928</v>
      </c>
      <c r="Y133" s="6">
        <f t="shared" si="95"/>
        <v>0.17797763016010323</v>
      </c>
      <c r="AA133">
        <f t="shared" si="96"/>
        <v>0.9975676073355042</v>
      </c>
      <c r="AB133">
        <f t="shared" si="97"/>
        <v>0.9955497624284384</v>
      </c>
      <c r="AC133">
        <f t="shared" si="98"/>
        <v>0.98971686395109681</v>
      </c>
      <c r="AD133">
        <f t="shared" si="99"/>
        <v>0.98282136291704547</v>
      </c>
      <c r="AE133">
        <f t="shared" si="100"/>
        <v>0.99969995220863961</v>
      </c>
      <c r="AF133">
        <f t="shared" si="101"/>
        <v>0.99938444175553931</v>
      </c>
    </row>
    <row r="134" spans="4:32" x14ac:dyDescent="0.3">
      <c r="D134" s="1" t="e">
        <f t="shared" si="102"/>
        <v>#N/A</v>
      </c>
      <c r="E134" s="1" t="e">
        <f t="shared" si="103"/>
        <v>#N/A</v>
      </c>
      <c r="G134" s="1">
        <f t="shared" si="83"/>
        <v>0.47402094260976924</v>
      </c>
      <c r="I134">
        <f t="shared" si="82"/>
        <v>132</v>
      </c>
      <c r="K134" s="1">
        <f t="shared" si="84"/>
        <v>0.95890857146666941</v>
      </c>
      <c r="L134" s="1">
        <f t="shared" si="85"/>
        <v>0.93799508975339752</v>
      </c>
      <c r="N134" s="1">
        <f t="shared" si="86"/>
        <v>0.86678417204144753</v>
      </c>
      <c r="O134" s="1">
        <f t="shared" si="87"/>
        <v>0.716350555406155</v>
      </c>
      <c r="Q134" s="1">
        <f t="shared" si="88"/>
        <v>0.79575417130958659</v>
      </c>
      <c r="R134" s="1">
        <f t="shared" si="89"/>
        <v>0.73452316868917078</v>
      </c>
      <c r="S134" s="1">
        <f t="shared" si="90"/>
        <v>0.62799620698115977</v>
      </c>
      <c r="T134" s="1">
        <f t="shared" si="91"/>
        <v>0.5503520693628241</v>
      </c>
      <c r="U134" s="1">
        <f t="shared" si="92"/>
        <v>0.27925473401840983</v>
      </c>
      <c r="V134" s="1">
        <f t="shared" si="93"/>
        <v>0.21621010851680567</v>
      </c>
      <c r="W134" s="1"/>
      <c r="X134" s="6">
        <f t="shared" si="94"/>
        <v>0.47181754191607467</v>
      </c>
      <c r="Y134" s="6">
        <f t="shared" si="95"/>
        <v>0.17330304569920096</v>
      </c>
      <c r="AA134">
        <f t="shared" si="96"/>
        <v>0.99784053371638637</v>
      </c>
      <c r="AB134">
        <f t="shared" si="97"/>
        <v>0.99602135206635323</v>
      </c>
      <c r="AC134">
        <f t="shared" si="98"/>
        <v>0.99071060721160209</v>
      </c>
      <c r="AD134">
        <f t="shared" si="99"/>
        <v>0.98437506846128353</v>
      </c>
      <c r="AE134">
        <f t="shared" si="100"/>
        <v>0.99973937737275376</v>
      </c>
      <c r="AF134">
        <f t="shared" si="101"/>
        <v>0.99946149064325762</v>
      </c>
    </row>
    <row r="135" spans="4:32" x14ac:dyDescent="0.3">
      <c r="D135" s="1" t="e">
        <f t="shared" si="102"/>
        <v>#N/A</v>
      </c>
      <c r="E135" s="1" t="e">
        <f t="shared" si="103"/>
        <v>#N/A</v>
      </c>
      <c r="G135" s="1">
        <f t="shared" si="83"/>
        <v>0.43455745157399406</v>
      </c>
      <c r="I135">
        <f t="shared" si="82"/>
        <v>133</v>
      </c>
      <c r="K135" s="1">
        <f t="shared" si="84"/>
        <v>0.9621248635726366</v>
      </c>
      <c r="L135" s="1">
        <f t="shared" si="85"/>
        <v>0.94247496497193139</v>
      </c>
      <c r="N135" s="1">
        <f t="shared" si="86"/>
        <v>0.85702680928597463</v>
      </c>
      <c r="O135" s="1">
        <f t="shared" si="87"/>
        <v>0.69767573371688818</v>
      </c>
      <c r="Q135" s="1">
        <f t="shared" si="88"/>
        <v>0.80628485511948444</v>
      </c>
      <c r="R135" s="1">
        <f t="shared" si="89"/>
        <v>0.74674665679729102</v>
      </c>
      <c r="S135" s="1">
        <f t="shared" si="90"/>
        <v>0.64217811959996962</v>
      </c>
      <c r="T135" s="1">
        <f t="shared" si="91"/>
        <v>0.56524736377359686</v>
      </c>
      <c r="U135" s="1">
        <f t="shared" si="92"/>
        <v>0.2920791586635717</v>
      </c>
      <c r="V135" s="1">
        <f t="shared" si="93"/>
        <v>0.22743495283076337</v>
      </c>
      <c r="W135" s="1"/>
      <c r="X135" s="6">
        <f t="shared" si="94"/>
        <v>0.46650630636359791</v>
      </c>
      <c r="Y135" s="6">
        <f t="shared" si="95"/>
        <v>0.16878514108920945</v>
      </c>
      <c r="AA135">
        <f t="shared" si="96"/>
        <v>0.99808364807581762</v>
      </c>
      <c r="AB135">
        <f t="shared" si="97"/>
        <v>0.99644462408676504</v>
      </c>
      <c r="AC135">
        <f t="shared" si="98"/>
        <v>0.99161272815114698</v>
      </c>
      <c r="AD135">
        <f t="shared" si="99"/>
        <v>0.98579624953964062</v>
      </c>
      <c r="AE135">
        <f t="shared" si="100"/>
        <v>0.99977368646245013</v>
      </c>
      <c r="AF135">
        <f t="shared" si="101"/>
        <v>0.99952905106758216</v>
      </c>
    </row>
    <row r="136" spans="4:32" x14ac:dyDescent="0.3">
      <c r="D136" s="1" t="e">
        <f t="shared" si="102"/>
        <v>#N/A</v>
      </c>
      <c r="E136" s="1" t="e">
        <f t="shared" si="103"/>
        <v>#N/A</v>
      </c>
      <c r="G136" s="1">
        <f t="shared" si="83"/>
        <v>0.39819393233744904</v>
      </c>
      <c r="I136">
        <f t="shared" si="82"/>
        <v>134</v>
      </c>
      <c r="K136" s="1">
        <f t="shared" si="84"/>
        <v>0.9651109231995767</v>
      </c>
      <c r="L136" s="1">
        <f t="shared" si="85"/>
        <v>0.94666554573564521</v>
      </c>
      <c r="N136" s="1">
        <f t="shared" si="86"/>
        <v>0.84745114640128449</v>
      </c>
      <c r="O136" s="1">
        <f t="shared" si="87"/>
        <v>0.67962221587093441</v>
      </c>
      <c r="Q136" s="1">
        <f t="shared" si="88"/>
        <v>0.81640257636382918</v>
      </c>
      <c r="R136" s="1">
        <f t="shared" si="89"/>
        <v>0.75857942774559395</v>
      </c>
      <c r="S136" s="1">
        <f t="shared" si="90"/>
        <v>0.65606241358259276</v>
      </c>
      <c r="T136" s="1">
        <f t="shared" si="91"/>
        <v>0.57994011674329082</v>
      </c>
      <c r="U136" s="1">
        <f t="shared" si="92"/>
        <v>0.30507214679621941</v>
      </c>
      <c r="V136" s="1">
        <f t="shared" si="93"/>
        <v>0.23889315359138796</v>
      </c>
      <c r="W136" s="1"/>
      <c r="X136" s="6">
        <f t="shared" si="94"/>
        <v>0.46129397569328712</v>
      </c>
      <c r="Y136" s="6">
        <f t="shared" si="95"/>
        <v>0.16441754535737566</v>
      </c>
      <c r="AA136">
        <f t="shared" si="96"/>
        <v>0.99830008793030389</v>
      </c>
      <c r="AB136">
        <f t="shared" si="97"/>
        <v>0.99682429878982193</v>
      </c>
      <c r="AC136">
        <f t="shared" si="98"/>
        <v>0.9924311081831233</v>
      </c>
      <c r="AD136">
        <f t="shared" si="99"/>
        <v>0.98709523735967808</v>
      </c>
      <c r="AE136">
        <f t="shared" si="100"/>
        <v>0.99980353221673346</v>
      </c>
      <c r="AF136">
        <f t="shared" si="101"/>
        <v>0.99958826600921735</v>
      </c>
    </row>
    <row r="137" spans="4:32" x14ac:dyDescent="0.3">
      <c r="D137" s="1" t="e">
        <f t="shared" si="102"/>
        <v>#N/A</v>
      </c>
      <c r="E137" s="1" t="e">
        <f t="shared" si="103"/>
        <v>#N/A</v>
      </c>
      <c r="G137" s="1">
        <f t="shared" si="83"/>
        <v>0.36470727525369284</v>
      </c>
      <c r="I137">
        <f t="shared" si="82"/>
        <v>135</v>
      </c>
      <c r="K137" s="1">
        <f t="shared" si="84"/>
        <v>0.96788089418668477</v>
      </c>
      <c r="L137" s="1">
        <f t="shared" si="85"/>
        <v>0.95058198959185258</v>
      </c>
      <c r="N137" s="1">
        <f t="shared" si="86"/>
        <v>0.83805248140627853</v>
      </c>
      <c r="O137" s="1">
        <f t="shared" si="87"/>
        <v>0.66216492358026935</v>
      </c>
      <c r="Q137" s="1">
        <f t="shared" si="88"/>
        <v>0.82611285217965236</v>
      </c>
      <c r="R137" s="1">
        <f t="shared" si="89"/>
        <v>0.77002074747556115</v>
      </c>
      <c r="S137" s="1">
        <f t="shared" si="90"/>
        <v>0.66963850085793852</v>
      </c>
      <c r="T137" s="1">
        <f t="shared" si="91"/>
        <v>0.59441432211371659</v>
      </c>
      <c r="U137" s="1">
        <f t="shared" si="92"/>
        <v>0.31821625137768728</v>
      </c>
      <c r="V137" s="1">
        <f t="shared" si="93"/>
        <v>0.25057143637985901</v>
      </c>
      <c r="W137" s="1"/>
      <c r="X137" s="6">
        <f t="shared" si="94"/>
        <v>0.45617799047081553</v>
      </c>
      <c r="Y137" s="6">
        <f t="shared" si="95"/>
        <v>0.16019419144105454</v>
      </c>
      <c r="AA137">
        <f t="shared" si="96"/>
        <v>0.99849267783750539</v>
      </c>
      <c r="AB137">
        <f t="shared" si="97"/>
        <v>0.99716466705871831</v>
      </c>
      <c r="AC137">
        <f t="shared" si="98"/>
        <v>0.99317302299516619</v>
      </c>
      <c r="AD137">
        <f t="shared" si="99"/>
        <v>0.98828167559542968</v>
      </c>
      <c r="AE137">
        <f t="shared" si="100"/>
        <v>0.99982948599595933</v>
      </c>
      <c r="AF137">
        <f t="shared" si="101"/>
        <v>0.99964014488522979</v>
      </c>
    </row>
    <row r="138" spans="4:32" x14ac:dyDescent="0.3">
      <c r="D138" s="1" t="e">
        <f t="shared" si="102"/>
        <v>#N/A</v>
      </c>
      <c r="E138" s="1" t="e">
        <f t="shared" si="103"/>
        <v>#N/A</v>
      </c>
      <c r="G138" s="1">
        <f t="shared" si="83"/>
        <v>0.33388820801690144</v>
      </c>
      <c r="I138">
        <f t="shared" si="82"/>
        <v>136</v>
      </c>
      <c r="K138" s="1">
        <f t="shared" si="84"/>
        <v>0.97044830652084724</v>
      </c>
      <c r="L138" s="1">
        <f t="shared" si="85"/>
        <v>0.95423902573801844</v>
      </c>
      <c r="N138" s="1">
        <f t="shared" si="86"/>
        <v>0.82882626761269784</v>
      </c>
      <c r="O138" s="1">
        <f t="shared" si="87"/>
        <v>0.64527996613445338</v>
      </c>
      <c r="Q138" s="1">
        <f t="shared" si="88"/>
        <v>0.83542210210370427</v>
      </c>
      <c r="R138" s="1">
        <f t="shared" si="89"/>
        <v>0.78107109806128328</v>
      </c>
      <c r="S138" s="1">
        <f t="shared" si="90"/>
        <v>0.68289716338288942</v>
      </c>
      <c r="T138" s="1">
        <f t="shared" si="91"/>
        <v>0.60865519345590435</v>
      </c>
      <c r="U138" s="1">
        <f t="shared" si="92"/>
        <v>0.33149379923947009</v>
      </c>
      <c r="V138" s="1">
        <f t="shared" si="93"/>
        <v>0.26245597866331194</v>
      </c>
      <c r="W138" s="1"/>
      <c r="X138" s="6">
        <f t="shared" si="94"/>
        <v>0.45115587579257099</v>
      </c>
      <c r="Y138" s="6">
        <f t="shared" si="95"/>
        <v>0.15610929958220449</v>
      </c>
      <c r="AA138">
        <f t="shared" si="96"/>
        <v>0.99866395812177255</v>
      </c>
      <c r="AB138">
        <f t="shared" si="97"/>
        <v>0.99746962505531978</v>
      </c>
      <c r="AC138">
        <f t="shared" si="98"/>
        <v>0.99384517981575904</v>
      </c>
      <c r="AD138">
        <f t="shared" si="99"/>
        <v>0.98936455161914827</v>
      </c>
      <c r="AE138">
        <f t="shared" si="100"/>
        <v>0.99985204760749036</v>
      </c>
      <c r="AF138">
        <f t="shared" si="101"/>
        <v>0.99968557849764961</v>
      </c>
    </row>
    <row r="139" spans="4:32" x14ac:dyDescent="0.3">
      <c r="D139" s="1" t="e">
        <f t="shared" si="102"/>
        <v>#N/A</v>
      </c>
      <c r="E139" s="1" t="e">
        <f t="shared" si="103"/>
        <v>#N/A</v>
      </c>
      <c r="G139" s="1">
        <f t="shared" si="83"/>
        <v>0.30554068004056489</v>
      </c>
      <c r="I139">
        <f t="shared" si="82"/>
        <v>137</v>
      </c>
      <c r="K139" s="1">
        <f t="shared" si="84"/>
        <v>0.97282607357540929</v>
      </c>
      <c r="L139" s="1">
        <f t="shared" si="85"/>
        <v>0.95765092525051032</v>
      </c>
      <c r="N139" s="1">
        <f t="shared" si="86"/>
        <v>0.81976810740218575</v>
      </c>
      <c r="O139" s="1">
        <f t="shared" si="87"/>
        <v>0.62894457598121778</v>
      </c>
      <c r="Q139" s="1">
        <f t="shared" si="88"/>
        <v>0.84433755294664037</v>
      </c>
      <c r="R139" s="1">
        <f t="shared" si="89"/>
        <v>0.79173209558025015</v>
      </c>
      <c r="S139" s="1">
        <f t="shared" si="90"/>
        <v>0.69583051832853704</v>
      </c>
      <c r="T139" s="1">
        <f t="shared" si="91"/>
        <v>0.62264916983721397</v>
      </c>
      <c r="U139" s="1">
        <f t="shared" si="92"/>
        <v>0.34488696881555769</v>
      </c>
      <c r="V139" s="1">
        <f t="shared" si="93"/>
        <v>0.27453247390911495</v>
      </c>
      <c r="W139" s="1"/>
      <c r="X139" s="6">
        <f t="shared" si="94"/>
        <v>0.44622523789831831</v>
      </c>
      <c r="Y139" s="6">
        <f t="shared" si="95"/>
        <v>0.15215736174272665</v>
      </c>
      <c r="AA139">
        <f t="shared" si="96"/>
        <v>0.99881621132529441</v>
      </c>
      <c r="AB139">
        <f t="shared" si="97"/>
        <v>0.99774270672368093</v>
      </c>
      <c r="AC139">
        <f t="shared" si="98"/>
        <v>0.99445375363276622</v>
      </c>
      <c r="AD139">
        <f t="shared" si="99"/>
        <v>0.99035222824737867</v>
      </c>
      <c r="AE139">
        <f t="shared" si="100"/>
        <v>0.99987165399847133</v>
      </c>
      <c r="AF139">
        <f t="shared" si="101"/>
        <v>0.99972535241403804</v>
      </c>
    </row>
    <row r="140" spans="4:32" x14ac:dyDescent="0.3">
      <c r="D140" s="1" t="e">
        <f t="shared" si="102"/>
        <v>#N/A</v>
      </c>
      <c r="E140" s="1" t="e">
        <f t="shared" si="103"/>
        <v>#N/A</v>
      </c>
      <c r="G140" s="1">
        <f t="shared" si="83"/>
        <v>0.27948124630927396</v>
      </c>
      <c r="I140">
        <f t="shared" si="82"/>
        <v>138</v>
      </c>
      <c r="K140" s="1">
        <f t="shared" si="84"/>
        <v>0.975026493722573</v>
      </c>
      <c r="L140" s="1">
        <f t="shared" si="85"/>
        <v>0.96083147748977749</v>
      </c>
      <c r="N140" s="1">
        <f t="shared" si="86"/>
        <v>0.81087374629592501</v>
      </c>
      <c r="O140" s="1">
        <f t="shared" si="87"/>
        <v>0.6131370482388846</v>
      </c>
      <c r="Q140" s="1">
        <f t="shared" si="88"/>
        <v>0.85286714664627372</v>
      </c>
      <c r="R140" s="1">
        <f t="shared" si="89"/>
        <v>0.80200640740621953</v>
      </c>
      <c r="S140" s="1">
        <f t="shared" si="90"/>
        <v>0.70843197766458088</v>
      </c>
      <c r="T140" s="1">
        <f t="shared" si="91"/>
        <v>0.63638391410337869</v>
      </c>
      <c r="U140" s="1">
        <f t="shared" si="92"/>
        <v>0.35837786607500999</v>
      </c>
      <c r="V140" s="1">
        <f t="shared" si="93"/>
        <v>0.28678619663158716</v>
      </c>
      <c r="W140" s="1"/>
      <c r="X140" s="6">
        <f t="shared" si="94"/>
        <v>0.44138376094311954</v>
      </c>
      <c r="Y140" s="6">
        <f t="shared" si="95"/>
        <v>0.14833312697101264</v>
      </c>
      <c r="AA140">
        <f t="shared" si="96"/>
        <v>0.99895148651067656</v>
      </c>
      <c r="AB140">
        <f t="shared" si="97"/>
        <v>0.99798711414946795</v>
      </c>
      <c r="AC140">
        <f t="shared" si="98"/>
        <v>0.99500442219920282</v>
      </c>
      <c r="AD140">
        <f t="shared" si="99"/>
        <v>0.99125247565736629</v>
      </c>
      <c r="AE140">
        <f t="shared" si="100"/>
        <v>0.99988868693741428</v>
      </c>
      <c r="AF140">
        <f t="shared" si="101"/>
        <v>0.99976015892767445</v>
      </c>
    </row>
    <row r="141" spans="4:32" x14ac:dyDescent="0.3">
      <c r="D141" s="1" t="e">
        <f t="shared" si="102"/>
        <v>#N/A</v>
      </c>
      <c r="E141" s="1" t="e">
        <f t="shared" si="103"/>
        <v>#N/A</v>
      </c>
      <c r="G141" s="1">
        <f t="shared" si="83"/>
        <v>0.25553845479603865</v>
      </c>
      <c r="I141">
        <f t="shared" si="82"/>
        <v>139</v>
      </c>
      <c r="K141" s="1">
        <f t="shared" si="84"/>
        <v>0.97706125576129765</v>
      </c>
      <c r="L141" s="1">
        <f t="shared" si="85"/>
        <v>0.96379397214522255</v>
      </c>
      <c r="N141" s="1">
        <f t="shared" si="86"/>
        <v>0.80213906730109319</v>
      </c>
      <c r="O141" s="1">
        <f t="shared" si="87"/>
        <v>0.59783668387432021</v>
      </c>
      <c r="Q141" s="1">
        <f t="shared" si="88"/>
        <v>0.86101945153075055</v>
      </c>
      <c r="R141" s="1">
        <f t="shared" si="89"/>
        <v>0.81189766960347654</v>
      </c>
      <c r="S141" s="1">
        <f t="shared" si="90"/>
        <v>0.72069620287346747</v>
      </c>
      <c r="T141" s="1">
        <f t="shared" si="91"/>
        <v>0.64984830421222528</v>
      </c>
      <c r="U141" s="1">
        <f t="shared" si="92"/>
        <v>0.37194859820991349</v>
      </c>
      <c r="V141" s="1">
        <f t="shared" si="93"/>
        <v>0.29920206789285025</v>
      </c>
      <c r="W141" s="1"/>
      <c r="X141" s="6">
        <f t="shared" si="94"/>
        <v>0.43662920391993193</v>
      </c>
      <c r="Y141" s="6">
        <f t="shared" si="95"/>
        <v>0.14463158765527478</v>
      </c>
      <c r="AA141">
        <f t="shared" si="96"/>
        <v>0.99907162154271301</v>
      </c>
      <c r="AB141">
        <f t="shared" si="97"/>
        <v>0.99820574583841559</v>
      </c>
      <c r="AC141">
        <f t="shared" si="98"/>
        <v>0.99550239969968557</v>
      </c>
      <c r="AD141">
        <f t="shared" si="99"/>
        <v>0.99207250317890772</v>
      </c>
      <c r="AE141">
        <f t="shared" si="100"/>
        <v>0.99990347979471861</v>
      </c>
      <c r="AF141">
        <f t="shared" si="101"/>
        <v>0.99979060773387041</v>
      </c>
    </row>
    <row r="142" spans="4:32" x14ac:dyDescent="0.3">
      <c r="D142" s="1" t="e">
        <f t="shared" si="102"/>
        <v>#N/A</v>
      </c>
      <c r="E142" s="1" t="e">
        <f t="shared" si="103"/>
        <v>#N/A</v>
      </c>
      <c r="G142" s="1">
        <f t="shared" si="83"/>
        <v>0.23355224099623229</v>
      </c>
      <c r="I142">
        <f t="shared" si="82"/>
        <v>140</v>
      </c>
      <c r="K142" s="1">
        <f t="shared" si="84"/>
        <v>0.97894144763979696</v>
      </c>
      <c r="L142" s="1">
        <f t="shared" si="85"/>
        <v>0.96655118639654458</v>
      </c>
      <c r="N142" s="1">
        <f t="shared" si="86"/>
        <v>0.79356008551932977</v>
      </c>
      <c r="O142" s="1">
        <f t="shared" si="87"/>
        <v>0.58302373629991577</v>
      </c>
      <c r="Q142" s="1">
        <f t="shared" si="88"/>
        <v>0.86880357734575875</v>
      </c>
      <c r="R142" s="1">
        <f t="shared" si="89"/>
        <v>0.82141040503441998</v>
      </c>
      <c r="S142" s="1">
        <f t="shared" si="90"/>
        <v>0.73261905550536699</v>
      </c>
      <c r="T142" s="1">
        <f t="shared" si="91"/>
        <v>0.66303241817375203</v>
      </c>
      <c r="U142" s="1">
        <f t="shared" si="92"/>
        <v>0.3855813446774668</v>
      </c>
      <c r="V142" s="1">
        <f t="shared" si="93"/>
        <v>0.3117647207991161</v>
      </c>
      <c r="W142" s="1"/>
      <c r="X142" s="6">
        <f t="shared" si="94"/>
        <v>0.43195939772483116</v>
      </c>
      <c r="Y142" s="6">
        <f t="shared" si="95"/>
        <v>0.14104796660402646</v>
      </c>
      <c r="AA142">
        <f t="shared" si="96"/>
        <v>0.99917826347709271</v>
      </c>
      <c r="AB142">
        <f t="shared" si="97"/>
        <v>0.99840122298865419</v>
      </c>
      <c r="AC142">
        <f t="shared" si="98"/>
        <v>0.99595246898444945</v>
      </c>
      <c r="AD142">
        <f t="shared" si="99"/>
        <v>0.99281899071166491</v>
      </c>
      <c r="AE142">
        <f t="shared" si="100"/>
        <v>0.99991632352152593</v>
      </c>
      <c r="AF142">
        <f t="shared" si="101"/>
        <v>0.99981723544813117</v>
      </c>
    </row>
    <row r="143" spans="4:32" x14ac:dyDescent="0.3">
      <c r="D143" s="1" t="e">
        <f t="shared" si="102"/>
        <v>#N/A</v>
      </c>
      <c r="E143" s="1" t="e">
        <f t="shared" si="103"/>
        <v>#N/A</v>
      </c>
      <c r="G143" s="1">
        <f t="shared" si="83"/>
        <v>0.21337333262886204</v>
      </c>
      <c r="I143">
        <f t="shared" si="82"/>
        <v>141</v>
      </c>
      <c r="K143" s="1">
        <f t="shared" si="84"/>
        <v>0.98067756798963868</v>
      </c>
      <c r="L143" s="1">
        <f t="shared" si="85"/>
        <v>0.96911537668599956</v>
      </c>
      <c r="N143" s="1">
        <f t="shared" si="86"/>
        <v>0.78513294300330649</v>
      </c>
      <c r="O143" s="1">
        <f t="shared" si="87"/>
        <v>0.56867936116129036</v>
      </c>
      <c r="Q143" s="1">
        <f t="shared" si="88"/>
        <v>0.87622909432807694</v>
      </c>
      <c r="R143" s="1">
        <f t="shared" si="89"/>
        <v>0.83054994272576588</v>
      </c>
      <c r="S143" s="1">
        <f t="shared" si="90"/>
        <v>0.74419754425916673</v>
      </c>
      <c r="T143" s="1">
        <f t="shared" si="91"/>
        <v>0.67592751316183319</v>
      </c>
      <c r="U143" s="1">
        <f t="shared" si="92"/>
        <v>0.39925842523955229</v>
      </c>
      <c r="V143" s="1">
        <f t="shared" si="93"/>
        <v>0.32445856555656394</v>
      </c>
      <c r="W143" s="1"/>
      <c r="X143" s="6">
        <f t="shared" si="94"/>
        <v>0.42737224235728211</v>
      </c>
      <c r="Y143" s="6">
        <f t="shared" si="95"/>
        <v>0.13757770489847626</v>
      </c>
      <c r="AA143">
        <f t="shared" si="96"/>
        <v>0.99927288718215723</v>
      </c>
      <c r="AB143">
        <f t="shared" si="97"/>
        <v>0.99857591384049316</v>
      </c>
      <c r="AC143">
        <f t="shared" si="98"/>
        <v>0.99635901230689394</v>
      </c>
      <c r="AD143">
        <f t="shared" si="99"/>
        <v>0.99349811955880396</v>
      </c>
      <c r="AE143">
        <f t="shared" si="100"/>
        <v>0.99992747191640086</v>
      </c>
      <c r="AF143">
        <f t="shared" si="101"/>
        <v>0.99984051408154739</v>
      </c>
    </row>
    <row r="144" spans="4:32" x14ac:dyDescent="0.3">
      <c r="D144" s="1" t="e">
        <f t="shared" si="102"/>
        <v>#N/A</v>
      </c>
      <c r="E144" s="1" t="e">
        <f t="shared" si="103"/>
        <v>#N/A</v>
      </c>
      <c r="G144" s="1">
        <f t="shared" si="83"/>
        <v>0.19486266709054689</v>
      </c>
      <c r="I144">
        <f t="shared" si="82"/>
        <v>142</v>
      </c>
      <c r="K144" s="1">
        <f t="shared" si="84"/>
        <v>0.98227954002642315</v>
      </c>
      <c r="L144" s="1">
        <f t="shared" si="85"/>
        <v>0.97149827461696203</v>
      </c>
      <c r="N144" s="1">
        <f t="shared" si="86"/>
        <v>0.77685390384831843</v>
      </c>
      <c r="O144" s="1">
        <f t="shared" si="87"/>
        <v>0.55478556910413523</v>
      </c>
      <c r="Q144" s="1">
        <f t="shared" si="88"/>
        <v>0.88330595654121402</v>
      </c>
      <c r="R144" s="1">
        <f t="shared" si="89"/>
        <v>0.83932233897345188</v>
      </c>
      <c r="S144" s="1">
        <f t="shared" si="90"/>
        <v>0.75542976924416472</v>
      </c>
      <c r="T144" s="1">
        <f t="shared" si="91"/>
        <v>0.68852599936663439</v>
      </c>
      <c r="U144" s="1">
        <f t="shared" si="92"/>
        <v>0.4129623646882134</v>
      </c>
      <c r="V144" s="1">
        <f t="shared" si="93"/>
        <v>0.33726785367659085</v>
      </c>
      <c r="W144" s="1"/>
      <c r="X144" s="6">
        <f t="shared" si="94"/>
        <v>0.42286570424833902</v>
      </c>
      <c r="Y144" s="6">
        <f t="shared" si="95"/>
        <v>0.13421645046565017</v>
      </c>
      <c r="AA144">
        <f t="shared" si="96"/>
        <v>0.99935681231692419</v>
      </c>
      <c r="AB144">
        <f t="shared" si="97"/>
        <v>0.99873195619345223</v>
      </c>
      <c r="AC144">
        <f t="shared" si="98"/>
        <v>0.99672604052570291</v>
      </c>
      <c r="AD144">
        <f t="shared" si="99"/>
        <v>0.99411560250467546</v>
      </c>
      <c r="AE144">
        <f t="shared" si="100"/>
        <v>0.99993714626023311</v>
      </c>
      <c r="AF144">
        <f t="shared" si="101"/>
        <v>0.99986085857897367</v>
      </c>
    </row>
    <row r="145" spans="4:40" x14ac:dyDescent="0.3">
      <c r="D145" s="1" t="e">
        <f t="shared" si="102"/>
        <v>#N/A</v>
      </c>
      <c r="E145" s="1" t="e">
        <f t="shared" si="103"/>
        <v>#N/A</v>
      </c>
      <c r="G145" s="1">
        <f t="shared" si="83"/>
        <v>0.17789082382222432</v>
      </c>
      <c r="I145">
        <f t="shared" si="82"/>
        <v>143</v>
      </c>
      <c r="K145" s="1">
        <f t="shared" si="84"/>
        <v>0.98375672740954911</v>
      </c>
      <c r="L145" s="1">
        <f t="shared" si="85"/>
        <v>0.97371108651764771</v>
      </c>
      <c r="N145" s="1">
        <f t="shared" si="86"/>
        <v>0.76871934950659215</v>
      </c>
      <c r="O145" s="1">
        <f t="shared" si="87"/>
        <v>0.54132518132402208</v>
      </c>
      <c r="Q145" s="1">
        <f t="shared" si="88"/>
        <v>0.89004442962772268</v>
      </c>
      <c r="R145" s="1">
        <f t="shared" si="89"/>
        <v>0.84773430060321808</v>
      </c>
      <c r="S145" s="1">
        <f t="shared" si="90"/>
        <v>0.7663148640429942</v>
      </c>
      <c r="T145" s="1">
        <f t="shared" si="91"/>
        <v>0.70082140915456637</v>
      </c>
      <c r="U145" s="1">
        <f t="shared" si="92"/>
        <v>0.4266759539904042</v>
      </c>
      <c r="V145" s="1">
        <f t="shared" si="93"/>
        <v>0.35017674094811863</v>
      </c>
      <c r="W145" s="1"/>
      <c r="X145" s="6">
        <f t="shared" si="94"/>
        <v>0.41843781371007888</v>
      </c>
      <c r="Y145" s="6">
        <f t="shared" si="95"/>
        <v>0.13096004732478381</v>
      </c>
      <c r="AA145">
        <f t="shared" si="96"/>
        <v>0.99943121878470054</v>
      </c>
      <c r="AB145">
        <f t="shared" si="97"/>
        <v>0.99887127818437715</v>
      </c>
      <c r="AC145">
        <f t="shared" si="98"/>
        <v>0.99705722075400949</v>
      </c>
      <c r="AD145">
        <f t="shared" si="99"/>
        <v>0.99467671299731342</v>
      </c>
      <c r="AE145">
        <f t="shared" si="100"/>
        <v>0.9999455393914285</v>
      </c>
      <c r="AF145">
        <f t="shared" si="101"/>
        <v>0.99987863351628059</v>
      </c>
    </row>
    <row r="146" spans="4:40" x14ac:dyDescent="0.3">
      <c r="D146" s="1" t="e">
        <f t="shared" si="102"/>
        <v>#N/A</v>
      </c>
      <c r="E146" s="1" t="e">
        <f t="shared" si="103"/>
        <v>#N/A</v>
      </c>
      <c r="G146" s="1">
        <f t="shared" si="83"/>
        <v>0.16233747335903104</v>
      </c>
      <c r="I146">
        <f t="shared" si="82"/>
        <v>144</v>
      </c>
      <c r="K146" s="1">
        <f t="shared" si="84"/>
        <v>0.98511795169024241</v>
      </c>
      <c r="L146" s="1">
        <f t="shared" si="85"/>
        <v>0.97576449623418471</v>
      </c>
      <c r="N146" s="1">
        <f t="shared" si="86"/>
        <v>0.76072577431273081</v>
      </c>
      <c r="O146" s="1">
        <f t="shared" si="87"/>
        <v>0.52828178771717416</v>
      </c>
      <c r="Q146" s="1">
        <f t="shared" si="88"/>
        <v>0.89645502307708047</v>
      </c>
      <c r="R146" s="1">
        <f t="shared" si="89"/>
        <v>0.85579311074329822</v>
      </c>
      <c r="S146" s="1">
        <f t="shared" si="90"/>
        <v>0.77685293615924467</v>
      </c>
      <c r="T146" s="1">
        <f t="shared" si="91"/>
        <v>0.71280836209487286</v>
      </c>
      <c r="U146" s="1">
        <f t="shared" si="92"/>
        <v>0.4403823076297575</v>
      </c>
      <c r="V146" s="1">
        <f t="shared" si="93"/>
        <v>0.3631693488243809</v>
      </c>
      <c r="W146" s="1"/>
      <c r="X146" s="6">
        <f t="shared" si="94"/>
        <v>0.41408666249996123</v>
      </c>
      <c r="Y146" s="6">
        <f t="shared" si="95"/>
        <v>0.12780452546295101</v>
      </c>
      <c r="AA146">
        <f t="shared" si="96"/>
        <v>0.9994971607769646</v>
      </c>
      <c r="AB146">
        <f t="shared" si="97"/>
        <v>0.99899561742269538</v>
      </c>
      <c r="AC146">
        <f t="shared" si="98"/>
        <v>0.99735590245618744</v>
      </c>
      <c r="AD146">
        <f t="shared" si="99"/>
        <v>0.99518631332597396</v>
      </c>
      <c r="AE146">
        <f t="shared" si="100"/>
        <v>0.99995281928586111</v>
      </c>
      <c r="AF146">
        <f t="shared" si="101"/>
        <v>0.99989415904426648</v>
      </c>
    </row>
    <row r="147" spans="4:40" x14ac:dyDescent="0.3">
      <c r="D147" s="1" t="e">
        <f t="shared" si="102"/>
        <v>#N/A</v>
      </c>
      <c r="E147" s="1" t="e">
        <f t="shared" si="103"/>
        <v>#N/A</v>
      </c>
      <c r="G147" s="1">
        <f t="shared" si="83"/>
        <v>0.14809084448137355</v>
      </c>
      <c r="I147">
        <f t="shared" si="82"/>
        <v>145</v>
      </c>
      <c r="K147" s="1">
        <f t="shared" si="84"/>
        <v>0.98637151101248588</v>
      </c>
      <c r="L147" s="1">
        <f t="shared" si="85"/>
        <v>0.97766867074380182</v>
      </c>
      <c r="N147" s="1">
        <f t="shared" si="86"/>
        <v>0.75286978120939374</v>
      </c>
      <c r="O147" s="1">
        <f t="shared" si="87"/>
        <v>0.51563970746327092</v>
      </c>
      <c r="Q147" s="1">
        <f t="shared" si="88"/>
        <v>0.90254842705778571</v>
      </c>
      <c r="R147" s="1">
        <f t="shared" si="89"/>
        <v>0.86350655740813065</v>
      </c>
      <c r="S147" s="1">
        <f t="shared" si="90"/>
        <v>0.78704500639405184</v>
      </c>
      <c r="T147" s="1">
        <f t="shared" si="91"/>
        <v>0.72448252639943445</v>
      </c>
      <c r="U147" s="1">
        <f t="shared" si="92"/>
        <v>0.45406491696646012</v>
      </c>
      <c r="V147" s="1">
        <f t="shared" si="93"/>
        <v>0.37622982390270832</v>
      </c>
      <c r="W147" s="1"/>
      <c r="X147" s="6">
        <f t="shared" si="94"/>
        <v>0.40981040149418352</v>
      </c>
      <c r="Y147" s="6">
        <f t="shared" si="95"/>
        <v>0.12474609129906179</v>
      </c>
      <c r="AA147">
        <f t="shared" si="96"/>
        <v>0.99955557951700991</v>
      </c>
      <c r="AB147">
        <f t="shared" si="97"/>
        <v>0.999106538579563</v>
      </c>
      <c r="AC147">
        <f t="shared" si="98"/>
        <v>0.99762514200798902</v>
      </c>
      <c r="AD147">
        <f t="shared" si="99"/>
        <v>0.99564888170998167</v>
      </c>
      <c r="AE147">
        <f t="shared" si="100"/>
        <v>0.99995913219915977</v>
      </c>
      <c r="AF147">
        <f t="shared" si="101"/>
        <v>0.99990771615870755</v>
      </c>
    </row>
    <row r="148" spans="4:40" x14ac:dyDescent="0.3">
      <c r="D148" s="1" t="e">
        <f t="shared" si="102"/>
        <v>#N/A</v>
      </c>
      <c r="E148" s="1" t="e">
        <f t="shared" si="103"/>
        <v>#N/A</v>
      </c>
      <c r="G148" s="1">
        <f t="shared" si="83"/>
        <v>0.13504721056619928</v>
      </c>
      <c r="I148">
        <f t="shared" si="82"/>
        <v>146</v>
      </c>
      <c r="K148" s="1">
        <f t="shared" si="84"/>
        <v>0.98752519976548314</v>
      </c>
      <c r="L148" s="1">
        <f t="shared" si="85"/>
        <v>0.97943326820622145</v>
      </c>
      <c r="N148" s="1">
        <f t="shared" si="86"/>
        <v>0.74514807766294444</v>
      </c>
      <c r="O148" s="1">
        <f t="shared" si="87"/>
        <v>0.5033839518833928</v>
      </c>
      <c r="Q148" s="1">
        <f t="shared" si="88"/>
        <v>0.90833545381744496</v>
      </c>
      <c r="R148" s="1">
        <f t="shared" si="89"/>
        <v>0.87088286513777591</v>
      </c>
      <c r="S148" s="1">
        <f t="shared" si="90"/>
        <v>0.79689294765528706</v>
      </c>
      <c r="T148" s="1">
        <f t="shared" si="91"/>
        <v>0.73584057730568608</v>
      </c>
      <c r="U148" s="1">
        <f t="shared" si="92"/>
        <v>0.46770769947828139</v>
      </c>
      <c r="V148" s="1">
        <f t="shared" si="93"/>
        <v>0.38934239520788133</v>
      </c>
      <c r="W148" s="1"/>
      <c r="X148" s="6">
        <f t="shared" si="94"/>
        <v>0.40560723846444124</v>
      </c>
      <c r="Y148" s="6">
        <f t="shared" si="95"/>
        <v>0.1217811186982747</v>
      </c>
      <c r="AA148">
        <f t="shared" si="96"/>
        <v>0.99960731480727982</v>
      </c>
      <c r="AB148">
        <f t="shared" si="97"/>
        <v>0.99920544952709855</v>
      </c>
      <c r="AC148">
        <f t="shared" si="98"/>
        <v>0.99786772574821225</v>
      </c>
      <c r="AD148">
        <f t="shared" si="99"/>
        <v>0.99606853823803032</v>
      </c>
      <c r="AE148">
        <f t="shared" si="100"/>
        <v>0.99996460542265009</v>
      </c>
      <c r="AF148">
        <f t="shared" si="101"/>
        <v>0.99991955136849087</v>
      </c>
    </row>
    <row r="149" spans="4:40" x14ac:dyDescent="0.3">
      <c r="D149" s="1" t="e">
        <f t="shared" si="102"/>
        <v>#N/A</v>
      </c>
      <c r="E149" s="1" t="e">
        <f t="shared" si="103"/>
        <v>#N/A</v>
      </c>
      <c r="G149" s="1">
        <f t="shared" si="83"/>
        <v>0.12311039595317652</v>
      </c>
      <c r="I149">
        <f t="shared" si="82"/>
        <v>147</v>
      </c>
      <c r="K149" s="1">
        <f t="shared" si="84"/>
        <v>0.98858632891861442</v>
      </c>
      <c r="L149" s="1">
        <f t="shared" si="85"/>
        <v>0.98106744809894708</v>
      </c>
      <c r="N149" s="1">
        <f t="shared" si="86"/>
        <v>0.73755747175938879</v>
      </c>
      <c r="O149" s="1">
        <f t="shared" si="87"/>
        <v>0.4915001894273312</v>
      </c>
      <c r="Q149" s="1">
        <f t="shared" si="88"/>
        <v>0.91382698361496317</v>
      </c>
      <c r="R149" s="1">
        <f t="shared" si="89"/>
        <v>0.87793062988707093</v>
      </c>
      <c r="S149" s="1">
        <f t="shared" si="90"/>
        <v>0.80639942366149853</v>
      </c>
      <c r="T149" s="1">
        <f t="shared" si="91"/>
        <v>0.74688015291233223</v>
      </c>
      <c r="U149" s="1">
        <f t="shared" si="92"/>
        <v>0.48129504378600868</v>
      </c>
      <c r="V149" s="1">
        <f t="shared" si="93"/>
        <v>0.40249142902219875</v>
      </c>
      <c r="W149" s="1"/>
      <c r="X149" s="6">
        <f t="shared" si="94"/>
        <v>0.40147543595282598</v>
      </c>
      <c r="Y149" s="6">
        <f t="shared" si="95"/>
        <v>0.11890614050155429</v>
      </c>
      <c r="AA149">
        <f t="shared" si="96"/>
        <v>0.99965311547854385</v>
      </c>
      <c r="AB149">
        <f t="shared" si="97"/>
        <v>0.99929361612231904</v>
      </c>
      <c r="AC149">
        <f t="shared" si="98"/>
        <v>0.9980861915601863</v>
      </c>
      <c r="AD149">
        <f t="shared" si="99"/>
        <v>0.99644906961702029</v>
      </c>
      <c r="AE149">
        <f t="shared" si="100"/>
        <v>0.99996934969862272</v>
      </c>
      <c r="AF149">
        <f t="shared" si="101"/>
        <v>0.99992988082681877</v>
      </c>
    </row>
    <row r="150" spans="4:40" x14ac:dyDescent="0.3">
      <c r="D150" s="1" t="e">
        <f t="shared" si="102"/>
        <v>#N/A</v>
      </c>
      <c r="E150" s="1" t="e">
        <f t="shared" si="103"/>
        <v>#N/A</v>
      </c>
      <c r="G150" s="1">
        <f t="shared" si="83"/>
        <v>0.11219130288665724</v>
      </c>
      <c r="I150">
        <f t="shared" si="82"/>
        <v>148</v>
      </c>
      <c r="K150" s="1">
        <f t="shared" si="84"/>
        <v>0.98956174680035192</v>
      </c>
      <c r="L150" s="1">
        <f t="shared" si="85"/>
        <v>0.98257988310964695</v>
      </c>
      <c r="N150" s="1">
        <f t="shared" si="86"/>
        <v>0.73009486847148364</v>
      </c>
      <c r="O150" s="1">
        <f t="shared" si="87"/>
        <v>0.47997471265473723</v>
      </c>
      <c r="Q150" s="1">
        <f t="shared" si="88"/>
        <v>0.91903391511431187</v>
      </c>
      <c r="R150" s="1">
        <f t="shared" si="89"/>
        <v>0.88465875731158217</v>
      </c>
      <c r="S150" s="1">
        <f t="shared" si="90"/>
        <v>0.81556782796100868</v>
      </c>
      <c r="T150" s="1">
        <f t="shared" si="91"/>
        <v>0.75759980795437287</v>
      </c>
      <c r="U150" s="1">
        <f t="shared" si="92"/>
        <v>0.4948118504047434</v>
      </c>
      <c r="V150" s="1">
        <f t="shared" si="93"/>
        <v>0.41566148103815392</v>
      </c>
      <c r="W150" s="1"/>
      <c r="X150" s="6">
        <f t="shared" si="94"/>
        <v>0.39741330923989621</v>
      </c>
      <c r="Y150" s="6">
        <f t="shared" si="95"/>
        <v>0.11611784053758838</v>
      </c>
      <c r="AA150">
        <f t="shared" si="96"/>
        <v>0.99969364883317147</v>
      </c>
      <c r="AB150">
        <f t="shared" si="97"/>
        <v>0.99937217572801285</v>
      </c>
      <c r="AC150">
        <f t="shared" si="98"/>
        <v>0.99828284902937237</v>
      </c>
      <c r="AD150">
        <f t="shared" si="99"/>
        <v>0.99679395270675641</v>
      </c>
      <c r="AE150">
        <f t="shared" si="100"/>
        <v>0.99997346133551135</v>
      </c>
      <c r="AF150">
        <f t="shared" si="101"/>
        <v>0.99993889398406655</v>
      </c>
    </row>
    <row r="151" spans="4:40" x14ac:dyDescent="0.3">
      <c r="D151" s="1" t="e">
        <f t="shared" si="102"/>
        <v>#N/A</v>
      </c>
      <c r="E151" s="1" t="e">
        <f t="shared" si="103"/>
        <v>#N/A</v>
      </c>
      <c r="G151" s="1">
        <f t="shared" si="83"/>
        <v>0.10220745936970843</v>
      </c>
      <c r="I151">
        <f t="shared" si="82"/>
        <v>149</v>
      </c>
      <c r="K151" s="1">
        <f t="shared" si="84"/>
        <v>0.99045786011120007</v>
      </c>
      <c r="L151" s="1">
        <f t="shared" si="85"/>
        <v>0.9839787724859248</v>
      </c>
      <c r="N151" s="1">
        <f t="shared" si="86"/>
        <v>0.72275726608841528</v>
      </c>
      <c r="O151" s="1">
        <f t="shared" si="87"/>
        <v>0.46879440708405828</v>
      </c>
      <c r="Q151" s="1">
        <f t="shared" si="88"/>
        <v>0.92396712013948767</v>
      </c>
      <c r="R151" s="1">
        <f t="shared" si="89"/>
        <v>0.89107640455425874</v>
      </c>
      <c r="S151" s="1">
        <f t="shared" si="90"/>
        <v>0.82440222364506455</v>
      </c>
      <c r="T151" s="1">
        <f t="shared" si="91"/>
        <v>0.76799896597841311</v>
      </c>
      <c r="U151" s="1">
        <f t="shared" si="92"/>
        <v>0.50824356819845917</v>
      </c>
      <c r="V151" s="1">
        <f t="shared" si="93"/>
        <v>0.4288373456421668</v>
      </c>
      <c r="W151" s="1"/>
      <c r="X151" s="6">
        <f t="shared" si="94"/>
        <v>0.39341922440124127</v>
      </c>
      <c r="Y151" s="6">
        <f t="shared" si="95"/>
        <v>0.11341304608657016</v>
      </c>
      <c r="AA151">
        <f t="shared" si="96"/>
        <v>0.9997295091688666</v>
      </c>
      <c r="AB151">
        <f t="shared" si="97"/>
        <v>0.99944214955975696</v>
      </c>
      <c r="AC151">
        <f t="shared" si="98"/>
        <v>0.99845979822956343</v>
      </c>
      <c r="AD151">
        <f t="shared" si="99"/>
        <v>0.99710637683159453</v>
      </c>
      <c r="AE151">
        <f t="shared" si="100"/>
        <v>0.9999770240589877</v>
      </c>
      <c r="AF151">
        <f t="shared" si="101"/>
        <v>0.99994675681499912</v>
      </c>
    </row>
    <row r="152" spans="4:40" x14ac:dyDescent="0.3">
      <c r="D152" s="1" t="e">
        <f t="shared" si="102"/>
        <v>#N/A</v>
      </c>
      <c r="E152" s="1" t="e">
        <f t="shared" si="103"/>
        <v>#N/A</v>
      </c>
      <c r="G152" s="1">
        <f t="shared" si="83"/>
        <v>9.3082588070615202E-2</v>
      </c>
      <c r="I152">
        <f t="shared" si="82"/>
        <v>150</v>
      </c>
      <c r="K152" s="1">
        <f t="shared" si="84"/>
        <v>0.99128065498736573</v>
      </c>
      <c r="L152" s="1">
        <f t="shared" si="85"/>
        <v>0.9852718565691857</v>
      </c>
      <c r="N152" s="1">
        <f t="shared" si="86"/>
        <v>0.71554175279993282</v>
      </c>
      <c r="O152" s="1">
        <f t="shared" si="87"/>
        <v>0.45794672179195706</v>
      </c>
      <c r="Q152" s="1">
        <f t="shared" si="88"/>
        <v>0.92863740266492811</v>
      </c>
      <c r="R152" s="1">
        <f t="shared" si="89"/>
        <v>0.89719292559733332</v>
      </c>
      <c r="S152" s="1">
        <f t="shared" si="90"/>
        <v>0.83290728409305792</v>
      </c>
      <c r="T152" s="1">
        <f t="shared" si="91"/>
        <v>0.77807787035182041</v>
      </c>
      <c r="U152" s="1">
        <f t="shared" si="92"/>
        <v>0.52157622654873936</v>
      </c>
      <c r="V152" s="1">
        <f t="shared" si="93"/>
        <v>0.44200410216987113</v>
      </c>
      <c r="W152" s="1"/>
      <c r="X152" s="6">
        <f t="shared" si="94"/>
        <v>0.3894915964481182</v>
      </c>
      <c r="Y152" s="6">
        <f t="shared" si="95"/>
        <v>0.11078872076746474</v>
      </c>
      <c r="AA152">
        <f t="shared" si="96"/>
        <v>0.99976122546339852</v>
      </c>
      <c r="AB152">
        <f t="shared" si="97"/>
        <v>0.99950445394479304</v>
      </c>
      <c r="AC152">
        <f t="shared" si="98"/>
        <v>0.99861894719475575</v>
      </c>
      <c r="AD152">
        <f t="shared" si="99"/>
        <v>0.99738926487265944</v>
      </c>
      <c r="AE152">
        <f t="shared" si="100"/>
        <v>0.99998011063087555</v>
      </c>
      <c r="AF152">
        <f t="shared" si="101"/>
        <v>0.99995361466768151</v>
      </c>
    </row>
    <row r="153" spans="4:40" x14ac:dyDescent="0.3">
      <c r="G153" s="1">
        <v>2</v>
      </c>
      <c r="H153" s="1">
        <v>2</v>
      </c>
      <c r="I153" s="1">
        <v>2</v>
      </c>
      <c r="J153" s="1">
        <v>2</v>
      </c>
      <c r="K153" s="1">
        <v>2</v>
      </c>
      <c r="L153" s="1">
        <v>2</v>
      </c>
      <c r="N153" s="1">
        <v>2</v>
      </c>
      <c r="O153" s="1">
        <v>2</v>
      </c>
      <c r="Q153" s="1">
        <v>2</v>
      </c>
      <c r="R153" s="1">
        <v>2</v>
      </c>
      <c r="S153" s="1">
        <v>2</v>
      </c>
      <c r="T153" s="1">
        <v>2</v>
      </c>
      <c r="U153" s="1">
        <v>2</v>
      </c>
      <c r="V153" s="1">
        <v>2</v>
      </c>
      <c r="W153" s="1"/>
      <c r="X153" s="1"/>
      <c r="Y153" s="1">
        <v>2</v>
      </c>
      <c r="Z153" s="1"/>
      <c r="AA153" s="1">
        <v>2</v>
      </c>
      <c r="AB153" s="1">
        <v>2</v>
      </c>
      <c r="AC153" s="1">
        <v>2</v>
      </c>
      <c r="AD153" s="1">
        <v>2</v>
      </c>
      <c r="AE153" s="1">
        <v>2</v>
      </c>
      <c r="AF153" s="1">
        <v>2</v>
      </c>
      <c r="AG153" s="1">
        <v>2</v>
      </c>
      <c r="AH153" s="1">
        <v>2</v>
      </c>
      <c r="AI153" s="1">
        <v>2</v>
      </c>
      <c r="AJ153" s="1">
        <v>2</v>
      </c>
      <c r="AK153" s="1">
        <v>2</v>
      </c>
      <c r="AL153" s="1">
        <v>2</v>
      </c>
      <c r="AM153" s="1">
        <v>2</v>
      </c>
      <c r="AN153" s="1">
        <v>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3"/>
  <sheetViews>
    <sheetView topLeftCell="A2" zoomScale="71" zoomScaleNormal="55" workbookViewId="0">
      <selection activeCell="P1" sqref="P1"/>
    </sheetView>
  </sheetViews>
  <sheetFormatPr defaultRowHeight="14.4" x14ac:dyDescent="0.3"/>
  <cols>
    <col min="5" max="16" width="8.88671875" style="1"/>
    <col min="17" max="17" width="9.88671875" style="1" bestFit="1" customWidth="1"/>
    <col min="18" max="25" width="8.88671875" style="1"/>
  </cols>
  <sheetData>
    <row r="1" spans="1:25" x14ac:dyDescent="0.3">
      <c r="A1" t="s">
        <v>1</v>
      </c>
      <c r="B1">
        <v>0.2</v>
      </c>
      <c r="D1" t="s">
        <v>0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/>
      <c r="P1" t="s">
        <v>40</v>
      </c>
      <c r="Q1" t="s">
        <v>18</v>
      </c>
      <c r="R1" t="s">
        <v>41</v>
      </c>
      <c r="S1"/>
      <c r="T1"/>
      <c r="U1"/>
      <c r="V1"/>
      <c r="W1"/>
      <c r="X1"/>
      <c r="Y1"/>
    </row>
    <row r="2" spans="1:25" x14ac:dyDescent="0.3">
      <c r="A2" t="s">
        <v>2</v>
      </c>
      <c r="B2">
        <v>0.05</v>
      </c>
      <c r="D2">
        <v>50</v>
      </c>
      <c r="E2" s="1">
        <f>($B$6/D2)^(-1+(2*($B$2-$B$3))/($B$1^2))</f>
        <v>2.0238577025077626</v>
      </c>
      <c r="F2" s="1">
        <f>($B$6/D2)^(1+(2*($B$2-$B$3))/($B$1^2))</f>
        <v>5.1810757184198728</v>
      </c>
      <c r="G2" s="1">
        <f>_xlfn.NORM.S.DIST((LN(D2/$B$4)+($B$2-$B$3+0.5*$B$1^2)*$B$5)/($B$1*SQRT($B$5)),TRUE)</f>
        <v>9.1743260394515119E-4</v>
      </c>
      <c r="H2" s="1">
        <f>_xlfn.NORM.S.DIST((LN(D2/$B$4)+($B$2-$B$3-0.5*$B$1^2)*$B$5)/($B$1*SQRT($B$5)),TRUE)</f>
        <v>4.5701080648094782E-4</v>
      </c>
      <c r="I2" s="1">
        <f>_xlfn.NORM.S.DIST((LN(D2/$B$6)+($B$2-$B$3+0.5*$B$1^2)*$B$5)/($B$1*SQRT($B$5)),TRUE)</f>
        <v>2.2749152233532584E-2</v>
      </c>
      <c r="J2" s="1">
        <f>_xlfn.NORM.S.DIST((LN(D2/$B$6)+($B$2-$B$3-0.5*$B$1^2)*$B$5)/($B$1*SQRT($B$5)),TRUE)</f>
        <v>1.3902803796273839E-2</v>
      </c>
      <c r="K2" s="1">
        <f>_xlfn.NORM.S.DIST((LN(D2/$B$6)-($B$2-$B$3-0.5*$B$1^2)*$B$5)/($B$1*SQRT($B$5)),TRUE)</f>
        <v>6.209347260441719E-3</v>
      </c>
      <c r="L2" s="1">
        <f>_xlfn.NORM.S.DIST((LN(D2/$B$6)-($B$2-$B$3+0.5*$B$1^2)*$B$5)/($B$1*SQRT($B$5)),TRUE)</f>
        <v>3.4667847070069002E-3</v>
      </c>
      <c r="M2" s="1">
        <f>_xlfn.NORM.S.DIST((LN((D2*$B$4)/($B$6^2))-($B$2-$B$3-0.5*$B$1^2)*$B$5)/($B$1*SQRT($B$5)),TRUE)</f>
        <v>8.3133247389647266E-2</v>
      </c>
      <c r="N2" s="1">
        <f>_xlfn.NORM.S.DIST((LN((D2*$B$4)/($B$6^2))-($B$2-$B$3+0.5*$B$1^2)*$B$5)/($B$1*SQRT($B$5)),TRUE)</f>
        <v>5.6562688592755796E-2</v>
      </c>
      <c r="P2" s="1" t="e">
        <f>IF(D2&gt;$B$6,-D2*(1-I2+F2*(N2-L2))+$B$4*EXP(-$B$2*$B$5)*(1-J2+E2*(M2-K2)),NA())</f>
        <v>#N/A</v>
      </c>
      <c r="Q2" s="1">
        <f>+D2*G2-$B$4*EXP(-$B$2*$B$5)*H2+$B$4*EXP(-$B$2*$B$5)-D2</f>
        <v>45.125341867624712</v>
      </c>
    </row>
    <row r="3" spans="1:25" x14ac:dyDescent="0.3">
      <c r="A3" t="s">
        <v>3</v>
      </c>
      <c r="B3">
        <v>0</v>
      </c>
      <c r="D3">
        <f>+D2+1</f>
        <v>51</v>
      </c>
      <c r="E3" s="1">
        <f t="shared" ref="E3:E66" si="0">($B$6/D3)^(-1+(2*($B$2-$B$3))/($B$1^2))</f>
        <v>1.9646252269338018</v>
      </c>
      <c r="F3" s="1">
        <f t="shared" ref="F3:F66" si="1">($B$6/D3)^(1+(2*($B$2-$B$3))/($B$1^2))</f>
        <v>4.8341412735010882</v>
      </c>
      <c r="G3" s="1">
        <f t="shared" ref="G3:G66" si="2">_xlfn.NORM.S.DIST((LN(D3/$B$4)+($B$2-$B$3+0.5*$B$1^2)*$B$5)/($B$1*SQRT($B$5)),TRUE)</f>
        <v>1.2776169461878996E-3</v>
      </c>
      <c r="H3" s="1">
        <f t="shared" ref="H3:H66" si="3">_xlfn.NORM.S.DIST((LN(D3/$B$4)+($B$2-$B$3-0.5*$B$1^2)*$B$5)/($B$1*SQRT($B$5)),TRUE)</f>
        <v>6.4831913684379548E-4</v>
      </c>
      <c r="I3" s="1">
        <f t="shared" ref="I3:I66" si="4">_xlfn.NORM.S.DIST((LN(D3/$B$6)+($B$2-$B$3+0.5*$B$1^2)*$B$5)/($B$1*SQRT($B$5)),TRUE)</f>
        <v>2.865067821472797E-2</v>
      </c>
      <c r="J3" s="1">
        <f t="shared" ref="J3:J66" si="5">_xlfn.NORM.S.DIST((LN(D3/$B$6)+($B$2-$B$3-0.5*$B$1^2)*$B$5)/($B$1*SQRT($B$5)),TRUE)</f>
        <v>1.7820263241407418E-2</v>
      </c>
      <c r="K3" s="1">
        <f t="shared" ref="K3:K66" si="6">_xlfn.NORM.S.DIST((LN(D3/$B$6)-($B$2-$B$3-0.5*$B$1^2)*$B$5)/($B$1*SQRT($B$5)),TRUE)</f>
        <v>8.1750563286935723E-3</v>
      </c>
      <c r="L3" s="1">
        <f t="shared" ref="L3:L66" si="7">_xlfn.NORM.S.DIST((LN(D3/$B$6)-($B$2-$B$3+0.5*$B$1^2)*$B$5)/($B$1*SQRT($B$5)),TRUE)</f>
        <v>4.6475548292301593E-3</v>
      </c>
      <c r="M3" s="1">
        <f t="shared" ref="M3:M66" si="8">_xlfn.NORM.S.DIST((LN((D3*$B$4)/($B$6^2))-($B$2-$B$3-0.5*$B$1^2)*$B$5)/($B$1*SQRT($B$5)),TRUE)</f>
        <v>9.9345961421302129E-2</v>
      </c>
      <c r="N3" s="1">
        <f t="shared" ref="N3:N66" si="9">_xlfn.NORM.S.DIST((LN((D3*$B$4)/($B$6^2))-($B$2-$B$3+0.5*$B$1^2)*$B$5)/($B$1*SQRT($B$5)),TRUE)</f>
        <v>6.8733873521170955E-2</v>
      </c>
      <c r="P3" s="1" t="e">
        <f>IF(D3&gt;$B$6,-D3*(1-I3+F3*(N3-L3))+$B$4*EXP(-$B$2*$B$5)*(1-J3+E3*(M3-K3)),NA())</f>
        <v>#N/A</v>
      </c>
      <c r="Q3" s="1">
        <f t="shared" ref="Q3:Q66" si="10">+D3*G3-$B$4*EXP(-$B$2*$B$5)*H3+$B$4*EXP(-$B$2*$B$5)-D3</f>
        <v>44.126430890383716</v>
      </c>
    </row>
    <row r="4" spans="1:25" x14ac:dyDescent="0.3">
      <c r="A4" t="s">
        <v>4</v>
      </c>
      <c r="B4">
        <v>100</v>
      </c>
      <c r="D4">
        <f t="shared" ref="D4:D67" si="11">+D3+1</f>
        <v>52</v>
      </c>
      <c r="E4" s="1">
        <f t="shared" si="0"/>
        <v>1.9082266859878223</v>
      </c>
      <c r="F4" s="1">
        <f t="shared" si="1"/>
        <v>4.5165128662433673</v>
      </c>
      <c r="G4" s="1">
        <f t="shared" si="2"/>
        <v>1.7522228265699302E-3</v>
      </c>
      <c r="H4" s="1">
        <f t="shared" si="3"/>
        <v>9.0538450405572843E-4</v>
      </c>
      <c r="I4" s="1">
        <f t="shared" si="4"/>
        <v>3.5622349442744658E-2</v>
      </c>
      <c r="J4" s="1">
        <f t="shared" si="5"/>
        <v>2.2539605701555526E-2</v>
      </c>
      <c r="K4" s="1">
        <f t="shared" si="6"/>
        <v>1.0613719533783083E-2</v>
      </c>
      <c r="L4" s="1">
        <f t="shared" si="7"/>
        <v>6.1413842177723815E-3</v>
      </c>
      <c r="M4" s="1">
        <f t="shared" si="8"/>
        <v>0.11737793736165314</v>
      </c>
      <c r="N4" s="1">
        <f t="shared" si="9"/>
        <v>8.2538559587976901E-2</v>
      </c>
      <c r="P4" s="1" t="e">
        <f t="shared" ref="P4:P67" si="12">IF(D4&gt;$B$6,-D4*(1-I4+F4*(N4-L4))+$B$4*EXP(-$B$2*$B$5)*(1-J4+E4*(M4-K4)),NA())</f>
        <v>#N/A</v>
      </c>
      <c r="Q4" s="1">
        <f t="shared" si="10"/>
        <v>43.127935198978562</v>
      </c>
    </row>
    <row r="5" spans="1:25" x14ac:dyDescent="0.3">
      <c r="A5" t="s">
        <v>7</v>
      </c>
      <c r="B5">
        <v>1</v>
      </c>
      <c r="D5">
        <f t="shared" si="11"/>
        <v>53</v>
      </c>
      <c r="E5" s="1">
        <f t="shared" si="0"/>
        <v>1.8544758244043809</v>
      </c>
      <c r="F5" s="1">
        <f t="shared" si="1"/>
        <v>4.2252208174396726</v>
      </c>
      <c r="G5" s="1">
        <f t="shared" si="2"/>
        <v>2.3685252013891452E-3</v>
      </c>
      <c r="H5" s="1">
        <f t="shared" si="3"/>
        <v>1.2456696454977963E-3</v>
      </c>
      <c r="I5" s="1">
        <f t="shared" si="4"/>
        <v>4.3755712948085744E-2</v>
      </c>
      <c r="J5" s="1">
        <f t="shared" si="5"/>
        <v>2.8152105063271458E-2</v>
      </c>
      <c r="K5" s="1">
        <f t="shared" si="6"/>
        <v>1.359867579004825E-2</v>
      </c>
      <c r="L5" s="1">
        <f t="shared" si="7"/>
        <v>8.0053047701296228E-3</v>
      </c>
      <c r="M5" s="1">
        <f t="shared" si="8"/>
        <v>0.13720659260116119</v>
      </c>
      <c r="N5" s="1">
        <f t="shared" si="9"/>
        <v>9.8013164834676869E-2</v>
      </c>
      <c r="P5" s="1" t="e">
        <f t="shared" si="12"/>
        <v>#N/A</v>
      </c>
      <c r="Q5" s="1">
        <f t="shared" si="10"/>
        <v>42.129982523744545</v>
      </c>
    </row>
    <row r="6" spans="1:25" x14ac:dyDescent="0.3">
      <c r="A6" s="2" t="s">
        <v>5</v>
      </c>
      <c r="B6" s="2">
        <v>80</v>
      </c>
      <c r="D6">
        <f t="shared" si="11"/>
        <v>54</v>
      </c>
      <c r="E6" s="1">
        <f t="shared" si="0"/>
        <v>1.8032018354079538</v>
      </c>
      <c r="F6" s="1">
        <f t="shared" si="1"/>
        <v>3.9576446318967431</v>
      </c>
      <c r="G6" s="1">
        <f t="shared" si="2"/>
        <v>3.1577875391597013E-3</v>
      </c>
      <c r="H6" s="1">
        <f t="shared" si="3"/>
        <v>1.6897408241303975E-3</v>
      </c>
      <c r="I6" s="1">
        <f t="shared" si="4"/>
        <v>5.3132294571672213E-2</v>
      </c>
      <c r="J6" s="1">
        <f t="shared" si="5"/>
        <v>3.4745595898136056E-2</v>
      </c>
      <c r="K6" s="1">
        <f t="shared" si="6"/>
        <v>1.7205901257852745E-2</v>
      </c>
      <c r="L6" s="1">
        <f t="shared" si="7"/>
        <v>1.0300640705599095E-2</v>
      </c>
      <c r="M6" s="1">
        <f t="shared" si="8"/>
        <v>0.15877743546210796</v>
      </c>
      <c r="N6" s="1">
        <f t="shared" si="9"/>
        <v>0.1151677281472737</v>
      </c>
      <c r="P6" s="1" t="e">
        <f t="shared" si="12"/>
        <v>#N/A</v>
      </c>
      <c r="Q6" s="1">
        <f t="shared" si="10"/>
        <v>41.132729858016731</v>
      </c>
    </row>
    <row r="7" spans="1:25" x14ac:dyDescent="0.3">
      <c r="A7" t="s">
        <v>6</v>
      </c>
      <c r="D7">
        <f t="shared" si="11"/>
        <v>55</v>
      </c>
      <c r="E7" s="1">
        <f t="shared" si="0"/>
        <v>1.7542478229978973</v>
      </c>
      <c r="F7" s="1">
        <f t="shared" si="1"/>
        <v>3.7114664684914191</v>
      </c>
      <c r="G7" s="1">
        <f t="shared" si="2"/>
        <v>4.1552807396121006E-3</v>
      </c>
      <c r="H7" s="1">
        <f t="shared" si="3"/>
        <v>2.2614462892193688E-3</v>
      </c>
      <c r="I7" s="1">
        <f t="shared" si="4"/>
        <v>6.3820924457033038E-2</v>
      </c>
      <c r="J7" s="1">
        <f t="shared" si="5"/>
        <v>4.2402031588428042E-2</v>
      </c>
      <c r="K7" s="1">
        <f t="shared" si="6"/>
        <v>2.1512498545705458E-2</v>
      </c>
      <c r="L7" s="1">
        <f t="shared" si="7"/>
        <v>1.309215477789037E-2</v>
      </c>
      <c r="M7" s="1">
        <f t="shared" si="8"/>
        <v>0.18200529487704187</v>
      </c>
      <c r="N7" s="1">
        <f t="shared" si="9"/>
        <v>0.13398500959213649</v>
      </c>
      <c r="P7" s="1" t="e">
        <f t="shared" si="12"/>
        <v>#N/A</v>
      </c>
      <c r="Q7" s="1">
        <f t="shared" si="10"/>
        <v>40.136367465526732</v>
      </c>
    </row>
    <row r="8" spans="1:25" x14ac:dyDescent="0.3">
      <c r="D8">
        <f t="shared" si="11"/>
        <v>56</v>
      </c>
      <c r="E8" s="1">
        <f t="shared" si="0"/>
        <v>1.7074694419062764</v>
      </c>
      <c r="F8" s="1">
        <f t="shared" si="1"/>
        <v>3.4846315140944415</v>
      </c>
      <c r="G8" s="1">
        <f t="shared" si="2"/>
        <v>5.4001828370714424E-3</v>
      </c>
      <c r="H8" s="1">
        <f t="shared" si="3"/>
        <v>2.9880261642968565E-3</v>
      </c>
      <c r="I8" s="1">
        <f t="shared" si="4"/>
        <v>7.5875389491867534E-2</v>
      </c>
      <c r="J8" s="1">
        <f t="shared" si="5"/>
        <v>5.1195105289887979E-2</v>
      </c>
      <c r="K8" s="1">
        <f t="shared" si="6"/>
        <v>2.6595026593737539E-2</v>
      </c>
      <c r="L8" s="1">
        <f t="shared" si="7"/>
        <v>1.6446999584280534E-2</v>
      </c>
      <c r="M8" s="1">
        <f t="shared" si="8"/>
        <v>0.20677654565179621</v>
      </c>
      <c r="N8" s="1">
        <f t="shared" si="9"/>
        <v>0.15442050322526796</v>
      </c>
      <c r="P8" s="1" t="e">
        <f t="shared" si="12"/>
        <v>#N/A</v>
      </c>
      <c r="Q8" s="1">
        <f t="shared" si="10"/>
        <v>39.141122848081693</v>
      </c>
    </row>
    <row r="9" spans="1:25" x14ac:dyDescent="0.3">
      <c r="D9">
        <f t="shared" si="11"/>
        <v>57</v>
      </c>
      <c r="E9" s="1">
        <f t="shared" si="0"/>
        <v>1.6627336919553466</v>
      </c>
      <c r="F9" s="1">
        <f t="shared" si="1"/>
        <v>3.2753141362001279</v>
      </c>
      <c r="G9" s="1">
        <f t="shared" si="2"/>
        <v>6.9353501388724004E-3</v>
      </c>
      <c r="H9" s="1">
        <f t="shared" si="3"/>
        <v>3.9001406935920669E-3</v>
      </c>
      <c r="I9" s="1">
        <f t="shared" si="4"/>
        <v>8.9332506213167073E-2</v>
      </c>
      <c r="J9" s="1">
        <f t="shared" si="5"/>
        <v>6.118802891746674E-2</v>
      </c>
      <c r="K9" s="1">
        <f t="shared" si="6"/>
        <v>3.2527728623287462E-2</v>
      </c>
      <c r="L9" s="1">
        <f t="shared" si="7"/>
        <v>2.0433501163701309E-2</v>
      </c>
      <c r="M9" s="1">
        <f t="shared" si="8"/>
        <v>0.23295218009952234</v>
      </c>
      <c r="N9" s="1">
        <f t="shared" si="9"/>
        <v>0.17640332581220575</v>
      </c>
      <c r="P9" s="1" t="e">
        <f t="shared" si="12"/>
        <v>#N/A</v>
      </c>
      <c r="Q9" s="1">
        <f t="shared" si="10"/>
        <v>38.147264549243388</v>
      </c>
    </row>
    <row r="10" spans="1:25" x14ac:dyDescent="0.3">
      <c r="D10">
        <f t="shared" si="11"/>
        <v>58</v>
      </c>
      <c r="E10" s="1">
        <f t="shared" si="0"/>
        <v>1.6199178469371129</v>
      </c>
      <c r="F10" s="1">
        <f t="shared" si="1"/>
        <v>3.0818888883464699</v>
      </c>
      <c r="G10" s="1">
        <f t="shared" si="2"/>
        <v>8.8069554637979063E-3</v>
      </c>
      <c r="H10" s="1">
        <f t="shared" si="3"/>
        <v>5.0318061217311284E-3</v>
      </c>
      <c r="I10" s="1">
        <f t="shared" si="4"/>
        <v>0.1042106847970086</v>
      </c>
      <c r="J10" s="1">
        <f t="shared" si="5"/>
        <v>7.2431556640269429E-2</v>
      </c>
      <c r="K10" s="1">
        <f t="shared" si="6"/>
        <v>3.9380721058774548E-2</v>
      </c>
      <c r="L10" s="1">
        <f t="shared" si="7"/>
        <v>2.5119810624071742E-2</v>
      </c>
      <c r="M10" s="1">
        <f t="shared" si="8"/>
        <v>0.26037154833098097</v>
      </c>
      <c r="N10" s="1">
        <f t="shared" si="9"/>
        <v>0.19983790503042118</v>
      </c>
      <c r="P10" s="1" t="e">
        <f t="shared" si="12"/>
        <v>#N/A</v>
      </c>
      <c r="Q10" s="1">
        <f t="shared" si="10"/>
        <v>37.15510566283433</v>
      </c>
    </row>
    <row r="11" spans="1:25" x14ac:dyDescent="0.3">
      <c r="D11">
        <f t="shared" si="11"/>
        <v>59</v>
      </c>
      <c r="E11" s="1">
        <f t="shared" si="0"/>
        <v>1.5789085009886965</v>
      </c>
      <c r="F11" s="1">
        <f t="shared" si="1"/>
        <v>2.9029056036563219</v>
      </c>
      <c r="G11" s="1">
        <f t="shared" si="2"/>
        <v>1.1063994588625184E-2</v>
      </c>
      <c r="H11" s="1">
        <f t="shared" si="3"/>
        <v>6.4202305102069755E-3</v>
      </c>
      <c r="I11" s="1">
        <f t="shared" si="4"/>
        <v>0.12050902942373484</v>
      </c>
      <c r="J11" s="1">
        <f t="shared" si="5"/>
        <v>8.4962326393855592E-2</v>
      </c>
      <c r="K11" s="1">
        <f t="shared" si="6"/>
        <v>4.7218208422958319E-2</v>
      </c>
      <c r="L11" s="1">
        <f t="shared" si="7"/>
        <v>3.0572466228807632E-2</v>
      </c>
      <c r="M11" s="1">
        <f t="shared" si="8"/>
        <v>0.28885657424382638</v>
      </c>
      <c r="N11" s="1">
        <f t="shared" si="9"/>
        <v>0.22460635899946862</v>
      </c>
      <c r="P11" s="1" t="e">
        <f t="shared" si="12"/>
        <v>#N/A</v>
      </c>
      <c r="Q11" s="1">
        <f t="shared" si="10"/>
        <v>36.165006913461681</v>
      </c>
    </row>
    <row r="12" spans="1:25" x14ac:dyDescent="0.3">
      <c r="D12">
        <f t="shared" si="11"/>
        <v>60</v>
      </c>
      <c r="E12" s="1">
        <f t="shared" si="0"/>
        <v>1.5396007178390017</v>
      </c>
      <c r="F12" s="1">
        <f t="shared" si="1"/>
        <v>2.7370679428248912</v>
      </c>
      <c r="G12" s="1">
        <f t="shared" si="2"/>
        <v>1.3757667572379631E-2</v>
      </c>
      <c r="H12" s="1">
        <f t="shared" si="3"/>
        <v>8.1055453543928818E-3</v>
      </c>
      <c r="I12" s="1">
        <f t="shared" si="4"/>
        <v>0.13820699431731612</v>
      </c>
      <c r="J12" s="1">
        <f t="shared" si="5"/>
        <v>9.88015767617475E-2</v>
      </c>
      <c r="K12" s="1">
        <f t="shared" si="6"/>
        <v>5.6096787909261946E-2</v>
      </c>
      <c r="L12" s="1">
        <f t="shared" si="7"/>
        <v>3.6854912861482687E-2</v>
      </c>
      <c r="M12" s="1">
        <f t="shared" si="8"/>
        <v>0.31821625137768728</v>
      </c>
      <c r="N12" s="1">
        <f t="shared" si="9"/>
        <v>0.25057143637985901</v>
      </c>
      <c r="P12" s="1" t="e">
        <f t="shared" si="12"/>
        <v>#N/A</v>
      </c>
      <c r="Q12" s="1">
        <f t="shared" si="10"/>
        <v>35.177379180141827</v>
      </c>
    </row>
    <row r="13" spans="1:25" x14ac:dyDescent="0.3">
      <c r="D13">
        <f t="shared" si="11"/>
        <v>61</v>
      </c>
      <c r="E13" s="1">
        <f t="shared" si="0"/>
        <v>1.5018972703314573</v>
      </c>
      <c r="F13" s="1">
        <f t="shared" si="1"/>
        <v>2.5832148696912993</v>
      </c>
      <c r="G13" s="1">
        <f t="shared" si="2"/>
        <v>1.6940646996379562E-2</v>
      </c>
      <c r="H13" s="1">
        <f t="shared" si="3"/>
        <v>1.0130432769837662E-2</v>
      </c>
      <c r="I13" s="1">
        <f t="shared" si="4"/>
        <v>0.15726458971827267</v>
      </c>
      <c r="J13" s="1">
        <f t="shared" si="5"/>
        <v>0.1139542784481312</v>
      </c>
      <c r="K13" s="1">
        <f t="shared" si="6"/>
        <v>6.6063902902151583E-2</v>
      </c>
      <c r="L13" s="1">
        <f t="shared" si="7"/>
        <v>4.4026027898188956E-2</v>
      </c>
      <c r="M13" s="1">
        <f t="shared" si="8"/>
        <v>0.34825123067510422</v>
      </c>
      <c r="N13" s="1">
        <f t="shared" si="9"/>
        <v>0.27757987299880582</v>
      </c>
      <c r="P13" s="1" t="e">
        <f t="shared" si="12"/>
        <v>#N/A</v>
      </c>
      <c r="Q13" s="1">
        <f t="shared" si="10"/>
        <v>34.192685343490979</v>
      </c>
    </row>
    <row r="14" spans="1:25" x14ac:dyDescent="0.3">
      <c r="D14">
        <f t="shared" si="11"/>
        <v>62</v>
      </c>
      <c r="E14" s="1">
        <f t="shared" si="0"/>
        <v>1.4657079593472637</v>
      </c>
      <c r="F14" s="1">
        <f t="shared" si="1"/>
        <v>2.4403046149382122</v>
      </c>
      <c r="G14" s="1">
        <f t="shared" si="2"/>
        <v>2.0666250043050845E-2</v>
      </c>
      <c r="H14" s="1">
        <f t="shared" si="3"/>
        <v>1.2539652060149441E-2</v>
      </c>
      <c r="I14" s="1">
        <f t="shared" si="4"/>
        <v>0.17762310931678654</v>
      </c>
      <c r="J14" s="1">
        <f t="shared" si="5"/>
        <v>0.13040870066703703</v>
      </c>
      <c r="K14" s="1">
        <f t="shared" si="6"/>
        <v>7.7156497587044362E-2</v>
      </c>
      <c r="L14" s="1">
        <f t="shared" si="7"/>
        <v>5.2138702234498846E-2</v>
      </c>
      <c r="M14" s="1">
        <f t="shared" si="8"/>
        <v>0.37875832873076487</v>
      </c>
      <c r="N14" s="1">
        <f t="shared" si="9"/>
        <v>0.30546601653577515</v>
      </c>
      <c r="P14" s="1" t="e">
        <f t="shared" si="12"/>
        <v>#N/A</v>
      </c>
      <c r="Q14" s="1">
        <f t="shared" si="10"/>
        <v>33.211441351479039</v>
      </c>
    </row>
    <row r="15" spans="1:25" x14ac:dyDescent="0.3">
      <c r="D15">
        <f t="shared" si="11"/>
        <v>63</v>
      </c>
      <c r="E15" s="1">
        <f t="shared" si="0"/>
        <v>1.4309490027149485</v>
      </c>
      <c r="F15" s="1">
        <f t="shared" si="1"/>
        <v>2.3074007602357445</v>
      </c>
      <c r="G15" s="1">
        <f t="shared" si="2"/>
        <v>2.498753548684823E-2</v>
      </c>
      <c r="H15" s="1">
        <f t="shared" si="3"/>
        <v>1.5379473450350702E-2</v>
      </c>
      <c r="I15" s="1">
        <f t="shared" si="4"/>
        <v>0.19920633128044682</v>
      </c>
      <c r="J15" s="1">
        <f t="shared" si="5"/>
        <v>0.14813641423131851</v>
      </c>
      <c r="K15" s="1">
        <f t="shared" si="6"/>
        <v>8.9399915534194394E-2</v>
      </c>
      <c r="L15" s="1">
        <f t="shared" si="7"/>
        <v>6.1238522672663394E-2</v>
      </c>
      <c r="M15" s="1">
        <f t="shared" si="8"/>
        <v>0.40953480802606818</v>
      </c>
      <c r="N15" s="1">
        <f t="shared" si="9"/>
        <v>0.33405557425897331</v>
      </c>
      <c r="P15" s="1" t="e">
        <f t="shared" si="12"/>
        <v>#N/A</v>
      </c>
      <c r="Q15" s="1">
        <f t="shared" si="10"/>
        <v>32.234216417812732</v>
      </c>
    </row>
    <row r="16" spans="1:25" x14ac:dyDescent="0.3">
      <c r="D16">
        <f t="shared" si="11"/>
        <v>64</v>
      </c>
      <c r="E16" s="1">
        <f t="shared" si="0"/>
        <v>1.3975424859373684</v>
      </c>
      <c r="F16" s="1">
        <f t="shared" si="1"/>
        <v>2.1836601342771385</v>
      </c>
      <c r="G16" s="1">
        <f t="shared" si="2"/>
        <v>2.9956349889287862E-2</v>
      </c>
      <c r="H16" s="1">
        <f t="shared" si="3"/>
        <v>1.8697030468110387E-2</v>
      </c>
      <c r="I16" s="1">
        <f t="shared" si="4"/>
        <v>0.22192212964817964</v>
      </c>
      <c r="J16" s="1">
        <f t="shared" si="5"/>
        <v>0.16709271590694216</v>
      </c>
      <c r="K16" s="1">
        <f t="shared" si="6"/>
        <v>0.10280707440266672</v>
      </c>
      <c r="L16" s="1">
        <f t="shared" si="7"/>
        <v>7.1362597335071901E-2</v>
      </c>
      <c r="M16" s="1">
        <f t="shared" si="8"/>
        <v>0.4403823076297575</v>
      </c>
      <c r="N16" s="1">
        <f t="shared" si="9"/>
        <v>0.3631693488243809</v>
      </c>
      <c r="P16" s="1" t="e">
        <f t="shared" si="12"/>
        <v>#N/A</v>
      </c>
      <c r="Q16" s="1">
        <f t="shared" si="10"/>
        <v>31.261632289780536</v>
      </c>
    </row>
    <row r="17" spans="4:25" x14ac:dyDescent="0.3">
      <c r="D17">
        <f t="shared" si="11"/>
        <v>65</v>
      </c>
      <c r="E17" s="1">
        <f t="shared" si="0"/>
        <v>1.3654158676313333</v>
      </c>
      <c r="F17" s="1">
        <f t="shared" si="1"/>
        <v>2.0683222610273453</v>
      </c>
      <c r="G17" s="1">
        <f t="shared" si="2"/>
        <v>3.5622349442744658E-2</v>
      </c>
      <c r="H17" s="1">
        <f t="shared" si="3"/>
        <v>2.2539605701555526E-2</v>
      </c>
      <c r="I17" s="1">
        <f t="shared" si="4"/>
        <v>0.24566442187804399</v>
      </c>
      <c r="J17" s="1">
        <f t="shared" si="5"/>
        <v>0.18721744347703587</v>
      </c>
      <c r="K17" s="1">
        <f t="shared" si="6"/>
        <v>0.11737793736165314</v>
      </c>
      <c r="L17" s="1">
        <f t="shared" si="7"/>
        <v>8.2538559587976901E-2</v>
      </c>
      <c r="M17" s="1">
        <f t="shared" si="8"/>
        <v>0.471110331754173</v>
      </c>
      <c r="N17" s="1">
        <f t="shared" si="9"/>
        <v>0.39262684222089195</v>
      </c>
      <c r="P17" s="1" t="e">
        <f t="shared" si="12"/>
        <v>#N/A</v>
      </c>
      <c r="Q17" s="1">
        <f t="shared" si="10"/>
        <v>30.294361547853441</v>
      </c>
    </row>
    <row r="18" spans="4:25" x14ac:dyDescent="0.3">
      <c r="D18">
        <f t="shared" si="11"/>
        <v>66</v>
      </c>
      <c r="E18" s="1">
        <f t="shared" si="0"/>
        <v>1.3345015334864976</v>
      </c>
      <c r="F18" s="1">
        <f t="shared" si="1"/>
        <v>1.960700141026994</v>
      </c>
      <c r="G18" s="1">
        <f t="shared" si="2"/>
        <v>4.2032024926565832E-2</v>
      </c>
      <c r="H18" s="1">
        <f t="shared" si="3"/>
        <v>2.6953867308990524E-2</v>
      </c>
      <c r="I18" s="1">
        <f t="shared" si="4"/>
        <v>0.27031537177288706</v>
      </c>
      <c r="J18" s="1">
        <f t="shared" si="5"/>
        <v>0.20843613848885223</v>
      </c>
      <c r="K18" s="1">
        <f t="shared" si="6"/>
        <v>0.13309929011570709</v>
      </c>
      <c r="L18" s="1">
        <f t="shared" si="7"/>
        <v>9.4783778553500134E-2</v>
      </c>
      <c r="M18" s="1">
        <f t="shared" si="8"/>
        <v>0.50153923252208465</v>
      </c>
      <c r="N18" s="1">
        <f t="shared" si="9"/>
        <v>0.42224962650741954</v>
      </c>
      <c r="P18" s="1" t="e">
        <f t="shared" si="12"/>
        <v>#N/A</v>
      </c>
      <c r="Q18" s="1">
        <f t="shared" si="10"/>
        <v>29.333124926384784</v>
      </c>
    </row>
    <row r="19" spans="4:25" x14ac:dyDescent="0.3">
      <c r="D19">
        <f t="shared" si="11"/>
        <v>67</v>
      </c>
      <c r="E19" s="1">
        <f t="shared" si="0"/>
        <v>1.3047363933329026</v>
      </c>
      <c r="F19" s="1">
        <f t="shared" si="1"/>
        <v>1.8601721802919522</v>
      </c>
      <c r="G19" s="1">
        <f t="shared" si="2"/>
        <v>4.9227757121873481E-2</v>
      </c>
      <c r="H19" s="1">
        <f t="shared" si="3"/>
        <v>3.1985075593968647E-2</v>
      </c>
      <c r="I19" s="1">
        <f t="shared" si="4"/>
        <v>0.29574776464432601</v>
      </c>
      <c r="J19" s="1">
        <f t="shared" si="5"/>
        <v>0.23066150416550998</v>
      </c>
      <c r="K19" s="1">
        <f t="shared" si="6"/>
        <v>0.14994482113619231</v>
      </c>
      <c r="L19" s="1">
        <f t="shared" si="7"/>
        <v>0.10810479610568276</v>
      </c>
      <c r="M19" s="1">
        <f t="shared" si="8"/>
        <v>0.53150265079777548</v>
      </c>
      <c r="N19" s="1">
        <f t="shared" si="9"/>
        <v>0.45186440054290344</v>
      </c>
      <c r="P19" s="1" t="e">
        <f t="shared" si="12"/>
        <v>#N/A</v>
      </c>
      <c r="Q19" s="1">
        <f t="shared" si="10"/>
        <v>28.378687672250663</v>
      </c>
    </row>
    <row r="20" spans="4:25" x14ac:dyDescent="0.3">
      <c r="D20">
        <f t="shared" si="11"/>
        <v>68</v>
      </c>
      <c r="E20" s="1">
        <f t="shared" si="0"/>
        <v>1.2760615165803304</v>
      </c>
      <c r="F20" s="1">
        <f t="shared" si="1"/>
        <v>1.7661751094537446</v>
      </c>
      <c r="G20" s="1">
        <f t="shared" si="2"/>
        <v>5.7246928835850606E-2</v>
      </c>
      <c r="H20" s="1">
        <f t="shared" si="3"/>
        <v>3.7676280122255684E-2</v>
      </c>
      <c r="I20" s="1">
        <f t="shared" si="4"/>
        <v>0.32182747298832592</v>
      </c>
      <c r="J20" s="1">
        <f t="shared" si="5"/>
        <v>0.2537950995737065</v>
      </c>
      <c r="K20" s="1">
        <f t="shared" si="6"/>
        <v>0.16787549234269009</v>
      </c>
      <c r="L20" s="1">
        <f t="shared" si="7"/>
        <v>0.12249700173414359</v>
      </c>
      <c r="M20" s="1">
        <f t="shared" si="8"/>
        <v>0.56084940381856596</v>
      </c>
      <c r="N20" s="1">
        <f t="shared" si="9"/>
        <v>0.48130567310904271</v>
      </c>
      <c r="P20" s="1" t="e">
        <f t="shared" si="12"/>
        <v>#N/A</v>
      </c>
      <c r="Q20" s="1">
        <f t="shared" si="10"/>
        <v>27.431854985107151</v>
      </c>
    </row>
    <row r="21" spans="4:25" x14ac:dyDescent="0.3">
      <c r="D21">
        <f t="shared" si="11"/>
        <v>69</v>
      </c>
      <c r="E21" s="1">
        <f t="shared" si="0"/>
        <v>1.248421801874007</v>
      </c>
      <c r="F21" s="1">
        <f t="shared" si="1"/>
        <v>1.6781977592929311</v>
      </c>
      <c r="G21" s="1">
        <f t="shared" si="2"/>
        <v>6.6121117521279929E-2</v>
      </c>
      <c r="H21" s="1">
        <f t="shared" si="3"/>
        <v>4.4067528221766718E-2</v>
      </c>
      <c r="I21" s="1">
        <f t="shared" si="4"/>
        <v>0.3484159355677145</v>
      </c>
      <c r="J21" s="1">
        <f t="shared" si="5"/>
        <v>0.27772920778458887</v>
      </c>
      <c r="K21" s="1">
        <f t="shared" si="6"/>
        <v>0.18684017843760983</v>
      </c>
      <c r="L21" s="1">
        <f t="shared" si="7"/>
        <v>0.13794454823523097</v>
      </c>
      <c r="M21" s="1">
        <f t="shared" si="8"/>
        <v>0.58944482984891855</v>
      </c>
      <c r="N21" s="1">
        <f t="shared" si="9"/>
        <v>0.51041803352424431</v>
      </c>
      <c r="P21" s="1" t="e">
        <f t="shared" si="12"/>
        <v>#N/A</v>
      </c>
      <c r="Q21" s="1">
        <f t="shared" si="10"/>
        <v>26.493466608083708</v>
      </c>
    </row>
    <row r="22" spans="4:25" x14ac:dyDescent="0.3">
      <c r="D22">
        <f t="shared" si="11"/>
        <v>70</v>
      </c>
      <c r="E22" s="1">
        <f t="shared" si="0"/>
        <v>1.2217656773139398</v>
      </c>
      <c r="F22" s="1">
        <f t="shared" si="1"/>
        <v>1.5957755785324927</v>
      </c>
      <c r="G22" s="1">
        <f t="shared" si="2"/>
        <v>7.5875389491867534E-2</v>
      </c>
      <c r="H22" s="1">
        <f t="shared" si="3"/>
        <v>5.1195105289887979E-2</v>
      </c>
      <c r="I22" s="1">
        <f t="shared" si="4"/>
        <v>0.37537257997691609</v>
      </c>
      <c r="J22" s="1">
        <f t="shared" si="5"/>
        <v>0.3023488152322148</v>
      </c>
      <c r="K22" s="1">
        <f t="shared" si="6"/>
        <v>0.20677654565179621</v>
      </c>
      <c r="L22" s="1">
        <f t="shared" si="7"/>
        <v>0.15442050322526796</v>
      </c>
      <c r="M22" s="1">
        <f t="shared" si="8"/>
        <v>0.61717161772794926</v>
      </c>
      <c r="N22" s="1">
        <f t="shared" si="9"/>
        <v>0.53905799013656419</v>
      </c>
      <c r="P22" s="1" t="e">
        <f t="shared" si="12"/>
        <v>#N/A</v>
      </c>
      <c r="Q22" s="1">
        <f t="shared" si="10"/>
        <v>25.564390660286776</v>
      </c>
    </row>
    <row r="23" spans="4:25" x14ac:dyDescent="0.3">
      <c r="D23">
        <f t="shared" si="11"/>
        <v>71</v>
      </c>
      <c r="E23" s="1">
        <f t="shared" si="0"/>
        <v>1.196044828020902</v>
      </c>
      <c r="F23" s="1">
        <f t="shared" si="1"/>
        <v>1.518485796336793</v>
      </c>
      <c r="G23" s="1">
        <f t="shared" si="2"/>
        <v>8.6527713105777324E-2</v>
      </c>
      <c r="H23" s="1">
        <f t="shared" si="3"/>
        <v>5.9090826188563622E-2</v>
      </c>
      <c r="I23" s="1">
        <f t="shared" si="4"/>
        <v>0.40255712781938857</v>
      </c>
      <c r="J23" s="1">
        <f t="shared" si="5"/>
        <v>0.32753364143264074</v>
      </c>
      <c r="K23" s="1">
        <f t="shared" si="6"/>
        <v>0.22761213497074548</v>
      </c>
      <c r="L23" s="1">
        <f t="shared" si="7"/>
        <v>0.17188722427012917</v>
      </c>
      <c r="M23" s="1">
        <f t="shared" si="8"/>
        <v>0.64393016284585802</v>
      </c>
      <c r="N23" s="1">
        <f t="shared" si="9"/>
        <v>0.56709537429657186</v>
      </c>
      <c r="P23" s="1" t="e">
        <f t="shared" si="12"/>
        <v>#N/A</v>
      </c>
      <c r="Q23" s="1">
        <f t="shared" si="10"/>
        <v>24.645516821719681</v>
      </c>
    </row>
    <row r="24" spans="4:25" x14ac:dyDescent="0.3">
      <c r="D24">
        <f t="shared" si="11"/>
        <v>72</v>
      </c>
      <c r="E24" s="1">
        <f t="shared" si="0"/>
        <v>1.1712139482105108</v>
      </c>
      <c r="F24" s="1">
        <f t="shared" si="1"/>
        <v>1.4459431459389025</v>
      </c>
      <c r="G24" s="1">
        <f t="shared" si="2"/>
        <v>9.808850421185164E-2</v>
      </c>
      <c r="H24" s="1">
        <f t="shared" si="3"/>
        <v>6.7781395220415125E-2</v>
      </c>
      <c r="I24" s="1">
        <f t="shared" si="4"/>
        <v>0.4298317318895431</v>
      </c>
      <c r="J24" s="1">
        <f t="shared" si="5"/>
        <v>0.35316016226972924</v>
      </c>
      <c r="K24" s="1">
        <f t="shared" si="6"/>
        <v>0.24926561103492151</v>
      </c>
      <c r="L24" s="1">
        <f t="shared" si="7"/>
        <v>0.19029693922450786</v>
      </c>
      <c r="M24" s="1">
        <f t="shared" si="8"/>
        <v>0.66963850085793852</v>
      </c>
      <c r="N24" s="1">
        <f t="shared" si="9"/>
        <v>0.59441432211371659</v>
      </c>
      <c r="P24" s="1" t="e">
        <f t="shared" si="12"/>
        <v>#N/A</v>
      </c>
      <c r="Q24" s="1">
        <f t="shared" si="10"/>
        <v>23.737748996587626</v>
      </c>
    </row>
    <row r="25" spans="4:25" x14ac:dyDescent="0.3">
      <c r="D25">
        <f t="shared" si="11"/>
        <v>73</v>
      </c>
      <c r="E25" s="1">
        <f t="shared" si="0"/>
        <v>1.1472305152662217</v>
      </c>
      <c r="F25" s="1">
        <f t="shared" si="1"/>
        <v>1.3777960776325424</v>
      </c>
      <c r="G25" s="1">
        <f t="shared" si="2"/>
        <v>0.1105603128221091</v>
      </c>
      <c r="H25" s="1">
        <f t="shared" si="3"/>
        <v>7.7287849856471358E-2</v>
      </c>
      <c r="I25" s="1">
        <f t="shared" si="4"/>
        <v>0.45706290559787938</v>
      </c>
      <c r="J25" s="1">
        <f t="shared" si="5"/>
        <v>0.37910357573287645</v>
      </c>
      <c r="K25" s="1">
        <f t="shared" si="6"/>
        <v>0.27164813580399183</v>
      </c>
      <c r="L25" s="1">
        <f t="shared" si="7"/>
        <v>0.20959250833250315</v>
      </c>
      <c r="M25" s="1">
        <f t="shared" si="8"/>
        <v>0.69423187660077446</v>
      </c>
      <c r="N25" s="1">
        <f t="shared" si="9"/>
        <v>0.62091385826713208</v>
      </c>
      <c r="P25" s="1" t="e">
        <f t="shared" si="12"/>
        <v>#N/A</v>
      </c>
      <c r="Q25" s="1">
        <f t="shared" si="10"/>
        <v>22.84199759209848</v>
      </c>
    </row>
    <row r="26" spans="4:25" x14ac:dyDescent="0.3">
      <c r="D26">
        <f t="shared" si="11"/>
        <v>74</v>
      </c>
      <c r="E26" s="1">
        <f t="shared" si="0"/>
        <v>1.1240545835892679</v>
      </c>
      <c r="F26" s="1">
        <f t="shared" si="1"/>
        <v>1.3137233993738704</v>
      </c>
      <c r="G26" s="1">
        <f t="shared" si="2"/>
        <v>0.12393765558058713</v>
      </c>
      <c r="H26" s="1">
        <f t="shared" si="3"/>
        <v>8.7625100650928198E-2</v>
      </c>
      <c r="I26" s="1">
        <f t="shared" si="4"/>
        <v>0.48412321576396822</v>
      </c>
      <c r="J26" s="1">
        <f t="shared" si="5"/>
        <v>0.40523966584835919</v>
      </c>
      <c r="K26" s="1">
        <f t="shared" si="6"/>
        <v>0.2946648256257105</v>
      </c>
      <c r="L26" s="1">
        <f t="shared" si="7"/>
        <v>0.22970834084517741</v>
      </c>
      <c r="M26" s="1">
        <f t="shared" si="8"/>
        <v>0.71766200861468776</v>
      </c>
      <c r="N26" s="1">
        <f t="shared" si="9"/>
        <v>0.64650811532792618</v>
      </c>
      <c r="P26" s="1" t="e">
        <f t="shared" si="12"/>
        <v>#N/A</v>
      </c>
      <c r="Q26" s="1">
        <f t="shared" si="10"/>
        <v>21.9591715566349</v>
      </c>
    </row>
    <row r="27" spans="4:25" x14ac:dyDescent="0.3">
      <c r="D27">
        <f t="shared" si="11"/>
        <v>75</v>
      </c>
      <c r="E27" s="1">
        <f t="shared" si="0"/>
        <v>1.1016485962545541</v>
      </c>
      <c r="F27" s="1">
        <f t="shared" si="1"/>
        <v>1.2534312917385149</v>
      </c>
      <c r="G27" s="1">
        <f t="shared" si="2"/>
        <v>0.13820699431731612</v>
      </c>
      <c r="H27" s="1">
        <f t="shared" si="3"/>
        <v>9.88015767617475E-2</v>
      </c>
      <c r="I27" s="1">
        <f t="shared" si="4"/>
        <v>0.51089272036957423</v>
      </c>
      <c r="J27" s="1">
        <f t="shared" si="5"/>
        <v>0.43144652813697848</v>
      </c>
      <c r="K27" s="1">
        <f t="shared" si="6"/>
        <v>0.31821625137768728</v>
      </c>
      <c r="L27" s="1">
        <f t="shared" si="7"/>
        <v>0.25057143637985901</v>
      </c>
      <c r="M27" s="1">
        <f t="shared" si="8"/>
        <v>0.73989610987649923</v>
      </c>
      <c r="N27" s="1">
        <f t="shared" si="9"/>
        <v>0.67112622855285142</v>
      </c>
      <c r="P27" s="1" t="e">
        <f t="shared" si="12"/>
        <v>#N/A</v>
      </c>
      <c r="Q27" s="1">
        <f t="shared" si="10"/>
        <v>21.090170323586094</v>
      </c>
    </row>
    <row r="28" spans="4:25" x14ac:dyDescent="0.3">
      <c r="D28">
        <f t="shared" si="11"/>
        <v>76</v>
      </c>
      <c r="E28" s="1">
        <f t="shared" si="0"/>
        <v>1.0799772127212148</v>
      </c>
      <c r="F28" s="1">
        <f t="shared" si="1"/>
        <v>1.1966506512146422</v>
      </c>
      <c r="G28" s="1">
        <f t="shared" si="2"/>
        <v>0.15334685695990033</v>
      </c>
      <c r="H28" s="1">
        <f t="shared" si="3"/>
        <v>0.1108189833296617</v>
      </c>
      <c r="I28" s="1">
        <f t="shared" si="4"/>
        <v>0.53726014255325238</v>
      </c>
      <c r="J28" s="1">
        <f t="shared" si="5"/>
        <v>0.45760612784927152</v>
      </c>
      <c r="K28" s="1">
        <f t="shared" si="6"/>
        <v>0.34219994363471501</v>
      </c>
      <c r="L28" s="1">
        <f t="shared" si="7"/>
        <v>0.27210251994096124</v>
      </c>
      <c r="M28" s="1">
        <f t="shared" si="8"/>
        <v>0.76091572331767421</v>
      </c>
      <c r="N28" s="1">
        <f t="shared" si="9"/>
        <v>0.69471195013527043</v>
      </c>
      <c r="P28" s="1" t="e">
        <f t="shared" si="12"/>
        <v>#N/A</v>
      </c>
      <c r="Q28" s="1">
        <f t="shared" si="10"/>
        <v>20.235875805380999</v>
      </c>
    </row>
    <row r="29" spans="4:25" x14ac:dyDescent="0.3">
      <c r="D29">
        <f t="shared" si="11"/>
        <v>77</v>
      </c>
      <c r="E29" s="1">
        <f t="shared" si="0"/>
        <v>1.0590071510392218</v>
      </c>
      <c r="F29" s="1">
        <f t="shared" si="1"/>
        <v>1.1431347219853294</v>
      </c>
      <c r="G29" s="1">
        <f t="shared" si="2"/>
        <v>0.16932809344974412</v>
      </c>
      <c r="H29" s="1">
        <f t="shared" si="3"/>
        <v>0.12367217377857848</v>
      </c>
      <c r="I29" s="1">
        <f t="shared" si="4"/>
        <v>0.56312378077476588</v>
      </c>
      <c r="J29" s="1">
        <f t="shared" si="5"/>
        <v>0.48360567011896261</v>
      </c>
      <c r="K29" s="1">
        <f t="shared" si="6"/>
        <v>0.36651186811168257</v>
      </c>
      <c r="L29" s="1">
        <f t="shared" si="7"/>
        <v>0.2942172393555133</v>
      </c>
      <c r="M29" s="1">
        <f t="shared" si="8"/>
        <v>0.78071542695438045</v>
      </c>
      <c r="N29" s="1">
        <f t="shared" si="9"/>
        <v>0.71722302872953592</v>
      </c>
      <c r="P29" s="1" t="e">
        <f t="shared" si="12"/>
        <v>#N/A</v>
      </c>
      <c r="Q29" s="1">
        <f t="shared" si="10"/>
        <v>19.397144576686756</v>
      </c>
    </row>
    <row r="30" spans="4:25" x14ac:dyDescent="0.3">
      <c r="D30">
        <f t="shared" si="11"/>
        <v>78</v>
      </c>
      <c r="E30" s="1">
        <f t="shared" si="0"/>
        <v>1.0387070431627348</v>
      </c>
      <c r="F30" s="1">
        <f t="shared" si="1"/>
        <v>1.092656981630753</v>
      </c>
      <c r="G30" s="1">
        <f t="shared" si="2"/>
        <v>0.18611425617187966</v>
      </c>
      <c r="H30" s="1">
        <f t="shared" si="3"/>
        <v>0.13734913700303766</v>
      </c>
      <c r="I30" s="1">
        <f t="shared" si="4"/>
        <v>0.5883921625111701</v>
      </c>
      <c r="J30" s="1">
        <f t="shared" si="5"/>
        <v>0.50933876873775241</v>
      </c>
      <c r="K30" s="1">
        <f t="shared" si="6"/>
        <v>0.39104784068993775</v>
      </c>
      <c r="L30" s="1">
        <f t="shared" si="7"/>
        <v>0.31682739472420379</v>
      </c>
      <c r="M30" s="1">
        <f t="shared" si="8"/>
        <v>0.79930145847003164</v>
      </c>
      <c r="N30" s="1">
        <f t="shared" si="9"/>
        <v>0.73863040002463587</v>
      </c>
      <c r="P30" s="1" t="e">
        <f t="shared" si="12"/>
        <v>#N/A</v>
      </c>
      <c r="Q30" s="1">
        <f t="shared" si="10"/>
        <v>18.574800376771094</v>
      </c>
    </row>
    <row r="31" spans="4:25" x14ac:dyDescent="0.3">
      <c r="D31">
        <f t="shared" si="11"/>
        <v>79</v>
      </c>
      <c r="E31" s="1">
        <f t="shared" si="0"/>
        <v>1.0190473021298787</v>
      </c>
      <c r="F31" s="1">
        <f t="shared" si="1"/>
        <v>1.045009250702007</v>
      </c>
      <c r="G31" s="1">
        <f t="shared" si="2"/>
        <v>0.20366209182294573</v>
      </c>
      <c r="H31" s="1">
        <f t="shared" si="3"/>
        <v>0.15183109650407789</v>
      </c>
      <c r="I31" s="1">
        <f t="shared" si="4"/>
        <v>0.61298445497748055</v>
      </c>
      <c r="J31" s="1">
        <f t="shared" si="5"/>
        <v>0.53470640725485508</v>
      </c>
      <c r="K31" s="1">
        <f t="shared" si="6"/>
        <v>0.41570485590560652</v>
      </c>
      <c r="L31" s="1">
        <f t="shared" si="7"/>
        <v>0.33984217120075344</v>
      </c>
      <c r="M31" s="1">
        <f t="shared" si="8"/>
        <v>0.8166903033041073</v>
      </c>
      <c r="N31" s="1">
        <f t="shared" si="9"/>
        <v>0.7589172325759701</v>
      </c>
      <c r="P31" s="1" t="e">
        <f t="shared" si="12"/>
        <v>#N/A</v>
      </c>
      <c r="Q31" s="1">
        <f t="shared" si="10"/>
        <v>17.769627049195478</v>
      </c>
    </row>
    <row r="32" spans="4:25" s="2" customFormat="1" x14ac:dyDescent="0.3">
      <c r="D32" s="2">
        <f t="shared" si="11"/>
        <v>80</v>
      </c>
      <c r="E32" s="3">
        <f t="shared" si="0"/>
        <v>1</v>
      </c>
      <c r="F32" s="3">
        <f t="shared" si="1"/>
        <v>1</v>
      </c>
      <c r="G32" s="3">
        <f t="shared" si="2"/>
        <v>0.22192212964817964</v>
      </c>
      <c r="H32" s="3">
        <f t="shared" si="3"/>
        <v>0.16709271590694216</v>
      </c>
      <c r="I32" s="3">
        <f t="shared" si="4"/>
        <v>0.6368306511756191</v>
      </c>
      <c r="J32" s="3">
        <f t="shared" si="5"/>
        <v>0.5596176923702425</v>
      </c>
      <c r="K32" s="3">
        <f t="shared" si="6"/>
        <v>0.4403823076297575</v>
      </c>
      <c r="L32" s="3">
        <f t="shared" si="7"/>
        <v>0.3631693488243809</v>
      </c>
      <c r="M32" s="3">
        <f t="shared" si="8"/>
        <v>0.83290728409305792</v>
      </c>
      <c r="N32" s="3">
        <f t="shared" si="9"/>
        <v>0.77807787035182041</v>
      </c>
      <c r="O32" s="3"/>
      <c r="P32" s="3" t="e">
        <f t="shared" si="12"/>
        <v>#N/A</v>
      </c>
      <c r="Q32" s="3">
        <f t="shared" si="10"/>
        <v>16.982362022883592</v>
      </c>
      <c r="R32" s="3"/>
      <c r="S32" s="3"/>
      <c r="T32" s="3"/>
      <c r="U32" s="3"/>
      <c r="V32" s="3"/>
      <c r="W32" s="3"/>
      <c r="X32" s="3"/>
      <c r="Y32" s="3"/>
    </row>
    <row r="33" spans="4:17" x14ac:dyDescent="0.3">
      <c r="D33">
        <f t="shared" si="11"/>
        <v>81</v>
      </c>
      <c r="E33" s="1">
        <f t="shared" si="0"/>
        <v>0.98153875555546322</v>
      </c>
      <c r="F33" s="1">
        <f t="shared" si="1"/>
        <v>0.95745283273204751</v>
      </c>
      <c r="G33" s="1">
        <f t="shared" si="2"/>
        <v>0.24083934958525399</v>
      </c>
      <c r="H33" s="1">
        <f t="shared" si="3"/>
        <v>0.1831024030067662</v>
      </c>
      <c r="I33" s="1">
        <f t="shared" si="4"/>
        <v>0.65987155310599599</v>
      </c>
      <c r="J33" s="1">
        <f t="shared" si="5"/>
        <v>0.58399040500775801</v>
      </c>
      <c r="K33" s="1">
        <f t="shared" si="6"/>
        <v>0.46498308559388407</v>
      </c>
      <c r="L33" s="1">
        <f t="shared" si="7"/>
        <v>0.38671646607246096</v>
      </c>
      <c r="M33" s="1">
        <f t="shared" si="8"/>
        <v>0.84798518299710601</v>
      </c>
      <c r="N33" s="1">
        <f t="shared" si="9"/>
        <v>0.79611670983651983</v>
      </c>
      <c r="P33" s="1">
        <f t="shared" si="12"/>
        <v>16.030858415905719</v>
      </c>
      <c r="Q33" s="1">
        <f t="shared" si="10"/>
        <v>16.213690422794571</v>
      </c>
    </row>
    <row r="34" spans="4:17" x14ac:dyDescent="0.3">
      <c r="D34">
        <f t="shared" si="11"/>
        <v>82</v>
      </c>
      <c r="E34" s="1">
        <f t="shared" si="0"/>
        <v>0.96363863087764834</v>
      </c>
      <c r="F34" s="1">
        <f t="shared" si="1"/>
        <v>0.91720512159680978</v>
      </c>
      <c r="G34" s="1">
        <f t="shared" si="2"/>
        <v>0.26035391304643163</v>
      </c>
      <c r="H34" s="1">
        <f t="shared" si="3"/>
        <v>0.19982270258658966</v>
      </c>
      <c r="I34" s="1">
        <f t="shared" si="4"/>
        <v>0.68205857631160149</v>
      </c>
      <c r="J34" s="1">
        <f t="shared" si="5"/>
        <v>0.60775135896277344</v>
      </c>
      <c r="K34" s="1">
        <f t="shared" si="6"/>
        <v>0.48941453623024889</v>
      </c>
      <c r="L34" s="1">
        <f t="shared" si="7"/>
        <v>0.41039191710681877</v>
      </c>
      <c r="M34" s="1">
        <f t="shared" si="8"/>
        <v>0.86196292228464055</v>
      </c>
      <c r="N34" s="1">
        <f t="shared" si="9"/>
        <v>0.81304704534907979</v>
      </c>
      <c r="P34" s="1">
        <f t="shared" si="12"/>
        <v>15.1059539759082</v>
      </c>
      <c r="Q34" s="1">
        <f t="shared" si="10"/>
        <v>15.464239881516903</v>
      </c>
    </row>
    <row r="35" spans="4:17" x14ac:dyDescent="0.3">
      <c r="D35">
        <f t="shared" si="11"/>
        <v>83</v>
      </c>
      <c r="E35" s="1">
        <f t="shared" si="0"/>
        <v>0.94627603599771759</v>
      </c>
      <c r="F35" s="1">
        <f t="shared" si="1"/>
        <v>0.87910678333363224</v>
      </c>
      <c r="G35" s="1">
        <f t="shared" si="2"/>
        <v>0.28040193881670084</v>
      </c>
      <c r="H35" s="1">
        <f t="shared" si="3"/>
        <v>0.21721076676158513</v>
      </c>
      <c r="I35" s="1">
        <f t="shared" si="4"/>
        <v>0.70335340118209677</v>
      </c>
      <c r="J35" s="1">
        <f t="shared" si="5"/>
        <v>0.63083658060465964</v>
      </c>
      <c r="K35" s="1">
        <f t="shared" si="6"/>
        <v>0.51358928085737543</v>
      </c>
      <c r="L35" s="1">
        <f t="shared" si="7"/>
        <v>0.43410596620095415</v>
      </c>
      <c r="M35" s="1">
        <f t="shared" si="8"/>
        <v>0.87488432272693184</v>
      </c>
      <c r="N35" s="1">
        <f t="shared" si="9"/>
        <v>0.82888991174106652</v>
      </c>
      <c r="P35" s="1">
        <f t="shared" si="12"/>
        <v>14.209583668702834</v>
      </c>
      <c r="Q35" s="1">
        <f t="shared" si="10"/>
        <v>14.734576105659428</v>
      </c>
    </row>
    <row r="36" spans="4:17" x14ac:dyDescent="0.3">
      <c r="D36">
        <f t="shared" si="11"/>
        <v>84</v>
      </c>
      <c r="E36" s="1">
        <f t="shared" si="0"/>
        <v>0.92942864090336486</v>
      </c>
      <c r="F36" s="1">
        <f t="shared" si="1"/>
        <v>0.84301917542255311</v>
      </c>
      <c r="G36" s="1">
        <f t="shared" si="2"/>
        <v>0.30091630679418058</v>
      </c>
      <c r="H36" s="1">
        <f t="shared" si="3"/>
        <v>0.23521889053261621</v>
      </c>
      <c r="I36" s="1">
        <f t="shared" si="4"/>
        <v>0.72372749676293524</v>
      </c>
      <c r="J36" s="1">
        <f t="shared" si="5"/>
        <v>0.65319132580079731</v>
      </c>
      <c r="K36" s="1">
        <f t="shared" si="6"/>
        <v>0.53742588843117112</v>
      </c>
      <c r="L36" s="1">
        <f t="shared" si="7"/>
        <v>0.45777166641519473</v>
      </c>
      <c r="M36" s="1">
        <f t="shared" si="8"/>
        <v>0.88679695401783565</v>
      </c>
      <c r="N36" s="1">
        <f t="shared" si="9"/>
        <v>0.84367294904761647</v>
      </c>
      <c r="P36" s="1">
        <f t="shared" si="12"/>
        <v>13.343399483114766</v>
      </c>
      <c r="Q36" s="1">
        <f t="shared" si="10"/>
        <v>14.025199233478872</v>
      </c>
    </row>
    <row r="37" spans="4:17" x14ac:dyDescent="0.3">
      <c r="D37">
        <f t="shared" si="11"/>
        <v>85</v>
      </c>
      <c r="E37" s="1">
        <f t="shared" si="0"/>
        <v>0.91307529425443001</v>
      </c>
      <c r="F37" s="1">
        <f t="shared" si="1"/>
        <v>0.80881410148489297</v>
      </c>
      <c r="G37" s="1">
        <f t="shared" si="2"/>
        <v>0.32182747298832592</v>
      </c>
      <c r="H37" s="1">
        <f t="shared" si="3"/>
        <v>0.2537950995737065</v>
      </c>
      <c r="I37" s="1">
        <f t="shared" si="4"/>
        <v>0.74316154234047893</v>
      </c>
      <c r="J37" s="1">
        <f t="shared" si="5"/>
        <v>0.67476995206984969</v>
      </c>
      <c r="K37" s="1">
        <f t="shared" si="6"/>
        <v>0.56084940381856596</v>
      </c>
      <c r="L37" s="1">
        <f t="shared" si="7"/>
        <v>0.48130567310904271</v>
      </c>
      <c r="M37" s="1">
        <f t="shared" si="8"/>
        <v>0.89775108666486181</v>
      </c>
      <c r="N37" s="1">
        <f t="shared" si="9"/>
        <v>0.85742930915653504</v>
      </c>
      <c r="P37" s="1">
        <f t="shared" si="12"/>
        <v>12.508768111441732</v>
      </c>
      <c r="Q37" s="1">
        <f t="shared" si="10"/>
        <v>13.336541003219281</v>
      </c>
    </row>
    <row r="38" spans="4:17" x14ac:dyDescent="0.3">
      <c r="D38">
        <f t="shared" si="11"/>
        <v>86</v>
      </c>
      <c r="E38" s="1">
        <f t="shared" si="0"/>
        <v>0.8971959482240226</v>
      </c>
      <c r="F38" s="1">
        <f t="shared" si="1"/>
        <v>0.77637291355242621</v>
      </c>
      <c r="G38" s="1">
        <f t="shared" si="2"/>
        <v>0.3430642802517952</v>
      </c>
      <c r="H38" s="1">
        <f t="shared" si="3"/>
        <v>0.27288377701092037</v>
      </c>
      <c r="I38" s="1">
        <f t="shared" si="4"/>
        <v>0.76164477095898886</v>
      </c>
      <c r="J38" s="1">
        <f t="shared" si="5"/>
        <v>0.69553566504313602</v>
      </c>
      <c r="K38" s="1">
        <f t="shared" si="6"/>
        <v>0.58379173577955823</v>
      </c>
      <c r="L38" s="1">
        <f t="shared" si="7"/>
        <v>0.50462894624179744</v>
      </c>
      <c r="M38" s="1">
        <f t="shared" si="8"/>
        <v>0.90779875064684978</v>
      </c>
      <c r="N38" s="1">
        <f t="shared" si="9"/>
        <v>0.87019662026882283</v>
      </c>
      <c r="P38" s="1">
        <f t="shared" si="12"/>
        <v>11.706773745021266</v>
      </c>
      <c r="Q38" s="1">
        <f t="shared" si="10"/>
        <v>12.668962735557898</v>
      </c>
    </row>
    <row r="39" spans="4:17" x14ac:dyDescent="0.3">
      <c r="D39">
        <f t="shared" si="11"/>
        <v>87</v>
      </c>
      <c r="E39" s="1">
        <f t="shared" si="0"/>
        <v>0.8817715889386375</v>
      </c>
      <c r="F39" s="1">
        <f t="shared" si="1"/>
        <v>0.74558570078045705</v>
      </c>
      <c r="G39" s="1">
        <f t="shared" si="2"/>
        <v>0.36455475057991477</v>
      </c>
      <c r="H39" s="1">
        <f t="shared" si="3"/>
        <v>0.29242631604295122</v>
      </c>
      <c r="I39" s="1">
        <f t="shared" si="4"/>
        <v>0.77917425741541391</v>
      </c>
      <c r="J39" s="1">
        <f t="shared" si="5"/>
        <v>0.71546015870446644</v>
      </c>
      <c r="K39" s="1">
        <f t="shared" si="6"/>
        <v>0.60619191153837015</v>
      </c>
      <c r="L39" s="1">
        <f t="shared" si="7"/>
        <v>0.52766733853206538</v>
      </c>
      <c r="M39" s="1">
        <f t="shared" si="8"/>
        <v>0.91699290261301969</v>
      </c>
      <c r="N39" s="1">
        <f t="shared" si="9"/>
        <v>0.88201602094958687</v>
      </c>
      <c r="P39" s="1">
        <f t="shared" si="12"/>
        <v>10.938225320738908</v>
      </c>
      <c r="Q39" s="1">
        <f t="shared" si="10"/>
        <v>12.022754118683949</v>
      </c>
    </row>
    <row r="40" spans="4:17" x14ac:dyDescent="0.3">
      <c r="D40">
        <f t="shared" si="11"/>
        <v>88</v>
      </c>
      <c r="E40" s="1">
        <f t="shared" si="0"/>
        <v>0.86678417204144753</v>
      </c>
      <c r="F40" s="1">
        <f t="shared" si="1"/>
        <v>0.716350555406155</v>
      </c>
      <c r="G40" s="1">
        <f t="shared" si="2"/>
        <v>0.38622684639358018</v>
      </c>
      <c r="H40" s="1">
        <f t="shared" si="3"/>
        <v>0.31236178566653661</v>
      </c>
      <c r="I40" s="1">
        <f t="shared" si="4"/>
        <v>0.79575417130958659</v>
      </c>
      <c r="J40" s="1">
        <f t="shared" si="5"/>
        <v>0.73452316868917078</v>
      </c>
      <c r="K40" s="1">
        <f t="shared" si="6"/>
        <v>0.62799620698115977</v>
      </c>
      <c r="L40" s="1">
        <f t="shared" si="7"/>
        <v>0.5503520693628241</v>
      </c>
      <c r="M40" s="1">
        <f t="shared" si="8"/>
        <v>0.92538670049523342</v>
      </c>
      <c r="N40" s="1">
        <f t="shared" si="9"/>
        <v>0.89293127197839894</v>
      </c>
      <c r="P40" s="1">
        <f t="shared" si="12"/>
        <v>10.203667536089178</v>
      </c>
      <c r="Q40" s="1">
        <f t="shared" si="10"/>
        <v>11.398132771146962</v>
      </c>
    </row>
    <row r="41" spans="4:17" x14ac:dyDescent="0.3">
      <c r="D41">
        <f t="shared" si="11"/>
        <v>89</v>
      </c>
      <c r="E41" s="1">
        <f t="shared" si="0"/>
        <v>0.85221656294827364</v>
      </c>
      <c r="F41" s="1">
        <f t="shared" si="1"/>
        <v>0.68857290782337466</v>
      </c>
      <c r="G41" s="1">
        <f t="shared" si="2"/>
        <v>0.4080091899555649</v>
      </c>
      <c r="H41" s="1">
        <f t="shared" si="3"/>
        <v>0.33262759745726467</v>
      </c>
      <c r="I41" s="1">
        <f t="shared" si="4"/>
        <v>0.8113950135242648</v>
      </c>
      <c r="J41" s="1">
        <f t="shared" si="5"/>
        <v>0.75271195725349704</v>
      </c>
      <c r="K41" s="1">
        <f t="shared" si="6"/>
        <v>0.64915816315169494</v>
      </c>
      <c r="L41" s="1">
        <f t="shared" si="7"/>
        <v>0.57262008678983101</v>
      </c>
      <c r="M41" s="1">
        <f t="shared" si="8"/>
        <v>0.93303288208696988</v>
      </c>
      <c r="N41" s="1">
        <f t="shared" si="9"/>
        <v>0.90298795104202267</v>
      </c>
      <c r="P41" s="1">
        <f t="shared" si="12"/>
        <v>9.5033949543549667</v>
      </c>
      <c r="Q41" s="1">
        <f t="shared" si="10"/>
        <v>10.795244545883776</v>
      </c>
    </row>
    <row r="42" spans="4:17" x14ac:dyDescent="0.3">
      <c r="D42">
        <f t="shared" si="11"/>
        <v>90</v>
      </c>
      <c r="E42" s="1">
        <f t="shared" si="0"/>
        <v>0.83805248140627853</v>
      </c>
      <c r="F42" s="1">
        <f t="shared" si="1"/>
        <v>0.66216492358026935</v>
      </c>
      <c r="G42" s="1">
        <f t="shared" si="2"/>
        <v>0.4298317318895431</v>
      </c>
      <c r="H42" s="1">
        <f t="shared" si="3"/>
        <v>0.35316016226972924</v>
      </c>
      <c r="I42" s="1">
        <f t="shared" si="4"/>
        <v>0.82611285217965236</v>
      </c>
      <c r="J42" s="1">
        <f t="shared" si="5"/>
        <v>0.77002074747556115</v>
      </c>
      <c r="K42" s="1">
        <f t="shared" si="6"/>
        <v>0.66963850085793852</v>
      </c>
      <c r="L42" s="1">
        <f t="shared" si="7"/>
        <v>0.59441432211371659</v>
      </c>
      <c r="M42" s="1">
        <f t="shared" si="8"/>
        <v>0.93998324236194897</v>
      </c>
      <c r="N42" s="1">
        <f t="shared" si="9"/>
        <v>0.9122327325859062</v>
      </c>
      <c r="P42" s="1">
        <f t="shared" si="12"/>
        <v>8.8374685436406608</v>
      </c>
      <c r="Q42" s="1">
        <f t="shared" si="10"/>
        <v>10.214164528888958</v>
      </c>
    </row>
    <row r="43" spans="4:17" x14ac:dyDescent="0.3">
      <c r="D43">
        <f t="shared" si="11"/>
        <v>91</v>
      </c>
      <c r="E43" s="1">
        <f t="shared" si="0"/>
        <v>0.8242764500017502</v>
      </c>
      <c r="F43" s="1">
        <f t="shared" si="1"/>
        <v>0.63704495592455035</v>
      </c>
      <c r="G43" s="1">
        <f t="shared" si="2"/>
        <v>0.45162636161494119</v>
      </c>
      <c r="H43" s="1">
        <f t="shared" si="3"/>
        <v>0.37389552681062799</v>
      </c>
      <c r="I43" s="1">
        <f t="shared" si="4"/>
        <v>0.83992857174251268</v>
      </c>
      <c r="J43" s="1">
        <f t="shared" si="5"/>
        <v>0.78645012291291072</v>
      </c>
      <c r="K43" s="1">
        <f t="shared" si="6"/>
        <v>0.68940494589318801</v>
      </c>
      <c r="L43" s="1">
        <f t="shared" si="7"/>
        <v>0.61568384320214653</v>
      </c>
      <c r="M43" s="1">
        <f t="shared" si="8"/>
        <v>0.94628820300694261</v>
      </c>
      <c r="N43" s="1">
        <f t="shared" si="9"/>
        <v>0.92071275285110543</v>
      </c>
      <c r="P43" s="1">
        <f t="shared" si="12"/>
        <v>8.205734030017922</v>
      </c>
      <c r="Q43" s="1">
        <f t="shared" si="10"/>
        <v>9.654898677884546</v>
      </c>
    </row>
    <row r="44" spans="4:17" x14ac:dyDescent="0.3">
      <c r="D44">
        <f t="shared" si="11"/>
        <v>92</v>
      </c>
      <c r="E44" s="1">
        <f t="shared" si="0"/>
        <v>0.81087374629592501</v>
      </c>
      <c r="F44" s="1">
        <f t="shared" si="1"/>
        <v>0.6131370482388846</v>
      </c>
      <c r="G44" s="1">
        <f t="shared" si="2"/>
        <v>0.47332745432577039</v>
      </c>
      <c r="H44" s="1">
        <f t="shared" si="3"/>
        <v>0.39476998125538587</v>
      </c>
      <c r="I44" s="1">
        <f t="shared" si="4"/>
        <v>0.85286714664627372</v>
      </c>
      <c r="J44" s="1">
        <f t="shared" si="5"/>
        <v>0.80200640740621953</v>
      </c>
      <c r="K44" s="1">
        <f t="shared" si="6"/>
        <v>0.70843197766458088</v>
      </c>
      <c r="L44" s="1">
        <f t="shared" si="7"/>
        <v>0.63638391410337869</v>
      </c>
      <c r="M44" s="1">
        <f t="shared" si="8"/>
        <v>0.95199646676696037</v>
      </c>
      <c r="N44" s="1">
        <f t="shared" si="9"/>
        <v>0.92847505825306986</v>
      </c>
      <c r="P44" s="1">
        <f t="shared" si="12"/>
        <v>7.6078414922966004</v>
      </c>
      <c r="Q44" s="1">
        <f t="shared" si="10"/>
        <v>9.1173860400704427</v>
      </c>
    </row>
    <row r="45" spans="4:17" x14ac:dyDescent="0.3">
      <c r="D45">
        <f t="shared" si="11"/>
        <v>93</v>
      </c>
      <c r="E45" s="1">
        <f t="shared" si="0"/>
        <v>0.79783035829706372</v>
      </c>
      <c r="F45" s="1">
        <f t="shared" si="1"/>
        <v>0.59037048133902281</v>
      </c>
      <c r="G45" s="1">
        <f t="shared" si="2"/>
        <v>0.49487235088282017</v>
      </c>
      <c r="H45" s="1">
        <f t="shared" si="3"/>
        <v>0.41572063037670659</v>
      </c>
      <c r="I45" s="1">
        <f t="shared" si="4"/>
        <v>0.86495694855523819</v>
      </c>
      <c r="J45" s="1">
        <f t="shared" si="5"/>
        <v>0.81670103806091809</v>
      </c>
      <c r="K45" s="1">
        <f t="shared" si="6"/>
        <v>0.7267005139631878</v>
      </c>
      <c r="L45" s="1">
        <f t="shared" si="7"/>
        <v>0.65647596949256359</v>
      </c>
      <c r="M45" s="1">
        <f t="shared" si="8"/>
        <v>0.95715474868543249</v>
      </c>
      <c r="N45" s="1">
        <f t="shared" si="9"/>
        <v>0.93556613378022968</v>
      </c>
      <c r="P45" s="1">
        <f t="shared" si="12"/>
        <v>7.043265680612361</v>
      </c>
      <c r="Q45" s="1">
        <f t="shared" si="10"/>
        <v>8.601501483542819</v>
      </c>
    </row>
    <row r="46" spans="4:17" x14ac:dyDescent="0.3">
      <c r="D46">
        <f t="shared" si="11"/>
        <v>94</v>
      </c>
      <c r="E46" s="1">
        <f t="shared" si="0"/>
        <v>0.78513294300330649</v>
      </c>
      <c r="F46" s="1">
        <f t="shared" si="1"/>
        <v>0.56867936116129036</v>
      </c>
      <c r="G46" s="1">
        <f t="shared" si="2"/>
        <v>0.51620176861942191</v>
      </c>
      <c r="H46" s="1">
        <f t="shared" si="3"/>
        <v>0.43668592198918132</v>
      </c>
      <c r="I46" s="1">
        <f t="shared" si="4"/>
        <v>0.87622909432807694</v>
      </c>
      <c r="J46" s="1">
        <f t="shared" si="5"/>
        <v>0.83054994272576588</v>
      </c>
      <c r="K46" s="1">
        <f t="shared" si="6"/>
        <v>0.74419754425916673</v>
      </c>
      <c r="L46" s="1">
        <f t="shared" si="7"/>
        <v>0.67592751316183319</v>
      </c>
      <c r="M46" s="1">
        <f t="shared" si="8"/>
        <v>0.96180757610739231</v>
      </c>
      <c r="N46" s="1">
        <f t="shared" si="9"/>
        <v>0.94203150696867644</v>
      </c>
      <c r="P46" s="1">
        <f t="shared" si="12"/>
        <v>6.5113266002056029</v>
      </c>
      <c r="Q46" s="1">
        <f t="shared" si="10"/>
        <v>8.1070588741637977</v>
      </c>
    </row>
    <row r="47" spans="4:17" x14ac:dyDescent="0.3">
      <c r="D47">
        <f t="shared" si="11"/>
        <v>95</v>
      </c>
      <c r="E47" s="1">
        <f t="shared" si="0"/>
        <v>0.77276878777452385</v>
      </c>
      <c r="F47" s="1">
        <f t="shared" si="1"/>
        <v>0.54800224285395582</v>
      </c>
      <c r="G47" s="1">
        <f t="shared" si="2"/>
        <v>0.53726014255325238</v>
      </c>
      <c r="H47" s="1">
        <f t="shared" si="3"/>
        <v>0.45760612784927152</v>
      </c>
      <c r="I47" s="1">
        <f t="shared" si="4"/>
        <v>0.88671683983477745</v>
      </c>
      <c r="J47" s="1">
        <f t="shared" si="5"/>
        <v>0.84357293157586133</v>
      </c>
      <c r="K47" s="1">
        <f t="shared" si="6"/>
        <v>0.76091572331767421</v>
      </c>
      <c r="L47" s="1">
        <f t="shared" si="7"/>
        <v>0.69471195013527043</v>
      </c>
      <c r="M47" s="1">
        <f t="shared" si="8"/>
        <v>0.96599714934349357</v>
      </c>
      <c r="N47" s="1">
        <f t="shared" si="9"/>
        <v>0.94791542220534164</v>
      </c>
      <c r="P47" s="1">
        <f t="shared" si="12"/>
        <v>6.0112099629391835</v>
      </c>
      <c r="Q47" s="1">
        <f t="shared" si="10"/>
        <v>7.6338146284241191</v>
      </c>
    </row>
    <row r="48" spans="4:17" x14ac:dyDescent="0.3">
      <c r="D48">
        <f t="shared" si="11"/>
        <v>96</v>
      </c>
      <c r="E48" s="1">
        <f t="shared" si="0"/>
        <v>0.76072577431273081</v>
      </c>
      <c r="F48" s="1">
        <f t="shared" si="1"/>
        <v>0.52828178771717416</v>
      </c>
      <c r="G48" s="1">
        <f t="shared" si="2"/>
        <v>0.55799589783012893</v>
      </c>
      <c r="H48" s="1">
        <f t="shared" si="3"/>
        <v>0.47842377345126075</v>
      </c>
      <c r="I48" s="1">
        <f t="shared" si="4"/>
        <v>0.89645502307708047</v>
      </c>
      <c r="J48" s="1">
        <f t="shared" si="5"/>
        <v>0.85579311074329822</v>
      </c>
      <c r="K48" s="1">
        <f t="shared" si="6"/>
        <v>0.77685293615924467</v>
      </c>
      <c r="L48" s="1">
        <f t="shared" si="7"/>
        <v>0.71280836209487286</v>
      </c>
      <c r="M48" s="1">
        <f t="shared" si="8"/>
        <v>0.96976325511509198</v>
      </c>
      <c r="N48" s="1">
        <f t="shared" si="9"/>
        <v>0.95326057958500188</v>
      </c>
      <c r="P48" s="1">
        <f t="shared" si="12"/>
        <v>5.5419871701745826</v>
      </c>
      <c r="Q48" s="1">
        <f t="shared" si="10"/>
        <v>7.1814715730135106</v>
      </c>
    </row>
    <row r="49" spans="4:17" x14ac:dyDescent="0.3">
      <c r="D49">
        <f t="shared" si="11"/>
        <v>97</v>
      </c>
      <c r="E49" s="1">
        <f t="shared" si="0"/>
        <v>0.74899234504989654</v>
      </c>
      <c r="F49" s="1">
        <f t="shared" si="1"/>
        <v>0.50946444981606309</v>
      </c>
      <c r="G49" s="1">
        <f t="shared" si="2"/>
        <v>0.57836165538771045</v>
      </c>
      <c r="H49" s="1">
        <f t="shared" si="3"/>
        <v>0.49908401439917849</v>
      </c>
      <c r="I49" s="1">
        <f t="shared" si="4"/>
        <v>0.90547955856518691</v>
      </c>
      <c r="J49" s="1">
        <f t="shared" si="5"/>
        <v>0.867236324357613</v>
      </c>
      <c r="K49" s="1">
        <f t="shared" si="6"/>
        <v>0.79201184448145401</v>
      </c>
      <c r="L49" s="1">
        <f t="shared" si="7"/>
        <v>0.73020123568045026</v>
      </c>
      <c r="M49" s="1">
        <f t="shared" si="8"/>
        <v>0.97314322526908714</v>
      </c>
      <c r="N49" s="1">
        <f t="shared" si="9"/>
        <v>0.95810793225525503</v>
      </c>
      <c r="P49" s="1">
        <f t="shared" si="12"/>
        <v>5.1026345499021346</v>
      </c>
      <c r="Q49" s="1">
        <f t="shared" si="10"/>
        <v>6.7496830432356489</v>
      </c>
    </row>
    <row r="50" spans="4:17" x14ac:dyDescent="0.3">
      <c r="D50">
        <f t="shared" si="11"/>
        <v>98</v>
      </c>
      <c r="E50" s="1">
        <f t="shared" si="0"/>
        <v>0.73755747175938879</v>
      </c>
      <c r="F50" s="1">
        <f t="shared" si="1"/>
        <v>0.4915001894273312</v>
      </c>
      <c r="G50" s="1">
        <f t="shared" si="2"/>
        <v>0.59831437381129005</v>
      </c>
      <c r="H50" s="1">
        <f t="shared" si="3"/>
        <v>0.51953495818970086</v>
      </c>
      <c r="I50" s="1">
        <f t="shared" si="4"/>
        <v>0.91382698361496317</v>
      </c>
      <c r="J50" s="1">
        <f t="shared" si="5"/>
        <v>0.87793062988707093</v>
      </c>
      <c r="K50" s="1">
        <f t="shared" si="6"/>
        <v>0.80639942366149853</v>
      </c>
      <c r="L50" s="1">
        <f t="shared" si="7"/>
        <v>0.74688015291233223</v>
      </c>
      <c r="M50" s="1">
        <f t="shared" si="8"/>
        <v>0.97617193372502287</v>
      </c>
      <c r="N50" s="1">
        <f t="shared" si="9"/>
        <v>0.96249653608884822</v>
      </c>
      <c r="P50" s="1">
        <f t="shared" si="12"/>
        <v>4.6920516271988291</v>
      </c>
      <c r="Q50" s="1">
        <f t="shared" si="10"/>
        <v>6.3380571548986637</v>
      </c>
    </row>
    <row r="51" spans="4:17" x14ac:dyDescent="0.3">
      <c r="D51">
        <f t="shared" si="11"/>
        <v>99</v>
      </c>
      <c r="E51" s="1">
        <f t="shared" si="0"/>
        <v>0.72641062622302177</v>
      </c>
      <c r="F51" s="1">
        <f t="shared" si="1"/>
        <v>0.47434221077720023</v>
      </c>
      <c r="G51" s="1">
        <f t="shared" si="2"/>
        <v>0.6178154311601376</v>
      </c>
      <c r="H51" s="1">
        <f t="shared" si="3"/>
        <v>0.53972793129449159</v>
      </c>
      <c r="I51" s="1">
        <f t="shared" si="4"/>
        <v>0.9215340561452976</v>
      </c>
      <c r="J51" s="1">
        <f t="shared" si="5"/>
        <v>0.88790581032931848</v>
      </c>
      <c r="K51" s="1">
        <f t="shared" si="6"/>
        <v>0.82002649841141206</v>
      </c>
      <c r="L51" s="1">
        <f t="shared" si="7"/>
        <v>0.76283945251746776</v>
      </c>
      <c r="M51" s="1">
        <f t="shared" si="8"/>
        <v>0.97888182516118905</v>
      </c>
      <c r="N51" s="1">
        <f t="shared" si="9"/>
        <v>0.96646344558738972</v>
      </c>
      <c r="P51" s="1">
        <f t="shared" si="12"/>
        <v>4.3090782592006427</v>
      </c>
      <c r="Q51" s="1">
        <f t="shared" si="10"/>
        <v>5.9461611877030123</v>
      </c>
    </row>
    <row r="52" spans="4:17" x14ac:dyDescent="0.3">
      <c r="D52">
        <f t="shared" si="11"/>
        <v>100</v>
      </c>
      <c r="E52" s="1">
        <f t="shared" si="0"/>
        <v>0.71554175279993282</v>
      </c>
      <c r="F52" s="1">
        <f t="shared" si="1"/>
        <v>0.45794672179195706</v>
      </c>
      <c r="G52" s="1">
        <f t="shared" si="2"/>
        <v>0.6368306511756191</v>
      </c>
      <c r="H52" s="1">
        <f t="shared" si="3"/>
        <v>0.5596176923702425</v>
      </c>
      <c r="I52" s="1">
        <f t="shared" si="4"/>
        <v>0.92863740266492811</v>
      </c>
      <c r="J52" s="1">
        <f t="shared" si="5"/>
        <v>0.89719292559733332</v>
      </c>
      <c r="K52" s="1">
        <f t="shared" si="6"/>
        <v>0.83290728409305792</v>
      </c>
      <c r="L52" s="1">
        <f t="shared" si="7"/>
        <v>0.77807787035182041</v>
      </c>
      <c r="M52" s="1">
        <f t="shared" si="8"/>
        <v>0.98130296953188956</v>
      </c>
      <c r="N52" s="1">
        <f t="shared" si="9"/>
        <v>0.97004365011071214</v>
      </c>
      <c r="P52" s="1">
        <f t="shared" si="12"/>
        <v>3.952510513175195</v>
      </c>
      <c r="Q52" s="1">
        <f t="shared" si="10"/>
        <v>5.5735260222569707</v>
      </c>
    </row>
    <row r="53" spans="4:17" x14ac:dyDescent="0.3">
      <c r="D53">
        <f t="shared" si="11"/>
        <v>101</v>
      </c>
      <c r="E53" s="1">
        <f t="shared" si="0"/>
        <v>0.70494124275641168</v>
      </c>
      <c r="F53" s="1">
        <f t="shared" si="1"/>
        <v>0.44227271381639399</v>
      </c>
      <c r="G53" s="1">
        <f t="shared" si="2"/>
        <v>0.65533027875009464</v>
      </c>
      <c r="H53" s="1">
        <f t="shared" si="3"/>
        <v>0.57916259324335895</v>
      </c>
      <c r="I53" s="1">
        <f t="shared" si="4"/>
        <v>0.93517321442855583</v>
      </c>
      <c r="J53" s="1">
        <f t="shared" si="5"/>
        <v>0.90582390438921867</v>
      </c>
      <c r="K53" s="1">
        <f t="shared" si="6"/>
        <v>0.84505893964733114</v>
      </c>
      <c r="L53" s="1">
        <f t="shared" si="7"/>
        <v>0.792598166437258</v>
      </c>
      <c r="M53" s="1">
        <f t="shared" si="8"/>
        <v>0.98346313711068023</v>
      </c>
      <c r="N53" s="1">
        <f t="shared" si="9"/>
        <v>0.97327004481168378</v>
      </c>
      <c r="P53" s="1">
        <f t="shared" si="12"/>
        <v>3.6211152085772671</v>
      </c>
      <c r="Q53" s="1">
        <f t="shared" si="10"/>
        <v>5.2196505775088156</v>
      </c>
    </row>
    <row r="54" spans="4:17" x14ac:dyDescent="0.3">
      <c r="D54">
        <f t="shared" si="11"/>
        <v>102</v>
      </c>
      <c r="E54" s="1">
        <f t="shared" si="0"/>
        <v>0.69459991022752576</v>
      </c>
      <c r="F54" s="1">
        <f t="shared" si="1"/>
        <v>0.42728175946329922</v>
      </c>
      <c r="G54" s="1">
        <f t="shared" si="2"/>
        <v>0.67328890984990841</v>
      </c>
      <c r="H54" s="1">
        <f t="shared" si="3"/>
        <v>0.59832469001053878</v>
      </c>
      <c r="I54" s="1">
        <f t="shared" si="4"/>
        <v>0.94117698919754822</v>
      </c>
      <c r="J54" s="1">
        <f t="shared" si="5"/>
        <v>0.91383117691846294</v>
      </c>
      <c r="K54" s="1">
        <f t="shared" si="6"/>
        <v>0.85650113707446129</v>
      </c>
      <c r="L54" s="1">
        <f t="shared" si="7"/>
        <v>0.80640674539872814</v>
      </c>
      <c r="M54" s="1">
        <f t="shared" si="8"/>
        <v>0.985387889355127</v>
      </c>
      <c r="N54" s="1">
        <f t="shared" si="9"/>
        <v>0.97617343101057674</v>
      </c>
      <c r="P54" s="1">
        <f t="shared" si="12"/>
        <v>3.3136430809981903</v>
      </c>
      <c r="Q54" s="1">
        <f t="shared" si="10"/>
        <v>4.8840062004327649</v>
      </c>
    </row>
    <row r="55" spans="4:17" x14ac:dyDescent="0.3">
      <c r="D55">
        <f t="shared" si="11"/>
        <v>103</v>
      </c>
      <c r="E55" s="1">
        <f t="shared" si="0"/>
        <v>0.68450896969201058</v>
      </c>
      <c r="F55" s="1">
        <f t="shared" si="1"/>
        <v>0.41293782694211212</v>
      </c>
      <c r="G55" s="1">
        <f t="shared" si="2"/>
        <v>0.69068538126044221</v>
      </c>
      <c r="H55" s="1">
        <f t="shared" si="3"/>
        <v>0.61706980716674775</v>
      </c>
      <c r="I55" s="1">
        <f t="shared" si="4"/>
        <v>0.94668331564370345</v>
      </c>
      <c r="J55" s="1">
        <f t="shared" si="5"/>
        <v>0.92124734811100606</v>
      </c>
      <c r="K55" s="1">
        <f t="shared" si="6"/>
        <v>0.86725565143805716</v>
      </c>
      <c r="L55" s="1">
        <f t="shared" si="7"/>
        <v>0.81951327632329596</v>
      </c>
      <c r="M55" s="1">
        <f t="shared" si="8"/>
        <v>0.98710068147268659</v>
      </c>
      <c r="N55" s="1">
        <f t="shared" si="9"/>
        <v>0.97878254114339447</v>
      </c>
      <c r="P55" s="1">
        <f t="shared" si="12"/>
        <v>3.0288405577026545</v>
      </c>
      <c r="Q55" s="1">
        <f t="shared" si="10"/>
        <v>4.5660409650977414</v>
      </c>
    </row>
    <row r="56" spans="4:17" x14ac:dyDescent="0.3">
      <c r="D56">
        <f t="shared" si="11"/>
        <v>104</v>
      </c>
      <c r="E56" s="1">
        <f t="shared" si="0"/>
        <v>0.67466001485156113</v>
      </c>
      <c r="F56" s="1">
        <f t="shared" si="1"/>
        <v>0.39920710937962195</v>
      </c>
      <c r="G56" s="1">
        <f t="shared" si="2"/>
        <v>0.70750262557146315</v>
      </c>
      <c r="H56" s="1">
        <f t="shared" si="3"/>
        <v>0.63536755812169832</v>
      </c>
      <c r="I56" s="1">
        <f t="shared" si="4"/>
        <v>0.95172569716748268</v>
      </c>
      <c r="J56" s="1">
        <f t="shared" si="5"/>
        <v>0.92810491023994279</v>
      </c>
      <c r="K56" s="1">
        <f t="shared" si="6"/>
        <v>0.87734597446819662</v>
      </c>
      <c r="L56" s="1">
        <f t="shared" si="7"/>
        <v>0.83193031728903177</v>
      </c>
      <c r="M56" s="1">
        <f t="shared" si="8"/>
        <v>0.98862297312366176</v>
      </c>
      <c r="N56" s="1">
        <f t="shared" si="9"/>
        <v>0.98112408384567318</v>
      </c>
      <c r="P56" s="1">
        <f t="shared" si="12"/>
        <v>2.7654601611419416</v>
      </c>
      <c r="Q56" s="1">
        <f t="shared" si="10"/>
        <v>4.265183843650874</v>
      </c>
    </row>
    <row r="57" spans="4:17" x14ac:dyDescent="0.3">
      <c r="D57">
        <f t="shared" si="11"/>
        <v>105</v>
      </c>
      <c r="E57" s="1">
        <f t="shared" si="0"/>
        <v>0.665044998814453</v>
      </c>
      <c r="F57" s="1">
        <f t="shared" si="1"/>
        <v>0.38605786779251688</v>
      </c>
      <c r="G57" s="1">
        <f t="shared" si="2"/>
        <v>0.72372749676293524</v>
      </c>
      <c r="H57" s="1">
        <f t="shared" si="3"/>
        <v>0.65319132580079731</v>
      </c>
      <c r="I57" s="1">
        <f t="shared" si="4"/>
        <v>0.95633641174698181</v>
      </c>
      <c r="J57" s="1">
        <f t="shared" si="5"/>
        <v>0.93443599345878015</v>
      </c>
      <c r="K57" s="1">
        <f t="shared" si="6"/>
        <v>0.88679695401783565</v>
      </c>
      <c r="L57" s="1">
        <f t="shared" si="7"/>
        <v>0.84367294904761647</v>
      </c>
      <c r="M57" s="1">
        <f t="shared" si="8"/>
        <v>0.98997434421804986</v>
      </c>
      <c r="N57" s="1">
        <f t="shared" si="9"/>
        <v>0.98322280517141969</v>
      </c>
      <c r="P57" s="1">
        <f t="shared" si="12"/>
        <v>2.5222695787152301</v>
      </c>
      <c r="Q57" s="1">
        <f t="shared" si="10"/>
        <v>3.980848717144525</v>
      </c>
    </row>
    <row r="58" spans="4:17" x14ac:dyDescent="0.3">
      <c r="D58">
        <f t="shared" si="11"/>
        <v>106</v>
      </c>
      <c r="E58" s="1">
        <f t="shared" si="0"/>
        <v>0.65565621549142561</v>
      </c>
      <c r="F58" s="1">
        <f t="shared" si="1"/>
        <v>0.37346028650277013</v>
      </c>
      <c r="G58" s="1">
        <f t="shared" si="2"/>
        <v>0.73935057160139073</v>
      </c>
      <c r="H58" s="1">
        <f t="shared" si="3"/>
        <v>0.67051820725444633</v>
      </c>
      <c r="I58" s="1">
        <f t="shared" si="4"/>
        <v>0.96054640437342387</v>
      </c>
      <c r="J58" s="1">
        <f t="shared" si="5"/>
        <v>0.94027215229914518</v>
      </c>
      <c r="K58" s="1">
        <f t="shared" si="6"/>
        <v>0.89563446088788079</v>
      </c>
      <c r="L58" s="1">
        <f t="shared" si="7"/>
        <v>0.85475842160530546</v>
      </c>
      <c r="M58" s="1">
        <f t="shared" si="8"/>
        <v>0.99117261324342731</v>
      </c>
      <c r="N58" s="1">
        <f t="shared" si="9"/>
        <v>0.98510156238334556</v>
      </c>
      <c r="P58" s="1">
        <f t="shared" si="12"/>
        <v>2.2980594544692128</v>
      </c>
      <c r="Q58" s="1">
        <f t="shared" si="10"/>
        <v>3.7124381994290729</v>
      </c>
    </row>
    <row r="59" spans="4:17" x14ac:dyDescent="0.3">
      <c r="D59">
        <f t="shared" si="11"/>
        <v>107</v>
      </c>
      <c r="E59" s="1">
        <f t="shared" si="0"/>
        <v>0.64648628211905335</v>
      </c>
      <c r="F59" s="1">
        <f t="shared" si="1"/>
        <v>0.36138633990409136</v>
      </c>
      <c r="G59" s="1">
        <f t="shared" si="2"/>
        <v>0.75436593183090661</v>
      </c>
      <c r="H59" s="1">
        <f t="shared" si="3"/>
        <v>0.68732892632984965</v>
      </c>
      <c r="I59" s="1">
        <f t="shared" si="4"/>
        <v>0.96438520864683053</v>
      </c>
      <c r="J59" s="1">
        <f t="shared" si="5"/>
        <v>0.94564418590711241</v>
      </c>
      <c r="K59" s="1">
        <f t="shared" si="6"/>
        <v>0.90388508388213895</v>
      </c>
      <c r="L59" s="1">
        <f t="shared" si="7"/>
        <v>0.86520581674476194</v>
      </c>
      <c r="M59" s="1">
        <f t="shared" si="8"/>
        <v>0.99223395599796105</v>
      </c>
      <c r="N59" s="1">
        <f t="shared" si="9"/>
        <v>0.98678140717551133</v>
      </c>
      <c r="P59" s="1">
        <f t="shared" si="12"/>
        <v>2.0916499717819104</v>
      </c>
      <c r="Q59" s="1">
        <f t="shared" si="10"/>
        <v>3.4593472524347533</v>
      </c>
    </row>
    <row r="60" spans="4:17" x14ac:dyDescent="0.3">
      <c r="D60">
        <f t="shared" si="11"/>
        <v>108</v>
      </c>
      <c r="E60" s="1">
        <f t="shared" si="0"/>
        <v>0.6375281228324966</v>
      </c>
      <c r="F60" s="1">
        <f t="shared" si="1"/>
        <v>0.34980966959259063</v>
      </c>
      <c r="G60" s="1">
        <f t="shared" si="2"/>
        <v>0.76877093185612155</v>
      </c>
      <c r="H60" s="1">
        <f t="shared" si="3"/>
        <v>0.70360771850229697</v>
      </c>
      <c r="I60" s="1">
        <f t="shared" si="4"/>
        <v>0.96788089418668477</v>
      </c>
      <c r="J60" s="1">
        <f t="shared" si="5"/>
        <v>0.95058198959185258</v>
      </c>
      <c r="K60" s="1">
        <f t="shared" si="6"/>
        <v>0.91157585338411162</v>
      </c>
      <c r="L60" s="1">
        <f t="shared" si="7"/>
        <v>0.87503572887441761</v>
      </c>
      <c r="M60" s="1">
        <f t="shared" si="8"/>
        <v>0.99317302299516619</v>
      </c>
      <c r="N60" s="1">
        <f t="shared" si="9"/>
        <v>0.98828167559542968</v>
      </c>
      <c r="P60" s="1">
        <f t="shared" si="12"/>
        <v>1.9018963057992568</v>
      </c>
      <c r="Q60" s="1">
        <f t="shared" si="10"/>
        <v>3.2209665760124864</v>
      </c>
    </row>
    <row r="61" spans="4:17" x14ac:dyDescent="0.3">
      <c r="D61">
        <f t="shared" si="11"/>
        <v>109</v>
      </c>
      <c r="E61" s="1">
        <f t="shared" si="0"/>
        <v>0.62877495321558818</v>
      </c>
      <c r="F61" s="1">
        <f t="shared" si="1"/>
        <v>0.33870547096875386</v>
      </c>
      <c r="G61" s="1">
        <f t="shared" si="2"/>
        <v>0.78256595628200953</v>
      </c>
      <c r="H61" s="1">
        <f t="shared" si="3"/>
        <v>0.71934219192902771</v>
      </c>
      <c r="I61" s="1">
        <f t="shared" si="4"/>
        <v>0.97106003664318818</v>
      </c>
      <c r="J61" s="1">
        <f t="shared" si="5"/>
        <v>0.95511443513911298</v>
      </c>
      <c r="K61" s="1">
        <f t="shared" si="6"/>
        <v>0.91873399326125427</v>
      </c>
      <c r="L61" s="1">
        <f t="shared" si="7"/>
        <v>0.88426996598895702</v>
      </c>
      <c r="M61" s="1">
        <f t="shared" si="8"/>
        <v>0.9940030541555106</v>
      </c>
      <c r="N61" s="1">
        <f t="shared" si="9"/>
        <v>0.98962008231424536</v>
      </c>
      <c r="P61" s="1">
        <f t="shared" si="12"/>
        <v>1.7276930309244616</v>
      </c>
      <c r="Q61" s="1">
        <f t="shared" si="10"/>
        <v>2.9966857600373231</v>
      </c>
    </row>
    <row r="62" spans="4:17" x14ac:dyDescent="0.3">
      <c r="D62">
        <f t="shared" si="11"/>
        <v>110</v>
      </c>
      <c r="E62" s="1">
        <f t="shared" si="0"/>
        <v>0.62022026576177591</v>
      </c>
      <c r="F62" s="1">
        <f t="shared" si="1"/>
        <v>0.32805038850209639</v>
      </c>
      <c r="G62" s="1">
        <f t="shared" si="2"/>
        <v>0.79575417130958659</v>
      </c>
      <c r="H62" s="1">
        <f t="shared" si="3"/>
        <v>0.73452316868917078</v>
      </c>
      <c r="I62" s="1">
        <f t="shared" si="4"/>
        <v>0.97394770726295776</v>
      </c>
      <c r="J62" s="1">
        <f t="shared" si="5"/>
        <v>0.95926927728848843</v>
      </c>
      <c r="K62" s="1">
        <f t="shared" si="6"/>
        <v>0.92538670049523342</v>
      </c>
      <c r="L62" s="1">
        <f t="shared" si="7"/>
        <v>0.89293127197839894</v>
      </c>
      <c r="M62" s="1">
        <f t="shared" si="8"/>
        <v>0.9947359897058049</v>
      </c>
      <c r="N62" s="1">
        <f t="shared" si="9"/>
        <v>0.99081281724723091</v>
      </c>
      <c r="P62" s="1">
        <f t="shared" si="12"/>
        <v>1.5679775724335698</v>
      </c>
      <c r="Q62" s="1">
        <f t="shared" si="10"/>
        <v>2.7858961906618447</v>
      </c>
    </row>
    <row r="63" spans="4:17" x14ac:dyDescent="0.3">
      <c r="D63">
        <f t="shared" si="11"/>
        <v>111</v>
      </c>
      <c r="E63" s="1">
        <f t="shared" si="0"/>
        <v>0.6118578161845174</v>
      </c>
      <c r="F63" s="1">
        <f t="shared" si="1"/>
        <v>0.31782241892548574</v>
      </c>
      <c r="G63" s="1">
        <f t="shared" si="2"/>
        <v>0.80834127360036523</v>
      </c>
      <c r="H63" s="1">
        <f t="shared" si="3"/>
        <v>0.74914451001870741</v>
      </c>
      <c r="I63" s="1">
        <f t="shared" si="4"/>
        <v>0.97656747915804221</v>
      </c>
      <c r="J63" s="1">
        <f t="shared" si="5"/>
        <v>0.96307308377646306</v>
      </c>
      <c r="K63" s="1">
        <f t="shared" si="6"/>
        <v>0.93156095160402175</v>
      </c>
      <c r="L63" s="1">
        <f t="shared" si="7"/>
        <v>0.90104307103613523</v>
      </c>
      <c r="M63" s="1">
        <f t="shared" si="8"/>
        <v>0.99538257647271955</v>
      </c>
      <c r="N63" s="1">
        <f t="shared" si="9"/>
        <v>0.99187464285040072</v>
      </c>
      <c r="P63" s="1">
        <f t="shared" si="12"/>
        <v>1.4217327927290633</v>
      </c>
      <c r="Q63" s="1">
        <f t="shared" si="10"/>
        <v>2.587993706415503</v>
      </c>
    </row>
    <row r="64" spans="4:17" x14ac:dyDescent="0.3">
      <c r="D64">
        <f t="shared" si="11"/>
        <v>112</v>
      </c>
      <c r="E64" s="1">
        <f t="shared" si="0"/>
        <v>0.60368161052036906</v>
      </c>
      <c r="F64" s="1">
        <f t="shared" si="1"/>
        <v>0.30800082169406595</v>
      </c>
      <c r="G64" s="1">
        <f t="shared" si="2"/>
        <v>0.82033523982574619</v>
      </c>
      <c r="H64" s="1">
        <f t="shared" si="3"/>
        <v>0.76320292915036259</v>
      </c>
      <c r="I64" s="1">
        <f t="shared" si="4"/>
        <v>0.97894144763979696</v>
      </c>
      <c r="J64" s="1">
        <f t="shared" si="5"/>
        <v>0.96655118639654458</v>
      </c>
      <c r="K64" s="1">
        <f t="shared" si="6"/>
        <v>0.93728333465765845</v>
      </c>
      <c r="L64" s="1">
        <f t="shared" si="7"/>
        <v>0.90862923448857424</v>
      </c>
      <c r="M64" s="1">
        <f t="shared" si="8"/>
        <v>0.99595246898444945</v>
      </c>
      <c r="N64" s="1">
        <f t="shared" si="9"/>
        <v>0.99281899071166491</v>
      </c>
      <c r="P64" s="1">
        <f t="shared" si="12"/>
        <v>1.2879888022403136</v>
      </c>
      <c r="Q64" s="1">
        <f t="shared" si="10"/>
        <v>2.4023810032591228</v>
      </c>
    </row>
    <row r="65" spans="4:25" x14ac:dyDescent="0.3">
      <c r="D65">
        <f t="shared" si="11"/>
        <v>113</v>
      </c>
      <c r="E65" s="1">
        <f t="shared" si="0"/>
        <v>0.59568589297227792</v>
      </c>
      <c r="F65" s="1">
        <f t="shared" si="1"/>
        <v>0.29856603610483035</v>
      </c>
      <c r="G65" s="1">
        <f t="shared" si="2"/>
        <v>0.83174607971983117</v>
      </c>
      <c r="H65" s="1">
        <f t="shared" si="3"/>
        <v>0.77669779513464388</v>
      </c>
      <c r="I65" s="1">
        <f t="shared" si="4"/>
        <v>0.98109026220167073</v>
      </c>
      <c r="J65" s="1">
        <f t="shared" si="5"/>
        <v>0.96972765061407018</v>
      </c>
      <c r="K65" s="1">
        <f t="shared" si="6"/>
        <v>0.94257990548787274</v>
      </c>
      <c r="L65" s="1">
        <f t="shared" si="7"/>
        <v>0.91571386999966409</v>
      </c>
      <c r="M65" s="1">
        <f t="shared" si="8"/>
        <v>0.99645432498754971</v>
      </c>
      <c r="N65" s="1">
        <f t="shared" si="9"/>
        <v>0.99365805631665827</v>
      </c>
      <c r="P65" s="1">
        <f t="shared" si="12"/>
        <v>1.1658240829025237</v>
      </c>
      <c r="Q65" s="1">
        <f t="shared" si="10"/>
        <v>2.2284697907222437</v>
      </c>
    </row>
    <row r="66" spans="4:25" x14ac:dyDescent="0.3">
      <c r="D66">
        <f t="shared" si="11"/>
        <v>114</v>
      </c>
      <c r="E66" s="1">
        <f t="shared" si="0"/>
        <v>0.58786513444448496</v>
      </c>
      <c r="F66" s="1">
        <f t="shared" si="1"/>
        <v>0.28949960452790879</v>
      </c>
      <c r="G66" s="1">
        <f t="shared" si="2"/>
        <v>0.84258559506308628</v>
      </c>
      <c r="H66" s="1">
        <f t="shared" si="3"/>
        <v>0.78963093075906521</v>
      </c>
      <c r="I66" s="1">
        <f t="shared" si="4"/>
        <v>0.98303316796088658</v>
      </c>
      <c r="J66" s="1">
        <f t="shared" si="5"/>
        <v>0.97262526138800387</v>
      </c>
      <c r="K66" s="1">
        <f t="shared" si="6"/>
        <v>0.94747606654598904</v>
      </c>
      <c r="L66" s="1">
        <f t="shared" si="7"/>
        <v>0.92232113279036421</v>
      </c>
      <c r="M66" s="1">
        <f t="shared" si="8"/>
        <v>0.99689589514751331</v>
      </c>
      <c r="N66" s="1">
        <f t="shared" si="9"/>
        <v>0.99440289110097091</v>
      </c>
      <c r="P66" s="1">
        <f t="shared" si="12"/>
        <v>1.0543660088252897</v>
      </c>
      <c r="Q66" s="1">
        <f t="shared" si="10"/>
        <v>2.0656827038723549</v>
      </c>
    </row>
    <row r="67" spans="4:25" x14ac:dyDescent="0.3">
      <c r="D67">
        <f t="shared" si="11"/>
        <v>115</v>
      </c>
      <c r="E67" s="1">
        <f t="shared" ref="E67:E102" si="13">($B$6/D67)^(-1+(2*($B$2-$B$3))/($B$1^2))</f>
        <v>0.58021402172403413</v>
      </c>
      <c r="F67" s="1">
        <f t="shared" ref="F67:F102" si="14">($B$6/D67)^(1+(2*($B$2-$B$3))/($B$1^2))</f>
        <v>0.28078410125019426</v>
      </c>
      <c r="G67" s="1">
        <f t="shared" ref="G67:G102" si="15">_xlfn.NORM.S.DIST((LN(D67/$B$4)+($B$2-$B$3+0.5*$B$1^2)*$B$5)/($B$1*SQRT($B$5)),TRUE)</f>
        <v>0.85286714664627372</v>
      </c>
      <c r="H67" s="1">
        <f t="shared" ref="H67:H102" si="16">_xlfn.NORM.S.DIST((LN(D67/$B$4)+($B$2-$B$3-0.5*$B$1^2)*$B$5)/($B$1*SQRT($B$5)),TRUE)</f>
        <v>0.80200640740621953</v>
      </c>
      <c r="I67" s="1">
        <f t="shared" ref="I67:I102" si="17">_xlfn.NORM.S.DIST((LN(D67/$B$6)+($B$2-$B$3+0.5*$B$1^2)*$B$5)/($B$1*SQRT($B$5)),TRUE)</f>
        <v>0.98478805459312491</v>
      </c>
      <c r="J67" s="1">
        <f t="shared" ref="J67:J102" si="18">_xlfn.NORM.S.DIST((LN(D67/$B$6)+($B$2-$B$3-0.5*$B$1^2)*$B$5)/($B$1*SQRT($B$5)),TRUE)</f>
        <v>0.97526552298781288</v>
      </c>
      <c r="K67" s="1">
        <f t="shared" ref="K67:K102" si="19">_xlfn.NORM.S.DIST((LN(D67/$B$6)-($B$2-$B$3-0.5*$B$1^2)*$B$5)/($B$1*SQRT($B$5)),TRUE)</f>
        <v>0.95199646676696037</v>
      </c>
      <c r="L67" s="1">
        <f t="shared" ref="L67:L102" si="20">_xlfn.NORM.S.DIST((LN(D67/$B$6)-($B$2-$B$3+0.5*$B$1^2)*$B$5)/($B$1*SQRT($B$5)),TRUE)</f>
        <v>0.92847505825306986</v>
      </c>
      <c r="M67" s="1">
        <f t="shared" ref="M67:M102" si="21">_xlfn.NORM.S.DIST((LN((D67*$B$4)/($B$6^2))-($B$2-$B$3-0.5*$B$1^2)*$B$5)/($B$1*SQRT($B$5)),TRUE)</f>
        <v>0.99728410683500357</v>
      </c>
      <c r="N67" s="1">
        <f t="shared" ref="N67:N102" si="22">_xlfn.NORM.S.DIST((LN((D67*$B$4)/($B$6^2))-($B$2-$B$3+0.5*$B$1^2)*$B$5)/($B$1*SQRT($B$5)),TRUE)</f>
        <v>0.99506349110332482</v>
      </c>
      <c r="P67" s="1">
        <f t="shared" si="12"/>
        <v>0.95279084449600937</v>
      </c>
      <c r="Q67" s="1">
        <f t="shared" ref="Q67:Q102" si="23">+D67*G67-$B$4*EXP(-$B$2*$B$5)*H67+$B$4*EXP(-$B$2*$B$5)-D67</f>
        <v>1.9134549781025498</v>
      </c>
    </row>
    <row r="68" spans="4:25" x14ac:dyDescent="0.3">
      <c r="D68">
        <f t="shared" ref="D68:D102" si="24">+D67+1</f>
        <v>116</v>
      </c>
      <c r="E68" s="1">
        <f t="shared" si="13"/>
        <v>0.5727274472671724</v>
      </c>
      <c r="F68" s="1">
        <f t="shared" si="14"/>
        <v>0.27240306647665752</v>
      </c>
      <c r="G68" s="1">
        <f t="shared" si="15"/>
        <v>0.86260543090421016</v>
      </c>
      <c r="H68" s="1">
        <f t="shared" si="16"/>
        <v>0.81383033940525762</v>
      </c>
      <c r="I68" s="1">
        <f t="shared" si="17"/>
        <v>0.98637151101248588</v>
      </c>
      <c r="J68" s="1">
        <f t="shared" si="18"/>
        <v>0.97766867074380182</v>
      </c>
      <c r="K68" s="1">
        <f t="shared" si="19"/>
        <v>0.95616492074352288</v>
      </c>
      <c r="L68" s="1">
        <f t="shared" si="20"/>
        <v>0.93419941513038673</v>
      </c>
      <c r="M68" s="1">
        <f t="shared" si="21"/>
        <v>0.99762514200798902</v>
      </c>
      <c r="N68" s="1">
        <f t="shared" si="22"/>
        <v>0.99564888170998167</v>
      </c>
      <c r="P68" s="1">
        <f t="shared" ref="P68:P102" si="25">IF(D68&gt;$B$6,-D68*(1-I68+F68*(N68-L68))+$B$4*EXP(-$B$2*$B$5)*(1-J68+E68*(M68-K68)),NA())</f>
        <v>0.86032329591094836</v>
      </c>
      <c r="Q68" s="1">
        <f t="shared" si="23"/>
        <v>1.7712358955913885</v>
      </c>
    </row>
    <row r="69" spans="4:25" x14ac:dyDescent="0.3">
      <c r="D69">
        <f t="shared" si="24"/>
        <v>117</v>
      </c>
      <c r="E69" s="1">
        <f t="shared" si="13"/>
        <v>0.56540049955194749</v>
      </c>
      <c r="F69" s="1">
        <f t="shared" si="14"/>
        <v>0.26434094507505762</v>
      </c>
      <c r="G69" s="1">
        <f t="shared" si="15"/>
        <v>0.87181626757110786</v>
      </c>
      <c r="H69" s="1">
        <f t="shared" si="16"/>
        <v>0.82511068014195521</v>
      </c>
      <c r="I69" s="1">
        <f t="shared" si="17"/>
        <v>0.98779888425805484</v>
      </c>
      <c r="J69" s="1">
        <f t="shared" si="18"/>
        <v>0.97985369282853307</v>
      </c>
      <c r="K69" s="1">
        <f t="shared" si="19"/>
        <v>0.96000434549706559</v>
      </c>
      <c r="L69" s="1">
        <f t="shared" si="20"/>
        <v>0.93951757826242488</v>
      </c>
      <c r="M69" s="1">
        <f t="shared" si="21"/>
        <v>0.99792450928643961</v>
      </c>
      <c r="N69" s="1">
        <f t="shared" si="22"/>
        <v>0.99616719813132748</v>
      </c>
      <c r="P69" s="1">
        <f t="shared" si="25"/>
        <v>0.77623568461548365</v>
      </c>
      <c r="Q69" s="1">
        <f t="shared" si="23"/>
        <v>1.6384900138085357</v>
      </c>
    </row>
    <row r="70" spans="4:25" x14ac:dyDescent="0.3">
      <c r="D70">
        <f t="shared" si="24"/>
        <v>118</v>
      </c>
      <c r="E70" s="1">
        <f t="shared" si="13"/>
        <v>0.55822845396109722</v>
      </c>
      <c r="F70" s="1">
        <f t="shared" si="14"/>
        <v>0.25658302968622676</v>
      </c>
      <c r="G70" s="1">
        <f t="shared" si="15"/>
        <v>0.88051639939636051</v>
      </c>
      <c r="H70" s="1">
        <f t="shared" si="16"/>
        <v>0.83585702190555955</v>
      </c>
      <c r="I70" s="1">
        <f t="shared" si="17"/>
        <v>0.98908434124597511</v>
      </c>
      <c r="J70" s="1">
        <f t="shared" si="18"/>
        <v>0.98183836033049221</v>
      </c>
      <c r="K70" s="1">
        <f t="shared" si="19"/>
        <v>0.96353671314497191</v>
      </c>
      <c r="L70" s="1">
        <f t="shared" si="20"/>
        <v>0.94445241978258343</v>
      </c>
      <c r="M70" s="1">
        <f t="shared" si="21"/>
        <v>0.99818711038360775</v>
      </c>
      <c r="N70" s="1">
        <f t="shared" si="22"/>
        <v>0.99662576137926517</v>
      </c>
      <c r="P70" s="1">
        <f t="shared" si="25"/>
        <v>0.69984680895384122</v>
      </c>
      <c r="Q70" s="1">
        <f t="shared" si="23"/>
        <v>1.5146981876313248</v>
      </c>
    </row>
    <row r="71" spans="4:25" x14ac:dyDescent="0.3">
      <c r="D71">
        <f t="shared" si="24"/>
        <v>119</v>
      </c>
      <c r="E71" s="1">
        <f t="shared" si="13"/>
        <v>0.55120676416187431</v>
      </c>
      <c r="F71" s="1">
        <f t="shared" si="14"/>
        <v>0.2491154078550947</v>
      </c>
      <c r="G71" s="1">
        <f t="shared" si="15"/>
        <v>0.88872330467353755</v>
      </c>
      <c r="H71" s="1">
        <f t="shared" si="16"/>
        <v>0.84608040117066008</v>
      </c>
      <c r="I71" s="1">
        <f t="shared" si="17"/>
        <v>0.99024093223043252</v>
      </c>
      <c r="J71" s="1">
        <f t="shared" si="18"/>
        <v>0.98363926404507684</v>
      </c>
      <c r="K71" s="1">
        <f t="shared" si="19"/>
        <v>0.96678301780243459</v>
      </c>
      <c r="L71" s="1">
        <f t="shared" si="20"/>
        <v>0.94902621755419747</v>
      </c>
      <c r="M71" s="1">
        <f t="shared" si="21"/>
        <v>0.99841730110893645</v>
      </c>
      <c r="N71" s="1">
        <f t="shared" si="22"/>
        <v>0.99703114962094608</v>
      </c>
      <c r="P71" s="1">
        <f t="shared" si="25"/>
        <v>0.63052055104098859</v>
      </c>
      <c r="Q71" s="1">
        <f t="shared" si="23"/>
        <v>1.3993583975323389</v>
      </c>
    </row>
    <row r="72" spans="4:25" s="7" customFormat="1" x14ac:dyDescent="0.3">
      <c r="D72" s="7">
        <f t="shared" si="24"/>
        <v>120</v>
      </c>
      <c r="E72" s="8">
        <f t="shared" si="13"/>
        <v>0.54433105395181747</v>
      </c>
      <c r="F72" s="8">
        <f t="shared" si="14"/>
        <v>0.24192491286747436</v>
      </c>
      <c r="G72" s="8">
        <f t="shared" si="15"/>
        <v>0.89645502307708047</v>
      </c>
      <c r="H72" s="8">
        <f t="shared" si="16"/>
        <v>0.85579311074329822</v>
      </c>
      <c r="I72" s="8">
        <f t="shared" si="17"/>
        <v>0.99128065498736573</v>
      </c>
      <c r="J72" s="8">
        <f t="shared" si="18"/>
        <v>0.9852718565691857</v>
      </c>
      <c r="K72" s="8">
        <f t="shared" si="19"/>
        <v>0.96976325511509198</v>
      </c>
      <c r="L72" s="8">
        <f t="shared" si="20"/>
        <v>0.95326057958500188</v>
      </c>
      <c r="M72" s="8">
        <f t="shared" si="21"/>
        <v>0.99861894719475575</v>
      </c>
      <c r="N72" s="8">
        <f t="shared" si="22"/>
        <v>0.99738926487265944</v>
      </c>
      <c r="O72" s="8"/>
      <c r="P72" s="1">
        <f t="shared" si="25"/>
        <v>0.56766428220313925</v>
      </c>
      <c r="Q72" s="8">
        <f t="shared" si="23"/>
        <v>1.2919863969187162</v>
      </c>
      <c r="R72" s="8"/>
      <c r="S72" s="8"/>
      <c r="T72" s="8"/>
      <c r="U72" s="8"/>
      <c r="V72" s="8"/>
      <c r="W72" s="8"/>
      <c r="X72" s="8"/>
      <c r="Y72" s="8"/>
    </row>
    <row r="73" spans="4:25" x14ac:dyDescent="0.3">
      <c r="D73">
        <f t="shared" si="24"/>
        <v>121</v>
      </c>
      <c r="E73" s="1">
        <f t="shared" si="13"/>
        <v>0.53759710954164752</v>
      </c>
      <c r="F73" s="1">
        <f t="shared" si="14"/>
        <v>0.23499907800468164</v>
      </c>
      <c r="G73" s="1">
        <f t="shared" si="15"/>
        <v>0.90372999507109986</v>
      </c>
      <c r="H73" s="1">
        <f t="shared" si="16"/>
        <v>0.86500851994546191</v>
      </c>
      <c r="I73" s="1">
        <f t="shared" si="17"/>
        <v>0.9922145188905217</v>
      </c>
      <c r="J73" s="1">
        <f t="shared" si="18"/>
        <v>0.98675049844166396</v>
      </c>
      <c r="K73" s="1">
        <f t="shared" si="19"/>
        <v>0.97249641289275079</v>
      </c>
      <c r="L73" s="1">
        <f t="shared" si="20"/>
        <v>0.95717638312881614</v>
      </c>
      <c r="M73" s="1">
        <f t="shared" si="21"/>
        <v>0.99879547522436674</v>
      </c>
      <c r="N73" s="1">
        <f t="shared" si="22"/>
        <v>0.99770539506947642</v>
      </c>
      <c r="P73" s="1">
        <f t="shared" si="25"/>
        <v>0.51072711399713278</v>
      </c>
      <c r="Q73" s="1">
        <f t="shared" si="23"/>
        <v>1.1921161920808743</v>
      </c>
    </row>
    <row r="74" spans="4:25" x14ac:dyDescent="0.3">
      <c r="D74">
        <f t="shared" si="24"/>
        <v>122</v>
      </c>
      <c r="E74" s="1">
        <f t="shared" si="13"/>
        <v>0.53100087224846948</v>
      </c>
      <c r="F74" s="1">
        <f t="shared" si="14"/>
        <v>0.22832609395258024</v>
      </c>
      <c r="G74" s="1">
        <f t="shared" si="15"/>
        <v>0.91056691495246678</v>
      </c>
      <c r="H74" s="1">
        <f t="shared" si="16"/>
        <v>0.87374090377331592</v>
      </c>
      <c r="I74" s="1">
        <f t="shared" si="17"/>
        <v>0.99305260819058838</v>
      </c>
      <c r="J74" s="1">
        <f t="shared" si="18"/>
        <v>0.98808850722076658</v>
      </c>
      <c r="K74" s="1">
        <f t="shared" si="19"/>
        <v>0.97500047139999424</v>
      </c>
      <c r="L74" s="1">
        <f t="shared" si="20"/>
        <v>0.96079372718010714</v>
      </c>
      <c r="M74" s="1">
        <f t="shared" si="21"/>
        <v>0.99894991895485297</v>
      </c>
      <c r="N74" s="1">
        <f t="shared" si="22"/>
        <v>0.99798427160354564</v>
      </c>
      <c r="P74" s="1">
        <f t="shared" si="25"/>
        <v>0.45919803649140811</v>
      </c>
      <c r="Q74" s="1">
        <f t="shared" si="23"/>
        <v>1.0993003683698532</v>
      </c>
    </row>
    <row r="75" spans="4:25" x14ac:dyDescent="0.3">
      <c r="D75">
        <f t="shared" si="24"/>
        <v>123</v>
      </c>
      <c r="E75" s="1">
        <f t="shared" si="13"/>
        <v>0.52453843157431668</v>
      </c>
      <c r="F75" s="1">
        <f t="shared" si="14"/>
        <v>0.22189476912390949</v>
      </c>
      <c r="G75" s="1">
        <f t="shared" si="15"/>
        <v>0.91698459741532046</v>
      </c>
      <c r="H75" s="1">
        <f t="shared" si="16"/>
        <v>0.88200528174366433</v>
      </c>
      <c r="I75" s="1">
        <f t="shared" si="17"/>
        <v>0.99380414393477001</v>
      </c>
      <c r="J75" s="1">
        <f t="shared" si="18"/>
        <v>0.98929820853023032</v>
      </c>
      <c r="K75" s="1">
        <f t="shared" si="19"/>
        <v>0.97729241195308647</v>
      </c>
      <c r="L75" s="1">
        <f t="shared" si="20"/>
        <v>0.96413189708324154</v>
      </c>
      <c r="M75" s="1">
        <f t="shared" si="21"/>
        <v>0.99908496133575109</v>
      </c>
      <c r="N75" s="1">
        <f t="shared" si="22"/>
        <v>0.99823012246863074</v>
      </c>
      <c r="P75" s="1">
        <f t="shared" si="25"/>
        <v>0.41260398033667545</v>
      </c>
      <c r="Q75" s="1">
        <f t="shared" si="23"/>
        <v>1.0131102761942259</v>
      </c>
    </row>
    <row r="76" spans="4:25" x14ac:dyDescent="0.3">
      <c r="D76">
        <f t="shared" si="24"/>
        <v>124</v>
      </c>
      <c r="E76" s="1">
        <f t="shared" si="13"/>
        <v>0.51820601864677351</v>
      </c>
      <c r="F76" s="1">
        <f t="shared" si="14"/>
        <v>0.21569449267295462</v>
      </c>
      <c r="G76" s="1">
        <f t="shared" si="15"/>
        <v>0.92300185737501328</v>
      </c>
      <c r="H76" s="1">
        <f t="shared" si="16"/>
        <v>0.88981726694126828</v>
      </c>
      <c r="I76" s="1">
        <f t="shared" si="17"/>
        <v>0.99447754407681122</v>
      </c>
      <c r="J76" s="1">
        <f t="shared" si="18"/>
        <v>0.99039098823658189</v>
      </c>
      <c r="K76" s="1">
        <f t="shared" si="19"/>
        <v>0.97938823257128538</v>
      </c>
      <c r="L76" s="1">
        <f t="shared" si="20"/>
        <v>0.96720934001076908</v>
      </c>
      <c r="M76" s="1">
        <f t="shared" si="21"/>
        <v>0.99920297252608858</v>
      </c>
      <c r="N76" s="1">
        <f t="shared" si="22"/>
        <v>0.99844672118233002</v>
      </c>
      <c r="P76" s="1">
        <f t="shared" si="25"/>
        <v>0.37050783431441081</v>
      </c>
      <c r="Q76" s="1">
        <f t="shared" si="23"/>
        <v>0.93313609023896049</v>
      </c>
    </row>
    <row r="77" spans="4:25" x14ac:dyDescent="0.3">
      <c r="D77">
        <f t="shared" si="24"/>
        <v>125</v>
      </c>
      <c r="E77" s="1">
        <f t="shared" si="13"/>
        <v>0.51200000000000012</v>
      </c>
      <c r="F77" s="1">
        <f t="shared" si="14"/>
        <v>0.20971520000000007</v>
      </c>
      <c r="G77" s="1">
        <f t="shared" si="15"/>
        <v>0.92863740266492811</v>
      </c>
      <c r="H77" s="1">
        <f t="shared" si="16"/>
        <v>0.89719292559733332</v>
      </c>
      <c r="I77" s="1">
        <f t="shared" si="17"/>
        <v>0.99508048142678229</v>
      </c>
      <c r="J77" s="1">
        <f t="shared" si="18"/>
        <v>0.9913773450413681</v>
      </c>
      <c r="K77" s="1">
        <f t="shared" si="19"/>
        <v>0.98130296953188956</v>
      </c>
      <c r="L77" s="1">
        <f t="shared" si="20"/>
        <v>0.97004365011071214</v>
      </c>
      <c r="M77" s="1">
        <f t="shared" si="21"/>
        <v>0.99930604420858538</v>
      </c>
      <c r="N77" s="1">
        <f t="shared" si="22"/>
        <v>0.99863743168202224</v>
      </c>
      <c r="P77" s="1">
        <f t="shared" si="25"/>
        <v>0.33250644555618591</v>
      </c>
      <c r="Q77" s="1">
        <f t="shared" si="23"/>
        <v>0.85898675498108901</v>
      </c>
    </row>
    <row r="78" spans="4:25" x14ac:dyDescent="0.3">
      <c r="D78">
        <f t="shared" si="24"/>
        <v>126</v>
      </c>
      <c r="E78" s="1">
        <f t="shared" si="13"/>
        <v>0.50591687167593391</v>
      </c>
      <c r="F78" s="1">
        <f t="shared" si="14"/>
        <v>0.20394734055971128</v>
      </c>
      <c r="G78" s="1">
        <f t="shared" si="15"/>
        <v>0.93390973911785757</v>
      </c>
      <c r="H78" s="1">
        <f t="shared" si="16"/>
        <v>0.90414864736680345</v>
      </c>
      <c r="I78" s="1">
        <f t="shared" si="17"/>
        <v>0.99561993917670844</v>
      </c>
      <c r="J78" s="1">
        <f t="shared" si="18"/>
        <v>0.99226694288282624</v>
      </c>
      <c r="K78" s="1">
        <f t="shared" si="19"/>
        <v>0.98305072377992153</v>
      </c>
      <c r="L78" s="1">
        <f t="shared" si="20"/>
        <v>0.97265156217864246</v>
      </c>
      <c r="M78" s="1">
        <f t="shared" si="21"/>
        <v>0.9993960204921577</v>
      </c>
      <c r="N78" s="1">
        <f t="shared" si="22"/>
        <v>0.99880524940737259</v>
      </c>
      <c r="P78" s="1">
        <f t="shared" si="25"/>
        <v>0.29822862549200924</v>
      </c>
      <c r="Q78" s="1">
        <f t="shared" si="23"/>
        <v>0.7902898291391125</v>
      </c>
    </row>
    <row r="79" spans="4:25" x14ac:dyDescent="0.3">
      <c r="D79">
        <f t="shared" si="24"/>
        <v>127</v>
      </c>
      <c r="E79" s="1">
        <f t="shared" si="13"/>
        <v>0.4999532536268001</v>
      </c>
      <c r="F79" s="1">
        <f t="shared" si="14"/>
        <v>0.1983818478028099</v>
      </c>
      <c r="G79" s="1">
        <f t="shared" si="15"/>
        <v>0.93883708746290406</v>
      </c>
      <c r="H79" s="1">
        <f t="shared" si="16"/>
        <v>0.91070102632883321</v>
      </c>
      <c r="I79" s="1">
        <f t="shared" si="17"/>
        <v>0.99610226381324407</v>
      </c>
      <c r="J79" s="1">
        <f t="shared" si="18"/>
        <v>0.99306866264209059</v>
      </c>
      <c r="K79" s="1">
        <f t="shared" si="19"/>
        <v>0.98464469124354781</v>
      </c>
      <c r="L79" s="1">
        <f t="shared" si="20"/>
        <v>0.9750489527737114</v>
      </c>
      <c r="M79" s="1">
        <f t="shared" si="21"/>
        <v>0.99947452568322448</v>
      </c>
      <c r="N79" s="1">
        <f t="shared" si="22"/>
        <v>0.99895283879252861</v>
      </c>
      <c r="P79" s="1">
        <f t="shared" si="25"/>
        <v>0.26733318081752944</v>
      </c>
      <c r="Q79" s="1">
        <f t="shared" si="23"/>
        <v>0.72669124116166017</v>
      </c>
    </row>
    <row r="80" spans="4:25" x14ac:dyDescent="0.3">
      <c r="D80">
        <f t="shared" si="24"/>
        <v>128</v>
      </c>
      <c r="E80" s="1">
        <f t="shared" si="13"/>
        <v>0.49410588440130931</v>
      </c>
      <c r="F80" s="1">
        <f t="shared" si="14"/>
        <v>0.19301011109426147</v>
      </c>
      <c r="G80" s="1">
        <f t="shared" si="15"/>
        <v>0.94343731140724418</v>
      </c>
      <c r="H80" s="1">
        <f t="shared" si="16"/>
        <v>0.91686675261035278</v>
      </c>
      <c r="I80" s="1">
        <f t="shared" si="17"/>
        <v>0.9965332152929931</v>
      </c>
      <c r="J80" s="1">
        <f t="shared" si="18"/>
        <v>0.99379065273955824</v>
      </c>
      <c r="K80" s="1">
        <f t="shared" si="19"/>
        <v>0.98609719620372616</v>
      </c>
      <c r="L80" s="1">
        <f t="shared" si="20"/>
        <v>0.97725084776646742</v>
      </c>
      <c r="M80" s="1">
        <f t="shared" si="21"/>
        <v>0.99954298919351903</v>
      </c>
      <c r="N80" s="1">
        <f t="shared" si="22"/>
        <v>0.99908256739605483</v>
      </c>
      <c r="P80" s="1">
        <f t="shared" si="25"/>
        <v>0.23950698536544501</v>
      </c>
      <c r="Q80" s="1">
        <f t="shared" si="23"/>
        <v>0.66785496726021165</v>
      </c>
    </row>
    <row r="81" spans="4:17" x14ac:dyDescent="0.3">
      <c r="D81">
        <f t="shared" si="24"/>
        <v>129</v>
      </c>
      <c r="E81" s="1">
        <f t="shared" si="13"/>
        <v>0.48837161609808244</v>
      </c>
      <c r="F81" s="1">
        <f t="shared" si="14"/>
        <v>0.18782394946383793</v>
      </c>
      <c r="G81" s="1">
        <f t="shared" si="15"/>
        <v>0.94772785622765154</v>
      </c>
      <c r="H81" s="1">
        <f t="shared" si="16"/>
        <v>0.92266251442620761</v>
      </c>
      <c r="I81" s="1">
        <f t="shared" si="17"/>
        <v>0.99691801441070993</v>
      </c>
      <c r="J81" s="1">
        <f t="shared" si="18"/>
        <v>0.99444037828783194</v>
      </c>
      <c r="K81" s="1">
        <f t="shared" si="19"/>
        <v>0.98741972696006663</v>
      </c>
      <c r="L81" s="1">
        <f t="shared" si="20"/>
        <v>0.979271435378266</v>
      </c>
      <c r="M81" s="1">
        <f t="shared" si="21"/>
        <v>0.99960266783782126</v>
      </c>
      <c r="N81" s="1">
        <f t="shared" si="22"/>
        <v>0.99919653689722765</v>
      </c>
      <c r="P81" s="1">
        <f t="shared" si="25"/>
        <v>0.21446310571742233</v>
      </c>
      <c r="Q81" s="1">
        <f t="shared" si="23"/>
        <v>0.61346264283614005</v>
      </c>
    </row>
    <row r="82" spans="4:17" x14ac:dyDescent="0.3">
      <c r="D82">
        <f t="shared" si="24"/>
        <v>130</v>
      </c>
      <c r="E82" s="1">
        <f t="shared" si="13"/>
        <v>0.48274740957091467</v>
      </c>
      <c r="F82" s="1">
        <f t="shared" si="14"/>
        <v>0.18281558705644105</v>
      </c>
      <c r="G82" s="1">
        <f t="shared" si="15"/>
        <v>0.95172569716748268</v>
      </c>
      <c r="H82" s="1">
        <f t="shared" si="16"/>
        <v>0.92810491023994279</v>
      </c>
      <c r="I82" s="1">
        <f t="shared" si="17"/>
        <v>0.99726138733643122</v>
      </c>
      <c r="J82" s="1">
        <f t="shared" si="18"/>
        <v>0.9950246685392018</v>
      </c>
      <c r="K82" s="1">
        <f t="shared" si="19"/>
        <v>0.98862297312366176</v>
      </c>
      <c r="L82" s="1">
        <f t="shared" si="20"/>
        <v>0.98112408384567318</v>
      </c>
      <c r="M82" s="1">
        <f t="shared" si="21"/>
        <v>0.99965466575982087</v>
      </c>
      <c r="N82" s="1">
        <f t="shared" si="22"/>
        <v>0.99929661118440283</v>
      </c>
      <c r="P82" s="1">
        <f t="shared" si="25"/>
        <v>0.19193899068417575</v>
      </c>
      <c r="Q82" s="1">
        <f t="shared" si="23"/>
        <v>0.56321311746137326</v>
      </c>
    </row>
    <row r="83" spans="4:17" x14ac:dyDescent="0.3">
      <c r="D83">
        <f t="shared" si="24"/>
        <v>131</v>
      </c>
      <c r="E83" s="1">
        <f t="shared" si="13"/>
        <v>0.47723032987148928</v>
      </c>
      <c r="F83" s="1">
        <f t="shared" si="14"/>
        <v>0.17797763016010323</v>
      </c>
      <c r="G83" s="1">
        <f t="shared" si="15"/>
        <v>0.95544729691900188</v>
      </c>
      <c r="H83" s="1">
        <f t="shared" si="16"/>
        <v>0.93321037067576951</v>
      </c>
      <c r="I83" s="1">
        <f t="shared" si="17"/>
        <v>0.9975676073355042</v>
      </c>
      <c r="J83" s="1">
        <f t="shared" si="18"/>
        <v>0.9955497624284384</v>
      </c>
      <c r="K83" s="1">
        <f t="shared" si="19"/>
        <v>0.98971686395109681</v>
      </c>
      <c r="L83" s="1">
        <f t="shared" si="20"/>
        <v>0.98282136291704547</v>
      </c>
      <c r="M83" s="1">
        <f t="shared" si="21"/>
        <v>0.99969995220863961</v>
      </c>
      <c r="N83" s="1">
        <f t="shared" si="22"/>
        <v>0.99938444175553931</v>
      </c>
      <c r="P83" s="1">
        <f t="shared" si="25"/>
        <v>0.17169473239556621</v>
      </c>
      <c r="Q83" s="1">
        <f t="shared" si="23"/>
        <v>0.51682196285963755</v>
      </c>
    </row>
    <row r="84" spans="4:17" x14ac:dyDescent="0.3">
      <c r="D84">
        <f t="shared" si="24"/>
        <v>132</v>
      </c>
      <c r="E84" s="1">
        <f t="shared" si="13"/>
        <v>0.47181754191607467</v>
      </c>
      <c r="F84" s="1">
        <f t="shared" si="14"/>
        <v>0.17330304569920096</v>
      </c>
      <c r="G84" s="1">
        <f t="shared" si="15"/>
        <v>0.95890857146666941</v>
      </c>
      <c r="H84" s="1">
        <f t="shared" si="16"/>
        <v>0.93799508975339752</v>
      </c>
      <c r="I84" s="1">
        <f t="shared" si="17"/>
        <v>0.99784053371638637</v>
      </c>
      <c r="J84" s="1">
        <f t="shared" si="18"/>
        <v>0.99602135206635323</v>
      </c>
      <c r="K84" s="1">
        <f t="shared" si="19"/>
        <v>0.99071060721160209</v>
      </c>
      <c r="L84" s="1">
        <f t="shared" si="20"/>
        <v>0.98437506846128353</v>
      </c>
      <c r="M84" s="1">
        <f t="shared" si="21"/>
        <v>0.99973937737275376</v>
      </c>
      <c r="N84" s="1">
        <f t="shared" si="22"/>
        <v>0.99946149064325762</v>
      </c>
      <c r="P84" s="1">
        <f t="shared" si="25"/>
        <v>0.15351140466058122</v>
      </c>
      <c r="Q84" s="1">
        <f t="shared" si="23"/>
        <v>0.47402094260976924</v>
      </c>
    </row>
    <row r="85" spans="4:17" x14ac:dyDescent="0.3">
      <c r="D85">
        <f t="shared" si="24"/>
        <v>133</v>
      </c>
      <c r="E85" s="1">
        <f t="shared" si="13"/>
        <v>0.46650630636359791</v>
      </c>
      <c r="F85" s="1">
        <f t="shared" si="14"/>
        <v>0.16878514108920945</v>
      </c>
      <c r="G85" s="1">
        <f t="shared" si="15"/>
        <v>0.9621248635726366</v>
      </c>
      <c r="H85" s="1">
        <f t="shared" si="16"/>
        <v>0.94247496497193139</v>
      </c>
      <c r="I85" s="1">
        <f t="shared" si="17"/>
        <v>0.99808364807581762</v>
      </c>
      <c r="J85" s="1">
        <f t="shared" si="18"/>
        <v>0.99644462408676504</v>
      </c>
      <c r="K85" s="1">
        <f t="shared" si="19"/>
        <v>0.99161272815114698</v>
      </c>
      <c r="L85" s="1">
        <f t="shared" si="20"/>
        <v>0.98579624953964062</v>
      </c>
      <c r="M85" s="1">
        <f t="shared" si="21"/>
        <v>0.99977368646245013</v>
      </c>
      <c r="N85" s="1">
        <f t="shared" si="22"/>
        <v>0.99952905106758216</v>
      </c>
      <c r="P85" s="1">
        <f t="shared" si="25"/>
        <v>0.13718948245430207</v>
      </c>
      <c r="Q85" s="1">
        <f t="shared" si="23"/>
        <v>0.43455745157399406</v>
      </c>
    </row>
    <row r="86" spans="4:17" x14ac:dyDescent="0.3">
      <c r="D86">
        <f t="shared" si="24"/>
        <v>134</v>
      </c>
      <c r="E86" s="1">
        <f t="shared" si="13"/>
        <v>0.46129397569328712</v>
      </c>
      <c r="F86" s="1">
        <f t="shared" si="14"/>
        <v>0.16441754535737566</v>
      </c>
      <c r="G86" s="1">
        <f t="shared" si="15"/>
        <v>0.9651109231995767</v>
      </c>
      <c r="H86" s="1">
        <f t="shared" si="16"/>
        <v>0.94666554573564521</v>
      </c>
      <c r="I86" s="1">
        <f t="shared" si="17"/>
        <v>0.99830008793030389</v>
      </c>
      <c r="J86" s="1">
        <f t="shared" si="18"/>
        <v>0.99682429878982193</v>
      </c>
      <c r="K86" s="1">
        <f t="shared" si="19"/>
        <v>0.9924311081831233</v>
      </c>
      <c r="L86" s="1">
        <f t="shared" si="20"/>
        <v>0.98709523735967808</v>
      </c>
      <c r="M86" s="1">
        <f t="shared" si="21"/>
        <v>0.99980353221673346</v>
      </c>
      <c r="N86" s="1">
        <f t="shared" si="22"/>
        <v>0.99958826600921735</v>
      </c>
      <c r="P86" s="1">
        <f t="shared" si="25"/>
        <v>0.12254734484566254</v>
      </c>
      <c r="Q86" s="1">
        <f t="shared" si="23"/>
        <v>0.39819393233744904</v>
      </c>
    </row>
    <row r="87" spans="4:17" x14ac:dyDescent="0.3">
      <c r="D87">
        <f t="shared" si="24"/>
        <v>135</v>
      </c>
      <c r="E87" s="1">
        <f t="shared" si="13"/>
        <v>0.45617799047081553</v>
      </c>
      <c r="F87" s="1">
        <f t="shared" si="14"/>
        <v>0.16019419144105454</v>
      </c>
      <c r="G87" s="1">
        <f t="shared" si="15"/>
        <v>0.96788089418668477</v>
      </c>
      <c r="H87" s="1">
        <f t="shared" si="16"/>
        <v>0.95058198959185258</v>
      </c>
      <c r="I87" s="1">
        <f t="shared" si="17"/>
        <v>0.99849267783750539</v>
      </c>
      <c r="J87" s="1">
        <f t="shared" si="18"/>
        <v>0.99716466705871831</v>
      </c>
      <c r="K87" s="1">
        <f t="shared" si="19"/>
        <v>0.99317302299516619</v>
      </c>
      <c r="L87" s="1">
        <f t="shared" si="20"/>
        <v>0.98828167559542968</v>
      </c>
      <c r="M87" s="1">
        <f t="shared" si="21"/>
        <v>0.99982948599595933</v>
      </c>
      <c r="N87" s="1">
        <f t="shared" si="22"/>
        <v>0.99964014488522979</v>
      </c>
      <c r="P87" s="1">
        <f t="shared" si="25"/>
        <v>0.10941986236991663</v>
      </c>
      <c r="Q87" s="1">
        <f t="shared" si="23"/>
        <v>0.36470727525369284</v>
      </c>
    </row>
    <row r="88" spans="4:17" x14ac:dyDescent="0.3">
      <c r="D88">
        <f t="shared" si="24"/>
        <v>136</v>
      </c>
      <c r="E88" s="1">
        <f t="shared" si="13"/>
        <v>0.45115587579257099</v>
      </c>
      <c r="F88" s="1">
        <f t="shared" si="14"/>
        <v>0.15610929958220449</v>
      </c>
      <c r="G88" s="1">
        <f t="shared" si="15"/>
        <v>0.97044830652084724</v>
      </c>
      <c r="H88" s="1">
        <f t="shared" si="16"/>
        <v>0.95423902573801844</v>
      </c>
      <c r="I88" s="1">
        <f t="shared" si="17"/>
        <v>0.99866395812177255</v>
      </c>
      <c r="J88" s="1">
        <f t="shared" si="18"/>
        <v>0.99746962505531978</v>
      </c>
      <c r="K88" s="1">
        <f t="shared" si="19"/>
        <v>0.99384517981575904</v>
      </c>
      <c r="L88" s="1">
        <f t="shared" si="20"/>
        <v>0.98936455161914827</v>
      </c>
      <c r="M88" s="1">
        <f t="shared" si="21"/>
        <v>0.99985204760749036</v>
      </c>
      <c r="N88" s="1">
        <f t="shared" si="22"/>
        <v>0.99968557849764961</v>
      </c>
      <c r="P88" s="1">
        <f t="shared" si="25"/>
        <v>9.7657068753705334E-2</v>
      </c>
      <c r="Q88" s="1">
        <f t="shared" si="23"/>
        <v>0.33388820801690144</v>
      </c>
    </row>
    <row r="89" spans="4:17" x14ac:dyDescent="0.3">
      <c r="D89">
        <f t="shared" si="24"/>
        <v>137</v>
      </c>
      <c r="E89" s="1">
        <f t="shared" si="13"/>
        <v>0.44622523789831831</v>
      </c>
      <c r="F89" s="1">
        <f t="shared" si="14"/>
        <v>0.15215736174272665</v>
      </c>
      <c r="G89" s="1">
        <f t="shared" si="15"/>
        <v>0.97282607357540929</v>
      </c>
      <c r="H89" s="1">
        <f t="shared" si="16"/>
        <v>0.95765092525051032</v>
      </c>
      <c r="I89" s="1">
        <f t="shared" si="17"/>
        <v>0.99881621132529441</v>
      </c>
      <c r="J89" s="1">
        <f t="shared" si="18"/>
        <v>0.99774270672368093</v>
      </c>
      <c r="K89" s="1">
        <f t="shared" si="19"/>
        <v>0.99445375363276622</v>
      </c>
      <c r="L89" s="1">
        <f t="shared" si="20"/>
        <v>0.99035222824737867</v>
      </c>
      <c r="M89" s="1">
        <f t="shared" si="21"/>
        <v>0.99987165399847133</v>
      </c>
      <c r="N89" s="1">
        <f t="shared" si="22"/>
        <v>0.99972535241403804</v>
      </c>
      <c r="P89" s="1">
        <f t="shared" si="25"/>
        <v>8.7122915992894567E-2</v>
      </c>
      <c r="Q89" s="1">
        <f t="shared" si="23"/>
        <v>0.30554068004056489</v>
      </c>
    </row>
    <row r="90" spans="4:17" x14ac:dyDescent="0.3">
      <c r="D90">
        <f t="shared" si="24"/>
        <v>138</v>
      </c>
      <c r="E90" s="1">
        <f t="shared" si="13"/>
        <v>0.44138376094311954</v>
      </c>
      <c r="F90" s="1">
        <f t="shared" si="14"/>
        <v>0.14833312697101264</v>
      </c>
      <c r="G90" s="1">
        <f t="shared" si="15"/>
        <v>0.975026493722573</v>
      </c>
      <c r="H90" s="1">
        <f t="shared" si="16"/>
        <v>0.96083147748977749</v>
      </c>
      <c r="I90" s="1">
        <f t="shared" si="17"/>
        <v>0.99895148651067656</v>
      </c>
      <c r="J90" s="1">
        <f t="shared" si="18"/>
        <v>0.99798711414946795</v>
      </c>
      <c r="K90" s="1">
        <f t="shared" si="19"/>
        <v>0.99500442219920282</v>
      </c>
      <c r="L90" s="1">
        <f t="shared" si="20"/>
        <v>0.99125247565736629</v>
      </c>
      <c r="M90" s="1">
        <f t="shared" si="21"/>
        <v>0.99988868693741428</v>
      </c>
      <c r="N90" s="1">
        <f t="shared" si="22"/>
        <v>0.99976015892767445</v>
      </c>
      <c r="P90" s="1">
        <f t="shared" si="25"/>
        <v>7.7694111046093972E-2</v>
      </c>
      <c r="Q90" s="1">
        <f t="shared" si="23"/>
        <v>0.27948124630927396</v>
      </c>
    </row>
    <row r="91" spans="4:17" x14ac:dyDescent="0.3">
      <c r="D91">
        <f t="shared" si="24"/>
        <v>139</v>
      </c>
      <c r="E91" s="1">
        <f t="shared" si="13"/>
        <v>0.43662920391993193</v>
      </c>
      <c r="F91" s="1">
        <f t="shared" si="14"/>
        <v>0.14463158765527478</v>
      </c>
      <c r="G91" s="1">
        <f t="shared" si="15"/>
        <v>0.97706125576129765</v>
      </c>
      <c r="H91" s="1">
        <f t="shared" si="16"/>
        <v>0.96379397214522255</v>
      </c>
      <c r="I91" s="1">
        <f t="shared" si="17"/>
        <v>0.99907162154271301</v>
      </c>
      <c r="J91" s="1">
        <f t="shared" si="18"/>
        <v>0.99820574583841559</v>
      </c>
      <c r="K91" s="1">
        <f t="shared" si="19"/>
        <v>0.99550239969968557</v>
      </c>
      <c r="L91" s="1">
        <f t="shared" si="20"/>
        <v>0.99207250317890772</v>
      </c>
      <c r="M91" s="1">
        <f t="shared" si="21"/>
        <v>0.99990347979471861</v>
      </c>
      <c r="N91" s="1">
        <f t="shared" si="22"/>
        <v>0.99979060773387041</v>
      </c>
      <c r="P91" s="1">
        <f t="shared" si="25"/>
        <v>6.9259031818104611E-2</v>
      </c>
      <c r="Q91" s="1">
        <f t="shared" si="23"/>
        <v>0.25553845479603865</v>
      </c>
    </row>
    <row r="92" spans="4:17" x14ac:dyDescent="0.3">
      <c r="D92">
        <f t="shared" si="24"/>
        <v>140</v>
      </c>
      <c r="E92" s="1">
        <f t="shared" si="13"/>
        <v>0.43195939772483116</v>
      </c>
      <c r="F92" s="1">
        <f t="shared" si="14"/>
        <v>0.14104796660402646</v>
      </c>
      <c r="G92" s="1">
        <f t="shared" si="15"/>
        <v>0.97894144763979696</v>
      </c>
      <c r="H92" s="1">
        <f t="shared" si="16"/>
        <v>0.96655118639654458</v>
      </c>
      <c r="I92" s="1">
        <f t="shared" si="17"/>
        <v>0.99917826347709271</v>
      </c>
      <c r="J92" s="1">
        <f t="shared" si="18"/>
        <v>0.99840122298865419</v>
      </c>
      <c r="K92" s="1">
        <f t="shared" si="19"/>
        <v>0.99595246898444945</v>
      </c>
      <c r="L92" s="1">
        <f t="shared" si="20"/>
        <v>0.99281899071166491</v>
      </c>
      <c r="M92" s="1">
        <f t="shared" si="21"/>
        <v>0.99991632352152593</v>
      </c>
      <c r="N92" s="1">
        <f t="shared" si="22"/>
        <v>0.99981723544813117</v>
      </c>
      <c r="P92" s="1">
        <f t="shared" si="25"/>
        <v>6.1716719649510476E-2</v>
      </c>
      <c r="Q92" s="1">
        <f t="shared" si="23"/>
        <v>0.23355224099623229</v>
      </c>
    </row>
    <row r="93" spans="4:17" x14ac:dyDescent="0.3">
      <c r="D93">
        <f t="shared" si="24"/>
        <v>141</v>
      </c>
      <c r="E93" s="1">
        <f t="shared" si="13"/>
        <v>0.42737224235728211</v>
      </c>
      <c r="F93" s="1">
        <f t="shared" si="14"/>
        <v>0.13757770489847626</v>
      </c>
      <c r="G93" s="1">
        <f t="shared" si="15"/>
        <v>0.98067756798963868</v>
      </c>
      <c r="H93" s="1">
        <f t="shared" si="16"/>
        <v>0.96911537668599956</v>
      </c>
      <c r="I93" s="1">
        <f t="shared" si="17"/>
        <v>0.99927288718215723</v>
      </c>
      <c r="J93" s="1">
        <f t="shared" si="18"/>
        <v>0.99857591384049316</v>
      </c>
      <c r="K93" s="1">
        <f t="shared" si="19"/>
        <v>0.99635901230689394</v>
      </c>
      <c r="L93" s="1">
        <f t="shared" si="20"/>
        <v>0.99349811955880396</v>
      </c>
      <c r="M93" s="1">
        <f t="shared" si="21"/>
        <v>0.99992747191640086</v>
      </c>
      <c r="N93" s="1">
        <f t="shared" si="22"/>
        <v>0.99984051408154739</v>
      </c>
      <c r="P93" s="1">
        <f t="shared" si="25"/>
        <v>5.4975945184014469E-2</v>
      </c>
      <c r="Q93" s="1">
        <f t="shared" si="23"/>
        <v>0.21337333262886204</v>
      </c>
    </row>
    <row r="94" spans="4:17" x14ac:dyDescent="0.3">
      <c r="D94">
        <f t="shared" si="24"/>
        <v>142</v>
      </c>
      <c r="E94" s="1">
        <f t="shared" si="13"/>
        <v>0.42286570424833902</v>
      </c>
      <c r="F94" s="1">
        <f t="shared" si="14"/>
        <v>0.13421645046565017</v>
      </c>
      <c r="G94" s="1">
        <f t="shared" si="15"/>
        <v>0.98227954002642315</v>
      </c>
      <c r="H94" s="1">
        <f t="shared" si="16"/>
        <v>0.97149827461696203</v>
      </c>
      <c r="I94" s="1">
        <f t="shared" si="17"/>
        <v>0.99935681231692419</v>
      </c>
      <c r="J94" s="1">
        <f t="shared" si="18"/>
        <v>0.99873195619345223</v>
      </c>
      <c r="K94" s="1">
        <f t="shared" si="19"/>
        <v>0.99672604052570291</v>
      </c>
      <c r="L94" s="1">
        <f t="shared" si="20"/>
        <v>0.99411560250467546</v>
      </c>
      <c r="M94" s="1">
        <f t="shared" si="21"/>
        <v>0.99993714626023311</v>
      </c>
      <c r="N94" s="1">
        <f t="shared" si="22"/>
        <v>0.99986085857897367</v>
      </c>
      <c r="P94" s="1">
        <f t="shared" si="25"/>
        <v>4.8954344238283709E-2</v>
      </c>
      <c r="Q94" s="1">
        <f t="shared" si="23"/>
        <v>0.19486266709054689</v>
      </c>
    </row>
    <row r="95" spans="4:17" x14ac:dyDescent="0.3">
      <c r="D95">
        <f t="shared" si="24"/>
        <v>143</v>
      </c>
      <c r="E95" s="1">
        <f t="shared" si="13"/>
        <v>0.41843781371007888</v>
      </c>
      <c r="F95" s="1">
        <f t="shared" si="14"/>
        <v>0.13096004732478381</v>
      </c>
      <c r="G95" s="1">
        <f t="shared" si="15"/>
        <v>0.98375672740954911</v>
      </c>
      <c r="H95" s="1">
        <f t="shared" si="16"/>
        <v>0.97371108651764771</v>
      </c>
      <c r="I95" s="1">
        <f t="shared" si="17"/>
        <v>0.99943121878470054</v>
      </c>
      <c r="J95" s="1">
        <f t="shared" si="18"/>
        <v>0.99887127818437715</v>
      </c>
      <c r="K95" s="1">
        <f t="shared" si="19"/>
        <v>0.99705722075400949</v>
      </c>
      <c r="L95" s="1">
        <f t="shared" si="20"/>
        <v>0.99467671299731342</v>
      </c>
      <c r="M95" s="1">
        <f t="shared" si="21"/>
        <v>0.9999455393914285</v>
      </c>
      <c r="N95" s="1">
        <f t="shared" si="22"/>
        <v>0.99987863351628059</v>
      </c>
      <c r="P95" s="1">
        <f t="shared" si="25"/>
        <v>4.3577620135656997E-2</v>
      </c>
      <c r="Q95" s="1">
        <f t="shared" si="23"/>
        <v>0.17789082382222432</v>
      </c>
    </row>
    <row r="96" spans="4:17" x14ac:dyDescent="0.3">
      <c r="D96">
        <f t="shared" si="24"/>
        <v>144</v>
      </c>
      <c r="E96" s="1">
        <f t="shared" si="13"/>
        <v>0.41408666249996123</v>
      </c>
      <c r="F96" s="1">
        <f t="shared" si="14"/>
        <v>0.12780452546295101</v>
      </c>
      <c r="G96" s="1">
        <f t="shared" si="15"/>
        <v>0.98511795169024241</v>
      </c>
      <c r="H96" s="1">
        <f t="shared" si="16"/>
        <v>0.97576449623418471</v>
      </c>
      <c r="I96" s="1">
        <f t="shared" si="17"/>
        <v>0.9994971607769646</v>
      </c>
      <c r="J96" s="1">
        <f t="shared" si="18"/>
        <v>0.99899561742269538</v>
      </c>
      <c r="K96" s="1">
        <f t="shared" si="19"/>
        <v>0.99735590245618744</v>
      </c>
      <c r="L96" s="1">
        <f t="shared" si="20"/>
        <v>0.99518631332597396</v>
      </c>
      <c r="M96" s="1">
        <f t="shared" si="21"/>
        <v>0.99995281928586111</v>
      </c>
      <c r="N96" s="1">
        <f t="shared" si="22"/>
        <v>0.99989415904426648</v>
      </c>
      <c r="P96" s="1">
        <f t="shared" si="25"/>
        <v>3.8778808872078491E-2</v>
      </c>
      <c r="Q96" s="1">
        <f t="shared" si="23"/>
        <v>0.16233747335903104</v>
      </c>
    </row>
    <row r="97" spans="4:20" x14ac:dyDescent="0.3">
      <c r="D97">
        <f t="shared" si="24"/>
        <v>145</v>
      </c>
      <c r="E97" s="1">
        <f t="shared" si="13"/>
        <v>0.40981040149418352</v>
      </c>
      <c r="F97" s="1">
        <f t="shared" si="14"/>
        <v>0.12474609129906179</v>
      </c>
      <c r="G97" s="1">
        <f t="shared" si="15"/>
        <v>0.98637151101248588</v>
      </c>
      <c r="H97" s="1">
        <f t="shared" si="16"/>
        <v>0.97766867074380182</v>
      </c>
      <c r="I97" s="1">
        <f t="shared" si="17"/>
        <v>0.99955557951700991</v>
      </c>
      <c r="J97" s="1">
        <f t="shared" si="18"/>
        <v>0.999106538579563</v>
      </c>
      <c r="K97" s="1">
        <f t="shared" si="19"/>
        <v>0.99762514200798902</v>
      </c>
      <c r="L97" s="1">
        <f t="shared" si="20"/>
        <v>0.99564888170998167</v>
      </c>
      <c r="M97" s="1">
        <f t="shared" si="21"/>
        <v>0.99995913219915977</v>
      </c>
      <c r="N97" s="1">
        <f t="shared" si="22"/>
        <v>0.99990771615870755</v>
      </c>
      <c r="P97" s="1">
        <f t="shared" si="25"/>
        <v>3.4497603448816583E-2</v>
      </c>
      <c r="Q97" s="1">
        <f t="shared" si="23"/>
        <v>0.14809084448137355</v>
      </c>
    </row>
    <row r="98" spans="4:20" x14ac:dyDescent="0.3">
      <c r="D98">
        <f t="shared" si="24"/>
        <v>146</v>
      </c>
      <c r="E98" s="1">
        <f t="shared" si="13"/>
        <v>0.40560723846444124</v>
      </c>
      <c r="F98" s="1">
        <f t="shared" si="14"/>
        <v>0.1217811186982747</v>
      </c>
      <c r="G98" s="1">
        <f t="shared" si="15"/>
        <v>0.98752519976548314</v>
      </c>
      <c r="H98" s="1">
        <f t="shared" si="16"/>
        <v>0.97943326820622145</v>
      </c>
      <c r="I98" s="1">
        <f t="shared" si="17"/>
        <v>0.99960731480727982</v>
      </c>
      <c r="J98" s="1">
        <f t="shared" si="18"/>
        <v>0.99920544952709855</v>
      </c>
      <c r="K98" s="1">
        <f t="shared" si="19"/>
        <v>0.99786772574821225</v>
      </c>
      <c r="L98" s="1">
        <f t="shared" si="20"/>
        <v>0.99606853823803032</v>
      </c>
      <c r="M98" s="1">
        <f t="shared" si="21"/>
        <v>0.99996460542265009</v>
      </c>
      <c r="N98" s="1">
        <f t="shared" si="22"/>
        <v>0.99991955136849087</v>
      </c>
      <c r="P98" s="1">
        <f t="shared" si="25"/>
        <v>3.0679733720791774E-2</v>
      </c>
      <c r="Q98" s="1">
        <f t="shared" si="23"/>
        <v>0.13504721056619928</v>
      </c>
    </row>
    <row r="99" spans="4:20" x14ac:dyDescent="0.3">
      <c r="D99">
        <f t="shared" si="24"/>
        <v>147</v>
      </c>
      <c r="E99" s="1">
        <f t="shared" si="13"/>
        <v>0.40147543595282598</v>
      </c>
      <c r="F99" s="1">
        <f t="shared" si="14"/>
        <v>0.11890614050155429</v>
      </c>
      <c r="G99" s="1">
        <f t="shared" si="15"/>
        <v>0.98858632891861442</v>
      </c>
      <c r="H99" s="1">
        <f t="shared" si="16"/>
        <v>0.98106744809894708</v>
      </c>
      <c r="I99" s="1">
        <f t="shared" si="17"/>
        <v>0.99965311547854385</v>
      </c>
      <c r="J99" s="1">
        <f t="shared" si="18"/>
        <v>0.99929361612231904</v>
      </c>
      <c r="K99" s="1">
        <f t="shared" si="19"/>
        <v>0.9980861915601863</v>
      </c>
      <c r="L99" s="1">
        <f t="shared" si="20"/>
        <v>0.99644906961702029</v>
      </c>
      <c r="M99" s="1">
        <f t="shared" si="21"/>
        <v>0.99996934969862272</v>
      </c>
      <c r="N99" s="1">
        <f t="shared" si="22"/>
        <v>0.99992988082681877</v>
      </c>
      <c r="P99" s="1">
        <f t="shared" si="25"/>
        <v>2.7276398164723839E-2</v>
      </c>
      <c r="Q99" s="1">
        <f t="shared" si="23"/>
        <v>0.12311039595317652</v>
      </c>
    </row>
    <row r="100" spans="4:20" x14ac:dyDescent="0.3">
      <c r="D100">
        <f t="shared" si="24"/>
        <v>148</v>
      </c>
      <c r="E100" s="1">
        <f t="shared" si="13"/>
        <v>0.39741330923989621</v>
      </c>
      <c r="F100" s="1">
        <f t="shared" si="14"/>
        <v>0.11611784053758838</v>
      </c>
      <c r="G100" s="1">
        <f t="shared" si="15"/>
        <v>0.98956174680035192</v>
      </c>
      <c r="H100" s="1">
        <f t="shared" si="16"/>
        <v>0.98257988310964695</v>
      </c>
      <c r="I100" s="1">
        <f t="shared" si="17"/>
        <v>0.99969364883317147</v>
      </c>
      <c r="J100" s="1">
        <f t="shared" si="18"/>
        <v>0.99937217572801285</v>
      </c>
      <c r="K100" s="1">
        <f t="shared" si="19"/>
        <v>0.99828284902937237</v>
      </c>
      <c r="L100" s="1">
        <f t="shared" si="20"/>
        <v>0.99679395270675641</v>
      </c>
      <c r="M100" s="1">
        <f t="shared" si="21"/>
        <v>0.99997346133551135</v>
      </c>
      <c r="N100" s="1">
        <f t="shared" si="22"/>
        <v>0.99993889398406655</v>
      </c>
      <c r="P100" s="1">
        <f t="shared" si="25"/>
        <v>2.4243744056411373E-2</v>
      </c>
      <c r="Q100" s="1">
        <f t="shared" si="23"/>
        <v>0.11219130288665724</v>
      </c>
    </row>
    <row r="101" spans="4:20" x14ac:dyDescent="0.3">
      <c r="D101">
        <f t="shared" si="24"/>
        <v>149</v>
      </c>
      <c r="E101" s="1">
        <f t="shared" si="13"/>
        <v>0.39341922440124127</v>
      </c>
      <c r="F101" s="1">
        <f t="shared" si="14"/>
        <v>0.11341304608657016</v>
      </c>
      <c r="G101" s="1">
        <f t="shared" si="15"/>
        <v>0.99045786011120007</v>
      </c>
      <c r="H101" s="1">
        <f t="shared" si="16"/>
        <v>0.9839787724859248</v>
      </c>
      <c r="I101" s="1">
        <f t="shared" si="17"/>
        <v>0.9997295091688666</v>
      </c>
      <c r="J101" s="1">
        <f t="shared" si="18"/>
        <v>0.99944214955975696</v>
      </c>
      <c r="K101" s="1">
        <f t="shared" si="19"/>
        <v>0.99845979822956343</v>
      </c>
      <c r="L101" s="1">
        <f t="shared" si="20"/>
        <v>0.99710637683159453</v>
      </c>
      <c r="M101" s="1">
        <f t="shared" si="21"/>
        <v>0.9999770240589877</v>
      </c>
      <c r="N101" s="1">
        <f t="shared" si="22"/>
        <v>0.99994675681499912</v>
      </c>
      <c r="P101" s="1">
        <f t="shared" si="25"/>
        <v>2.1542392658606191E-2</v>
      </c>
      <c r="Q101" s="1">
        <f t="shared" si="23"/>
        <v>0.10220745936970843</v>
      </c>
    </row>
    <row r="102" spans="4:20" x14ac:dyDescent="0.3">
      <c r="D102">
        <f t="shared" si="24"/>
        <v>150</v>
      </c>
      <c r="E102" s="1">
        <f t="shared" si="13"/>
        <v>0.3894915964481182</v>
      </c>
      <c r="F102" s="1">
        <f t="shared" si="14"/>
        <v>0.11078872076746474</v>
      </c>
      <c r="G102" s="1">
        <f t="shared" si="15"/>
        <v>0.99128065498736573</v>
      </c>
      <c r="H102" s="1">
        <f t="shared" si="16"/>
        <v>0.9852718565691857</v>
      </c>
      <c r="I102" s="1">
        <f t="shared" si="17"/>
        <v>0.99976122546339852</v>
      </c>
      <c r="J102" s="1">
        <f t="shared" si="18"/>
        <v>0.99950445394479304</v>
      </c>
      <c r="K102" s="1">
        <f t="shared" si="19"/>
        <v>0.99861894719475575</v>
      </c>
      <c r="L102" s="1">
        <f t="shared" si="20"/>
        <v>0.99738926487265944</v>
      </c>
      <c r="M102" s="1">
        <f t="shared" si="21"/>
        <v>0.99998011063087555</v>
      </c>
      <c r="N102" s="1">
        <f t="shared" si="22"/>
        <v>0.99995361466768151</v>
      </c>
      <c r="P102" s="1">
        <f t="shared" si="25"/>
        <v>1.9137006150035551E-2</v>
      </c>
      <c r="Q102" s="1">
        <f t="shared" si="23"/>
        <v>9.3082588070615202E-2</v>
      </c>
    </row>
    <row r="103" spans="4:20" x14ac:dyDescent="0.3">
      <c r="E103" s="1">
        <v>2</v>
      </c>
      <c r="F103" s="1">
        <v>2</v>
      </c>
      <c r="G103" s="1">
        <v>2</v>
      </c>
      <c r="H103" s="1">
        <v>2</v>
      </c>
      <c r="I103" s="1">
        <v>2</v>
      </c>
      <c r="J103" s="1">
        <v>2</v>
      </c>
      <c r="K103" s="1">
        <v>2</v>
      </c>
      <c r="L103" s="1">
        <v>2</v>
      </c>
      <c r="M103" s="1">
        <v>2</v>
      </c>
      <c r="N103" s="1">
        <v>2</v>
      </c>
      <c r="O103" s="1">
        <v>2</v>
      </c>
      <c r="P103" s="1">
        <v>2</v>
      </c>
      <c r="Q103" s="1">
        <v>2</v>
      </c>
      <c r="R103" s="1">
        <v>2</v>
      </c>
      <c r="S103" s="1">
        <v>2</v>
      </c>
      <c r="T103" s="1">
        <v>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59EF4-F60E-4E7A-AB99-1E697AE1B394}">
  <dimension ref="A1:Y103"/>
  <sheetViews>
    <sheetView zoomScale="75" workbookViewId="0">
      <selection activeCell="S13" sqref="S13"/>
    </sheetView>
  </sheetViews>
  <sheetFormatPr defaultRowHeight="14.4" x14ac:dyDescent="0.3"/>
  <cols>
    <col min="5" max="16" width="8.88671875" style="1"/>
    <col min="17" max="17" width="9.88671875" style="1" bestFit="1" customWidth="1"/>
    <col min="18" max="25" width="8.88671875" style="1"/>
  </cols>
  <sheetData>
    <row r="1" spans="1:25" x14ac:dyDescent="0.3">
      <c r="A1" t="s">
        <v>1</v>
      </c>
      <c r="B1">
        <v>0.2</v>
      </c>
      <c r="D1" t="s">
        <v>0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/>
      <c r="P1" t="s">
        <v>43</v>
      </c>
      <c r="Q1" t="s">
        <v>18</v>
      </c>
      <c r="R1" t="s">
        <v>42</v>
      </c>
      <c r="S1"/>
      <c r="T1"/>
      <c r="U1"/>
      <c r="V1"/>
      <c r="W1"/>
      <c r="X1"/>
      <c r="Y1"/>
    </row>
    <row r="2" spans="1:25" x14ac:dyDescent="0.3">
      <c r="A2" t="s">
        <v>2</v>
      </c>
      <c r="B2">
        <v>0.05</v>
      </c>
      <c r="D2">
        <v>50</v>
      </c>
      <c r="E2" s="1">
        <f>($B$6/D2)^(-1+(2*($B$2-$B$3))/($B$1^2))</f>
        <v>2.0238577025077626</v>
      </c>
      <c r="F2" s="1">
        <f>($B$6/D2)^(1+(2*($B$2-$B$3))/($B$1^2))</f>
        <v>5.1810757184198728</v>
      </c>
      <c r="G2" s="1">
        <f>_xlfn.NORM.S.DIST((LN(D2/$B$4)+($B$2-$B$3+0.5*$B$1^2)*$B$5)/($B$1*SQRT($B$5)),TRUE)</f>
        <v>9.1743260394515119E-4</v>
      </c>
      <c r="H2" s="1">
        <f>_xlfn.NORM.S.DIST((LN(D2/$B$4)+($B$2-$B$3-0.5*$B$1^2)*$B$5)/($B$1*SQRT($B$5)),TRUE)</f>
        <v>4.5701080648094782E-4</v>
      </c>
      <c r="I2" s="1">
        <f>_xlfn.NORM.S.DIST((LN(D2/$B$6)+($B$2-$B$3+0.5*$B$1^2)*$B$5)/($B$1*SQRT($B$5)),TRUE)</f>
        <v>2.2749152233532584E-2</v>
      </c>
      <c r="J2" s="1">
        <f>_xlfn.NORM.S.DIST((LN(D2/$B$6)+($B$2-$B$3-0.5*$B$1^2)*$B$5)/($B$1*SQRT($B$5)),TRUE)</f>
        <v>1.3902803796273839E-2</v>
      </c>
      <c r="K2" s="1">
        <f>_xlfn.NORM.S.DIST((LN(D2/$B$6)-($B$2-$B$3-0.5*$B$1^2)*$B$5)/($B$1*SQRT($B$5)),TRUE)</f>
        <v>6.209347260441719E-3</v>
      </c>
      <c r="L2" s="1">
        <f>_xlfn.NORM.S.DIST((LN(D2/$B$6)-($B$2-$B$3+0.5*$B$1^2)*$B$5)/($B$1*SQRT($B$5)),TRUE)</f>
        <v>3.4667847070069002E-3</v>
      </c>
      <c r="M2" s="1">
        <f>_xlfn.NORM.S.DIST((LN((D2*$B$4)/($B$6^2))-($B$2-$B$3-0.5*$B$1^2)*$B$5)/($B$1*SQRT($B$5)),TRUE)</f>
        <v>8.3133247389647266E-2</v>
      </c>
      <c r="N2" s="1">
        <f>_xlfn.NORM.S.DIST((LN((D2*$B$4)/($B$6^2))-($B$2-$B$3+0.5*$B$1^2)*$B$5)/($B$1*SQRT($B$5)),TRUE)</f>
        <v>5.6562688592755796E-2</v>
      </c>
      <c r="P2" s="1" t="e">
        <f>IF(D2&gt;$B$6,-D2*(I2-G2-F2*(N2-L2))+$B$4*EXP(-$B$2*$B$5)*(J2-H2-E2*(M2-K2)),NA())</f>
        <v>#N/A</v>
      </c>
      <c r="Q2" s="1">
        <f>+D2*G2-$B$4*EXP(-$B$2*$B$5)*H2+$B$4*EXP(-$B$2*$B$5)-D2</f>
        <v>45.125341867624712</v>
      </c>
    </row>
    <row r="3" spans="1:25" x14ac:dyDescent="0.3">
      <c r="A3" t="s">
        <v>3</v>
      </c>
      <c r="B3">
        <v>0</v>
      </c>
      <c r="D3">
        <f>+D2+1</f>
        <v>51</v>
      </c>
      <c r="E3" s="1">
        <f t="shared" ref="E3:E66" si="0">($B$6/D3)^(-1+(2*($B$2-$B$3))/($B$1^2))</f>
        <v>1.9646252269338018</v>
      </c>
      <c r="F3" s="1">
        <f t="shared" ref="F3:F66" si="1">($B$6/D3)^(1+(2*($B$2-$B$3))/($B$1^2))</f>
        <v>4.8341412735010882</v>
      </c>
      <c r="G3" s="1">
        <f t="shared" ref="G3:G66" si="2">_xlfn.NORM.S.DIST((LN(D3/$B$4)+($B$2-$B$3+0.5*$B$1^2)*$B$5)/($B$1*SQRT($B$5)),TRUE)</f>
        <v>1.2776169461878996E-3</v>
      </c>
      <c r="H3" s="1">
        <f t="shared" ref="H3:H66" si="3">_xlfn.NORM.S.DIST((LN(D3/$B$4)+($B$2-$B$3-0.5*$B$1^2)*$B$5)/($B$1*SQRT($B$5)),TRUE)</f>
        <v>6.4831913684379548E-4</v>
      </c>
      <c r="I3" s="1">
        <f t="shared" ref="I3:I66" si="4">_xlfn.NORM.S.DIST((LN(D3/$B$6)+($B$2-$B$3+0.5*$B$1^2)*$B$5)/($B$1*SQRT($B$5)),TRUE)</f>
        <v>2.865067821472797E-2</v>
      </c>
      <c r="J3" s="1">
        <f t="shared" ref="J3:J66" si="5">_xlfn.NORM.S.DIST((LN(D3/$B$6)+($B$2-$B$3-0.5*$B$1^2)*$B$5)/($B$1*SQRT($B$5)),TRUE)</f>
        <v>1.7820263241407418E-2</v>
      </c>
      <c r="K3" s="1">
        <f t="shared" ref="K3:K66" si="6">_xlfn.NORM.S.DIST((LN(D3/$B$6)-($B$2-$B$3-0.5*$B$1^2)*$B$5)/($B$1*SQRT($B$5)),TRUE)</f>
        <v>8.1750563286935723E-3</v>
      </c>
      <c r="L3" s="1">
        <f t="shared" ref="L3:L66" si="7">_xlfn.NORM.S.DIST((LN(D3/$B$6)-($B$2-$B$3+0.5*$B$1^2)*$B$5)/($B$1*SQRT($B$5)),TRUE)</f>
        <v>4.6475548292301593E-3</v>
      </c>
      <c r="M3" s="1">
        <f t="shared" ref="M3:M66" si="8">_xlfn.NORM.S.DIST((LN((D3*$B$4)/($B$6^2))-($B$2-$B$3-0.5*$B$1^2)*$B$5)/($B$1*SQRT($B$5)),TRUE)</f>
        <v>9.9345961421302129E-2</v>
      </c>
      <c r="N3" s="1">
        <f t="shared" ref="N3:N66" si="9">_xlfn.NORM.S.DIST((LN((D3*$B$4)/($B$6^2))-($B$2-$B$3+0.5*$B$1^2)*$B$5)/($B$1*SQRT($B$5)),TRUE)</f>
        <v>6.8733873521170955E-2</v>
      </c>
      <c r="P3" s="1" t="e">
        <f t="shared" ref="P3:P66" si="10">IF(D3&gt;$B$6,-D3*(I3-G3-F3*(N3-L3))+$B$4*EXP(-$B$2*$B$5)*(J3-H3-E3*(M3-K3)),NA())</f>
        <v>#N/A</v>
      </c>
      <c r="Q3" s="1">
        <f t="shared" ref="Q3:Q66" si="11">+D3*G3-$B$4*EXP(-$B$2*$B$5)*H3+$B$4*EXP(-$B$2*$B$5)-D3</f>
        <v>44.126430890383716</v>
      </c>
    </row>
    <row r="4" spans="1:25" x14ac:dyDescent="0.3">
      <c r="A4" t="s">
        <v>4</v>
      </c>
      <c r="B4">
        <v>100</v>
      </c>
      <c r="D4">
        <f t="shared" ref="D4:D67" si="12">+D3+1</f>
        <v>52</v>
      </c>
      <c r="E4" s="1">
        <f t="shared" si="0"/>
        <v>1.9082266859878223</v>
      </c>
      <c r="F4" s="1">
        <f t="shared" si="1"/>
        <v>4.5165128662433673</v>
      </c>
      <c r="G4" s="1">
        <f t="shared" si="2"/>
        <v>1.7522228265699302E-3</v>
      </c>
      <c r="H4" s="1">
        <f t="shared" si="3"/>
        <v>9.0538450405572843E-4</v>
      </c>
      <c r="I4" s="1">
        <f t="shared" si="4"/>
        <v>3.5622349442744658E-2</v>
      </c>
      <c r="J4" s="1">
        <f t="shared" si="5"/>
        <v>2.2539605701555526E-2</v>
      </c>
      <c r="K4" s="1">
        <f t="shared" si="6"/>
        <v>1.0613719533783083E-2</v>
      </c>
      <c r="L4" s="1">
        <f t="shared" si="7"/>
        <v>6.1413842177723815E-3</v>
      </c>
      <c r="M4" s="1">
        <f t="shared" si="8"/>
        <v>0.11737793736165314</v>
      </c>
      <c r="N4" s="1">
        <f t="shared" si="9"/>
        <v>8.2538559587976901E-2</v>
      </c>
      <c r="P4" s="1" t="e">
        <f t="shared" si="10"/>
        <v>#N/A</v>
      </c>
      <c r="Q4" s="1">
        <f t="shared" si="11"/>
        <v>43.127935198978562</v>
      </c>
    </row>
    <row r="5" spans="1:25" x14ac:dyDescent="0.3">
      <c r="A5" t="s">
        <v>7</v>
      </c>
      <c r="B5">
        <v>1</v>
      </c>
      <c r="D5">
        <f t="shared" si="12"/>
        <v>53</v>
      </c>
      <c r="E5" s="1">
        <f t="shared" si="0"/>
        <v>1.8544758244043809</v>
      </c>
      <c r="F5" s="1">
        <f t="shared" si="1"/>
        <v>4.2252208174396726</v>
      </c>
      <c r="G5" s="1">
        <f t="shared" si="2"/>
        <v>2.3685252013891452E-3</v>
      </c>
      <c r="H5" s="1">
        <f t="shared" si="3"/>
        <v>1.2456696454977963E-3</v>
      </c>
      <c r="I5" s="1">
        <f t="shared" si="4"/>
        <v>4.3755712948085744E-2</v>
      </c>
      <c r="J5" s="1">
        <f t="shared" si="5"/>
        <v>2.8152105063271458E-2</v>
      </c>
      <c r="K5" s="1">
        <f t="shared" si="6"/>
        <v>1.359867579004825E-2</v>
      </c>
      <c r="L5" s="1">
        <f t="shared" si="7"/>
        <v>8.0053047701296228E-3</v>
      </c>
      <c r="M5" s="1">
        <f t="shared" si="8"/>
        <v>0.13720659260116119</v>
      </c>
      <c r="N5" s="1">
        <f t="shared" si="9"/>
        <v>9.8013164834676869E-2</v>
      </c>
      <c r="P5" s="1" t="e">
        <f t="shared" si="10"/>
        <v>#N/A</v>
      </c>
      <c r="Q5" s="1">
        <f t="shared" si="11"/>
        <v>42.129982523744545</v>
      </c>
    </row>
    <row r="6" spans="1:25" x14ac:dyDescent="0.3">
      <c r="A6" s="2" t="s">
        <v>5</v>
      </c>
      <c r="B6" s="2">
        <v>80</v>
      </c>
      <c r="D6">
        <f t="shared" si="12"/>
        <v>54</v>
      </c>
      <c r="E6" s="1">
        <f t="shared" si="0"/>
        <v>1.8032018354079538</v>
      </c>
      <c r="F6" s="1">
        <f t="shared" si="1"/>
        <v>3.9576446318967431</v>
      </c>
      <c r="G6" s="1">
        <f t="shared" si="2"/>
        <v>3.1577875391597013E-3</v>
      </c>
      <c r="H6" s="1">
        <f t="shared" si="3"/>
        <v>1.6897408241303975E-3</v>
      </c>
      <c r="I6" s="1">
        <f t="shared" si="4"/>
        <v>5.3132294571672213E-2</v>
      </c>
      <c r="J6" s="1">
        <f t="shared" si="5"/>
        <v>3.4745595898136056E-2</v>
      </c>
      <c r="K6" s="1">
        <f t="shared" si="6"/>
        <v>1.7205901257852745E-2</v>
      </c>
      <c r="L6" s="1">
        <f t="shared" si="7"/>
        <v>1.0300640705599095E-2</v>
      </c>
      <c r="M6" s="1">
        <f t="shared" si="8"/>
        <v>0.15877743546210796</v>
      </c>
      <c r="N6" s="1">
        <f t="shared" si="9"/>
        <v>0.1151677281472737</v>
      </c>
      <c r="P6" s="1" t="e">
        <f t="shared" si="10"/>
        <v>#N/A</v>
      </c>
      <c r="Q6" s="1">
        <f t="shared" si="11"/>
        <v>41.132729858016731</v>
      </c>
    </row>
    <row r="7" spans="1:25" x14ac:dyDescent="0.3">
      <c r="A7" t="s">
        <v>6</v>
      </c>
      <c r="D7">
        <f t="shared" si="12"/>
        <v>55</v>
      </c>
      <c r="E7" s="1">
        <f t="shared" si="0"/>
        <v>1.7542478229978973</v>
      </c>
      <c r="F7" s="1">
        <f t="shared" si="1"/>
        <v>3.7114664684914191</v>
      </c>
      <c r="G7" s="1">
        <f t="shared" si="2"/>
        <v>4.1552807396121006E-3</v>
      </c>
      <c r="H7" s="1">
        <f t="shared" si="3"/>
        <v>2.2614462892193688E-3</v>
      </c>
      <c r="I7" s="1">
        <f t="shared" si="4"/>
        <v>6.3820924457033038E-2</v>
      </c>
      <c r="J7" s="1">
        <f t="shared" si="5"/>
        <v>4.2402031588428042E-2</v>
      </c>
      <c r="K7" s="1">
        <f t="shared" si="6"/>
        <v>2.1512498545705458E-2</v>
      </c>
      <c r="L7" s="1">
        <f t="shared" si="7"/>
        <v>1.309215477789037E-2</v>
      </c>
      <c r="M7" s="1">
        <f t="shared" si="8"/>
        <v>0.18200529487704187</v>
      </c>
      <c r="N7" s="1">
        <f t="shared" si="9"/>
        <v>0.13398500959213649</v>
      </c>
      <c r="P7" s="1" t="e">
        <f t="shared" si="10"/>
        <v>#N/A</v>
      </c>
      <c r="Q7" s="1">
        <f t="shared" si="11"/>
        <v>40.136367465526732</v>
      </c>
    </row>
    <row r="8" spans="1:25" x14ac:dyDescent="0.3">
      <c r="D8">
        <f t="shared" si="12"/>
        <v>56</v>
      </c>
      <c r="E8" s="1">
        <f t="shared" si="0"/>
        <v>1.7074694419062764</v>
      </c>
      <c r="F8" s="1">
        <f t="shared" si="1"/>
        <v>3.4846315140944415</v>
      </c>
      <c r="G8" s="1">
        <f t="shared" si="2"/>
        <v>5.4001828370714424E-3</v>
      </c>
      <c r="H8" s="1">
        <f t="shared" si="3"/>
        <v>2.9880261642968565E-3</v>
      </c>
      <c r="I8" s="1">
        <f t="shared" si="4"/>
        <v>7.5875389491867534E-2</v>
      </c>
      <c r="J8" s="1">
        <f t="shared" si="5"/>
        <v>5.1195105289887979E-2</v>
      </c>
      <c r="K8" s="1">
        <f t="shared" si="6"/>
        <v>2.6595026593737539E-2</v>
      </c>
      <c r="L8" s="1">
        <f t="shared" si="7"/>
        <v>1.6446999584280534E-2</v>
      </c>
      <c r="M8" s="1">
        <f t="shared" si="8"/>
        <v>0.20677654565179621</v>
      </c>
      <c r="N8" s="1">
        <f t="shared" si="9"/>
        <v>0.15442050322526796</v>
      </c>
      <c r="P8" s="1" t="e">
        <f t="shared" si="10"/>
        <v>#N/A</v>
      </c>
      <c r="Q8" s="1">
        <f t="shared" si="11"/>
        <v>39.141122848081693</v>
      </c>
    </row>
    <row r="9" spans="1:25" x14ac:dyDescent="0.3">
      <c r="D9">
        <f t="shared" si="12"/>
        <v>57</v>
      </c>
      <c r="E9" s="1">
        <f t="shared" si="0"/>
        <v>1.6627336919553466</v>
      </c>
      <c r="F9" s="1">
        <f t="shared" si="1"/>
        <v>3.2753141362001279</v>
      </c>
      <c r="G9" s="1">
        <f t="shared" si="2"/>
        <v>6.9353501388724004E-3</v>
      </c>
      <c r="H9" s="1">
        <f t="shared" si="3"/>
        <v>3.9001406935920669E-3</v>
      </c>
      <c r="I9" s="1">
        <f t="shared" si="4"/>
        <v>8.9332506213167073E-2</v>
      </c>
      <c r="J9" s="1">
        <f t="shared" si="5"/>
        <v>6.118802891746674E-2</v>
      </c>
      <c r="K9" s="1">
        <f t="shared" si="6"/>
        <v>3.2527728623287462E-2</v>
      </c>
      <c r="L9" s="1">
        <f t="shared" si="7"/>
        <v>2.0433501163701309E-2</v>
      </c>
      <c r="M9" s="1">
        <f t="shared" si="8"/>
        <v>0.23295218009952234</v>
      </c>
      <c r="N9" s="1">
        <f t="shared" si="9"/>
        <v>0.17640332581220575</v>
      </c>
      <c r="P9" s="1" t="e">
        <f t="shared" si="10"/>
        <v>#N/A</v>
      </c>
      <c r="Q9" s="1">
        <f t="shared" si="11"/>
        <v>38.147264549243388</v>
      </c>
    </row>
    <row r="10" spans="1:25" x14ac:dyDescent="0.3">
      <c r="D10">
        <f t="shared" si="12"/>
        <v>58</v>
      </c>
      <c r="E10" s="1">
        <f t="shared" si="0"/>
        <v>1.6199178469371129</v>
      </c>
      <c r="F10" s="1">
        <f t="shared" si="1"/>
        <v>3.0818888883464699</v>
      </c>
      <c r="G10" s="1">
        <f t="shared" si="2"/>
        <v>8.8069554637979063E-3</v>
      </c>
      <c r="H10" s="1">
        <f t="shared" si="3"/>
        <v>5.0318061217311284E-3</v>
      </c>
      <c r="I10" s="1">
        <f t="shared" si="4"/>
        <v>0.1042106847970086</v>
      </c>
      <c r="J10" s="1">
        <f t="shared" si="5"/>
        <v>7.2431556640269429E-2</v>
      </c>
      <c r="K10" s="1">
        <f t="shared" si="6"/>
        <v>3.9380721058774548E-2</v>
      </c>
      <c r="L10" s="1">
        <f t="shared" si="7"/>
        <v>2.5119810624071742E-2</v>
      </c>
      <c r="M10" s="1">
        <f t="shared" si="8"/>
        <v>0.26037154833098097</v>
      </c>
      <c r="N10" s="1">
        <f t="shared" si="9"/>
        <v>0.19983790503042118</v>
      </c>
      <c r="P10" s="1" t="e">
        <f t="shared" si="10"/>
        <v>#N/A</v>
      </c>
      <c r="Q10" s="1">
        <f t="shared" si="11"/>
        <v>37.15510566283433</v>
      </c>
    </row>
    <row r="11" spans="1:25" x14ac:dyDescent="0.3">
      <c r="D11">
        <f t="shared" si="12"/>
        <v>59</v>
      </c>
      <c r="E11" s="1">
        <f t="shared" si="0"/>
        <v>1.5789085009886965</v>
      </c>
      <c r="F11" s="1">
        <f t="shared" si="1"/>
        <v>2.9029056036563219</v>
      </c>
      <c r="G11" s="1">
        <f t="shared" si="2"/>
        <v>1.1063994588625184E-2</v>
      </c>
      <c r="H11" s="1">
        <f t="shared" si="3"/>
        <v>6.4202305102069755E-3</v>
      </c>
      <c r="I11" s="1">
        <f t="shared" si="4"/>
        <v>0.12050902942373484</v>
      </c>
      <c r="J11" s="1">
        <f t="shared" si="5"/>
        <v>8.4962326393855592E-2</v>
      </c>
      <c r="K11" s="1">
        <f t="shared" si="6"/>
        <v>4.7218208422958319E-2</v>
      </c>
      <c r="L11" s="1">
        <f t="shared" si="7"/>
        <v>3.0572466228807632E-2</v>
      </c>
      <c r="M11" s="1">
        <f t="shared" si="8"/>
        <v>0.28885657424382638</v>
      </c>
      <c r="N11" s="1">
        <f t="shared" si="9"/>
        <v>0.22460635899946862</v>
      </c>
      <c r="P11" s="1" t="e">
        <f t="shared" si="10"/>
        <v>#N/A</v>
      </c>
      <c r="Q11" s="1">
        <f t="shared" si="11"/>
        <v>36.165006913461681</v>
      </c>
    </row>
    <row r="12" spans="1:25" x14ac:dyDescent="0.3">
      <c r="D12">
        <f t="shared" si="12"/>
        <v>60</v>
      </c>
      <c r="E12" s="1">
        <f t="shared" si="0"/>
        <v>1.5396007178390017</v>
      </c>
      <c r="F12" s="1">
        <f t="shared" si="1"/>
        <v>2.7370679428248912</v>
      </c>
      <c r="G12" s="1">
        <f t="shared" si="2"/>
        <v>1.3757667572379631E-2</v>
      </c>
      <c r="H12" s="1">
        <f t="shared" si="3"/>
        <v>8.1055453543928818E-3</v>
      </c>
      <c r="I12" s="1">
        <f t="shared" si="4"/>
        <v>0.13820699431731612</v>
      </c>
      <c r="J12" s="1">
        <f t="shared" si="5"/>
        <v>9.88015767617475E-2</v>
      </c>
      <c r="K12" s="1">
        <f t="shared" si="6"/>
        <v>5.6096787909261946E-2</v>
      </c>
      <c r="L12" s="1">
        <f t="shared" si="7"/>
        <v>3.6854912861482687E-2</v>
      </c>
      <c r="M12" s="1">
        <f t="shared" si="8"/>
        <v>0.31821625137768728</v>
      </c>
      <c r="N12" s="1">
        <f t="shared" si="9"/>
        <v>0.25057143637985901</v>
      </c>
      <c r="P12" s="1" t="e">
        <f t="shared" si="10"/>
        <v>#N/A</v>
      </c>
      <c r="Q12" s="1">
        <f t="shared" si="11"/>
        <v>35.177379180141827</v>
      </c>
    </row>
    <row r="13" spans="1:25" x14ac:dyDescent="0.3">
      <c r="D13">
        <f t="shared" si="12"/>
        <v>61</v>
      </c>
      <c r="E13" s="1">
        <f t="shared" si="0"/>
        <v>1.5018972703314573</v>
      </c>
      <c r="F13" s="1">
        <f t="shared" si="1"/>
        <v>2.5832148696912993</v>
      </c>
      <c r="G13" s="1">
        <f t="shared" si="2"/>
        <v>1.6940646996379562E-2</v>
      </c>
      <c r="H13" s="1">
        <f t="shared" si="3"/>
        <v>1.0130432769837662E-2</v>
      </c>
      <c r="I13" s="1">
        <f t="shared" si="4"/>
        <v>0.15726458971827267</v>
      </c>
      <c r="J13" s="1">
        <f t="shared" si="5"/>
        <v>0.1139542784481312</v>
      </c>
      <c r="K13" s="1">
        <f t="shared" si="6"/>
        <v>6.6063902902151583E-2</v>
      </c>
      <c r="L13" s="1">
        <f t="shared" si="7"/>
        <v>4.4026027898188956E-2</v>
      </c>
      <c r="M13" s="1">
        <f t="shared" si="8"/>
        <v>0.34825123067510422</v>
      </c>
      <c r="N13" s="1">
        <f t="shared" si="9"/>
        <v>0.27757987299880582</v>
      </c>
      <c r="P13" s="1" t="e">
        <f t="shared" si="10"/>
        <v>#N/A</v>
      </c>
      <c r="Q13" s="1">
        <f t="shared" si="11"/>
        <v>34.192685343490979</v>
      </c>
    </row>
    <row r="14" spans="1:25" x14ac:dyDescent="0.3">
      <c r="D14">
        <f t="shared" si="12"/>
        <v>62</v>
      </c>
      <c r="E14" s="1">
        <f t="shared" si="0"/>
        <v>1.4657079593472637</v>
      </c>
      <c r="F14" s="1">
        <f t="shared" si="1"/>
        <v>2.4403046149382122</v>
      </c>
      <c r="G14" s="1">
        <f t="shared" si="2"/>
        <v>2.0666250043050845E-2</v>
      </c>
      <c r="H14" s="1">
        <f t="shared" si="3"/>
        <v>1.2539652060149441E-2</v>
      </c>
      <c r="I14" s="1">
        <f t="shared" si="4"/>
        <v>0.17762310931678654</v>
      </c>
      <c r="J14" s="1">
        <f t="shared" si="5"/>
        <v>0.13040870066703703</v>
      </c>
      <c r="K14" s="1">
        <f t="shared" si="6"/>
        <v>7.7156497587044362E-2</v>
      </c>
      <c r="L14" s="1">
        <f t="shared" si="7"/>
        <v>5.2138702234498846E-2</v>
      </c>
      <c r="M14" s="1">
        <f t="shared" si="8"/>
        <v>0.37875832873076487</v>
      </c>
      <c r="N14" s="1">
        <f t="shared" si="9"/>
        <v>0.30546601653577515</v>
      </c>
      <c r="P14" s="1" t="e">
        <f t="shared" si="10"/>
        <v>#N/A</v>
      </c>
      <c r="Q14" s="1">
        <f t="shared" si="11"/>
        <v>33.211441351479039</v>
      </c>
    </row>
    <row r="15" spans="1:25" x14ac:dyDescent="0.3">
      <c r="D15">
        <f t="shared" si="12"/>
        <v>63</v>
      </c>
      <c r="E15" s="1">
        <f t="shared" si="0"/>
        <v>1.4309490027149485</v>
      </c>
      <c r="F15" s="1">
        <f t="shared" si="1"/>
        <v>2.3074007602357445</v>
      </c>
      <c r="G15" s="1">
        <f t="shared" si="2"/>
        <v>2.498753548684823E-2</v>
      </c>
      <c r="H15" s="1">
        <f t="shared" si="3"/>
        <v>1.5379473450350702E-2</v>
      </c>
      <c r="I15" s="1">
        <f t="shared" si="4"/>
        <v>0.19920633128044682</v>
      </c>
      <c r="J15" s="1">
        <f t="shared" si="5"/>
        <v>0.14813641423131851</v>
      </c>
      <c r="K15" s="1">
        <f t="shared" si="6"/>
        <v>8.9399915534194394E-2</v>
      </c>
      <c r="L15" s="1">
        <f t="shared" si="7"/>
        <v>6.1238522672663394E-2</v>
      </c>
      <c r="M15" s="1">
        <f t="shared" si="8"/>
        <v>0.40953480802606818</v>
      </c>
      <c r="N15" s="1">
        <f t="shared" si="9"/>
        <v>0.33405557425897331</v>
      </c>
      <c r="P15" s="1" t="e">
        <f t="shared" si="10"/>
        <v>#N/A</v>
      </c>
      <c r="Q15" s="1">
        <f t="shared" si="11"/>
        <v>32.234216417812732</v>
      </c>
    </row>
    <row r="16" spans="1:25" x14ac:dyDescent="0.3">
      <c r="D16">
        <f t="shared" si="12"/>
        <v>64</v>
      </c>
      <c r="E16" s="1">
        <f t="shared" si="0"/>
        <v>1.3975424859373684</v>
      </c>
      <c r="F16" s="1">
        <f t="shared" si="1"/>
        <v>2.1836601342771385</v>
      </c>
      <c r="G16" s="1">
        <f t="shared" si="2"/>
        <v>2.9956349889287862E-2</v>
      </c>
      <c r="H16" s="1">
        <f t="shared" si="3"/>
        <v>1.8697030468110387E-2</v>
      </c>
      <c r="I16" s="1">
        <f t="shared" si="4"/>
        <v>0.22192212964817964</v>
      </c>
      <c r="J16" s="1">
        <f t="shared" si="5"/>
        <v>0.16709271590694216</v>
      </c>
      <c r="K16" s="1">
        <f t="shared" si="6"/>
        <v>0.10280707440266672</v>
      </c>
      <c r="L16" s="1">
        <f t="shared" si="7"/>
        <v>7.1362597335071901E-2</v>
      </c>
      <c r="M16" s="1">
        <f t="shared" si="8"/>
        <v>0.4403823076297575</v>
      </c>
      <c r="N16" s="1">
        <f t="shared" si="9"/>
        <v>0.3631693488243809</v>
      </c>
      <c r="P16" s="1" t="e">
        <f t="shared" si="10"/>
        <v>#N/A</v>
      </c>
      <c r="Q16" s="1">
        <f t="shared" si="11"/>
        <v>31.261632289780536</v>
      </c>
    </row>
    <row r="17" spans="4:25" x14ac:dyDescent="0.3">
      <c r="D17">
        <f t="shared" si="12"/>
        <v>65</v>
      </c>
      <c r="E17" s="1">
        <f t="shared" si="0"/>
        <v>1.3654158676313333</v>
      </c>
      <c r="F17" s="1">
        <f t="shared" si="1"/>
        <v>2.0683222610273453</v>
      </c>
      <c r="G17" s="1">
        <f t="shared" si="2"/>
        <v>3.5622349442744658E-2</v>
      </c>
      <c r="H17" s="1">
        <f t="shared" si="3"/>
        <v>2.2539605701555526E-2</v>
      </c>
      <c r="I17" s="1">
        <f t="shared" si="4"/>
        <v>0.24566442187804399</v>
      </c>
      <c r="J17" s="1">
        <f t="shared" si="5"/>
        <v>0.18721744347703587</v>
      </c>
      <c r="K17" s="1">
        <f t="shared" si="6"/>
        <v>0.11737793736165314</v>
      </c>
      <c r="L17" s="1">
        <f t="shared" si="7"/>
        <v>8.2538559587976901E-2</v>
      </c>
      <c r="M17" s="1">
        <f t="shared" si="8"/>
        <v>0.471110331754173</v>
      </c>
      <c r="N17" s="1">
        <f t="shared" si="9"/>
        <v>0.39262684222089195</v>
      </c>
      <c r="P17" s="1" t="e">
        <f t="shared" si="10"/>
        <v>#N/A</v>
      </c>
      <c r="Q17" s="1">
        <f t="shared" si="11"/>
        <v>30.294361547853441</v>
      </c>
    </row>
    <row r="18" spans="4:25" x14ac:dyDescent="0.3">
      <c r="D18">
        <f t="shared" si="12"/>
        <v>66</v>
      </c>
      <c r="E18" s="1">
        <f t="shared" si="0"/>
        <v>1.3345015334864976</v>
      </c>
      <c r="F18" s="1">
        <f t="shared" si="1"/>
        <v>1.960700141026994</v>
      </c>
      <c r="G18" s="1">
        <f t="shared" si="2"/>
        <v>4.2032024926565832E-2</v>
      </c>
      <c r="H18" s="1">
        <f t="shared" si="3"/>
        <v>2.6953867308990524E-2</v>
      </c>
      <c r="I18" s="1">
        <f t="shared" si="4"/>
        <v>0.27031537177288706</v>
      </c>
      <c r="J18" s="1">
        <f t="shared" si="5"/>
        <v>0.20843613848885223</v>
      </c>
      <c r="K18" s="1">
        <f t="shared" si="6"/>
        <v>0.13309929011570709</v>
      </c>
      <c r="L18" s="1">
        <f t="shared" si="7"/>
        <v>9.4783778553500134E-2</v>
      </c>
      <c r="M18" s="1">
        <f t="shared" si="8"/>
        <v>0.50153923252208465</v>
      </c>
      <c r="N18" s="1">
        <f t="shared" si="9"/>
        <v>0.42224962650741954</v>
      </c>
      <c r="P18" s="1" t="e">
        <f t="shared" si="10"/>
        <v>#N/A</v>
      </c>
      <c r="Q18" s="1">
        <f t="shared" si="11"/>
        <v>29.333124926384784</v>
      </c>
    </row>
    <row r="19" spans="4:25" x14ac:dyDescent="0.3">
      <c r="D19">
        <f t="shared" si="12"/>
        <v>67</v>
      </c>
      <c r="E19" s="1">
        <f t="shared" si="0"/>
        <v>1.3047363933329026</v>
      </c>
      <c r="F19" s="1">
        <f t="shared" si="1"/>
        <v>1.8601721802919522</v>
      </c>
      <c r="G19" s="1">
        <f t="shared" si="2"/>
        <v>4.9227757121873481E-2</v>
      </c>
      <c r="H19" s="1">
        <f t="shared" si="3"/>
        <v>3.1985075593968647E-2</v>
      </c>
      <c r="I19" s="1">
        <f t="shared" si="4"/>
        <v>0.29574776464432601</v>
      </c>
      <c r="J19" s="1">
        <f t="shared" si="5"/>
        <v>0.23066150416550998</v>
      </c>
      <c r="K19" s="1">
        <f t="shared" si="6"/>
        <v>0.14994482113619231</v>
      </c>
      <c r="L19" s="1">
        <f t="shared" si="7"/>
        <v>0.10810479610568276</v>
      </c>
      <c r="M19" s="1">
        <f t="shared" si="8"/>
        <v>0.53150265079777548</v>
      </c>
      <c r="N19" s="1">
        <f t="shared" si="9"/>
        <v>0.45186440054290344</v>
      </c>
      <c r="P19" s="1" t="e">
        <f t="shared" si="10"/>
        <v>#N/A</v>
      </c>
      <c r="Q19" s="1">
        <f t="shared" si="11"/>
        <v>28.378687672250663</v>
      </c>
    </row>
    <row r="20" spans="4:25" x14ac:dyDescent="0.3">
      <c r="D20">
        <f t="shared" si="12"/>
        <v>68</v>
      </c>
      <c r="E20" s="1">
        <f t="shared" si="0"/>
        <v>1.2760615165803304</v>
      </c>
      <c r="F20" s="1">
        <f t="shared" si="1"/>
        <v>1.7661751094537446</v>
      </c>
      <c r="G20" s="1">
        <f t="shared" si="2"/>
        <v>5.7246928835850606E-2</v>
      </c>
      <c r="H20" s="1">
        <f t="shared" si="3"/>
        <v>3.7676280122255684E-2</v>
      </c>
      <c r="I20" s="1">
        <f t="shared" si="4"/>
        <v>0.32182747298832592</v>
      </c>
      <c r="J20" s="1">
        <f t="shared" si="5"/>
        <v>0.2537950995737065</v>
      </c>
      <c r="K20" s="1">
        <f t="shared" si="6"/>
        <v>0.16787549234269009</v>
      </c>
      <c r="L20" s="1">
        <f t="shared" si="7"/>
        <v>0.12249700173414359</v>
      </c>
      <c r="M20" s="1">
        <f t="shared" si="8"/>
        <v>0.56084940381856596</v>
      </c>
      <c r="N20" s="1">
        <f t="shared" si="9"/>
        <v>0.48130567310904271</v>
      </c>
      <c r="P20" s="1" t="e">
        <f t="shared" si="10"/>
        <v>#N/A</v>
      </c>
      <c r="Q20" s="1">
        <f t="shared" si="11"/>
        <v>27.431854985107151</v>
      </c>
    </row>
    <row r="21" spans="4:25" x14ac:dyDescent="0.3">
      <c r="D21">
        <f t="shared" si="12"/>
        <v>69</v>
      </c>
      <c r="E21" s="1">
        <f t="shared" si="0"/>
        <v>1.248421801874007</v>
      </c>
      <c r="F21" s="1">
        <f t="shared" si="1"/>
        <v>1.6781977592929311</v>
      </c>
      <c r="G21" s="1">
        <f t="shared" si="2"/>
        <v>6.6121117521279929E-2</v>
      </c>
      <c r="H21" s="1">
        <f t="shared" si="3"/>
        <v>4.4067528221766718E-2</v>
      </c>
      <c r="I21" s="1">
        <f t="shared" si="4"/>
        <v>0.3484159355677145</v>
      </c>
      <c r="J21" s="1">
        <f t="shared" si="5"/>
        <v>0.27772920778458887</v>
      </c>
      <c r="K21" s="1">
        <f t="shared" si="6"/>
        <v>0.18684017843760983</v>
      </c>
      <c r="L21" s="1">
        <f t="shared" si="7"/>
        <v>0.13794454823523097</v>
      </c>
      <c r="M21" s="1">
        <f t="shared" si="8"/>
        <v>0.58944482984891855</v>
      </c>
      <c r="N21" s="1">
        <f t="shared" si="9"/>
        <v>0.51041803352424431</v>
      </c>
      <c r="P21" s="1" t="e">
        <f t="shared" si="10"/>
        <v>#N/A</v>
      </c>
      <c r="Q21" s="1">
        <f t="shared" si="11"/>
        <v>26.493466608083708</v>
      </c>
    </row>
    <row r="22" spans="4:25" x14ac:dyDescent="0.3">
      <c r="D22">
        <f t="shared" si="12"/>
        <v>70</v>
      </c>
      <c r="E22" s="1">
        <f t="shared" si="0"/>
        <v>1.2217656773139398</v>
      </c>
      <c r="F22" s="1">
        <f t="shared" si="1"/>
        <v>1.5957755785324927</v>
      </c>
      <c r="G22" s="1">
        <f t="shared" si="2"/>
        <v>7.5875389491867534E-2</v>
      </c>
      <c r="H22" s="1">
        <f t="shared" si="3"/>
        <v>5.1195105289887979E-2</v>
      </c>
      <c r="I22" s="1">
        <f t="shared" si="4"/>
        <v>0.37537257997691609</v>
      </c>
      <c r="J22" s="1">
        <f t="shared" si="5"/>
        <v>0.3023488152322148</v>
      </c>
      <c r="K22" s="1">
        <f t="shared" si="6"/>
        <v>0.20677654565179621</v>
      </c>
      <c r="L22" s="1">
        <f t="shared" si="7"/>
        <v>0.15442050322526796</v>
      </c>
      <c r="M22" s="1">
        <f t="shared" si="8"/>
        <v>0.61717161772794926</v>
      </c>
      <c r="N22" s="1">
        <f t="shared" si="9"/>
        <v>0.53905799013656419</v>
      </c>
      <c r="P22" s="1" t="e">
        <f t="shared" si="10"/>
        <v>#N/A</v>
      </c>
      <c r="Q22" s="1">
        <f t="shared" si="11"/>
        <v>25.564390660286776</v>
      </c>
    </row>
    <row r="23" spans="4:25" x14ac:dyDescent="0.3">
      <c r="D23">
        <f t="shared" si="12"/>
        <v>71</v>
      </c>
      <c r="E23" s="1">
        <f t="shared" si="0"/>
        <v>1.196044828020902</v>
      </c>
      <c r="F23" s="1">
        <f t="shared" si="1"/>
        <v>1.518485796336793</v>
      </c>
      <c r="G23" s="1">
        <f t="shared" si="2"/>
        <v>8.6527713105777324E-2</v>
      </c>
      <c r="H23" s="1">
        <f t="shared" si="3"/>
        <v>5.9090826188563622E-2</v>
      </c>
      <c r="I23" s="1">
        <f t="shared" si="4"/>
        <v>0.40255712781938857</v>
      </c>
      <c r="J23" s="1">
        <f t="shared" si="5"/>
        <v>0.32753364143264074</v>
      </c>
      <c r="K23" s="1">
        <f t="shared" si="6"/>
        <v>0.22761213497074548</v>
      </c>
      <c r="L23" s="1">
        <f t="shared" si="7"/>
        <v>0.17188722427012917</v>
      </c>
      <c r="M23" s="1">
        <f t="shared" si="8"/>
        <v>0.64393016284585802</v>
      </c>
      <c r="N23" s="1">
        <f t="shared" si="9"/>
        <v>0.56709537429657186</v>
      </c>
      <c r="P23" s="1" t="e">
        <f t="shared" si="10"/>
        <v>#N/A</v>
      </c>
      <c r="Q23" s="1">
        <f t="shared" si="11"/>
        <v>24.645516821719681</v>
      </c>
    </row>
    <row r="24" spans="4:25" x14ac:dyDescent="0.3">
      <c r="D24">
        <f t="shared" si="12"/>
        <v>72</v>
      </c>
      <c r="E24" s="1">
        <f t="shared" si="0"/>
        <v>1.1712139482105108</v>
      </c>
      <c r="F24" s="1">
        <f t="shared" si="1"/>
        <v>1.4459431459389025</v>
      </c>
      <c r="G24" s="1">
        <f t="shared" si="2"/>
        <v>9.808850421185164E-2</v>
      </c>
      <c r="H24" s="1">
        <f t="shared" si="3"/>
        <v>6.7781395220415125E-2</v>
      </c>
      <c r="I24" s="1">
        <f t="shared" si="4"/>
        <v>0.4298317318895431</v>
      </c>
      <c r="J24" s="1">
        <f t="shared" si="5"/>
        <v>0.35316016226972924</v>
      </c>
      <c r="K24" s="1">
        <f t="shared" si="6"/>
        <v>0.24926561103492151</v>
      </c>
      <c r="L24" s="1">
        <f t="shared" si="7"/>
        <v>0.19029693922450786</v>
      </c>
      <c r="M24" s="1">
        <f t="shared" si="8"/>
        <v>0.66963850085793852</v>
      </c>
      <c r="N24" s="1">
        <f t="shared" si="9"/>
        <v>0.59441432211371659</v>
      </c>
      <c r="P24" s="1" t="e">
        <f t="shared" si="10"/>
        <v>#N/A</v>
      </c>
      <c r="Q24" s="1">
        <f t="shared" si="11"/>
        <v>23.737748996587626</v>
      </c>
    </row>
    <row r="25" spans="4:25" x14ac:dyDescent="0.3">
      <c r="D25">
        <f t="shared" si="12"/>
        <v>73</v>
      </c>
      <c r="E25" s="1">
        <f t="shared" si="0"/>
        <v>1.1472305152662217</v>
      </c>
      <c r="F25" s="1">
        <f t="shared" si="1"/>
        <v>1.3777960776325424</v>
      </c>
      <c r="G25" s="1">
        <f t="shared" si="2"/>
        <v>0.1105603128221091</v>
      </c>
      <c r="H25" s="1">
        <f t="shared" si="3"/>
        <v>7.7287849856471358E-2</v>
      </c>
      <c r="I25" s="1">
        <f t="shared" si="4"/>
        <v>0.45706290559787938</v>
      </c>
      <c r="J25" s="1">
        <f t="shared" si="5"/>
        <v>0.37910357573287645</v>
      </c>
      <c r="K25" s="1">
        <f t="shared" si="6"/>
        <v>0.27164813580399183</v>
      </c>
      <c r="L25" s="1">
        <f t="shared" si="7"/>
        <v>0.20959250833250315</v>
      </c>
      <c r="M25" s="1">
        <f t="shared" si="8"/>
        <v>0.69423187660077446</v>
      </c>
      <c r="N25" s="1">
        <f t="shared" si="9"/>
        <v>0.62091385826713208</v>
      </c>
      <c r="P25" s="1" t="e">
        <f t="shared" si="10"/>
        <v>#N/A</v>
      </c>
      <c r="Q25" s="1">
        <f t="shared" si="11"/>
        <v>22.84199759209848</v>
      </c>
    </row>
    <row r="26" spans="4:25" x14ac:dyDescent="0.3">
      <c r="D26">
        <f t="shared" si="12"/>
        <v>74</v>
      </c>
      <c r="E26" s="1">
        <f t="shared" si="0"/>
        <v>1.1240545835892679</v>
      </c>
      <c r="F26" s="1">
        <f t="shared" si="1"/>
        <v>1.3137233993738704</v>
      </c>
      <c r="G26" s="1">
        <f t="shared" si="2"/>
        <v>0.12393765558058713</v>
      </c>
      <c r="H26" s="1">
        <f t="shared" si="3"/>
        <v>8.7625100650928198E-2</v>
      </c>
      <c r="I26" s="1">
        <f t="shared" si="4"/>
        <v>0.48412321576396822</v>
      </c>
      <c r="J26" s="1">
        <f t="shared" si="5"/>
        <v>0.40523966584835919</v>
      </c>
      <c r="K26" s="1">
        <f t="shared" si="6"/>
        <v>0.2946648256257105</v>
      </c>
      <c r="L26" s="1">
        <f t="shared" si="7"/>
        <v>0.22970834084517741</v>
      </c>
      <c r="M26" s="1">
        <f t="shared" si="8"/>
        <v>0.71766200861468776</v>
      </c>
      <c r="N26" s="1">
        <f t="shared" si="9"/>
        <v>0.64650811532792618</v>
      </c>
      <c r="P26" s="1" t="e">
        <f t="shared" si="10"/>
        <v>#N/A</v>
      </c>
      <c r="Q26" s="1">
        <f t="shared" si="11"/>
        <v>21.9591715566349</v>
      </c>
    </row>
    <row r="27" spans="4:25" x14ac:dyDescent="0.3">
      <c r="D27">
        <f t="shared" si="12"/>
        <v>75</v>
      </c>
      <c r="E27" s="1">
        <f t="shared" si="0"/>
        <v>1.1016485962545541</v>
      </c>
      <c r="F27" s="1">
        <f t="shared" si="1"/>
        <v>1.2534312917385149</v>
      </c>
      <c r="G27" s="1">
        <f t="shared" si="2"/>
        <v>0.13820699431731612</v>
      </c>
      <c r="H27" s="1">
        <f t="shared" si="3"/>
        <v>9.88015767617475E-2</v>
      </c>
      <c r="I27" s="1">
        <f t="shared" si="4"/>
        <v>0.51089272036957423</v>
      </c>
      <c r="J27" s="1">
        <f t="shared" si="5"/>
        <v>0.43144652813697848</v>
      </c>
      <c r="K27" s="1">
        <f t="shared" si="6"/>
        <v>0.31821625137768728</v>
      </c>
      <c r="L27" s="1">
        <f t="shared" si="7"/>
        <v>0.25057143637985901</v>
      </c>
      <c r="M27" s="1">
        <f t="shared" si="8"/>
        <v>0.73989610987649923</v>
      </c>
      <c r="N27" s="1">
        <f t="shared" si="9"/>
        <v>0.67112622855285142</v>
      </c>
      <c r="P27" s="1" t="e">
        <f t="shared" si="10"/>
        <v>#N/A</v>
      </c>
      <c r="Q27" s="1">
        <f t="shared" si="11"/>
        <v>21.090170323586094</v>
      </c>
    </row>
    <row r="28" spans="4:25" x14ac:dyDescent="0.3">
      <c r="D28">
        <f t="shared" si="12"/>
        <v>76</v>
      </c>
      <c r="E28" s="1">
        <f t="shared" si="0"/>
        <v>1.0799772127212148</v>
      </c>
      <c r="F28" s="1">
        <f t="shared" si="1"/>
        <v>1.1966506512146422</v>
      </c>
      <c r="G28" s="1">
        <f t="shared" si="2"/>
        <v>0.15334685695990033</v>
      </c>
      <c r="H28" s="1">
        <f t="shared" si="3"/>
        <v>0.1108189833296617</v>
      </c>
      <c r="I28" s="1">
        <f t="shared" si="4"/>
        <v>0.53726014255325238</v>
      </c>
      <c r="J28" s="1">
        <f t="shared" si="5"/>
        <v>0.45760612784927152</v>
      </c>
      <c r="K28" s="1">
        <f t="shared" si="6"/>
        <v>0.34219994363471501</v>
      </c>
      <c r="L28" s="1">
        <f t="shared" si="7"/>
        <v>0.27210251994096124</v>
      </c>
      <c r="M28" s="1">
        <f t="shared" si="8"/>
        <v>0.76091572331767421</v>
      </c>
      <c r="N28" s="1">
        <f t="shared" si="9"/>
        <v>0.69471195013527043</v>
      </c>
      <c r="P28" s="1" t="e">
        <f t="shared" si="10"/>
        <v>#N/A</v>
      </c>
      <c r="Q28" s="1">
        <f t="shared" si="11"/>
        <v>20.235875805380999</v>
      </c>
    </row>
    <row r="29" spans="4:25" x14ac:dyDescent="0.3">
      <c r="D29">
        <f t="shared" si="12"/>
        <v>77</v>
      </c>
      <c r="E29" s="1">
        <f t="shared" si="0"/>
        <v>1.0590071510392218</v>
      </c>
      <c r="F29" s="1">
        <f t="shared" si="1"/>
        <v>1.1431347219853294</v>
      </c>
      <c r="G29" s="1">
        <f t="shared" si="2"/>
        <v>0.16932809344974412</v>
      </c>
      <c r="H29" s="1">
        <f t="shared" si="3"/>
        <v>0.12367217377857848</v>
      </c>
      <c r="I29" s="1">
        <f t="shared" si="4"/>
        <v>0.56312378077476588</v>
      </c>
      <c r="J29" s="1">
        <f t="shared" si="5"/>
        <v>0.48360567011896261</v>
      </c>
      <c r="K29" s="1">
        <f t="shared" si="6"/>
        <v>0.36651186811168257</v>
      </c>
      <c r="L29" s="1">
        <f t="shared" si="7"/>
        <v>0.2942172393555133</v>
      </c>
      <c r="M29" s="1">
        <f t="shared" si="8"/>
        <v>0.78071542695438045</v>
      </c>
      <c r="N29" s="1">
        <f t="shared" si="9"/>
        <v>0.71722302872953592</v>
      </c>
      <c r="P29" s="1" t="e">
        <f t="shared" si="10"/>
        <v>#N/A</v>
      </c>
      <c r="Q29" s="1">
        <f t="shared" si="11"/>
        <v>19.397144576686756</v>
      </c>
    </row>
    <row r="30" spans="4:25" x14ac:dyDescent="0.3">
      <c r="D30">
        <f t="shared" si="12"/>
        <v>78</v>
      </c>
      <c r="E30" s="1">
        <f t="shared" si="0"/>
        <v>1.0387070431627348</v>
      </c>
      <c r="F30" s="1">
        <f t="shared" si="1"/>
        <v>1.092656981630753</v>
      </c>
      <c r="G30" s="1">
        <f t="shared" si="2"/>
        <v>0.18611425617187966</v>
      </c>
      <c r="H30" s="1">
        <f t="shared" si="3"/>
        <v>0.13734913700303766</v>
      </c>
      <c r="I30" s="1">
        <f t="shared" si="4"/>
        <v>0.5883921625111701</v>
      </c>
      <c r="J30" s="1">
        <f t="shared" si="5"/>
        <v>0.50933876873775241</v>
      </c>
      <c r="K30" s="1">
        <f t="shared" si="6"/>
        <v>0.39104784068993775</v>
      </c>
      <c r="L30" s="1">
        <f t="shared" si="7"/>
        <v>0.31682739472420379</v>
      </c>
      <c r="M30" s="1">
        <f t="shared" si="8"/>
        <v>0.79930145847003164</v>
      </c>
      <c r="N30" s="1">
        <f t="shared" si="9"/>
        <v>0.73863040002463587</v>
      </c>
      <c r="P30" s="1" t="e">
        <f t="shared" si="10"/>
        <v>#N/A</v>
      </c>
      <c r="Q30" s="1">
        <f t="shared" si="11"/>
        <v>18.574800376771094</v>
      </c>
    </row>
    <row r="31" spans="4:25" x14ac:dyDescent="0.3">
      <c r="D31">
        <f t="shared" si="12"/>
        <v>79</v>
      </c>
      <c r="E31" s="1">
        <f t="shared" si="0"/>
        <v>1.0190473021298787</v>
      </c>
      <c r="F31" s="1">
        <f t="shared" si="1"/>
        <v>1.045009250702007</v>
      </c>
      <c r="G31" s="1">
        <f t="shared" si="2"/>
        <v>0.20366209182294573</v>
      </c>
      <c r="H31" s="1">
        <f t="shared" si="3"/>
        <v>0.15183109650407789</v>
      </c>
      <c r="I31" s="1">
        <f t="shared" si="4"/>
        <v>0.61298445497748055</v>
      </c>
      <c r="J31" s="1">
        <f t="shared" si="5"/>
        <v>0.53470640725485508</v>
      </c>
      <c r="K31" s="1">
        <f t="shared" si="6"/>
        <v>0.41570485590560652</v>
      </c>
      <c r="L31" s="1">
        <f t="shared" si="7"/>
        <v>0.33984217120075344</v>
      </c>
      <c r="M31" s="1">
        <f t="shared" si="8"/>
        <v>0.8166903033041073</v>
      </c>
      <c r="N31" s="1">
        <f t="shared" si="9"/>
        <v>0.7589172325759701</v>
      </c>
      <c r="P31" s="1" t="e">
        <f t="shared" si="10"/>
        <v>#N/A</v>
      </c>
      <c r="Q31" s="1">
        <f t="shared" si="11"/>
        <v>17.769627049195478</v>
      </c>
    </row>
    <row r="32" spans="4:25" s="2" customFormat="1" x14ac:dyDescent="0.3">
      <c r="D32" s="2">
        <f t="shared" si="12"/>
        <v>80</v>
      </c>
      <c r="E32" s="3">
        <f t="shared" si="0"/>
        <v>1</v>
      </c>
      <c r="F32" s="3">
        <f t="shared" si="1"/>
        <v>1</v>
      </c>
      <c r="G32" s="3">
        <f t="shared" si="2"/>
        <v>0.22192212964817964</v>
      </c>
      <c r="H32" s="3">
        <f t="shared" si="3"/>
        <v>0.16709271590694216</v>
      </c>
      <c r="I32" s="3">
        <f t="shared" si="4"/>
        <v>0.6368306511756191</v>
      </c>
      <c r="J32" s="3">
        <f t="shared" si="5"/>
        <v>0.5596176923702425</v>
      </c>
      <c r="K32" s="3">
        <f t="shared" si="6"/>
        <v>0.4403823076297575</v>
      </c>
      <c r="L32" s="3">
        <f t="shared" si="7"/>
        <v>0.3631693488243809</v>
      </c>
      <c r="M32" s="3">
        <f t="shared" si="8"/>
        <v>0.83290728409305792</v>
      </c>
      <c r="N32" s="3">
        <f t="shared" si="9"/>
        <v>0.77807787035182041</v>
      </c>
      <c r="O32" s="3"/>
      <c r="P32" s="1" t="e">
        <f t="shared" si="10"/>
        <v>#N/A</v>
      </c>
      <c r="Q32" s="3">
        <f t="shared" si="11"/>
        <v>16.982362022883592</v>
      </c>
      <c r="R32" s="3"/>
      <c r="S32" s="3"/>
      <c r="T32" s="3"/>
      <c r="U32" s="3"/>
      <c r="V32" s="3"/>
      <c r="W32" s="3"/>
      <c r="X32" s="3"/>
      <c r="Y32" s="3"/>
    </row>
    <row r="33" spans="4:17" x14ac:dyDescent="0.3">
      <c r="D33">
        <f t="shared" si="12"/>
        <v>81</v>
      </c>
      <c r="E33" s="1">
        <f t="shared" si="0"/>
        <v>0.98153875555546322</v>
      </c>
      <c r="F33" s="1">
        <f t="shared" si="1"/>
        <v>0.95745283273204751</v>
      </c>
      <c r="G33" s="1">
        <f t="shared" si="2"/>
        <v>0.24083934958525399</v>
      </c>
      <c r="H33" s="1">
        <f t="shared" si="3"/>
        <v>0.1831024030067662</v>
      </c>
      <c r="I33" s="1">
        <f t="shared" si="4"/>
        <v>0.65987155310599599</v>
      </c>
      <c r="J33" s="1">
        <f t="shared" si="5"/>
        <v>0.58399040500775801</v>
      </c>
      <c r="K33" s="1">
        <f t="shared" si="6"/>
        <v>0.46498308559388407</v>
      </c>
      <c r="L33" s="1">
        <f t="shared" si="7"/>
        <v>0.38671646607246096</v>
      </c>
      <c r="M33" s="1">
        <f t="shared" si="8"/>
        <v>0.84798518299710601</v>
      </c>
      <c r="N33" s="1">
        <f t="shared" si="9"/>
        <v>0.79611670983651983</v>
      </c>
      <c r="P33" s="1">
        <f t="shared" si="10"/>
        <v>0.18283200688886136</v>
      </c>
      <c r="Q33" s="1">
        <f t="shared" si="11"/>
        <v>16.213690422794571</v>
      </c>
    </row>
    <row r="34" spans="4:17" x14ac:dyDescent="0.3">
      <c r="D34">
        <f t="shared" si="12"/>
        <v>82</v>
      </c>
      <c r="E34" s="1">
        <f t="shared" si="0"/>
        <v>0.96363863087764834</v>
      </c>
      <c r="F34" s="1">
        <f t="shared" si="1"/>
        <v>0.91720512159680978</v>
      </c>
      <c r="G34" s="1">
        <f t="shared" si="2"/>
        <v>0.26035391304643163</v>
      </c>
      <c r="H34" s="1">
        <f t="shared" si="3"/>
        <v>0.19982270258658966</v>
      </c>
      <c r="I34" s="1">
        <f t="shared" si="4"/>
        <v>0.68205857631160149</v>
      </c>
      <c r="J34" s="1">
        <f t="shared" si="5"/>
        <v>0.60775135896277344</v>
      </c>
      <c r="K34" s="1">
        <f t="shared" si="6"/>
        <v>0.48941453623024889</v>
      </c>
      <c r="L34" s="1">
        <f t="shared" si="7"/>
        <v>0.41039191710681877</v>
      </c>
      <c r="M34" s="1">
        <f t="shared" si="8"/>
        <v>0.86196292228464055</v>
      </c>
      <c r="N34" s="1">
        <f t="shared" si="9"/>
        <v>0.81304704534907979</v>
      </c>
      <c r="P34" s="1">
        <f t="shared" si="10"/>
        <v>0.35828590560869422</v>
      </c>
      <c r="Q34" s="1">
        <f t="shared" si="11"/>
        <v>15.464239881516903</v>
      </c>
    </row>
    <row r="35" spans="4:17" x14ac:dyDescent="0.3">
      <c r="D35">
        <f t="shared" si="12"/>
        <v>83</v>
      </c>
      <c r="E35" s="1">
        <f t="shared" si="0"/>
        <v>0.94627603599771759</v>
      </c>
      <c r="F35" s="1">
        <f t="shared" si="1"/>
        <v>0.87910678333363224</v>
      </c>
      <c r="G35" s="1">
        <f t="shared" si="2"/>
        <v>0.28040193881670084</v>
      </c>
      <c r="H35" s="1">
        <f t="shared" si="3"/>
        <v>0.21721076676158513</v>
      </c>
      <c r="I35" s="1">
        <f t="shared" si="4"/>
        <v>0.70335340118209677</v>
      </c>
      <c r="J35" s="1">
        <f t="shared" si="5"/>
        <v>0.63083658060465964</v>
      </c>
      <c r="K35" s="1">
        <f t="shared" si="6"/>
        <v>0.51358928085737543</v>
      </c>
      <c r="L35" s="1">
        <f t="shared" si="7"/>
        <v>0.43410596620095415</v>
      </c>
      <c r="M35" s="1">
        <f t="shared" si="8"/>
        <v>0.87488432272693184</v>
      </c>
      <c r="N35" s="1">
        <f t="shared" si="9"/>
        <v>0.82888991174106652</v>
      </c>
      <c r="P35" s="1">
        <f t="shared" si="10"/>
        <v>0.52499243695661058</v>
      </c>
      <c r="Q35" s="1">
        <f t="shared" si="11"/>
        <v>14.734576105659428</v>
      </c>
    </row>
    <row r="36" spans="4:17" x14ac:dyDescent="0.3">
      <c r="D36">
        <f t="shared" si="12"/>
        <v>84</v>
      </c>
      <c r="E36" s="1">
        <f t="shared" si="0"/>
        <v>0.92942864090336486</v>
      </c>
      <c r="F36" s="1">
        <f t="shared" si="1"/>
        <v>0.84301917542255311</v>
      </c>
      <c r="G36" s="1">
        <f t="shared" si="2"/>
        <v>0.30091630679418058</v>
      </c>
      <c r="H36" s="1">
        <f t="shared" si="3"/>
        <v>0.23521889053261621</v>
      </c>
      <c r="I36" s="1">
        <f t="shared" si="4"/>
        <v>0.72372749676293524</v>
      </c>
      <c r="J36" s="1">
        <f t="shared" si="5"/>
        <v>0.65319132580079731</v>
      </c>
      <c r="K36" s="1">
        <f t="shared" si="6"/>
        <v>0.53742588843117112</v>
      </c>
      <c r="L36" s="1">
        <f t="shared" si="7"/>
        <v>0.45777166641519473</v>
      </c>
      <c r="M36" s="1">
        <f t="shared" si="8"/>
        <v>0.88679695401783565</v>
      </c>
      <c r="N36" s="1">
        <f t="shared" si="9"/>
        <v>0.84367294904761647</v>
      </c>
      <c r="P36" s="1">
        <f t="shared" si="10"/>
        <v>0.681799750364112</v>
      </c>
      <c r="Q36" s="1">
        <f t="shared" si="11"/>
        <v>14.025199233478872</v>
      </c>
    </row>
    <row r="37" spans="4:17" x14ac:dyDescent="0.3">
      <c r="D37">
        <f t="shared" si="12"/>
        <v>85</v>
      </c>
      <c r="E37" s="1">
        <f t="shared" si="0"/>
        <v>0.91307529425443001</v>
      </c>
      <c r="F37" s="1">
        <f t="shared" si="1"/>
        <v>0.80881410148489297</v>
      </c>
      <c r="G37" s="1">
        <f t="shared" si="2"/>
        <v>0.32182747298832592</v>
      </c>
      <c r="H37" s="1">
        <f t="shared" si="3"/>
        <v>0.2537950995737065</v>
      </c>
      <c r="I37" s="1">
        <f t="shared" si="4"/>
        <v>0.74316154234047893</v>
      </c>
      <c r="J37" s="1">
        <f t="shared" si="5"/>
        <v>0.67476995206984969</v>
      </c>
      <c r="K37" s="1">
        <f t="shared" si="6"/>
        <v>0.56084940381856596</v>
      </c>
      <c r="L37" s="1">
        <f t="shared" si="7"/>
        <v>0.48130567310904271</v>
      </c>
      <c r="M37" s="1">
        <f t="shared" si="8"/>
        <v>0.89775108666486181</v>
      </c>
      <c r="N37" s="1">
        <f t="shared" si="9"/>
        <v>0.85742930915653504</v>
      </c>
      <c r="P37" s="1">
        <f t="shared" si="10"/>
        <v>0.82777289177754376</v>
      </c>
      <c r="Q37" s="1">
        <f t="shared" si="11"/>
        <v>13.336541003219281</v>
      </c>
    </row>
    <row r="38" spans="4:17" x14ac:dyDescent="0.3">
      <c r="D38">
        <f t="shared" si="12"/>
        <v>86</v>
      </c>
      <c r="E38" s="1">
        <f t="shared" si="0"/>
        <v>0.8971959482240226</v>
      </c>
      <c r="F38" s="1">
        <f t="shared" si="1"/>
        <v>0.77637291355242621</v>
      </c>
      <c r="G38" s="1">
        <f t="shared" si="2"/>
        <v>0.3430642802517952</v>
      </c>
      <c r="H38" s="1">
        <f t="shared" si="3"/>
        <v>0.27288377701092037</v>
      </c>
      <c r="I38" s="1">
        <f t="shared" si="4"/>
        <v>0.76164477095898886</v>
      </c>
      <c r="J38" s="1">
        <f t="shared" si="5"/>
        <v>0.69553566504313602</v>
      </c>
      <c r="K38" s="1">
        <f t="shared" si="6"/>
        <v>0.58379173577955823</v>
      </c>
      <c r="L38" s="1">
        <f t="shared" si="7"/>
        <v>0.50462894624179744</v>
      </c>
      <c r="M38" s="1">
        <f t="shared" si="8"/>
        <v>0.90779875064684978</v>
      </c>
      <c r="N38" s="1">
        <f t="shared" si="9"/>
        <v>0.87019662026882283</v>
      </c>
      <c r="P38" s="1">
        <f t="shared" si="10"/>
        <v>0.96218899053664231</v>
      </c>
      <c r="Q38" s="1">
        <f t="shared" si="11"/>
        <v>12.668962735557898</v>
      </c>
    </row>
    <row r="39" spans="4:17" x14ac:dyDescent="0.3">
      <c r="D39">
        <f t="shared" si="12"/>
        <v>87</v>
      </c>
      <c r="E39" s="1">
        <f t="shared" si="0"/>
        <v>0.8817715889386375</v>
      </c>
      <c r="F39" s="1">
        <f t="shared" si="1"/>
        <v>0.74558570078045705</v>
      </c>
      <c r="G39" s="1">
        <f t="shared" si="2"/>
        <v>0.36455475057991477</v>
      </c>
      <c r="H39" s="1">
        <f t="shared" si="3"/>
        <v>0.29242631604295122</v>
      </c>
      <c r="I39" s="1">
        <f t="shared" si="4"/>
        <v>0.77917425741541391</v>
      </c>
      <c r="J39" s="1">
        <f t="shared" si="5"/>
        <v>0.71546015870446644</v>
      </c>
      <c r="K39" s="1">
        <f t="shared" si="6"/>
        <v>0.60619191153837015</v>
      </c>
      <c r="L39" s="1">
        <f t="shared" si="7"/>
        <v>0.52766733853206538</v>
      </c>
      <c r="M39" s="1">
        <f t="shared" si="8"/>
        <v>0.91699290261301969</v>
      </c>
      <c r="N39" s="1">
        <f t="shared" si="9"/>
        <v>0.88201602094958687</v>
      </c>
      <c r="P39" s="1">
        <f t="shared" si="10"/>
        <v>1.0845287979450369</v>
      </c>
      <c r="Q39" s="1">
        <f t="shared" si="11"/>
        <v>12.022754118683949</v>
      </c>
    </row>
    <row r="40" spans="4:17" x14ac:dyDescent="0.3">
      <c r="D40">
        <f t="shared" si="12"/>
        <v>88</v>
      </c>
      <c r="E40" s="1">
        <f t="shared" si="0"/>
        <v>0.86678417204144753</v>
      </c>
      <c r="F40" s="1">
        <f t="shared" si="1"/>
        <v>0.716350555406155</v>
      </c>
      <c r="G40" s="1">
        <f t="shared" si="2"/>
        <v>0.38622684639358018</v>
      </c>
      <c r="H40" s="1">
        <f t="shared" si="3"/>
        <v>0.31236178566653661</v>
      </c>
      <c r="I40" s="1">
        <f t="shared" si="4"/>
        <v>0.79575417130958659</v>
      </c>
      <c r="J40" s="1">
        <f t="shared" si="5"/>
        <v>0.73452316868917078</v>
      </c>
      <c r="K40" s="1">
        <f t="shared" si="6"/>
        <v>0.62799620698115977</v>
      </c>
      <c r="L40" s="1">
        <f t="shared" si="7"/>
        <v>0.5503520693628241</v>
      </c>
      <c r="M40" s="1">
        <f t="shared" si="8"/>
        <v>0.92538670049523342</v>
      </c>
      <c r="N40" s="1">
        <f t="shared" si="9"/>
        <v>0.89293127197839894</v>
      </c>
      <c r="P40" s="1">
        <f t="shared" si="10"/>
        <v>1.1944652350577858</v>
      </c>
      <c r="Q40" s="1">
        <f t="shared" si="11"/>
        <v>11.398132771146962</v>
      </c>
    </row>
    <row r="41" spans="4:17" x14ac:dyDescent="0.3">
      <c r="D41">
        <f t="shared" si="12"/>
        <v>89</v>
      </c>
      <c r="E41" s="1">
        <f t="shared" si="0"/>
        <v>0.85221656294827364</v>
      </c>
      <c r="F41" s="1">
        <f t="shared" si="1"/>
        <v>0.68857290782337466</v>
      </c>
      <c r="G41" s="1">
        <f t="shared" si="2"/>
        <v>0.4080091899555649</v>
      </c>
      <c r="H41" s="1">
        <f t="shared" si="3"/>
        <v>0.33262759745726467</v>
      </c>
      <c r="I41" s="1">
        <f t="shared" si="4"/>
        <v>0.8113950135242648</v>
      </c>
      <c r="J41" s="1">
        <f t="shared" si="5"/>
        <v>0.75271195725349704</v>
      </c>
      <c r="K41" s="1">
        <f t="shared" si="6"/>
        <v>0.64915816315169494</v>
      </c>
      <c r="L41" s="1">
        <f t="shared" si="7"/>
        <v>0.57262008678983101</v>
      </c>
      <c r="M41" s="1">
        <f t="shared" si="8"/>
        <v>0.93303288208696988</v>
      </c>
      <c r="N41" s="1">
        <f t="shared" si="9"/>
        <v>0.90298795104202267</v>
      </c>
      <c r="P41" s="1">
        <f t="shared" si="10"/>
        <v>1.2918495915288037</v>
      </c>
      <c r="Q41" s="1">
        <f t="shared" si="11"/>
        <v>10.795244545883776</v>
      </c>
    </row>
    <row r="42" spans="4:17" x14ac:dyDescent="0.3">
      <c r="D42">
        <f t="shared" si="12"/>
        <v>90</v>
      </c>
      <c r="E42" s="1">
        <f t="shared" si="0"/>
        <v>0.83805248140627853</v>
      </c>
      <c r="F42" s="1">
        <f t="shared" si="1"/>
        <v>0.66216492358026935</v>
      </c>
      <c r="G42" s="1">
        <f t="shared" si="2"/>
        <v>0.4298317318895431</v>
      </c>
      <c r="H42" s="1">
        <f t="shared" si="3"/>
        <v>0.35316016226972924</v>
      </c>
      <c r="I42" s="1">
        <f t="shared" si="4"/>
        <v>0.82611285217965236</v>
      </c>
      <c r="J42" s="1">
        <f t="shared" si="5"/>
        <v>0.77002074747556115</v>
      </c>
      <c r="K42" s="1">
        <f t="shared" si="6"/>
        <v>0.66963850085793852</v>
      </c>
      <c r="L42" s="1">
        <f t="shared" si="7"/>
        <v>0.59441432211371659</v>
      </c>
      <c r="M42" s="1">
        <f t="shared" si="8"/>
        <v>0.93998324236194897</v>
      </c>
      <c r="N42" s="1">
        <f t="shared" si="9"/>
        <v>0.9122327325859062</v>
      </c>
      <c r="P42" s="1">
        <f t="shared" si="10"/>
        <v>1.3766959852482934</v>
      </c>
      <c r="Q42" s="1">
        <f t="shared" si="11"/>
        <v>10.214164528888958</v>
      </c>
    </row>
    <row r="43" spans="4:17" x14ac:dyDescent="0.3">
      <c r="D43">
        <f t="shared" si="12"/>
        <v>91</v>
      </c>
      <c r="E43" s="1">
        <f t="shared" si="0"/>
        <v>0.8242764500017502</v>
      </c>
      <c r="F43" s="1">
        <f t="shared" si="1"/>
        <v>0.63704495592455035</v>
      </c>
      <c r="G43" s="1">
        <f t="shared" si="2"/>
        <v>0.45162636161494119</v>
      </c>
      <c r="H43" s="1">
        <f t="shared" si="3"/>
        <v>0.37389552681062799</v>
      </c>
      <c r="I43" s="1">
        <f t="shared" si="4"/>
        <v>0.83992857174251268</v>
      </c>
      <c r="J43" s="1">
        <f t="shared" si="5"/>
        <v>0.78645012291291072</v>
      </c>
      <c r="K43" s="1">
        <f t="shared" si="6"/>
        <v>0.68940494589318801</v>
      </c>
      <c r="L43" s="1">
        <f t="shared" si="7"/>
        <v>0.61568384320214653</v>
      </c>
      <c r="M43" s="1">
        <f t="shared" si="8"/>
        <v>0.94628820300694261</v>
      </c>
      <c r="N43" s="1">
        <f t="shared" si="9"/>
        <v>0.92071275285110543</v>
      </c>
      <c r="P43" s="1">
        <f t="shared" si="10"/>
        <v>1.4491646478666347</v>
      </c>
      <c r="Q43" s="1">
        <f t="shared" si="11"/>
        <v>9.654898677884546</v>
      </c>
    </row>
    <row r="44" spans="4:17" x14ac:dyDescent="0.3">
      <c r="D44">
        <f t="shared" si="12"/>
        <v>92</v>
      </c>
      <c r="E44" s="1">
        <f t="shared" si="0"/>
        <v>0.81087374629592501</v>
      </c>
      <c r="F44" s="1">
        <f t="shared" si="1"/>
        <v>0.6131370482388846</v>
      </c>
      <c r="G44" s="1">
        <f t="shared" si="2"/>
        <v>0.47332745432577039</v>
      </c>
      <c r="H44" s="1">
        <f t="shared" si="3"/>
        <v>0.39476998125538587</v>
      </c>
      <c r="I44" s="1">
        <f t="shared" si="4"/>
        <v>0.85286714664627372</v>
      </c>
      <c r="J44" s="1">
        <f t="shared" si="5"/>
        <v>0.80200640740621953</v>
      </c>
      <c r="K44" s="1">
        <f t="shared" si="6"/>
        <v>0.70843197766458088</v>
      </c>
      <c r="L44" s="1">
        <f t="shared" si="7"/>
        <v>0.63638391410337869</v>
      </c>
      <c r="M44" s="1">
        <f t="shared" si="8"/>
        <v>0.95199646676696037</v>
      </c>
      <c r="N44" s="1">
        <f t="shared" si="9"/>
        <v>0.92847505825306986</v>
      </c>
      <c r="P44" s="1">
        <f t="shared" si="10"/>
        <v>1.5095445477738458</v>
      </c>
      <c r="Q44" s="1">
        <f t="shared" si="11"/>
        <v>9.1173860400704427</v>
      </c>
    </row>
    <row r="45" spans="4:17" x14ac:dyDescent="0.3">
      <c r="D45">
        <f t="shared" si="12"/>
        <v>93</v>
      </c>
      <c r="E45" s="1">
        <f t="shared" si="0"/>
        <v>0.79783035829706372</v>
      </c>
      <c r="F45" s="1">
        <f t="shared" si="1"/>
        <v>0.59037048133902281</v>
      </c>
      <c r="G45" s="1">
        <f t="shared" si="2"/>
        <v>0.49487235088282017</v>
      </c>
      <c r="H45" s="1">
        <f t="shared" si="3"/>
        <v>0.41572063037670659</v>
      </c>
      <c r="I45" s="1">
        <f t="shared" si="4"/>
        <v>0.86495694855523819</v>
      </c>
      <c r="J45" s="1">
        <f t="shared" si="5"/>
        <v>0.81670103806091809</v>
      </c>
      <c r="K45" s="1">
        <f t="shared" si="6"/>
        <v>0.7267005139631878</v>
      </c>
      <c r="L45" s="1">
        <f t="shared" si="7"/>
        <v>0.65647596949256359</v>
      </c>
      <c r="M45" s="1">
        <f t="shared" si="8"/>
        <v>0.95715474868543249</v>
      </c>
      <c r="N45" s="1">
        <f t="shared" si="9"/>
        <v>0.93556613378022968</v>
      </c>
      <c r="P45" s="1">
        <f t="shared" si="10"/>
        <v>1.5582358029304544</v>
      </c>
      <c r="Q45" s="1">
        <f t="shared" si="11"/>
        <v>8.601501483542819</v>
      </c>
    </row>
    <row r="46" spans="4:17" x14ac:dyDescent="0.3">
      <c r="D46">
        <f t="shared" si="12"/>
        <v>94</v>
      </c>
      <c r="E46" s="1">
        <f t="shared" si="0"/>
        <v>0.78513294300330649</v>
      </c>
      <c r="F46" s="1">
        <f t="shared" si="1"/>
        <v>0.56867936116129036</v>
      </c>
      <c r="G46" s="1">
        <f t="shared" si="2"/>
        <v>0.51620176861942191</v>
      </c>
      <c r="H46" s="1">
        <f t="shared" si="3"/>
        <v>0.43668592198918132</v>
      </c>
      <c r="I46" s="1">
        <f t="shared" si="4"/>
        <v>0.87622909432807694</v>
      </c>
      <c r="J46" s="1">
        <f t="shared" si="5"/>
        <v>0.83054994272576588</v>
      </c>
      <c r="K46" s="1">
        <f t="shared" si="6"/>
        <v>0.74419754425916673</v>
      </c>
      <c r="L46" s="1">
        <f t="shared" si="7"/>
        <v>0.67592751316183319</v>
      </c>
      <c r="M46" s="1">
        <f t="shared" si="8"/>
        <v>0.96180757610739231</v>
      </c>
      <c r="N46" s="1">
        <f t="shared" si="9"/>
        <v>0.94203150696867644</v>
      </c>
      <c r="P46" s="1">
        <f t="shared" si="10"/>
        <v>1.5957322739582018</v>
      </c>
      <c r="Q46" s="1">
        <f t="shared" si="11"/>
        <v>8.1070588741637977</v>
      </c>
    </row>
    <row r="47" spans="4:17" x14ac:dyDescent="0.3">
      <c r="D47">
        <f t="shared" si="12"/>
        <v>95</v>
      </c>
      <c r="E47" s="1">
        <f t="shared" si="0"/>
        <v>0.77276878777452385</v>
      </c>
      <c r="F47" s="1">
        <f t="shared" si="1"/>
        <v>0.54800224285395582</v>
      </c>
      <c r="G47" s="1">
        <f t="shared" si="2"/>
        <v>0.53726014255325238</v>
      </c>
      <c r="H47" s="1">
        <f t="shared" si="3"/>
        <v>0.45760612784927152</v>
      </c>
      <c r="I47" s="1">
        <f t="shared" si="4"/>
        <v>0.88671683983477745</v>
      </c>
      <c r="J47" s="1">
        <f t="shared" si="5"/>
        <v>0.84357293157586133</v>
      </c>
      <c r="K47" s="1">
        <f t="shared" si="6"/>
        <v>0.76091572331767421</v>
      </c>
      <c r="L47" s="1">
        <f t="shared" si="7"/>
        <v>0.69471195013527043</v>
      </c>
      <c r="M47" s="1">
        <f t="shared" si="8"/>
        <v>0.96599714934349357</v>
      </c>
      <c r="N47" s="1">
        <f t="shared" si="9"/>
        <v>0.94791542220534164</v>
      </c>
      <c r="P47" s="1">
        <f t="shared" si="10"/>
        <v>1.6226046654849284</v>
      </c>
      <c r="Q47" s="1">
        <f t="shared" si="11"/>
        <v>7.6338146284241191</v>
      </c>
    </row>
    <row r="48" spans="4:17" x14ac:dyDescent="0.3">
      <c r="D48">
        <f t="shared" si="12"/>
        <v>96</v>
      </c>
      <c r="E48" s="1">
        <f t="shared" si="0"/>
        <v>0.76072577431273081</v>
      </c>
      <c r="F48" s="1">
        <f t="shared" si="1"/>
        <v>0.52828178771717416</v>
      </c>
      <c r="G48" s="1">
        <f t="shared" si="2"/>
        <v>0.55799589783012893</v>
      </c>
      <c r="H48" s="1">
        <f t="shared" si="3"/>
        <v>0.47842377345126075</v>
      </c>
      <c r="I48" s="1">
        <f t="shared" si="4"/>
        <v>0.89645502307708047</v>
      </c>
      <c r="J48" s="1">
        <f t="shared" si="5"/>
        <v>0.85579311074329822</v>
      </c>
      <c r="K48" s="1">
        <f t="shared" si="6"/>
        <v>0.77685293615924467</v>
      </c>
      <c r="L48" s="1">
        <f t="shared" si="7"/>
        <v>0.71280836209487286</v>
      </c>
      <c r="M48" s="1">
        <f t="shared" si="8"/>
        <v>0.96976325511509198</v>
      </c>
      <c r="N48" s="1">
        <f t="shared" si="9"/>
        <v>0.95326057958500188</v>
      </c>
      <c r="P48" s="1">
        <f t="shared" si="10"/>
        <v>1.6394844028389208</v>
      </c>
      <c r="Q48" s="1">
        <f t="shared" si="11"/>
        <v>7.1814715730135106</v>
      </c>
    </row>
    <row r="49" spans="4:17" x14ac:dyDescent="0.3">
      <c r="D49">
        <f t="shared" si="12"/>
        <v>97</v>
      </c>
      <c r="E49" s="1">
        <f t="shared" si="0"/>
        <v>0.74899234504989654</v>
      </c>
      <c r="F49" s="1">
        <f t="shared" si="1"/>
        <v>0.50946444981606309</v>
      </c>
      <c r="G49" s="1">
        <f t="shared" si="2"/>
        <v>0.57836165538771045</v>
      </c>
      <c r="H49" s="1">
        <f t="shared" si="3"/>
        <v>0.49908401439917849</v>
      </c>
      <c r="I49" s="1">
        <f t="shared" si="4"/>
        <v>0.90547955856518691</v>
      </c>
      <c r="J49" s="1">
        <f t="shared" si="5"/>
        <v>0.867236324357613</v>
      </c>
      <c r="K49" s="1">
        <f t="shared" si="6"/>
        <v>0.79201184448145401</v>
      </c>
      <c r="L49" s="1">
        <f t="shared" si="7"/>
        <v>0.73020123568045026</v>
      </c>
      <c r="M49" s="1">
        <f t="shared" si="8"/>
        <v>0.97314322526908714</v>
      </c>
      <c r="N49" s="1">
        <f t="shared" si="9"/>
        <v>0.95810793225525503</v>
      </c>
      <c r="P49" s="1">
        <f t="shared" si="10"/>
        <v>1.647048493333525</v>
      </c>
      <c r="Q49" s="1">
        <f t="shared" si="11"/>
        <v>6.7496830432356489</v>
      </c>
    </row>
    <row r="50" spans="4:17" x14ac:dyDescent="0.3">
      <c r="D50">
        <f t="shared" si="12"/>
        <v>98</v>
      </c>
      <c r="E50" s="1">
        <f t="shared" si="0"/>
        <v>0.73755747175938879</v>
      </c>
      <c r="F50" s="1">
        <f t="shared" si="1"/>
        <v>0.4915001894273312</v>
      </c>
      <c r="G50" s="1">
        <f t="shared" si="2"/>
        <v>0.59831437381129005</v>
      </c>
      <c r="H50" s="1">
        <f t="shared" si="3"/>
        <v>0.51953495818970086</v>
      </c>
      <c r="I50" s="1">
        <f t="shared" si="4"/>
        <v>0.91382698361496317</v>
      </c>
      <c r="J50" s="1">
        <f t="shared" si="5"/>
        <v>0.87793062988707093</v>
      </c>
      <c r="K50" s="1">
        <f t="shared" si="6"/>
        <v>0.80639942366149853</v>
      </c>
      <c r="L50" s="1">
        <f t="shared" si="7"/>
        <v>0.74688015291233223</v>
      </c>
      <c r="M50" s="1">
        <f t="shared" si="8"/>
        <v>0.97617193372502287</v>
      </c>
      <c r="N50" s="1">
        <f t="shared" si="9"/>
        <v>0.96249653608884822</v>
      </c>
      <c r="P50" s="1">
        <f t="shared" si="10"/>
        <v>1.6460055276998382</v>
      </c>
      <c r="Q50" s="1">
        <f t="shared" si="11"/>
        <v>6.3380571548986637</v>
      </c>
    </row>
    <row r="51" spans="4:17" x14ac:dyDescent="0.3">
      <c r="D51">
        <f t="shared" si="12"/>
        <v>99</v>
      </c>
      <c r="E51" s="1">
        <f t="shared" si="0"/>
        <v>0.72641062622302177</v>
      </c>
      <c r="F51" s="1">
        <f t="shared" si="1"/>
        <v>0.47434221077720023</v>
      </c>
      <c r="G51" s="1">
        <f t="shared" si="2"/>
        <v>0.6178154311601376</v>
      </c>
      <c r="H51" s="1">
        <f t="shared" si="3"/>
        <v>0.53972793129449159</v>
      </c>
      <c r="I51" s="1">
        <f t="shared" si="4"/>
        <v>0.9215340561452976</v>
      </c>
      <c r="J51" s="1">
        <f t="shared" si="5"/>
        <v>0.88790581032931848</v>
      </c>
      <c r="K51" s="1">
        <f t="shared" si="6"/>
        <v>0.82002649841141206</v>
      </c>
      <c r="L51" s="1">
        <f t="shared" si="7"/>
        <v>0.76283945251746776</v>
      </c>
      <c r="M51" s="1">
        <f t="shared" si="8"/>
        <v>0.97888182516118905</v>
      </c>
      <c r="N51" s="1">
        <f t="shared" si="9"/>
        <v>0.96646344558738972</v>
      </c>
      <c r="P51" s="1">
        <f t="shared" si="10"/>
        <v>1.6370829285023696</v>
      </c>
      <c r="Q51" s="1">
        <f t="shared" si="11"/>
        <v>5.9461611877030123</v>
      </c>
    </row>
    <row r="52" spans="4:17" x14ac:dyDescent="0.3">
      <c r="D52">
        <f t="shared" si="12"/>
        <v>100</v>
      </c>
      <c r="E52" s="1">
        <f t="shared" si="0"/>
        <v>0.71554175279993282</v>
      </c>
      <c r="F52" s="1">
        <f t="shared" si="1"/>
        <v>0.45794672179195706</v>
      </c>
      <c r="G52" s="1">
        <f t="shared" si="2"/>
        <v>0.6368306511756191</v>
      </c>
      <c r="H52" s="1">
        <f t="shared" si="3"/>
        <v>0.5596176923702425</v>
      </c>
      <c r="I52" s="1">
        <f t="shared" si="4"/>
        <v>0.92863740266492811</v>
      </c>
      <c r="J52" s="1">
        <f t="shared" si="5"/>
        <v>0.89719292559733332</v>
      </c>
      <c r="K52" s="1">
        <f t="shared" si="6"/>
        <v>0.83290728409305792</v>
      </c>
      <c r="L52" s="1">
        <f t="shared" si="7"/>
        <v>0.77807787035182041</v>
      </c>
      <c r="M52" s="1">
        <f t="shared" si="8"/>
        <v>0.98130296953188956</v>
      </c>
      <c r="N52" s="1">
        <f t="shared" si="9"/>
        <v>0.97004365011071214</v>
      </c>
      <c r="P52" s="1">
        <f t="shared" si="10"/>
        <v>1.6210155090817793</v>
      </c>
      <c r="Q52" s="1">
        <f t="shared" si="11"/>
        <v>5.5735260222569707</v>
      </c>
    </row>
    <row r="53" spans="4:17" x14ac:dyDescent="0.3">
      <c r="D53">
        <f t="shared" si="12"/>
        <v>101</v>
      </c>
      <c r="E53" s="1">
        <f t="shared" si="0"/>
        <v>0.70494124275641168</v>
      </c>
      <c r="F53" s="1">
        <f t="shared" si="1"/>
        <v>0.44227271381639399</v>
      </c>
      <c r="G53" s="1">
        <f t="shared" si="2"/>
        <v>0.65533027875009464</v>
      </c>
      <c r="H53" s="1">
        <f t="shared" si="3"/>
        <v>0.57916259324335895</v>
      </c>
      <c r="I53" s="1">
        <f t="shared" si="4"/>
        <v>0.93517321442855583</v>
      </c>
      <c r="J53" s="1">
        <f t="shared" si="5"/>
        <v>0.90582390438921867</v>
      </c>
      <c r="K53" s="1">
        <f t="shared" si="6"/>
        <v>0.84505893964733114</v>
      </c>
      <c r="L53" s="1">
        <f t="shared" si="7"/>
        <v>0.792598166437258</v>
      </c>
      <c r="M53" s="1">
        <f t="shared" si="8"/>
        <v>0.98346313711068023</v>
      </c>
      <c r="N53" s="1">
        <f t="shared" si="9"/>
        <v>0.97327004481168378</v>
      </c>
      <c r="P53" s="1">
        <f t="shared" si="10"/>
        <v>1.5985353689315502</v>
      </c>
      <c r="Q53" s="1">
        <f t="shared" si="11"/>
        <v>5.2196505775088156</v>
      </c>
    </row>
    <row r="54" spans="4:17" x14ac:dyDescent="0.3">
      <c r="D54">
        <f t="shared" si="12"/>
        <v>102</v>
      </c>
      <c r="E54" s="1">
        <f t="shared" si="0"/>
        <v>0.69459991022752576</v>
      </c>
      <c r="F54" s="1">
        <f t="shared" si="1"/>
        <v>0.42728175946329922</v>
      </c>
      <c r="G54" s="1">
        <f t="shared" si="2"/>
        <v>0.67328890984990841</v>
      </c>
      <c r="H54" s="1">
        <f t="shared" si="3"/>
        <v>0.59832469001053878</v>
      </c>
      <c r="I54" s="1">
        <f t="shared" si="4"/>
        <v>0.94117698919754822</v>
      </c>
      <c r="J54" s="1">
        <f t="shared" si="5"/>
        <v>0.91383117691846294</v>
      </c>
      <c r="K54" s="1">
        <f t="shared" si="6"/>
        <v>0.85650113707446129</v>
      </c>
      <c r="L54" s="1">
        <f t="shared" si="7"/>
        <v>0.80640674539872814</v>
      </c>
      <c r="M54" s="1">
        <f t="shared" si="8"/>
        <v>0.985387889355127</v>
      </c>
      <c r="N54" s="1">
        <f t="shared" si="9"/>
        <v>0.97617343101057674</v>
      </c>
      <c r="P54" s="1">
        <f t="shared" si="10"/>
        <v>1.5703631194345817</v>
      </c>
      <c r="Q54" s="1">
        <f t="shared" si="11"/>
        <v>4.8840062004327649</v>
      </c>
    </row>
    <row r="55" spans="4:17" x14ac:dyDescent="0.3">
      <c r="D55">
        <f t="shared" si="12"/>
        <v>103</v>
      </c>
      <c r="E55" s="1">
        <f t="shared" si="0"/>
        <v>0.68450896969201058</v>
      </c>
      <c r="F55" s="1">
        <f t="shared" si="1"/>
        <v>0.41293782694211212</v>
      </c>
      <c r="G55" s="1">
        <f t="shared" si="2"/>
        <v>0.69068538126044221</v>
      </c>
      <c r="H55" s="1">
        <f t="shared" si="3"/>
        <v>0.61706980716674775</v>
      </c>
      <c r="I55" s="1">
        <f t="shared" si="4"/>
        <v>0.94668331564370345</v>
      </c>
      <c r="J55" s="1">
        <f t="shared" si="5"/>
        <v>0.92124734811100606</v>
      </c>
      <c r="K55" s="1">
        <f t="shared" si="6"/>
        <v>0.86725565143805716</v>
      </c>
      <c r="L55" s="1">
        <f t="shared" si="7"/>
        <v>0.81951327632329596</v>
      </c>
      <c r="M55" s="1">
        <f t="shared" si="8"/>
        <v>0.98710068147268659</v>
      </c>
      <c r="N55" s="1">
        <f t="shared" si="9"/>
        <v>0.97878254114339447</v>
      </c>
      <c r="P55" s="1">
        <f t="shared" si="10"/>
        <v>1.5372004073950905</v>
      </c>
      <c r="Q55" s="1">
        <f t="shared" si="11"/>
        <v>4.5660409650977414</v>
      </c>
    </row>
    <row r="56" spans="4:17" x14ac:dyDescent="0.3">
      <c r="D56">
        <f t="shared" si="12"/>
        <v>104</v>
      </c>
      <c r="E56" s="1">
        <f t="shared" si="0"/>
        <v>0.67466001485156113</v>
      </c>
      <c r="F56" s="1">
        <f t="shared" si="1"/>
        <v>0.39920710937962195</v>
      </c>
      <c r="G56" s="1">
        <f t="shared" si="2"/>
        <v>0.70750262557146315</v>
      </c>
      <c r="H56" s="1">
        <f t="shared" si="3"/>
        <v>0.63536755812169832</v>
      </c>
      <c r="I56" s="1">
        <f t="shared" si="4"/>
        <v>0.95172569716748268</v>
      </c>
      <c r="J56" s="1">
        <f t="shared" si="5"/>
        <v>0.92810491023994279</v>
      </c>
      <c r="K56" s="1">
        <f t="shared" si="6"/>
        <v>0.87734597446819662</v>
      </c>
      <c r="L56" s="1">
        <f t="shared" si="7"/>
        <v>0.83193031728903177</v>
      </c>
      <c r="M56" s="1">
        <f t="shared" si="8"/>
        <v>0.98862297312366176</v>
      </c>
      <c r="N56" s="1">
        <f t="shared" si="9"/>
        <v>0.98112408384567318</v>
      </c>
      <c r="P56" s="1">
        <f t="shared" si="10"/>
        <v>1.4997236825089253</v>
      </c>
      <c r="Q56" s="1">
        <f t="shared" si="11"/>
        <v>4.265183843650874</v>
      </c>
    </row>
    <row r="57" spans="4:17" x14ac:dyDescent="0.3">
      <c r="D57">
        <f t="shared" si="12"/>
        <v>105</v>
      </c>
      <c r="E57" s="1">
        <f t="shared" si="0"/>
        <v>0.665044998814453</v>
      </c>
      <c r="F57" s="1">
        <f t="shared" si="1"/>
        <v>0.38605786779251688</v>
      </c>
      <c r="G57" s="1">
        <f t="shared" si="2"/>
        <v>0.72372749676293524</v>
      </c>
      <c r="H57" s="1">
        <f t="shared" si="3"/>
        <v>0.65319132580079731</v>
      </c>
      <c r="I57" s="1">
        <f t="shared" si="4"/>
        <v>0.95633641174698181</v>
      </c>
      <c r="J57" s="1">
        <f t="shared" si="5"/>
        <v>0.93443599345878015</v>
      </c>
      <c r="K57" s="1">
        <f t="shared" si="6"/>
        <v>0.88679695401783565</v>
      </c>
      <c r="L57" s="1">
        <f t="shared" si="7"/>
        <v>0.84367294904761647</v>
      </c>
      <c r="M57" s="1">
        <f t="shared" si="8"/>
        <v>0.98997434421804986</v>
      </c>
      <c r="N57" s="1">
        <f t="shared" si="9"/>
        <v>0.98322280517141969</v>
      </c>
      <c r="P57" s="1">
        <f t="shared" si="10"/>
        <v>1.4585791384292932</v>
      </c>
      <c r="Q57" s="1">
        <f t="shared" si="11"/>
        <v>3.980848717144525</v>
      </c>
    </row>
    <row r="58" spans="4:17" x14ac:dyDescent="0.3">
      <c r="D58">
        <f t="shared" si="12"/>
        <v>106</v>
      </c>
      <c r="E58" s="1">
        <f t="shared" si="0"/>
        <v>0.65565621549142561</v>
      </c>
      <c r="F58" s="1">
        <f t="shared" si="1"/>
        <v>0.37346028650277013</v>
      </c>
      <c r="G58" s="1">
        <f t="shared" si="2"/>
        <v>0.73935057160139073</v>
      </c>
      <c r="H58" s="1">
        <f t="shared" si="3"/>
        <v>0.67051820725444633</v>
      </c>
      <c r="I58" s="1">
        <f t="shared" si="4"/>
        <v>0.96054640437342387</v>
      </c>
      <c r="J58" s="1">
        <f t="shared" si="5"/>
        <v>0.94027215229914518</v>
      </c>
      <c r="K58" s="1">
        <f t="shared" si="6"/>
        <v>0.89563446088788079</v>
      </c>
      <c r="L58" s="1">
        <f t="shared" si="7"/>
        <v>0.85475842160530546</v>
      </c>
      <c r="M58" s="1">
        <f t="shared" si="8"/>
        <v>0.99117261324342731</v>
      </c>
      <c r="N58" s="1">
        <f t="shared" si="9"/>
        <v>0.98510156238334556</v>
      </c>
      <c r="P58" s="1">
        <f t="shared" si="10"/>
        <v>1.4143787449598584</v>
      </c>
      <c r="Q58" s="1">
        <f t="shared" si="11"/>
        <v>3.7124381994290729</v>
      </c>
    </row>
    <row r="59" spans="4:17" x14ac:dyDescent="0.3">
      <c r="D59">
        <f t="shared" si="12"/>
        <v>107</v>
      </c>
      <c r="E59" s="1">
        <f t="shared" si="0"/>
        <v>0.64648628211905335</v>
      </c>
      <c r="F59" s="1">
        <f t="shared" si="1"/>
        <v>0.36138633990409136</v>
      </c>
      <c r="G59" s="1">
        <f t="shared" si="2"/>
        <v>0.75436593183090661</v>
      </c>
      <c r="H59" s="1">
        <f t="shared" si="3"/>
        <v>0.68732892632984965</v>
      </c>
      <c r="I59" s="1">
        <f t="shared" si="4"/>
        <v>0.96438520864683053</v>
      </c>
      <c r="J59" s="1">
        <f t="shared" si="5"/>
        <v>0.94564418590711241</v>
      </c>
      <c r="K59" s="1">
        <f t="shared" si="6"/>
        <v>0.90388508388213895</v>
      </c>
      <c r="L59" s="1">
        <f t="shared" si="7"/>
        <v>0.86520581674476194</v>
      </c>
      <c r="M59" s="1">
        <f t="shared" si="8"/>
        <v>0.99223395599796105</v>
      </c>
      <c r="N59" s="1">
        <f t="shared" si="9"/>
        <v>0.98678140717551133</v>
      </c>
      <c r="P59" s="1">
        <f t="shared" si="10"/>
        <v>1.3676972806528447</v>
      </c>
      <c r="Q59" s="1">
        <f t="shared" si="11"/>
        <v>3.4593472524347533</v>
      </c>
    </row>
    <row r="60" spans="4:17" x14ac:dyDescent="0.3">
      <c r="D60">
        <f t="shared" si="12"/>
        <v>108</v>
      </c>
      <c r="E60" s="1">
        <f t="shared" si="0"/>
        <v>0.6375281228324966</v>
      </c>
      <c r="F60" s="1">
        <f t="shared" si="1"/>
        <v>0.34980966959259063</v>
      </c>
      <c r="G60" s="1">
        <f t="shared" si="2"/>
        <v>0.76877093185612155</v>
      </c>
      <c r="H60" s="1">
        <f t="shared" si="3"/>
        <v>0.70360771850229697</v>
      </c>
      <c r="I60" s="1">
        <f t="shared" si="4"/>
        <v>0.96788089418668477</v>
      </c>
      <c r="J60" s="1">
        <f t="shared" si="5"/>
        <v>0.95058198959185258</v>
      </c>
      <c r="K60" s="1">
        <f t="shared" si="6"/>
        <v>0.91157585338411162</v>
      </c>
      <c r="L60" s="1">
        <f t="shared" si="7"/>
        <v>0.87503572887441761</v>
      </c>
      <c r="M60" s="1">
        <f t="shared" si="8"/>
        <v>0.99317302299516619</v>
      </c>
      <c r="N60" s="1">
        <f t="shared" si="9"/>
        <v>0.98828167559542968</v>
      </c>
      <c r="P60" s="1">
        <f t="shared" si="10"/>
        <v>1.319070270213242</v>
      </c>
      <c r="Q60" s="1">
        <f t="shared" si="11"/>
        <v>3.2209665760124864</v>
      </c>
    </row>
    <row r="61" spans="4:17" x14ac:dyDescent="0.3">
      <c r="D61">
        <f t="shared" si="12"/>
        <v>109</v>
      </c>
      <c r="E61" s="1">
        <f t="shared" si="0"/>
        <v>0.62877495321558818</v>
      </c>
      <c r="F61" s="1">
        <f t="shared" si="1"/>
        <v>0.33870547096875386</v>
      </c>
      <c r="G61" s="1">
        <f t="shared" si="2"/>
        <v>0.78256595628200953</v>
      </c>
      <c r="H61" s="1">
        <f t="shared" si="3"/>
        <v>0.71934219192902771</v>
      </c>
      <c r="I61" s="1">
        <f t="shared" si="4"/>
        <v>0.97106003664318818</v>
      </c>
      <c r="J61" s="1">
        <f t="shared" si="5"/>
        <v>0.95511443513911298</v>
      </c>
      <c r="K61" s="1">
        <f t="shared" si="6"/>
        <v>0.91873399326125427</v>
      </c>
      <c r="L61" s="1">
        <f t="shared" si="7"/>
        <v>0.88426996598895702</v>
      </c>
      <c r="M61" s="1">
        <f t="shared" si="8"/>
        <v>0.9940030541555106</v>
      </c>
      <c r="N61" s="1">
        <f t="shared" si="9"/>
        <v>0.98962008231424536</v>
      </c>
      <c r="P61" s="1">
        <f t="shared" si="10"/>
        <v>1.2689927291128598</v>
      </c>
      <c r="Q61" s="1">
        <f t="shared" si="11"/>
        <v>2.9966857600373231</v>
      </c>
    </row>
    <row r="62" spans="4:17" x14ac:dyDescent="0.3">
      <c r="D62">
        <f t="shared" si="12"/>
        <v>110</v>
      </c>
      <c r="E62" s="1">
        <f t="shared" si="0"/>
        <v>0.62022026576177591</v>
      </c>
      <c r="F62" s="1">
        <f t="shared" si="1"/>
        <v>0.32805038850209639</v>
      </c>
      <c r="G62" s="1">
        <f t="shared" si="2"/>
        <v>0.79575417130958659</v>
      </c>
      <c r="H62" s="1">
        <f t="shared" si="3"/>
        <v>0.73452316868917078</v>
      </c>
      <c r="I62" s="1">
        <f t="shared" si="4"/>
        <v>0.97394770726295776</v>
      </c>
      <c r="J62" s="1">
        <f t="shared" si="5"/>
        <v>0.95926927728848843</v>
      </c>
      <c r="K62" s="1">
        <f t="shared" si="6"/>
        <v>0.92538670049523342</v>
      </c>
      <c r="L62" s="1">
        <f t="shared" si="7"/>
        <v>0.89293127197839894</v>
      </c>
      <c r="M62" s="1">
        <f t="shared" si="8"/>
        <v>0.9947359897058049</v>
      </c>
      <c r="N62" s="1">
        <f t="shared" si="9"/>
        <v>0.99081281724723091</v>
      </c>
      <c r="P62" s="1">
        <f t="shared" si="10"/>
        <v>1.2179186182282749</v>
      </c>
      <c r="Q62" s="1">
        <f t="shared" si="11"/>
        <v>2.7858961906618447</v>
      </c>
    </row>
    <row r="63" spans="4:17" x14ac:dyDescent="0.3">
      <c r="D63">
        <f t="shared" si="12"/>
        <v>111</v>
      </c>
      <c r="E63" s="1">
        <f t="shared" si="0"/>
        <v>0.6118578161845174</v>
      </c>
      <c r="F63" s="1">
        <f t="shared" si="1"/>
        <v>0.31782241892548574</v>
      </c>
      <c r="G63" s="1">
        <f t="shared" si="2"/>
        <v>0.80834127360036523</v>
      </c>
      <c r="H63" s="1">
        <f t="shared" si="3"/>
        <v>0.74914451001870741</v>
      </c>
      <c r="I63" s="1">
        <f t="shared" si="4"/>
        <v>0.97656747915804221</v>
      </c>
      <c r="J63" s="1">
        <f t="shared" si="5"/>
        <v>0.96307308377646306</v>
      </c>
      <c r="K63" s="1">
        <f t="shared" si="6"/>
        <v>0.93156095160402175</v>
      </c>
      <c r="L63" s="1">
        <f t="shared" si="7"/>
        <v>0.90104307103613523</v>
      </c>
      <c r="M63" s="1">
        <f t="shared" si="8"/>
        <v>0.99538257647271955</v>
      </c>
      <c r="N63" s="1">
        <f t="shared" si="9"/>
        <v>0.99187464285040072</v>
      </c>
      <c r="P63" s="1">
        <f t="shared" si="10"/>
        <v>1.1662609136864379</v>
      </c>
      <c r="Q63" s="1">
        <f t="shared" si="11"/>
        <v>2.587993706415503</v>
      </c>
    </row>
    <row r="64" spans="4:17" x14ac:dyDescent="0.3">
      <c r="D64">
        <f t="shared" si="12"/>
        <v>112</v>
      </c>
      <c r="E64" s="1">
        <f t="shared" si="0"/>
        <v>0.60368161052036906</v>
      </c>
      <c r="F64" s="1">
        <f t="shared" si="1"/>
        <v>0.30800082169406595</v>
      </c>
      <c r="G64" s="1">
        <f t="shared" si="2"/>
        <v>0.82033523982574619</v>
      </c>
      <c r="H64" s="1">
        <f t="shared" si="3"/>
        <v>0.76320292915036259</v>
      </c>
      <c r="I64" s="1">
        <f t="shared" si="4"/>
        <v>0.97894144763979696</v>
      </c>
      <c r="J64" s="1">
        <f t="shared" si="5"/>
        <v>0.96655118639654458</v>
      </c>
      <c r="K64" s="1">
        <f t="shared" si="6"/>
        <v>0.93728333465765845</v>
      </c>
      <c r="L64" s="1">
        <f t="shared" si="7"/>
        <v>0.90862923448857424</v>
      </c>
      <c r="M64" s="1">
        <f t="shared" si="8"/>
        <v>0.99595246898444945</v>
      </c>
      <c r="N64" s="1">
        <f t="shared" si="9"/>
        <v>0.99281899071166491</v>
      </c>
      <c r="P64" s="1">
        <f t="shared" si="10"/>
        <v>1.1143922010188021</v>
      </c>
      <c r="Q64" s="1">
        <f t="shared" si="11"/>
        <v>2.4023810032591228</v>
      </c>
    </row>
    <row r="65" spans="4:25" x14ac:dyDescent="0.3">
      <c r="D65">
        <f t="shared" si="12"/>
        <v>113</v>
      </c>
      <c r="E65" s="1">
        <f t="shared" si="0"/>
        <v>0.59568589297227792</v>
      </c>
      <c r="F65" s="1">
        <f t="shared" si="1"/>
        <v>0.29856603610483035</v>
      </c>
      <c r="G65" s="1">
        <f t="shared" si="2"/>
        <v>0.83174607971983117</v>
      </c>
      <c r="H65" s="1">
        <f t="shared" si="3"/>
        <v>0.77669779513464388</v>
      </c>
      <c r="I65" s="1">
        <f t="shared" si="4"/>
        <v>0.98109026220167073</v>
      </c>
      <c r="J65" s="1">
        <f t="shared" si="5"/>
        <v>0.96972765061407018</v>
      </c>
      <c r="K65" s="1">
        <f t="shared" si="6"/>
        <v>0.94257990548787274</v>
      </c>
      <c r="L65" s="1">
        <f t="shared" si="7"/>
        <v>0.91571386999966409</v>
      </c>
      <c r="M65" s="1">
        <f t="shared" si="8"/>
        <v>0.99645432498754971</v>
      </c>
      <c r="N65" s="1">
        <f t="shared" si="9"/>
        <v>0.99365805631665827</v>
      </c>
      <c r="P65" s="1">
        <f t="shared" si="10"/>
        <v>1.0626457078197244</v>
      </c>
      <c r="Q65" s="1">
        <f t="shared" si="11"/>
        <v>2.2284697907222437</v>
      </c>
    </row>
    <row r="66" spans="4:25" x14ac:dyDescent="0.3">
      <c r="D66">
        <f t="shared" si="12"/>
        <v>114</v>
      </c>
      <c r="E66" s="1">
        <f t="shared" si="0"/>
        <v>0.58786513444448496</v>
      </c>
      <c r="F66" s="1">
        <f t="shared" si="1"/>
        <v>0.28949960452790879</v>
      </c>
      <c r="G66" s="1">
        <f t="shared" si="2"/>
        <v>0.84258559506308628</v>
      </c>
      <c r="H66" s="1">
        <f t="shared" si="3"/>
        <v>0.78963093075906521</v>
      </c>
      <c r="I66" s="1">
        <f t="shared" si="4"/>
        <v>0.98303316796088658</v>
      </c>
      <c r="J66" s="1">
        <f t="shared" si="5"/>
        <v>0.97262526138800387</v>
      </c>
      <c r="K66" s="1">
        <f t="shared" si="6"/>
        <v>0.94747606654598904</v>
      </c>
      <c r="L66" s="1">
        <f t="shared" si="7"/>
        <v>0.92232113279036421</v>
      </c>
      <c r="M66" s="1">
        <f t="shared" si="8"/>
        <v>0.99689589514751331</v>
      </c>
      <c r="N66" s="1">
        <f t="shared" si="9"/>
        <v>0.99440289110097091</v>
      </c>
      <c r="P66" s="1">
        <f t="shared" si="10"/>
        <v>1.0113166950470731</v>
      </c>
      <c r="Q66" s="1">
        <f t="shared" si="11"/>
        <v>2.0656827038723549</v>
      </c>
    </row>
    <row r="67" spans="4:25" x14ac:dyDescent="0.3">
      <c r="D67">
        <f t="shared" si="12"/>
        <v>115</v>
      </c>
      <c r="E67" s="1">
        <f t="shared" ref="E67:E102" si="13">($B$6/D67)^(-1+(2*($B$2-$B$3))/($B$1^2))</f>
        <v>0.58021402172403413</v>
      </c>
      <c r="F67" s="1">
        <f t="shared" ref="F67:F102" si="14">($B$6/D67)^(1+(2*($B$2-$B$3))/($B$1^2))</f>
        <v>0.28078410125019426</v>
      </c>
      <c r="G67" s="1">
        <f t="shared" ref="G67:G102" si="15">_xlfn.NORM.S.DIST((LN(D67/$B$4)+($B$2-$B$3+0.5*$B$1^2)*$B$5)/($B$1*SQRT($B$5)),TRUE)</f>
        <v>0.85286714664627372</v>
      </c>
      <c r="H67" s="1">
        <f t="shared" ref="H67:H102" si="16">_xlfn.NORM.S.DIST((LN(D67/$B$4)+($B$2-$B$3-0.5*$B$1^2)*$B$5)/($B$1*SQRT($B$5)),TRUE)</f>
        <v>0.80200640740621953</v>
      </c>
      <c r="I67" s="1">
        <f t="shared" ref="I67:I102" si="17">_xlfn.NORM.S.DIST((LN(D67/$B$6)+($B$2-$B$3+0.5*$B$1^2)*$B$5)/($B$1*SQRT($B$5)),TRUE)</f>
        <v>0.98478805459312491</v>
      </c>
      <c r="J67" s="1">
        <f t="shared" ref="J67:J102" si="18">_xlfn.NORM.S.DIST((LN(D67/$B$6)+($B$2-$B$3-0.5*$B$1^2)*$B$5)/($B$1*SQRT($B$5)),TRUE)</f>
        <v>0.97526552298781288</v>
      </c>
      <c r="K67" s="1">
        <f t="shared" ref="K67:K102" si="19">_xlfn.NORM.S.DIST((LN(D67/$B$6)-($B$2-$B$3-0.5*$B$1^2)*$B$5)/($B$1*SQRT($B$5)),TRUE)</f>
        <v>0.95199646676696037</v>
      </c>
      <c r="L67" s="1">
        <f t="shared" ref="L67:L102" si="20">_xlfn.NORM.S.DIST((LN(D67/$B$6)-($B$2-$B$3+0.5*$B$1^2)*$B$5)/($B$1*SQRT($B$5)),TRUE)</f>
        <v>0.92847505825306986</v>
      </c>
      <c r="M67" s="1">
        <f t="shared" ref="M67:M102" si="21">_xlfn.NORM.S.DIST((LN((D67*$B$4)/($B$6^2))-($B$2-$B$3-0.5*$B$1^2)*$B$5)/($B$1*SQRT($B$5)),TRUE)</f>
        <v>0.99728410683500357</v>
      </c>
      <c r="N67" s="1">
        <f t="shared" ref="N67:N102" si="22">_xlfn.NORM.S.DIST((LN((D67*$B$4)/($B$6^2))-($B$2-$B$3+0.5*$B$1^2)*$B$5)/($B$1*SQRT($B$5)),TRUE)</f>
        <v>0.99506349110332482</v>
      </c>
      <c r="P67" s="1">
        <f t="shared" ref="P67:P102" si="23">IF(D67&gt;$B$6,-D67*(I67-G67-F67*(N67-L67))+$B$4*EXP(-$B$2*$B$5)*(J67-H67-E67*(M67-K67)),NA())</f>
        <v>0.96066413360653158</v>
      </c>
      <c r="Q67" s="1">
        <f t="shared" ref="Q67:Q102" si="24">+D67*G67-$B$4*EXP(-$B$2*$B$5)*H67+$B$4*EXP(-$B$2*$B$5)-D67</f>
        <v>1.9134549781025498</v>
      </c>
    </row>
    <row r="68" spans="4:25" x14ac:dyDescent="0.3">
      <c r="D68">
        <f t="shared" ref="D68:D102" si="25">+D67+1</f>
        <v>116</v>
      </c>
      <c r="E68" s="1">
        <f t="shared" si="13"/>
        <v>0.5727274472671724</v>
      </c>
      <c r="F68" s="1">
        <f t="shared" si="14"/>
        <v>0.27240306647665752</v>
      </c>
      <c r="G68" s="1">
        <f t="shared" si="15"/>
        <v>0.86260543090421016</v>
      </c>
      <c r="H68" s="1">
        <f t="shared" si="16"/>
        <v>0.81383033940525762</v>
      </c>
      <c r="I68" s="1">
        <f t="shared" si="17"/>
        <v>0.98637151101248588</v>
      </c>
      <c r="J68" s="1">
        <f t="shared" si="18"/>
        <v>0.97766867074380182</v>
      </c>
      <c r="K68" s="1">
        <f t="shared" si="19"/>
        <v>0.95616492074352288</v>
      </c>
      <c r="L68" s="1">
        <f t="shared" si="20"/>
        <v>0.93419941513038673</v>
      </c>
      <c r="M68" s="1">
        <f t="shared" si="21"/>
        <v>0.99762514200798902</v>
      </c>
      <c r="N68" s="1">
        <f t="shared" si="22"/>
        <v>0.99564888170998167</v>
      </c>
      <c r="P68" s="1">
        <f t="shared" si="23"/>
        <v>0.91091259968043481</v>
      </c>
      <c r="Q68" s="1">
        <f t="shared" si="24"/>
        <v>1.7712358955913885</v>
      </c>
    </row>
    <row r="69" spans="4:25" x14ac:dyDescent="0.3">
      <c r="D69">
        <f t="shared" si="25"/>
        <v>117</v>
      </c>
      <c r="E69" s="1">
        <f t="shared" si="13"/>
        <v>0.56540049955194749</v>
      </c>
      <c r="F69" s="1">
        <f t="shared" si="14"/>
        <v>0.26434094507505762</v>
      </c>
      <c r="G69" s="1">
        <f t="shared" si="15"/>
        <v>0.87181626757110786</v>
      </c>
      <c r="H69" s="1">
        <f t="shared" si="16"/>
        <v>0.82511068014195521</v>
      </c>
      <c r="I69" s="1">
        <f t="shared" si="17"/>
        <v>0.98779888425805484</v>
      </c>
      <c r="J69" s="1">
        <f t="shared" si="18"/>
        <v>0.97985369282853307</v>
      </c>
      <c r="K69" s="1">
        <f t="shared" si="19"/>
        <v>0.96000434549706559</v>
      </c>
      <c r="L69" s="1">
        <f t="shared" si="20"/>
        <v>0.93951757826242488</v>
      </c>
      <c r="M69" s="1">
        <f t="shared" si="21"/>
        <v>0.99792450928643961</v>
      </c>
      <c r="N69" s="1">
        <f t="shared" si="22"/>
        <v>0.99616719813132748</v>
      </c>
      <c r="P69" s="1">
        <f t="shared" si="23"/>
        <v>0.86225432919306044</v>
      </c>
      <c r="Q69" s="1">
        <f t="shared" si="24"/>
        <v>1.6384900138085357</v>
      </c>
    </row>
    <row r="70" spans="4:25" x14ac:dyDescent="0.3">
      <c r="D70">
        <f t="shared" si="25"/>
        <v>118</v>
      </c>
      <c r="E70" s="1">
        <f t="shared" si="13"/>
        <v>0.55822845396109722</v>
      </c>
      <c r="F70" s="1">
        <f t="shared" si="14"/>
        <v>0.25658302968622676</v>
      </c>
      <c r="G70" s="1">
        <f t="shared" si="15"/>
        <v>0.88051639939636051</v>
      </c>
      <c r="H70" s="1">
        <f t="shared" si="16"/>
        <v>0.83585702190555955</v>
      </c>
      <c r="I70" s="1">
        <f t="shared" si="17"/>
        <v>0.98908434124597511</v>
      </c>
      <c r="J70" s="1">
        <f t="shared" si="18"/>
        <v>0.98183836033049221</v>
      </c>
      <c r="K70" s="1">
        <f t="shared" si="19"/>
        <v>0.96353671314497191</v>
      </c>
      <c r="L70" s="1">
        <f t="shared" si="20"/>
        <v>0.94445241978258343</v>
      </c>
      <c r="M70" s="1">
        <f t="shared" si="21"/>
        <v>0.99818711038360775</v>
      </c>
      <c r="N70" s="1">
        <f t="shared" si="22"/>
        <v>0.99662576137926517</v>
      </c>
      <c r="P70" s="1">
        <f t="shared" si="23"/>
        <v>0.81485137867748847</v>
      </c>
      <c r="Q70" s="1">
        <f t="shared" si="24"/>
        <v>1.5146981876313248</v>
      </c>
    </row>
    <row r="71" spans="4:25" x14ac:dyDescent="0.3">
      <c r="D71">
        <f t="shared" si="25"/>
        <v>119</v>
      </c>
      <c r="E71" s="1">
        <f t="shared" si="13"/>
        <v>0.55120676416187431</v>
      </c>
      <c r="F71" s="1">
        <f t="shared" si="14"/>
        <v>0.2491154078550947</v>
      </c>
      <c r="G71" s="1">
        <f t="shared" si="15"/>
        <v>0.88872330467353755</v>
      </c>
      <c r="H71" s="1">
        <f t="shared" si="16"/>
        <v>0.84608040117066008</v>
      </c>
      <c r="I71" s="1">
        <f t="shared" si="17"/>
        <v>0.99024093223043252</v>
      </c>
      <c r="J71" s="1">
        <f t="shared" si="18"/>
        <v>0.98363926404507684</v>
      </c>
      <c r="K71" s="1">
        <f t="shared" si="19"/>
        <v>0.96678301780243459</v>
      </c>
      <c r="L71" s="1">
        <f t="shared" si="20"/>
        <v>0.94902621755419747</v>
      </c>
      <c r="M71" s="1">
        <f t="shared" si="21"/>
        <v>0.99841730110893645</v>
      </c>
      <c r="N71" s="1">
        <f t="shared" si="22"/>
        <v>0.99703114962094608</v>
      </c>
      <c r="P71" s="1">
        <f t="shared" si="23"/>
        <v>0.76883784649136011</v>
      </c>
      <c r="Q71" s="1">
        <f t="shared" si="24"/>
        <v>1.3993583975323389</v>
      </c>
    </row>
    <row r="72" spans="4:25" s="7" customFormat="1" x14ac:dyDescent="0.3">
      <c r="D72" s="7">
        <f t="shared" si="25"/>
        <v>120</v>
      </c>
      <c r="E72" s="8">
        <f t="shared" si="13"/>
        <v>0.54433105395181747</v>
      </c>
      <c r="F72" s="8">
        <f t="shared" si="14"/>
        <v>0.24192491286747436</v>
      </c>
      <c r="G72" s="8">
        <f t="shared" si="15"/>
        <v>0.89645502307708047</v>
      </c>
      <c r="H72" s="8">
        <f t="shared" si="16"/>
        <v>0.85579311074329822</v>
      </c>
      <c r="I72" s="8">
        <f t="shared" si="17"/>
        <v>0.99128065498736573</v>
      </c>
      <c r="J72" s="8">
        <f t="shared" si="18"/>
        <v>0.9852718565691857</v>
      </c>
      <c r="K72" s="8">
        <f t="shared" si="19"/>
        <v>0.96976325511509198</v>
      </c>
      <c r="L72" s="8">
        <f t="shared" si="20"/>
        <v>0.95326057958500188</v>
      </c>
      <c r="M72" s="8">
        <f t="shared" si="21"/>
        <v>0.99861894719475575</v>
      </c>
      <c r="N72" s="8">
        <f t="shared" si="22"/>
        <v>0.99738926487265944</v>
      </c>
      <c r="O72" s="8"/>
      <c r="P72" s="1">
        <f t="shared" si="23"/>
        <v>0.72432211471558006</v>
      </c>
      <c r="Q72" s="8">
        <f t="shared" si="24"/>
        <v>1.2919863969187162</v>
      </c>
      <c r="R72" s="8"/>
      <c r="S72" s="8"/>
      <c r="T72" s="8"/>
      <c r="U72" s="8"/>
      <c r="V72" s="8"/>
      <c r="W72" s="8"/>
      <c r="X72" s="8"/>
      <c r="Y72" s="8"/>
    </row>
    <row r="73" spans="4:25" x14ac:dyDescent="0.3">
      <c r="D73">
        <f t="shared" si="25"/>
        <v>121</v>
      </c>
      <c r="E73" s="1">
        <f t="shared" si="13"/>
        <v>0.53759710954164752</v>
      </c>
      <c r="F73" s="1">
        <f t="shared" si="14"/>
        <v>0.23499907800468164</v>
      </c>
      <c r="G73" s="1">
        <f t="shared" si="15"/>
        <v>0.90372999507109986</v>
      </c>
      <c r="H73" s="1">
        <f t="shared" si="16"/>
        <v>0.86500851994546191</v>
      </c>
      <c r="I73" s="1">
        <f t="shared" si="17"/>
        <v>0.9922145188905217</v>
      </c>
      <c r="J73" s="1">
        <f t="shared" si="18"/>
        <v>0.98675049844166396</v>
      </c>
      <c r="K73" s="1">
        <f t="shared" si="19"/>
        <v>0.97249641289275079</v>
      </c>
      <c r="L73" s="1">
        <f t="shared" si="20"/>
        <v>0.95717638312881614</v>
      </c>
      <c r="M73" s="1">
        <f t="shared" si="21"/>
        <v>0.99879547522436674</v>
      </c>
      <c r="N73" s="1">
        <f t="shared" si="22"/>
        <v>0.99770539506947642</v>
      </c>
      <c r="P73" s="1">
        <f t="shared" si="23"/>
        <v>0.68138907808373972</v>
      </c>
      <c r="Q73" s="1">
        <f t="shared" si="24"/>
        <v>1.1921161920808743</v>
      </c>
    </row>
    <row r="74" spans="4:25" x14ac:dyDescent="0.3">
      <c r="D74">
        <f t="shared" si="25"/>
        <v>122</v>
      </c>
      <c r="E74" s="1">
        <f t="shared" si="13"/>
        <v>0.53100087224846948</v>
      </c>
      <c r="F74" s="1">
        <f t="shared" si="14"/>
        <v>0.22832609395258024</v>
      </c>
      <c r="G74" s="1">
        <f t="shared" si="15"/>
        <v>0.91056691495246678</v>
      </c>
      <c r="H74" s="1">
        <f t="shared" si="16"/>
        <v>0.87374090377331592</v>
      </c>
      <c r="I74" s="1">
        <f t="shared" si="17"/>
        <v>0.99305260819058838</v>
      </c>
      <c r="J74" s="1">
        <f t="shared" si="18"/>
        <v>0.98808850722076658</v>
      </c>
      <c r="K74" s="1">
        <f t="shared" si="19"/>
        <v>0.97500047139999424</v>
      </c>
      <c r="L74" s="1">
        <f t="shared" si="20"/>
        <v>0.96079372718010714</v>
      </c>
      <c r="M74" s="1">
        <f t="shared" si="21"/>
        <v>0.99894991895485297</v>
      </c>
      <c r="N74" s="1">
        <f t="shared" si="22"/>
        <v>0.99798427160354564</v>
      </c>
      <c r="P74" s="1">
        <f t="shared" si="23"/>
        <v>0.64010233187843468</v>
      </c>
      <c r="Q74" s="1">
        <f t="shared" si="24"/>
        <v>1.0993003683698532</v>
      </c>
    </row>
    <row r="75" spans="4:25" x14ac:dyDescent="0.3">
      <c r="D75">
        <f t="shared" si="25"/>
        <v>123</v>
      </c>
      <c r="E75" s="1">
        <f t="shared" si="13"/>
        <v>0.52453843157431668</v>
      </c>
      <c r="F75" s="1">
        <f t="shared" si="14"/>
        <v>0.22189476912390949</v>
      </c>
      <c r="G75" s="1">
        <f t="shared" si="15"/>
        <v>0.91698459741532046</v>
      </c>
      <c r="H75" s="1">
        <f t="shared" si="16"/>
        <v>0.88200528174366433</v>
      </c>
      <c r="I75" s="1">
        <f t="shared" si="17"/>
        <v>0.99380414393477001</v>
      </c>
      <c r="J75" s="1">
        <f t="shared" si="18"/>
        <v>0.98929820853023032</v>
      </c>
      <c r="K75" s="1">
        <f t="shared" si="19"/>
        <v>0.97729241195308647</v>
      </c>
      <c r="L75" s="1">
        <f t="shared" si="20"/>
        <v>0.96413189708324154</v>
      </c>
      <c r="M75" s="1">
        <f t="shared" si="21"/>
        <v>0.99908496133575109</v>
      </c>
      <c r="N75" s="1">
        <f t="shared" si="22"/>
        <v>0.99823012246863074</v>
      </c>
      <c r="P75" s="1">
        <f t="shared" si="23"/>
        <v>0.60050629585754933</v>
      </c>
      <c r="Q75" s="1">
        <f t="shared" si="24"/>
        <v>1.0131102761942259</v>
      </c>
    </row>
    <row r="76" spans="4:25" x14ac:dyDescent="0.3">
      <c r="D76">
        <f t="shared" si="25"/>
        <v>124</v>
      </c>
      <c r="E76" s="1">
        <f t="shared" si="13"/>
        <v>0.51820601864677351</v>
      </c>
      <c r="F76" s="1">
        <f t="shared" si="14"/>
        <v>0.21569449267295462</v>
      </c>
      <c r="G76" s="1">
        <f t="shared" si="15"/>
        <v>0.92300185737501328</v>
      </c>
      <c r="H76" s="1">
        <f t="shared" si="16"/>
        <v>0.88981726694126828</v>
      </c>
      <c r="I76" s="1">
        <f t="shared" si="17"/>
        <v>0.99447754407681122</v>
      </c>
      <c r="J76" s="1">
        <f t="shared" si="18"/>
        <v>0.99039098823658189</v>
      </c>
      <c r="K76" s="1">
        <f t="shared" si="19"/>
        <v>0.97938823257128538</v>
      </c>
      <c r="L76" s="1">
        <f t="shared" si="20"/>
        <v>0.96720934001076908</v>
      </c>
      <c r="M76" s="1">
        <f t="shared" si="21"/>
        <v>0.99920297252608858</v>
      </c>
      <c r="N76" s="1">
        <f t="shared" si="22"/>
        <v>0.99844672118233002</v>
      </c>
      <c r="P76" s="1">
        <f t="shared" si="23"/>
        <v>0.56262825592455279</v>
      </c>
      <c r="Q76" s="1">
        <f t="shared" si="24"/>
        <v>0.93313609023896049</v>
      </c>
    </row>
    <row r="77" spans="4:25" x14ac:dyDescent="0.3">
      <c r="D77">
        <f t="shared" si="25"/>
        <v>125</v>
      </c>
      <c r="E77" s="1">
        <f t="shared" si="13"/>
        <v>0.51200000000000012</v>
      </c>
      <c r="F77" s="1">
        <f t="shared" si="14"/>
        <v>0.20971520000000007</v>
      </c>
      <c r="G77" s="1">
        <f t="shared" si="15"/>
        <v>0.92863740266492811</v>
      </c>
      <c r="H77" s="1">
        <f t="shared" si="16"/>
        <v>0.89719292559733332</v>
      </c>
      <c r="I77" s="1">
        <f t="shared" si="17"/>
        <v>0.99508048142678229</v>
      </c>
      <c r="J77" s="1">
        <f t="shared" si="18"/>
        <v>0.9913773450413681</v>
      </c>
      <c r="K77" s="1">
        <f t="shared" si="19"/>
        <v>0.98130296953188956</v>
      </c>
      <c r="L77" s="1">
        <f t="shared" si="20"/>
        <v>0.97004365011071214</v>
      </c>
      <c r="M77" s="1">
        <f t="shared" si="21"/>
        <v>0.99930604420858538</v>
      </c>
      <c r="N77" s="1">
        <f t="shared" si="22"/>
        <v>0.99863743168202224</v>
      </c>
      <c r="P77" s="1">
        <f t="shared" si="23"/>
        <v>0.52648030942490021</v>
      </c>
      <c r="Q77" s="1">
        <f t="shared" si="24"/>
        <v>0.85898675498108901</v>
      </c>
    </row>
    <row r="78" spans="4:25" x14ac:dyDescent="0.3">
      <c r="D78">
        <f t="shared" si="25"/>
        <v>126</v>
      </c>
      <c r="E78" s="1">
        <f t="shared" si="13"/>
        <v>0.50591687167593391</v>
      </c>
      <c r="F78" s="1">
        <f t="shared" si="14"/>
        <v>0.20394734055971128</v>
      </c>
      <c r="G78" s="1">
        <f t="shared" si="15"/>
        <v>0.93390973911785757</v>
      </c>
      <c r="H78" s="1">
        <f t="shared" si="16"/>
        <v>0.90414864736680345</v>
      </c>
      <c r="I78" s="1">
        <f t="shared" si="17"/>
        <v>0.99561993917670844</v>
      </c>
      <c r="J78" s="1">
        <f t="shared" si="18"/>
        <v>0.99226694288282624</v>
      </c>
      <c r="K78" s="1">
        <f t="shared" si="19"/>
        <v>0.98305072377992153</v>
      </c>
      <c r="L78" s="1">
        <f t="shared" si="20"/>
        <v>0.97265156217864246</v>
      </c>
      <c r="M78" s="1">
        <f t="shared" si="21"/>
        <v>0.9993960204921577</v>
      </c>
      <c r="N78" s="1">
        <f t="shared" si="22"/>
        <v>0.99880524940737259</v>
      </c>
      <c r="P78" s="1">
        <f t="shared" si="23"/>
        <v>0.4920612036471006</v>
      </c>
      <c r="Q78" s="1">
        <f t="shared" si="24"/>
        <v>0.7902898291391125</v>
      </c>
    </row>
    <row r="79" spans="4:25" x14ac:dyDescent="0.3">
      <c r="D79">
        <f t="shared" si="25"/>
        <v>127</v>
      </c>
      <c r="E79" s="1">
        <f t="shared" si="13"/>
        <v>0.4999532536268001</v>
      </c>
      <c r="F79" s="1">
        <f t="shared" si="14"/>
        <v>0.1983818478028099</v>
      </c>
      <c r="G79" s="1">
        <f t="shared" si="15"/>
        <v>0.93883708746290406</v>
      </c>
      <c r="H79" s="1">
        <f t="shared" si="16"/>
        <v>0.91070102632883321</v>
      </c>
      <c r="I79" s="1">
        <f t="shared" si="17"/>
        <v>0.99610226381324407</v>
      </c>
      <c r="J79" s="1">
        <f t="shared" si="18"/>
        <v>0.99306866264209059</v>
      </c>
      <c r="K79" s="1">
        <f t="shared" si="19"/>
        <v>0.98464469124354781</v>
      </c>
      <c r="L79" s="1">
        <f t="shared" si="20"/>
        <v>0.9750489527737114</v>
      </c>
      <c r="M79" s="1">
        <f t="shared" si="21"/>
        <v>0.99947452568322448</v>
      </c>
      <c r="N79" s="1">
        <f t="shared" si="22"/>
        <v>0.99895283879252861</v>
      </c>
      <c r="P79" s="1">
        <f t="shared" si="23"/>
        <v>0.45935806034412607</v>
      </c>
      <c r="Q79" s="1">
        <f t="shared" si="24"/>
        <v>0.72669124116166017</v>
      </c>
    </row>
    <row r="80" spans="4:25" x14ac:dyDescent="0.3">
      <c r="D80">
        <f t="shared" si="25"/>
        <v>128</v>
      </c>
      <c r="E80" s="1">
        <f t="shared" si="13"/>
        <v>0.49410588440130931</v>
      </c>
      <c r="F80" s="1">
        <f t="shared" si="14"/>
        <v>0.19301011109426147</v>
      </c>
      <c r="G80" s="1">
        <f t="shared" si="15"/>
        <v>0.94343731140724418</v>
      </c>
      <c r="H80" s="1">
        <f t="shared" si="16"/>
        <v>0.91686675261035278</v>
      </c>
      <c r="I80" s="1">
        <f t="shared" si="17"/>
        <v>0.9965332152929931</v>
      </c>
      <c r="J80" s="1">
        <f t="shared" si="18"/>
        <v>0.99379065273955824</v>
      </c>
      <c r="K80" s="1">
        <f t="shared" si="19"/>
        <v>0.98609719620372616</v>
      </c>
      <c r="L80" s="1">
        <f t="shared" si="20"/>
        <v>0.97725084776646742</v>
      </c>
      <c r="M80" s="1">
        <f t="shared" si="21"/>
        <v>0.99954298919351903</v>
      </c>
      <c r="N80" s="1">
        <f t="shared" si="22"/>
        <v>0.99908256739605483</v>
      </c>
      <c r="P80" s="1">
        <f t="shared" si="23"/>
        <v>0.42834798189477219</v>
      </c>
      <c r="Q80" s="1">
        <f t="shared" si="24"/>
        <v>0.66785496726021165</v>
      </c>
    </row>
    <row r="81" spans="4:17" x14ac:dyDescent="0.3">
      <c r="D81">
        <f t="shared" si="25"/>
        <v>129</v>
      </c>
      <c r="E81" s="1">
        <f t="shared" si="13"/>
        <v>0.48837161609808244</v>
      </c>
      <c r="F81" s="1">
        <f t="shared" si="14"/>
        <v>0.18782394946383793</v>
      </c>
      <c r="G81" s="1">
        <f t="shared" si="15"/>
        <v>0.94772785622765154</v>
      </c>
      <c r="H81" s="1">
        <f t="shared" si="16"/>
        <v>0.92266251442620761</v>
      </c>
      <c r="I81" s="1">
        <f t="shared" si="17"/>
        <v>0.99691801441070993</v>
      </c>
      <c r="J81" s="1">
        <f t="shared" si="18"/>
        <v>0.99444037828783194</v>
      </c>
      <c r="K81" s="1">
        <f t="shared" si="19"/>
        <v>0.98741972696006663</v>
      </c>
      <c r="L81" s="1">
        <f t="shared" si="20"/>
        <v>0.979271435378266</v>
      </c>
      <c r="M81" s="1">
        <f t="shared" si="21"/>
        <v>0.99960266783782126</v>
      </c>
      <c r="N81" s="1">
        <f t="shared" si="22"/>
        <v>0.99919653689722765</v>
      </c>
      <c r="P81" s="1">
        <f t="shared" si="23"/>
        <v>0.39899953711870584</v>
      </c>
      <c r="Q81" s="1">
        <f t="shared" si="24"/>
        <v>0.61346264283614005</v>
      </c>
    </row>
    <row r="82" spans="4:17" x14ac:dyDescent="0.3">
      <c r="D82">
        <f t="shared" si="25"/>
        <v>130</v>
      </c>
      <c r="E82" s="1">
        <f t="shared" si="13"/>
        <v>0.48274740957091467</v>
      </c>
      <c r="F82" s="1">
        <f t="shared" si="14"/>
        <v>0.18281558705644105</v>
      </c>
      <c r="G82" s="1">
        <f t="shared" si="15"/>
        <v>0.95172569716748268</v>
      </c>
      <c r="H82" s="1">
        <f t="shared" si="16"/>
        <v>0.92810491023994279</v>
      </c>
      <c r="I82" s="1">
        <f t="shared" si="17"/>
        <v>0.99726138733643122</v>
      </c>
      <c r="J82" s="1">
        <f t="shared" si="18"/>
        <v>0.9950246685392018</v>
      </c>
      <c r="K82" s="1">
        <f t="shared" si="19"/>
        <v>0.98862297312366176</v>
      </c>
      <c r="L82" s="1">
        <f t="shared" si="20"/>
        <v>0.98112408384567318</v>
      </c>
      <c r="M82" s="1">
        <f t="shared" si="21"/>
        <v>0.99965466575982087</v>
      </c>
      <c r="N82" s="1">
        <f t="shared" si="22"/>
        <v>0.99929661118440283</v>
      </c>
      <c r="P82" s="1">
        <f t="shared" si="23"/>
        <v>0.37127412677721239</v>
      </c>
      <c r="Q82" s="1">
        <f t="shared" si="24"/>
        <v>0.56321311746137326</v>
      </c>
    </row>
    <row r="83" spans="4:17" x14ac:dyDescent="0.3">
      <c r="D83">
        <f t="shared" si="25"/>
        <v>131</v>
      </c>
      <c r="E83" s="1">
        <f t="shared" si="13"/>
        <v>0.47723032987148928</v>
      </c>
      <c r="F83" s="1">
        <f t="shared" si="14"/>
        <v>0.17797763016010323</v>
      </c>
      <c r="G83" s="1">
        <f t="shared" si="15"/>
        <v>0.95544729691900188</v>
      </c>
      <c r="H83" s="1">
        <f t="shared" si="16"/>
        <v>0.93321037067576951</v>
      </c>
      <c r="I83" s="1">
        <f t="shared" si="17"/>
        <v>0.9975676073355042</v>
      </c>
      <c r="J83" s="1">
        <f t="shared" si="18"/>
        <v>0.9955497624284384</v>
      </c>
      <c r="K83" s="1">
        <f t="shared" si="19"/>
        <v>0.98971686395109681</v>
      </c>
      <c r="L83" s="1">
        <f t="shared" si="20"/>
        <v>0.98282136291704547</v>
      </c>
      <c r="M83" s="1">
        <f t="shared" si="21"/>
        <v>0.99969995220863961</v>
      </c>
      <c r="N83" s="1">
        <f t="shared" si="22"/>
        <v>0.99938444175553931</v>
      </c>
      <c r="P83" s="1">
        <f t="shared" si="23"/>
        <v>0.34512723046405824</v>
      </c>
      <c r="Q83" s="1">
        <f t="shared" si="24"/>
        <v>0.51682196285963755</v>
      </c>
    </row>
    <row r="84" spans="4:17" x14ac:dyDescent="0.3">
      <c r="D84">
        <f t="shared" si="25"/>
        <v>132</v>
      </c>
      <c r="E84" s="1">
        <f t="shared" si="13"/>
        <v>0.47181754191607467</v>
      </c>
      <c r="F84" s="1">
        <f t="shared" si="14"/>
        <v>0.17330304569920096</v>
      </c>
      <c r="G84" s="1">
        <f t="shared" si="15"/>
        <v>0.95890857146666941</v>
      </c>
      <c r="H84" s="1">
        <f t="shared" si="16"/>
        <v>0.93799508975339752</v>
      </c>
      <c r="I84" s="1">
        <f t="shared" si="17"/>
        <v>0.99784053371638637</v>
      </c>
      <c r="J84" s="1">
        <f t="shared" si="18"/>
        <v>0.99602135206635323</v>
      </c>
      <c r="K84" s="1">
        <f t="shared" si="19"/>
        <v>0.99071060721160209</v>
      </c>
      <c r="L84" s="1">
        <f t="shared" si="20"/>
        <v>0.98437506846128353</v>
      </c>
      <c r="M84" s="1">
        <f t="shared" si="21"/>
        <v>0.99973937737275376</v>
      </c>
      <c r="N84" s="1">
        <f t="shared" si="22"/>
        <v>0.99946149064325762</v>
      </c>
      <c r="P84" s="1">
        <f t="shared" si="23"/>
        <v>0.32050953794919224</v>
      </c>
      <c r="Q84" s="1">
        <f t="shared" si="24"/>
        <v>0.47402094260976924</v>
      </c>
    </row>
    <row r="85" spans="4:17" x14ac:dyDescent="0.3">
      <c r="D85">
        <f t="shared" si="25"/>
        <v>133</v>
      </c>
      <c r="E85" s="1">
        <f t="shared" si="13"/>
        <v>0.46650630636359791</v>
      </c>
      <c r="F85" s="1">
        <f t="shared" si="14"/>
        <v>0.16878514108920945</v>
      </c>
      <c r="G85" s="1">
        <f t="shared" si="15"/>
        <v>0.9621248635726366</v>
      </c>
      <c r="H85" s="1">
        <f t="shared" si="16"/>
        <v>0.94247496497193139</v>
      </c>
      <c r="I85" s="1">
        <f t="shared" si="17"/>
        <v>0.99808364807581762</v>
      </c>
      <c r="J85" s="1">
        <f t="shared" si="18"/>
        <v>0.99644462408676504</v>
      </c>
      <c r="K85" s="1">
        <f t="shared" si="19"/>
        <v>0.99161272815114698</v>
      </c>
      <c r="L85" s="1">
        <f t="shared" si="20"/>
        <v>0.98579624953964062</v>
      </c>
      <c r="M85" s="1">
        <f t="shared" si="21"/>
        <v>0.99977368646245013</v>
      </c>
      <c r="N85" s="1">
        <f t="shared" si="22"/>
        <v>0.99952905106758216</v>
      </c>
      <c r="P85" s="1">
        <f t="shared" si="23"/>
        <v>0.29736796911967822</v>
      </c>
      <c r="Q85" s="1">
        <f t="shared" si="24"/>
        <v>0.43455745157399406</v>
      </c>
    </row>
    <row r="86" spans="4:17" x14ac:dyDescent="0.3">
      <c r="D86">
        <f t="shared" si="25"/>
        <v>134</v>
      </c>
      <c r="E86" s="1">
        <f t="shared" si="13"/>
        <v>0.46129397569328712</v>
      </c>
      <c r="F86" s="1">
        <f t="shared" si="14"/>
        <v>0.16441754535737566</v>
      </c>
      <c r="G86" s="1">
        <f t="shared" si="15"/>
        <v>0.9651109231995767</v>
      </c>
      <c r="H86" s="1">
        <f t="shared" si="16"/>
        <v>0.94666554573564521</v>
      </c>
      <c r="I86" s="1">
        <f t="shared" si="17"/>
        <v>0.99830008793030389</v>
      </c>
      <c r="J86" s="1">
        <f t="shared" si="18"/>
        <v>0.99682429878982193</v>
      </c>
      <c r="K86" s="1">
        <f t="shared" si="19"/>
        <v>0.9924311081831233</v>
      </c>
      <c r="L86" s="1">
        <f t="shared" si="20"/>
        <v>0.98709523735967808</v>
      </c>
      <c r="M86" s="1">
        <f t="shared" si="21"/>
        <v>0.99980353221673346</v>
      </c>
      <c r="N86" s="1">
        <f t="shared" si="22"/>
        <v>0.99958826600921735</v>
      </c>
      <c r="P86" s="1">
        <f t="shared" si="23"/>
        <v>0.27564658749180104</v>
      </c>
      <c r="Q86" s="1">
        <f t="shared" si="24"/>
        <v>0.39819393233744904</v>
      </c>
    </row>
    <row r="87" spans="4:17" x14ac:dyDescent="0.3">
      <c r="D87">
        <f t="shared" si="25"/>
        <v>135</v>
      </c>
      <c r="E87" s="1">
        <f t="shared" si="13"/>
        <v>0.45617799047081553</v>
      </c>
      <c r="F87" s="1">
        <f t="shared" si="14"/>
        <v>0.16019419144105454</v>
      </c>
      <c r="G87" s="1">
        <f t="shared" si="15"/>
        <v>0.96788089418668477</v>
      </c>
      <c r="H87" s="1">
        <f t="shared" si="16"/>
        <v>0.95058198959185258</v>
      </c>
      <c r="I87" s="1">
        <f t="shared" si="17"/>
        <v>0.99849267783750539</v>
      </c>
      <c r="J87" s="1">
        <f t="shared" si="18"/>
        <v>0.99716466705871831</v>
      </c>
      <c r="K87" s="1">
        <f t="shared" si="19"/>
        <v>0.99317302299516619</v>
      </c>
      <c r="L87" s="1">
        <f t="shared" si="20"/>
        <v>0.98828167559542968</v>
      </c>
      <c r="M87" s="1">
        <f t="shared" si="21"/>
        <v>0.99982948599595933</v>
      </c>
      <c r="N87" s="1">
        <f t="shared" si="22"/>
        <v>0.99964014488522979</v>
      </c>
      <c r="P87" s="1">
        <f t="shared" si="23"/>
        <v>0.25528741288376455</v>
      </c>
      <c r="Q87" s="1">
        <f t="shared" si="24"/>
        <v>0.36470727525369284</v>
      </c>
    </row>
    <row r="88" spans="4:17" x14ac:dyDescent="0.3">
      <c r="D88">
        <f t="shared" si="25"/>
        <v>136</v>
      </c>
      <c r="E88" s="1">
        <f t="shared" si="13"/>
        <v>0.45115587579257099</v>
      </c>
      <c r="F88" s="1">
        <f t="shared" si="14"/>
        <v>0.15610929958220449</v>
      </c>
      <c r="G88" s="1">
        <f t="shared" si="15"/>
        <v>0.97044830652084724</v>
      </c>
      <c r="H88" s="1">
        <f t="shared" si="16"/>
        <v>0.95423902573801844</v>
      </c>
      <c r="I88" s="1">
        <f t="shared" si="17"/>
        <v>0.99866395812177255</v>
      </c>
      <c r="J88" s="1">
        <f t="shared" si="18"/>
        <v>0.99746962505531978</v>
      </c>
      <c r="K88" s="1">
        <f t="shared" si="19"/>
        <v>0.99384517981575904</v>
      </c>
      <c r="L88" s="1">
        <f t="shared" si="20"/>
        <v>0.98936455161914827</v>
      </c>
      <c r="M88" s="1">
        <f t="shared" si="21"/>
        <v>0.99985204760749036</v>
      </c>
      <c r="N88" s="1">
        <f t="shared" si="22"/>
        <v>0.99968557849764961</v>
      </c>
      <c r="P88" s="1">
        <f t="shared" si="23"/>
        <v>0.2362311392631895</v>
      </c>
      <c r="Q88" s="1">
        <f t="shared" si="24"/>
        <v>0.33388820801690144</v>
      </c>
    </row>
    <row r="89" spans="4:17" x14ac:dyDescent="0.3">
      <c r="D89">
        <f t="shared" si="25"/>
        <v>137</v>
      </c>
      <c r="E89" s="1">
        <f t="shared" si="13"/>
        <v>0.44622523789831831</v>
      </c>
      <c r="F89" s="1">
        <f t="shared" si="14"/>
        <v>0.15215736174272665</v>
      </c>
      <c r="G89" s="1">
        <f t="shared" si="15"/>
        <v>0.97282607357540929</v>
      </c>
      <c r="H89" s="1">
        <f t="shared" si="16"/>
        <v>0.95765092525051032</v>
      </c>
      <c r="I89" s="1">
        <f t="shared" si="17"/>
        <v>0.99881621132529441</v>
      </c>
      <c r="J89" s="1">
        <f t="shared" si="18"/>
        <v>0.99774270672368093</v>
      </c>
      <c r="K89" s="1">
        <f t="shared" si="19"/>
        <v>0.99445375363276622</v>
      </c>
      <c r="L89" s="1">
        <f t="shared" si="20"/>
        <v>0.99035222824737867</v>
      </c>
      <c r="M89" s="1">
        <f t="shared" si="21"/>
        <v>0.99987165399847133</v>
      </c>
      <c r="N89" s="1">
        <f t="shared" si="22"/>
        <v>0.99972535241403804</v>
      </c>
      <c r="P89" s="1">
        <f t="shared" si="23"/>
        <v>0.21841776404765678</v>
      </c>
      <c r="Q89" s="1">
        <f t="shared" si="24"/>
        <v>0.30554068004056489</v>
      </c>
    </row>
    <row r="90" spans="4:17" x14ac:dyDescent="0.3">
      <c r="D90">
        <f t="shared" si="25"/>
        <v>138</v>
      </c>
      <c r="E90" s="1">
        <f t="shared" si="13"/>
        <v>0.44138376094311954</v>
      </c>
      <c r="F90" s="1">
        <f t="shared" si="14"/>
        <v>0.14833312697101264</v>
      </c>
      <c r="G90" s="1">
        <f t="shared" si="15"/>
        <v>0.975026493722573</v>
      </c>
      <c r="H90" s="1">
        <f t="shared" si="16"/>
        <v>0.96083147748977749</v>
      </c>
      <c r="I90" s="1">
        <f t="shared" si="17"/>
        <v>0.99895148651067656</v>
      </c>
      <c r="J90" s="1">
        <f t="shared" si="18"/>
        <v>0.99798711414946795</v>
      </c>
      <c r="K90" s="1">
        <f t="shared" si="19"/>
        <v>0.99500442219920282</v>
      </c>
      <c r="L90" s="1">
        <f t="shared" si="20"/>
        <v>0.99125247565736629</v>
      </c>
      <c r="M90" s="1">
        <f t="shared" si="21"/>
        <v>0.99988868693741428</v>
      </c>
      <c r="N90" s="1">
        <f t="shared" si="22"/>
        <v>0.99976015892767445</v>
      </c>
      <c r="P90" s="1">
        <f t="shared" si="23"/>
        <v>0.20178713526320191</v>
      </c>
      <c r="Q90" s="1">
        <f t="shared" si="24"/>
        <v>0.27948124630927396</v>
      </c>
    </row>
    <row r="91" spans="4:17" x14ac:dyDescent="0.3">
      <c r="D91">
        <f t="shared" si="25"/>
        <v>139</v>
      </c>
      <c r="E91" s="1">
        <f t="shared" si="13"/>
        <v>0.43662920391993193</v>
      </c>
      <c r="F91" s="1">
        <f t="shared" si="14"/>
        <v>0.14463158765527478</v>
      </c>
      <c r="G91" s="1">
        <f t="shared" si="15"/>
        <v>0.97706125576129765</v>
      </c>
      <c r="H91" s="1">
        <f t="shared" si="16"/>
        <v>0.96379397214522255</v>
      </c>
      <c r="I91" s="1">
        <f t="shared" si="17"/>
        <v>0.99907162154271301</v>
      </c>
      <c r="J91" s="1">
        <f t="shared" si="18"/>
        <v>0.99820574583841559</v>
      </c>
      <c r="K91" s="1">
        <f t="shared" si="19"/>
        <v>0.99550239969968557</v>
      </c>
      <c r="L91" s="1">
        <f t="shared" si="20"/>
        <v>0.99207250317890772</v>
      </c>
      <c r="M91" s="1">
        <f t="shared" si="21"/>
        <v>0.99990347979471861</v>
      </c>
      <c r="N91" s="1">
        <f t="shared" si="22"/>
        <v>0.99979060773387041</v>
      </c>
      <c r="P91" s="1">
        <f t="shared" si="23"/>
        <v>0.18627942297794675</v>
      </c>
      <c r="Q91" s="1">
        <f t="shared" si="24"/>
        <v>0.25553845479603865</v>
      </c>
    </row>
    <row r="92" spans="4:17" x14ac:dyDescent="0.3">
      <c r="D92">
        <f t="shared" si="25"/>
        <v>140</v>
      </c>
      <c r="E92" s="1">
        <f t="shared" si="13"/>
        <v>0.43195939772483116</v>
      </c>
      <c r="F92" s="1">
        <f t="shared" si="14"/>
        <v>0.14104796660402646</v>
      </c>
      <c r="G92" s="1">
        <f t="shared" si="15"/>
        <v>0.97894144763979696</v>
      </c>
      <c r="H92" s="1">
        <f t="shared" si="16"/>
        <v>0.96655118639654458</v>
      </c>
      <c r="I92" s="1">
        <f t="shared" si="17"/>
        <v>0.99917826347709271</v>
      </c>
      <c r="J92" s="1">
        <f t="shared" si="18"/>
        <v>0.99840122298865419</v>
      </c>
      <c r="K92" s="1">
        <f t="shared" si="19"/>
        <v>0.99595246898444945</v>
      </c>
      <c r="L92" s="1">
        <f t="shared" si="20"/>
        <v>0.99281899071166491</v>
      </c>
      <c r="M92" s="1">
        <f t="shared" si="21"/>
        <v>0.99991632352152593</v>
      </c>
      <c r="N92" s="1">
        <f t="shared" si="22"/>
        <v>0.99981723544813117</v>
      </c>
      <c r="P92" s="1">
        <f t="shared" si="23"/>
        <v>0.17183552134671887</v>
      </c>
      <c r="Q92" s="1">
        <f t="shared" si="24"/>
        <v>0.23355224099623229</v>
      </c>
    </row>
    <row r="93" spans="4:17" x14ac:dyDescent="0.3">
      <c r="D93">
        <f t="shared" si="25"/>
        <v>141</v>
      </c>
      <c r="E93" s="1">
        <f t="shared" si="13"/>
        <v>0.42737224235728211</v>
      </c>
      <c r="F93" s="1">
        <f t="shared" si="14"/>
        <v>0.13757770489847626</v>
      </c>
      <c r="G93" s="1">
        <f t="shared" si="15"/>
        <v>0.98067756798963868</v>
      </c>
      <c r="H93" s="1">
        <f t="shared" si="16"/>
        <v>0.96911537668599956</v>
      </c>
      <c r="I93" s="1">
        <f t="shared" si="17"/>
        <v>0.99927288718215723</v>
      </c>
      <c r="J93" s="1">
        <f t="shared" si="18"/>
        <v>0.99857591384049316</v>
      </c>
      <c r="K93" s="1">
        <f t="shared" si="19"/>
        <v>0.99635901230689394</v>
      </c>
      <c r="L93" s="1">
        <f t="shared" si="20"/>
        <v>0.99349811955880396</v>
      </c>
      <c r="M93" s="1">
        <f t="shared" si="21"/>
        <v>0.99992747191640086</v>
      </c>
      <c r="N93" s="1">
        <f t="shared" si="22"/>
        <v>0.99984051408154739</v>
      </c>
      <c r="P93" s="1">
        <f t="shared" si="23"/>
        <v>0.15839738744483611</v>
      </c>
      <c r="Q93" s="1">
        <f t="shared" si="24"/>
        <v>0.21337333262886204</v>
      </c>
    </row>
    <row r="94" spans="4:17" x14ac:dyDescent="0.3">
      <c r="D94">
        <f t="shared" si="25"/>
        <v>142</v>
      </c>
      <c r="E94" s="1">
        <f t="shared" si="13"/>
        <v>0.42286570424833902</v>
      </c>
      <c r="F94" s="1">
        <f t="shared" si="14"/>
        <v>0.13421645046565017</v>
      </c>
      <c r="G94" s="1">
        <f t="shared" si="15"/>
        <v>0.98227954002642315</v>
      </c>
      <c r="H94" s="1">
        <f t="shared" si="16"/>
        <v>0.97149827461696203</v>
      </c>
      <c r="I94" s="1">
        <f t="shared" si="17"/>
        <v>0.99935681231692419</v>
      </c>
      <c r="J94" s="1">
        <f t="shared" si="18"/>
        <v>0.99873195619345223</v>
      </c>
      <c r="K94" s="1">
        <f t="shared" si="19"/>
        <v>0.99672604052570291</v>
      </c>
      <c r="L94" s="1">
        <f t="shared" si="20"/>
        <v>0.99411560250467546</v>
      </c>
      <c r="M94" s="1">
        <f t="shared" si="21"/>
        <v>0.99993714626023311</v>
      </c>
      <c r="N94" s="1">
        <f t="shared" si="22"/>
        <v>0.99986085857897367</v>
      </c>
      <c r="P94" s="1">
        <f t="shared" si="23"/>
        <v>0.14590832285226307</v>
      </c>
      <c r="Q94" s="1">
        <f t="shared" si="24"/>
        <v>0.19486266709054689</v>
      </c>
    </row>
    <row r="95" spans="4:17" x14ac:dyDescent="0.3">
      <c r="D95">
        <f t="shared" si="25"/>
        <v>143</v>
      </c>
      <c r="E95" s="1">
        <f t="shared" si="13"/>
        <v>0.41843781371007888</v>
      </c>
      <c r="F95" s="1">
        <f t="shared" si="14"/>
        <v>0.13096004732478381</v>
      </c>
      <c r="G95" s="1">
        <f t="shared" si="15"/>
        <v>0.98375672740954911</v>
      </c>
      <c r="H95" s="1">
        <f t="shared" si="16"/>
        <v>0.97371108651764771</v>
      </c>
      <c r="I95" s="1">
        <f t="shared" si="17"/>
        <v>0.99943121878470054</v>
      </c>
      <c r="J95" s="1">
        <f t="shared" si="18"/>
        <v>0.99887127818437715</v>
      </c>
      <c r="K95" s="1">
        <f t="shared" si="19"/>
        <v>0.99705722075400949</v>
      </c>
      <c r="L95" s="1">
        <f t="shared" si="20"/>
        <v>0.99467671299731342</v>
      </c>
      <c r="M95" s="1">
        <f t="shared" si="21"/>
        <v>0.9999455393914285</v>
      </c>
      <c r="N95" s="1">
        <f t="shared" si="22"/>
        <v>0.99987863351628059</v>
      </c>
      <c r="P95" s="1">
        <f t="shared" si="23"/>
        <v>0.13431320368656952</v>
      </c>
      <c r="Q95" s="1">
        <f t="shared" si="24"/>
        <v>0.17789082382222432</v>
      </c>
    </row>
    <row r="96" spans="4:17" x14ac:dyDescent="0.3">
      <c r="D96">
        <f t="shared" si="25"/>
        <v>144</v>
      </c>
      <c r="E96" s="1">
        <f t="shared" si="13"/>
        <v>0.41408666249996123</v>
      </c>
      <c r="F96" s="1">
        <f t="shared" si="14"/>
        <v>0.12780452546295101</v>
      </c>
      <c r="G96" s="1">
        <f t="shared" si="15"/>
        <v>0.98511795169024241</v>
      </c>
      <c r="H96" s="1">
        <f t="shared" si="16"/>
        <v>0.97576449623418471</v>
      </c>
      <c r="I96" s="1">
        <f t="shared" si="17"/>
        <v>0.9994971607769646</v>
      </c>
      <c r="J96" s="1">
        <f t="shared" si="18"/>
        <v>0.99899561742269538</v>
      </c>
      <c r="K96" s="1">
        <f t="shared" si="19"/>
        <v>0.99735590245618744</v>
      </c>
      <c r="L96" s="1">
        <f t="shared" si="20"/>
        <v>0.99518631332597396</v>
      </c>
      <c r="M96" s="1">
        <f t="shared" si="21"/>
        <v>0.99995281928586111</v>
      </c>
      <c r="N96" s="1">
        <f t="shared" si="22"/>
        <v>0.99989415904426648</v>
      </c>
      <c r="P96" s="1">
        <f t="shared" si="23"/>
        <v>0.12355866448696551</v>
      </c>
      <c r="Q96" s="1">
        <f t="shared" si="24"/>
        <v>0.16233747335903104</v>
      </c>
    </row>
    <row r="97" spans="4:20" x14ac:dyDescent="0.3">
      <c r="D97">
        <f t="shared" si="25"/>
        <v>145</v>
      </c>
      <c r="E97" s="1">
        <f t="shared" si="13"/>
        <v>0.40981040149418352</v>
      </c>
      <c r="F97" s="1">
        <f t="shared" si="14"/>
        <v>0.12474609129906179</v>
      </c>
      <c r="G97" s="1">
        <f t="shared" si="15"/>
        <v>0.98637151101248588</v>
      </c>
      <c r="H97" s="1">
        <f t="shared" si="16"/>
        <v>0.97766867074380182</v>
      </c>
      <c r="I97" s="1">
        <f t="shared" si="17"/>
        <v>0.99955557951700991</v>
      </c>
      <c r="J97" s="1">
        <f t="shared" si="18"/>
        <v>0.999106538579563</v>
      </c>
      <c r="K97" s="1">
        <f t="shared" si="19"/>
        <v>0.99762514200798902</v>
      </c>
      <c r="L97" s="1">
        <f t="shared" si="20"/>
        <v>0.99564888170998167</v>
      </c>
      <c r="M97" s="1">
        <f t="shared" si="21"/>
        <v>0.99995913219915977</v>
      </c>
      <c r="N97" s="1">
        <f t="shared" si="22"/>
        <v>0.99990771615870755</v>
      </c>
      <c r="P97" s="1">
        <f t="shared" si="23"/>
        <v>0.11359324103257196</v>
      </c>
      <c r="Q97" s="1">
        <f t="shared" si="24"/>
        <v>0.14809084448137355</v>
      </c>
    </row>
    <row r="98" spans="4:20" x14ac:dyDescent="0.3">
      <c r="D98">
        <f t="shared" si="25"/>
        <v>146</v>
      </c>
      <c r="E98" s="1">
        <f t="shared" si="13"/>
        <v>0.40560723846444124</v>
      </c>
      <c r="F98" s="1">
        <f t="shared" si="14"/>
        <v>0.1217811186982747</v>
      </c>
      <c r="G98" s="1">
        <f t="shared" si="15"/>
        <v>0.98752519976548314</v>
      </c>
      <c r="H98" s="1">
        <f t="shared" si="16"/>
        <v>0.97943326820622145</v>
      </c>
      <c r="I98" s="1">
        <f t="shared" si="17"/>
        <v>0.99960731480727982</v>
      </c>
      <c r="J98" s="1">
        <f t="shared" si="18"/>
        <v>0.99920544952709855</v>
      </c>
      <c r="K98" s="1">
        <f t="shared" si="19"/>
        <v>0.99786772574821225</v>
      </c>
      <c r="L98" s="1">
        <f t="shared" si="20"/>
        <v>0.99606853823803032</v>
      </c>
      <c r="M98" s="1">
        <f t="shared" si="21"/>
        <v>0.99996460542265009</v>
      </c>
      <c r="N98" s="1">
        <f t="shared" si="22"/>
        <v>0.99991955136849087</v>
      </c>
      <c r="P98" s="1">
        <f t="shared" si="23"/>
        <v>0.10436747684539771</v>
      </c>
      <c r="Q98" s="1">
        <f t="shared" si="24"/>
        <v>0.13504721056619928</v>
      </c>
    </row>
    <row r="99" spans="4:20" x14ac:dyDescent="0.3">
      <c r="D99">
        <f t="shared" si="25"/>
        <v>147</v>
      </c>
      <c r="E99" s="1">
        <f t="shared" si="13"/>
        <v>0.40147543595282598</v>
      </c>
      <c r="F99" s="1">
        <f t="shared" si="14"/>
        <v>0.11890614050155429</v>
      </c>
      <c r="G99" s="1">
        <f t="shared" si="15"/>
        <v>0.98858632891861442</v>
      </c>
      <c r="H99" s="1">
        <f t="shared" si="16"/>
        <v>0.98106744809894708</v>
      </c>
      <c r="I99" s="1">
        <f t="shared" si="17"/>
        <v>0.99965311547854385</v>
      </c>
      <c r="J99" s="1">
        <f t="shared" si="18"/>
        <v>0.99929361612231904</v>
      </c>
      <c r="K99" s="1">
        <f t="shared" si="19"/>
        <v>0.9980861915601863</v>
      </c>
      <c r="L99" s="1">
        <f t="shared" si="20"/>
        <v>0.99644906961702029</v>
      </c>
      <c r="M99" s="1">
        <f t="shared" si="21"/>
        <v>0.99996934969862272</v>
      </c>
      <c r="N99" s="1">
        <f t="shared" si="22"/>
        <v>0.99992988082681877</v>
      </c>
      <c r="P99" s="1">
        <f t="shared" si="23"/>
        <v>9.5833997788442593E-2</v>
      </c>
      <c r="Q99" s="1">
        <f t="shared" si="24"/>
        <v>0.12311039595317652</v>
      </c>
    </row>
    <row r="100" spans="4:20" x14ac:dyDescent="0.3">
      <c r="D100">
        <f t="shared" si="25"/>
        <v>148</v>
      </c>
      <c r="E100" s="1">
        <f t="shared" si="13"/>
        <v>0.39741330923989621</v>
      </c>
      <c r="F100" s="1">
        <f t="shared" si="14"/>
        <v>0.11611784053758838</v>
      </c>
      <c r="G100" s="1">
        <f t="shared" si="15"/>
        <v>0.98956174680035192</v>
      </c>
      <c r="H100" s="1">
        <f t="shared" si="16"/>
        <v>0.98257988310964695</v>
      </c>
      <c r="I100" s="1">
        <f t="shared" si="17"/>
        <v>0.99969364883317147</v>
      </c>
      <c r="J100" s="1">
        <f t="shared" si="18"/>
        <v>0.99937217572801285</v>
      </c>
      <c r="K100" s="1">
        <f t="shared" si="19"/>
        <v>0.99828284902937237</v>
      </c>
      <c r="L100" s="1">
        <f t="shared" si="20"/>
        <v>0.99679395270675641</v>
      </c>
      <c r="M100" s="1">
        <f t="shared" si="21"/>
        <v>0.99997346133551135</v>
      </c>
      <c r="N100" s="1">
        <f t="shared" si="22"/>
        <v>0.99993889398406655</v>
      </c>
      <c r="P100" s="1">
        <f t="shared" si="23"/>
        <v>8.7947558830242745E-2</v>
      </c>
      <c r="Q100" s="1">
        <f t="shared" si="24"/>
        <v>0.11219130288665724</v>
      </c>
    </row>
    <row r="101" spans="4:20" x14ac:dyDescent="0.3">
      <c r="D101">
        <f t="shared" si="25"/>
        <v>149</v>
      </c>
      <c r="E101" s="1">
        <f t="shared" si="13"/>
        <v>0.39341922440124127</v>
      </c>
      <c r="F101" s="1">
        <f t="shared" si="14"/>
        <v>0.11341304608657016</v>
      </c>
      <c r="G101" s="1">
        <f t="shared" si="15"/>
        <v>0.99045786011120007</v>
      </c>
      <c r="H101" s="1">
        <f t="shared" si="16"/>
        <v>0.9839787724859248</v>
      </c>
      <c r="I101" s="1">
        <f t="shared" si="17"/>
        <v>0.9997295091688666</v>
      </c>
      <c r="J101" s="1">
        <f t="shared" si="18"/>
        <v>0.99944214955975696</v>
      </c>
      <c r="K101" s="1">
        <f t="shared" si="19"/>
        <v>0.99845979822956343</v>
      </c>
      <c r="L101" s="1">
        <f t="shared" si="20"/>
        <v>0.99710637683159453</v>
      </c>
      <c r="M101" s="1">
        <f t="shared" si="21"/>
        <v>0.9999770240589877</v>
      </c>
      <c r="N101" s="1">
        <f t="shared" si="22"/>
        <v>0.99994675681499912</v>
      </c>
      <c r="P101" s="1">
        <f t="shared" si="23"/>
        <v>8.0665066711080202E-2</v>
      </c>
      <c r="Q101" s="1">
        <f t="shared" si="24"/>
        <v>0.10220745936970843</v>
      </c>
    </row>
    <row r="102" spans="4:20" x14ac:dyDescent="0.3">
      <c r="D102">
        <f t="shared" si="25"/>
        <v>150</v>
      </c>
      <c r="E102" s="1">
        <f t="shared" si="13"/>
        <v>0.3894915964481182</v>
      </c>
      <c r="F102" s="1">
        <f t="shared" si="14"/>
        <v>0.11078872076746474</v>
      </c>
      <c r="G102" s="1">
        <f t="shared" si="15"/>
        <v>0.99128065498736573</v>
      </c>
      <c r="H102" s="1">
        <f t="shared" si="16"/>
        <v>0.9852718565691857</v>
      </c>
      <c r="I102" s="1">
        <f t="shared" si="17"/>
        <v>0.99976122546339852</v>
      </c>
      <c r="J102" s="1">
        <f t="shared" si="18"/>
        <v>0.99950445394479304</v>
      </c>
      <c r="K102" s="1">
        <f t="shared" si="19"/>
        <v>0.99861894719475575</v>
      </c>
      <c r="L102" s="1">
        <f t="shared" si="20"/>
        <v>0.99738926487265944</v>
      </c>
      <c r="M102" s="1">
        <f t="shared" si="21"/>
        <v>0.99998011063087555</v>
      </c>
      <c r="N102" s="1">
        <f t="shared" si="22"/>
        <v>0.99995361466768151</v>
      </c>
      <c r="P102" s="1">
        <f t="shared" si="23"/>
        <v>7.3945581920569659E-2</v>
      </c>
      <c r="Q102" s="1">
        <f t="shared" si="24"/>
        <v>9.3082588070615202E-2</v>
      </c>
    </row>
    <row r="103" spans="4:20" x14ac:dyDescent="0.3">
      <c r="E103" s="1">
        <v>2</v>
      </c>
      <c r="F103" s="1">
        <v>2</v>
      </c>
      <c r="G103" s="1">
        <v>2</v>
      </c>
      <c r="H103" s="1">
        <v>2</v>
      </c>
      <c r="I103" s="1">
        <v>2</v>
      </c>
      <c r="J103" s="1">
        <v>2</v>
      </c>
      <c r="K103" s="1">
        <v>2</v>
      </c>
      <c r="L103" s="1">
        <v>2</v>
      </c>
      <c r="M103" s="1">
        <v>2</v>
      </c>
      <c r="N103" s="1">
        <v>2</v>
      </c>
      <c r="O103" s="1">
        <v>2</v>
      </c>
      <c r="P103" s="1">
        <v>2</v>
      </c>
      <c r="Q103" s="1">
        <v>2</v>
      </c>
      <c r="R103" s="1">
        <v>2</v>
      </c>
      <c r="S103" s="1">
        <v>2</v>
      </c>
      <c r="T103" s="1">
        <v>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6F044-F7E3-45E3-9CC6-9F408CB28EB9}">
  <dimension ref="A1:AN206"/>
  <sheetViews>
    <sheetView tabSelected="1" topLeftCell="A8" zoomScale="131" zoomScaleNormal="55" workbookViewId="0">
      <selection activeCell="B16" sqref="B16"/>
    </sheetView>
  </sheetViews>
  <sheetFormatPr defaultRowHeight="14.4" x14ac:dyDescent="0.3"/>
  <cols>
    <col min="4" max="17" width="8.88671875" style="1"/>
  </cols>
  <sheetData>
    <row r="1" spans="1:32" x14ac:dyDescent="0.3">
      <c r="A1" t="s">
        <v>1</v>
      </c>
      <c r="B1">
        <v>0.2</v>
      </c>
      <c r="D1" t="s">
        <v>45</v>
      </c>
      <c r="E1" t="s">
        <v>46</v>
      </c>
      <c r="F1"/>
      <c r="G1" t="s">
        <v>44</v>
      </c>
      <c r="H1"/>
      <c r="I1" t="s">
        <v>0</v>
      </c>
      <c r="J1"/>
      <c r="K1" t="s">
        <v>33</v>
      </c>
      <c r="L1" t="s">
        <v>11</v>
      </c>
      <c r="M1"/>
      <c r="N1" t="s">
        <v>34</v>
      </c>
      <c r="O1" t="s">
        <v>35</v>
      </c>
      <c r="P1"/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X1" t="s">
        <v>36</v>
      </c>
      <c r="Y1" t="s">
        <v>37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</row>
    <row r="2" spans="1:32" x14ac:dyDescent="0.3">
      <c r="A2" t="s">
        <v>2</v>
      </c>
      <c r="B2">
        <v>0.05</v>
      </c>
      <c r="D2" s="1" t="e">
        <f>IF(I2&gt;$B$6,I2*O2*(1-V2)-$B$4*EXP(-$B$2*$B$5)*N2*(1-U2),NA())</f>
        <v>#N/A</v>
      </c>
      <c r="E2" s="1" t="e">
        <f>IF(I2&gt;$B$7,I2*(K2-AA2+Y2*(1-AD2))-$B$4*EXP(-$B$2*$B$5)*(L2-AB2+X2*(1-AC2)),NA())</f>
        <v>#N/A</v>
      </c>
      <c r="G2" s="1" t="e">
        <f>I2*K2-$B$4*EXP(-$B$2*$B$5)*L2</f>
        <v>#NUM!</v>
      </c>
      <c r="I2">
        <v>0</v>
      </c>
      <c r="K2" s="1" t="e">
        <f t="shared" ref="K2:K65" si="0">_xlfn.NORM.S.DIST((LN(I2/$B$4)+($B$2-$B$3+0.5*$B$1^2)*$B$5)/($B$1*SQRT($B$5)),TRUE)</f>
        <v>#NUM!</v>
      </c>
      <c r="L2" s="1" t="e">
        <f t="shared" ref="L2:L65" si="1">_xlfn.NORM.S.DIST((LN(I2/$B$4)+($B$2-$B$3-0.5*$B$1^2)*$B$5)/($B$1*SQRT($B$5)),TRUE)</f>
        <v>#NUM!</v>
      </c>
      <c r="N2" s="1" t="e">
        <f t="shared" ref="N2:N65" si="2">($B$6/I2)^(-1+(2*($B$2-$B$3))/($B$1^2))</f>
        <v>#DIV/0!</v>
      </c>
      <c r="O2" s="1" t="e">
        <f t="shared" ref="O2:O65" si="3">($B$6/I2)^(1+(2*($B$2-$B$3))/($B$1^2))</f>
        <v>#DIV/0!</v>
      </c>
      <c r="Q2" s="1" t="e">
        <f t="shared" ref="Q2:Q65" si="4">_xlfn.NORM.S.DIST((LN(I2/$B$6)+($B$2-$B$3+0.5*$B$1^2)*$B$5)/($B$1*SQRT($B$5)),TRUE)</f>
        <v>#NUM!</v>
      </c>
      <c r="R2" s="1" t="e">
        <f t="shared" ref="R2:R65" si="5">_xlfn.NORM.S.DIST((LN(I2/$B$6)+($B$2-$B$3-0.5*$B$1^2)*$B$5)/($B$1*SQRT($B$5)),TRUE)</f>
        <v>#NUM!</v>
      </c>
      <c r="S2" s="1" t="e">
        <f t="shared" ref="S2:S65" si="6">_xlfn.NORM.S.DIST((LN(I2/$B$6)-($B$2-$B$3-0.5*$B$1^2)*$B$5)/($B$1*SQRT($B$5)),TRUE)</f>
        <v>#NUM!</v>
      </c>
      <c r="T2" s="1" t="e">
        <f t="shared" ref="T2:T65" si="7">_xlfn.NORM.S.DIST((LN(I2/$B$6)-($B$2-$B$3+0.5*$B$1^2)*$B$5)/($B$1*SQRT($B$5)),TRUE)</f>
        <v>#NUM!</v>
      </c>
      <c r="U2" s="1" t="e">
        <f t="shared" ref="U2:U65" si="8">_xlfn.NORM.S.DIST((LN((I2*$B$4)/($B$6^2))-($B$2-$B$3-0.5*$B$1^2)*$B$5)/($B$1*SQRT($B$5)),TRUE)</f>
        <v>#NUM!</v>
      </c>
      <c r="V2" s="1" t="e">
        <f t="shared" ref="V2:V65" si="9">_xlfn.NORM.S.DIST((LN((I2*$B$4)/($B$6^2))-($B$2-$B$3+0.5*$B$1^2)*$B$5)/($B$1*SQRT($B$5)),TRUE)</f>
        <v>#NUM!</v>
      </c>
      <c r="W2" s="1"/>
      <c r="X2" s="6" t="e">
        <f t="shared" ref="X2:X65" si="10">($B$7/I2)^(-1+(2*($B$2-$B$3))/($B$1^2))</f>
        <v>#DIV/0!</v>
      </c>
      <c r="Y2" s="6" t="e">
        <f t="shared" ref="Y2:Y65" si="11">($B$7/I2)^(1+(2*($B$2-$B$3))/($B$1^2))</f>
        <v>#DIV/0!</v>
      </c>
      <c r="AA2" t="e">
        <f t="shared" ref="AA2:AA65" si="12">_xlfn.NORM.S.DIST((LN(I2/$B$7)+($B$2-$B$3+0.5*$B$1^2)*$B$5)/($B$1*SQRT($B$5)),TRUE)</f>
        <v>#NUM!</v>
      </c>
      <c r="AB2" t="e">
        <f t="shared" ref="AB2:AB65" si="13">_xlfn.NORM.S.DIST((LN(I2/$B$7)+($B$2-$B$3-0.5*$B$1^2)*$B$5)/($B$1*SQRT($B$5)),TRUE)</f>
        <v>#NUM!</v>
      </c>
      <c r="AC2" t="e">
        <f t="shared" ref="AC2:AC65" si="14">_xlfn.NORM.S.DIST((LN(I2/$B$7)-($B$2-$B$3-0.5*$B$1^2)*$B$5)/($B$1*SQRT($B$5)),TRUE)</f>
        <v>#NUM!</v>
      </c>
      <c r="AD2" t="e">
        <f t="shared" ref="AD2:AD65" si="15">_xlfn.NORM.S.DIST((LN(I2/$B$7)-($B$2-$B$3+0.5*$B$1^2)*$B$5)/($B$1*SQRT($B$5)),TRUE)</f>
        <v>#NUM!</v>
      </c>
      <c r="AE2" t="e">
        <f t="shared" ref="AE2:AE65" si="16">_xlfn.NORM.S.DIST((LN((I2*$B$4)/($B$7^2))-($B$2-$B$3-0.5*$B$1^2)*$B$5)/($B$1*SQRT($B$5)),TRUE)</f>
        <v>#NUM!</v>
      </c>
      <c r="AF2" t="e">
        <f t="shared" ref="AF2:AF65" si="17">_xlfn.NORM.S.DIST((LN((I2*$B$4)/($B$7^2))-($B$2-$B$3+0.5*$B$1^2)*$B$5)/($B$1*SQRT($B$5)),TRUE)</f>
        <v>#NUM!</v>
      </c>
    </row>
    <row r="3" spans="1:32" x14ac:dyDescent="0.3">
      <c r="A3" t="s">
        <v>3</v>
      </c>
      <c r="B3">
        <v>0</v>
      </c>
      <c r="D3" s="1" t="e">
        <f t="shared" ref="D3:D66" si="18">IF(I3&gt;$B$6,I3*O3*(1-V3)-$B$4*EXP(-$B$2*$B$5)*N3*(1-U3),NA())</f>
        <v>#N/A</v>
      </c>
      <c r="E3" s="1" t="e">
        <f t="shared" ref="E3:E66" si="19">IF(I3&gt;$B$7,I3*(K3-AA3+Y3*(1-AD3))-$B$4*EXP(-$B$2*$B$5)*(L3-AB3+X3*(1-AC3)),NA())</f>
        <v>#N/A</v>
      </c>
      <c r="G3" s="1">
        <f t="shared" ref="G3:G66" si="20">I3*K3-$B$4*EXP(-$B$2*$B$5)*L3</f>
        <v>3.3779173112772867E-116</v>
      </c>
      <c r="I3">
        <f>+I2+1</f>
        <v>1</v>
      </c>
      <c r="K3" s="1">
        <f t="shared" si="0"/>
        <v>3.8783834210037943E-114</v>
      </c>
      <c r="L3" s="1">
        <f t="shared" si="1"/>
        <v>4.0417213228123134E-116</v>
      </c>
      <c r="N3" s="1">
        <f t="shared" si="2"/>
        <v>1314.5341380123955</v>
      </c>
      <c r="O3" s="1">
        <f t="shared" si="3"/>
        <v>18929291.587378468</v>
      </c>
      <c r="Q3" s="1">
        <f t="shared" si="4"/>
        <v>2.5919722937552914E-123</v>
      </c>
      <c r="R3" s="1">
        <f t="shared" si="5"/>
        <v>2.2516967157254E-125</v>
      </c>
      <c r="S3" s="1">
        <f t="shared" si="6"/>
        <v>1.6916632902507637E-128</v>
      </c>
      <c r="T3" s="1">
        <f t="shared" si="7"/>
        <v>1.329961398941793E-130</v>
      </c>
      <c r="U3" s="1">
        <f t="shared" si="8"/>
        <v>3.128986545297318E-138</v>
      </c>
      <c r="V3" s="1">
        <f t="shared" si="9"/>
        <v>2.050580011278628E-140</v>
      </c>
      <c r="W3" s="1"/>
      <c r="X3" s="6">
        <f t="shared" si="10"/>
        <v>715.54175279993103</v>
      </c>
      <c r="Y3" s="6">
        <f t="shared" si="11"/>
        <v>4579467.2179195546</v>
      </c>
      <c r="AA3">
        <f t="shared" si="12"/>
        <v>2.1269075360882476E-103</v>
      </c>
      <c r="AB3">
        <f t="shared" si="13"/>
        <v>2.7693647076519271E-105</v>
      </c>
      <c r="AC3">
        <f t="shared" si="14"/>
        <v>3.8178873874478134E-108</v>
      </c>
      <c r="AD3">
        <f t="shared" si="15"/>
        <v>4.4989853483547746E-110</v>
      </c>
      <c r="AE3">
        <f t="shared" si="16"/>
        <v>1.0548600354559423E-97</v>
      </c>
      <c r="AF3">
        <f t="shared" si="17"/>
        <v>1.55307037188393E-99</v>
      </c>
    </row>
    <row r="4" spans="1:32" x14ac:dyDescent="0.3">
      <c r="A4" t="s">
        <v>4</v>
      </c>
      <c r="B4">
        <v>100</v>
      </c>
      <c r="D4" s="1" t="e">
        <f t="shared" si="18"/>
        <v>#N/A</v>
      </c>
      <c r="E4" s="1" t="e">
        <f t="shared" si="19"/>
        <v>#N/A</v>
      </c>
      <c r="G4" s="1">
        <f t="shared" si="20"/>
        <v>3.1219438495059009E-84</v>
      </c>
      <c r="I4">
        <f t="shared" ref="I4:I52" si="21">+I3+1</f>
        <v>2</v>
      </c>
      <c r="K4" s="1">
        <f t="shared" si="0"/>
        <v>1.522952292937352E-82</v>
      </c>
      <c r="L4" s="1">
        <f t="shared" si="1"/>
        <v>3.1692513601143146E-84</v>
      </c>
      <c r="N4" s="1">
        <f t="shared" si="2"/>
        <v>464.75800154488883</v>
      </c>
      <c r="O4" s="1">
        <f t="shared" si="3"/>
        <v>1673128.8055615989</v>
      </c>
      <c r="Q4" s="1">
        <f t="shared" si="4"/>
        <v>2.3811906773290944E-90</v>
      </c>
      <c r="R4" s="1">
        <f t="shared" si="5"/>
        <v>4.1312648977823815E-92</v>
      </c>
      <c r="S4" s="1">
        <f t="shared" si="6"/>
        <v>8.760356191203571E-95</v>
      </c>
      <c r="T4" s="1">
        <f t="shared" si="7"/>
        <v>1.3755721542648674E-96</v>
      </c>
      <c r="U4" s="1">
        <f t="shared" si="8"/>
        <v>3.7939802198648788E-103</v>
      </c>
      <c r="V4" s="1">
        <f t="shared" si="9"/>
        <v>4.9664920212083314E-105</v>
      </c>
      <c r="W4" s="1"/>
      <c r="X4" s="6">
        <f t="shared" si="10"/>
        <v>252.98221281346994</v>
      </c>
      <c r="Y4" s="6">
        <f t="shared" si="11"/>
        <v>404771.54050155147</v>
      </c>
      <c r="AA4">
        <f t="shared" si="12"/>
        <v>1.7639106298434153E-73</v>
      </c>
      <c r="AB4">
        <f t="shared" si="13"/>
        <v>4.5854899249226462E-75</v>
      </c>
      <c r="AC4">
        <f t="shared" si="14"/>
        <v>1.7834982717357497E-77</v>
      </c>
      <c r="AD4">
        <f t="shared" si="15"/>
        <v>4.196409858492927E-79</v>
      </c>
      <c r="AE4">
        <f t="shared" si="16"/>
        <v>1.0413315963663327E-68</v>
      </c>
      <c r="AF4">
        <f t="shared" si="17"/>
        <v>3.0606566838341485E-70</v>
      </c>
    </row>
    <row r="5" spans="1:32" x14ac:dyDescent="0.3">
      <c r="A5" t="s">
        <v>7</v>
      </c>
      <c r="B5">
        <v>1</v>
      </c>
      <c r="D5" s="1" t="e">
        <f t="shared" si="18"/>
        <v>#N/A</v>
      </c>
      <c r="E5" s="1" t="e">
        <f t="shared" si="19"/>
        <v>#N/A</v>
      </c>
      <c r="G5" s="1">
        <f t="shared" si="20"/>
        <v>6.1262127541399711E-68</v>
      </c>
      <c r="I5">
        <f t="shared" si="21"/>
        <v>3</v>
      </c>
      <c r="K5" s="1">
        <f t="shared" si="0"/>
        <v>1.7865444751312625E-66</v>
      </c>
      <c r="L5" s="1">
        <f t="shared" si="1"/>
        <v>5.5700246033005371E-68</v>
      </c>
      <c r="N5" s="1">
        <f t="shared" si="2"/>
        <v>252.98221281346994</v>
      </c>
      <c r="O5" s="1">
        <f t="shared" si="3"/>
        <v>404771.54050155147</v>
      </c>
      <c r="Q5" s="1">
        <f t="shared" si="4"/>
        <v>1.7639106298434153E-73</v>
      </c>
      <c r="R5" s="1">
        <f t="shared" si="5"/>
        <v>4.5854899249226462E-75</v>
      </c>
      <c r="S5" s="1">
        <f t="shared" si="6"/>
        <v>1.7834982717357497E-77</v>
      </c>
      <c r="T5" s="1">
        <f t="shared" si="7"/>
        <v>4.196409858492927E-79</v>
      </c>
      <c r="U5" s="1">
        <f t="shared" si="8"/>
        <v>4.8809712521198393E-85</v>
      </c>
      <c r="V5" s="1">
        <f t="shared" si="9"/>
        <v>9.5750883108649213E-87</v>
      </c>
      <c r="W5" s="1"/>
      <c r="X5" s="6">
        <f t="shared" si="10"/>
        <v>137.70607453181907</v>
      </c>
      <c r="Y5" s="6">
        <f t="shared" si="11"/>
        <v>97924.319667071453</v>
      </c>
      <c r="AA5">
        <f t="shared" si="12"/>
        <v>2.1705726773845239E-58</v>
      </c>
      <c r="AB5">
        <f t="shared" si="13"/>
        <v>8.4525553417330698E-60</v>
      </c>
      <c r="AC5">
        <f t="shared" si="14"/>
        <v>6.0277660820236837E-62</v>
      </c>
      <c r="AD5">
        <f t="shared" si="15"/>
        <v>2.1247034806192949E-63</v>
      </c>
      <c r="AE5">
        <f t="shared" si="16"/>
        <v>3.6937582881014562E-54</v>
      </c>
      <c r="AF5">
        <f t="shared" si="17"/>
        <v>1.6261287323349001E-55</v>
      </c>
    </row>
    <row r="6" spans="1:32" x14ac:dyDescent="0.3">
      <c r="A6" s="2" t="s">
        <v>5</v>
      </c>
      <c r="B6" s="2">
        <v>120</v>
      </c>
      <c r="D6" s="1" t="e">
        <f t="shared" si="18"/>
        <v>#N/A</v>
      </c>
      <c r="E6" s="1" t="e">
        <f t="shared" si="19"/>
        <v>#N/A</v>
      </c>
      <c r="G6" s="1">
        <f t="shared" si="20"/>
        <v>1.868531216165193E-57</v>
      </c>
      <c r="I6">
        <f t="shared" si="21"/>
        <v>4</v>
      </c>
      <c r="K6" s="1">
        <f t="shared" si="0"/>
        <v>3.7532120707012284E-56</v>
      </c>
      <c r="L6" s="1">
        <f t="shared" si="1"/>
        <v>1.5586140187968149E-57</v>
      </c>
      <c r="N6" s="1">
        <f t="shared" si="2"/>
        <v>164.31676725154966</v>
      </c>
      <c r="O6" s="1">
        <f t="shared" si="3"/>
        <v>147885.09052639472</v>
      </c>
      <c r="Q6" s="1">
        <f t="shared" si="4"/>
        <v>1.3689511511280254E-62</v>
      </c>
      <c r="R6" s="1">
        <f t="shared" si="5"/>
        <v>4.7406063513453801E-64</v>
      </c>
      <c r="S6" s="1">
        <f t="shared" si="6"/>
        <v>2.834931619647393E-66</v>
      </c>
      <c r="T6" s="1">
        <f t="shared" si="7"/>
        <v>8.8859989574499487E-68</v>
      </c>
      <c r="U6" s="1">
        <f t="shared" si="8"/>
        <v>2.868026126737534E-73</v>
      </c>
      <c r="V6" s="1">
        <f t="shared" si="9"/>
        <v>7.4957206573019748E-75</v>
      </c>
      <c r="W6" s="1"/>
      <c r="X6" s="6">
        <f t="shared" si="10"/>
        <v>89.442719099991436</v>
      </c>
      <c r="Y6" s="6">
        <f t="shared" si="11"/>
        <v>35777.087639996564</v>
      </c>
      <c r="AA6">
        <f t="shared" si="12"/>
        <v>9.2189581436738312E-49</v>
      </c>
      <c r="AB6">
        <f t="shared" si="13"/>
        <v>4.7810399507184207E-50</v>
      </c>
      <c r="AC6">
        <f t="shared" si="14"/>
        <v>5.2402825544047589E-52</v>
      </c>
      <c r="AD6">
        <f t="shared" si="15"/>
        <v>2.4601094018827852E-53</v>
      </c>
      <c r="AE6">
        <f t="shared" si="16"/>
        <v>6.4953434314971245E-45</v>
      </c>
      <c r="AF6">
        <f t="shared" si="17"/>
        <v>3.8077906506682091E-46</v>
      </c>
    </row>
    <row r="7" spans="1:32" x14ac:dyDescent="0.3">
      <c r="A7" s="4" t="s">
        <v>6</v>
      </c>
      <c r="B7" s="4">
        <v>80</v>
      </c>
      <c r="D7" s="1" t="e">
        <f t="shared" si="18"/>
        <v>#N/A</v>
      </c>
      <c r="E7" s="1" t="e">
        <f t="shared" si="19"/>
        <v>#N/A</v>
      </c>
      <c r="G7" s="1">
        <f t="shared" si="20"/>
        <v>6.1613191000110048E-50</v>
      </c>
      <c r="I7">
        <f t="shared" si="21"/>
        <v>5</v>
      </c>
      <c r="K7" s="1">
        <f t="shared" si="0"/>
        <v>9.2189581436738312E-49</v>
      </c>
      <c r="L7" s="1">
        <f t="shared" si="1"/>
        <v>4.7810399507184207E-50</v>
      </c>
      <c r="N7" s="1">
        <f t="shared" si="2"/>
        <v>117.5755076535924</v>
      </c>
      <c r="O7" s="1">
        <f t="shared" si="3"/>
        <v>67723.492408469232</v>
      </c>
      <c r="Q7" s="1">
        <f t="shared" si="4"/>
        <v>9.2601985470347743E-55</v>
      </c>
      <c r="R7" s="1">
        <f t="shared" si="5"/>
        <v>4.0051120537944382E-56</v>
      </c>
      <c r="S7" s="1">
        <f t="shared" si="6"/>
        <v>3.3431973762388766E-58</v>
      </c>
      <c r="T7" s="1">
        <f t="shared" si="7"/>
        <v>1.3088655212525801E-59</v>
      </c>
      <c r="U7" s="1">
        <f t="shared" si="8"/>
        <v>9.3203297956145551E-65</v>
      </c>
      <c r="V7" s="1">
        <f t="shared" si="9"/>
        <v>3.0427387035627142E-66</v>
      </c>
      <c r="W7" s="1"/>
      <c r="X7" s="6">
        <f t="shared" si="10"/>
        <v>63.999999999999922</v>
      </c>
      <c r="Y7" s="6">
        <f t="shared" si="11"/>
        <v>16383.999999999962</v>
      </c>
      <c r="AA7">
        <f t="shared" si="12"/>
        <v>6.5584966517680255E-42</v>
      </c>
      <c r="AB7">
        <f t="shared" si="13"/>
        <v>4.2470306948736852E-43</v>
      </c>
      <c r="AC7">
        <f t="shared" si="14"/>
        <v>6.4953434314971245E-45</v>
      </c>
      <c r="AD7">
        <f t="shared" si="15"/>
        <v>3.8077906506682091E-46</v>
      </c>
      <c r="AE7">
        <f t="shared" si="16"/>
        <v>2.3329681361505397E-38</v>
      </c>
      <c r="AF7">
        <f t="shared" si="17"/>
        <v>1.7075679196580941E-39</v>
      </c>
    </row>
    <row r="8" spans="1:32" x14ac:dyDescent="0.3">
      <c r="D8" s="1" t="e">
        <f t="shared" si="18"/>
        <v>#N/A</v>
      </c>
      <c r="E8" s="1" t="e">
        <f t="shared" si="19"/>
        <v>#N/A</v>
      </c>
      <c r="G8" s="1">
        <f t="shared" si="20"/>
        <v>3.4251849086664113E-44</v>
      </c>
      <c r="I8">
        <f t="shared" si="21"/>
        <v>6</v>
      </c>
      <c r="K8" s="1">
        <f t="shared" si="0"/>
        <v>4.0130648257068873E-43</v>
      </c>
      <c r="L8" s="1">
        <f t="shared" si="1"/>
        <v>2.4952834565471187E-44</v>
      </c>
      <c r="N8" s="1">
        <f t="shared" si="2"/>
        <v>89.442719099991436</v>
      </c>
      <c r="O8" s="1">
        <f t="shared" si="3"/>
        <v>35777.087639996564</v>
      </c>
      <c r="Q8" s="1">
        <f t="shared" si="4"/>
        <v>9.2189581436738312E-49</v>
      </c>
      <c r="R8" s="1">
        <f t="shared" si="5"/>
        <v>4.7810399507184207E-50</v>
      </c>
      <c r="S8" s="1">
        <f t="shared" si="6"/>
        <v>5.2402825544047589E-52</v>
      </c>
      <c r="T8" s="1">
        <f t="shared" si="7"/>
        <v>2.4601094018827852E-53</v>
      </c>
      <c r="U8" s="1">
        <f t="shared" si="8"/>
        <v>3.3431973762388766E-58</v>
      </c>
      <c r="V8" s="1">
        <f t="shared" si="9"/>
        <v>1.3088655212525801E-59</v>
      </c>
      <c r="W8" s="1"/>
      <c r="X8" s="6">
        <f t="shared" si="10"/>
        <v>48.686449556014708</v>
      </c>
      <c r="Y8" s="6">
        <f t="shared" si="11"/>
        <v>8655.3688099581668</v>
      </c>
      <c r="AA8">
        <f t="shared" si="12"/>
        <v>1.0379923233765804E-36</v>
      </c>
      <c r="AB8">
        <f t="shared" si="13"/>
        <v>8.0577483603226757E-38</v>
      </c>
      <c r="AC8">
        <f t="shared" si="14"/>
        <v>1.6175654379212582E-39</v>
      </c>
      <c r="AD8">
        <f t="shared" si="15"/>
        <v>1.1368473541933256E-40</v>
      </c>
      <c r="AE8">
        <f t="shared" si="16"/>
        <v>2.1133997109776863E-33</v>
      </c>
      <c r="AF8">
        <f t="shared" si="17"/>
        <v>1.8541560479935375E-34</v>
      </c>
    </row>
    <row r="9" spans="1:32" x14ac:dyDescent="0.3">
      <c r="D9" s="1" t="e">
        <f t="shared" si="18"/>
        <v>#N/A</v>
      </c>
      <c r="E9" s="1" t="e">
        <f t="shared" si="19"/>
        <v>#N/A</v>
      </c>
      <c r="G9" s="1">
        <f t="shared" si="20"/>
        <v>1.2979405903482001E-39</v>
      </c>
      <c r="I9">
        <f t="shared" si="21"/>
        <v>7</v>
      </c>
      <c r="K9" s="1">
        <f t="shared" si="0"/>
        <v>1.2327665218423271E-38</v>
      </c>
      <c r="L9" s="1">
        <f t="shared" si="1"/>
        <v>8.9353539482052565E-40</v>
      </c>
      <c r="N9" s="1">
        <f t="shared" si="2"/>
        <v>70.978171818070649</v>
      </c>
      <c r="O9" s="1">
        <f t="shared" si="3"/>
        <v>20858.89130980034</v>
      </c>
      <c r="Q9" s="1">
        <f t="shared" si="4"/>
        <v>5.6973535985469912E-44</v>
      </c>
      <c r="R9" s="1">
        <f t="shared" si="5"/>
        <v>3.4446410912737526E-45</v>
      </c>
      <c r="S9" s="1">
        <f t="shared" si="6"/>
        <v>4.7526671658372448E-47</v>
      </c>
      <c r="T9" s="1">
        <f t="shared" si="7"/>
        <v>2.6012843321423635E-48</v>
      </c>
      <c r="U9" s="1">
        <f t="shared" si="8"/>
        <v>6.1038116557016675E-53</v>
      </c>
      <c r="V9" s="1">
        <f t="shared" si="9"/>
        <v>2.7862325587097294E-54</v>
      </c>
      <c r="W9" s="1"/>
      <c r="X9" s="6">
        <f t="shared" si="10"/>
        <v>38.635623073303563</v>
      </c>
      <c r="Y9" s="6">
        <f t="shared" si="11"/>
        <v>5046.2854626355693</v>
      </c>
      <c r="AA9">
        <f t="shared" si="12"/>
        <v>1.3562652923641581E-32</v>
      </c>
      <c r="AB9">
        <f t="shared" si="13"/>
        <v>1.2271164812822993E-33</v>
      </c>
      <c r="AC9">
        <f t="shared" si="14"/>
        <v>3.0998489271045027E-35</v>
      </c>
      <c r="AD9">
        <f t="shared" si="15"/>
        <v>2.5394159850088051E-36</v>
      </c>
      <c r="AE9">
        <f t="shared" si="16"/>
        <v>1.723566362763864E-29</v>
      </c>
      <c r="AF9">
        <f t="shared" si="17"/>
        <v>1.7622605899592793E-30</v>
      </c>
    </row>
    <row r="10" spans="1:32" x14ac:dyDescent="0.3">
      <c r="D10" s="1" t="e">
        <f t="shared" si="18"/>
        <v>#N/A</v>
      </c>
      <c r="E10" s="1" t="e">
        <f t="shared" si="19"/>
        <v>#N/A</v>
      </c>
      <c r="G10" s="1">
        <f t="shared" si="20"/>
        <v>7.4674730715600056E-36</v>
      </c>
      <c r="I10">
        <f t="shared" si="21"/>
        <v>8</v>
      </c>
      <c r="K10" s="1">
        <f t="shared" si="0"/>
        <v>5.8979941794646483E-35</v>
      </c>
      <c r="L10" s="1">
        <f t="shared" si="1"/>
        <v>4.8818092599411942E-36</v>
      </c>
      <c r="N10" s="1">
        <f t="shared" si="2"/>
        <v>58.094750193111189</v>
      </c>
      <c r="O10" s="1">
        <f t="shared" si="3"/>
        <v>13071.318793450006</v>
      </c>
      <c r="Q10" s="1">
        <f t="shared" si="4"/>
        <v>4.9926110944785579E-40</v>
      </c>
      <c r="R10" s="1">
        <f t="shared" si="5"/>
        <v>3.447367182635415E-41</v>
      </c>
      <c r="S10" s="1">
        <f t="shared" si="6"/>
        <v>5.8053739617988346E-43</v>
      </c>
      <c r="T10" s="1">
        <f t="shared" si="7"/>
        <v>3.6290262132914769E-44</v>
      </c>
      <c r="U10" s="1">
        <f t="shared" si="8"/>
        <v>1.3664562171407057E-48</v>
      </c>
      <c r="V10" s="1">
        <f t="shared" si="9"/>
        <v>7.1244907704033862E-50</v>
      </c>
      <c r="W10" s="1"/>
      <c r="X10" s="6">
        <f t="shared" si="10"/>
        <v>31.622776601683775</v>
      </c>
      <c r="Y10" s="6">
        <f t="shared" si="11"/>
        <v>3162.2776601683804</v>
      </c>
      <c r="AA10">
        <f t="shared" si="12"/>
        <v>3.0959927757765066E-29</v>
      </c>
      <c r="AB10">
        <f t="shared" si="13"/>
        <v>3.1983029821760345E-30</v>
      </c>
      <c r="AC10">
        <f t="shared" si="14"/>
        <v>9.8575040740402066E-32</v>
      </c>
      <c r="AD10">
        <f t="shared" si="15"/>
        <v>9.2208513940774282E-33</v>
      </c>
      <c r="AE10">
        <f t="shared" si="16"/>
        <v>2.6164588502309554E-26</v>
      </c>
      <c r="AF10">
        <f t="shared" si="17"/>
        <v>3.0541406749769472E-27</v>
      </c>
    </row>
    <row r="11" spans="1:32" x14ac:dyDescent="0.3">
      <c r="D11" s="1" t="e">
        <f t="shared" si="18"/>
        <v>#N/A</v>
      </c>
      <c r="E11" s="1" t="e">
        <f t="shared" si="19"/>
        <v>#N/A</v>
      </c>
      <c r="G11" s="1">
        <f t="shared" si="20"/>
        <v>1.0738472459899287E-32</v>
      </c>
      <c r="I11">
        <f t="shared" si="21"/>
        <v>9</v>
      </c>
      <c r="K11" s="1">
        <f t="shared" si="0"/>
        <v>7.1923242086311164E-32</v>
      </c>
      <c r="L11" s="1">
        <f t="shared" si="1"/>
        <v>6.6920838435062868E-33</v>
      </c>
      <c r="N11" s="1">
        <f t="shared" si="2"/>
        <v>48.686449556014708</v>
      </c>
      <c r="O11" s="1">
        <f t="shared" si="3"/>
        <v>8655.3688099581668</v>
      </c>
      <c r="Q11" s="1">
        <f t="shared" si="4"/>
        <v>1.0379923233765804E-36</v>
      </c>
      <c r="R11" s="1">
        <f t="shared" si="5"/>
        <v>8.0577483603226757E-38</v>
      </c>
      <c r="S11" s="1">
        <f t="shared" si="6"/>
        <v>1.6175654379212582E-39</v>
      </c>
      <c r="T11" s="1">
        <f t="shared" si="7"/>
        <v>1.1368473541933256E-40</v>
      </c>
      <c r="U11" s="1">
        <f t="shared" si="8"/>
        <v>6.4953434314971245E-45</v>
      </c>
      <c r="V11" s="1">
        <f t="shared" si="9"/>
        <v>3.8077906506682091E-46</v>
      </c>
      <c r="W11" s="1"/>
      <c r="X11" s="6">
        <f t="shared" si="10"/>
        <v>26.50154639999748</v>
      </c>
      <c r="Y11" s="6">
        <f t="shared" si="11"/>
        <v>2093.9493451849844</v>
      </c>
      <c r="AA11">
        <f t="shared" si="12"/>
        <v>1.9665404658480261E-26</v>
      </c>
      <c r="AB11">
        <f t="shared" si="13"/>
        <v>2.283334036654704E-27</v>
      </c>
      <c r="AC11">
        <f t="shared" si="14"/>
        <v>8.3861526070306484E-29</v>
      </c>
      <c r="AD11">
        <f t="shared" si="15"/>
        <v>8.8175285775036045E-30</v>
      </c>
      <c r="AE11">
        <f t="shared" si="16"/>
        <v>1.1600654061024709E-23</v>
      </c>
      <c r="AF11">
        <f t="shared" si="17"/>
        <v>1.5217991064522391E-24</v>
      </c>
    </row>
    <row r="12" spans="1:32" x14ac:dyDescent="0.3">
      <c r="D12" s="1" t="e">
        <f t="shared" si="18"/>
        <v>#N/A</v>
      </c>
      <c r="E12" s="1" t="e">
        <f t="shared" si="19"/>
        <v>#N/A</v>
      </c>
      <c r="G12" s="1">
        <f t="shared" si="20"/>
        <v>5.3672870662279289E-30</v>
      </c>
      <c r="I12">
        <f t="shared" si="21"/>
        <v>10</v>
      </c>
      <c r="K12" s="1">
        <f t="shared" si="0"/>
        <v>3.0959927757765066E-29</v>
      </c>
      <c r="L12" s="1">
        <f t="shared" si="1"/>
        <v>3.1983029821760345E-30</v>
      </c>
      <c r="N12" s="1">
        <f t="shared" si="2"/>
        <v>41.569219381653014</v>
      </c>
      <c r="O12" s="1">
        <f t="shared" si="3"/>
        <v>5985.9675909580365</v>
      </c>
      <c r="Q12" s="1">
        <f t="shared" si="4"/>
        <v>7.198943909076031E-34</v>
      </c>
      <c r="R12" s="1">
        <f t="shared" si="5"/>
        <v>6.205271943059105E-35</v>
      </c>
      <c r="S12" s="1">
        <f t="shared" si="6"/>
        <v>1.4575845596137744E-36</v>
      </c>
      <c r="T12" s="1">
        <f t="shared" si="7"/>
        <v>1.1375419223832521E-37</v>
      </c>
      <c r="U12" s="1">
        <f t="shared" si="8"/>
        <v>9.4361511225448211E-42</v>
      </c>
      <c r="V12" s="1">
        <f t="shared" si="9"/>
        <v>6.1431600648946784E-43</v>
      </c>
      <c r="W12" s="1"/>
      <c r="X12" s="6">
        <f t="shared" si="10"/>
        <v>22.62741699796949</v>
      </c>
      <c r="Y12" s="6">
        <f t="shared" si="11"/>
        <v>1448.1546878700467</v>
      </c>
      <c r="AA12">
        <f t="shared" si="12"/>
        <v>4.725368041595524E-24</v>
      </c>
      <c r="AB12">
        <f t="shared" si="13"/>
        <v>6.0905844791187023E-25</v>
      </c>
      <c r="AC12">
        <f t="shared" si="14"/>
        <v>2.6164588502309554E-26</v>
      </c>
      <c r="AD12">
        <f t="shared" si="15"/>
        <v>3.0541406749769472E-27</v>
      </c>
      <c r="AE12">
        <f t="shared" si="16"/>
        <v>2.0215222040142242E-21</v>
      </c>
      <c r="AF12">
        <f t="shared" si="17"/>
        <v>2.9434799090763067E-22</v>
      </c>
    </row>
    <row r="13" spans="1:32" x14ac:dyDescent="0.3">
      <c r="B13" t="s">
        <v>47</v>
      </c>
      <c r="D13" s="1" t="e">
        <f t="shared" si="18"/>
        <v>#N/A</v>
      </c>
      <c r="E13" s="1" t="e">
        <f t="shared" si="19"/>
        <v>#N/A</v>
      </c>
      <c r="G13" s="1">
        <f t="shared" si="20"/>
        <v>1.171727581548892E-27</v>
      </c>
      <c r="I13">
        <f t="shared" si="21"/>
        <v>11</v>
      </c>
      <c r="K13" s="1">
        <f t="shared" si="0"/>
        <v>5.8944780787508038E-27</v>
      </c>
      <c r="L13" s="1">
        <f t="shared" si="1"/>
        <v>6.6931835417231837E-28</v>
      </c>
      <c r="N13" s="1">
        <f t="shared" si="2"/>
        <v>36.031541404135403</v>
      </c>
      <c r="O13" s="1">
        <f t="shared" si="3"/>
        <v>4288.0512084260363</v>
      </c>
      <c r="Q13" s="1">
        <f t="shared" si="4"/>
        <v>2.1095402788965561E-31</v>
      </c>
      <c r="R13" s="1">
        <f t="shared" si="5"/>
        <v>1.9989109961877346E-32</v>
      </c>
      <c r="S13" s="1">
        <f t="shared" si="6"/>
        <v>5.4119420761388463E-34</v>
      </c>
      <c r="T13" s="1">
        <f t="shared" si="7"/>
        <v>4.6432449689184907E-35</v>
      </c>
      <c r="U13" s="1">
        <f t="shared" si="8"/>
        <v>5.3959678092289754E-39</v>
      </c>
      <c r="V13" s="1">
        <f t="shared" si="9"/>
        <v>3.862193704781678E-40</v>
      </c>
      <c r="W13" s="1"/>
      <c r="X13" s="6">
        <f t="shared" si="10"/>
        <v>19.613086908021572</v>
      </c>
      <c r="Y13" s="6">
        <f t="shared" si="11"/>
        <v>1037.3864149697358</v>
      </c>
      <c r="AA13">
        <f t="shared" si="12"/>
        <v>5.3114322553391113E-22</v>
      </c>
      <c r="AB13">
        <f t="shared" si="13"/>
        <v>7.5236682304931727E-23</v>
      </c>
      <c r="AC13">
        <f t="shared" si="14"/>
        <v>3.7239514163994878E-24</v>
      </c>
      <c r="AD13">
        <f t="shared" si="15"/>
        <v>4.7775940917159777E-25</v>
      </c>
      <c r="AE13">
        <f t="shared" si="16"/>
        <v>1.6996168012596181E-19</v>
      </c>
      <c r="AF13">
        <f t="shared" si="17"/>
        <v>2.719425098291395E-20</v>
      </c>
    </row>
    <row r="14" spans="1:32" x14ac:dyDescent="0.3">
      <c r="B14" t="s">
        <v>48</v>
      </c>
      <c r="D14" s="1" t="e">
        <f t="shared" si="18"/>
        <v>#N/A</v>
      </c>
      <c r="E14" s="1" t="e">
        <f t="shared" si="19"/>
        <v>#N/A</v>
      </c>
      <c r="G14" s="1">
        <f t="shared" si="20"/>
        <v>1.3166954224611643E-25</v>
      </c>
      <c r="I14">
        <f t="shared" si="21"/>
        <v>12</v>
      </c>
      <c r="K14" s="1">
        <f t="shared" si="0"/>
        <v>5.8370536342514026E-25</v>
      </c>
      <c r="L14" s="1">
        <f t="shared" si="1"/>
        <v>7.2251705443857501E-26</v>
      </c>
      <c r="N14" s="1">
        <f t="shared" si="2"/>
        <v>31.622776601683775</v>
      </c>
      <c r="O14" s="1">
        <f t="shared" si="3"/>
        <v>3162.2776601683804</v>
      </c>
      <c r="Q14" s="1">
        <f t="shared" si="4"/>
        <v>3.0959927757765066E-29</v>
      </c>
      <c r="R14" s="1">
        <f t="shared" si="5"/>
        <v>3.1983029821760345E-30</v>
      </c>
      <c r="S14" s="1">
        <f t="shared" si="6"/>
        <v>9.8575040740402066E-32</v>
      </c>
      <c r="T14" s="1">
        <f t="shared" si="7"/>
        <v>9.2208513940774282E-33</v>
      </c>
      <c r="U14" s="1">
        <f t="shared" si="8"/>
        <v>1.4575845596137744E-36</v>
      </c>
      <c r="V14" s="1">
        <f t="shared" si="9"/>
        <v>1.1375419223832521E-37</v>
      </c>
      <c r="W14" s="1"/>
      <c r="X14" s="6">
        <f t="shared" si="10"/>
        <v>17.213259316477394</v>
      </c>
      <c r="Y14" s="6">
        <f t="shared" si="11"/>
        <v>765.03374739899527</v>
      </c>
      <c r="AA14">
        <f t="shared" si="12"/>
        <v>3.2522560083758554E-20</v>
      </c>
      <c r="AB14">
        <f t="shared" si="13"/>
        <v>5.0210459748156337E-21</v>
      </c>
      <c r="AC14">
        <f t="shared" si="14"/>
        <v>2.8280318814415476E-22</v>
      </c>
      <c r="AD14">
        <f t="shared" si="15"/>
        <v>3.9547388428770602E-23</v>
      </c>
      <c r="AE14">
        <f t="shared" si="16"/>
        <v>7.985786651562147E-18</v>
      </c>
      <c r="AF14">
        <f t="shared" si="17"/>
        <v>1.3924572829093834E-18</v>
      </c>
    </row>
    <row r="15" spans="1:32" x14ac:dyDescent="0.3">
      <c r="B15" t="s">
        <v>49</v>
      </c>
      <c r="D15" s="1" t="e">
        <f t="shared" si="18"/>
        <v>#N/A</v>
      </c>
      <c r="E15" s="1" t="e">
        <f t="shared" si="19"/>
        <v>#N/A</v>
      </c>
      <c r="G15" s="1">
        <f t="shared" si="20"/>
        <v>8.6014111708274816E-24</v>
      </c>
      <c r="I15">
        <f t="shared" si="21"/>
        <v>13</v>
      </c>
      <c r="K15" s="1">
        <f t="shared" si="0"/>
        <v>3.3897526192517653E-23</v>
      </c>
      <c r="L15" s="1">
        <f t="shared" si="1"/>
        <v>4.5421894887102253E-24</v>
      </c>
      <c r="N15" s="1">
        <f t="shared" si="2"/>
        <v>28.045090165393805</v>
      </c>
      <c r="O15" s="1">
        <f t="shared" si="3"/>
        <v>2389.6408188264545</v>
      </c>
      <c r="Q15" s="1">
        <f t="shared" si="4"/>
        <v>2.5814037725685317E-27</v>
      </c>
      <c r="R15" s="1">
        <f t="shared" si="5"/>
        <v>2.887131895556264E-28</v>
      </c>
      <c r="S15" s="1">
        <f t="shared" si="6"/>
        <v>1.0024610133257789E-29</v>
      </c>
      <c r="T15" s="1">
        <f t="shared" si="7"/>
        <v>1.0152770291475004E-30</v>
      </c>
      <c r="U15" s="1">
        <f t="shared" si="8"/>
        <v>2.1296524991977638E-34</v>
      </c>
      <c r="V15" s="1">
        <f t="shared" si="9"/>
        <v>1.7996548816201535E-35</v>
      </c>
      <c r="W15" s="1"/>
      <c r="X15" s="6">
        <f t="shared" si="10"/>
        <v>15.265813487902566</v>
      </c>
      <c r="Y15" s="6">
        <f t="shared" si="11"/>
        <v>578.11364687915045</v>
      </c>
      <c r="AA15">
        <f t="shared" si="12"/>
        <v>1.2141233144317831E-18</v>
      </c>
      <c r="AB15">
        <f t="shared" si="13"/>
        <v>2.0287887379064838E-19</v>
      </c>
      <c r="AC15">
        <f t="shared" si="14"/>
        <v>1.2867773681353812E-20</v>
      </c>
      <c r="AD15">
        <f t="shared" si="15"/>
        <v>1.947779056726465E-21</v>
      </c>
      <c r="AE15">
        <f t="shared" si="16"/>
        <v>2.3372912781235644E-16</v>
      </c>
      <c r="AF15">
        <f t="shared" si="17"/>
        <v>4.4104787871210627E-17</v>
      </c>
    </row>
    <row r="16" spans="1:32" x14ac:dyDescent="0.3">
      <c r="D16" s="1" t="e">
        <f t="shared" si="18"/>
        <v>#N/A</v>
      </c>
      <c r="E16" s="1" t="e">
        <f t="shared" si="19"/>
        <v>#N/A</v>
      </c>
      <c r="G16" s="1">
        <f t="shared" si="20"/>
        <v>3.5826851098104758E-22</v>
      </c>
      <c r="I16">
        <f t="shared" si="21"/>
        <v>14</v>
      </c>
      <c r="K16" s="1">
        <f t="shared" si="0"/>
        <v>1.2645583399798442E-21</v>
      </c>
      <c r="L16" s="1">
        <f t="shared" si="1"/>
        <v>1.8234873524692729E-22</v>
      </c>
      <c r="N16" s="1">
        <f t="shared" si="2"/>
        <v>25.094573304390828</v>
      </c>
      <c r="O16" s="1">
        <f t="shared" si="3"/>
        <v>1843.682936649122</v>
      </c>
      <c r="Q16" s="1">
        <f t="shared" si="4"/>
        <v>1.3457634713847751E-25</v>
      </c>
      <c r="R16" s="1">
        <f t="shared" si="5"/>
        <v>1.6199274627002235E-26</v>
      </c>
      <c r="S16" s="1">
        <f t="shared" si="6"/>
        <v>6.2804101219944188E-28</v>
      </c>
      <c r="T16" s="1">
        <f t="shared" si="7"/>
        <v>6.8461069021397606E-29</v>
      </c>
      <c r="U16" s="1">
        <f t="shared" si="8"/>
        <v>1.8658234082848108E-32</v>
      </c>
      <c r="V16" s="1">
        <f t="shared" si="9"/>
        <v>1.6971646680943528E-33</v>
      </c>
      <c r="W16" s="1"/>
      <c r="X16" s="6">
        <f t="shared" si="10"/>
        <v>13.659755535250206</v>
      </c>
      <c r="Y16" s="6">
        <f t="shared" si="11"/>
        <v>446.0328338040884</v>
      </c>
      <c r="AA16">
        <f t="shared" si="12"/>
        <v>3.0096613091179078E-17</v>
      </c>
      <c r="AB16">
        <f t="shared" si="13"/>
        <v>5.4109946975199496E-18</v>
      </c>
      <c r="AC16">
        <f t="shared" si="14"/>
        <v>3.8304762049813255E-19</v>
      </c>
      <c r="AD16">
        <f t="shared" si="15"/>
        <v>6.2389895542339309E-20</v>
      </c>
      <c r="AE16">
        <f t="shared" si="16"/>
        <v>4.6262578094125597E-15</v>
      </c>
      <c r="AF16">
        <f t="shared" si="17"/>
        <v>9.3913869801513795E-16</v>
      </c>
    </row>
    <row r="17" spans="4:32" x14ac:dyDescent="0.3">
      <c r="D17" s="1" t="e">
        <f t="shared" si="18"/>
        <v>#N/A</v>
      </c>
      <c r="E17" s="1" t="e">
        <f t="shared" si="19"/>
        <v>#N/A</v>
      </c>
      <c r="G17" s="1">
        <f t="shared" si="20"/>
        <v>1.0221733954828153E-20</v>
      </c>
      <c r="I17">
        <f t="shared" si="21"/>
        <v>15</v>
      </c>
      <c r="K17" s="1">
        <f t="shared" si="0"/>
        <v>3.2522560083758554E-20</v>
      </c>
      <c r="L17" s="1">
        <f t="shared" si="1"/>
        <v>5.0210459748156337E-21</v>
      </c>
      <c r="N17" s="1">
        <f t="shared" si="2"/>
        <v>22.62741699796949</v>
      </c>
      <c r="O17" s="1">
        <f t="shared" si="3"/>
        <v>1448.1546878700467</v>
      </c>
      <c r="Q17" s="1">
        <f t="shared" si="4"/>
        <v>4.725368041595524E-24</v>
      </c>
      <c r="R17" s="1">
        <f t="shared" si="5"/>
        <v>6.0905844791187023E-25</v>
      </c>
      <c r="S17" s="1">
        <f t="shared" si="6"/>
        <v>2.6164588502309554E-26</v>
      </c>
      <c r="T17" s="1">
        <f t="shared" si="7"/>
        <v>3.0541406749769472E-27</v>
      </c>
      <c r="U17" s="1">
        <f t="shared" si="8"/>
        <v>1.06199860868055E-30</v>
      </c>
      <c r="V17" s="1">
        <f t="shared" si="9"/>
        <v>1.0345031058931063E-31</v>
      </c>
      <c r="W17" s="1"/>
      <c r="X17" s="6">
        <f t="shared" si="10"/>
        <v>12.316805742712006</v>
      </c>
      <c r="Y17" s="6">
        <f t="shared" si="11"/>
        <v>350.34469668158613</v>
      </c>
      <c r="AA17">
        <f t="shared" si="12"/>
        <v>5.2923326359582771E-16</v>
      </c>
      <c r="AB17">
        <f t="shared" si="13"/>
        <v>1.0185161177880192E-16</v>
      </c>
      <c r="AC17">
        <f t="shared" si="14"/>
        <v>7.985786651562147E-18</v>
      </c>
      <c r="AD17">
        <f t="shared" si="15"/>
        <v>1.3924572829093834E-18</v>
      </c>
      <c r="AE17">
        <f t="shared" si="16"/>
        <v>6.5989415071905835E-14</v>
      </c>
      <c r="AF17">
        <f t="shared" si="17"/>
        <v>1.4337526178704929E-14</v>
      </c>
    </row>
    <row r="18" spans="4:32" x14ac:dyDescent="0.3">
      <c r="D18" s="1" t="e">
        <f t="shared" si="18"/>
        <v>#N/A</v>
      </c>
      <c r="E18" s="1" t="e">
        <f t="shared" si="19"/>
        <v>#N/A</v>
      </c>
      <c r="G18" s="1">
        <f t="shared" si="20"/>
        <v>2.113936999146956E-19</v>
      </c>
      <c r="I18">
        <f t="shared" si="21"/>
        <v>16</v>
      </c>
      <c r="K18" s="1">
        <f t="shared" si="0"/>
        <v>6.0970680317637213E-19</v>
      </c>
      <c r="L18" s="1">
        <f t="shared" si="1"/>
        <v>1.0033242144414019E-19</v>
      </c>
      <c r="N18" s="1">
        <f t="shared" si="2"/>
        <v>20.539595906443704</v>
      </c>
      <c r="O18" s="1">
        <f t="shared" si="3"/>
        <v>1155.3522697374581</v>
      </c>
      <c r="Q18" s="1">
        <f t="shared" si="4"/>
        <v>1.1851600977466153E-22</v>
      </c>
      <c r="R18" s="1">
        <f t="shared" si="5"/>
        <v>1.6284091758899065E-23</v>
      </c>
      <c r="S18" s="1">
        <f t="shared" si="6"/>
        <v>7.6998354472915115E-25</v>
      </c>
      <c r="T18" s="1">
        <f t="shared" si="7"/>
        <v>9.5817151547320452E-26</v>
      </c>
      <c r="U18" s="1">
        <f t="shared" si="8"/>
        <v>4.1841824529149542E-29</v>
      </c>
      <c r="V18" s="1">
        <f t="shared" si="9"/>
        <v>4.3455098873733581E-30</v>
      </c>
      <c r="W18" s="1"/>
      <c r="X18" s="6">
        <f t="shared" si="10"/>
        <v>11.18033988749894</v>
      </c>
      <c r="Y18" s="6">
        <f t="shared" si="11"/>
        <v>279.50849718747344</v>
      </c>
      <c r="AA18">
        <f t="shared" si="12"/>
        <v>6.9545740076096708E-15</v>
      </c>
      <c r="AB18">
        <f t="shared" si="13"/>
        <v>1.4263118142301936E-15</v>
      </c>
      <c r="AC18">
        <f t="shared" si="14"/>
        <v>1.2303612286907442E-16</v>
      </c>
      <c r="AD18">
        <f t="shared" si="15"/>
        <v>2.2864574966133094E-17</v>
      </c>
      <c r="AE18">
        <f t="shared" si="16"/>
        <v>7.1315695442829648E-13</v>
      </c>
      <c r="AF18">
        <f t="shared" si="17"/>
        <v>1.6509883389398103E-13</v>
      </c>
    </row>
    <row r="19" spans="4:32" x14ac:dyDescent="0.3">
      <c r="D19" s="1" t="e">
        <f t="shared" si="18"/>
        <v>#N/A</v>
      </c>
      <c r="E19" s="1" t="e">
        <f t="shared" si="19"/>
        <v>#N/A</v>
      </c>
      <c r="G19" s="1">
        <f t="shared" si="20"/>
        <v>3.3160334891350847E-18</v>
      </c>
      <c r="I19">
        <f t="shared" si="21"/>
        <v>17</v>
      </c>
      <c r="K19" s="1">
        <f t="shared" si="0"/>
        <v>8.7128677630408052E-18</v>
      </c>
      <c r="L19" s="1">
        <f t="shared" si="1"/>
        <v>1.5222691261738813E-18</v>
      </c>
      <c r="N19" s="1">
        <f t="shared" si="2"/>
        <v>18.754197576143177</v>
      </c>
      <c r="O19" s="1">
        <f t="shared" si="3"/>
        <v>934.46520794623439</v>
      </c>
      <c r="Q19" s="1">
        <f t="shared" si="4"/>
        <v>2.2257345184889129E-21</v>
      </c>
      <c r="R19" s="1">
        <f t="shared" si="5"/>
        <v>3.247311416466813E-22</v>
      </c>
      <c r="S19" s="1">
        <f t="shared" si="6"/>
        <v>1.6801829465301966E-23</v>
      </c>
      <c r="T19" s="1">
        <f t="shared" si="7"/>
        <v>2.2202736837438913E-24</v>
      </c>
      <c r="U19" s="1">
        <f t="shared" si="8"/>
        <v>1.2007819516679633E-27</v>
      </c>
      <c r="V19" s="1">
        <f t="shared" si="9"/>
        <v>1.3243985341372176E-28</v>
      </c>
      <c r="W19" s="1"/>
      <c r="X19" s="6">
        <f t="shared" si="10"/>
        <v>10.208492132642636</v>
      </c>
      <c r="Y19" s="6">
        <f t="shared" si="11"/>
        <v>226.07041401007902</v>
      </c>
      <c r="AA19">
        <f t="shared" si="12"/>
        <v>7.1202592709010816E-14</v>
      </c>
      <c r="AB19">
        <f t="shared" si="13"/>
        <v>1.5500963972828163E-14</v>
      </c>
      <c r="AC19">
        <f t="shared" si="14"/>
        <v>1.4624814863148911E-15</v>
      </c>
      <c r="AD19">
        <f t="shared" si="15"/>
        <v>2.8852591147841011E-16</v>
      </c>
      <c r="AE19">
        <f t="shared" si="16"/>
        <v>6.0778592818590512E-12</v>
      </c>
      <c r="AF19">
        <f t="shared" si="17"/>
        <v>1.4933481538863458E-12</v>
      </c>
    </row>
    <row r="20" spans="4:32" x14ac:dyDescent="0.3">
      <c r="D20" s="1" t="e">
        <f t="shared" si="18"/>
        <v>#N/A</v>
      </c>
      <c r="E20" s="1" t="e">
        <f t="shared" si="19"/>
        <v>#N/A</v>
      </c>
      <c r="G20" s="1">
        <f t="shared" si="20"/>
        <v>4.093794853367837E-17</v>
      </c>
      <c r="I20">
        <f t="shared" si="21"/>
        <v>18</v>
      </c>
      <c r="K20" s="1">
        <f t="shared" si="0"/>
        <v>9.8419499779181867E-17</v>
      </c>
      <c r="L20" s="1">
        <f t="shared" si="1"/>
        <v>1.8193434758391414E-17</v>
      </c>
      <c r="N20" s="1">
        <f t="shared" si="2"/>
        <v>17.213259316477394</v>
      </c>
      <c r="O20" s="1">
        <f t="shared" si="3"/>
        <v>765.03374739899527</v>
      </c>
      <c r="Q20" s="1">
        <f t="shared" si="4"/>
        <v>3.2522560083758554E-20</v>
      </c>
      <c r="R20" s="1">
        <f t="shared" si="5"/>
        <v>5.0210459748156337E-21</v>
      </c>
      <c r="S20" s="1">
        <f t="shared" si="6"/>
        <v>2.8280318814415476E-22</v>
      </c>
      <c r="T20" s="1">
        <f t="shared" si="7"/>
        <v>3.9547388428770602E-23</v>
      </c>
      <c r="U20" s="1">
        <f t="shared" si="8"/>
        <v>2.6164588502309554E-26</v>
      </c>
      <c r="V20" s="1">
        <f t="shared" si="9"/>
        <v>3.0541406749769472E-27</v>
      </c>
      <c r="W20" s="1"/>
      <c r="X20" s="6">
        <f t="shared" si="10"/>
        <v>9.3697115856840796</v>
      </c>
      <c r="Y20" s="6">
        <f t="shared" si="11"/>
        <v>185.08072268017943</v>
      </c>
      <c r="AA20">
        <f t="shared" si="12"/>
        <v>5.875139171950686E-13</v>
      </c>
      <c r="AB20">
        <f t="shared" si="13"/>
        <v>1.3529740570671529E-13</v>
      </c>
      <c r="AC20">
        <f t="shared" si="14"/>
        <v>1.3888981866640865E-14</v>
      </c>
      <c r="AD20">
        <f t="shared" si="15"/>
        <v>2.8988131543255323E-15</v>
      </c>
      <c r="AE20">
        <f t="shared" si="16"/>
        <v>4.2195890636831716E-11</v>
      </c>
      <c r="AF20">
        <f t="shared" si="17"/>
        <v>1.0965241966775813E-11</v>
      </c>
    </row>
    <row r="21" spans="4:32" x14ac:dyDescent="0.3">
      <c r="D21" s="1" t="e">
        <f t="shared" si="18"/>
        <v>#N/A</v>
      </c>
      <c r="E21" s="1" t="e">
        <f t="shared" si="19"/>
        <v>#N/A</v>
      </c>
      <c r="G21" s="1">
        <f t="shared" si="20"/>
        <v>4.1000952605410968E-16</v>
      </c>
      <c r="I21">
        <f t="shared" si="21"/>
        <v>19</v>
      </c>
      <c r="K21" s="1">
        <f t="shared" si="0"/>
        <v>9.0543227104900868E-16</v>
      </c>
      <c r="L21" s="1">
        <f t="shared" si="1"/>
        <v>1.7654209585339054E-16</v>
      </c>
      <c r="N21" s="1">
        <f t="shared" si="2"/>
        <v>15.872358630001079</v>
      </c>
      <c r="O21" s="1">
        <f t="shared" si="3"/>
        <v>633.13563510253641</v>
      </c>
      <c r="Q21" s="1">
        <f t="shared" si="4"/>
        <v>3.8161568800800115E-19</v>
      </c>
      <c r="R21" s="1">
        <f t="shared" si="5"/>
        <v>6.2151538627067642E-20</v>
      </c>
      <c r="S21" s="1">
        <f t="shared" si="6"/>
        <v>3.7930268074808453E-21</v>
      </c>
      <c r="T21" s="1">
        <f t="shared" si="7"/>
        <v>5.5957837580500086E-22</v>
      </c>
      <c r="U21" s="1">
        <f t="shared" si="8"/>
        <v>4.479421069989619E-25</v>
      </c>
      <c r="V21" s="1">
        <f t="shared" si="9"/>
        <v>5.516661223300269E-26</v>
      </c>
      <c r="W21" s="1"/>
      <c r="X21" s="6">
        <f t="shared" si="10"/>
        <v>8.6398177017697115</v>
      </c>
      <c r="Y21" s="6">
        <f t="shared" si="11"/>
        <v>153.17128335547412</v>
      </c>
      <c r="AA21">
        <f t="shared" si="12"/>
        <v>4.0170497690538889E-12</v>
      </c>
      <c r="AB21">
        <f t="shared" si="13"/>
        <v>9.7552535646136275E-13</v>
      </c>
      <c r="AC21">
        <f t="shared" si="14"/>
        <v>1.084545752348187E-13</v>
      </c>
      <c r="AD21">
        <f t="shared" si="15"/>
        <v>2.3872986709410904E-14</v>
      </c>
      <c r="AE21">
        <f t="shared" si="16"/>
        <v>2.4508370900776799E-10</v>
      </c>
      <c r="AF21">
        <f t="shared" si="17"/>
        <v>6.7150336255539933E-11</v>
      </c>
    </row>
    <row r="22" spans="4:32" x14ac:dyDescent="0.3">
      <c r="D22" s="1" t="e">
        <f t="shared" si="18"/>
        <v>#N/A</v>
      </c>
      <c r="E22" s="1" t="e">
        <f t="shared" si="19"/>
        <v>#N/A</v>
      </c>
      <c r="G22" s="1">
        <f t="shared" si="20"/>
        <v>3.4165035313177665E-15</v>
      </c>
      <c r="I22">
        <f t="shared" si="21"/>
        <v>20</v>
      </c>
      <c r="K22" s="1">
        <f t="shared" si="0"/>
        <v>6.9545740076096708E-15</v>
      </c>
      <c r="L22" s="1">
        <f t="shared" si="1"/>
        <v>1.4263118142301936E-15</v>
      </c>
      <c r="N22" s="1">
        <f t="shared" si="2"/>
        <v>14.696938456699058</v>
      </c>
      <c r="O22" s="1">
        <f t="shared" si="3"/>
        <v>529.08978444116599</v>
      </c>
      <c r="Q22" s="1">
        <f t="shared" si="4"/>
        <v>3.6915518023892455E-18</v>
      </c>
      <c r="R22" s="1">
        <f t="shared" si="5"/>
        <v>6.3247817272400842E-19</v>
      </c>
      <c r="S22" s="1">
        <f t="shared" si="6"/>
        <v>4.165010575606484E-20</v>
      </c>
      <c r="T22" s="1">
        <f t="shared" si="7"/>
        <v>6.464396859377646E-21</v>
      </c>
      <c r="U22" s="1">
        <f t="shared" si="8"/>
        <v>6.1996817136901193E-24</v>
      </c>
      <c r="V22" s="1">
        <f t="shared" si="9"/>
        <v>8.0333987238404607E-25</v>
      </c>
      <c r="W22" s="1"/>
      <c r="X22" s="6">
        <f t="shared" si="10"/>
        <v>7.9999999999999947</v>
      </c>
      <c r="Y22" s="6">
        <f t="shared" si="11"/>
        <v>127.99999999999986</v>
      </c>
      <c r="AA22">
        <f t="shared" si="12"/>
        <v>2.3290692496354182E-11</v>
      </c>
      <c r="AB22">
        <f t="shared" si="13"/>
        <v>5.9478847713994216E-12</v>
      </c>
      <c r="AC22">
        <f t="shared" si="14"/>
        <v>7.1315695442829648E-13</v>
      </c>
      <c r="AD22">
        <f t="shared" si="15"/>
        <v>1.6509883389398103E-13</v>
      </c>
      <c r="AE22">
        <f t="shared" si="16"/>
        <v>1.217534242227955E-9</v>
      </c>
      <c r="AF22">
        <f t="shared" si="17"/>
        <v>3.5074023241753198E-10</v>
      </c>
    </row>
    <row r="23" spans="4:32" x14ac:dyDescent="0.3">
      <c r="D23" s="1" t="e">
        <f t="shared" si="18"/>
        <v>#N/A</v>
      </c>
      <c r="E23" s="1" t="e">
        <f t="shared" si="19"/>
        <v>#N/A</v>
      </c>
      <c r="G23" s="1">
        <f t="shared" si="20"/>
        <v>2.4192983498542493E-14</v>
      </c>
      <c r="I23">
        <f t="shared" si="21"/>
        <v>21</v>
      </c>
      <c r="K23" s="1">
        <f t="shared" si="0"/>
        <v>4.5538127676338244E-14</v>
      </c>
      <c r="L23" s="1">
        <f t="shared" si="1"/>
        <v>9.7989788130640501E-15</v>
      </c>
      <c r="N23" s="1">
        <f t="shared" si="2"/>
        <v>13.659755535250206</v>
      </c>
      <c r="O23" s="1">
        <f t="shared" si="3"/>
        <v>446.0328338040884</v>
      </c>
      <c r="Q23" s="1">
        <f t="shared" si="4"/>
        <v>3.0096613091179078E-17</v>
      </c>
      <c r="R23" s="1">
        <f t="shared" si="5"/>
        <v>5.4109946975199496E-18</v>
      </c>
      <c r="S23" s="1">
        <f t="shared" si="6"/>
        <v>3.8304762049813255E-19</v>
      </c>
      <c r="T23" s="1">
        <f t="shared" si="7"/>
        <v>6.2389895542339309E-20</v>
      </c>
      <c r="U23" s="1">
        <f t="shared" si="8"/>
        <v>7.1050817086045057E-23</v>
      </c>
      <c r="V23" s="1">
        <f t="shared" si="9"/>
        <v>9.6624678251447953E-24</v>
      </c>
      <c r="W23" s="1"/>
      <c r="X23" s="6">
        <f t="shared" si="10"/>
        <v>7.4354291272269162</v>
      </c>
      <c r="Y23" s="6">
        <f t="shared" si="11"/>
        <v>107.90645445408673</v>
      </c>
      <c r="AA23">
        <f t="shared" si="12"/>
        <v>1.1674570851236902E-10</v>
      </c>
      <c r="AB23">
        <f t="shared" si="13"/>
        <v>3.1273435707620151E-11</v>
      </c>
      <c r="AC23">
        <f t="shared" si="14"/>
        <v>4.0287644458058522E-12</v>
      </c>
      <c r="AD23">
        <f t="shared" si="15"/>
        <v>9.7845036258087906E-13</v>
      </c>
      <c r="AE23">
        <f t="shared" si="16"/>
        <v>5.2699669218033663E-9</v>
      </c>
      <c r="AF23">
        <f t="shared" si="17"/>
        <v>1.5921525028898885E-9</v>
      </c>
    </row>
    <row r="24" spans="4:32" x14ac:dyDescent="0.3">
      <c r="D24" s="1" t="e">
        <f t="shared" si="18"/>
        <v>#N/A</v>
      </c>
      <c r="E24" s="1" t="e">
        <f t="shared" si="19"/>
        <v>#N/A</v>
      </c>
      <c r="G24" s="1">
        <f t="shared" si="20"/>
        <v>1.4821947939544193E-13</v>
      </c>
      <c r="I24">
        <f t="shared" si="21"/>
        <v>22</v>
      </c>
      <c r="K24" s="1">
        <f t="shared" si="0"/>
        <v>2.5871988402614472E-13</v>
      </c>
      <c r="L24" s="1">
        <f t="shared" si="1"/>
        <v>5.8278453403494149E-14</v>
      </c>
      <c r="N24" s="1">
        <f t="shared" si="2"/>
        <v>12.739073631734</v>
      </c>
      <c r="O24" s="1">
        <f t="shared" si="3"/>
        <v>379.01376094415207</v>
      </c>
      <c r="Q24" s="1">
        <f t="shared" si="4"/>
        <v>2.1070348985162073E-16</v>
      </c>
      <c r="R24" s="1">
        <f t="shared" si="5"/>
        <v>3.9661305145121606E-17</v>
      </c>
      <c r="S24" s="1">
        <f t="shared" si="6"/>
        <v>3.0079295697292599E-18</v>
      </c>
      <c r="T24" s="1">
        <f t="shared" si="7"/>
        <v>5.1297045473084866E-19</v>
      </c>
      <c r="U24" s="1">
        <f t="shared" si="8"/>
        <v>6.8810189809402865E-22</v>
      </c>
      <c r="V24" s="1">
        <f t="shared" si="9"/>
        <v>9.7988542955716682E-23</v>
      </c>
      <c r="W24" s="1"/>
      <c r="X24" s="6">
        <f t="shared" si="10"/>
        <v>6.9342733763315767</v>
      </c>
      <c r="Y24" s="6">
        <f t="shared" si="11"/>
        <v>91.692871091987811</v>
      </c>
      <c r="AA24">
        <f t="shared" si="12"/>
        <v>5.1425800678478822E-10</v>
      </c>
      <c r="AB24">
        <f t="shared" si="13"/>
        <v>1.4417055220439466E-10</v>
      </c>
      <c r="AC24">
        <f t="shared" si="14"/>
        <v>1.988648155341764E-11</v>
      </c>
      <c r="AD24">
        <f t="shared" si="15"/>
        <v>5.055238403267664E-12</v>
      </c>
      <c r="AE24">
        <f t="shared" si="16"/>
        <v>2.0187552276080206E-8</v>
      </c>
      <c r="AF24">
        <f t="shared" si="17"/>
        <v>6.3816777783657747E-9</v>
      </c>
    </row>
    <row r="25" spans="4:32" x14ac:dyDescent="0.3">
      <c r="D25" s="1" t="e">
        <f t="shared" si="18"/>
        <v>#N/A</v>
      </c>
      <c r="E25" s="1" t="e">
        <f t="shared" si="19"/>
        <v>#N/A</v>
      </c>
      <c r="G25" s="1">
        <f t="shared" si="20"/>
        <v>7.9776464228073465E-13</v>
      </c>
      <c r="I25">
        <f t="shared" si="21"/>
        <v>23</v>
      </c>
      <c r="K25" s="1">
        <f t="shared" si="0"/>
        <v>1.2946963916570756E-12</v>
      </c>
      <c r="L25" s="1">
        <f t="shared" si="1"/>
        <v>3.0466101677882074E-13</v>
      </c>
      <c r="N25" s="1">
        <f t="shared" si="2"/>
        <v>11.917361545464216</v>
      </c>
      <c r="O25" s="1">
        <f t="shared" si="3"/>
        <v>324.40454868560454</v>
      </c>
      <c r="Q25" s="1">
        <f t="shared" si="4"/>
        <v>1.2870723122260016E-15</v>
      </c>
      <c r="R25" s="1">
        <f t="shared" si="5"/>
        <v>2.5312456800479774E-16</v>
      </c>
      <c r="S25" s="1">
        <f t="shared" si="6"/>
        <v>2.0502697540876989E-17</v>
      </c>
      <c r="T25" s="1">
        <f t="shared" si="7"/>
        <v>3.653422871645924E-18</v>
      </c>
      <c r="U25" s="1">
        <f t="shared" si="8"/>
        <v>5.7301932145420481E-21</v>
      </c>
      <c r="V25" s="1">
        <f t="shared" si="9"/>
        <v>8.5270213672207382E-22</v>
      </c>
      <c r="W25" s="1"/>
      <c r="X25" s="6">
        <f t="shared" si="10"/>
        <v>6.4869899703673974</v>
      </c>
      <c r="Y25" s="6">
        <f t="shared" si="11"/>
        <v>78.4815421745772</v>
      </c>
      <c r="AA25">
        <f t="shared" si="12"/>
        <v>2.0185981353119779E-9</v>
      </c>
      <c r="AB25">
        <f t="shared" si="13"/>
        <v>5.9101647520690114E-10</v>
      </c>
      <c r="AC25">
        <f t="shared" si="14"/>
        <v>8.7017825445878441E-11</v>
      </c>
      <c r="AD25">
        <f t="shared" si="15"/>
        <v>2.3104928354354792E-11</v>
      </c>
      <c r="AE25">
        <f t="shared" si="16"/>
        <v>6.9356621635202096E-8</v>
      </c>
      <c r="AF25">
        <f t="shared" si="17"/>
        <v>2.2892987641509155E-8</v>
      </c>
    </row>
    <row r="26" spans="4:32" x14ac:dyDescent="0.3">
      <c r="D26" s="1" t="e">
        <f t="shared" si="18"/>
        <v>#N/A</v>
      </c>
      <c r="E26" s="1" t="e">
        <f t="shared" si="19"/>
        <v>#N/A</v>
      </c>
      <c r="G26" s="1">
        <f t="shared" si="20"/>
        <v>3.8221505281552668E-12</v>
      </c>
      <c r="I26">
        <f t="shared" si="21"/>
        <v>24</v>
      </c>
      <c r="K26" s="1">
        <f t="shared" si="0"/>
        <v>5.7809817789495238E-12</v>
      </c>
      <c r="L26" s="1">
        <f t="shared" si="1"/>
        <v>1.4183898089301802E-12</v>
      </c>
      <c r="N26" s="1">
        <f t="shared" si="2"/>
        <v>11.18033988749894</v>
      </c>
      <c r="O26" s="1">
        <f t="shared" si="3"/>
        <v>279.50849718747344</v>
      </c>
      <c r="Q26" s="1">
        <f t="shared" si="4"/>
        <v>6.9545740076096708E-15</v>
      </c>
      <c r="R26" s="1">
        <f t="shared" si="5"/>
        <v>1.4263118142301936E-15</v>
      </c>
      <c r="S26" s="1">
        <f t="shared" si="6"/>
        <v>1.2303612286907442E-16</v>
      </c>
      <c r="T26" s="1">
        <f t="shared" si="7"/>
        <v>2.2864574966133094E-17</v>
      </c>
      <c r="U26" s="1">
        <f t="shared" si="8"/>
        <v>4.165010575606484E-20</v>
      </c>
      <c r="V26" s="1">
        <f t="shared" si="9"/>
        <v>6.464396859377646E-21</v>
      </c>
      <c r="W26" s="1"/>
      <c r="X26" s="6">
        <f t="shared" si="10"/>
        <v>6.0858061945018438</v>
      </c>
      <c r="Y26" s="6">
        <f t="shared" si="11"/>
        <v>67.620068827798264</v>
      </c>
      <c r="AA26">
        <f t="shared" si="12"/>
        <v>7.1455449261630954E-9</v>
      </c>
      <c r="AB26">
        <f t="shared" si="13"/>
        <v>2.1807635518735402E-9</v>
      </c>
      <c r="AC26">
        <f t="shared" si="14"/>
        <v>3.4174373263463366E-10</v>
      </c>
      <c r="AD26">
        <f t="shared" si="15"/>
        <v>9.4597931418874908E-11</v>
      </c>
      <c r="AE26">
        <f t="shared" si="16"/>
        <v>2.1616010518059937E-7</v>
      </c>
      <c r="AF26">
        <f t="shared" si="17"/>
        <v>7.4356332887257477E-8</v>
      </c>
    </row>
    <row r="27" spans="4:32" x14ac:dyDescent="0.3">
      <c r="D27" s="1" t="e">
        <f t="shared" si="18"/>
        <v>#N/A</v>
      </c>
      <c r="E27" s="1" t="e">
        <f t="shared" si="19"/>
        <v>#N/A</v>
      </c>
      <c r="G27" s="1">
        <f t="shared" si="20"/>
        <v>1.6487011599371323E-11</v>
      </c>
      <c r="I27">
        <f t="shared" si="21"/>
        <v>25</v>
      </c>
      <c r="K27" s="1">
        <f t="shared" si="0"/>
        <v>2.3290692496354182E-11</v>
      </c>
      <c r="L27" s="1">
        <f t="shared" si="1"/>
        <v>5.9478847713994216E-12</v>
      </c>
      <c r="N27" s="1">
        <f t="shared" si="2"/>
        <v>10.516273104099183</v>
      </c>
      <c r="O27" s="1">
        <f t="shared" si="3"/>
        <v>242.29493231844506</v>
      </c>
      <c r="Q27" s="1">
        <f t="shared" si="4"/>
        <v>3.3638038027249227E-14</v>
      </c>
      <c r="R27" s="1">
        <f t="shared" si="5"/>
        <v>7.1817550234948687E-15</v>
      </c>
      <c r="S27" s="1">
        <f t="shared" si="6"/>
        <v>6.5804552228764035E-16</v>
      </c>
      <c r="T27" s="1">
        <f t="shared" si="7"/>
        <v>1.2731283889100058E-16</v>
      </c>
      <c r="U27" s="1">
        <f t="shared" si="8"/>
        <v>2.6768355074988086E-19</v>
      </c>
      <c r="V27" s="1">
        <f t="shared" si="9"/>
        <v>4.3257619881716289E-20</v>
      </c>
      <c r="W27" s="1"/>
      <c r="X27" s="6">
        <f t="shared" si="10"/>
        <v>5.7243340223994581</v>
      </c>
      <c r="Y27" s="6">
        <f t="shared" si="11"/>
        <v>58.617180389370453</v>
      </c>
      <c r="AA27">
        <f t="shared" si="12"/>
        <v>2.3047154830644316E-8</v>
      </c>
      <c r="AB27">
        <f t="shared" si="13"/>
        <v>7.3189683153981556E-9</v>
      </c>
      <c r="AC27">
        <f t="shared" si="14"/>
        <v>1.217534242227955E-9</v>
      </c>
      <c r="AD27">
        <f t="shared" si="15"/>
        <v>3.5074023241753198E-10</v>
      </c>
      <c r="AE27">
        <f t="shared" si="16"/>
        <v>6.1719443344965551E-7</v>
      </c>
      <c r="AF27">
        <f t="shared" si="17"/>
        <v>2.2086306708559788E-7</v>
      </c>
    </row>
    <row r="28" spans="4:32" x14ac:dyDescent="0.3">
      <c r="D28" s="1" t="e">
        <f t="shared" si="18"/>
        <v>#N/A</v>
      </c>
      <c r="E28" s="1" t="e">
        <f t="shared" si="19"/>
        <v>#N/A</v>
      </c>
      <c r="G28" s="1">
        <f t="shared" si="20"/>
        <v>6.4665454629224215E-11</v>
      </c>
      <c r="I28">
        <f t="shared" si="21"/>
        <v>26</v>
      </c>
      <c r="K28" s="1">
        <f t="shared" si="0"/>
        <v>8.5492755717427925E-11</v>
      </c>
      <c r="L28" s="1">
        <f t="shared" si="1"/>
        <v>2.2687967155312505E-11</v>
      </c>
      <c r="N28" s="1">
        <f t="shared" si="2"/>
        <v>9.9154367174690652</v>
      </c>
      <c r="O28" s="1">
        <f t="shared" si="3"/>
        <v>211.21640344904515</v>
      </c>
      <c r="Q28" s="1">
        <f t="shared" si="4"/>
        <v>1.4715360703207685E-13</v>
      </c>
      <c r="R28" s="1">
        <f t="shared" si="5"/>
        <v>3.2653459469665967E-14</v>
      </c>
      <c r="S28" s="1">
        <f t="shared" si="6"/>
        <v>3.170414104131021E-15</v>
      </c>
      <c r="T28" s="1">
        <f t="shared" si="7"/>
        <v>6.375602810894102E-16</v>
      </c>
      <c r="U28" s="1">
        <f t="shared" si="8"/>
        <v>1.5384739828515276E-18</v>
      </c>
      <c r="V28" s="1">
        <f t="shared" si="9"/>
        <v>2.5844277577977272E-19</v>
      </c>
      <c r="W28" s="1"/>
      <c r="X28" s="6">
        <f t="shared" si="10"/>
        <v>5.3972801188124846</v>
      </c>
      <c r="Y28" s="6">
        <f t="shared" si="11"/>
        <v>51.098510000591567</v>
      </c>
      <c r="AA28">
        <f t="shared" si="12"/>
        <v>6.8341887228179841E-8</v>
      </c>
      <c r="AB28">
        <f t="shared" si="13"/>
        <v>2.2546196270636571E-8</v>
      </c>
      <c r="AC28">
        <f t="shared" si="14"/>
        <v>3.9718057704486112E-9</v>
      </c>
      <c r="AD28">
        <f t="shared" si="15"/>
        <v>1.1888118835644446E-9</v>
      </c>
      <c r="AE28">
        <f t="shared" si="16"/>
        <v>1.6283154702711064E-6</v>
      </c>
      <c r="AF28">
        <f t="shared" si="17"/>
        <v>6.0518405340403049E-7</v>
      </c>
    </row>
    <row r="29" spans="4:32" x14ac:dyDescent="0.3">
      <c r="D29" s="1" t="e">
        <f t="shared" si="18"/>
        <v>#N/A</v>
      </c>
      <c r="E29" s="1" t="e">
        <f t="shared" si="19"/>
        <v>#N/A</v>
      </c>
      <c r="G29" s="1">
        <f t="shared" si="20"/>
        <v>2.3262446209694378E-10</v>
      </c>
      <c r="I29">
        <f t="shared" si="21"/>
        <v>27</v>
      </c>
      <c r="K29" s="1">
        <f t="shared" si="0"/>
        <v>2.8835740811706899E-10</v>
      </c>
      <c r="L29" s="1">
        <f t="shared" si="1"/>
        <v>7.9402774583307157E-11</v>
      </c>
      <c r="N29" s="1">
        <f t="shared" si="2"/>
        <v>9.3697115856840796</v>
      </c>
      <c r="O29" s="1">
        <f t="shared" si="3"/>
        <v>185.08072268017943</v>
      </c>
      <c r="Q29" s="1">
        <f t="shared" si="4"/>
        <v>5.875139171950686E-13</v>
      </c>
      <c r="R29" s="1">
        <f t="shared" si="5"/>
        <v>1.3529740570671529E-13</v>
      </c>
      <c r="S29" s="1">
        <f t="shared" si="6"/>
        <v>1.3888981866640865E-14</v>
      </c>
      <c r="T29" s="1">
        <f t="shared" si="7"/>
        <v>2.8988131543255323E-15</v>
      </c>
      <c r="U29" s="1">
        <f t="shared" si="8"/>
        <v>7.985786651562147E-18</v>
      </c>
      <c r="V29" s="1">
        <f t="shared" si="9"/>
        <v>1.3924572829093834E-18</v>
      </c>
      <c r="W29" s="1"/>
      <c r="X29" s="6">
        <f t="shared" si="10"/>
        <v>5.1002249826599702</v>
      </c>
      <c r="Y29" s="6">
        <f t="shared" si="11"/>
        <v>44.77563770785158</v>
      </c>
      <c r="AA29">
        <f t="shared" si="12"/>
        <v>1.8777712708537683E-7</v>
      </c>
      <c r="AB29">
        <f t="shared" si="13"/>
        <v>6.425828687068855E-8</v>
      </c>
      <c r="AC29">
        <f t="shared" si="14"/>
        <v>1.1960499975056302E-8</v>
      </c>
      <c r="AD29">
        <f t="shared" si="15"/>
        <v>3.7140238717537412E-9</v>
      </c>
      <c r="AE29">
        <f t="shared" si="16"/>
        <v>3.9991187720106534E-6</v>
      </c>
      <c r="AF29">
        <f t="shared" si="17"/>
        <v>1.5413520127629522E-6</v>
      </c>
    </row>
    <row r="30" spans="4:32" x14ac:dyDescent="0.3">
      <c r="D30" s="1" t="e">
        <f t="shared" si="18"/>
        <v>#N/A</v>
      </c>
      <c r="E30" s="1" t="e">
        <f t="shared" si="19"/>
        <v>#N/A</v>
      </c>
      <c r="G30" s="1">
        <f t="shared" si="20"/>
        <v>7.7337987045492174E-10</v>
      </c>
      <c r="I30">
        <f t="shared" si="21"/>
        <v>28</v>
      </c>
      <c r="K30" s="1">
        <f t="shared" si="0"/>
        <v>9.0038688615161265E-10</v>
      </c>
      <c r="L30" s="1">
        <f t="shared" si="1"/>
        <v>2.5690387946753312E-10</v>
      </c>
      <c r="N30" s="1">
        <f t="shared" si="2"/>
        <v>8.8722714772588329</v>
      </c>
      <c r="O30" s="1">
        <f t="shared" si="3"/>
        <v>162.96008835781535</v>
      </c>
      <c r="Q30" s="1">
        <f t="shared" si="4"/>
        <v>2.157872465354697E-12</v>
      </c>
      <c r="R30" s="1">
        <f t="shared" si="5"/>
        <v>5.1500487723388355E-13</v>
      </c>
      <c r="S30" s="1">
        <f t="shared" si="6"/>
        <v>5.5781350385099799E-14</v>
      </c>
      <c r="T30" s="1">
        <f t="shared" si="7"/>
        <v>1.2066617372888797E-14</v>
      </c>
      <c r="U30" s="1">
        <f t="shared" si="8"/>
        <v>3.7764752581414141E-17</v>
      </c>
      <c r="V30" s="1">
        <f t="shared" si="9"/>
        <v>6.8256502406505837E-18</v>
      </c>
      <c r="W30" s="1"/>
      <c r="X30" s="6">
        <f t="shared" si="10"/>
        <v>4.8294528841629489</v>
      </c>
      <c r="Y30" s="6">
        <f t="shared" si="11"/>
        <v>39.424105176840392</v>
      </c>
      <c r="AA30">
        <f t="shared" si="12"/>
        <v>4.8135716654207685E-7</v>
      </c>
      <c r="AB30">
        <f t="shared" si="13"/>
        <v>1.7062654131739445E-7</v>
      </c>
      <c r="AC30">
        <f t="shared" si="14"/>
        <v>3.3486035356912335E-8</v>
      </c>
      <c r="AD30">
        <f t="shared" si="15"/>
        <v>1.0772714246049581E-8</v>
      </c>
      <c r="AE30">
        <f t="shared" si="16"/>
        <v>9.2032373333405496E-6</v>
      </c>
      <c r="AF30">
        <f t="shared" si="17"/>
        <v>3.6732747151432806E-6</v>
      </c>
    </row>
    <row r="31" spans="4:32" x14ac:dyDescent="0.3">
      <c r="D31" s="1" t="e">
        <f t="shared" si="18"/>
        <v>#N/A</v>
      </c>
      <c r="E31" s="1" t="e">
        <f t="shared" si="19"/>
        <v>#N/A</v>
      </c>
      <c r="G31" s="1">
        <f t="shared" si="20"/>
        <v>2.3922161528052749E-9</v>
      </c>
      <c r="I31">
        <f t="shared" si="21"/>
        <v>29</v>
      </c>
      <c r="K31" s="1">
        <f t="shared" si="0"/>
        <v>2.6199012220929581E-9</v>
      </c>
      <c r="L31" s="1">
        <f t="shared" si="1"/>
        <v>7.7357698776521902E-10</v>
      </c>
      <c r="N31" s="1">
        <f t="shared" si="2"/>
        <v>8.4173400449479896</v>
      </c>
      <c r="O31" s="1">
        <f t="shared" si="3"/>
        <v>144.12567972324734</v>
      </c>
      <c r="Q31" s="1">
        <f t="shared" si="4"/>
        <v>7.3425142438143188E-12</v>
      </c>
      <c r="R31" s="1">
        <f t="shared" si="5"/>
        <v>1.8137921204841073E-12</v>
      </c>
      <c r="S31" s="1">
        <f t="shared" si="6"/>
        <v>2.0688405868350245E-13</v>
      </c>
      <c r="T31" s="1">
        <f t="shared" si="7"/>
        <v>4.6324857419437187E-14</v>
      </c>
      <c r="U31" s="1">
        <f t="shared" si="8"/>
        <v>1.639616400516915E-16</v>
      </c>
      <c r="V31" s="1">
        <f t="shared" si="9"/>
        <v>3.0678763033080196E-17</v>
      </c>
      <c r="W31" s="1"/>
      <c r="X31" s="6">
        <f t="shared" si="10"/>
        <v>4.5818195781373756</v>
      </c>
      <c r="Y31" s="6">
        <f t="shared" si="11"/>
        <v>34.867592509012155</v>
      </c>
      <c r="AA31">
        <f t="shared" si="12"/>
        <v>1.1582218484878434E-6</v>
      </c>
      <c r="AB31">
        <f t="shared" si="13"/>
        <v>4.2471480574641375E-7</v>
      </c>
      <c r="AC31">
        <f t="shared" si="14"/>
        <v>8.7713207750768535E-8</v>
      </c>
      <c r="AD31">
        <f t="shared" si="15"/>
        <v>2.9196426829122256E-8</v>
      </c>
      <c r="AE31">
        <f t="shared" si="16"/>
        <v>1.9960511117919658E-5</v>
      </c>
      <c r="AF31">
        <f t="shared" si="17"/>
        <v>8.2392424327169528E-6</v>
      </c>
    </row>
    <row r="32" spans="4:32" x14ac:dyDescent="0.3">
      <c r="D32" s="1" t="e">
        <f t="shared" si="18"/>
        <v>#N/A</v>
      </c>
      <c r="E32" s="1" t="e">
        <f t="shared" si="19"/>
        <v>#N/A</v>
      </c>
      <c r="G32" s="1">
        <f t="shared" si="20"/>
        <v>6.9257019428127786E-9</v>
      </c>
      <c r="I32">
        <f t="shared" si="21"/>
        <v>30</v>
      </c>
      <c r="K32" s="1">
        <f t="shared" si="0"/>
        <v>7.1455449261630954E-9</v>
      </c>
      <c r="L32" s="1">
        <f t="shared" si="1"/>
        <v>2.1807635518735402E-9</v>
      </c>
      <c r="N32" s="1">
        <f t="shared" si="2"/>
        <v>7.9999999999999947</v>
      </c>
      <c r="O32" s="1">
        <f t="shared" si="3"/>
        <v>127.99999999999986</v>
      </c>
      <c r="Q32" s="1">
        <f t="shared" si="4"/>
        <v>2.3290692496354182E-11</v>
      </c>
      <c r="R32" s="1">
        <f t="shared" si="5"/>
        <v>5.9478847713994216E-12</v>
      </c>
      <c r="S32" s="1">
        <f t="shared" si="6"/>
        <v>7.1315695442829648E-13</v>
      </c>
      <c r="T32" s="1">
        <f t="shared" si="7"/>
        <v>1.6509883389398103E-13</v>
      </c>
      <c r="U32" s="1">
        <f t="shared" si="8"/>
        <v>6.5804552228764035E-16</v>
      </c>
      <c r="V32" s="1">
        <f t="shared" si="9"/>
        <v>1.2731283889100058E-16</v>
      </c>
      <c r="W32" s="1"/>
      <c r="X32" s="6">
        <f t="shared" si="10"/>
        <v>4.3546484316145362</v>
      </c>
      <c r="Y32" s="6">
        <f t="shared" si="11"/>
        <v>30.966388847036701</v>
      </c>
      <c r="AA32">
        <f t="shared" si="12"/>
        <v>2.6299375466787597E-6</v>
      </c>
      <c r="AB32">
        <f t="shared" si="13"/>
        <v>9.9643364359629094E-7</v>
      </c>
      <c r="AC32">
        <f t="shared" si="14"/>
        <v>2.1616010518059937E-7</v>
      </c>
      <c r="AD32">
        <f t="shared" si="15"/>
        <v>7.4356332887257477E-8</v>
      </c>
      <c r="AE32">
        <f t="shared" si="16"/>
        <v>4.100851185988515E-5</v>
      </c>
      <c r="AF32">
        <f t="shared" si="17"/>
        <v>1.7484640021787857E-5</v>
      </c>
    </row>
    <row r="33" spans="4:32" x14ac:dyDescent="0.3">
      <c r="D33" s="1" t="e">
        <f t="shared" si="18"/>
        <v>#N/A</v>
      </c>
      <c r="E33" s="1" t="e">
        <f t="shared" si="19"/>
        <v>#N/A</v>
      </c>
      <c r="G33" s="1">
        <f t="shared" si="20"/>
        <v>1.8866241860107727E-8</v>
      </c>
      <c r="I33">
        <f t="shared" si="21"/>
        <v>31</v>
      </c>
      <c r="K33" s="1">
        <f t="shared" si="0"/>
        <v>1.8362795076026353E-8</v>
      </c>
      <c r="L33" s="1">
        <f t="shared" si="1"/>
        <v>5.7859901231040617E-9</v>
      </c>
      <c r="N33" s="1">
        <f t="shared" si="2"/>
        <v>7.6160419639426733</v>
      </c>
      <c r="O33" s="1">
        <f t="shared" si="3"/>
        <v>114.12175263348023</v>
      </c>
      <c r="Q33" s="1">
        <f t="shared" si="4"/>
        <v>6.9254859918192026E-11</v>
      </c>
      <c r="R33" s="1">
        <f t="shared" si="5"/>
        <v>1.8263408164069966E-11</v>
      </c>
      <c r="S33" s="1">
        <f t="shared" si="6"/>
        <v>2.2980489278536355E-12</v>
      </c>
      <c r="T33" s="1">
        <f t="shared" si="7"/>
        <v>5.4942066781294551E-13</v>
      </c>
      <c r="U33" s="1">
        <f t="shared" si="8"/>
        <v>2.4562781083725008E-15</v>
      </c>
      <c r="V33" s="1">
        <f t="shared" si="9"/>
        <v>4.9082957591077651E-16</v>
      </c>
      <c r="W33" s="1"/>
      <c r="X33" s="6">
        <f t="shared" si="10"/>
        <v>4.1456481491741863</v>
      </c>
      <c r="Y33" s="6">
        <f t="shared" si="11"/>
        <v>27.608895062138185</v>
      </c>
      <c r="AA33">
        <f t="shared" si="12"/>
        <v>5.662396892342781E-6</v>
      </c>
      <c r="AB33">
        <f t="shared" si="13"/>
        <v>2.2141377062302222E-6</v>
      </c>
      <c r="AC33">
        <f t="shared" si="14"/>
        <v>5.036751654050167E-7</v>
      </c>
      <c r="AD33">
        <f t="shared" si="15"/>
        <v>1.7884571199345191E-7</v>
      </c>
      <c r="AE33">
        <f t="shared" si="16"/>
        <v>8.0171080096613006E-5</v>
      </c>
      <c r="AF33">
        <f t="shared" si="17"/>
        <v>3.5266684023925525E-5</v>
      </c>
    </row>
    <row r="34" spans="4:32" x14ac:dyDescent="0.3">
      <c r="D34" s="1" t="e">
        <f t="shared" si="18"/>
        <v>#N/A</v>
      </c>
      <c r="E34" s="1" t="e">
        <f t="shared" si="19"/>
        <v>#N/A</v>
      </c>
      <c r="G34" s="1">
        <f t="shared" si="20"/>
        <v>4.8587326055543578E-8</v>
      </c>
      <c r="I34">
        <f t="shared" si="21"/>
        <v>32</v>
      </c>
      <c r="K34" s="1">
        <f t="shared" si="0"/>
        <v>4.4669699034676287E-8</v>
      </c>
      <c r="L34" s="1">
        <f t="shared" si="1"/>
        <v>1.4516403797946865E-8</v>
      </c>
      <c r="N34" s="1">
        <f t="shared" si="2"/>
        <v>7.261843774138903</v>
      </c>
      <c r="O34" s="1">
        <f t="shared" si="3"/>
        <v>102.11967807382828</v>
      </c>
      <c r="Q34" s="1">
        <f t="shared" si="4"/>
        <v>1.9400137708079806E-10</v>
      </c>
      <c r="R34" s="1">
        <f t="shared" si="5"/>
        <v>5.2775491077561992E-11</v>
      </c>
      <c r="S34" s="1">
        <f t="shared" si="6"/>
        <v>6.9579637793280797E-12</v>
      </c>
      <c r="T34" s="1">
        <f t="shared" si="7"/>
        <v>1.7161698058496133E-12</v>
      </c>
      <c r="U34" s="1">
        <f t="shared" si="8"/>
        <v>8.5739100064308443E-15</v>
      </c>
      <c r="V34" s="1">
        <f t="shared" si="9"/>
        <v>1.7677296109400466E-15</v>
      </c>
      <c r="W34" s="1"/>
      <c r="X34" s="6">
        <f t="shared" si="10"/>
        <v>3.9528470752104727</v>
      </c>
      <c r="Y34" s="6">
        <f t="shared" si="11"/>
        <v>24.705294220065458</v>
      </c>
      <c r="AA34">
        <f t="shared" si="12"/>
        <v>1.160929174145217E-5</v>
      </c>
      <c r="AB34">
        <f t="shared" si="13"/>
        <v>4.6799965149279635E-6</v>
      </c>
      <c r="AC34">
        <f t="shared" si="14"/>
        <v>1.1145885521503829E-6</v>
      </c>
      <c r="AD34">
        <f t="shared" si="15"/>
        <v>4.0809966018448673E-7</v>
      </c>
      <c r="AE34">
        <f t="shared" si="16"/>
        <v>1.4974779677862354E-4</v>
      </c>
      <c r="AF34">
        <f t="shared" si="17"/>
        <v>6.7888833299424009E-5</v>
      </c>
    </row>
    <row r="35" spans="4:32" x14ac:dyDescent="0.3">
      <c r="D35" s="1" t="e">
        <f t="shared" si="18"/>
        <v>#N/A</v>
      </c>
      <c r="E35" s="1" t="e">
        <f t="shared" si="19"/>
        <v>#N/A</v>
      </c>
      <c r="G35" s="1">
        <f t="shared" si="20"/>
        <v>1.1880157592936108E-7</v>
      </c>
      <c r="I35">
        <f t="shared" si="21"/>
        <v>33</v>
      </c>
      <c r="K35" s="1">
        <f t="shared" si="0"/>
        <v>1.0329214899528226E-7</v>
      </c>
      <c r="L35" s="1">
        <f t="shared" si="1"/>
        <v>3.4585130108246394E-8</v>
      </c>
      <c r="N35" s="1">
        <f t="shared" si="2"/>
        <v>6.9342733763315767</v>
      </c>
      <c r="O35" s="1">
        <f t="shared" si="3"/>
        <v>91.692871091987811</v>
      </c>
      <c r="Q35" s="1">
        <f t="shared" si="4"/>
        <v>5.1425800678478822E-10</v>
      </c>
      <c r="R35" s="1">
        <f t="shared" si="5"/>
        <v>1.4417055220439466E-10</v>
      </c>
      <c r="S35" s="1">
        <f t="shared" si="6"/>
        <v>1.988648155341764E-11</v>
      </c>
      <c r="T35" s="1">
        <f t="shared" si="7"/>
        <v>5.055238403267664E-12</v>
      </c>
      <c r="U35" s="1">
        <f t="shared" si="8"/>
        <v>2.8124870822505054E-14</v>
      </c>
      <c r="V35" s="1">
        <f t="shared" si="9"/>
        <v>5.9770339147586962E-15</v>
      </c>
      <c r="W35" s="1"/>
      <c r="X35" s="6">
        <f t="shared" si="10"/>
        <v>3.7745403353285947</v>
      </c>
      <c r="Y35" s="6">
        <f t="shared" si="11"/>
        <v>22.182789849497713</v>
      </c>
      <c r="AA35">
        <f t="shared" si="12"/>
        <v>2.2751933965039418E-5</v>
      </c>
      <c r="AB35">
        <f t="shared" si="13"/>
        <v>9.4461514899935578E-6</v>
      </c>
      <c r="AC35">
        <f t="shared" si="14"/>
        <v>2.3517569056786618E-6</v>
      </c>
      <c r="AD35">
        <f t="shared" si="15"/>
        <v>8.8701959708586074E-7</v>
      </c>
      <c r="AE35">
        <f t="shared" si="16"/>
        <v>2.6821051694881026E-4</v>
      </c>
      <c r="AF35">
        <f t="shared" si="17"/>
        <v>1.2518673764345796E-4</v>
      </c>
    </row>
    <row r="36" spans="4:32" x14ac:dyDescent="0.3">
      <c r="D36" s="1" t="e">
        <f t="shared" si="18"/>
        <v>#N/A</v>
      </c>
      <c r="E36" s="1" t="e">
        <f t="shared" si="19"/>
        <v>#N/A</v>
      </c>
      <c r="G36" s="1">
        <f t="shared" si="20"/>
        <v>2.7684950632814252E-7</v>
      </c>
      <c r="I36">
        <f t="shared" si="21"/>
        <v>34</v>
      </c>
      <c r="K36" s="1">
        <f t="shared" si="0"/>
        <v>2.2789207560764433E-7</v>
      </c>
      <c r="L36" s="1">
        <f t="shared" si="1"/>
        <v>7.8545520900527564E-8</v>
      </c>
      <c r="N36" s="1">
        <f t="shared" si="2"/>
        <v>6.6306101409015774</v>
      </c>
      <c r="O36" s="1">
        <f t="shared" si="3"/>
        <v>82.595835665209933</v>
      </c>
      <c r="Q36" s="1">
        <f t="shared" si="4"/>
        <v>1.2951526634429361E-9</v>
      </c>
      <c r="R36" s="1">
        <f t="shared" si="5"/>
        <v>3.7383657028738436E-10</v>
      </c>
      <c r="S36" s="1">
        <f t="shared" si="6"/>
        <v>5.3875527168544469E-11</v>
      </c>
      <c r="T36" s="1">
        <f t="shared" si="7"/>
        <v>1.4101952428576204E-11</v>
      </c>
      <c r="U36" s="1">
        <f t="shared" si="8"/>
        <v>8.7082769398253544E-14</v>
      </c>
      <c r="V36" s="1">
        <f t="shared" si="9"/>
        <v>1.9058357257216162E-14</v>
      </c>
      <c r="W36" s="1"/>
      <c r="X36" s="6">
        <f t="shared" si="10"/>
        <v>3.6092470063405662</v>
      </c>
      <c r="Y36" s="6">
        <f t="shared" si="11"/>
        <v>19.981990346522164</v>
      </c>
      <c r="AA36">
        <f t="shared" si="12"/>
        <v>4.2768794194211969E-5</v>
      </c>
      <c r="AB36">
        <f t="shared" si="13"/>
        <v>1.8270328551257164E-5</v>
      </c>
      <c r="AC36">
        <f t="shared" si="14"/>
        <v>4.7482642032338097E-6</v>
      </c>
      <c r="AD36">
        <f t="shared" si="15"/>
        <v>1.8431265280689045E-6</v>
      </c>
      <c r="AE36">
        <f t="shared" si="16"/>
        <v>4.6214423623724569E-4</v>
      </c>
      <c r="AF36">
        <f t="shared" si="17"/>
        <v>2.218618087274106E-4</v>
      </c>
    </row>
    <row r="37" spans="4:32" x14ac:dyDescent="0.3">
      <c r="D37" s="1" t="e">
        <f t="shared" si="18"/>
        <v>#N/A</v>
      </c>
      <c r="E37" s="1" t="e">
        <f t="shared" si="19"/>
        <v>#N/A</v>
      </c>
      <c r="G37" s="1">
        <f t="shared" si="20"/>
        <v>6.1700215878344764E-7</v>
      </c>
      <c r="I37">
        <f t="shared" si="21"/>
        <v>35</v>
      </c>
      <c r="K37" s="1">
        <f t="shared" si="0"/>
        <v>4.8135716654207685E-7</v>
      </c>
      <c r="L37" s="1">
        <f t="shared" si="1"/>
        <v>1.7062654131739445E-7</v>
      </c>
      <c r="N37" s="1">
        <f t="shared" si="2"/>
        <v>6.3484806841546355</v>
      </c>
      <c r="O37" s="1">
        <f t="shared" si="3"/>
        <v>74.627038246389162</v>
      </c>
      <c r="Q37" s="1">
        <f t="shared" si="4"/>
        <v>3.1102660015233567E-9</v>
      </c>
      <c r="R37" s="1">
        <f t="shared" si="5"/>
        <v>9.2351494319994472E-10</v>
      </c>
      <c r="S37" s="1">
        <f t="shared" si="6"/>
        <v>1.3887157413089771E-10</v>
      </c>
      <c r="T37" s="1">
        <f t="shared" si="7"/>
        <v>3.7396117800396106E-11</v>
      </c>
      <c r="U37" s="1">
        <f t="shared" si="8"/>
        <v>2.5552851896635299E-13</v>
      </c>
      <c r="V37" s="1">
        <f t="shared" si="9"/>
        <v>5.7540479926579355E-14</v>
      </c>
      <c r="W37" s="1"/>
      <c r="X37" s="6">
        <f t="shared" si="10"/>
        <v>3.4556751817986475</v>
      </c>
      <c r="Y37" s="6">
        <f t="shared" si="11"/>
        <v>18.05413972531538</v>
      </c>
      <c r="AA37">
        <f t="shared" si="12"/>
        <v>7.7352465855156453E-5</v>
      </c>
      <c r="AB37">
        <f t="shared" si="13"/>
        <v>3.396915296842879E-5</v>
      </c>
      <c r="AC37">
        <f t="shared" si="14"/>
        <v>9.2032373333405496E-6</v>
      </c>
      <c r="AD37">
        <f t="shared" si="15"/>
        <v>3.6732747151432806E-6</v>
      </c>
      <c r="AE37">
        <f t="shared" si="16"/>
        <v>7.6831569162560444E-4</v>
      </c>
      <c r="AF37">
        <f t="shared" si="17"/>
        <v>3.7902434717411161E-4</v>
      </c>
    </row>
    <row r="38" spans="4:32" x14ac:dyDescent="0.3">
      <c r="D38" s="1" t="e">
        <f t="shared" si="18"/>
        <v>#N/A</v>
      </c>
      <c r="E38" s="1" t="e">
        <f t="shared" si="19"/>
        <v>#N/A</v>
      </c>
      <c r="G38" s="1">
        <f t="shared" si="20"/>
        <v>1.3191919478522241E-6</v>
      </c>
      <c r="I38">
        <f t="shared" si="21"/>
        <v>36</v>
      </c>
      <c r="K38" s="1">
        <f t="shared" si="0"/>
        <v>9.7636259450815934E-7</v>
      </c>
      <c r="L38" s="1">
        <f t="shared" si="1"/>
        <v>3.5564355541459722E-7</v>
      </c>
      <c r="N38" s="1">
        <f t="shared" si="2"/>
        <v>6.0858061945018438</v>
      </c>
      <c r="O38" s="1">
        <f t="shared" si="3"/>
        <v>67.620068827798264</v>
      </c>
      <c r="Q38" s="1">
        <f t="shared" si="4"/>
        <v>7.1455449261630954E-9</v>
      </c>
      <c r="R38" s="1">
        <f t="shared" si="5"/>
        <v>2.1807635518735402E-9</v>
      </c>
      <c r="S38" s="1">
        <f t="shared" si="6"/>
        <v>3.4174373263463366E-10</v>
      </c>
      <c r="T38" s="1">
        <f t="shared" si="7"/>
        <v>9.4597931418874908E-11</v>
      </c>
      <c r="U38" s="1">
        <f t="shared" si="8"/>
        <v>7.1315695442829648E-13</v>
      </c>
      <c r="V38" s="1">
        <f t="shared" si="9"/>
        <v>1.6509883389398103E-13</v>
      </c>
      <c r="W38" s="1"/>
      <c r="X38" s="6">
        <f t="shared" si="10"/>
        <v>3.3126932999996876</v>
      </c>
      <c r="Y38" s="6">
        <f t="shared" si="11"/>
        <v>16.358979259257715</v>
      </c>
      <c r="AA38">
        <f t="shared" si="12"/>
        <v>1.3498130254662092E-4</v>
      </c>
      <c r="AB38">
        <f t="shared" si="13"/>
        <v>6.0884157390947899E-5</v>
      </c>
      <c r="AC38">
        <f t="shared" si="14"/>
        <v>1.7174135655352391E-5</v>
      </c>
      <c r="AD38">
        <f t="shared" si="15"/>
        <v>7.042290294211278E-6</v>
      </c>
      <c r="AE38">
        <f t="shared" si="16"/>
        <v>1.2357024266122976E-3</v>
      </c>
      <c r="AF38">
        <f t="shared" si="17"/>
        <v>6.258693021164957E-4</v>
      </c>
    </row>
    <row r="39" spans="4:32" x14ac:dyDescent="0.3">
      <c r="D39" s="1" t="e">
        <f t="shared" si="18"/>
        <v>#N/A</v>
      </c>
      <c r="E39" s="1" t="e">
        <f t="shared" si="19"/>
        <v>#N/A</v>
      </c>
      <c r="G39" s="1">
        <f t="shared" si="20"/>
        <v>2.713560320463204E-6</v>
      </c>
      <c r="I39">
        <f t="shared" si="21"/>
        <v>37</v>
      </c>
      <c r="K39" s="1">
        <f t="shared" si="0"/>
        <v>1.9070694374513789E-6</v>
      </c>
      <c r="L39" s="1">
        <f t="shared" si="1"/>
        <v>7.1326650666688753E-7</v>
      </c>
      <c r="N39" s="1">
        <f t="shared" si="2"/>
        <v>5.8407589477718656</v>
      </c>
      <c r="O39" s="1">
        <f t="shared" si="3"/>
        <v>61.436763219806352</v>
      </c>
      <c r="Q39" s="1">
        <f t="shared" si="4"/>
        <v>1.5751724532463085E-8</v>
      </c>
      <c r="R39" s="1">
        <f t="shared" si="5"/>
        <v>4.9372906067697088E-9</v>
      </c>
      <c r="S39" s="1">
        <f t="shared" si="6"/>
        <v>8.0536919495569384E-10</v>
      </c>
      <c r="T39" s="1">
        <f t="shared" si="7"/>
        <v>2.2898434633764195E-10</v>
      </c>
      <c r="U39" s="1">
        <f t="shared" si="8"/>
        <v>1.8993256585883445E-12</v>
      </c>
      <c r="V39" s="1">
        <f t="shared" si="9"/>
        <v>4.516961246182493E-13</v>
      </c>
      <c r="W39" s="1"/>
      <c r="X39" s="6">
        <f t="shared" si="10"/>
        <v>3.1793064739191679</v>
      </c>
      <c r="Y39" s="6">
        <f t="shared" si="11"/>
        <v>14.863083588811302</v>
      </c>
      <c r="AA39">
        <f t="shared" si="12"/>
        <v>2.2783792189418176E-4</v>
      </c>
      <c r="AB39">
        <f t="shared" si="13"/>
        <v>1.0546891509979135E-4</v>
      </c>
      <c r="AC39">
        <f t="shared" si="14"/>
        <v>3.0937508146205369E-5</v>
      </c>
      <c r="AD39">
        <f t="shared" si="15"/>
        <v>1.3022767892906798E-5</v>
      </c>
      <c r="AE39">
        <f t="shared" si="16"/>
        <v>1.9272764615117031E-3</v>
      </c>
      <c r="AF39">
        <f t="shared" si="17"/>
        <v>1.0013694222865376E-3</v>
      </c>
    </row>
    <row r="40" spans="4:32" x14ac:dyDescent="0.3">
      <c r="D40" s="1" t="e">
        <f t="shared" si="18"/>
        <v>#N/A</v>
      </c>
      <c r="E40" s="1" t="e">
        <f t="shared" si="19"/>
        <v>#N/A</v>
      </c>
      <c r="G40" s="1">
        <f t="shared" si="20"/>
        <v>5.3839647403694047E-6</v>
      </c>
      <c r="I40">
        <f t="shared" si="21"/>
        <v>38</v>
      </c>
      <c r="K40" s="1">
        <f t="shared" si="0"/>
        <v>3.596094022369637E-6</v>
      </c>
      <c r="L40" s="1">
        <f t="shared" si="1"/>
        <v>1.3799784229611821E-6</v>
      </c>
      <c r="N40" s="1">
        <f t="shared" si="2"/>
        <v>5.6117262103492926</v>
      </c>
      <c r="O40" s="1">
        <f t="shared" si="3"/>
        <v>55.961812623981864</v>
      </c>
      <c r="Q40" s="1">
        <f t="shared" si="4"/>
        <v>3.340824355569192E-8</v>
      </c>
      <c r="R40" s="1">
        <f t="shared" si="5"/>
        <v>1.0746816078763563E-8</v>
      </c>
      <c r="S40" s="1">
        <f t="shared" si="6"/>
        <v>1.8227154856396506E-9</v>
      </c>
      <c r="T40" s="1">
        <f t="shared" si="7"/>
        <v>5.3191090614528788E-10</v>
      </c>
      <c r="U40" s="1">
        <f t="shared" si="8"/>
        <v>4.8415618921404001E-12</v>
      </c>
      <c r="V40" s="1">
        <f t="shared" si="9"/>
        <v>1.1819565813414624E-12</v>
      </c>
      <c r="W40" s="1"/>
      <c r="X40" s="6">
        <f t="shared" si="10"/>
        <v>3.0546368425684687</v>
      </c>
      <c r="Y40" s="6">
        <f t="shared" si="11"/>
        <v>13.538556642962741</v>
      </c>
      <c r="AA40">
        <f t="shared" si="12"/>
        <v>3.7284816618583512E-4</v>
      </c>
      <c r="AB40">
        <f t="shared" si="13"/>
        <v>1.7699584221381417E-4</v>
      </c>
      <c r="AC40">
        <f t="shared" si="14"/>
        <v>5.392816958867757E-5</v>
      </c>
      <c r="AD40">
        <f t="shared" si="15"/>
        <v>2.3285344166242748E-5</v>
      </c>
      <c r="AE40">
        <f t="shared" si="16"/>
        <v>2.9213180325820412E-3</v>
      </c>
      <c r="AF40">
        <f t="shared" si="17"/>
        <v>1.5558387587201953E-3</v>
      </c>
    </row>
    <row r="41" spans="4:32" x14ac:dyDescent="0.3">
      <c r="D41" s="1" t="e">
        <f t="shared" si="18"/>
        <v>#N/A</v>
      </c>
      <c r="E41" s="1" t="e">
        <f t="shared" si="19"/>
        <v>#N/A</v>
      </c>
      <c r="G41" s="1">
        <f t="shared" si="20"/>
        <v>1.0328064750079905E-5</v>
      </c>
      <c r="I41">
        <f t="shared" si="21"/>
        <v>39</v>
      </c>
      <c r="K41" s="1">
        <f t="shared" si="0"/>
        <v>6.5615392433820567E-6</v>
      </c>
      <c r="L41" s="1">
        <f t="shared" si="1"/>
        <v>2.5816270966461883E-6</v>
      </c>
      <c r="N41" s="1">
        <f t="shared" si="2"/>
        <v>5.3972801188124846</v>
      </c>
      <c r="O41" s="1">
        <f t="shared" si="3"/>
        <v>51.098510000591567</v>
      </c>
      <c r="Q41" s="1">
        <f t="shared" si="4"/>
        <v>6.8341887228179841E-8</v>
      </c>
      <c r="R41" s="1">
        <f t="shared" si="5"/>
        <v>2.2546196270636571E-8</v>
      </c>
      <c r="S41" s="1">
        <f t="shared" si="6"/>
        <v>3.9718057704486112E-9</v>
      </c>
      <c r="T41" s="1">
        <f t="shared" si="7"/>
        <v>1.1888118835644446E-9</v>
      </c>
      <c r="U41" s="1">
        <f t="shared" si="8"/>
        <v>1.1844964952810377E-11</v>
      </c>
      <c r="V41" s="1">
        <f t="shared" si="9"/>
        <v>2.9663089944065865E-12</v>
      </c>
      <c r="W41" s="1"/>
      <c r="X41" s="6">
        <f t="shared" si="10"/>
        <v>2.9379071755463899</v>
      </c>
      <c r="Y41" s="6">
        <f t="shared" si="11"/>
        <v>12.362002579550884</v>
      </c>
      <c r="AA41">
        <f t="shared" si="12"/>
        <v>5.9279379842721116E-4</v>
      </c>
      <c r="AB41">
        <f t="shared" si="13"/>
        <v>2.8836850645607678E-4</v>
      </c>
      <c r="AC41">
        <f t="shared" si="14"/>
        <v>9.1162770522832407E-5</v>
      </c>
      <c r="AD41">
        <f t="shared" si="15"/>
        <v>4.0347773008873232E-5</v>
      </c>
      <c r="AE41">
        <f t="shared" si="16"/>
        <v>4.3120413209055061E-3</v>
      </c>
      <c r="AF41">
        <f t="shared" si="17"/>
        <v>2.3521998462339819E-3</v>
      </c>
    </row>
    <row r="42" spans="4:32" x14ac:dyDescent="0.3">
      <c r="D42" s="1" t="e">
        <f t="shared" si="18"/>
        <v>#N/A</v>
      </c>
      <c r="E42" s="1" t="e">
        <f t="shared" si="19"/>
        <v>#N/A</v>
      </c>
      <c r="G42" s="1">
        <f t="shared" si="20"/>
        <v>1.9196630502059386E-5</v>
      </c>
      <c r="I42">
        <f t="shared" si="21"/>
        <v>40</v>
      </c>
      <c r="K42" s="1">
        <f t="shared" si="0"/>
        <v>1.160929174145217E-5</v>
      </c>
      <c r="L42" s="1">
        <f t="shared" si="1"/>
        <v>4.6799965149279635E-6</v>
      </c>
      <c r="N42" s="1">
        <f t="shared" si="2"/>
        <v>5.1961524227066294</v>
      </c>
      <c r="O42" s="1">
        <f t="shared" si="3"/>
        <v>46.765371804359674</v>
      </c>
      <c r="Q42" s="1">
        <f t="shared" si="4"/>
        <v>1.3514858565556464E-7</v>
      </c>
      <c r="R42" s="1">
        <f t="shared" si="5"/>
        <v>4.5694883915968676E-8</v>
      </c>
      <c r="S42" s="1">
        <f t="shared" si="6"/>
        <v>8.3526347484318184E-9</v>
      </c>
      <c r="T42" s="1">
        <f t="shared" si="7"/>
        <v>2.5625051681591032E-9</v>
      </c>
      <c r="U42" s="1">
        <f t="shared" si="8"/>
        <v>2.7882672075559507E-11</v>
      </c>
      <c r="V42" s="1">
        <f t="shared" si="9"/>
        <v>7.1580742011885616E-12</v>
      </c>
      <c r="W42" s="1"/>
      <c r="X42" s="6">
        <f t="shared" si="10"/>
        <v>2.8284271247461894</v>
      </c>
      <c r="Y42" s="6">
        <f t="shared" si="11"/>
        <v>11.313708498984754</v>
      </c>
      <c r="AA42">
        <f t="shared" si="12"/>
        <v>9.1743260394515119E-4</v>
      </c>
      <c r="AB42">
        <f t="shared" si="13"/>
        <v>4.5701080648094782E-4</v>
      </c>
      <c r="AC42">
        <f t="shared" si="14"/>
        <v>1.4974779677862354E-4</v>
      </c>
      <c r="AD42">
        <f t="shared" si="15"/>
        <v>6.7888833299424009E-5</v>
      </c>
      <c r="AE42">
        <f t="shared" si="16"/>
        <v>6.209347260441719E-3</v>
      </c>
      <c r="AF42">
        <f t="shared" si="17"/>
        <v>3.4667847070069002E-3</v>
      </c>
    </row>
    <row r="43" spans="4:32" x14ac:dyDescent="0.3">
      <c r="D43" s="1" t="e">
        <f t="shared" si="18"/>
        <v>#N/A</v>
      </c>
      <c r="E43" s="1" t="e">
        <f t="shared" si="19"/>
        <v>#N/A</v>
      </c>
      <c r="G43" s="1">
        <f t="shared" si="20"/>
        <v>3.4639973120737248E-5</v>
      </c>
      <c r="I43">
        <f t="shared" si="21"/>
        <v>41</v>
      </c>
      <c r="K43" s="1">
        <f t="shared" si="0"/>
        <v>1.9955817501853583E-5</v>
      </c>
      <c r="L43" s="1">
        <f t="shared" si="1"/>
        <v>8.2372193739331859E-6</v>
      </c>
      <c r="N43" s="1">
        <f t="shared" si="2"/>
        <v>5.0072132064485908</v>
      </c>
      <c r="O43" s="1">
        <f t="shared" si="3"/>
        <v>42.893438532337719</v>
      </c>
      <c r="Q43" s="1">
        <f t="shared" si="4"/>
        <v>2.588981090143626E-7</v>
      </c>
      <c r="R43" s="1">
        <f t="shared" si="5"/>
        <v>8.9655772597467751E-8</v>
      </c>
      <c r="S43" s="1">
        <f t="shared" si="6"/>
        <v>1.6988766294266607E-8</v>
      </c>
      <c r="T43" s="1">
        <f t="shared" si="7"/>
        <v>5.338806811033004E-9</v>
      </c>
      <c r="U43" s="1">
        <f t="shared" si="8"/>
        <v>6.3297656995363797E-11</v>
      </c>
      <c r="V43" s="1">
        <f t="shared" si="9"/>
        <v>1.6647740098003631E-11</v>
      </c>
      <c r="W43" s="1"/>
      <c r="X43" s="6">
        <f t="shared" si="10"/>
        <v>2.7255816420276213</v>
      </c>
      <c r="Y43" s="6">
        <f t="shared" si="11"/>
        <v>10.376991379522178</v>
      </c>
      <c r="AA43">
        <f t="shared" si="12"/>
        <v>1.3845433042028856E-3</v>
      </c>
      <c r="AB43">
        <f t="shared" si="13"/>
        <v>7.0578963390557665E-4</v>
      </c>
      <c r="AC43">
        <f t="shared" si="14"/>
        <v>2.3946438441911039E-4</v>
      </c>
      <c r="AD43">
        <f t="shared" si="15"/>
        <v>1.1112941760599381E-4</v>
      </c>
      <c r="AE43">
        <f t="shared" si="16"/>
        <v>8.7375760072513214E-3</v>
      </c>
      <c r="AF43">
        <f t="shared" si="17"/>
        <v>4.9895152161861436E-3</v>
      </c>
    </row>
    <row r="44" spans="4:32" x14ac:dyDescent="0.3">
      <c r="D44" s="1" t="e">
        <f t="shared" si="18"/>
        <v>#N/A</v>
      </c>
      <c r="E44" s="1" t="e">
        <f t="shared" si="19"/>
        <v>#N/A</v>
      </c>
      <c r="G44" s="1">
        <f t="shared" si="20"/>
        <v>6.0794433644128284E-5</v>
      </c>
      <c r="I44">
        <f t="shared" si="21"/>
        <v>42</v>
      </c>
      <c r="K44" s="1">
        <f t="shared" si="0"/>
        <v>3.3386202879984969E-5</v>
      </c>
      <c r="L44" s="1">
        <f t="shared" si="1"/>
        <v>1.410202473519293E-5</v>
      </c>
      <c r="N44" s="1">
        <f t="shared" si="2"/>
        <v>4.8294528841629489</v>
      </c>
      <c r="O44" s="1">
        <f t="shared" si="3"/>
        <v>39.424105176840392</v>
      </c>
      <c r="Q44" s="1">
        <f t="shared" si="4"/>
        <v>4.8135716654207685E-7</v>
      </c>
      <c r="R44" s="1">
        <f t="shared" si="5"/>
        <v>1.7062654131739445E-7</v>
      </c>
      <c r="S44" s="1">
        <f t="shared" si="6"/>
        <v>3.3486035356912335E-8</v>
      </c>
      <c r="T44" s="1">
        <f t="shared" si="7"/>
        <v>1.0772714246049581E-8</v>
      </c>
      <c r="U44" s="1">
        <f t="shared" si="8"/>
        <v>1.3887157413089771E-10</v>
      </c>
      <c r="V44" s="1">
        <f t="shared" si="9"/>
        <v>3.7396117800396106E-11</v>
      </c>
      <c r="W44" s="1"/>
      <c r="X44" s="6">
        <f t="shared" si="10"/>
        <v>2.6288211784470628</v>
      </c>
      <c r="Y44" s="6">
        <f t="shared" si="11"/>
        <v>9.5376732097852592</v>
      </c>
      <c r="AA44">
        <f t="shared" si="12"/>
        <v>2.0408022407732368E-3</v>
      </c>
      <c r="AB44">
        <f t="shared" si="13"/>
        <v>1.0639143421267369E-3</v>
      </c>
      <c r="AC44">
        <f t="shared" si="14"/>
        <v>3.7341350999990061E-4</v>
      </c>
      <c r="AD44">
        <f t="shared" si="15"/>
        <v>1.772781605626936E-4</v>
      </c>
      <c r="AE44">
        <f t="shared" si="16"/>
        <v>1.2033207533923998E-2</v>
      </c>
      <c r="AF44">
        <f t="shared" si="17"/>
        <v>7.0233419357510277E-3</v>
      </c>
    </row>
    <row r="45" spans="4:32" x14ac:dyDescent="0.3">
      <c r="D45" s="1" t="e">
        <f t="shared" si="18"/>
        <v>#N/A</v>
      </c>
      <c r="E45" s="1" t="e">
        <f t="shared" si="19"/>
        <v>#N/A</v>
      </c>
      <c r="G45" s="1">
        <f t="shared" si="20"/>
        <v>1.0394611906164395E-4</v>
      </c>
      <c r="I45">
        <f t="shared" si="21"/>
        <v>43</v>
      </c>
      <c r="K45" s="1">
        <f t="shared" si="0"/>
        <v>5.4451089656212282E-5</v>
      </c>
      <c r="L45" s="1">
        <f t="shared" si="1"/>
        <v>2.3521672884855176E-5</v>
      </c>
      <c r="N45" s="1">
        <f t="shared" si="2"/>
        <v>4.6619669000068269</v>
      </c>
      <c r="O45" s="1">
        <f t="shared" si="3"/>
        <v>36.307367961113201</v>
      </c>
      <c r="Q45" s="1">
        <f t="shared" si="4"/>
        <v>8.7014124239548893E-7</v>
      </c>
      <c r="R45" s="1">
        <f t="shared" si="5"/>
        <v>3.1553469010592013E-7</v>
      </c>
      <c r="S45" s="1">
        <f t="shared" si="6"/>
        <v>6.4079884969143154E-8</v>
      </c>
      <c r="T45" s="1">
        <f t="shared" si="7"/>
        <v>2.1091727552156234E-8</v>
      </c>
      <c r="U45" s="1">
        <f t="shared" si="8"/>
        <v>2.9502518407117788E-10</v>
      </c>
      <c r="V45" s="1">
        <f t="shared" si="9"/>
        <v>8.1296061584226966E-11</v>
      </c>
      <c r="W45" s="1"/>
      <c r="X45" s="6">
        <f t="shared" si="10"/>
        <v>2.5376533561692027</v>
      </c>
      <c r="Y45" s="6">
        <f t="shared" si="11"/>
        <v>8.783656830439643</v>
      </c>
      <c r="AA45">
        <f t="shared" si="12"/>
        <v>2.9423960660020752E-3</v>
      </c>
      <c r="AB45">
        <f t="shared" si="13"/>
        <v>1.5677462767756916E-3</v>
      </c>
      <c r="AC45">
        <f t="shared" si="14"/>
        <v>5.6869589186225563E-4</v>
      </c>
      <c r="AD45">
        <f t="shared" si="15"/>
        <v>2.7603293596861994E-4</v>
      </c>
      <c r="AE45">
        <f t="shared" si="16"/>
        <v>1.6241544614785081E-2</v>
      </c>
      <c r="AF45">
        <f t="shared" si="17"/>
        <v>9.6828693662010072E-3</v>
      </c>
    </row>
    <row r="46" spans="4:32" x14ac:dyDescent="0.3">
      <c r="D46" s="1" t="e">
        <f t="shared" si="18"/>
        <v>#N/A</v>
      </c>
      <c r="E46" s="1" t="e">
        <f t="shared" si="19"/>
        <v>#N/A</v>
      </c>
      <c r="G46" s="1">
        <f t="shared" si="20"/>
        <v>1.7341189862898248E-4</v>
      </c>
      <c r="I46">
        <f t="shared" si="21"/>
        <v>44</v>
      </c>
      <c r="K46" s="1">
        <f t="shared" si="0"/>
        <v>8.670439426361129E-5</v>
      </c>
      <c r="L46" s="1">
        <f t="shared" si="1"/>
        <v>3.8282893224011917E-5</v>
      </c>
      <c r="N46" s="1">
        <f t="shared" si="2"/>
        <v>4.5039426755169272</v>
      </c>
      <c r="O46" s="1">
        <f t="shared" si="3"/>
        <v>33.500400065828373</v>
      </c>
      <c r="Q46" s="1">
        <f t="shared" si="4"/>
        <v>1.5317896542716742E-6</v>
      </c>
      <c r="R46" s="1">
        <f t="shared" si="5"/>
        <v>5.6792933075937444E-7</v>
      </c>
      <c r="S46" s="1">
        <f t="shared" si="6"/>
        <v>1.1925237675293426E-7</v>
      </c>
      <c r="T46" s="1">
        <f t="shared" si="7"/>
        <v>4.0137254841815342E-8</v>
      </c>
      <c r="U46" s="1">
        <f t="shared" si="8"/>
        <v>6.0800506190033875E-10</v>
      </c>
      <c r="V46" s="1">
        <f t="shared" si="9"/>
        <v>1.7134753580333216E-10</v>
      </c>
      <c r="W46" s="1"/>
      <c r="X46" s="6">
        <f t="shared" si="10"/>
        <v>2.4516358635026978</v>
      </c>
      <c r="Y46" s="6">
        <f t="shared" si="11"/>
        <v>8.1045813669510665</v>
      </c>
      <c r="AA46">
        <f t="shared" si="12"/>
        <v>4.1552807396121006E-3</v>
      </c>
      <c r="AB46">
        <f t="shared" si="13"/>
        <v>2.2614462892193688E-3</v>
      </c>
      <c r="AC46">
        <f t="shared" si="14"/>
        <v>8.470922523813075E-4</v>
      </c>
      <c r="AD46">
        <f t="shared" si="15"/>
        <v>4.2012292401665376E-4</v>
      </c>
      <c r="AE46">
        <f t="shared" si="16"/>
        <v>2.1512498545705458E-2</v>
      </c>
      <c r="AF46">
        <f t="shared" si="17"/>
        <v>1.309215477789037E-2</v>
      </c>
    </row>
    <row r="47" spans="4:32" x14ac:dyDescent="0.3">
      <c r="D47" s="1" t="e">
        <f t="shared" si="18"/>
        <v>#N/A</v>
      </c>
      <c r="E47" s="1" t="e">
        <f t="shared" si="19"/>
        <v>#N/A</v>
      </c>
      <c r="G47" s="1">
        <f t="shared" si="20"/>
        <v>2.8267841497771513E-4</v>
      </c>
      <c r="I47">
        <f t="shared" si="21"/>
        <v>45</v>
      </c>
      <c r="K47" s="1">
        <f t="shared" si="0"/>
        <v>1.3498130254662092E-4</v>
      </c>
      <c r="L47" s="1">
        <f t="shared" si="1"/>
        <v>6.0884157390947899E-5</v>
      </c>
      <c r="N47" s="1">
        <f t="shared" si="2"/>
        <v>4.3546484316145362</v>
      </c>
      <c r="O47" s="1">
        <f t="shared" si="3"/>
        <v>30.966388847036701</v>
      </c>
      <c r="Q47" s="1">
        <f t="shared" si="4"/>
        <v>2.6299375466787597E-6</v>
      </c>
      <c r="R47" s="1">
        <f t="shared" si="5"/>
        <v>9.9643364359629094E-7</v>
      </c>
      <c r="S47" s="1">
        <f t="shared" si="6"/>
        <v>2.1616010518059937E-7</v>
      </c>
      <c r="T47" s="1">
        <f t="shared" si="7"/>
        <v>7.4356332887257477E-8</v>
      </c>
      <c r="U47" s="1">
        <f t="shared" si="8"/>
        <v>1.217534242227955E-9</v>
      </c>
      <c r="V47" s="1">
        <f t="shared" si="9"/>
        <v>3.5074023241753198E-10</v>
      </c>
      <c r="W47" s="1"/>
      <c r="X47" s="6">
        <f t="shared" si="10"/>
        <v>2.3703703703703698</v>
      </c>
      <c r="Y47" s="6">
        <f t="shared" si="11"/>
        <v>7.4915409236396853</v>
      </c>
      <c r="AA47">
        <f t="shared" si="12"/>
        <v>5.7550120147769595E-3</v>
      </c>
      <c r="AB47">
        <f t="shared" si="13"/>
        <v>3.1973886164727121E-3</v>
      </c>
      <c r="AC47">
        <f t="shared" si="14"/>
        <v>1.2357024266122976E-3</v>
      </c>
      <c r="AD47">
        <f t="shared" si="15"/>
        <v>6.258693021164957E-4</v>
      </c>
      <c r="AE47">
        <f t="shared" si="16"/>
        <v>2.7995674914997961E-2</v>
      </c>
      <c r="AF47">
        <f t="shared" si="17"/>
        <v>1.7381731197722253E-2</v>
      </c>
    </row>
    <row r="48" spans="4:32" x14ac:dyDescent="0.3">
      <c r="D48" s="1" t="e">
        <f t="shared" si="18"/>
        <v>#N/A</v>
      </c>
      <c r="E48" s="1" t="e">
        <f t="shared" si="19"/>
        <v>#N/A</v>
      </c>
      <c r="G48" s="1">
        <f t="shared" si="20"/>
        <v>4.5083792315345206E-4</v>
      </c>
      <c r="I48">
        <f t="shared" si="21"/>
        <v>46</v>
      </c>
      <c r="K48" s="1">
        <f t="shared" si="0"/>
        <v>2.0571308682042872E-4</v>
      </c>
      <c r="L48" s="1">
        <f t="shared" si="1"/>
        <v>9.4740173489865626E-5</v>
      </c>
      <c r="N48" s="1">
        <f t="shared" si="2"/>
        <v>4.213423581324772</v>
      </c>
      <c r="O48" s="1">
        <f t="shared" si="3"/>
        <v>28.67358202791905</v>
      </c>
      <c r="Q48" s="1">
        <f t="shared" si="4"/>
        <v>4.4099144459012436E-6</v>
      </c>
      <c r="R48" s="1">
        <f t="shared" si="5"/>
        <v>1.7065560123254485E-6</v>
      </c>
      <c r="S48" s="1">
        <f t="shared" si="6"/>
        <v>3.8218441234548808E-7</v>
      </c>
      <c r="T48" s="1">
        <f t="shared" si="7"/>
        <v>1.3429459294254899E-7</v>
      </c>
      <c r="U48" s="1">
        <f t="shared" si="8"/>
        <v>2.3727462203226242E-9</v>
      </c>
      <c r="V48" s="1">
        <f t="shared" si="9"/>
        <v>6.9834928955269331E-10</v>
      </c>
      <c r="W48" s="1"/>
      <c r="X48" s="6">
        <f t="shared" si="10"/>
        <v>2.2934972987679543</v>
      </c>
      <c r="Y48" s="6">
        <f t="shared" si="11"/>
        <v>6.9368538337026964</v>
      </c>
      <c r="AA48">
        <f t="shared" si="12"/>
        <v>7.8260953124683289E-3</v>
      </c>
      <c r="AB48">
        <f t="shared" si="13"/>
        <v>4.4362762182043715E-3</v>
      </c>
      <c r="AC48">
        <f t="shared" si="14"/>
        <v>1.7674970647608768E-3</v>
      </c>
      <c r="AD48">
        <f t="shared" si="15"/>
        <v>9.1373659689153409E-4</v>
      </c>
      <c r="AE48">
        <f t="shared" si="16"/>
        <v>3.5835016740248374E-2</v>
      </c>
      <c r="AF48">
        <f t="shared" si="17"/>
        <v>2.2684966205611973E-2</v>
      </c>
    </row>
    <row r="49" spans="4:32" x14ac:dyDescent="0.3">
      <c r="D49" s="1" t="e">
        <f t="shared" si="18"/>
        <v>#N/A</v>
      </c>
      <c r="E49" s="1" t="e">
        <f t="shared" si="19"/>
        <v>#N/A</v>
      </c>
      <c r="G49" s="1">
        <f t="shared" si="20"/>
        <v>7.0435467898373114E-4</v>
      </c>
      <c r="I49">
        <f t="shared" si="21"/>
        <v>47</v>
      </c>
      <c r="K49" s="1">
        <f t="shared" si="0"/>
        <v>3.0727196955907823E-4</v>
      </c>
      <c r="L49" s="1">
        <f t="shared" si="1"/>
        <v>1.4441760879614835E-4</v>
      </c>
      <c r="N49" s="1">
        <f t="shared" si="2"/>
        <v>4.0796704439334173</v>
      </c>
      <c r="O49" s="1">
        <f t="shared" si="3"/>
        <v>26.594501762173483</v>
      </c>
      <c r="Q49" s="1">
        <f t="shared" si="4"/>
        <v>7.2312101121688032E-6</v>
      </c>
      <c r="R49" s="1">
        <f t="shared" si="5"/>
        <v>2.8567846083157421E-6</v>
      </c>
      <c r="S49" s="1">
        <f t="shared" si="6"/>
        <v>6.5999347045610909E-7</v>
      </c>
      <c r="T49" s="1">
        <f t="shared" si="7"/>
        <v>2.3678749870363095E-7</v>
      </c>
      <c r="U49" s="1">
        <f t="shared" si="8"/>
        <v>4.5065003456548515E-9</v>
      </c>
      <c r="V49" s="1">
        <f t="shared" si="9"/>
        <v>1.3544726598578517E-9</v>
      </c>
      <c r="W49" s="1"/>
      <c r="X49" s="6">
        <f t="shared" si="10"/>
        <v>2.220691312522356</v>
      </c>
      <c r="Y49" s="6">
        <f t="shared" si="11"/>
        <v>6.4338725215677117</v>
      </c>
      <c r="AA49">
        <f t="shared" si="12"/>
        <v>1.0460831548304459E-2</v>
      </c>
      <c r="AB49">
        <f t="shared" si="13"/>
        <v>6.0469053902063455E-3</v>
      </c>
      <c r="AC49">
        <f t="shared" si="14"/>
        <v>2.4817340755639117E-3</v>
      </c>
      <c r="AD49">
        <f t="shared" si="15"/>
        <v>1.3088420037555752E-3</v>
      </c>
      <c r="AE49">
        <f t="shared" si="16"/>
        <v>4.5163299849355569E-2</v>
      </c>
      <c r="AF49">
        <f t="shared" si="17"/>
        <v>2.9133920897404603E-2</v>
      </c>
    </row>
    <row r="50" spans="4:32" x14ac:dyDescent="0.3">
      <c r="D50" s="1" t="e">
        <f t="shared" si="18"/>
        <v>#N/A</v>
      </c>
      <c r="E50" s="1" t="e">
        <f t="shared" si="19"/>
        <v>#N/A</v>
      </c>
      <c r="G50" s="1">
        <f t="shared" si="20"/>
        <v>1.0791870889113563E-3</v>
      </c>
      <c r="I50">
        <f t="shared" si="21"/>
        <v>48</v>
      </c>
      <c r="K50" s="1">
        <f t="shared" si="0"/>
        <v>4.5033578808841257E-4</v>
      </c>
      <c r="L50" s="1">
        <f t="shared" si="1"/>
        <v>2.1589881694536491E-4</v>
      </c>
      <c r="N50" s="1">
        <f t="shared" si="2"/>
        <v>3.9528470752104727</v>
      </c>
      <c r="O50" s="1">
        <f t="shared" si="3"/>
        <v>24.705294220065458</v>
      </c>
      <c r="Q50" s="1">
        <f t="shared" si="4"/>
        <v>1.160929174145217E-5</v>
      </c>
      <c r="R50" s="1">
        <f t="shared" si="5"/>
        <v>4.6799965149279635E-6</v>
      </c>
      <c r="S50" s="1">
        <f t="shared" si="6"/>
        <v>1.1145885521503829E-6</v>
      </c>
      <c r="T50" s="1">
        <f t="shared" si="7"/>
        <v>4.0809966018448673E-7</v>
      </c>
      <c r="U50" s="1">
        <f t="shared" si="8"/>
        <v>8.3526347484318184E-9</v>
      </c>
      <c r="V50" s="1">
        <f t="shared" si="9"/>
        <v>2.5625051681591032E-9</v>
      </c>
      <c r="W50" s="1"/>
      <c r="X50" s="6">
        <f t="shared" si="10"/>
        <v>2.1516574145596756</v>
      </c>
      <c r="Y50" s="6">
        <f t="shared" si="11"/>
        <v>5.9768261515546541</v>
      </c>
      <c r="AA50">
        <f t="shared" si="12"/>
        <v>1.3757667572379631E-2</v>
      </c>
      <c r="AB50">
        <f t="shared" si="13"/>
        <v>8.1055453543928818E-3</v>
      </c>
      <c r="AC50">
        <f t="shared" si="14"/>
        <v>3.4241939211222855E-3</v>
      </c>
      <c r="AD50">
        <f t="shared" si="15"/>
        <v>1.8413871101374847E-3</v>
      </c>
      <c r="AE50">
        <f t="shared" si="16"/>
        <v>5.6096787909261946E-2</v>
      </c>
      <c r="AF50">
        <f t="shared" si="17"/>
        <v>3.6854912861482687E-2</v>
      </c>
    </row>
    <row r="51" spans="4:32" x14ac:dyDescent="0.3">
      <c r="D51" s="1" t="e">
        <f t="shared" si="18"/>
        <v>#N/A</v>
      </c>
      <c r="E51" s="1" t="e">
        <f t="shared" si="19"/>
        <v>#N/A</v>
      </c>
      <c r="G51" s="1">
        <f t="shared" si="20"/>
        <v>1.6232788931468227E-3</v>
      </c>
      <c r="I51">
        <f t="shared" si="21"/>
        <v>49</v>
      </c>
      <c r="K51" s="1">
        <f t="shared" si="0"/>
        <v>6.4825887039439683E-4</v>
      </c>
      <c r="L51" s="1">
        <f t="shared" si="1"/>
        <v>3.1686788675612499E-4</v>
      </c>
      <c r="N51" s="1">
        <f t="shared" si="2"/>
        <v>3.8324610437679252</v>
      </c>
      <c r="O51" s="1">
        <f t="shared" si="3"/>
        <v>22.985189100482348</v>
      </c>
      <c r="Q51" s="1">
        <f t="shared" si="4"/>
        <v>1.8268209730879702E-5</v>
      </c>
      <c r="R51" s="1">
        <f t="shared" si="5"/>
        <v>7.5112835162480556E-6</v>
      </c>
      <c r="S51" s="1">
        <f t="shared" si="6"/>
        <v>1.842889200141712E-6</v>
      </c>
      <c r="T51" s="1">
        <f t="shared" si="7"/>
        <v>6.8831990919199341E-7</v>
      </c>
      <c r="U51" s="1">
        <f t="shared" si="8"/>
        <v>1.5126604604103471E-8</v>
      </c>
      <c r="V51" s="1">
        <f t="shared" si="9"/>
        <v>4.7348058049935661E-9</v>
      </c>
      <c r="W51" s="1"/>
      <c r="X51" s="6">
        <f t="shared" si="10"/>
        <v>2.0861275591834767</v>
      </c>
      <c r="Y51" s="6">
        <f t="shared" si="11"/>
        <v>5.5606898703766143</v>
      </c>
      <c r="AA51">
        <f t="shared" si="12"/>
        <v>1.7819092570737247E-2</v>
      </c>
      <c r="AB51">
        <f t="shared" si="13"/>
        <v>1.0694920154366383E-2</v>
      </c>
      <c r="AC51">
        <f t="shared" si="14"/>
        <v>4.6471934879403591E-3</v>
      </c>
      <c r="AD51">
        <f t="shared" si="15"/>
        <v>2.5469758800936299E-3</v>
      </c>
      <c r="AE51">
        <f t="shared" si="16"/>
        <v>6.8730342253458837E-2</v>
      </c>
      <c r="AF51">
        <f t="shared" si="17"/>
        <v>4.5964010137109622E-2</v>
      </c>
    </row>
    <row r="52" spans="4:32" x14ac:dyDescent="0.3">
      <c r="D52" s="1" t="e">
        <f t="shared" si="18"/>
        <v>#N/A</v>
      </c>
      <c r="E52" s="1" t="e">
        <f t="shared" si="19"/>
        <v>#N/A</v>
      </c>
      <c r="G52" s="1">
        <f t="shared" si="20"/>
        <v>2.3994175533096421E-3</v>
      </c>
      <c r="I52">
        <f t="shared" si="21"/>
        <v>50</v>
      </c>
      <c r="K52" s="1">
        <f t="shared" si="0"/>
        <v>9.1743260394515119E-4</v>
      </c>
      <c r="L52" s="1">
        <f t="shared" si="1"/>
        <v>4.5701080648094782E-4</v>
      </c>
      <c r="N52" s="1">
        <f t="shared" si="2"/>
        <v>3.7180640123591182</v>
      </c>
      <c r="O52" s="1">
        <f t="shared" si="3"/>
        <v>21.41604871118852</v>
      </c>
      <c r="Q52" s="1">
        <f t="shared" si="4"/>
        <v>2.8205272883515916E-5</v>
      </c>
      <c r="R52" s="1">
        <f t="shared" si="5"/>
        <v>1.1823316928607766E-5</v>
      </c>
      <c r="S52" s="1">
        <f t="shared" si="6"/>
        <v>2.9864876524010504E-6</v>
      </c>
      <c r="T52" s="1">
        <f t="shared" si="7"/>
        <v>1.1373802769172456E-6</v>
      </c>
      <c r="U52" s="1">
        <f t="shared" si="8"/>
        <v>2.679752492646637E-8</v>
      </c>
      <c r="V52" s="1">
        <f t="shared" si="9"/>
        <v>8.5544370340941452E-9</v>
      </c>
      <c r="W52" s="1"/>
      <c r="X52" s="6">
        <f t="shared" si="10"/>
        <v>2.0238577025077626</v>
      </c>
      <c r="Y52" s="6">
        <f t="shared" si="11"/>
        <v>5.1810757184198728</v>
      </c>
      <c r="AA52">
        <f t="shared" si="12"/>
        <v>2.2749152233532584E-2</v>
      </c>
      <c r="AB52">
        <f t="shared" si="13"/>
        <v>1.3902803796273839E-2</v>
      </c>
      <c r="AC52">
        <f t="shared" si="14"/>
        <v>6.209347260441719E-3</v>
      </c>
      <c r="AD52">
        <f t="shared" si="15"/>
        <v>3.4667847070069002E-3</v>
      </c>
      <c r="AE52">
        <f t="shared" si="16"/>
        <v>8.3133247389647266E-2</v>
      </c>
      <c r="AF52">
        <f t="shared" si="17"/>
        <v>5.6562688592755796E-2</v>
      </c>
    </row>
    <row r="53" spans="4:32" x14ac:dyDescent="0.3">
      <c r="D53" s="1" t="e">
        <f t="shared" si="18"/>
        <v>#N/A</v>
      </c>
      <c r="E53" s="1" t="e">
        <f t="shared" si="19"/>
        <v>#N/A</v>
      </c>
      <c r="G53" s="1">
        <f t="shared" si="20"/>
        <v>3.4884403123105479E-3</v>
      </c>
      <c r="I53">
        <f>+I52+1</f>
        <v>51</v>
      </c>
      <c r="K53" s="1">
        <f t="shared" si="0"/>
        <v>1.2776169461878996E-3</v>
      </c>
      <c r="L53" s="1">
        <f t="shared" si="1"/>
        <v>6.4831913684379548E-4</v>
      </c>
      <c r="N53" s="1">
        <f t="shared" si="2"/>
        <v>3.6092470063405662</v>
      </c>
      <c r="O53" s="1">
        <f t="shared" si="3"/>
        <v>19.981990346522164</v>
      </c>
      <c r="Q53" s="1">
        <f t="shared" si="4"/>
        <v>4.2768794194211969E-5</v>
      </c>
      <c r="R53" s="1">
        <f t="shared" si="5"/>
        <v>1.8270328551257164E-5</v>
      </c>
      <c r="S53" s="1">
        <f t="shared" si="6"/>
        <v>4.7482642032338097E-6</v>
      </c>
      <c r="T53" s="1">
        <f t="shared" si="7"/>
        <v>1.8431265280689045E-6</v>
      </c>
      <c r="U53" s="1">
        <f t="shared" si="8"/>
        <v>4.6489101110128096E-8</v>
      </c>
      <c r="V53" s="1">
        <f t="shared" si="9"/>
        <v>1.5128908713341578E-8</v>
      </c>
      <c r="W53" s="1"/>
      <c r="X53" s="6">
        <f t="shared" si="10"/>
        <v>1.9646252269338018</v>
      </c>
      <c r="Y53" s="6">
        <f t="shared" si="11"/>
        <v>4.8341412735010882</v>
      </c>
      <c r="AA53">
        <f t="shared" si="12"/>
        <v>2.865067821472797E-2</v>
      </c>
      <c r="AB53">
        <f t="shared" si="13"/>
        <v>1.7820263241407418E-2</v>
      </c>
      <c r="AC53">
        <f t="shared" si="14"/>
        <v>8.1750563286935723E-3</v>
      </c>
      <c r="AD53">
        <f t="shared" si="15"/>
        <v>4.6475548292301593E-3</v>
      </c>
      <c r="AE53">
        <f t="shared" si="16"/>
        <v>9.9345961421302129E-2</v>
      </c>
      <c r="AF53">
        <f t="shared" si="17"/>
        <v>6.8733873521170955E-2</v>
      </c>
    </row>
    <row r="54" spans="4:32" x14ac:dyDescent="0.3">
      <c r="D54" s="1" t="e">
        <f t="shared" si="18"/>
        <v>#N/A</v>
      </c>
      <c r="E54" s="1" t="e">
        <f t="shared" si="19"/>
        <v>#N/A</v>
      </c>
      <c r="G54" s="1">
        <f t="shared" si="20"/>
        <v>4.9927489071568687E-3</v>
      </c>
      <c r="I54">
        <f t="shared" ref="I54:I117" si="22">+I53+1</f>
        <v>52</v>
      </c>
      <c r="K54" s="1">
        <f t="shared" si="0"/>
        <v>1.7522228265699302E-3</v>
      </c>
      <c r="L54" s="1">
        <f t="shared" si="1"/>
        <v>9.0538450405572843E-4</v>
      </c>
      <c r="N54" s="1">
        <f t="shared" si="2"/>
        <v>3.5056362706742288</v>
      </c>
      <c r="O54" s="1">
        <f t="shared" si="3"/>
        <v>18.669068897081683</v>
      </c>
      <c r="Q54" s="1">
        <f t="shared" si="4"/>
        <v>6.3749498959222778E-5</v>
      </c>
      <c r="R54" s="1">
        <f t="shared" si="5"/>
        <v>2.7741661403064781E-5</v>
      </c>
      <c r="S54" s="1">
        <f t="shared" si="6"/>
        <v>7.4135938468825088E-6</v>
      </c>
      <c r="T54" s="1">
        <f t="shared" si="7"/>
        <v>2.9319220533624358E-6</v>
      </c>
      <c r="U54" s="1">
        <f t="shared" si="8"/>
        <v>7.9058436486100296E-8</v>
      </c>
      <c r="V54" s="1">
        <f t="shared" si="9"/>
        <v>2.6217707931922959E-8</v>
      </c>
      <c r="W54" s="1"/>
      <c r="X54" s="6">
        <f t="shared" si="10"/>
        <v>1.9082266859878223</v>
      </c>
      <c r="Y54" s="6">
        <f t="shared" si="11"/>
        <v>4.5165128662433673</v>
      </c>
      <c r="AA54">
        <f t="shared" si="12"/>
        <v>3.5622349442744658E-2</v>
      </c>
      <c r="AB54">
        <f t="shared" si="13"/>
        <v>2.2539605701555526E-2</v>
      </c>
      <c r="AC54">
        <f t="shared" si="14"/>
        <v>1.0613719533783083E-2</v>
      </c>
      <c r="AD54">
        <f t="shared" si="15"/>
        <v>6.1413842177723815E-3</v>
      </c>
      <c r="AE54">
        <f t="shared" si="16"/>
        <v>0.11737793736165314</v>
      </c>
      <c r="AF54">
        <f t="shared" si="17"/>
        <v>8.2538559587976901E-2</v>
      </c>
    </row>
    <row r="55" spans="4:32" x14ac:dyDescent="0.3">
      <c r="D55" s="1" t="e">
        <f t="shared" si="18"/>
        <v>#N/A</v>
      </c>
      <c r="E55" s="1" t="e">
        <f t="shared" si="19"/>
        <v>#N/A</v>
      </c>
      <c r="G55" s="1">
        <f t="shared" si="20"/>
        <v>7.0400736731369706E-3</v>
      </c>
      <c r="I55">
        <f t="shared" si="22"/>
        <v>53</v>
      </c>
      <c r="K55" s="1">
        <f t="shared" si="0"/>
        <v>2.3685252013891452E-3</v>
      </c>
      <c r="L55" s="1">
        <f t="shared" si="1"/>
        <v>1.2456696454977963E-3</v>
      </c>
      <c r="N55" s="1">
        <f t="shared" si="2"/>
        <v>3.406889632588431</v>
      </c>
      <c r="O55" s="1">
        <f t="shared" si="3"/>
        <v>17.46500915246472</v>
      </c>
      <c r="Q55" s="1">
        <f t="shared" si="4"/>
        <v>9.3485650904132612E-5</v>
      </c>
      <c r="R55" s="1">
        <f t="shared" si="5"/>
        <v>4.142563356598838E-5</v>
      </c>
      <c r="S55" s="1">
        <f t="shared" si="6"/>
        <v>1.1376882034574421E-5</v>
      </c>
      <c r="T55" s="1">
        <f t="shared" si="7"/>
        <v>4.582310539262224E-6</v>
      </c>
      <c r="U55" s="1">
        <f t="shared" si="8"/>
        <v>1.3191530652540808E-7</v>
      </c>
      <c r="V55" s="1">
        <f t="shared" si="9"/>
        <v>4.4562379133000753E-8</v>
      </c>
      <c r="W55" s="1"/>
      <c r="X55" s="6">
        <f t="shared" si="10"/>
        <v>1.8544758244043809</v>
      </c>
      <c r="Y55" s="6">
        <f t="shared" si="11"/>
        <v>4.2252208174396726</v>
      </c>
      <c r="AA55">
        <f t="shared" si="12"/>
        <v>4.3755712948085744E-2</v>
      </c>
      <c r="AB55">
        <f t="shared" si="13"/>
        <v>2.8152105063271458E-2</v>
      </c>
      <c r="AC55">
        <f t="shared" si="14"/>
        <v>1.359867579004825E-2</v>
      </c>
      <c r="AD55">
        <f t="shared" si="15"/>
        <v>8.0053047701296228E-3</v>
      </c>
      <c r="AE55">
        <f t="shared" si="16"/>
        <v>0.13720659260116119</v>
      </c>
      <c r="AF55">
        <f t="shared" si="17"/>
        <v>9.8013164834676869E-2</v>
      </c>
    </row>
    <row r="56" spans="4:32" x14ac:dyDescent="0.3">
      <c r="D56" s="1" t="e">
        <f t="shared" si="18"/>
        <v>#N/A</v>
      </c>
      <c r="E56" s="1" t="e">
        <f t="shared" si="19"/>
        <v>#N/A</v>
      </c>
      <c r="G56" s="1">
        <f t="shared" si="20"/>
        <v>9.7874079453318386E-3</v>
      </c>
      <c r="I56">
        <f t="shared" si="22"/>
        <v>54</v>
      </c>
      <c r="K56" s="1">
        <f t="shared" si="0"/>
        <v>3.1577875391597013E-3</v>
      </c>
      <c r="L56" s="1">
        <f t="shared" si="1"/>
        <v>1.6897408241303975E-3</v>
      </c>
      <c r="N56" s="1">
        <f t="shared" si="2"/>
        <v>3.3126932999996876</v>
      </c>
      <c r="O56" s="1">
        <f t="shared" si="3"/>
        <v>16.358979259257715</v>
      </c>
      <c r="Q56" s="1">
        <f t="shared" si="4"/>
        <v>1.3498130254662092E-4</v>
      </c>
      <c r="R56" s="1">
        <f t="shared" si="5"/>
        <v>6.0884157390947899E-5</v>
      </c>
      <c r="S56" s="1">
        <f t="shared" si="6"/>
        <v>1.7174135655352391E-5</v>
      </c>
      <c r="T56" s="1">
        <f t="shared" si="7"/>
        <v>7.042290294211278E-6</v>
      </c>
      <c r="U56" s="1">
        <f t="shared" si="8"/>
        <v>2.1616010518059937E-7</v>
      </c>
      <c r="V56" s="1">
        <f t="shared" si="9"/>
        <v>7.4356332887257477E-8</v>
      </c>
      <c r="W56" s="1"/>
      <c r="X56" s="6">
        <f t="shared" si="10"/>
        <v>1.8032018354079538</v>
      </c>
      <c r="Y56" s="6">
        <f t="shared" si="11"/>
        <v>3.9576446318967431</v>
      </c>
      <c r="AA56">
        <f t="shared" si="12"/>
        <v>5.3132294571672213E-2</v>
      </c>
      <c r="AB56">
        <f t="shared" si="13"/>
        <v>3.4745595898136056E-2</v>
      </c>
      <c r="AC56">
        <f t="shared" si="14"/>
        <v>1.7205901257852745E-2</v>
      </c>
      <c r="AD56">
        <f t="shared" si="15"/>
        <v>1.0300640705599095E-2</v>
      </c>
      <c r="AE56">
        <f t="shared" si="16"/>
        <v>0.15877743546210796</v>
      </c>
      <c r="AF56">
        <f t="shared" si="17"/>
        <v>0.1151677281472737</v>
      </c>
    </row>
    <row r="57" spans="4:32" x14ac:dyDescent="0.3">
      <c r="D57" s="1" t="e">
        <f t="shared" si="18"/>
        <v>#N/A</v>
      </c>
      <c r="E57" s="1" t="e">
        <f t="shared" si="19"/>
        <v>#N/A</v>
      </c>
      <c r="G57" s="1">
        <f t="shared" si="20"/>
        <v>1.3425015455323958E-2</v>
      </c>
      <c r="I57">
        <f t="shared" si="22"/>
        <v>55</v>
      </c>
      <c r="K57" s="1">
        <f t="shared" si="0"/>
        <v>4.1552807396121006E-3</v>
      </c>
      <c r="L57" s="1">
        <f t="shared" si="1"/>
        <v>2.2614462892193688E-3</v>
      </c>
      <c r="N57" s="1">
        <f t="shared" si="2"/>
        <v>3.2227590365498009</v>
      </c>
      <c r="O57" s="1">
        <f t="shared" si="3"/>
        <v>15.341398388865166</v>
      </c>
      <c r="Q57" s="1">
        <f t="shared" si="4"/>
        <v>1.920363365612158E-4</v>
      </c>
      <c r="R57" s="1">
        <f t="shared" si="5"/>
        <v>8.8138166801798382E-5</v>
      </c>
      <c r="S57" s="1">
        <f t="shared" si="6"/>
        <v>2.5522197646146374E-5</v>
      </c>
      <c r="T57" s="1">
        <f t="shared" si="7"/>
        <v>1.0650758689453577E-5</v>
      </c>
      <c r="U57" s="1">
        <f t="shared" si="8"/>
        <v>3.4813605864693601E-7</v>
      </c>
      <c r="V57" s="1">
        <f t="shared" si="9"/>
        <v>1.219014393748156E-7</v>
      </c>
      <c r="W57" s="1"/>
      <c r="X57" s="6">
        <f t="shared" si="10"/>
        <v>1.7542478229978973</v>
      </c>
      <c r="Y57" s="6">
        <f t="shared" si="11"/>
        <v>3.7114664684914191</v>
      </c>
      <c r="AA57">
        <f t="shared" si="12"/>
        <v>6.3820924457033038E-2</v>
      </c>
      <c r="AB57">
        <f t="shared" si="13"/>
        <v>4.2402031588428042E-2</v>
      </c>
      <c r="AC57">
        <f t="shared" si="14"/>
        <v>2.1512498545705458E-2</v>
      </c>
      <c r="AD57">
        <f t="shared" si="15"/>
        <v>1.309215477789037E-2</v>
      </c>
      <c r="AE57">
        <f t="shared" si="16"/>
        <v>0.18200529487704187</v>
      </c>
      <c r="AF57">
        <f t="shared" si="17"/>
        <v>0.13398500959213649</v>
      </c>
    </row>
    <row r="58" spans="4:32" x14ac:dyDescent="0.3">
      <c r="D58" s="1" t="e">
        <f t="shared" si="18"/>
        <v>#N/A</v>
      </c>
      <c r="E58" s="1" t="e">
        <f t="shared" si="19"/>
        <v>#N/A</v>
      </c>
      <c r="G58" s="1">
        <f t="shared" si="20"/>
        <v>1.8180398010283261E-2</v>
      </c>
      <c r="I58">
        <f t="shared" si="22"/>
        <v>56</v>
      </c>
      <c r="K58" s="1">
        <f t="shared" si="0"/>
        <v>5.4001828370714424E-3</v>
      </c>
      <c r="L58" s="1">
        <f t="shared" si="1"/>
        <v>2.9880261642968565E-3</v>
      </c>
      <c r="N58" s="1">
        <f t="shared" si="2"/>
        <v>3.1368216630488552</v>
      </c>
      <c r="O58" s="1">
        <f t="shared" si="3"/>
        <v>14.403772942571276</v>
      </c>
      <c r="Q58" s="1">
        <f t="shared" si="4"/>
        <v>2.6938616829620178E-4</v>
      </c>
      <c r="R58" s="1">
        <f t="shared" si="5"/>
        <v>1.2576343632043953E-4</v>
      </c>
      <c r="S58" s="1">
        <f t="shared" si="6"/>
        <v>3.7365145140463469E-5</v>
      </c>
      <c r="T58" s="1">
        <f t="shared" si="7"/>
        <v>1.5863663476101462E-5</v>
      </c>
      <c r="U58" s="1">
        <f t="shared" si="8"/>
        <v>5.5151003582977043E-7</v>
      </c>
      <c r="V58" s="1">
        <f t="shared" si="9"/>
        <v>1.965097518306494E-7</v>
      </c>
      <c r="W58" s="1"/>
      <c r="X58" s="6">
        <f t="shared" si="10"/>
        <v>1.7074694419062764</v>
      </c>
      <c r="Y58" s="6">
        <f t="shared" si="11"/>
        <v>3.4846315140944415</v>
      </c>
      <c r="AA58">
        <f t="shared" si="12"/>
        <v>7.5875389491867534E-2</v>
      </c>
      <c r="AB58">
        <f t="shared" si="13"/>
        <v>5.1195105289887979E-2</v>
      </c>
      <c r="AC58">
        <f t="shared" si="14"/>
        <v>2.6595026593737539E-2</v>
      </c>
      <c r="AD58">
        <f t="shared" si="15"/>
        <v>1.6446999584280534E-2</v>
      </c>
      <c r="AE58">
        <f t="shared" si="16"/>
        <v>0.20677654565179621</v>
      </c>
      <c r="AF58">
        <f t="shared" si="17"/>
        <v>0.15442050322526796</v>
      </c>
    </row>
    <row r="59" spans="4:32" x14ac:dyDescent="0.3">
      <c r="D59" s="1" t="e">
        <f t="shared" si="18"/>
        <v>#N/A</v>
      </c>
      <c r="E59" s="1" t="e">
        <f t="shared" si="19"/>
        <v>#N/A</v>
      </c>
      <c r="G59" s="1">
        <f t="shared" si="20"/>
        <v>2.4322099171987077E-2</v>
      </c>
      <c r="I59">
        <f t="shared" si="22"/>
        <v>57</v>
      </c>
      <c r="K59" s="1">
        <f t="shared" si="0"/>
        <v>6.9353501388724004E-3</v>
      </c>
      <c r="L59" s="1">
        <f t="shared" si="1"/>
        <v>3.9001406935920669E-3</v>
      </c>
      <c r="N59" s="1">
        <f t="shared" si="2"/>
        <v>3.0546368425684687</v>
      </c>
      <c r="O59" s="1">
        <f t="shared" si="3"/>
        <v>13.538556642962741</v>
      </c>
      <c r="Q59" s="1">
        <f t="shared" si="4"/>
        <v>3.7284816618583512E-4</v>
      </c>
      <c r="R59" s="1">
        <f t="shared" si="5"/>
        <v>1.7699584221381417E-4</v>
      </c>
      <c r="S59" s="1">
        <f t="shared" si="6"/>
        <v>5.392816958867757E-5</v>
      </c>
      <c r="T59" s="1">
        <f t="shared" si="7"/>
        <v>2.3285344166242748E-5</v>
      </c>
      <c r="U59" s="1">
        <f t="shared" si="8"/>
        <v>8.6001572921963184E-7</v>
      </c>
      <c r="V59" s="1">
        <f t="shared" si="9"/>
        <v>3.1172124916176357E-7</v>
      </c>
      <c r="W59" s="1"/>
      <c r="X59" s="6">
        <f t="shared" si="10"/>
        <v>1.6627336919553466</v>
      </c>
      <c r="Y59" s="6">
        <f t="shared" si="11"/>
        <v>3.2753141362001279</v>
      </c>
      <c r="AA59">
        <f t="shared" si="12"/>
        <v>8.9332506213167073E-2</v>
      </c>
      <c r="AB59">
        <f t="shared" si="13"/>
        <v>6.118802891746674E-2</v>
      </c>
      <c r="AC59">
        <f t="shared" si="14"/>
        <v>3.2527728623287462E-2</v>
      </c>
      <c r="AD59">
        <f t="shared" si="15"/>
        <v>2.0433501163701309E-2</v>
      </c>
      <c r="AE59">
        <f t="shared" si="16"/>
        <v>0.23295218009952234</v>
      </c>
      <c r="AF59">
        <f t="shared" si="17"/>
        <v>0.17640332581220575</v>
      </c>
    </row>
    <row r="60" spans="4:32" x14ac:dyDescent="0.3">
      <c r="D60" s="1" t="e">
        <f t="shared" si="18"/>
        <v>#N/A</v>
      </c>
      <c r="E60" s="1" t="e">
        <f t="shared" si="19"/>
        <v>#N/A</v>
      </c>
      <c r="G60" s="1">
        <f t="shared" si="20"/>
        <v>3.2163212762931381E-2</v>
      </c>
      <c r="I60">
        <f t="shared" si="22"/>
        <v>58</v>
      </c>
      <c r="K60" s="1">
        <f t="shared" si="0"/>
        <v>8.8069554637979063E-3</v>
      </c>
      <c r="L60" s="1">
        <f t="shared" si="1"/>
        <v>5.0318061217311284E-3</v>
      </c>
      <c r="N60" s="1">
        <f t="shared" si="2"/>
        <v>2.9759791126679014</v>
      </c>
      <c r="O60" s="1">
        <f t="shared" si="3"/>
        <v>12.739030684428588</v>
      </c>
      <c r="Q60" s="1">
        <f t="shared" si="4"/>
        <v>5.0947106205093129E-4</v>
      </c>
      <c r="R60" s="1">
        <f t="shared" si="5"/>
        <v>2.458445404036906E-4</v>
      </c>
      <c r="S60" s="1">
        <f t="shared" si="6"/>
        <v>7.6779023750349646E-5</v>
      </c>
      <c r="T60" s="1">
        <f t="shared" si="7"/>
        <v>3.3705457858299041E-5</v>
      </c>
      <c r="U60" s="1">
        <f t="shared" si="8"/>
        <v>1.3210122936251444E-6</v>
      </c>
      <c r="V60" s="1">
        <f t="shared" si="9"/>
        <v>4.8692200830871074E-7</v>
      </c>
      <c r="W60" s="1"/>
      <c r="X60" s="6">
        <f t="shared" si="10"/>
        <v>1.6199178469371129</v>
      </c>
      <c r="Y60" s="6">
        <f t="shared" si="11"/>
        <v>3.0818888883464699</v>
      </c>
      <c r="AA60">
        <f t="shared" si="12"/>
        <v>0.1042106847970086</v>
      </c>
      <c r="AB60">
        <f t="shared" si="13"/>
        <v>7.2431556640269429E-2</v>
      </c>
      <c r="AC60">
        <f t="shared" si="14"/>
        <v>3.9380721058774548E-2</v>
      </c>
      <c r="AD60">
        <f t="shared" si="15"/>
        <v>2.5119810624071742E-2</v>
      </c>
      <c r="AE60">
        <f t="shared" si="16"/>
        <v>0.26037154833098097</v>
      </c>
      <c r="AF60">
        <f t="shared" si="17"/>
        <v>0.19983790503042118</v>
      </c>
    </row>
    <row r="61" spans="4:32" x14ac:dyDescent="0.3">
      <c r="D61" s="1" t="e">
        <f t="shared" si="18"/>
        <v>#N/A</v>
      </c>
      <c r="E61" s="1" t="e">
        <f t="shared" si="19"/>
        <v>#N/A</v>
      </c>
      <c r="G61" s="1">
        <f t="shared" si="20"/>
        <v>4.2064463390275142E-2</v>
      </c>
      <c r="I61">
        <f t="shared" si="22"/>
        <v>59</v>
      </c>
      <c r="K61" s="1">
        <f t="shared" si="0"/>
        <v>1.1063994588625184E-2</v>
      </c>
      <c r="L61" s="1">
        <f t="shared" si="1"/>
        <v>6.4202305102069755E-3</v>
      </c>
      <c r="N61" s="1">
        <f t="shared" si="2"/>
        <v>2.9006401334737317</v>
      </c>
      <c r="O61" s="1">
        <f t="shared" si="3"/>
        <v>11.999200781965452</v>
      </c>
      <c r="Q61" s="1">
        <f t="shared" si="4"/>
        <v>6.8768291468394773E-4</v>
      </c>
      <c r="R61" s="1">
        <f t="shared" si="5"/>
        <v>3.3721094408398504E-4</v>
      </c>
      <c r="S61" s="1">
        <f t="shared" si="6"/>
        <v>1.0789683919917692E-4</v>
      </c>
      <c r="T61" s="1">
        <f t="shared" si="7"/>
        <v>4.8141758141430317E-5</v>
      </c>
      <c r="U61" s="1">
        <f t="shared" si="8"/>
        <v>2.0000296768458776E-6</v>
      </c>
      <c r="V61" s="1">
        <f t="shared" si="9"/>
        <v>7.4946130730697429E-7</v>
      </c>
      <c r="W61" s="1"/>
      <c r="X61" s="6">
        <f t="shared" si="10"/>
        <v>1.5789085009886965</v>
      </c>
      <c r="Y61" s="6">
        <f t="shared" si="11"/>
        <v>2.9029056036563219</v>
      </c>
      <c r="AA61">
        <f t="shared" si="12"/>
        <v>0.12050902942373484</v>
      </c>
      <c r="AB61">
        <f t="shared" si="13"/>
        <v>8.4962326393855592E-2</v>
      </c>
      <c r="AC61">
        <f t="shared" si="14"/>
        <v>4.7218208422958319E-2</v>
      </c>
      <c r="AD61">
        <f t="shared" si="15"/>
        <v>3.0572466228807632E-2</v>
      </c>
      <c r="AE61">
        <f t="shared" si="16"/>
        <v>0.28885657424382638</v>
      </c>
      <c r="AF61">
        <f t="shared" si="17"/>
        <v>0.22460635899946862</v>
      </c>
    </row>
    <row r="62" spans="4:32" x14ac:dyDescent="0.3">
      <c r="D62" s="1" t="e">
        <f t="shared" si="18"/>
        <v>#N/A</v>
      </c>
      <c r="E62" s="1" t="e">
        <f t="shared" si="19"/>
        <v>#N/A</v>
      </c>
      <c r="G62" s="1">
        <f t="shared" si="20"/>
        <v>5.4436730070420158E-2</v>
      </c>
      <c r="I62">
        <f t="shared" si="22"/>
        <v>60</v>
      </c>
      <c r="K62" s="1">
        <f t="shared" si="0"/>
        <v>1.3757667572379631E-2</v>
      </c>
      <c r="L62" s="1">
        <f t="shared" si="1"/>
        <v>8.1055453543928818E-3</v>
      </c>
      <c r="N62" s="1">
        <f t="shared" si="2"/>
        <v>2.8284271247461894</v>
      </c>
      <c r="O62" s="1">
        <f t="shared" si="3"/>
        <v>11.313708498984754</v>
      </c>
      <c r="Q62" s="1">
        <f t="shared" si="4"/>
        <v>9.1743260394515119E-4</v>
      </c>
      <c r="R62" s="1">
        <f t="shared" si="5"/>
        <v>4.5701080648094782E-4</v>
      </c>
      <c r="S62" s="1">
        <f t="shared" si="6"/>
        <v>1.4974779677862354E-4</v>
      </c>
      <c r="T62" s="1">
        <f t="shared" si="7"/>
        <v>6.7888833299424009E-5</v>
      </c>
      <c r="U62" s="1">
        <f t="shared" si="8"/>
        <v>2.9864876524010504E-6</v>
      </c>
      <c r="V62" s="1">
        <f t="shared" si="9"/>
        <v>1.1373802769172456E-6</v>
      </c>
      <c r="W62" s="1"/>
      <c r="X62" s="6">
        <f t="shared" si="10"/>
        <v>1.5396007178390017</v>
      </c>
      <c r="Y62" s="6">
        <f t="shared" si="11"/>
        <v>2.7370679428248912</v>
      </c>
      <c r="AA62">
        <f t="shared" si="12"/>
        <v>0.13820699431731612</v>
      </c>
      <c r="AB62">
        <f t="shared" si="13"/>
        <v>9.88015767617475E-2</v>
      </c>
      <c r="AC62">
        <f t="shared" si="14"/>
        <v>5.6096787909261946E-2</v>
      </c>
      <c r="AD62">
        <f t="shared" si="15"/>
        <v>3.6854912861482687E-2</v>
      </c>
      <c r="AE62">
        <f t="shared" si="16"/>
        <v>0.31821625137768728</v>
      </c>
      <c r="AF62">
        <f t="shared" si="17"/>
        <v>0.25057143637985901</v>
      </c>
    </row>
    <row r="63" spans="4:32" x14ac:dyDescent="0.3">
      <c r="D63" s="1" t="e">
        <f t="shared" si="18"/>
        <v>#N/A</v>
      </c>
      <c r="E63" s="1" t="e">
        <f t="shared" si="19"/>
        <v>#N/A</v>
      </c>
      <c r="G63" s="1">
        <f t="shared" si="20"/>
        <v>6.9742893419567964E-2</v>
      </c>
      <c r="I63">
        <f t="shared" si="22"/>
        <v>61</v>
      </c>
      <c r="K63" s="1">
        <f t="shared" si="0"/>
        <v>1.6940646996379562E-2</v>
      </c>
      <c r="L63" s="1">
        <f t="shared" si="1"/>
        <v>1.0130432769837662E-2</v>
      </c>
      <c r="N63" s="1">
        <f t="shared" si="2"/>
        <v>2.7591614687932182</v>
      </c>
      <c r="O63" s="1">
        <f t="shared" si="3"/>
        <v>10.677754676329572</v>
      </c>
      <c r="Q63" s="1">
        <f t="shared" si="4"/>
        <v>1.2103194106655622E-3</v>
      </c>
      <c r="R63" s="1">
        <f t="shared" si="5"/>
        <v>6.1229618267778058E-4</v>
      </c>
      <c r="S63" s="1">
        <f t="shared" si="6"/>
        <v>2.0536678233629046E-4</v>
      </c>
      <c r="T63" s="1">
        <f t="shared" si="7"/>
        <v>9.4572713395884198E-5</v>
      </c>
      <c r="U63" s="1">
        <f t="shared" si="8"/>
        <v>4.4007876441888383E-6</v>
      </c>
      <c r="V63" s="1">
        <f t="shared" si="9"/>
        <v>1.7028781913443898E-6</v>
      </c>
      <c r="W63" s="1"/>
      <c r="X63" s="6">
        <f t="shared" si="10"/>
        <v>1.5018972703314573</v>
      </c>
      <c r="Y63" s="6">
        <f t="shared" si="11"/>
        <v>2.5832148696912993</v>
      </c>
      <c r="AA63">
        <f t="shared" si="12"/>
        <v>0.15726458971827267</v>
      </c>
      <c r="AB63">
        <f t="shared" si="13"/>
        <v>0.1139542784481312</v>
      </c>
      <c r="AC63">
        <f t="shared" si="14"/>
        <v>6.6063902902151583E-2</v>
      </c>
      <c r="AD63">
        <f t="shared" si="15"/>
        <v>4.4026027898188956E-2</v>
      </c>
      <c r="AE63">
        <f t="shared" si="16"/>
        <v>0.34825123067510422</v>
      </c>
      <c r="AF63">
        <f t="shared" si="17"/>
        <v>0.27757987299880582</v>
      </c>
    </row>
    <row r="64" spans="4:32" x14ac:dyDescent="0.3">
      <c r="D64" s="1" t="e">
        <f t="shared" si="18"/>
        <v>#N/A</v>
      </c>
      <c r="E64" s="1" t="e">
        <f t="shared" si="19"/>
        <v>#N/A</v>
      </c>
      <c r="G64" s="1">
        <f t="shared" si="20"/>
        <v>8.8498901407637609E-2</v>
      </c>
      <c r="I64">
        <f t="shared" si="22"/>
        <v>62</v>
      </c>
      <c r="K64" s="1">
        <f t="shared" si="0"/>
        <v>2.0666250043050845E-2</v>
      </c>
      <c r="L64" s="1">
        <f t="shared" si="1"/>
        <v>1.2539652060149441E-2</v>
      </c>
      <c r="N64" s="1">
        <f t="shared" si="2"/>
        <v>2.6926774592525895</v>
      </c>
      <c r="O64" s="1">
        <f t="shared" si="3"/>
        <v>10.087033146003458</v>
      </c>
      <c r="Q64" s="1">
        <f t="shared" si="4"/>
        <v>1.5797050143678589E-3</v>
      </c>
      <c r="R64" s="1">
        <f t="shared" si="5"/>
        <v>8.1137359038847671E-4</v>
      </c>
      <c r="S64" s="1">
        <f t="shared" si="6"/>
        <v>2.7844379488041791E-4</v>
      </c>
      <c r="T64" s="1">
        <f t="shared" si="7"/>
        <v>1.3021102964255521E-4</v>
      </c>
      <c r="U64" s="1">
        <f t="shared" si="8"/>
        <v>6.4029834285757579E-6</v>
      </c>
      <c r="V64" s="1">
        <f t="shared" si="9"/>
        <v>2.5166545333636246E-6</v>
      </c>
      <c r="W64" s="1"/>
      <c r="X64" s="6">
        <f t="shared" si="10"/>
        <v>1.4657079593472637</v>
      </c>
      <c r="Y64" s="6">
        <f t="shared" si="11"/>
        <v>2.4403046149382122</v>
      </c>
      <c r="AA64">
        <f t="shared" si="12"/>
        <v>0.17762310931678654</v>
      </c>
      <c r="AB64">
        <f t="shared" si="13"/>
        <v>0.13040870066703703</v>
      </c>
      <c r="AC64">
        <f t="shared" si="14"/>
        <v>7.7156497587044362E-2</v>
      </c>
      <c r="AD64">
        <f t="shared" si="15"/>
        <v>5.2138702234498846E-2</v>
      </c>
      <c r="AE64">
        <f t="shared" si="16"/>
        <v>0.37875832873076487</v>
      </c>
      <c r="AF64">
        <f t="shared" si="17"/>
        <v>0.30546601653577515</v>
      </c>
    </row>
    <row r="65" spans="4:32" x14ac:dyDescent="0.3">
      <c r="D65" s="1" t="e">
        <f t="shared" si="18"/>
        <v>#N/A</v>
      </c>
      <c r="E65" s="1" t="e">
        <f t="shared" si="19"/>
        <v>#N/A</v>
      </c>
      <c r="G65" s="1">
        <f t="shared" si="20"/>
        <v>0.11127396774132747</v>
      </c>
      <c r="I65">
        <f t="shared" si="22"/>
        <v>63</v>
      </c>
      <c r="K65" s="1">
        <f t="shared" si="0"/>
        <v>2.498753548684823E-2</v>
      </c>
      <c r="L65" s="1">
        <f t="shared" si="1"/>
        <v>1.5379473450350702E-2</v>
      </c>
      <c r="N65" s="1">
        <f t="shared" si="2"/>
        <v>2.6288211784470628</v>
      </c>
      <c r="O65" s="1">
        <f t="shared" si="3"/>
        <v>9.5376732097852592</v>
      </c>
      <c r="Q65" s="1">
        <f t="shared" si="4"/>
        <v>2.0408022407732368E-3</v>
      </c>
      <c r="R65" s="1">
        <f t="shared" si="5"/>
        <v>1.0639143421267369E-3</v>
      </c>
      <c r="S65" s="1">
        <f t="shared" si="6"/>
        <v>3.7341350999990061E-4</v>
      </c>
      <c r="T65" s="1">
        <f t="shared" si="7"/>
        <v>1.772781605626936E-4</v>
      </c>
      <c r="U65" s="1">
        <f t="shared" si="8"/>
        <v>9.2032373333405496E-6</v>
      </c>
      <c r="V65" s="1">
        <f t="shared" si="9"/>
        <v>3.6732747151432806E-6</v>
      </c>
      <c r="W65" s="1"/>
      <c r="X65" s="6">
        <f t="shared" si="10"/>
        <v>1.4309490027149485</v>
      </c>
      <c r="Y65" s="6">
        <f t="shared" si="11"/>
        <v>2.3074007602357445</v>
      </c>
      <c r="AA65">
        <f t="shared" si="12"/>
        <v>0.19920633128044682</v>
      </c>
      <c r="AB65">
        <f t="shared" si="13"/>
        <v>0.14813641423131851</v>
      </c>
      <c r="AC65">
        <f t="shared" si="14"/>
        <v>8.9399915534194394E-2</v>
      </c>
      <c r="AD65">
        <f t="shared" si="15"/>
        <v>6.1238522672663394E-2</v>
      </c>
      <c r="AE65">
        <f t="shared" si="16"/>
        <v>0.40953480802606818</v>
      </c>
      <c r="AF65">
        <f t="shared" si="17"/>
        <v>0.33405557425897331</v>
      </c>
    </row>
    <row r="66" spans="4:32" x14ac:dyDescent="0.3">
      <c r="D66" s="1" t="e">
        <f t="shared" si="18"/>
        <v>#N/A</v>
      </c>
      <c r="E66" s="1" t="e">
        <f t="shared" si="19"/>
        <v>#N/A</v>
      </c>
      <c r="G66" s="1">
        <f t="shared" si="20"/>
        <v>0.13868983970912718</v>
      </c>
      <c r="I66">
        <f t="shared" si="22"/>
        <v>64</v>
      </c>
      <c r="K66" s="1">
        <f t="shared" ref="K66:K129" si="23">_xlfn.NORM.S.DIST((LN(I66/$B$4)+($B$2-$B$3+0.5*$B$1^2)*$B$5)/($B$1*SQRT($B$5)),TRUE)</f>
        <v>2.9956349889287862E-2</v>
      </c>
      <c r="L66" s="1">
        <f t="shared" ref="L66:L129" si="24">_xlfn.NORM.S.DIST((LN(I66/$B$4)+($B$2-$B$3-0.5*$B$1^2)*$B$5)/($B$1*SQRT($B$5)),TRUE)</f>
        <v>1.8697030468110387E-2</v>
      </c>
      <c r="N66" s="1">
        <f t="shared" ref="N66:N129" si="25">($B$6/I66)^(-1+(2*($B$2-$B$3))/($B$1^2))</f>
        <v>2.5674494883054653</v>
      </c>
      <c r="O66" s="1">
        <f t="shared" ref="O66:O129" si="26">($B$6/I66)^(1+(2*($B$2-$B$3))/($B$1^2))</f>
        <v>9.0261896073239019</v>
      </c>
      <c r="Q66" s="1">
        <f t="shared" ref="Q66:Q129" si="27">_xlfn.NORM.S.DIST((LN(I66/$B$6)+($B$2-$B$3+0.5*$B$1^2)*$B$5)/($B$1*SQRT($B$5)),TRUE)</f>
        <v>2.6107351273405338E-3</v>
      </c>
      <c r="R66" s="1">
        <f t="shared" ref="R66:R129" si="28">_xlfn.NORM.S.DIST((LN(I66/$B$6)+($B$2-$B$3-0.5*$B$1^2)*$B$5)/($B$1*SQRT($B$5)),TRUE)</f>
        <v>1.3810528052442058E-3</v>
      </c>
      <c r="S66" s="1">
        <f t="shared" ref="S66:S129" si="29">_xlfn.NORM.S.DIST((LN(I66/$B$6)-($B$2-$B$3-0.5*$B$1^2)*$B$5)/($B$1*SQRT($B$5)),TRUE)</f>
        <v>4.9554605520694625E-4</v>
      </c>
      <c r="T66" s="1">
        <f t="shared" ref="T66:T129" si="30">_xlfn.NORM.S.DIST((LN(I66/$B$6)-($B$2-$B$3+0.5*$B$1^2)*$B$5)/($B$1*SQRT($B$5)),TRUE)</f>
        <v>2.3877453660152483E-4</v>
      </c>
      <c r="U66" s="1">
        <f t="shared" ref="U66:U129" si="31">_xlfn.NORM.S.DIST((LN((I66*$B$4)/($B$6^2))-($B$2-$B$3-0.5*$B$1^2)*$B$5)/($B$1*SQRT($B$5)),TRUE)</f>
        <v>1.307426133889746E-5</v>
      </c>
      <c r="V66" s="1">
        <f t="shared" ref="V66:V129" si="32">_xlfn.NORM.S.DIST((LN((I66*$B$4)/($B$6^2))-($B$2-$B$3+0.5*$B$1^2)*$B$5)/($B$1*SQRT($B$5)),TRUE)</f>
        <v>5.297713859583358E-6</v>
      </c>
      <c r="W66" s="1"/>
      <c r="X66" s="6">
        <f t="shared" ref="X66:X129" si="33">($B$7/I66)^(-1+(2*($B$2-$B$3))/($B$1^2))</f>
        <v>1.3975424859373684</v>
      </c>
      <c r="Y66" s="6">
        <f t="shared" ref="Y66:Y129" si="34">($B$7/I66)^(1+(2*($B$2-$B$3))/($B$1^2))</f>
        <v>2.1836601342771385</v>
      </c>
      <c r="AA66">
        <f t="shared" ref="AA66:AA129" si="35">_xlfn.NORM.S.DIST((LN(I66/$B$7)+($B$2-$B$3+0.5*$B$1^2)*$B$5)/($B$1*SQRT($B$5)),TRUE)</f>
        <v>0.22192212964817964</v>
      </c>
      <c r="AB66">
        <f t="shared" ref="AB66:AB129" si="36">_xlfn.NORM.S.DIST((LN(I66/$B$7)+($B$2-$B$3-0.5*$B$1^2)*$B$5)/($B$1*SQRT($B$5)),TRUE)</f>
        <v>0.16709271590694216</v>
      </c>
      <c r="AC66">
        <f t="shared" ref="AC66:AC129" si="37">_xlfn.NORM.S.DIST((LN(I66/$B$7)-($B$2-$B$3-0.5*$B$1^2)*$B$5)/($B$1*SQRT($B$5)),TRUE)</f>
        <v>0.10280707440266672</v>
      </c>
      <c r="AD66">
        <f t="shared" ref="AD66:AD129" si="38">_xlfn.NORM.S.DIST((LN(I66/$B$7)-($B$2-$B$3+0.5*$B$1^2)*$B$5)/($B$1*SQRT($B$5)),TRUE)</f>
        <v>7.1362597335071901E-2</v>
      </c>
      <c r="AE66">
        <f t="shared" ref="AE66:AE129" si="39">_xlfn.NORM.S.DIST((LN((I66*$B$4)/($B$7^2))-($B$2-$B$3-0.5*$B$1^2)*$B$5)/($B$1*SQRT($B$5)),TRUE)</f>
        <v>0.4403823076297575</v>
      </c>
      <c r="AF66">
        <f t="shared" ref="AF66:AF129" si="40">_xlfn.NORM.S.DIST((LN((I66*$B$4)/($B$7^2))-($B$2-$B$3+0.5*$B$1^2)*$B$5)/($B$1*SQRT($B$5)),TRUE)</f>
        <v>0.3631693488243809</v>
      </c>
    </row>
    <row r="67" spans="4:32" x14ac:dyDescent="0.3">
      <c r="D67" s="1" t="e">
        <f t="shared" ref="D67:D130" si="41">IF(I67&gt;$B$6,I67*O67*(1-V67)-$B$4*EXP(-$B$2*$B$5)*N67*(1-U67),NA())</f>
        <v>#N/A</v>
      </c>
      <c r="E67" s="1" t="e">
        <f t="shared" ref="E67:E130" si="42">IF(I67&gt;$B$7,I67*(K67-AA67+Y67*(1-AD67))-$B$4*EXP(-$B$2*$B$5)*(L67-AB67+X67*(1-AC67)),NA())</f>
        <v>#N/A</v>
      </c>
      <c r="G67" s="1">
        <f t="shared" ref="G67:G130" si="43">I67*K67-$B$4*EXP(-$B$2*$B$5)*L67</f>
        <v>0.17141909778203512</v>
      </c>
      <c r="I67">
        <f t="shared" si="22"/>
        <v>65</v>
      </c>
      <c r="K67" s="1">
        <f t="shared" si="23"/>
        <v>3.5622349442744658E-2</v>
      </c>
      <c r="L67" s="1">
        <f t="shared" si="24"/>
        <v>2.2539605701555526E-2</v>
      </c>
      <c r="N67" s="1">
        <f t="shared" si="25"/>
        <v>2.5084291217972576</v>
      </c>
      <c r="O67" s="1">
        <f t="shared" si="26"/>
        <v>8.5494389003267504</v>
      </c>
      <c r="Q67" s="1">
        <f t="shared" si="27"/>
        <v>3.308565348358869E-3</v>
      </c>
      <c r="R67" s="1">
        <f t="shared" si="28"/>
        <v>1.7754682808127731E-3</v>
      </c>
      <c r="S67" s="1">
        <f t="shared" si="29"/>
        <v>6.5103674335929037E-4</v>
      </c>
      <c r="T67" s="1">
        <f t="shared" si="30"/>
        <v>3.1829900827689455E-4</v>
      </c>
      <c r="U67" s="1">
        <f t="shared" si="31"/>
        <v>1.8365926415152705E-5</v>
      </c>
      <c r="V67" s="1">
        <f t="shared" si="32"/>
        <v>7.5532354145673781E-6</v>
      </c>
      <c r="W67" s="1"/>
      <c r="X67" s="6">
        <f t="shared" si="33"/>
        <v>1.3654158676313333</v>
      </c>
      <c r="Y67" s="6">
        <f t="shared" si="34"/>
        <v>2.0683222610273453</v>
      </c>
      <c r="AA67">
        <f t="shared" si="35"/>
        <v>0.24566442187804399</v>
      </c>
      <c r="AB67">
        <f t="shared" si="36"/>
        <v>0.18721744347703587</v>
      </c>
      <c r="AC67">
        <f t="shared" si="37"/>
        <v>0.11737793736165314</v>
      </c>
      <c r="AD67">
        <f t="shared" si="38"/>
        <v>8.2538559587976901E-2</v>
      </c>
      <c r="AE67">
        <f t="shared" si="39"/>
        <v>0.471110331754173</v>
      </c>
      <c r="AF67">
        <f t="shared" si="40"/>
        <v>0.39262684222089195</v>
      </c>
    </row>
    <row r="68" spans="4:32" x14ac:dyDescent="0.3">
      <c r="D68" s="1" t="e">
        <f t="shared" si="41"/>
        <v>#N/A</v>
      </c>
      <c r="E68" s="1" t="e">
        <f t="shared" si="42"/>
        <v>#N/A</v>
      </c>
      <c r="G68" s="1">
        <f t="shared" si="43"/>
        <v>0.21018247631337816</v>
      </c>
      <c r="I68">
        <f t="shared" si="22"/>
        <v>66</v>
      </c>
      <c r="K68" s="1">
        <f t="shared" si="23"/>
        <v>4.2032024926565832E-2</v>
      </c>
      <c r="L68" s="1">
        <f t="shared" si="24"/>
        <v>2.6953867308990524E-2</v>
      </c>
      <c r="N68" s="1">
        <f t="shared" si="25"/>
        <v>2.4516358635026978</v>
      </c>
      <c r="O68" s="1">
        <f t="shared" si="26"/>
        <v>8.1045813669510665</v>
      </c>
      <c r="Q68" s="1">
        <f t="shared" si="27"/>
        <v>4.1552807396121006E-3</v>
      </c>
      <c r="R68" s="1">
        <f t="shared" si="28"/>
        <v>2.2614462892193688E-3</v>
      </c>
      <c r="S68" s="1">
        <f t="shared" si="29"/>
        <v>8.470922523813075E-4</v>
      </c>
      <c r="T68" s="1">
        <f t="shared" si="30"/>
        <v>4.2012292401665376E-4</v>
      </c>
      <c r="U68" s="1">
        <f t="shared" si="31"/>
        <v>2.5522197646146374E-5</v>
      </c>
      <c r="V68" s="1">
        <f t="shared" si="32"/>
        <v>1.0650758689453577E-5</v>
      </c>
      <c r="W68" s="1"/>
      <c r="X68" s="6">
        <f t="shared" si="33"/>
        <v>1.3345015334864976</v>
      </c>
      <c r="Y68" s="6">
        <f t="shared" si="34"/>
        <v>1.960700141026994</v>
      </c>
      <c r="AA68">
        <f t="shared" si="35"/>
        <v>0.27031537177288706</v>
      </c>
      <c r="AB68">
        <f t="shared" si="36"/>
        <v>0.20843613848885223</v>
      </c>
      <c r="AC68">
        <f t="shared" si="37"/>
        <v>0.13309929011570709</v>
      </c>
      <c r="AD68">
        <f t="shared" si="38"/>
        <v>9.4783778553500134E-2</v>
      </c>
      <c r="AE68">
        <f t="shared" si="39"/>
        <v>0.50153923252208465</v>
      </c>
      <c r="AF68">
        <f t="shared" si="40"/>
        <v>0.42224962650741954</v>
      </c>
    </row>
    <row r="69" spans="4:32" x14ac:dyDescent="0.3">
      <c r="D69" s="1" t="e">
        <f t="shared" si="41"/>
        <v>#N/A</v>
      </c>
      <c r="E69" s="1" t="e">
        <f t="shared" si="42"/>
        <v>#N/A</v>
      </c>
      <c r="G69" s="1">
        <f t="shared" si="43"/>
        <v>0.25574522217925999</v>
      </c>
      <c r="I69">
        <f t="shared" si="22"/>
        <v>67</v>
      </c>
      <c r="K69" s="1">
        <f t="shared" si="23"/>
        <v>4.9227757121873481E-2</v>
      </c>
      <c r="L69" s="1">
        <f t="shared" si="24"/>
        <v>3.1985075593968647E-2</v>
      </c>
      <c r="N69" s="1">
        <f t="shared" si="25"/>
        <v>2.3969538093786471</v>
      </c>
      <c r="O69" s="1">
        <f t="shared" si="26"/>
        <v>7.6890476397978453</v>
      </c>
      <c r="Q69" s="1">
        <f t="shared" si="27"/>
        <v>5.1737425628935619E-3</v>
      </c>
      <c r="R69" s="1">
        <f t="shared" si="28"/>
        <v>2.8549153137111308E-3</v>
      </c>
      <c r="S69" s="1">
        <f t="shared" si="29"/>
        <v>1.0920105493672542E-3</v>
      </c>
      <c r="T69" s="1">
        <f t="shared" si="30"/>
        <v>5.4926432427571743E-4</v>
      </c>
      <c r="U69" s="1">
        <f t="shared" si="31"/>
        <v>3.5100516687975343E-5</v>
      </c>
      <c r="V69" s="1">
        <f t="shared" si="32"/>
        <v>1.4859860865575864E-5</v>
      </c>
      <c r="W69" s="1"/>
      <c r="X69" s="6">
        <f t="shared" si="33"/>
        <v>1.3047363933329026</v>
      </c>
      <c r="Y69" s="6">
        <f t="shared" si="34"/>
        <v>1.8601721802919522</v>
      </c>
      <c r="AA69">
        <f t="shared" si="35"/>
        <v>0.29574776464432601</v>
      </c>
      <c r="AB69">
        <f t="shared" si="36"/>
        <v>0.23066150416550998</v>
      </c>
      <c r="AC69">
        <f t="shared" si="37"/>
        <v>0.14994482113619231</v>
      </c>
      <c r="AD69">
        <f t="shared" si="38"/>
        <v>0.10810479610568276</v>
      </c>
      <c r="AE69">
        <f t="shared" si="39"/>
        <v>0.53150265079777548</v>
      </c>
      <c r="AF69">
        <f t="shared" si="40"/>
        <v>0.45186440054290344</v>
      </c>
    </row>
    <row r="70" spans="4:32" x14ac:dyDescent="0.3">
      <c r="D70" s="1" t="e">
        <f t="shared" si="41"/>
        <v>#N/A</v>
      </c>
      <c r="E70" s="1" t="e">
        <f t="shared" si="42"/>
        <v>#N/A</v>
      </c>
      <c r="G70" s="1">
        <f t="shared" si="43"/>
        <v>0.30891253503574445</v>
      </c>
      <c r="I70">
        <f t="shared" si="22"/>
        <v>68</v>
      </c>
      <c r="K70" s="1">
        <f t="shared" si="23"/>
        <v>5.7246928835850606E-2</v>
      </c>
      <c r="L70" s="1">
        <f t="shared" si="24"/>
        <v>3.7676280122255684E-2</v>
      </c>
      <c r="N70" s="1">
        <f t="shared" si="25"/>
        <v>2.3442746970178989</v>
      </c>
      <c r="O70" s="1">
        <f t="shared" si="26"/>
        <v>7.3005094370799615</v>
      </c>
      <c r="Q70" s="1">
        <f t="shared" si="27"/>
        <v>6.3885892190024057E-3</v>
      </c>
      <c r="R70" s="1">
        <f t="shared" si="28"/>
        <v>3.5734554789650123E-3</v>
      </c>
      <c r="S70" s="1">
        <f t="shared" si="29"/>
        <v>1.3952517475251561E-3</v>
      </c>
      <c r="T70" s="1">
        <f t="shared" si="30"/>
        <v>7.1156045000099369E-4</v>
      </c>
      <c r="U70" s="1">
        <f t="shared" si="31"/>
        <v>4.7793706754746315E-5</v>
      </c>
      <c r="V70" s="1">
        <f t="shared" si="32"/>
        <v>2.0521543979897405E-5</v>
      </c>
      <c r="W70" s="1"/>
      <c r="X70" s="6">
        <f t="shared" si="33"/>
        <v>1.2760615165803304</v>
      </c>
      <c r="Y70" s="6">
        <f t="shared" si="34"/>
        <v>1.7661751094537446</v>
      </c>
      <c r="AA70">
        <f t="shared" si="35"/>
        <v>0.32182747298832592</v>
      </c>
      <c r="AB70">
        <f t="shared" si="36"/>
        <v>0.2537950995737065</v>
      </c>
      <c r="AC70">
        <f t="shared" si="37"/>
        <v>0.16787549234269009</v>
      </c>
      <c r="AD70">
        <f t="shared" si="38"/>
        <v>0.12249700173414359</v>
      </c>
      <c r="AE70">
        <f t="shared" si="39"/>
        <v>0.56084940381856596</v>
      </c>
      <c r="AF70">
        <f t="shared" si="40"/>
        <v>0.48130567310904271</v>
      </c>
    </row>
    <row r="71" spans="4:32" x14ac:dyDescent="0.3">
      <c r="D71" s="1" t="e">
        <f t="shared" si="41"/>
        <v>#N/A</v>
      </c>
      <c r="E71" s="1" t="e">
        <f t="shared" si="42"/>
        <v>#N/A</v>
      </c>
      <c r="G71" s="1">
        <f t="shared" si="43"/>
        <v>0.37052415801230154</v>
      </c>
      <c r="I71">
        <f t="shared" si="22"/>
        <v>69</v>
      </c>
      <c r="K71" s="1">
        <f t="shared" si="23"/>
        <v>6.6121117521279929E-2</v>
      </c>
      <c r="L71" s="1">
        <f t="shared" si="24"/>
        <v>4.4067528221766718E-2</v>
      </c>
      <c r="N71" s="1">
        <f t="shared" si="25"/>
        <v>2.2934972987679543</v>
      </c>
      <c r="O71" s="1">
        <f t="shared" si="26"/>
        <v>6.9368538337026964</v>
      </c>
      <c r="Q71" s="1">
        <f t="shared" si="27"/>
        <v>7.8260953124683289E-3</v>
      </c>
      <c r="R71" s="1">
        <f t="shared" si="28"/>
        <v>4.4362762182043715E-3</v>
      </c>
      <c r="S71" s="1">
        <f t="shared" si="29"/>
        <v>1.7674970647608768E-3</v>
      </c>
      <c r="T71" s="1">
        <f t="shared" si="30"/>
        <v>9.1373659689153409E-4</v>
      </c>
      <c r="U71" s="1">
        <f t="shared" si="31"/>
        <v>6.4454418957119095E-5</v>
      </c>
      <c r="V71" s="1">
        <f t="shared" si="32"/>
        <v>2.8062875345440639E-5</v>
      </c>
      <c r="W71" s="1"/>
      <c r="X71" s="6">
        <f t="shared" si="33"/>
        <v>1.248421801874007</v>
      </c>
      <c r="Y71" s="6">
        <f t="shared" si="34"/>
        <v>1.6781977592929311</v>
      </c>
      <c r="AA71">
        <f t="shared" si="35"/>
        <v>0.3484159355677145</v>
      </c>
      <c r="AB71">
        <f t="shared" si="36"/>
        <v>0.27772920778458887</v>
      </c>
      <c r="AC71">
        <f t="shared" si="37"/>
        <v>0.18684017843760983</v>
      </c>
      <c r="AD71">
        <f t="shared" si="38"/>
        <v>0.13794454823523097</v>
      </c>
      <c r="AE71">
        <f t="shared" si="39"/>
        <v>0.58944482984891855</v>
      </c>
      <c r="AF71">
        <f t="shared" si="40"/>
        <v>0.51041803352424431</v>
      </c>
    </row>
    <row r="72" spans="4:32" x14ac:dyDescent="0.3">
      <c r="D72" s="1" t="e">
        <f t="shared" si="41"/>
        <v>#N/A</v>
      </c>
      <c r="E72" s="1" t="e">
        <f t="shared" si="42"/>
        <v>#N/A</v>
      </c>
      <c r="G72" s="1">
        <f t="shared" si="43"/>
        <v>0.44144821021536718</v>
      </c>
      <c r="I72">
        <f t="shared" si="22"/>
        <v>70</v>
      </c>
      <c r="K72" s="1">
        <f t="shared" si="23"/>
        <v>7.5875389491867534E-2</v>
      </c>
      <c r="L72" s="1">
        <f t="shared" si="24"/>
        <v>5.1195105289887979E-2</v>
      </c>
      <c r="N72" s="1">
        <f t="shared" si="25"/>
        <v>2.244526870998778</v>
      </c>
      <c r="O72" s="1">
        <f t="shared" si="26"/>
        <v>6.5961606004862032</v>
      </c>
      <c r="Q72" s="1">
        <f t="shared" si="27"/>
        <v>9.513986244577147E-3</v>
      </c>
      <c r="R72" s="1">
        <f t="shared" si="28"/>
        <v>5.4641606904456616E-3</v>
      </c>
      <c r="S72" s="1">
        <f t="shared" si="29"/>
        <v>2.2206931286693704E-3</v>
      </c>
      <c r="T72" s="1">
        <f t="shared" si="30"/>
        <v>1.1634692317187842E-3</v>
      </c>
      <c r="U72" s="1">
        <f t="shared" si="31"/>
        <v>8.6122073220825981E-5</v>
      </c>
      <c r="V72" s="1">
        <f t="shared" si="32"/>
        <v>3.8013580622109409E-5</v>
      </c>
      <c r="W72" s="1"/>
      <c r="X72" s="6">
        <f t="shared" si="33"/>
        <v>1.2217656773139398</v>
      </c>
      <c r="Y72" s="6">
        <f t="shared" si="34"/>
        <v>1.5957755785324927</v>
      </c>
      <c r="AA72">
        <f t="shared" si="35"/>
        <v>0.37537257997691609</v>
      </c>
      <c r="AB72">
        <f t="shared" si="36"/>
        <v>0.3023488152322148</v>
      </c>
      <c r="AC72">
        <f t="shared" si="37"/>
        <v>0.20677654565179621</v>
      </c>
      <c r="AD72">
        <f t="shared" si="38"/>
        <v>0.15442050322526796</v>
      </c>
      <c r="AE72">
        <f t="shared" si="39"/>
        <v>0.61717161772794926</v>
      </c>
      <c r="AF72">
        <f t="shared" si="40"/>
        <v>0.53905799013656419</v>
      </c>
    </row>
    <row r="73" spans="4:32" x14ac:dyDescent="0.3">
      <c r="D73" s="1" t="e">
        <f t="shared" si="41"/>
        <v>#N/A</v>
      </c>
      <c r="E73" s="1" t="e">
        <f t="shared" si="42"/>
        <v>#N/A</v>
      </c>
      <c r="G73" s="1">
        <f t="shared" si="43"/>
        <v>0.52257437164828069</v>
      </c>
      <c r="I73">
        <f t="shared" si="22"/>
        <v>71</v>
      </c>
      <c r="K73" s="1">
        <f t="shared" si="23"/>
        <v>8.6527713105777324E-2</v>
      </c>
      <c r="L73" s="1">
        <f t="shared" si="24"/>
        <v>5.9090826188563622E-2</v>
      </c>
      <c r="N73" s="1">
        <f t="shared" si="25"/>
        <v>2.197274653609552</v>
      </c>
      <c r="O73" s="1">
        <f t="shared" si="26"/>
        <v>6.2766822082875509</v>
      </c>
      <c r="Q73" s="1">
        <f t="shared" si="27"/>
        <v>1.14812098126912E-2</v>
      </c>
      <c r="R73" s="1">
        <f t="shared" si="28"/>
        <v>6.6793755240741473E-3</v>
      </c>
      <c r="S73" s="1">
        <f t="shared" si="29"/>
        <v>2.768079045846849E-3</v>
      </c>
      <c r="T73" s="1">
        <f t="shared" si="30"/>
        <v>1.4694412309147181E-3</v>
      </c>
      <c r="U73" s="1">
        <f t="shared" si="31"/>
        <v>1.140521734499057E-4</v>
      </c>
      <c r="V73" s="1">
        <f t="shared" si="32"/>
        <v>5.1024632326207465E-5</v>
      </c>
      <c r="W73" s="1"/>
      <c r="X73" s="6">
        <f t="shared" si="33"/>
        <v>1.196044828020902</v>
      </c>
      <c r="Y73" s="6">
        <f t="shared" si="34"/>
        <v>1.518485796336793</v>
      </c>
      <c r="AA73">
        <f t="shared" si="35"/>
        <v>0.40255712781938857</v>
      </c>
      <c r="AB73">
        <f t="shared" si="36"/>
        <v>0.32753364143264074</v>
      </c>
      <c r="AC73">
        <f t="shared" si="37"/>
        <v>0.22761213497074548</v>
      </c>
      <c r="AD73">
        <f t="shared" si="38"/>
        <v>0.17188722427012917</v>
      </c>
      <c r="AE73">
        <f t="shared" si="39"/>
        <v>0.64393016284585802</v>
      </c>
      <c r="AF73">
        <f t="shared" si="40"/>
        <v>0.56709537429657186</v>
      </c>
    </row>
    <row r="74" spans="4:32" x14ac:dyDescent="0.3">
      <c r="D74" s="1" t="e">
        <f t="shared" si="41"/>
        <v>#N/A</v>
      </c>
      <c r="E74" s="1" t="e">
        <f t="shared" si="42"/>
        <v>#N/A</v>
      </c>
      <c r="G74" s="1">
        <f t="shared" si="43"/>
        <v>0.61480654651622491</v>
      </c>
      <c r="I74">
        <f t="shared" si="22"/>
        <v>72</v>
      </c>
      <c r="K74" s="1">
        <f t="shared" si="23"/>
        <v>9.808850421185164E-2</v>
      </c>
      <c r="L74" s="1">
        <f t="shared" si="24"/>
        <v>6.7781395220415125E-2</v>
      </c>
      <c r="N74" s="1">
        <f t="shared" si="25"/>
        <v>2.1516574145596756</v>
      </c>
      <c r="O74" s="1">
        <f t="shared" si="26"/>
        <v>5.9768261515546541</v>
      </c>
      <c r="Q74" s="1">
        <f t="shared" si="27"/>
        <v>1.3757667572379631E-2</v>
      </c>
      <c r="R74" s="1">
        <f t="shared" si="28"/>
        <v>8.1055453543928818E-3</v>
      </c>
      <c r="S74" s="1">
        <f t="shared" si="29"/>
        <v>3.4241939211222855E-3</v>
      </c>
      <c r="T74" s="1">
        <f t="shared" si="30"/>
        <v>1.8413871101374847E-3</v>
      </c>
      <c r="U74" s="1">
        <f t="shared" si="31"/>
        <v>1.4974779677862354E-4</v>
      </c>
      <c r="V74" s="1">
        <f t="shared" si="32"/>
        <v>6.7888833299424009E-5</v>
      </c>
      <c r="W74" s="1"/>
      <c r="X74" s="6">
        <f t="shared" si="33"/>
        <v>1.1712139482105108</v>
      </c>
      <c r="Y74" s="6">
        <f t="shared" si="34"/>
        <v>1.4459431459389025</v>
      </c>
      <c r="AA74">
        <f t="shared" si="35"/>
        <v>0.4298317318895431</v>
      </c>
      <c r="AB74">
        <f t="shared" si="36"/>
        <v>0.35316016226972924</v>
      </c>
      <c r="AC74">
        <f t="shared" si="37"/>
        <v>0.24926561103492151</v>
      </c>
      <c r="AD74">
        <f t="shared" si="38"/>
        <v>0.19029693922450786</v>
      </c>
      <c r="AE74">
        <f t="shared" si="39"/>
        <v>0.66963850085793852</v>
      </c>
      <c r="AF74">
        <f t="shared" si="40"/>
        <v>0.59441432211371659</v>
      </c>
    </row>
    <row r="75" spans="4:32" x14ac:dyDescent="0.3">
      <c r="D75" s="1" t="e">
        <f t="shared" si="41"/>
        <v>#N/A</v>
      </c>
      <c r="E75" s="1" t="e">
        <f t="shared" si="42"/>
        <v>#N/A</v>
      </c>
      <c r="G75" s="1">
        <f t="shared" si="43"/>
        <v>0.71905514202707987</v>
      </c>
      <c r="I75">
        <f t="shared" si="22"/>
        <v>73</v>
      </c>
      <c r="K75" s="1">
        <f t="shared" si="23"/>
        <v>0.1105603128221091</v>
      </c>
      <c r="L75" s="1">
        <f t="shared" si="24"/>
        <v>7.7287849856471358E-2</v>
      </c>
      <c r="N75" s="1">
        <f t="shared" si="25"/>
        <v>2.107597034814352</v>
      </c>
      <c r="O75" s="1">
        <f t="shared" si="26"/>
        <v>5.6951392946756743</v>
      </c>
      <c r="Q75" s="1">
        <f t="shared" si="27"/>
        <v>1.6373909925660273E-2</v>
      </c>
      <c r="R75" s="1">
        <f t="shared" si="28"/>
        <v>9.7674925582422033E-3</v>
      </c>
      <c r="S75" s="1">
        <f t="shared" si="29"/>
        <v>4.2048628678389181E-3</v>
      </c>
      <c r="T75" s="1">
        <f t="shared" si="30"/>
        <v>2.2901261894813464E-3</v>
      </c>
      <c r="U75" s="1">
        <f t="shared" si="31"/>
        <v>1.9499297278367447E-4</v>
      </c>
      <c r="V75" s="1">
        <f t="shared" si="32"/>
        <v>8.9563345185283822E-5</v>
      </c>
      <c r="W75" s="1"/>
      <c r="X75" s="6">
        <f t="shared" si="33"/>
        <v>1.1472305152662217</v>
      </c>
      <c r="Y75" s="6">
        <f t="shared" si="34"/>
        <v>1.3777960776325424</v>
      </c>
      <c r="AA75">
        <f t="shared" si="35"/>
        <v>0.45706290559787938</v>
      </c>
      <c r="AB75">
        <f t="shared" si="36"/>
        <v>0.37910357573287645</v>
      </c>
      <c r="AC75">
        <f t="shared" si="37"/>
        <v>0.27164813580399183</v>
      </c>
      <c r="AD75">
        <f t="shared" si="38"/>
        <v>0.20959250833250315</v>
      </c>
      <c r="AE75">
        <f t="shared" si="39"/>
        <v>0.69423187660077446</v>
      </c>
      <c r="AF75">
        <f t="shared" si="40"/>
        <v>0.62091385826713208</v>
      </c>
    </row>
    <row r="76" spans="4:32" x14ac:dyDescent="0.3">
      <c r="D76" s="1" t="e">
        <f t="shared" si="41"/>
        <v>#N/A</v>
      </c>
      <c r="E76" s="1" t="e">
        <f t="shared" si="42"/>
        <v>#N/A</v>
      </c>
      <c r="G76" s="1">
        <f t="shared" si="43"/>
        <v>0.83622910656348992</v>
      </c>
      <c r="I76">
        <f t="shared" si="22"/>
        <v>74</v>
      </c>
      <c r="K76" s="1">
        <f t="shared" si="23"/>
        <v>0.12393765558058713</v>
      </c>
      <c r="L76" s="1">
        <f t="shared" si="24"/>
        <v>8.7625100650928198E-2</v>
      </c>
      <c r="N76" s="1">
        <f t="shared" si="25"/>
        <v>2.0650201296227455</v>
      </c>
      <c r="O76" s="1">
        <f t="shared" si="26"/>
        <v>5.4302939858596684</v>
      </c>
      <c r="Q76" s="1">
        <f t="shared" si="27"/>
        <v>1.9360799989301843E-2</v>
      </c>
      <c r="R76" s="1">
        <f t="shared" si="28"/>
        <v>1.1691043534005439E-2</v>
      </c>
      <c r="S76" s="1">
        <f t="shared" si="29"/>
        <v>5.127159983307151E-3</v>
      </c>
      <c r="T76" s="1">
        <f t="shared" si="30"/>
        <v>2.8275817826230506E-3</v>
      </c>
      <c r="U76" s="1">
        <f t="shared" si="31"/>
        <v>2.5188758284135109E-4</v>
      </c>
      <c r="V76" s="1">
        <f t="shared" si="32"/>
        <v>1.1719405721965098E-4</v>
      </c>
      <c r="W76" s="1"/>
      <c r="X76" s="6">
        <f t="shared" si="33"/>
        <v>1.1240545835892679</v>
      </c>
      <c r="Y76" s="6">
        <f t="shared" si="34"/>
        <v>1.3137233993738704</v>
      </c>
      <c r="AA76">
        <f t="shared" si="35"/>
        <v>0.48412321576396822</v>
      </c>
      <c r="AB76">
        <f t="shared" si="36"/>
        <v>0.40523966584835919</v>
      </c>
      <c r="AC76">
        <f t="shared" si="37"/>
        <v>0.2946648256257105</v>
      </c>
      <c r="AD76">
        <f t="shared" si="38"/>
        <v>0.22970834084517741</v>
      </c>
      <c r="AE76">
        <f t="shared" si="39"/>
        <v>0.71766200861468776</v>
      </c>
      <c r="AF76">
        <f t="shared" si="40"/>
        <v>0.64650811532792618</v>
      </c>
    </row>
    <row r="77" spans="4:32" x14ac:dyDescent="0.3">
      <c r="D77" s="1" t="e">
        <f t="shared" si="41"/>
        <v>#N/A</v>
      </c>
      <c r="E77" s="1" t="e">
        <f t="shared" si="42"/>
        <v>#N/A</v>
      </c>
      <c r="G77" s="1">
        <f t="shared" si="43"/>
        <v>0.96722787351468931</v>
      </c>
      <c r="I77">
        <f t="shared" si="22"/>
        <v>75</v>
      </c>
      <c r="K77" s="1">
        <f t="shared" si="23"/>
        <v>0.13820699431731612</v>
      </c>
      <c r="L77" s="1">
        <f t="shared" si="24"/>
        <v>9.88015767617475E-2</v>
      </c>
      <c r="N77" s="1">
        <f t="shared" si="25"/>
        <v>2.0238577025077626</v>
      </c>
      <c r="O77" s="1">
        <f t="shared" si="26"/>
        <v>5.1810757184198728</v>
      </c>
      <c r="Q77" s="1">
        <f t="shared" si="27"/>
        <v>2.2749152233532584E-2</v>
      </c>
      <c r="R77" s="1">
        <f t="shared" si="28"/>
        <v>1.3902803796273839E-2</v>
      </c>
      <c r="S77" s="1">
        <f t="shared" si="29"/>
        <v>6.209347260441719E-3</v>
      </c>
      <c r="T77" s="1">
        <f t="shared" si="30"/>
        <v>3.4667847070069002E-3</v>
      </c>
      <c r="U77" s="1">
        <f t="shared" si="31"/>
        <v>3.2288332509379974E-4</v>
      </c>
      <c r="V77" s="1">
        <f t="shared" si="32"/>
        <v>1.5214163184933881E-4</v>
      </c>
      <c r="W77" s="1"/>
      <c r="X77" s="6">
        <f t="shared" si="33"/>
        <v>1.1016485962545541</v>
      </c>
      <c r="Y77" s="6">
        <f t="shared" si="34"/>
        <v>1.2534312917385149</v>
      </c>
      <c r="AA77">
        <f t="shared" si="35"/>
        <v>0.51089272036957423</v>
      </c>
      <c r="AB77">
        <f t="shared" si="36"/>
        <v>0.43144652813697848</v>
      </c>
      <c r="AC77">
        <f t="shared" si="37"/>
        <v>0.31821625137768728</v>
      </c>
      <c r="AD77">
        <f t="shared" si="38"/>
        <v>0.25057143637985901</v>
      </c>
      <c r="AE77">
        <f t="shared" si="39"/>
        <v>0.73989610987649923</v>
      </c>
      <c r="AF77">
        <f t="shared" si="40"/>
        <v>0.67112622855285142</v>
      </c>
    </row>
    <row r="78" spans="4:32" x14ac:dyDescent="0.3">
      <c r="D78" s="1" t="e">
        <f t="shared" si="41"/>
        <v>#N/A</v>
      </c>
      <c r="E78" s="1" t="e">
        <f t="shared" si="42"/>
        <v>#N/A</v>
      </c>
      <c r="G78" s="1">
        <f t="shared" si="43"/>
        <v>1.1129333553095933</v>
      </c>
      <c r="I78">
        <f t="shared" si="22"/>
        <v>76</v>
      </c>
      <c r="K78" s="1">
        <f t="shared" si="23"/>
        <v>0.15334685695990033</v>
      </c>
      <c r="L78" s="1">
        <f t="shared" si="24"/>
        <v>0.1108189833296617</v>
      </c>
      <c r="N78" s="1">
        <f t="shared" si="25"/>
        <v>1.9840448287501362</v>
      </c>
      <c r="O78" s="1">
        <f t="shared" si="26"/>
        <v>4.9463721492385675</v>
      </c>
      <c r="Q78" s="1">
        <f t="shared" si="27"/>
        <v>2.6569352633256983E-2</v>
      </c>
      <c r="R78" s="1">
        <f t="shared" si="28"/>
        <v>1.6429905018881613E-2</v>
      </c>
      <c r="S78" s="1">
        <f t="shared" si="29"/>
        <v>7.4707889513296434E-3</v>
      </c>
      <c r="T78" s="1">
        <f t="shared" si="30"/>
        <v>4.2218596811131135E-3</v>
      </c>
      <c r="U78" s="1">
        <f t="shared" si="31"/>
        <v>4.1082020955801645E-4</v>
      </c>
      <c r="V78" s="1">
        <f t="shared" si="32"/>
        <v>1.9600900231502857E-4</v>
      </c>
      <c r="W78" s="1"/>
      <c r="X78" s="6">
        <f t="shared" si="33"/>
        <v>1.0799772127212148</v>
      </c>
      <c r="Y78" s="6">
        <f t="shared" si="34"/>
        <v>1.1966506512146422</v>
      </c>
      <c r="AA78">
        <f t="shared" si="35"/>
        <v>0.53726014255325238</v>
      </c>
      <c r="AB78">
        <f t="shared" si="36"/>
        <v>0.45760612784927152</v>
      </c>
      <c r="AC78">
        <f t="shared" si="37"/>
        <v>0.34219994363471501</v>
      </c>
      <c r="AD78">
        <f t="shared" si="38"/>
        <v>0.27210251994096124</v>
      </c>
      <c r="AE78">
        <f t="shared" si="39"/>
        <v>0.76091572331767421</v>
      </c>
      <c r="AF78">
        <f t="shared" si="40"/>
        <v>0.69471195013527043</v>
      </c>
    </row>
    <row r="79" spans="4:32" x14ac:dyDescent="0.3">
      <c r="D79" s="1" t="e">
        <f t="shared" si="41"/>
        <v>#N/A</v>
      </c>
      <c r="E79" s="1" t="e">
        <f t="shared" si="42"/>
        <v>#N/A</v>
      </c>
      <c r="G79" s="1">
        <f t="shared" si="43"/>
        <v>1.2742021266153465</v>
      </c>
      <c r="I79">
        <f t="shared" si="22"/>
        <v>77</v>
      </c>
      <c r="K79" s="1">
        <f t="shared" si="23"/>
        <v>0.16932809344974412</v>
      </c>
      <c r="L79" s="1">
        <f t="shared" si="24"/>
        <v>0.12367217377857848</v>
      </c>
      <c r="N79" s="1">
        <f t="shared" si="25"/>
        <v>1.9455203655034572</v>
      </c>
      <c r="O79" s="1">
        <f t="shared" si="26"/>
        <v>4.7251633097064909</v>
      </c>
      <c r="Q79" s="1">
        <f t="shared" si="27"/>
        <v>3.085096761921852E-2</v>
      </c>
      <c r="R79" s="1">
        <f t="shared" si="28"/>
        <v>1.929972793879664E-2</v>
      </c>
      <c r="S79" s="1">
        <f t="shared" si="29"/>
        <v>8.9318414732527055E-3</v>
      </c>
      <c r="T79" s="1">
        <f t="shared" si="30"/>
        <v>5.1079934965473518E-3</v>
      </c>
      <c r="U79" s="1">
        <f t="shared" si="31"/>
        <v>5.1896297362782906E-4</v>
      </c>
      <c r="V79" s="1">
        <f t="shared" si="32"/>
        <v>2.5067003504056993E-4</v>
      </c>
      <c r="W79" s="1"/>
      <c r="X79" s="6">
        <f t="shared" si="33"/>
        <v>1.0590071510392218</v>
      </c>
      <c r="Y79" s="6">
        <f t="shared" si="34"/>
        <v>1.1431347219853294</v>
      </c>
      <c r="AA79">
        <f t="shared" si="35"/>
        <v>0.56312378077476588</v>
      </c>
      <c r="AB79">
        <f t="shared" si="36"/>
        <v>0.48360567011896261</v>
      </c>
      <c r="AC79">
        <f t="shared" si="37"/>
        <v>0.36651186811168257</v>
      </c>
      <c r="AD79">
        <f t="shared" si="38"/>
        <v>0.2942172393555133</v>
      </c>
      <c r="AE79">
        <f t="shared" si="39"/>
        <v>0.78071542695438045</v>
      </c>
      <c r="AF79">
        <f t="shared" si="40"/>
        <v>0.71722302872953592</v>
      </c>
    </row>
    <row r="80" spans="4:32" x14ac:dyDescent="0.3">
      <c r="D80" s="1" t="e">
        <f t="shared" si="41"/>
        <v>#N/A</v>
      </c>
      <c r="E80" s="1" t="e">
        <f t="shared" si="42"/>
        <v>#N/A</v>
      </c>
      <c r="G80" s="1">
        <f t="shared" si="43"/>
        <v>1.4518579266996881</v>
      </c>
      <c r="I80">
        <f t="shared" si="22"/>
        <v>78</v>
      </c>
      <c r="K80" s="1">
        <f t="shared" si="23"/>
        <v>0.18611425617187966</v>
      </c>
      <c r="L80" s="1">
        <f t="shared" si="24"/>
        <v>0.13734913700303766</v>
      </c>
      <c r="N80" s="1">
        <f t="shared" si="25"/>
        <v>1.9082266859878223</v>
      </c>
      <c r="O80" s="1">
        <f t="shared" si="26"/>
        <v>4.5165128662433673</v>
      </c>
      <c r="Q80" s="1">
        <f t="shared" si="27"/>
        <v>3.5622349442744658E-2</v>
      </c>
      <c r="R80" s="1">
        <f t="shared" si="28"/>
        <v>2.2539605701555526E-2</v>
      </c>
      <c r="S80" s="1">
        <f t="shared" si="29"/>
        <v>1.0613719533783083E-2</v>
      </c>
      <c r="T80" s="1">
        <f t="shared" si="30"/>
        <v>6.1413842177723815E-3</v>
      </c>
      <c r="U80" s="1">
        <f t="shared" si="31"/>
        <v>6.5103674335929037E-4</v>
      </c>
      <c r="V80" s="1">
        <f t="shared" si="32"/>
        <v>3.1829900827689455E-4</v>
      </c>
      <c r="W80" s="1"/>
      <c r="X80" s="6">
        <f t="shared" si="33"/>
        <v>1.0387070431627348</v>
      </c>
      <c r="Y80" s="6">
        <f t="shared" si="34"/>
        <v>1.092656981630753</v>
      </c>
      <c r="AA80">
        <f t="shared" si="35"/>
        <v>0.5883921625111701</v>
      </c>
      <c r="AB80">
        <f t="shared" si="36"/>
        <v>0.50933876873775241</v>
      </c>
      <c r="AC80">
        <f t="shared" si="37"/>
        <v>0.39104784068993775</v>
      </c>
      <c r="AD80">
        <f t="shared" si="38"/>
        <v>0.31682739472420379</v>
      </c>
      <c r="AE80">
        <f t="shared" si="39"/>
        <v>0.79930145847003164</v>
      </c>
      <c r="AF80">
        <f t="shared" si="40"/>
        <v>0.73863040002463587</v>
      </c>
    </row>
    <row r="81" spans="1:32" x14ac:dyDescent="0.3">
      <c r="D81" s="1" t="e">
        <f t="shared" si="41"/>
        <v>#N/A</v>
      </c>
      <c r="E81" s="1" t="e">
        <f t="shared" si="42"/>
        <v>#N/A</v>
      </c>
      <c r="G81" s="1">
        <f t="shared" si="43"/>
        <v>1.6466845991240717</v>
      </c>
      <c r="I81">
        <f t="shared" si="22"/>
        <v>79</v>
      </c>
      <c r="K81" s="1">
        <f t="shared" si="23"/>
        <v>0.20366209182294573</v>
      </c>
      <c r="L81" s="1">
        <f t="shared" si="24"/>
        <v>0.15183109650407789</v>
      </c>
      <c r="N81" s="1">
        <f t="shared" si="25"/>
        <v>1.8721094354835059</v>
      </c>
      <c r="O81" s="1">
        <f t="shared" si="26"/>
        <v>4.3195603061949202</v>
      </c>
      <c r="Q81" s="1">
        <f t="shared" si="27"/>
        <v>4.091024567101692E-2</v>
      </c>
      <c r="R81" s="1">
        <f t="shared" si="28"/>
        <v>2.6176512766714947E-2</v>
      </c>
      <c r="S81" s="1">
        <f t="shared" si="29"/>
        <v>1.2538339730136627E-2</v>
      </c>
      <c r="T81" s="1">
        <f t="shared" si="30"/>
        <v>7.3391710598562357E-3</v>
      </c>
      <c r="U81" s="1">
        <f t="shared" si="31"/>
        <v>8.1126121307918914E-4</v>
      </c>
      <c r="V81" s="1">
        <f t="shared" si="32"/>
        <v>4.0140049985602479E-4</v>
      </c>
      <c r="W81" s="1"/>
      <c r="X81" s="6">
        <f t="shared" si="33"/>
        <v>1.0190473021298787</v>
      </c>
      <c r="Y81" s="6">
        <f t="shared" si="34"/>
        <v>1.045009250702007</v>
      </c>
      <c r="AA81">
        <f t="shared" si="35"/>
        <v>0.61298445497748055</v>
      </c>
      <c r="AB81">
        <f t="shared" si="36"/>
        <v>0.53470640725485508</v>
      </c>
      <c r="AC81">
        <f t="shared" si="37"/>
        <v>0.41570485590560652</v>
      </c>
      <c r="AD81">
        <f t="shared" si="38"/>
        <v>0.33984217120075344</v>
      </c>
      <c r="AE81">
        <f t="shared" si="39"/>
        <v>0.8166903033041073</v>
      </c>
      <c r="AF81">
        <f t="shared" si="40"/>
        <v>0.7589172325759701</v>
      </c>
    </row>
    <row r="82" spans="1:32" x14ac:dyDescent="0.3">
      <c r="A82" s="4"/>
      <c r="B82" s="4"/>
      <c r="C82" s="4"/>
      <c r="D82" s="1" t="e">
        <f t="shared" si="41"/>
        <v>#N/A</v>
      </c>
      <c r="E82" s="1" t="e">
        <f t="shared" si="42"/>
        <v>#N/A</v>
      </c>
      <c r="F82" s="5"/>
      <c r="G82" s="1">
        <f t="shared" si="43"/>
        <v>1.8594195728121825</v>
      </c>
      <c r="H82" s="5"/>
      <c r="I82" s="4">
        <f t="shared" si="22"/>
        <v>80</v>
      </c>
      <c r="J82" s="5"/>
      <c r="K82" s="5">
        <f t="shared" si="23"/>
        <v>0.22192212964817964</v>
      </c>
      <c r="L82" s="5">
        <f t="shared" si="24"/>
        <v>0.16709271590694216</v>
      </c>
      <c r="N82" s="1">
        <f t="shared" si="25"/>
        <v>1.8371173070873832</v>
      </c>
      <c r="O82" s="1">
        <f t="shared" si="26"/>
        <v>4.1335139409466128</v>
      </c>
      <c r="Q82" s="1">
        <f t="shared" si="27"/>
        <v>4.6739420414998095E-2</v>
      </c>
      <c r="R82" s="1">
        <f t="shared" si="28"/>
        <v>3.0236744884907962E-2</v>
      </c>
      <c r="S82" s="1">
        <f t="shared" si="29"/>
        <v>1.472814343081426E-2</v>
      </c>
      <c r="T82" s="1">
        <f t="shared" si="30"/>
        <v>8.7193450126342963E-3</v>
      </c>
      <c r="U82" s="1">
        <f t="shared" si="31"/>
        <v>1.0043825773046688E-3</v>
      </c>
      <c r="V82" s="1">
        <f t="shared" si="32"/>
        <v>5.0283922303537092E-4</v>
      </c>
      <c r="W82" s="1"/>
      <c r="X82" s="6">
        <f t="shared" si="33"/>
        <v>1</v>
      </c>
      <c r="Y82" s="6">
        <f t="shared" si="34"/>
        <v>1</v>
      </c>
      <c r="AA82" s="4">
        <f t="shared" si="35"/>
        <v>0.6368306511756191</v>
      </c>
      <c r="AB82" s="4">
        <f t="shared" si="36"/>
        <v>0.5596176923702425</v>
      </c>
      <c r="AC82" s="4">
        <f t="shared" si="37"/>
        <v>0.4403823076297575</v>
      </c>
      <c r="AD82" s="4">
        <f t="shared" si="38"/>
        <v>0.3631693488243809</v>
      </c>
      <c r="AE82" s="4">
        <f t="shared" si="39"/>
        <v>0.83290728409305792</v>
      </c>
      <c r="AF82" s="4">
        <f t="shared" si="40"/>
        <v>0.77807787035182041</v>
      </c>
    </row>
    <row r="83" spans="1:32" x14ac:dyDescent="0.3">
      <c r="D83" s="1" t="e">
        <f t="shared" si="41"/>
        <v>#N/A</v>
      </c>
      <c r="E83" s="1">
        <f t="shared" si="42"/>
        <v>1.8015860280517906</v>
      </c>
      <c r="G83" s="1">
        <f t="shared" si="43"/>
        <v>2.0907479727231681</v>
      </c>
      <c r="I83">
        <f t="shared" si="22"/>
        <v>81</v>
      </c>
      <c r="K83" s="1">
        <f t="shared" si="23"/>
        <v>0.24083934958525399</v>
      </c>
      <c r="L83" s="1">
        <f t="shared" si="24"/>
        <v>0.1831024030067662</v>
      </c>
      <c r="N83" s="1">
        <f t="shared" si="25"/>
        <v>1.8032018354079538</v>
      </c>
      <c r="O83" s="1">
        <f t="shared" si="26"/>
        <v>3.9576446318967431</v>
      </c>
      <c r="Q83" s="1">
        <f t="shared" si="27"/>
        <v>5.3132294571672213E-2</v>
      </c>
      <c r="R83" s="1">
        <f t="shared" si="28"/>
        <v>3.4745595898136056E-2</v>
      </c>
      <c r="S83" s="1">
        <f t="shared" si="29"/>
        <v>1.7205901257852745E-2</v>
      </c>
      <c r="T83" s="1">
        <f t="shared" si="30"/>
        <v>1.0300640705599095E-2</v>
      </c>
      <c r="U83" s="1">
        <f t="shared" si="31"/>
        <v>1.2357024266122976E-3</v>
      </c>
      <c r="V83" s="1">
        <f t="shared" si="32"/>
        <v>6.258693021164957E-4</v>
      </c>
      <c r="W83" s="1"/>
      <c r="X83" s="6">
        <f t="shared" si="33"/>
        <v>0.98153875555546322</v>
      </c>
      <c r="Y83" s="6">
        <f t="shared" si="34"/>
        <v>0.95745283273204751</v>
      </c>
      <c r="AA83">
        <f t="shared" si="35"/>
        <v>0.65987155310599599</v>
      </c>
      <c r="AB83">
        <f t="shared" si="36"/>
        <v>0.58399040500775801</v>
      </c>
      <c r="AC83">
        <f t="shared" si="37"/>
        <v>0.46498308559388407</v>
      </c>
      <c r="AD83">
        <f t="shared" si="38"/>
        <v>0.38671646607246096</v>
      </c>
      <c r="AE83">
        <f t="shared" si="39"/>
        <v>0.84798518299710601</v>
      </c>
      <c r="AF83">
        <f t="shared" si="40"/>
        <v>0.79611670983651983</v>
      </c>
    </row>
    <row r="84" spans="1:32" x14ac:dyDescent="0.3">
      <c r="D84" s="1" t="e">
        <f t="shared" si="41"/>
        <v>#N/A</v>
      </c>
      <c r="E84" s="1">
        <f t="shared" si="42"/>
        <v>1.766120624112963</v>
      </c>
      <c r="G84" s="1">
        <f t="shared" si="43"/>
        <v>2.34129743144549</v>
      </c>
      <c r="I84">
        <f t="shared" si="22"/>
        <v>82</v>
      </c>
      <c r="K84" s="1">
        <f t="shared" si="23"/>
        <v>0.26035391304643163</v>
      </c>
      <c r="L84" s="1">
        <f t="shared" si="24"/>
        <v>0.19982270258658966</v>
      </c>
      <c r="N84" s="1">
        <f t="shared" si="25"/>
        <v>1.7703172065633184</v>
      </c>
      <c r="O84" s="1">
        <f t="shared" si="26"/>
        <v>3.7912801568280456</v>
      </c>
      <c r="Q84" s="1">
        <f t="shared" si="27"/>
        <v>6.0108611855159887E-2</v>
      </c>
      <c r="R84" s="1">
        <f t="shared" si="28"/>
        <v>3.972703719928139E-2</v>
      </c>
      <c r="S84" s="1">
        <f t="shared" si="29"/>
        <v>1.9994501940852519E-2</v>
      </c>
      <c r="T84" s="1">
        <f t="shared" si="30"/>
        <v>1.2102410428987322E-2</v>
      </c>
      <c r="U84" s="1">
        <f t="shared" si="31"/>
        <v>1.5111028143876039E-3</v>
      </c>
      <c r="V84" s="1">
        <f t="shared" si="32"/>
        <v>7.7416244054419347E-4</v>
      </c>
      <c r="W84" s="1"/>
      <c r="X84" s="6">
        <f t="shared" si="33"/>
        <v>0.96363863087764834</v>
      </c>
      <c r="Y84" s="6">
        <f t="shared" si="34"/>
        <v>0.91720512159680978</v>
      </c>
      <c r="AA84">
        <f t="shared" si="35"/>
        <v>0.68205857631160149</v>
      </c>
      <c r="AB84">
        <f t="shared" si="36"/>
        <v>0.60775135896277344</v>
      </c>
      <c r="AC84">
        <f t="shared" si="37"/>
        <v>0.48941453623024889</v>
      </c>
      <c r="AD84">
        <f t="shared" si="38"/>
        <v>0.41039191710681877</v>
      </c>
      <c r="AE84">
        <f t="shared" si="39"/>
        <v>0.86196292228464055</v>
      </c>
      <c r="AF84">
        <f t="shared" si="40"/>
        <v>0.81304704534907979</v>
      </c>
    </row>
    <row r="85" spans="1:32" x14ac:dyDescent="0.3">
      <c r="D85" s="1" t="e">
        <f t="shared" si="41"/>
        <v>#N/A</v>
      </c>
      <c r="E85" s="1">
        <f t="shared" si="42"/>
        <v>1.7482051757819441</v>
      </c>
      <c r="G85" s="1">
        <f t="shared" si="43"/>
        <v>2.6116336555880224</v>
      </c>
      <c r="I85">
        <f t="shared" si="22"/>
        <v>83</v>
      </c>
      <c r="K85" s="1">
        <f t="shared" si="23"/>
        <v>0.28040193881670084</v>
      </c>
      <c r="L85" s="1">
        <f t="shared" si="24"/>
        <v>0.21721076676158513</v>
      </c>
      <c r="N85" s="1">
        <f t="shared" si="25"/>
        <v>1.7384200830134504</v>
      </c>
      <c r="O85" s="1">
        <f t="shared" si="26"/>
        <v>3.6338001444903014</v>
      </c>
      <c r="Q85" s="1">
        <f t="shared" si="27"/>
        <v>6.7685136721914188E-2</v>
      </c>
      <c r="R85" s="1">
        <f t="shared" si="28"/>
        <v>4.5203405618383811E-2</v>
      </c>
      <c r="S85" s="1">
        <f t="shared" si="29"/>
        <v>2.3116728696888477E-2</v>
      </c>
      <c r="T85" s="1">
        <f t="shared" si="30"/>
        <v>1.4144481630682007E-2</v>
      </c>
      <c r="U85" s="1">
        <f t="shared" si="31"/>
        <v>1.8370667152420755E-3</v>
      </c>
      <c r="V85" s="1">
        <f t="shared" si="32"/>
        <v>9.518344050814555E-4</v>
      </c>
      <c r="W85" s="1"/>
      <c r="X85" s="6">
        <f t="shared" si="33"/>
        <v>0.94627603599771759</v>
      </c>
      <c r="Y85" s="6">
        <f t="shared" si="34"/>
        <v>0.87910678333363224</v>
      </c>
      <c r="AA85">
        <f t="shared" si="35"/>
        <v>0.70335340118209677</v>
      </c>
      <c r="AB85">
        <f t="shared" si="36"/>
        <v>0.63083658060465964</v>
      </c>
      <c r="AC85">
        <f t="shared" si="37"/>
        <v>0.51358928085737543</v>
      </c>
      <c r="AD85">
        <f t="shared" si="38"/>
        <v>0.43410596620095415</v>
      </c>
      <c r="AE85">
        <f t="shared" si="39"/>
        <v>0.87488432272693184</v>
      </c>
      <c r="AF85">
        <f t="shared" si="40"/>
        <v>0.82888991174106652</v>
      </c>
    </row>
    <row r="86" spans="1:32" x14ac:dyDescent="0.3">
      <c r="D86" s="1" t="e">
        <f t="shared" si="41"/>
        <v>#N/A</v>
      </c>
      <c r="E86" s="1">
        <f t="shared" si="42"/>
        <v>1.743602846694893</v>
      </c>
      <c r="G86" s="1">
        <f t="shared" si="43"/>
        <v>2.90225678340747</v>
      </c>
      <c r="I86">
        <f t="shared" si="22"/>
        <v>84</v>
      </c>
      <c r="K86" s="1">
        <f t="shared" si="23"/>
        <v>0.30091630679418058</v>
      </c>
      <c r="L86" s="1">
        <f t="shared" si="24"/>
        <v>0.23521889053261621</v>
      </c>
      <c r="N86" s="1">
        <f t="shared" si="25"/>
        <v>1.7074694419062764</v>
      </c>
      <c r="O86" s="1">
        <f t="shared" si="26"/>
        <v>3.4846315140944415</v>
      </c>
      <c r="Q86" s="1">
        <f t="shared" si="27"/>
        <v>7.5875389491867534E-2</v>
      </c>
      <c r="R86" s="1">
        <f t="shared" si="28"/>
        <v>5.1195105289887979E-2</v>
      </c>
      <c r="S86" s="1">
        <f t="shared" si="29"/>
        <v>2.6595026593737539E-2</v>
      </c>
      <c r="T86" s="1">
        <f t="shared" si="30"/>
        <v>1.6446999584280534E-2</v>
      </c>
      <c r="U86" s="1">
        <f t="shared" si="31"/>
        <v>2.2206931286693704E-3</v>
      </c>
      <c r="V86" s="1">
        <f t="shared" si="32"/>
        <v>1.1634692317187842E-3</v>
      </c>
      <c r="W86" s="1"/>
      <c r="X86" s="6">
        <f t="shared" si="33"/>
        <v>0.92942864090336486</v>
      </c>
      <c r="Y86" s="6">
        <f t="shared" si="34"/>
        <v>0.84301917542255311</v>
      </c>
      <c r="AA86">
        <f t="shared" si="35"/>
        <v>0.72372749676293524</v>
      </c>
      <c r="AB86">
        <f t="shared" si="36"/>
        <v>0.65319132580079731</v>
      </c>
      <c r="AC86">
        <f t="shared" si="37"/>
        <v>0.53742588843117112</v>
      </c>
      <c r="AD86">
        <f t="shared" si="38"/>
        <v>0.45777166641519473</v>
      </c>
      <c r="AE86">
        <f t="shared" si="39"/>
        <v>0.88679695401783565</v>
      </c>
      <c r="AF86">
        <f t="shared" si="40"/>
        <v>0.84367294904761647</v>
      </c>
    </row>
    <row r="87" spans="1:32" x14ac:dyDescent="0.3">
      <c r="D87" s="1" t="e">
        <f t="shared" si="41"/>
        <v>#N/A</v>
      </c>
      <c r="E87" s="1">
        <f t="shared" si="42"/>
        <v>1.7486247301882356</v>
      </c>
      <c r="G87" s="1">
        <f t="shared" si="43"/>
        <v>3.2135985531478788</v>
      </c>
      <c r="I87">
        <f t="shared" si="22"/>
        <v>85</v>
      </c>
      <c r="K87" s="1">
        <f t="shared" si="23"/>
        <v>0.32182747298832592</v>
      </c>
      <c r="L87" s="1">
        <f t="shared" si="24"/>
        <v>0.2537950995737065</v>
      </c>
      <c r="N87" s="1">
        <f t="shared" si="25"/>
        <v>1.6774264257487188</v>
      </c>
      <c r="O87" s="1">
        <f t="shared" si="26"/>
        <v>3.3432443641220138</v>
      </c>
      <c r="Q87" s="1">
        <f t="shared" si="27"/>
        <v>8.4689423060889252E-2</v>
      </c>
      <c r="R87" s="1">
        <f t="shared" si="28"/>
        <v>5.7720328709073912E-2</v>
      </c>
      <c r="S87" s="1">
        <f t="shared" si="29"/>
        <v>3.0451264570840828E-2</v>
      </c>
      <c r="T87" s="1">
        <f t="shared" si="30"/>
        <v>1.9030257260808918E-2</v>
      </c>
      <c r="U87" s="1">
        <f t="shared" si="31"/>
        <v>2.6697061330234655E-3</v>
      </c>
      <c r="V87" s="1">
        <f t="shared" si="32"/>
        <v>1.4141405532240453E-3</v>
      </c>
      <c r="W87" s="1"/>
      <c r="X87" s="6">
        <f t="shared" si="33"/>
        <v>0.91307529425443001</v>
      </c>
      <c r="Y87" s="6">
        <f t="shared" si="34"/>
        <v>0.80881410148489297</v>
      </c>
      <c r="AA87">
        <f t="shared" si="35"/>
        <v>0.74316154234047893</v>
      </c>
      <c r="AB87">
        <f t="shared" si="36"/>
        <v>0.67476995206984969</v>
      </c>
      <c r="AC87">
        <f t="shared" si="37"/>
        <v>0.56084940381856596</v>
      </c>
      <c r="AD87">
        <f t="shared" si="38"/>
        <v>0.48130567310904271</v>
      </c>
      <c r="AE87">
        <f t="shared" si="39"/>
        <v>0.89775108666486181</v>
      </c>
      <c r="AF87">
        <f t="shared" si="40"/>
        <v>0.85742930915653504</v>
      </c>
    </row>
    <row r="88" spans="1:32" x14ac:dyDescent="0.3">
      <c r="D88" s="1" t="e">
        <f t="shared" si="41"/>
        <v>#N/A</v>
      </c>
      <c r="E88" s="1">
        <f t="shared" si="42"/>
        <v>1.7600942931257464</v>
      </c>
      <c r="G88" s="1">
        <f t="shared" si="43"/>
        <v>3.5460202854864882</v>
      </c>
      <c r="I88">
        <f t="shared" si="22"/>
        <v>86</v>
      </c>
      <c r="K88" s="1">
        <f t="shared" si="23"/>
        <v>0.3430642802517952</v>
      </c>
      <c r="L88" s="1">
        <f t="shared" si="24"/>
        <v>0.27288377701092037</v>
      </c>
      <c r="N88" s="1">
        <f t="shared" si="25"/>
        <v>1.6482542043310278</v>
      </c>
      <c r="O88" s="1">
        <f t="shared" si="26"/>
        <v>3.2091482615422935</v>
      </c>
      <c r="Q88" s="1">
        <f t="shared" si="27"/>
        <v>9.4133644622169735E-2</v>
      </c>
      <c r="R88" s="1">
        <f t="shared" si="28"/>
        <v>6.4794801723024445E-2</v>
      </c>
      <c r="S88" s="1">
        <f t="shared" si="29"/>
        <v>3.4706495919351002E-2</v>
      </c>
      <c r="T88" s="1">
        <f t="shared" si="30"/>
        <v>2.1914514726419212E-2</v>
      </c>
      <c r="U88" s="1">
        <f t="shared" si="31"/>
        <v>3.1924572643742223E-3</v>
      </c>
      <c r="V88" s="1">
        <f t="shared" si="32"/>
        <v>1.709429455353213E-3</v>
      </c>
      <c r="W88" s="1"/>
      <c r="X88" s="6">
        <f t="shared" si="33"/>
        <v>0.8971959482240226</v>
      </c>
      <c r="Y88" s="6">
        <f t="shared" si="34"/>
        <v>0.77637291355242621</v>
      </c>
      <c r="AA88">
        <f t="shared" si="35"/>
        <v>0.76164477095898886</v>
      </c>
      <c r="AB88">
        <f t="shared" si="36"/>
        <v>0.69553566504313602</v>
      </c>
      <c r="AC88">
        <f t="shared" si="37"/>
        <v>0.58379173577955823</v>
      </c>
      <c r="AD88">
        <f t="shared" si="38"/>
        <v>0.50462894624179744</v>
      </c>
      <c r="AE88">
        <f t="shared" si="39"/>
        <v>0.90779875064684978</v>
      </c>
      <c r="AF88">
        <f t="shared" si="40"/>
        <v>0.87019662026882283</v>
      </c>
    </row>
    <row r="89" spans="1:32" x14ac:dyDescent="0.3">
      <c r="D89" s="1" t="e">
        <f t="shared" si="41"/>
        <v>#N/A</v>
      </c>
      <c r="E89" s="1">
        <f t="shared" si="42"/>
        <v>1.7753103094670655</v>
      </c>
      <c r="G89" s="1">
        <f t="shared" si="43"/>
        <v>3.8998116686125428</v>
      </c>
      <c r="I89">
        <f t="shared" si="22"/>
        <v>87</v>
      </c>
      <c r="K89" s="1">
        <f t="shared" si="23"/>
        <v>0.36455475057991477</v>
      </c>
      <c r="L89" s="1">
        <f t="shared" si="24"/>
        <v>0.29242631604295122</v>
      </c>
      <c r="N89" s="1">
        <f t="shared" si="25"/>
        <v>1.6199178469371129</v>
      </c>
      <c r="O89" s="1">
        <f t="shared" si="26"/>
        <v>3.0818888883464699</v>
      </c>
      <c r="Q89" s="1">
        <f t="shared" si="27"/>
        <v>0.1042106847970086</v>
      </c>
      <c r="R89" s="1">
        <f t="shared" si="28"/>
        <v>7.2431556640269429E-2</v>
      </c>
      <c r="S89" s="1">
        <f t="shared" si="29"/>
        <v>3.9380721058774548E-2</v>
      </c>
      <c r="T89" s="1">
        <f t="shared" si="30"/>
        <v>2.5119810624071742E-2</v>
      </c>
      <c r="U89" s="1">
        <f t="shared" si="31"/>
        <v>3.7979206809347077E-3</v>
      </c>
      <c r="V89" s="1">
        <f t="shared" si="32"/>
        <v>2.0554382890498107E-3</v>
      </c>
      <c r="W89" s="1"/>
      <c r="X89" s="6">
        <f t="shared" si="33"/>
        <v>0.8817715889386375</v>
      </c>
      <c r="Y89" s="6">
        <f t="shared" si="34"/>
        <v>0.74558570078045705</v>
      </c>
      <c r="AA89">
        <f t="shared" si="35"/>
        <v>0.77917425741541391</v>
      </c>
      <c r="AB89">
        <f t="shared" si="36"/>
        <v>0.71546015870446644</v>
      </c>
      <c r="AC89">
        <f t="shared" si="37"/>
        <v>0.60619191153837015</v>
      </c>
      <c r="AD89">
        <f t="shared" si="38"/>
        <v>0.52766733853206538</v>
      </c>
      <c r="AE89">
        <f t="shared" si="39"/>
        <v>0.91699290261301969</v>
      </c>
      <c r="AF89">
        <f t="shared" si="40"/>
        <v>0.88201602094958687</v>
      </c>
    </row>
    <row r="90" spans="1:32" x14ac:dyDescent="0.3">
      <c r="D90" s="1" t="e">
        <f t="shared" si="41"/>
        <v>#N/A</v>
      </c>
      <c r="E90" s="1">
        <f t="shared" si="42"/>
        <v>1.7920088976873805</v>
      </c>
      <c r="G90" s="1">
        <f t="shared" si="43"/>
        <v>4.2751903210755557</v>
      </c>
      <c r="I90">
        <f t="shared" si="22"/>
        <v>88</v>
      </c>
      <c r="K90" s="1">
        <f t="shared" si="23"/>
        <v>0.38622684639358018</v>
      </c>
      <c r="L90" s="1">
        <f t="shared" si="24"/>
        <v>0.31236178566653661</v>
      </c>
      <c r="N90" s="1">
        <f t="shared" si="25"/>
        <v>1.5923842039667511</v>
      </c>
      <c r="O90" s="1">
        <f t="shared" si="26"/>
        <v>2.9610450073761894</v>
      </c>
      <c r="Q90" s="1">
        <f t="shared" si="27"/>
        <v>0.11491931554951951</v>
      </c>
      <c r="R90" s="1">
        <f t="shared" si="28"/>
        <v>8.0640737004004204E-2</v>
      </c>
      <c r="S90" s="1">
        <f t="shared" si="29"/>
        <v>4.4492656395177341E-2</v>
      </c>
      <c r="T90" s="1">
        <f t="shared" si="30"/>
        <v>2.8665768473640302E-2</v>
      </c>
      <c r="U90" s="1">
        <f t="shared" si="31"/>
        <v>4.495680674777942E-3</v>
      </c>
      <c r="V90" s="1">
        <f t="shared" si="32"/>
        <v>2.4587998994228606E-3</v>
      </c>
      <c r="W90" s="1"/>
      <c r="X90" s="6">
        <f t="shared" si="33"/>
        <v>0.86678417204144753</v>
      </c>
      <c r="Y90" s="6">
        <f t="shared" si="34"/>
        <v>0.716350555406155</v>
      </c>
      <c r="AA90">
        <f t="shared" si="35"/>
        <v>0.79575417130958659</v>
      </c>
      <c r="AB90">
        <f t="shared" si="36"/>
        <v>0.73452316868917078</v>
      </c>
      <c r="AC90">
        <f t="shared" si="37"/>
        <v>0.62799620698115977</v>
      </c>
      <c r="AD90">
        <f t="shared" si="38"/>
        <v>0.5503520693628241</v>
      </c>
      <c r="AE90">
        <f t="shared" si="39"/>
        <v>0.92538670049523342</v>
      </c>
      <c r="AF90">
        <f t="shared" si="40"/>
        <v>0.89293127197839894</v>
      </c>
    </row>
    <row r="91" spans="1:32" x14ac:dyDescent="0.3">
      <c r="D91" s="1" t="e">
        <f t="shared" si="41"/>
        <v>#N/A</v>
      </c>
      <c r="E91" s="1">
        <f t="shared" si="42"/>
        <v>1.8083252448715434</v>
      </c>
      <c r="G91" s="1">
        <f t="shared" si="43"/>
        <v>4.6723020958123698</v>
      </c>
      <c r="I91">
        <f t="shared" si="22"/>
        <v>89</v>
      </c>
      <c r="K91" s="1">
        <f t="shared" si="23"/>
        <v>0.4080091899555649</v>
      </c>
      <c r="L91" s="1">
        <f t="shared" si="24"/>
        <v>0.33262759745726467</v>
      </c>
      <c r="N91" s="1">
        <f t="shared" si="25"/>
        <v>1.565621797178798</v>
      </c>
      <c r="O91" s="1">
        <f t="shared" si="26"/>
        <v>2.8462257138460663</v>
      </c>
      <c r="Q91" s="1">
        <f t="shared" si="27"/>
        <v>0.12625441725337555</v>
      </c>
      <c r="R91" s="1">
        <f t="shared" si="28"/>
        <v>8.942943687782702E-2</v>
      </c>
      <c r="S91" s="1">
        <f t="shared" si="29"/>
        <v>5.0059512909320168E-2</v>
      </c>
      <c r="T91" s="1">
        <f t="shared" si="30"/>
        <v>3.2571400639016798E-2</v>
      </c>
      <c r="U91" s="1">
        <f t="shared" si="31"/>
        <v>5.2959112062649699E-3</v>
      </c>
      <c r="V91" s="1">
        <f t="shared" si="32"/>
        <v>2.9266817785055734E-3</v>
      </c>
      <c r="W91" s="1"/>
      <c r="X91" s="6">
        <f t="shared" si="33"/>
        <v>0.85221656294827364</v>
      </c>
      <c r="Y91" s="6">
        <f t="shared" si="34"/>
        <v>0.68857290782337466</v>
      </c>
      <c r="AA91">
        <f t="shared" si="35"/>
        <v>0.8113950135242648</v>
      </c>
      <c r="AB91">
        <f t="shared" si="36"/>
        <v>0.75271195725349704</v>
      </c>
      <c r="AC91">
        <f t="shared" si="37"/>
        <v>0.64915816315169494</v>
      </c>
      <c r="AD91">
        <f t="shared" si="38"/>
        <v>0.57262008678983101</v>
      </c>
      <c r="AE91">
        <f t="shared" si="39"/>
        <v>0.93303288208696988</v>
      </c>
      <c r="AF91">
        <f t="shared" si="40"/>
        <v>0.90298795104202267</v>
      </c>
    </row>
    <row r="92" spans="1:32" x14ac:dyDescent="0.3">
      <c r="D92" s="1" t="e">
        <f t="shared" si="41"/>
        <v>#N/A</v>
      </c>
      <c r="E92" s="1">
        <f t="shared" si="42"/>
        <v>1.8227555548294774</v>
      </c>
      <c r="G92" s="1">
        <f t="shared" si="43"/>
        <v>5.0912220788175517</v>
      </c>
      <c r="I92">
        <f t="shared" si="22"/>
        <v>90</v>
      </c>
      <c r="K92" s="1">
        <f t="shared" si="23"/>
        <v>0.4298317318895431</v>
      </c>
      <c r="L92" s="1">
        <f t="shared" si="24"/>
        <v>0.35316016226972924</v>
      </c>
      <c r="N92" s="1">
        <f t="shared" si="25"/>
        <v>1.5396007178390017</v>
      </c>
      <c r="O92" s="1">
        <f t="shared" si="26"/>
        <v>2.7370679428248912</v>
      </c>
      <c r="Q92" s="1">
        <f t="shared" si="27"/>
        <v>0.13820699431731612</v>
      </c>
      <c r="R92" s="1">
        <f t="shared" si="28"/>
        <v>9.88015767617475E-2</v>
      </c>
      <c r="S92" s="1">
        <f t="shared" si="29"/>
        <v>5.6096787909261946E-2</v>
      </c>
      <c r="T92" s="1">
        <f t="shared" si="30"/>
        <v>3.6854912861482687E-2</v>
      </c>
      <c r="U92" s="1">
        <f t="shared" si="31"/>
        <v>6.209347260441719E-3</v>
      </c>
      <c r="V92" s="1">
        <f t="shared" si="32"/>
        <v>3.4667847070069002E-3</v>
      </c>
      <c r="W92" s="1"/>
      <c r="X92" s="6">
        <f t="shared" si="33"/>
        <v>0.83805248140627853</v>
      </c>
      <c r="Y92" s="6">
        <f t="shared" si="34"/>
        <v>0.66216492358026935</v>
      </c>
      <c r="AA92">
        <f t="shared" si="35"/>
        <v>0.82611285217965236</v>
      </c>
      <c r="AB92">
        <f t="shared" si="36"/>
        <v>0.77002074747556115</v>
      </c>
      <c r="AC92">
        <f t="shared" si="37"/>
        <v>0.66963850085793852</v>
      </c>
      <c r="AD92">
        <f t="shared" si="38"/>
        <v>0.59441432211371659</v>
      </c>
      <c r="AE92">
        <f t="shared" si="39"/>
        <v>0.93998324236194897</v>
      </c>
      <c r="AF92">
        <f t="shared" si="40"/>
        <v>0.9122327325859062</v>
      </c>
    </row>
    <row r="93" spans="1:32" x14ac:dyDescent="0.3">
      <c r="D93" s="1" t="e">
        <f t="shared" si="41"/>
        <v>#N/A</v>
      </c>
      <c r="E93" s="1">
        <f t="shared" si="42"/>
        <v>1.8341197019905842</v>
      </c>
      <c r="G93" s="1">
        <f t="shared" si="43"/>
        <v>5.5319562278131471</v>
      </c>
      <c r="I93">
        <f t="shared" si="22"/>
        <v>91</v>
      </c>
      <c r="K93" s="1">
        <f t="shared" si="23"/>
        <v>0.45162636161494119</v>
      </c>
      <c r="L93" s="1">
        <f t="shared" si="24"/>
        <v>0.37389552681062799</v>
      </c>
      <c r="N93" s="1">
        <f t="shared" si="25"/>
        <v>1.5142925321227636</v>
      </c>
      <c r="O93" s="1">
        <f t="shared" si="26"/>
        <v>2.633234206323849</v>
      </c>
      <c r="Q93" s="1">
        <f t="shared" si="27"/>
        <v>0.15076423788163992</v>
      </c>
      <c r="R93" s="1">
        <f t="shared" si="28"/>
        <v>0.10875781751070462</v>
      </c>
      <c r="S93" s="1">
        <f t="shared" si="29"/>
        <v>6.2618073099600949E-2</v>
      </c>
      <c r="T93" s="1">
        <f t="shared" si="30"/>
        <v>4.1533512246582131E-2</v>
      </c>
      <c r="U93" s="1">
        <f t="shared" si="31"/>
        <v>7.2472479558163636E-3</v>
      </c>
      <c r="V93" s="1">
        <f t="shared" si="32"/>
        <v>4.0873355193955891E-3</v>
      </c>
      <c r="W93" s="1"/>
      <c r="X93" s="6">
        <f t="shared" si="33"/>
        <v>0.8242764500017502</v>
      </c>
      <c r="Y93" s="6">
        <f t="shared" si="34"/>
        <v>0.63704495592455035</v>
      </c>
      <c r="AA93">
        <f t="shared" si="35"/>
        <v>0.83992857174251268</v>
      </c>
      <c r="AB93">
        <f t="shared" si="36"/>
        <v>0.78645012291291072</v>
      </c>
      <c r="AC93">
        <f t="shared" si="37"/>
        <v>0.68940494589318801</v>
      </c>
      <c r="AD93">
        <f t="shared" si="38"/>
        <v>0.61568384320214653</v>
      </c>
      <c r="AE93">
        <f t="shared" si="39"/>
        <v>0.94628820300694261</v>
      </c>
      <c r="AF93">
        <f t="shared" si="40"/>
        <v>0.92071275285110543</v>
      </c>
    </row>
    <row r="94" spans="1:32" x14ac:dyDescent="0.3">
      <c r="D94" s="1" t="e">
        <f t="shared" si="41"/>
        <v>#N/A</v>
      </c>
      <c r="E94" s="1">
        <f t="shared" si="42"/>
        <v>1.8415250107804511</v>
      </c>
      <c r="G94" s="1">
        <f t="shared" si="43"/>
        <v>5.9944435899990367</v>
      </c>
      <c r="I94">
        <f t="shared" si="22"/>
        <v>92</v>
      </c>
      <c r="K94" s="1">
        <f t="shared" si="23"/>
        <v>0.47332745432577039</v>
      </c>
      <c r="L94" s="1">
        <f t="shared" si="24"/>
        <v>0.39476998125538587</v>
      </c>
      <c r="N94" s="1">
        <f t="shared" si="25"/>
        <v>1.4896701931830278</v>
      </c>
      <c r="O94" s="1">
        <f t="shared" si="26"/>
        <v>2.5344105366062855</v>
      </c>
      <c r="Q94" s="1">
        <f t="shared" si="27"/>
        <v>0.16390963328833216</v>
      </c>
      <c r="R94" s="1">
        <f t="shared" si="28"/>
        <v>0.11929551288771287</v>
      </c>
      <c r="S94" s="1">
        <f t="shared" si="29"/>
        <v>6.9634881778698698E-2</v>
      </c>
      <c r="T94" s="1">
        <f t="shared" si="30"/>
        <v>4.6623221519402014E-2</v>
      </c>
      <c r="U94" s="1">
        <f t="shared" si="31"/>
        <v>8.4213514714197718E-3</v>
      </c>
      <c r="V94" s="1">
        <f t="shared" si="32"/>
        <v>4.7970737053345414E-3</v>
      </c>
      <c r="W94" s="1"/>
      <c r="X94" s="6">
        <f t="shared" si="33"/>
        <v>0.81087374629592501</v>
      </c>
      <c r="Y94" s="6">
        <f t="shared" si="34"/>
        <v>0.6131370482388846</v>
      </c>
      <c r="AA94">
        <f t="shared" si="35"/>
        <v>0.85286714664627372</v>
      </c>
      <c r="AB94">
        <f t="shared" si="36"/>
        <v>0.80200640740621953</v>
      </c>
      <c r="AC94">
        <f t="shared" si="37"/>
        <v>0.70843197766458088</v>
      </c>
      <c r="AD94">
        <f t="shared" si="38"/>
        <v>0.63638391410337869</v>
      </c>
      <c r="AE94">
        <f t="shared" si="39"/>
        <v>0.95199646676696037</v>
      </c>
      <c r="AF94">
        <f t="shared" si="40"/>
        <v>0.92847505825306986</v>
      </c>
    </row>
    <row r="95" spans="1:32" x14ac:dyDescent="0.3">
      <c r="D95" s="1" t="e">
        <f t="shared" si="41"/>
        <v>#N/A</v>
      </c>
      <c r="E95" s="1">
        <f t="shared" si="42"/>
        <v>1.8443315148243968</v>
      </c>
      <c r="G95" s="1">
        <f t="shared" si="43"/>
        <v>6.4785590334714129</v>
      </c>
      <c r="I95">
        <f t="shared" si="22"/>
        <v>93</v>
      </c>
      <c r="K95" s="1">
        <f t="shared" si="23"/>
        <v>0.49487235088282017</v>
      </c>
      <c r="L95" s="1">
        <f t="shared" si="24"/>
        <v>0.41572063037670659</v>
      </c>
      <c r="N95" s="1">
        <f t="shared" si="25"/>
        <v>1.4657079593472637</v>
      </c>
      <c r="O95" s="1">
        <f t="shared" si="26"/>
        <v>2.4403046149382122</v>
      </c>
      <c r="Q95" s="1">
        <f t="shared" si="27"/>
        <v>0.17762310931678654</v>
      </c>
      <c r="R95" s="1">
        <f t="shared" si="28"/>
        <v>0.13040870066703703</v>
      </c>
      <c r="S95" s="1">
        <f t="shared" si="29"/>
        <v>7.7156497587044362E-2</v>
      </c>
      <c r="T95" s="1">
        <f t="shared" si="30"/>
        <v>5.2138702234498846E-2</v>
      </c>
      <c r="U95" s="1">
        <f t="shared" si="31"/>
        <v>9.7438219948171798E-3</v>
      </c>
      <c r="V95" s="1">
        <f t="shared" si="32"/>
        <v>5.6052316470987093E-3</v>
      </c>
      <c r="W95" s="1"/>
      <c r="X95" s="6">
        <f t="shared" si="33"/>
        <v>0.79783035829706372</v>
      </c>
      <c r="Y95" s="6">
        <f t="shared" si="34"/>
        <v>0.59037048133902281</v>
      </c>
      <c r="AA95">
        <f t="shared" si="35"/>
        <v>0.86495694855523819</v>
      </c>
      <c r="AB95">
        <f t="shared" si="36"/>
        <v>0.81670103806091809</v>
      </c>
      <c r="AC95">
        <f t="shared" si="37"/>
        <v>0.7267005139631878</v>
      </c>
      <c r="AD95">
        <f t="shared" si="38"/>
        <v>0.65647596949256359</v>
      </c>
      <c r="AE95">
        <f t="shared" si="39"/>
        <v>0.95715474868543249</v>
      </c>
      <c r="AF95">
        <f t="shared" si="40"/>
        <v>0.93556613378022968</v>
      </c>
    </row>
    <row r="96" spans="1:32" x14ac:dyDescent="0.3">
      <c r="D96" s="1" t="e">
        <f t="shared" si="41"/>
        <v>#N/A</v>
      </c>
      <c r="E96" s="1">
        <f t="shared" si="42"/>
        <v>1.8421189843260279</v>
      </c>
      <c r="G96" s="1">
        <f t="shared" si="43"/>
        <v>6.9841164240923916</v>
      </c>
      <c r="I96">
        <f t="shared" si="22"/>
        <v>94</v>
      </c>
      <c r="K96" s="1">
        <f t="shared" si="23"/>
        <v>0.51620176861942191</v>
      </c>
      <c r="L96" s="1">
        <f t="shared" si="24"/>
        <v>0.43668592198918132</v>
      </c>
      <c r="N96" s="1">
        <f t="shared" si="25"/>
        <v>1.4423813179558265</v>
      </c>
      <c r="O96" s="1">
        <f t="shared" si="26"/>
        <v>2.3506440672888074</v>
      </c>
      <c r="Q96" s="1">
        <f t="shared" si="27"/>
        <v>0.1918812255751671</v>
      </c>
      <c r="R96" s="1">
        <f t="shared" si="28"/>
        <v>0.14208813152537744</v>
      </c>
      <c r="S96" s="1">
        <f t="shared" si="29"/>
        <v>8.518984680601456E-2</v>
      </c>
      <c r="T96" s="1">
        <f t="shared" si="30"/>
        <v>5.8093089446966339E-2</v>
      </c>
      <c r="U96" s="1">
        <f t="shared" si="31"/>
        <v>1.1227189028727786E-2</v>
      </c>
      <c r="V96" s="1">
        <f t="shared" si="32"/>
        <v>6.521508385353497E-3</v>
      </c>
      <c r="W96" s="1"/>
      <c r="X96" s="6">
        <f t="shared" si="33"/>
        <v>0.78513294300330649</v>
      </c>
      <c r="Y96" s="6">
        <f t="shared" si="34"/>
        <v>0.56867936116129036</v>
      </c>
      <c r="AA96">
        <f t="shared" si="35"/>
        <v>0.87622909432807694</v>
      </c>
      <c r="AB96">
        <f t="shared" si="36"/>
        <v>0.83054994272576588</v>
      </c>
      <c r="AC96">
        <f t="shared" si="37"/>
        <v>0.74419754425916673</v>
      </c>
      <c r="AD96">
        <f t="shared" si="38"/>
        <v>0.67592751316183319</v>
      </c>
      <c r="AE96">
        <f t="shared" si="39"/>
        <v>0.96180757610739231</v>
      </c>
      <c r="AF96">
        <f t="shared" si="40"/>
        <v>0.94203150696867644</v>
      </c>
    </row>
    <row r="97" spans="4:32" x14ac:dyDescent="0.3">
      <c r="D97" s="1" t="e">
        <f t="shared" si="41"/>
        <v>#N/A</v>
      </c>
      <c r="E97" s="1">
        <f t="shared" si="42"/>
        <v>1.8346559455119511</v>
      </c>
      <c r="G97" s="1">
        <f t="shared" si="43"/>
        <v>7.5108721783527059</v>
      </c>
      <c r="I97">
        <f t="shared" si="22"/>
        <v>95</v>
      </c>
      <c r="K97" s="1">
        <f t="shared" si="23"/>
        <v>0.53726014255325238</v>
      </c>
      <c r="L97" s="1">
        <f t="shared" si="24"/>
        <v>0.45760612784927152</v>
      </c>
      <c r="N97" s="1">
        <f t="shared" si="25"/>
        <v>1.4196669143975149</v>
      </c>
      <c r="O97" s="1">
        <f t="shared" si="26"/>
        <v>2.2651749105068379</v>
      </c>
      <c r="Q97" s="1">
        <f t="shared" si="27"/>
        <v>0.20665739395023219</v>
      </c>
      <c r="R97" s="1">
        <f t="shared" si="28"/>
        <v>0.15432133433439268</v>
      </c>
      <c r="S97" s="1">
        <f t="shared" si="29"/>
        <v>9.3739395758481767E-2</v>
      </c>
      <c r="T97" s="1">
        <f t="shared" si="30"/>
        <v>6.4497840126618841E-2</v>
      </c>
      <c r="U97" s="1">
        <f t="shared" si="31"/>
        <v>1.2884279524171054E-2</v>
      </c>
      <c r="V97" s="1">
        <f t="shared" si="32"/>
        <v>7.5560369025960816E-3</v>
      </c>
      <c r="W97" s="1"/>
      <c r="X97" s="6">
        <f t="shared" si="33"/>
        <v>0.77276878777452385</v>
      </c>
      <c r="Y97" s="6">
        <f t="shared" si="34"/>
        <v>0.54800224285395582</v>
      </c>
      <c r="AA97">
        <f t="shared" si="35"/>
        <v>0.88671683983477745</v>
      </c>
      <c r="AB97">
        <f t="shared" si="36"/>
        <v>0.84357293157586133</v>
      </c>
      <c r="AC97">
        <f t="shared" si="37"/>
        <v>0.76091572331767421</v>
      </c>
      <c r="AD97">
        <f t="shared" si="38"/>
        <v>0.69471195013527043</v>
      </c>
      <c r="AE97">
        <f t="shared" si="39"/>
        <v>0.96599714934349357</v>
      </c>
      <c r="AF97">
        <f t="shared" si="40"/>
        <v>0.94791542220534164</v>
      </c>
    </row>
    <row r="98" spans="4:32" x14ac:dyDescent="0.3">
      <c r="D98" s="1" t="e">
        <f t="shared" si="41"/>
        <v>#N/A</v>
      </c>
      <c r="E98" s="1">
        <f t="shared" si="42"/>
        <v>1.8218708548163427</v>
      </c>
      <c r="G98" s="1">
        <f t="shared" si="43"/>
        <v>8.0585291229420974</v>
      </c>
      <c r="I98">
        <f t="shared" si="22"/>
        <v>96</v>
      </c>
      <c r="K98" s="1">
        <f t="shared" si="23"/>
        <v>0.55799589783012893</v>
      </c>
      <c r="L98" s="1">
        <f t="shared" si="24"/>
        <v>0.47842377345126075</v>
      </c>
      <c r="N98" s="1">
        <f t="shared" si="25"/>
        <v>1.3975424859373684</v>
      </c>
      <c r="O98" s="1">
        <f t="shared" si="26"/>
        <v>2.1836601342771385</v>
      </c>
      <c r="Q98" s="1">
        <f t="shared" si="27"/>
        <v>0.22192212964817964</v>
      </c>
      <c r="R98" s="1">
        <f t="shared" si="28"/>
        <v>0.16709271590694216</v>
      </c>
      <c r="S98" s="1">
        <f t="shared" si="29"/>
        <v>0.10280707440266672</v>
      </c>
      <c r="T98" s="1">
        <f t="shared" si="30"/>
        <v>7.1362597335071901E-2</v>
      </c>
      <c r="U98" s="1">
        <f t="shared" si="31"/>
        <v>1.472814343081426E-2</v>
      </c>
      <c r="V98" s="1">
        <f t="shared" si="32"/>
        <v>8.7193450126342963E-3</v>
      </c>
      <c r="W98" s="1"/>
      <c r="X98" s="6">
        <f t="shared" si="33"/>
        <v>0.76072577431273081</v>
      </c>
      <c r="Y98" s="6">
        <f t="shared" si="34"/>
        <v>0.52828178771717416</v>
      </c>
      <c r="AA98">
        <f t="shared" si="35"/>
        <v>0.89645502307708047</v>
      </c>
      <c r="AB98">
        <f t="shared" si="36"/>
        <v>0.85579311074329822</v>
      </c>
      <c r="AC98">
        <f t="shared" si="37"/>
        <v>0.77685293615924467</v>
      </c>
      <c r="AD98">
        <f t="shared" si="38"/>
        <v>0.71280836209487286</v>
      </c>
      <c r="AE98">
        <f t="shared" si="39"/>
        <v>0.96976325511509198</v>
      </c>
      <c r="AF98">
        <f t="shared" si="40"/>
        <v>0.95326057958500188</v>
      </c>
    </row>
    <row r="99" spans="4:32" x14ac:dyDescent="0.3">
      <c r="D99" s="1" t="e">
        <f t="shared" si="41"/>
        <v>#N/A</v>
      </c>
      <c r="E99" s="1">
        <f t="shared" si="42"/>
        <v>1.803825533782053</v>
      </c>
      <c r="G99" s="1">
        <f t="shared" si="43"/>
        <v>8.62674059316425</v>
      </c>
      <c r="I99">
        <f t="shared" si="22"/>
        <v>97</v>
      </c>
      <c r="K99" s="1">
        <f t="shared" si="23"/>
        <v>0.57836165538771045</v>
      </c>
      <c r="L99" s="1">
        <f t="shared" si="24"/>
        <v>0.49908401439917849</v>
      </c>
      <c r="N99" s="1">
        <f t="shared" si="25"/>
        <v>1.3759867999671302</v>
      </c>
      <c r="O99" s="1">
        <f t="shared" si="26"/>
        <v>2.1058784057313931</v>
      </c>
      <c r="Q99" s="1">
        <f t="shared" si="27"/>
        <v>0.23764332710463104</v>
      </c>
      <c r="R99" s="1">
        <f t="shared" si="28"/>
        <v>0.18038369276044663</v>
      </c>
      <c r="S99" s="1">
        <f t="shared" si="29"/>
        <v>0.11239222674940497</v>
      </c>
      <c r="T99" s="1">
        <f t="shared" si="30"/>
        <v>7.8695071893254614E-2</v>
      </c>
      <c r="U99" s="1">
        <f t="shared" si="31"/>
        <v>1.6771973367921165E-2</v>
      </c>
      <c r="V99" s="1">
        <f t="shared" si="32"/>
        <v>1.0022310043642008E-2</v>
      </c>
      <c r="W99" s="1"/>
      <c r="X99" s="6">
        <f t="shared" si="33"/>
        <v>0.74899234504989654</v>
      </c>
      <c r="Y99" s="6">
        <f t="shared" si="34"/>
        <v>0.50946444981606309</v>
      </c>
      <c r="AA99">
        <f t="shared" si="35"/>
        <v>0.90547955856518691</v>
      </c>
      <c r="AB99">
        <f t="shared" si="36"/>
        <v>0.867236324357613</v>
      </c>
      <c r="AC99">
        <f t="shared" si="37"/>
        <v>0.79201184448145401</v>
      </c>
      <c r="AD99">
        <f t="shared" si="38"/>
        <v>0.73020123568045026</v>
      </c>
      <c r="AE99">
        <f t="shared" si="39"/>
        <v>0.97314322526908714</v>
      </c>
      <c r="AF99">
        <f t="shared" si="40"/>
        <v>0.95810793225525503</v>
      </c>
    </row>
    <row r="100" spans="4:32" x14ac:dyDescent="0.3">
      <c r="D100" s="1" t="e">
        <f t="shared" si="41"/>
        <v>#N/A</v>
      </c>
      <c r="E100" s="1">
        <f t="shared" si="42"/>
        <v>1.78069091935469</v>
      </c>
      <c r="G100" s="1">
        <f t="shared" si="43"/>
        <v>9.2151147048272577</v>
      </c>
      <c r="I100">
        <f t="shared" si="22"/>
        <v>98</v>
      </c>
      <c r="K100" s="1">
        <f t="shared" si="23"/>
        <v>0.59831437381129005</v>
      </c>
      <c r="L100" s="1">
        <f t="shared" si="24"/>
        <v>0.51953495818970086</v>
      </c>
      <c r="N100" s="1">
        <f t="shared" si="25"/>
        <v>1.3549795963407871</v>
      </c>
      <c r="O100" s="1">
        <f t="shared" si="26"/>
        <v>2.0316228849757745</v>
      </c>
      <c r="Q100" s="1">
        <f t="shared" si="27"/>
        <v>0.25378655589922583</v>
      </c>
      <c r="R100" s="1">
        <f t="shared" si="28"/>
        <v>0.19417285204943896</v>
      </c>
      <c r="S100" s="1">
        <f t="shared" si="29"/>
        <v>0.12249158828093468</v>
      </c>
      <c r="T100" s="1">
        <f t="shared" si="30"/>
        <v>8.6500942952475304E-2</v>
      </c>
      <c r="U100" s="1">
        <f t="shared" si="31"/>
        <v>1.9029019219765648E-2</v>
      </c>
      <c r="V100" s="1">
        <f t="shared" si="32"/>
        <v>1.147610759955286E-2</v>
      </c>
      <c r="W100" s="1"/>
      <c r="X100" s="6">
        <f t="shared" si="33"/>
        <v>0.73755747175938879</v>
      </c>
      <c r="Y100" s="6">
        <f t="shared" si="34"/>
        <v>0.4915001894273312</v>
      </c>
      <c r="AA100">
        <f t="shared" si="35"/>
        <v>0.91382698361496317</v>
      </c>
      <c r="AB100">
        <f t="shared" si="36"/>
        <v>0.87793062988707093</v>
      </c>
      <c r="AC100">
        <f t="shared" si="37"/>
        <v>0.80639942366149853</v>
      </c>
      <c r="AD100">
        <f t="shared" si="38"/>
        <v>0.74688015291233223</v>
      </c>
      <c r="AE100">
        <f t="shared" si="39"/>
        <v>0.97617193372502287</v>
      </c>
      <c r="AF100">
        <f t="shared" si="40"/>
        <v>0.96249653608884822</v>
      </c>
    </row>
    <row r="101" spans="4:32" x14ac:dyDescent="0.3">
      <c r="D101" s="1" t="e">
        <f t="shared" si="41"/>
        <v>#N/A</v>
      </c>
      <c r="E101" s="1">
        <f t="shared" si="42"/>
        <v>1.7527251388949381</v>
      </c>
      <c r="G101" s="1">
        <f t="shared" si="43"/>
        <v>9.8232187376315991</v>
      </c>
      <c r="I101">
        <f t="shared" si="22"/>
        <v>99</v>
      </c>
      <c r="K101" s="1">
        <f t="shared" si="23"/>
        <v>0.6178154311601376</v>
      </c>
      <c r="L101" s="1">
        <f t="shared" si="24"/>
        <v>0.53972793129449159</v>
      </c>
      <c r="N101" s="1">
        <f t="shared" si="25"/>
        <v>1.3345015334864976</v>
      </c>
      <c r="O101" s="1">
        <f t="shared" si="26"/>
        <v>1.960700141026994</v>
      </c>
      <c r="Q101" s="1">
        <f t="shared" si="27"/>
        <v>0.27031537177288706</v>
      </c>
      <c r="R101" s="1">
        <f t="shared" si="28"/>
        <v>0.20843613848885223</v>
      </c>
      <c r="S101" s="1">
        <f t="shared" si="29"/>
        <v>0.13309929011570709</v>
      </c>
      <c r="T101" s="1">
        <f t="shared" si="30"/>
        <v>9.4783778553500134E-2</v>
      </c>
      <c r="U101" s="1">
        <f t="shared" si="31"/>
        <v>2.1512498545705458E-2</v>
      </c>
      <c r="V101" s="1">
        <f t="shared" si="32"/>
        <v>1.309215477789037E-2</v>
      </c>
      <c r="W101" s="1"/>
      <c r="X101" s="6">
        <f t="shared" si="33"/>
        <v>0.72641062622302177</v>
      </c>
      <c r="Y101" s="6">
        <f t="shared" si="34"/>
        <v>0.47434221077720023</v>
      </c>
      <c r="AA101">
        <f t="shared" si="35"/>
        <v>0.9215340561452976</v>
      </c>
      <c r="AB101">
        <f t="shared" si="36"/>
        <v>0.88790581032931848</v>
      </c>
      <c r="AC101">
        <f t="shared" si="37"/>
        <v>0.82002649841141206</v>
      </c>
      <c r="AD101">
        <f t="shared" si="38"/>
        <v>0.76283945251746776</v>
      </c>
      <c r="AE101">
        <f t="shared" si="39"/>
        <v>0.97888182516118905</v>
      </c>
      <c r="AF101">
        <f t="shared" si="40"/>
        <v>0.96646344558738972</v>
      </c>
    </row>
    <row r="102" spans="4:32" x14ac:dyDescent="0.3">
      <c r="D102" s="1" t="e">
        <f t="shared" si="41"/>
        <v>#N/A</v>
      </c>
      <c r="E102" s="1">
        <f t="shared" si="42"/>
        <v>1.7202538800827867</v>
      </c>
      <c r="G102" s="1">
        <f t="shared" si="43"/>
        <v>10.450583572185565</v>
      </c>
      <c r="I102">
        <f t="shared" si="22"/>
        <v>100</v>
      </c>
      <c r="K102" s="1">
        <f t="shared" si="23"/>
        <v>0.6368306511756191</v>
      </c>
      <c r="L102" s="1">
        <f t="shared" si="24"/>
        <v>0.5596176923702425</v>
      </c>
      <c r="N102" s="1">
        <f t="shared" si="25"/>
        <v>1.3145341380123985</v>
      </c>
      <c r="O102" s="1">
        <f t="shared" si="26"/>
        <v>1.8929291587378538</v>
      </c>
      <c r="Q102" s="1">
        <f t="shared" si="27"/>
        <v>0.28719163790512708</v>
      </c>
      <c r="R102" s="1">
        <f t="shared" si="28"/>
        <v>0.22314706384075533</v>
      </c>
      <c r="S102" s="1">
        <f t="shared" si="29"/>
        <v>0.14420688925670178</v>
      </c>
      <c r="T102" s="1">
        <f t="shared" si="30"/>
        <v>0.10354497692291953</v>
      </c>
      <c r="U102" s="1">
        <f t="shared" si="31"/>
        <v>2.4235503765815347E-2</v>
      </c>
      <c r="V102" s="1">
        <f t="shared" si="32"/>
        <v>1.4882048309757576E-2</v>
      </c>
      <c r="W102" s="1"/>
      <c r="X102" s="6">
        <f t="shared" si="33"/>
        <v>0.71554175279993282</v>
      </c>
      <c r="Y102" s="6">
        <f t="shared" si="34"/>
        <v>0.45794672179195706</v>
      </c>
      <c r="AA102">
        <f t="shared" si="35"/>
        <v>0.92863740266492811</v>
      </c>
      <c r="AB102">
        <f t="shared" si="36"/>
        <v>0.89719292559733332</v>
      </c>
      <c r="AC102">
        <f t="shared" si="37"/>
        <v>0.83290728409305792</v>
      </c>
      <c r="AD102">
        <f t="shared" si="38"/>
        <v>0.77807787035182041</v>
      </c>
      <c r="AE102">
        <f t="shared" si="39"/>
        <v>0.98130296953188956</v>
      </c>
      <c r="AF102">
        <f t="shared" si="40"/>
        <v>0.97004365011071214</v>
      </c>
    </row>
    <row r="103" spans="4:32" x14ac:dyDescent="0.3">
      <c r="D103" s="1" t="e">
        <f t="shared" si="41"/>
        <v>#N/A</v>
      </c>
      <c r="E103" s="1">
        <f t="shared" si="42"/>
        <v>1.6836529929571462</v>
      </c>
      <c r="G103" s="1">
        <f t="shared" si="43"/>
        <v>11.096708127437402</v>
      </c>
      <c r="I103">
        <f t="shared" si="22"/>
        <v>101</v>
      </c>
      <c r="K103" s="1">
        <f t="shared" si="23"/>
        <v>0.65533027875009464</v>
      </c>
      <c r="L103" s="1">
        <f t="shared" si="24"/>
        <v>0.57916259324335895</v>
      </c>
      <c r="N103" s="1">
        <f t="shared" si="25"/>
        <v>1.295059757547492</v>
      </c>
      <c r="O103" s="1">
        <f t="shared" si="26"/>
        <v>1.8281404282603555</v>
      </c>
      <c r="Q103" s="1">
        <f t="shared" si="27"/>
        <v>0.30437585175469839</v>
      </c>
      <c r="R103" s="1">
        <f t="shared" si="28"/>
        <v>0.23827693536881633</v>
      </c>
      <c r="S103" s="1">
        <f t="shared" si="29"/>
        <v>0.1558034238871259</v>
      </c>
      <c r="T103" s="1">
        <f t="shared" si="30"/>
        <v>0.11278372892170997</v>
      </c>
      <c r="U103" s="1">
        <f t="shared" si="31"/>
        <v>2.7210907136967392E-2</v>
      </c>
      <c r="V103" s="1">
        <f t="shared" si="32"/>
        <v>1.6857498167974855E-2</v>
      </c>
      <c r="W103" s="1"/>
      <c r="X103" s="6">
        <f t="shared" si="33"/>
        <v>0.70494124275641168</v>
      </c>
      <c r="Y103" s="6">
        <f t="shared" si="34"/>
        <v>0.44227271381639399</v>
      </c>
      <c r="AA103">
        <f t="shared" si="35"/>
        <v>0.93517321442855583</v>
      </c>
      <c r="AB103">
        <f t="shared" si="36"/>
        <v>0.90582390438921867</v>
      </c>
      <c r="AC103">
        <f t="shared" si="37"/>
        <v>0.84505893964733114</v>
      </c>
      <c r="AD103">
        <f t="shared" si="38"/>
        <v>0.792598166437258</v>
      </c>
      <c r="AE103">
        <f t="shared" si="39"/>
        <v>0.98346313711068023</v>
      </c>
      <c r="AF103">
        <f t="shared" si="40"/>
        <v>0.97327004481168378</v>
      </c>
    </row>
    <row r="104" spans="4:32" x14ac:dyDescent="0.3">
      <c r="D104" s="1" t="e">
        <f t="shared" si="41"/>
        <v>#N/A</v>
      </c>
      <c r="E104" s="1">
        <f t="shared" si="42"/>
        <v>1.6433332344518305</v>
      </c>
      <c r="G104" s="1">
        <f t="shared" si="43"/>
        <v>11.761063750361359</v>
      </c>
      <c r="I104">
        <f t="shared" si="22"/>
        <v>102</v>
      </c>
      <c r="K104" s="1">
        <f t="shared" si="23"/>
        <v>0.67328890984990841</v>
      </c>
      <c r="L104" s="1">
        <f t="shared" si="24"/>
        <v>0.59832469001053878</v>
      </c>
      <c r="N104" s="1">
        <f t="shared" si="25"/>
        <v>1.2760615165803304</v>
      </c>
      <c r="O104" s="1">
        <f t="shared" si="26"/>
        <v>1.7661751094537446</v>
      </c>
      <c r="Q104" s="1">
        <f t="shared" si="27"/>
        <v>0.32182747298832592</v>
      </c>
      <c r="R104" s="1">
        <f t="shared" si="28"/>
        <v>0.2537950995737065</v>
      </c>
      <c r="S104" s="1">
        <f t="shared" si="29"/>
        <v>0.16787549234269009</v>
      </c>
      <c r="T104" s="1">
        <f t="shared" si="30"/>
        <v>0.12249700173414359</v>
      </c>
      <c r="U104" s="1">
        <f t="shared" si="31"/>
        <v>3.0451264570840828E-2</v>
      </c>
      <c r="V104" s="1">
        <f t="shared" si="32"/>
        <v>1.9030257260808918E-2</v>
      </c>
      <c r="W104" s="1"/>
      <c r="X104" s="6">
        <f t="shared" si="33"/>
        <v>0.69459991022752576</v>
      </c>
      <c r="Y104" s="6">
        <f t="shared" si="34"/>
        <v>0.42728175946329922</v>
      </c>
      <c r="AA104">
        <f t="shared" si="35"/>
        <v>0.94117698919754822</v>
      </c>
      <c r="AB104">
        <f t="shared" si="36"/>
        <v>0.91383117691846294</v>
      </c>
      <c r="AC104">
        <f t="shared" si="37"/>
        <v>0.85650113707446129</v>
      </c>
      <c r="AD104">
        <f t="shared" si="38"/>
        <v>0.80640674539872814</v>
      </c>
      <c r="AE104">
        <f t="shared" si="39"/>
        <v>0.985387889355127</v>
      </c>
      <c r="AF104">
        <f t="shared" si="40"/>
        <v>0.97617343101057674</v>
      </c>
    </row>
    <row r="105" spans="4:32" x14ac:dyDescent="0.3">
      <c r="D105" s="1" t="e">
        <f t="shared" si="41"/>
        <v>#N/A</v>
      </c>
      <c r="E105" s="1">
        <f t="shared" si="42"/>
        <v>1.5997270446345055</v>
      </c>
      <c r="G105" s="1">
        <f t="shared" si="43"/>
        <v>12.443098515026335</v>
      </c>
      <c r="I105">
        <f t="shared" si="22"/>
        <v>103</v>
      </c>
      <c r="K105" s="1">
        <f t="shared" si="23"/>
        <v>0.69068538126044221</v>
      </c>
      <c r="L105" s="1">
        <f t="shared" si="24"/>
        <v>0.61706980716674775</v>
      </c>
      <c r="N105" s="1">
        <f t="shared" si="25"/>
        <v>1.2575232750777456</v>
      </c>
      <c r="O105" s="1">
        <f t="shared" si="26"/>
        <v>1.7068842644094198</v>
      </c>
      <c r="Q105" s="1">
        <f t="shared" si="27"/>
        <v>0.33950524830739515</v>
      </c>
      <c r="R105" s="1">
        <f t="shared" si="28"/>
        <v>0.26966919750429919</v>
      </c>
      <c r="S105" s="1">
        <f t="shared" si="29"/>
        <v>0.18040735409797162</v>
      </c>
      <c r="T105" s="1">
        <f t="shared" si="30"/>
        <v>0.13267954357217823</v>
      </c>
      <c r="U105" s="1">
        <f t="shared" si="31"/>
        <v>3.3968719364268853E-2</v>
      </c>
      <c r="V105" s="1">
        <f t="shared" si="32"/>
        <v>2.1412047890161871E-2</v>
      </c>
      <c r="W105" s="1"/>
      <c r="X105" s="6">
        <f t="shared" si="33"/>
        <v>0.68450896969201058</v>
      </c>
      <c r="Y105" s="6">
        <f t="shared" si="34"/>
        <v>0.41293782694211212</v>
      </c>
      <c r="AA105">
        <f t="shared" si="35"/>
        <v>0.94668331564370345</v>
      </c>
      <c r="AB105">
        <f t="shared" si="36"/>
        <v>0.92124734811100606</v>
      </c>
      <c r="AC105">
        <f t="shared" si="37"/>
        <v>0.86725565143805716</v>
      </c>
      <c r="AD105">
        <f t="shared" si="38"/>
        <v>0.81951327632329596</v>
      </c>
      <c r="AE105">
        <f t="shared" si="39"/>
        <v>0.98710068147268659</v>
      </c>
      <c r="AF105">
        <f t="shared" si="40"/>
        <v>0.97878254114339447</v>
      </c>
    </row>
    <row r="106" spans="4:32" x14ac:dyDescent="0.3">
      <c r="D106" s="1" t="e">
        <f t="shared" si="41"/>
        <v>#N/A</v>
      </c>
      <c r="E106" s="1">
        <f t="shared" si="42"/>
        <v>1.5532772280072997</v>
      </c>
      <c r="G106" s="1">
        <f t="shared" si="43"/>
        <v>13.142241393579468</v>
      </c>
      <c r="I106">
        <f t="shared" si="22"/>
        <v>104</v>
      </c>
      <c r="K106" s="1">
        <f t="shared" si="23"/>
        <v>0.70750262557146315</v>
      </c>
      <c r="L106" s="1">
        <f t="shared" si="24"/>
        <v>0.63536755812169832</v>
      </c>
      <c r="N106" s="1">
        <f t="shared" si="25"/>
        <v>1.2394295896836336</v>
      </c>
      <c r="O106" s="1">
        <f t="shared" si="26"/>
        <v>1.6501281519456659</v>
      </c>
      <c r="Q106" s="1">
        <f t="shared" si="27"/>
        <v>0.35736752931931803</v>
      </c>
      <c r="R106" s="1">
        <f t="shared" si="28"/>
        <v>0.28586542798801884</v>
      </c>
      <c r="S106" s="1">
        <f t="shared" si="29"/>
        <v>0.19338105085852</v>
      </c>
      <c r="T106" s="1">
        <f t="shared" si="30"/>
        <v>0.14332390887652693</v>
      </c>
      <c r="U106" s="1">
        <f t="shared" si="31"/>
        <v>3.7774906913709952E-2</v>
      </c>
      <c r="V106" s="1">
        <f t="shared" si="32"/>
        <v>2.4014485703518672E-2</v>
      </c>
      <c r="W106" s="1"/>
      <c r="X106" s="6">
        <f t="shared" si="33"/>
        <v>0.67466001485156113</v>
      </c>
      <c r="Y106" s="6">
        <f t="shared" si="34"/>
        <v>0.39920710937962195</v>
      </c>
      <c r="AA106">
        <f t="shared" si="35"/>
        <v>0.95172569716748268</v>
      </c>
      <c r="AB106">
        <f t="shared" si="36"/>
        <v>0.92810491023994279</v>
      </c>
      <c r="AC106">
        <f t="shared" si="37"/>
        <v>0.87734597446819662</v>
      </c>
      <c r="AD106">
        <f t="shared" si="38"/>
        <v>0.83193031728903177</v>
      </c>
      <c r="AE106">
        <f t="shared" si="39"/>
        <v>0.98862297312366176</v>
      </c>
      <c r="AF106">
        <f t="shared" si="40"/>
        <v>0.98112408384567318</v>
      </c>
    </row>
    <row r="107" spans="4:32" x14ac:dyDescent="0.3">
      <c r="D107" s="1" t="e">
        <f t="shared" si="41"/>
        <v>#N/A</v>
      </c>
      <c r="E107" s="1">
        <f t="shared" si="42"/>
        <v>1.5044274021863515</v>
      </c>
      <c r="G107" s="1">
        <f t="shared" si="43"/>
        <v>13.857906267073119</v>
      </c>
      <c r="I107">
        <f t="shared" si="22"/>
        <v>105</v>
      </c>
      <c r="K107" s="1">
        <f t="shared" si="23"/>
        <v>0.72372749676293524</v>
      </c>
      <c r="L107" s="1">
        <f t="shared" si="24"/>
        <v>0.65319132580079731</v>
      </c>
      <c r="N107" s="1">
        <f t="shared" si="25"/>
        <v>1.2217656773139398</v>
      </c>
      <c r="O107" s="1">
        <f t="shared" si="26"/>
        <v>1.5957755785324927</v>
      </c>
      <c r="Q107" s="1">
        <f t="shared" si="27"/>
        <v>0.37537257997691609</v>
      </c>
      <c r="R107" s="1">
        <f t="shared" si="28"/>
        <v>0.3023488152322148</v>
      </c>
      <c r="S107" s="1">
        <f t="shared" si="29"/>
        <v>0.20677654565179621</v>
      </c>
      <c r="T107" s="1">
        <f t="shared" si="30"/>
        <v>0.15442050322526796</v>
      </c>
      <c r="U107" s="1">
        <f t="shared" si="31"/>
        <v>4.1880861469940536E-2</v>
      </c>
      <c r="V107" s="1">
        <f t="shared" si="32"/>
        <v>2.6849001907670679E-2</v>
      </c>
      <c r="W107" s="1"/>
      <c r="X107" s="6">
        <f t="shared" si="33"/>
        <v>0.665044998814453</v>
      </c>
      <c r="Y107" s="6">
        <f t="shared" si="34"/>
        <v>0.38605786779251688</v>
      </c>
      <c r="AA107">
        <f t="shared" si="35"/>
        <v>0.95633641174698181</v>
      </c>
      <c r="AB107">
        <f t="shared" si="36"/>
        <v>0.93443599345878015</v>
      </c>
      <c r="AC107">
        <f t="shared" si="37"/>
        <v>0.88679695401783565</v>
      </c>
      <c r="AD107">
        <f t="shared" si="38"/>
        <v>0.84367294904761647</v>
      </c>
      <c r="AE107">
        <f t="shared" si="39"/>
        <v>0.98997434421804986</v>
      </c>
      <c r="AF107">
        <f t="shared" si="40"/>
        <v>0.98322280517141969</v>
      </c>
    </row>
    <row r="108" spans="4:32" x14ac:dyDescent="0.3">
      <c r="D108" s="1" t="e">
        <f t="shared" si="41"/>
        <v>#N/A</v>
      </c>
      <c r="E108" s="1">
        <f t="shared" si="42"/>
        <v>1.4536140695097757</v>
      </c>
      <c r="G108" s="1">
        <f t="shared" si="43"/>
        <v>14.589495749357667</v>
      </c>
      <c r="I108">
        <f t="shared" si="22"/>
        <v>106</v>
      </c>
      <c r="K108" s="1">
        <f t="shared" si="23"/>
        <v>0.73935057160139073</v>
      </c>
      <c r="L108" s="1">
        <f t="shared" si="24"/>
        <v>0.67051820725444633</v>
      </c>
      <c r="N108" s="1">
        <f t="shared" si="25"/>
        <v>1.2045173809787126</v>
      </c>
      <c r="O108" s="1">
        <f t="shared" si="26"/>
        <v>1.5437033006491154</v>
      </c>
      <c r="Q108" s="1">
        <f t="shared" si="27"/>
        <v>0.39347887051406405</v>
      </c>
      <c r="R108" s="1">
        <f t="shared" si="28"/>
        <v>0.31908347740946863</v>
      </c>
      <c r="S108" s="1">
        <f t="shared" si="29"/>
        <v>0.22057187765911171</v>
      </c>
      <c r="T108" s="1">
        <f t="shared" si="30"/>
        <v>0.16595764691775911</v>
      </c>
      <c r="U108" s="1">
        <f t="shared" si="31"/>
        <v>4.6296925957135346E-2</v>
      </c>
      <c r="V108" s="1">
        <f t="shared" si="32"/>
        <v>2.9926764538806556E-2</v>
      </c>
      <c r="W108" s="1"/>
      <c r="X108" s="6">
        <f t="shared" si="33"/>
        <v>0.65565621549142561</v>
      </c>
      <c r="Y108" s="6">
        <f t="shared" si="34"/>
        <v>0.37346028650277013</v>
      </c>
      <c r="AA108">
        <f t="shared" si="35"/>
        <v>0.96054640437342387</v>
      </c>
      <c r="AB108">
        <f t="shared" si="36"/>
        <v>0.94027215229914518</v>
      </c>
      <c r="AC108">
        <f t="shared" si="37"/>
        <v>0.89563446088788079</v>
      </c>
      <c r="AD108">
        <f t="shared" si="38"/>
        <v>0.85475842160530546</v>
      </c>
      <c r="AE108">
        <f t="shared" si="39"/>
        <v>0.99117261324342731</v>
      </c>
      <c r="AF108">
        <f t="shared" si="40"/>
        <v>0.98510156238334556</v>
      </c>
    </row>
    <row r="109" spans="4:32" x14ac:dyDescent="0.3">
      <c r="D109" s="1" t="e">
        <f t="shared" si="41"/>
        <v>#N/A</v>
      </c>
      <c r="E109" s="1">
        <f t="shared" si="42"/>
        <v>1.4012601640702478</v>
      </c>
      <c r="G109" s="1">
        <f t="shared" si="43"/>
        <v>15.336404802363347</v>
      </c>
      <c r="I109">
        <f t="shared" si="22"/>
        <v>107</v>
      </c>
      <c r="K109" s="1">
        <f t="shared" si="23"/>
        <v>0.75436593183090661</v>
      </c>
      <c r="L109" s="1">
        <f t="shared" si="24"/>
        <v>0.68732892632984965</v>
      </c>
      <c r="N109" s="1">
        <f t="shared" si="25"/>
        <v>1.1876711376754896</v>
      </c>
      <c r="O109" s="1">
        <f t="shared" si="26"/>
        <v>1.4937954740612323</v>
      </c>
      <c r="Q109" s="1">
        <f t="shared" si="27"/>
        <v>0.41164535522814039</v>
      </c>
      <c r="R109" s="1">
        <f t="shared" si="28"/>
        <v>0.33603289304539841</v>
      </c>
      <c r="S109" s="1">
        <f t="shared" si="29"/>
        <v>0.23474333042666837</v>
      </c>
      <c r="T109" s="1">
        <f t="shared" si="30"/>
        <v>0.17792165598851581</v>
      </c>
      <c r="U109" s="1">
        <f t="shared" si="31"/>
        <v>5.1032665833434389E-2</v>
      </c>
      <c r="V109" s="1">
        <f t="shared" si="32"/>
        <v>3.3258599597797762E-2</v>
      </c>
      <c r="W109" s="1"/>
      <c r="X109" s="6">
        <f t="shared" si="33"/>
        <v>0.64648628211905335</v>
      </c>
      <c r="Y109" s="6">
        <f t="shared" si="34"/>
        <v>0.36138633990409136</v>
      </c>
      <c r="AA109">
        <f t="shared" si="35"/>
        <v>0.96438520864683053</v>
      </c>
      <c r="AB109">
        <f t="shared" si="36"/>
        <v>0.94564418590711241</v>
      </c>
      <c r="AC109">
        <f t="shared" si="37"/>
        <v>0.90388508388213895</v>
      </c>
      <c r="AD109">
        <f t="shared" si="38"/>
        <v>0.86520581674476194</v>
      </c>
      <c r="AE109">
        <f t="shared" si="39"/>
        <v>0.99223395599796105</v>
      </c>
      <c r="AF109">
        <f t="shared" si="40"/>
        <v>0.98678140717551133</v>
      </c>
    </row>
    <row r="110" spans="4:32" x14ac:dyDescent="0.3">
      <c r="D110" s="1" t="e">
        <f t="shared" si="41"/>
        <v>#N/A</v>
      </c>
      <c r="E110" s="1">
        <f t="shared" si="42"/>
        <v>1.3477699267839363</v>
      </c>
      <c r="G110" s="1">
        <f t="shared" si="43"/>
        <v>16.09802412594108</v>
      </c>
      <c r="I110">
        <f t="shared" si="22"/>
        <v>108</v>
      </c>
      <c r="K110" s="1">
        <f t="shared" si="23"/>
        <v>0.76877093185612155</v>
      </c>
      <c r="L110" s="1">
        <f t="shared" si="24"/>
        <v>0.70360771850229697</v>
      </c>
      <c r="N110" s="1">
        <f t="shared" si="25"/>
        <v>1.1712139482105108</v>
      </c>
      <c r="O110" s="1">
        <f t="shared" si="26"/>
        <v>1.4459431459389025</v>
      </c>
      <c r="Q110" s="1">
        <f t="shared" si="27"/>
        <v>0.4298317318895431</v>
      </c>
      <c r="R110" s="1">
        <f t="shared" si="28"/>
        <v>0.35316016226972924</v>
      </c>
      <c r="S110" s="1">
        <f t="shared" si="29"/>
        <v>0.24926561103492151</v>
      </c>
      <c r="T110" s="1">
        <f t="shared" si="30"/>
        <v>0.19029693922450786</v>
      </c>
      <c r="U110" s="1">
        <f t="shared" si="31"/>
        <v>5.6096787909261946E-2</v>
      </c>
      <c r="V110" s="1">
        <f t="shared" si="32"/>
        <v>3.6854912861482687E-2</v>
      </c>
      <c r="W110" s="1"/>
      <c r="X110" s="6">
        <f t="shared" si="33"/>
        <v>0.6375281228324966</v>
      </c>
      <c r="Y110" s="6">
        <f t="shared" si="34"/>
        <v>0.34980966959259063</v>
      </c>
      <c r="AA110">
        <f t="shared" si="35"/>
        <v>0.96788089418668477</v>
      </c>
      <c r="AB110">
        <f t="shared" si="36"/>
        <v>0.95058198959185258</v>
      </c>
      <c r="AC110">
        <f t="shared" si="37"/>
        <v>0.91157585338411162</v>
      </c>
      <c r="AD110">
        <f t="shared" si="38"/>
        <v>0.87503572887441761</v>
      </c>
      <c r="AE110">
        <f t="shared" si="39"/>
        <v>0.99317302299516619</v>
      </c>
      <c r="AF110">
        <f t="shared" si="40"/>
        <v>0.98828167559542968</v>
      </c>
    </row>
    <row r="111" spans="4:32" x14ac:dyDescent="0.3">
      <c r="D111" s="1" t="e">
        <f t="shared" si="41"/>
        <v>#N/A</v>
      </c>
      <c r="E111" s="1">
        <f t="shared" si="42"/>
        <v>1.2935249638547823</v>
      </c>
      <c r="G111" s="1">
        <f t="shared" si="43"/>
        <v>16.873743309965917</v>
      </c>
      <c r="I111">
        <f t="shared" si="22"/>
        <v>109</v>
      </c>
      <c r="K111" s="1">
        <f t="shared" si="23"/>
        <v>0.78256595628200953</v>
      </c>
      <c r="L111" s="1">
        <f t="shared" si="24"/>
        <v>0.71934219192902771</v>
      </c>
      <c r="N111" s="1">
        <f t="shared" si="25"/>
        <v>1.1551333488154167</v>
      </c>
      <c r="O111" s="1">
        <f t="shared" si="26"/>
        <v>1.4000437861242321</v>
      </c>
      <c r="Q111" s="1">
        <f t="shared" si="27"/>
        <v>0.44799868098659307</v>
      </c>
      <c r="R111" s="1">
        <f t="shared" si="28"/>
        <v>0.3704282602621628</v>
      </c>
      <c r="S111" s="1">
        <f t="shared" si="29"/>
        <v>0.26411203778927395</v>
      </c>
      <c r="T111" s="1">
        <f t="shared" si="30"/>
        <v>0.20306610961109084</v>
      </c>
      <c r="U111" s="1">
        <f t="shared" si="31"/>
        <v>6.149706496663139E-2</v>
      </c>
      <c r="V111" s="1">
        <f t="shared" si="32"/>
        <v>4.0725613170770447E-2</v>
      </c>
      <c r="W111" s="1"/>
      <c r="X111" s="6">
        <f t="shared" si="33"/>
        <v>0.62877495321558818</v>
      </c>
      <c r="Y111" s="6">
        <f t="shared" si="34"/>
        <v>0.33870547096875386</v>
      </c>
      <c r="AA111">
        <f t="shared" si="35"/>
        <v>0.97106003664318818</v>
      </c>
      <c r="AB111">
        <f t="shared" si="36"/>
        <v>0.95511443513911298</v>
      </c>
      <c r="AC111">
        <f t="shared" si="37"/>
        <v>0.91873399326125427</v>
      </c>
      <c r="AD111">
        <f t="shared" si="38"/>
        <v>0.88426996598895702</v>
      </c>
      <c r="AE111">
        <f t="shared" si="39"/>
        <v>0.9940030541555106</v>
      </c>
      <c r="AF111">
        <f t="shared" si="40"/>
        <v>0.98962008231424536</v>
      </c>
    </row>
    <row r="112" spans="4:32" x14ac:dyDescent="0.3">
      <c r="D112" s="1" t="e">
        <f t="shared" si="41"/>
        <v>#N/A</v>
      </c>
      <c r="E112" s="1">
        <f t="shared" si="42"/>
        <v>1.2388813488744699</v>
      </c>
      <c r="G112" s="1">
        <f t="shared" si="43"/>
        <v>17.662953740590439</v>
      </c>
      <c r="I112">
        <f t="shared" si="22"/>
        <v>110</v>
      </c>
      <c r="K112" s="1">
        <f t="shared" si="23"/>
        <v>0.79575417130958659</v>
      </c>
      <c r="L112" s="1">
        <f t="shared" si="24"/>
        <v>0.73452316868917078</v>
      </c>
      <c r="N112" s="1">
        <f t="shared" si="25"/>
        <v>1.1394173844372948</v>
      </c>
      <c r="O112" s="1">
        <f t="shared" si="26"/>
        <v>1.3560008542063671</v>
      </c>
      <c r="Q112" s="1">
        <f t="shared" si="27"/>
        <v>0.46610808343260601</v>
      </c>
      <c r="R112" s="1">
        <f t="shared" si="28"/>
        <v>0.38780028051611359</v>
      </c>
      <c r="S112" s="1">
        <f t="shared" si="29"/>
        <v>0.27925473401840983</v>
      </c>
      <c r="T112" s="1">
        <f t="shared" si="30"/>
        <v>0.21621010851680567</v>
      </c>
      <c r="U112" s="1">
        <f t="shared" si="31"/>
        <v>6.7240266939169777E-2</v>
      </c>
      <c r="V112" s="1">
        <f t="shared" si="32"/>
        <v>4.4880037974974633E-2</v>
      </c>
      <c r="W112" s="1"/>
      <c r="X112" s="6">
        <f t="shared" si="33"/>
        <v>0.62022026576177591</v>
      </c>
      <c r="Y112" s="6">
        <f t="shared" si="34"/>
        <v>0.32805038850209639</v>
      </c>
      <c r="AA112">
        <f t="shared" si="35"/>
        <v>0.97394770726295776</v>
      </c>
      <c r="AB112">
        <f t="shared" si="36"/>
        <v>0.95926927728848843</v>
      </c>
      <c r="AC112">
        <f t="shared" si="37"/>
        <v>0.92538670049523342</v>
      </c>
      <c r="AD112">
        <f t="shared" si="38"/>
        <v>0.89293127197839894</v>
      </c>
      <c r="AE112">
        <f t="shared" si="39"/>
        <v>0.9947359897058049</v>
      </c>
      <c r="AF112">
        <f t="shared" si="40"/>
        <v>0.99081281724723091</v>
      </c>
    </row>
    <row r="113" spans="1:32" x14ac:dyDescent="0.3">
      <c r="D113" s="1" t="e">
        <f t="shared" si="41"/>
        <v>#N/A</v>
      </c>
      <c r="E113" s="1">
        <f t="shared" si="42"/>
        <v>1.1841676353496968</v>
      </c>
      <c r="G113" s="1">
        <f t="shared" si="43"/>
        <v>18.465051256344097</v>
      </c>
      <c r="I113">
        <f t="shared" si="22"/>
        <v>111</v>
      </c>
      <c r="K113" s="1">
        <f t="shared" si="23"/>
        <v>0.80834127360036523</v>
      </c>
      <c r="L113" s="1">
        <f t="shared" si="24"/>
        <v>0.74914451001870741</v>
      </c>
      <c r="N113" s="1">
        <f t="shared" si="25"/>
        <v>1.1240545835892679</v>
      </c>
      <c r="O113" s="1">
        <f t="shared" si="26"/>
        <v>1.3137233993738704</v>
      </c>
      <c r="Q113" s="1">
        <f t="shared" si="27"/>
        <v>0.48412321576396822</v>
      </c>
      <c r="R113" s="1">
        <f t="shared" si="28"/>
        <v>0.40523966584835919</v>
      </c>
      <c r="S113" s="1">
        <f t="shared" si="29"/>
        <v>0.2946648256257105</v>
      </c>
      <c r="T113" s="1">
        <f t="shared" si="30"/>
        <v>0.22970834084517741</v>
      </c>
      <c r="U113" s="1">
        <f t="shared" si="31"/>
        <v>7.333209932046196E-2</v>
      </c>
      <c r="V113" s="1">
        <f t="shared" si="32"/>
        <v>4.9326881879660868E-2</v>
      </c>
      <c r="W113" s="1"/>
      <c r="X113" s="6">
        <f t="shared" si="33"/>
        <v>0.6118578161845174</v>
      </c>
      <c r="Y113" s="6">
        <f t="shared" si="34"/>
        <v>0.31782241892548574</v>
      </c>
      <c r="AA113">
        <f t="shared" si="35"/>
        <v>0.97656747915804221</v>
      </c>
      <c r="AB113">
        <f t="shared" si="36"/>
        <v>0.96307308377646306</v>
      </c>
      <c r="AC113">
        <f t="shared" si="37"/>
        <v>0.93156095160402175</v>
      </c>
      <c r="AD113">
        <f t="shared" si="38"/>
        <v>0.90104307103613523</v>
      </c>
      <c r="AE113">
        <f t="shared" si="39"/>
        <v>0.99538257647271955</v>
      </c>
      <c r="AF113">
        <f t="shared" si="40"/>
        <v>0.99187464285040072</v>
      </c>
    </row>
    <row r="114" spans="1:32" x14ac:dyDescent="0.3">
      <c r="D114" s="1" t="e">
        <f t="shared" si="41"/>
        <v>#N/A</v>
      </c>
      <c r="E114" s="1">
        <f t="shared" si="42"/>
        <v>1.1296836542496855</v>
      </c>
      <c r="G114" s="1">
        <f t="shared" si="43"/>
        <v>19.279438553187717</v>
      </c>
      <c r="I114">
        <f t="shared" si="22"/>
        <v>112</v>
      </c>
      <c r="K114" s="1">
        <f t="shared" si="23"/>
        <v>0.82033523982574619</v>
      </c>
      <c r="L114" s="1">
        <f t="shared" si="24"/>
        <v>0.76320292915036259</v>
      </c>
      <c r="N114" s="1">
        <f t="shared" si="25"/>
        <v>1.109033934657355</v>
      </c>
      <c r="O114" s="1">
        <f t="shared" si="26"/>
        <v>1.2731256902954329</v>
      </c>
      <c r="Q114" s="1">
        <f t="shared" si="27"/>
        <v>0.50200892223798765</v>
      </c>
      <c r="R114" s="1">
        <f t="shared" si="28"/>
        <v>0.42271042539420911</v>
      </c>
      <c r="S114" s="1">
        <f t="shared" si="29"/>
        <v>0.31031264013011478</v>
      </c>
      <c r="T114" s="1">
        <f t="shared" si="30"/>
        <v>0.24353881933136284</v>
      </c>
      <c r="U114" s="1">
        <f t="shared" si="31"/>
        <v>7.9777149369444716E-2</v>
      </c>
      <c r="V114" s="1">
        <f t="shared" si="32"/>
        <v>5.4074128903337376E-2</v>
      </c>
      <c r="W114" s="1"/>
      <c r="X114" s="6">
        <f t="shared" si="33"/>
        <v>0.60368161052036906</v>
      </c>
      <c r="Y114" s="6">
        <f t="shared" si="34"/>
        <v>0.30800082169406595</v>
      </c>
      <c r="AA114">
        <f t="shared" si="35"/>
        <v>0.97894144763979696</v>
      </c>
      <c r="AB114">
        <f t="shared" si="36"/>
        <v>0.96655118639654458</v>
      </c>
      <c r="AC114">
        <f t="shared" si="37"/>
        <v>0.93728333465765845</v>
      </c>
      <c r="AD114">
        <f t="shared" si="38"/>
        <v>0.90862923448857424</v>
      </c>
      <c r="AE114">
        <f t="shared" si="39"/>
        <v>0.99595246898444945</v>
      </c>
      <c r="AF114">
        <f t="shared" si="40"/>
        <v>0.99281899071166491</v>
      </c>
    </row>
    <row r="115" spans="1:32" x14ac:dyDescent="0.3">
      <c r="D115" s="1" t="e">
        <f t="shared" si="41"/>
        <v>#N/A</v>
      </c>
      <c r="E115" s="1">
        <f t="shared" si="42"/>
        <v>1.0756999798482578</v>
      </c>
      <c r="G115" s="1">
        <f t="shared" si="43"/>
        <v>20.105527340650838</v>
      </c>
      <c r="I115">
        <f t="shared" si="22"/>
        <v>113</v>
      </c>
      <c r="K115" s="1">
        <f t="shared" si="23"/>
        <v>0.83174607971983117</v>
      </c>
      <c r="L115" s="1">
        <f t="shared" si="24"/>
        <v>0.77669779513464388</v>
      </c>
      <c r="N115" s="1">
        <f t="shared" si="25"/>
        <v>1.0943448635671746</v>
      </c>
      <c r="O115" s="1">
        <f t="shared" si="26"/>
        <v>1.2341268725324863</v>
      </c>
      <c r="Q115" s="1">
        <f t="shared" si="27"/>
        <v>0.51973176359260664</v>
      </c>
      <c r="R115" s="1">
        <f t="shared" si="28"/>
        <v>0.44017733613972398</v>
      </c>
      <c r="S115" s="1">
        <f t="shared" si="29"/>
        <v>0.32616790505119747</v>
      </c>
      <c r="T115" s="1">
        <f t="shared" si="30"/>
        <v>0.25767831614151071</v>
      </c>
      <c r="U115" s="1">
        <f t="shared" si="31"/>
        <v>8.6578840577899843E-2</v>
      </c>
      <c r="V115" s="1">
        <f t="shared" si="32"/>
        <v>5.9128989097563339E-2</v>
      </c>
      <c r="W115" s="1"/>
      <c r="X115" s="6">
        <f t="shared" si="33"/>
        <v>0.59568589297227792</v>
      </c>
      <c r="Y115" s="6">
        <f t="shared" si="34"/>
        <v>0.29856603610483035</v>
      </c>
      <c r="AA115">
        <f t="shared" si="35"/>
        <v>0.98109026220167073</v>
      </c>
      <c r="AB115">
        <f t="shared" si="36"/>
        <v>0.96972765061407018</v>
      </c>
      <c r="AC115">
        <f t="shared" si="37"/>
        <v>0.94257990548787274</v>
      </c>
      <c r="AD115">
        <f t="shared" si="38"/>
        <v>0.91571386999966409</v>
      </c>
      <c r="AE115">
        <f t="shared" si="39"/>
        <v>0.99645432498754971</v>
      </c>
      <c r="AF115">
        <f t="shared" si="40"/>
        <v>0.99365805631665827</v>
      </c>
    </row>
    <row r="116" spans="1:32" x14ac:dyDescent="0.3">
      <c r="D116" s="1" t="e">
        <f t="shared" si="41"/>
        <v>#N/A</v>
      </c>
      <c r="E116" s="1">
        <f t="shared" si="42"/>
        <v>1.0224579563709888</v>
      </c>
      <c r="G116" s="1">
        <f t="shared" si="43"/>
        <v>20.942740253800949</v>
      </c>
      <c r="I116">
        <f t="shared" si="22"/>
        <v>114</v>
      </c>
      <c r="K116" s="1">
        <f t="shared" si="23"/>
        <v>0.84258559506308628</v>
      </c>
      <c r="L116" s="1">
        <f t="shared" si="24"/>
        <v>0.78963093075906521</v>
      </c>
      <c r="N116" s="1">
        <f t="shared" si="25"/>
        <v>1.0799772127212148</v>
      </c>
      <c r="O116" s="1">
        <f t="shared" si="26"/>
        <v>1.1966506512146422</v>
      </c>
      <c r="Q116" s="1">
        <f t="shared" si="27"/>
        <v>0.53726014255325238</v>
      </c>
      <c r="R116" s="1">
        <f t="shared" si="28"/>
        <v>0.45760612784927152</v>
      </c>
      <c r="S116" s="1">
        <f t="shared" si="29"/>
        <v>0.34219994363471501</v>
      </c>
      <c r="T116" s="1">
        <f t="shared" si="30"/>
        <v>0.27210251994096124</v>
      </c>
      <c r="U116" s="1">
        <f t="shared" si="31"/>
        <v>9.3739395758481767E-2</v>
      </c>
      <c r="V116" s="1">
        <f t="shared" si="32"/>
        <v>6.4497840126618841E-2</v>
      </c>
      <c r="W116" s="1"/>
      <c r="X116" s="6">
        <f t="shared" si="33"/>
        <v>0.58786513444448496</v>
      </c>
      <c r="Y116" s="6">
        <f t="shared" si="34"/>
        <v>0.28949960452790879</v>
      </c>
      <c r="AA116">
        <f t="shared" si="35"/>
        <v>0.98303316796088658</v>
      </c>
      <c r="AB116">
        <f t="shared" si="36"/>
        <v>0.97262526138800387</v>
      </c>
      <c r="AC116">
        <f t="shared" si="37"/>
        <v>0.94747606654598904</v>
      </c>
      <c r="AD116">
        <f t="shared" si="38"/>
        <v>0.92232113279036421</v>
      </c>
      <c r="AE116">
        <f t="shared" si="39"/>
        <v>0.99689589514751331</v>
      </c>
      <c r="AF116">
        <f t="shared" si="40"/>
        <v>0.99440289110097091</v>
      </c>
    </row>
    <row r="117" spans="1:32" x14ac:dyDescent="0.3">
      <c r="D117" s="1" t="e">
        <f t="shared" si="41"/>
        <v>#N/A</v>
      </c>
      <c r="E117" s="1">
        <f t="shared" si="42"/>
        <v>0.97017018747056838</v>
      </c>
      <c r="G117" s="1">
        <f t="shared" si="43"/>
        <v>21.790512528031144</v>
      </c>
      <c r="I117">
        <f t="shared" si="22"/>
        <v>115</v>
      </c>
      <c r="K117" s="1">
        <f t="shared" si="23"/>
        <v>0.85286714664627372</v>
      </c>
      <c r="L117" s="1">
        <f t="shared" si="24"/>
        <v>0.80200640740621953</v>
      </c>
      <c r="N117" s="1">
        <f t="shared" si="25"/>
        <v>1.0659212211239981</v>
      </c>
      <c r="O117" s="1">
        <f t="shared" si="26"/>
        <v>1.1606249969138429</v>
      </c>
      <c r="Q117" s="1">
        <f t="shared" si="27"/>
        <v>0.55456440646278482</v>
      </c>
      <c r="R117" s="1">
        <f t="shared" si="28"/>
        <v>0.47496365054348288</v>
      </c>
      <c r="S117" s="1">
        <f t="shared" si="29"/>
        <v>0.35837786607500999</v>
      </c>
      <c r="T117" s="1">
        <f t="shared" si="30"/>
        <v>0.28678619663158716</v>
      </c>
      <c r="U117" s="1">
        <f t="shared" si="31"/>
        <v>0.10125980900402062</v>
      </c>
      <c r="V117" s="1">
        <f t="shared" si="32"/>
        <v>7.0186174337999035E-2</v>
      </c>
      <c r="W117" s="1"/>
      <c r="X117" s="6">
        <f t="shared" si="33"/>
        <v>0.58021402172403413</v>
      </c>
      <c r="Y117" s="6">
        <f t="shared" si="34"/>
        <v>0.28078410125019426</v>
      </c>
      <c r="AA117">
        <f t="shared" si="35"/>
        <v>0.98478805459312491</v>
      </c>
      <c r="AB117">
        <f t="shared" si="36"/>
        <v>0.97526552298781288</v>
      </c>
      <c r="AC117">
        <f t="shared" si="37"/>
        <v>0.95199646676696037</v>
      </c>
      <c r="AD117">
        <f t="shared" si="38"/>
        <v>0.92847505825306986</v>
      </c>
      <c r="AE117">
        <f t="shared" si="39"/>
        <v>0.99728410683500357</v>
      </c>
      <c r="AF117">
        <f t="shared" si="40"/>
        <v>0.99506349110332482</v>
      </c>
    </row>
    <row r="118" spans="1:32" x14ac:dyDescent="0.3">
      <c r="D118" s="1" t="e">
        <f t="shared" si="41"/>
        <v>#N/A</v>
      </c>
      <c r="E118" s="1">
        <f t="shared" si="42"/>
        <v>0.919021400110557</v>
      </c>
      <c r="G118" s="1">
        <f t="shared" si="43"/>
        <v>22.648293445519982</v>
      </c>
      <c r="I118">
        <f t="shared" ref="I118:I181" si="44">+I117+1</f>
        <v>116</v>
      </c>
      <c r="K118" s="1">
        <f t="shared" si="23"/>
        <v>0.86260543090421016</v>
      </c>
      <c r="L118" s="1">
        <f t="shared" si="24"/>
        <v>0.81383033940525762</v>
      </c>
      <c r="N118" s="1">
        <f t="shared" si="25"/>
        <v>1.0521675056184989</v>
      </c>
      <c r="O118" s="1">
        <f t="shared" si="26"/>
        <v>1.1259818728378705</v>
      </c>
      <c r="Q118" s="1">
        <f t="shared" si="27"/>
        <v>0.57161692766713057</v>
      </c>
      <c r="R118" s="1">
        <f t="shared" si="28"/>
        <v>0.49221802396537861</v>
      </c>
      <c r="S118" s="1">
        <f t="shared" si="29"/>
        <v>0.37467075456510834</v>
      </c>
      <c r="T118" s="1">
        <f t="shared" si="30"/>
        <v>0.30170335201599996</v>
      </c>
      <c r="U118" s="1">
        <f t="shared" si="31"/>
        <v>0.10913982666179026</v>
      </c>
      <c r="V118" s="1">
        <f t="shared" si="32"/>
        <v>7.6198551784912472E-2</v>
      </c>
      <c r="W118" s="1"/>
      <c r="X118" s="6">
        <f t="shared" si="33"/>
        <v>0.5727274472671724</v>
      </c>
      <c r="Y118" s="6">
        <f t="shared" si="34"/>
        <v>0.27240306647665752</v>
      </c>
      <c r="AA118">
        <f t="shared" si="35"/>
        <v>0.98637151101248588</v>
      </c>
      <c r="AB118">
        <f t="shared" si="36"/>
        <v>0.97766867074380182</v>
      </c>
      <c r="AC118">
        <f t="shared" si="37"/>
        <v>0.95616492074352288</v>
      </c>
      <c r="AD118">
        <f t="shared" si="38"/>
        <v>0.93419941513038673</v>
      </c>
      <c r="AE118">
        <f t="shared" si="39"/>
        <v>0.99762514200798902</v>
      </c>
      <c r="AF118">
        <f t="shared" si="40"/>
        <v>0.99564888170998167</v>
      </c>
    </row>
    <row r="119" spans="1:32" x14ac:dyDescent="0.3">
      <c r="D119" s="1" t="e">
        <f t="shared" si="41"/>
        <v>#N/A</v>
      </c>
      <c r="E119" s="1">
        <f t="shared" si="42"/>
        <v>0.86916960384849773</v>
      </c>
      <c r="G119" s="1">
        <f t="shared" si="43"/>
        <v>23.51554756373713</v>
      </c>
      <c r="I119">
        <f t="shared" si="44"/>
        <v>117</v>
      </c>
      <c r="K119" s="1">
        <f t="shared" si="23"/>
        <v>0.87181626757110786</v>
      </c>
      <c r="L119" s="1">
        <f t="shared" si="24"/>
        <v>0.82511068014195521</v>
      </c>
      <c r="N119" s="1">
        <f t="shared" si="25"/>
        <v>1.0387070431627348</v>
      </c>
      <c r="O119" s="1">
        <f t="shared" si="26"/>
        <v>1.092656981630753</v>
      </c>
      <c r="Q119" s="1">
        <f t="shared" si="27"/>
        <v>0.5883921625111701</v>
      </c>
      <c r="R119" s="1">
        <f t="shared" si="28"/>
        <v>0.50933876873775241</v>
      </c>
      <c r="S119" s="1">
        <f t="shared" si="29"/>
        <v>0.39104784068993775</v>
      </c>
      <c r="T119" s="1">
        <f t="shared" si="30"/>
        <v>0.31682739472420379</v>
      </c>
      <c r="U119" s="1">
        <f t="shared" si="31"/>
        <v>0.11737793736165314</v>
      </c>
      <c r="V119" s="1">
        <f t="shared" si="32"/>
        <v>8.2538559587976901E-2</v>
      </c>
      <c r="W119" s="1"/>
      <c r="X119" s="6">
        <f t="shared" si="33"/>
        <v>0.56540049955194749</v>
      </c>
      <c r="Y119" s="6">
        <f t="shared" si="34"/>
        <v>0.26434094507505762</v>
      </c>
      <c r="AA119">
        <f t="shared" si="35"/>
        <v>0.98779888425805484</v>
      </c>
      <c r="AB119">
        <f t="shared" si="36"/>
        <v>0.97985369282853307</v>
      </c>
      <c r="AC119">
        <f t="shared" si="37"/>
        <v>0.96000434549706559</v>
      </c>
      <c r="AD119">
        <f t="shared" si="38"/>
        <v>0.93951757826242488</v>
      </c>
      <c r="AE119">
        <f t="shared" si="39"/>
        <v>0.99792450928643961</v>
      </c>
      <c r="AF119">
        <f t="shared" si="40"/>
        <v>0.99616719813132748</v>
      </c>
    </row>
    <row r="120" spans="1:32" x14ac:dyDescent="0.3">
      <c r="D120" s="1" t="e">
        <f t="shared" si="41"/>
        <v>#N/A</v>
      </c>
      <c r="E120" s="1">
        <f t="shared" si="42"/>
        <v>0.8207474756199904</v>
      </c>
      <c r="G120" s="1">
        <f t="shared" si="43"/>
        <v>24.391755737559919</v>
      </c>
      <c r="I120">
        <f t="shared" si="44"/>
        <v>118</v>
      </c>
      <c r="K120" s="1">
        <f t="shared" si="23"/>
        <v>0.88051639939636051</v>
      </c>
      <c r="L120" s="1">
        <f t="shared" si="24"/>
        <v>0.83585702190555955</v>
      </c>
      <c r="N120" s="1">
        <f t="shared" si="25"/>
        <v>1.0255311540805641</v>
      </c>
      <c r="O120" s="1">
        <f t="shared" si="26"/>
        <v>1.0605895302183368</v>
      </c>
      <c r="Q120" s="1">
        <f t="shared" si="27"/>
        <v>0.60486668998683846</v>
      </c>
      <c r="R120" s="1">
        <f t="shared" si="28"/>
        <v>0.52629691916017629</v>
      </c>
      <c r="S120" s="1">
        <f t="shared" si="29"/>
        <v>0.40747867386890063</v>
      </c>
      <c r="T120" s="1">
        <f t="shared" si="30"/>
        <v>0.33213129783361917</v>
      </c>
      <c r="U120" s="1">
        <f t="shared" si="31"/>
        <v>0.12597137103595463</v>
      </c>
      <c r="V120" s="1">
        <f t="shared" si="32"/>
        <v>8.9208777946682791E-2</v>
      </c>
      <c r="W120" s="1"/>
      <c r="X120" s="6">
        <f t="shared" si="33"/>
        <v>0.55822845396109722</v>
      </c>
      <c r="Y120" s="6">
        <f t="shared" si="34"/>
        <v>0.25658302968622676</v>
      </c>
      <c r="AA120">
        <f t="shared" si="35"/>
        <v>0.98908434124597511</v>
      </c>
      <c r="AB120">
        <f t="shared" si="36"/>
        <v>0.98183836033049221</v>
      </c>
      <c r="AC120">
        <f t="shared" si="37"/>
        <v>0.96353671314497191</v>
      </c>
      <c r="AD120">
        <f t="shared" si="38"/>
        <v>0.94445241978258343</v>
      </c>
      <c r="AE120">
        <f t="shared" si="39"/>
        <v>0.99818711038360775</v>
      </c>
      <c r="AF120">
        <f t="shared" si="40"/>
        <v>0.99662576137926517</v>
      </c>
    </row>
    <row r="121" spans="1:32" x14ac:dyDescent="0.3">
      <c r="D121" s="1" t="e">
        <f t="shared" si="41"/>
        <v>#N/A</v>
      </c>
      <c r="E121" s="1">
        <f t="shared" si="42"/>
        <v>0.77386390881943257</v>
      </c>
      <c r="G121" s="1">
        <f t="shared" si="43"/>
        <v>25.276415947460933</v>
      </c>
      <c r="I121">
        <f t="shared" si="44"/>
        <v>119</v>
      </c>
      <c r="K121" s="1">
        <f t="shared" si="23"/>
        <v>0.88872330467353755</v>
      </c>
      <c r="L121" s="1">
        <f t="shared" si="24"/>
        <v>0.84608040117066008</v>
      </c>
      <c r="N121" s="1">
        <f t="shared" si="25"/>
        <v>1.0126314862254127</v>
      </c>
      <c r="O121" s="1">
        <f t="shared" si="26"/>
        <v>1.0297220112736347</v>
      </c>
      <c r="Q121" s="1">
        <f t="shared" si="27"/>
        <v>0.6210192312289885</v>
      </c>
      <c r="R121" s="1">
        <f t="shared" si="28"/>
        <v>0.54306511781731348</v>
      </c>
      <c r="S121" s="1">
        <f t="shared" si="29"/>
        <v>0.42393327974742334</v>
      </c>
      <c r="T121" s="1">
        <f t="shared" si="30"/>
        <v>0.34758775772327288</v>
      </c>
      <c r="U121" s="1">
        <f t="shared" si="31"/>
        <v>0.13491610677306645</v>
      </c>
      <c r="V121" s="1">
        <f t="shared" si="32"/>
        <v>9.621075303319912E-2</v>
      </c>
      <c r="W121" s="1"/>
      <c r="X121" s="6">
        <f t="shared" si="33"/>
        <v>0.55120676416187431</v>
      </c>
      <c r="Y121" s="6">
        <f t="shared" si="34"/>
        <v>0.2491154078550947</v>
      </c>
      <c r="AA121">
        <f t="shared" si="35"/>
        <v>0.99024093223043252</v>
      </c>
      <c r="AB121">
        <f t="shared" si="36"/>
        <v>0.98363926404507684</v>
      </c>
      <c r="AC121">
        <f t="shared" si="37"/>
        <v>0.96678301780243459</v>
      </c>
      <c r="AD121">
        <f t="shared" si="38"/>
        <v>0.94902621755419747</v>
      </c>
      <c r="AE121">
        <f t="shared" si="39"/>
        <v>0.99841730110893645</v>
      </c>
      <c r="AF121">
        <f t="shared" si="40"/>
        <v>0.99703114962094608</v>
      </c>
    </row>
    <row r="122" spans="1:32" x14ac:dyDescent="0.3">
      <c r="A122" s="2"/>
      <c r="B122" s="2"/>
      <c r="C122" s="2"/>
      <c r="D122" s="1" t="e">
        <f t="shared" si="41"/>
        <v>#N/A</v>
      </c>
      <c r="E122" s="1">
        <f t="shared" si="42"/>
        <v>0.72860567366273266</v>
      </c>
      <c r="F122" s="3"/>
      <c r="G122" s="1">
        <f t="shared" si="43"/>
        <v>26.16904394684731</v>
      </c>
      <c r="H122" s="3"/>
      <c r="I122" s="2">
        <f t="shared" si="44"/>
        <v>120</v>
      </c>
      <c r="J122" s="3"/>
      <c r="K122" s="3">
        <f t="shared" si="23"/>
        <v>0.89645502307708047</v>
      </c>
      <c r="L122" s="3">
        <f t="shared" si="24"/>
        <v>0.85579311074329822</v>
      </c>
      <c r="M122" s="3"/>
      <c r="N122" s="3">
        <f t="shared" si="25"/>
        <v>1</v>
      </c>
      <c r="O122" s="3">
        <f t="shared" si="26"/>
        <v>1</v>
      </c>
      <c r="P122" s="3"/>
      <c r="Q122" s="3">
        <f t="shared" si="27"/>
        <v>0.6368306511756191</v>
      </c>
      <c r="R122" s="3">
        <f t="shared" si="28"/>
        <v>0.5596176923702425</v>
      </c>
      <c r="S122" s="3">
        <f t="shared" si="29"/>
        <v>0.4403823076297575</v>
      </c>
      <c r="T122" s="3">
        <f t="shared" si="30"/>
        <v>0.3631693488243809</v>
      </c>
      <c r="U122" s="3">
        <f t="shared" si="31"/>
        <v>0.14420688925670178</v>
      </c>
      <c r="V122" s="3">
        <f t="shared" si="32"/>
        <v>0.10354497692291953</v>
      </c>
      <c r="W122" s="3"/>
      <c r="X122" s="6">
        <f t="shared" si="33"/>
        <v>0.54433105395181747</v>
      </c>
      <c r="Y122" s="6">
        <f t="shared" si="34"/>
        <v>0.24192491286747436</v>
      </c>
      <c r="AA122">
        <f t="shared" si="35"/>
        <v>0.99128065498736573</v>
      </c>
      <c r="AB122">
        <f t="shared" si="36"/>
        <v>0.9852718565691857</v>
      </c>
      <c r="AC122">
        <f t="shared" si="37"/>
        <v>0.96976325511509198</v>
      </c>
      <c r="AD122">
        <f t="shared" si="38"/>
        <v>0.95326057958500188</v>
      </c>
      <c r="AE122">
        <f t="shared" si="39"/>
        <v>0.99861894719475575</v>
      </c>
      <c r="AF122">
        <f t="shared" si="40"/>
        <v>0.99738926487265944</v>
      </c>
    </row>
    <row r="123" spans="1:32" x14ac:dyDescent="0.3">
      <c r="D123" s="1">
        <f t="shared" si="41"/>
        <v>24.970974473817094</v>
      </c>
      <c r="E123" s="1">
        <f t="shared" si="42"/>
        <v>0.68503914344210415</v>
      </c>
      <c r="G123" s="1">
        <f t="shared" si="43"/>
        <v>27.069173742009468</v>
      </c>
      <c r="I123">
        <f t="shared" si="44"/>
        <v>121</v>
      </c>
      <c r="K123" s="1">
        <f t="shared" si="23"/>
        <v>0.90372999507109986</v>
      </c>
      <c r="L123" s="1">
        <f t="shared" si="24"/>
        <v>0.86500851994546191</v>
      </c>
      <c r="N123" s="1">
        <f t="shared" si="25"/>
        <v>0.98762895417911245</v>
      </c>
      <c r="O123" s="1">
        <f t="shared" si="26"/>
        <v>0.97137196504195211</v>
      </c>
      <c r="Q123" s="1">
        <f t="shared" si="27"/>
        <v>0.65228394379934251</v>
      </c>
      <c r="R123" s="1">
        <f t="shared" si="28"/>
        <v>0.57593071507851412</v>
      </c>
      <c r="S123" s="1">
        <f t="shared" si="29"/>
        <v>0.45679716623430006</v>
      </c>
      <c r="T123" s="1">
        <f t="shared" si="30"/>
        <v>0.37884867305970554</v>
      </c>
      <c r="U123" s="1">
        <f t="shared" si="31"/>
        <v>0.15383725346050517</v>
      </c>
      <c r="V123" s="1">
        <f t="shared" si="32"/>
        <v>0.11121087463892682</v>
      </c>
      <c r="W123" s="1"/>
      <c r="X123" s="6">
        <f t="shared" si="33"/>
        <v>0.53759710954164752</v>
      </c>
      <c r="Y123" s="6">
        <f t="shared" si="34"/>
        <v>0.23499907800468164</v>
      </c>
      <c r="AA123">
        <f t="shared" si="35"/>
        <v>0.9922145188905217</v>
      </c>
      <c r="AB123">
        <f t="shared" si="36"/>
        <v>0.98675049844166396</v>
      </c>
      <c r="AC123">
        <f t="shared" si="37"/>
        <v>0.97249641289275079</v>
      </c>
      <c r="AD123">
        <f t="shared" si="38"/>
        <v>0.95717638312881614</v>
      </c>
      <c r="AE123">
        <f t="shared" si="39"/>
        <v>0.99879547522436674</v>
      </c>
      <c r="AF123">
        <f t="shared" si="40"/>
        <v>0.99770539506947642</v>
      </c>
    </row>
    <row r="124" spans="1:32" x14ac:dyDescent="0.3">
      <c r="D124" s="1">
        <f t="shared" si="41"/>
        <v>23.822590241426226</v>
      </c>
      <c r="E124" s="1">
        <f t="shared" si="42"/>
        <v>0.64321204830629242</v>
      </c>
      <c r="G124" s="1">
        <f t="shared" si="43"/>
        <v>27.976357918298447</v>
      </c>
      <c r="I124">
        <f t="shared" si="44"/>
        <v>122</v>
      </c>
      <c r="K124" s="1">
        <f t="shared" si="23"/>
        <v>0.91056691495246678</v>
      </c>
      <c r="L124" s="1">
        <f t="shared" si="24"/>
        <v>0.87374090377331592</v>
      </c>
      <c r="N124" s="1">
        <f t="shared" si="25"/>
        <v>0.97551089248616007</v>
      </c>
      <c r="O124" s="1">
        <f t="shared" si="26"/>
        <v>0.94378909243487663</v>
      </c>
      <c r="Q124" s="1">
        <f t="shared" si="27"/>
        <v>0.66736420237851046</v>
      </c>
      <c r="R124" s="1">
        <f t="shared" si="28"/>
        <v>0.59198204575242364</v>
      </c>
      <c r="S124" s="1">
        <f t="shared" si="29"/>
        <v>0.47315014723543747</v>
      </c>
      <c r="T124" s="1">
        <f t="shared" si="30"/>
        <v>0.39459850290017867</v>
      </c>
      <c r="U124" s="1">
        <f t="shared" si="31"/>
        <v>0.1637995571927445</v>
      </c>
      <c r="V124" s="1">
        <f t="shared" si="32"/>
        <v>0.11920679831233753</v>
      </c>
      <c r="W124" s="1"/>
      <c r="X124" s="6">
        <f t="shared" si="33"/>
        <v>0.53100087224846948</v>
      </c>
      <c r="Y124" s="6">
        <f t="shared" si="34"/>
        <v>0.22832609395258024</v>
      </c>
      <c r="AA124">
        <f t="shared" si="35"/>
        <v>0.99305260819058838</v>
      </c>
      <c r="AB124">
        <f t="shared" si="36"/>
        <v>0.98808850722076658</v>
      </c>
      <c r="AC124">
        <f t="shared" si="37"/>
        <v>0.97500047139999424</v>
      </c>
      <c r="AD124">
        <f t="shared" si="38"/>
        <v>0.96079372718010714</v>
      </c>
      <c r="AE124">
        <f t="shared" si="39"/>
        <v>0.99894991895485297</v>
      </c>
      <c r="AF124">
        <f t="shared" si="40"/>
        <v>0.99798427160354564</v>
      </c>
    </row>
    <row r="125" spans="1:32" x14ac:dyDescent="0.3">
      <c r="D125" s="1">
        <f t="shared" si="41"/>
        <v>22.721985011415526</v>
      </c>
      <c r="E125" s="1">
        <f t="shared" si="42"/>
        <v>0.60315522460170001</v>
      </c>
      <c r="G125" s="1">
        <f t="shared" si="43"/>
        <v>28.89016782612282</v>
      </c>
      <c r="I125">
        <f t="shared" si="44"/>
        <v>123</v>
      </c>
      <c r="K125" s="1">
        <f t="shared" si="23"/>
        <v>0.91698459741532046</v>
      </c>
      <c r="L125" s="1">
        <f t="shared" si="24"/>
        <v>0.88200528174366433</v>
      </c>
      <c r="N125" s="1">
        <f t="shared" si="25"/>
        <v>0.96363863087764834</v>
      </c>
      <c r="O125" s="1">
        <f t="shared" si="26"/>
        <v>0.91720512159680978</v>
      </c>
      <c r="Q125" s="1">
        <f t="shared" si="27"/>
        <v>0.68205857631160149</v>
      </c>
      <c r="R125" s="1">
        <f t="shared" si="28"/>
        <v>0.60775135896277344</v>
      </c>
      <c r="S125" s="1">
        <f t="shared" si="29"/>
        <v>0.48941453623024889</v>
      </c>
      <c r="T125" s="1">
        <f t="shared" si="30"/>
        <v>0.41039191710681877</v>
      </c>
      <c r="U125" s="1">
        <f t="shared" si="31"/>
        <v>0.17408502101977125</v>
      </c>
      <c r="V125" s="1">
        <f t="shared" si="32"/>
        <v>0.12753002838822317</v>
      </c>
      <c r="W125" s="1"/>
      <c r="X125" s="6">
        <f t="shared" si="33"/>
        <v>0.52453843157431668</v>
      </c>
      <c r="Y125" s="6">
        <f t="shared" si="34"/>
        <v>0.22189476912390949</v>
      </c>
      <c r="AA125">
        <f t="shared" si="35"/>
        <v>0.99380414393477001</v>
      </c>
      <c r="AB125">
        <f t="shared" si="36"/>
        <v>0.98929820853023032</v>
      </c>
      <c r="AC125">
        <f t="shared" si="37"/>
        <v>0.97729241195308647</v>
      </c>
      <c r="AD125">
        <f t="shared" si="38"/>
        <v>0.96413189708324154</v>
      </c>
      <c r="AE125">
        <f t="shared" si="39"/>
        <v>0.99908496133575109</v>
      </c>
      <c r="AF125">
        <f t="shared" si="40"/>
        <v>0.99823012246863074</v>
      </c>
    </row>
    <row r="126" spans="1:32" x14ac:dyDescent="0.3">
      <c r="D126" s="1">
        <f t="shared" si="41"/>
        <v>21.667330969386398</v>
      </c>
      <c r="E126" s="1">
        <f t="shared" si="42"/>
        <v>0.56488433359102697</v>
      </c>
      <c r="G126" s="1">
        <f t="shared" si="43"/>
        <v>29.810193640167554</v>
      </c>
      <c r="I126">
        <f t="shared" si="44"/>
        <v>124</v>
      </c>
      <c r="K126" s="1">
        <f t="shared" si="23"/>
        <v>0.92300185737501328</v>
      </c>
      <c r="L126" s="1">
        <f t="shared" si="24"/>
        <v>0.88981726694126828</v>
      </c>
      <c r="N126" s="1">
        <f t="shared" si="25"/>
        <v>0.95200524549283505</v>
      </c>
      <c r="O126" s="1">
        <f t="shared" si="26"/>
        <v>0.89157619244906505</v>
      </c>
      <c r="Q126" s="1">
        <f t="shared" si="27"/>
        <v>0.69635621598977593</v>
      </c>
      <c r="R126" s="1">
        <f t="shared" si="28"/>
        <v>0.62322015643981632</v>
      </c>
      <c r="S126" s="1">
        <f t="shared" si="29"/>
        <v>0.50556471093249389</v>
      </c>
      <c r="T126" s="1">
        <f t="shared" si="30"/>
        <v>0.42620242836653516</v>
      </c>
      <c r="U126" s="1">
        <f t="shared" si="31"/>
        <v>0.18468377503970274</v>
      </c>
      <c r="V126" s="1">
        <f t="shared" si="32"/>
        <v>0.13617678173834005</v>
      </c>
      <c r="W126" s="1"/>
      <c r="X126" s="6">
        <f t="shared" si="33"/>
        <v>0.51820601864677351</v>
      </c>
      <c r="Y126" s="6">
        <f t="shared" si="34"/>
        <v>0.21569449267295462</v>
      </c>
      <c r="AA126">
        <f t="shared" si="35"/>
        <v>0.99447754407681122</v>
      </c>
      <c r="AB126">
        <f t="shared" si="36"/>
        <v>0.99039098823658189</v>
      </c>
      <c r="AC126">
        <f t="shared" si="37"/>
        <v>0.97938823257128538</v>
      </c>
      <c r="AD126">
        <f t="shared" si="38"/>
        <v>0.96720934001076908</v>
      </c>
      <c r="AE126">
        <f t="shared" si="39"/>
        <v>0.99920297252608858</v>
      </c>
      <c r="AF126">
        <f t="shared" si="40"/>
        <v>0.99844672118233002</v>
      </c>
    </row>
    <row r="127" spans="1:32" x14ac:dyDescent="0.3">
      <c r="D127" s="1">
        <f t="shared" si="41"/>
        <v>20.656874219419706</v>
      </c>
      <c r="E127" s="1">
        <f t="shared" si="42"/>
        <v>0.52840152853316624</v>
      </c>
      <c r="G127" s="1">
        <f t="shared" si="43"/>
        <v>30.736044304909683</v>
      </c>
      <c r="I127">
        <f t="shared" si="44"/>
        <v>125</v>
      </c>
      <c r="K127" s="1">
        <f t="shared" si="23"/>
        <v>0.92863740266492811</v>
      </c>
      <c r="L127" s="1">
        <f t="shared" si="24"/>
        <v>0.89719292559733332</v>
      </c>
      <c r="N127" s="1">
        <f t="shared" si="25"/>
        <v>0.94060406122874041</v>
      </c>
      <c r="O127" s="1">
        <f t="shared" si="26"/>
        <v>0.8668607028284071</v>
      </c>
      <c r="Q127" s="1">
        <f t="shared" si="27"/>
        <v>0.71024820723254445</v>
      </c>
      <c r="R127" s="1">
        <f t="shared" si="28"/>
        <v>0.63837176567510001</v>
      </c>
      <c r="S127" s="1">
        <f t="shared" si="29"/>
        <v>0.52157622654873936</v>
      </c>
      <c r="T127" s="1">
        <f t="shared" si="30"/>
        <v>0.44200410216987113</v>
      </c>
      <c r="U127" s="1">
        <f t="shared" si="31"/>
        <v>0.19558491192974464</v>
      </c>
      <c r="V127" s="1">
        <f t="shared" si="32"/>
        <v>0.14514222647795641</v>
      </c>
      <c r="W127" s="1"/>
      <c r="X127" s="6">
        <f t="shared" si="33"/>
        <v>0.51200000000000012</v>
      </c>
      <c r="Y127" s="6">
        <f t="shared" si="34"/>
        <v>0.20971520000000007</v>
      </c>
      <c r="AA127">
        <f t="shared" si="35"/>
        <v>0.99508048142678229</v>
      </c>
      <c r="AB127">
        <f t="shared" si="36"/>
        <v>0.9913773450413681</v>
      </c>
      <c r="AC127">
        <f t="shared" si="37"/>
        <v>0.98130296953188956</v>
      </c>
      <c r="AD127">
        <f t="shared" si="38"/>
        <v>0.97004365011071214</v>
      </c>
      <c r="AE127">
        <f t="shared" si="39"/>
        <v>0.99930604420858538</v>
      </c>
      <c r="AF127">
        <f t="shared" si="40"/>
        <v>0.99863743168202224</v>
      </c>
    </row>
    <row r="128" spans="1:32" x14ac:dyDescent="0.3">
      <c r="D128" s="1">
        <f t="shared" si="41"/>
        <v>19.688930613496737</v>
      </c>
      <c r="E128" s="1">
        <f t="shared" si="42"/>
        <v>0.49369705368644112</v>
      </c>
      <c r="G128" s="1">
        <f t="shared" si="43"/>
        <v>31.667347379067706</v>
      </c>
      <c r="I128">
        <f t="shared" si="44"/>
        <v>126</v>
      </c>
      <c r="K128" s="1">
        <f t="shared" si="23"/>
        <v>0.93390973911785757</v>
      </c>
      <c r="L128" s="1">
        <f t="shared" si="24"/>
        <v>0.90414864736680345</v>
      </c>
      <c r="N128" s="1">
        <f t="shared" si="25"/>
        <v>0.92942864090336486</v>
      </c>
      <c r="O128" s="1">
        <f t="shared" si="26"/>
        <v>0.84301917542255311</v>
      </c>
      <c r="Q128" s="1">
        <f t="shared" si="27"/>
        <v>0.72372749676293524</v>
      </c>
      <c r="R128" s="1">
        <f t="shared" si="28"/>
        <v>0.65319132580079731</v>
      </c>
      <c r="S128" s="1">
        <f t="shared" si="29"/>
        <v>0.53742588843117112</v>
      </c>
      <c r="T128" s="1">
        <f t="shared" si="30"/>
        <v>0.45777166641519473</v>
      </c>
      <c r="U128" s="1">
        <f t="shared" si="31"/>
        <v>0.20677654565179621</v>
      </c>
      <c r="V128" s="1">
        <f t="shared" si="32"/>
        <v>0.15442050322526796</v>
      </c>
      <c r="W128" s="1"/>
      <c r="X128" s="6">
        <f t="shared" si="33"/>
        <v>0.50591687167593391</v>
      </c>
      <c r="Y128" s="6">
        <f t="shared" si="34"/>
        <v>0.20394734055971128</v>
      </c>
      <c r="AA128">
        <f t="shared" si="35"/>
        <v>0.99561993917670844</v>
      </c>
      <c r="AB128">
        <f t="shared" si="36"/>
        <v>0.99226694288282624</v>
      </c>
      <c r="AC128">
        <f t="shared" si="37"/>
        <v>0.98305072377992153</v>
      </c>
      <c r="AD128">
        <f t="shared" si="38"/>
        <v>0.97265156217864246</v>
      </c>
      <c r="AE128">
        <f t="shared" si="39"/>
        <v>0.9993960204921577</v>
      </c>
      <c r="AF128">
        <f t="shared" si="40"/>
        <v>0.99880524940737259</v>
      </c>
    </row>
    <row r="129" spans="4:32" x14ac:dyDescent="0.3">
      <c r="D129" s="1">
        <f t="shared" si="41"/>
        <v>18.761881892614568</v>
      </c>
      <c r="E129" s="1">
        <f t="shared" si="42"/>
        <v>0.46075076281030292</v>
      </c>
      <c r="G129" s="1">
        <f t="shared" si="43"/>
        <v>32.603748791090254</v>
      </c>
      <c r="I129">
        <f t="shared" si="44"/>
        <v>127</v>
      </c>
      <c r="K129" s="1">
        <f t="shared" si="23"/>
        <v>0.93883708746290406</v>
      </c>
      <c r="L129" s="1">
        <f t="shared" si="24"/>
        <v>0.91070102632883321</v>
      </c>
      <c r="N129" s="1">
        <f t="shared" si="25"/>
        <v>0.91847277497244251</v>
      </c>
      <c r="O129" s="1">
        <f t="shared" si="26"/>
        <v>0.8200141335236637</v>
      </c>
      <c r="Q129" s="1">
        <f t="shared" si="27"/>
        <v>0.73678881015395459</v>
      </c>
      <c r="R129" s="1">
        <f t="shared" si="28"/>
        <v>0.66766576186223203</v>
      </c>
      <c r="S129" s="1">
        <f t="shared" si="29"/>
        <v>0.55309181222780057</v>
      </c>
      <c r="T129" s="1">
        <f t="shared" si="30"/>
        <v>0.47348061135559588</v>
      </c>
      <c r="U129" s="1">
        <f t="shared" si="31"/>
        <v>0.21824587517139135</v>
      </c>
      <c r="V129" s="1">
        <f t="shared" si="32"/>
        <v>0.16400475248871363</v>
      </c>
      <c r="W129" s="1"/>
      <c r="X129" s="6">
        <f t="shared" si="33"/>
        <v>0.4999532536268001</v>
      </c>
      <c r="Y129" s="6">
        <f t="shared" si="34"/>
        <v>0.1983818478028099</v>
      </c>
      <c r="AA129">
        <f t="shared" si="35"/>
        <v>0.99610226381324407</v>
      </c>
      <c r="AB129">
        <f t="shared" si="36"/>
        <v>0.99306866264209059</v>
      </c>
      <c r="AC129">
        <f t="shared" si="37"/>
        <v>0.98464469124354781</v>
      </c>
      <c r="AD129">
        <f t="shared" si="38"/>
        <v>0.9750489527737114</v>
      </c>
      <c r="AE129">
        <f t="shared" si="39"/>
        <v>0.99947452568322448</v>
      </c>
      <c r="AF129">
        <f t="shared" si="40"/>
        <v>0.99895283879252861</v>
      </c>
    </row>
    <row r="130" spans="4:32" x14ac:dyDescent="0.3">
      <c r="D130" s="1">
        <f t="shared" si="41"/>
        <v>17.874172117750504</v>
      </c>
      <c r="E130" s="1">
        <f t="shared" si="42"/>
        <v>0.4295335482269973</v>
      </c>
      <c r="G130" s="1">
        <f t="shared" si="43"/>
        <v>33.544912517188806</v>
      </c>
      <c r="I130">
        <f t="shared" si="44"/>
        <v>128</v>
      </c>
      <c r="K130" s="1">
        <f t="shared" ref="K130:K152" si="45">_xlfn.NORM.S.DIST((LN(I130/$B$4)+($B$2-$B$3+0.5*$B$1^2)*$B$5)/($B$1*SQRT($B$5)),TRUE)</f>
        <v>0.94343731140724418</v>
      </c>
      <c r="L130" s="1">
        <f t="shared" ref="L130:L152" si="46">_xlfn.NORM.S.DIST((LN(I130/$B$4)+($B$2-$B$3-0.5*$B$1^2)*$B$5)/($B$1*SQRT($B$5)),TRUE)</f>
        <v>0.91686675261035278</v>
      </c>
      <c r="N130" s="1">
        <f t="shared" ref="N130:N152" si="47">($B$6/I130)^(-1+(2*($B$2-$B$3))/($B$1^2))</f>
        <v>0.90773047176736332</v>
      </c>
      <c r="O130" s="1">
        <f t="shared" ref="O130:O152" si="48">($B$6/I130)^(1+(2*($B$2-$B$3))/($B$1^2))</f>
        <v>0.79780998495178423</v>
      </c>
      <c r="Q130" s="1">
        <f t="shared" ref="Q130:Q152" si="49">_xlfn.NORM.S.DIST((LN(I130/$B$6)+($B$2-$B$3+0.5*$B$1^2)*$B$5)/($B$1*SQRT($B$5)),TRUE)</f>
        <v>0.74942856362014099</v>
      </c>
      <c r="R130" s="1">
        <f t="shared" ref="R130:R152" si="50">_xlfn.NORM.S.DIST((LN(I130/$B$6)+($B$2-$B$3-0.5*$B$1^2)*$B$5)/($B$1*SQRT($B$5)),TRUE)</f>
        <v>0.68178374862231272</v>
      </c>
      <c r="S130" s="1">
        <f t="shared" ref="S130:S152" si="51">_xlfn.NORM.S.DIST((LN(I130/$B$6)-($B$2-$B$3-0.5*$B$1^2)*$B$5)/($B$1*SQRT($B$5)),TRUE)</f>
        <v>0.56855347186302152</v>
      </c>
      <c r="T130" s="1">
        <f t="shared" ref="T130:T152" si="52">_xlfn.NORM.S.DIST((LN(I130/$B$6)-($B$2-$B$3+0.5*$B$1^2)*$B$5)/($B$1*SQRT($B$5)),TRUE)</f>
        <v>0.48910727963042572</v>
      </c>
      <c r="U130" s="1">
        <f t="shared" ref="U130:U152" si="53">_xlfn.NORM.S.DIST((LN((I130*$B$4)/($B$6^2))-($B$2-$B$3-0.5*$B$1^2)*$B$5)/($B$1*SQRT($B$5)),TRUE)</f>
        <v>0.22997925252443879</v>
      </c>
      <c r="V130" s="1">
        <f t="shared" ref="V130:V152" si="54">_xlfn.NORM.S.DIST((LN((I130*$B$4)/($B$6^2))-($B$2-$B$3+0.5*$B$1^2)*$B$5)/($B$1*SQRT($B$5)),TRUE)</f>
        <v>0.17388714782034762</v>
      </c>
      <c r="W130" s="1"/>
      <c r="X130" s="6">
        <f t="shared" ref="X130:X152" si="55">($B$7/I130)^(-1+(2*($B$2-$B$3))/($B$1^2))</f>
        <v>0.49410588440130931</v>
      </c>
      <c r="Y130" s="6">
        <f t="shared" ref="Y130:Y152" si="56">($B$7/I130)^(1+(2*($B$2-$B$3))/($B$1^2))</f>
        <v>0.19301011109426147</v>
      </c>
      <c r="AA130">
        <f t="shared" ref="AA130:AA152" si="57">_xlfn.NORM.S.DIST((LN(I130/$B$7)+($B$2-$B$3+0.5*$B$1^2)*$B$5)/($B$1*SQRT($B$5)),TRUE)</f>
        <v>0.9965332152929931</v>
      </c>
      <c r="AB130">
        <f t="shared" ref="AB130:AB152" si="58">_xlfn.NORM.S.DIST((LN(I130/$B$7)+($B$2-$B$3-0.5*$B$1^2)*$B$5)/($B$1*SQRT($B$5)),TRUE)</f>
        <v>0.99379065273955824</v>
      </c>
      <c r="AC130">
        <f t="shared" ref="AC130:AC152" si="59">_xlfn.NORM.S.DIST((LN(I130/$B$7)-($B$2-$B$3-0.5*$B$1^2)*$B$5)/($B$1*SQRT($B$5)),TRUE)</f>
        <v>0.98609719620372616</v>
      </c>
      <c r="AD130">
        <f t="shared" ref="AD130:AD152" si="60">_xlfn.NORM.S.DIST((LN(I130/$B$7)-($B$2-$B$3+0.5*$B$1^2)*$B$5)/($B$1*SQRT($B$5)),TRUE)</f>
        <v>0.97725084776646742</v>
      </c>
      <c r="AE130">
        <f t="shared" ref="AE130:AE152" si="61">_xlfn.NORM.S.DIST((LN((I130*$B$4)/($B$7^2))-($B$2-$B$3-0.5*$B$1^2)*$B$5)/($B$1*SQRT($B$5)),TRUE)</f>
        <v>0.99954298919351903</v>
      </c>
      <c r="AF130">
        <f t="shared" ref="AF130:AF152" si="62">_xlfn.NORM.S.DIST((LN((I130*$B$4)/($B$7^2))-($B$2-$B$3+0.5*$B$1^2)*$B$5)/($B$1*SQRT($B$5)),TRUE)</f>
        <v>0.99908256739605483</v>
      </c>
    </row>
    <row r="131" spans="4:32" x14ac:dyDescent="0.3">
      <c r="D131" s="1">
        <f t="shared" ref="D131:D194" si="63">IF(I131&gt;$B$6,I131*O131*(1-V131)-$B$4*EXP(-$B$2*$B$5)*N131*(1-U131),NA())</f>
        <v>17.024304370021639</v>
      </c>
      <c r="E131" s="1">
        <f t="shared" ref="E131:E194" si="64">IF(I131&gt;$B$7,I131*(K131-AA131+Y131*(1-AD131))-$B$4*EXP(-$B$2*$B$5)*(L131-AB131+X131*(1-AC131)),NA())</f>
        <v>0.40000867449675326</v>
      </c>
      <c r="G131" s="1">
        <f t="shared" ref="G131:G194" si="65">I131*K131-$B$4*EXP(-$B$2*$B$5)*L131</f>
        <v>34.490520192764734</v>
      </c>
      <c r="I131">
        <f t="shared" si="44"/>
        <v>129</v>
      </c>
      <c r="K131" s="1">
        <f t="shared" si="45"/>
        <v>0.94772785622765154</v>
      </c>
      <c r="L131" s="1">
        <f t="shared" si="46"/>
        <v>0.92266251442620761</v>
      </c>
      <c r="N131" s="1">
        <f t="shared" si="47"/>
        <v>0.8971959482240226</v>
      </c>
      <c r="O131" s="1">
        <f t="shared" si="48"/>
        <v>0.77637291355242621</v>
      </c>
      <c r="Q131" s="1">
        <f t="shared" si="49"/>
        <v>0.76164477095898886</v>
      </c>
      <c r="R131" s="1">
        <f t="shared" si="50"/>
        <v>0.69553566504313602</v>
      </c>
      <c r="S131" s="1">
        <f t="shared" si="51"/>
        <v>0.58379173577955823</v>
      </c>
      <c r="T131" s="1">
        <f t="shared" si="52"/>
        <v>0.50462894624179744</v>
      </c>
      <c r="U131" s="1">
        <f t="shared" si="53"/>
        <v>0.24196225455428627</v>
      </c>
      <c r="V131" s="1">
        <f t="shared" si="54"/>
        <v>0.18405893433251697</v>
      </c>
      <c r="W131" s="1"/>
      <c r="X131" s="6">
        <f t="shared" si="55"/>
        <v>0.48837161609808244</v>
      </c>
      <c r="Y131" s="6">
        <f t="shared" si="56"/>
        <v>0.18782394946383793</v>
      </c>
      <c r="AA131">
        <f t="shared" si="57"/>
        <v>0.99691801441070993</v>
      </c>
      <c r="AB131">
        <f t="shared" si="58"/>
        <v>0.99444037828783194</v>
      </c>
      <c r="AC131">
        <f t="shared" si="59"/>
        <v>0.98741972696006663</v>
      </c>
      <c r="AD131">
        <f t="shared" si="60"/>
        <v>0.979271435378266</v>
      </c>
      <c r="AE131">
        <f t="shared" si="61"/>
        <v>0.99960266783782126</v>
      </c>
      <c r="AF131">
        <f t="shared" si="62"/>
        <v>0.99919653689722765</v>
      </c>
    </row>
    <row r="132" spans="4:32" x14ac:dyDescent="0.3">
      <c r="D132" s="1">
        <f t="shared" si="63"/>
        <v>16.21083770051775</v>
      </c>
      <c r="E132" s="1">
        <f t="shared" si="64"/>
        <v>0.37213301330245496</v>
      </c>
      <c r="G132" s="1">
        <f t="shared" si="65"/>
        <v>35.440270667389981</v>
      </c>
      <c r="I132">
        <f t="shared" si="44"/>
        <v>130</v>
      </c>
      <c r="K132" s="1">
        <f t="shared" si="45"/>
        <v>0.95172569716748268</v>
      </c>
      <c r="L132" s="1">
        <f t="shared" si="46"/>
        <v>0.92810491023994279</v>
      </c>
      <c r="N132" s="1">
        <f t="shared" si="47"/>
        <v>0.88686362107432881</v>
      </c>
      <c r="O132" s="1">
        <f t="shared" si="48"/>
        <v>0.75567077772013824</v>
      </c>
      <c r="Q132" s="1">
        <f t="shared" si="49"/>
        <v>0.77343694686933229</v>
      </c>
      <c r="R132" s="1">
        <f t="shared" si="50"/>
        <v>0.70891354058188571</v>
      </c>
      <c r="S132" s="1">
        <f t="shared" si="51"/>
        <v>0.59878889195688989</v>
      </c>
      <c r="T132" s="1">
        <f t="shared" si="52"/>
        <v>0.52002388844654357</v>
      </c>
      <c r="U132" s="1">
        <f t="shared" si="53"/>
        <v>0.25417975763793765</v>
      </c>
      <c r="V132" s="1">
        <f t="shared" si="54"/>
        <v>0.19451047214061304</v>
      </c>
      <c r="W132" s="1"/>
      <c r="X132" s="6">
        <f t="shared" si="55"/>
        <v>0.48274740957091467</v>
      </c>
      <c r="Y132" s="6">
        <f t="shared" si="56"/>
        <v>0.18281558705644105</v>
      </c>
      <c r="AA132">
        <f t="shared" si="57"/>
        <v>0.99726138733643122</v>
      </c>
      <c r="AB132">
        <f t="shared" si="58"/>
        <v>0.9950246685392018</v>
      </c>
      <c r="AC132">
        <f t="shared" si="59"/>
        <v>0.98862297312366176</v>
      </c>
      <c r="AD132">
        <f t="shared" si="60"/>
        <v>0.98112408384567318</v>
      </c>
      <c r="AE132">
        <f t="shared" si="61"/>
        <v>0.99965466575982087</v>
      </c>
      <c r="AF132">
        <f t="shared" si="62"/>
        <v>0.99929661118440283</v>
      </c>
    </row>
    <row r="133" spans="4:32" x14ac:dyDescent="0.3">
      <c r="D133" s="1">
        <f t="shared" si="63"/>
        <v>15.432384311361673</v>
      </c>
      <c r="E133" s="1">
        <f t="shared" si="64"/>
        <v>0.34585817826995235</v>
      </c>
      <c r="G133" s="1">
        <f t="shared" si="65"/>
        <v>36.393879512788217</v>
      </c>
      <c r="I133">
        <f t="shared" si="44"/>
        <v>131</v>
      </c>
      <c r="K133" s="1">
        <f t="shared" si="45"/>
        <v>0.95544729691900188</v>
      </c>
      <c r="L133" s="1">
        <f t="shared" si="46"/>
        <v>0.93321037067576951</v>
      </c>
      <c r="N133" s="1">
        <f t="shared" si="47"/>
        <v>0.87672809847393396</v>
      </c>
      <c r="O133" s="1">
        <f t="shared" si="48"/>
        <v>0.73567301544342689</v>
      </c>
      <c r="Q133" s="1">
        <f t="shared" si="49"/>
        <v>0.78480600778954035</v>
      </c>
      <c r="R133" s="1">
        <f t="shared" si="50"/>
        <v>0.72191099441709938</v>
      </c>
      <c r="S133" s="1">
        <f t="shared" si="51"/>
        <v>0.61352866229148995</v>
      </c>
      <c r="T133" s="1">
        <f t="shared" si="52"/>
        <v>0.53527144563537665</v>
      </c>
      <c r="U133" s="1">
        <f t="shared" si="53"/>
        <v>0.26661601472428914</v>
      </c>
      <c r="V133" s="1">
        <f t="shared" si="54"/>
        <v>0.2052312842666493</v>
      </c>
      <c r="W133" s="1"/>
      <c r="X133" s="6">
        <f t="shared" si="55"/>
        <v>0.47723032987148928</v>
      </c>
      <c r="Y133" s="6">
        <f t="shared" si="56"/>
        <v>0.17797763016010323</v>
      </c>
      <c r="AA133">
        <f t="shared" si="57"/>
        <v>0.9975676073355042</v>
      </c>
      <c r="AB133">
        <f t="shared" si="58"/>
        <v>0.9955497624284384</v>
      </c>
      <c r="AC133">
        <f t="shared" si="59"/>
        <v>0.98971686395109681</v>
      </c>
      <c r="AD133">
        <f t="shared" si="60"/>
        <v>0.98282136291704547</v>
      </c>
      <c r="AE133">
        <f t="shared" si="61"/>
        <v>0.99969995220863961</v>
      </c>
      <c r="AF133">
        <f t="shared" si="62"/>
        <v>0.99938444175553931</v>
      </c>
    </row>
    <row r="134" spans="4:32" x14ac:dyDescent="0.3">
      <c r="D134" s="1">
        <f t="shared" si="63"/>
        <v>14.687606950582904</v>
      </c>
      <c r="E134" s="1">
        <f t="shared" si="64"/>
        <v>0.32113156020815126</v>
      </c>
      <c r="G134" s="1">
        <f t="shared" si="65"/>
        <v>37.351078492538363</v>
      </c>
      <c r="I134">
        <f t="shared" si="44"/>
        <v>132</v>
      </c>
      <c r="K134" s="1">
        <f t="shared" si="45"/>
        <v>0.95890857146666941</v>
      </c>
      <c r="L134" s="1">
        <f t="shared" si="46"/>
        <v>0.93799508975339752</v>
      </c>
      <c r="N134" s="1">
        <f t="shared" si="47"/>
        <v>0.86678417204144753</v>
      </c>
      <c r="O134" s="1">
        <f t="shared" si="48"/>
        <v>0.716350555406155</v>
      </c>
      <c r="Q134" s="1">
        <f t="shared" si="49"/>
        <v>0.79575417130958659</v>
      </c>
      <c r="R134" s="1">
        <f t="shared" si="50"/>
        <v>0.73452316868917078</v>
      </c>
      <c r="S134" s="1">
        <f t="shared" si="51"/>
        <v>0.62799620698115977</v>
      </c>
      <c r="T134" s="1">
        <f t="shared" si="52"/>
        <v>0.5503520693628241</v>
      </c>
      <c r="U134" s="1">
        <f t="shared" si="53"/>
        <v>0.27925473401840983</v>
      </c>
      <c r="V134" s="1">
        <f t="shared" si="54"/>
        <v>0.21621010851680567</v>
      </c>
      <c r="W134" s="1"/>
      <c r="X134" s="6">
        <f t="shared" si="55"/>
        <v>0.47181754191607467</v>
      </c>
      <c r="Y134" s="6">
        <f t="shared" si="56"/>
        <v>0.17330304569920096</v>
      </c>
      <c r="AA134">
        <f t="shared" si="57"/>
        <v>0.99784053371638637</v>
      </c>
      <c r="AB134">
        <f t="shared" si="58"/>
        <v>0.99602135206635323</v>
      </c>
      <c r="AC134">
        <f t="shared" si="59"/>
        <v>0.99071060721160209</v>
      </c>
      <c r="AD134">
        <f t="shared" si="60"/>
        <v>0.98437506846128353</v>
      </c>
      <c r="AE134">
        <f t="shared" si="61"/>
        <v>0.99973937737275376</v>
      </c>
      <c r="AF134">
        <f t="shared" si="62"/>
        <v>0.99946149064325762</v>
      </c>
    </row>
    <row r="135" spans="4:32" x14ac:dyDescent="0.3">
      <c r="D135" s="1">
        <f t="shared" si="63"/>
        <v>13.975216504375467</v>
      </c>
      <c r="E135" s="1">
        <f t="shared" si="64"/>
        <v>0.29789726468312505</v>
      </c>
      <c r="G135" s="1">
        <f t="shared" si="65"/>
        <v>38.311615001502574</v>
      </c>
      <c r="I135">
        <f t="shared" si="44"/>
        <v>133</v>
      </c>
      <c r="K135" s="1">
        <f t="shared" si="45"/>
        <v>0.9621248635726366</v>
      </c>
      <c r="L135" s="1">
        <f t="shared" si="46"/>
        <v>0.94247496497193139</v>
      </c>
      <c r="N135" s="1">
        <f t="shared" si="47"/>
        <v>0.85702680928597463</v>
      </c>
      <c r="O135" s="1">
        <f t="shared" si="48"/>
        <v>0.69767573371688818</v>
      </c>
      <c r="Q135" s="1">
        <f t="shared" si="49"/>
        <v>0.80628485511948444</v>
      </c>
      <c r="R135" s="1">
        <f t="shared" si="50"/>
        <v>0.74674665679729102</v>
      </c>
      <c r="S135" s="1">
        <f t="shared" si="51"/>
        <v>0.64217811959996962</v>
      </c>
      <c r="T135" s="1">
        <f t="shared" si="52"/>
        <v>0.56524736377359686</v>
      </c>
      <c r="U135" s="1">
        <f t="shared" si="53"/>
        <v>0.2920791586635717</v>
      </c>
      <c r="V135" s="1">
        <f t="shared" si="54"/>
        <v>0.22743495283076337</v>
      </c>
      <c r="W135" s="1"/>
      <c r="X135" s="6">
        <f t="shared" si="55"/>
        <v>0.46650630636359791</v>
      </c>
      <c r="Y135" s="6">
        <f t="shared" si="56"/>
        <v>0.16878514108920945</v>
      </c>
      <c r="AA135">
        <f t="shared" si="57"/>
        <v>0.99808364807581762</v>
      </c>
      <c r="AB135">
        <f t="shared" si="58"/>
        <v>0.99644462408676504</v>
      </c>
      <c r="AC135">
        <f t="shared" si="59"/>
        <v>0.99161272815114698</v>
      </c>
      <c r="AD135">
        <f t="shared" si="60"/>
        <v>0.98579624953964062</v>
      </c>
      <c r="AE135">
        <f t="shared" si="61"/>
        <v>0.99977368646245013</v>
      </c>
      <c r="AF135">
        <f t="shared" si="62"/>
        <v>0.99952905106758216</v>
      </c>
    </row>
    <row r="136" spans="4:32" x14ac:dyDescent="0.3">
      <c r="D136" s="1">
        <f t="shared" si="63"/>
        <v>13.293969771261139</v>
      </c>
      <c r="E136" s="1">
        <f t="shared" si="64"/>
        <v>0.27609695497307563</v>
      </c>
      <c r="G136" s="1">
        <f t="shared" si="65"/>
        <v>39.275251482266043</v>
      </c>
      <c r="I136">
        <f t="shared" si="44"/>
        <v>134</v>
      </c>
      <c r="K136" s="1">
        <f t="shared" si="45"/>
        <v>0.9651109231995767</v>
      </c>
      <c r="L136" s="1">
        <f t="shared" si="46"/>
        <v>0.94666554573564521</v>
      </c>
      <c r="N136" s="1">
        <f t="shared" si="47"/>
        <v>0.84745114640128449</v>
      </c>
      <c r="O136" s="1">
        <f t="shared" si="48"/>
        <v>0.67962221587093441</v>
      </c>
      <c r="Q136" s="1">
        <f t="shared" si="49"/>
        <v>0.81640257636382918</v>
      </c>
      <c r="R136" s="1">
        <f t="shared" si="50"/>
        <v>0.75857942774559395</v>
      </c>
      <c r="S136" s="1">
        <f t="shared" si="51"/>
        <v>0.65606241358259276</v>
      </c>
      <c r="T136" s="1">
        <f t="shared" si="52"/>
        <v>0.57994011674329082</v>
      </c>
      <c r="U136" s="1">
        <f t="shared" si="53"/>
        <v>0.30507214679621941</v>
      </c>
      <c r="V136" s="1">
        <f t="shared" si="54"/>
        <v>0.23889315359138796</v>
      </c>
      <c r="W136" s="1"/>
      <c r="X136" s="6">
        <f t="shared" si="55"/>
        <v>0.46129397569328712</v>
      </c>
      <c r="Y136" s="6">
        <f t="shared" si="56"/>
        <v>0.16441754535737566</v>
      </c>
      <c r="AA136">
        <f t="shared" si="57"/>
        <v>0.99830008793030389</v>
      </c>
      <c r="AB136">
        <f t="shared" si="58"/>
        <v>0.99682429878982193</v>
      </c>
      <c r="AC136">
        <f t="shared" si="59"/>
        <v>0.9924311081831233</v>
      </c>
      <c r="AD136">
        <f t="shared" si="60"/>
        <v>0.98709523735967808</v>
      </c>
      <c r="AE136">
        <f t="shared" si="61"/>
        <v>0.99980353221673346</v>
      </c>
      <c r="AF136">
        <f t="shared" si="62"/>
        <v>0.99958826600921735</v>
      </c>
    </row>
    <row r="137" spans="4:32" x14ac:dyDescent="0.3">
      <c r="D137" s="1">
        <f t="shared" si="63"/>
        <v>12.642667403591162</v>
      </c>
      <c r="E137" s="1">
        <f t="shared" si="64"/>
        <v>0.2556706043300716</v>
      </c>
      <c r="G137" s="1">
        <f t="shared" si="65"/>
        <v>40.241764825182273</v>
      </c>
      <c r="I137">
        <f t="shared" si="44"/>
        <v>135</v>
      </c>
      <c r="K137" s="1">
        <f t="shared" si="45"/>
        <v>0.96788089418668477</v>
      </c>
      <c r="L137" s="1">
        <f t="shared" si="46"/>
        <v>0.95058198959185258</v>
      </c>
      <c r="N137" s="1">
        <f t="shared" si="47"/>
        <v>0.83805248140627853</v>
      </c>
      <c r="O137" s="1">
        <f t="shared" si="48"/>
        <v>0.66216492358026935</v>
      </c>
      <c r="Q137" s="1">
        <f t="shared" si="49"/>
        <v>0.82611285217965236</v>
      </c>
      <c r="R137" s="1">
        <f t="shared" si="50"/>
        <v>0.77002074747556115</v>
      </c>
      <c r="S137" s="1">
        <f t="shared" si="51"/>
        <v>0.66963850085793852</v>
      </c>
      <c r="T137" s="1">
        <f t="shared" si="52"/>
        <v>0.59441432211371659</v>
      </c>
      <c r="U137" s="1">
        <f t="shared" si="53"/>
        <v>0.31821625137768728</v>
      </c>
      <c r="V137" s="1">
        <f t="shared" si="54"/>
        <v>0.25057143637985901</v>
      </c>
      <c r="W137" s="1"/>
      <c r="X137" s="6">
        <f t="shared" si="55"/>
        <v>0.45617799047081553</v>
      </c>
      <c r="Y137" s="6">
        <f t="shared" si="56"/>
        <v>0.16019419144105454</v>
      </c>
      <c r="AA137">
        <f t="shared" si="57"/>
        <v>0.99849267783750539</v>
      </c>
      <c r="AB137">
        <f t="shared" si="58"/>
        <v>0.99716466705871831</v>
      </c>
      <c r="AC137">
        <f t="shared" si="59"/>
        <v>0.99317302299516619</v>
      </c>
      <c r="AD137">
        <f t="shared" si="60"/>
        <v>0.98828167559542968</v>
      </c>
      <c r="AE137">
        <f t="shared" si="61"/>
        <v>0.99982948599595933</v>
      </c>
      <c r="AF137">
        <f t="shared" si="62"/>
        <v>0.99964014488522979</v>
      </c>
    </row>
    <row r="138" spans="4:32" x14ac:dyDescent="0.3">
      <c r="D138" s="1">
        <f t="shared" si="63"/>
        <v>12.020152002699071</v>
      </c>
      <c r="E138" s="1">
        <f t="shared" si="64"/>
        <v>0.23655716212791411</v>
      </c>
      <c r="G138" s="1">
        <f t="shared" si="65"/>
        <v>41.210945757945495</v>
      </c>
      <c r="I138">
        <f t="shared" si="44"/>
        <v>136</v>
      </c>
      <c r="K138" s="1">
        <f t="shared" si="45"/>
        <v>0.97044830652084724</v>
      </c>
      <c r="L138" s="1">
        <f t="shared" si="46"/>
        <v>0.95423902573801844</v>
      </c>
      <c r="N138" s="1">
        <f t="shared" si="47"/>
        <v>0.82882626761269784</v>
      </c>
      <c r="O138" s="1">
        <f t="shared" si="48"/>
        <v>0.64527996613445338</v>
      </c>
      <c r="Q138" s="1">
        <f t="shared" si="49"/>
        <v>0.83542210210370427</v>
      </c>
      <c r="R138" s="1">
        <f t="shared" si="50"/>
        <v>0.78107109806128328</v>
      </c>
      <c r="S138" s="1">
        <f t="shared" si="51"/>
        <v>0.68289716338288942</v>
      </c>
      <c r="T138" s="1">
        <f t="shared" si="52"/>
        <v>0.60865519345590435</v>
      </c>
      <c r="U138" s="1">
        <f t="shared" si="53"/>
        <v>0.33149379923947009</v>
      </c>
      <c r="V138" s="1">
        <f t="shared" si="54"/>
        <v>0.26245597866331194</v>
      </c>
      <c r="W138" s="1"/>
      <c r="X138" s="6">
        <f t="shared" si="55"/>
        <v>0.45115587579257099</v>
      </c>
      <c r="Y138" s="6">
        <f t="shared" si="56"/>
        <v>0.15610929958220449</v>
      </c>
      <c r="AA138">
        <f t="shared" si="57"/>
        <v>0.99866395812177255</v>
      </c>
      <c r="AB138">
        <f t="shared" si="58"/>
        <v>0.99746962505531978</v>
      </c>
      <c r="AC138">
        <f t="shared" si="59"/>
        <v>0.99384517981575904</v>
      </c>
      <c r="AD138">
        <f t="shared" si="60"/>
        <v>0.98936455161914827</v>
      </c>
      <c r="AE138">
        <f t="shared" si="61"/>
        <v>0.99985204760749036</v>
      </c>
      <c r="AF138">
        <f t="shared" si="62"/>
        <v>0.99968557849764961</v>
      </c>
    </row>
    <row r="139" spans="4:32" x14ac:dyDescent="0.3">
      <c r="D139" s="1">
        <f t="shared" si="63"/>
        <v>11.425306354865093</v>
      </c>
      <c r="E139" s="1">
        <f t="shared" si="64"/>
        <v>0.21869513893790371</v>
      </c>
      <c r="G139" s="1">
        <f t="shared" si="65"/>
        <v>42.182598229969145</v>
      </c>
      <c r="I139">
        <f t="shared" si="44"/>
        <v>137</v>
      </c>
      <c r="K139" s="1">
        <f t="shared" si="45"/>
        <v>0.97282607357540929</v>
      </c>
      <c r="L139" s="1">
        <f t="shared" si="46"/>
        <v>0.95765092525051032</v>
      </c>
      <c r="N139" s="1">
        <f t="shared" si="47"/>
        <v>0.81976810740218575</v>
      </c>
      <c r="O139" s="1">
        <f t="shared" si="48"/>
        <v>0.62894457598121778</v>
      </c>
      <c r="Q139" s="1">
        <f t="shared" si="49"/>
        <v>0.84433755294664037</v>
      </c>
      <c r="R139" s="1">
        <f t="shared" si="50"/>
        <v>0.79173209558025015</v>
      </c>
      <c r="S139" s="1">
        <f t="shared" si="51"/>
        <v>0.69583051832853704</v>
      </c>
      <c r="T139" s="1">
        <f t="shared" si="52"/>
        <v>0.62264916983721397</v>
      </c>
      <c r="U139" s="1">
        <f t="shared" si="53"/>
        <v>0.34488696881555769</v>
      </c>
      <c r="V139" s="1">
        <f t="shared" si="54"/>
        <v>0.27453247390911495</v>
      </c>
      <c r="W139" s="1"/>
      <c r="X139" s="6">
        <f t="shared" si="55"/>
        <v>0.44622523789831831</v>
      </c>
      <c r="Y139" s="6">
        <f t="shared" si="56"/>
        <v>0.15215736174272665</v>
      </c>
      <c r="AA139">
        <f t="shared" si="57"/>
        <v>0.99881621132529441</v>
      </c>
      <c r="AB139">
        <f t="shared" si="58"/>
        <v>0.99774270672368093</v>
      </c>
      <c r="AC139">
        <f t="shared" si="59"/>
        <v>0.99445375363276622</v>
      </c>
      <c r="AD139">
        <f t="shared" si="60"/>
        <v>0.99035222824737867</v>
      </c>
      <c r="AE139">
        <f t="shared" si="61"/>
        <v>0.99987165399847133</v>
      </c>
      <c r="AF139">
        <f t="shared" si="62"/>
        <v>0.99972535241403804</v>
      </c>
    </row>
    <row r="140" spans="4:32" x14ac:dyDescent="0.3">
      <c r="D140" s="1">
        <f t="shared" si="63"/>
        <v>10.857051796069996</v>
      </c>
      <c r="E140" s="1">
        <f t="shared" si="64"/>
        <v>0.20202311587273591</v>
      </c>
      <c r="G140" s="1">
        <f t="shared" si="65"/>
        <v>43.156538796237882</v>
      </c>
      <c r="I140">
        <f t="shared" si="44"/>
        <v>138</v>
      </c>
      <c r="K140" s="1">
        <f t="shared" si="45"/>
        <v>0.975026493722573</v>
      </c>
      <c r="L140" s="1">
        <f t="shared" si="46"/>
        <v>0.96083147748977749</v>
      </c>
      <c r="N140" s="1">
        <f t="shared" si="47"/>
        <v>0.81087374629592501</v>
      </c>
      <c r="O140" s="1">
        <f t="shared" si="48"/>
        <v>0.6131370482388846</v>
      </c>
      <c r="Q140" s="1">
        <f t="shared" si="49"/>
        <v>0.85286714664627372</v>
      </c>
      <c r="R140" s="1">
        <f t="shared" si="50"/>
        <v>0.80200640740621953</v>
      </c>
      <c r="S140" s="1">
        <f t="shared" si="51"/>
        <v>0.70843197766458088</v>
      </c>
      <c r="T140" s="1">
        <f t="shared" si="52"/>
        <v>0.63638391410337869</v>
      </c>
      <c r="U140" s="1">
        <f t="shared" si="53"/>
        <v>0.35837786607500999</v>
      </c>
      <c r="V140" s="1">
        <f t="shared" si="54"/>
        <v>0.28678619663158716</v>
      </c>
      <c r="W140" s="1"/>
      <c r="X140" s="6">
        <f t="shared" si="55"/>
        <v>0.44138376094311954</v>
      </c>
      <c r="Y140" s="6">
        <f t="shared" si="56"/>
        <v>0.14833312697101264</v>
      </c>
      <c r="AA140">
        <f t="shared" si="57"/>
        <v>0.99895148651067656</v>
      </c>
      <c r="AB140">
        <f t="shared" si="58"/>
        <v>0.99798711414946795</v>
      </c>
      <c r="AC140">
        <f t="shared" si="59"/>
        <v>0.99500442219920282</v>
      </c>
      <c r="AD140">
        <f t="shared" si="60"/>
        <v>0.99125247565736629</v>
      </c>
      <c r="AE140">
        <f t="shared" si="61"/>
        <v>0.99988868693741428</v>
      </c>
      <c r="AF140">
        <f t="shared" si="62"/>
        <v>0.99976015892767445</v>
      </c>
    </row>
    <row r="141" spans="4:32" x14ac:dyDescent="0.3">
      <c r="D141" s="1">
        <f t="shared" si="63"/>
        <v>10.314346694303566</v>
      </c>
      <c r="E141" s="1">
        <f t="shared" si="64"/>
        <v>0.18648018369952135</v>
      </c>
      <c r="G141" s="1">
        <f t="shared" si="65"/>
        <v>44.132596004724633</v>
      </c>
      <c r="I141">
        <f t="shared" si="44"/>
        <v>139</v>
      </c>
      <c r="K141" s="1">
        <f t="shared" si="45"/>
        <v>0.97706125576129765</v>
      </c>
      <c r="L141" s="1">
        <f t="shared" si="46"/>
        <v>0.96379397214522255</v>
      </c>
      <c r="N141" s="1">
        <f t="shared" si="47"/>
        <v>0.80213906730109319</v>
      </c>
      <c r="O141" s="1">
        <f t="shared" si="48"/>
        <v>0.59783668387432021</v>
      </c>
      <c r="Q141" s="1">
        <f t="shared" si="49"/>
        <v>0.86101945153075055</v>
      </c>
      <c r="R141" s="1">
        <f t="shared" si="50"/>
        <v>0.81189766960347654</v>
      </c>
      <c r="S141" s="1">
        <f t="shared" si="51"/>
        <v>0.72069620287346747</v>
      </c>
      <c r="T141" s="1">
        <f t="shared" si="52"/>
        <v>0.64984830421222528</v>
      </c>
      <c r="U141" s="1">
        <f t="shared" si="53"/>
        <v>0.37194859820991349</v>
      </c>
      <c r="V141" s="1">
        <f t="shared" si="54"/>
        <v>0.29920206789285025</v>
      </c>
      <c r="W141" s="1"/>
      <c r="X141" s="6">
        <f t="shared" si="55"/>
        <v>0.43662920391993193</v>
      </c>
      <c r="Y141" s="6">
        <f t="shared" si="56"/>
        <v>0.14463158765527478</v>
      </c>
      <c r="AA141">
        <f t="shared" si="57"/>
        <v>0.99907162154271301</v>
      </c>
      <c r="AB141">
        <f t="shared" si="58"/>
        <v>0.99820574583841559</v>
      </c>
      <c r="AC141">
        <f t="shared" si="59"/>
        <v>0.99550239969968557</v>
      </c>
      <c r="AD141">
        <f t="shared" si="60"/>
        <v>0.99207250317890772</v>
      </c>
      <c r="AE141">
        <f t="shared" si="61"/>
        <v>0.99990347979471861</v>
      </c>
      <c r="AF141">
        <f t="shared" si="62"/>
        <v>0.99979060773387041</v>
      </c>
    </row>
    <row r="142" spans="4:32" x14ac:dyDescent="0.3">
      <c r="D142" s="1">
        <f t="shared" si="63"/>
        <v>9.7961850389506537</v>
      </c>
      <c r="E142" s="1">
        <f t="shared" si="64"/>
        <v>0.17200631727024174</v>
      </c>
      <c r="G142" s="1">
        <f t="shared" si="65"/>
        <v>45.110609790924826</v>
      </c>
      <c r="I142">
        <f t="shared" si="44"/>
        <v>140</v>
      </c>
      <c r="K142" s="1">
        <f t="shared" si="45"/>
        <v>0.97894144763979696</v>
      </c>
      <c r="L142" s="1">
        <f t="shared" si="46"/>
        <v>0.96655118639654458</v>
      </c>
      <c r="N142" s="1">
        <f t="shared" si="47"/>
        <v>0.79356008551932977</v>
      </c>
      <c r="O142" s="1">
        <f t="shared" si="48"/>
        <v>0.58302373629991577</v>
      </c>
      <c r="Q142" s="1">
        <f t="shared" si="49"/>
        <v>0.86880357734575875</v>
      </c>
      <c r="R142" s="1">
        <f t="shared" si="50"/>
        <v>0.82141040503441998</v>
      </c>
      <c r="S142" s="1">
        <f t="shared" si="51"/>
        <v>0.73261905550536699</v>
      </c>
      <c r="T142" s="1">
        <f t="shared" si="52"/>
        <v>0.66303241817375203</v>
      </c>
      <c r="U142" s="1">
        <f t="shared" si="53"/>
        <v>0.3855813446774668</v>
      </c>
      <c r="V142" s="1">
        <f t="shared" si="54"/>
        <v>0.3117647207991161</v>
      </c>
      <c r="W142" s="1"/>
      <c r="X142" s="6">
        <f t="shared" si="55"/>
        <v>0.43195939772483116</v>
      </c>
      <c r="Y142" s="6">
        <f t="shared" si="56"/>
        <v>0.14104796660402646</v>
      </c>
      <c r="AA142">
        <f t="shared" si="57"/>
        <v>0.99917826347709271</v>
      </c>
      <c r="AB142">
        <f t="shared" si="58"/>
        <v>0.99840122298865419</v>
      </c>
      <c r="AC142">
        <f t="shared" si="59"/>
        <v>0.99595246898444945</v>
      </c>
      <c r="AD142">
        <f t="shared" si="60"/>
        <v>0.99281899071166491</v>
      </c>
      <c r="AE142">
        <f t="shared" si="61"/>
        <v>0.99991632352152593</v>
      </c>
      <c r="AF142">
        <f t="shared" si="62"/>
        <v>0.99981723544813117</v>
      </c>
    </row>
    <row r="143" spans="4:32" x14ac:dyDescent="0.3">
      <c r="D143" s="1">
        <f t="shared" si="63"/>
        <v>9.3015951275088042</v>
      </c>
      <c r="E143" s="1">
        <f t="shared" si="64"/>
        <v>0.15854269077092153</v>
      </c>
      <c r="G143" s="1">
        <f t="shared" si="65"/>
        <v>46.090430882557456</v>
      </c>
      <c r="I143">
        <f t="shared" si="44"/>
        <v>141</v>
      </c>
      <c r="K143" s="1">
        <f t="shared" si="45"/>
        <v>0.98067756798963868</v>
      </c>
      <c r="L143" s="1">
        <f t="shared" si="46"/>
        <v>0.96911537668599956</v>
      </c>
      <c r="N143" s="1">
        <f t="shared" si="47"/>
        <v>0.78513294300330649</v>
      </c>
      <c r="O143" s="1">
        <f t="shared" si="48"/>
        <v>0.56867936116129036</v>
      </c>
      <c r="Q143" s="1">
        <f t="shared" si="49"/>
        <v>0.87622909432807694</v>
      </c>
      <c r="R143" s="1">
        <f t="shared" si="50"/>
        <v>0.83054994272576588</v>
      </c>
      <c r="S143" s="1">
        <f t="shared" si="51"/>
        <v>0.74419754425916673</v>
      </c>
      <c r="T143" s="1">
        <f t="shared" si="52"/>
        <v>0.67592751316183319</v>
      </c>
      <c r="U143" s="1">
        <f t="shared" si="53"/>
        <v>0.39925842523955229</v>
      </c>
      <c r="V143" s="1">
        <f t="shared" si="54"/>
        <v>0.32445856555656394</v>
      </c>
      <c r="W143" s="1"/>
      <c r="X143" s="6">
        <f t="shared" si="55"/>
        <v>0.42737224235728211</v>
      </c>
      <c r="Y143" s="6">
        <f t="shared" si="56"/>
        <v>0.13757770489847626</v>
      </c>
      <c r="AA143">
        <f t="shared" si="57"/>
        <v>0.99927288718215723</v>
      </c>
      <c r="AB143">
        <f t="shared" si="58"/>
        <v>0.99857591384049316</v>
      </c>
      <c r="AC143">
        <f t="shared" si="59"/>
        <v>0.99635901230689394</v>
      </c>
      <c r="AD143">
        <f t="shared" si="60"/>
        <v>0.99349811955880396</v>
      </c>
      <c r="AE143">
        <f t="shared" si="61"/>
        <v>0.99992747191640086</v>
      </c>
      <c r="AF143">
        <f t="shared" si="62"/>
        <v>0.99984051408154739</v>
      </c>
    </row>
    <row r="144" spans="4:32" x14ac:dyDescent="0.3">
      <c r="D144" s="1">
        <f t="shared" si="63"/>
        <v>8.8296383405893408</v>
      </c>
      <c r="E144" s="1">
        <f t="shared" si="64"/>
        <v>0.14603193916971158</v>
      </c>
      <c r="G144" s="1">
        <f t="shared" si="65"/>
        <v>47.071920217019127</v>
      </c>
      <c r="I144">
        <f t="shared" si="44"/>
        <v>142</v>
      </c>
      <c r="K144" s="1">
        <f t="shared" si="45"/>
        <v>0.98227954002642315</v>
      </c>
      <c r="L144" s="1">
        <f t="shared" si="46"/>
        <v>0.97149827461696203</v>
      </c>
      <c r="N144" s="1">
        <f t="shared" si="47"/>
        <v>0.77685390384831843</v>
      </c>
      <c r="O144" s="1">
        <f t="shared" si="48"/>
        <v>0.55478556910413523</v>
      </c>
      <c r="Q144" s="1">
        <f t="shared" si="49"/>
        <v>0.88330595654121402</v>
      </c>
      <c r="R144" s="1">
        <f t="shared" si="50"/>
        <v>0.83932233897345188</v>
      </c>
      <c r="S144" s="1">
        <f t="shared" si="51"/>
        <v>0.75542976924416472</v>
      </c>
      <c r="T144" s="1">
        <f t="shared" si="52"/>
        <v>0.68852599936663439</v>
      </c>
      <c r="U144" s="1">
        <f t="shared" si="53"/>
        <v>0.4129623646882134</v>
      </c>
      <c r="V144" s="1">
        <f t="shared" si="54"/>
        <v>0.33726785367659085</v>
      </c>
      <c r="W144" s="1"/>
      <c r="X144" s="6">
        <f t="shared" si="55"/>
        <v>0.42286570424833902</v>
      </c>
      <c r="Y144" s="6">
        <f t="shared" si="56"/>
        <v>0.13421645046565017</v>
      </c>
      <c r="AA144">
        <f t="shared" si="57"/>
        <v>0.99935681231692419</v>
      </c>
      <c r="AB144">
        <f t="shared" si="58"/>
        <v>0.99873195619345223</v>
      </c>
      <c r="AC144">
        <f t="shared" si="59"/>
        <v>0.99672604052570291</v>
      </c>
      <c r="AD144">
        <f t="shared" si="60"/>
        <v>0.99411560250467546</v>
      </c>
      <c r="AE144">
        <f t="shared" si="61"/>
        <v>0.99993714626023311</v>
      </c>
      <c r="AF144">
        <f t="shared" si="62"/>
        <v>0.99986085857897367</v>
      </c>
    </row>
    <row r="145" spans="4:40" x14ac:dyDescent="0.3">
      <c r="D145" s="1">
        <f t="shared" si="63"/>
        <v>8.3794079968278439</v>
      </c>
      <c r="E145" s="1">
        <f t="shared" si="64"/>
        <v>0.13441837106363863</v>
      </c>
      <c r="G145" s="1">
        <f t="shared" si="65"/>
        <v>48.054948373750833</v>
      </c>
      <c r="I145">
        <f t="shared" si="44"/>
        <v>143</v>
      </c>
      <c r="K145" s="1">
        <f t="shared" si="45"/>
        <v>0.98375672740954911</v>
      </c>
      <c r="L145" s="1">
        <f t="shared" si="46"/>
        <v>0.97371108651764771</v>
      </c>
      <c r="N145" s="1">
        <f t="shared" si="47"/>
        <v>0.76871934950659215</v>
      </c>
      <c r="O145" s="1">
        <f t="shared" si="48"/>
        <v>0.54132518132402208</v>
      </c>
      <c r="Q145" s="1">
        <f t="shared" si="49"/>
        <v>0.89004442962772268</v>
      </c>
      <c r="R145" s="1">
        <f t="shared" si="50"/>
        <v>0.84773430060321808</v>
      </c>
      <c r="S145" s="1">
        <f t="shared" si="51"/>
        <v>0.7663148640429942</v>
      </c>
      <c r="T145" s="1">
        <f t="shared" si="52"/>
        <v>0.70082140915456637</v>
      </c>
      <c r="U145" s="1">
        <f t="shared" si="53"/>
        <v>0.4266759539904042</v>
      </c>
      <c r="V145" s="1">
        <f t="shared" si="54"/>
        <v>0.35017674094811863</v>
      </c>
      <c r="W145" s="1"/>
      <c r="X145" s="6">
        <f t="shared" si="55"/>
        <v>0.41843781371007888</v>
      </c>
      <c r="Y145" s="6">
        <f t="shared" si="56"/>
        <v>0.13096004732478381</v>
      </c>
      <c r="AA145">
        <f t="shared" si="57"/>
        <v>0.99943121878470054</v>
      </c>
      <c r="AB145">
        <f t="shared" si="58"/>
        <v>0.99887127818437715</v>
      </c>
      <c r="AC145">
        <f t="shared" si="59"/>
        <v>0.99705722075400949</v>
      </c>
      <c r="AD145">
        <f t="shared" si="60"/>
        <v>0.99467671299731342</v>
      </c>
      <c r="AE145">
        <f t="shared" si="61"/>
        <v>0.9999455393914285</v>
      </c>
      <c r="AF145">
        <f t="shared" si="62"/>
        <v>0.99987863351628059</v>
      </c>
    </row>
    <row r="146" spans="4:40" x14ac:dyDescent="0.3">
      <c r="D146" s="1">
        <f t="shared" si="63"/>
        <v>7.9500282799707662</v>
      </c>
      <c r="E146" s="1">
        <f t="shared" si="64"/>
        <v>0.12364813789869</v>
      </c>
      <c r="G146" s="1">
        <f t="shared" si="65"/>
        <v>49.039395023287625</v>
      </c>
      <c r="I146">
        <f t="shared" si="44"/>
        <v>144</v>
      </c>
      <c r="K146" s="1">
        <f t="shared" si="45"/>
        <v>0.98511795169024241</v>
      </c>
      <c r="L146" s="1">
        <f t="shared" si="46"/>
        <v>0.97576449623418471</v>
      </c>
      <c r="N146" s="1">
        <f t="shared" si="47"/>
        <v>0.76072577431273081</v>
      </c>
      <c r="O146" s="1">
        <f t="shared" si="48"/>
        <v>0.52828178771717416</v>
      </c>
      <c r="Q146" s="1">
        <f t="shared" si="49"/>
        <v>0.89645502307708047</v>
      </c>
      <c r="R146" s="1">
        <f t="shared" si="50"/>
        <v>0.85579311074329822</v>
      </c>
      <c r="S146" s="1">
        <f t="shared" si="51"/>
        <v>0.77685293615924467</v>
      </c>
      <c r="T146" s="1">
        <f t="shared" si="52"/>
        <v>0.71280836209487286</v>
      </c>
      <c r="U146" s="1">
        <f t="shared" si="53"/>
        <v>0.4403823076297575</v>
      </c>
      <c r="V146" s="1">
        <f t="shared" si="54"/>
        <v>0.3631693488243809</v>
      </c>
      <c r="W146" s="1"/>
      <c r="X146" s="6">
        <f t="shared" si="55"/>
        <v>0.41408666249996123</v>
      </c>
      <c r="Y146" s="6">
        <f t="shared" si="56"/>
        <v>0.12780452546295101</v>
      </c>
      <c r="AA146">
        <f t="shared" si="57"/>
        <v>0.9994971607769646</v>
      </c>
      <c r="AB146">
        <f t="shared" si="58"/>
        <v>0.99899561742269538</v>
      </c>
      <c r="AC146">
        <f t="shared" si="59"/>
        <v>0.99735590245618744</v>
      </c>
      <c r="AD146">
        <f t="shared" si="60"/>
        <v>0.99518631332597396</v>
      </c>
      <c r="AE146">
        <f t="shared" si="61"/>
        <v>0.99995281928586111</v>
      </c>
      <c r="AF146">
        <f t="shared" si="62"/>
        <v>0.99989415904426648</v>
      </c>
    </row>
    <row r="147" spans="4:40" x14ac:dyDescent="0.3">
      <c r="D147" s="1">
        <f t="shared" si="63"/>
        <v>7.5406532310194621</v>
      </c>
      <c r="E147" s="1">
        <f t="shared" si="64"/>
        <v>0.11366936427982566</v>
      </c>
      <c r="G147" s="1">
        <f t="shared" si="65"/>
        <v>50.025148394409968</v>
      </c>
      <c r="I147">
        <f t="shared" si="44"/>
        <v>145</v>
      </c>
      <c r="K147" s="1">
        <f t="shared" si="45"/>
        <v>0.98637151101248588</v>
      </c>
      <c r="L147" s="1">
        <f t="shared" si="46"/>
        <v>0.97766867074380182</v>
      </c>
      <c r="N147" s="1">
        <f t="shared" si="47"/>
        <v>0.75286978120939374</v>
      </c>
      <c r="O147" s="1">
        <f t="shared" si="48"/>
        <v>0.51563970746327092</v>
      </c>
      <c r="Q147" s="1">
        <f t="shared" si="49"/>
        <v>0.90254842705778571</v>
      </c>
      <c r="R147" s="1">
        <f t="shared" si="50"/>
        <v>0.86350655740813065</v>
      </c>
      <c r="S147" s="1">
        <f t="shared" si="51"/>
        <v>0.78704500639405184</v>
      </c>
      <c r="T147" s="1">
        <f t="shared" si="52"/>
        <v>0.72448252639943445</v>
      </c>
      <c r="U147" s="1">
        <f t="shared" si="53"/>
        <v>0.45406491696646012</v>
      </c>
      <c r="V147" s="1">
        <f t="shared" si="54"/>
        <v>0.37622982390270832</v>
      </c>
      <c r="W147" s="1"/>
      <c r="X147" s="6">
        <f t="shared" si="55"/>
        <v>0.40981040149418352</v>
      </c>
      <c r="Y147" s="6">
        <f t="shared" si="56"/>
        <v>0.12474609129906179</v>
      </c>
      <c r="AA147">
        <f t="shared" si="57"/>
        <v>0.99955557951700991</v>
      </c>
      <c r="AB147">
        <f t="shared" si="58"/>
        <v>0.999106538579563</v>
      </c>
      <c r="AC147">
        <f t="shared" si="59"/>
        <v>0.99762514200798902</v>
      </c>
      <c r="AD147">
        <f t="shared" si="60"/>
        <v>0.99564888170998167</v>
      </c>
      <c r="AE147">
        <f t="shared" si="61"/>
        <v>0.99995913219915977</v>
      </c>
      <c r="AF147">
        <f t="shared" si="62"/>
        <v>0.99990771615870755</v>
      </c>
    </row>
    <row r="148" spans="4:40" x14ac:dyDescent="0.3">
      <c r="D148" s="1">
        <f t="shared" si="63"/>
        <v>7.1504657988972014</v>
      </c>
      <c r="E148" s="1">
        <f t="shared" si="64"/>
        <v>0.10443224380749161</v>
      </c>
      <c r="G148" s="1">
        <f t="shared" si="65"/>
        <v>51.012104760494793</v>
      </c>
      <c r="I148">
        <f t="shared" si="44"/>
        <v>146</v>
      </c>
      <c r="K148" s="1">
        <f t="shared" si="45"/>
        <v>0.98752519976548314</v>
      </c>
      <c r="L148" s="1">
        <f t="shared" si="46"/>
        <v>0.97943326820622145</v>
      </c>
      <c r="N148" s="1">
        <f t="shared" si="47"/>
        <v>0.74514807766294444</v>
      </c>
      <c r="O148" s="1">
        <f t="shared" si="48"/>
        <v>0.5033839518833928</v>
      </c>
      <c r="Q148" s="1">
        <f t="shared" si="49"/>
        <v>0.90833545381744496</v>
      </c>
      <c r="R148" s="1">
        <f t="shared" si="50"/>
        <v>0.87088286513777591</v>
      </c>
      <c r="S148" s="1">
        <f t="shared" si="51"/>
        <v>0.79689294765528706</v>
      </c>
      <c r="T148" s="1">
        <f t="shared" si="52"/>
        <v>0.73584057730568608</v>
      </c>
      <c r="U148" s="1">
        <f t="shared" si="53"/>
        <v>0.46770769947828139</v>
      </c>
      <c r="V148" s="1">
        <f t="shared" si="54"/>
        <v>0.38934239520788133</v>
      </c>
      <c r="W148" s="1"/>
      <c r="X148" s="6">
        <f t="shared" si="55"/>
        <v>0.40560723846444124</v>
      </c>
      <c r="Y148" s="6">
        <f t="shared" si="56"/>
        <v>0.1217811186982747</v>
      </c>
      <c r="AA148">
        <f t="shared" si="57"/>
        <v>0.99960731480727982</v>
      </c>
      <c r="AB148">
        <f t="shared" si="58"/>
        <v>0.99920544952709855</v>
      </c>
      <c r="AC148">
        <f t="shared" si="59"/>
        <v>0.99786772574821225</v>
      </c>
      <c r="AD148">
        <f t="shared" si="60"/>
        <v>0.99606853823803032</v>
      </c>
      <c r="AE148">
        <f t="shared" si="61"/>
        <v>0.99996460542265009</v>
      </c>
      <c r="AF148">
        <f t="shared" si="62"/>
        <v>0.99991955136849087</v>
      </c>
    </row>
    <row r="149" spans="4:40" x14ac:dyDescent="0.3">
      <c r="D149" s="1">
        <f t="shared" si="63"/>
        <v>6.7786769436600451</v>
      </c>
      <c r="E149" s="1">
        <f t="shared" si="64"/>
        <v>9.5889104582143503E-2</v>
      </c>
      <c r="G149" s="1">
        <f t="shared" si="65"/>
        <v>52.000167945881756</v>
      </c>
      <c r="I149">
        <f t="shared" si="44"/>
        <v>147</v>
      </c>
      <c r="K149" s="1">
        <f t="shared" si="45"/>
        <v>0.98858632891861442</v>
      </c>
      <c r="L149" s="1">
        <f t="shared" si="46"/>
        <v>0.98106744809894708</v>
      </c>
      <c r="N149" s="1">
        <f t="shared" si="47"/>
        <v>0.73755747175938879</v>
      </c>
      <c r="O149" s="1">
        <f t="shared" si="48"/>
        <v>0.4915001894273312</v>
      </c>
      <c r="Q149" s="1">
        <f t="shared" si="49"/>
        <v>0.91382698361496317</v>
      </c>
      <c r="R149" s="1">
        <f t="shared" si="50"/>
        <v>0.87793062988707093</v>
      </c>
      <c r="S149" s="1">
        <f t="shared" si="51"/>
        <v>0.80639942366149853</v>
      </c>
      <c r="T149" s="1">
        <f t="shared" si="52"/>
        <v>0.74688015291233223</v>
      </c>
      <c r="U149" s="1">
        <f t="shared" si="53"/>
        <v>0.48129504378600868</v>
      </c>
      <c r="V149" s="1">
        <f t="shared" si="54"/>
        <v>0.40249142902219875</v>
      </c>
      <c r="W149" s="1"/>
      <c r="X149" s="6">
        <f t="shared" si="55"/>
        <v>0.40147543595282598</v>
      </c>
      <c r="Y149" s="6">
        <f t="shared" si="56"/>
        <v>0.11890614050155429</v>
      </c>
      <c r="AA149">
        <f t="shared" si="57"/>
        <v>0.99965311547854385</v>
      </c>
      <c r="AB149">
        <f t="shared" si="58"/>
        <v>0.99929361612231904</v>
      </c>
      <c r="AC149">
        <f t="shared" si="59"/>
        <v>0.9980861915601863</v>
      </c>
      <c r="AD149">
        <f t="shared" si="60"/>
        <v>0.99644906961702029</v>
      </c>
      <c r="AE149">
        <f t="shared" si="61"/>
        <v>0.99996934969862272</v>
      </c>
      <c r="AF149">
        <f t="shared" si="62"/>
        <v>0.99992988082681877</v>
      </c>
    </row>
    <row r="150" spans="4:40" x14ac:dyDescent="0.3">
      <c r="D150" s="1">
        <f t="shared" si="63"/>
        <v>6.4245247867988411</v>
      </c>
      <c r="E150" s="1">
        <f t="shared" si="64"/>
        <v>8.799444821807989E-2</v>
      </c>
      <c r="G150" s="1">
        <f t="shared" si="65"/>
        <v>52.989248852815251</v>
      </c>
      <c r="I150">
        <f t="shared" si="44"/>
        <v>148</v>
      </c>
      <c r="K150" s="1">
        <f t="shared" si="45"/>
        <v>0.98956174680035192</v>
      </c>
      <c r="L150" s="1">
        <f t="shared" si="46"/>
        <v>0.98257988310964695</v>
      </c>
      <c r="N150" s="1">
        <f t="shared" si="47"/>
        <v>0.73009486847148364</v>
      </c>
      <c r="O150" s="1">
        <f t="shared" si="48"/>
        <v>0.47997471265473723</v>
      </c>
      <c r="Q150" s="1">
        <f t="shared" si="49"/>
        <v>0.91903391511431187</v>
      </c>
      <c r="R150" s="1">
        <f t="shared" si="50"/>
        <v>0.88465875731158217</v>
      </c>
      <c r="S150" s="1">
        <f t="shared" si="51"/>
        <v>0.81556782796100868</v>
      </c>
      <c r="T150" s="1">
        <f t="shared" si="52"/>
        <v>0.75759980795437287</v>
      </c>
      <c r="U150" s="1">
        <f t="shared" si="53"/>
        <v>0.4948118504047434</v>
      </c>
      <c r="V150" s="1">
        <f t="shared" si="54"/>
        <v>0.41566148103815392</v>
      </c>
      <c r="W150" s="1"/>
      <c r="X150" s="6">
        <f t="shared" si="55"/>
        <v>0.39741330923989621</v>
      </c>
      <c r="Y150" s="6">
        <f t="shared" si="56"/>
        <v>0.11611784053758838</v>
      </c>
      <c r="AA150">
        <f t="shared" si="57"/>
        <v>0.99969364883317147</v>
      </c>
      <c r="AB150">
        <f t="shared" si="58"/>
        <v>0.99937217572801285</v>
      </c>
      <c r="AC150">
        <f t="shared" si="59"/>
        <v>0.99828284902937237</v>
      </c>
      <c r="AD150">
        <f t="shared" si="60"/>
        <v>0.99679395270675641</v>
      </c>
      <c r="AE150">
        <f t="shared" si="61"/>
        <v>0.99997346133551135</v>
      </c>
      <c r="AF150">
        <f t="shared" si="62"/>
        <v>0.99993889398406655</v>
      </c>
    </row>
    <row r="151" spans="4:40" x14ac:dyDescent="0.3">
      <c r="D151" s="1">
        <f t="shared" si="63"/>
        <v>6.0872738036771992</v>
      </c>
      <c r="E151" s="1">
        <f t="shared" si="64"/>
        <v>8.0704965905046944E-2</v>
      </c>
      <c r="G151" s="1">
        <f t="shared" si="65"/>
        <v>53.979265009298288</v>
      </c>
      <c r="I151">
        <f t="shared" si="44"/>
        <v>149</v>
      </c>
      <c r="K151" s="1">
        <f t="shared" si="45"/>
        <v>0.99045786011120007</v>
      </c>
      <c r="L151" s="1">
        <f t="shared" si="46"/>
        <v>0.9839787724859248</v>
      </c>
      <c r="N151" s="1">
        <f t="shared" si="47"/>
        <v>0.72275726608841528</v>
      </c>
      <c r="O151" s="1">
        <f t="shared" si="48"/>
        <v>0.46879440708405828</v>
      </c>
      <c r="Q151" s="1">
        <f t="shared" si="49"/>
        <v>0.92396712013948767</v>
      </c>
      <c r="R151" s="1">
        <f t="shared" si="50"/>
        <v>0.89107640455425874</v>
      </c>
      <c r="S151" s="1">
        <f t="shared" si="51"/>
        <v>0.82440222364506455</v>
      </c>
      <c r="T151" s="1">
        <f t="shared" si="52"/>
        <v>0.76799896597841311</v>
      </c>
      <c r="U151" s="1">
        <f t="shared" si="53"/>
        <v>0.50824356819845917</v>
      </c>
      <c r="V151" s="1">
        <f t="shared" si="54"/>
        <v>0.4288373456421668</v>
      </c>
      <c r="W151" s="1"/>
      <c r="X151" s="6">
        <f t="shared" si="55"/>
        <v>0.39341922440124127</v>
      </c>
      <c r="Y151" s="6">
        <f t="shared" si="56"/>
        <v>0.11341304608657016</v>
      </c>
      <c r="AA151">
        <f t="shared" si="57"/>
        <v>0.9997295091688666</v>
      </c>
      <c r="AB151">
        <f t="shared" si="58"/>
        <v>0.99944214955975696</v>
      </c>
      <c r="AC151">
        <f t="shared" si="59"/>
        <v>0.99845979822956343</v>
      </c>
      <c r="AD151">
        <f t="shared" si="60"/>
        <v>0.99710637683159453</v>
      </c>
      <c r="AE151">
        <f t="shared" si="61"/>
        <v>0.9999770240589877</v>
      </c>
      <c r="AF151">
        <f t="shared" si="62"/>
        <v>0.99994675681499912</v>
      </c>
    </row>
    <row r="152" spans="4:40" x14ac:dyDescent="0.3">
      <c r="D152" s="1">
        <f t="shared" si="63"/>
        <v>5.7662140536193078</v>
      </c>
      <c r="E152" s="1">
        <f t="shared" si="64"/>
        <v>7.3979534759002652E-2</v>
      </c>
      <c r="G152" s="1">
        <f t="shared" si="65"/>
        <v>54.970140137999195</v>
      </c>
      <c r="I152">
        <f t="shared" si="44"/>
        <v>150</v>
      </c>
      <c r="K152" s="1">
        <f t="shared" si="45"/>
        <v>0.99128065498736573</v>
      </c>
      <c r="L152" s="1">
        <f t="shared" si="46"/>
        <v>0.9852718565691857</v>
      </c>
      <c r="N152" s="1">
        <f t="shared" si="47"/>
        <v>0.71554175279993282</v>
      </c>
      <c r="O152" s="1">
        <f t="shared" si="48"/>
        <v>0.45794672179195706</v>
      </c>
      <c r="Q152" s="1">
        <f t="shared" si="49"/>
        <v>0.92863740266492811</v>
      </c>
      <c r="R152" s="1">
        <f t="shared" si="50"/>
        <v>0.89719292559733332</v>
      </c>
      <c r="S152" s="1">
        <f t="shared" si="51"/>
        <v>0.83290728409305792</v>
      </c>
      <c r="T152" s="1">
        <f t="shared" si="52"/>
        <v>0.77807787035182041</v>
      </c>
      <c r="U152" s="1">
        <f t="shared" si="53"/>
        <v>0.52157622654873936</v>
      </c>
      <c r="V152" s="1">
        <f t="shared" si="54"/>
        <v>0.44200410216987113</v>
      </c>
      <c r="W152" s="1"/>
      <c r="X152" s="6">
        <f t="shared" si="55"/>
        <v>0.3894915964481182</v>
      </c>
      <c r="Y152" s="6">
        <f t="shared" si="56"/>
        <v>0.11078872076746474</v>
      </c>
      <c r="AA152">
        <f t="shared" si="57"/>
        <v>0.99976122546339852</v>
      </c>
      <c r="AB152">
        <f t="shared" si="58"/>
        <v>0.99950445394479304</v>
      </c>
      <c r="AC152">
        <f t="shared" si="59"/>
        <v>0.99861894719475575</v>
      </c>
      <c r="AD152">
        <f t="shared" si="60"/>
        <v>0.99738926487265944</v>
      </c>
      <c r="AE152">
        <f t="shared" si="61"/>
        <v>0.99998011063087555</v>
      </c>
      <c r="AF152">
        <f t="shared" si="62"/>
        <v>0.99995361466768151</v>
      </c>
    </row>
    <row r="153" spans="4:40" x14ac:dyDescent="0.3">
      <c r="D153" s="1">
        <f t="shared" si="63"/>
        <v>5.460660443601153</v>
      </c>
      <c r="E153" s="1">
        <f t="shared" si="64"/>
        <v>6.7779197412753733E-2</v>
      </c>
      <c r="G153" s="1">
        <f t="shared" si="65"/>
        <v>55.961803746180166</v>
      </c>
      <c r="I153">
        <f t="shared" si="44"/>
        <v>151</v>
      </c>
      <c r="K153" s="1">
        <f t="shared" ref="K153:K202" si="66">_xlfn.NORM.S.DIST((LN(I153/$B$4)+($B$2-$B$3+0.5*$B$1^2)*$B$5)/($B$1*SQRT($B$5)),TRUE)</f>
        <v>0.9920357179565169</v>
      </c>
      <c r="L153" s="1">
        <f t="shared" ref="L153:L202" si="67">_xlfn.NORM.S.DIST((LN(I153/$B$4)+($B$2-$B$3-0.5*$B$1^2)*$B$5)/($B$1*SQRT($B$5)),TRUE)</f>
        <v>0.98646643226482167</v>
      </c>
      <c r="N153" s="1">
        <f t="shared" ref="N153:N202" si="68">($B$6/I153)^(-1+(2*($B$2-$B$3))/($B$1^2))</f>
        <v>0.70844550342727453</v>
      </c>
      <c r="O153" s="1">
        <f t="shared" ref="O153:O202" si="69">($B$6/I153)^(1+(2*($B$2-$B$3))/($B$1^2))</f>
        <v>0.44741964165399556</v>
      </c>
      <c r="Q153" s="1">
        <f t="shared" ref="Q153:Q202" si="70">_xlfn.NORM.S.DIST((LN(I153/$B$6)+($B$2-$B$3+0.5*$B$1^2)*$B$5)/($B$1*SQRT($B$5)),TRUE)</f>
        <v>0.93305546189453403</v>
      </c>
      <c r="R153" s="1">
        <f t="shared" ref="R153:R202" si="71">_xlfn.NORM.S.DIST((LN(I153/$B$6)+($B$2-$B$3-0.5*$B$1^2)*$B$5)/($B$1*SQRT($B$5)),TRUE)</f>
        <v>0.90301782020846877</v>
      </c>
      <c r="S153" s="1">
        <f t="shared" ref="S153:S202" si="72">_xlfn.NORM.S.DIST((LN(I153/$B$6)-($B$2-$B$3-0.5*$B$1^2)*$B$5)/($B$1*SQRT($B$5)),TRUE)</f>
        <v>0.84108823504800878</v>
      </c>
      <c r="T153" s="1">
        <f t="shared" ref="T153:T202" si="73">_xlfn.NORM.S.DIST((LN(I153/$B$6)-($B$2-$B$3+0.5*$B$1^2)*$B$5)/($B$1*SQRT($B$5)),TRUE)</f>
        <v>0.7878375345105344</v>
      </c>
      <c r="U153" s="1">
        <f t="shared" ref="U153:U202" si="74">_xlfn.NORM.S.DIST((LN((I153*$B$4)/($B$6^2))-($B$2-$B$3-0.5*$B$1^2)*$B$5)/($B$1*SQRT($B$5)),TRUE)</f>
        <v>0.53479646327956654</v>
      </c>
      <c r="V153" s="1">
        <f t="shared" ref="V153:V202" si="75">_xlfn.NORM.S.DIST((LN((I153*$B$4)/($B$6^2))-($B$2-$B$3+0.5*$B$1^2)*$B$5)/($B$1*SQRT($B$5)),TRUE)</f>
        <v>0.45514715800473471</v>
      </c>
      <c r="W153" s="1"/>
      <c r="X153" s="6">
        <f t="shared" ref="X153:X202" si="76">($B$7/I153)^(-1+(2*($B$2-$B$3))/($B$1^2))</f>
        <v>0.38562888754799435</v>
      </c>
      <c r="Y153" s="6">
        <f t="shared" ref="Y153:Y202" si="77">($B$7/I153)^(1+(2*($B$2-$B$3))/($B$1^2))</f>
        <v>0.10824195782233954</v>
      </c>
      <c r="AA153">
        <f t="shared" ref="AA153:AA202" si="78">_xlfn.NORM.S.DIST((LN(I153/$B$7)+($B$2-$B$3+0.5*$B$1^2)*$B$5)/($B$1*SQRT($B$5)),TRUE)</f>
        <v>0.99978926829517667</v>
      </c>
      <c r="AB153">
        <f t="shared" ref="AB153:AB202" si="79">_xlfn.NORM.S.DIST((LN(I153/$B$7)+($B$2-$B$3-0.5*$B$1^2)*$B$5)/($B$1*SQRT($B$5)),TRUE)</f>
        <v>0.99955991057462945</v>
      </c>
      <c r="AC153">
        <f t="shared" ref="AC153:AC202" si="80">_xlfn.NORM.S.DIST((LN(I153/$B$7)-($B$2-$B$3-0.5*$B$1^2)*$B$5)/($B$1*SQRT($B$5)),TRUE)</f>
        <v>0.99876202813698212</v>
      </c>
      <c r="AD153">
        <f t="shared" ref="AD153:AD202" si="81">_xlfn.NORM.S.DIST((LN(I153/$B$7)-($B$2-$B$3+0.5*$B$1^2)*$B$5)/($B$1*SQRT($B$5)),TRUE)</f>
        <v>0.9976452931547557</v>
      </c>
      <c r="AE153">
        <f t="shared" ref="AE153:AE202" si="82">_xlfn.NORM.S.DIST((LN((I153*$B$4)/($B$7^2))-($B$2-$B$3-0.5*$B$1^2)*$B$5)/($B$1*SQRT($B$5)),TRUE)</f>
        <v>0.99998278426411569</v>
      </c>
      <c r="AF153">
        <f t="shared" ref="AF153:AF202" si="83">_xlfn.NORM.S.DIST((LN((I153*$B$4)/($B$7^2))-($B$2-$B$3+0.5*$B$1^2)*$B$5)/($B$1*SQRT($B$5)),TRUE)</f>
        <v>0.9999595947765213</v>
      </c>
      <c r="AG153" s="1"/>
      <c r="AH153" s="1"/>
      <c r="AI153" s="1"/>
      <c r="AJ153" s="1"/>
      <c r="AK153" s="1"/>
      <c r="AL153" s="1"/>
      <c r="AM153" s="1"/>
      <c r="AN153" s="1"/>
    </row>
    <row r="154" spans="4:40" x14ac:dyDescent="0.3">
      <c r="D154" s="1">
        <f t="shared" si="63"/>
        <v>5.1699520219125041</v>
      </c>
      <c r="E154" s="1">
        <f t="shared" si="64"/>
        <v>6.2067127517799969E-2</v>
      </c>
      <c r="G154" s="1">
        <f t="shared" si="65"/>
        <v>56.95419073647011</v>
      </c>
      <c r="I154">
        <f t="shared" si="44"/>
        <v>152</v>
      </c>
      <c r="K154" s="1">
        <f t="shared" si="66"/>
        <v>0.99272825664968067</v>
      </c>
      <c r="L154" s="1">
        <f t="shared" si="67"/>
        <v>0.98756936922540328</v>
      </c>
      <c r="N154" s="1">
        <f t="shared" si="68"/>
        <v>0.70146577629366214</v>
      </c>
      <c r="O154" s="1">
        <f t="shared" si="69"/>
        <v>0.43720166112485864</v>
      </c>
      <c r="Q154" s="1">
        <f t="shared" si="70"/>
        <v>0.93723185926524755</v>
      </c>
      <c r="R154" s="1">
        <f t="shared" si="71"/>
        <v>0.90856068647831945</v>
      </c>
      <c r="S154" s="1">
        <f t="shared" si="72"/>
        <v>0.84895079828201347</v>
      </c>
      <c r="T154" s="1">
        <f t="shared" si="73"/>
        <v>0.79727969182065206</v>
      </c>
      <c r="U154" s="1">
        <f t="shared" si="74"/>
        <v>0.54789154840830201</v>
      </c>
      <c r="V154" s="1">
        <f t="shared" si="75"/>
        <v>0.46825228842201366</v>
      </c>
      <c r="W154" s="1"/>
      <c r="X154" s="6">
        <f t="shared" si="76"/>
        <v>0.38182960532105886</v>
      </c>
      <c r="Y154" s="6">
        <f t="shared" si="77"/>
        <v>0.10576997377314649</v>
      </c>
      <c r="AA154">
        <f t="shared" si="78"/>
        <v>0.99981405606901042</v>
      </c>
      <c r="AB154">
        <f t="shared" si="79"/>
        <v>0.99960925582915661</v>
      </c>
      <c r="AC154">
        <f t="shared" si="80"/>
        <v>0.99889061247243893</v>
      </c>
      <c r="AD154">
        <f t="shared" si="81"/>
        <v>0.99787691015079261</v>
      </c>
      <c r="AE154">
        <f t="shared" si="82"/>
        <v>0.99998509985873074</v>
      </c>
      <c r="AF154">
        <f t="shared" si="83"/>
        <v>0.99996480847743163</v>
      </c>
    </row>
    <row r="155" spans="4:40" x14ac:dyDescent="0.3">
      <c r="D155" s="1">
        <f t="shared" si="63"/>
        <v>4.8934512985406293</v>
      </c>
      <c r="E155" s="1">
        <f t="shared" si="64"/>
        <v>5.6808583562326875E-2</v>
      </c>
      <c r="G155" s="1">
        <f t="shared" si="65"/>
        <v>57.947241038178646</v>
      </c>
      <c r="I155">
        <f t="shared" si="44"/>
        <v>153</v>
      </c>
      <c r="K155" s="1">
        <f t="shared" si="66"/>
        <v>0.99336312015408479</v>
      </c>
      <c r="L155" s="1">
        <f t="shared" si="67"/>
        <v>0.98858712654683811</v>
      </c>
      <c r="N155" s="1">
        <f t="shared" si="68"/>
        <v>0.69459991022752576</v>
      </c>
      <c r="O155" s="1">
        <f t="shared" si="69"/>
        <v>0.42728175946329922</v>
      </c>
      <c r="Q155" s="1">
        <f t="shared" si="70"/>
        <v>0.94117698919754822</v>
      </c>
      <c r="R155" s="1">
        <f t="shared" si="71"/>
        <v>0.91383117691846294</v>
      </c>
      <c r="S155" s="1">
        <f t="shared" si="72"/>
        <v>0.85650113707446129</v>
      </c>
      <c r="T155" s="1">
        <f t="shared" si="73"/>
        <v>0.80640674539872814</v>
      </c>
      <c r="U155" s="1">
        <f t="shared" si="74"/>
        <v>0.56084940381856596</v>
      </c>
      <c r="V155" s="1">
        <f t="shared" si="75"/>
        <v>0.48130567310904271</v>
      </c>
      <c r="W155" s="1"/>
      <c r="X155" s="6">
        <f t="shared" si="76"/>
        <v>0.37809230120898696</v>
      </c>
      <c r="Y155" s="6">
        <f t="shared" si="77"/>
        <v>0.10337010242801985</v>
      </c>
      <c r="AA155">
        <f t="shared" si="78"/>
        <v>0.99983596061110136</v>
      </c>
      <c r="AB155">
        <f t="shared" si="79"/>
        <v>0.99965314924584614</v>
      </c>
      <c r="AC155">
        <f t="shared" si="80"/>
        <v>0.99900612471928008</v>
      </c>
      <c r="AD155">
        <f t="shared" si="81"/>
        <v>0.99808635403361856</v>
      </c>
      <c r="AE155">
        <f t="shared" si="82"/>
        <v>0.99998710508081345</v>
      </c>
      <c r="AF155">
        <f t="shared" si="83"/>
        <v>0.9999693531590691</v>
      </c>
    </row>
    <row r="156" spans="4:40" x14ac:dyDescent="0.3">
      <c r="D156" s="1">
        <f t="shared" si="63"/>
        <v>4.6305435893865479</v>
      </c>
      <c r="E156" s="1">
        <f t="shared" si="64"/>
        <v>5.1970853157573438E-2</v>
      </c>
      <c r="G156" s="1">
        <f t="shared" si="65"/>
        <v>58.940899258742462</v>
      </c>
      <c r="I156">
        <f t="shared" si="44"/>
        <v>154</v>
      </c>
      <c r="K156" s="1">
        <f t="shared" si="66"/>
        <v>0.99394481891063657</v>
      </c>
      <c r="L156" s="1">
        <f t="shared" si="67"/>
        <v>0.98952576979944873</v>
      </c>
      <c r="N156" s="1">
        <f t="shared" si="68"/>
        <v>0.68784532169201273</v>
      </c>
      <c r="O156" s="1">
        <f t="shared" si="69"/>
        <v>0.41764937731341639</v>
      </c>
      <c r="Q156" s="1">
        <f t="shared" si="70"/>
        <v>0.94490105340493957</v>
      </c>
      <c r="R156" s="1">
        <f t="shared" si="71"/>
        <v>0.91883895806393356</v>
      </c>
      <c r="S156" s="1">
        <f t="shared" si="72"/>
        <v>0.86374580369075038</v>
      </c>
      <c r="T156" s="1">
        <f t="shared" si="73"/>
        <v>0.81522171820540956</v>
      </c>
      <c r="U156" s="1">
        <f t="shared" si="74"/>
        <v>0.57365861897353321</v>
      </c>
      <c r="V156" s="1">
        <f t="shared" si="75"/>
        <v>0.49429392932041227</v>
      </c>
      <c r="W156" s="1"/>
      <c r="X156" s="6">
        <f t="shared" si="76"/>
        <v>0.37441556891244016</v>
      </c>
      <c r="Y156" s="6">
        <f t="shared" si="77"/>
        <v>0.10103978921570317</v>
      </c>
      <c r="AA156">
        <f t="shared" si="78"/>
        <v>0.99985531219227919</v>
      </c>
      <c r="AB156">
        <f t="shared" si="79"/>
        <v>0.99969218120331726</v>
      </c>
      <c r="AC156">
        <f t="shared" si="80"/>
        <v>0.99910985533065688</v>
      </c>
      <c r="AD156">
        <f t="shared" si="81"/>
        <v>0.99827566911080767</v>
      </c>
      <c r="AE156">
        <f t="shared" si="82"/>
        <v>0.99998884130396015</v>
      </c>
      <c r="AF156">
        <f t="shared" si="83"/>
        <v>0.99997331398044853</v>
      </c>
    </row>
    <row r="157" spans="4:40" x14ac:dyDescent="0.3">
      <c r="D157" s="1">
        <f t="shared" si="63"/>
        <v>4.3806363817554832</v>
      </c>
      <c r="E157" s="1">
        <f t="shared" si="64"/>
        <v>4.7523189708844393E-2</v>
      </c>
      <c r="G157" s="1">
        <f t="shared" si="65"/>
        <v>59.935114354807993</v>
      </c>
      <c r="I157">
        <f t="shared" si="44"/>
        <v>155</v>
      </c>
      <c r="K157" s="1">
        <f t="shared" si="66"/>
        <v>0.99447754407681122</v>
      </c>
      <c r="L157" s="1">
        <f t="shared" si="67"/>
        <v>0.99039098823658189</v>
      </c>
      <c r="N157" s="1">
        <f t="shared" si="68"/>
        <v>0.68119950203467339</v>
      </c>
      <c r="O157" s="1">
        <f t="shared" si="69"/>
        <v>0.40829439455980426</v>
      </c>
      <c r="Q157" s="1">
        <f t="shared" si="70"/>
        <v>0.94841403856719197</v>
      </c>
      <c r="R157" s="1">
        <f t="shared" si="71"/>
        <v>0.92359367350317245</v>
      </c>
      <c r="S157" s="1">
        <f t="shared" si="72"/>
        <v>0.87069168901611904</v>
      </c>
      <c r="T157" s="1">
        <f t="shared" si="73"/>
        <v>0.82372820369689137</v>
      </c>
      <c r="U157" s="1">
        <f t="shared" si="74"/>
        <v>0.58630846280824001</v>
      </c>
      <c r="V157" s="1">
        <f t="shared" si="75"/>
        <v>0.50720414165255612</v>
      </c>
      <c r="W157" s="1"/>
      <c r="X157" s="6">
        <f t="shared" si="76"/>
        <v>0.37079804289398699</v>
      </c>
      <c r="Y157" s="6">
        <f t="shared" si="77"/>
        <v>9.8776585828158861E-2</v>
      </c>
      <c r="AA157">
        <f t="shared" si="78"/>
        <v>0.99987240403370192</v>
      </c>
      <c r="AB157">
        <f t="shared" si="79"/>
        <v>0.99972687988427766</v>
      </c>
      <c r="AC157">
        <f t="shared" si="80"/>
        <v>0.99920297252608858</v>
      </c>
      <c r="AD157">
        <f t="shared" si="81"/>
        <v>0.99844672118233002</v>
      </c>
      <c r="AE157">
        <f t="shared" si="82"/>
        <v>0.99999034443025336</v>
      </c>
      <c r="AF157">
        <f t="shared" si="83"/>
        <v>0.99997676538194924</v>
      </c>
    </row>
    <row r="158" spans="4:40" x14ac:dyDescent="0.3">
      <c r="D158" s="1">
        <f t="shared" si="63"/>
        <v>4.1431587188712591</v>
      </c>
      <c r="E158" s="1">
        <f t="shared" si="64"/>
        <v>4.3436743166081149E-2</v>
      </c>
      <c r="G158" s="1">
        <f t="shared" si="65"/>
        <v>60.92983932238235</v>
      </c>
      <c r="I158">
        <f t="shared" si="44"/>
        <v>156</v>
      </c>
      <c r="K158" s="1">
        <f t="shared" si="66"/>
        <v>0.99496518629108799</v>
      </c>
      <c r="L158" s="1">
        <f t="shared" si="67"/>
        <v>0.99118811204264412</v>
      </c>
      <c r="N158" s="1">
        <f t="shared" si="68"/>
        <v>0.67466001485156113</v>
      </c>
      <c r="O158" s="1">
        <f t="shared" si="69"/>
        <v>0.39920710937962195</v>
      </c>
      <c r="Q158" s="1">
        <f t="shared" si="70"/>
        <v>0.95172569716748268</v>
      </c>
      <c r="R158" s="1">
        <f t="shared" si="71"/>
        <v>0.92810491023994279</v>
      </c>
      <c r="S158" s="1">
        <f t="shared" si="72"/>
        <v>0.87734597446819662</v>
      </c>
      <c r="T158" s="1">
        <f t="shared" si="73"/>
        <v>0.83193031728903177</v>
      </c>
      <c r="U158" s="1">
        <f t="shared" si="74"/>
        <v>0.59878889195688989</v>
      </c>
      <c r="V158" s="1">
        <f t="shared" si="75"/>
        <v>0.52002388844654357</v>
      </c>
      <c r="W158" s="1"/>
      <c r="X158" s="6">
        <f t="shared" si="76"/>
        <v>0.36723839694329896</v>
      </c>
      <c r="Y158" s="6">
        <f t="shared" si="77"/>
        <v>9.657814515274131E-2</v>
      </c>
      <c r="AA158">
        <f t="shared" si="78"/>
        <v>0.9998874963447375</v>
      </c>
      <c r="AB158">
        <f t="shared" si="79"/>
        <v>0.99975771757861487</v>
      </c>
      <c r="AC158">
        <f t="shared" si="80"/>
        <v>0.99928653318319016</v>
      </c>
      <c r="AD158">
        <f t="shared" si="81"/>
        <v>0.99860121186432182</v>
      </c>
      <c r="AE158">
        <f t="shared" si="82"/>
        <v>0.99999164560584664</v>
      </c>
      <c r="AF158">
        <f t="shared" si="83"/>
        <v>0.99997977241375424</v>
      </c>
    </row>
    <row r="159" spans="4:40" x14ac:dyDescent="0.3">
      <c r="D159" s="1">
        <f t="shared" si="63"/>
        <v>3.9175606014456257</v>
      </c>
      <c r="E159" s="1">
        <f t="shared" si="64"/>
        <v>3.9684486344326975E-2</v>
      </c>
      <c r="G159" s="1">
        <f t="shared" si="65"/>
        <v>61.925030905427874</v>
      </c>
      <c r="I159">
        <f t="shared" si="44"/>
        <v>157</v>
      </c>
      <c r="K159" s="1">
        <f t="shared" si="66"/>
        <v>0.99541135378881118</v>
      </c>
      <c r="L159" s="1">
        <f t="shared" si="67"/>
        <v>0.99192212950036474</v>
      </c>
      <c r="N159" s="1">
        <f t="shared" si="68"/>
        <v>0.66822449346028456</v>
      </c>
      <c r="O159" s="1">
        <f t="shared" si="69"/>
        <v>0.39037821841973708</v>
      </c>
      <c r="Q159" s="1">
        <f t="shared" si="70"/>
        <v>0.95484553129133176</v>
      </c>
      <c r="R159" s="1">
        <f t="shared" si="71"/>
        <v>0.93238216827642451</v>
      </c>
      <c r="S159" s="1">
        <f t="shared" si="72"/>
        <v>0.88371608628301723</v>
      </c>
      <c r="T159" s="1">
        <f t="shared" si="73"/>
        <v>0.83983264886002285</v>
      </c>
      <c r="U159" s="1">
        <f t="shared" si="74"/>
        <v>0.61109055548590274</v>
      </c>
      <c r="V159" s="1">
        <f t="shared" si="75"/>
        <v>0.53274126485034123</v>
      </c>
      <c r="W159" s="1"/>
      <c r="X159" s="6">
        <f t="shared" si="76"/>
        <v>0.36373534280165593</v>
      </c>
      <c r="Y159" s="6">
        <f t="shared" si="77"/>
        <v>9.4442216476554763E-2</v>
      </c>
      <c r="AA159">
        <f t="shared" si="78"/>
        <v>0.99990081993850799</v>
      </c>
      <c r="AB159">
        <f t="shared" si="79"/>
        <v>0.99978511638328271</v>
      </c>
      <c r="AC159">
        <f t="shared" si="80"/>
        <v>0.99936149285025833</v>
      </c>
      <c r="AD159">
        <f t="shared" si="81"/>
        <v>0.9987406919245061</v>
      </c>
      <c r="AE159">
        <f t="shared" si="82"/>
        <v>0.99999277184438518</v>
      </c>
      <c r="AF159">
        <f t="shared" si="83"/>
        <v>0.99998239190310434</v>
      </c>
    </row>
    <row r="160" spans="4:40" x14ac:dyDescent="0.3">
      <c r="D160" s="1">
        <f t="shared" si="63"/>
        <v>3.7033124045934507</v>
      </c>
      <c r="E160" s="1">
        <f t="shared" si="64"/>
        <v>3.6241138117552696E-2</v>
      </c>
      <c r="G160" s="1">
        <f t="shared" si="65"/>
        <v>62.92064932223245</v>
      </c>
      <c r="I160">
        <f t="shared" si="44"/>
        <v>158</v>
      </c>
      <c r="K160" s="1">
        <f t="shared" si="66"/>
        <v>0.99581938983156515</v>
      </c>
      <c r="L160" s="1">
        <f t="shared" si="67"/>
        <v>0.99259770397361147</v>
      </c>
      <c r="N160" s="1">
        <f t="shared" si="68"/>
        <v>0.66189063847685337</v>
      </c>
      <c r="O160" s="1">
        <f t="shared" si="69"/>
        <v>0.38179879803183348</v>
      </c>
      <c r="Q160" s="1">
        <f t="shared" si="70"/>
        <v>0.95778277918508947</v>
      </c>
      <c r="R160" s="1">
        <f t="shared" si="71"/>
        <v>0.93643483329412036</v>
      </c>
      <c r="S160" s="1">
        <f t="shared" si="72"/>
        <v>0.88980965224261177</v>
      </c>
      <c r="T160" s="1">
        <f t="shared" si="73"/>
        <v>0.84744021648952872</v>
      </c>
      <c r="U160" s="1">
        <f t="shared" si="74"/>
        <v>0.6232047963156816</v>
      </c>
      <c r="V160" s="1">
        <f t="shared" si="75"/>
        <v>0.54534490259242208</v>
      </c>
      <c r="W160" s="1"/>
      <c r="X160" s="6">
        <f t="shared" si="76"/>
        <v>0.36028762884294702</v>
      </c>
      <c r="Y160" s="6">
        <f t="shared" si="77"/>
        <v>9.2366640946757769E-2</v>
      </c>
      <c r="AA160">
        <f t="shared" si="78"/>
        <v>0.99991257946661938</v>
      </c>
      <c r="AB160">
        <f t="shared" si="79"/>
        <v>0.99980945335162441</v>
      </c>
      <c r="AC160">
        <f t="shared" si="80"/>
        <v>0.99942871493833829</v>
      </c>
      <c r="AD160">
        <f t="shared" si="81"/>
        <v>0.9988665736763227</v>
      </c>
      <c r="AE160">
        <f t="shared" si="82"/>
        <v>0.99999374656988405</v>
      </c>
      <c r="AF160">
        <f t="shared" si="83"/>
        <v>0.99998467347935138</v>
      </c>
    </row>
    <row r="161" spans="4:32" x14ac:dyDescent="0.3">
      <c r="D161" s="1">
        <f t="shared" si="63"/>
        <v>3.4999043086202057</v>
      </c>
      <c r="E161" s="1">
        <f t="shared" si="64"/>
        <v>3.3083084614839886E-2</v>
      </c>
      <c r="G161" s="1">
        <f t="shared" si="65"/>
        <v>63.916658008853716</v>
      </c>
      <c r="I161">
        <f t="shared" si="44"/>
        <v>159</v>
      </c>
      <c r="K161" s="1">
        <f t="shared" si="66"/>
        <v>0.99619238942293553</v>
      </c>
      <c r="L161" s="1">
        <f t="shared" si="67"/>
        <v>0.99321919061726938</v>
      </c>
      <c r="N161" s="1">
        <f t="shared" si="68"/>
        <v>0.65565621549142561</v>
      </c>
      <c r="O161" s="1">
        <f t="shared" si="69"/>
        <v>0.37346028650277013</v>
      </c>
      <c r="Q161" s="1">
        <f t="shared" si="70"/>
        <v>0.96054640437342387</v>
      </c>
      <c r="R161" s="1">
        <f t="shared" si="71"/>
        <v>0.94027215229914518</v>
      </c>
      <c r="S161" s="1">
        <f t="shared" si="72"/>
        <v>0.89563446088788079</v>
      </c>
      <c r="T161" s="1">
        <f t="shared" si="73"/>
        <v>0.85475842160530546</v>
      </c>
      <c r="U161" s="1">
        <f t="shared" si="74"/>
        <v>0.6351236495238578</v>
      </c>
      <c r="V161" s="1">
        <f t="shared" si="75"/>
        <v>0.55782398653731025</v>
      </c>
      <c r="W161" s="1"/>
      <c r="X161" s="6">
        <f t="shared" si="76"/>
        <v>0.35689403880850762</v>
      </c>
      <c r="Y161" s="6">
        <f t="shared" si="77"/>
        <v>9.0349347271644662E-2</v>
      </c>
      <c r="AA161">
        <f t="shared" si="78"/>
        <v>0.9999229563109191</v>
      </c>
      <c r="AB161">
        <f t="shared" si="79"/>
        <v>0.99983106514091413</v>
      </c>
      <c r="AC161">
        <f t="shared" si="80"/>
        <v>0.99948897914922863</v>
      </c>
      <c r="AD161">
        <f t="shared" si="81"/>
        <v>0.99898014247962985</v>
      </c>
      <c r="AE161">
        <f t="shared" si="82"/>
        <v>0.99999459008926339</v>
      </c>
      <c r="AF161">
        <f t="shared" si="83"/>
        <v>0.99998666047365625</v>
      </c>
    </row>
    <row r="162" spans="4:32" x14ac:dyDescent="0.3">
      <c r="D162" s="1">
        <f t="shared" si="63"/>
        <v>3.3068457424231674</v>
      </c>
      <c r="E162" s="1">
        <f t="shared" si="64"/>
        <v>3.0188299393078988E-2</v>
      </c>
      <c r="G162" s="1">
        <f t="shared" si="65"/>
        <v>64.913023378915014</v>
      </c>
      <c r="I162">
        <f t="shared" si="44"/>
        <v>160</v>
      </c>
      <c r="K162" s="1">
        <f t="shared" si="66"/>
        <v>0.9965332152929931</v>
      </c>
      <c r="L162" s="1">
        <f t="shared" si="67"/>
        <v>0.99379065273955824</v>
      </c>
      <c r="N162" s="1">
        <f t="shared" si="68"/>
        <v>0.64951905283832911</v>
      </c>
      <c r="O162" s="1">
        <f t="shared" si="69"/>
        <v>0.36535446722156018</v>
      </c>
      <c r="Q162" s="1">
        <f t="shared" si="70"/>
        <v>0.96314508713851732</v>
      </c>
      <c r="R162" s="1">
        <f t="shared" si="71"/>
        <v>0.94390321209073802</v>
      </c>
      <c r="S162" s="1">
        <f t="shared" si="72"/>
        <v>0.9011984232382525</v>
      </c>
      <c r="T162" s="1">
        <f t="shared" si="73"/>
        <v>0.8617930056826838</v>
      </c>
      <c r="U162" s="1">
        <f t="shared" si="74"/>
        <v>0.64683983773027087</v>
      </c>
      <c r="V162" s="1">
        <f t="shared" si="75"/>
        <v>0.57016826811045696</v>
      </c>
      <c r="W162" s="1"/>
      <c r="X162" s="6">
        <f t="shared" si="76"/>
        <v>0.3535533905932739</v>
      </c>
      <c r="Y162" s="6">
        <f t="shared" si="77"/>
        <v>8.8388347648318488E-2</v>
      </c>
      <c r="AA162">
        <f t="shared" si="78"/>
        <v>0.99993211116670055</v>
      </c>
      <c r="AB162">
        <f t="shared" si="79"/>
        <v>0.99985025220322132</v>
      </c>
      <c r="AC162">
        <f t="shared" si="80"/>
        <v>0.99954298919351903</v>
      </c>
      <c r="AD162">
        <f t="shared" si="81"/>
        <v>0.99908256739605483</v>
      </c>
      <c r="AE162">
        <f t="shared" si="82"/>
        <v>0.99999532000348512</v>
      </c>
      <c r="AF162">
        <f t="shared" si="83"/>
        <v>0.99998839070825851</v>
      </c>
    </row>
    <row r="163" spans="4:32" x14ac:dyDescent="0.3">
      <c r="D163" s="1">
        <f t="shared" si="63"/>
        <v>3.1236648384418046</v>
      </c>
      <c r="E163" s="1">
        <f t="shared" si="64"/>
        <v>2.7536263416717888E-2</v>
      </c>
      <c r="G163" s="1">
        <f t="shared" si="65"/>
        <v>65.909714599015402</v>
      </c>
      <c r="I163">
        <f t="shared" si="44"/>
        <v>161</v>
      </c>
      <c r="K163" s="1">
        <f t="shared" si="66"/>
        <v>0.996844513142077</v>
      </c>
      <c r="L163" s="1">
        <f t="shared" si="67"/>
        <v>0.9943158777547676</v>
      </c>
      <c r="N163" s="1">
        <f t="shared" si="68"/>
        <v>0.64347703945597368</v>
      </c>
      <c r="O163" s="1">
        <f t="shared" si="69"/>
        <v>0.35747345272813624</v>
      </c>
      <c r="Q163" s="1">
        <f t="shared" si="70"/>
        <v>0.96558721816828874</v>
      </c>
      <c r="R163" s="1">
        <f t="shared" si="71"/>
        <v>0.94733692040621387</v>
      </c>
      <c r="S163" s="1">
        <f t="shared" si="72"/>
        <v>0.90650953701961479</v>
      </c>
      <c r="T163" s="1">
        <f t="shared" si="73"/>
        <v>0.86855000861802401</v>
      </c>
      <c r="U163" s="1">
        <f t="shared" si="74"/>
        <v>0.65834676376923507</v>
      </c>
      <c r="V163" s="1">
        <f t="shared" si="75"/>
        <v>0.58236807569471782</v>
      </c>
      <c r="W163" s="1"/>
      <c r="X163" s="6">
        <f t="shared" si="76"/>
        <v>0.35026453508086536</v>
      </c>
      <c r="Y163" s="6">
        <f t="shared" si="77"/>
        <v>8.6481733903689614E-2</v>
      </c>
      <c r="AA163">
        <f t="shared" si="78"/>
        <v>0.99994018634861626</v>
      </c>
      <c r="AB163">
        <f t="shared" si="79"/>
        <v>0.99986728256119295</v>
      </c>
      <c r="AC163">
        <f t="shared" si="80"/>
        <v>0.99959137985024249</v>
      </c>
      <c r="AD163">
        <f t="shared" si="81"/>
        <v>0.99917491104678191</v>
      </c>
      <c r="AE163">
        <f t="shared" si="82"/>
        <v>0.99999595156512622</v>
      </c>
      <c r="AF163">
        <f t="shared" si="83"/>
        <v>0.99998989718853382</v>
      </c>
    </row>
    <row r="164" spans="4:32" x14ac:dyDescent="0.3">
      <c r="D164" s="1">
        <f t="shared" si="63"/>
        <v>2.9499078982677602</v>
      </c>
      <c r="E164" s="1">
        <f t="shared" si="64"/>
        <v>2.5107885547609565E-2</v>
      </c>
      <c r="G164" s="1">
        <f t="shared" si="65"/>
        <v>66.906703379012413</v>
      </c>
      <c r="I164">
        <f t="shared" si="44"/>
        <v>162</v>
      </c>
      <c r="K164" s="1">
        <f t="shared" si="66"/>
        <v>0.99712872614157066</v>
      </c>
      <c r="L164" s="1">
        <f t="shared" si="67"/>
        <v>0.99479839267578296</v>
      </c>
      <c r="N164" s="1">
        <f t="shared" si="68"/>
        <v>0.6375281228324966</v>
      </c>
      <c r="O164" s="1">
        <f t="shared" si="69"/>
        <v>0.34980966959259063</v>
      </c>
      <c r="Q164" s="1">
        <f t="shared" si="70"/>
        <v>0.96788089418668477</v>
      </c>
      <c r="R164" s="1">
        <f t="shared" si="71"/>
        <v>0.95058198959185258</v>
      </c>
      <c r="S164" s="1">
        <f t="shared" si="72"/>
        <v>0.91157585338411162</v>
      </c>
      <c r="T164" s="1">
        <f t="shared" si="73"/>
        <v>0.87503572887441761</v>
      </c>
      <c r="U164" s="1">
        <f t="shared" si="74"/>
        <v>0.66963850085793852</v>
      </c>
      <c r="V164" s="1">
        <f t="shared" si="75"/>
        <v>0.59441432211371659</v>
      </c>
      <c r="W164" s="1"/>
      <c r="X164" s="6">
        <f t="shared" si="76"/>
        <v>0.34702635502533663</v>
      </c>
      <c r="Y164" s="6">
        <f t="shared" si="77"/>
        <v>8.4627673836387529E-2</v>
      </c>
      <c r="AA164">
        <f t="shared" si="78"/>
        <v>0.99994730784763919</v>
      </c>
      <c r="AB164">
        <f t="shared" si="79"/>
        <v>0.99988239520703814</v>
      </c>
      <c r="AC164">
        <f t="shared" si="80"/>
        <v>0.999634723417126</v>
      </c>
      <c r="AD164">
        <f t="shared" si="81"/>
        <v>0.99925813871986624</v>
      </c>
      <c r="AE164">
        <f t="shared" si="82"/>
        <v>0.99999649798925039</v>
      </c>
      <c r="AF164">
        <f t="shared" si="83"/>
        <v>0.9999912087095294</v>
      </c>
    </row>
    <row r="165" spans="4:32" x14ac:dyDescent="0.3">
      <c r="D165" s="1">
        <f t="shared" si="63"/>
        <v>2.7851388681808373</v>
      </c>
      <c r="E165" s="1">
        <f t="shared" si="64"/>
        <v>2.2885424133301746E-2</v>
      </c>
      <c r="G165" s="1">
        <f t="shared" si="65"/>
        <v>67.90396377643502</v>
      </c>
      <c r="I165">
        <f t="shared" si="44"/>
        <v>163</v>
      </c>
      <c r="K165" s="1">
        <f t="shared" si="66"/>
        <v>0.99738810869546635</v>
      </c>
      <c r="L165" s="1">
        <f t="shared" si="67"/>
        <v>0.99524147910602123</v>
      </c>
      <c r="N165" s="1">
        <f t="shared" si="68"/>
        <v>0.63167030703320426</v>
      </c>
      <c r="O165" s="1">
        <f t="shared" si="69"/>
        <v>0.34235584407686176</v>
      </c>
      <c r="Q165" s="1">
        <f t="shared" si="70"/>
        <v>0.97003391538571826</v>
      </c>
      <c r="R165" s="1">
        <f t="shared" si="71"/>
        <v>0.9536469226472164</v>
      </c>
      <c r="S165" s="1">
        <f t="shared" si="72"/>
        <v>0.91640544608954566</v>
      </c>
      <c r="T165" s="1">
        <f t="shared" si="73"/>
        <v>0.88125668547659364</v>
      </c>
      <c r="U165" s="1">
        <f t="shared" si="74"/>
        <v>0.68070978047121444</v>
      </c>
      <c r="V165" s="1">
        <f t="shared" si="75"/>
        <v>0.60629850932853702</v>
      </c>
      <c r="W165" s="1"/>
      <c r="X165" s="6">
        <f t="shared" si="76"/>
        <v>0.34383776397745225</v>
      </c>
      <c r="Y165" s="6">
        <f t="shared" si="77"/>
        <v>8.282440774796547E-2</v>
      </c>
      <c r="AA165">
        <f t="shared" si="78"/>
        <v>0.99995358716473437</v>
      </c>
      <c r="AB165">
        <f t="shared" si="79"/>
        <v>0.99989580315987825</v>
      </c>
      <c r="AC165">
        <f t="shared" si="80"/>
        <v>0.99967353559777861</v>
      </c>
      <c r="AD165">
        <f t="shared" si="81"/>
        <v>0.99933312677312991</v>
      </c>
      <c r="AE165">
        <f t="shared" si="82"/>
        <v>0.99999697072357885</v>
      </c>
      <c r="AF165">
        <f t="shared" si="83"/>
        <v>0.99999235038730883</v>
      </c>
    </row>
    <row r="166" spans="4:32" x14ac:dyDescent="0.3">
      <c r="D166" s="1">
        <f t="shared" si="63"/>
        <v>2.6289388240167284</v>
      </c>
      <c r="E166" s="1">
        <f t="shared" si="64"/>
        <v>2.0852410178909209E-2</v>
      </c>
      <c r="G166" s="1">
        <f t="shared" si="65"/>
        <v>68.90147201429231</v>
      </c>
      <c r="I166">
        <f t="shared" si="44"/>
        <v>164</v>
      </c>
      <c r="K166" s="1">
        <f t="shared" si="66"/>
        <v>0.99762473947167685</v>
      </c>
      <c r="L166" s="1">
        <f t="shared" si="67"/>
        <v>0.99564818769955521</v>
      </c>
      <c r="N166" s="1">
        <f t="shared" si="68"/>
        <v>0.62590165080607441</v>
      </c>
      <c r="O166" s="1">
        <f t="shared" si="69"/>
        <v>0.3351049885338887</v>
      </c>
      <c r="Q166" s="1">
        <f t="shared" si="70"/>
        <v>0.97205378448631463</v>
      </c>
      <c r="R166" s="1">
        <f t="shared" si="71"/>
        <v>0.9565400014898926</v>
      </c>
      <c r="S166" s="1">
        <f t="shared" si="72"/>
        <v>0.92100638309224547</v>
      </c>
      <c r="T166" s="1">
        <f t="shared" si="73"/>
        <v>0.88721958191220041</v>
      </c>
      <c r="U166" s="1">
        <f t="shared" si="74"/>
        <v>0.69155597813260294</v>
      </c>
      <c r="V166" s="1">
        <f t="shared" si="75"/>
        <v>0.61801273048355532</v>
      </c>
      <c r="W166" s="1"/>
      <c r="X166" s="6">
        <f t="shared" si="76"/>
        <v>0.34069770525345289</v>
      </c>
      <c r="Y166" s="6">
        <f t="shared" si="77"/>
        <v>8.1070245152517026E-2</v>
      </c>
      <c r="AA166">
        <f t="shared" si="78"/>
        <v>0.99995912294443856</v>
      </c>
      <c r="AB166">
        <f t="shared" si="79"/>
        <v>0.99990769621369624</v>
      </c>
      <c r="AC166">
        <f t="shared" si="80"/>
        <v>0.99970828086949881</v>
      </c>
      <c r="AD166">
        <f t="shared" si="81"/>
        <v>0.99940067037739011</v>
      </c>
      <c r="AE166">
        <f t="shared" si="82"/>
        <v>0.99999737968320945</v>
      </c>
      <c r="AF166">
        <f t="shared" si="83"/>
        <v>0.99999334412422858</v>
      </c>
    </row>
    <row r="167" spans="4:32" x14ac:dyDescent="0.3">
      <c r="D167" s="1">
        <f t="shared" si="63"/>
        <v>2.4809054648952618</v>
      </c>
      <c r="E167" s="1">
        <f t="shared" si="64"/>
        <v>1.8993572497702782E-2</v>
      </c>
      <c r="G167" s="1">
        <f t="shared" si="65"/>
        <v>69.899206311553712</v>
      </c>
      <c r="I167">
        <f t="shared" si="44"/>
        <v>165</v>
      </c>
      <c r="K167" s="1">
        <f t="shared" si="66"/>
        <v>0.99784053371638637</v>
      </c>
      <c r="L167" s="1">
        <f t="shared" si="67"/>
        <v>0.99602135206635323</v>
      </c>
      <c r="N167" s="1">
        <f t="shared" si="68"/>
        <v>0.62022026576177591</v>
      </c>
      <c r="O167" s="1">
        <f t="shared" si="69"/>
        <v>0.32805038850209639</v>
      </c>
      <c r="Q167" s="1">
        <f t="shared" si="70"/>
        <v>0.97394770726295776</v>
      </c>
      <c r="R167" s="1">
        <f t="shared" si="71"/>
        <v>0.95926927728848843</v>
      </c>
      <c r="S167" s="1">
        <f t="shared" si="72"/>
        <v>0.92538670049523342</v>
      </c>
      <c r="T167" s="1">
        <f t="shared" si="73"/>
        <v>0.89293127197839894</v>
      </c>
      <c r="U167" s="1">
        <f t="shared" si="74"/>
        <v>0.7021730973297331</v>
      </c>
      <c r="V167" s="1">
        <f t="shared" si="75"/>
        <v>0.62954966944487789</v>
      </c>
      <c r="W167" s="1"/>
      <c r="X167" s="6">
        <f t="shared" si="76"/>
        <v>0.33760515094438381</v>
      </c>
      <c r="Y167" s="6">
        <f t="shared" si="77"/>
        <v>7.9363561654510806E-2</v>
      </c>
      <c r="AA167">
        <f t="shared" si="78"/>
        <v>0.99996400242929173</v>
      </c>
      <c r="AB167">
        <f t="shared" si="79"/>
        <v>0.99991824340538304</v>
      </c>
      <c r="AC167">
        <f t="shared" si="80"/>
        <v>0.99973937737275376</v>
      </c>
      <c r="AD167">
        <f t="shared" si="81"/>
        <v>0.99946149064325762</v>
      </c>
      <c r="AE167">
        <f t="shared" si="82"/>
        <v>0.99999773345446885</v>
      </c>
      <c r="AF167">
        <f t="shared" si="83"/>
        <v>0.99999420901619529</v>
      </c>
    </row>
    <row r="168" spans="4:32" x14ac:dyDescent="0.3">
      <c r="D168" s="1">
        <f t="shared" si="63"/>
        <v>2.3406526154453218</v>
      </c>
      <c r="E168" s="1">
        <f t="shared" si="64"/>
        <v>1.7294765154259983E-2</v>
      </c>
      <c r="G168" s="1">
        <f t="shared" si="65"/>
        <v>70.897146725591895</v>
      </c>
      <c r="I168">
        <f t="shared" si="44"/>
        <v>166</v>
      </c>
      <c r="K168" s="1">
        <f t="shared" si="66"/>
        <v>0.99803725486830674</v>
      </c>
      <c r="L168" s="1">
        <f t="shared" si="67"/>
        <v>0.99636360210675856</v>
      </c>
      <c r="N168" s="1">
        <f t="shared" si="68"/>
        <v>0.61462431462484612</v>
      </c>
      <c r="O168" s="1">
        <f t="shared" si="69"/>
        <v>0.32118559045571865</v>
      </c>
      <c r="Q168" s="1">
        <f t="shared" si="70"/>
        <v>0.97572259437548559</v>
      </c>
      <c r="R168" s="1">
        <f t="shared" si="71"/>
        <v>0.96184256271370339</v>
      </c>
      <c r="S168" s="1">
        <f t="shared" si="72"/>
        <v>0.92955437878328029</v>
      </c>
      <c r="T168" s="1">
        <f t="shared" si="73"/>
        <v>0.89839872759603057</v>
      </c>
      <c r="U168" s="1">
        <f t="shared" si="74"/>
        <v>0.71255775175875347</v>
      </c>
      <c r="V168" s="1">
        <f t="shared" si="75"/>
        <v>0.64090259798086446</v>
      </c>
      <c r="W168" s="1"/>
      <c r="X168" s="6">
        <f t="shared" si="76"/>
        <v>0.33455910096415592</v>
      </c>
      <c r="Y168" s="6">
        <f t="shared" si="77"/>
        <v>7.7702795985288051E-2</v>
      </c>
      <c r="AA168">
        <f t="shared" si="78"/>
        <v>0.99996830275400961</v>
      </c>
      <c r="AB168">
        <f t="shared" si="79"/>
        <v>0.99992759522982888</v>
      </c>
      <c r="AC168">
        <f t="shared" si="80"/>
        <v>0.99976720136079311</v>
      </c>
      <c r="AD168">
        <f t="shared" si="81"/>
        <v>0.99951624117307114</v>
      </c>
      <c r="AE168">
        <f t="shared" si="82"/>
        <v>0.99999803947190202</v>
      </c>
      <c r="AF168">
        <f t="shared" si="83"/>
        <v>0.99999496170899838</v>
      </c>
    </row>
    <row r="169" spans="4:32" x14ac:dyDescent="0.3">
      <c r="D169" s="1">
        <f t="shared" si="63"/>
        <v>2.2078097362573281</v>
      </c>
      <c r="E169" s="1">
        <f t="shared" si="64"/>
        <v>1.5742897444608661E-2</v>
      </c>
      <c r="G169" s="1">
        <f t="shared" si="65"/>
        <v>71.895275005898029</v>
      </c>
      <c r="I169">
        <f t="shared" si="44"/>
        <v>167</v>
      </c>
      <c r="K169" s="1">
        <f t="shared" si="66"/>
        <v>0.99821652549260687</v>
      </c>
      <c r="L169" s="1">
        <f t="shared" si="67"/>
        <v>0.99667737676565271</v>
      </c>
      <c r="N169" s="1">
        <f t="shared" si="68"/>
        <v>0.60911200955283207</v>
      </c>
      <c r="O169" s="1">
        <f t="shared" si="69"/>
        <v>0.31450439017393178</v>
      </c>
      <c r="Q169" s="1">
        <f t="shared" si="70"/>
        <v>0.97738506436001849</v>
      </c>
      <c r="R169" s="1">
        <f t="shared" si="71"/>
        <v>0.96426742596029025</v>
      </c>
      <c r="S169" s="1">
        <f t="shared" si="72"/>
        <v>0.93351732126782194</v>
      </c>
      <c r="T169" s="1">
        <f t="shared" si="73"/>
        <v>0.90362900859846274</v>
      </c>
      <c r="U169" s="1">
        <f t="shared" si="74"/>
        <v>0.72270714609799247</v>
      </c>
      <c r="V169" s="1">
        <f t="shared" si="75"/>
        <v>0.65206537073867099</v>
      </c>
      <c r="W169" s="1"/>
      <c r="X169" s="6">
        <f t="shared" si="76"/>
        <v>0.33155858213460265</v>
      </c>
      <c r="Y169" s="6">
        <f t="shared" si="77"/>
        <v>7.6086447189266632E-2</v>
      </c>
      <c r="AA169">
        <f t="shared" si="78"/>
        <v>0.99997209209640503</v>
      </c>
      <c r="AB169">
        <f t="shared" si="79"/>
        <v>0.99993588562664082</v>
      </c>
      <c r="AC169">
        <f t="shared" si="80"/>
        <v>0.99979209124534318</v>
      </c>
      <c r="AD169">
        <f t="shared" si="81"/>
        <v>0.99956551407774363</v>
      </c>
      <c r="AE169">
        <f t="shared" si="82"/>
        <v>0.99999830417189317</v>
      </c>
      <c r="AF169">
        <f t="shared" si="83"/>
        <v>0.99999561670997161</v>
      </c>
    </row>
    <row r="170" spans="4:32" x14ac:dyDescent="0.3">
      <c r="D170" s="1">
        <f t="shared" si="63"/>
        <v>2.0820214423738914</v>
      </c>
      <c r="E170" s="1">
        <f t="shared" si="64"/>
        <v>1.4325866595273407E-2</v>
      </c>
      <c r="G170" s="1">
        <f t="shared" si="65"/>
        <v>72.893574458400153</v>
      </c>
      <c r="I170">
        <f t="shared" si="44"/>
        <v>168</v>
      </c>
      <c r="K170" s="1">
        <f t="shared" si="66"/>
        <v>0.99837983755658688</v>
      </c>
      <c r="L170" s="1">
        <f t="shared" si="67"/>
        <v>0.99696493620225746</v>
      </c>
      <c r="N170" s="1">
        <f t="shared" si="68"/>
        <v>0.60368161052036906</v>
      </c>
      <c r="O170" s="1">
        <f t="shared" si="69"/>
        <v>0.30800082169406595</v>
      </c>
      <c r="Q170" s="1">
        <f t="shared" si="70"/>
        <v>0.97894144763979696</v>
      </c>
      <c r="R170" s="1">
        <f t="shared" si="71"/>
        <v>0.96655118639654458</v>
      </c>
      <c r="S170" s="1">
        <f t="shared" si="72"/>
        <v>0.93728333465765845</v>
      </c>
      <c r="T170" s="1">
        <f t="shared" si="73"/>
        <v>0.90862923448857424</v>
      </c>
      <c r="U170" s="1">
        <f t="shared" si="74"/>
        <v>0.73261905550536699</v>
      </c>
      <c r="V170" s="1">
        <f t="shared" si="75"/>
        <v>0.66303241817375203</v>
      </c>
      <c r="W170" s="1"/>
      <c r="X170" s="6">
        <f t="shared" si="76"/>
        <v>0.32860264730588307</v>
      </c>
      <c r="Y170" s="6">
        <f t="shared" si="77"/>
        <v>7.4513071951447379E-2</v>
      </c>
      <c r="AA170">
        <f t="shared" si="78"/>
        <v>0.9999754307003621</v>
      </c>
      <c r="AB170">
        <f t="shared" si="79"/>
        <v>0.99994323376087102</v>
      </c>
      <c r="AC170">
        <f t="shared" si="80"/>
        <v>0.99981435127188678</v>
      </c>
      <c r="AD170">
        <f t="shared" si="81"/>
        <v>0.99960984549643461</v>
      </c>
      <c r="AE170">
        <f t="shared" si="82"/>
        <v>0.99999853312596632</v>
      </c>
      <c r="AF170">
        <f t="shared" si="83"/>
        <v>0.99999618666048373</v>
      </c>
    </row>
    <row r="171" spans="4:32" x14ac:dyDescent="0.3">
      <c r="D171" s="1">
        <f t="shared" si="63"/>
        <v>1.9629470296996452</v>
      </c>
      <c r="E171" s="1">
        <f t="shared" si="64"/>
        <v>1.3032493310252691E-2</v>
      </c>
      <c r="G171" s="1">
        <f t="shared" si="65"/>
        <v>73.892029819737502</v>
      </c>
      <c r="I171">
        <f t="shared" si="44"/>
        <v>169</v>
      </c>
      <c r="K171" s="1">
        <f t="shared" si="66"/>
        <v>0.99852856207094232</v>
      </c>
      <c r="L171" s="1">
        <f t="shared" si="67"/>
        <v>0.99722837337629622</v>
      </c>
      <c r="N171" s="1">
        <f t="shared" si="68"/>
        <v>0.59833142376531578</v>
      </c>
      <c r="O171" s="1">
        <f t="shared" si="69"/>
        <v>0.30166914681630702</v>
      </c>
      <c r="Q171" s="1">
        <f t="shared" si="70"/>
        <v>0.98039779142556105</v>
      </c>
      <c r="R171" s="1">
        <f t="shared" si="71"/>
        <v>0.9687009117024924</v>
      </c>
      <c r="S171" s="1">
        <f t="shared" si="72"/>
        <v>0.94086011166570593</v>
      </c>
      <c r="T171" s="1">
        <f t="shared" si="73"/>
        <v>0.91340655814513327</v>
      </c>
      <c r="U171" s="1">
        <f t="shared" si="74"/>
        <v>0.74229180402746642</v>
      </c>
      <c r="V171" s="1">
        <f t="shared" si="75"/>
        <v>0.67379873759090336</v>
      </c>
      <c r="W171" s="1"/>
      <c r="X171" s="6">
        <f t="shared" si="76"/>
        <v>0.32569037451066585</v>
      </c>
      <c r="Y171" s="6">
        <f t="shared" si="77"/>
        <v>7.2981282058340424E-2</v>
      </c>
      <c r="AA171">
        <f t="shared" si="78"/>
        <v>0.99997837178461557</v>
      </c>
      <c r="AB171">
        <f t="shared" si="79"/>
        <v>0.99994974561811756</v>
      </c>
      <c r="AC171">
        <f t="shared" si="80"/>
        <v>0.99983425485568966</v>
      </c>
      <c r="AD171">
        <f t="shared" si="81"/>
        <v>0.99964972065505076</v>
      </c>
      <c r="AE171">
        <f t="shared" si="82"/>
        <v>0.99999873115642168</v>
      </c>
      <c r="AF171">
        <f t="shared" si="83"/>
        <v>0.99999668257410301</v>
      </c>
    </row>
    <row r="172" spans="4:32" x14ac:dyDescent="0.3">
      <c r="D172" s="1">
        <f t="shared" si="63"/>
        <v>1.8502600092683874</v>
      </c>
      <c r="E172" s="1">
        <f t="shared" si="64"/>
        <v>1.1852460249402397E-2</v>
      </c>
      <c r="G172" s="1">
        <f t="shared" si="65"/>
        <v>74.890627140869839</v>
      </c>
      <c r="I172">
        <f t="shared" si="44"/>
        <v>170</v>
      </c>
      <c r="K172" s="1">
        <f t="shared" si="66"/>
        <v>0.99866395812177255</v>
      </c>
      <c r="L172" s="1">
        <f t="shared" si="67"/>
        <v>0.99746962505531978</v>
      </c>
      <c r="N172" s="1">
        <f t="shared" si="68"/>
        <v>0.59305980029421612</v>
      </c>
      <c r="O172" s="1">
        <f t="shared" si="69"/>
        <v>0.295503845129298</v>
      </c>
      <c r="Q172" s="1">
        <f t="shared" si="70"/>
        <v>0.98175986538392124</v>
      </c>
      <c r="R172" s="1">
        <f t="shared" si="71"/>
        <v>0.97072341636305248</v>
      </c>
      <c r="S172" s="1">
        <f t="shared" si="72"/>
        <v>0.94425521555774772</v>
      </c>
      <c r="T172" s="1">
        <f t="shared" si="73"/>
        <v>0.91796814144902994</v>
      </c>
      <c r="U172" s="1">
        <f t="shared" si="74"/>
        <v>0.75172424210080679</v>
      </c>
      <c r="V172" s="1">
        <f t="shared" si="75"/>
        <v>0.68435988245580504</v>
      </c>
      <c r="W172" s="1"/>
      <c r="X172" s="6">
        <f t="shared" si="76"/>
        <v>0.32282086615060496</v>
      </c>
      <c r="Y172" s="6">
        <f t="shared" si="77"/>
        <v>7.1489741984909053E-2</v>
      </c>
      <c r="AA172">
        <f t="shared" si="78"/>
        <v>0.99998096234967893</v>
      </c>
      <c r="AB172">
        <f t="shared" si="79"/>
        <v>0.99995551543248951</v>
      </c>
      <c r="AC172">
        <f t="shared" si="80"/>
        <v>0.99985204760749036</v>
      </c>
      <c r="AD172">
        <f t="shared" si="81"/>
        <v>0.99968557849764961</v>
      </c>
      <c r="AE172">
        <f t="shared" si="82"/>
        <v>0.99999890243662437</v>
      </c>
      <c r="AF172">
        <f t="shared" si="83"/>
        <v>0.99999711404468949</v>
      </c>
    </row>
    <row r="173" spans="4:32" x14ac:dyDescent="0.3">
      <c r="D173" s="1">
        <f t="shared" si="63"/>
        <v>1.743647649354072</v>
      </c>
      <c r="E173" s="1">
        <f t="shared" si="64"/>
        <v>1.0776253481329073E-2</v>
      </c>
      <c r="G173" s="1">
        <f t="shared" si="65"/>
        <v>75.889353679424644</v>
      </c>
      <c r="I173">
        <f t="shared" si="44"/>
        <v>171</v>
      </c>
      <c r="K173" s="1">
        <f t="shared" si="66"/>
        <v>0.99878718131938826</v>
      </c>
      <c r="L173" s="1">
        <f t="shared" si="67"/>
        <v>0.99769048225147194</v>
      </c>
      <c r="N173" s="1">
        <f t="shared" si="68"/>
        <v>0.58786513444448496</v>
      </c>
      <c r="O173" s="1">
        <f t="shared" si="69"/>
        <v>0.28949960452790879</v>
      </c>
      <c r="Q173" s="1">
        <f t="shared" si="70"/>
        <v>0.98303316796088658</v>
      </c>
      <c r="R173" s="1">
        <f t="shared" si="71"/>
        <v>0.97262526138800387</v>
      </c>
      <c r="S173" s="1">
        <f t="shared" si="72"/>
        <v>0.94747606654598904</v>
      </c>
      <c r="T173" s="1">
        <f t="shared" si="73"/>
        <v>0.92232113279036421</v>
      </c>
      <c r="U173" s="1">
        <f t="shared" si="74"/>
        <v>0.76091572331767421</v>
      </c>
      <c r="V173" s="1">
        <f t="shared" si="75"/>
        <v>0.69471195013527043</v>
      </c>
      <c r="W173" s="1"/>
      <c r="X173" s="6">
        <f t="shared" si="76"/>
        <v>0.3199932482136934</v>
      </c>
      <c r="Y173" s="6">
        <f t="shared" si="77"/>
        <v>7.0037166600582651E-2</v>
      </c>
      <c r="AA173">
        <f t="shared" si="78"/>
        <v>0.99998324389399418</v>
      </c>
      <c r="AB173">
        <f t="shared" si="79"/>
        <v>0.99996062696421062</v>
      </c>
      <c r="AC173">
        <f t="shared" si="80"/>
        <v>0.99986795007563456</v>
      </c>
      <c r="AD173">
        <f t="shared" si="81"/>
        <v>0.9997178159228971</v>
      </c>
      <c r="AE173">
        <f t="shared" si="82"/>
        <v>0.99999905057796012</v>
      </c>
      <c r="AF173">
        <f t="shared" si="83"/>
        <v>0.99999748942815814</v>
      </c>
    </row>
    <row r="174" spans="4:32" x14ac:dyDescent="0.3">
      <c r="D174" s="1">
        <f t="shared" si="63"/>
        <v>1.6428105254516723</v>
      </c>
      <c r="E174" s="1">
        <f t="shared" si="64"/>
        <v>9.7951069213838837E-3</v>
      </c>
      <c r="G174" s="1">
        <f t="shared" si="65"/>
        <v>76.888197800212708</v>
      </c>
      <c r="I174">
        <f t="shared" si="44"/>
        <v>172</v>
      </c>
      <c r="K174" s="1">
        <f t="shared" si="66"/>
        <v>0.99889929169052594</v>
      </c>
      <c r="L174" s="1">
        <f t="shared" si="67"/>
        <v>0.99789260009887881</v>
      </c>
      <c r="N174" s="1">
        <f t="shared" si="68"/>
        <v>0.5827458625008537</v>
      </c>
      <c r="O174" s="1">
        <f t="shared" si="69"/>
        <v>0.28365131219619705</v>
      </c>
      <c r="Q174" s="1">
        <f t="shared" si="70"/>
        <v>0.98422293325624366</v>
      </c>
      <c r="R174" s="1">
        <f t="shared" si="71"/>
        <v>0.97441275513649361</v>
      </c>
      <c r="S174" s="1">
        <f t="shared" si="72"/>
        <v>0.95052992992816376</v>
      </c>
      <c r="T174" s="1">
        <f t="shared" si="73"/>
        <v>0.92647264640920002</v>
      </c>
      <c r="U174" s="1">
        <f t="shared" si="74"/>
        <v>0.76986608062032857</v>
      </c>
      <c r="V174" s="1">
        <f t="shared" si="75"/>
        <v>0.7048515682225841</v>
      </c>
      <c r="W174" s="1"/>
      <c r="X174" s="6">
        <f t="shared" si="76"/>
        <v>0.31720666952115056</v>
      </c>
      <c r="Y174" s="6">
        <f t="shared" si="77"/>
        <v>6.8622318987809766E-2</v>
      </c>
      <c r="AA174">
        <f t="shared" si="78"/>
        <v>0.99998525304922425</v>
      </c>
      <c r="AB174">
        <f t="shared" si="79"/>
        <v>0.99996515464206026</v>
      </c>
      <c r="AC174">
        <f t="shared" si="80"/>
        <v>0.99988216022941112</v>
      </c>
      <c r="AD174">
        <f t="shared" si="81"/>
        <v>0.99974679165583258</v>
      </c>
      <c r="AE174">
        <f t="shared" si="82"/>
        <v>0.99999917870521415</v>
      </c>
      <c r="AF174">
        <f t="shared" si="83"/>
        <v>0.99999781600119519</v>
      </c>
    </row>
    <row r="175" spans="4:32" x14ac:dyDescent="0.3">
      <c r="D175" s="1">
        <f t="shared" si="63"/>
        <v>1.5474620781844663</v>
      </c>
      <c r="E175" s="1">
        <f t="shared" si="64"/>
        <v>8.9009497373149504E-3</v>
      </c>
      <c r="G175" s="1">
        <f t="shared" si="65"/>
        <v>77.887148883368795</v>
      </c>
      <c r="I175">
        <f t="shared" si="44"/>
        <v>173</v>
      </c>
      <c r="K175" s="1">
        <f t="shared" si="66"/>
        <v>0.99900126104082143</v>
      </c>
      <c r="L175" s="1">
        <f t="shared" si="67"/>
        <v>0.99807750718525046</v>
      </c>
      <c r="N175" s="1">
        <f t="shared" si="68"/>
        <v>0.57770046136371955</v>
      </c>
      <c r="O175" s="1">
        <f t="shared" si="69"/>
        <v>0.27795404603019019</v>
      </c>
      <c r="Q175" s="1">
        <f t="shared" si="70"/>
        <v>0.98533413835279482</v>
      </c>
      <c r="R175" s="1">
        <f t="shared" si="71"/>
        <v>0.97609195512997748</v>
      </c>
      <c r="S175" s="1">
        <f t="shared" si="72"/>
        <v>0.95342390587186121</v>
      </c>
      <c r="T175" s="1">
        <f t="shared" si="73"/>
        <v>0.93042974351581198</v>
      </c>
      <c r="U175" s="1">
        <f t="shared" si="74"/>
        <v>0.77857560207829068</v>
      </c>
      <c r="V175" s="1">
        <f t="shared" si="75"/>
        <v>0.71477587960156952</v>
      </c>
      <c r="W175" s="1"/>
      <c r="X175" s="6">
        <f t="shared" si="76"/>
        <v>0.31446030100256472</v>
      </c>
      <c r="Y175" s="6">
        <f t="shared" si="77"/>
        <v>6.7244008367015745E-2</v>
      </c>
      <c r="AA175">
        <f t="shared" si="78"/>
        <v>0.99998702214356661</v>
      </c>
      <c r="AB175">
        <f t="shared" si="79"/>
        <v>0.99996916458440677</v>
      </c>
      <c r="AC175">
        <f t="shared" si="80"/>
        <v>0.999894855706432</v>
      </c>
      <c r="AD175">
        <f t="shared" si="81"/>
        <v>0.99977282978332693</v>
      </c>
      <c r="AE175">
        <f t="shared" si="82"/>
        <v>0.99999928952190065</v>
      </c>
      <c r="AF175">
        <f t="shared" si="83"/>
        <v>0.9999981000998116</v>
      </c>
    </row>
    <row r="176" spans="4:32" x14ac:dyDescent="0.3">
      <c r="D176" s="1">
        <f t="shared" si="63"/>
        <v>1.4573281792182353</v>
      </c>
      <c r="E176" s="1">
        <f t="shared" si="64"/>
        <v>8.0863566813581811E-3</v>
      </c>
      <c r="G176" s="1">
        <f t="shared" si="65"/>
        <v>78.886197239601245</v>
      </c>
      <c r="I176">
        <f t="shared" si="44"/>
        <v>174</v>
      </c>
      <c r="K176" s="1">
        <f t="shared" si="66"/>
        <v>0.99909397981438564</v>
      </c>
      <c r="L176" s="1">
        <f t="shared" si="67"/>
        <v>0.99824661435323969</v>
      </c>
      <c r="N176" s="1">
        <f t="shared" si="68"/>
        <v>0.5727274472671724</v>
      </c>
      <c r="O176" s="1">
        <f t="shared" si="69"/>
        <v>0.27240306647665752</v>
      </c>
      <c r="Q176" s="1">
        <f t="shared" si="70"/>
        <v>0.98637151101248588</v>
      </c>
      <c r="R176" s="1">
        <f t="shared" si="71"/>
        <v>0.97766867074380182</v>
      </c>
      <c r="S176" s="1">
        <f t="shared" si="72"/>
        <v>0.95616492074352288</v>
      </c>
      <c r="T176" s="1">
        <f t="shared" si="73"/>
        <v>0.93419941513038673</v>
      </c>
      <c r="U176" s="1">
        <f t="shared" si="74"/>
        <v>0.78704500639405184</v>
      </c>
      <c r="V176" s="1">
        <f t="shared" si="75"/>
        <v>0.72448252639943445</v>
      </c>
      <c r="W176" s="1"/>
      <c r="X176" s="6">
        <f t="shared" si="76"/>
        <v>0.31175333499807384</v>
      </c>
      <c r="Y176" s="6">
        <f t="shared" si="77"/>
        <v>6.5901088122198179E-2</v>
      </c>
      <c r="AA176">
        <f t="shared" si="78"/>
        <v>0.99998857970103261</v>
      </c>
      <c r="AB176">
        <f t="shared" si="79"/>
        <v>0.99997271551126465</v>
      </c>
      <c r="AC176">
        <f t="shared" si="80"/>
        <v>0.99990619584510088</v>
      </c>
      <c r="AD176">
        <f t="shared" si="81"/>
        <v>0.99979622297981596</v>
      </c>
      <c r="AE176">
        <f t="shared" si="82"/>
        <v>0.9999993853668695</v>
      </c>
      <c r="AF176">
        <f t="shared" si="83"/>
        <v>0.99999834724026282</v>
      </c>
    </row>
    <row r="177" spans="4:32" x14ac:dyDescent="0.3">
      <c r="D177" s="1">
        <f t="shared" si="63"/>
        <v>1.3721467052799934</v>
      </c>
      <c r="E177" s="1">
        <f t="shared" si="64"/>
        <v>7.3445012889088446E-3</v>
      </c>
      <c r="G177" s="1">
        <f t="shared" si="65"/>
        <v>79.885334032060555</v>
      </c>
      <c r="I177">
        <f t="shared" si="44"/>
        <v>175</v>
      </c>
      <c r="K177" s="1">
        <f t="shared" si="66"/>
        <v>0.99917826347709271</v>
      </c>
      <c r="L177" s="1">
        <f t="shared" si="67"/>
        <v>0.99840122298865419</v>
      </c>
      <c r="N177" s="1">
        <f t="shared" si="68"/>
        <v>0.56782537454456583</v>
      </c>
      <c r="O177" s="1">
        <f t="shared" si="69"/>
        <v>0.26699380876544482</v>
      </c>
      <c r="Q177" s="1">
        <f t="shared" si="70"/>
        <v>0.98733953765918292</v>
      </c>
      <c r="R177" s="1">
        <f t="shared" si="71"/>
        <v>0.9791484666740482</v>
      </c>
      <c r="S177" s="1">
        <f t="shared" si="72"/>
        <v>0.95875971988211361</v>
      </c>
      <c r="T177" s="1">
        <f t="shared" si="73"/>
        <v>0.93778856657732856</v>
      </c>
      <c r="U177" s="1">
        <f t="shared" si="74"/>
        <v>0.79527541827297044</v>
      </c>
      <c r="V177" s="1">
        <f t="shared" si="75"/>
        <v>0.73396963297411766</v>
      </c>
      <c r="W177" s="1"/>
      <c r="X177" s="6">
        <f t="shared" si="76"/>
        <v>0.30908498458642902</v>
      </c>
      <c r="Y177" s="6">
        <f t="shared" si="77"/>
        <v>6.4592453921735363E-2</v>
      </c>
      <c r="AA177">
        <f t="shared" si="78"/>
        <v>0.99998995088379228</v>
      </c>
      <c r="AB177">
        <f t="shared" si="79"/>
        <v>0.99997585955860813</v>
      </c>
      <c r="AC177">
        <f t="shared" si="80"/>
        <v>0.99991632352152593</v>
      </c>
      <c r="AD177">
        <f t="shared" si="81"/>
        <v>0.99981723544813117</v>
      </c>
      <c r="AE177">
        <f t="shared" si="82"/>
        <v>0.99999946826334773</v>
      </c>
      <c r="AF177">
        <f t="shared" si="83"/>
        <v>0.99999856222455141</v>
      </c>
    </row>
    <row r="178" spans="4:32" x14ac:dyDescent="0.3">
      <c r="D178" s="1">
        <f t="shared" si="63"/>
        <v>1.2916671203901622</v>
      </c>
      <c r="E178" s="1">
        <f t="shared" si="64"/>
        <v>6.6691118683525619E-3</v>
      </c>
      <c r="G178" s="1">
        <f t="shared" si="65"/>
        <v>80.8845512043642</v>
      </c>
      <c r="I178">
        <f t="shared" si="44"/>
        <v>176</v>
      </c>
      <c r="K178" s="1">
        <f t="shared" si="66"/>
        <v>0.99925485844978046</v>
      </c>
      <c r="L178" s="1">
        <f t="shared" si="67"/>
        <v>0.99854253281381611</v>
      </c>
      <c r="N178" s="1">
        <f t="shared" si="68"/>
        <v>0.56299283443961634</v>
      </c>
      <c r="O178" s="1">
        <f t="shared" si="69"/>
        <v>0.26172187551428439</v>
      </c>
      <c r="Q178" s="1">
        <f t="shared" si="70"/>
        <v>0.98824247157523293</v>
      </c>
      <c r="R178" s="1">
        <f t="shared" si="71"/>
        <v>0.98053666708268827</v>
      </c>
      <c r="S178" s="1">
        <f t="shared" si="72"/>
        <v>0.96121486171869985</v>
      </c>
      <c r="T178" s="1">
        <f t="shared" si="73"/>
        <v>0.94120400356547551</v>
      </c>
      <c r="U178" s="1">
        <f t="shared" si="74"/>
        <v>0.80326834378342904</v>
      </c>
      <c r="V178" s="1">
        <f t="shared" si="75"/>
        <v>0.7432357880769086</v>
      </c>
      <c r="W178" s="1"/>
      <c r="X178" s="6">
        <f t="shared" si="76"/>
        <v>0.30645448293783745</v>
      </c>
      <c r="Y178" s="6">
        <f t="shared" si="77"/>
        <v>6.3317041929305262E-2</v>
      </c>
      <c r="AA178">
        <f t="shared" si="78"/>
        <v>0.99999115788392212</v>
      </c>
      <c r="AB178">
        <f t="shared" si="79"/>
        <v>0.99997864300506734</v>
      </c>
      <c r="AC178">
        <f t="shared" si="80"/>
        <v>0.9999253668086524</v>
      </c>
      <c r="AD178">
        <f t="shared" si="81"/>
        <v>0.99983610559857194</v>
      </c>
      <c r="AE178">
        <f t="shared" si="82"/>
        <v>0.99999953996141666</v>
      </c>
      <c r="AF178">
        <f t="shared" si="83"/>
        <v>0.99999874923245602</v>
      </c>
    </row>
    <row r="179" spans="4:32" x14ac:dyDescent="0.3">
      <c r="D179" s="1">
        <f t="shared" si="63"/>
        <v>1.2156500664235139</v>
      </c>
      <c r="E179" s="1">
        <f t="shared" si="64"/>
        <v>6.0544301947998841E-3</v>
      </c>
      <c r="G179" s="1">
        <f t="shared" si="65"/>
        <v>81.883841414340353</v>
      </c>
      <c r="I179">
        <f t="shared" si="44"/>
        <v>177</v>
      </c>
      <c r="K179" s="1">
        <f t="shared" si="66"/>
        <v>0.99932444761699712</v>
      </c>
      <c r="L179" s="1">
        <f t="shared" si="67"/>
        <v>0.99867164920524221</v>
      </c>
      <c r="N179" s="1">
        <f t="shared" si="68"/>
        <v>0.55822845396109722</v>
      </c>
      <c r="O179" s="1">
        <f t="shared" si="69"/>
        <v>0.25658302968622676</v>
      </c>
      <c r="Q179" s="1">
        <f t="shared" si="70"/>
        <v>0.98908434124597511</v>
      </c>
      <c r="R179" s="1">
        <f t="shared" si="71"/>
        <v>0.98183836033049221</v>
      </c>
      <c r="S179" s="1">
        <f t="shared" si="72"/>
        <v>0.96353671314497191</v>
      </c>
      <c r="T179" s="1">
        <f t="shared" si="73"/>
        <v>0.94445241978258343</v>
      </c>
      <c r="U179" s="1">
        <f t="shared" si="74"/>
        <v>0.81102564582359926</v>
      </c>
      <c r="V179" s="1">
        <f t="shared" si="75"/>
        <v>0.75228002632560043</v>
      </c>
      <c r="W179" s="1"/>
      <c r="X179" s="6">
        <f t="shared" si="76"/>
        <v>0.30386108269053763</v>
      </c>
      <c r="Y179" s="6">
        <f t="shared" si="77"/>
        <v>6.2073827100113041E-2</v>
      </c>
      <c r="AA179">
        <f t="shared" si="78"/>
        <v>0.99999222027021417</v>
      </c>
      <c r="AB179">
        <f t="shared" si="79"/>
        <v>0.99998110692014175</v>
      </c>
      <c r="AC179">
        <f t="shared" si="80"/>
        <v>0.99993344047391786</v>
      </c>
      <c r="AD179">
        <f t="shared" si="81"/>
        <v>0.99985304848774725</v>
      </c>
      <c r="AE179">
        <f t="shared" si="82"/>
        <v>0.99999960197479876</v>
      </c>
      <c r="AF179">
        <f t="shared" si="83"/>
        <v>0.99999891190178891</v>
      </c>
    </row>
    <row r="180" spans="4:32" x14ac:dyDescent="0.3">
      <c r="D180" s="1">
        <f t="shared" si="63"/>
        <v>1.1438669621160109</v>
      </c>
      <c r="E180" s="1">
        <f t="shared" si="64"/>
        <v>5.4951728102098779E-3</v>
      </c>
      <c r="G180" s="1">
        <f t="shared" si="65"/>
        <v>82.883197973078339</v>
      </c>
      <c r="I180">
        <f t="shared" si="44"/>
        <v>178</v>
      </c>
      <c r="K180" s="1">
        <f t="shared" si="66"/>
        <v>0.99938765543624253</v>
      </c>
      <c r="L180" s="1">
        <f t="shared" si="67"/>
        <v>0.99878959005542756</v>
      </c>
      <c r="N180" s="1">
        <f t="shared" si="68"/>
        <v>0.55353089477929895</v>
      </c>
      <c r="O180" s="1">
        <f t="shared" si="69"/>
        <v>0.25157318788100952</v>
      </c>
      <c r="Q180" s="1">
        <f t="shared" si="70"/>
        <v>0.9898689587930164</v>
      </c>
      <c r="R180" s="1">
        <f t="shared" si="71"/>
        <v>0.98305840421344048</v>
      </c>
      <c r="S180" s="1">
        <f t="shared" si="72"/>
        <v>0.96573144603606076</v>
      </c>
      <c r="T180" s="1">
        <f t="shared" si="73"/>
        <v>0.94754038593030454</v>
      </c>
      <c r="U180" s="1">
        <f t="shared" si="74"/>
        <v>0.8185495198015037</v>
      </c>
      <c r="V180" s="1">
        <f t="shared" si="75"/>
        <v>0.76110180911749103</v>
      </c>
      <c r="W180" s="1"/>
      <c r="X180" s="6">
        <f t="shared" si="76"/>
        <v>0.30130405535010835</v>
      </c>
      <c r="Y180" s="6">
        <f t="shared" si="77"/>
        <v>6.0861821557905996E-2</v>
      </c>
      <c r="AA180">
        <f t="shared" si="78"/>
        <v>0.99999315529509114</v>
      </c>
      <c r="AB180">
        <f t="shared" si="79"/>
        <v>0.99998328774215062</v>
      </c>
      <c r="AC180">
        <f t="shared" si="80"/>
        <v>0.99994064733036092</v>
      </c>
      <c r="AD180">
        <f t="shared" si="81"/>
        <v>0.99986825803717749</v>
      </c>
      <c r="AE180">
        <f t="shared" si="82"/>
        <v>0.99999965561271098</v>
      </c>
      <c r="AF180">
        <f t="shared" si="83"/>
        <v>0.99999905339837203</v>
      </c>
    </row>
    <row r="181" spans="4:32" x14ac:dyDescent="0.3">
      <c r="D181" s="1">
        <f t="shared" si="63"/>
        <v>1.0760996106328022</v>
      </c>
      <c r="E181" s="1">
        <f t="shared" si="64"/>
        <v>4.9864948273453807E-3</v>
      </c>
      <c r="G181" s="1">
        <f t="shared" si="65"/>
        <v>83.88261478889909</v>
      </c>
      <c r="I181">
        <f t="shared" si="44"/>
        <v>179</v>
      </c>
      <c r="K181" s="1">
        <f t="shared" si="66"/>
        <v>0.99944505267187178</v>
      </c>
      <c r="L181" s="1">
        <f t="shared" si="67"/>
        <v>0.99889729219887735</v>
      </c>
      <c r="N181" s="1">
        <f t="shared" si="68"/>
        <v>0.54889885216250467</v>
      </c>
      <c r="O181" s="1">
        <f t="shared" si="69"/>
        <v>0.24668841394276292</v>
      </c>
      <c r="Q181" s="1">
        <f t="shared" si="70"/>
        <v>0.99059992844336053</v>
      </c>
      <c r="R181" s="1">
        <f t="shared" si="71"/>
        <v>0.98420143162456886</v>
      </c>
      <c r="S181" s="1">
        <f t="shared" si="72"/>
        <v>0.96780503483572899</v>
      </c>
      <c r="T181" s="1">
        <f t="shared" si="73"/>
        <v>0.95047434012449994</v>
      </c>
      <c r="U181" s="1">
        <f t="shared" si="74"/>
        <v>0.82584246962551267</v>
      </c>
      <c r="V181" s="1">
        <f t="shared" si="75"/>
        <v>0.76970100510521922</v>
      </c>
      <c r="W181" s="1"/>
      <c r="X181" s="6">
        <f t="shared" si="76"/>
        <v>0.29878269071055896</v>
      </c>
      <c r="Y181" s="6">
        <f t="shared" si="77"/>
        <v>5.9680073048518377E-2</v>
      </c>
      <c r="AA181">
        <f t="shared" si="78"/>
        <v>0.99999397816612157</v>
      </c>
      <c r="AB181">
        <f t="shared" si="79"/>
        <v>0.99998521779332084</v>
      </c>
      <c r="AC181">
        <f t="shared" si="80"/>
        <v>0.99994707945484318</v>
      </c>
      <c r="AD181">
        <f t="shared" si="81"/>
        <v>0.99988190905019114</v>
      </c>
      <c r="AE181">
        <f t="shared" si="82"/>
        <v>0.99999970200744115</v>
      </c>
      <c r="AF181">
        <f t="shared" si="83"/>
        <v>0.99999917647703618</v>
      </c>
    </row>
    <row r="182" spans="4:32" x14ac:dyDescent="0.3">
      <c r="D182" s="1">
        <f t="shared" si="63"/>
        <v>1.0121398158074939</v>
      </c>
      <c r="E182" s="1">
        <f t="shared" si="64"/>
        <v>4.5239561273804491E-3</v>
      </c>
      <c r="G182" s="1">
        <f t="shared" si="65"/>
        <v>84.882086315881011</v>
      </c>
      <c r="I182">
        <f t="shared" ref="I182:I202" si="84">+I181+1</f>
        <v>180</v>
      </c>
      <c r="K182" s="1">
        <f t="shared" si="66"/>
        <v>0.9994971607769646</v>
      </c>
      <c r="L182" s="1">
        <f t="shared" si="67"/>
        <v>0.99899561742269538</v>
      </c>
      <c r="N182" s="1">
        <f t="shared" si="68"/>
        <v>0.54433105395181747</v>
      </c>
      <c r="O182" s="1">
        <f t="shared" si="69"/>
        <v>0.24192491286747436</v>
      </c>
      <c r="Q182" s="1">
        <f t="shared" si="70"/>
        <v>0.99128065498736573</v>
      </c>
      <c r="R182" s="1">
        <f t="shared" si="71"/>
        <v>0.9852718565691857</v>
      </c>
      <c r="S182" s="1">
        <f t="shared" si="72"/>
        <v>0.96976325511509198</v>
      </c>
      <c r="T182" s="1">
        <f t="shared" si="73"/>
        <v>0.95326057958500188</v>
      </c>
      <c r="U182" s="1">
        <f t="shared" si="74"/>
        <v>0.83290728409305792</v>
      </c>
      <c r="V182" s="1">
        <f t="shared" si="75"/>
        <v>0.77807787035182041</v>
      </c>
      <c r="W182" s="1"/>
      <c r="X182" s="6">
        <f t="shared" si="76"/>
        <v>0.29629629629629645</v>
      </c>
      <c r="Y182" s="6">
        <f t="shared" si="77"/>
        <v>5.8527663465935083E-2</v>
      </c>
      <c r="AA182">
        <f t="shared" si="78"/>
        <v>0.9999947022861404</v>
      </c>
      <c r="AB182">
        <f t="shared" si="79"/>
        <v>0.9999869257386611</v>
      </c>
      <c r="AC182">
        <f t="shared" si="80"/>
        <v>0.99995281928586111</v>
      </c>
      <c r="AD182">
        <f t="shared" si="81"/>
        <v>0.99989415904426648</v>
      </c>
      <c r="AE182">
        <f t="shared" si="82"/>
        <v>0.99999974213821907</v>
      </c>
      <c r="AF182">
        <f t="shared" si="83"/>
        <v>0.99999928353478384</v>
      </c>
    </row>
    <row r="183" spans="4:32" x14ac:dyDescent="0.3">
      <c r="D183" s="1">
        <f t="shared" si="63"/>
        <v>0.95178900715470505</v>
      </c>
      <c r="E183" s="1">
        <f t="shared" si="64"/>
        <v>4.1034898415406029E-3</v>
      </c>
      <c r="G183" s="1">
        <f t="shared" si="65"/>
        <v>85.881607506601725</v>
      </c>
      <c r="I183">
        <f t="shared" si="84"/>
        <v>181</v>
      </c>
      <c r="K183" s="1">
        <f t="shared" si="66"/>
        <v>0.99954445594555819</v>
      </c>
      <c r="L183" s="1">
        <f t="shared" si="67"/>
        <v>0.99908535808201293</v>
      </c>
      <c r="N183" s="1">
        <f t="shared" si="68"/>
        <v>0.53982625957275177</v>
      </c>
      <c r="O183" s="1">
        <f t="shared" si="69"/>
        <v>0.23727902499458578</v>
      </c>
      <c r="Q183" s="1">
        <f t="shared" si="70"/>
        <v>0.99191435218401081</v>
      </c>
      <c r="R183" s="1">
        <f t="shared" si="71"/>
        <v>0.98627388046722464</v>
      </c>
      <c r="S183" s="1">
        <f t="shared" si="72"/>
        <v>0.97161168301939138</v>
      </c>
      <c r="T183" s="1">
        <f t="shared" si="73"/>
        <v>0.95590525353882849</v>
      </c>
      <c r="U183" s="1">
        <f t="shared" si="74"/>
        <v>0.83974701375622007</v>
      </c>
      <c r="V183" s="1">
        <f t="shared" si="75"/>
        <v>0.78623302827456643</v>
      </c>
      <c r="W183" s="1"/>
      <c r="X183" s="6">
        <f t="shared" si="76"/>
        <v>0.29384419682410334</v>
      </c>
      <c r="Y183" s="6">
        <f t="shared" si="77"/>
        <v>5.7403707447094443E-2</v>
      </c>
      <c r="AA183">
        <f t="shared" si="78"/>
        <v>0.99999533946553498</v>
      </c>
      <c r="AB183">
        <f t="shared" si="79"/>
        <v>0.99998843699460005</v>
      </c>
      <c r="AC183">
        <f t="shared" si="80"/>
        <v>0.99995794061233689</v>
      </c>
      <c r="AD183">
        <f t="shared" si="81"/>
        <v>0.99990514991466883</v>
      </c>
      <c r="AE183">
        <f t="shared" si="82"/>
        <v>0.99999977685187813</v>
      </c>
      <c r="AF183">
        <f t="shared" si="83"/>
        <v>0.9999993766571148</v>
      </c>
    </row>
    <row r="184" spans="4:32" x14ac:dyDescent="0.3">
      <c r="D184" s="1">
        <f t="shared" si="63"/>
        <v>0.89485787374790693</v>
      </c>
      <c r="E184" s="1">
        <f t="shared" si="64"/>
        <v>3.7213730021174452E-3</v>
      </c>
      <c r="G184" s="1">
        <f t="shared" si="65"/>
        <v>86.881173768775511</v>
      </c>
      <c r="I184">
        <f t="shared" si="84"/>
        <v>182</v>
      </c>
      <c r="K184" s="1">
        <f t="shared" si="66"/>
        <v>0.9995873728566792</v>
      </c>
      <c r="L184" s="1">
        <f t="shared" si="67"/>
        <v>0.99916724234037568</v>
      </c>
      <c r="N184" s="1">
        <f t="shared" si="68"/>
        <v>0.53538325908207707</v>
      </c>
      <c r="O184" s="1">
        <f t="shared" si="69"/>
        <v>0.23274722046799631</v>
      </c>
      <c r="Q184" s="1">
        <f t="shared" si="70"/>
        <v>0.99250405107707518</v>
      </c>
      <c r="R184" s="1">
        <f t="shared" si="71"/>
        <v>0.9872114986820959</v>
      </c>
      <c r="S184" s="1">
        <f t="shared" si="72"/>
        <v>0.97335569552092571</v>
      </c>
      <c r="T184" s="1">
        <f t="shared" si="73"/>
        <v>0.95841435726126489</v>
      </c>
      <c r="U184" s="1">
        <f t="shared" si="74"/>
        <v>0.846364948334006</v>
      </c>
      <c r="V184" s="1">
        <f t="shared" si="75"/>
        <v>0.79416744948019158</v>
      </c>
      <c r="W184" s="1"/>
      <c r="X184" s="6">
        <f t="shared" si="76"/>
        <v>0.29142573368430597</v>
      </c>
      <c r="Y184" s="6">
        <f t="shared" si="77"/>
        <v>5.630735103186689E-2</v>
      </c>
      <c r="AA184">
        <f t="shared" si="78"/>
        <v>0.99999590010986805</v>
      </c>
      <c r="AB184">
        <f t="shared" si="79"/>
        <v>0.99998977409274914</v>
      </c>
      <c r="AC184">
        <f t="shared" si="80"/>
        <v>0.99996250946377108</v>
      </c>
      <c r="AD184">
        <f t="shared" si="81"/>
        <v>0.99991500944400935</v>
      </c>
      <c r="AE184">
        <f t="shared" si="82"/>
        <v>0.99999980688073442</v>
      </c>
      <c r="AF184">
        <f t="shared" si="83"/>
        <v>0.99999945765838483</v>
      </c>
    </row>
    <row r="185" spans="4:32" x14ac:dyDescent="0.3">
      <c r="D185" s="1">
        <f t="shared" si="63"/>
        <v>0.84116600704250821</v>
      </c>
      <c r="E185" s="1">
        <f t="shared" si="64"/>
        <v>3.3741992508148216E-3</v>
      </c>
      <c r="G185" s="1">
        <f t="shared" si="65"/>
        <v>87.880780925489816</v>
      </c>
      <c r="I185">
        <f t="shared" si="84"/>
        <v>183</v>
      </c>
      <c r="K185" s="1">
        <f t="shared" si="66"/>
        <v>0.99962630813064068</v>
      </c>
      <c r="L185" s="1">
        <f t="shared" si="67"/>
        <v>0.99924193905490433</v>
      </c>
      <c r="N185" s="1">
        <f t="shared" si="68"/>
        <v>0.53100087224846948</v>
      </c>
      <c r="O185" s="1">
        <f t="shared" si="69"/>
        <v>0.22832609395258024</v>
      </c>
      <c r="Q185" s="1">
        <f t="shared" si="70"/>
        <v>0.99305260819058838</v>
      </c>
      <c r="R185" s="1">
        <f t="shared" si="71"/>
        <v>0.98808850722076658</v>
      </c>
      <c r="S185" s="1">
        <f t="shared" si="72"/>
        <v>0.97500047139999424</v>
      </c>
      <c r="T185" s="1">
        <f t="shared" si="73"/>
        <v>0.96079372718010714</v>
      </c>
      <c r="U185" s="1">
        <f t="shared" si="74"/>
        <v>0.8527645947326189</v>
      </c>
      <c r="V185" s="1">
        <f t="shared" si="75"/>
        <v>0.80188243158707029</v>
      </c>
      <c r="W185" s="1"/>
      <c r="X185" s="6">
        <f t="shared" si="76"/>
        <v>0.28904026444034381</v>
      </c>
      <c r="Y185" s="6">
        <f t="shared" si="77"/>
        <v>5.5237770384848763E-2</v>
      </c>
      <c r="AA185">
        <f t="shared" si="78"/>
        <v>0.99999639338565316</v>
      </c>
      <c r="AB185">
        <f t="shared" si="79"/>
        <v>0.99999095700360219</v>
      </c>
      <c r="AC185">
        <f t="shared" si="80"/>
        <v>0.99996658491120782</v>
      </c>
      <c r="AD185">
        <f t="shared" si="81"/>
        <v>0.9999238526712021</v>
      </c>
      <c r="AE185">
        <f t="shared" si="82"/>
        <v>0.99999983285805938</v>
      </c>
      <c r="AF185">
        <f t="shared" si="83"/>
        <v>0.99999952811696224</v>
      </c>
    </row>
    <row r="186" spans="4:32" x14ac:dyDescent="0.3">
      <c r="D186" s="1">
        <f t="shared" si="63"/>
        <v>0.79054155271054594</v>
      </c>
      <c r="E186" s="1">
        <f t="shared" si="64"/>
        <v>3.0588534916353716E-3</v>
      </c>
      <c r="G186" s="1">
        <f t="shared" si="65"/>
        <v>88.88042517876211</v>
      </c>
      <c r="I186">
        <f t="shared" si="84"/>
        <v>184</v>
      </c>
      <c r="K186" s="1">
        <f t="shared" si="66"/>
        <v>0.99966162351707299</v>
      </c>
      <c r="L186" s="1">
        <f t="shared" si="67"/>
        <v>0.99931006232564212</v>
      </c>
      <c r="N186" s="1">
        <f t="shared" si="68"/>
        <v>0.52667794766559684</v>
      </c>
      <c r="O186" s="1">
        <f t="shared" si="69"/>
        <v>0.22401235959311774</v>
      </c>
      <c r="Q186" s="1">
        <f t="shared" si="70"/>
        <v>0.99356271357629811</v>
      </c>
      <c r="R186" s="1">
        <f t="shared" si="71"/>
        <v>0.98890850955491405</v>
      </c>
      <c r="S186" s="1">
        <f t="shared" si="72"/>
        <v>0.97655099287958125</v>
      </c>
      <c r="T186" s="1">
        <f t="shared" si="73"/>
        <v>0.96304903696966071</v>
      </c>
      <c r="U186" s="1">
        <f t="shared" si="74"/>
        <v>0.85894965572685544</v>
      </c>
      <c r="V186" s="1">
        <f t="shared" si="75"/>
        <v>0.80937957912284775</v>
      </c>
      <c r="W186" s="1"/>
      <c r="X186" s="6">
        <f t="shared" si="76"/>
        <v>0.28668716234599445</v>
      </c>
      <c r="Y186" s="6">
        <f t="shared" si="77"/>
        <v>5.4194170575802357E-2</v>
      </c>
      <c r="AA186">
        <f t="shared" si="78"/>
        <v>0.99999682736678586</v>
      </c>
      <c r="AB186">
        <f t="shared" si="79"/>
        <v>0.99999200342448447</v>
      </c>
      <c r="AC186">
        <f t="shared" si="80"/>
        <v>0.99997021978761735</v>
      </c>
      <c r="AD186">
        <f t="shared" si="81"/>
        <v>0.99993178313222231</v>
      </c>
      <c r="AE186">
        <f t="shared" si="82"/>
        <v>0.99999985533146563</v>
      </c>
      <c r="AF186">
        <f t="shared" si="83"/>
        <v>0.99999958940584566</v>
      </c>
    </row>
    <row r="187" spans="4:32" x14ac:dyDescent="0.3">
      <c r="D187" s="1">
        <f t="shared" si="63"/>
        <v>0.74282087153890863</v>
      </c>
      <c r="E187" s="1">
        <f t="shared" si="64"/>
        <v>2.7724883779579601E-3</v>
      </c>
      <c r="G187" s="1">
        <f t="shared" si="65"/>
        <v>89.880103076158321</v>
      </c>
      <c r="I187">
        <f t="shared" si="84"/>
        <v>185</v>
      </c>
      <c r="K187" s="1">
        <f t="shared" si="66"/>
        <v>0.99969364883317147</v>
      </c>
      <c r="L187" s="1">
        <f t="shared" si="67"/>
        <v>0.99937217572801285</v>
      </c>
      <c r="N187" s="1">
        <f t="shared" si="68"/>
        <v>0.5224133618963217</v>
      </c>
      <c r="O187" s="1">
        <f t="shared" si="69"/>
        <v>0.21980284620327345</v>
      </c>
      <c r="Q187" s="1">
        <f t="shared" si="70"/>
        <v>0.99403689868994161</v>
      </c>
      <c r="R187" s="1">
        <f t="shared" si="71"/>
        <v>0.98967492351786079</v>
      </c>
      <c r="S187" s="1">
        <f t="shared" si="72"/>
        <v>0.97801204784344875</v>
      </c>
      <c r="T187" s="1">
        <f t="shared" si="73"/>
        <v>0.96518579456272835</v>
      </c>
      <c r="U187" s="1">
        <f t="shared" si="74"/>
        <v>0.8649240093479903</v>
      </c>
      <c r="V187" s="1">
        <f t="shared" si="75"/>
        <v>0.81666078357900596</v>
      </c>
      <c r="W187" s="1"/>
      <c r="X187" s="6">
        <f t="shared" si="76"/>
        <v>0.28436581587953708</v>
      </c>
      <c r="Y187" s="6">
        <f t="shared" si="77"/>
        <v>5.3175784415749806E-2</v>
      </c>
      <c r="AA187">
        <f t="shared" si="78"/>
        <v>0.99999720916385326</v>
      </c>
      <c r="AB187">
        <f t="shared" si="79"/>
        <v>0.99999292903561343</v>
      </c>
      <c r="AC187">
        <f t="shared" si="80"/>
        <v>0.99997346133551135</v>
      </c>
      <c r="AD187">
        <f t="shared" si="81"/>
        <v>0.99993889398406655</v>
      </c>
      <c r="AE187">
        <f t="shared" si="82"/>
        <v>0.99999987477448793</v>
      </c>
      <c r="AF187">
        <f t="shared" si="83"/>
        <v>0.99999964271932762</v>
      </c>
    </row>
    <row r="188" spans="4:32" x14ac:dyDescent="0.3">
      <c r="D188" s="1">
        <f t="shared" si="63"/>
        <v>0.69784820942757442</v>
      </c>
      <c r="E188" s="1">
        <f t="shared" si="64"/>
        <v>2.5125025255445174E-3</v>
      </c>
      <c r="G188" s="1">
        <f t="shared" si="65"/>
        <v>90.879811480232036</v>
      </c>
      <c r="I188">
        <f t="shared" si="84"/>
        <v>186</v>
      </c>
      <c r="K188" s="1">
        <f t="shared" si="66"/>
        <v>0.99972268466965442</v>
      </c>
      <c r="L188" s="1">
        <f t="shared" si="67"/>
        <v>0.9994287962467493</v>
      </c>
      <c r="N188" s="1">
        <f t="shared" si="68"/>
        <v>0.51820601864677351</v>
      </c>
      <c r="O188" s="1">
        <f t="shared" si="69"/>
        <v>0.21569449267295462</v>
      </c>
      <c r="Q188" s="1">
        <f t="shared" si="70"/>
        <v>0.99447754407681122</v>
      </c>
      <c r="R188" s="1">
        <f t="shared" si="71"/>
        <v>0.99039098823658189</v>
      </c>
      <c r="S188" s="1">
        <f t="shared" si="72"/>
        <v>0.97938823257128538</v>
      </c>
      <c r="T188" s="1">
        <f t="shared" si="73"/>
        <v>0.96720934001076908</v>
      </c>
      <c r="U188" s="1">
        <f t="shared" si="74"/>
        <v>0.87069168901611904</v>
      </c>
      <c r="V188" s="1">
        <f t="shared" si="75"/>
        <v>0.82372820369689137</v>
      </c>
      <c r="W188" s="1"/>
      <c r="X188" s="6">
        <f t="shared" si="76"/>
        <v>0.28207562829417349</v>
      </c>
      <c r="Y188" s="6">
        <f t="shared" si="77"/>
        <v>5.2181871345898669E-2</v>
      </c>
      <c r="AA188">
        <f t="shared" si="78"/>
        <v>0.99999754503829441</v>
      </c>
      <c r="AB188">
        <f t="shared" si="79"/>
        <v>0.99999374772772875</v>
      </c>
      <c r="AC188">
        <f t="shared" si="80"/>
        <v>0.99997635178888977</v>
      </c>
      <c r="AD188">
        <f t="shared" si="81"/>
        <v>0.99994526902238079</v>
      </c>
      <c r="AE188">
        <f t="shared" si="82"/>
        <v>0.9999998915966013</v>
      </c>
      <c r="AF188">
        <f t="shared" si="83"/>
        <v>0.9999996890962084</v>
      </c>
    </row>
    <row r="189" spans="4:32" x14ac:dyDescent="0.3">
      <c r="D189" s="1">
        <f t="shared" si="63"/>
        <v>0.65547537650855769</v>
      </c>
      <c r="E189" s="1">
        <f t="shared" si="64"/>
        <v>2.276520346920087E-3</v>
      </c>
      <c r="G189" s="1">
        <f t="shared" si="65"/>
        <v>91.879547540560608</v>
      </c>
      <c r="I189">
        <f t="shared" si="84"/>
        <v>187</v>
      </c>
      <c r="K189" s="1">
        <f t="shared" si="66"/>
        <v>0.99974900488095764</v>
      </c>
      <c r="L189" s="1">
        <f t="shared" si="67"/>
        <v>0.99948039792903931</v>
      </c>
      <c r="N189" s="1">
        <f t="shared" si="68"/>
        <v>0.51405484796908829</v>
      </c>
      <c r="O189" s="1">
        <f t="shared" si="69"/>
        <v>0.21168434358302701</v>
      </c>
      <c r="Q189" s="1">
        <f t="shared" si="70"/>
        <v>0.99488688685048099</v>
      </c>
      <c r="R189" s="1">
        <f t="shared" si="71"/>
        <v>0.99105977106241061</v>
      </c>
      <c r="S189" s="1">
        <f t="shared" si="72"/>
        <v>0.98068395492853289</v>
      </c>
      <c r="T189" s="1">
        <f t="shared" si="73"/>
        <v>0.96912484412460442</v>
      </c>
      <c r="U189" s="1">
        <f t="shared" si="74"/>
        <v>0.87625686444797513</v>
      </c>
      <c r="V189" s="1">
        <f t="shared" si="75"/>
        <v>0.83058424605291714</v>
      </c>
      <c r="W189" s="1"/>
      <c r="X189" s="6">
        <f t="shared" si="76"/>
        <v>0.27981601718405508</v>
      </c>
      <c r="Y189" s="6">
        <f t="shared" si="77"/>
        <v>5.1211716376732309E-2</v>
      </c>
      <c r="AA189">
        <f t="shared" si="78"/>
        <v>0.99999784050316154</v>
      </c>
      <c r="AB189">
        <f t="shared" si="79"/>
        <v>0.99999447180438839</v>
      </c>
      <c r="AC189">
        <f t="shared" si="80"/>
        <v>0.99997892889596274</v>
      </c>
      <c r="AD189">
        <f t="shared" si="81"/>
        <v>0.99995098360235535</v>
      </c>
      <c r="AE189">
        <f t="shared" si="82"/>
        <v>0.99999990615188639</v>
      </c>
      <c r="AF189">
        <f t="shared" si="83"/>
        <v>0.99999972944000659</v>
      </c>
    </row>
    <row r="190" spans="4:32" x14ac:dyDescent="0.3">
      <c r="D190" s="1">
        <f t="shared" si="63"/>
        <v>0.61556143539017949</v>
      </c>
      <c r="E190" s="1">
        <f t="shared" si="64"/>
        <v>2.0623734051065518E-3</v>
      </c>
      <c r="G190" s="1">
        <f t="shared" si="65"/>
        <v>92.879308668169642</v>
      </c>
      <c r="I190">
        <f t="shared" si="84"/>
        <v>188</v>
      </c>
      <c r="K190" s="1">
        <f t="shared" si="66"/>
        <v>0.99977285887523992</v>
      </c>
      <c r="L190" s="1">
        <f t="shared" si="67"/>
        <v>0.99952741527398037</v>
      </c>
      <c r="N190" s="1">
        <f t="shared" si="68"/>
        <v>0.50995880549167749</v>
      </c>
      <c r="O190" s="1">
        <f t="shared" si="69"/>
        <v>0.20776954501698044</v>
      </c>
      <c r="Q190" s="1">
        <f t="shared" si="70"/>
        <v>0.99526702795163335</v>
      </c>
      <c r="R190" s="1">
        <f t="shared" si="71"/>
        <v>0.99168417446811696</v>
      </c>
      <c r="S190" s="1">
        <f t="shared" si="72"/>
        <v>0.98190343795245727</v>
      </c>
      <c r="T190" s="1">
        <f t="shared" si="73"/>
        <v>0.97093730783045373</v>
      </c>
      <c r="U190" s="1">
        <f t="shared" si="74"/>
        <v>0.88162382336468625</v>
      </c>
      <c r="V190" s="1">
        <f t="shared" si="75"/>
        <v>0.8372315460039732</v>
      </c>
      <c r="W190" s="1"/>
      <c r="X190" s="6">
        <f t="shared" si="76"/>
        <v>0.27758641406529466</v>
      </c>
      <c r="Y190" s="6">
        <f t="shared" si="77"/>
        <v>5.0264629074747783E-2</v>
      </c>
      <c r="AA190">
        <f t="shared" si="78"/>
        <v>0.99999810041203363</v>
      </c>
      <c r="AB190">
        <f t="shared" si="79"/>
        <v>0.99999511216169357</v>
      </c>
      <c r="AC190">
        <f t="shared" si="80"/>
        <v>0.99998122638848497</v>
      </c>
      <c r="AD190">
        <f t="shared" si="81"/>
        <v>0.99995610547167835</v>
      </c>
      <c r="AE190">
        <f t="shared" si="82"/>
        <v>0.99999991874652439</v>
      </c>
      <c r="AF190">
        <f t="shared" si="83"/>
        <v>0.99999976453655037</v>
      </c>
    </row>
    <row r="191" spans="4:32" x14ac:dyDescent="0.3">
      <c r="D191" s="1">
        <f t="shared" si="63"/>
        <v>0.57797239851503956</v>
      </c>
      <c r="E191" s="1">
        <f t="shared" si="64"/>
        <v>1.8680831893839733E-3</v>
      </c>
      <c r="G191" s="1">
        <f t="shared" si="65"/>
        <v>93.879092512154102</v>
      </c>
      <c r="I191">
        <f t="shared" si="84"/>
        <v>189</v>
      </c>
      <c r="K191" s="1">
        <f t="shared" si="66"/>
        <v>0.99979447371885011</v>
      </c>
      <c r="L191" s="1">
        <f t="shared" si="67"/>
        <v>0.99957024637474512</v>
      </c>
      <c r="N191" s="1">
        <f t="shared" si="68"/>
        <v>0.50591687167593391</v>
      </c>
      <c r="O191" s="1">
        <f t="shared" si="69"/>
        <v>0.20394734055971128</v>
      </c>
      <c r="Q191" s="1">
        <f t="shared" si="70"/>
        <v>0.99561993917670844</v>
      </c>
      <c r="R191" s="1">
        <f t="shared" si="71"/>
        <v>0.99226694288282624</v>
      </c>
      <c r="S191" s="1">
        <f t="shared" si="72"/>
        <v>0.98305072377992153</v>
      </c>
      <c r="T191" s="1">
        <f t="shared" si="73"/>
        <v>0.97265156217864246</v>
      </c>
      <c r="U191" s="1">
        <f t="shared" si="74"/>
        <v>0.88679695401783565</v>
      </c>
      <c r="V191" s="1">
        <f t="shared" si="75"/>
        <v>0.84367294904761647</v>
      </c>
      <c r="W191" s="1"/>
      <c r="X191" s="6">
        <f t="shared" si="76"/>
        <v>0.27538626397136745</v>
      </c>
      <c r="Y191" s="6">
        <f t="shared" si="77"/>
        <v>4.9339942594461283E-2</v>
      </c>
      <c r="AA191">
        <f t="shared" si="78"/>
        <v>0.99999832903745822</v>
      </c>
      <c r="AB191">
        <f t="shared" si="79"/>
        <v>0.9999956784479187</v>
      </c>
      <c r="AC191">
        <f t="shared" si="80"/>
        <v>0.99998327440299228</v>
      </c>
      <c r="AD191">
        <f t="shared" si="81"/>
        <v>0.99996069552359523</v>
      </c>
      <c r="AE191">
        <f t="shared" si="82"/>
        <v>0.99999992964527851</v>
      </c>
      <c r="AF191">
        <f t="shared" si="83"/>
        <v>0.99999979506928915</v>
      </c>
    </row>
    <row r="192" spans="4:32" x14ac:dyDescent="0.3">
      <c r="D192" s="1">
        <f t="shared" si="63"/>
        <v>0.5425809346042314</v>
      </c>
      <c r="E192" s="1">
        <f t="shared" si="64"/>
        <v>1.6918452193797964E-3</v>
      </c>
      <c r="G192" s="1">
        <f t="shared" si="65"/>
        <v>94.878896938316402</v>
      </c>
      <c r="I192">
        <f t="shared" si="84"/>
        <v>190</v>
      </c>
      <c r="K192" s="1">
        <f t="shared" si="66"/>
        <v>0.99981405606901042</v>
      </c>
      <c r="L192" s="1">
        <f t="shared" si="67"/>
        <v>0.99960925582915661</v>
      </c>
      <c r="N192" s="1">
        <f t="shared" si="68"/>
        <v>0.50192805109833249</v>
      </c>
      <c r="O192" s="1">
        <f t="shared" si="69"/>
        <v>0.2002150674741271</v>
      </c>
      <c r="Q192" s="1">
        <f t="shared" si="70"/>
        <v>0.99594746996860029</v>
      </c>
      <c r="R192" s="1">
        <f t="shared" si="71"/>
        <v>0.99281066943977803</v>
      </c>
      <c r="S192" s="1">
        <f t="shared" si="72"/>
        <v>0.98412967786612215</v>
      </c>
      <c r="T192" s="1">
        <f t="shared" si="73"/>
        <v>0.97427226894502705</v>
      </c>
      <c r="U192" s="1">
        <f t="shared" si="74"/>
        <v>0.89178072854651314</v>
      </c>
      <c r="V192" s="1">
        <f t="shared" si="75"/>
        <v>0.84991149264534926</v>
      </c>
      <c r="W192" s="1"/>
      <c r="X192" s="6">
        <f t="shared" si="76"/>
        <v>0.27321502506233697</v>
      </c>
      <c r="Y192" s="6">
        <f t="shared" si="77"/>
        <v>4.8437012753433685E-2</v>
      </c>
      <c r="AA192">
        <f t="shared" si="78"/>
        <v>0.99999853014013873</v>
      </c>
      <c r="AB192">
        <f t="shared" si="79"/>
        <v>0.99999617920525152</v>
      </c>
      <c r="AC192">
        <f t="shared" si="80"/>
        <v>0.99998509985873074</v>
      </c>
      <c r="AD192">
        <f t="shared" si="81"/>
        <v>0.99996480847743163</v>
      </c>
      <c r="AE192">
        <f t="shared" si="82"/>
        <v>0.99999993907710005</v>
      </c>
      <c r="AF192">
        <f t="shared" si="83"/>
        <v>0.9999998216326178</v>
      </c>
    </row>
    <row r="193" spans="4:32" x14ac:dyDescent="0.3">
      <c r="D193" s="1">
        <f t="shared" si="63"/>
        <v>0.50926608414457153</v>
      </c>
      <c r="E193" s="1">
        <f t="shared" si="64"/>
        <v>1.5320143878594927E-3</v>
      </c>
      <c r="G193" s="1">
        <f t="shared" si="65"/>
        <v>95.878720009657044</v>
      </c>
      <c r="I193">
        <f t="shared" si="84"/>
        <v>191</v>
      </c>
      <c r="K193" s="1">
        <f t="shared" si="66"/>
        <v>0.99983179394760702</v>
      </c>
      <c r="L193" s="1">
        <f t="shared" si="67"/>
        <v>0.99964477743365376</v>
      </c>
      <c r="N193" s="1">
        <f t="shared" si="68"/>
        <v>0.49799137175692942</v>
      </c>
      <c r="O193" s="1">
        <f t="shared" si="69"/>
        <v>0.19657015304678557</v>
      </c>
      <c r="Q193" s="1">
        <f t="shared" si="70"/>
        <v>0.99625135396387532</v>
      </c>
      <c r="R193" s="1">
        <f t="shared" si="71"/>
        <v>0.99331780261519464</v>
      </c>
      <c r="S193" s="1">
        <f t="shared" si="72"/>
        <v>0.98514399344726145</v>
      </c>
      <c r="T193" s="1">
        <f t="shared" si="73"/>
        <v>0.97580392176795938</v>
      </c>
      <c r="U193" s="1">
        <f t="shared" si="74"/>
        <v>0.89657968717279202</v>
      </c>
      <c r="V193" s="1">
        <f t="shared" si="75"/>
        <v>0.85595038855127648</v>
      </c>
      <c r="W193" s="1"/>
      <c r="X193" s="6">
        <f t="shared" si="76"/>
        <v>0.2710721682473608</v>
      </c>
      <c r="Y193" s="6">
        <f t="shared" si="77"/>
        <v>4.7555217148189707E-2</v>
      </c>
      <c r="AA193">
        <f t="shared" si="78"/>
        <v>0.9999987070299482</v>
      </c>
      <c r="AB193">
        <f t="shared" si="79"/>
        <v>0.99999662199561778</v>
      </c>
      <c r="AC193">
        <f t="shared" si="80"/>
        <v>0.99998672679660605</v>
      </c>
      <c r="AD193">
        <f t="shared" si="81"/>
        <v>0.99996849349329919</v>
      </c>
      <c r="AE193">
        <f t="shared" si="82"/>
        <v>0.99999994723997498</v>
      </c>
      <c r="AF193">
        <f t="shared" si="83"/>
        <v>0.99999984474347148</v>
      </c>
    </row>
    <row r="194" spans="4:32" x14ac:dyDescent="0.3">
      <c r="D194" s="1">
        <f t="shared" si="63"/>
        <v>0.47791298386057601</v>
      </c>
      <c r="E194" s="1">
        <f t="shared" si="64"/>
        <v>1.3870914576098667E-3</v>
      </c>
      <c r="G194" s="1">
        <f t="shared" si="65"/>
        <v>96.878559968564517</v>
      </c>
      <c r="I194">
        <f t="shared" si="84"/>
        <v>192</v>
      </c>
      <c r="K194" s="1">
        <f t="shared" si="66"/>
        <v>0.99984785836815071</v>
      </c>
      <c r="L194" s="1">
        <f t="shared" si="67"/>
        <v>0.99967711667490622</v>
      </c>
      <c r="N194" s="1">
        <f t="shared" si="68"/>
        <v>0.49410588440130931</v>
      </c>
      <c r="O194" s="1">
        <f t="shared" si="69"/>
        <v>0.19301011109426147</v>
      </c>
      <c r="Q194" s="1">
        <f t="shared" si="70"/>
        <v>0.9965332152929931</v>
      </c>
      <c r="R194" s="1">
        <f t="shared" si="71"/>
        <v>0.99379065273955824</v>
      </c>
      <c r="S194" s="1">
        <f t="shared" si="72"/>
        <v>0.98609719620372616</v>
      </c>
      <c r="T194" s="1">
        <f t="shared" si="73"/>
        <v>0.97725084776646742</v>
      </c>
      <c r="U194" s="1">
        <f t="shared" si="74"/>
        <v>0.9011984232382525</v>
      </c>
      <c r="V194" s="1">
        <f t="shared" si="75"/>
        <v>0.8617930056826838</v>
      </c>
      <c r="W194" s="1"/>
      <c r="X194" s="6">
        <f t="shared" si="76"/>
        <v>0.26895717681995968</v>
      </c>
      <c r="Y194" s="6">
        <f t="shared" si="77"/>
        <v>4.669395430902077E-2</v>
      </c>
      <c r="AA194">
        <f t="shared" si="78"/>
        <v>0.99999886261972304</v>
      </c>
      <c r="AB194">
        <f t="shared" si="79"/>
        <v>0.9999970135123476</v>
      </c>
      <c r="AC194">
        <f t="shared" si="80"/>
        <v>0.99998817668307138</v>
      </c>
      <c r="AD194">
        <f t="shared" si="81"/>
        <v>0.9999717947271165</v>
      </c>
      <c r="AE194">
        <f t="shared" si="82"/>
        <v>0.99999995430511612</v>
      </c>
      <c r="AF194">
        <f t="shared" si="83"/>
        <v>0.99999986485141434</v>
      </c>
    </row>
    <row r="195" spans="4:32" x14ac:dyDescent="0.3">
      <c r="D195" s="1">
        <f t="shared" ref="D195:D202" si="85">IF(I195&gt;$B$6,I195*O195*(1-V195)-$B$4*EXP(-$B$2*$B$5)*N195*(1-U195),NA())</f>
        <v>0.4484126000980071</v>
      </c>
      <c r="E195" s="1">
        <f t="shared" ref="E195:E202" si="86">IF(I195&gt;$B$7,I195*(K195-AA195+Y195*(1-AD195))-$B$4*EXP(-$B$2*$B$5)*(L195-AB195+X195*(1-AC195)),NA())</f>
        <v>1.2557106309970534E-3</v>
      </c>
      <c r="G195" s="1">
        <f t="shared" ref="G195:G202" si="87">I195*K195-$B$4*EXP(-$B$2*$B$5)*L195</f>
        <v>97.878415220563241</v>
      </c>
      <c r="I195">
        <f t="shared" si="84"/>
        <v>193</v>
      </c>
      <c r="K195" s="1">
        <f t="shared" si="66"/>
        <v>0.99986240482717437</v>
      </c>
      <c r="L195" s="1">
        <f t="shared" si="67"/>
        <v>0.99970655303262235</v>
      </c>
      <c r="N195" s="1">
        <f t="shared" si="68"/>
        <v>0.4902706618850689</v>
      </c>
      <c r="O195" s="1">
        <f t="shared" si="69"/>
        <v>0.1895325386223789</v>
      </c>
      <c r="Q195" s="1">
        <f t="shared" si="70"/>
        <v>0.99679457463178966</v>
      </c>
      <c r="R195" s="1">
        <f t="shared" si="71"/>
        <v>0.99423139836538266</v>
      </c>
      <c r="S195" s="1">
        <f t="shared" si="72"/>
        <v>0.98699264908380424</v>
      </c>
      <c r="T195" s="1">
        <f t="shared" si="73"/>
        <v>0.97861720958820519</v>
      </c>
      <c r="U195" s="1">
        <f t="shared" si="74"/>
        <v>0.90564156907975901</v>
      </c>
      <c r="V195" s="1">
        <f t="shared" si="75"/>
        <v>0.86744285356359341</v>
      </c>
      <c r="W195" s="1"/>
      <c r="X195" s="6">
        <f t="shared" si="76"/>
        <v>0.26686954610555469</v>
      </c>
      <c r="Y195" s="6">
        <f t="shared" si="77"/>
        <v>4.585264289177024E-2</v>
      </c>
      <c r="AA195">
        <f t="shared" si="78"/>
        <v>0.99999899947268267</v>
      </c>
      <c r="AB195">
        <f t="shared" si="79"/>
        <v>0.99999735967925307</v>
      </c>
      <c r="AC195">
        <f t="shared" si="80"/>
        <v>0.99998946868248706</v>
      </c>
      <c r="AD195">
        <f t="shared" si="81"/>
        <v>0.99997475183153961</v>
      </c>
      <c r="AE195">
        <f t="shared" si="82"/>
        <v>0.99999996042058703</v>
      </c>
      <c r="AF195">
        <f t="shared" si="83"/>
        <v>0.99999988234741632</v>
      </c>
    </row>
    <row r="196" spans="4:32" x14ac:dyDescent="0.3">
      <c r="D196" s="1">
        <f t="shared" si="85"/>
        <v>0.42066147103228158</v>
      </c>
      <c r="E196" s="1">
        <f t="shared" si="86"/>
        <v>1.1366281167103573E-3</v>
      </c>
      <c r="G196" s="1">
        <f t="shared" si="87"/>
        <v>98.878284319490177</v>
      </c>
      <c r="I196">
        <f t="shared" si="84"/>
        <v>194</v>
      </c>
      <c r="K196" s="1">
        <f t="shared" si="66"/>
        <v>0.99987557467058197</v>
      </c>
      <c r="L196" s="1">
        <f t="shared" si="67"/>
        <v>0.99973334210637987</v>
      </c>
      <c r="N196" s="1">
        <f t="shared" si="68"/>
        <v>0.48648479853996784</v>
      </c>
      <c r="O196" s="1">
        <f t="shared" si="69"/>
        <v>0.18613511263087301</v>
      </c>
      <c r="Q196" s="1">
        <f t="shared" si="70"/>
        <v>0.99703685500405725</v>
      </c>
      <c r="R196" s="1">
        <f t="shared" si="71"/>
        <v>0.99464209247812252</v>
      </c>
      <c r="S196" s="1">
        <f t="shared" si="72"/>
        <v>0.98783355725130906</v>
      </c>
      <c r="T196" s="1">
        <f t="shared" si="73"/>
        <v>0.97990700783862217</v>
      </c>
      <c r="U196" s="1">
        <f t="shared" si="74"/>
        <v>0.90991378273870527</v>
      </c>
      <c r="V196" s="1">
        <f t="shared" si="75"/>
        <v>0.87290356636715671</v>
      </c>
      <c r="W196" s="1"/>
      <c r="X196" s="6">
        <f t="shared" si="76"/>
        <v>0.26480878312079825</v>
      </c>
      <c r="Y196" s="6">
        <f t="shared" si="77"/>
        <v>4.5030720904801473E-2</v>
      </c>
      <c r="AA196">
        <f t="shared" si="78"/>
        <v>0.99999911984422307</v>
      </c>
      <c r="AB196">
        <f t="shared" si="79"/>
        <v>0.99999766573851667</v>
      </c>
      <c r="AC196">
        <f t="shared" si="80"/>
        <v>0.99999061990114635</v>
      </c>
      <c r="AD196">
        <f t="shared" si="81"/>
        <v>0.99997740040789496</v>
      </c>
      <c r="AE196">
        <f t="shared" si="82"/>
        <v>0.99999996571443583</v>
      </c>
      <c r="AF196">
        <f t="shared" si="83"/>
        <v>0.99999989757148866</v>
      </c>
    </row>
    <row r="197" spans="4:32" x14ac:dyDescent="0.3">
      <c r="D197" s="1">
        <f t="shared" si="85"/>
        <v>0.39456145760136518</v>
      </c>
      <c r="E197" s="1">
        <f t="shared" si="86"/>
        <v>1.0287116206065886E-3</v>
      </c>
      <c r="G197" s="1">
        <f t="shared" si="87"/>
        <v>99.878165953978495</v>
      </c>
      <c r="I197">
        <f t="shared" si="84"/>
        <v>195</v>
      </c>
      <c r="K197" s="1">
        <f t="shared" si="66"/>
        <v>0.9998874963447375</v>
      </c>
      <c r="L197" s="1">
        <f t="shared" si="67"/>
        <v>0.99975771757861487</v>
      </c>
      <c r="N197" s="1">
        <f t="shared" si="68"/>
        <v>0.48274740957091467</v>
      </c>
      <c r="O197" s="1">
        <f t="shared" si="69"/>
        <v>0.18281558705644105</v>
      </c>
      <c r="Q197" s="1">
        <f t="shared" si="70"/>
        <v>0.99726138733643122</v>
      </c>
      <c r="R197" s="1">
        <f t="shared" si="71"/>
        <v>0.9950246685392018</v>
      </c>
      <c r="S197" s="1">
        <f t="shared" si="72"/>
        <v>0.98862297312366176</v>
      </c>
      <c r="T197" s="1">
        <f t="shared" si="73"/>
        <v>0.98112408384567318</v>
      </c>
      <c r="U197" s="1">
        <f t="shared" si="74"/>
        <v>0.91401973549433047</v>
      </c>
      <c r="V197" s="1">
        <f t="shared" si="75"/>
        <v>0.87817888757784934</v>
      </c>
      <c r="W197" s="1"/>
      <c r="X197" s="6">
        <f t="shared" si="76"/>
        <v>0.26277440624424564</v>
      </c>
      <c r="Y197" s="6">
        <f t="shared" si="77"/>
        <v>4.4227644969445687E-2</v>
      </c>
      <c r="AA197">
        <f t="shared" si="78"/>
        <v>0.99999922571874544</v>
      </c>
      <c r="AB197">
        <f t="shared" si="79"/>
        <v>0.99999793632863609</v>
      </c>
      <c r="AC197">
        <f t="shared" si="80"/>
        <v>0.99999164560584664</v>
      </c>
      <c r="AD197">
        <f t="shared" si="81"/>
        <v>0.99997977241375424</v>
      </c>
      <c r="AE197">
        <f t="shared" si="82"/>
        <v>0.99999997029740462</v>
      </c>
      <c r="AF197">
        <f t="shared" si="83"/>
        <v>0.99999991081932615</v>
      </c>
    </row>
    <row r="198" spans="4:32" x14ac:dyDescent="0.3">
      <c r="D198" s="1">
        <f t="shared" si="85"/>
        <v>0.37001950305080289</v>
      </c>
      <c r="E198" s="1">
        <f t="shared" si="86"/>
        <v>9.3093069361109212E-4</v>
      </c>
      <c r="G198" s="1">
        <f t="shared" si="87"/>
        <v>100.87805893513934</v>
      </c>
      <c r="I198">
        <f t="shared" si="84"/>
        <v>196</v>
      </c>
      <c r="K198" s="1">
        <f t="shared" si="66"/>
        <v>0.999898286541408</v>
      </c>
      <c r="L198" s="1">
        <f t="shared" si="67"/>
        <v>0.99977989302522097</v>
      </c>
      <c r="N198" s="1">
        <f t="shared" si="68"/>
        <v>0.47905763047099087</v>
      </c>
      <c r="O198" s="1">
        <f t="shared" si="69"/>
        <v>0.17957178984751843</v>
      </c>
      <c r="Q198" s="1">
        <f t="shared" si="70"/>
        <v>0.99746941576799508</v>
      </c>
      <c r="R198" s="1">
        <f t="shared" si="71"/>
        <v>0.9953809463522717</v>
      </c>
      <c r="S198" s="1">
        <f t="shared" si="72"/>
        <v>0.98936380147001846</v>
      </c>
      <c r="T198" s="1">
        <f t="shared" si="73"/>
        <v>0.98227212271724651</v>
      </c>
      <c r="U198" s="1">
        <f t="shared" si="74"/>
        <v>0.9179641002084874</v>
      </c>
      <c r="V198" s="1">
        <f t="shared" si="75"/>
        <v>0.88327265528982668</v>
      </c>
      <c r="W198" s="1"/>
      <c r="X198" s="6">
        <f t="shared" si="76"/>
        <v>0.26076594489793475</v>
      </c>
      <c r="Y198" s="6">
        <f t="shared" si="77"/>
        <v>4.3442889612317334E-2</v>
      </c>
      <c r="AA198">
        <f t="shared" si="78"/>
        <v>0.99999931884210436</v>
      </c>
      <c r="AB198">
        <f t="shared" si="79"/>
        <v>0.99999817555353543</v>
      </c>
      <c r="AC198">
        <f t="shared" si="80"/>
        <v>0.99999255941960186</v>
      </c>
      <c r="AD198">
        <f t="shared" si="81"/>
        <v>0.99998189653037295</v>
      </c>
      <c r="AE198">
        <f t="shared" si="82"/>
        <v>0.99999997426527187</v>
      </c>
      <c r="AF198">
        <f t="shared" si="83"/>
        <v>0.99999992234808455</v>
      </c>
    </row>
    <row r="199" spans="4:32" x14ac:dyDescent="0.3">
      <c r="D199" s="1">
        <f t="shared" si="85"/>
        <v>0.3469474009665996</v>
      </c>
      <c r="E199" s="1">
        <f t="shared" si="86"/>
        <v>8.423478724824407E-4</v>
      </c>
      <c r="G199" s="1">
        <f t="shared" si="87"/>
        <v>101.8779621853385</v>
      </c>
      <c r="I199">
        <f t="shared" si="84"/>
        <v>197</v>
      </c>
      <c r="K199" s="1">
        <f t="shared" si="66"/>
        <v>0.99990805124502191</v>
      </c>
      <c r="L199" s="1">
        <f t="shared" si="67"/>
        <v>0.9998000635845492</v>
      </c>
      <c r="N199" s="1">
        <f t="shared" si="68"/>
        <v>0.47541461645575184</v>
      </c>
      <c r="O199" s="1">
        <f t="shared" si="69"/>
        <v>0.17640162016446767</v>
      </c>
      <c r="Q199" s="1">
        <f t="shared" si="70"/>
        <v>0.99766210271805067</v>
      </c>
      <c r="R199" s="1">
        <f t="shared" si="71"/>
        <v>0.99571263774573926</v>
      </c>
      <c r="S199" s="1">
        <f t="shared" si="72"/>
        <v>0.99005880454191209</v>
      </c>
      <c r="T199" s="1">
        <f t="shared" si="73"/>
        <v>0.98335465665128052</v>
      </c>
      <c r="U199" s="1">
        <f t="shared" si="74"/>
        <v>0.92175154046637464</v>
      </c>
      <c r="V199" s="1">
        <f t="shared" si="75"/>
        <v>0.88818878815350111</v>
      </c>
      <c r="W199" s="1"/>
      <c r="X199" s="6">
        <f t="shared" si="76"/>
        <v>0.25878293923945839</v>
      </c>
      <c r="Y199" s="6">
        <f t="shared" si="77"/>
        <v>4.2675946587970158E-2</v>
      </c>
      <c r="AA199">
        <f t="shared" si="78"/>
        <v>0.99999940075019156</v>
      </c>
      <c r="AB199">
        <f t="shared" si="79"/>
        <v>0.99999838704383237</v>
      </c>
      <c r="AC199">
        <f t="shared" si="80"/>
        <v>0.99999337349683859</v>
      </c>
      <c r="AD199">
        <f t="shared" si="81"/>
        <v>0.99998379849382579</v>
      </c>
      <c r="AE199">
        <f t="shared" si="82"/>
        <v>0.99999997770087778</v>
      </c>
      <c r="AF199">
        <f t="shared" si="83"/>
        <v>0.99999993238140494</v>
      </c>
    </row>
    <row r="200" spans="4:32" x14ac:dyDescent="0.3">
      <c r="D200" s="1">
        <f t="shared" si="85"/>
        <v>0.32526157166139846</v>
      </c>
      <c r="E200" s="1">
        <f t="shared" si="86"/>
        <v>7.6211055348618037E-4</v>
      </c>
      <c r="G200" s="1">
        <f t="shared" si="87"/>
        <v>102.87787472797504</v>
      </c>
      <c r="I200">
        <f t="shared" si="84"/>
        <v>198</v>
      </c>
      <c r="K200" s="1">
        <f t="shared" si="66"/>
        <v>0.99991688669009959</v>
      </c>
      <c r="L200" s="1">
        <f t="shared" si="67"/>
        <v>0.99981840749495532</v>
      </c>
      <c r="N200" s="1">
        <f t="shared" si="68"/>
        <v>0.47181754191607467</v>
      </c>
      <c r="O200" s="1">
        <f t="shared" si="69"/>
        <v>0.17330304569920096</v>
      </c>
      <c r="Q200" s="1">
        <f t="shared" si="70"/>
        <v>0.99784053371638637</v>
      </c>
      <c r="R200" s="1">
        <f t="shared" si="71"/>
        <v>0.99602135206635323</v>
      </c>
      <c r="S200" s="1">
        <f t="shared" si="72"/>
        <v>0.99071060721160209</v>
      </c>
      <c r="T200" s="1">
        <f t="shared" si="73"/>
        <v>0.98437506846128353</v>
      </c>
      <c r="U200" s="1">
        <f t="shared" si="74"/>
        <v>0.92538670049523342</v>
      </c>
      <c r="V200" s="1">
        <f t="shared" si="75"/>
        <v>0.89293127197839894</v>
      </c>
      <c r="W200" s="1"/>
      <c r="X200" s="6">
        <f t="shared" si="76"/>
        <v>0.25682493986413268</v>
      </c>
      <c r="Y200" s="6">
        <f t="shared" si="77"/>
        <v>4.1926324230447135E-2</v>
      </c>
      <c r="AA200">
        <f t="shared" si="78"/>
        <v>0.99999947279411305</v>
      </c>
      <c r="AB200">
        <f t="shared" si="79"/>
        <v>0.99999857401113967</v>
      </c>
      <c r="AC200">
        <f t="shared" si="80"/>
        <v>0.99999409868018052</v>
      </c>
      <c r="AD200">
        <f t="shared" si="81"/>
        <v>0.9999855013933272</v>
      </c>
      <c r="AE200">
        <f t="shared" si="82"/>
        <v>0.99999998067587514</v>
      </c>
      <c r="AF200">
        <f t="shared" si="83"/>
        <v>0.99999994111378476</v>
      </c>
    </row>
    <row r="201" spans="4:32" x14ac:dyDescent="0.3">
      <c r="D201" s="1">
        <f t="shared" si="85"/>
        <v>0.3048828467692255</v>
      </c>
      <c r="E201" s="1">
        <f t="shared" si="86"/>
        <v>6.8944354354691546E-4</v>
      </c>
      <c r="G201" s="1">
        <f t="shared" si="87"/>
        <v>103.87779567817533</v>
      </c>
      <c r="I201">
        <f t="shared" si="84"/>
        <v>199</v>
      </c>
      <c r="K201" s="1">
        <f t="shared" si="66"/>
        <v>0.99992488023613935</v>
      </c>
      <c r="L201" s="1">
        <f t="shared" si="67"/>
        <v>0.99983508751042638</v>
      </c>
      <c r="N201" s="1">
        <f t="shared" si="68"/>
        <v>0.46826559988885602</v>
      </c>
      <c r="O201" s="1">
        <f t="shared" si="69"/>
        <v>0.17027410010857114</v>
      </c>
      <c r="Q201" s="1">
        <f t="shared" si="70"/>
        <v>0.99800572200112558</v>
      </c>
      <c r="R201" s="1">
        <f t="shared" si="71"/>
        <v>0.99630860148020184</v>
      </c>
      <c r="S201" s="1">
        <f t="shared" si="72"/>
        <v>0.99132170209589399</v>
      </c>
      <c r="T201" s="1">
        <f t="shared" si="73"/>
        <v>0.98533659528263384</v>
      </c>
      <c r="U201" s="1">
        <f t="shared" si="74"/>
        <v>0.92887419584081932</v>
      </c>
      <c r="V201" s="1">
        <f t="shared" si="75"/>
        <v>0.89750414699666248</v>
      </c>
      <c r="W201" s="1"/>
      <c r="X201" s="6">
        <f t="shared" si="76"/>
        <v>0.25489150751688106</v>
      </c>
      <c r="Y201" s="6">
        <f t="shared" si="77"/>
        <v>4.1193546832353711E-2</v>
      </c>
      <c r="AA201">
        <f t="shared" si="78"/>
        <v>0.99999953616236148</v>
      </c>
      <c r="AB201">
        <f t="shared" si="79"/>
        <v>0.99999873929618577</v>
      </c>
      <c r="AC201">
        <f t="shared" si="80"/>
        <v>0.99999474464072025</v>
      </c>
      <c r="AD201">
        <f t="shared" si="81"/>
        <v>0.99998702593989919</v>
      </c>
      <c r="AE201">
        <f t="shared" si="82"/>
        <v>0.99999998325224315</v>
      </c>
      <c r="AF201">
        <f t="shared" si="83"/>
        <v>0.99999994871437803</v>
      </c>
    </row>
    <row r="202" spans="4:32" x14ac:dyDescent="0.3">
      <c r="D202" s="1">
        <f t="shared" si="85"/>
        <v>0.28573626189559631</v>
      </c>
      <c r="E202" s="1">
        <f t="shared" si="86"/>
        <v>6.2364223600323322E-4</v>
      </c>
      <c r="G202" s="1">
        <f t="shared" si="87"/>
        <v>104.87772423432371</v>
      </c>
      <c r="I202">
        <f t="shared" si="84"/>
        <v>200</v>
      </c>
      <c r="K202" s="1">
        <f t="shared" si="66"/>
        <v>0.99993211116670055</v>
      </c>
      <c r="L202" s="1">
        <f t="shared" si="67"/>
        <v>0.99985025220322132</v>
      </c>
      <c r="N202" s="1">
        <f t="shared" si="68"/>
        <v>0.46475800154489011</v>
      </c>
      <c r="O202" s="1">
        <f t="shared" si="69"/>
        <v>0.16731288055616045</v>
      </c>
      <c r="Q202" s="1">
        <f t="shared" si="70"/>
        <v>0.99815861288986252</v>
      </c>
      <c r="R202" s="1">
        <f t="shared" si="71"/>
        <v>0.99657580607887775</v>
      </c>
      <c r="S202" s="1">
        <f t="shared" si="72"/>
        <v>0.9918944546456071</v>
      </c>
      <c r="T202" s="1">
        <f t="shared" si="73"/>
        <v>0.98624233242762038</v>
      </c>
      <c r="U202" s="1">
        <f t="shared" si="74"/>
        <v>0.93221860477958485</v>
      </c>
      <c r="V202" s="1">
        <f t="shared" si="75"/>
        <v>0.90191149578814833</v>
      </c>
      <c r="W202" s="1"/>
      <c r="X202" s="6">
        <f t="shared" si="76"/>
        <v>0.2529822128134705</v>
      </c>
      <c r="Y202" s="6">
        <f t="shared" si="77"/>
        <v>4.0477154050155284E-2</v>
      </c>
      <c r="AA202">
        <f t="shared" si="78"/>
        <v>0.99999959190033982</v>
      </c>
      <c r="AB202">
        <f t="shared" si="79"/>
        <v>0.99999888541144788</v>
      </c>
      <c r="AC202">
        <f t="shared" si="80"/>
        <v>0.99999532000348512</v>
      </c>
      <c r="AD202">
        <f t="shared" si="81"/>
        <v>0.99998839070825851</v>
      </c>
      <c r="AE202">
        <f t="shared" si="82"/>
        <v>0.99999998548359625</v>
      </c>
      <c r="AF202">
        <f t="shared" si="83"/>
        <v>0.99999995533030095</v>
      </c>
    </row>
    <row r="203" spans="4:32" x14ac:dyDescent="0.3">
      <c r="I203"/>
    </row>
    <row r="204" spans="4:32" x14ac:dyDescent="0.3">
      <c r="I204"/>
    </row>
    <row r="205" spans="4:32" x14ac:dyDescent="0.3">
      <c r="I205"/>
    </row>
    <row r="206" spans="4:32" x14ac:dyDescent="0.3">
      <c r="I20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UIP</vt:lpstr>
      <vt:lpstr>UOP</vt:lpstr>
      <vt:lpstr>DIP</vt:lpstr>
      <vt:lpstr>DOP</vt:lpstr>
      <vt:lpstr>DIC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Gega Mukhigulashvili</dc:creator>
  <cp:lastModifiedBy>Gega Mukhigulashvili</cp:lastModifiedBy>
  <dcterms:created xsi:type="dcterms:W3CDTF">2015-06-05T18:17:20Z</dcterms:created>
  <dcterms:modified xsi:type="dcterms:W3CDTF">2026-04-13T18:31:30Z</dcterms:modified>
</cp:coreProperties>
</file>