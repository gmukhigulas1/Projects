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CTF\"/>
    </mc:Choice>
  </mc:AlternateContent>
  <xr:revisionPtr revIDLastSave="0" documentId="13_ncr:1_{8E9E307A-4B7F-4A52-8486-9C2D73F49C15}" xr6:coauthVersionLast="47" xr6:coauthVersionMax="47" xr10:uidLastSave="{00000000-0000-0000-0000-000000000000}"/>
  <bookViews>
    <workbookView xWindow="22932" yWindow="-108" windowWidth="19416" windowHeight="10296" firstSheet="1" activeTab="2" xr2:uid="{00000000-000D-0000-FFFF-FFFF00000000}"/>
  </bookViews>
  <sheets>
    <sheet name="pg50" sheetId="1" r:id="rId1"/>
    <sheet name="Delta" sheetId="2" r:id="rId2"/>
    <sheet name="Gamma" sheetId="3" r:id="rId3"/>
    <sheet name="Theta" sheetId="4" r:id="rId4"/>
    <sheet name="Vega" sheetId="5" r:id="rId5"/>
    <sheet name="Rho" sheetId="6" r:id="rId6"/>
    <sheet name="Answer Report 1" sheetId="8" r:id="rId7"/>
    <sheet name="Implied Volatility" sheetId="7" r:id="rId8"/>
    <sheet name="Exercises" sheetId="9" r:id="rId9"/>
  </sheets>
  <definedNames>
    <definedName name="solver_adj" localSheetId="7" hidden="1">'Implied Volatility'!$C$22</definedName>
    <definedName name="solver_cvg" localSheetId="7" hidden="1">0.0001</definedName>
    <definedName name="solver_drv" localSheetId="7" hidden="1">2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'Implied Volatility'!$C$22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1</definedName>
    <definedName name="solver_nwt" localSheetId="7" hidden="1">1</definedName>
    <definedName name="solver_opt" localSheetId="7" hidden="1">'Implied Volatility'!$C$21</definedName>
    <definedName name="solver_pre" localSheetId="7" hidden="1">0.000001</definedName>
    <definedName name="solver_rbv" localSheetId="7" hidden="1">2</definedName>
    <definedName name="solver_rel1" localSheetId="7" hidden="1">3</definedName>
    <definedName name="solver_rhs1" localSheetId="7" hidden="1">0</definedName>
    <definedName name="solver_rlx" localSheetId="7" hidden="1">2</definedName>
    <definedName name="solver_rsd" localSheetId="7" hidden="1">0</definedName>
    <definedName name="solver_scl" localSheetId="7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0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3" l="1"/>
  <c r="M14" i="9"/>
  <c r="M13" i="9"/>
  <c r="D9" i="9"/>
  <c r="D12" i="9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14" i="7"/>
  <c r="K4" i="9" l="1"/>
  <c r="K5" i="9" s="1"/>
  <c r="D15" i="9"/>
  <c r="D10" i="9"/>
  <c r="AU20" i="7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E20" i="7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D20" i="7"/>
  <c r="C18" i="7"/>
  <c r="B9" i="7"/>
  <c r="D16" i="7"/>
  <c r="D18" i="7" s="1"/>
  <c r="R113" i="6"/>
  <c r="Q113" i="6"/>
  <c r="R112" i="6"/>
  <c r="Q112" i="6"/>
  <c r="R111" i="6"/>
  <c r="Q111" i="6"/>
  <c r="R110" i="6"/>
  <c r="Q110" i="6"/>
  <c r="R109" i="6"/>
  <c r="Q109" i="6"/>
  <c r="R108" i="6"/>
  <c r="Q108" i="6"/>
  <c r="R107" i="6"/>
  <c r="Q107" i="6"/>
  <c r="R106" i="6"/>
  <c r="Q106" i="6"/>
  <c r="R105" i="6"/>
  <c r="Q105" i="6"/>
  <c r="R104" i="6"/>
  <c r="Q104" i="6"/>
  <c r="R103" i="6"/>
  <c r="Q103" i="6"/>
  <c r="R102" i="6"/>
  <c r="Q102" i="6"/>
  <c r="R101" i="6"/>
  <c r="Q101" i="6"/>
  <c r="R100" i="6"/>
  <c r="Q100" i="6"/>
  <c r="R99" i="6"/>
  <c r="Q99" i="6"/>
  <c r="R98" i="6"/>
  <c r="Q98" i="6"/>
  <c r="R97" i="6"/>
  <c r="Q97" i="6"/>
  <c r="R96" i="6"/>
  <c r="Q96" i="6"/>
  <c r="R95" i="6"/>
  <c r="Q95" i="6"/>
  <c r="R94" i="6"/>
  <c r="Q94" i="6"/>
  <c r="R93" i="6"/>
  <c r="Q93" i="6"/>
  <c r="R92" i="6"/>
  <c r="Q92" i="6"/>
  <c r="R91" i="6"/>
  <c r="Q91" i="6"/>
  <c r="R90" i="6"/>
  <c r="Q90" i="6"/>
  <c r="R89" i="6"/>
  <c r="Q89" i="6"/>
  <c r="R88" i="6"/>
  <c r="Q88" i="6"/>
  <c r="R87" i="6"/>
  <c r="Q87" i="6"/>
  <c r="R86" i="6"/>
  <c r="Q86" i="6"/>
  <c r="R85" i="6"/>
  <c r="Q85" i="6"/>
  <c r="R84" i="6"/>
  <c r="Q84" i="6"/>
  <c r="R83" i="6"/>
  <c r="Q83" i="6"/>
  <c r="R82" i="6"/>
  <c r="Q82" i="6"/>
  <c r="R81" i="6"/>
  <c r="Q81" i="6"/>
  <c r="R80" i="6"/>
  <c r="Q80" i="6"/>
  <c r="R79" i="6"/>
  <c r="Q79" i="6"/>
  <c r="R78" i="6"/>
  <c r="Q78" i="6"/>
  <c r="R77" i="6"/>
  <c r="Q77" i="6"/>
  <c r="R76" i="6"/>
  <c r="Q76" i="6"/>
  <c r="R75" i="6"/>
  <c r="Q75" i="6"/>
  <c r="R74" i="6"/>
  <c r="Q74" i="6"/>
  <c r="R73" i="6"/>
  <c r="Q73" i="6"/>
  <c r="R72" i="6"/>
  <c r="Q72" i="6"/>
  <c r="R71" i="6"/>
  <c r="Q71" i="6"/>
  <c r="R70" i="6"/>
  <c r="Q70" i="6"/>
  <c r="R69" i="6"/>
  <c r="Q69" i="6"/>
  <c r="R68" i="6"/>
  <c r="Q68" i="6"/>
  <c r="R67" i="6"/>
  <c r="Q67" i="6"/>
  <c r="R66" i="6"/>
  <c r="Q66" i="6"/>
  <c r="R65" i="6"/>
  <c r="Q65" i="6"/>
  <c r="R64" i="6"/>
  <c r="Q64" i="6"/>
  <c r="R63" i="6"/>
  <c r="Q63" i="6"/>
  <c r="R62" i="6"/>
  <c r="Q62" i="6"/>
  <c r="R61" i="6"/>
  <c r="Q61" i="6"/>
  <c r="R60" i="6"/>
  <c r="Q60" i="6"/>
  <c r="R59" i="6"/>
  <c r="Q59" i="6"/>
  <c r="R58" i="6"/>
  <c r="Q58" i="6"/>
  <c r="R57" i="6"/>
  <c r="Q57" i="6"/>
  <c r="R56" i="6"/>
  <c r="Q56" i="6"/>
  <c r="R55" i="6"/>
  <c r="Q55" i="6"/>
  <c r="R54" i="6"/>
  <c r="Q54" i="6"/>
  <c r="R53" i="6"/>
  <c r="Q53" i="6"/>
  <c r="R52" i="6"/>
  <c r="Q52" i="6"/>
  <c r="R51" i="6"/>
  <c r="Q51" i="6"/>
  <c r="R50" i="6"/>
  <c r="Q50" i="6"/>
  <c r="R49" i="6"/>
  <c r="Q49" i="6"/>
  <c r="R48" i="6"/>
  <c r="Q48" i="6"/>
  <c r="R47" i="6"/>
  <c r="Q47" i="6"/>
  <c r="R46" i="6"/>
  <c r="Q46" i="6"/>
  <c r="R45" i="6"/>
  <c r="Q45" i="6"/>
  <c r="R44" i="6"/>
  <c r="Q44" i="6"/>
  <c r="R43" i="6"/>
  <c r="Q43" i="6"/>
  <c r="R42" i="6"/>
  <c r="Q42" i="6"/>
  <c r="R41" i="6"/>
  <c r="Q41" i="6"/>
  <c r="R40" i="6"/>
  <c r="Q40" i="6"/>
  <c r="R39" i="6"/>
  <c r="Q39" i="6"/>
  <c r="R38" i="6"/>
  <c r="Q38" i="6"/>
  <c r="R37" i="6"/>
  <c r="Q37" i="6"/>
  <c r="R36" i="6"/>
  <c r="Q36" i="6"/>
  <c r="R35" i="6"/>
  <c r="Q35" i="6"/>
  <c r="R34" i="6"/>
  <c r="Q34" i="6"/>
  <c r="R33" i="6"/>
  <c r="Q33" i="6"/>
  <c r="R32" i="6"/>
  <c r="Q32" i="6"/>
  <c r="R31" i="6"/>
  <c r="Q31" i="6"/>
  <c r="R30" i="6"/>
  <c r="Q30" i="6"/>
  <c r="R29" i="6"/>
  <c r="Q29" i="6"/>
  <c r="R28" i="6"/>
  <c r="Q28" i="6"/>
  <c r="R27" i="6"/>
  <c r="Q27" i="6"/>
  <c r="R26" i="6"/>
  <c r="Q26" i="6"/>
  <c r="R25" i="6"/>
  <c r="Q25" i="6"/>
  <c r="R24" i="6"/>
  <c r="Q24" i="6"/>
  <c r="R23" i="6"/>
  <c r="Q23" i="6"/>
  <c r="R22" i="6"/>
  <c r="Q22" i="6"/>
  <c r="R21" i="6"/>
  <c r="Q21" i="6"/>
  <c r="R20" i="6"/>
  <c r="Q20" i="6"/>
  <c r="R19" i="6"/>
  <c r="Q19" i="6"/>
  <c r="R18" i="6"/>
  <c r="Q18" i="6"/>
  <c r="R17" i="6"/>
  <c r="Q17" i="6"/>
  <c r="R16" i="6"/>
  <c r="Q16" i="6"/>
  <c r="R15" i="6"/>
  <c r="Q15" i="6"/>
  <c r="R14" i="6"/>
  <c r="Q14" i="6"/>
  <c r="R13" i="6"/>
  <c r="Q13" i="6"/>
  <c r="R12" i="6"/>
  <c r="Q12" i="6"/>
  <c r="R11" i="6"/>
  <c r="Q11" i="6"/>
  <c r="R10" i="6"/>
  <c r="Q10" i="6"/>
  <c r="R9" i="6"/>
  <c r="Q9" i="6"/>
  <c r="R8" i="6"/>
  <c r="Q8" i="6"/>
  <c r="R7" i="6"/>
  <c r="Q7" i="6"/>
  <c r="R6" i="6"/>
  <c r="Q6" i="6"/>
  <c r="R5" i="6"/>
  <c r="Q5" i="6"/>
  <c r="R4" i="6"/>
  <c r="Q4" i="6"/>
  <c r="R3" i="6"/>
  <c r="Q3" i="6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5" i="6"/>
  <c r="P4" i="6"/>
  <c r="I3" i="6"/>
  <c r="H3" i="6"/>
  <c r="G4" i="6"/>
  <c r="H4" i="6" s="1"/>
  <c r="G3" i="6"/>
  <c r="R113" i="4"/>
  <c r="Q113" i="4"/>
  <c r="R112" i="4"/>
  <c r="Q112" i="4"/>
  <c r="R111" i="4"/>
  <c r="Q111" i="4"/>
  <c r="R110" i="4"/>
  <c r="Q110" i="4"/>
  <c r="R109" i="4"/>
  <c r="Q109" i="4"/>
  <c r="R108" i="4"/>
  <c r="Q108" i="4"/>
  <c r="R107" i="4"/>
  <c r="Q107" i="4"/>
  <c r="R106" i="4"/>
  <c r="Q106" i="4"/>
  <c r="R105" i="4"/>
  <c r="Q105" i="4"/>
  <c r="R104" i="4"/>
  <c r="Q104" i="4"/>
  <c r="R103" i="4"/>
  <c r="Q103" i="4"/>
  <c r="R102" i="4"/>
  <c r="Q102" i="4"/>
  <c r="R101" i="4"/>
  <c r="Q101" i="4"/>
  <c r="R100" i="4"/>
  <c r="Q100" i="4"/>
  <c r="R99" i="4"/>
  <c r="Q99" i="4"/>
  <c r="R98" i="4"/>
  <c r="Q98" i="4"/>
  <c r="R97" i="4"/>
  <c r="Q97" i="4"/>
  <c r="R96" i="4"/>
  <c r="Q96" i="4"/>
  <c r="R95" i="4"/>
  <c r="Q95" i="4"/>
  <c r="R94" i="4"/>
  <c r="Q94" i="4"/>
  <c r="R93" i="4"/>
  <c r="Q93" i="4"/>
  <c r="R92" i="4"/>
  <c r="Q92" i="4"/>
  <c r="R91" i="4"/>
  <c r="Q91" i="4"/>
  <c r="R90" i="4"/>
  <c r="Q90" i="4"/>
  <c r="R89" i="4"/>
  <c r="Q89" i="4"/>
  <c r="R88" i="4"/>
  <c r="Q88" i="4"/>
  <c r="R87" i="4"/>
  <c r="Q87" i="4"/>
  <c r="R86" i="4"/>
  <c r="Q86" i="4"/>
  <c r="R85" i="4"/>
  <c r="Q85" i="4"/>
  <c r="R84" i="4"/>
  <c r="Q84" i="4"/>
  <c r="R83" i="4"/>
  <c r="Q83" i="4"/>
  <c r="R82" i="4"/>
  <c r="Q82" i="4"/>
  <c r="R81" i="4"/>
  <c r="Q81" i="4"/>
  <c r="R80" i="4"/>
  <c r="Q80" i="4"/>
  <c r="R79" i="4"/>
  <c r="Q79" i="4"/>
  <c r="R78" i="4"/>
  <c r="Q78" i="4"/>
  <c r="R77" i="4"/>
  <c r="Q77" i="4"/>
  <c r="R76" i="4"/>
  <c r="Q76" i="4"/>
  <c r="R75" i="4"/>
  <c r="Q75" i="4"/>
  <c r="R74" i="4"/>
  <c r="Q74" i="4"/>
  <c r="R73" i="4"/>
  <c r="Q73" i="4"/>
  <c r="R72" i="4"/>
  <c r="Q72" i="4"/>
  <c r="R71" i="4"/>
  <c r="Q71" i="4"/>
  <c r="R70" i="4"/>
  <c r="Q70" i="4"/>
  <c r="R69" i="4"/>
  <c r="Q69" i="4"/>
  <c r="R68" i="4"/>
  <c r="Q68" i="4"/>
  <c r="R67" i="4"/>
  <c r="Q67" i="4"/>
  <c r="R66" i="4"/>
  <c r="Q66" i="4"/>
  <c r="R65" i="4"/>
  <c r="Q65" i="4"/>
  <c r="R64" i="4"/>
  <c r="Q64" i="4"/>
  <c r="R63" i="4"/>
  <c r="Q63" i="4"/>
  <c r="R62" i="4"/>
  <c r="Q62" i="4"/>
  <c r="R61" i="4"/>
  <c r="Q61" i="4"/>
  <c r="R60" i="4"/>
  <c r="Q60" i="4"/>
  <c r="R59" i="4"/>
  <c r="Q59" i="4"/>
  <c r="R58" i="4"/>
  <c r="Q58" i="4"/>
  <c r="R57" i="4"/>
  <c r="Q57" i="4"/>
  <c r="R56" i="4"/>
  <c r="Q56" i="4"/>
  <c r="R55" i="4"/>
  <c r="Q55" i="4"/>
  <c r="R54" i="4"/>
  <c r="Q54" i="4"/>
  <c r="R53" i="4"/>
  <c r="Q53" i="4"/>
  <c r="R52" i="4"/>
  <c r="Q52" i="4"/>
  <c r="R51" i="4"/>
  <c r="Q51" i="4"/>
  <c r="R50" i="4"/>
  <c r="Q50" i="4"/>
  <c r="R49" i="4"/>
  <c r="Q49" i="4"/>
  <c r="R48" i="4"/>
  <c r="Q48" i="4"/>
  <c r="R47" i="4"/>
  <c r="Q47" i="4"/>
  <c r="R46" i="4"/>
  <c r="Q46" i="4"/>
  <c r="R45" i="4"/>
  <c r="Q45" i="4"/>
  <c r="R44" i="4"/>
  <c r="Q44" i="4"/>
  <c r="R43" i="4"/>
  <c r="Q43" i="4"/>
  <c r="R42" i="4"/>
  <c r="Q42" i="4"/>
  <c r="R41" i="4"/>
  <c r="Q41" i="4"/>
  <c r="R40" i="4"/>
  <c r="Q40" i="4"/>
  <c r="R39" i="4"/>
  <c r="Q39" i="4"/>
  <c r="R38" i="4"/>
  <c r="Q38" i="4"/>
  <c r="R37" i="4"/>
  <c r="Q37" i="4"/>
  <c r="R36" i="4"/>
  <c r="Q36" i="4"/>
  <c r="R35" i="4"/>
  <c r="Q35" i="4"/>
  <c r="R34" i="4"/>
  <c r="Q34" i="4"/>
  <c r="R33" i="4"/>
  <c r="Q33" i="4"/>
  <c r="R32" i="4"/>
  <c r="Q32" i="4"/>
  <c r="R31" i="4"/>
  <c r="Q31" i="4"/>
  <c r="R30" i="4"/>
  <c r="Q30" i="4"/>
  <c r="R29" i="4"/>
  <c r="Q29" i="4"/>
  <c r="R28" i="4"/>
  <c r="Q28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R20" i="4"/>
  <c r="Q20" i="4"/>
  <c r="R19" i="4"/>
  <c r="Q19" i="4"/>
  <c r="R18" i="4"/>
  <c r="Q18" i="4"/>
  <c r="R17" i="4"/>
  <c r="Q17" i="4"/>
  <c r="R16" i="4"/>
  <c r="Q16" i="4"/>
  <c r="R15" i="4"/>
  <c r="Q15" i="4"/>
  <c r="R14" i="4"/>
  <c r="Q14" i="4"/>
  <c r="R13" i="4"/>
  <c r="Q13" i="4"/>
  <c r="R12" i="4"/>
  <c r="Q12" i="4"/>
  <c r="R11" i="4"/>
  <c r="Q11" i="4"/>
  <c r="R10" i="4"/>
  <c r="Q10" i="4"/>
  <c r="R9" i="4"/>
  <c r="Q9" i="4"/>
  <c r="R8" i="4"/>
  <c r="Q8" i="4"/>
  <c r="R7" i="4"/>
  <c r="Q7" i="4"/>
  <c r="R6" i="4"/>
  <c r="Q6" i="4"/>
  <c r="R5" i="4"/>
  <c r="Q5" i="4"/>
  <c r="R4" i="4"/>
  <c r="Q4" i="4"/>
  <c r="R3" i="4"/>
  <c r="Q3" i="4"/>
  <c r="O3" i="4"/>
  <c r="E113" i="3"/>
  <c r="E112" i="3"/>
  <c r="N112" i="3" s="1"/>
  <c r="E111" i="3"/>
  <c r="E110" i="3"/>
  <c r="E109" i="3"/>
  <c r="E108" i="3"/>
  <c r="E107" i="3"/>
  <c r="E106" i="3"/>
  <c r="E105" i="3"/>
  <c r="E104" i="3"/>
  <c r="E103" i="3"/>
  <c r="E102" i="3"/>
  <c r="N102" i="3" s="1"/>
  <c r="E101" i="3"/>
  <c r="E100" i="3"/>
  <c r="N100" i="3" s="1"/>
  <c r="E99" i="3"/>
  <c r="E98" i="3"/>
  <c r="E97" i="3"/>
  <c r="E96" i="3"/>
  <c r="E95" i="3"/>
  <c r="E94" i="3"/>
  <c r="E93" i="3"/>
  <c r="E92" i="3"/>
  <c r="E91" i="3"/>
  <c r="E90" i="3"/>
  <c r="N90" i="3" s="1"/>
  <c r="E89" i="3"/>
  <c r="E88" i="3"/>
  <c r="N88" i="3" s="1"/>
  <c r="E87" i="3"/>
  <c r="E86" i="3"/>
  <c r="E85" i="3"/>
  <c r="E84" i="3"/>
  <c r="E83" i="3"/>
  <c r="E82" i="3"/>
  <c r="E81" i="3"/>
  <c r="E80" i="3"/>
  <c r="E79" i="3"/>
  <c r="E78" i="3"/>
  <c r="N78" i="3" s="1"/>
  <c r="E77" i="3"/>
  <c r="E76" i="3"/>
  <c r="N76" i="3" s="1"/>
  <c r="E75" i="3"/>
  <c r="E74" i="3"/>
  <c r="E73" i="3"/>
  <c r="E72" i="3"/>
  <c r="E71" i="3"/>
  <c r="E70" i="3"/>
  <c r="E69" i="3"/>
  <c r="E68" i="3"/>
  <c r="E67" i="3"/>
  <c r="E66" i="3"/>
  <c r="N66" i="3" s="1"/>
  <c r="E65" i="3"/>
  <c r="E64" i="3"/>
  <c r="N64" i="3" s="1"/>
  <c r="E63" i="3"/>
  <c r="E62" i="3"/>
  <c r="E61" i="3"/>
  <c r="E60" i="3"/>
  <c r="E59" i="3"/>
  <c r="E58" i="3"/>
  <c r="E57" i="3"/>
  <c r="E56" i="3"/>
  <c r="E55" i="3"/>
  <c r="E54" i="3"/>
  <c r="N54" i="3" s="1"/>
  <c r="E53" i="3"/>
  <c r="E52" i="3"/>
  <c r="N52" i="3" s="1"/>
  <c r="E51" i="3"/>
  <c r="E50" i="3"/>
  <c r="E49" i="3"/>
  <c r="E48" i="3"/>
  <c r="E47" i="3"/>
  <c r="E46" i="3"/>
  <c r="E45" i="3"/>
  <c r="E44" i="3"/>
  <c r="E43" i="3"/>
  <c r="E42" i="3"/>
  <c r="N42" i="3" s="1"/>
  <c r="E41" i="3"/>
  <c r="E40" i="3"/>
  <c r="N40" i="3" s="1"/>
  <c r="E39" i="3"/>
  <c r="E38" i="3"/>
  <c r="E37" i="3"/>
  <c r="E36" i="3"/>
  <c r="E35" i="3"/>
  <c r="E34" i="3"/>
  <c r="E33" i="3"/>
  <c r="E32" i="3"/>
  <c r="E31" i="3"/>
  <c r="E30" i="3"/>
  <c r="N30" i="3" s="1"/>
  <c r="E29" i="3"/>
  <c r="E28" i="3"/>
  <c r="N28" i="3" s="1"/>
  <c r="E27" i="3"/>
  <c r="E26" i="3"/>
  <c r="E25" i="3"/>
  <c r="E24" i="3"/>
  <c r="E23" i="3"/>
  <c r="E22" i="3"/>
  <c r="E21" i="3"/>
  <c r="E20" i="3"/>
  <c r="E19" i="3"/>
  <c r="E18" i="3"/>
  <c r="N18" i="3" s="1"/>
  <c r="E17" i="3"/>
  <c r="E16" i="3"/>
  <c r="N16" i="3" s="1"/>
  <c r="E15" i="3"/>
  <c r="E14" i="3"/>
  <c r="E13" i="3"/>
  <c r="E12" i="3"/>
  <c r="E11" i="3"/>
  <c r="E10" i="3"/>
  <c r="E9" i="3"/>
  <c r="E8" i="3"/>
  <c r="E7" i="3"/>
  <c r="E6" i="3"/>
  <c r="N6" i="3" s="1"/>
  <c r="E5" i="3"/>
  <c r="E4" i="3"/>
  <c r="N4" i="3" s="1"/>
  <c r="E3" i="3"/>
  <c r="G113" i="2"/>
  <c r="G112" i="2"/>
  <c r="G111" i="2"/>
  <c r="G110" i="2"/>
  <c r="G109" i="2"/>
  <c r="H109" i="2" s="1"/>
  <c r="J109" i="2" s="1"/>
  <c r="G108" i="2"/>
  <c r="I108" i="2" s="1"/>
  <c r="G107" i="2"/>
  <c r="K107" i="2" s="1"/>
  <c r="G106" i="2"/>
  <c r="K106" i="2" s="1"/>
  <c r="G105" i="2"/>
  <c r="I105" i="2" s="1"/>
  <c r="O105" i="2" s="1"/>
  <c r="G104" i="2"/>
  <c r="K104" i="2" s="1"/>
  <c r="G103" i="2"/>
  <c r="H103" i="2" s="1"/>
  <c r="G102" i="2"/>
  <c r="G101" i="2"/>
  <c r="G100" i="2"/>
  <c r="G99" i="2"/>
  <c r="G98" i="2"/>
  <c r="G97" i="2"/>
  <c r="H97" i="2" s="1"/>
  <c r="J97" i="2" s="1"/>
  <c r="G96" i="2"/>
  <c r="I96" i="2" s="1"/>
  <c r="G95" i="2"/>
  <c r="K95" i="2" s="1"/>
  <c r="G94" i="2"/>
  <c r="K94" i="2" s="1"/>
  <c r="G93" i="2"/>
  <c r="I93" i="2" s="1"/>
  <c r="O93" i="2" s="1"/>
  <c r="G92" i="2"/>
  <c r="K92" i="2" s="1"/>
  <c r="G91" i="2"/>
  <c r="K91" i="2" s="1"/>
  <c r="G90" i="2"/>
  <c r="G89" i="2"/>
  <c r="G88" i="2"/>
  <c r="G87" i="2"/>
  <c r="G86" i="2"/>
  <c r="G85" i="2"/>
  <c r="H85" i="2" s="1"/>
  <c r="J85" i="2" s="1"/>
  <c r="G84" i="2"/>
  <c r="I84" i="2" s="1"/>
  <c r="G83" i="2"/>
  <c r="K83" i="2" s="1"/>
  <c r="G82" i="2"/>
  <c r="K82" i="2" s="1"/>
  <c r="G81" i="2"/>
  <c r="I81" i="2" s="1"/>
  <c r="O81" i="2" s="1"/>
  <c r="G80" i="2"/>
  <c r="G79" i="2"/>
  <c r="K79" i="2" s="1"/>
  <c r="G78" i="2"/>
  <c r="G77" i="2"/>
  <c r="G76" i="2"/>
  <c r="G75" i="2"/>
  <c r="G74" i="2"/>
  <c r="G73" i="2"/>
  <c r="K73" i="2" s="1"/>
  <c r="G72" i="2"/>
  <c r="G71" i="2"/>
  <c r="K71" i="2" s="1"/>
  <c r="G70" i="2"/>
  <c r="K70" i="2" s="1"/>
  <c r="G69" i="2"/>
  <c r="I69" i="2" s="1"/>
  <c r="O69" i="2" s="1"/>
  <c r="G68" i="2"/>
  <c r="G67" i="2"/>
  <c r="K67" i="2" s="1"/>
  <c r="G66" i="2"/>
  <c r="G65" i="2"/>
  <c r="G64" i="2"/>
  <c r="G63" i="2"/>
  <c r="G62" i="2"/>
  <c r="G61" i="2"/>
  <c r="G60" i="2"/>
  <c r="G59" i="2"/>
  <c r="K59" i="2" s="1"/>
  <c r="G58" i="2"/>
  <c r="K58" i="2" s="1"/>
  <c r="G57" i="2"/>
  <c r="I57" i="2" s="1"/>
  <c r="O57" i="2" s="1"/>
  <c r="G56" i="2"/>
  <c r="G55" i="2"/>
  <c r="K55" i="2" s="1"/>
  <c r="G54" i="2"/>
  <c r="G53" i="2"/>
  <c r="G52" i="2"/>
  <c r="G51" i="2"/>
  <c r="G50" i="2"/>
  <c r="G49" i="2"/>
  <c r="K49" i="2" s="1"/>
  <c r="G48" i="2"/>
  <c r="H48" i="2" s="1"/>
  <c r="G47" i="2"/>
  <c r="K47" i="2" s="1"/>
  <c r="G46" i="2"/>
  <c r="K46" i="2" s="1"/>
  <c r="G45" i="2"/>
  <c r="I45" i="2" s="1"/>
  <c r="O45" i="2" s="1"/>
  <c r="G44" i="2"/>
  <c r="G43" i="2"/>
  <c r="K43" i="2" s="1"/>
  <c r="G42" i="2"/>
  <c r="G41" i="2"/>
  <c r="G40" i="2"/>
  <c r="G39" i="2"/>
  <c r="G38" i="2"/>
  <c r="K38" i="2" s="1"/>
  <c r="G37" i="2"/>
  <c r="H37" i="2" s="1"/>
  <c r="L37" i="2" s="1"/>
  <c r="G36" i="2"/>
  <c r="G35" i="2"/>
  <c r="K35" i="2" s="1"/>
  <c r="G34" i="2"/>
  <c r="I34" i="2" s="1"/>
  <c r="G33" i="2"/>
  <c r="I33" i="2" s="1"/>
  <c r="O33" i="2" s="1"/>
  <c r="G32" i="2"/>
  <c r="G31" i="2"/>
  <c r="G30" i="2"/>
  <c r="K30" i="2" s="1"/>
  <c r="G29" i="2"/>
  <c r="G28" i="2"/>
  <c r="G27" i="2"/>
  <c r="G26" i="2"/>
  <c r="K26" i="2" s="1"/>
  <c r="G25" i="2"/>
  <c r="G24" i="2"/>
  <c r="I24" i="2" s="1"/>
  <c r="G23" i="2"/>
  <c r="K23" i="2" s="1"/>
  <c r="G22" i="2"/>
  <c r="G21" i="2"/>
  <c r="I21" i="2" s="1"/>
  <c r="O21" i="2" s="1"/>
  <c r="G20" i="2"/>
  <c r="G19" i="2"/>
  <c r="H19" i="2" s="1"/>
  <c r="G18" i="2"/>
  <c r="G17" i="2"/>
  <c r="G16" i="2"/>
  <c r="G15" i="2"/>
  <c r="G14" i="2"/>
  <c r="K14" i="2" s="1"/>
  <c r="G13" i="2"/>
  <c r="G12" i="2"/>
  <c r="I12" i="2" s="1"/>
  <c r="G11" i="2"/>
  <c r="K11" i="2" s="1"/>
  <c r="G10" i="2"/>
  <c r="K10" i="2" s="1"/>
  <c r="G9" i="2"/>
  <c r="I9" i="2" s="1"/>
  <c r="O9" i="2" s="1"/>
  <c r="G8" i="2"/>
  <c r="G7" i="2"/>
  <c r="H7" i="2" s="1"/>
  <c r="G6" i="2"/>
  <c r="K6" i="2" s="1"/>
  <c r="G5" i="2"/>
  <c r="G4" i="2"/>
  <c r="G3" i="2"/>
  <c r="H3" i="2" s="1"/>
  <c r="E3" i="4"/>
  <c r="F3" i="4" s="1"/>
  <c r="G3" i="5"/>
  <c r="B7" i="6"/>
  <c r="F6" i="6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5" i="6"/>
  <c r="F4" i="6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K3" i="5"/>
  <c r="I3" i="5"/>
  <c r="H113" i="5"/>
  <c r="G113" i="5"/>
  <c r="G112" i="5"/>
  <c r="H112" i="5" s="1"/>
  <c r="G111" i="5"/>
  <c r="H111" i="5" s="1"/>
  <c r="G110" i="5"/>
  <c r="H110" i="5" s="1"/>
  <c r="G109" i="5"/>
  <c r="H109" i="5" s="1"/>
  <c r="G108" i="5"/>
  <c r="H108" i="5" s="1"/>
  <c r="H107" i="5"/>
  <c r="G107" i="5"/>
  <c r="G106" i="5"/>
  <c r="H106" i="5" s="1"/>
  <c r="G105" i="5"/>
  <c r="H105" i="5" s="1"/>
  <c r="G104" i="5"/>
  <c r="H104" i="5" s="1"/>
  <c r="G103" i="5"/>
  <c r="H103" i="5" s="1"/>
  <c r="G102" i="5"/>
  <c r="H102" i="5" s="1"/>
  <c r="H101" i="5"/>
  <c r="G101" i="5"/>
  <c r="G100" i="5"/>
  <c r="H100" i="5" s="1"/>
  <c r="G99" i="5"/>
  <c r="H99" i="5" s="1"/>
  <c r="G98" i="5"/>
  <c r="H98" i="5" s="1"/>
  <c r="G97" i="5"/>
  <c r="H97" i="5" s="1"/>
  <c r="G96" i="5"/>
  <c r="H96" i="5" s="1"/>
  <c r="H95" i="5"/>
  <c r="G95" i="5"/>
  <c r="G94" i="5"/>
  <c r="H94" i="5" s="1"/>
  <c r="G93" i="5"/>
  <c r="H93" i="5" s="1"/>
  <c r="G92" i="5"/>
  <c r="H92" i="5" s="1"/>
  <c r="G91" i="5"/>
  <c r="H91" i="5" s="1"/>
  <c r="G90" i="5"/>
  <c r="H90" i="5" s="1"/>
  <c r="H89" i="5"/>
  <c r="G89" i="5"/>
  <c r="G88" i="5"/>
  <c r="H88" i="5" s="1"/>
  <c r="G87" i="5"/>
  <c r="H87" i="5" s="1"/>
  <c r="G86" i="5"/>
  <c r="H86" i="5" s="1"/>
  <c r="G85" i="5"/>
  <c r="H85" i="5" s="1"/>
  <c r="G84" i="5"/>
  <c r="H84" i="5" s="1"/>
  <c r="H83" i="5"/>
  <c r="G83" i="5"/>
  <c r="G82" i="5"/>
  <c r="H82" i="5" s="1"/>
  <c r="G81" i="5"/>
  <c r="H81" i="5" s="1"/>
  <c r="G80" i="5"/>
  <c r="H80" i="5" s="1"/>
  <c r="G79" i="5"/>
  <c r="H79" i="5" s="1"/>
  <c r="G78" i="5"/>
  <c r="H78" i="5" s="1"/>
  <c r="H77" i="5"/>
  <c r="G77" i="5"/>
  <c r="G76" i="5"/>
  <c r="H76" i="5" s="1"/>
  <c r="G75" i="5"/>
  <c r="H75" i="5" s="1"/>
  <c r="G74" i="5"/>
  <c r="H74" i="5" s="1"/>
  <c r="G73" i="5"/>
  <c r="H73" i="5" s="1"/>
  <c r="G72" i="5"/>
  <c r="H72" i="5" s="1"/>
  <c r="H71" i="5"/>
  <c r="G71" i="5"/>
  <c r="G70" i="5"/>
  <c r="H70" i="5" s="1"/>
  <c r="G69" i="5"/>
  <c r="H69" i="5" s="1"/>
  <c r="G68" i="5"/>
  <c r="H68" i="5" s="1"/>
  <c r="G67" i="5"/>
  <c r="H67" i="5" s="1"/>
  <c r="G66" i="5"/>
  <c r="H66" i="5" s="1"/>
  <c r="H65" i="5"/>
  <c r="G65" i="5"/>
  <c r="G64" i="5"/>
  <c r="H64" i="5" s="1"/>
  <c r="G63" i="5"/>
  <c r="H63" i="5" s="1"/>
  <c r="G62" i="5"/>
  <c r="H62" i="5" s="1"/>
  <c r="G61" i="5"/>
  <c r="H61" i="5" s="1"/>
  <c r="G60" i="5"/>
  <c r="H60" i="5" s="1"/>
  <c r="H59" i="5"/>
  <c r="G59" i="5"/>
  <c r="G58" i="5"/>
  <c r="H58" i="5" s="1"/>
  <c r="G57" i="5"/>
  <c r="H57" i="5" s="1"/>
  <c r="G56" i="5"/>
  <c r="H56" i="5" s="1"/>
  <c r="G55" i="5"/>
  <c r="H55" i="5" s="1"/>
  <c r="G54" i="5"/>
  <c r="H54" i="5" s="1"/>
  <c r="H53" i="5"/>
  <c r="G53" i="5"/>
  <c r="G52" i="5"/>
  <c r="H52" i="5" s="1"/>
  <c r="G51" i="5"/>
  <c r="H51" i="5" s="1"/>
  <c r="G50" i="5"/>
  <c r="H50" i="5" s="1"/>
  <c r="G49" i="5"/>
  <c r="H49" i="5" s="1"/>
  <c r="G48" i="5"/>
  <c r="H48" i="5" s="1"/>
  <c r="H47" i="5"/>
  <c r="G47" i="5"/>
  <c r="G46" i="5"/>
  <c r="H46" i="5" s="1"/>
  <c r="G45" i="5"/>
  <c r="H45" i="5" s="1"/>
  <c r="G44" i="5"/>
  <c r="H44" i="5" s="1"/>
  <c r="G43" i="5"/>
  <c r="H43" i="5" s="1"/>
  <c r="G42" i="5"/>
  <c r="H42" i="5" s="1"/>
  <c r="H41" i="5"/>
  <c r="G41" i="5"/>
  <c r="G40" i="5"/>
  <c r="H40" i="5" s="1"/>
  <c r="G39" i="5"/>
  <c r="H39" i="5" s="1"/>
  <c r="G38" i="5"/>
  <c r="H38" i="5" s="1"/>
  <c r="G37" i="5"/>
  <c r="H37" i="5" s="1"/>
  <c r="G36" i="5"/>
  <c r="H36" i="5" s="1"/>
  <c r="H35" i="5"/>
  <c r="G35" i="5"/>
  <c r="G34" i="5"/>
  <c r="H34" i="5" s="1"/>
  <c r="G33" i="5"/>
  <c r="H33" i="5" s="1"/>
  <c r="G32" i="5"/>
  <c r="H32" i="5" s="1"/>
  <c r="G31" i="5"/>
  <c r="H31" i="5" s="1"/>
  <c r="G30" i="5"/>
  <c r="H30" i="5" s="1"/>
  <c r="H29" i="5"/>
  <c r="G29" i="5"/>
  <c r="G28" i="5"/>
  <c r="H28" i="5" s="1"/>
  <c r="G27" i="5"/>
  <c r="H27" i="5" s="1"/>
  <c r="G26" i="5"/>
  <c r="H26" i="5" s="1"/>
  <c r="G25" i="5"/>
  <c r="H25" i="5" s="1"/>
  <c r="G24" i="5"/>
  <c r="H24" i="5" s="1"/>
  <c r="H23" i="5"/>
  <c r="G23" i="5"/>
  <c r="G22" i="5"/>
  <c r="H22" i="5" s="1"/>
  <c r="G21" i="5"/>
  <c r="H21" i="5" s="1"/>
  <c r="G20" i="5"/>
  <c r="H20" i="5" s="1"/>
  <c r="G19" i="5"/>
  <c r="H19" i="5" s="1"/>
  <c r="G18" i="5"/>
  <c r="H18" i="5" s="1"/>
  <c r="H17" i="5"/>
  <c r="G17" i="5"/>
  <c r="G16" i="5"/>
  <c r="H16" i="5" s="1"/>
  <c r="G15" i="5"/>
  <c r="H15" i="5" s="1"/>
  <c r="G14" i="5"/>
  <c r="H14" i="5" s="1"/>
  <c r="G13" i="5"/>
  <c r="H13" i="5" s="1"/>
  <c r="G12" i="5"/>
  <c r="H12" i="5" s="1"/>
  <c r="H11" i="5"/>
  <c r="G11" i="5"/>
  <c r="G10" i="5"/>
  <c r="H10" i="5" s="1"/>
  <c r="G9" i="5"/>
  <c r="H9" i="5" s="1"/>
  <c r="G8" i="5"/>
  <c r="H8" i="5" s="1"/>
  <c r="G7" i="5"/>
  <c r="H7" i="5" s="1"/>
  <c r="G6" i="5"/>
  <c r="H6" i="5" s="1"/>
  <c r="H5" i="5"/>
  <c r="G5" i="5"/>
  <c r="G4" i="5"/>
  <c r="H4" i="5" s="1"/>
  <c r="P6" i="5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5" i="5"/>
  <c r="P3" i="5"/>
  <c r="B7" i="5"/>
  <c r="B8" i="5" s="1"/>
  <c r="F4" i="5"/>
  <c r="S4" i="4"/>
  <c r="S5" i="4" s="1"/>
  <c r="B7" i="4"/>
  <c r="D4" i="4"/>
  <c r="D5" i="4" s="1"/>
  <c r="N113" i="3"/>
  <c r="N111" i="3"/>
  <c r="N110" i="3"/>
  <c r="N109" i="3"/>
  <c r="N108" i="3"/>
  <c r="N107" i="3"/>
  <c r="N106" i="3"/>
  <c r="N105" i="3"/>
  <c r="N104" i="3"/>
  <c r="N103" i="3"/>
  <c r="N101" i="3"/>
  <c r="N99" i="3"/>
  <c r="N98" i="3"/>
  <c r="N97" i="3"/>
  <c r="N96" i="3"/>
  <c r="N95" i="3"/>
  <c r="N94" i="3"/>
  <c r="N93" i="3"/>
  <c r="N92" i="3"/>
  <c r="N91" i="3"/>
  <c r="N89" i="3"/>
  <c r="N87" i="3"/>
  <c r="N86" i="3"/>
  <c r="N85" i="3"/>
  <c r="N84" i="3"/>
  <c r="N83" i="3"/>
  <c r="N82" i="3"/>
  <c r="N81" i="3"/>
  <c r="N80" i="3"/>
  <c r="N79" i="3"/>
  <c r="N77" i="3"/>
  <c r="N75" i="3"/>
  <c r="N74" i="3"/>
  <c r="N73" i="3"/>
  <c r="N72" i="3"/>
  <c r="N71" i="3"/>
  <c r="N70" i="3"/>
  <c r="N69" i="3"/>
  <c r="N68" i="3"/>
  <c r="N67" i="3"/>
  <c r="N65" i="3"/>
  <c r="N63" i="3"/>
  <c r="N62" i="3"/>
  <c r="N61" i="3"/>
  <c r="N60" i="3"/>
  <c r="N59" i="3"/>
  <c r="N58" i="3"/>
  <c r="N57" i="3"/>
  <c r="N56" i="3"/>
  <c r="N55" i="3"/>
  <c r="N53" i="3"/>
  <c r="N51" i="3"/>
  <c r="N50" i="3"/>
  <c r="N49" i="3"/>
  <c r="N48" i="3"/>
  <c r="N47" i="3"/>
  <c r="N46" i="3"/>
  <c r="N45" i="3"/>
  <c r="N44" i="3"/>
  <c r="N43" i="3"/>
  <c r="N41" i="3"/>
  <c r="N39" i="3"/>
  <c r="N38" i="3"/>
  <c r="N37" i="3"/>
  <c r="N36" i="3"/>
  <c r="N35" i="3"/>
  <c r="N34" i="3"/>
  <c r="N33" i="3"/>
  <c r="N32" i="3"/>
  <c r="N31" i="3"/>
  <c r="N29" i="3"/>
  <c r="N27" i="3"/>
  <c r="N26" i="3"/>
  <c r="N25" i="3"/>
  <c r="N24" i="3"/>
  <c r="N23" i="3"/>
  <c r="N22" i="3"/>
  <c r="N21" i="3"/>
  <c r="N20" i="3"/>
  <c r="N19" i="3"/>
  <c r="N17" i="3"/>
  <c r="N15" i="3"/>
  <c r="N14" i="3"/>
  <c r="N13" i="3"/>
  <c r="N12" i="3"/>
  <c r="N11" i="3"/>
  <c r="N10" i="3"/>
  <c r="N9" i="3"/>
  <c r="N8" i="3"/>
  <c r="N7" i="3"/>
  <c r="N5" i="3"/>
  <c r="B22" i="3"/>
  <c r="B7" i="3"/>
  <c r="B10" i="3" s="1"/>
  <c r="D4" i="3"/>
  <c r="D5" i="3" s="1"/>
  <c r="F3" i="3"/>
  <c r="H3" i="3" s="1"/>
  <c r="N110" i="2"/>
  <c r="N99" i="2"/>
  <c r="N98" i="2"/>
  <c r="N95" i="2"/>
  <c r="N89" i="2"/>
  <c r="N88" i="2"/>
  <c r="N74" i="2"/>
  <c r="N62" i="2"/>
  <c r="N47" i="2"/>
  <c r="N41" i="2"/>
  <c r="N27" i="2"/>
  <c r="O111" i="2"/>
  <c r="O100" i="2"/>
  <c r="O99" i="2"/>
  <c r="O87" i="2"/>
  <c r="O75" i="2"/>
  <c r="O64" i="2"/>
  <c r="O63" i="2"/>
  <c r="O53" i="2"/>
  <c r="O51" i="2"/>
  <c r="O41" i="2"/>
  <c r="O39" i="2"/>
  <c r="O38" i="2"/>
  <c r="O28" i="2"/>
  <c r="O27" i="2"/>
  <c r="O17" i="2"/>
  <c r="O15" i="2"/>
  <c r="O5" i="2"/>
  <c r="M112" i="2"/>
  <c r="M100" i="2"/>
  <c r="M76" i="2"/>
  <c r="M64" i="2"/>
  <c r="M57" i="2"/>
  <c r="M47" i="2"/>
  <c r="M46" i="2"/>
  <c r="M17" i="2"/>
  <c r="M16" i="2"/>
  <c r="M5" i="2"/>
  <c r="B17" i="2"/>
  <c r="B16" i="2"/>
  <c r="K113" i="2"/>
  <c r="J113" i="2"/>
  <c r="I113" i="2"/>
  <c r="M113" i="2" s="1"/>
  <c r="L112" i="2"/>
  <c r="N112" i="2" s="1"/>
  <c r="K112" i="2"/>
  <c r="J112" i="2"/>
  <c r="I112" i="2"/>
  <c r="O112" i="2" s="1"/>
  <c r="L111" i="2"/>
  <c r="N111" i="2" s="1"/>
  <c r="K111" i="2"/>
  <c r="J111" i="2"/>
  <c r="M111" i="2" s="1"/>
  <c r="I111" i="2"/>
  <c r="K110" i="2"/>
  <c r="J110" i="2"/>
  <c r="I110" i="2"/>
  <c r="M110" i="2" s="1"/>
  <c r="K108" i="2"/>
  <c r="I107" i="2"/>
  <c r="J106" i="2"/>
  <c r="I106" i="2"/>
  <c r="K105" i="2"/>
  <c r="I104" i="2"/>
  <c r="O104" i="2" s="1"/>
  <c r="K103" i="2"/>
  <c r="K101" i="2"/>
  <c r="J101" i="2"/>
  <c r="I101" i="2"/>
  <c r="M101" i="2" s="1"/>
  <c r="L100" i="2"/>
  <c r="N100" i="2" s="1"/>
  <c r="K100" i="2"/>
  <c r="J100" i="2"/>
  <c r="I100" i="2"/>
  <c r="L99" i="2"/>
  <c r="K99" i="2"/>
  <c r="J99" i="2"/>
  <c r="M99" i="2" s="1"/>
  <c r="I99" i="2"/>
  <c r="K98" i="2"/>
  <c r="J98" i="2"/>
  <c r="I98" i="2"/>
  <c r="K97" i="2"/>
  <c r="I97" i="2"/>
  <c r="M97" i="2" s="1"/>
  <c r="K96" i="2"/>
  <c r="J95" i="2"/>
  <c r="I95" i="2"/>
  <c r="J94" i="2"/>
  <c r="I94" i="2"/>
  <c r="O94" i="2" s="1"/>
  <c r="K93" i="2"/>
  <c r="I92" i="2"/>
  <c r="O92" i="2" s="1"/>
  <c r="I91" i="2"/>
  <c r="O91" i="2" s="1"/>
  <c r="K89" i="2"/>
  <c r="J89" i="2"/>
  <c r="I89" i="2"/>
  <c r="M89" i="2" s="1"/>
  <c r="L88" i="2"/>
  <c r="K88" i="2"/>
  <c r="J88" i="2"/>
  <c r="M88" i="2" s="1"/>
  <c r="I88" i="2"/>
  <c r="O88" i="2" s="1"/>
  <c r="L87" i="2"/>
  <c r="N87" i="2" s="1"/>
  <c r="K87" i="2"/>
  <c r="J87" i="2"/>
  <c r="M87" i="2" s="1"/>
  <c r="I87" i="2"/>
  <c r="K86" i="2"/>
  <c r="J86" i="2"/>
  <c r="I86" i="2"/>
  <c r="K84" i="2"/>
  <c r="I83" i="2"/>
  <c r="O83" i="2" s="1"/>
  <c r="I82" i="2"/>
  <c r="O82" i="2" s="1"/>
  <c r="L81" i="2"/>
  <c r="K81" i="2"/>
  <c r="I80" i="2"/>
  <c r="K77" i="2"/>
  <c r="J77" i="2"/>
  <c r="M77" i="2" s="1"/>
  <c r="I77" i="2"/>
  <c r="O77" i="2" s="1"/>
  <c r="L76" i="2"/>
  <c r="N76" i="2" s="1"/>
  <c r="K76" i="2"/>
  <c r="J76" i="2"/>
  <c r="I76" i="2"/>
  <c r="O76" i="2" s="1"/>
  <c r="L75" i="2"/>
  <c r="N75" i="2" s="1"/>
  <c r="K75" i="2"/>
  <c r="I75" i="2"/>
  <c r="K74" i="2"/>
  <c r="J74" i="2"/>
  <c r="I74" i="2"/>
  <c r="M74" i="2" s="1"/>
  <c r="I71" i="2"/>
  <c r="L70" i="2"/>
  <c r="N70" i="2" s="1"/>
  <c r="I70" i="2"/>
  <c r="K69" i="2"/>
  <c r="K65" i="2"/>
  <c r="J65" i="2"/>
  <c r="I65" i="2"/>
  <c r="M65" i="2" s="1"/>
  <c r="L64" i="2"/>
  <c r="K64" i="2"/>
  <c r="J64" i="2"/>
  <c r="I64" i="2"/>
  <c r="L63" i="2"/>
  <c r="K63" i="2"/>
  <c r="N63" i="2" s="1"/>
  <c r="J63" i="2"/>
  <c r="M63" i="2" s="1"/>
  <c r="I63" i="2"/>
  <c r="K62" i="2"/>
  <c r="J62" i="2"/>
  <c r="I62" i="2"/>
  <c r="K61" i="2"/>
  <c r="I59" i="2"/>
  <c r="L58" i="2"/>
  <c r="N58" i="2" s="1"/>
  <c r="I58" i="2"/>
  <c r="O58" i="2" s="1"/>
  <c r="L57" i="2"/>
  <c r="N57" i="2" s="1"/>
  <c r="K57" i="2"/>
  <c r="I55" i="2"/>
  <c r="K53" i="2"/>
  <c r="J53" i="2"/>
  <c r="I53" i="2"/>
  <c r="M53" i="2" s="1"/>
  <c r="L52" i="2"/>
  <c r="N52" i="2" s="1"/>
  <c r="K52" i="2"/>
  <c r="J52" i="2"/>
  <c r="I52" i="2"/>
  <c r="O52" i="2" s="1"/>
  <c r="L51" i="2"/>
  <c r="K51" i="2"/>
  <c r="N51" i="2" s="1"/>
  <c r="J51" i="2"/>
  <c r="M51" i="2" s="1"/>
  <c r="I51" i="2"/>
  <c r="K50" i="2"/>
  <c r="J50" i="2"/>
  <c r="I50" i="2"/>
  <c r="J47" i="2"/>
  <c r="I47" i="2"/>
  <c r="O47" i="2" s="1"/>
  <c r="I46" i="2"/>
  <c r="O46" i="2" s="1"/>
  <c r="K45" i="2"/>
  <c r="K41" i="2"/>
  <c r="J41" i="2"/>
  <c r="I41" i="2"/>
  <c r="M41" i="2" s="1"/>
  <c r="L40" i="2"/>
  <c r="K40" i="2"/>
  <c r="J40" i="2"/>
  <c r="I40" i="2"/>
  <c r="O40" i="2" s="1"/>
  <c r="L39" i="2"/>
  <c r="K39" i="2"/>
  <c r="N39" i="2" s="1"/>
  <c r="J39" i="2"/>
  <c r="I39" i="2"/>
  <c r="M39" i="2" s="1"/>
  <c r="I38" i="2"/>
  <c r="I35" i="2"/>
  <c r="O35" i="2" s="1"/>
  <c r="L34" i="2"/>
  <c r="N34" i="2" s="1"/>
  <c r="K34" i="2"/>
  <c r="K33" i="2"/>
  <c r="J33" i="2"/>
  <c r="M33" i="2" s="1"/>
  <c r="I32" i="2"/>
  <c r="O32" i="2" s="1"/>
  <c r="K29" i="2"/>
  <c r="J29" i="2"/>
  <c r="I29" i="2"/>
  <c r="M29" i="2" s="1"/>
  <c r="L28" i="2"/>
  <c r="K28" i="2"/>
  <c r="J28" i="2"/>
  <c r="M28" i="2" s="1"/>
  <c r="I28" i="2"/>
  <c r="L27" i="2"/>
  <c r="K27" i="2"/>
  <c r="J27" i="2"/>
  <c r="I27" i="2"/>
  <c r="M27" i="2" s="1"/>
  <c r="I26" i="2"/>
  <c r="I25" i="2"/>
  <c r="I23" i="2"/>
  <c r="K22" i="2"/>
  <c r="J22" i="2"/>
  <c r="I22" i="2"/>
  <c r="O22" i="2" s="1"/>
  <c r="K21" i="2"/>
  <c r="K19" i="2"/>
  <c r="I19" i="2"/>
  <c r="K17" i="2"/>
  <c r="J17" i="2"/>
  <c r="I17" i="2"/>
  <c r="L16" i="2"/>
  <c r="N16" i="2" s="1"/>
  <c r="K16" i="2"/>
  <c r="J16" i="2"/>
  <c r="I16" i="2"/>
  <c r="O16" i="2" s="1"/>
  <c r="L15" i="2"/>
  <c r="K15" i="2"/>
  <c r="N15" i="2" s="1"/>
  <c r="J15" i="2"/>
  <c r="I15" i="2"/>
  <c r="M15" i="2" s="1"/>
  <c r="I14" i="2"/>
  <c r="L12" i="2"/>
  <c r="N12" i="2" s="1"/>
  <c r="K12" i="2"/>
  <c r="I11" i="2"/>
  <c r="O11" i="2" s="1"/>
  <c r="J10" i="2"/>
  <c r="I10" i="2"/>
  <c r="O10" i="2" s="1"/>
  <c r="L9" i="2"/>
  <c r="N9" i="2" s="1"/>
  <c r="K9" i="2"/>
  <c r="I8" i="2"/>
  <c r="O8" i="2" s="1"/>
  <c r="K7" i="2"/>
  <c r="K5" i="2"/>
  <c r="J5" i="2"/>
  <c r="I5" i="2"/>
  <c r="L4" i="2"/>
  <c r="N4" i="2" s="1"/>
  <c r="K4" i="2"/>
  <c r="J4" i="2"/>
  <c r="I4" i="2"/>
  <c r="O4" i="2" s="1"/>
  <c r="K3" i="2"/>
  <c r="I3" i="2"/>
  <c r="B13" i="2"/>
  <c r="H113" i="2"/>
  <c r="L113" i="2" s="1"/>
  <c r="N113" i="2" s="1"/>
  <c r="H112" i="2"/>
  <c r="H111" i="2"/>
  <c r="H110" i="2"/>
  <c r="L110" i="2" s="1"/>
  <c r="H108" i="2"/>
  <c r="H107" i="2"/>
  <c r="L107" i="2" s="1"/>
  <c r="N107" i="2" s="1"/>
  <c r="H106" i="2"/>
  <c r="L106" i="2" s="1"/>
  <c r="N106" i="2" s="1"/>
  <c r="H105" i="2"/>
  <c r="J105" i="2" s="1"/>
  <c r="M105" i="2" s="1"/>
  <c r="H101" i="2"/>
  <c r="L101" i="2" s="1"/>
  <c r="N101" i="2" s="1"/>
  <c r="H100" i="2"/>
  <c r="H99" i="2"/>
  <c r="H98" i="2"/>
  <c r="L98" i="2" s="1"/>
  <c r="H96" i="2"/>
  <c r="H95" i="2"/>
  <c r="L95" i="2" s="1"/>
  <c r="H94" i="2"/>
  <c r="L94" i="2" s="1"/>
  <c r="N94" i="2" s="1"/>
  <c r="H93" i="2"/>
  <c r="J93" i="2" s="1"/>
  <c r="M93" i="2" s="1"/>
  <c r="H91" i="2"/>
  <c r="L91" i="2" s="1"/>
  <c r="H89" i="2"/>
  <c r="L89" i="2" s="1"/>
  <c r="H88" i="2"/>
  <c r="H87" i="2"/>
  <c r="H86" i="2"/>
  <c r="L86" i="2" s="1"/>
  <c r="N86" i="2" s="1"/>
  <c r="H84" i="2"/>
  <c r="H83" i="2"/>
  <c r="L83" i="2" s="1"/>
  <c r="N83" i="2" s="1"/>
  <c r="H82" i="2"/>
  <c r="L82" i="2" s="1"/>
  <c r="N82" i="2" s="1"/>
  <c r="H81" i="2"/>
  <c r="J81" i="2" s="1"/>
  <c r="M81" i="2" s="1"/>
  <c r="H77" i="2"/>
  <c r="L77" i="2" s="1"/>
  <c r="N77" i="2" s="1"/>
  <c r="H76" i="2"/>
  <c r="H75" i="2"/>
  <c r="J75" i="2" s="1"/>
  <c r="M75" i="2" s="1"/>
  <c r="H74" i="2"/>
  <c r="L74" i="2" s="1"/>
  <c r="H72" i="2"/>
  <c r="J72" i="2" s="1"/>
  <c r="H71" i="2"/>
  <c r="L71" i="2" s="1"/>
  <c r="N71" i="2" s="1"/>
  <c r="H70" i="2"/>
  <c r="J70" i="2" s="1"/>
  <c r="H69" i="2"/>
  <c r="J69" i="2" s="1"/>
  <c r="M69" i="2" s="1"/>
  <c r="H65" i="2"/>
  <c r="L65" i="2" s="1"/>
  <c r="N65" i="2" s="1"/>
  <c r="H64" i="2"/>
  <c r="H63" i="2"/>
  <c r="H62" i="2"/>
  <c r="L62" i="2" s="1"/>
  <c r="H60" i="2"/>
  <c r="J60" i="2" s="1"/>
  <c r="H59" i="2"/>
  <c r="L59" i="2" s="1"/>
  <c r="N59" i="2" s="1"/>
  <c r="H58" i="2"/>
  <c r="J58" i="2" s="1"/>
  <c r="H57" i="2"/>
  <c r="J57" i="2" s="1"/>
  <c r="H53" i="2"/>
  <c r="L53" i="2" s="1"/>
  <c r="N53" i="2" s="1"/>
  <c r="H52" i="2"/>
  <c r="H51" i="2"/>
  <c r="H50" i="2"/>
  <c r="L50" i="2" s="1"/>
  <c r="N50" i="2" s="1"/>
  <c r="H47" i="2"/>
  <c r="L47" i="2" s="1"/>
  <c r="H46" i="2"/>
  <c r="J46" i="2" s="1"/>
  <c r="H45" i="2"/>
  <c r="J45" i="2" s="1"/>
  <c r="M45" i="2" s="1"/>
  <c r="H43" i="2"/>
  <c r="H41" i="2"/>
  <c r="L41" i="2" s="1"/>
  <c r="H40" i="2"/>
  <c r="H39" i="2"/>
  <c r="H38" i="2"/>
  <c r="H36" i="2"/>
  <c r="L36" i="2" s="1"/>
  <c r="H35" i="2"/>
  <c r="H34" i="2"/>
  <c r="J34" i="2" s="1"/>
  <c r="H33" i="2"/>
  <c r="L33" i="2" s="1"/>
  <c r="H29" i="2"/>
  <c r="L29" i="2" s="1"/>
  <c r="N29" i="2" s="1"/>
  <c r="H28" i="2"/>
  <c r="H27" i="2"/>
  <c r="H26" i="2"/>
  <c r="H24" i="2"/>
  <c r="J24" i="2" s="1"/>
  <c r="H23" i="2"/>
  <c r="H22" i="2"/>
  <c r="L22" i="2" s="1"/>
  <c r="N22" i="2" s="1"/>
  <c r="H21" i="2"/>
  <c r="L21" i="2" s="1"/>
  <c r="N21" i="2" s="1"/>
  <c r="H17" i="2"/>
  <c r="L17" i="2" s="1"/>
  <c r="N17" i="2" s="1"/>
  <c r="H16" i="2"/>
  <c r="H15" i="2"/>
  <c r="H14" i="2"/>
  <c r="H12" i="2"/>
  <c r="J12" i="2" s="1"/>
  <c r="H11" i="2"/>
  <c r="H10" i="2"/>
  <c r="L10" i="2" s="1"/>
  <c r="N10" i="2" s="1"/>
  <c r="H9" i="2"/>
  <c r="J9" i="2" s="1"/>
  <c r="M9" i="2" s="1"/>
  <c r="H5" i="2"/>
  <c r="L5" i="2" s="1"/>
  <c r="N5" i="2" s="1"/>
  <c r="H4" i="2"/>
  <c r="B7" i="2"/>
  <c r="B10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K5" i="1"/>
  <c r="K4" i="1"/>
  <c r="H5" i="1"/>
  <c r="D9" i="1"/>
  <c r="D15" i="1" s="1"/>
  <c r="D10" i="1"/>
  <c r="D16" i="1" s="1"/>
  <c r="D16" i="9" l="1"/>
  <c r="H5" i="9" s="1"/>
  <c r="D13" i="9"/>
  <c r="H4" i="9" s="1"/>
  <c r="D19" i="7"/>
  <c r="D17" i="7" s="1"/>
  <c r="C19" i="7"/>
  <c r="C17" i="7" s="1"/>
  <c r="E16" i="7"/>
  <c r="B10" i="7"/>
  <c r="B12" i="7" s="1"/>
  <c r="G5" i="6"/>
  <c r="H5" i="6" s="1"/>
  <c r="G7" i="6"/>
  <c r="H7" i="6" s="1"/>
  <c r="G8" i="6"/>
  <c r="H8" i="6" s="1"/>
  <c r="G9" i="6"/>
  <c r="H9" i="6" s="1"/>
  <c r="G6" i="6"/>
  <c r="H6" i="6"/>
  <c r="K3" i="6"/>
  <c r="E4" i="4"/>
  <c r="F4" i="4" s="1"/>
  <c r="B8" i="4"/>
  <c r="B22" i="4"/>
  <c r="B10" i="4"/>
  <c r="B19" i="4" s="1"/>
  <c r="B20" i="4" s="1"/>
  <c r="S6" i="4"/>
  <c r="E5" i="4"/>
  <c r="F5" i="4" s="1"/>
  <c r="B13" i="4"/>
  <c r="L103" i="2"/>
  <c r="N103" i="2" s="1"/>
  <c r="J103" i="2"/>
  <c r="J7" i="2"/>
  <c r="L7" i="2"/>
  <c r="N7" i="2" s="1"/>
  <c r="J19" i="2"/>
  <c r="L19" i="2"/>
  <c r="N19" i="2" s="1"/>
  <c r="J48" i="2"/>
  <c r="L48" i="2"/>
  <c r="N48" i="2" s="1"/>
  <c r="N37" i="2"/>
  <c r="N36" i="2"/>
  <c r="I78" i="2"/>
  <c r="K78" i="2"/>
  <c r="H78" i="2"/>
  <c r="J108" i="2"/>
  <c r="L108" i="2"/>
  <c r="N108" i="2" s="1"/>
  <c r="O107" i="2"/>
  <c r="M58" i="2"/>
  <c r="K31" i="2"/>
  <c r="I31" i="2"/>
  <c r="M26" i="2"/>
  <c r="O26" i="2"/>
  <c r="J36" i="2"/>
  <c r="O71" i="2"/>
  <c r="N81" i="2"/>
  <c r="J91" i="2"/>
  <c r="L97" i="2"/>
  <c r="N97" i="2" s="1"/>
  <c r="J107" i="2"/>
  <c r="M107" i="2" s="1"/>
  <c r="O65" i="2"/>
  <c r="O97" i="2"/>
  <c r="K8" i="2"/>
  <c r="H8" i="2"/>
  <c r="K20" i="2"/>
  <c r="H20" i="2"/>
  <c r="K32" i="2"/>
  <c r="H32" i="2"/>
  <c r="K44" i="2"/>
  <c r="H44" i="2"/>
  <c r="K56" i="2"/>
  <c r="I56" i="2"/>
  <c r="H56" i="2"/>
  <c r="K68" i="2"/>
  <c r="I68" i="2"/>
  <c r="H68" i="2"/>
  <c r="K80" i="2"/>
  <c r="H80" i="2"/>
  <c r="H31" i="2"/>
  <c r="H79" i="2"/>
  <c r="I20" i="2"/>
  <c r="N40" i="2"/>
  <c r="L46" i="2"/>
  <c r="N46" i="2" s="1"/>
  <c r="M62" i="2"/>
  <c r="O62" i="2"/>
  <c r="J71" i="2"/>
  <c r="M71" i="2" s="1"/>
  <c r="M98" i="2"/>
  <c r="O98" i="2"/>
  <c r="M10" i="2"/>
  <c r="M40" i="2"/>
  <c r="N33" i="2"/>
  <c r="J96" i="2"/>
  <c r="M96" i="2" s="1"/>
  <c r="L96" i="2"/>
  <c r="N96" i="2" s="1"/>
  <c r="J21" i="2"/>
  <c r="M21" i="2" s="1"/>
  <c r="I37" i="2"/>
  <c r="L72" i="2"/>
  <c r="J82" i="2"/>
  <c r="M82" i="2" s="1"/>
  <c r="I109" i="2"/>
  <c r="M94" i="2"/>
  <c r="O74" i="2"/>
  <c r="O34" i="2"/>
  <c r="M34" i="2"/>
  <c r="I30" i="2"/>
  <c r="H30" i="2"/>
  <c r="I90" i="2"/>
  <c r="K90" i="2"/>
  <c r="H90" i="2"/>
  <c r="L45" i="2"/>
  <c r="N45" i="2" s="1"/>
  <c r="M91" i="2"/>
  <c r="J37" i="2"/>
  <c r="I103" i="2"/>
  <c r="K109" i="2"/>
  <c r="O101" i="2"/>
  <c r="L43" i="2"/>
  <c r="N43" i="2" s="1"/>
  <c r="J43" i="2"/>
  <c r="M19" i="2"/>
  <c r="I6" i="2"/>
  <c r="H6" i="2"/>
  <c r="I42" i="2"/>
  <c r="H42" i="2"/>
  <c r="I102" i="2"/>
  <c r="K102" i="2"/>
  <c r="H102" i="2"/>
  <c r="N64" i="2"/>
  <c r="L35" i="2"/>
  <c r="N35" i="2" s="1"/>
  <c r="J35" i="2"/>
  <c r="M35" i="2" s="1"/>
  <c r="H67" i="2"/>
  <c r="I7" i="2"/>
  <c r="K37" i="2"/>
  <c r="I67" i="2"/>
  <c r="J83" i="2"/>
  <c r="M83" i="2" s="1"/>
  <c r="L93" i="2"/>
  <c r="N93" i="2" s="1"/>
  <c r="L109" i="2"/>
  <c r="N109" i="2" s="1"/>
  <c r="O12" i="2"/>
  <c r="M12" i="2"/>
  <c r="O24" i="2"/>
  <c r="M24" i="2"/>
  <c r="I36" i="2"/>
  <c r="K36" i="2"/>
  <c r="I48" i="2"/>
  <c r="K48" i="2"/>
  <c r="I60" i="2"/>
  <c r="K60" i="2"/>
  <c r="I72" i="2"/>
  <c r="K72" i="2"/>
  <c r="O84" i="2"/>
  <c r="N91" i="2"/>
  <c r="I18" i="2"/>
  <c r="H18" i="2"/>
  <c r="I43" i="2"/>
  <c r="O59" i="2"/>
  <c r="I79" i="2"/>
  <c r="O95" i="2"/>
  <c r="M95" i="2"/>
  <c r="M22" i="2"/>
  <c r="M52" i="2"/>
  <c r="O113" i="2"/>
  <c r="I54" i="2"/>
  <c r="K54" i="2"/>
  <c r="H54" i="2"/>
  <c r="K25" i="2"/>
  <c r="H25" i="2"/>
  <c r="L23" i="2"/>
  <c r="N23" i="2" s="1"/>
  <c r="J23" i="2"/>
  <c r="M23" i="2" s="1"/>
  <c r="H55" i="2"/>
  <c r="L85" i="2"/>
  <c r="N85" i="2" s="1"/>
  <c r="L11" i="2"/>
  <c r="N11" i="2" s="1"/>
  <c r="J11" i="2"/>
  <c r="M11" i="2" s="1"/>
  <c r="O70" i="2"/>
  <c r="M70" i="2"/>
  <c r="I66" i="2"/>
  <c r="K66" i="2"/>
  <c r="H66" i="2"/>
  <c r="J84" i="2"/>
  <c r="M84" i="2" s="1"/>
  <c r="L84" i="2"/>
  <c r="N84" i="2" s="1"/>
  <c r="K42" i="2"/>
  <c r="O19" i="2"/>
  <c r="O110" i="2"/>
  <c r="K13" i="2"/>
  <c r="H13" i="2"/>
  <c r="H49" i="2"/>
  <c r="I49" i="2"/>
  <c r="H61" i="2"/>
  <c r="I61" i="2"/>
  <c r="H73" i="2"/>
  <c r="I73" i="2"/>
  <c r="I13" i="2"/>
  <c r="I85" i="2"/>
  <c r="O25" i="2"/>
  <c r="O80" i="2"/>
  <c r="O23" i="2"/>
  <c r="K85" i="2"/>
  <c r="O14" i="2"/>
  <c r="K24" i="2"/>
  <c r="N28" i="2"/>
  <c r="M50" i="2"/>
  <c r="O50" i="2"/>
  <c r="J59" i="2"/>
  <c r="M59" i="2" s="1"/>
  <c r="L105" i="2"/>
  <c r="N105" i="2" s="1"/>
  <c r="O55" i="2"/>
  <c r="K18" i="2"/>
  <c r="L24" i="2"/>
  <c r="I44" i="2"/>
  <c r="L60" i="2"/>
  <c r="L69" i="2"/>
  <c r="N69" i="2" s="1"/>
  <c r="M86" i="2"/>
  <c r="O86" i="2"/>
  <c r="O106" i="2"/>
  <c r="M106" i="2"/>
  <c r="M4" i="2"/>
  <c r="O29" i="2"/>
  <c r="O89" i="2"/>
  <c r="H92" i="2"/>
  <c r="H104" i="2"/>
  <c r="O96" i="2"/>
  <c r="O108" i="2"/>
  <c r="M108" i="2"/>
  <c r="L14" i="2"/>
  <c r="N14" i="2" s="1"/>
  <c r="J14" i="2"/>
  <c r="M14" i="2" s="1"/>
  <c r="L26" i="2"/>
  <c r="N26" i="2" s="1"/>
  <c r="J26" i="2"/>
  <c r="L38" i="2"/>
  <c r="N38" i="2" s="1"/>
  <c r="J38" i="2"/>
  <c r="M38" i="2"/>
  <c r="L3" i="2"/>
  <c r="N3" i="2" s="1"/>
  <c r="J3" i="2"/>
  <c r="M3" i="2" s="1"/>
  <c r="O3" i="2"/>
  <c r="B8" i="6"/>
  <c r="B10" i="6"/>
  <c r="B13" i="6"/>
  <c r="K6" i="6"/>
  <c r="I6" i="6"/>
  <c r="P4" i="5"/>
  <c r="H3" i="5"/>
  <c r="O3" i="5"/>
  <c r="B10" i="5"/>
  <c r="B13" i="5"/>
  <c r="B11" i="5"/>
  <c r="B14" i="5"/>
  <c r="B17" i="5" s="1"/>
  <c r="F5" i="5"/>
  <c r="G3" i="4"/>
  <c r="I3" i="4"/>
  <c r="N3" i="4"/>
  <c r="D6" i="4"/>
  <c r="N4" i="4"/>
  <c r="I4" i="4"/>
  <c r="G4" i="4"/>
  <c r="B11" i="4"/>
  <c r="B14" i="4"/>
  <c r="F5" i="3"/>
  <c r="D6" i="3"/>
  <c r="F4" i="3"/>
  <c r="H4" i="3" s="1"/>
  <c r="B8" i="3"/>
  <c r="B11" i="3" s="1"/>
  <c r="B16" i="3" s="1"/>
  <c r="G3" i="3"/>
  <c r="M3" i="3" s="1"/>
  <c r="I3" i="3"/>
  <c r="J3" i="3"/>
  <c r="L3" i="3" s="1"/>
  <c r="B13" i="3"/>
  <c r="J4" i="3"/>
  <c r="B19" i="3"/>
  <c r="B20" i="3" s="1"/>
  <c r="B14" i="3"/>
  <c r="I5" i="3"/>
  <c r="B8" i="2"/>
  <c r="B19" i="2"/>
  <c r="B20" i="2" s="1"/>
  <c r="D12" i="1"/>
  <c r="D13" i="1"/>
  <c r="F16" i="7" l="1"/>
  <c r="E18" i="7"/>
  <c r="I8" i="6"/>
  <c r="K8" i="6"/>
  <c r="I7" i="6"/>
  <c r="K7" i="6"/>
  <c r="G10" i="6"/>
  <c r="H10" i="6" s="1"/>
  <c r="S7" i="4"/>
  <c r="E6" i="4"/>
  <c r="F6" i="4" s="1"/>
  <c r="B17" i="4"/>
  <c r="B16" i="4"/>
  <c r="B24" i="4"/>
  <c r="B25" i="4"/>
  <c r="L92" i="2"/>
  <c r="N92" i="2" s="1"/>
  <c r="J92" i="2"/>
  <c r="M92" i="2" s="1"/>
  <c r="J13" i="2"/>
  <c r="M13" i="2" s="1"/>
  <c r="L13" i="2"/>
  <c r="N13" i="2" s="1"/>
  <c r="O68" i="2"/>
  <c r="O78" i="2"/>
  <c r="M78" i="2"/>
  <c r="O102" i="2"/>
  <c r="M102" i="2"/>
  <c r="L56" i="2"/>
  <c r="N56" i="2" s="1"/>
  <c r="J56" i="2"/>
  <c r="M56" i="2" s="1"/>
  <c r="L55" i="2"/>
  <c r="N55" i="2" s="1"/>
  <c r="J55" i="2"/>
  <c r="M55" i="2" s="1"/>
  <c r="O42" i="2"/>
  <c r="N72" i="2"/>
  <c r="M85" i="2"/>
  <c r="O85" i="2"/>
  <c r="O60" i="2"/>
  <c r="M60" i="2"/>
  <c r="O67" i="2"/>
  <c r="M67" i="2"/>
  <c r="L6" i="2"/>
  <c r="N6" i="2" s="1"/>
  <c r="J6" i="2"/>
  <c r="M37" i="2"/>
  <c r="O37" i="2"/>
  <c r="O13" i="2"/>
  <c r="O90" i="2"/>
  <c r="M73" i="2"/>
  <c r="O73" i="2"/>
  <c r="L25" i="2"/>
  <c r="N25" i="2" s="1"/>
  <c r="J25" i="2"/>
  <c r="M25" i="2" s="1"/>
  <c r="M7" i="2"/>
  <c r="O7" i="2"/>
  <c r="L73" i="2"/>
  <c r="N73" i="2" s="1"/>
  <c r="J73" i="2"/>
  <c r="J66" i="2"/>
  <c r="L66" i="2"/>
  <c r="N66" i="2" s="1"/>
  <c r="M43" i="2"/>
  <c r="O43" i="2"/>
  <c r="J67" i="2"/>
  <c r="L67" i="2"/>
  <c r="N67" i="2" s="1"/>
  <c r="O30" i="2"/>
  <c r="L79" i="2"/>
  <c r="N79" i="2" s="1"/>
  <c r="J79" i="2"/>
  <c r="L32" i="2"/>
  <c r="N32" i="2" s="1"/>
  <c r="J32" i="2"/>
  <c r="M32" i="2" s="1"/>
  <c r="O61" i="2"/>
  <c r="J54" i="2"/>
  <c r="M54" i="2" s="1"/>
  <c r="L54" i="2"/>
  <c r="N54" i="2" s="1"/>
  <c r="L18" i="2"/>
  <c r="N18" i="2" s="1"/>
  <c r="J18" i="2"/>
  <c r="M18" i="2" s="1"/>
  <c r="O36" i="2"/>
  <c r="M36" i="2"/>
  <c r="L31" i="2"/>
  <c r="N31" i="2" s="1"/>
  <c r="J31" i="2"/>
  <c r="M109" i="2"/>
  <c r="O109" i="2"/>
  <c r="O31" i="2"/>
  <c r="M31" i="2"/>
  <c r="O72" i="2"/>
  <c r="M72" i="2"/>
  <c r="J42" i="2"/>
  <c r="M42" i="2" s="1"/>
  <c r="L42" i="2"/>
  <c r="N42" i="2" s="1"/>
  <c r="J90" i="2"/>
  <c r="M90" i="2" s="1"/>
  <c r="L90" i="2"/>
  <c r="N90" i="2" s="1"/>
  <c r="O56" i="2"/>
  <c r="M79" i="2"/>
  <c r="O79" i="2"/>
  <c r="O6" i="2"/>
  <c r="M6" i="2"/>
  <c r="J44" i="2"/>
  <c r="L44" i="2"/>
  <c r="N44" i="2" s="1"/>
  <c r="O48" i="2"/>
  <c r="M48" i="2"/>
  <c r="L30" i="2"/>
  <c r="N30" i="2" s="1"/>
  <c r="J30" i="2"/>
  <c r="M30" i="2" s="1"/>
  <c r="O20" i="2"/>
  <c r="N60" i="2"/>
  <c r="J61" i="2"/>
  <c r="M61" i="2" s="1"/>
  <c r="L61" i="2"/>
  <c r="N61" i="2" s="1"/>
  <c r="O66" i="2"/>
  <c r="M66" i="2"/>
  <c r="L80" i="2"/>
  <c r="N80" i="2" s="1"/>
  <c r="J80" i="2"/>
  <c r="M80" i="2" s="1"/>
  <c r="M44" i="2"/>
  <c r="O44" i="2"/>
  <c r="M49" i="2"/>
  <c r="O49" i="2"/>
  <c r="O54" i="2"/>
  <c r="J78" i="2"/>
  <c r="L78" i="2"/>
  <c r="N78" i="2" s="1"/>
  <c r="O18" i="2"/>
  <c r="J20" i="2"/>
  <c r="M20" i="2" s="1"/>
  <c r="L20" i="2"/>
  <c r="N20" i="2" s="1"/>
  <c r="L104" i="2"/>
  <c r="N104" i="2" s="1"/>
  <c r="J104" i="2"/>
  <c r="M104" i="2" s="1"/>
  <c r="N24" i="2"/>
  <c r="L49" i="2"/>
  <c r="N49" i="2" s="1"/>
  <c r="J49" i="2"/>
  <c r="J102" i="2"/>
  <c r="L102" i="2"/>
  <c r="N102" i="2" s="1"/>
  <c r="O103" i="2"/>
  <c r="M103" i="2"/>
  <c r="L68" i="2"/>
  <c r="N68" i="2" s="1"/>
  <c r="J68" i="2"/>
  <c r="M68" i="2" s="1"/>
  <c r="L8" i="2"/>
  <c r="N8" i="2" s="1"/>
  <c r="J8" i="2"/>
  <c r="M8" i="2" s="1"/>
  <c r="M3" i="4"/>
  <c r="J3" i="5"/>
  <c r="M3" i="5" s="1"/>
  <c r="L3" i="5"/>
  <c r="N3" i="5" s="1"/>
  <c r="O3" i="6"/>
  <c r="K9" i="6"/>
  <c r="I9" i="6"/>
  <c r="O6" i="6"/>
  <c r="J3" i="6"/>
  <c r="M3" i="6" s="1"/>
  <c r="L3" i="6"/>
  <c r="N3" i="6" s="1"/>
  <c r="B16" i="6"/>
  <c r="B19" i="6"/>
  <c r="B20" i="6" s="1"/>
  <c r="B11" i="6"/>
  <c r="B14" i="6"/>
  <c r="B17" i="6" s="1"/>
  <c r="K4" i="6"/>
  <c r="I4" i="6"/>
  <c r="L8" i="6"/>
  <c r="N8" i="6" s="1"/>
  <c r="J8" i="6"/>
  <c r="I5" i="6"/>
  <c r="K5" i="6"/>
  <c r="L6" i="6"/>
  <c r="N6" i="6" s="1"/>
  <c r="J6" i="6"/>
  <c r="M6" i="6" s="1"/>
  <c r="O8" i="6"/>
  <c r="L7" i="6"/>
  <c r="J7" i="6"/>
  <c r="B19" i="5"/>
  <c r="B20" i="5" s="1"/>
  <c r="B16" i="5"/>
  <c r="F6" i="5"/>
  <c r="J3" i="4"/>
  <c r="L3" i="4" s="1"/>
  <c r="H3" i="4"/>
  <c r="M4" i="4"/>
  <c r="D7" i="4"/>
  <c r="N5" i="4"/>
  <c r="G5" i="4"/>
  <c r="I5" i="4"/>
  <c r="H4" i="4"/>
  <c r="O4" i="4" s="1"/>
  <c r="J4" i="4"/>
  <c r="G5" i="3"/>
  <c r="M5" i="3" s="1"/>
  <c r="G4" i="3"/>
  <c r="K4" i="3" s="1"/>
  <c r="D7" i="3"/>
  <c r="B17" i="3"/>
  <c r="K3" i="3"/>
  <c r="I4" i="3"/>
  <c r="L4" i="3" s="1"/>
  <c r="H5" i="3"/>
  <c r="J5" i="3"/>
  <c r="L5" i="3" s="1"/>
  <c r="B14" i="2"/>
  <c r="B11" i="2"/>
  <c r="H4" i="1"/>
  <c r="E19" i="7" l="1"/>
  <c r="E17" i="7" s="1"/>
  <c r="G16" i="7"/>
  <c r="F18" i="7"/>
  <c r="M8" i="6"/>
  <c r="M7" i="6"/>
  <c r="G11" i="6"/>
  <c r="H11" i="6" s="1"/>
  <c r="N7" i="6"/>
  <c r="O7" i="6"/>
  <c r="K3" i="4"/>
  <c r="S8" i="4"/>
  <c r="E7" i="4"/>
  <c r="F7" i="4" s="1"/>
  <c r="O5" i="6"/>
  <c r="L9" i="6"/>
  <c r="N9" i="6" s="1"/>
  <c r="J9" i="6"/>
  <c r="M9" i="6" s="1"/>
  <c r="O9" i="6"/>
  <c r="L5" i="6"/>
  <c r="N5" i="6" s="1"/>
  <c r="J5" i="6"/>
  <c r="M5" i="6" s="1"/>
  <c r="J4" i="6"/>
  <c r="M4" i="6" s="1"/>
  <c r="L4" i="6"/>
  <c r="N4" i="6" s="1"/>
  <c r="O4" i="6"/>
  <c r="K10" i="6"/>
  <c r="I10" i="6"/>
  <c r="K4" i="5"/>
  <c r="I4" i="5"/>
  <c r="O4" i="5" s="1"/>
  <c r="F7" i="5"/>
  <c r="K5" i="5"/>
  <c r="I5" i="5"/>
  <c r="J4" i="5"/>
  <c r="L4" i="5"/>
  <c r="L4" i="4"/>
  <c r="P4" i="4"/>
  <c r="K4" i="4"/>
  <c r="P3" i="4"/>
  <c r="M5" i="4"/>
  <c r="N6" i="4"/>
  <c r="G6" i="4"/>
  <c r="I6" i="4"/>
  <c r="J5" i="4"/>
  <c r="H5" i="4"/>
  <c r="O5" i="4" s="1"/>
  <c r="D8" i="4"/>
  <c r="M4" i="3"/>
  <c r="K5" i="3"/>
  <c r="G6" i="3"/>
  <c r="M6" i="3" s="1"/>
  <c r="F6" i="3"/>
  <c r="I6" i="3"/>
  <c r="D8" i="3"/>
  <c r="F19" i="7" l="1"/>
  <c r="F17" i="7" s="1"/>
  <c r="G18" i="7"/>
  <c r="H16" i="7"/>
  <c r="G12" i="6"/>
  <c r="H12" i="6" s="1"/>
  <c r="K5" i="4"/>
  <c r="S9" i="4"/>
  <c r="E8" i="4"/>
  <c r="F8" i="4" s="1"/>
  <c r="I11" i="6"/>
  <c r="K11" i="6"/>
  <c r="O10" i="6"/>
  <c r="L10" i="6"/>
  <c r="N10" i="6" s="1"/>
  <c r="J10" i="6"/>
  <c r="M10" i="6" s="1"/>
  <c r="O5" i="5"/>
  <c r="L5" i="5"/>
  <c r="J5" i="5"/>
  <c r="F8" i="5"/>
  <c r="I6" i="5"/>
  <c r="K6" i="5"/>
  <c r="P5" i="4"/>
  <c r="L5" i="4"/>
  <c r="N7" i="4"/>
  <c r="G7" i="4"/>
  <c r="I7" i="4"/>
  <c r="D9" i="4"/>
  <c r="H6" i="4"/>
  <c r="O6" i="4" s="1"/>
  <c r="J6" i="4"/>
  <c r="M6" i="4"/>
  <c r="G7" i="3"/>
  <c r="F7" i="3"/>
  <c r="I7" i="3"/>
  <c r="D9" i="3"/>
  <c r="H6" i="3"/>
  <c r="K6" i="3" s="1"/>
  <c r="J6" i="3"/>
  <c r="L6" i="3" s="1"/>
  <c r="H18" i="7" l="1"/>
  <c r="I16" i="7"/>
  <c r="G19" i="7"/>
  <c r="G17" i="7" s="1"/>
  <c r="G13" i="6"/>
  <c r="H13" i="6" s="1"/>
  <c r="S10" i="4"/>
  <c r="E9" i="4"/>
  <c r="F9" i="4" s="1"/>
  <c r="L11" i="6"/>
  <c r="N11" i="6" s="1"/>
  <c r="J11" i="6"/>
  <c r="M11" i="6" s="1"/>
  <c r="O11" i="6"/>
  <c r="K12" i="6"/>
  <c r="I12" i="6"/>
  <c r="L6" i="5"/>
  <c r="J6" i="5"/>
  <c r="O6" i="5"/>
  <c r="K7" i="5"/>
  <c r="I7" i="5"/>
  <c r="F9" i="5"/>
  <c r="L6" i="4"/>
  <c r="P6" i="4"/>
  <c r="K6" i="4"/>
  <c r="D10" i="4"/>
  <c r="J7" i="4"/>
  <c r="H7" i="4"/>
  <c r="O7" i="4" s="1"/>
  <c r="M7" i="4"/>
  <c r="N8" i="4"/>
  <c r="I8" i="4"/>
  <c r="G8" i="4"/>
  <c r="I8" i="3"/>
  <c r="F8" i="3"/>
  <c r="G8" i="3"/>
  <c r="D10" i="3"/>
  <c r="H7" i="3"/>
  <c r="J7" i="3"/>
  <c r="L7" i="3" s="1"/>
  <c r="M7" i="3"/>
  <c r="K7" i="3"/>
  <c r="I18" i="7" l="1"/>
  <c r="J16" i="7"/>
  <c r="H19" i="7"/>
  <c r="H17" i="7" s="1"/>
  <c r="G14" i="6"/>
  <c r="H14" i="6" s="1"/>
  <c r="S11" i="4"/>
  <c r="E10" i="4"/>
  <c r="F10" i="4" s="1"/>
  <c r="O12" i="6"/>
  <c r="L12" i="6"/>
  <c r="N12" i="6" s="1"/>
  <c r="J12" i="6"/>
  <c r="M12" i="6" s="1"/>
  <c r="K13" i="6"/>
  <c r="I13" i="6"/>
  <c r="L7" i="5"/>
  <c r="J7" i="5"/>
  <c r="I8" i="5"/>
  <c r="K8" i="5"/>
  <c r="F10" i="5"/>
  <c r="O7" i="5"/>
  <c r="L7" i="4"/>
  <c r="P7" i="4"/>
  <c r="K7" i="4"/>
  <c r="M8" i="4"/>
  <c r="J8" i="4"/>
  <c r="H8" i="4"/>
  <c r="O8" i="4" s="1"/>
  <c r="D11" i="4"/>
  <c r="N9" i="4"/>
  <c r="G9" i="4"/>
  <c r="I9" i="4"/>
  <c r="I9" i="3"/>
  <c r="G9" i="3"/>
  <c r="M9" i="3" s="1"/>
  <c r="F9" i="3"/>
  <c r="D11" i="3"/>
  <c r="M8" i="3"/>
  <c r="J8" i="3"/>
  <c r="L8" i="3" s="1"/>
  <c r="H8" i="3"/>
  <c r="K8" i="3" s="1"/>
  <c r="J18" i="7" l="1"/>
  <c r="K16" i="7"/>
  <c r="I19" i="7"/>
  <c r="I17" i="7" s="1"/>
  <c r="G15" i="6"/>
  <c r="H15" i="6" s="1"/>
  <c r="S12" i="4"/>
  <c r="E11" i="4"/>
  <c r="F11" i="4" s="1"/>
  <c r="L13" i="6"/>
  <c r="N13" i="6" s="1"/>
  <c r="J13" i="6"/>
  <c r="M13" i="6" s="1"/>
  <c r="O13" i="6"/>
  <c r="K14" i="6"/>
  <c r="I14" i="6"/>
  <c r="I9" i="5"/>
  <c r="K9" i="5"/>
  <c r="F11" i="5"/>
  <c r="J8" i="5"/>
  <c r="L8" i="5"/>
  <c r="O8" i="5"/>
  <c r="L8" i="4"/>
  <c r="P8" i="4"/>
  <c r="K8" i="4"/>
  <c r="M9" i="4"/>
  <c r="H9" i="4"/>
  <c r="O9" i="4" s="1"/>
  <c r="J9" i="4"/>
  <c r="D12" i="4"/>
  <c r="I10" i="4"/>
  <c r="G10" i="4"/>
  <c r="N10" i="4"/>
  <c r="G10" i="3"/>
  <c r="I10" i="3"/>
  <c r="F10" i="3"/>
  <c r="D12" i="3"/>
  <c r="J9" i="3"/>
  <c r="L9" i="3" s="1"/>
  <c r="H9" i="3"/>
  <c r="K9" i="3" s="1"/>
  <c r="K18" i="7" l="1"/>
  <c r="L16" i="7"/>
  <c r="J19" i="7"/>
  <c r="J17" i="7" s="1"/>
  <c r="G16" i="6"/>
  <c r="H16" i="6" s="1"/>
  <c r="S13" i="4"/>
  <c r="E12" i="4"/>
  <c r="F12" i="4" s="1"/>
  <c r="J14" i="6"/>
  <c r="M14" i="6" s="1"/>
  <c r="L14" i="6"/>
  <c r="N14" i="6" s="1"/>
  <c r="K15" i="6"/>
  <c r="I15" i="6"/>
  <c r="O14" i="6"/>
  <c r="K10" i="5"/>
  <c r="I10" i="5"/>
  <c r="F12" i="5"/>
  <c r="L9" i="5"/>
  <c r="J9" i="5"/>
  <c r="O9" i="5"/>
  <c r="L9" i="4"/>
  <c r="P9" i="4"/>
  <c r="K9" i="4"/>
  <c r="D13" i="4"/>
  <c r="J10" i="4"/>
  <c r="H10" i="4"/>
  <c r="O10" i="4" s="1"/>
  <c r="M10" i="4"/>
  <c r="G11" i="4"/>
  <c r="N11" i="4"/>
  <c r="I11" i="4"/>
  <c r="G11" i="3"/>
  <c r="M11" i="3" s="1"/>
  <c r="I11" i="3"/>
  <c r="F11" i="3"/>
  <c r="D13" i="3"/>
  <c r="H10" i="3"/>
  <c r="J10" i="3"/>
  <c r="L10" i="3" s="1"/>
  <c r="M10" i="3"/>
  <c r="K10" i="3"/>
  <c r="L18" i="7" l="1"/>
  <c r="M16" i="7"/>
  <c r="K19" i="7"/>
  <c r="K17" i="7" s="1"/>
  <c r="G17" i="6"/>
  <c r="H17" i="6" s="1"/>
  <c r="S14" i="4"/>
  <c r="E13" i="4"/>
  <c r="F13" i="4" s="1"/>
  <c r="K16" i="6"/>
  <c r="I16" i="6"/>
  <c r="J15" i="6"/>
  <c r="M15" i="6" s="1"/>
  <c r="L15" i="6"/>
  <c r="N15" i="6" s="1"/>
  <c r="O15" i="6"/>
  <c r="K11" i="5"/>
  <c r="I11" i="5"/>
  <c r="O10" i="5"/>
  <c r="F13" i="5"/>
  <c r="J10" i="5"/>
  <c r="L10" i="5"/>
  <c r="L10" i="4"/>
  <c r="P10" i="4"/>
  <c r="K10" i="4"/>
  <c r="J11" i="4"/>
  <c r="H11" i="4"/>
  <c r="O11" i="4" s="1"/>
  <c r="D14" i="4"/>
  <c r="M11" i="4"/>
  <c r="I12" i="4"/>
  <c r="G12" i="4"/>
  <c r="N12" i="4"/>
  <c r="F12" i="3"/>
  <c r="I12" i="3"/>
  <c r="G12" i="3"/>
  <c r="M12" i="3" s="1"/>
  <c r="D14" i="3"/>
  <c r="H11" i="3"/>
  <c r="K11" i="3" s="1"/>
  <c r="J11" i="3"/>
  <c r="L11" i="3" s="1"/>
  <c r="M18" i="7" l="1"/>
  <c r="N16" i="7"/>
  <c r="L19" i="7"/>
  <c r="L17" i="7" s="1"/>
  <c r="G18" i="6"/>
  <c r="H18" i="6" s="1"/>
  <c r="S15" i="4"/>
  <c r="E14" i="4"/>
  <c r="F14" i="4" s="1"/>
  <c r="I17" i="6"/>
  <c r="K17" i="6"/>
  <c r="L16" i="6"/>
  <c r="N16" i="6" s="1"/>
  <c r="J16" i="6"/>
  <c r="M16" i="6" s="1"/>
  <c r="O16" i="6"/>
  <c r="L11" i="5"/>
  <c r="J11" i="5"/>
  <c r="I12" i="5"/>
  <c r="K12" i="5"/>
  <c r="F14" i="5"/>
  <c r="O11" i="5"/>
  <c r="L11" i="4"/>
  <c r="P11" i="4"/>
  <c r="K11" i="4"/>
  <c r="M12" i="4"/>
  <c r="J12" i="4"/>
  <c r="H12" i="4"/>
  <c r="O12" i="4" s="1"/>
  <c r="D15" i="4"/>
  <c r="N13" i="4"/>
  <c r="I13" i="4"/>
  <c r="G13" i="4"/>
  <c r="D15" i="3"/>
  <c r="F13" i="3"/>
  <c r="G13" i="3"/>
  <c r="M13" i="3" s="1"/>
  <c r="I13" i="3"/>
  <c r="J12" i="3"/>
  <c r="L12" i="3" s="1"/>
  <c r="H12" i="3"/>
  <c r="K12" i="3" s="1"/>
  <c r="N18" i="7" l="1"/>
  <c r="O16" i="7"/>
  <c r="M19" i="7"/>
  <c r="M17" i="7" s="1"/>
  <c r="G19" i="6"/>
  <c r="H19" i="6" s="1"/>
  <c r="S16" i="4"/>
  <c r="E15" i="4"/>
  <c r="F15" i="4" s="1"/>
  <c r="I18" i="6"/>
  <c r="K18" i="6"/>
  <c r="L17" i="6"/>
  <c r="N17" i="6" s="1"/>
  <c r="J17" i="6"/>
  <c r="M17" i="6" s="1"/>
  <c r="O17" i="6"/>
  <c r="K13" i="5"/>
  <c r="I13" i="5"/>
  <c r="F15" i="5"/>
  <c r="J12" i="5"/>
  <c r="L12" i="5"/>
  <c r="O12" i="5"/>
  <c r="L12" i="4"/>
  <c r="P12" i="4"/>
  <c r="K12" i="4"/>
  <c r="G14" i="4"/>
  <c r="N14" i="4"/>
  <c r="I14" i="4"/>
  <c r="M13" i="4"/>
  <c r="H13" i="4"/>
  <c r="O13" i="4" s="1"/>
  <c r="J13" i="4"/>
  <c r="D16" i="4"/>
  <c r="H13" i="3"/>
  <c r="K13" i="3" s="1"/>
  <c r="J13" i="3"/>
  <c r="L13" i="3" s="1"/>
  <c r="D16" i="3"/>
  <c r="G14" i="3"/>
  <c r="I14" i="3"/>
  <c r="F14" i="3"/>
  <c r="O18" i="7" l="1"/>
  <c r="P16" i="7"/>
  <c r="N19" i="7"/>
  <c r="N17" i="7"/>
  <c r="G20" i="6"/>
  <c r="H20" i="6" s="1"/>
  <c r="S17" i="4"/>
  <c r="E16" i="4"/>
  <c r="F16" i="4" s="1"/>
  <c r="L18" i="6"/>
  <c r="N18" i="6" s="1"/>
  <c r="J18" i="6"/>
  <c r="M18" i="6" s="1"/>
  <c r="K19" i="6"/>
  <c r="I19" i="6"/>
  <c r="O18" i="6"/>
  <c r="L13" i="5"/>
  <c r="J13" i="5"/>
  <c r="K14" i="5"/>
  <c r="I14" i="5"/>
  <c r="F16" i="5"/>
  <c r="O13" i="5"/>
  <c r="L13" i="4"/>
  <c r="P13" i="4"/>
  <c r="K13" i="4"/>
  <c r="J14" i="4"/>
  <c r="H14" i="4"/>
  <c r="O14" i="4" s="1"/>
  <c r="D17" i="4"/>
  <c r="G15" i="4"/>
  <c r="I15" i="4"/>
  <c r="N15" i="4"/>
  <c r="M14" i="4"/>
  <c r="M14" i="3"/>
  <c r="J14" i="3"/>
  <c r="L14" i="3" s="1"/>
  <c r="H14" i="3"/>
  <c r="K14" i="3" s="1"/>
  <c r="G15" i="3"/>
  <c r="M15" i="3" s="1"/>
  <c r="I15" i="3"/>
  <c r="F15" i="3"/>
  <c r="D17" i="3"/>
  <c r="P18" i="7" l="1"/>
  <c r="Q16" i="7"/>
  <c r="O19" i="7"/>
  <c r="O17" i="7"/>
  <c r="G21" i="6"/>
  <c r="H21" i="6" s="1"/>
  <c r="S18" i="4"/>
  <c r="E17" i="4"/>
  <c r="F17" i="4" s="1"/>
  <c r="I20" i="6"/>
  <c r="K20" i="6"/>
  <c r="L19" i="6"/>
  <c r="N19" i="6" s="1"/>
  <c r="J19" i="6"/>
  <c r="M19" i="6" s="1"/>
  <c r="O19" i="6"/>
  <c r="K15" i="5"/>
  <c r="I15" i="5"/>
  <c r="F17" i="5"/>
  <c r="O14" i="5"/>
  <c r="L14" i="5"/>
  <c r="J14" i="5"/>
  <c r="L14" i="4"/>
  <c r="P14" i="4"/>
  <c r="K14" i="4"/>
  <c r="H15" i="4"/>
  <c r="O15" i="4" s="1"/>
  <c r="J15" i="4"/>
  <c r="M15" i="4"/>
  <c r="D18" i="4"/>
  <c r="G16" i="4"/>
  <c r="N16" i="4"/>
  <c r="I16" i="4"/>
  <c r="D18" i="3"/>
  <c r="G16" i="3"/>
  <c r="F16" i="3"/>
  <c r="I16" i="3"/>
  <c r="J15" i="3"/>
  <c r="L15" i="3" s="1"/>
  <c r="H15" i="3"/>
  <c r="K15" i="3" s="1"/>
  <c r="Q18" i="7" l="1"/>
  <c r="R16" i="7"/>
  <c r="P19" i="7"/>
  <c r="P17" i="7" s="1"/>
  <c r="G22" i="6"/>
  <c r="H22" i="6" s="1"/>
  <c r="S19" i="4"/>
  <c r="E18" i="4"/>
  <c r="F18" i="4" s="1"/>
  <c r="K21" i="6"/>
  <c r="I21" i="6"/>
  <c r="L20" i="6"/>
  <c r="N20" i="6" s="1"/>
  <c r="J20" i="6"/>
  <c r="M20" i="6" s="1"/>
  <c r="O20" i="6"/>
  <c r="O15" i="5"/>
  <c r="F18" i="5"/>
  <c r="I16" i="5"/>
  <c r="K16" i="5"/>
  <c r="L15" i="5"/>
  <c r="J15" i="5"/>
  <c r="L15" i="4"/>
  <c r="P15" i="4"/>
  <c r="K15" i="4"/>
  <c r="J16" i="4"/>
  <c r="H16" i="4"/>
  <c r="O16" i="4" s="1"/>
  <c r="M16" i="4"/>
  <c r="D19" i="4"/>
  <c r="G17" i="4"/>
  <c r="N17" i="4"/>
  <c r="I17" i="4"/>
  <c r="J16" i="3"/>
  <c r="L16" i="3" s="1"/>
  <c r="H16" i="3"/>
  <c r="K16" i="3" s="1"/>
  <c r="M16" i="3"/>
  <c r="D19" i="3"/>
  <c r="F17" i="3"/>
  <c r="I17" i="3"/>
  <c r="G17" i="3"/>
  <c r="M17" i="3" s="1"/>
  <c r="R18" i="7" l="1"/>
  <c r="S16" i="7"/>
  <c r="Q19" i="7"/>
  <c r="Q17" i="7"/>
  <c r="G23" i="6"/>
  <c r="H23" i="6" s="1"/>
  <c r="S20" i="4"/>
  <c r="E19" i="4"/>
  <c r="F19" i="4" s="1"/>
  <c r="K22" i="6"/>
  <c r="I22" i="6"/>
  <c r="O21" i="6"/>
  <c r="L21" i="6"/>
  <c r="N21" i="6" s="1"/>
  <c r="J21" i="6"/>
  <c r="M21" i="6" s="1"/>
  <c r="O16" i="5"/>
  <c r="J16" i="5"/>
  <c r="L16" i="5"/>
  <c r="K17" i="5"/>
  <c r="I17" i="5"/>
  <c r="F19" i="5"/>
  <c r="L16" i="4"/>
  <c r="P16" i="4"/>
  <c r="K16" i="4"/>
  <c r="H17" i="4"/>
  <c r="O17" i="4" s="1"/>
  <c r="J17" i="4"/>
  <c r="M17" i="4"/>
  <c r="G18" i="4"/>
  <c r="N18" i="4"/>
  <c r="I18" i="4"/>
  <c r="D20" i="4"/>
  <c r="G18" i="3"/>
  <c r="M18" i="3" s="1"/>
  <c r="F18" i="3"/>
  <c r="I18" i="3"/>
  <c r="H17" i="3"/>
  <c r="K17" i="3" s="1"/>
  <c r="J17" i="3"/>
  <c r="L17" i="3" s="1"/>
  <c r="D20" i="3"/>
  <c r="S18" i="7" l="1"/>
  <c r="T16" i="7"/>
  <c r="R19" i="7"/>
  <c r="R17" i="7"/>
  <c r="G24" i="6"/>
  <c r="H24" i="6" s="1"/>
  <c r="S21" i="4"/>
  <c r="E20" i="4"/>
  <c r="F20" i="4" s="1"/>
  <c r="K23" i="6"/>
  <c r="I23" i="6"/>
  <c r="L22" i="6"/>
  <c r="N22" i="6" s="1"/>
  <c r="J22" i="6"/>
  <c r="M22" i="6" s="1"/>
  <c r="O22" i="6"/>
  <c r="F20" i="5"/>
  <c r="O17" i="5"/>
  <c r="I18" i="5"/>
  <c r="K18" i="5"/>
  <c r="J17" i="5"/>
  <c r="L17" i="5"/>
  <c r="P17" i="4"/>
  <c r="L17" i="4"/>
  <c r="K17" i="4"/>
  <c r="G19" i="4"/>
  <c r="I19" i="4"/>
  <c r="N19" i="4"/>
  <c r="D21" i="4"/>
  <c r="M18" i="4"/>
  <c r="H18" i="4"/>
  <c r="O18" i="4" s="1"/>
  <c r="J18" i="4"/>
  <c r="G19" i="3"/>
  <c r="F19" i="3"/>
  <c r="I19" i="3"/>
  <c r="D21" i="3"/>
  <c r="J18" i="3"/>
  <c r="L18" i="3" s="1"/>
  <c r="H18" i="3"/>
  <c r="K18" i="3" s="1"/>
  <c r="T18" i="7" l="1"/>
  <c r="U16" i="7"/>
  <c r="S19" i="7"/>
  <c r="S17" i="7" s="1"/>
  <c r="G25" i="6"/>
  <c r="H25" i="6" s="1"/>
  <c r="S22" i="4"/>
  <c r="E21" i="4"/>
  <c r="F21" i="4" s="1"/>
  <c r="O23" i="6"/>
  <c r="L23" i="6"/>
  <c r="N23" i="6" s="1"/>
  <c r="J23" i="6"/>
  <c r="M23" i="6" s="1"/>
  <c r="I24" i="6"/>
  <c r="K24" i="6"/>
  <c r="L18" i="5"/>
  <c r="J18" i="5"/>
  <c r="O18" i="5"/>
  <c r="F21" i="5"/>
  <c r="K19" i="5"/>
  <c r="I19" i="5"/>
  <c r="L18" i="4"/>
  <c r="P18" i="4"/>
  <c r="K18" i="4"/>
  <c r="G20" i="4"/>
  <c r="I20" i="4"/>
  <c r="N20" i="4"/>
  <c r="D22" i="4"/>
  <c r="H19" i="4"/>
  <c r="O19" i="4" s="1"/>
  <c r="J19" i="4"/>
  <c r="M19" i="4"/>
  <c r="F20" i="3"/>
  <c r="I20" i="3"/>
  <c r="G20" i="3"/>
  <c r="M20" i="3" s="1"/>
  <c r="D22" i="3"/>
  <c r="J19" i="3"/>
  <c r="L19" i="3" s="1"/>
  <c r="H19" i="3"/>
  <c r="M19" i="3"/>
  <c r="K19" i="3"/>
  <c r="U18" i="7" l="1"/>
  <c r="V16" i="7"/>
  <c r="T19" i="7"/>
  <c r="T17" i="7" s="1"/>
  <c r="G26" i="6"/>
  <c r="H26" i="6" s="1"/>
  <c r="S23" i="4"/>
  <c r="E22" i="4"/>
  <c r="F22" i="4" s="1"/>
  <c r="K25" i="6"/>
  <c r="I25" i="6"/>
  <c r="L24" i="6"/>
  <c r="N24" i="6" s="1"/>
  <c r="J24" i="6"/>
  <c r="M24" i="6" s="1"/>
  <c r="O24" i="6"/>
  <c r="O19" i="5"/>
  <c r="J19" i="5"/>
  <c r="L19" i="5"/>
  <c r="F22" i="5"/>
  <c r="I20" i="5"/>
  <c r="K20" i="5"/>
  <c r="P19" i="4"/>
  <c r="L19" i="4"/>
  <c r="K19" i="4"/>
  <c r="H20" i="4"/>
  <c r="O20" i="4" s="1"/>
  <c r="J20" i="4"/>
  <c r="M20" i="4"/>
  <c r="I21" i="4"/>
  <c r="G21" i="4"/>
  <c r="N21" i="4"/>
  <c r="D23" i="4"/>
  <c r="D23" i="3"/>
  <c r="G21" i="3"/>
  <c r="M21" i="3" s="1"/>
  <c r="F21" i="3"/>
  <c r="I21" i="3"/>
  <c r="H20" i="3"/>
  <c r="K20" i="3" s="1"/>
  <c r="J20" i="3"/>
  <c r="L20" i="3" s="1"/>
  <c r="V18" i="7" l="1"/>
  <c r="W16" i="7"/>
  <c r="U19" i="7"/>
  <c r="U17" i="7"/>
  <c r="G27" i="6"/>
  <c r="H27" i="6" s="1"/>
  <c r="S24" i="4"/>
  <c r="E23" i="4"/>
  <c r="F23" i="4" s="1"/>
  <c r="K26" i="6"/>
  <c r="I26" i="6"/>
  <c r="O25" i="6"/>
  <c r="L25" i="6"/>
  <c r="N25" i="6" s="1"/>
  <c r="J25" i="6"/>
  <c r="M25" i="6" s="1"/>
  <c r="L20" i="5"/>
  <c r="J20" i="5"/>
  <c r="O20" i="5"/>
  <c r="F23" i="5"/>
  <c r="K21" i="5"/>
  <c r="I21" i="5"/>
  <c r="L20" i="4"/>
  <c r="P20" i="4"/>
  <c r="K20" i="4"/>
  <c r="D24" i="4"/>
  <c r="G22" i="4"/>
  <c r="I22" i="4"/>
  <c r="N22" i="4"/>
  <c r="H21" i="4"/>
  <c r="O21" i="4" s="1"/>
  <c r="J21" i="4"/>
  <c r="M21" i="4"/>
  <c r="J21" i="3"/>
  <c r="L21" i="3" s="1"/>
  <c r="H21" i="3"/>
  <c r="K21" i="3" s="1"/>
  <c r="G22" i="3"/>
  <c r="I22" i="3"/>
  <c r="F22" i="3"/>
  <c r="D24" i="3"/>
  <c r="W18" i="7" l="1"/>
  <c r="X16" i="7"/>
  <c r="V19" i="7"/>
  <c r="V17" i="7"/>
  <c r="G28" i="6"/>
  <c r="H28" i="6" s="1"/>
  <c r="S25" i="4"/>
  <c r="E24" i="4"/>
  <c r="F24" i="4" s="1"/>
  <c r="K27" i="6"/>
  <c r="I27" i="6"/>
  <c r="L26" i="6"/>
  <c r="N26" i="6" s="1"/>
  <c r="J26" i="6"/>
  <c r="M26" i="6" s="1"/>
  <c r="O26" i="6"/>
  <c r="K22" i="5"/>
  <c r="I22" i="5"/>
  <c r="J21" i="5"/>
  <c r="L21" i="5"/>
  <c r="O21" i="5"/>
  <c r="F24" i="5"/>
  <c r="P21" i="4"/>
  <c r="L21" i="4"/>
  <c r="K21" i="4"/>
  <c r="J22" i="4"/>
  <c r="H22" i="4"/>
  <c r="O22" i="4" s="1"/>
  <c r="M22" i="4"/>
  <c r="G23" i="4"/>
  <c r="N23" i="4"/>
  <c r="I23" i="4"/>
  <c r="D25" i="4"/>
  <c r="I23" i="3"/>
  <c r="G23" i="3"/>
  <c r="F23" i="3"/>
  <c r="D25" i="3"/>
  <c r="J22" i="3"/>
  <c r="L22" i="3" s="1"/>
  <c r="H22" i="3"/>
  <c r="M22" i="3"/>
  <c r="K22" i="3"/>
  <c r="X18" i="7" l="1"/>
  <c r="Y16" i="7"/>
  <c r="W19" i="7"/>
  <c r="W17" i="7" s="1"/>
  <c r="G29" i="6"/>
  <c r="H29" i="6" s="1"/>
  <c r="S26" i="4"/>
  <c r="E25" i="4"/>
  <c r="F25" i="4" s="1"/>
  <c r="I28" i="6"/>
  <c r="K28" i="6"/>
  <c r="L27" i="6"/>
  <c r="N27" i="6" s="1"/>
  <c r="J27" i="6"/>
  <c r="M27" i="6" s="1"/>
  <c r="O27" i="6"/>
  <c r="F25" i="5"/>
  <c r="K23" i="5"/>
  <c r="I23" i="5"/>
  <c r="L22" i="5"/>
  <c r="J22" i="5"/>
  <c r="O22" i="5"/>
  <c r="L22" i="4"/>
  <c r="P22" i="4"/>
  <c r="K22" i="4"/>
  <c r="I24" i="4"/>
  <c r="G24" i="4"/>
  <c r="N24" i="4"/>
  <c r="D26" i="4"/>
  <c r="H23" i="4"/>
  <c r="O23" i="4" s="1"/>
  <c r="J23" i="4"/>
  <c r="M23" i="4"/>
  <c r="I24" i="3"/>
  <c r="G24" i="3"/>
  <c r="F24" i="3"/>
  <c r="D26" i="3"/>
  <c r="J23" i="3"/>
  <c r="L23" i="3" s="1"/>
  <c r="H23" i="3"/>
  <c r="M23" i="3"/>
  <c r="K23" i="3"/>
  <c r="Y18" i="7" l="1"/>
  <c r="Z16" i="7"/>
  <c r="X19" i="7"/>
  <c r="X17" i="7" s="1"/>
  <c r="G30" i="6"/>
  <c r="H30" i="6" s="1"/>
  <c r="S27" i="4"/>
  <c r="E26" i="4"/>
  <c r="F26" i="4" s="1"/>
  <c r="K29" i="6"/>
  <c r="I29" i="6"/>
  <c r="L28" i="6"/>
  <c r="N28" i="6" s="1"/>
  <c r="J28" i="6"/>
  <c r="M28" i="6" s="1"/>
  <c r="O28" i="6"/>
  <c r="L23" i="5"/>
  <c r="J23" i="5"/>
  <c r="K24" i="5"/>
  <c r="I24" i="5"/>
  <c r="O23" i="5"/>
  <c r="F26" i="5"/>
  <c r="L23" i="4"/>
  <c r="P23" i="4"/>
  <c r="K23" i="4"/>
  <c r="I25" i="4"/>
  <c r="N25" i="4"/>
  <c r="G25" i="4"/>
  <c r="H24" i="4"/>
  <c r="O24" i="4" s="1"/>
  <c r="J24" i="4"/>
  <c r="M24" i="4"/>
  <c r="D27" i="4"/>
  <c r="F25" i="3"/>
  <c r="I25" i="3"/>
  <c r="G25" i="3"/>
  <c r="M25" i="3" s="1"/>
  <c r="D27" i="3"/>
  <c r="J24" i="3"/>
  <c r="L24" i="3" s="1"/>
  <c r="H24" i="3"/>
  <c r="K24" i="3" s="1"/>
  <c r="M24" i="3"/>
  <c r="Z18" i="7" l="1"/>
  <c r="AA16" i="7"/>
  <c r="Y19" i="7"/>
  <c r="Y17" i="7"/>
  <c r="G31" i="6"/>
  <c r="H31" i="6" s="1"/>
  <c r="S28" i="4"/>
  <c r="E27" i="4"/>
  <c r="F27" i="4" s="1"/>
  <c r="I30" i="6"/>
  <c r="K30" i="6"/>
  <c r="O29" i="6"/>
  <c r="L29" i="6"/>
  <c r="N29" i="6" s="1"/>
  <c r="J29" i="6"/>
  <c r="M29" i="6" s="1"/>
  <c r="K25" i="5"/>
  <c r="I25" i="5"/>
  <c r="J24" i="5"/>
  <c r="L24" i="5"/>
  <c r="O24" i="5"/>
  <c r="F27" i="5"/>
  <c r="L24" i="4"/>
  <c r="P24" i="4"/>
  <c r="K24" i="4"/>
  <c r="D28" i="4"/>
  <c r="I26" i="4"/>
  <c r="G26" i="4"/>
  <c r="N26" i="4"/>
  <c r="M25" i="4"/>
  <c r="J25" i="4"/>
  <c r="H25" i="4"/>
  <c r="O25" i="4" s="1"/>
  <c r="G26" i="3"/>
  <c r="I26" i="3"/>
  <c r="F26" i="3"/>
  <c r="D28" i="3"/>
  <c r="J25" i="3"/>
  <c r="L25" i="3" s="1"/>
  <c r="H25" i="3"/>
  <c r="K25" i="3" s="1"/>
  <c r="AA18" i="7" l="1"/>
  <c r="AB16" i="7"/>
  <c r="Z19" i="7"/>
  <c r="Z17" i="7"/>
  <c r="G32" i="6"/>
  <c r="H32" i="6" s="1"/>
  <c r="S29" i="4"/>
  <c r="E28" i="4"/>
  <c r="F28" i="4" s="1"/>
  <c r="I31" i="6"/>
  <c r="K31" i="6"/>
  <c r="L30" i="6"/>
  <c r="N30" i="6" s="1"/>
  <c r="J30" i="6"/>
  <c r="M30" i="6" s="1"/>
  <c r="O30" i="6"/>
  <c r="F28" i="5"/>
  <c r="I26" i="5"/>
  <c r="K26" i="5"/>
  <c r="L25" i="5"/>
  <c r="J25" i="5"/>
  <c r="O25" i="5"/>
  <c r="L25" i="4"/>
  <c r="P25" i="4"/>
  <c r="K25" i="4"/>
  <c r="M26" i="4"/>
  <c r="D29" i="4"/>
  <c r="J26" i="4"/>
  <c r="H26" i="4"/>
  <c r="O26" i="4" s="1"/>
  <c r="N27" i="4"/>
  <c r="G27" i="4"/>
  <c r="I27" i="4"/>
  <c r="D29" i="3"/>
  <c r="I27" i="3"/>
  <c r="F27" i="3"/>
  <c r="G27" i="3"/>
  <c r="M27" i="3" s="1"/>
  <c r="J26" i="3"/>
  <c r="L26" i="3" s="1"/>
  <c r="H26" i="3"/>
  <c r="M26" i="3"/>
  <c r="K26" i="3"/>
  <c r="AB18" i="7" l="1"/>
  <c r="AC16" i="7"/>
  <c r="AA19" i="7"/>
  <c r="AA17" i="7" s="1"/>
  <c r="G33" i="6"/>
  <c r="H33" i="6" s="1"/>
  <c r="S30" i="4"/>
  <c r="E29" i="4"/>
  <c r="F29" i="4" s="1"/>
  <c r="I32" i="6"/>
  <c r="K32" i="6"/>
  <c r="J31" i="6"/>
  <c r="M31" i="6" s="1"/>
  <c r="L31" i="6"/>
  <c r="N31" i="6" s="1"/>
  <c r="O31" i="6"/>
  <c r="J26" i="5"/>
  <c r="L26" i="5"/>
  <c r="O26" i="5"/>
  <c r="K27" i="5"/>
  <c r="I27" i="5"/>
  <c r="F29" i="5"/>
  <c r="L26" i="4"/>
  <c r="P26" i="4"/>
  <c r="K26" i="4"/>
  <c r="J27" i="4"/>
  <c r="H27" i="4"/>
  <c r="O27" i="4" s="1"/>
  <c r="M27" i="4"/>
  <c r="I28" i="4"/>
  <c r="G28" i="4"/>
  <c r="N28" i="4"/>
  <c r="D30" i="4"/>
  <c r="J27" i="3"/>
  <c r="L27" i="3" s="1"/>
  <c r="H27" i="3"/>
  <c r="K27" i="3" s="1"/>
  <c r="D30" i="3"/>
  <c r="G28" i="3"/>
  <c r="F28" i="3"/>
  <c r="I28" i="3"/>
  <c r="AC18" i="7" l="1"/>
  <c r="AD16" i="7"/>
  <c r="AB19" i="7"/>
  <c r="AB17" i="7"/>
  <c r="G34" i="6"/>
  <c r="H34" i="6" s="1"/>
  <c r="S31" i="4"/>
  <c r="E30" i="4"/>
  <c r="F30" i="4" s="1"/>
  <c r="K27" i="4"/>
  <c r="O32" i="6"/>
  <c r="L32" i="6"/>
  <c r="N32" i="6" s="1"/>
  <c r="J32" i="6"/>
  <c r="M32" i="6" s="1"/>
  <c r="K33" i="6"/>
  <c r="I33" i="6"/>
  <c r="K28" i="5"/>
  <c r="I28" i="5"/>
  <c r="O27" i="5"/>
  <c r="F30" i="5"/>
  <c r="J27" i="5"/>
  <c r="L27" i="5"/>
  <c r="K28" i="4"/>
  <c r="L27" i="4"/>
  <c r="P27" i="4"/>
  <c r="N29" i="4"/>
  <c r="G29" i="4"/>
  <c r="I29" i="4"/>
  <c r="D31" i="4"/>
  <c r="J28" i="4"/>
  <c r="H28" i="4"/>
  <c r="O28" i="4" s="1"/>
  <c r="M28" i="4"/>
  <c r="J28" i="3"/>
  <c r="L28" i="3" s="1"/>
  <c r="H28" i="3"/>
  <c r="K28" i="3" s="1"/>
  <c r="M28" i="3"/>
  <c r="F29" i="3"/>
  <c r="I29" i="3"/>
  <c r="G29" i="3"/>
  <c r="D31" i="3"/>
  <c r="AD18" i="7" l="1"/>
  <c r="AE16" i="7"/>
  <c r="AC19" i="7"/>
  <c r="AC17" i="7" s="1"/>
  <c r="G35" i="6"/>
  <c r="H35" i="6" s="1"/>
  <c r="S32" i="4"/>
  <c r="E31" i="4"/>
  <c r="F31" i="4" s="1"/>
  <c r="K34" i="6"/>
  <c r="I34" i="6"/>
  <c r="O33" i="6"/>
  <c r="J33" i="6"/>
  <c r="M33" i="6" s="1"/>
  <c r="L33" i="6"/>
  <c r="N33" i="6" s="1"/>
  <c r="I29" i="5"/>
  <c r="K29" i="5"/>
  <c r="F31" i="5"/>
  <c r="O28" i="5"/>
  <c r="L28" i="5"/>
  <c r="J28" i="5"/>
  <c r="L28" i="4"/>
  <c r="P28" i="4"/>
  <c r="N30" i="4"/>
  <c r="I30" i="4"/>
  <c r="G30" i="4"/>
  <c r="H29" i="4"/>
  <c r="O29" i="4" s="1"/>
  <c r="J29" i="4"/>
  <c r="D32" i="4"/>
  <c r="M29" i="4"/>
  <c r="D32" i="3"/>
  <c r="G30" i="3"/>
  <c r="F30" i="3"/>
  <c r="I30" i="3"/>
  <c r="M29" i="3"/>
  <c r="J29" i="3"/>
  <c r="L29" i="3" s="1"/>
  <c r="H29" i="3"/>
  <c r="K29" i="3" s="1"/>
  <c r="AE18" i="7" l="1"/>
  <c r="AF16" i="7"/>
  <c r="AD19" i="7"/>
  <c r="AD17" i="7" s="1"/>
  <c r="G36" i="6"/>
  <c r="H36" i="6" s="1"/>
  <c r="S33" i="4"/>
  <c r="E32" i="4"/>
  <c r="F32" i="4" s="1"/>
  <c r="O34" i="6"/>
  <c r="L34" i="6"/>
  <c r="N34" i="6" s="1"/>
  <c r="J34" i="6"/>
  <c r="M34" i="6" s="1"/>
  <c r="I35" i="6"/>
  <c r="K35" i="6"/>
  <c r="L29" i="5"/>
  <c r="J29" i="5"/>
  <c r="I30" i="5"/>
  <c r="K30" i="5"/>
  <c r="F32" i="5"/>
  <c r="O29" i="5"/>
  <c r="P29" i="4"/>
  <c r="L29" i="4"/>
  <c r="K29" i="4"/>
  <c r="I31" i="4"/>
  <c r="G31" i="4"/>
  <c r="N31" i="4"/>
  <c r="D33" i="4"/>
  <c r="H30" i="4"/>
  <c r="O30" i="4" s="1"/>
  <c r="J30" i="4"/>
  <c r="M30" i="4"/>
  <c r="J30" i="3"/>
  <c r="L30" i="3" s="1"/>
  <c r="H30" i="3"/>
  <c r="K30" i="3" s="1"/>
  <c r="M30" i="3"/>
  <c r="D33" i="3"/>
  <c r="F31" i="3"/>
  <c r="I31" i="3"/>
  <c r="G31" i="3"/>
  <c r="M31" i="3" s="1"/>
  <c r="AF18" i="7" l="1"/>
  <c r="AG16" i="7"/>
  <c r="AE19" i="7"/>
  <c r="AE17" i="7"/>
  <c r="G37" i="6"/>
  <c r="H37" i="6" s="1"/>
  <c r="S34" i="4"/>
  <c r="E33" i="4"/>
  <c r="F33" i="4" s="1"/>
  <c r="L35" i="6"/>
  <c r="N35" i="6" s="1"/>
  <c r="J35" i="6"/>
  <c r="M35" i="6" s="1"/>
  <c r="O35" i="6"/>
  <c r="K36" i="6"/>
  <c r="I36" i="6"/>
  <c r="F33" i="5"/>
  <c r="K31" i="5"/>
  <c r="I31" i="5"/>
  <c r="L30" i="5"/>
  <c r="J30" i="5"/>
  <c r="O30" i="5"/>
  <c r="L30" i="4"/>
  <c r="P30" i="4"/>
  <c r="K30" i="4"/>
  <c r="D34" i="4"/>
  <c r="N32" i="4"/>
  <c r="I32" i="4"/>
  <c r="G32" i="4"/>
  <c r="M31" i="4"/>
  <c r="J31" i="4"/>
  <c r="H31" i="4"/>
  <c r="O31" i="4" s="1"/>
  <c r="H31" i="3"/>
  <c r="K31" i="3" s="1"/>
  <c r="J31" i="3"/>
  <c r="L31" i="3" s="1"/>
  <c r="D34" i="3"/>
  <c r="I32" i="3"/>
  <c r="F32" i="3"/>
  <c r="G32" i="3"/>
  <c r="AG18" i="7" l="1"/>
  <c r="AH16" i="7"/>
  <c r="AF19" i="7"/>
  <c r="AF17" i="7"/>
  <c r="G38" i="6"/>
  <c r="H38" i="6" s="1"/>
  <c r="S35" i="4"/>
  <c r="E34" i="4"/>
  <c r="F34" i="4" s="1"/>
  <c r="O36" i="6"/>
  <c r="L36" i="6"/>
  <c r="N36" i="6" s="1"/>
  <c r="J36" i="6"/>
  <c r="M36" i="6" s="1"/>
  <c r="K37" i="6"/>
  <c r="I37" i="6"/>
  <c r="L31" i="5"/>
  <c r="J31" i="5"/>
  <c r="I32" i="5"/>
  <c r="K32" i="5"/>
  <c r="O31" i="5"/>
  <c r="F34" i="5"/>
  <c r="P31" i="4"/>
  <c r="L31" i="4"/>
  <c r="K31" i="4"/>
  <c r="M32" i="4"/>
  <c r="J32" i="4"/>
  <c r="H32" i="4"/>
  <c r="O32" i="4" s="1"/>
  <c r="D35" i="4"/>
  <c r="I33" i="4"/>
  <c r="G33" i="4"/>
  <c r="N33" i="4"/>
  <c r="M32" i="3"/>
  <c r="F33" i="3"/>
  <c r="G33" i="3"/>
  <c r="I33" i="3"/>
  <c r="D35" i="3"/>
  <c r="H32" i="3"/>
  <c r="K32" i="3" s="1"/>
  <c r="J32" i="3"/>
  <c r="L32" i="3" s="1"/>
  <c r="AH18" i="7" l="1"/>
  <c r="AI16" i="7"/>
  <c r="AG19" i="7"/>
  <c r="AG17" i="7"/>
  <c r="G39" i="6"/>
  <c r="H39" i="6" s="1"/>
  <c r="S36" i="4"/>
  <c r="E35" i="4"/>
  <c r="F35" i="4" s="1"/>
  <c r="O37" i="6"/>
  <c r="L37" i="6"/>
  <c r="N37" i="6" s="1"/>
  <c r="J37" i="6"/>
  <c r="M37" i="6" s="1"/>
  <c r="K38" i="6"/>
  <c r="I38" i="6"/>
  <c r="F35" i="5"/>
  <c r="K33" i="5"/>
  <c r="I33" i="5"/>
  <c r="J32" i="5"/>
  <c r="L32" i="5"/>
  <c r="O32" i="5"/>
  <c r="K32" i="4"/>
  <c r="L32" i="4"/>
  <c r="P32" i="4"/>
  <c r="H33" i="4"/>
  <c r="O33" i="4" s="1"/>
  <c r="J33" i="4"/>
  <c r="G34" i="4"/>
  <c r="I34" i="4"/>
  <c r="N34" i="4"/>
  <c r="M33" i="4"/>
  <c r="D36" i="4"/>
  <c r="G34" i="3"/>
  <c r="M34" i="3" s="1"/>
  <c r="F34" i="3"/>
  <c r="I34" i="3"/>
  <c r="D36" i="3"/>
  <c r="M33" i="3"/>
  <c r="J33" i="3"/>
  <c r="L33" i="3" s="1"/>
  <c r="H33" i="3"/>
  <c r="K33" i="3" s="1"/>
  <c r="AI18" i="7" l="1"/>
  <c r="AJ16" i="7"/>
  <c r="AH19" i="7"/>
  <c r="AH17" i="7"/>
  <c r="G40" i="6"/>
  <c r="H40" i="6" s="1"/>
  <c r="S37" i="4"/>
  <c r="E36" i="4"/>
  <c r="F36" i="4" s="1"/>
  <c r="K39" i="6"/>
  <c r="I39" i="6"/>
  <c r="O38" i="6"/>
  <c r="L38" i="6"/>
  <c r="N38" i="6" s="1"/>
  <c r="J38" i="6"/>
  <c r="M38" i="6" s="1"/>
  <c r="O33" i="5"/>
  <c r="K34" i="5"/>
  <c r="I34" i="5"/>
  <c r="J33" i="5"/>
  <c r="L33" i="5"/>
  <c r="F36" i="5"/>
  <c r="L33" i="4"/>
  <c r="P33" i="4"/>
  <c r="K33" i="4"/>
  <c r="M34" i="4"/>
  <c r="G35" i="4"/>
  <c r="I35" i="4"/>
  <c r="N35" i="4"/>
  <c r="D37" i="4"/>
  <c r="H34" i="4"/>
  <c r="O34" i="4" s="1"/>
  <c r="J34" i="4"/>
  <c r="G35" i="3"/>
  <c r="F35" i="3"/>
  <c r="I35" i="3"/>
  <c r="D37" i="3"/>
  <c r="H34" i="3"/>
  <c r="K34" i="3" s="1"/>
  <c r="J34" i="3"/>
  <c r="L34" i="3" s="1"/>
  <c r="AJ18" i="7" l="1"/>
  <c r="AK16" i="7"/>
  <c r="AI19" i="7"/>
  <c r="AI17" i="7" s="1"/>
  <c r="G41" i="6"/>
  <c r="H41" i="6" s="1"/>
  <c r="S38" i="4"/>
  <c r="E37" i="4"/>
  <c r="F37" i="4" s="1"/>
  <c r="K40" i="6"/>
  <c r="I40" i="6"/>
  <c r="J39" i="6"/>
  <c r="M39" i="6" s="1"/>
  <c r="L39" i="6"/>
  <c r="N39" i="6" s="1"/>
  <c r="O39" i="6"/>
  <c r="K35" i="5"/>
  <c r="I35" i="5"/>
  <c r="F37" i="5"/>
  <c r="O34" i="5"/>
  <c r="L34" i="5"/>
  <c r="J34" i="5"/>
  <c r="L34" i="4"/>
  <c r="P34" i="4"/>
  <c r="K34" i="4"/>
  <c r="I36" i="4"/>
  <c r="N36" i="4"/>
  <c r="G36" i="4"/>
  <c r="D38" i="4"/>
  <c r="H35" i="4"/>
  <c r="O35" i="4" s="1"/>
  <c r="J35" i="4"/>
  <c r="M35" i="4"/>
  <c r="F36" i="3"/>
  <c r="I36" i="3"/>
  <c r="G36" i="3"/>
  <c r="M36" i="3" s="1"/>
  <c r="D38" i="3"/>
  <c r="H35" i="3"/>
  <c r="J35" i="3"/>
  <c r="L35" i="3" s="1"/>
  <c r="M35" i="3"/>
  <c r="K35" i="3"/>
  <c r="AK18" i="7" l="1"/>
  <c r="AL16" i="7"/>
  <c r="AJ19" i="7"/>
  <c r="AJ17" i="7" s="1"/>
  <c r="G42" i="6"/>
  <c r="H42" i="6" s="1"/>
  <c r="S39" i="4"/>
  <c r="E38" i="4"/>
  <c r="F38" i="4" s="1"/>
  <c r="K41" i="6"/>
  <c r="I41" i="6"/>
  <c r="O40" i="6"/>
  <c r="L40" i="6"/>
  <c r="N40" i="6" s="1"/>
  <c r="J40" i="6"/>
  <c r="M40" i="6" s="1"/>
  <c r="I36" i="5"/>
  <c r="K36" i="5"/>
  <c r="F38" i="5"/>
  <c r="L35" i="5"/>
  <c r="J35" i="5"/>
  <c r="O35" i="5"/>
  <c r="K35" i="4"/>
  <c r="L35" i="4"/>
  <c r="P35" i="4"/>
  <c r="M36" i="4"/>
  <c r="I37" i="4"/>
  <c r="N37" i="4"/>
  <c r="G37" i="4"/>
  <c r="D39" i="4"/>
  <c r="H36" i="4"/>
  <c r="O36" i="4" s="1"/>
  <c r="J36" i="4"/>
  <c r="D39" i="3"/>
  <c r="F37" i="3"/>
  <c r="I37" i="3"/>
  <c r="G37" i="3"/>
  <c r="M37" i="3" s="1"/>
  <c r="H36" i="3"/>
  <c r="K36" i="3" s="1"/>
  <c r="J36" i="3"/>
  <c r="L36" i="3" s="1"/>
  <c r="AL18" i="7" l="1"/>
  <c r="AM16" i="7"/>
  <c r="AK19" i="7"/>
  <c r="AK17" i="7" s="1"/>
  <c r="G43" i="6"/>
  <c r="H43" i="6" s="1"/>
  <c r="S40" i="4"/>
  <c r="E39" i="4"/>
  <c r="F39" i="4" s="1"/>
  <c r="K42" i="6"/>
  <c r="I42" i="6"/>
  <c r="O41" i="6"/>
  <c r="L41" i="6"/>
  <c r="N41" i="6" s="1"/>
  <c r="J41" i="6"/>
  <c r="M41" i="6" s="1"/>
  <c r="K37" i="5"/>
  <c r="I37" i="5"/>
  <c r="F39" i="5"/>
  <c r="L36" i="5"/>
  <c r="J36" i="5"/>
  <c r="O36" i="5"/>
  <c r="L36" i="4"/>
  <c r="P36" i="4"/>
  <c r="K36" i="4"/>
  <c r="D40" i="4"/>
  <c r="M37" i="4"/>
  <c r="G38" i="4"/>
  <c r="N38" i="4"/>
  <c r="I38" i="4"/>
  <c r="J37" i="4"/>
  <c r="H37" i="4"/>
  <c r="O37" i="4" s="1"/>
  <c r="H37" i="3"/>
  <c r="K37" i="3" s="1"/>
  <c r="J37" i="3"/>
  <c r="L37" i="3" s="1"/>
  <c r="D40" i="3"/>
  <c r="I38" i="3"/>
  <c r="F38" i="3"/>
  <c r="G38" i="3"/>
  <c r="M38" i="3" s="1"/>
  <c r="AM18" i="7" l="1"/>
  <c r="AN16" i="7"/>
  <c r="AL19" i="7"/>
  <c r="AL17" i="7" s="1"/>
  <c r="G44" i="6"/>
  <c r="H44" i="6" s="1"/>
  <c r="S41" i="4"/>
  <c r="E40" i="4"/>
  <c r="F40" i="4" s="1"/>
  <c r="K43" i="6"/>
  <c r="I43" i="6"/>
  <c r="L42" i="6"/>
  <c r="N42" i="6" s="1"/>
  <c r="J42" i="6"/>
  <c r="M42" i="6" s="1"/>
  <c r="O42" i="6"/>
  <c r="O37" i="5"/>
  <c r="F40" i="5"/>
  <c r="I38" i="5"/>
  <c r="K38" i="5"/>
  <c r="J37" i="5"/>
  <c r="L37" i="5"/>
  <c r="P37" i="4"/>
  <c r="L37" i="4"/>
  <c r="K37" i="4"/>
  <c r="M38" i="4"/>
  <c r="D41" i="4"/>
  <c r="J38" i="4"/>
  <c r="H38" i="4"/>
  <c r="O38" i="4" s="1"/>
  <c r="I39" i="4"/>
  <c r="N39" i="4"/>
  <c r="G39" i="4"/>
  <c r="H38" i="3"/>
  <c r="K38" i="3" s="1"/>
  <c r="J38" i="3"/>
  <c r="L38" i="3" s="1"/>
  <c r="D41" i="3"/>
  <c r="G39" i="3"/>
  <c r="M39" i="3" s="1"/>
  <c r="F39" i="3"/>
  <c r="I39" i="3"/>
  <c r="AN18" i="7" l="1"/>
  <c r="AO16" i="7"/>
  <c r="AM19" i="7"/>
  <c r="AM17" i="7" s="1"/>
  <c r="G45" i="6"/>
  <c r="H45" i="6" s="1"/>
  <c r="S42" i="4"/>
  <c r="E41" i="4"/>
  <c r="F41" i="4" s="1"/>
  <c r="I44" i="6"/>
  <c r="K44" i="6"/>
  <c r="L43" i="6"/>
  <c r="N43" i="6" s="1"/>
  <c r="J43" i="6"/>
  <c r="M43" i="6" s="1"/>
  <c r="O43" i="6"/>
  <c r="O38" i="5"/>
  <c r="J38" i="5"/>
  <c r="L38" i="5"/>
  <c r="K39" i="5"/>
  <c r="I39" i="5"/>
  <c r="F41" i="5"/>
  <c r="P38" i="4"/>
  <c r="L38" i="4"/>
  <c r="K38" i="4"/>
  <c r="J39" i="4"/>
  <c r="H39" i="4"/>
  <c r="O39" i="4" s="1"/>
  <c r="M39" i="4"/>
  <c r="N40" i="4"/>
  <c r="G40" i="4"/>
  <c r="I40" i="4"/>
  <c r="D42" i="4"/>
  <c r="J39" i="3"/>
  <c r="L39" i="3" s="1"/>
  <c r="H39" i="3"/>
  <c r="K39" i="3" s="1"/>
  <c r="D42" i="3"/>
  <c r="I40" i="3"/>
  <c r="F40" i="3"/>
  <c r="G40" i="3"/>
  <c r="AO18" i="7" l="1"/>
  <c r="AP16" i="7"/>
  <c r="AN19" i="7"/>
  <c r="AN17" i="7"/>
  <c r="G46" i="6"/>
  <c r="H46" i="6" s="1"/>
  <c r="S43" i="4"/>
  <c r="E42" i="4"/>
  <c r="F42" i="4" s="1"/>
  <c r="O44" i="6"/>
  <c r="L44" i="6"/>
  <c r="N44" i="6" s="1"/>
  <c r="J44" i="6"/>
  <c r="M44" i="6" s="1"/>
  <c r="K45" i="6"/>
  <c r="I45" i="6"/>
  <c r="I40" i="5"/>
  <c r="K40" i="5"/>
  <c r="F42" i="5"/>
  <c r="J39" i="5"/>
  <c r="L39" i="5"/>
  <c r="O39" i="5"/>
  <c r="P39" i="4"/>
  <c r="L39" i="4"/>
  <c r="K39" i="4"/>
  <c r="N41" i="4"/>
  <c r="I41" i="4"/>
  <c r="G41" i="4"/>
  <c r="D43" i="4"/>
  <c r="H40" i="4"/>
  <c r="O40" i="4" s="1"/>
  <c r="J40" i="4"/>
  <c r="M40" i="4"/>
  <c r="M40" i="3"/>
  <c r="H40" i="3"/>
  <c r="K40" i="3" s="1"/>
  <c r="J40" i="3"/>
  <c r="L40" i="3" s="1"/>
  <c r="I41" i="3"/>
  <c r="G41" i="3"/>
  <c r="F41" i="3"/>
  <c r="D43" i="3"/>
  <c r="AP18" i="7" l="1"/>
  <c r="AQ16" i="7"/>
  <c r="AO19" i="7"/>
  <c r="AO17" i="7" s="1"/>
  <c r="G47" i="6"/>
  <c r="H47" i="6" s="1"/>
  <c r="S44" i="4"/>
  <c r="E43" i="4"/>
  <c r="F43" i="4" s="1"/>
  <c r="K46" i="6"/>
  <c r="I46" i="6"/>
  <c r="O45" i="6"/>
  <c r="J45" i="6"/>
  <c r="M45" i="6" s="1"/>
  <c r="L45" i="6"/>
  <c r="N45" i="6" s="1"/>
  <c r="I41" i="5"/>
  <c r="K41" i="5"/>
  <c r="F43" i="5"/>
  <c r="L40" i="5"/>
  <c r="J40" i="5"/>
  <c r="O40" i="5"/>
  <c r="L40" i="4"/>
  <c r="P40" i="4"/>
  <c r="K40" i="4"/>
  <c r="H41" i="4"/>
  <c r="O41" i="4" s="1"/>
  <c r="J41" i="4"/>
  <c r="M41" i="4"/>
  <c r="N42" i="4"/>
  <c r="G42" i="4"/>
  <c r="I42" i="4"/>
  <c r="D44" i="4"/>
  <c r="D44" i="3"/>
  <c r="I42" i="3"/>
  <c r="G42" i="3"/>
  <c r="M42" i="3" s="1"/>
  <c r="F42" i="3"/>
  <c r="J41" i="3"/>
  <c r="L41" i="3" s="1"/>
  <c r="H41" i="3"/>
  <c r="K41" i="3" s="1"/>
  <c r="M41" i="3"/>
  <c r="AQ18" i="7" l="1"/>
  <c r="AR16" i="7"/>
  <c r="AP19" i="7"/>
  <c r="AP17" i="7"/>
  <c r="G48" i="6"/>
  <c r="H48" i="6" s="1"/>
  <c r="S45" i="4"/>
  <c r="E44" i="4"/>
  <c r="F44" i="4" s="1"/>
  <c r="I47" i="6"/>
  <c r="K47" i="6"/>
  <c r="O46" i="6"/>
  <c r="L46" i="6"/>
  <c r="N46" i="6" s="1"/>
  <c r="J46" i="6"/>
  <c r="M46" i="6" s="1"/>
  <c r="I42" i="5"/>
  <c r="K42" i="5"/>
  <c r="F44" i="5"/>
  <c r="L41" i="5"/>
  <c r="J41" i="5"/>
  <c r="O41" i="5"/>
  <c r="L41" i="4"/>
  <c r="P41" i="4"/>
  <c r="K41" i="4"/>
  <c r="M42" i="4"/>
  <c r="I43" i="4"/>
  <c r="N43" i="4"/>
  <c r="G43" i="4"/>
  <c r="D45" i="4"/>
  <c r="J42" i="4"/>
  <c r="H42" i="4"/>
  <c r="O42" i="4" s="1"/>
  <c r="J42" i="3"/>
  <c r="L42" i="3" s="1"/>
  <c r="H42" i="3"/>
  <c r="K42" i="3" s="1"/>
  <c r="G43" i="3"/>
  <c r="M43" i="3" s="1"/>
  <c r="F43" i="3"/>
  <c r="I43" i="3"/>
  <c r="D45" i="3"/>
  <c r="AR18" i="7" l="1"/>
  <c r="AS16" i="7"/>
  <c r="AQ19" i="7"/>
  <c r="AQ17" i="7" s="1"/>
  <c r="G49" i="6"/>
  <c r="H49" i="6" s="1"/>
  <c r="S46" i="4"/>
  <c r="E45" i="4"/>
  <c r="F45" i="4" s="1"/>
  <c r="I48" i="6"/>
  <c r="K48" i="6"/>
  <c r="L47" i="6"/>
  <c r="N47" i="6" s="1"/>
  <c r="J47" i="6"/>
  <c r="M47" i="6" s="1"/>
  <c r="O47" i="6"/>
  <c r="O42" i="5"/>
  <c r="F45" i="5"/>
  <c r="I43" i="5"/>
  <c r="K43" i="5"/>
  <c r="L42" i="5"/>
  <c r="J42" i="5"/>
  <c r="L42" i="4"/>
  <c r="P42" i="4"/>
  <c r="K42" i="4"/>
  <c r="M43" i="4"/>
  <c r="D46" i="4"/>
  <c r="J43" i="4"/>
  <c r="H43" i="4"/>
  <c r="O43" i="4" s="1"/>
  <c r="N44" i="4"/>
  <c r="G44" i="4"/>
  <c r="I44" i="4"/>
  <c r="D46" i="3"/>
  <c r="I44" i="3"/>
  <c r="F44" i="3"/>
  <c r="G44" i="3"/>
  <c r="M44" i="3" s="1"/>
  <c r="J43" i="3"/>
  <c r="L43" i="3" s="1"/>
  <c r="H43" i="3"/>
  <c r="K43" i="3" s="1"/>
  <c r="AS18" i="7" l="1"/>
  <c r="AT16" i="7"/>
  <c r="AR19" i="7"/>
  <c r="AR17" i="7" s="1"/>
  <c r="G50" i="6"/>
  <c r="H50" i="6" s="1"/>
  <c r="S47" i="4"/>
  <c r="E46" i="4"/>
  <c r="F46" i="4" s="1"/>
  <c r="K49" i="6"/>
  <c r="I49" i="6"/>
  <c r="L48" i="6"/>
  <c r="N48" i="6" s="1"/>
  <c r="J48" i="6"/>
  <c r="M48" i="6" s="1"/>
  <c r="O48" i="6"/>
  <c r="I44" i="5"/>
  <c r="K44" i="5"/>
  <c r="F46" i="5"/>
  <c r="L43" i="5"/>
  <c r="J43" i="5"/>
  <c r="O43" i="5"/>
  <c r="L43" i="4"/>
  <c r="P43" i="4"/>
  <c r="K43" i="4"/>
  <c r="J44" i="4"/>
  <c r="H44" i="4"/>
  <c r="O44" i="4" s="1"/>
  <c r="M44" i="4"/>
  <c r="D47" i="4"/>
  <c r="N45" i="4"/>
  <c r="G45" i="4"/>
  <c r="I45" i="4"/>
  <c r="H44" i="3"/>
  <c r="K44" i="3" s="1"/>
  <c r="J44" i="3"/>
  <c r="L44" i="3" s="1"/>
  <c r="D47" i="3"/>
  <c r="F45" i="3"/>
  <c r="G45" i="3"/>
  <c r="M45" i="3" s="1"/>
  <c r="I45" i="3"/>
  <c r="AT18" i="7" l="1"/>
  <c r="AU16" i="7"/>
  <c r="AS19" i="7"/>
  <c r="AS17" i="7"/>
  <c r="G51" i="6"/>
  <c r="H51" i="6" s="1"/>
  <c r="S48" i="4"/>
  <c r="E47" i="4"/>
  <c r="F47" i="4" s="1"/>
  <c r="L49" i="6"/>
  <c r="N49" i="6" s="1"/>
  <c r="J49" i="6"/>
  <c r="M49" i="6" s="1"/>
  <c r="K50" i="6"/>
  <c r="I50" i="6"/>
  <c r="O49" i="6"/>
  <c r="K45" i="5"/>
  <c r="I45" i="5"/>
  <c r="F47" i="5"/>
  <c r="L44" i="5"/>
  <c r="J44" i="5"/>
  <c r="O44" i="5"/>
  <c r="P44" i="4"/>
  <c r="L44" i="4"/>
  <c r="K44" i="4"/>
  <c r="M45" i="4"/>
  <c r="J45" i="4"/>
  <c r="H45" i="4"/>
  <c r="O45" i="4" s="1"/>
  <c r="D48" i="4"/>
  <c r="G46" i="4"/>
  <c r="I46" i="4"/>
  <c r="N46" i="4"/>
  <c r="D48" i="3"/>
  <c r="J45" i="3"/>
  <c r="L45" i="3" s="1"/>
  <c r="H45" i="3"/>
  <c r="K45" i="3" s="1"/>
  <c r="I46" i="3"/>
  <c r="F46" i="3"/>
  <c r="G46" i="3"/>
  <c r="M46" i="3" s="1"/>
  <c r="AU18" i="7" l="1"/>
  <c r="AV16" i="7"/>
  <c r="AT19" i="7"/>
  <c r="AT17" i="7" s="1"/>
  <c r="G52" i="6"/>
  <c r="H52" i="6" s="1"/>
  <c r="S49" i="4"/>
  <c r="E48" i="4"/>
  <c r="F48" i="4" s="1"/>
  <c r="K45" i="4"/>
  <c r="O50" i="6"/>
  <c r="L50" i="6"/>
  <c r="N50" i="6" s="1"/>
  <c r="J50" i="6"/>
  <c r="M50" i="6" s="1"/>
  <c r="K51" i="6"/>
  <c r="I51" i="6"/>
  <c r="F48" i="5"/>
  <c r="K46" i="5"/>
  <c r="I46" i="5"/>
  <c r="O45" i="5"/>
  <c r="J45" i="5"/>
  <c r="L45" i="5"/>
  <c r="L45" i="4"/>
  <c r="P45" i="4"/>
  <c r="J46" i="4"/>
  <c r="H46" i="4"/>
  <c r="O46" i="4" s="1"/>
  <c r="M46" i="4"/>
  <c r="D49" i="4"/>
  <c r="G47" i="4"/>
  <c r="I47" i="4"/>
  <c r="N47" i="4"/>
  <c r="J46" i="3"/>
  <c r="L46" i="3" s="1"/>
  <c r="H46" i="3"/>
  <c r="K46" i="3" s="1"/>
  <c r="I47" i="3"/>
  <c r="G47" i="3"/>
  <c r="M47" i="3" s="1"/>
  <c r="F47" i="3"/>
  <c r="D49" i="3"/>
  <c r="AV18" i="7" l="1"/>
  <c r="AW16" i="7"/>
  <c r="AU19" i="7"/>
  <c r="AU17" i="7" s="1"/>
  <c r="G53" i="6"/>
  <c r="H53" i="6" s="1"/>
  <c r="S50" i="4"/>
  <c r="E49" i="4"/>
  <c r="F49" i="4" s="1"/>
  <c r="K46" i="4"/>
  <c r="I52" i="6"/>
  <c r="K52" i="6"/>
  <c r="O51" i="6"/>
  <c r="J51" i="6"/>
  <c r="M51" i="6" s="1"/>
  <c r="L51" i="6"/>
  <c r="N51" i="6" s="1"/>
  <c r="L46" i="5"/>
  <c r="J46" i="5"/>
  <c r="F49" i="5"/>
  <c r="O46" i="5"/>
  <c r="K47" i="5"/>
  <c r="I47" i="5"/>
  <c r="L46" i="4"/>
  <c r="P46" i="4"/>
  <c r="H47" i="4"/>
  <c r="O47" i="4" s="1"/>
  <c r="J47" i="4"/>
  <c r="M47" i="4"/>
  <c r="D50" i="4"/>
  <c r="I48" i="4"/>
  <c r="G48" i="4"/>
  <c r="N48" i="4"/>
  <c r="D50" i="3"/>
  <c r="I48" i="3"/>
  <c r="G48" i="3"/>
  <c r="F48" i="3"/>
  <c r="H47" i="3"/>
  <c r="K47" i="3" s="1"/>
  <c r="J47" i="3"/>
  <c r="L47" i="3" s="1"/>
  <c r="AW18" i="7" l="1"/>
  <c r="AX16" i="7"/>
  <c r="AV19" i="7"/>
  <c r="AV17" i="7"/>
  <c r="G54" i="6"/>
  <c r="H54" i="6" s="1"/>
  <c r="S51" i="4"/>
  <c r="E50" i="4"/>
  <c r="F50" i="4" s="1"/>
  <c r="K47" i="4"/>
  <c r="L52" i="6"/>
  <c r="N52" i="6" s="1"/>
  <c r="J52" i="6"/>
  <c r="M52" i="6" s="1"/>
  <c r="K53" i="6"/>
  <c r="I53" i="6"/>
  <c r="O52" i="6"/>
  <c r="I48" i="5"/>
  <c r="K48" i="5"/>
  <c r="F50" i="5"/>
  <c r="O47" i="5"/>
  <c r="J47" i="5"/>
  <c r="L47" i="5"/>
  <c r="L47" i="4"/>
  <c r="P47" i="4"/>
  <c r="M48" i="4"/>
  <c r="H48" i="4"/>
  <c r="O48" i="4" s="1"/>
  <c r="J48" i="4"/>
  <c r="I49" i="4"/>
  <c r="N49" i="4"/>
  <c r="G49" i="4"/>
  <c r="D51" i="4"/>
  <c r="H48" i="3"/>
  <c r="K48" i="3" s="1"/>
  <c r="J48" i="3"/>
  <c r="L48" i="3" s="1"/>
  <c r="M48" i="3"/>
  <c r="F49" i="3"/>
  <c r="G49" i="3"/>
  <c r="M49" i="3" s="1"/>
  <c r="I49" i="3"/>
  <c r="D51" i="3"/>
  <c r="AX18" i="7" l="1"/>
  <c r="AY16" i="7"/>
  <c r="AW19" i="7"/>
  <c r="AW17" i="7" s="1"/>
  <c r="G55" i="6"/>
  <c r="H55" i="6" s="1"/>
  <c r="S52" i="4"/>
  <c r="E51" i="4"/>
  <c r="F51" i="4" s="1"/>
  <c r="K48" i="4"/>
  <c r="O53" i="6"/>
  <c r="L53" i="6"/>
  <c r="N53" i="6" s="1"/>
  <c r="J53" i="6"/>
  <c r="M53" i="6" s="1"/>
  <c r="I54" i="6"/>
  <c r="K54" i="6"/>
  <c r="F51" i="5"/>
  <c r="K49" i="5"/>
  <c r="I49" i="5"/>
  <c r="L48" i="5"/>
  <c r="J48" i="5"/>
  <c r="O48" i="5"/>
  <c r="P48" i="4"/>
  <c r="L48" i="4"/>
  <c r="D52" i="4"/>
  <c r="G50" i="4"/>
  <c r="N50" i="4"/>
  <c r="I50" i="4"/>
  <c r="J49" i="4"/>
  <c r="H49" i="4"/>
  <c r="O49" i="4" s="1"/>
  <c r="M49" i="4"/>
  <c r="F50" i="3"/>
  <c r="I50" i="3"/>
  <c r="G50" i="3"/>
  <c r="D52" i="3"/>
  <c r="H49" i="3"/>
  <c r="K49" i="3" s="1"/>
  <c r="J49" i="3"/>
  <c r="L49" i="3" s="1"/>
  <c r="AY18" i="7" l="1"/>
  <c r="AZ16" i="7"/>
  <c r="AX19" i="7"/>
  <c r="AX17" i="7"/>
  <c r="G56" i="6"/>
  <c r="H56" i="6" s="1"/>
  <c r="S53" i="4"/>
  <c r="E52" i="4"/>
  <c r="F52" i="4" s="1"/>
  <c r="L54" i="6"/>
  <c r="N54" i="6" s="1"/>
  <c r="J54" i="6"/>
  <c r="M54" i="6" s="1"/>
  <c r="O54" i="6"/>
  <c r="I55" i="6"/>
  <c r="K55" i="6"/>
  <c r="F52" i="5"/>
  <c r="O49" i="5"/>
  <c r="J49" i="5"/>
  <c r="L49" i="5"/>
  <c r="I50" i="5"/>
  <c r="K50" i="5"/>
  <c r="L49" i="4"/>
  <c r="P49" i="4"/>
  <c r="K49" i="4"/>
  <c r="M50" i="4"/>
  <c r="J50" i="4"/>
  <c r="H50" i="4"/>
  <c r="O50" i="4" s="1"/>
  <c r="G51" i="4"/>
  <c r="N51" i="4"/>
  <c r="I51" i="4"/>
  <c r="D53" i="4"/>
  <c r="D53" i="3"/>
  <c r="I51" i="3"/>
  <c r="F51" i="3"/>
  <c r="G51" i="3"/>
  <c r="M50" i="3"/>
  <c r="J50" i="3"/>
  <c r="L50" i="3" s="1"/>
  <c r="H50" i="3"/>
  <c r="K50" i="3" s="1"/>
  <c r="AZ18" i="7" l="1"/>
  <c r="BA16" i="7"/>
  <c r="AY19" i="7"/>
  <c r="AY17" i="7" s="1"/>
  <c r="G57" i="6"/>
  <c r="H57" i="6" s="1"/>
  <c r="S54" i="4"/>
  <c r="E53" i="4"/>
  <c r="F53" i="4" s="1"/>
  <c r="K56" i="6"/>
  <c r="I56" i="6"/>
  <c r="J55" i="6"/>
  <c r="M55" i="6" s="1"/>
  <c r="L55" i="6"/>
  <c r="N55" i="6" s="1"/>
  <c r="O55" i="6"/>
  <c r="J50" i="5"/>
  <c r="L50" i="5"/>
  <c r="O50" i="5"/>
  <c r="F53" i="5"/>
  <c r="K51" i="5"/>
  <c r="I51" i="5"/>
  <c r="L50" i="4"/>
  <c r="P50" i="4"/>
  <c r="K50" i="4"/>
  <c r="I52" i="4"/>
  <c r="N52" i="4"/>
  <c r="G52" i="4"/>
  <c r="H51" i="4"/>
  <c r="O51" i="4" s="1"/>
  <c r="J51" i="4"/>
  <c r="D54" i="4"/>
  <c r="M51" i="4"/>
  <c r="M51" i="3"/>
  <c r="J51" i="3"/>
  <c r="L51" i="3" s="1"/>
  <c r="H51" i="3"/>
  <c r="K51" i="3" s="1"/>
  <c r="G52" i="3"/>
  <c r="I52" i="3"/>
  <c r="F52" i="3"/>
  <c r="D54" i="3"/>
  <c r="BA18" i="7" l="1"/>
  <c r="BB16" i="7"/>
  <c r="AZ19" i="7"/>
  <c r="AZ17" i="7"/>
  <c r="G58" i="6"/>
  <c r="H58" i="6" s="1"/>
  <c r="S55" i="4"/>
  <c r="E54" i="4"/>
  <c r="F54" i="4" s="1"/>
  <c r="J56" i="6"/>
  <c r="M56" i="6" s="1"/>
  <c r="L56" i="6"/>
  <c r="N56" i="6" s="1"/>
  <c r="K57" i="6"/>
  <c r="I57" i="6"/>
  <c r="O56" i="6"/>
  <c r="O51" i="5"/>
  <c r="J51" i="5"/>
  <c r="L51" i="5"/>
  <c r="K52" i="5"/>
  <c r="I52" i="5"/>
  <c r="F54" i="5"/>
  <c r="L51" i="4"/>
  <c r="P51" i="4"/>
  <c r="K51" i="4"/>
  <c r="M52" i="4"/>
  <c r="N53" i="4"/>
  <c r="I53" i="4"/>
  <c r="G53" i="4"/>
  <c r="D55" i="4"/>
  <c r="J52" i="4"/>
  <c r="H52" i="4"/>
  <c r="O52" i="4" s="1"/>
  <c r="H52" i="3"/>
  <c r="K52" i="3" s="1"/>
  <c r="J52" i="3"/>
  <c r="L52" i="3" s="1"/>
  <c r="G53" i="3"/>
  <c r="F53" i="3"/>
  <c r="I53" i="3"/>
  <c r="D55" i="3"/>
  <c r="M52" i="3"/>
  <c r="BB18" i="7" l="1"/>
  <c r="BC16" i="7"/>
  <c r="BA19" i="7"/>
  <c r="BA17" i="7"/>
  <c r="G59" i="6"/>
  <c r="H59" i="6" s="1"/>
  <c r="S56" i="4"/>
  <c r="E55" i="4"/>
  <c r="F55" i="4" s="1"/>
  <c r="O57" i="6"/>
  <c r="J57" i="6"/>
  <c r="M57" i="6" s="1"/>
  <c r="L57" i="6"/>
  <c r="N57" i="6" s="1"/>
  <c r="K58" i="6"/>
  <c r="I58" i="6"/>
  <c r="L52" i="5"/>
  <c r="J52" i="5"/>
  <c r="I53" i="5"/>
  <c r="K53" i="5"/>
  <c r="F55" i="5"/>
  <c r="O52" i="5"/>
  <c r="K52" i="4"/>
  <c r="L52" i="4"/>
  <c r="P52" i="4"/>
  <c r="D56" i="4"/>
  <c r="N54" i="4"/>
  <c r="G54" i="4"/>
  <c r="I54" i="4"/>
  <c r="J53" i="4"/>
  <c r="H53" i="4"/>
  <c r="O53" i="4" s="1"/>
  <c r="M53" i="4"/>
  <c r="F54" i="3"/>
  <c r="I54" i="3"/>
  <c r="G54" i="3"/>
  <c r="D56" i="3"/>
  <c r="J53" i="3"/>
  <c r="L53" i="3" s="1"/>
  <c r="H53" i="3"/>
  <c r="M53" i="3"/>
  <c r="K53" i="3"/>
  <c r="BC18" i="7" l="1"/>
  <c r="BD16" i="7"/>
  <c r="BB19" i="7"/>
  <c r="BB17" i="7"/>
  <c r="G60" i="6"/>
  <c r="H60" i="6" s="1"/>
  <c r="S57" i="4"/>
  <c r="E56" i="4"/>
  <c r="F56" i="4" s="1"/>
  <c r="I59" i="6"/>
  <c r="K59" i="6"/>
  <c r="O58" i="6"/>
  <c r="L58" i="6"/>
  <c r="N58" i="6" s="1"/>
  <c r="J58" i="6"/>
  <c r="M58" i="6" s="1"/>
  <c r="K54" i="5"/>
  <c r="I54" i="5"/>
  <c r="F56" i="5"/>
  <c r="L53" i="5"/>
  <c r="J53" i="5"/>
  <c r="O53" i="5"/>
  <c r="L53" i="4"/>
  <c r="P53" i="4"/>
  <c r="K53" i="4"/>
  <c r="J54" i="4"/>
  <c r="H54" i="4"/>
  <c r="O54" i="4" s="1"/>
  <c r="M54" i="4"/>
  <c r="G55" i="4"/>
  <c r="I55" i="4"/>
  <c r="N55" i="4"/>
  <c r="D57" i="4"/>
  <c r="G55" i="3"/>
  <c r="M55" i="3" s="1"/>
  <c r="I55" i="3"/>
  <c r="F55" i="3"/>
  <c r="D57" i="3"/>
  <c r="M54" i="3"/>
  <c r="J54" i="3"/>
  <c r="L54" i="3" s="1"/>
  <c r="H54" i="3"/>
  <c r="K54" i="3" s="1"/>
  <c r="BD18" i="7" l="1"/>
  <c r="BE16" i="7"/>
  <c r="BC19" i="7"/>
  <c r="BC17" i="7"/>
  <c r="G61" i="6"/>
  <c r="H61" i="6" s="1"/>
  <c r="S58" i="4"/>
  <c r="E57" i="4"/>
  <c r="F57" i="4" s="1"/>
  <c r="L59" i="6"/>
  <c r="N59" i="6" s="1"/>
  <c r="J59" i="6"/>
  <c r="M59" i="6" s="1"/>
  <c r="O59" i="6"/>
  <c r="I60" i="6"/>
  <c r="K60" i="6"/>
  <c r="I55" i="5"/>
  <c r="K55" i="5"/>
  <c r="L54" i="5"/>
  <c r="J54" i="5"/>
  <c r="O54" i="5"/>
  <c r="F57" i="5"/>
  <c r="L54" i="4"/>
  <c r="P54" i="4"/>
  <c r="K54" i="4"/>
  <c r="D58" i="4"/>
  <c r="I56" i="4"/>
  <c r="N56" i="4"/>
  <c r="G56" i="4"/>
  <c r="H55" i="4"/>
  <c r="O55" i="4" s="1"/>
  <c r="J55" i="4"/>
  <c r="M55" i="4"/>
  <c r="D58" i="3"/>
  <c r="G56" i="3"/>
  <c r="M56" i="3" s="1"/>
  <c r="F56" i="3"/>
  <c r="I56" i="3"/>
  <c r="H55" i="3"/>
  <c r="K55" i="3" s="1"/>
  <c r="J55" i="3"/>
  <c r="L55" i="3" s="1"/>
  <c r="BE18" i="7" l="1"/>
  <c r="BF16" i="7"/>
  <c r="BD19" i="7"/>
  <c r="BD17" i="7" s="1"/>
  <c r="G62" i="6"/>
  <c r="H62" i="6" s="1"/>
  <c r="S59" i="4"/>
  <c r="E58" i="4"/>
  <c r="F58" i="4" s="1"/>
  <c r="K61" i="6"/>
  <c r="I61" i="6"/>
  <c r="L60" i="6"/>
  <c r="N60" i="6" s="1"/>
  <c r="J60" i="6"/>
  <c r="M60" i="6" s="1"/>
  <c r="O60" i="6"/>
  <c r="L55" i="5"/>
  <c r="J55" i="5"/>
  <c r="F58" i="5"/>
  <c r="I56" i="5"/>
  <c r="K56" i="5"/>
  <c r="O55" i="5"/>
  <c r="L55" i="4"/>
  <c r="P55" i="4"/>
  <c r="K55" i="4"/>
  <c r="M56" i="4"/>
  <c r="D59" i="4"/>
  <c r="J56" i="4"/>
  <c r="H56" i="4"/>
  <c r="O56" i="4" s="1"/>
  <c r="N57" i="4"/>
  <c r="G57" i="4"/>
  <c r="I57" i="4"/>
  <c r="H56" i="3"/>
  <c r="K56" i="3" s="1"/>
  <c r="J56" i="3"/>
  <c r="L56" i="3" s="1"/>
  <c r="G57" i="3"/>
  <c r="M57" i="3" s="1"/>
  <c r="F57" i="3"/>
  <c r="I57" i="3"/>
  <c r="D59" i="3"/>
  <c r="BF18" i="7" l="1"/>
  <c r="BG16" i="7"/>
  <c r="BE19" i="7"/>
  <c r="BE17" i="7" s="1"/>
  <c r="G63" i="6"/>
  <c r="H63" i="6" s="1"/>
  <c r="S60" i="4"/>
  <c r="E59" i="4"/>
  <c r="F59" i="4" s="1"/>
  <c r="L61" i="6"/>
  <c r="N61" i="6" s="1"/>
  <c r="J61" i="6"/>
  <c r="M61" i="6" s="1"/>
  <c r="O61" i="6"/>
  <c r="I62" i="6"/>
  <c r="K62" i="6"/>
  <c r="L56" i="5"/>
  <c r="J56" i="5"/>
  <c r="O56" i="5"/>
  <c r="K57" i="5"/>
  <c r="I57" i="5"/>
  <c r="F59" i="5"/>
  <c r="L56" i="4"/>
  <c r="P56" i="4"/>
  <c r="K56" i="4"/>
  <c r="M57" i="4"/>
  <c r="J57" i="4"/>
  <c r="H57" i="4"/>
  <c r="O57" i="4" s="1"/>
  <c r="G58" i="4"/>
  <c r="I58" i="4"/>
  <c r="N58" i="4"/>
  <c r="D60" i="4"/>
  <c r="D60" i="3"/>
  <c r="G58" i="3"/>
  <c r="I58" i="3"/>
  <c r="F58" i="3"/>
  <c r="J57" i="3"/>
  <c r="L57" i="3" s="1"/>
  <c r="H57" i="3"/>
  <c r="K57" i="3" s="1"/>
  <c r="BG18" i="7" l="1"/>
  <c r="BH16" i="7"/>
  <c r="BF19" i="7"/>
  <c r="BF17" i="7" s="1"/>
  <c r="G64" i="6"/>
  <c r="H64" i="6" s="1"/>
  <c r="S61" i="4"/>
  <c r="E60" i="4"/>
  <c r="F60" i="4" s="1"/>
  <c r="K63" i="6"/>
  <c r="I63" i="6"/>
  <c r="J62" i="6"/>
  <c r="M62" i="6" s="1"/>
  <c r="L62" i="6"/>
  <c r="N62" i="6" s="1"/>
  <c r="O62" i="6"/>
  <c r="I58" i="5"/>
  <c r="K58" i="5"/>
  <c r="F60" i="5"/>
  <c r="O57" i="5"/>
  <c r="J57" i="5"/>
  <c r="L57" i="5"/>
  <c r="L57" i="4"/>
  <c r="P57" i="4"/>
  <c r="K57" i="4"/>
  <c r="D61" i="4"/>
  <c r="J58" i="4"/>
  <c r="H58" i="4"/>
  <c r="O58" i="4" s="1"/>
  <c r="M58" i="4"/>
  <c r="G59" i="4"/>
  <c r="N59" i="4"/>
  <c r="I59" i="4"/>
  <c r="J58" i="3"/>
  <c r="L58" i="3" s="1"/>
  <c r="H58" i="3"/>
  <c r="K58" i="3" s="1"/>
  <c r="M58" i="3"/>
  <c r="F59" i="3"/>
  <c r="I59" i="3"/>
  <c r="G59" i="3"/>
  <c r="M59" i="3" s="1"/>
  <c r="D61" i="3"/>
  <c r="BH18" i="7" l="1"/>
  <c r="BI16" i="7"/>
  <c r="BG19" i="7"/>
  <c r="BG17" i="7" s="1"/>
  <c r="G65" i="6"/>
  <c r="H65" i="6" s="1"/>
  <c r="S62" i="4"/>
  <c r="E61" i="4"/>
  <c r="F61" i="4" s="1"/>
  <c r="I64" i="6"/>
  <c r="K64" i="6"/>
  <c r="O63" i="6"/>
  <c r="J63" i="6"/>
  <c r="M63" i="6" s="1"/>
  <c r="L63" i="6"/>
  <c r="N63" i="6" s="1"/>
  <c r="F61" i="5"/>
  <c r="I59" i="5"/>
  <c r="K59" i="5"/>
  <c r="L58" i="5"/>
  <c r="J58" i="5"/>
  <c r="O58" i="5"/>
  <c r="L58" i="4"/>
  <c r="P58" i="4"/>
  <c r="K58" i="4"/>
  <c r="H59" i="4"/>
  <c r="O59" i="4" s="1"/>
  <c r="J59" i="4"/>
  <c r="M59" i="4"/>
  <c r="I60" i="4"/>
  <c r="G60" i="4"/>
  <c r="N60" i="4"/>
  <c r="D62" i="4"/>
  <c r="D62" i="3"/>
  <c r="G60" i="3"/>
  <c r="M60" i="3" s="1"/>
  <c r="F60" i="3"/>
  <c r="I60" i="3"/>
  <c r="J59" i="3"/>
  <c r="L59" i="3" s="1"/>
  <c r="H59" i="3"/>
  <c r="K59" i="3" s="1"/>
  <c r="BI18" i="7" l="1"/>
  <c r="BJ16" i="7"/>
  <c r="BH19" i="7"/>
  <c r="BH17" i="7"/>
  <c r="G66" i="6"/>
  <c r="H66" i="6" s="1"/>
  <c r="S63" i="4"/>
  <c r="E62" i="4"/>
  <c r="F62" i="4" s="1"/>
  <c r="K65" i="6"/>
  <c r="I65" i="6"/>
  <c r="O64" i="6"/>
  <c r="L64" i="6"/>
  <c r="N64" i="6" s="1"/>
  <c r="J64" i="6"/>
  <c r="M64" i="6" s="1"/>
  <c r="O59" i="5"/>
  <c r="L59" i="5"/>
  <c r="J59" i="5"/>
  <c r="K60" i="5"/>
  <c r="I60" i="5"/>
  <c r="F62" i="5"/>
  <c r="L59" i="4"/>
  <c r="P59" i="4"/>
  <c r="K59" i="4"/>
  <c r="I61" i="4"/>
  <c r="N61" i="4"/>
  <c r="G61" i="4"/>
  <c r="M60" i="4"/>
  <c r="D63" i="4"/>
  <c r="H60" i="4"/>
  <c r="O60" i="4" s="1"/>
  <c r="J60" i="4"/>
  <c r="H60" i="3"/>
  <c r="K60" i="3" s="1"/>
  <c r="J60" i="3"/>
  <c r="L60" i="3" s="1"/>
  <c r="D63" i="3"/>
  <c r="F61" i="3"/>
  <c r="G61" i="3"/>
  <c r="M61" i="3" s="1"/>
  <c r="I61" i="3"/>
  <c r="BJ18" i="7" l="1"/>
  <c r="BK16" i="7"/>
  <c r="BI19" i="7"/>
  <c r="BI17" i="7" s="1"/>
  <c r="G67" i="6"/>
  <c r="H67" i="6" s="1"/>
  <c r="S64" i="4"/>
  <c r="E63" i="4"/>
  <c r="F63" i="4" s="1"/>
  <c r="I66" i="6"/>
  <c r="K66" i="6"/>
  <c r="L65" i="6"/>
  <c r="N65" i="6" s="1"/>
  <c r="J65" i="6"/>
  <c r="M65" i="6" s="1"/>
  <c r="O65" i="6"/>
  <c r="F63" i="5"/>
  <c r="I61" i="5"/>
  <c r="K61" i="5"/>
  <c r="O60" i="5"/>
  <c r="J60" i="5"/>
  <c r="L60" i="5"/>
  <c r="L60" i="4"/>
  <c r="P60" i="4"/>
  <c r="K60" i="4"/>
  <c r="D64" i="4"/>
  <c r="G62" i="4"/>
  <c r="N62" i="4"/>
  <c r="I62" i="4"/>
  <c r="J61" i="4"/>
  <c r="H61" i="4"/>
  <c r="O61" i="4" s="1"/>
  <c r="M61" i="4"/>
  <c r="J61" i="3"/>
  <c r="L61" i="3" s="1"/>
  <c r="H61" i="3"/>
  <c r="K61" i="3" s="1"/>
  <c r="I62" i="3"/>
  <c r="G62" i="3"/>
  <c r="F62" i="3"/>
  <c r="D64" i="3"/>
  <c r="BK18" i="7" l="1"/>
  <c r="BL16" i="7"/>
  <c r="BJ19" i="7"/>
  <c r="BJ17" i="7" s="1"/>
  <c r="G68" i="6"/>
  <c r="H68" i="6" s="1"/>
  <c r="S65" i="4"/>
  <c r="E64" i="4"/>
  <c r="F64" i="4" s="1"/>
  <c r="L66" i="6"/>
  <c r="N66" i="6" s="1"/>
  <c r="J66" i="6"/>
  <c r="M66" i="6" s="1"/>
  <c r="O66" i="6"/>
  <c r="K67" i="6"/>
  <c r="I67" i="6"/>
  <c r="J61" i="5"/>
  <c r="L61" i="5"/>
  <c r="O61" i="5"/>
  <c r="F64" i="5"/>
  <c r="I62" i="5"/>
  <c r="K62" i="5"/>
  <c r="K61" i="4"/>
  <c r="P61" i="4"/>
  <c r="L61" i="4"/>
  <c r="M62" i="4"/>
  <c r="N63" i="4"/>
  <c r="G63" i="4"/>
  <c r="I63" i="4"/>
  <c r="J62" i="4"/>
  <c r="H62" i="4"/>
  <c r="O62" i="4" s="1"/>
  <c r="D65" i="4"/>
  <c r="I63" i="3"/>
  <c r="F63" i="3"/>
  <c r="G63" i="3"/>
  <c r="D65" i="3"/>
  <c r="H62" i="3"/>
  <c r="J62" i="3"/>
  <c r="L62" i="3" s="1"/>
  <c r="M62" i="3"/>
  <c r="K62" i="3"/>
  <c r="BL18" i="7" l="1"/>
  <c r="BM16" i="7"/>
  <c r="BK19" i="7"/>
  <c r="BK17" i="7" s="1"/>
  <c r="G69" i="6"/>
  <c r="H69" i="6" s="1"/>
  <c r="S66" i="4"/>
  <c r="E65" i="4"/>
  <c r="F65" i="4" s="1"/>
  <c r="L67" i="6"/>
  <c r="N67" i="6" s="1"/>
  <c r="J67" i="6"/>
  <c r="M67" i="6" s="1"/>
  <c r="O67" i="6"/>
  <c r="I68" i="6"/>
  <c r="K68" i="6"/>
  <c r="L62" i="5"/>
  <c r="J62" i="5"/>
  <c r="O62" i="5"/>
  <c r="K63" i="5"/>
  <c r="I63" i="5"/>
  <c r="F65" i="5"/>
  <c r="L62" i="4"/>
  <c r="P62" i="4"/>
  <c r="K62" i="4"/>
  <c r="D66" i="4"/>
  <c r="I64" i="4"/>
  <c r="G64" i="4"/>
  <c r="N64" i="4"/>
  <c r="M63" i="4"/>
  <c r="H63" i="4"/>
  <c r="O63" i="4" s="1"/>
  <c r="J63" i="4"/>
  <c r="I64" i="3"/>
  <c r="F64" i="3"/>
  <c r="G64" i="3"/>
  <c r="M64" i="3" s="1"/>
  <c r="D66" i="3"/>
  <c r="M63" i="3"/>
  <c r="J63" i="3"/>
  <c r="L63" i="3" s="1"/>
  <c r="H63" i="3"/>
  <c r="K63" i="3" s="1"/>
  <c r="BM18" i="7" l="1"/>
  <c r="BN16" i="7"/>
  <c r="BL19" i="7"/>
  <c r="BL17" i="7" s="1"/>
  <c r="G70" i="6"/>
  <c r="H70" i="6" s="1"/>
  <c r="S67" i="4"/>
  <c r="E66" i="4"/>
  <c r="F66" i="4" s="1"/>
  <c r="K69" i="6"/>
  <c r="I69" i="6"/>
  <c r="L68" i="6"/>
  <c r="N68" i="6" s="1"/>
  <c r="J68" i="6"/>
  <c r="M68" i="6" s="1"/>
  <c r="O68" i="6"/>
  <c r="I64" i="5"/>
  <c r="K64" i="5"/>
  <c r="F66" i="5"/>
  <c r="J63" i="5"/>
  <c r="L63" i="5"/>
  <c r="O63" i="5"/>
  <c r="L63" i="4"/>
  <c r="P63" i="4"/>
  <c r="K63" i="4"/>
  <c r="H64" i="4"/>
  <c r="O64" i="4" s="1"/>
  <c r="J64" i="4"/>
  <c r="M64" i="4"/>
  <c r="D67" i="4"/>
  <c r="N65" i="4"/>
  <c r="I65" i="4"/>
  <c r="G65" i="4"/>
  <c r="D67" i="3"/>
  <c r="I65" i="3"/>
  <c r="F65" i="3"/>
  <c r="G65" i="3"/>
  <c r="M65" i="3" s="1"/>
  <c r="J64" i="3"/>
  <c r="L64" i="3" s="1"/>
  <c r="H64" i="3"/>
  <c r="K64" i="3" s="1"/>
  <c r="BN18" i="7" l="1"/>
  <c r="BO16" i="7"/>
  <c r="BM19" i="7"/>
  <c r="BM17" i="7"/>
  <c r="G71" i="6"/>
  <c r="H71" i="6" s="1"/>
  <c r="S68" i="4"/>
  <c r="E67" i="4"/>
  <c r="F67" i="4" s="1"/>
  <c r="K64" i="4"/>
  <c r="O69" i="6"/>
  <c r="J69" i="6"/>
  <c r="M69" i="6" s="1"/>
  <c r="L69" i="6"/>
  <c r="N69" i="6" s="1"/>
  <c r="K70" i="6"/>
  <c r="I70" i="6"/>
  <c r="L64" i="5"/>
  <c r="J64" i="5"/>
  <c r="I65" i="5"/>
  <c r="K65" i="5"/>
  <c r="F67" i="5"/>
  <c r="O64" i="5"/>
  <c r="L64" i="4"/>
  <c r="P64" i="4"/>
  <c r="J65" i="4"/>
  <c r="H65" i="4"/>
  <c r="O65" i="4" s="1"/>
  <c r="M65" i="4"/>
  <c r="N66" i="4"/>
  <c r="I66" i="4"/>
  <c r="G66" i="4"/>
  <c r="D68" i="4"/>
  <c r="J65" i="3"/>
  <c r="L65" i="3" s="1"/>
  <c r="H65" i="3"/>
  <c r="K65" i="3" s="1"/>
  <c r="G66" i="3"/>
  <c r="I66" i="3"/>
  <c r="F66" i="3"/>
  <c r="D68" i="3"/>
  <c r="BO18" i="7" l="1"/>
  <c r="BP16" i="7"/>
  <c r="BN19" i="7"/>
  <c r="BN17" i="7" s="1"/>
  <c r="G72" i="6"/>
  <c r="H72" i="6" s="1"/>
  <c r="S69" i="4"/>
  <c r="E68" i="4"/>
  <c r="F68" i="4" s="1"/>
  <c r="I71" i="6"/>
  <c r="K71" i="6"/>
  <c r="O70" i="6"/>
  <c r="L70" i="6"/>
  <c r="N70" i="6" s="1"/>
  <c r="J70" i="6"/>
  <c r="M70" i="6" s="1"/>
  <c r="L65" i="5"/>
  <c r="J65" i="5"/>
  <c r="I66" i="5"/>
  <c r="K66" i="5"/>
  <c r="F68" i="5"/>
  <c r="O65" i="5"/>
  <c r="L65" i="4"/>
  <c r="P65" i="4"/>
  <c r="K65" i="4"/>
  <c r="N67" i="4"/>
  <c r="G67" i="4"/>
  <c r="I67" i="4"/>
  <c r="D69" i="4"/>
  <c r="J66" i="4"/>
  <c r="H66" i="4"/>
  <c r="O66" i="4" s="1"/>
  <c r="M66" i="4"/>
  <c r="G67" i="3"/>
  <c r="M67" i="3" s="1"/>
  <c r="F67" i="3"/>
  <c r="I67" i="3"/>
  <c r="D69" i="3"/>
  <c r="J66" i="3"/>
  <c r="L66" i="3" s="1"/>
  <c r="H66" i="3"/>
  <c r="K66" i="3" s="1"/>
  <c r="M66" i="3"/>
  <c r="BP18" i="7" l="1"/>
  <c r="BQ16" i="7"/>
  <c r="BO19" i="7"/>
  <c r="BO17" i="7" s="1"/>
  <c r="G73" i="6"/>
  <c r="H73" i="6" s="1"/>
  <c r="S70" i="4"/>
  <c r="E69" i="4"/>
  <c r="F69" i="4" s="1"/>
  <c r="O71" i="6"/>
  <c r="I72" i="6"/>
  <c r="K72" i="6"/>
  <c r="L71" i="6"/>
  <c r="N71" i="6" s="1"/>
  <c r="J71" i="6"/>
  <c r="M71" i="6" s="1"/>
  <c r="F69" i="5"/>
  <c r="K67" i="5"/>
  <c r="I67" i="5"/>
  <c r="J66" i="5"/>
  <c r="L66" i="5"/>
  <c r="O66" i="5"/>
  <c r="P66" i="4"/>
  <c r="L66" i="4"/>
  <c r="K66" i="4"/>
  <c r="D70" i="4"/>
  <c r="I68" i="4"/>
  <c r="G68" i="4"/>
  <c r="N68" i="4"/>
  <c r="J67" i="4"/>
  <c r="H67" i="4"/>
  <c r="O67" i="4" s="1"/>
  <c r="M67" i="4"/>
  <c r="G68" i="3"/>
  <c r="F68" i="3"/>
  <c r="I68" i="3"/>
  <c r="D70" i="3"/>
  <c r="H67" i="3"/>
  <c r="K67" i="3" s="1"/>
  <c r="J67" i="3"/>
  <c r="L67" i="3" s="1"/>
  <c r="BQ18" i="7" l="1"/>
  <c r="BR16" i="7"/>
  <c r="BP19" i="7"/>
  <c r="BP17" i="7"/>
  <c r="G74" i="6"/>
  <c r="H74" i="6" s="1"/>
  <c r="S71" i="4"/>
  <c r="E70" i="4"/>
  <c r="F70" i="4" s="1"/>
  <c r="L72" i="6"/>
  <c r="N72" i="6" s="1"/>
  <c r="J72" i="6"/>
  <c r="M72" i="6" s="1"/>
  <c r="O72" i="6"/>
  <c r="I73" i="6"/>
  <c r="K73" i="6"/>
  <c r="L67" i="5"/>
  <c r="J67" i="5"/>
  <c r="O67" i="5"/>
  <c r="I68" i="5"/>
  <c r="K68" i="5"/>
  <c r="F70" i="5"/>
  <c r="P67" i="4"/>
  <c r="L67" i="4"/>
  <c r="K67" i="4"/>
  <c r="J68" i="4"/>
  <c r="H68" i="4"/>
  <c r="O68" i="4" s="1"/>
  <c r="M68" i="4"/>
  <c r="D71" i="4"/>
  <c r="N69" i="4"/>
  <c r="I69" i="4"/>
  <c r="G69" i="4"/>
  <c r="D71" i="3"/>
  <c r="F69" i="3"/>
  <c r="G69" i="3"/>
  <c r="M69" i="3" s="1"/>
  <c r="I69" i="3"/>
  <c r="H68" i="3"/>
  <c r="K68" i="3" s="1"/>
  <c r="J68" i="3"/>
  <c r="L68" i="3" s="1"/>
  <c r="M68" i="3"/>
  <c r="BR18" i="7" l="1"/>
  <c r="BS16" i="7"/>
  <c r="BQ19" i="7"/>
  <c r="BQ17" i="7"/>
  <c r="G75" i="6"/>
  <c r="H75" i="6" s="1"/>
  <c r="S72" i="4"/>
  <c r="E71" i="4"/>
  <c r="F71" i="4" s="1"/>
  <c r="O73" i="6"/>
  <c r="L73" i="6"/>
  <c r="N73" i="6" s="1"/>
  <c r="J73" i="6"/>
  <c r="M73" i="6" s="1"/>
  <c r="I74" i="6"/>
  <c r="K74" i="6"/>
  <c r="F71" i="5"/>
  <c r="O68" i="5"/>
  <c r="K69" i="5"/>
  <c r="I69" i="5"/>
  <c r="J68" i="5"/>
  <c r="L68" i="5"/>
  <c r="L68" i="4"/>
  <c r="P68" i="4"/>
  <c r="K68" i="4"/>
  <c r="M69" i="4"/>
  <c r="J69" i="4"/>
  <c r="H69" i="4"/>
  <c r="O69" i="4" s="1"/>
  <c r="D72" i="4"/>
  <c r="G70" i="4"/>
  <c r="I70" i="4"/>
  <c r="N70" i="4"/>
  <c r="J69" i="3"/>
  <c r="L69" i="3" s="1"/>
  <c r="H69" i="3"/>
  <c r="K69" i="3" s="1"/>
  <c r="I70" i="3"/>
  <c r="G70" i="3"/>
  <c r="M70" i="3" s="1"/>
  <c r="F70" i="3"/>
  <c r="D72" i="3"/>
  <c r="BS18" i="7" l="1"/>
  <c r="BT16" i="7"/>
  <c r="BR19" i="7"/>
  <c r="BR17" i="7" s="1"/>
  <c r="G76" i="6"/>
  <c r="H76" i="6" s="1"/>
  <c r="S73" i="4"/>
  <c r="E72" i="4"/>
  <c r="F72" i="4" s="1"/>
  <c r="K69" i="4"/>
  <c r="O74" i="6"/>
  <c r="K75" i="6"/>
  <c r="I75" i="6"/>
  <c r="L74" i="6"/>
  <c r="N74" i="6" s="1"/>
  <c r="J74" i="6"/>
  <c r="M74" i="6" s="1"/>
  <c r="J69" i="5"/>
  <c r="L69" i="5"/>
  <c r="O69" i="5"/>
  <c r="F72" i="5"/>
  <c r="K70" i="5"/>
  <c r="I70" i="5"/>
  <c r="L69" i="4"/>
  <c r="P69" i="4"/>
  <c r="H70" i="4"/>
  <c r="O70" i="4" s="1"/>
  <c r="J70" i="4"/>
  <c r="M70" i="4"/>
  <c r="D73" i="4"/>
  <c r="G71" i="4"/>
  <c r="I71" i="4"/>
  <c r="N71" i="4"/>
  <c r="G71" i="3"/>
  <c r="F71" i="3"/>
  <c r="I71" i="3"/>
  <c r="D73" i="3"/>
  <c r="H70" i="3"/>
  <c r="K70" i="3" s="1"/>
  <c r="J70" i="3"/>
  <c r="L70" i="3" s="1"/>
  <c r="BT18" i="7" l="1"/>
  <c r="BU16" i="7"/>
  <c r="BS19" i="7"/>
  <c r="BS17" i="7" s="1"/>
  <c r="G77" i="6"/>
  <c r="H77" i="6" s="1"/>
  <c r="S74" i="4"/>
  <c r="E73" i="4"/>
  <c r="F73" i="4" s="1"/>
  <c r="K70" i="4"/>
  <c r="J75" i="6"/>
  <c r="M75" i="6" s="1"/>
  <c r="L75" i="6"/>
  <c r="N75" i="6" s="1"/>
  <c r="O75" i="6"/>
  <c r="K76" i="6"/>
  <c r="I76" i="6"/>
  <c r="L70" i="5"/>
  <c r="J70" i="5"/>
  <c r="O70" i="5"/>
  <c r="K71" i="5"/>
  <c r="I71" i="5"/>
  <c r="F73" i="5"/>
  <c r="L70" i="4"/>
  <c r="P70" i="4"/>
  <c r="H71" i="4"/>
  <c r="O71" i="4" s="1"/>
  <c r="J71" i="4"/>
  <c r="M71" i="4"/>
  <c r="I72" i="4"/>
  <c r="G72" i="4"/>
  <c r="N72" i="4"/>
  <c r="D74" i="4"/>
  <c r="D74" i="3"/>
  <c r="G72" i="3"/>
  <c r="F72" i="3"/>
  <c r="I72" i="3"/>
  <c r="J71" i="3"/>
  <c r="L71" i="3" s="1"/>
  <c r="H71" i="3"/>
  <c r="M71" i="3"/>
  <c r="K71" i="3"/>
  <c r="BU18" i="7" l="1"/>
  <c r="BV16" i="7"/>
  <c r="BT19" i="7"/>
  <c r="BT17" i="7" s="1"/>
  <c r="G78" i="6"/>
  <c r="H78" i="6" s="1"/>
  <c r="S75" i="4"/>
  <c r="E74" i="4"/>
  <c r="F74" i="4" s="1"/>
  <c r="K71" i="4"/>
  <c r="O76" i="6"/>
  <c r="L76" i="6"/>
  <c r="N76" i="6" s="1"/>
  <c r="J76" i="6"/>
  <c r="M76" i="6" s="1"/>
  <c r="K77" i="6"/>
  <c r="I77" i="6"/>
  <c r="I72" i="5"/>
  <c r="K72" i="5"/>
  <c r="F74" i="5"/>
  <c r="O71" i="5"/>
  <c r="L71" i="5"/>
  <c r="J71" i="5"/>
  <c r="L71" i="4"/>
  <c r="P71" i="4"/>
  <c r="D75" i="4"/>
  <c r="I73" i="4"/>
  <c r="G73" i="4"/>
  <c r="N73" i="4"/>
  <c r="H72" i="4"/>
  <c r="O72" i="4" s="1"/>
  <c r="J72" i="4"/>
  <c r="M72" i="4"/>
  <c r="H72" i="3"/>
  <c r="K72" i="3" s="1"/>
  <c r="J72" i="3"/>
  <c r="L72" i="3" s="1"/>
  <c r="M72" i="3"/>
  <c r="F73" i="3"/>
  <c r="I73" i="3"/>
  <c r="G73" i="3"/>
  <c r="M73" i="3" s="1"/>
  <c r="D75" i="3"/>
  <c r="BV18" i="7" l="1"/>
  <c r="BW16" i="7"/>
  <c r="BU19" i="7"/>
  <c r="BU17" i="7" s="1"/>
  <c r="G79" i="6"/>
  <c r="H79" i="6" s="1"/>
  <c r="S76" i="4"/>
  <c r="E75" i="4"/>
  <c r="F75" i="4" s="1"/>
  <c r="L77" i="6"/>
  <c r="N77" i="6" s="1"/>
  <c r="J77" i="6"/>
  <c r="M77" i="6" s="1"/>
  <c r="I78" i="6"/>
  <c r="K78" i="6"/>
  <c r="O77" i="6"/>
  <c r="F75" i="5"/>
  <c r="K73" i="5"/>
  <c r="I73" i="5"/>
  <c r="O72" i="5"/>
  <c r="J72" i="5"/>
  <c r="L72" i="5"/>
  <c r="L72" i="4"/>
  <c r="P72" i="4"/>
  <c r="K72" i="4"/>
  <c r="I74" i="4"/>
  <c r="G74" i="4"/>
  <c r="N74" i="4"/>
  <c r="J73" i="4"/>
  <c r="H73" i="4"/>
  <c r="O73" i="4" s="1"/>
  <c r="M73" i="4"/>
  <c r="D76" i="4"/>
  <c r="I74" i="3"/>
  <c r="F74" i="3"/>
  <c r="G74" i="3"/>
  <c r="J73" i="3"/>
  <c r="L73" i="3" s="1"/>
  <c r="H73" i="3"/>
  <c r="K73" i="3" s="1"/>
  <c r="D76" i="3"/>
  <c r="BW18" i="7" l="1"/>
  <c r="BX16" i="7"/>
  <c r="BV19" i="7"/>
  <c r="BV17" i="7" s="1"/>
  <c r="G80" i="6"/>
  <c r="H80" i="6" s="1"/>
  <c r="K73" i="4"/>
  <c r="S77" i="4"/>
  <c r="E76" i="4"/>
  <c r="F76" i="4" s="1"/>
  <c r="K79" i="6"/>
  <c r="I79" i="6"/>
  <c r="L78" i="6"/>
  <c r="N78" i="6" s="1"/>
  <c r="J78" i="6"/>
  <c r="M78" i="6" s="1"/>
  <c r="O78" i="6"/>
  <c r="J73" i="5"/>
  <c r="L73" i="5"/>
  <c r="O73" i="5"/>
  <c r="F76" i="5"/>
  <c r="I74" i="5"/>
  <c r="K74" i="5"/>
  <c r="L73" i="4"/>
  <c r="P73" i="4"/>
  <c r="N75" i="4"/>
  <c r="G75" i="4"/>
  <c r="I75" i="4"/>
  <c r="D77" i="4"/>
  <c r="M74" i="4"/>
  <c r="J74" i="4"/>
  <c r="H74" i="4"/>
  <c r="O74" i="4" s="1"/>
  <c r="D77" i="3"/>
  <c r="G75" i="3"/>
  <c r="M75" i="3" s="1"/>
  <c r="I75" i="3"/>
  <c r="F75" i="3"/>
  <c r="M74" i="3"/>
  <c r="H74" i="3"/>
  <c r="K74" i="3" s="1"/>
  <c r="J74" i="3"/>
  <c r="L74" i="3" s="1"/>
  <c r="BX18" i="7" l="1"/>
  <c r="BY16" i="7"/>
  <c r="BW19" i="7"/>
  <c r="BW17" i="7"/>
  <c r="G81" i="6"/>
  <c r="H81" i="6" s="1"/>
  <c r="S78" i="4"/>
  <c r="E77" i="4"/>
  <c r="F77" i="4" s="1"/>
  <c r="L79" i="6"/>
  <c r="N79" i="6" s="1"/>
  <c r="J79" i="6"/>
  <c r="M79" i="6" s="1"/>
  <c r="O79" i="6"/>
  <c r="I80" i="6"/>
  <c r="K80" i="6"/>
  <c r="L74" i="5"/>
  <c r="J74" i="5"/>
  <c r="O74" i="5"/>
  <c r="K75" i="5"/>
  <c r="I75" i="5"/>
  <c r="F77" i="5"/>
  <c r="K75" i="4"/>
  <c r="K74" i="4"/>
  <c r="L74" i="4"/>
  <c r="P74" i="4"/>
  <c r="D78" i="4"/>
  <c r="N76" i="4"/>
  <c r="I76" i="4"/>
  <c r="G76" i="4"/>
  <c r="J75" i="4"/>
  <c r="H75" i="4"/>
  <c r="O75" i="4" s="1"/>
  <c r="M75" i="4"/>
  <c r="J75" i="3"/>
  <c r="L75" i="3" s="1"/>
  <c r="H75" i="3"/>
  <c r="K75" i="3" s="1"/>
  <c r="F76" i="3"/>
  <c r="I76" i="3"/>
  <c r="G76" i="3"/>
  <c r="D78" i="3"/>
  <c r="BY18" i="7" l="1"/>
  <c r="BZ16" i="7"/>
  <c r="BX19" i="7"/>
  <c r="BX17" i="7"/>
  <c r="G82" i="6"/>
  <c r="H82" i="6" s="1"/>
  <c r="S79" i="4"/>
  <c r="E78" i="4"/>
  <c r="F78" i="4" s="1"/>
  <c r="K81" i="6"/>
  <c r="I81" i="6"/>
  <c r="J80" i="6"/>
  <c r="M80" i="6" s="1"/>
  <c r="L80" i="6"/>
  <c r="N80" i="6" s="1"/>
  <c r="O80" i="6"/>
  <c r="J75" i="5"/>
  <c r="L75" i="5"/>
  <c r="I76" i="5"/>
  <c r="K76" i="5"/>
  <c r="F78" i="5"/>
  <c r="O75" i="5"/>
  <c r="L75" i="4"/>
  <c r="P75" i="4"/>
  <c r="H76" i="4"/>
  <c r="O76" i="4" s="1"/>
  <c r="J76" i="4"/>
  <c r="D79" i="4"/>
  <c r="M76" i="4"/>
  <c r="N77" i="4"/>
  <c r="G77" i="4"/>
  <c r="I77" i="4"/>
  <c r="F77" i="3"/>
  <c r="I77" i="3"/>
  <c r="G77" i="3"/>
  <c r="D79" i="3"/>
  <c r="M76" i="3"/>
  <c r="H76" i="3"/>
  <c r="K76" i="3" s="1"/>
  <c r="J76" i="3"/>
  <c r="L76" i="3" s="1"/>
  <c r="BZ18" i="7" l="1"/>
  <c r="CA16" i="7"/>
  <c r="BY19" i="7"/>
  <c r="BY17" i="7" s="1"/>
  <c r="G83" i="6"/>
  <c r="H83" i="6" s="1"/>
  <c r="S80" i="4"/>
  <c r="E79" i="4"/>
  <c r="F79" i="4" s="1"/>
  <c r="K82" i="6"/>
  <c r="I82" i="6"/>
  <c r="O81" i="6"/>
  <c r="J81" i="6"/>
  <c r="M81" i="6" s="1"/>
  <c r="L81" i="6"/>
  <c r="N81" i="6" s="1"/>
  <c r="F79" i="5"/>
  <c r="K77" i="5"/>
  <c r="I77" i="5"/>
  <c r="L76" i="5"/>
  <c r="J76" i="5"/>
  <c r="O76" i="5"/>
  <c r="L76" i="4"/>
  <c r="P76" i="4"/>
  <c r="K76" i="4"/>
  <c r="H77" i="4"/>
  <c r="O77" i="4" s="1"/>
  <c r="J77" i="4"/>
  <c r="M77" i="4"/>
  <c r="N78" i="4"/>
  <c r="G78" i="4"/>
  <c r="I78" i="4"/>
  <c r="D80" i="4"/>
  <c r="G78" i="3"/>
  <c r="F78" i="3"/>
  <c r="I78" i="3"/>
  <c r="D80" i="3"/>
  <c r="M77" i="3"/>
  <c r="J77" i="3"/>
  <c r="L77" i="3" s="1"/>
  <c r="H77" i="3"/>
  <c r="K77" i="3" s="1"/>
  <c r="CA18" i="7" l="1"/>
  <c r="CB16" i="7"/>
  <c r="BZ19" i="7"/>
  <c r="BZ17" i="7"/>
  <c r="G84" i="6"/>
  <c r="H84" i="6" s="1"/>
  <c r="S81" i="4"/>
  <c r="E80" i="4"/>
  <c r="F80" i="4" s="1"/>
  <c r="K77" i="4"/>
  <c r="K83" i="6"/>
  <c r="I83" i="6"/>
  <c r="O82" i="6"/>
  <c r="L82" i="6"/>
  <c r="N82" i="6" s="1"/>
  <c r="J82" i="6"/>
  <c r="M82" i="6" s="1"/>
  <c r="O77" i="5"/>
  <c r="L77" i="5"/>
  <c r="J77" i="5"/>
  <c r="K78" i="5"/>
  <c r="I78" i="5"/>
  <c r="F80" i="5"/>
  <c r="P77" i="4"/>
  <c r="L77" i="4"/>
  <c r="N79" i="4"/>
  <c r="I79" i="4"/>
  <c r="G79" i="4"/>
  <c r="D81" i="4"/>
  <c r="J78" i="4"/>
  <c r="H78" i="4"/>
  <c r="O78" i="4" s="1"/>
  <c r="M78" i="4"/>
  <c r="G79" i="3"/>
  <c r="F79" i="3"/>
  <c r="I79" i="3"/>
  <c r="D81" i="3"/>
  <c r="H78" i="3"/>
  <c r="J78" i="3"/>
  <c r="L78" i="3" s="1"/>
  <c r="M78" i="3"/>
  <c r="K78" i="3"/>
  <c r="CB18" i="7" l="1"/>
  <c r="CC16" i="7"/>
  <c r="CA19" i="7"/>
  <c r="CA17" i="7"/>
  <c r="G85" i="6"/>
  <c r="H85" i="6" s="1"/>
  <c r="S82" i="4"/>
  <c r="E81" i="4"/>
  <c r="F81" i="4" s="1"/>
  <c r="K84" i="6"/>
  <c r="I84" i="6"/>
  <c r="L83" i="6"/>
  <c r="N83" i="6" s="1"/>
  <c r="J83" i="6"/>
  <c r="M83" i="6" s="1"/>
  <c r="O83" i="6"/>
  <c r="F81" i="5"/>
  <c r="I79" i="5"/>
  <c r="K79" i="5"/>
  <c r="O78" i="5"/>
  <c r="J78" i="5"/>
  <c r="L78" i="5"/>
  <c r="P78" i="4"/>
  <c r="L78" i="4"/>
  <c r="K78" i="4"/>
  <c r="D82" i="4"/>
  <c r="G80" i="4"/>
  <c r="N80" i="4"/>
  <c r="I80" i="4"/>
  <c r="H79" i="4"/>
  <c r="O79" i="4" s="1"/>
  <c r="J79" i="4"/>
  <c r="M79" i="4"/>
  <c r="D82" i="3"/>
  <c r="G80" i="3"/>
  <c r="F80" i="3"/>
  <c r="I80" i="3"/>
  <c r="J79" i="3"/>
  <c r="L79" i="3" s="1"/>
  <c r="H79" i="3"/>
  <c r="M79" i="3"/>
  <c r="K79" i="3"/>
  <c r="CC18" i="7" l="1"/>
  <c r="CD16" i="7"/>
  <c r="CB19" i="7"/>
  <c r="CB17" i="7"/>
  <c r="G86" i="6"/>
  <c r="H86" i="6" s="1"/>
  <c r="S83" i="4"/>
  <c r="E82" i="4"/>
  <c r="F82" i="4" s="1"/>
  <c r="L84" i="6"/>
  <c r="N84" i="6" s="1"/>
  <c r="J84" i="6"/>
  <c r="M84" i="6" s="1"/>
  <c r="O84" i="6"/>
  <c r="K85" i="6"/>
  <c r="I85" i="6"/>
  <c r="L79" i="5"/>
  <c r="J79" i="5"/>
  <c r="O79" i="5"/>
  <c r="I80" i="5"/>
  <c r="K80" i="5"/>
  <c r="F82" i="5"/>
  <c r="K79" i="4"/>
  <c r="P79" i="4"/>
  <c r="L79" i="4"/>
  <c r="G81" i="4"/>
  <c r="N81" i="4"/>
  <c r="I81" i="4"/>
  <c r="H80" i="4"/>
  <c r="O80" i="4" s="1"/>
  <c r="J80" i="4"/>
  <c r="M80" i="4"/>
  <c r="D83" i="4"/>
  <c r="H80" i="3"/>
  <c r="K80" i="3" s="1"/>
  <c r="J80" i="3"/>
  <c r="L80" i="3" s="1"/>
  <c r="M80" i="3"/>
  <c r="F81" i="3"/>
  <c r="I81" i="3"/>
  <c r="G81" i="3"/>
  <c r="D83" i="3"/>
  <c r="CD18" i="7" l="1"/>
  <c r="CE16" i="7"/>
  <c r="CC19" i="7"/>
  <c r="CC17" i="7"/>
  <c r="G87" i="6"/>
  <c r="H87" i="6" s="1"/>
  <c r="S84" i="4"/>
  <c r="E83" i="4"/>
  <c r="F83" i="4" s="1"/>
  <c r="O85" i="6"/>
  <c r="L85" i="6"/>
  <c r="N85" i="6" s="1"/>
  <c r="J85" i="6"/>
  <c r="M85" i="6" s="1"/>
  <c r="I86" i="6"/>
  <c r="K86" i="6"/>
  <c r="K81" i="5"/>
  <c r="I81" i="5"/>
  <c r="F83" i="5"/>
  <c r="L80" i="5"/>
  <c r="J80" i="5"/>
  <c r="O80" i="5"/>
  <c r="L80" i="4"/>
  <c r="P80" i="4"/>
  <c r="K80" i="4"/>
  <c r="D84" i="4"/>
  <c r="G82" i="4"/>
  <c r="N82" i="4"/>
  <c r="I82" i="4"/>
  <c r="M81" i="4"/>
  <c r="J81" i="4"/>
  <c r="H81" i="4"/>
  <c r="O81" i="4" s="1"/>
  <c r="G82" i="3"/>
  <c r="M82" i="3" s="1"/>
  <c r="F82" i="3"/>
  <c r="I82" i="3"/>
  <c r="M81" i="3"/>
  <c r="D84" i="3"/>
  <c r="J81" i="3"/>
  <c r="L81" i="3" s="1"/>
  <c r="H81" i="3"/>
  <c r="K81" i="3" s="1"/>
  <c r="CE18" i="7" l="1"/>
  <c r="CF16" i="7"/>
  <c r="CD19" i="7"/>
  <c r="CD17" i="7"/>
  <c r="G88" i="6"/>
  <c r="H88" i="6" s="1"/>
  <c r="S85" i="4"/>
  <c r="E84" i="4"/>
  <c r="F84" i="4" s="1"/>
  <c r="J86" i="6"/>
  <c r="M86" i="6" s="1"/>
  <c r="L86" i="6"/>
  <c r="N86" i="6" s="1"/>
  <c r="O86" i="6"/>
  <c r="K87" i="6"/>
  <c r="I87" i="6"/>
  <c r="F84" i="5"/>
  <c r="I82" i="5"/>
  <c r="K82" i="5"/>
  <c r="J81" i="5"/>
  <c r="L81" i="5"/>
  <c r="O81" i="5"/>
  <c r="L81" i="4"/>
  <c r="P81" i="4"/>
  <c r="K81" i="4"/>
  <c r="H82" i="4"/>
  <c r="O82" i="4" s="1"/>
  <c r="J82" i="4"/>
  <c r="M82" i="4"/>
  <c r="D85" i="4"/>
  <c r="G83" i="4"/>
  <c r="I83" i="4"/>
  <c r="N83" i="4"/>
  <c r="I83" i="3"/>
  <c r="F83" i="3"/>
  <c r="G83" i="3"/>
  <c r="M83" i="3" s="1"/>
  <c r="D85" i="3"/>
  <c r="J82" i="3"/>
  <c r="L82" i="3" s="1"/>
  <c r="H82" i="3"/>
  <c r="K82" i="3" s="1"/>
  <c r="CF18" i="7" l="1"/>
  <c r="CG16" i="7"/>
  <c r="CE19" i="7"/>
  <c r="CE17" i="7" s="1"/>
  <c r="G89" i="6"/>
  <c r="H89" i="6" s="1"/>
  <c r="S86" i="4"/>
  <c r="E85" i="4"/>
  <c r="F85" i="4" s="1"/>
  <c r="K88" i="6"/>
  <c r="I88" i="6"/>
  <c r="O87" i="6"/>
  <c r="J87" i="6"/>
  <c r="M87" i="6" s="1"/>
  <c r="L87" i="6"/>
  <c r="N87" i="6" s="1"/>
  <c r="L82" i="5"/>
  <c r="J82" i="5"/>
  <c r="O82" i="5"/>
  <c r="F85" i="5"/>
  <c r="K83" i="5"/>
  <c r="I83" i="5"/>
  <c r="K82" i="4"/>
  <c r="L82" i="4"/>
  <c r="P82" i="4"/>
  <c r="I84" i="4"/>
  <c r="G84" i="4"/>
  <c r="N84" i="4"/>
  <c r="D86" i="4"/>
  <c r="H83" i="4"/>
  <c r="O83" i="4" s="1"/>
  <c r="J83" i="4"/>
  <c r="M83" i="4"/>
  <c r="D86" i="3"/>
  <c r="I84" i="3"/>
  <c r="F84" i="3"/>
  <c r="G84" i="3"/>
  <c r="J83" i="3"/>
  <c r="L83" i="3" s="1"/>
  <c r="H83" i="3"/>
  <c r="K83" i="3" s="1"/>
  <c r="CG18" i="7" l="1"/>
  <c r="CH16" i="7"/>
  <c r="CF19" i="7"/>
  <c r="CF17" i="7" s="1"/>
  <c r="G90" i="6"/>
  <c r="H90" i="6" s="1"/>
  <c r="S87" i="4"/>
  <c r="E86" i="4"/>
  <c r="F86" i="4" s="1"/>
  <c r="L88" i="6"/>
  <c r="N88" i="6" s="1"/>
  <c r="J88" i="6"/>
  <c r="M88" i="6" s="1"/>
  <c r="O88" i="6"/>
  <c r="I89" i="6"/>
  <c r="K89" i="6"/>
  <c r="O83" i="5"/>
  <c r="J83" i="5"/>
  <c r="L83" i="5"/>
  <c r="I84" i="5"/>
  <c r="K84" i="5"/>
  <c r="F86" i="5"/>
  <c r="L83" i="4"/>
  <c r="P83" i="4"/>
  <c r="K83" i="4"/>
  <c r="D87" i="4"/>
  <c r="I85" i="4"/>
  <c r="N85" i="4"/>
  <c r="G85" i="4"/>
  <c r="H84" i="4"/>
  <c r="O84" i="4" s="1"/>
  <c r="J84" i="4"/>
  <c r="M84" i="4"/>
  <c r="M84" i="3"/>
  <c r="J84" i="3"/>
  <c r="L84" i="3" s="1"/>
  <c r="H84" i="3"/>
  <c r="K84" i="3" s="1"/>
  <c r="D87" i="3"/>
  <c r="F85" i="3"/>
  <c r="I85" i="3"/>
  <c r="G85" i="3"/>
  <c r="M85" i="3" s="1"/>
  <c r="CH18" i="7" l="1"/>
  <c r="CI16" i="7"/>
  <c r="CG19" i="7"/>
  <c r="CG17" i="7" s="1"/>
  <c r="G91" i="6"/>
  <c r="H91" i="6" s="1"/>
  <c r="S88" i="4"/>
  <c r="E87" i="4"/>
  <c r="F87" i="4" s="1"/>
  <c r="O89" i="6"/>
  <c r="L89" i="6"/>
  <c r="N89" i="6" s="1"/>
  <c r="J89" i="6"/>
  <c r="M89" i="6" s="1"/>
  <c r="I90" i="6"/>
  <c r="K90" i="6"/>
  <c r="F87" i="5"/>
  <c r="K85" i="5"/>
  <c r="I85" i="5"/>
  <c r="J84" i="5"/>
  <c r="L84" i="5"/>
  <c r="O84" i="5"/>
  <c r="L84" i="4"/>
  <c r="P84" i="4"/>
  <c r="K84" i="4"/>
  <c r="J85" i="4"/>
  <c r="H85" i="4"/>
  <c r="O85" i="4" s="1"/>
  <c r="D88" i="4"/>
  <c r="M85" i="4"/>
  <c r="I86" i="4"/>
  <c r="N86" i="4"/>
  <c r="G86" i="4"/>
  <c r="J85" i="3"/>
  <c r="L85" i="3" s="1"/>
  <c r="H85" i="3"/>
  <c r="K85" i="3" s="1"/>
  <c r="D88" i="3"/>
  <c r="I86" i="3"/>
  <c r="F86" i="3"/>
  <c r="G86" i="3"/>
  <c r="CI18" i="7" l="1"/>
  <c r="CJ16" i="7"/>
  <c r="CH19" i="7"/>
  <c r="CH17" i="7" s="1"/>
  <c r="G92" i="6"/>
  <c r="H92" i="6" s="1"/>
  <c r="S89" i="4"/>
  <c r="E88" i="4"/>
  <c r="F88" i="4" s="1"/>
  <c r="K91" i="6"/>
  <c r="I91" i="6"/>
  <c r="O90" i="6"/>
  <c r="L90" i="6"/>
  <c r="N90" i="6" s="1"/>
  <c r="J90" i="6"/>
  <c r="M90" i="6" s="1"/>
  <c r="O85" i="5"/>
  <c r="L85" i="5"/>
  <c r="J85" i="5"/>
  <c r="F88" i="5"/>
  <c r="I86" i="5"/>
  <c r="K86" i="5"/>
  <c r="L85" i="4"/>
  <c r="P85" i="4"/>
  <c r="K85" i="4"/>
  <c r="D89" i="4"/>
  <c r="J86" i="4"/>
  <c r="H86" i="4"/>
  <c r="O86" i="4" s="1"/>
  <c r="M86" i="4"/>
  <c r="I87" i="4"/>
  <c r="G87" i="4"/>
  <c r="N87" i="4"/>
  <c r="M86" i="3"/>
  <c r="H86" i="3"/>
  <c r="K86" i="3" s="1"/>
  <c r="J86" i="3"/>
  <c r="L86" i="3" s="1"/>
  <c r="F87" i="3"/>
  <c r="I87" i="3"/>
  <c r="G87" i="3"/>
  <c r="M87" i="3" s="1"/>
  <c r="D89" i="3"/>
  <c r="CJ18" i="7" l="1"/>
  <c r="CK16" i="7"/>
  <c r="CI19" i="7"/>
  <c r="CI17" i="7" s="1"/>
  <c r="G93" i="6"/>
  <c r="H93" i="6" s="1"/>
  <c r="S90" i="4"/>
  <c r="E89" i="4"/>
  <c r="F89" i="4" s="1"/>
  <c r="O91" i="6"/>
  <c r="L91" i="6"/>
  <c r="N91" i="6" s="1"/>
  <c r="J91" i="6"/>
  <c r="M91" i="6" s="1"/>
  <c r="I92" i="6"/>
  <c r="K92" i="6"/>
  <c r="J86" i="5"/>
  <c r="L86" i="5"/>
  <c r="O86" i="5"/>
  <c r="K87" i="5"/>
  <c r="I87" i="5"/>
  <c r="F89" i="5"/>
  <c r="P86" i="4"/>
  <c r="L86" i="4"/>
  <c r="K86" i="4"/>
  <c r="J87" i="4"/>
  <c r="H87" i="4"/>
  <c r="O87" i="4" s="1"/>
  <c r="M87" i="4"/>
  <c r="N88" i="4"/>
  <c r="I88" i="4"/>
  <c r="G88" i="4"/>
  <c r="D90" i="4"/>
  <c r="G88" i="3"/>
  <c r="I88" i="3"/>
  <c r="F88" i="3"/>
  <c r="D90" i="3"/>
  <c r="J87" i="3"/>
  <c r="L87" i="3" s="1"/>
  <c r="H87" i="3"/>
  <c r="K87" i="3" s="1"/>
  <c r="CK18" i="7" l="1"/>
  <c r="CL16" i="7"/>
  <c r="CJ19" i="7"/>
  <c r="CJ17" i="7"/>
  <c r="G94" i="6"/>
  <c r="H94" i="6" s="1"/>
  <c r="S91" i="4"/>
  <c r="E90" i="4"/>
  <c r="F90" i="4" s="1"/>
  <c r="K87" i="4"/>
  <c r="O92" i="6"/>
  <c r="K93" i="6"/>
  <c r="I93" i="6"/>
  <c r="J92" i="6"/>
  <c r="M92" i="6" s="1"/>
  <c r="L92" i="6"/>
  <c r="N92" i="6" s="1"/>
  <c r="F90" i="5"/>
  <c r="I88" i="5"/>
  <c r="K88" i="5"/>
  <c r="J87" i="5"/>
  <c r="L87" i="5"/>
  <c r="O87" i="5"/>
  <c r="L87" i="4"/>
  <c r="P87" i="4"/>
  <c r="N89" i="4"/>
  <c r="G89" i="4"/>
  <c r="I89" i="4"/>
  <c r="D91" i="4"/>
  <c r="M88" i="4"/>
  <c r="J88" i="4"/>
  <c r="H88" i="4"/>
  <c r="O88" i="4" s="1"/>
  <c r="D91" i="3"/>
  <c r="I89" i="3"/>
  <c r="G89" i="3"/>
  <c r="F89" i="3"/>
  <c r="H88" i="3"/>
  <c r="J88" i="3"/>
  <c r="L88" i="3" s="1"/>
  <c r="M88" i="3"/>
  <c r="K88" i="3"/>
  <c r="CL18" i="7" l="1"/>
  <c r="CM16" i="7"/>
  <c r="CK19" i="7"/>
  <c r="CK17" i="7"/>
  <c r="G95" i="6"/>
  <c r="H95" i="6" s="1"/>
  <c r="S92" i="4"/>
  <c r="E91" i="4"/>
  <c r="F91" i="4" s="1"/>
  <c r="O93" i="6"/>
  <c r="J93" i="6"/>
  <c r="M93" i="6" s="1"/>
  <c r="L93" i="6"/>
  <c r="N93" i="6" s="1"/>
  <c r="I94" i="6"/>
  <c r="K94" i="6"/>
  <c r="L88" i="5"/>
  <c r="J88" i="5"/>
  <c r="O88" i="5"/>
  <c r="I89" i="5"/>
  <c r="K89" i="5"/>
  <c r="F91" i="5"/>
  <c r="L88" i="4"/>
  <c r="P88" i="4"/>
  <c r="K88" i="4"/>
  <c r="N90" i="4"/>
  <c r="I90" i="4"/>
  <c r="G90" i="4"/>
  <c r="D92" i="4"/>
  <c r="J89" i="4"/>
  <c r="H89" i="4"/>
  <c r="O89" i="4" s="1"/>
  <c r="M89" i="4"/>
  <c r="J89" i="3"/>
  <c r="L89" i="3" s="1"/>
  <c r="H89" i="3"/>
  <c r="K89" i="3" s="1"/>
  <c r="M89" i="3"/>
  <c r="F90" i="3"/>
  <c r="G90" i="3"/>
  <c r="M90" i="3" s="1"/>
  <c r="I90" i="3"/>
  <c r="D92" i="3"/>
  <c r="CM18" i="7" l="1"/>
  <c r="CN16" i="7"/>
  <c r="CL19" i="7"/>
  <c r="CL17" i="7"/>
  <c r="G96" i="6"/>
  <c r="H96" i="6" s="1"/>
  <c r="S93" i="4"/>
  <c r="E92" i="4"/>
  <c r="F92" i="4" s="1"/>
  <c r="I95" i="6"/>
  <c r="K95" i="6"/>
  <c r="O94" i="6"/>
  <c r="L94" i="6"/>
  <c r="N94" i="6" s="1"/>
  <c r="J94" i="6"/>
  <c r="M94" i="6" s="1"/>
  <c r="I90" i="5"/>
  <c r="K90" i="5"/>
  <c r="F92" i="5"/>
  <c r="J89" i="5"/>
  <c r="L89" i="5"/>
  <c r="O89" i="5"/>
  <c r="L89" i="4"/>
  <c r="P89" i="4"/>
  <c r="K89" i="4"/>
  <c r="N91" i="4"/>
  <c r="I91" i="4"/>
  <c r="G91" i="4"/>
  <c r="M90" i="4"/>
  <c r="D93" i="4"/>
  <c r="H90" i="4"/>
  <c r="O90" i="4" s="1"/>
  <c r="J90" i="4"/>
  <c r="D93" i="3"/>
  <c r="I91" i="3"/>
  <c r="G91" i="3"/>
  <c r="M91" i="3" s="1"/>
  <c r="F91" i="3"/>
  <c r="J90" i="3"/>
  <c r="L90" i="3" s="1"/>
  <c r="H90" i="3"/>
  <c r="K90" i="3" s="1"/>
  <c r="CN18" i="7" l="1"/>
  <c r="CO16" i="7"/>
  <c r="CO18" i="7" s="1"/>
  <c r="CM19" i="7"/>
  <c r="CM17" i="7" s="1"/>
  <c r="G97" i="6"/>
  <c r="H97" i="6" s="1"/>
  <c r="S94" i="4"/>
  <c r="E93" i="4"/>
  <c r="F93" i="4" s="1"/>
  <c r="O95" i="6"/>
  <c r="L95" i="6"/>
  <c r="N95" i="6" s="1"/>
  <c r="J95" i="6"/>
  <c r="M95" i="6" s="1"/>
  <c r="I96" i="6"/>
  <c r="K96" i="6"/>
  <c r="F93" i="5"/>
  <c r="O90" i="5"/>
  <c r="K91" i="5"/>
  <c r="I91" i="5"/>
  <c r="L90" i="5"/>
  <c r="J90" i="5"/>
  <c r="L90" i="4"/>
  <c r="P90" i="4"/>
  <c r="K90" i="4"/>
  <c r="N92" i="4"/>
  <c r="I92" i="4"/>
  <c r="G92" i="4"/>
  <c r="H91" i="4"/>
  <c r="O91" i="4" s="1"/>
  <c r="J91" i="4"/>
  <c r="D94" i="4"/>
  <c r="M91" i="4"/>
  <c r="J91" i="3"/>
  <c r="L91" i="3" s="1"/>
  <c r="H91" i="3"/>
  <c r="K91" i="3" s="1"/>
  <c r="D94" i="3"/>
  <c r="F92" i="3"/>
  <c r="G92" i="3"/>
  <c r="M92" i="3" s="1"/>
  <c r="I92" i="3"/>
  <c r="CO19" i="7" l="1"/>
  <c r="CO17" i="7"/>
  <c r="CN19" i="7"/>
  <c r="CN17" i="7"/>
  <c r="G98" i="6"/>
  <c r="H98" i="6" s="1"/>
  <c r="S95" i="4"/>
  <c r="E94" i="4"/>
  <c r="F94" i="4" s="1"/>
  <c r="I97" i="6"/>
  <c r="K97" i="6"/>
  <c r="L96" i="6"/>
  <c r="N96" i="6" s="1"/>
  <c r="J96" i="6"/>
  <c r="M96" i="6" s="1"/>
  <c r="O96" i="6"/>
  <c r="O91" i="5"/>
  <c r="F94" i="5"/>
  <c r="L91" i="5"/>
  <c r="J91" i="5"/>
  <c r="I92" i="5"/>
  <c r="K92" i="5"/>
  <c r="L91" i="4"/>
  <c r="P91" i="4"/>
  <c r="K91" i="4"/>
  <c r="D95" i="4"/>
  <c r="I93" i="4"/>
  <c r="G93" i="4"/>
  <c r="N93" i="4"/>
  <c r="M92" i="4"/>
  <c r="J92" i="4"/>
  <c r="H92" i="4"/>
  <c r="O92" i="4" s="1"/>
  <c r="H92" i="3"/>
  <c r="K92" i="3" s="1"/>
  <c r="J92" i="3"/>
  <c r="L92" i="3" s="1"/>
  <c r="I93" i="3"/>
  <c r="F93" i="3"/>
  <c r="G93" i="3"/>
  <c r="M93" i="3" s="1"/>
  <c r="D95" i="3"/>
  <c r="G99" i="6" l="1"/>
  <c r="H99" i="6" s="1"/>
  <c r="S96" i="4"/>
  <c r="E95" i="4"/>
  <c r="F95" i="4" s="1"/>
  <c r="L97" i="6"/>
  <c r="N97" i="6" s="1"/>
  <c r="J97" i="6"/>
  <c r="M97" i="6" s="1"/>
  <c r="O97" i="6"/>
  <c r="I98" i="6"/>
  <c r="K98" i="6"/>
  <c r="J92" i="5"/>
  <c r="L92" i="5"/>
  <c r="K93" i="5"/>
  <c r="I93" i="5"/>
  <c r="O92" i="5"/>
  <c r="F95" i="5"/>
  <c r="L92" i="4"/>
  <c r="P92" i="4"/>
  <c r="K92" i="4"/>
  <c r="D96" i="4"/>
  <c r="M93" i="4"/>
  <c r="H93" i="4"/>
  <c r="O93" i="4" s="1"/>
  <c r="J93" i="4"/>
  <c r="G94" i="4"/>
  <c r="N94" i="4"/>
  <c r="I94" i="4"/>
  <c r="D96" i="3"/>
  <c r="F94" i="3"/>
  <c r="G94" i="3"/>
  <c r="I94" i="3"/>
  <c r="J93" i="3"/>
  <c r="L93" i="3" s="1"/>
  <c r="H93" i="3"/>
  <c r="K93" i="3" s="1"/>
  <c r="G100" i="6" l="1"/>
  <c r="H100" i="6" s="1"/>
  <c r="S97" i="4"/>
  <c r="E96" i="4"/>
  <c r="F96" i="4" s="1"/>
  <c r="L98" i="6"/>
  <c r="N98" i="6" s="1"/>
  <c r="J98" i="6"/>
  <c r="M98" i="6" s="1"/>
  <c r="O98" i="6"/>
  <c r="K99" i="6"/>
  <c r="I99" i="6"/>
  <c r="K94" i="5"/>
  <c r="I94" i="5"/>
  <c r="F96" i="5"/>
  <c r="J93" i="5"/>
  <c r="L93" i="5"/>
  <c r="O93" i="5"/>
  <c r="L93" i="4"/>
  <c r="P93" i="4"/>
  <c r="K93" i="4"/>
  <c r="J94" i="4"/>
  <c r="H94" i="4"/>
  <c r="O94" i="4" s="1"/>
  <c r="M94" i="4"/>
  <c r="G95" i="4"/>
  <c r="N95" i="4"/>
  <c r="I95" i="4"/>
  <c r="D97" i="4"/>
  <c r="M94" i="3"/>
  <c r="H94" i="3"/>
  <c r="K94" i="3" s="1"/>
  <c r="J94" i="3"/>
  <c r="L94" i="3" s="1"/>
  <c r="I95" i="3"/>
  <c r="G95" i="3"/>
  <c r="F95" i="3"/>
  <c r="D97" i="3"/>
  <c r="G101" i="6" l="1"/>
  <c r="H101" i="6" s="1"/>
  <c r="S98" i="4"/>
  <c r="E97" i="4"/>
  <c r="F97" i="4" s="1"/>
  <c r="O99" i="6"/>
  <c r="J99" i="6"/>
  <c r="M99" i="6" s="1"/>
  <c r="L99" i="6"/>
  <c r="N99" i="6" s="1"/>
  <c r="K100" i="6"/>
  <c r="I100" i="6"/>
  <c r="F97" i="5"/>
  <c r="I95" i="5"/>
  <c r="K95" i="5"/>
  <c r="O94" i="5"/>
  <c r="L94" i="5"/>
  <c r="J94" i="5"/>
  <c r="L94" i="4"/>
  <c r="P94" i="4"/>
  <c r="K94" i="4"/>
  <c r="D98" i="4"/>
  <c r="I96" i="4"/>
  <c r="G96" i="4"/>
  <c r="N96" i="4"/>
  <c r="H95" i="4"/>
  <c r="O95" i="4" s="1"/>
  <c r="J95" i="4"/>
  <c r="M95" i="4"/>
  <c r="D98" i="3"/>
  <c r="J95" i="3"/>
  <c r="L95" i="3" s="1"/>
  <c r="H95" i="3"/>
  <c r="G96" i="3"/>
  <c r="I96" i="3"/>
  <c r="F96" i="3"/>
  <c r="M95" i="3"/>
  <c r="K95" i="3"/>
  <c r="G102" i="6" l="1"/>
  <c r="H102" i="6" s="1"/>
  <c r="S99" i="4"/>
  <c r="E98" i="4"/>
  <c r="F98" i="4" s="1"/>
  <c r="I101" i="6"/>
  <c r="K101" i="6"/>
  <c r="O100" i="6"/>
  <c r="L100" i="6"/>
  <c r="N100" i="6" s="1"/>
  <c r="J100" i="6"/>
  <c r="M100" i="6" s="1"/>
  <c r="O95" i="5"/>
  <c r="J95" i="5"/>
  <c r="L95" i="5"/>
  <c r="K96" i="5"/>
  <c r="I96" i="5"/>
  <c r="F98" i="5"/>
  <c r="L95" i="4"/>
  <c r="P95" i="4"/>
  <c r="K95" i="4"/>
  <c r="M96" i="4"/>
  <c r="H96" i="4"/>
  <c r="O96" i="4" s="1"/>
  <c r="J96" i="4"/>
  <c r="I97" i="4"/>
  <c r="G97" i="4"/>
  <c r="N97" i="4"/>
  <c r="D99" i="4"/>
  <c r="H96" i="3"/>
  <c r="K96" i="3" s="1"/>
  <c r="J96" i="3"/>
  <c r="L96" i="3" s="1"/>
  <c r="M96" i="3"/>
  <c r="I97" i="3"/>
  <c r="G97" i="3"/>
  <c r="M97" i="3" s="1"/>
  <c r="F97" i="3"/>
  <c r="D99" i="3"/>
  <c r="G103" i="6" l="1"/>
  <c r="H103" i="6" s="1"/>
  <c r="S100" i="4"/>
  <c r="E99" i="4"/>
  <c r="F99" i="4" s="1"/>
  <c r="O101" i="6"/>
  <c r="L101" i="6"/>
  <c r="N101" i="6" s="1"/>
  <c r="J101" i="6"/>
  <c r="M101" i="6" s="1"/>
  <c r="K102" i="6"/>
  <c r="I102" i="6"/>
  <c r="F99" i="5"/>
  <c r="K97" i="5"/>
  <c r="I97" i="5"/>
  <c r="O96" i="5"/>
  <c r="J96" i="5"/>
  <c r="L96" i="5"/>
  <c r="K96" i="4"/>
  <c r="L96" i="4"/>
  <c r="P96" i="4"/>
  <c r="I98" i="4"/>
  <c r="G98" i="4"/>
  <c r="N98" i="4"/>
  <c r="D100" i="4"/>
  <c r="J97" i="4"/>
  <c r="H97" i="4"/>
  <c r="O97" i="4" s="1"/>
  <c r="M97" i="4"/>
  <c r="D100" i="3"/>
  <c r="F98" i="3"/>
  <c r="I98" i="3"/>
  <c r="G98" i="3"/>
  <c r="H97" i="3"/>
  <c r="K97" i="3" s="1"/>
  <c r="J97" i="3"/>
  <c r="L97" i="3" s="1"/>
  <c r="G104" i="6" l="1"/>
  <c r="H104" i="6" s="1"/>
  <c r="S101" i="4"/>
  <c r="E100" i="4"/>
  <c r="F100" i="4" s="1"/>
  <c r="K97" i="4"/>
  <c r="I103" i="6"/>
  <c r="K103" i="6"/>
  <c r="O102" i="6"/>
  <c r="L102" i="6"/>
  <c r="N102" i="6" s="1"/>
  <c r="J102" i="6"/>
  <c r="M102" i="6" s="1"/>
  <c r="O97" i="5"/>
  <c r="L97" i="5"/>
  <c r="J97" i="5"/>
  <c r="F100" i="5"/>
  <c r="I98" i="5"/>
  <c r="K98" i="5"/>
  <c r="L97" i="4"/>
  <c r="P97" i="4"/>
  <c r="D101" i="4"/>
  <c r="M98" i="4"/>
  <c r="G99" i="4"/>
  <c r="I99" i="4"/>
  <c r="N99" i="4"/>
  <c r="J98" i="4"/>
  <c r="H98" i="4"/>
  <c r="O98" i="4" s="1"/>
  <c r="M98" i="3"/>
  <c r="H98" i="3"/>
  <c r="K98" i="3" s="1"/>
  <c r="J98" i="3"/>
  <c r="L98" i="3" s="1"/>
  <c r="D101" i="3"/>
  <c r="I99" i="3"/>
  <c r="F99" i="3"/>
  <c r="G99" i="3"/>
  <c r="M99" i="3" s="1"/>
  <c r="G105" i="6" l="1"/>
  <c r="H105" i="6" s="1"/>
  <c r="S102" i="4"/>
  <c r="E101" i="4"/>
  <c r="F101" i="4" s="1"/>
  <c r="L103" i="6"/>
  <c r="N103" i="6" s="1"/>
  <c r="J103" i="6"/>
  <c r="M103" i="6" s="1"/>
  <c r="O103" i="6"/>
  <c r="I104" i="6"/>
  <c r="K104" i="6"/>
  <c r="J98" i="5"/>
  <c r="L98" i="5"/>
  <c r="O98" i="5"/>
  <c r="F101" i="5"/>
  <c r="K99" i="5"/>
  <c r="I99" i="5"/>
  <c r="L98" i="4"/>
  <c r="P98" i="4"/>
  <c r="K98" i="4"/>
  <c r="M99" i="4"/>
  <c r="J99" i="4"/>
  <c r="H99" i="4"/>
  <c r="O99" i="4" s="1"/>
  <c r="I100" i="4"/>
  <c r="N100" i="4"/>
  <c r="G100" i="4"/>
  <c r="D102" i="4"/>
  <c r="H99" i="3"/>
  <c r="K99" i="3" s="1"/>
  <c r="J99" i="3"/>
  <c r="L99" i="3" s="1"/>
  <c r="D102" i="3"/>
  <c r="G100" i="3"/>
  <c r="M100" i="3" s="1"/>
  <c r="I100" i="3"/>
  <c r="F100" i="3"/>
  <c r="G106" i="6" l="1"/>
  <c r="H106" i="6" s="1"/>
  <c r="S103" i="4"/>
  <c r="E102" i="4"/>
  <c r="F102" i="4" s="1"/>
  <c r="L104" i="6"/>
  <c r="N104" i="6" s="1"/>
  <c r="J104" i="6"/>
  <c r="M104" i="6" s="1"/>
  <c r="O104" i="6"/>
  <c r="K105" i="6"/>
  <c r="I105" i="6"/>
  <c r="O99" i="5"/>
  <c r="J99" i="5"/>
  <c r="L99" i="5"/>
  <c r="F102" i="5"/>
  <c r="I100" i="5"/>
  <c r="K100" i="5"/>
  <c r="L99" i="4"/>
  <c r="P99" i="4"/>
  <c r="K99" i="4"/>
  <c r="D103" i="4"/>
  <c r="J100" i="4"/>
  <c r="H100" i="4"/>
  <c r="O100" i="4" s="1"/>
  <c r="M100" i="4"/>
  <c r="N101" i="4"/>
  <c r="I101" i="4"/>
  <c r="G101" i="4"/>
  <c r="H100" i="3"/>
  <c r="K100" i="3" s="1"/>
  <c r="J100" i="3"/>
  <c r="L100" i="3" s="1"/>
  <c r="D103" i="3"/>
  <c r="I101" i="3"/>
  <c r="F101" i="3"/>
  <c r="G101" i="3"/>
  <c r="M101" i="3" s="1"/>
  <c r="G107" i="6" l="1"/>
  <c r="H107" i="6" s="1"/>
  <c r="S104" i="4"/>
  <c r="E103" i="4"/>
  <c r="F103" i="4" s="1"/>
  <c r="K100" i="4"/>
  <c r="O105" i="6"/>
  <c r="J105" i="6"/>
  <c r="M105" i="6" s="1"/>
  <c r="L105" i="6"/>
  <c r="N105" i="6" s="1"/>
  <c r="K106" i="6"/>
  <c r="I106" i="6"/>
  <c r="L100" i="5"/>
  <c r="J100" i="5"/>
  <c r="O100" i="5"/>
  <c r="K101" i="5"/>
  <c r="I101" i="5"/>
  <c r="F103" i="5"/>
  <c r="P100" i="4"/>
  <c r="L100" i="4"/>
  <c r="J101" i="4"/>
  <c r="H101" i="4"/>
  <c r="O101" i="4" s="1"/>
  <c r="M101" i="4"/>
  <c r="N102" i="4"/>
  <c r="I102" i="4"/>
  <c r="G102" i="4"/>
  <c r="D104" i="4"/>
  <c r="J101" i="3"/>
  <c r="L101" i="3" s="1"/>
  <c r="H101" i="3"/>
  <c r="K101" i="3" s="1"/>
  <c r="D104" i="3"/>
  <c r="G102" i="3"/>
  <c r="I102" i="3"/>
  <c r="F102" i="3"/>
  <c r="G108" i="6" l="1"/>
  <c r="H108" i="6" s="1"/>
  <c r="S105" i="4"/>
  <c r="E104" i="4"/>
  <c r="F104" i="4" s="1"/>
  <c r="K101" i="4"/>
  <c r="K107" i="6"/>
  <c r="I107" i="6"/>
  <c r="O106" i="6"/>
  <c r="L106" i="6"/>
  <c r="N106" i="6" s="1"/>
  <c r="J106" i="6"/>
  <c r="M106" i="6" s="1"/>
  <c r="I102" i="5"/>
  <c r="K102" i="5"/>
  <c r="F104" i="5"/>
  <c r="L101" i="5"/>
  <c r="J101" i="5"/>
  <c r="O101" i="5"/>
  <c r="K102" i="4"/>
  <c r="L101" i="4"/>
  <c r="P101" i="4"/>
  <c r="M102" i="4"/>
  <c r="N103" i="4"/>
  <c r="I103" i="4"/>
  <c r="G103" i="4"/>
  <c r="D105" i="4"/>
  <c r="J102" i="4"/>
  <c r="H102" i="4"/>
  <c r="O102" i="4" s="1"/>
  <c r="H102" i="3"/>
  <c r="J102" i="3"/>
  <c r="L102" i="3" s="1"/>
  <c r="M102" i="3"/>
  <c r="K102" i="3"/>
  <c r="I103" i="3"/>
  <c r="G103" i="3"/>
  <c r="M103" i="3" s="1"/>
  <c r="F103" i="3"/>
  <c r="D105" i="3"/>
  <c r="G109" i="6" l="1"/>
  <c r="H109" i="6" s="1"/>
  <c r="S106" i="4"/>
  <c r="E105" i="4"/>
  <c r="F105" i="4" s="1"/>
  <c r="O107" i="6"/>
  <c r="L107" i="6"/>
  <c r="N107" i="6" s="1"/>
  <c r="J107" i="6"/>
  <c r="M107" i="6" s="1"/>
  <c r="K108" i="6"/>
  <c r="I108" i="6"/>
  <c r="F105" i="5"/>
  <c r="K103" i="5"/>
  <c r="I103" i="5"/>
  <c r="J102" i="5"/>
  <c r="L102" i="5"/>
  <c r="O102" i="5"/>
  <c r="L102" i="4"/>
  <c r="P102" i="4"/>
  <c r="D106" i="4"/>
  <c r="J103" i="4"/>
  <c r="H103" i="4"/>
  <c r="O103" i="4" s="1"/>
  <c r="N104" i="4"/>
  <c r="I104" i="4"/>
  <c r="G104" i="4"/>
  <c r="M103" i="4"/>
  <c r="D106" i="3"/>
  <c r="J103" i="3"/>
  <c r="L103" i="3" s="1"/>
  <c r="H103" i="3"/>
  <c r="K103" i="3" s="1"/>
  <c r="F104" i="3"/>
  <c r="I104" i="3"/>
  <c r="G104" i="3"/>
  <c r="M104" i="3" s="1"/>
  <c r="G110" i="6" l="1"/>
  <c r="H110" i="6" s="1"/>
  <c r="S107" i="4"/>
  <c r="E106" i="4"/>
  <c r="F106" i="4" s="1"/>
  <c r="L108" i="6"/>
  <c r="N108" i="6" s="1"/>
  <c r="J108" i="6"/>
  <c r="M108" i="6" s="1"/>
  <c r="O108" i="6"/>
  <c r="K109" i="6"/>
  <c r="I109" i="6"/>
  <c r="L103" i="5"/>
  <c r="J103" i="5"/>
  <c r="O103" i="5"/>
  <c r="I104" i="5"/>
  <c r="K104" i="5"/>
  <c r="F106" i="5"/>
  <c r="L103" i="4"/>
  <c r="P103" i="4"/>
  <c r="K103" i="4"/>
  <c r="J104" i="4"/>
  <c r="H104" i="4"/>
  <c r="O104" i="4" s="1"/>
  <c r="D107" i="4"/>
  <c r="M104" i="4"/>
  <c r="G105" i="4"/>
  <c r="N105" i="4"/>
  <c r="I105" i="4"/>
  <c r="J104" i="3"/>
  <c r="L104" i="3" s="1"/>
  <c r="H104" i="3"/>
  <c r="K104" i="3" s="1"/>
  <c r="F105" i="3"/>
  <c r="I105" i="3"/>
  <c r="G105" i="3"/>
  <c r="D107" i="3"/>
  <c r="G111" i="6" l="1"/>
  <c r="H111" i="6" s="1"/>
  <c r="S108" i="4"/>
  <c r="E107" i="4"/>
  <c r="F107" i="4" s="1"/>
  <c r="K104" i="4"/>
  <c r="L109" i="6"/>
  <c r="N109" i="6" s="1"/>
  <c r="J109" i="6"/>
  <c r="M109" i="6" s="1"/>
  <c r="O109" i="6"/>
  <c r="I110" i="6"/>
  <c r="K110" i="6"/>
  <c r="F107" i="5"/>
  <c r="L104" i="5"/>
  <c r="J104" i="5"/>
  <c r="K105" i="5"/>
  <c r="I105" i="5"/>
  <c r="O104" i="5"/>
  <c r="P104" i="4"/>
  <c r="L104" i="4"/>
  <c r="H105" i="4"/>
  <c r="O105" i="4" s="1"/>
  <c r="J105" i="4"/>
  <c r="D108" i="4"/>
  <c r="M105" i="4"/>
  <c r="G106" i="4"/>
  <c r="I106" i="4"/>
  <c r="N106" i="4"/>
  <c r="D108" i="3"/>
  <c r="G106" i="3"/>
  <c r="I106" i="3"/>
  <c r="F106" i="3"/>
  <c r="M105" i="3"/>
  <c r="J105" i="3"/>
  <c r="L105" i="3" s="1"/>
  <c r="H105" i="3"/>
  <c r="K105" i="3" s="1"/>
  <c r="G112" i="6" l="1"/>
  <c r="H112" i="6" s="1"/>
  <c r="S109" i="4"/>
  <c r="E108" i="4"/>
  <c r="F108" i="4" s="1"/>
  <c r="K105" i="4"/>
  <c r="O110" i="6"/>
  <c r="J110" i="6"/>
  <c r="M110" i="6" s="1"/>
  <c r="L110" i="6"/>
  <c r="N110" i="6" s="1"/>
  <c r="K111" i="6"/>
  <c r="I111" i="6"/>
  <c r="J105" i="5"/>
  <c r="L105" i="5"/>
  <c r="O105" i="5"/>
  <c r="F108" i="5"/>
  <c r="K106" i="5"/>
  <c r="I106" i="5"/>
  <c r="L105" i="4"/>
  <c r="P105" i="4"/>
  <c r="J106" i="4"/>
  <c r="H106" i="4"/>
  <c r="O106" i="4" s="1"/>
  <c r="G107" i="4"/>
  <c r="N107" i="4"/>
  <c r="I107" i="4"/>
  <c r="M106" i="4"/>
  <c r="D109" i="4"/>
  <c r="H106" i="3"/>
  <c r="K106" i="3" s="1"/>
  <c r="J106" i="3"/>
  <c r="L106" i="3" s="1"/>
  <c r="M106" i="3"/>
  <c r="F107" i="3"/>
  <c r="G107" i="3"/>
  <c r="M107" i="3" s="1"/>
  <c r="I107" i="3"/>
  <c r="D109" i="3"/>
  <c r="G113" i="6" l="1"/>
  <c r="H113" i="6" s="1"/>
  <c r="S110" i="4"/>
  <c r="E109" i="4"/>
  <c r="F109" i="4" s="1"/>
  <c r="K106" i="4"/>
  <c r="K112" i="6"/>
  <c r="I112" i="6"/>
  <c r="O111" i="6"/>
  <c r="J111" i="6"/>
  <c r="M111" i="6" s="1"/>
  <c r="L111" i="6"/>
  <c r="N111" i="6" s="1"/>
  <c r="I113" i="6"/>
  <c r="O106" i="5"/>
  <c r="I107" i="5"/>
  <c r="K107" i="5"/>
  <c r="L106" i="5"/>
  <c r="J106" i="5"/>
  <c r="F109" i="5"/>
  <c r="K107" i="4"/>
  <c r="L106" i="4"/>
  <c r="P106" i="4"/>
  <c r="I108" i="4"/>
  <c r="G108" i="4"/>
  <c r="N108" i="4"/>
  <c r="D110" i="4"/>
  <c r="M107" i="4"/>
  <c r="H107" i="4"/>
  <c r="O107" i="4" s="1"/>
  <c r="J107" i="4"/>
  <c r="D110" i="3"/>
  <c r="I108" i="3"/>
  <c r="F108" i="3"/>
  <c r="G108" i="3"/>
  <c r="M108" i="3" s="1"/>
  <c r="H107" i="3"/>
  <c r="K107" i="3" s="1"/>
  <c r="J107" i="3"/>
  <c r="L107" i="3" s="1"/>
  <c r="K113" i="6" l="1"/>
  <c r="S111" i="4"/>
  <c r="E110" i="4"/>
  <c r="F110" i="4" s="1"/>
  <c r="O113" i="6"/>
  <c r="L113" i="6"/>
  <c r="N113" i="6" s="1"/>
  <c r="J113" i="6"/>
  <c r="M113" i="6" s="1"/>
  <c r="O112" i="6"/>
  <c r="L112" i="6"/>
  <c r="N112" i="6" s="1"/>
  <c r="J112" i="6"/>
  <c r="M112" i="6" s="1"/>
  <c r="J107" i="5"/>
  <c r="L107" i="5"/>
  <c r="K108" i="5"/>
  <c r="I108" i="5"/>
  <c r="F110" i="5"/>
  <c r="O107" i="5"/>
  <c r="L107" i="4"/>
  <c r="P107" i="4"/>
  <c r="I109" i="4"/>
  <c r="G109" i="4"/>
  <c r="N109" i="4"/>
  <c r="M108" i="4"/>
  <c r="D111" i="4"/>
  <c r="H108" i="4"/>
  <c r="O108" i="4" s="1"/>
  <c r="J108" i="4"/>
  <c r="J108" i="3"/>
  <c r="L108" i="3" s="1"/>
  <c r="H108" i="3"/>
  <c r="K108" i="3" s="1"/>
  <c r="F109" i="3"/>
  <c r="I109" i="3"/>
  <c r="G109" i="3"/>
  <c r="M109" i="3" s="1"/>
  <c r="D111" i="3"/>
  <c r="S112" i="4" l="1"/>
  <c r="E111" i="4"/>
  <c r="F111" i="4" s="1"/>
  <c r="K109" i="5"/>
  <c r="I109" i="5"/>
  <c r="F111" i="5"/>
  <c r="O108" i="5"/>
  <c r="J108" i="5"/>
  <c r="L108" i="5"/>
  <c r="K108" i="4"/>
  <c r="L108" i="4"/>
  <c r="P108" i="4"/>
  <c r="I110" i="4"/>
  <c r="N110" i="4"/>
  <c r="G110" i="4"/>
  <c r="M109" i="4"/>
  <c r="D112" i="4"/>
  <c r="J109" i="4"/>
  <c r="H109" i="4"/>
  <c r="O109" i="4" s="1"/>
  <c r="D112" i="3"/>
  <c r="F110" i="3"/>
  <c r="G110" i="3"/>
  <c r="M110" i="3" s="1"/>
  <c r="I110" i="3"/>
  <c r="H109" i="3"/>
  <c r="K109" i="3" s="1"/>
  <c r="J109" i="3"/>
  <c r="L109" i="3" s="1"/>
  <c r="S113" i="4" l="1"/>
  <c r="E113" i="4" s="1"/>
  <c r="F113" i="4" s="1"/>
  <c r="E112" i="4"/>
  <c r="F112" i="4" s="1"/>
  <c r="F112" i="5"/>
  <c r="I110" i="5"/>
  <c r="K110" i="5"/>
  <c r="J109" i="5"/>
  <c r="L109" i="5"/>
  <c r="O109" i="5"/>
  <c r="L109" i="4"/>
  <c r="P109" i="4"/>
  <c r="K109" i="4"/>
  <c r="D113" i="4"/>
  <c r="M110" i="4"/>
  <c r="G111" i="4"/>
  <c r="I111" i="4"/>
  <c r="N111" i="4"/>
  <c r="J110" i="4"/>
  <c r="H110" i="4"/>
  <c r="O110" i="4" s="1"/>
  <c r="H110" i="3"/>
  <c r="K110" i="3" s="1"/>
  <c r="J110" i="3"/>
  <c r="L110" i="3" s="1"/>
  <c r="I111" i="3"/>
  <c r="G111" i="3"/>
  <c r="M111" i="3" s="1"/>
  <c r="F111" i="3"/>
  <c r="D113" i="3"/>
  <c r="L110" i="5" l="1"/>
  <c r="J110" i="5"/>
  <c r="O110" i="5"/>
  <c r="F113" i="5"/>
  <c r="K111" i="5"/>
  <c r="I111" i="5"/>
  <c r="L110" i="4"/>
  <c r="P110" i="4"/>
  <c r="K110" i="4"/>
  <c r="M111" i="4"/>
  <c r="J111" i="4"/>
  <c r="H111" i="4"/>
  <c r="O111" i="4" s="1"/>
  <c r="G112" i="4"/>
  <c r="N112" i="4"/>
  <c r="I112" i="4"/>
  <c r="F112" i="3"/>
  <c r="I112" i="3"/>
  <c r="G112" i="3"/>
  <c r="M112" i="3" s="1"/>
  <c r="I113" i="3"/>
  <c r="F113" i="3"/>
  <c r="G113" i="3"/>
  <c r="M113" i="3" s="1"/>
  <c r="J111" i="3"/>
  <c r="L111" i="3" s="1"/>
  <c r="H111" i="3"/>
  <c r="K111" i="3" s="1"/>
  <c r="K111" i="4" l="1"/>
  <c r="O111" i="5"/>
  <c r="J111" i="5"/>
  <c r="L111" i="5"/>
  <c r="I112" i="5"/>
  <c r="K112" i="5"/>
  <c r="L111" i="4"/>
  <c r="P111" i="4"/>
  <c r="H112" i="4"/>
  <c r="O112" i="4" s="1"/>
  <c r="J112" i="4"/>
  <c r="M112" i="4"/>
  <c r="N113" i="4"/>
  <c r="I113" i="4"/>
  <c r="G113" i="4"/>
  <c r="H113" i="3"/>
  <c r="K113" i="3" s="1"/>
  <c r="J113" i="3"/>
  <c r="L113" i="3" s="1"/>
  <c r="H112" i="3"/>
  <c r="K112" i="3" s="1"/>
  <c r="J112" i="3"/>
  <c r="L112" i="3" s="1"/>
  <c r="K112" i="4" l="1"/>
  <c r="L112" i="5"/>
  <c r="J112" i="5"/>
  <c r="O112" i="5"/>
  <c r="K113" i="5"/>
  <c r="I113" i="5"/>
  <c r="L112" i="4"/>
  <c r="P112" i="4"/>
  <c r="M113" i="4"/>
  <c r="J113" i="4"/>
  <c r="L113" i="4" s="1"/>
  <c r="H113" i="4"/>
  <c r="O113" i="4" s="1"/>
  <c r="L113" i="5" l="1"/>
  <c r="J113" i="5"/>
  <c r="O113" i="5"/>
  <c r="P113" i="4"/>
  <c r="K113" i="4"/>
</calcChain>
</file>

<file path=xl/sharedStrings.xml><?xml version="1.0" encoding="utf-8"?>
<sst xmlns="http://schemas.openxmlformats.org/spreadsheetml/2006/main" count="264" uniqueCount="93">
  <si>
    <t>P0</t>
  </si>
  <si>
    <t>K</t>
  </si>
  <si>
    <t>r</t>
  </si>
  <si>
    <t>σ</t>
  </si>
  <si>
    <t>T</t>
  </si>
  <si>
    <t>d1</t>
  </si>
  <si>
    <t>d2</t>
  </si>
  <si>
    <t>N(d1)</t>
  </si>
  <si>
    <t>N(d2)</t>
  </si>
  <si>
    <t>Call</t>
  </si>
  <si>
    <t>Put</t>
  </si>
  <si>
    <t>N(-d1)</t>
  </si>
  <si>
    <t>N(-d2)</t>
  </si>
  <si>
    <t>∆C</t>
  </si>
  <si>
    <t>∆P</t>
  </si>
  <si>
    <t>Gamma</t>
  </si>
  <si>
    <t>Θ Call</t>
  </si>
  <si>
    <t>Θ Put</t>
  </si>
  <si>
    <t>Time to Maturity</t>
  </si>
  <si>
    <t>sigma</t>
  </si>
  <si>
    <t>Vega</t>
  </si>
  <si>
    <t>ATM Θ Call</t>
  </si>
  <si>
    <t>ATM Θ Put</t>
  </si>
  <si>
    <t>ITM Θ Call</t>
  </si>
  <si>
    <t>OTM Θ Call</t>
  </si>
  <si>
    <t>Rho Call</t>
  </si>
  <si>
    <t>Rho Put</t>
  </si>
  <si>
    <t>C market</t>
  </si>
  <si>
    <t>BS formula</t>
  </si>
  <si>
    <t>Model price - Market price</t>
  </si>
  <si>
    <t>Use Excel Solver (IMPORTANT)</t>
  </si>
  <si>
    <t>Enable Solver</t>
  </si>
  <si>
    <r>
      <t xml:space="preserve">1. Go to </t>
    </r>
    <r>
      <rPr>
        <b/>
        <sz val="8"/>
        <color theme="1"/>
        <rFont val="Segoe UI"/>
        <family val="2"/>
      </rPr>
      <t>File → Options → Add‑ins</t>
    </r>
  </si>
  <si>
    <r>
      <t xml:space="preserve">2. At bottom: </t>
    </r>
    <r>
      <rPr>
        <b/>
        <sz val="8"/>
        <color theme="1"/>
        <rFont val="Segoe UI"/>
        <family val="2"/>
      </rPr>
      <t>Excel Add‑ins → Go</t>
    </r>
  </si>
  <si>
    <r>
      <t xml:space="preserve">3. Check </t>
    </r>
    <r>
      <rPr>
        <b/>
        <sz val="8"/>
        <color theme="1"/>
        <rFont val="Segoe UI"/>
        <family val="2"/>
      </rPr>
      <t>Solver Add‑in</t>
    </r>
  </si>
  <si>
    <t>4. Click OK</t>
  </si>
  <si>
    <t>Run Solver</t>
  </si>
  <si>
    <r>
      <t xml:space="preserve">1. Go to </t>
    </r>
    <r>
      <rPr>
        <b/>
        <sz val="8"/>
        <color theme="1"/>
        <rFont val="Segoe UI"/>
        <family val="2"/>
      </rPr>
      <t>Data → Solver</t>
    </r>
  </si>
  <si>
    <t>2. Set:</t>
  </si>
  <si>
    <r>
      <t>Set Objective</t>
    </r>
    <r>
      <rPr>
        <sz val="8"/>
        <color theme="1"/>
        <rFont val="Segoe UI"/>
        <family val="2"/>
      </rPr>
      <t xml:space="preserve">: </t>
    </r>
    <r>
      <rPr>
        <sz val="10"/>
        <color theme="1"/>
        <rFont val="Arial Unicode MS"/>
      </rPr>
      <t>B14</t>
    </r>
  </si>
  <si>
    <r>
      <t>To</t>
    </r>
    <r>
      <rPr>
        <sz val="8"/>
        <color theme="1"/>
        <rFont val="Segoe UI"/>
        <family val="2"/>
      </rPr>
      <t xml:space="preserve">: </t>
    </r>
    <r>
      <rPr>
        <sz val="10"/>
        <color theme="1"/>
        <rFont val="Arial Unicode MS"/>
      </rPr>
      <t>Value Of</t>
    </r>
    <r>
      <rPr>
        <sz val="8"/>
        <color theme="1"/>
        <rFont val="Segoe UI"/>
        <family val="2"/>
      </rPr>
      <t xml:space="preserve"> → </t>
    </r>
    <r>
      <rPr>
        <sz val="10"/>
        <color theme="1"/>
        <rFont val="Arial Unicode MS"/>
      </rPr>
      <t>0</t>
    </r>
  </si>
  <si>
    <r>
      <t>By Changing Variable Cells</t>
    </r>
    <r>
      <rPr>
        <sz val="8"/>
        <color theme="1"/>
        <rFont val="Segoe UI"/>
        <family val="2"/>
      </rPr>
      <t xml:space="preserve">: </t>
    </r>
    <r>
      <rPr>
        <sz val="10"/>
        <color theme="1"/>
        <rFont val="Arial Unicode MS"/>
      </rPr>
      <t>B6</t>
    </r>
  </si>
  <si>
    <t>3. Add constraint (optional but recommended):</t>
  </si>
  <si>
    <t>B6 &gt;= 0</t>
  </si>
  <si>
    <r>
      <t xml:space="preserve">4. Click </t>
    </r>
    <r>
      <rPr>
        <b/>
        <sz val="8"/>
        <color theme="1"/>
        <rFont val="Segoe UI"/>
        <family val="2"/>
      </rPr>
      <t>Solve</t>
    </r>
  </si>
  <si>
    <t>Microsoft Excel 16.0 Answer Report</t>
  </si>
  <si>
    <t>Worksheet: [Ex. BS-model and Greeks.xlsx]Implied Volatility</t>
  </si>
  <si>
    <t>Report Created: 4/8/2026 12:01:35 PM</t>
  </si>
  <si>
    <t>Result: Solver found a solution.  All Constraints and optimality conditions are satisfied.</t>
  </si>
  <si>
    <t>Solver Engine</t>
  </si>
  <si>
    <t>Engine: GRG Nonlinear</t>
  </si>
  <si>
    <t>Solution Time: 0.031 Seconds.</t>
  </si>
  <si>
    <t>Iterations: 0 Subproblems: 0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</si>
  <si>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</si>
  <si>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</si>
  <si>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</si>
  <si>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</si>
  <si>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</si>
  <si>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</si>
  <si>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</si>
  <si>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</si>
  <si>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</si>
  <si>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</si>
  <si>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</si>
  <si>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</si>
  <si>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</si>
  <si>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</si>
  <si>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</si>
  <si>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</si>
  <si>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$B$14</t>
  </si>
  <si>
    <t>$B$6</t>
  </si>
  <si>
    <t>Contin</t>
  </si>
  <si>
    <t>$B$14=0</t>
  </si>
  <si>
    <t>Binding</t>
  </si>
  <si>
    <t>$B$6&gt;=0</t>
  </si>
  <si>
    <t>Not Binding</t>
  </si>
  <si>
    <t>Strike</t>
  </si>
  <si>
    <t>Market Value</t>
  </si>
  <si>
    <t>C residual</t>
  </si>
  <si>
    <t>Implied Vol</t>
  </si>
  <si>
    <t>BS price</t>
  </si>
  <si>
    <t>Hull</t>
  </si>
  <si>
    <t>short 1000 options</t>
  </si>
  <si>
    <t>delta = 0.7</t>
  </si>
  <si>
    <t>to hedge buy 700 underlying.</t>
  </si>
  <si>
    <t>ATM Call</t>
  </si>
  <si>
    <t>non-div</t>
  </si>
  <si>
    <t>N(d1), delta</t>
  </si>
  <si>
    <t>C</t>
  </si>
  <si>
    <t>P &lt;</t>
  </si>
  <si>
    <t>short OTM Call</t>
  </si>
  <si>
    <t>Wants to buy at</t>
  </si>
  <si>
    <t>to sell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</si>
</sst>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8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8"/>
      <color theme="1"/>
      <name val="Segoe UI"/>
      <family val="2"/>
    </font>
    <font>
      <b/>
      <sz val="13.5"/>
      <color theme="1"/>
      <name val="Segoe UI"/>
      <family val="2"/>
    </font>
    <font>
      <b/>
      <sz val="8"/>
      <color theme="1"/>
      <name val="Segoe UI"/>
      <family val="2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0" borderId="0" xfId="0" applyFont="1"/>
    <xf numFmtId="0" fontId="0" fillId="0" borderId="2" xfId="0" applyBorder="1"/>
    <xf numFmtId="0" fontId="7" fillId="0" borderId="1" xfId="0" applyFont="1" applyBorder="1" applyAlignment="1">
      <alignment horizontal="center"/>
    </xf>
    <xf numFmtId="2" fontId="0" fillId="0" borderId="2" xfId="0" applyNumberFormat="1" applyBorder="1"/>
    <xf numFmtId="0" fontId="0" fillId="0" borderId="3" xfId="0" applyBorder="1"/>
    <xf numFmtId="2" fontId="0" fillId="0" borderId="3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Option Value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Delta!$F$3:$F$113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Delta!$M$3:$M$113</c:f>
              <c:numCache>
                <c:formatCode>0.00</c:formatCode>
                <c:ptCount val="111"/>
                <c:pt idx="0">
                  <c:v>8.7962821401971203E-5</c:v>
                </c:pt>
                <c:pt idx="1">
                  <c:v>1.5735425705957866E-4</c:v>
                </c:pt>
                <c:pt idx="2">
                  <c:v>2.7406430091266379E-4</c:v>
                </c:pt>
                <c:pt idx="3">
                  <c:v>4.6539207463579604E-4</c:v>
                </c:pt>
                <c:pt idx="4">
                  <c:v>7.7150341562508273E-4</c:v>
                </c:pt>
                <c:pt idx="5">
                  <c:v>1.250068689519955E-3</c:v>
                </c:pt>
                <c:pt idx="6">
                  <c:v>1.9819816583954777E-3</c:v>
                </c:pt>
                <c:pt idx="7">
                  <c:v>3.0782081873388101E-3</c:v>
                </c:pt>
                <c:pt idx="8">
                  <c:v>4.6877497032021681E-3</c:v>
                </c:pt>
                <c:pt idx="9">
                  <c:v>7.0066276699149721E-3</c:v>
                </c:pt>
                <c:pt idx="10">
                  <c:v>1.028770613417393E-2</c:v>
                </c:pt>
                <c:pt idx="11">
                  <c:v>1.4851075633449118E-2</c:v>
                </c:pt>
                <c:pt idx="12">
                  <c:v>2.1094630788967672E-2</c:v>
                </c:pt>
                <c:pt idx="13">
                  <c:v>2.9504393745235835E-2</c:v>
                </c:pt>
                <c:pt idx="14">
                  <c:v>4.0664074160690844E-2</c:v>
                </c:pt>
                <c:pt idx="15">
                  <c:v>5.526332065408357E-2</c:v>
                </c:pt>
                <c:pt idx="16">
                  <c:v>7.4104113724690945E-2</c:v>
                </c:pt>
                <c:pt idx="17">
                  <c:v>9.8104779160350208E-2</c:v>
                </c:pt>
                <c:pt idx="18">
                  <c:v>0.12830116414740278</c:v>
                </c:pt>
                <c:pt idx="19">
                  <c:v>0.16584461328635314</c:v>
                </c:pt>
                <c:pt idx="20">
                  <c:v>0.21199650352927968</c:v>
                </c:pt>
                <c:pt idx="21">
                  <c:v>0.26811923859958142</c:v>
                </c:pt>
                <c:pt idx="22">
                  <c:v>0.33566375613508459</c:v>
                </c:pt>
                <c:pt idx="23">
                  <c:v>0.41615375524446829</c:v>
                </c:pt>
                <c:pt idx="24">
                  <c:v>0.51116699901379459</c:v>
                </c:pt>
                <c:pt idx="25">
                  <c:v>0.62231417710038528</c:v>
                </c:pt>
                <c:pt idx="26">
                  <c:v>0.75121592060749975</c:v>
                </c:pt>
                <c:pt idx="27">
                  <c:v>0.89947863946072104</c:v>
                </c:pt>
                <c:pt idx="28">
                  <c:v>1.068669898116255</c:v>
                </c:pt>
                <c:pt idx="29">
                  <c:v>1.2602940574238133</c:v>
                </c:pt>
                <c:pt idx="30">
                  <c:v>1.4757688897495491</c:v>
                </c:pt>
                <c:pt idx="31">
                  <c:v>1.716403823815746</c:v>
                </c:pt>
                <c:pt idx="32">
                  <c:v>1.9833803994370349</c:v>
                </c:pt>
                <c:pt idx="33">
                  <c:v>2.2777354158333587</c:v>
                </c:pt>
                <c:pt idx="34">
                  <c:v>2.6003471465377785</c:v>
                </c:pt>
                <c:pt idx="35">
                  <c:v>2.9519248753661103</c:v>
                </c:pt>
                <c:pt idx="36">
                  <c:v>3.3330018875591492</c:v>
                </c:pt>
                <c:pt idx="37">
                  <c:v>3.7439319336085788</c:v>
                </c:pt>
                <c:pt idx="38">
                  <c:v>4.1848890752129364</c:v>
                </c:pt>
                <c:pt idx="39">
                  <c:v>4.6558707271033342</c:v>
                </c:pt>
                <c:pt idx="40">
                  <c:v>5.1567036279123926</c:v>
                </c:pt>
                <c:pt idx="41">
                  <c:v>5.6870524095572037</c:v>
                </c:pt>
                <c:pt idx="42">
                  <c:v>6.2464303884914258</c:v>
                </c:pt>
                <c:pt idx="43">
                  <c:v>6.8342121734733681</c:v>
                </c:pt>
                <c:pt idx="44">
                  <c:v>7.4496476722581235</c:v>
                </c:pt>
                <c:pt idx="45">
                  <c:v>8.0918770823099564</c:v>
                </c:pt>
                <c:pt idx="46">
                  <c:v>8.7599464662714723</c:v>
                </c:pt>
                <c:pt idx="47">
                  <c:v>9.4528235392678965</c:v>
                </c:pt>
                <c:pt idx="48">
                  <c:v>10.16941332979858</c:v>
                </c:pt>
                <c:pt idx="49">
                  <c:v>10.908573416608213</c:v>
                </c:pt>
                <c:pt idx="50">
                  <c:v>11.669128488287299</c:v>
                </c:pt>
                <c:pt idx="51">
                  <c:v>12.449884018376025</c:v>
                </c:pt>
                <c:pt idx="52">
                  <c:v>13.249638894636391</c:v>
                </c:pt>
                <c:pt idx="53">
                  <c:v>14.067196885411633</c:v>
                </c:pt>
                <c:pt idx="54">
                  <c:v>14.901376867403613</c:v>
                </c:pt>
                <c:pt idx="55">
                  <c:v>15.751021776869408</c:v>
                </c:pt>
                <c:pt idx="56">
                  <c:v>16.61500627955219</c:v>
                </c:pt>
                <c:pt idx="57">
                  <c:v>17.492243183261934</c:v>
                </c:pt>
                <c:pt idx="58">
                  <c:v>18.381688640783736</c:v>
                </c:pt>
                <c:pt idx="59">
                  <c:v>19.282346209773337</c:v>
                </c:pt>
                <c:pt idx="60">
                  <c:v>20.193269850719233</c:v>
                </c:pt>
                <c:pt idx="61">
                  <c:v>21.113565954237089</c:v>
                </c:pt>
                <c:pt idx="62">
                  <c:v>22.042394495329205</c:v>
                </c:pt>
                <c:pt idx="63">
                  <c:v>22.978969415252905</c:v>
                </c:pt>
                <c:pt idx="64">
                  <c:v>23.92255833178298</c:v>
                </c:pt>
                <c:pt idx="65">
                  <c:v>24.872481676417451</c:v>
                </c:pt>
                <c:pt idx="66">
                  <c:v>25.828111352934272</c:v>
                </c:pt>
                <c:pt idx="67">
                  <c:v>26.788869006103994</c:v>
                </c:pt>
                <c:pt idx="68">
                  <c:v>27.754223982707629</c:v>
                </c:pt>
                <c:pt idx="69">
                  <c:v>28.723691059658819</c:v>
                </c:pt>
                <c:pt idx="70">
                  <c:v>29.696828006297238</c:v>
                </c:pt>
                <c:pt idx="71">
                  <c:v>30.673233040073683</c:v>
                </c:pt>
                <c:pt idx="72">
                  <c:v>31.652542227098138</c:v>
                </c:pt>
                <c:pt idx="73">
                  <c:v>32.634426871546879</c:v>
                </c:pt>
                <c:pt idx="74">
                  <c:v>33.618590930850459</c:v>
                </c:pt>
                <c:pt idx="75">
                  <c:v>34.6047684870084</c:v>
                </c:pt>
                <c:pt idx="76">
                  <c:v>35.592721298358612</c:v>
                </c:pt>
                <c:pt idx="77">
                  <c:v>36.582236450705238</c:v>
                </c:pt>
                <c:pt idx="78">
                  <c:v>37.573124121891709</c:v>
                </c:pt>
                <c:pt idx="79">
                  <c:v>38.56521546968618</c:v>
                </c:pt>
                <c:pt idx="80">
                  <c:v>39.558360649209305</c:v>
                </c:pt>
                <c:pt idx="81">
                  <c:v>40.552426963043629</c:v>
                </c:pt>
                <c:pt idx="82">
                  <c:v>41.547297144582899</c:v>
                </c:pt>
                <c:pt idx="83">
                  <c:v>42.542867773067911</c:v>
                </c:pt>
                <c:pt idx="84">
                  <c:v>43.539047817060421</c:v>
                </c:pt>
                <c:pt idx="85">
                  <c:v>44.535757301789161</c:v>
                </c:pt>
                <c:pt idx="86">
                  <c:v>45.532926094810122</c:v>
                </c:pt>
                <c:pt idx="87">
                  <c:v>46.530492803715504</c:v>
                </c:pt>
                <c:pt idx="88">
                  <c:v>47.528403779160172</c:v>
                </c:pt>
                <c:pt idx="89">
                  <c:v>48.526612216210523</c:v>
                </c:pt>
                <c:pt idx="90">
                  <c:v>49.525077346926821</c:v>
                </c:pt>
                <c:pt idx="91">
                  <c:v>50.523763717129228</c:v>
                </c:pt>
                <c:pt idx="92">
                  <c:v>51.522640540447796</c:v>
                </c:pt>
                <c:pt idx="93">
                  <c:v>52.521681122988355</c:v>
                </c:pt>
                <c:pt idx="94">
                  <c:v>53.520862352240272</c:v>
                </c:pt>
                <c:pt idx="95">
                  <c:v>54.520164244191463</c:v>
                </c:pt>
                <c:pt idx="96">
                  <c:v>55.519569542982381</c:v>
                </c:pt>
                <c:pt idx="97">
                  <c:v>56.519063367814582</c:v>
                </c:pt>
                <c:pt idx="98">
                  <c:v>57.518632902220332</c:v>
                </c:pt>
                <c:pt idx="99">
                  <c:v>58.518267121185559</c:v>
                </c:pt>
                <c:pt idx="100">
                  <c:v>59.517956551998623</c:v>
                </c:pt>
                <c:pt idx="101">
                  <c:v>60.517693065063213</c:v>
                </c:pt>
                <c:pt idx="102">
                  <c:v>61.517469691261482</c:v>
                </c:pt>
                <c:pt idx="103">
                  <c:v>62.517280462783233</c:v>
                </c:pt>
                <c:pt idx="104">
                  <c:v>63.517120274645833</c:v>
                </c:pt>
                <c:pt idx="105">
                  <c:v>64.516984764414232</c:v>
                </c:pt>
                <c:pt idx="106">
                  <c:v>65.516870207897455</c:v>
                </c:pt>
                <c:pt idx="107">
                  <c:v>66.516773428837723</c:v>
                </c:pt>
                <c:pt idx="108">
                  <c:v>67.516691720832142</c:v>
                </c:pt>
                <c:pt idx="109">
                  <c:v>68.516622779926564</c:v>
                </c:pt>
                <c:pt idx="110">
                  <c:v>69.516564646503554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F-4CCA-AADB-01B94CFB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Call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Put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Delta!$F$3:$F$113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Delta!$N$3:$N$113</c:f>
              <c:numCache>
                <c:formatCode>0.00</c:formatCode>
                <c:ptCount val="111"/>
                <c:pt idx="0">
                  <c:v>40.483829766417358</c:v>
                </c:pt>
                <c:pt idx="1">
                  <c:v>39.48389915785301</c:v>
                </c:pt>
                <c:pt idx="2">
                  <c:v>38.484015867896858</c:v>
                </c:pt>
                <c:pt idx="3">
                  <c:v>37.484207195670578</c:v>
                </c:pt>
                <c:pt idx="4">
                  <c:v>36.484513307011568</c:v>
                </c:pt>
                <c:pt idx="5">
                  <c:v>35.484991872285455</c:v>
                </c:pt>
                <c:pt idx="6">
                  <c:v>34.485723785254336</c:v>
                </c:pt>
                <c:pt idx="7">
                  <c:v>33.48682001178328</c:v>
                </c:pt>
                <c:pt idx="8">
                  <c:v>32.488429553299149</c:v>
                </c:pt>
                <c:pt idx="9">
                  <c:v>31.490748431265871</c:v>
                </c:pt>
                <c:pt idx="10">
                  <c:v>30.494029509730112</c:v>
                </c:pt>
                <c:pt idx="11">
                  <c:v>29.498592879229392</c:v>
                </c:pt>
                <c:pt idx="12">
                  <c:v>28.50483643438492</c:v>
                </c:pt>
                <c:pt idx="13">
                  <c:v>27.513246197341189</c:v>
                </c:pt>
                <c:pt idx="14">
                  <c:v>26.524405877756635</c:v>
                </c:pt>
                <c:pt idx="15">
                  <c:v>25.539005124250018</c:v>
                </c:pt>
                <c:pt idx="16">
                  <c:v>24.557845917320634</c:v>
                </c:pt>
                <c:pt idx="17">
                  <c:v>23.581846582756299</c:v>
                </c:pt>
                <c:pt idx="18">
                  <c:v>22.612042967743363</c:v>
                </c:pt>
                <c:pt idx="19">
                  <c:v>21.649586416882315</c:v>
                </c:pt>
                <c:pt idx="20">
                  <c:v>20.695738307125225</c:v>
                </c:pt>
                <c:pt idx="21">
                  <c:v>19.751861042195529</c:v>
                </c:pt>
                <c:pt idx="22">
                  <c:v>18.819405559731024</c:v>
                </c:pt>
                <c:pt idx="23">
                  <c:v>17.899895558840413</c:v>
                </c:pt>
                <c:pt idx="24">
                  <c:v>16.994908802609743</c:v>
                </c:pt>
                <c:pt idx="25">
                  <c:v>16.106055980696325</c:v>
                </c:pt>
                <c:pt idx="26">
                  <c:v>15.234957724203454</c:v>
                </c:pt>
                <c:pt idx="27">
                  <c:v>14.383220443056658</c:v>
                </c:pt>
                <c:pt idx="28">
                  <c:v>13.552411701712202</c:v>
                </c:pt>
                <c:pt idx="29">
                  <c:v>12.744035861019761</c:v>
                </c:pt>
                <c:pt idx="30">
                  <c:v>11.959510693345493</c:v>
                </c:pt>
                <c:pt idx="31">
                  <c:v>11.200145627411686</c:v>
                </c:pt>
                <c:pt idx="32">
                  <c:v>10.467122203032972</c:v>
                </c:pt>
                <c:pt idx="33">
                  <c:v>9.7614772194293025</c:v>
                </c:pt>
                <c:pt idx="34">
                  <c:v>9.0840889501337188</c:v>
                </c:pt>
                <c:pt idx="35">
                  <c:v>8.4356666789620647</c:v>
                </c:pt>
                <c:pt idx="36">
                  <c:v>7.8167436911550965</c:v>
                </c:pt>
                <c:pt idx="37">
                  <c:v>7.2276737372045332</c:v>
                </c:pt>
                <c:pt idx="38">
                  <c:v>6.6686308788088766</c:v>
                </c:pt>
                <c:pt idx="39">
                  <c:v>6.1396125306992815</c:v>
                </c:pt>
                <c:pt idx="40">
                  <c:v>5.6404454315083399</c:v>
                </c:pt>
                <c:pt idx="41">
                  <c:v>5.1707942131531439</c:v>
                </c:pt>
                <c:pt idx="42">
                  <c:v>4.7301721920873732</c:v>
                </c:pt>
                <c:pt idx="43">
                  <c:v>4.3179539770693154</c:v>
                </c:pt>
                <c:pt idx="44">
                  <c:v>3.9333894758540708</c:v>
                </c:pt>
                <c:pt idx="45">
                  <c:v>3.5756188859059108</c:v>
                </c:pt>
                <c:pt idx="46">
                  <c:v>3.2436882698674232</c:v>
                </c:pt>
                <c:pt idx="47">
                  <c:v>2.9365653428638367</c:v>
                </c:pt>
                <c:pt idx="48">
                  <c:v>2.6531551333945345</c:v>
                </c:pt>
                <c:pt idx="49">
                  <c:v>2.3923152202041607</c:v>
                </c:pt>
                <c:pt idx="50">
                  <c:v>2.1528702918832394</c:v>
                </c:pt>
                <c:pt idx="51">
                  <c:v>1.9336258219719618</c:v>
                </c:pt>
                <c:pt idx="52">
                  <c:v>1.7333806982323452</c:v>
                </c:pt>
                <c:pt idx="53">
                  <c:v>1.5509386890075945</c:v>
                </c:pt>
                <c:pt idx="54">
                  <c:v>1.3851186709995567</c:v>
                </c:pt>
                <c:pt idx="55">
                  <c:v>1.2347635804653532</c:v>
                </c:pt>
                <c:pt idx="56">
                  <c:v>1.0987480831481466</c:v>
                </c:pt>
                <c:pt idx="57">
                  <c:v>0.97598498685788648</c:v>
                </c:pt>
                <c:pt idx="58">
                  <c:v>0.86543044437967609</c:v>
                </c:pt>
                <c:pt idx="59">
                  <c:v>0.766088013369286</c:v>
                </c:pt>
                <c:pt idx="60">
                  <c:v>0.6770116543151854</c:v>
                </c:pt>
                <c:pt idx="61">
                  <c:v>0.59730775783303436</c:v>
                </c:pt>
                <c:pt idx="62">
                  <c:v>0.52613629892515856</c:v>
                </c:pt>
                <c:pt idx="63">
                  <c:v>0.46271121884886313</c:v>
                </c:pt>
                <c:pt idx="64">
                  <c:v>0.4063001353789204</c:v>
                </c:pt>
                <c:pt idx="65">
                  <c:v>0.35622348001339965</c:v>
                </c:pt>
                <c:pt idx="66">
                  <c:v>0.31185315653022982</c:v>
                </c:pt>
                <c:pt idx="67">
                  <c:v>0.27261080969993223</c:v>
                </c:pt>
                <c:pt idx="68">
                  <c:v>0.23796578630358134</c:v>
                </c:pt>
                <c:pt idx="69">
                  <c:v>0.20743286325476928</c:v>
                </c:pt>
                <c:pt idx="70">
                  <c:v>0.18056980989319271</c:v>
                </c:pt>
                <c:pt idx="71">
                  <c:v>0.15697484366961811</c:v>
                </c:pt>
                <c:pt idx="72">
                  <c:v>0.13628403069407646</c:v>
                </c:pt>
                <c:pt idx="73">
                  <c:v>0.11816867514281748</c:v>
                </c:pt>
                <c:pt idx="74">
                  <c:v>0.10233273444639956</c:v>
                </c:pt>
                <c:pt idx="75">
                  <c:v>8.8510290604353115E-2</c:v>
                </c:pt>
                <c:pt idx="76">
                  <c:v>7.6463101954549417E-2</c:v>
                </c:pt>
                <c:pt idx="77">
                  <c:v>6.5978254301193529E-2</c:v>
                </c:pt>
                <c:pt idx="78">
                  <c:v>5.686592548766356E-2</c:v>
                </c:pt>
                <c:pt idx="79">
                  <c:v>4.8957273282114522E-2</c:v>
                </c:pt>
                <c:pt idx="80">
                  <c:v>4.2102452805261481E-2</c:v>
                </c:pt>
                <c:pt idx="81">
                  <c:v>3.6168766639559369E-2</c:v>
                </c:pt>
                <c:pt idx="82">
                  <c:v>3.1038948178832237E-2</c:v>
                </c:pt>
                <c:pt idx="83">
                  <c:v>2.6609576663850776E-2</c:v>
                </c:pt>
                <c:pt idx="84">
                  <c:v>2.2789620656363196E-2</c:v>
                </c:pt>
                <c:pt idx="85">
                  <c:v>1.9499105385109849E-2</c:v>
                </c:pt>
                <c:pt idx="86">
                  <c:v>1.6667898406065862E-2</c:v>
                </c:pt>
                <c:pt idx="87">
                  <c:v>1.4234607311463365E-2</c:v>
                </c:pt>
                <c:pt idx="88">
                  <c:v>1.2145582756106332E-2</c:v>
                </c:pt>
                <c:pt idx="89">
                  <c:v>1.0354019806459613E-2</c:v>
                </c:pt>
                <c:pt idx="90">
                  <c:v>8.8191505227618872E-3</c:v>
                </c:pt>
                <c:pt idx="91">
                  <c:v>7.5055207251709666E-3</c:v>
                </c:pt>
                <c:pt idx="92">
                  <c:v>6.3823440437549006E-3</c:v>
                </c:pt>
                <c:pt idx="93">
                  <c:v>5.4229265842923036E-3</c:v>
                </c:pt>
                <c:pt idx="94">
                  <c:v>4.6041558362075602E-3</c:v>
                </c:pt>
                <c:pt idx="95">
                  <c:v>3.9060477874270638E-3</c:v>
                </c:pt>
                <c:pt idx="96">
                  <c:v>3.3113465783147361E-3</c:v>
                </c:pt>
                <c:pt idx="97">
                  <c:v>2.8051714105152975E-3</c:v>
                </c:pt>
                <c:pt idx="98">
                  <c:v>2.3747058162844614E-3</c:v>
                </c:pt>
                <c:pt idx="99">
                  <c:v>2.0089247814937539E-3</c:v>
                </c:pt>
                <c:pt idx="100">
                  <c:v>1.6983555945535578E-3</c:v>
                </c:pt>
                <c:pt idx="101">
                  <c:v>1.4348686591572277E-3</c:v>
                </c:pt>
                <c:pt idx="102">
                  <c:v>1.2114948574157777E-3</c:v>
                </c:pt>
                <c:pt idx="103">
                  <c:v>1.0222663792027985E-3</c:v>
                </c:pt>
                <c:pt idx="104">
                  <c:v>8.6207824177636505E-4</c:v>
                </c:pt>
                <c:pt idx="105">
                  <c:v>7.2656801018782663E-4</c:v>
                </c:pt>
                <c:pt idx="106">
                  <c:v>6.120114934007187E-4</c:v>
                </c:pt>
                <c:pt idx="107">
                  <c:v>5.1523243366158149E-4</c:v>
                </c:pt>
                <c:pt idx="108">
                  <c:v>4.3352442808806263E-4</c:v>
                </c:pt>
                <c:pt idx="109">
                  <c:v>3.645835225247647E-4</c:v>
                </c:pt>
                <c:pt idx="110">
                  <c:v>3.0645009951151339E-4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7-4016-A138-E97B7D98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Put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Delta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Delta!$F$3:$F$113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Delta!$I$3:$I$113</c:f>
              <c:numCache>
                <c:formatCode>0.0000</c:formatCode>
                <c:ptCount val="111"/>
                <c:pt idx="0">
                  <c:v>5.2375616366471045E-5</c:v>
                </c:pt>
                <c:pt idx="1">
                  <c:v>8.9375189030725742E-5</c:v>
                </c:pt>
                <c:pt idx="2">
                  <c:v>1.4853418343912183E-4</c:v>
                </c:pt>
                <c:pt idx="3">
                  <c:v>2.407386080785543E-4</c:v>
                </c:pt>
                <c:pt idx="4">
                  <c:v>3.8100061007698182E-4</c:v>
                </c:pt>
                <c:pt idx="5">
                  <c:v>5.8949805637580706E-4</c:v>
                </c:pt>
                <c:pt idx="6">
                  <c:v>8.9268924905408118E-4</c:v>
                </c:pt>
                <c:pt idx="7">
                  <c:v>1.3244472050385756E-3</c:v>
                </c:pt>
                <c:pt idx="8">
                  <c:v>1.9271417016951285E-3</c:v>
                </c:pt>
                <c:pt idx="9">
                  <c:v>2.7525842946605197E-3</c:v>
                </c:pt>
                <c:pt idx="10">
                  <c:v>3.8627436897791349E-3</c:v>
                </c:pt>
                <c:pt idx="11">
                  <c:v>5.3301377987360551E-3</c:v>
                </c:pt>
                <c:pt idx="12">
                  <c:v>7.2378155595925224E-3</c:v>
                </c:pt>
                <c:pt idx="13">
                  <c:v>9.6788564487899284E-3</c:v>
                </c:pt>
                <c:pt idx="14">
                  <c:v>1.2755338015691918E-2</c:v>
                </c:pt>
                <c:pt idx="15">
                  <c:v>1.657675039473596E-2</c:v>
                </c:pt>
                <c:pt idx="16">
                  <c:v>2.1257869568017933E-2</c:v>
                </c:pt>
                <c:pt idx="17">
                  <c:v>2.6916135652385251E-2</c:v>
                </c:pt>
                <c:pt idx="18">
                  <c:v>3.366861593161407E-2</c:v>
                </c:pt>
                <c:pt idx="19">
                  <c:v>4.1628662057364436E-2</c:v>
                </c:pt>
                <c:pt idx="20">
                  <c:v>5.0902394427572564E-2</c:v>
                </c:pt>
                <c:pt idx="21">
                  <c:v>6.1585162377409491E-2</c:v>
                </c:pt>
                <c:pt idx="22">
                  <c:v>7.3758135334498778E-2</c:v>
                </c:pt>
                <c:pt idx="23">
                  <c:v>8.7485177110372625E-2</c:v>
                </c:pt>
                <c:pt idx="24">
                  <c:v>0.10281014339871647</c:v>
                </c:pt>
                <c:pt idx="25">
                  <c:v>0.11975472238658495</c:v>
                </c:pt>
                <c:pt idx="26">
                  <c:v>0.13831691176612843</c:v>
                </c:pt>
                <c:pt idx="27">
                  <c:v>0.15847019434754309</c:v>
                </c:pt>
                <c:pt idx="28">
                  <c:v>0.18016344109299831</c:v>
                </c:pt>
                <c:pt idx="29">
                  <c:v>0.20332153689193502</c:v>
                </c:pt>
                <c:pt idx="30">
                  <c:v>0.22784669279157016</c:v>
                </c:pt>
                <c:pt idx="31">
                  <c:v>0.25362038039596413</c:v>
                </c:pt>
                <c:pt idx="32">
                  <c:v>0.28050580107469081</c:v>
                </c:pt>
                <c:pt idx="33">
                  <c:v>0.30835078535839189</c:v>
                </c:pt>
                <c:pt idx="34">
                  <c:v>0.33699100687228395</c:v>
                </c:pt>
                <c:pt idx="35">
                  <c:v>0.36625339037350718</c:v>
                </c:pt>
                <c:pt idx="36">
                  <c:v>0.39595959454568314</c:v>
                </c:pt>
                <c:pt idx="37">
                  <c:v>0.42592945649710368</c:v>
                </c:pt>
                <c:pt idx="38">
                  <c:v>0.45598429552496317</c:v>
                </c:pt>
                <c:pt idx="39">
                  <c:v>0.48594998763448355</c:v>
                </c:pt>
                <c:pt idx="40">
                  <c:v>0.51565973847723223</c:v>
                </c:pt>
                <c:pt idx="41">
                  <c:v>0.54495649975831029</c:v>
                </c:pt>
                <c:pt idx="42">
                  <c:v>0.5736949917986327</c:v>
                </c:pt>
                <c:pt idx="43">
                  <c:v>0.6017433119910236</c:v>
                </c:pt>
                <c:pt idx="44">
                  <c:v>0.62898412467348619</c:v>
                </c:pt>
                <c:pt idx="45">
                  <c:v>0.65531544194116209</c:v>
                </c:pt>
                <c:pt idx="46">
                  <c:v>0.6806510167778258</c:v>
                </c:pt>
                <c:pt idx="47">
                  <c:v>0.70492037941342489</c:v>
                </c:pt>
                <c:pt idx="48">
                  <c:v>0.728068554952084</c:v>
                </c:pt>
                <c:pt idx="49">
                  <c:v>0.75005550513040753</c:v>
                </c:pt>
                <c:pt idx="50">
                  <c:v>0.77085533971897768</c:v>
                </c:pt>
                <c:pt idx="51">
                  <c:v>0.79045534380082305</c:v>
                </c:pt>
                <c:pt idx="52">
                  <c:v>0.808854866225449</c:v>
                </c:pt>
                <c:pt idx="53">
                  <c:v>0.82606411224613607</c:v>
                </c:pt>
                <c:pt idx="54">
                  <c:v>0.84210288000732969</c:v>
                </c:pt>
                <c:pt idx="55">
                  <c:v>0.85699927645388052</c:v>
                </c:pt>
                <c:pt idx="56">
                  <c:v>0.87078844365875419</c:v>
                </c:pt>
                <c:pt idx="57">
                  <c:v>0.8835113217547268</c:v>
                </c:pt>
                <c:pt idx="58">
                  <c:v>0.89521346981760264</c:v>
                </c:pt>
                <c:pt idx="59">
                  <c:v>0.90594396135523703</c:v>
                </c:pt>
                <c:pt idx="60">
                  <c:v>0.91575436664229093</c:v>
                </c:pt>
                <c:pt idx="61">
                  <c:v>0.92469783010356155</c:v>
                </c:pt>
                <c:pt idx="62">
                  <c:v>0.93282824735459391</c:v>
                </c:pt>
                <c:pt idx="63">
                  <c:v>0.94019954339386669</c:v>
                </c:pt>
                <c:pt idx="64">
                  <c:v>0.94686505081849837</c:v>
                </c:pt>
                <c:pt idx="65">
                  <c:v>0.95287698479743466</c:v>
                </c:pt>
                <c:pt idx="66">
                  <c:v>0.95828600985925527</c:v>
                </c:pt>
                <c:pt idx="67">
                  <c:v>0.96314089230135558</c:v>
                </c:pt>
                <c:pt idx="68">
                  <c:v>0.96748823116093885</c:v>
                </c:pt>
                <c:pt idx="69">
                  <c:v>0.9713722601590794</c:v>
                </c:pt>
                <c:pt idx="70">
                  <c:v>0.97483471278834466</c:v>
                </c:pt>
                <c:pt idx="71">
                  <c:v>0.9779147427137751</c:v>
                </c:pt>
                <c:pt idx="72">
                  <c:v>0.98064889185007265</c:v>
                </c:pt>
                <c:pt idx="73">
                  <c:v>0.98307109882161481</c:v>
                </c:pt>
                <c:pt idx="74">
                  <c:v>0.98521274096741385</c:v>
                </c:pt>
                <c:pt idx="75">
                  <c:v>0.98710270358597307</c:v>
                </c:pt>
                <c:pt idx="76">
                  <c:v>0.98876747069550275</c:v>
                </c:pt>
                <c:pt idx="77">
                  <c:v>0.9902312321882023</c:v>
                </c:pt>
                <c:pt idx="78">
                  <c:v>0.99151600286290531</c:v>
                </c:pt>
                <c:pt idx="79">
                  <c:v>0.99264174941210892</c:v>
                </c:pt>
                <c:pt idx="80">
                  <c:v>0.99362652200489976</c:v>
                </c:pt>
                <c:pt idx="81">
                  <c:v>0.99448658763752595</c:v>
                </c:pt>
                <c:pt idx="82">
                  <c:v>0.99523656291224527</c:v>
                </c:pt>
                <c:pt idx="83">
                  <c:v>0.99588954434897003</c:v>
                </c:pt>
                <c:pt idx="84">
                  <c:v>0.99645723473149428</c:v>
                </c:pt>
                <c:pt idx="85">
                  <c:v>0.9969500643407373</c:v>
                </c:pt>
                <c:pt idx="86">
                  <c:v>0.99737730623272114</c:v>
                </c:pt>
                <c:pt idx="87">
                  <c:v>0.99774718498112225</c:v>
                </c:pt>
                <c:pt idx="88">
                  <c:v>0.99806697852604642</c:v>
                </c:pt>
                <c:pt idx="89">
                  <c:v>0.99834311295546985</c:v>
                </c:pt>
                <c:pt idx="90">
                  <c:v>0.99858125019709376</c:v>
                </c:pt>
                <c:pt idx="91">
                  <c:v>0.99878636871977899</c:v>
                </c:pt>
                <c:pt idx="92">
                  <c:v>0.99896283743883885</c:v>
                </c:pt>
                <c:pt idx="93">
                  <c:v>0.99911448309172513</c:v>
                </c:pt>
                <c:pt idx="94">
                  <c:v>0.99924465140327723</c:v>
                </c:pt>
                <c:pt idx="95">
                  <c:v>0.99935626239575581</c:v>
                </c:pt>
                <c:pt idx="96">
                  <c:v>0.99945186022107779</c:v>
                </c:pt>
                <c:pt idx="97">
                  <c:v>0.99953365790349324</c:v>
                </c:pt>
                <c:pt idx="98">
                  <c:v>0.99960357738259109</c:v>
                </c:pt>
                <c:pt idx="99">
                  <c:v>0.9996632852408972</c:v>
                </c:pt>
                <c:pt idx="100">
                  <c:v>0.99971422448911762</c:v>
                </c:pt>
                <c:pt idx="101">
                  <c:v>0.99975764276668522</c:v>
                </c:pt>
                <c:pt idx="102">
                  <c:v>0.99979461729689845</c:v>
                </c:pt>
                <c:pt idx="103">
                  <c:v>0.99982607691558933</c:v>
                </c:pt>
                <c:pt idx="104">
                  <c:v>0.99985282147075272</c:v>
                </c:pt>
                <c:pt idx="105">
                  <c:v>0.9998755388685564</c:v>
                </c:pt>
                <c:pt idx="106">
                  <c:v>0.9998948200191774</c:v>
                </c:pt>
                <c:pt idx="107">
                  <c:v>0.99991117191435885</c:v>
                </c:pt>
                <c:pt idx="108">
                  <c:v>0.9999250290477838</c:v>
                </c:pt>
                <c:pt idx="109">
                  <c:v>0.99993676336951698</c:v>
                </c:pt>
                <c:pt idx="110">
                  <c:v>0.9999466929470453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C5-42E2-9283-AF217DA8B813}"/>
            </c:ext>
          </c:extLst>
        </c:ser>
        <c:ser>
          <c:idx val="0"/>
          <c:order val="1"/>
          <c:tx>
            <c:v>Delta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Delta!$F$3:$F$113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Delta!$I$3:$I$113</c:f>
              <c:numCache>
                <c:formatCode>0.0000</c:formatCode>
                <c:ptCount val="111"/>
                <c:pt idx="0">
                  <c:v>5.2375616366471045E-5</c:v>
                </c:pt>
                <c:pt idx="1">
                  <c:v>8.9375189030725742E-5</c:v>
                </c:pt>
                <c:pt idx="2">
                  <c:v>1.4853418343912183E-4</c:v>
                </c:pt>
                <c:pt idx="3">
                  <c:v>2.407386080785543E-4</c:v>
                </c:pt>
                <c:pt idx="4">
                  <c:v>3.8100061007698182E-4</c:v>
                </c:pt>
                <c:pt idx="5">
                  <c:v>5.8949805637580706E-4</c:v>
                </c:pt>
                <c:pt idx="6">
                  <c:v>8.9268924905408118E-4</c:v>
                </c:pt>
                <c:pt idx="7">
                  <c:v>1.3244472050385756E-3</c:v>
                </c:pt>
                <c:pt idx="8">
                  <c:v>1.9271417016951285E-3</c:v>
                </c:pt>
                <c:pt idx="9">
                  <c:v>2.7525842946605197E-3</c:v>
                </c:pt>
                <c:pt idx="10">
                  <c:v>3.8627436897791349E-3</c:v>
                </c:pt>
                <c:pt idx="11">
                  <c:v>5.3301377987360551E-3</c:v>
                </c:pt>
                <c:pt idx="12">
                  <c:v>7.2378155595925224E-3</c:v>
                </c:pt>
                <c:pt idx="13">
                  <c:v>9.6788564487899284E-3</c:v>
                </c:pt>
                <c:pt idx="14">
                  <c:v>1.2755338015691918E-2</c:v>
                </c:pt>
                <c:pt idx="15">
                  <c:v>1.657675039473596E-2</c:v>
                </c:pt>
                <c:pt idx="16">
                  <c:v>2.1257869568017933E-2</c:v>
                </c:pt>
                <c:pt idx="17">
                  <c:v>2.6916135652385251E-2</c:v>
                </c:pt>
                <c:pt idx="18">
                  <c:v>3.366861593161407E-2</c:v>
                </c:pt>
                <c:pt idx="19">
                  <c:v>4.1628662057364436E-2</c:v>
                </c:pt>
                <c:pt idx="20">
                  <c:v>5.0902394427572564E-2</c:v>
                </c:pt>
                <c:pt idx="21">
                  <c:v>6.1585162377409491E-2</c:v>
                </c:pt>
                <c:pt idx="22">
                  <c:v>7.3758135334498778E-2</c:v>
                </c:pt>
                <c:pt idx="23">
                  <c:v>8.7485177110372625E-2</c:v>
                </c:pt>
                <c:pt idx="24">
                  <c:v>0.10281014339871647</c:v>
                </c:pt>
                <c:pt idx="25">
                  <c:v>0.11975472238658495</c:v>
                </c:pt>
                <c:pt idx="26">
                  <c:v>0.13831691176612843</c:v>
                </c:pt>
                <c:pt idx="27">
                  <c:v>0.15847019434754309</c:v>
                </c:pt>
                <c:pt idx="28">
                  <c:v>0.18016344109299831</c:v>
                </c:pt>
                <c:pt idx="29">
                  <c:v>0.20332153689193502</c:v>
                </c:pt>
                <c:pt idx="30">
                  <c:v>0.22784669279157016</c:v>
                </c:pt>
                <c:pt idx="31">
                  <c:v>0.25362038039596413</c:v>
                </c:pt>
                <c:pt idx="32">
                  <c:v>0.28050580107469081</c:v>
                </c:pt>
                <c:pt idx="33">
                  <c:v>0.30835078535839189</c:v>
                </c:pt>
                <c:pt idx="34">
                  <c:v>0.33699100687228395</c:v>
                </c:pt>
                <c:pt idx="35">
                  <c:v>0.36625339037350718</c:v>
                </c:pt>
                <c:pt idx="36">
                  <c:v>0.39595959454568314</c:v>
                </c:pt>
                <c:pt idx="37">
                  <c:v>0.42592945649710368</c:v>
                </c:pt>
                <c:pt idx="38">
                  <c:v>0.45598429552496317</c:v>
                </c:pt>
                <c:pt idx="39">
                  <c:v>0.48594998763448355</c:v>
                </c:pt>
                <c:pt idx="40">
                  <c:v>0.51565973847723223</c:v>
                </c:pt>
                <c:pt idx="41">
                  <c:v>0.54495649975831029</c:v>
                </c:pt>
                <c:pt idx="42">
                  <c:v>0.5736949917986327</c:v>
                </c:pt>
                <c:pt idx="43">
                  <c:v>0.6017433119910236</c:v>
                </c:pt>
                <c:pt idx="44">
                  <c:v>0.62898412467348619</c:v>
                </c:pt>
                <c:pt idx="45">
                  <c:v>0.65531544194116209</c:v>
                </c:pt>
                <c:pt idx="46">
                  <c:v>0.6806510167778258</c:v>
                </c:pt>
                <c:pt idx="47">
                  <c:v>0.70492037941342489</c:v>
                </c:pt>
                <c:pt idx="48">
                  <c:v>0.728068554952084</c:v>
                </c:pt>
                <c:pt idx="49">
                  <c:v>0.75005550513040753</c:v>
                </c:pt>
                <c:pt idx="50">
                  <c:v>0.77085533971897768</c:v>
                </c:pt>
                <c:pt idx="51">
                  <c:v>0.79045534380082305</c:v>
                </c:pt>
                <c:pt idx="52">
                  <c:v>0.808854866225449</c:v>
                </c:pt>
                <c:pt idx="53">
                  <c:v>0.82606411224613607</c:v>
                </c:pt>
                <c:pt idx="54">
                  <c:v>0.84210288000732969</c:v>
                </c:pt>
                <c:pt idx="55">
                  <c:v>0.85699927645388052</c:v>
                </c:pt>
                <c:pt idx="56">
                  <c:v>0.87078844365875419</c:v>
                </c:pt>
                <c:pt idx="57">
                  <c:v>0.8835113217547268</c:v>
                </c:pt>
                <c:pt idx="58">
                  <c:v>0.89521346981760264</c:v>
                </c:pt>
                <c:pt idx="59">
                  <c:v>0.90594396135523703</c:v>
                </c:pt>
                <c:pt idx="60">
                  <c:v>0.91575436664229093</c:v>
                </c:pt>
                <c:pt idx="61">
                  <c:v>0.92469783010356155</c:v>
                </c:pt>
                <c:pt idx="62">
                  <c:v>0.93282824735459391</c:v>
                </c:pt>
                <c:pt idx="63">
                  <c:v>0.94019954339386669</c:v>
                </c:pt>
                <c:pt idx="64">
                  <c:v>0.94686505081849837</c:v>
                </c:pt>
                <c:pt idx="65">
                  <c:v>0.95287698479743466</c:v>
                </c:pt>
                <c:pt idx="66">
                  <c:v>0.95828600985925527</c:v>
                </c:pt>
                <c:pt idx="67">
                  <c:v>0.96314089230135558</c:v>
                </c:pt>
                <c:pt idx="68">
                  <c:v>0.96748823116093885</c:v>
                </c:pt>
                <c:pt idx="69">
                  <c:v>0.9713722601590794</c:v>
                </c:pt>
                <c:pt idx="70">
                  <c:v>0.97483471278834466</c:v>
                </c:pt>
                <c:pt idx="71">
                  <c:v>0.9779147427137751</c:v>
                </c:pt>
                <c:pt idx="72">
                  <c:v>0.98064889185007265</c:v>
                </c:pt>
                <c:pt idx="73">
                  <c:v>0.98307109882161481</c:v>
                </c:pt>
                <c:pt idx="74">
                  <c:v>0.98521274096741385</c:v>
                </c:pt>
                <c:pt idx="75">
                  <c:v>0.98710270358597307</c:v>
                </c:pt>
                <c:pt idx="76">
                  <c:v>0.98876747069550275</c:v>
                </c:pt>
                <c:pt idx="77">
                  <c:v>0.9902312321882023</c:v>
                </c:pt>
                <c:pt idx="78">
                  <c:v>0.99151600286290531</c:v>
                </c:pt>
                <c:pt idx="79">
                  <c:v>0.99264174941210892</c:v>
                </c:pt>
                <c:pt idx="80">
                  <c:v>0.99362652200489976</c:v>
                </c:pt>
                <c:pt idx="81">
                  <c:v>0.99448658763752595</c:v>
                </c:pt>
                <c:pt idx="82">
                  <c:v>0.99523656291224527</c:v>
                </c:pt>
                <c:pt idx="83">
                  <c:v>0.99588954434897003</c:v>
                </c:pt>
                <c:pt idx="84">
                  <c:v>0.99645723473149428</c:v>
                </c:pt>
                <c:pt idx="85">
                  <c:v>0.9969500643407373</c:v>
                </c:pt>
                <c:pt idx="86">
                  <c:v>0.99737730623272114</c:v>
                </c:pt>
                <c:pt idx="87">
                  <c:v>0.99774718498112225</c:v>
                </c:pt>
                <c:pt idx="88">
                  <c:v>0.99806697852604642</c:v>
                </c:pt>
                <c:pt idx="89">
                  <c:v>0.99834311295546985</c:v>
                </c:pt>
                <c:pt idx="90">
                  <c:v>0.99858125019709376</c:v>
                </c:pt>
                <c:pt idx="91">
                  <c:v>0.99878636871977899</c:v>
                </c:pt>
                <c:pt idx="92">
                  <c:v>0.99896283743883885</c:v>
                </c:pt>
                <c:pt idx="93">
                  <c:v>0.99911448309172513</c:v>
                </c:pt>
                <c:pt idx="94">
                  <c:v>0.99924465140327723</c:v>
                </c:pt>
                <c:pt idx="95">
                  <c:v>0.99935626239575581</c:v>
                </c:pt>
                <c:pt idx="96">
                  <c:v>0.99945186022107779</c:v>
                </c:pt>
                <c:pt idx="97">
                  <c:v>0.99953365790349324</c:v>
                </c:pt>
                <c:pt idx="98">
                  <c:v>0.99960357738259109</c:v>
                </c:pt>
                <c:pt idx="99">
                  <c:v>0.9996632852408972</c:v>
                </c:pt>
                <c:pt idx="100">
                  <c:v>0.99971422448911762</c:v>
                </c:pt>
                <c:pt idx="101">
                  <c:v>0.99975764276668522</c:v>
                </c:pt>
                <c:pt idx="102">
                  <c:v>0.99979461729689845</c:v>
                </c:pt>
                <c:pt idx="103">
                  <c:v>0.99982607691558933</c:v>
                </c:pt>
                <c:pt idx="104">
                  <c:v>0.99985282147075272</c:v>
                </c:pt>
                <c:pt idx="105">
                  <c:v>0.9998755388685564</c:v>
                </c:pt>
                <c:pt idx="106">
                  <c:v>0.9998948200191774</c:v>
                </c:pt>
                <c:pt idx="107">
                  <c:v>0.99991117191435885</c:v>
                </c:pt>
                <c:pt idx="108">
                  <c:v>0.9999250290477838</c:v>
                </c:pt>
                <c:pt idx="109">
                  <c:v>0.99993676336951698</c:v>
                </c:pt>
                <c:pt idx="110">
                  <c:v>0.9999466929470453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5-42E2-9283-AF217DA8B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Delta 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Delta Put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val>
            <c:numRef>
              <c:f>Delta!$O$3:$O$113</c:f>
              <c:numCache>
                <c:formatCode>0.0000</c:formatCode>
                <c:ptCount val="111"/>
                <c:pt idx="0">
                  <c:v>-0.99994762438363349</c:v>
                </c:pt>
                <c:pt idx="1">
                  <c:v>-0.99991062481096926</c:v>
                </c:pt>
                <c:pt idx="2">
                  <c:v>-0.99985146581656092</c:v>
                </c:pt>
                <c:pt idx="3">
                  <c:v>-0.99975926139192139</c:v>
                </c:pt>
                <c:pt idx="4">
                  <c:v>-0.99961899938992305</c:v>
                </c:pt>
                <c:pt idx="5">
                  <c:v>-0.99941050194362424</c:v>
                </c:pt>
                <c:pt idx="6">
                  <c:v>-0.99910731075094594</c:v>
                </c:pt>
                <c:pt idx="7">
                  <c:v>-0.99867555279496145</c:v>
                </c:pt>
                <c:pt idx="8">
                  <c:v>-0.99807285829830483</c:v>
                </c:pt>
                <c:pt idx="9">
                  <c:v>-0.99724741570533948</c:v>
                </c:pt>
                <c:pt idx="10">
                  <c:v>-0.99613725631022088</c:v>
                </c:pt>
                <c:pt idx="11">
                  <c:v>-0.99466986220126397</c:v>
                </c:pt>
                <c:pt idx="12">
                  <c:v>-0.99276218444040742</c:v>
                </c:pt>
                <c:pt idx="13">
                  <c:v>-0.99032114355121004</c:v>
                </c:pt>
                <c:pt idx="14">
                  <c:v>-0.98724466198430805</c:v>
                </c:pt>
                <c:pt idx="15">
                  <c:v>-0.98342324960526406</c:v>
                </c:pt>
                <c:pt idx="16">
                  <c:v>-0.9787421304319821</c:v>
                </c:pt>
                <c:pt idx="17">
                  <c:v>-0.97308386434761474</c:v>
                </c:pt>
                <c:pt idx="18">
                  <c:v>-0.96633138406838592</c:v>
                </c:pt>
                <c:pt idx="19">
                  <c:v>-0.95837133794263552</c:v>
                </c:pt>
                <c:pt idx="20">
                  <c:v>-0.94909760557242739</c:v>
                </c:pt>
                <c:pt idx="21">
                  <c:v>-0.93841483762259048</c:v>
                </c:pt>
                <c:pt idx="22">
                  <c:v>-0.92624186466550118</c:v>
                </c:pt>
                <c:pt idx="23">
                  <c:v>-0.91251482288962737</c:v>
                </c:pt>
                <c:pt idx="24">
                  <c:v>-0.89718985660128348</c:v>
                </c:pt>
                <c:pt idx="25">
                  <c:v>-0.88024527761341509</c:v>
                </c:pt>
                <c:pt idx="26">
                  <c:v>-0.86168308823387152</c:v>
                </c:pt>
                <c:pt idx="27">
                  <c:v>-0.84152980565245694</c:v>
                </c:pt>
                <c:pt idx="28">
                  <c:v>-0.81983655890700169</c:v>
                </c:pt>
                <c:pt idx="29">
                  <c:v>-0.796678463108065</c:v>
                </c:pt>
                <c:pt idx="30">
                  <c:v>-0.7721533072084299</c:v>
                </c:pt>
                <c:pt idx="31">
                  <c:v>-0.74637961960403587</c:v>
                </c:pt>
                <c:pt idx="32">
                  <c:v>-0.71949419892530919</c:v>
                </c:pt>
                <c:pt idx="33">
                  <c:v>-0.69164921464160811</c:v>
                </c:pt>
                <c:pt idx="34">
                  <c:v>-0.66300899312771611</c:v>
                </c:pt>
                <c:pt idx="35">
                  <c:v>-0.63374660962649276</c:v>
                </c:pt>
                <c:pt idx="36">
                  <c:v>-0.60404040545431692</c:v>
                </c:pt>
                <c:pt idx="37">
                  <c:v>-0.57407054350289632</c:v>
                </c:pt>
                <c:pt idx="38">
                  <c:v>-0.54401570447503689</c:v>
                </c:pt>
                <c:pt idx="39">
                  <c:v>-0.51405001236551651</c:v>
                </c:pt>
                <c:pt idx="40">
                  <c:v>-0.48434026152276777</c:v>
                </c:pt>
                <c:pt idx="41">
                  <c:v>-0.45504350024168971</c:v>
                </c:pt>
                <c:pt idx="42">
                  <c:v>-0.4263050082013673</c:v>
                </c:pt>
                <c:pt idx="43">
                  <c:v>-0.3982566880089764</c:v>
                </c:pt>
                <c:pt idx="44">
                  <c:v>-0.37101587532651381</c:v>
                </c:pt>
                <c:pt idx="45">
                  <c:v>-0.34468455805883791</c:v>
                </c:pt>
                <c:pt idx="46">
                  <c:v>-0.3193489832221742</c:v>
                </c:pt>
                <c:pt idx="47">
                  <c:v>-0.29507962058657511</c:v>
                </c:pt>
                <c:pt idx="48">
                  <c:v>-0.271931445047916</c:v>
                </c:pt>
                <c:pt idx="49">
                  <c:v>-0.24994449486959247</c:v>
                </c:pt>
                <c:pt idx="50">
                  <c:v>-0.22914466028102232</c:v>
                </c:pt>
                <c:pt idx="51">
                  <c:v>-0.20954465619917695</c:v>
                </c:pt>
                <c:pt idx="52">
                  <c:v>-0.191145133774551</c:v>
                </c:pt>
                <c:pt idx="53">
                  <c:v>-0.17393588775386393</c:v>
                </c:pt>
                <c:pt idx="54">
                  <c:v>-0.15789711999267031</c:v>
                </c:pt>
                <c:pt idx="55">
                  <c:v>-0.14300072354611948</c:v>
                </c:pt>
                <c:pt idx="56">
                  <c:v>-0.12921155634124581</c:v>
                </c:pt>
                <c:pt idx="57">
                  <c:v>-0.1164886782452732</c:v>
                </c:pt>
                <c:pt idx="58">
                  <c:v>-0.10478653018239736</c:v>
                </c:pt>
                <c:pt idx="59">
                  <c:v>-9.4056038644762974E-2</c:v>
                </c:pt>
                <c:pt idx="60">
                  <c:v>-8.4245633357709071E-2</c:v>
                </c:pt>
                <c:pt idx="61">
                  <c:v>-7.5302169896438453E-2</c:v>
                </c:pt>
                <c:pt idx="62">
                  <c:v>-6.7171752645406091E-2</c:v>
                </c:pt>
                <c:pt idx="63">
                  <c:v>-5.9800456606133312E-2</c:v>
                </c:pt>
                <c:pt idx="64">
                  <c:v>-5.3134949181501634E-2</c:v>
                </c:pt>
                <c:pt idx="65">
                  <c:v>-4.7123015202565344E-2</c:v>
                </c:pt>
                <c:pt idx="66">
                  <c:v>-4.1713990140744728E-2</c:v>
                </c:pt>
                <c:pt idx="67">
                  <c:v>-3.6859107698644422E-2</c:v>
                </c:pt>
                <c:pt idx="68">
                  <c:v>-3.251176883906115E-2</c:v>
                </c:pt>
                <c:pt idx="69">
                  <c:v>-2.8627739840920596E-2</c:v>
                </c:pt>
                <c:pt idx="70">
                  <c:v>-2.5165287211655341E-2</c:v>
                </c:pt>
                <c:pt idx="71">
                  <c:v>-2.2085257286224902E-2</c:v>
                </c:pt>
                <c:pt idx="72">
                  <c:v>-1.9351108149927354E-2</c:v>
                </c:pt>
                <c:pt idx="73">
                  <c:v>-1.6928901178385192E-2</c:v>
                </c:pt>
                <c:pt idx="74">
                  <c:v>-1.4787259032586153E-2</c:v>
                </c:pt>
                <c:pt idx="75">
                  <c:v>-1.2897296414026926E-2</c:v>
                </c:pt>
                <c:pt idx="76">
                  <c:v>-1.1232529304497252E-2</c:v>
                </c:pt>
                <c:pt idx="77">
                  <c:v>-9.7687678117976962E-3</c:v>
                </c:pt>
                <c:pt idx="78">
                  <c:v>-8.4839971370946898E-3</c:v>
                </c:pt>
                <c:pt idx="79">
                  <c:v>-7.3582505878910798E-3</c:v>
                </c:pt>
                <c:pt idx="80">
                  <c:v>-6.3734779951002407E-3</c:v>
                </c:pt>
                <c:pt idx="81">
                  <c:v>-5.5134123624740461E-3</c:v>
                </c:pt>
                <c:pt idx="82">
                  <c:v>-4.7634370877547294E-3</c:v>
                </c:pt>
                <c:pt idx="83">
                  <c:v>-4.110455651029965E-3</c:v>
                </c:pt>
                <c:pt idx="84">
                  <c:v>-3.5427652685057209E-3</c:v>
                </c:pt>
                <c:pt idx="85">
                  <c:v>-3.0499356592627036E-3</c:v>
                </c:pt>
                <c:pt idx="86">
                  <c:v>-2.6226937672788608E-3</c:v>
                </c:pt>
                <c:pt idx="87">
                  <c:v>-2.2528150188777518E-3</c:v>
                </c:pt>
                <c:pt idx="88">
                  <c:v>-1.9330214739535778E-3</c:v>
                </c:pt>
                <c:pt idx="89">
                  <c:v>-1.6568870445301531E-3</c:v>
                </c:pt>
                <c:pt idx="90">
                  <c:v>-1.4187498029062384E-3</c:v>
                </c:pt>
                <c:pt idx="91">
                  <c:v>-1.2136312802210059E-3</c:v>
                </c:pt>
                <c:pt idx="92">
                  <c:v>-1.0371625611611535E-3</c:v>
                </c:pt>
                <c:pt idx="93">
                  <c:v>-8.8551690827487484E-4</c:v>
                </c:pt>
                <c:pt idx="94">
                  <c:v>-7.5534859672277133E-4</c:v>
                </c:pt>
                <c:pt idx="95">
                  <c:v>-6.437376042441878E-4</c:v>
                </c:pt>
                <c:pt idx="96">
                  <c:v>-5.4813977892220755E-4</c:v>
                </c:pt>
                <c:pt idx="97">
                  <c:v>-4.6634209650675551E-4</c:v>
                </c:pt>
                <c:pt idx="98">
                  <c:v>-3.9642261740890916E-4</c:v>
                </c:pt>
                <c:pt idx="99">
                  <c:v>-3.3671475910279636E-4</c:v>
                </c:pt>
                <c:pt idx="100">
                  <c:v>-2.8577551088238007E-4</c:v>
                </c:pt>
                <c:pt idx="101">
                  <c:v>-2.4235723331478276E-4</c:v>
                </c:pt>
                <c:pt idx="102">
                  <c:v>-2.0538270310155315E-4</c:v>
                </c:pt>
                <c:pt idx="103">
                  <c:v>-1.739230844106654E-4</c:v>
                </c:pt>
                <c:pt idx="104">
                  <c:v>-1.471785292472827E-4</c:v>
                </c:pt>
                <c:pt idx="105">
                  <c:v>-1.2446113144359838E-4</c:v>
                </c:pt>
                <c:pt idx="106">
                  <c:v>-1.051799808226006E-4</c:v>
                </c:pt>
                <c:pt idx="107">
                  <c:v>-8.8828085641146082E-5</c:v>
                </c:pt>
                <c:pt idx="108">
                  <c:v>-7.4970952216202313E-5</c:v>
                </c:pt>
                <c:pt idx="109">
                  <c:v>-6.3236630483021194E-5</c:v>
                </c:pt>
                <c:pt idx="110">
                  <c:v>-5.3307052954698619E-5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E2-4833-B499-C2365A1BF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axMin"/>
          <c:max val="0"/>
          <c:min val="-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Delta 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Delta!$F$3:$F$113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Delta!$M$3:$M$113</c:f>
              <c:numCache>
                <c:formatCode>0.00</c:formatCode>
                <c:ptCount val="111"/>
                <c:pt idx="0">
                  <c:v>8.7962821401971203E-5</c:v>
                </c:pt>
                <c:pt idx="1">
                  <c:v>1.5735425705957866E-4</c:v>
                </c:pt>
                <c:pt idx="2">
                  <c:v>2.7406430091266379E-4</c:v>
                </c:pt>
                <c:pt idx="3">
                  <c:v>4.6539207463579604E-4</c:v>
                </c:pt>
                <c:pt idx="4">
                  <c:v>7.7150341562508273E-4</c:v>
                </c:pt>
                <c:pt idx="5">
                  <c:v>1.250068689519955E-3</c:v>
                </c:pt>
                <c:pt idx="6">
                  <c:v>1.9819816583954777E-3</c:v>
                </c:pt>
                <c:pt idx="7">
                  <c:v>3.0782081873388101E-3</c:v>
                </c:pt>
                <c:pt idx="8">
                  <c:v>4.6877497032021681E-3</c:v>
                </c:pt>
                <c:pt idx="9">
                  <c:v>7.0066276699149721E-3</c:v>
                </c:pt>
                <c:pt idx="10">
                  <c:v>1.028770613417393E-2</c:v>
                </c:pt>
                <c:pt idx="11">
                  <c:v>1.4851075633449118E-2</c:v>
                </c:pt>
                <c:pt idx="12">
                  <c:v>2.1094630788967672E-2</c:v>
                </c:pt>
                <c:pt idx="13">
                  <c:v>2.9504393745235835E-2</c:v>
                </c:pt>
                <c:pt idx="14">
                  <c:v>4.0664074160690844E-2</c:v>
                </c:pt>
                <c:pt idx="15">
                  <c:v>5.526332065408357E-2</c:v>
                </c:pt>
                <c:pt idx="16">
                  <c:v>7.4104113724690945E-2</c:v>
                </c:pt>
                <c:pt idx="17">
                  <c:v>9.8104779160350208E-2</c:v>
                </c:pt>
                <c:pt idx="18">
                  <c:v>0.12830116414740278</c:v>
                </c:pt>
                <c:pt idx="19">
                  <c:v>0.16584461328635314</c:v>
                </c:pt>
                <c:pt idx="20">
                  <c:v>0.21199650352927968</c:v>
                </c:pt>
                <c:pt idx="21">
                  <c:v>0.26811923859958142</c:v>
                </c:pt>
                <c:pt idx="22">
                  <c:v>0.33566375613508459</c:v>
                </c:pt>
                <c:pt idx="23">
                  <c:v>0.41615375524446829</c:v>
                </c:pt>
                <c:pt idx="24">
                  <c:v>0.51116699901379459</c:v>
                </c:pt>
                <c:pt idx="25">
                  <c:v>0.62231417710038528</c:v>
                </c:pt>
                <c:pt idx="26">
                  <c:v>0.75121592060749975</c:v>
                </c:pt>
                <c:pt idx="27">
                  <c:v>0.89947863946072104</c:v>
                </c:pt>
                <c:pt idx="28">
                  <c:v>1.068669898116255</c:v>
                </c:pt>
                <c:pt idx="29">
                  <c:v>1.2602940574238133</c:v>
                </c:pt>
                <c:pt idx="30">
                  <c:v>1.4757688897495491</c:v>
                </c:pt>
                <c:pt idx="31">
                  <c:v>1.716403823815746</c:v>
                </c:pt>
                <c:pt idx="32">
                  <c:v>1.9833803994370349</c:v>
                </c:pt>
                <c:pt idx="33">
                  <c:v>2.2777354158333587</c:v>
                </c:pt>
                <c:pt idx="34">
                  <c:v>2.6003471465377785</c:v>
                </c:pt>
                <c:pt idx="35">
                  <c:v>2.9519248753661103</c:v>
                </c:pt>
                <c:pt idx="36">
                  <c:v>3.3330018875591492</c:v>
                </c:pt>
                <c:pt idx="37">
                  <c:v>3.7439319336085788</c:v>
                </c:pt>
                <c:pt idx="38">
                  <c:v>4.1848890752129364</c:v>
                </c:pt>
                <c:pt idx="39">
                  <c:v>4.6558707271033342</c:v>
                </c:pt>
                <c:pt idx="40">
                  <c:v>5.1567036279123926</c:v>
                </c:pt>
                <c:pt idx="41">
                  <c:v>5.6870524095572037</c:v>
                </c:pt>
                <c:pt idx="42">
                  <c:v>6.2464303884914258</c:v>
                </c:pt>
                <c:pt idx="43">
                  <c:v>6.8342121734733681</c:v>
                </c:pt>
                <c:pt idx="44">
                  <c:v>7.4496476722581235</c:v>
                </c:pt>
                <c:pt idx="45">
                  <c:v>8.0918770823099564</c:v>
                </c:pt>
                <c:pt idx="46">
                  <c:v>8.7599464662714723</c:v>
                </c:pt>
                <c:pt idx="47">
                  <c:v>9.4528235392678965</c:v>
                </c:pt>
                <c:pt idx="48">
                  <c:v>10.16941332979858</c:v>
                </c:pt>
                <c:pt idx="49">
                  <c:v>10.908573416608213</c:v>
                </c:pt>
                <c:pt idx="50">
                  <c:v>11.669128488287299</c:v>
                </c:pt>
                <c:pt idx="51">
                  <c:v>12.449884018376025</c:v>
                </c:pt>
                <c:pt idx="52">
                  <c:v>13.249638894636391</c:v>
                </c:pt>
                <c:pt idx="53">
                  <c:v>14.067196885411633</c:v>
                </c:pt>
                <c:pt idx="54">
                  <c:v>14.901376867403613</c:v>
                </c:pt>
                <c:pt idx="55">
                  <c:v>15.751021776869408</c:v>
                </c:pt>
                <c:pt idx="56">
                  <c:v>16.61500627955219</c:v>
                </c:pt>
                <c:pt idx="57">
                  <c:v>17.492243183261934</c:v>
                </c:pt>
                <c:pt idx="58">
                  <c:v>18.381688640783736</c:v>
                </c:pt>
                <c:pt idx="59">
                  <c:v>19.282346209773337</c:v>
                </c:pt>
                <c:pt idx="60">
                  <c:v>20.193269850719233</c:v>
                </c:pt>
                <c:pt idx="61">
                  <c:v>21.113565954237089</c:v>
                </c:pt>
                <c:pt idx="62">
                  <c:v>22.042394495329205</c:v>
                </c:pt>
                <c:pt idx="63">
                  <c:v>22.978969415252905</c:v>
                </c:pt>
                <c:pt idx="64">
                  <c:v>23.92255833178298</c:v>
                </c:pt>
                <c:pt idx="65">
                  <c:v>24.872481676417451</c:v>
                </c:pt>
                <c:pt idx="66">
                  <c:v>25.828111352934272</c:v>
                </c:pt>
                <c:pt idx="67">
                  <c:v>26.788869006103994</c:v>
                </c:pt>
                <c:pt idx="68">
                  <c:v>27.754223982707629</c:v>
                </c:pt>
                <c:pt idx="69">
                  <c:v>28.723691059658819</c:v>
                </c:pt>
                <c:pt idx="70">
                  <c:v>29.696828006297238</c:v>
                </c:pt>
                <c:pt idx="71">
                  <c:v>30.673233040073683</c:v>
                </c:pt>
                <c:pt idx="72">
                  <c:v>31.652542227098138</c:v>
                </c:pt>
                <c:pt idx="73">
                  <c:v>32.634426871546879</c:v>
                </c:pt>
                <c:pt idx="74">
                  <c:v>33.618590930850459</c:v>
                </c:pt>
                <c:pt idx="75">
                  <c:v>34.6047684870084</c:v>
                </c:pt>
                <c:pt idx="76">
                  <c:v>35.592721298358612</c:v>
                </c:pt>
                <c:pt idx="77">
                  <c:v>36.582236450705238</c:v>
                </c:pt>
                <c:pt idx="78">
                  <c:v>37.573124121891709</c:v>
                </c:pt>
                <c:pt idx="79">
                  <c:v>38.56521546968618</c:v>
                </c:pt>
                <c:pt idx="80">
                  <c:v>39.558360649209305</c:v>
                </c:pt>
                <c:pt idx="81">
                  <c:v>40.552426963043629</c:v>
                </c:pt>
                <c:pt idx="82">
                  <c:v>41.547297144582899</c:v>
                </c:pt>
                <c:pt idx="83">
                  <c:v>42.542867773067911</c:v>
                </c:pt>
                <c:pt idx="84">
                  <c:v>43.539047817060421</c:v>
                </c:pt>
                <c:pt idx="85">
                  <c:v>44.535757301789161</c:v>
                </c:pt>
                <c:pt idx="86">
                  <c:v>45.532926094810122</c:v>
                </c:pt>
                <c:pt idx="87">
                  <c:v>46.530492803715504</c:v>
                </c:pt>
                <c:pt idx="88">
                  <c:v>47.528403779160172</c:v>
                </c:pt>
                <c:pt idx="89">
                  <c:v>48.526612216210523</c:v>
                </c:pt>
                <c:pt idx="90">
                  <c:v>49.525077346926821</c:v>
                </c:pt>
                <c:pt idx="91">
                  <c:v>50.523763717129228</c:v>
                </c:pt>
                <c:pt idx="92">
                  <c:v>51.522640540447796</c:v>
                </c:pt>
                <c:pt idx="93">
                  <c:v>52.521681122988355</c:v>
                </c:pt>
                <c:pt idx="94">
                  <c:v>53.520862352240272</c:v>
                </c:pt>
                <c:pt idx="95">
                  <c:v>54.520164244191463</c:v>
                </c:pt>
                <c:pt idx="96">
                  <c:v>55.519569542982381</c:v>
                </c:pt>
                <c:pt idx="97">
                  <c:v>56.519063367814582</c:v>
                </c:pt>
                <c:pt idx="98">
                  <c:v>57.518632902220332</c:v>
                </c:pt>
                <c:pt idx="99">
                  <c:v>58.518267121185559</c:v>
                </c:pt>
                <c:pt idx="100">
                  <c:v>59.517956551998623</c:v>
                </c:pt>
                <c:pt idx="101">
                  <c:v>60.517693065063213</c:v>
                </c:pt>
                <c:pt idx="102">
                  <c:v>61.517469691261482</c:v>
                </c:pt>
                <c:pt idx="103">
                  <c:v>62.517280462783233</c:v>
                </c:pt>
                <c:pt idx="104">
                  <c:v>63.517120274645833</c:v>
                </c:pt>
                <c:pt idx="105">
                  <c:v>64.516984764414232</c:v>
                </c:pt>
                <c:pt idx="106">
                  <c:v>65.516870207897455</c:v>
                </c:pt>
                <c:pt idx="107">
                  <c:v>66.516773428837723</c:v>
                </c:pt>
                <c:pt idx="108">
                  <c:v>67.516691720832142</c:v>
                </c:pt>
                <c:pt idx="109">
                  <c:v>68.516622779926564</c:v>
                </c:pt>
                <c:pt idx="110">
                  <c:v>69.516564646503554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Option Value</c:v>
                </c15:tx>
              </c15:filteredSeriesTitle>
            </c:ext>
            <c:ext xmlns:c16="http://schemas.microsoft.com/office/drawing/2014/chart" uri="{C3380CC4-5D6E-409C-BE32-E72D297353CC}">
              <c16:uniqueId val="{00000000-145F-42E2-8FF6-D0205BCE7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Call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Put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Delta!$F$3:$F$113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Delta!$N$3:$N$113</c:f>
              <c:numCache>
                <c:formatCode>0.00</c:formatCode>
                <c:ptCount val="111"/>
                <c:pt idx="0">
                  <c:v>40.483829766417358</c:v>
                </c:pt>
                <c:pt idx="1">
                  <c:v>39.48389915785301</c:v>
                </c:pt>
                <c:pt idx="2">
                  <c:v>38.484015867896858</c:v>
                </c:pt>
                <c:pt idx="3">
                  <c:v>37.484207195670578</c:v>
                </c:pt>
                <c:pt idx="4">
                  <c:v>36.484513307011568</c:v>
                </c:pt>
                <c:pt idx="5">
                  <c:v>35.484991872285455</c:v>
                </c:pt>
                <c:pt idx="6">
                  <c:v>34.485723785254336</c:v>
                </c:pt>
                <c:pt idx="7">
                  <c:v>33.48682001178328</c:v>
                </c:pt>
                <c:pt idx="8">
                  <c:v>32.488429553299149</c:v>
                </c:pt>
                <c:pt idx="9">
                  <c:v>31.490748431265871</c:v>
                </c:pt>
                <c:pt idx="10">
                  <c:v>30.494029509730112</c:v>
                </c:pt>
                <c:pt idx="11">
                  <c:v>29.498592879229392</c:v>
                </c:pt>
                <c:pt idx="12">
                  <c:v>28.50483643438492</c:v>
                </c:pt>
                <c:pt idx="13">
                  <c:v>27.513246197341189</c:v>
                </c:pt>
                <c:pt idx="14">
                  <c:v>26.524405877756635</c:v>
                </c:pt>
                <c:pt idx="15">
                  <c:v>25.539005124250018</c:v>
                </c:pt>
                <c:pt idx="16">
                  <c:v>24.557845917320634</c:v>
                </c:pt>
                <c:pt idx="17">
                  <c:v>23.581846582756299</c:v>
                </c:pt>
                <c:pt idx="18">
                  <c:v>22.612042967743363</c:v>
                </c:pt>
                <c:pt idx="19">
                  <c:v>21.649586416882315</c:v>
                </c:pt>
                <c:pt idx="20">
                  <c:v>20.695738307125225</c:v>
                </c:pt>
                <c:pt idx="21">
                  <c:v>19.751861042195529</c:v>
                </c:pt>
                <c:pt idx="22">
                  <c:v>18.819405559731024</c:v>
                </c:pt>
                <c:pt idx="23">
                  <c:v>17.899895558840413</c:v>
                </c:pt>
                <c:pt idx="24">
                  <c:v>16.994908802609743</c:v>
                </c:pt>
                <c:pt idx="25">
                  <c:v>16.106055980696325</c:v>
                </c:pt>
                <c:pt idx="26">
                  <c:v>15.234957724203454</c:v>
                </c:pt>
                <c:pt idx="27">
                  <c:v>14.383220443056658</c:v>
                </c:pt>
                <c:pt idx="28">
                  <c:v>13.552411701712202</c:v>
                </c:pt>
                <c:pt idx="29">
                  <c:v>12.744035861019761</c:v>
                </c:pt>
                <c:pt idx="30">
                  <c:v>11.959510693345493</c:v>
                </c:pt>
                <c:pt idx="31">
                  <c:v>11.200145627411686</c:v>
                </c:pt>
                <c:pt idx="32">
                  <c:v>10.467122203032972</c:v>
                </c:pt>
                <c:pt idx="33">
                  <c:v>9.7614772194293025</c:v>
                </c:pt>
                <c:pt idx="34">
                  <c:v>9.0840889501337188</c:v>
                </c:pt>
                <c:pt idx="35">
                  <c:v>8.4356666789620647</c:v>
                </c:pt>
                <c:pt idx="36">
                  <c:v>7.8167436911550965</c:v>
                </c:pt>
                <c:pt idx="37">
                  <c:v>7.2276737372045332</c:v>
                </c:pt>
                <c:pt idx="38">
                  <c:v>6.6686308788088766</c:v>
                </c:pt>
                <c:pt idx="39">
                  <c:v>6.1396125306992815</c:v>
                </c:pt>
                <c:pt idx="40">
                  <c:v>5.6404454315083399</c:v>
                </c:pt>
                <c:pt idx="41">
                  <c:v>5.1707942131531439</c:v>
                </c:pt>
                <c:pt idx="42">
                  <c:v>4.7301721920873732</c:v>
                </c:pt>
                <c:pt idx="43">
                  <c:v>4.3179539770693154</c:v>
                </c:pt>
                <c:pt idx="44">
                  <c:v>3.9333894758540708</c:v>
                </c:pt>
                <c:pt idx="45">
                  <c:v>3.5756188859059108</c:v>
                </c:pt>
                <c:pt idx="46">
                  <c:v>3.2436882698674232</c:v>
                </c:pt>
                <c:pt idx="47">
                  <c:v>2.9365653428638367</c:v>
                </c:pt>
                <c:pt idx="48">
                  <c:v>2.6531551333945345</c:v>
                </c:pt>
                <c:pt idx="49">
                  <c:v>2.3923152202041607</c:v>
                </c:pt>
                <c:pt idx="50">
                  <c:v>2.1528702918832394</c:v>
                </c:pt>
                <c:pt idx="51">
                  <c:v>1.9336258219719618</c:v>
                </c:pt>
                <c:pt idx="52">
                  <c:v>1.7333806982323452</c:v>
                </c:pt>
                <c:pt idx="53">
                  <c:v>1.5509386890075945</c:v>
                </c:pt>
                <c:pt idx="54">
                  <c:v>1.3851186709995567</c:v>
                </c:pt>
                <c:pt idx="55">
                  <c:v>1.2347635804653532</c:v>
                </c:pt>
                <c:pt idx="56">
                  <c:v>1.0987480831481466</c:v>
                </c:pt>
                <c:pt idx="57">
                  <c:v>0.97598498685788648</c:v>
                </c:pt>
                <c:pt idx="58">
                  <c:v>0.86543044437967609</c:v>
                </c:pt>
                <c:pt idx="59">
                  <c:v>0.766088013369286</c:v>
                </c:pt>
                <c:pt idx="60">
                  <c:v>0.6770116543151854</c:v>
                </c:pt>
                <c:pt idx="61">
                  <c:v>0.59730775783303436</c:v>
                </c:pt>
                <c:pt idx="62">
                  <c:v>0.52613629892515856</c:v>
                </c:pt>
                <c:pt idx="63">
                  <c:v>0.46271121884886313</c:v>
                </c:pt>
                <c:pt idx="64">
                  <c:v>0.4063001353789204</c:v>
                </c:pt>
                <c:pt idx="65">
                  <c:v>0.35622348001339965</c:v>
                </c:pt>
                <c:pt idx="66">
                  <c:v>0.31185315653022982</c:v>
                </c:pt>
                <c:pt idx="67">
                  <c:v>0.27261080969993223</c:v>
                </c:pt>
                <c:pt idx="68">
                  <c:v>0.23796578630358134</c:v>
                </c:pt>
                <c:pt idx="69">
                  <c:v>0.20743286325476928</c:v>
                </c:pt>
                <c:pt idx="70">
                  <c:v>0.18056980989319271</c:v>
                </c:pt>
                <c:pt idx="71">
                  <c:v>0.15697484366961811</c:v>
                </c:pt>
                <c:pt idx="72">
                  <c:v>0.13628403069407646</c:v>
                </c:pt>
                <c:pt idx="73">
                  <c:v>0.11816867514281748</c:v>
                </c:pt>
                <c:pt idx="74">
                  <c:v>0.10233273444639956</c:v>
                </c:pt>
                <c:pt idx="75">
                  <c:v>8.8510290604353115E-2</c:v>
                </c:pt>
                <c:pt idx="76">
                  <c:v>7.6463101954549417E-2</c:v>
                </c:pt>
                <c:pt idx="77">
                  <c:v>6.5978254301193529E-2</c:v>
                </c:pt>
                <c:pt idx="78">
                  <c:v>5.686592548766356E-2</c:v>
                </c:pt>
                <c:pt idx="79">
                  <c:v>4.8957273282114522E-2</c:v>
                </c:pt>
                <c:pt idx="80">
                  <c:v>4.2102452805261481E-2</c:v>
                </c:pt>
                <c:pt idx="81">
                  <c:v>3.6168766639559369E-2</c:v>
                </c:pt>
                <c:pt idx="82">
                  <c:v>3.1038948178832237E-2</c:v>
                </c:pt>
                <c:pt idx="83">
                  <c:v>2.6609576663850776E-2</c:v>
                </c:pt>
                <c:pt idx="84">
                  <c:v>2.2789620656363196E-2</c:v>
                </c:pt>
                <c:pt idx="85">
                  <c:v>1.9499105385109849E-2</c:v>
                </c:pt>
                <c:pt idx="86">
                  <c:v>1.6667898406065862E-2</c:v>
                </c:pt>
                <c:pt idx="87">
                  <c:v>1.4234607311463365E-2</c:v>
                </c:pt>
                <c:pt idx="88">
                  <c:v>1.2145582756106332E-2</c:v>
                </c:pt>
                <c:pt idx="89">
                  <c:v>1.0354019806459613E-2</c:v>
                </c:pt>
                <c:pt idx="90">
                  <c:v>8.8191505227618872E-3</c:v>
                </c:pt>
                <c:pt idx="91">
                  <c:v>7.5055207251709666E-3</c:v>
                </c:pt>
                <c:pt idx="92">
                  <c:v>6.3823440437549006E-3</c:v>
                </c:pt>
                <c:pt idx="93">
                  <c:v>5.4229265842923036E-3</c:v>
                </c:pt>
                <c:pt idx="94">
                  <c:v>4.6041558362075602E-3</c:v>
                </c:pt>
                <c:pt idx="95">
                  <c:v>3.9060477874270638E-3</c:v>
                </c:pt>
                <c:pt idx="96">
                  <c:v>3.3113465783147361E-3</c:v>
                </c:pt>
                <c:pt idx="97">
                  <c:v>2.8051714105152975E-3</c:v>
                </c:pt>
                <c:pt idx="98">
                  <c:v>2.3747058162844614E-3</c:v>
                </c:pt>
                <c:pt idx="99">
                  <c:v>2.0089247814937539E-3</c:v>
                </c:pt>
                <c:pt idx="100">
                  <c:v>1.6983555945535578E-3</c:v>
                </c:pt>
                <c:pt idx="101">
                  <c:v>1.4348686591572277E-3</c:v>
                </c:pt>
                <c:pt idx="102">
                  <c:v>1.2114948574157777E-3</c:v>
                </c:pt>
                <c:pt idx="103">
                  <c:v>1.0222663792027985E-3</c:v>
                </c:pt>
                <c:pt idx="104">
                  <c:v>8.6207824177636505E-4</c:v>
                </c:pt>
                <c:pt idx="105">
                  <c:v>7.2656801018782663E-4</c:v>
                </c:pt>
                <c:pt idx="106">
                  <c:v>6.120114934007187E-4</c:v>
                </c:pt>
                <c:pt idx="107">
                  <c:v>5.1523243366158149E-4</c:v>
                </c:pt>
                <c:pt idx="108">
                  <c:v>4.3352442808806263E-4</c:v>
                </c:pt>
                <c:pt idx="109">
                  <c:v>3.645835225247647E-4</c:v>
                </c:pt>
                <c:pt idx="110">
                  <c:v>3.0645009951151339E-4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A-43F8-9350-9173B6BB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Put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Delta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Delta!$F$3:$F$113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Delta!$I$3:$I$113</c:f>
              <c:numCache>
                <c:formatCode>0.0000</c:formatCode>
                <c:ptCount val="111"/>
                <c:pt idx="0">
                  <c:v>5.2375616366471045E-5</c:v>
                </c:pt>
                <c:pt idx="1">
                  <c:v>8.9375189030725742E-5</c:v>
                </c:pt>
                <c:pt idx="2">
                  <c:v>1.4853418343912183E-4</c:v>
                </c:pt>
                <c:pt idx="3">
                  <c:v>2.407386080785543E-4</c:v>
                </c:pt>
                <c:pt idx="4">
                  <c:v>3.8100061007698182E-4</c:v>
                </c:pt>
                <c:pt idx="5">
                  <c:v>5.8949805637580706E-4</c:v>
                </c:pt>
                <c:pt idx="6">
                  <c:v>8.9268924905408118E-4</c:v>
                </c:pt>
                <c:pt idx="7">
                  <c:v>1.3244472050385756E-3</c:v>
                </c:pt>
                <c:pt idx="8">
                  <c:v>1.9271417016951285E-3</c:v>
                </c:pt>
                <c:pt idx="9">
                  <c:v>2.7525842946605197E-3</c:v>
                </c:pt>
                <c:pt idx="10">
                  <c:v>3.8627436897791349E-3</c:v>
                </c:pt>
                <c:pt idx="11">
                  <c:v>5.3301377987360551E-3</c:v>
                </c:pt>
                <c:pt idx="12">
                  <c:v>7.2378155595925224E-3</c:v>
                </c:pt>
                <c:pt idx="13">
                  <c:v>9.6788564487899284E-3</c:v>
                </c:pt>
                <c:pt idx="14">
                  <c:v>1.2755338015691918E-2</c:v>
                </c:pt>
                <c:pt idx="15">
                  <c:v>1.657675039473596E-2</c:v>
                </c:pt>
                <c:pt idx="16">
                  <c:v>2.1257869568017933E-2</c:v>
                </c:pt>
                <c:pt idx="17">
                  <c:v>2.6916135652385251E-2</c:v>
                </c:pt>
                <c:pt idx="18">
                  <c:v>3.366861593161407E-2</c:v>
                </c:pt>
                <c:pt idx="19">
                  <c:v>4.1628662057364436E-2</c:v>
                </c:pt>
                <c:pt idx="20">
                  <c:v>5.0902394427572564E-2</c:v>
                </c:pt>
                <c:pt idx="21">
                  <c:v>6.1585162377409491E-2</c:v>
                </c:pt>
                <c:pt idx="22">
                  <c:v>7.3758135334498778E-2</c:v>
                </c:pt>
                <c:pt idx="23">
                  <c:v>8.7485177110372625E-2</c:v>
                </c:pt>
                <c:pt idx="24">
                  <c:v>0.10281014339871647</c:v>
                </c:pt>
                <c:pt idx="25">
                  <c:v>0.11975472238658495</c:v>
                </c:pt>
                <c:pt idx="26">
                  <c:v>0.13831691176612843</c:v>
                </c:pt>
                <c:pt idx="27">
                  <c:v>0.15847019434754309</c:v>
                </c:pt>
                <c:pt idx="28">
                  <c:v>0.18016344109299831</c:v>
                </c:pt>
                <c:pt idx="29">
                  <c:v>0.20332153689193502</c:v>
                </c:pt>
                <c:pt idx="30">
                  <c:v>0.22784669279157016</c:v>
                </c:pt>
                <c:pt idx="31">
                  <c:v>0.25362038039596413</c:v>
                </c:pt>
                <c:pt idx="32">
                  <c:v>0.28050580107469081</c:v>
                </c:pt>
                <c:pt idx="33">
                  <c:v>0.30835078535839189</c:v>
                </c:pt>
                <c:pt idx="34">
                  <c:v>0.33699100687228395</c:v>
                </c:pt>
                <c:pt idx="35">
                  <c:v>0.36625339037350718</c:v>
                </c:pt>
                <c:pt idx="36">
                  <c:v>0.39595959454568314</c:v>
                </c:pt>
                <c:pt idx="37">
                  <c:v>0.42592945649710368</c:v>
                </c:pt>
                <c:pt idx="38">
                  <c:v>0.45598429552496317</c:v>
                </c:pt>
                <c:pt idx="39">
                  <c:v>0.48594998763448355</c:v>
                </c:pt>
                <c:pt idx="40">
                  <c:v>0.51565973847723223</c:v>
                </c:pt>
                <c:pt idx="41">
                  <c:v>0.54495649975831029</c:v>
                </c:pt>
                <c:pt idx="42">
                  <c:v>0.5736949917986327</c:v>
                </c:pt>
                <c:pt idx="43">
                  <c:v>0.6017433119910236</c:v>
                </c:pt>
                <c:pt idx="44">
                  <c:v>0.62898412467348619</c:v>
                </c:pt>
                <c:pt idx="45">
                  <c:v>0.65531544194116209</c:v>
                </c:pt>
                <c:pt idx="46">
                  <c:v>0.6806510167778258</c:v>
                </c:pt>
                <c:pt idx="47">
                  <c:v>0.70492037941342489</c:v>
                </c:pt>
                <c:pt idx="48">
                  <c:v>0.728068554952084</c:v>
                </c:pt>
                <c:pt idx="49">
                  <c:v>0.75005550513040753</c:v>
                </c:pt>
                <c:pt idx="50">
                  <c:v>0.77085533971897768</c:v>
                </c:pt>
                <c:pt idx="51">
                  <c:v>0.79045534380082305</c:v>
                </c:pt>
                <c:pt idx="52">
                  <c:v>0.808854866225449</c:v>
                </c:pt>
                <c:pt idx="53">
                  <c:v>0.82606411224613607</c:v>
                </c:pt>
                <c:pt idx="54">
                  <c:v>0.84210288000732969</c:v>
                </c:pt>
                <c:pt idx="55">
                  <c:v>0.85699927645388052</c:v>
                </c:pt>
                <c:pt idx="56">
                  <c:v>0.87078844365875419</c:v>
                </c:pt>
                <c:pt idx="57">
                  <c:v>0.8835113217547268</c:v>
                </c:pt>
                <c:pt idx="58">
                  <c:v>0.89521346981760264</c:v>
                </c:pt>
                <c:pt idx="59">
                  <c:v>0.90594396135523703</c:v>
                </c:pt>
                <c:pt idx="60">
                  <c:v>0.91575436664229093</c:v>
                </c:pt>
                <c:pt idx="61">
                  <c:v>0.92469783010356155</c:v>
                </c:pt>
                <c:pt idx="62">
                  <c:v>0.93282824735459391</c:v>
                </c:pt>
                <c:pt idx="63">
                  <c:v>0.94019954339386669</c:v>
                </c:pt>
                <c:pt idx="64">
                  <c:v>0.94686505081849837</c:v>
                </c:pt>
                <c:pt idx="65">
                  <c:v>0.95287698479743466</c:v>
                </c:pt>
                <c:pt idx="66">
                  <c:v>0.95828600985925527</c:v>
                </c:pt>
                <c:pt idx="67">
                  <c:v>0.96314089230135558</c:v>
                </c:pt>
                <c:pt idx="68">
                  <c:v>0.96748823116093885</c:v>
                </c:pt>
                <c:pt idx="69">
                  <c:v>0.9713722601590794</c:v>
                </c:pt>
                <c:pt idx="70">
                  <c:v>0.97483471278834466</c:v>
                </c:pt>
                <c:pt idx="71">
                  <c:v>0.9779147427137751</c:v>
                </c:pt>
                <c:pt idx="72">
                  <c:v>0.98064889185007265</c:v>
                </c:pt>
                <c:pt idx="73">
                  <c:v>0.98307109882161481</c:v>
                </c:pt>
                <c:pt idx="74">
                  <c:v>0.98521274096741385</c:v>
                </c:pt>
                <c:pt idx="75">
                  <c:v>0.98710270358597307</c:v>
                </c:pt>
                <c:pt idx="76">
                  <c:v>0.98876747069550275</c:v>
                </c:pt>
                <c:pt idx="77">
                  <c:v>0.9902312321882023</c:v>
                </c:pt>
                <c:pt idx="78">
                  <c:v>0.99151600286290531</c:v>
                </c:pt>
                <c:pt idx="79">
                  <c:v>0.99264174941210892</c:v>
                </c:pt>
                <c:pt idx="80">
                  <c:v>0.99362652200489976</c:v>
                </c:pt>
                <c:pt idx="81">
                  <c:v>0.99448658763752595</c:v>
                </c:pt>
                <c:pt idx="82">
                  <c:v>0.99523656291224527</c:v>
                </c:pt>
                <c:pt idx="83">
                  <c:v>0.99588954434897003</c:v>
                </c:pt>
                <c:pt idx="84">
                  <c:v>0.99645723473149428</c:v>
                </c:pt>
                <c:pt idx="85">
                  <c:v>0.9969500643407373</c:v>
                </c:pt>
                <c:pt idx="86">
                  <c:v>0.99737730623272114</c:v>
                </c:pt>
                <c:pt idx="87">
                  <c:v>0.99774718498112225</c:v>
                </c:pt>
                <c:pt idx="88">
                  <c:v>0.99806697852604642</c:v>
                </c:pt>
                <c:pt idx="89">
                  <c:v>0.99834311295546985</c:v>
                </c:pt>
                <c:pt idx="90">
                  <c:v>0.99858125019709376</c:v>
                </c:pt>
                <c:pt idx="91">
                  <c:v>0.99878636871977899</c:v>
                </c:pt>
                <c:pt idx="92">
                  <c:v>0.99896283743883885</c:v>
                </c:pt>
                <c:pt idx="93">
                  <c:v>0.99911448309172513</c:v>
                </c:pt>
                <c:pt idx="94">
                  <c:v>0.99924465140327723</c:v>
                </c:pt>
                <c:pt idx="95">
                  <c:v>0.99935626239575581</c:v>
                </c:pt>
                <c:pt idx="96">
                  <c:v>0.99945186022107779</c:v>
                </c:pt>
                <c:pt idx="97">
                  <c:v>0.99953365790349324</c:v>
                </c:pt>
                <c:pt idx="98">
                  <c:v>0.99960357738259109</c:v>
                </c:pt>
                <c:pt idx="99">
                  <c:v>0.9996632852408972</c:v>
                </c:pt>
                <c:pt idx="100">
                  <c:v>0.99971422448911762</c:v>
                </c:pt>
                <c:pt idx="101">
                  <c:v>0.99975764276668522</c:v>
                </c:pt>
                <c:pt idx="102">
                  <c:v>0.99979461729689845</c:v>
                </c:pt>
                <c:pt idx="103">
                  <c:v>0.99982607691558933</c:v>
                </c:pt>
                <c:pt idx="104">
                  <c:v>0.99985282147075272</c:v>
                </c:pt>
                <c:pt idx="105">
                  <c:v>0.9998755388685564</c:v>
                </c:pt>
                <c:pt idx="106">
                  <c:v>0.9998948200191774</c:v>
                </c:pt>
                <c:pt idx="107">
                  <c:v>0.99991117191435885</c:v>
                </c:pt>
                <c:pt idx="108">
                  <c:v>0.9999250290477838</c:v>
                </c:pt>
                <c:pt idx="109">
                  <c:v>0.99993676336951698</c:v>
                </c:pt>
                <c:pt idx="110">
                  <c:v>0.9999466929470453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4-425E-B90B-57B3BA678D5C}"/>
            </c:ext>
          </c:extLst>
        </c:ser>
        <c:ser>
          <c:idx val="0"/>
          <c:order val="1"/>
          <c:tx>
            <c:v>Delta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Delta!$F$3:$F$113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Delta!$I$3:$I$113</c:f>
              <c:numCache>
                <c:formatCode>0.0000</c:formatCode>
                <c:ptCount val="111"/>
                <c:pt idx="0">
                  <c:v>5.2375616366471045E-5</c:v>
                </c:pt>
                <c:pt idx="1">
                  <c:v>8.9375189030725742E-5</c:v>
                </c:pt>
                <c:pt idx="2">
                  <c:v>1.4853418343912183E-4</c:v>
                </c:pt>
                <c:pt idx="3">
                  <c:v>2.407386080785543E-4</c:v>
                </c:pt>
                <c:pt idx="4">
                  <c:v>3.8100061007698182E-4</c:v>
                </c:pt>
                <c:pt idx="5">
                  <c:v>5.8949805637580706E-4</c:v>
                </c:pt>
                <c:pt idx="6">
                  <c:v>8.9268924905408118E-4</c:v>
                </c:pt>
                <c:pt idx="7">
                  <c:v>1.3244472050385756E-3</c:v>
                </c:pt>
                <c:pt idx="8">
                  <c:v>1.9271417016951285E-3</c:v>
                </c:pt>
                <c:pt idx="9">
                  <c:v>2.7525842946605197E-3</c:v>
                </c:pt>
                <c:pt idx="10">
                  <c:v>3.8627436897791349E-3</c:v>
                </c:pt>
                <c:pt idx="11">
                  <c:v>5.3301377987360551E-3</c:v>
                </c:pt>
                <c:pt idx="12">
                  <c:v>7.2378155595925224E-3</c:v>
                </c:pt>
                <c:pt idx="13">
                  <c:v>9.6788564487899284E-3</c:v>
                </c:pt>
                <c:pt idx="14">
                  <c:v>1.2755338015691918E-2</c:v>
                </c:pt>
                <c:pt idx="15">
                  <c:v>1.657675039473596E-2</c:v>
                </c:pt>
                <c:pt idx="16">
                  <c:v>2.1257869568017933E-2</c:v>
                </c:pt>
                <c:pt idx="17">
                  <c:v>2.6916135652385251E-2</c:v>
                </c:pt>
                <c:pt idx="18">
                  <c:v>3.366861593161407E-2</c:v>
                </c:pt>
                <c:pt idx="19">
                  <c:v>4.1628662057364436E-2</c:v>
                </c:pt>
                <c:pt idx="20">
                  <c:v>5.0902394427572564E-2</c:v>
                </c:pt>
                <c:pt idx="21">
                  <c:v>6.1585162377409491E-2</c:v>
                </c:pt>
                <c:pt idx="22">
                  <c:v>7.3758135334498778E-2</c:v>
                </c:pt>
                <c:pt idx="23">
                  <c:v>8.7485177110372625E-2</c:v>
                </c:pt>
                <c:pt idx="24">
                  <c:v>0.10281014339871647</c:v>
                </c:pt>
                <c:pt idx="25">
                  <c:v>0.11975472238658495</c:v>
                </c:pt>
                <c:pt idx="26">
                  <c:v>0.13831691176612843</c:v>
                </c:pt>
                <c:pt idx="27">
                  <c:v>0.15847019434754309</c:v>
                </c:pt>
                <c:pt idx="28">
                  <c:v>0.18016344109299831</c:v>
                </c:pt>
                <c:pt idx="29">
                  <c:v>0.20332153689193502</c:v>
                </c:pt>
                <c:pt idx="30">
                  <c:v>0.22784669279157016</c:v>
                </c:pt>
                <c:pt idx="31">
                  <c:v>0.25362038039596413</c:v>
                </c:pt>
                <c:pt idx="32">
                  <c:v>0.28050580107469081</c:v>
                </c:pt>
                <c:pt idx="33">
                  <c:v>0.30835078535839189</c:v>
                </c:pt>
                <c:pt idx="34">
                  <c:v>0.33699100687228395</c:v>
                </c:pt>
                <c:pt idx="35">
                  <c:v>0.36625339037350718</c:v>
                </c:pt>
                <c:pt idx="36">
                  <c:v>0.39595959454568314</c:v>
                </c:pt>
                <c:pt idx="37">
                  <c:v>0.42592945649710368</c:v>
                </c:pt>
                <c:pt idx="38">
                  <c:v>0.45598429552496317</c:v>
                </c:pt>
                <c:pt idx="39">
                  <c:v>0.48594998763448355</c:v>
                </c:pt>
                <c:pt idx="40">
                  <c:v>0.51565973847723223</c:v>
                </c:pt>
                <c:pt idx="41">
                  <c:v>0.54495649975831029</c:v>
                </c:pt>
                <c:pt idx="42">
                  <c:v>0.5736949917986327</c:v>
                </c:pt>
                <c:pt idx="43">
                  <c:v>0.6017433119910236</c:v>
                </c:pt>
                <c:pt idx="44">
                  <c:v>0.62898412467348619</c:v>
                </c:pt>
                <c:pt idx="45">
                  <c:v>0.65531544194116209</c:v>
                </c:pt>
                <c:pt idx="46">
                  <c:v>0.6806510167778258</c:v>
                </c:pt>
                <c:pt idx="47">
                  <c:v>0.70492037941342489</c:v>
                </c:pt>
                <c:pt idx="48">
                  <c:v>0.728068554952084</c:v>
                </c:pt>
                <c:pt idx="49">
                  <c:v>0.75005550513040753</c:v>
                </c:pt>
                <c:pt idx="50">
                  <c:v>0.77085533971897768</c:v>
                </c:pt>
                <c:pt idx="51">
                  <c:v>0.79045534380082305</c:v>
                </c:pt>
                <c:pt idx="52">
                  <c:v>0.808854866225449</c:v>
                </c:pt>
                <c:pt idx="53">
                  <c:v>0.82606411224613607</c:v>
                </c:pt>
                <c:pt idx="54">
                  <c:v>0.84210288000732969</c:v>
                </c:pt>
                <c:pt idx="55">
                  <c:v>0.85699927645388052</c:v>
                </c:pt>
                <c:pt idx="56">
                  <c:v>0.87078844365875419</c:v>
                </c:pt>
                <c:pt idx="57">
                  <c:v>0.8835113217547268</c:v>
                </c:pt>
                <c:pt idx="58">
                  <c:v>0.89521346981760264</c:v>
                </c:pt>
                <c:pt idx="59">
                  <c:v>0.90594396135523703</c:v>
                </c:pt>
                <c:pt idx="60">
                  <c:v>0.91575436664229093</c:v>
                </c:pt>
                <c:pt idx="61">
                  <c:v>0.92469783010356155</c:v>
                </c:pt>
                <c:pt idx="62">
                  <c:v>0.93282824735459391</c:v>
                </c:pt>
                <c:pt idx="63">
                  <c:v>0.94019954339386669</c:v>
                </c:pt>
                <c:pt idx="64">
                  <c:v>0.94686505081849837</c:v>
                </c:pt>
                <c:pt idx="65">
                  <c:v>0.95287698479743466</c:v>
                </c:pt>
                <c:pt idx="66">
                  <c:v>0.95828600985925527</c:v>
                </c:pt>
                <c:pt idx="67">
                  <c:v>0.96314089230135558</c:v>
                </c:pt>
                <c:pt idx="68">
                  <c:v>0.96748823116093885</c:v>
                </c:pt>
                <c:pt idx="69">
                  <c:v>0.9713722601590794</c:v>
                </c:pt>
                <c:pt idx="70">
                  <c:v>0.97483471278834466</c:v>
                </c:pt>
                <c:pt idx="71">
                  <c:v>0.9779147427137751</c:v>
                </c:pt>
                <c:pt idx="72">
                  <c:v>0.98064889185007265</c:v>
                </c:pt>
                <c:pt idx="73">
                  <c:v>0.98307109882161481</c:v>
                </c:pt>
                <c:pt idx="74">
                  <c:v>0.98521274096741385</c:v>
                </c:pt>
                <c:pt idx="75">
                  <c:v>0.98710270358597307</c:v>
                </c:pt>
                <c:pt idx="76">
                  <c:v>0.98876747069550275</c:v>
                </c:pt>
                <c:pt idx="77">
                  <c:v>0.9902312321882023</c:v>
                </c:pt>
                <c:pt idx="78">
                  <c:v>0.99151600286290531</c:v>
                </c:pt>
                <c:pt idx="79">
                  <c:v>0.99264174941210892</c:v>
                </c:pt>
                <c:pt idx="80">
                  <c:v>0.99362652200489976</c:v>
                </c:pt>
                <c:pt idx="81">
                  <c:v>0.99448658763752595</c:v>
                </c:pt>
                <c:pt idx="82">
                  <c:v>0.99523656291224527</c:v>
                </c:pt>
                <c:pt idx="83">
                  <c:v>0.99588954434897003</c:v>
                </c:pt>
                <c:pt idx="84">
                  <c:v>0.99645723473149428</c:v>
                </c:pt>
                <c:pt idx="85">
                  <c:v>0.9969500643407373</c:v>
                </c:pt>
                <c:pt idx="86">
                  <c:v>0.99737730623272114</c:v>
                </c:pt>
                <c:pt idx="87">
                  <c:v>0.99774718498112225</c:v>
                </c:pt>
                <c:pt idx="88">
                  <c:v>0.99806697852604642</c:v>
                </c:pt>
                <c:pt idx="89">
                  <c:v>0.99834311295546985</c:v>
                </c:pt>
                <c:pt idx="90">
                  <c:v>0.99858125019709376</c:v>
                </c:pt>
                <c:pt idx="91">
                  <c:v>0.99878636871977899</c:v>
                </c:pt>
                <c:pt idx="92">
                  <c:v>0.99896283743883885</c:v>
                </c:pt>
                <c:pt idx="93">
                  <c:v>0.99911448309172513</c:v>
                </c:pt>
                <c:pt idx="94">
                  <c:v>0.99924465140327723</c:v>
                </c:pt>
                <c:pt idx="95">
                  <c:v>0.99935626239575581</c:v>
                </c:pt>
                <c:pt idx="96">
                  <c:v>0.99945186022107779</c:v>
                </c:pt>
                <c:pt idx="97">
                  <c:v>0.99953365790349324</c:v>
                </c:pt>
                <c:pt idx="98">
                  <c:v>0.99960357738259109</c:v>
                </c:pt>
                <c:pt idx="99">
                  <c:v>0.9996632852408972</c:v>
                </c:pt>
                <c:pt idx="100">
                  <c:v>0.99971422448911762</c:v>
                </c:pt>
                <c:pt idx="101">
                  <c:v>0.99975764276668522</c:v>
                </c:pt>
                <c:pt idx="102">
                  <c:v>0.99979461729689845</c:v>
                </c:pt>
                <c:pt idx="103">
                  <c:v>0.99982607691558933</c:v>
                </c:pt>
                <c:pt idx="104">
                  <c:v>0.99985282147075272</c:v>
                </c:pt>
                <c:pt idx="105">
                  <c:v>0.9998755388685564</c:v>
                </c:pt>
                <c:pt idx="106">
                  <c:v>0.9998948200191774</c:v>
                </c:pt>
                <c:pt idx="107">
                  <c:v>0.99991117191435885</c:v>
                </c:pt>
                <c:pt idx="108">
                  <c:v>0.9999250290477838</c:v>
                </c:pt>
                <c:pt idx="109">
                  <c:v>0.99993676336951698</c:v>
                </c:pt>
                <c:pt idx="110">
                  <c:v>0.9999466929470453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4-425E-B90B-57B3BA678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Call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Gamma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Gamma!$D$3:$D$113</c:f>
              <c:numCache>
                <c:formatCode>General</c:formatCode>
                <c:ptCount val="1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</c:numCache>
            </c:numRef>
          </c:cat>
          <c:val>
            <c:numRef>
              <c:f>Gamma!$N$3:$N$113</c:f>
              <c:numCache>
                <c:formatCode>#,##0.0000</c:formatCode>
                <c:ptCount val="111"/>
                <c:pt idx="0">
                  <c:v>2.8706637433026914E-5</c:v>
                </c:pt>
                <c:pt idx="1">
                  <c:v>4.6560330058405128E-5</c:v>
                </c:pt>
                <c:pt idx="2">
                  <c:v>7.3556504892354784E-5</c:v>
                </c:pt>
                <c:pt idx="3">
                  <c:v>1.1333695206784461E-4</c:v>
                </c:pt>
                <c:pt idx="4">
                  <c:v>1.7053131838317098E-4</c:v>
                </c:pt>
                <c:pt idx="5">
                  <c:v>2.5085421432863205E-4</c:v>
                </c:pt>
                <c:pt idx="6">
                  <c:v>3.6115543578981401E-4</c:v>
                </c:pt>
                <c:pt idx="7">
                  <c:v>5.0940613219417987E-4</c:v>
                </c:pt>
                <c:pt idx="8">
                  <c:v>7.0460597134975537E-4</c:v>
                </c:pt>
                <c:pt idx="9">
                  <c:v>9.5660058773894871E-4</c:v>
                </c:pt>
                <c:pt idx="10">
                  <c:v>1.2758046494409478E-3</c:v>
                </c:pt>
                <c:pt idx="11">
                  <c:v>1.6728332788382635E-3</c:v>
                </c:pt>
                <c:pt idx="12">
                  <c:v>2.1580526448989686E-3</c:v>
                </c:pt>
                <c:pt idx="13">
                  <c:v>2.7410685105329923E-3</c:v>
                </c:pt>
                <c:pt idx="14">
                  <c:v>3.4301785352328722E-3</c:v>
                </c:pt>
                <c:pt idx="15">
                  <c:v>4.2318194397392766E-3</c:v>
                </c:pt>
                <c:pt idx="16">
                  <c:v>5.1500431387628779E-3</c:v>
                </c:pt>
                <c:pt idx="17">
                  <c:v>6.1860562771480941E-3</c:v>
                </c:pt>
                <c:pt idx="18">
                  <c:v>7.3378551745109525E-3</c:v>
                </c:pt>
                <c:pt idx="19">
                  <c:v>8.599983180029672E-3</c:v>
                </c:pt>
                <c:pt idx="20">
                  <c:v>9.9634302963122808E-3</c:v>
                </c:pt>
                <c:pt idx="21">
                  <c:v>1.1415686273182304E-2</c:v>
                </c:pt>
                <c:pt idx="22">
                  <c:v>1.2940948939360436E-2</c:v>
                </c:pt>
                <c:pt idx="23">
                  <c:v>1.4520480108380947E-2</c:v>
                </c:pt>
                <c:pt idx="24">
                  <c:v>1.6133092698294216E-2</c:v>
                </c:pt>
                <c:pt idx="25">
                  <c:v>1.775574536790506E-2</c:v>
                </c:pt>
                <c:pt idx="26">
                  <c:v>1.9364215463734086E-2</c:v>
                </c:pt>
                <c:pt idx="27">
                  <c:v>2.0933817675346356E-2</c:v>
                </c:pt>
                <c:pt idx="28">
                  <c:v>2.2440134604910948E-2</c:v>
                </c:pt>
                <c:pt idx="29">
                  <c:v>2.3859726383845221E-2</c:v>
                </c:pt>
                <c:pt idx="30">
                  <c:v>2.517078927768257E-2</c:v>
                </c:pt>
                <c:pt idx="31">
                  <c:v>2.6353737558250163E-2</c:v>
                </c:pt>
                <c:pt idx="32">
                  <c:v>2.739168836631875E-2</c:v>
                </c:pt>
                <c:pt idx="33">
                  <c:v>2.8270835385090426E-2</c:v>
                </c:pt>
                <c:pt idx="34">
                  <c:v>2.8980703451407821E-2</c:v>
                </c:pt>
                <c:pt idx="35">
                  <c:v>2.9514282344789693E-2</c:v>
                </c:pt>
                <c:pt idx="36">
                  <c:v>2.9868043576575427E-2</c:v>
                </c:pt>
                <c:pt idx="37">
                  <c:v>3.0041848794443826E-2</c:v>
                </c:pt>
                <c:pt idx="38">
                  <c:v>3.0038762248915531E-2</c:v>
                </c:pt>
                <c:pt idx="39">
                  <c:v>2.9864782550000475E-2</c:v>
                </c:pt>
                <c:pt idx="40">
                  <c:v>2.95285106625831E-2</c:v>
                </c:pt>
                <c:pt idx="41">
                  <c:v>2.9040771802186168E-2</c:v>
                </c:pt>
                <c:pt idx="42">
                  <c:v>2.8414208702905355E-2</c:v>
                </c:pt>
                <c:pt idx="43">
                  <c:v>2.7662862776520764E-2</c:v>
                </c:pt>
                <c:pt idx="44">
                  <c:v>2.6801758126613267E-2</c:v>
                </c:pt>
                <c:pt idx="45">
                  <c:v>2.5846501391585695E-2</c:v>
                </c:pt>
                <c:pt idx="46">
                  <c:v>2.4812908129176515E-2</c:v>
                </c:pt>
                <c:pt idx="47">
                  <c:v>2.3716664072538144E-2</c:v>
                </c:pt>
                <c:pt idx="48">
                  <c:v>2.2573027214928484E-2</c:v>
                </c:pt>
                <c:pt idx="49">
                  <c:v>2.1396574423899781E-2</c:v>
                </c:pt>
                <c:pt idx="50">
                  <c:v>2.0200994228993439E-2</c:v>
                </c:pt>
                <c:pt idx="51">
                  <c:v>1.8998925627069004E-2</c:v>
                </c:pt>
                <c:pt idx="52">
                  <c:v>1.7801841241156018E-2</c:v>
                </c:pt>
                <c:pt idx="53">
                  <c:v>1.6619971966364208E-2</c:v>
                </c:pt>
                <c:pt idx="54">
                  <c:v>1.5462269337057206E-2</c:v>
                </c:pt>
                <c:pt idx="55">
                  <c:v>1.4336401236777825E-2</c:v>
                </c:pt>
                <c:pt idx="56">
                  <c:v>1.3248776219918362E-2</c:v>
                </c:pt>
                <c:pt idx="57">
                  <c:v>1.2204591588834376E-2</c:v>
                </c:pt>
                <c:pt idx="58">
                  <c:v>1.1207900435333262E-2</c:v>
                </c:pt>
                <c:pt idx="59">
                  <c:v>1.0261693073437866E-2</c:v>
                </c:pt>
                <c:pt idx="60">
                  <c:v>9.3679886241536912E-3</c:v>
                </c:pt>
                <c:pt idx="61">
                  <c:v>8.527932928229464E-3</c:v>
                </c:pt>
                <c:pt idx="62">
                  <c:v>7.7418994286932068E-3</c:v>
                </c:pt>
                <c:pt idx="63">
                  <c:v>7.009590154547528E-3</c:v>
                </c:pt>
                <c:pt idx="64">
                  <c:v>6.3301344281781234E-3</c:v>
                </c:pt>
                <c:pt idx="65">
                  <c:v>5.7021833940288551E-3</c:v>
                </c:pt>
                <c:pt idx="66">
                  <c:v>5.1239989114789811E-3</c:v>
                </c:pt>
                <c:pt idx="67">
                  <c:v>4.5935357611175823E-3</c:v>
                </c:pt>
                <c:pt idx="68">
                  <c:v>4.1085164747144323E-3</c:v>
                </c:pt>
                <c:pt idx="69">
                  <c:v>3.6664984120683931E-3</c:v>
                </c:pt>
                <c:pt idx="70">
                  <c:v>3.264932971939792E-3</c:v>
                </c:pt>
                <c:pt idx="71">
                  <c:v>2.9012170407267048E-3</c:v>
                </c:pt>
                <c:pt idx="72">
                  <c:v>2.5727369541513703E-3</c:v>
                </c:pt>
                <c:pt idx="73">
                  <c:v>2.2769053777156475E-3</c:v>
                </c:pt>
                <c:pt idx="74">
                  <c:v>2.0111916054351936E-3</c:v>
                </c:pt>
                <c:pt idx="75">
                  <c:v>1.7731458380676698E-3</c:v>
                </c:pt>
                <c:pt idx="76">
                  <c:v>1.5604180364819681E-3</c:v>
                </c:pt>
                <c:pt idx="77">
                  <c:v>1.3707719576234389E-3</c:v>
                </c:pt>
                <c:pt idx="78">
                  <c:v>1.2020949740993551E-3</c:v>
                </c:pt>
                <c:pt idx="79">
                  <c:v>1.0524042577607115E-3</c:v>
                </c:pt>
                <c:pt idx="80">
                  <c:v>9.1984987638710019E-4</c:v>
                </c:pt>
                <c:pt idx="81">
                  <c:v>8.0271531383226298E-4</c:v>
                </c:pt>
                <c:pt idx="82">
                  <c:v>6.9941588044038542E-4</c:v>
                </c:pt>
                <c:pt idx="83">
                  <c:v>6.0849543443251494E-4</c:v>
                </c:pt>
                <c:pt idx="84">
                  <c:v>5.2862178810437783E-4</c:v>
                </c:pt>
                <c:pt idx="85">
                  <c:v>4.5858112650422778E-4</c:v>
                </c:pt>
                <c:pt idx="86">
                  <c:v>3.9727172186326674E-4</c:v>
                </c:pt>
                <c:pt idx="87">
                  <c:v>3.4369718522487853E-4</c:v>
                </c:pt>
                <c:pt idx="88">
                  <c:v>2.9695945800178641E-4</c:v>
                </c:pt>
                <c:pt idx="89">
                  <c:v>2.5625171090958319E-4</c:v>
                </c:pt>
                <c:pt idx="90">
                  <c:v>2.2085128603593158E-4</c:v>
                </c:pt>
                <c:pt idx="91">
                  <c:v>1.9011278972510027E-4</c:v>
                </c:pt>
                <c:pt idx="92">
                  <c:v>1.6346141940041424E-4</c:v>
                </c:pt>
                <c:pt idx="93">
                  <c:v>1.4038658624790132E-4</c:v>
                </c:pt>
                <c:pt idx="94">
                  <c:v>1.2043587762379606E-4</c:v>
                </c:pt>
                <c:pt idx="95">
                  <c:v>1.0320938787279024E-4</c:v>
                </c:pt>
                <c:pt idx="96">
                  <c:v>8.8354433679786881E-5</c:v>
                </c:pt>
                <c:pt idx="97">
                  <c:v>7.5560659845885683E-5</c:v>
                </c:pt>
                <c:pt idx="98">
                  <c:v>6.4555533202849326E-5</c:v>
                </c:pt>
                <c:pt idx="99">
                  <c:v>5.5100215993139198E-5</c:v>
                </c:pt>
                <c:pt idx="100">
                  <c:v>4.6985805193967726E-5</c:v>
                </c:pt>
                <c:pt idx="101">
                  <c:v>4.00299207216321E-5</c:v>
                </c:pt>
                <c:pt idx="102">
                  <c:v>3.4073623005391312E-5</c:v>
                </c:pt>
                <c:pt idx="103">
                  <c:v>2.8978638878599576E-5</c:v>
                </c:pt>
                <c:pt idx="104">
                  <c:v>2.4624873930642145E-5</c:v>
                </c:pt>
                <c:pt idx="105">
                  <c:v>2.0908189249268387E-5</c:v>
                </c:pt>
                <c:pt idx="106">
                  <c:v>1.7738420731916973E-5</c:v>
                </c:pt>
                <c:pt idx="107">
                  <c:v>1.5037619747760308E-5</c:v>
                </c:pt>
                <c:pt idx="108">
                  <c:v>1.2738494797527355E-5</c:v>
                </c:pt>
                <c:pt idx="109">
                  <c:v>1.0783034868970882E-5</c:v>
                </c:pt>
                <c:pt idx="110">
                  <c:v>9.1212963589295551E-6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5-4932-8B5C-F05787D5B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  <c:max val="3.1000000000000007E-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Theta!$S$3:$S$113</c:f>
              <c:numCache>
                <c:formatCode>0</c:formatCode>
                <c:ptCount val="111"/>
                <c:pt idx="0">
                  <c:v>1E-4</c:v>
                </c:pt>
                <c:pt idx="1">
                  <c:v>9.5100000000000004E-2</c:v>
                </c:pt>
                <c:pt idx="2">
                  <c:v>0.19009999999999999</c:v>
                </c:pt>
                <c:pt idx="3">
                  <c:v>0.28510000000000002</c:v>
                </c:pt>
                <c:pt idx="4">
                  <c:v>0.38009999999999999</c:v>
                </c:pt>
                <c:pt idx="5">
                  <c:v>0.47509999999999997</c:v>
                </c:pt>
                <c:pt idx="6">
                  <c:v>0.57009999999999994</c:v>
                </c:pt>
                <c:pt idx="7">
                  <c:v>0.66509999999999991</c:v>
                </c:pt>
                <c:pt idx="8">
                  <c:v>0.76009999999999989</c:v>
                </c:pt>
                <c:pt idx="9">
                  <c:v>0.85509999999999986</c:v>
                </c:pt>
                <c:pt idx="10">
                  <c:v>0.95009999999999983</c:v>
                </c:pt>
                <c:pt idx="11">
                  <c:v>1.0450999999999999</c:v>
                </c:pt>
                <c:pt idx="12">
                  <c:v>1.1400999999999999</c:v>
                </c:pt>
                <c:pt idx="13">
                  <c:v>1.2350999999999999</c:v>
                </c:pt>
                <c:pt idx="14">
                  <c:v>1.3300999999999998</c:v>
                </c:pt>
                <c:pt idx="15">
                  <c:v>1.4250999999999998</c:v>
                </c:pt>
                <c:pt idx="16">
                  <c:v>1.5200999999999998</c:v>
                </c:pt>
                <c:pt idx="17">
                  <c:v>1.6150999999999998</c:v>
                </c:pt>
                <c:pt idx="18">
                  <c:v>1.7100999999999997</c:v>
                </c:pt>
                <c:pt idx="19">
                  <c:v>1.8050999999999997</c:v>
                </c:pt>
                <c:pt idx="20">
                  <c:v>1.9000999999999997</c:v>
                </c:pt>
                <c:pt idx="21">
                  <c:v>1.9950999999999997</c:v>
                </c:pt>
                <c:pt idx="22">
                  <c:v>2.0900999999999996</c:v>
                </c:pt>
                <c:pt idx="23">
                  <c:v>2.1850999999999998</c:v>
                </c:pt>
                <c:pt idx="24">
                  <c:v>2.2801</c:v>
                </c:pt>
                <c:pt idx="25">
                  <c:v>2.3751000000000002</c:v>
                </c:pt>
                <c:pt idx="26">
                  <c:v>2.4701000000000004</c:v>
                </c:pt>
                <c:pt idx="27">
                  <c:v>2.5651000000000006</c:v>
                </c:pt>
                <c:pt idx="28">
                  <c:v>2.6601000000000008</c:v>
                </c:pt>
                <c:pt idx="29">
                  <c:v>2.755100000000001</c:v>
                </c:pt>
                <c:pt idx="30">
                  <c:v>2.8501000000000012</c:v>
                </c:pt>
                <c:pt idx="31">
                  <c:v>2.9451000000000014</c:v>
                </c:pt>
                <c:pt idx="32">
                  <c:v>3.0401000000000016</c:v>
                </c:pt>
                <c:pt idx="33">
                  <c:v>3.1351000000000018</c:v>
                </c:pt>
                <c:pt idx="34">
                  <c:v>3.230100000000002</c:v>
                </c:pt>
                <c:pt idx="35">
                  <c:v>3.3251000000000022</c:v>
                </c:pt>
                <c:pt idx="36">
                  <c:v>3.4201000000000024</c:v>
                </c:pt>
                <c:pt idx="37">
                  <c:v>3.5151000000000026</c:v>
                </c:pt>
                <c:pt idx="38">
                  <c:v>3.6101000000000028</c:v>
                </c:pt>
                <c:pt idx="39">
                  <c:v>3.7051000000000029</c:v>
                </c:pt>
                <c:pt idx="40">
                  <c:v>3.8001000000000031</c:v>
                </c:pt>
                <c:pt idx="41">
                  <c:v>3.8951000000000033</c:v>
                </c:pt>
                <c:pt idx="42">
                  <c:v>3.9901000000000035</c:v>
                </c:pt>
                <c:pt idx="43">
                  <c:v>4.0851000000000033</c:v>
                </c:pt>
                <c:pt idx="44">
                  <c:v>4.180100000000003</c:v>
                </c:pt>
                <c:pt idx="45">
                  <c:v>4.2751000000000028</c:v>
                </c:pt>
                <c:pt idx="46">
                  <c:v>4.3701000000000025</c:v>
                </c:pt>
                <c:pt idx="47">
                  <c:v>4.4651000000000023</c:v>
                </c:pt>
                <c:pt idx="48">
                  <c:v>4.560100000000002</c:v>
                </c:pt>
                <c:pt idx="49">
                  <c:v>4.6551000000000018</c:v>
                </c:pt>
                <c:pt idx="50">
                  <c:v>4.7501000000000015</c:v>
                </c:pt>
                <c:pt idx="51">
                  <c:v>4.8451000000000013</c:v>
                </c:pt>
                <c:pt idx="52">
                  <c:v>4.940100000000001</c:v>
                </c:pt>
                <c:pt idx="53">
                  <c:v>5.0351000000000008</c:v>
                </c:pt>
                <c:pt idx="54">
                  <c:v>5.1301000000000005</c:v>
                </c:pt>
                <c:pt idx="55">
                  <c:v>5.2251000000000003</c:v>
                </c:pt>
                <c:pt idx="56">
                  <c:v>5.3201000000000001</c:v>
                </c:pt>
                <c:pt idx="57">
                  <c:v>5.4150999999999998</c:v>
                </c:pt>
                <c:pt idx="58">
                  <c:v>5.5100999999999996</c:v>
                </c:pt>
                <c:pt idx="59">
                  <c:v>5.6050999999999993</c:v>
                </c:pt>
                <c:pt idx="60">
                  <c:v>5.7000999999999991</c:v>
                </c:pt>
                <c:pt idx="61">
                  <c:v>5.7950999999999988</c:v>
                </c:pt>
                <c:pt idx="62">
                  <c:v>5.8900999999999986</c:v>
                </c:pt>
                <c:pt idx="63">
                  <c:v>5.9850999999999983</c:v>
                </c:pt>
                <c:pt idx="64">
                  <c:v>6.0800999999999981</c:v>
                </c:pt>
                <c:pt idx="65">
                  <c:v>6.1750999999999978</c:v>
                </c:pt>
                <c:pt idx="66">
                  <c:v>6.2700999999999976</c:v>
                </c:pt>
                <c:pt idx="67">
                  <c:v>6.3650999999999973</c:v>
                </c:pt>
                <c:pt idx="68">
                  <c:v>6.4600999999999971</c:v>
                </c:pt>
                <c:pt idx="69">
                  <c:v>6.5550999999999968</c:v>
                </c:pt>
                <c:pt idx="70">
                  <c:v>6.6500999999999966</c:v>
                </c:pt>
                <c:pt idx="71">
                  <c:v>6.7450999999999963</c:v>
                </c:pt>
                <c:pt idx="72">
                  <c:v>6.8400999999999961</c:v>
                </c:pt>
                <c:pt idx="73">
                  <c:v>6.9350999999999958</c:v>
                </c:pt>
                <c:pt idx="74">
                  <c:v>7.0300999999999956</c:v>
                </c:pt>
                <c:pt idx="75">
                  <c:v>7.1250999999999953</c:v>
                </c:pt>
                <c:pt idx="76">
                  <c:v>7.2200999999999951</c:v>
                </c:pt>
                <c:pt idx="77">
                  <c:v>7.3150999999999948</c:v>
                </c:pt>
                <c:pt idx="78">
                  <c:v>7.4100999999999946</c:v>
                </c:pt>
                <c:pt idx="79">
                  <c:v>7.5050999999999943</c:v>
                </c:pt>
                <c:pt idx="80">
                  <c:v>7.6000999999999941</c:v>
                </c:pt>
                <c:pt idx="81">
                  <c:v>7.6950999999999938</c:v>
                </c:pt>
                <c:pt idx="82">
                  <c:v>7.7900999999999936</c:v>
                </c:pt>
                <c:pt idx="83">
                  <c:v>7.8850999999999933</c:v>
                </c:pt>
                <c:pt idx="84">
                  <c:v>7.9800999999999931</c:v>
                </c:pt>
                <c:pt idx="85">
                  <c:v>8.0750999999999937</c:v>
                </c:pt>
                <c:pt idx="86">
                  <c:v>8.1700999999999944</c:v>
                </c:pt>
                <c:pt idx="87">
                  <c:v>8.265099999999995</c:v>
                </c:pt>
                <c:pt idx="88">
                  <c:v>8.3600999999999956</c:v>
                </c:pt>
                <c:pt idx="89">
                  <c:v>8.4550999999999963</c:v>
                </c:pt>
                <c:pt idx="90">
                  <c:v>8.5500999999999969</c:v>
                </c:pt>
                <c:pt idx="91">
                  <c:v>8.6450999999999976</c:v>
                </c:pt>
                <c:pt idx="92">
                  <c:v>8.7400999999999982</c:v>
                </c:pt>
                <c:pt idx="93">
                  <c:v>8.8350999999999988</c:v>
                </c:pt>
                <c:pt idx="94">
                  <c:v>8.9300999999999995</c:v>
                </c:pt>
                <c:pt idx="95">
                  <c:v>9.0251000000000001</c:v>
                </c:pt>
                <c:pt idx="96">
                  <c:v>9.1201000000000008</c:v>
                </c:pt>
                <c:pt idx="97">
                  <c:v>9.2151000000000014</c:v>
                </c:pt>
                <c:pt idx="98">
                  <c:v>9.310100000000002</c:v>
                </c:pt>
                <c:pt idx="99">
                  <c:v>9.4051000000000027</c:v>
                </c:pt>
                <c:pt idx="100">
                  <c:v>9.5001000000000033</c:v>
                </c:pt>
                <c:pt idx="101">
                  <c:v>9.595100000000004</c:v>
                </c:pt>
                <c:pt idx="102">
                  <c:v>9.6901000000000046</c:v>
                </c:pt>
                <c:pt idx="103">
                  <c:v>9.7851000000000052</c:v>
                </c:pt>
                <c:pt idx="104">
                  <c:v>9.8801000000000059</c:v>
                </c:pt>
                <c:pt idx="105">
                  <c:v>9.9751000000000065</c:v>
                </c:pt>
                <c:pt idx="106">
                  <c:v>10.070100000000007</c:v>
                </c:pt>
                <c:pt idx="107">
                  <c:v>10.165100000000008</c:v>
                </c:pt>
                <c:pt idx="108">
                  <c:v>10.260100000000008</c:v>
                </c:pt>
                <c:pt idx="109">
                  <c:v>10.355100000000009</c:v>
                </c:pt>
                <c:pt idx="110">
                  <c:v>10.45010000000001</c:v>
                </c:pt>
              </c:numCache>
            </c:numRef>
          </c:cat>
          <c:val>
            <c:numRef>
              <c:f>Theta!$K$3:$K$113</c:f>
              <c:numCache>
                <c:formatCode>0.00</c:formatCode>
                <c:ptCount val="111"/>
                <c:pt idx="0">
                  <c:v>6.0342364540566962E-2</c:v>
                </c:pt>
                <c:pt idx="1">
                  <c:v>2.3484217764397428</c:v>
                </c:pt>
                <c:pt idx="2">
                  <c:v>3.6339648845994716</c:v>
                </c:pt>
                <c:pt idx="3">
                  <c:v>4.7521721701959194</c:v>
                </c:pt>
                <c:pt idx="4">
                  <c:v>5.7853126506861585</c:v>
                </c:pt>
                <c:pt idx="5">
                  <c:v>6.7645710528942118</c:v>
                </c:pt>
                <c:pt idx="6">
                  <c:v>7.7055910879981226</c:v>
                </c:pt>
                <c:pt idx="7">
                  <c:v>8.6174566117461069</c:v>
                </c:pt>
                <c:pt idx="8">
                  <c:v>9.5059494701237384</c:v>
                </c:pt>
                <c:pt idx="9">
                  <c:v>10.374990967014995</c:v>
                </c:pt>
                <c:pt idx="10">
                  <c:v>11.227367779423034</c:v>
                </c:pt>
                <c:pt idx="11">
                  <c:v>12.065132772769516</c:v>
                </c:pt>
                <c:pt idx="12">
                  <c:v>12.889842167473518</c:v>
                </c:pt>
                <c:pt idx="13">
                  <c:v>13.702703667925704</c:v>
                </c:pt>
                <c:pt idx="14">
                  <c:v>14.504673090124598</c:v>
                </c:pt>
                <c:pt idx="15">
                  <c:v>15.296519686462105</c:v>
                </c:pt>
                <c:pt idx="16">
                  <c:v>16.078871648383142</c:v>
                </c:pt>
                <c:pt idx="17">
                  <c:v>16.852248616391265</c:v>
                </c:pt>
                <c:pt idx="18">
                  <c:v>17.617085419359185</c:v>
                </c:pt>
                <c:pt idx="19">
                  <c:v>18.373749740645508</c:v>
                </c:pt>
                <c:pt idx="20">
                  <c:v>19.122555484493844</c:v>
                </c:pt>
                <c:pt idx="21">
                  <c:v>19.863773038250002</c:v>
                </c:pt>
                <c:pt idx="22">
                  <c:v>20.597637254346608</c:v>
                </c:pt>
                <c:pt idx="23">
                  <c:v>21.324353731194378</c:v>
                </c:pt>
                <c:pt idx="24">
                  <c:v>22.044103807279043</c:v>
                </c:pt>
                <c:pt idx="25">
                  <c:v>22.757048569582921</c:v>
                </c:pt>
                <c:pt idx="26">
                  <c:v>23.463332098354684</c:v>
                </c:pt>
                <c:pt idx="27">
                  <c:v>24.163084114085393</c:v>
                </c:pt>
                <c:pt idx="28">
                  <c:v>24.856422152079055</c:v>
                </c:pt>
                <c:pt idx="29">
                  <c:v>25.54345336045381</c:v>
                </c:pt>
                <c:pt idx="30">
                  <c:v>26.224275995563978</c:v>
                </c:pt>
                <c:pt idx="31">
                  <c:v>26.898980672500194</c:v>
                </c:pt>
                <c:pt idx="32">
                  <c:v>27.567651415985758</c:v>
                </c:pt>
                <c:pt idx="33">
                  <c:v>28.230366547573212</c:v>
                </c:pt>
                <c:pt idx="34">
                  <c:v>28.887199437800277</c:v>
                </c:pt>
                <c:pt idx="35">
                  <c:v>29.538219146338527</c:v>
                </c:pt>
                <c:pt idx="36">
                  <c:v>30.183490968767586</c:v>
                </c:pt>
                <c:pt idx="37">
                  <c:v>30.823076905139786</c:v>
                </c:pt>
                <c:pt idx="38">
                  <c:v>31.457036062746759</c:v>
                </c:pt>
                <c:pt idx="39">
                  <c:v>32.085425003301232</c:v>
                </c:pt>
                <c:pt idx="40">
                  <c:v>32.708298042980267</c:v>
                </c:pt>
                <c:pt idx="41">
                  <c:v>33.325707512347762</c:v>
                </c:pt>
                <c:pt idx="42">
                  <c:v>33.93770398201336</c:v>
                </c:pt>
                <c:pt idx="43">
                  <c:v>34.544336458936989</c:v>
                </c:pt>
                <c:pt idx="44">
                  <c:v>35.145652557509379</c:v>
                </c:pt>
                <c:pt idx="45">
                  <c:v>35.741698648897739</c:v>
                </c:pt>
                <c:pt idx="46">
                  <c:v>36.332519991613331</c:v>
                </c:pt>
                <c:pt idx="47">
                  <c:v>36.918160845816502</c:v>
                </c:pt>
                <c:pt idx="48">
                  <c:v>37.498664573504421</c:v>
                </c:pt>
                <c:pt idx="49">
                  <c:v>38.074073726418419</c:v>
                </c:pt>
                <c:pt idx="50">
                  <c:v>38.644430123246288</c:v>
                </c:pt>
                <c:pt idx="51">
                  <c:v>39.209774917476466</c:v>
                </c:pt>
                <c:pt idx="52">
                  <c:v>39.770148657073754</c:v>
                </c:pt>
                <c:pt idx="53">
                  <c:v>40.325591336989177</c:v>
                </c:pt>
                <c:pt idx="54">
                  <c:v>40.876142445381191</c:v>
                </c:pt>
                <c:pt idx="55">
                  <c:v>41.421841004310743</c:v>
                </c:pt>
                <c:pt idx="56">
                  <c:v>41.962725605573972</c:v>
                </c:pt>
                <c:pt idx="57">
                  <c:v>42.498834442251912</c:v>
                </c:pt>
                <c:pt idx="58">
                  <c:v>43.030205336483071</c:v>
                </c:pt>
                <c:pt idx="59">
                  <c:v>43.556875763902816</c:v>
                </c:pt>
                <c:pt idx="60">
                  <c:v>44.078882875137602</c:v>
                </c:pt>
                <c:pt idx="61">
                  <c:v>44.596263514696403</c:v>
                </c:pt>
                <c:pt idx="62">
                  <c:v>45.10905423755959</c:v>
                </c:pt>
                <c:pt idx="63">
                  <c:v>45.617291323730093</c:v>
                </c:pt>
                <c:pt idx="64">
                  <c:v>46.121010790980989</c:v>
                </c:pt>
                <c:pt idx="65">
                  <c:v>46.62024840600543</c:v>
                </c:pt>
                <c:pt idx="66">
                  <c:v>47.115039694152166</c:v>
                </c:pt>
                <c:pt idx="67">
                  <c:v>47.605419947907926</c:v>
                </c:pt>
                <c:pt idx="68">
                  <c:v>48.091424234270399</c:v>
                </c:pt>
                <c:pt idx="69">
                  <c:v>48.573087401138928</c:v>
                </c:pt>
                <c:pt idx="70">
                  <c:v>49.050444082835909</c:v>
                </c:pt>
                <c:pt idx="71">
                  <c:v>49.523528704859267</c:v>
                </c:pt>
                <c:pt idx="72">
                  <c:v>49.992375487955584</c:v>
                </c:pt>
                <c:pt idx="73">
                  <c:v>50.45701845159315</c:v>
                </c:pt>
                <c:pt idx="74">
                  <c:v>50.917491416905989</c:v>
                </c:pt>
                <c:pt idx="75">
                  <c:v>51.373828009171731</c:v>
                </c:pt>
                <c:pt idx="76">
                  <c:v>51.826061659879947</c:v>
                </c:pt>
                <c:pt idx="77">
                  <c:v>52.274225608440567</c:v>
                </c:pt>
                <c:pt idx="78">
                  <c:v>52.718352903577966</c:v>
                </c:pt>
                <c:pt idx="79">
                  <c:v>53.158476404449885</c:v>
                </c:pt>
                <c:pt idx="80">
                  <c:v>53.594628781527142</c:v>
                </c:pt>
                <c:pt idx="81">
                  <c:v>54.026842517266083</c:v>
                </c:pt>
                <c:pt idx="82">
                  <c:v>54.455149906601939</c:v>
                </c:pt>
                <c:pt idx="83">
                  <c:v>54.879583057288507</c:v>
                </c:pt>
                <c:pt idx="84">
                  <c:v>55.300173890106599</c:v>
                </c:pt>
                <c:pt idx="85">
                  <c:v>55.716954138961739</c:v>
                </c:pt>
                <c:pt idx="86">
                  <c:v>56.129955350888459</c:v>
                </c:pt>
                <c:pt idx="87">
                  <c:v>56.539208885977949</c:v>
                </c:pt>
                <c:pt idx="88">
                  <c:v>56.944745917242486</c:v>
                </c:pt>
                <c:pt idx="89">
                  <c:v>57.346597430429782</c:v>
                </c:pt>
                <c:pt idx="90">
                  <c:v>57.744794223798351</c:v>
                </c:pt>
                <c:pt idx="91">
                  <c:v>58.13936690786371</c:v>
                </c:pt>
                <c:pt idx="92">
                  <c:v>58.530345905124406</c:v>
                </c:pt>
                <c:pt idx="93">
                  <c:v>58.917761449775476</c:v>
                </c:pt>
                <c:pt idx="94">
                  <c:v>59.301643587416322</c:v>
                </c:pt>
                <c:pt idx="95">
                  <c:v>59.682022174758927</c:v>
                </c:pt>
                <c:pt idx="96">
                  <c:v>60.058926879341897</c:v>
                </c:pt>
                <c:pt idx="97">
                  <c:v>60.432387179254491</c:v>
                </c:pt>
                <c:pt idx="98">
                  <c:v>60.802432362875408</c:v>
                </c:pt>
                <c:pt idx="99">
                  <c:v>61.169091528628918</c:v>
                </c:pt>
                <c:pt idx="100">
                  <c:v>61.532393584762204</c:v>
                </c:pt>
                <c:pt idx="101">
                  <c:v>61.892367249145785</c:v>
                </c:pt>
                <c:pt idx="102">
                  <c:v>62.24904104909956</c:v>
                </c:pt>
                <c:pt idx="103">
                  <c:v>62.602443321246341</c:v>
                </c:pt>
                <c:pt idx="104">
                  <c:v>62.952602211394051</c:v>
                </c:pt>
                <c:pt idx="105">
                  <c:v>63.299545674448311</c:v>
                </c:pt>
                <c:pt idx="106">
                  <c:v>63.643301474355894</c:v>
                </c:pt>
                <c:pt idx="107">
                  <c:v>63.983897184080199</c:v>
                </c:pt>
                <c:pt idx="108">
                  <c:v>64.32136018560908</c:v>
                </c:pt>
                <c:pt idx="109">
                  <c:v>64.655717669995596</c:v>
                </c:pt>
                <c:pt idx="110">
                  <c:v>64.986996637431645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Option Value</c:v>
                </c15:tx>
              </c15:filteredSeriesTitle>
            </c:ext>
            <c:ext xmlns:c16="http://schemas.microsoft.com/office/drawing/2014/chart" uri="{C3380CC4-5D6E-409C-BE32-E72D297353CC}">
              <c16:uniqueId val="{00000000-30B0-4DAC-A36C-244B1B2CE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To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Call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Theta!$S$3:$S$113</c:f>
              <c:numCache>
                <c:formatCode>0</c:formatCode>
                <c:ptCount val="111"/>
                <c:pt idx="0">
                  <c:v>1E-4</c:v>
                </c:pt>
                <c:pt idx="1">
                  <c:v>9.5100000000000004E-2</c:v>
                </c:pt>
                <c:pt idx="2">
                  <c:v>0.19009999999999999</c:v>
                </c:pt>
                <c:pt idx="3">
                  <c:v>0.28510000000000002</c:v>
                </c:pt>
                <c:pt idx="4">
                  <c:v>0.38009999999999999</c:v>
                </c:pt>
                <c:pt idx="5">
                  <c:v>0.47509999999999997</c:v>
                </c:pt>
                <c:pt idx="6">
                  <c:v>0.57009999999999994</c:v>
                </c:pt>
                <c:pt idx="7">
                  <c:v>0.66509999999999991</c:v>
                </c:pt>
                <c:pt idx="8">
                  <c:v>0.76009999999999989</c:v>
                </c:pt>
                <c:pt idx="9">
                  <c:v>0.85509999999999986</c:v>
                </c:pt>
                <c:pt idx="10">
                  <c:v>0.95009999999999983</c:v>
                </c:pt>
                <c:pt idx="11">
                  <c:v>1.0450999999999999</c:v>
                </c:pt>
                <c:pt idx="12">
                  <c:v>1.1400999999999999</c:v>
                </c:pt>
                <c:pt idx="13">
                  <c:v>1.2350999999999999</c:v>
                </c:pt>
                <c:pt idx="14">
                  <c:v>1.3300999999999998</c:v>
                </c:pt>
                <c:pt idx="15">
                  <c:v>1.4250999999999998</c:v>
                </c:pt>
                <c:pt idx="16">
                  <c:v>1.5200999999999998</c:v>
                </c:pt>
                <c:pt idx="17">
                  <c:v>1.6150999999999998</c:v>
                </c:pt>
                <c:pt idx="18">
                  <c:v>1.7100999999999997</c:v>
                </c:pt>
                <c:pt idx="19">
                  <c:v>1.8050999999999997</c:v>
                </c:pt>
                <c:pt idx="20">
                  <c:v>1.9000999999999997</c:v>
                </c:pt>
                <c:pt idx="21">
                  <c:v>1.9950999999999997</c:v>
                </c:pt>
                <c:pt idx="22">
                  <c:v>2.0900999999999996</c:v>
                </c:pt>
                <c:pt idx="23">
                  <c:v>2.1850999999999998</c:v>
                </c:pt>
                <c:pt idx="24">
                  <c:v>2.2801</c:v>
                </c:pt>
                <c:pt idx="25">
                  <c:v>2.3751000000000002</c:v>
                </c:pt>
                <c:pt idx="26">
                  <c:v>2.4701000000000004</c:v>
                </c:pt>
                <c:pt idx="27">
                  <c:v>2.5651000000000006</c:v>
                </c:pt>
                <c:pt idx="28">
                  <c:v>2.6601000000000008</c:v>
                </c:pt>
                <c:pt idx="29">
                  <c:v>2.755100000000001</c:v>
                </c:pt>
                <c:pt idx="30">
                  <c:v>2.8501000000000012</c:v>
                </c:pt>
                <c:pt idx="31">
                  <c:v>2.9451000000000014</c:v>
                </c:pt>
                <c:pt idx="32">
                  <c:v>3.0401000000000016</c:v>
                </c:pt>
                <c:pt idx="33">
                  <c:v>3.1351000000000018</c:v>
                </c:pt>
                <c:pt idx="34">
                  <c:v>3.230100000000002</c:v>
                </c:pt>
                <c:pt idx="35">
                  <c:v>3.3251000000000022</c:v>
                </c:pt>
                <c:pt idx="36">
                  <c:v>3.4201000000000024</c:v>
                </c:pt>
                <c:pt idx="37">
                  <c:v>3.5151000000000026</c:v>
                </c:pt>
                <c:pt idx="38">
                  <c:v>3.6101000000000028</c:v>
                </c:pt>
                <c:pt idx="39">
                  <c:v>3.7051000000000029</c:v>
                </c:pt>
                <c:pt idx="40">
                  <c:v>3.8001000000000031</c:v>
                </c:pt>
                <c:pt idx="41">
                  <c:v>3.8951000000000033</c:v>
                </c:pt>
                <c:pt idx="42">
                  <c:v>3.9901000000000035</c:v>
                </c:pt>
                <c:pt idx="43">
                  <c:v>4.0851000000000033</c:v>
                </c:pt>
                <c:pt idx="44">
                  <c:v>4.180100000000003</c:v>
                </c:pt>
                <c:pt idx="45">
                  <c:v>4.2751000000000028</c:v>
                </c:pt>
                <c:pt idx="46">
                  <c:v>4.3701000000000025</c:v>
                </c:pt>
                <c:pt idx="47">
                  <c:v>4.4651000000000023</c:v>
                </c:pt>
                <c:pt idx="48">
                  <c:v>4.560100000000002</c:v>
                </c:pt>
                <c:pt idx="49">
                  <c:v>4.6551000000000018</c:v>
                </c:pt>
                <c:pt idx="50">
                  <c:v>4.7501000000000015</c:v>
                </c:pt>
                <c:pt idx="51">
                  <c:v>4.8451000000000013</c:v>
                </c:pt>
                <c:pt idx="52">
                  <c:v>4.940100000000001</c:v>
                </c:pt>
                <c:pt idx="53">
                  <c:v>5.0351000000000008</c:v>
                </c:pt>
                <c:pt idx="54">
                  <c:v>5.1301000000000005</c:v>
                </c:pt>
                <c:pt idx="55">
                  <c:v>5.2251000000000003</c:v>
                </c:pt>
                <c:pt idx="56">
                  <c:v>5.3201000000000001</c:v>
                </c:pt>
                <c:pt idx="57">
                  <c:v>5.4150999999999998</c:v>
                </c:pt>
                <c:pt idx="58">
                  <c:v>5.5100999999999996</c:v>
                </c:pt>
                <c:pt idx="59">
                  <c:v>5.6050999999999993</c:v>
                </c:pt>
                <c:pt idx="60">
                  <c:v>5.7000999999999991</c:v>
                </c:pt>
                <c:pt idx="61">
                  <c:v>5.7950999999999988</c:v>
                </c:pt>
                <c:pt idx="62">
                  <c:v>5.8900999999999986</c:v>
                </c:pt>
                <c:pt idx="63">
                  <c:v>5.9850999999999983</c:v>
                </c:pt>
                <c:pt idx="64">
                  <c:v>6.0800999999999981</c:v>
                </c:pt>
                <c:pt idx="65">
                  <c:v>6.1750999999999978</c:v>
                </c:pt>
                <c:pt idx="66">
                  <c:v>6.2700999999999976</c:v>
                </c:pt>
                <c:pt idx="67">
                  <c:v>6.3650999999999973</c:v>
                </c:pt>
                <c:pt idx="68">
                  <c:v>6.4600999999999971</c:v>
                </c:pt>
                <c:pt idx="69">
                  <c:v>6.5550999999999968</c:v>
                </c:pt>
                <c:pt idx="70">
                  <c:v>6.6500999999999966</c:v>
                </c:pt>
                <c:pt idx="71">
                  <c:v>6.7450999999999963</c:v>
                </c:pt>
                <c:pt idx="72">
                  <c:v>6.8400999999999961</c:v>
                </c:pt>
                <c:pt idx="73">
                  <c:v>6.9350999999999958</c:v>
                </c:pt>
                <c:pt idx="74">
                  <c:v>7.0300999999999956</c:v>
                </c:pt>
                <c:pt idx="75">
                  <c:v>7.1250999999999953</c:v>
                </c:pt>
                <c:pt idx="76">
                  <c:v>7.2200999999999951</c:v>
                </c:pt>
                <c:pt idx="77">
                  <c:v>7.3150999999999948</c:v>
                </c:pt>
                <c:pt idx="78">
                  <c:v>7.4100999999999946</c:v>
                </c:pt>
                <c:pt idx="79">
                  <c:v>7.5050999999999943</c:v>
                </c:pt>
                <c:pt idx="80">
                  <c:v>7.6000999999999941</c:v>
                </c:pt>
                <c:pt idx="81">
                  <c:v>7.6950999999999938</c:v>
                </c:pt>
                <c:pt idx="82">
                  <c:v>7.7900999999999936</c:v>
                </c:pt>
                <c:pt idx="83">
                  <c:v>7.8850999999999933</c:v>
                </c:pt>
                <c:pt idx="84">
                  <c:v>7.9800999999999931</c:v>
                </c:pt>
                <c:pt idx="85">
                  <c:v>8.0750999999999937</c:v>
                </c:pt>
                <c:pt idx="86">
                  <c:v>8.1700999999999944</c:v>
                </c:pt>
                <c:pt idx="87">
                  <c:v>8.265099999999995</c:v>
                </c:pt>
                <c:pt idx="88">
                  <c:v>8.3600999999999956</c:v>
                </c:pt>
                <c:pt idx="89">
                  <c:v>8.4550999999999963</c:v>
                </c:pt>
                <c:pt idx="90">
                  <c:v>8.5500999999999969</c:v>
                </c:pt>
                <c:pt idx="91">
                  <c:v>8.6450999999999976</c:v>
                </c:pt>
                <c:pt idx="92">
                  <c:v>8.7400999999999982</c:v>
                </c:pt>
                <c:pt idx="93">
                  <c:v>8.8350999999999988</c:v>
                </c:pt>
                <c:pt idx="94">
                  <c:v>8.9300999999999995</c:v>
                </c:pt>
                <c:pt idx="95">
                  <c:v>9.0251000000000001</c:v>
                </c:pt>
                <c:pt idx="96">
                  <c:v>9.1201000000000008</c:v>
                </c:pt>
                <c:pt idx="97">
                  <c:v>9.2151000000000014</c:v>
                </c:pt>
                <c:pt idx="98">
                  <c:v>9.310100000000002</c:v>
                </c:pt>
                <c:pt idx="99">
                  <c:v>9.4051000000000027</c:v>
                </c:pt>
                <c:pt idx="100">
                  <c:v>9.5001000000000033</c:v>
                </c:pt>
                <c:pt idx="101">
                  <c:v>9.595100000000004</c:v>
                </c:pt>
                <c:pt idx="102">
                  <c:v>9.6901000000000046</c:v>
                </c:pt>
                <c:pt idx="103">
                  <c:v>9.7851000000000052</c:v>
                </c:pt>
                <c:pt idx="104">
                  <c:v>9.8801000000000059</c:v>
                </c:pt>
                <c:pt idx="105">
                  <c:v>9.9751000000000065</c:v>
                </c:pt>
                <c:pt idx="106">
                  <c:v>10.070100000000007</c:v>
                </c:pt>
                <c:pt idx="107">
                  <c:v>10.165100000000008</c:v>
                </c:pt>
                <c:pt idx="108">
                  <c:v>10.260100000000008</c:v>
                </c:pt>
                <c:pt idx="109">
                  <c:v>10.355100000000009</c:v>
                </c:pt>
                <c:pt idx="110">
                  <c:v>10.45010000000001</c:v>
                </c:pt>
              </c:numCache>
            </c:numRef>
          </c:cat>
          <c:val>
            <c:numRef>
              <c:f>Theta!$L$3:$L$113</c:f>
              <c:numCache>
                <c:formatCode>0.00</c:formatCode>
                <c:ptCount val="111"/>
                <c:pt idx="0">
                  <c:v>5.9342369540551942E-2</c:v>
                </c:pt>
                <c:pt idx="1">
                  <c:v>1.4019294807000549</c:v>
                </c:pt>
                <c:pt idx="2">
                  <c:v>1.7509199344237132</c:v>
                </c:pt>
                <c:pt idx="3">
                  <c:v>1.9414296873749279</c:v>
                </c:pt>
                <c:pt idx="4">
                  <c:v>2.0556440316787743</c:v>
                </c:pt>
                <c:pt idx="5">
                  <c:v>2.124664760451747</c:v>
                </c:pt>
                <c:pt idx="6">
                  <c:v>2.1640534353040444</c:v>
                </c:pt>
                <c:pt idx="7">
                  <c:v>2.182812539141608</c:v>
                </c:pt>
                <c:pt idx="8">
                  <c:v>2.1866433144894728</c:v>
                </c:pt>
                <c:pt idx="9">
                  <c:v>2.1793872238780772</c:v>
                </c:pt>
                <c:pt idx="10">
                  <c:v>2.1637518578585606</c:v>
                </c:pt>
                <c:pt idx="11">
                  <c:v>2.1417117431642971</c:v>
                </c:pt>
                <c:pt idx="12">
                  <c:v>2.1147455022197299</c:v>
                </c:pt>
                <c:pt idx="13">
                  <c:v>2.0839839751114013</c:v>
                </c:pt>
                <c:pt idx="14">
                  <c:v>2.0503068402869111</c:v>
                </c:pt>
                <c:pt idx="15">
                  <c:v>2.0144079324692079</c:v>
                </c:pt>
                <c:pt idx="16">
                  <c:v>1.9768407385096829</c:v>
                </c:pt>
                <c:pt idx="17">
                  <c:v>1.9380509006514508</c:v>
                </c:pt>
                <c:pt idx="18">
                  <c:v>1.8983999491617958</c:v>
                </c:pt>
                <c:pt idx="19">
                  <c:v>1.858182961833398</c:v>
                </c:pt>
                <c:pt idx="20">
                  <c:v>1.8176419238309158</c:v>
                </c:pt>
                <c:pt idx="21">
                  <c:v>1.7769759834172731</c:v>
                </c:pt>
                <c:pt idx="22">
                  <c:v>1.7363494275090794</c:v>
                </c:pt>
                <c:pt idx="23">
                  <c:v>1.695897956199147</c:v>
                </c:pt>
                <c:pt idx="24">
                  <c:v>1.6557336705451853</c:v>
                </c:pt>
                <c:pt idx="25">
                  <c:v>1.6159490747425789</c:v>
                </c:pt>
                <c:pt idx="26">
                  <c:v>1.5766203147044848</c:v>
                </c:pt>
                <c:pt idx="27">
                  <c:v>1.5378098189068155</c:v>
                </c:pt>
                <c:pt idx="28">
                  <c:v>1.4995684668856413</c:v>
                </c:pt>
                <c:pt idx="29">
                  <c:v>1.4619373812225565</c:v>
                </c:pt>
                <c:pt idx="30">
                  <c:v>1.4249494170079551</c:v>
                </c:pt>
                <c:pt idx="31">
                  <c:v>1.3886304064387325</c:v>
                </c:pt>
                <c:pt idx="32">
                  <c:v>1.353000203867694</c:v>
                </c:pt>
                <c:pt idx="33">
                  <c:v>1.3180735672089998</c:v>
                </c:pt>
                <c:pt idx="34">
                  <c:v>1.2838609043572848</c:v>
                </c:pt>
                <c:pt idx="35">
                  <c:v>1.2503689076538365</c:v>
                </c:pt>
                <c:pt idx="36">
                  <c:v>1.217601095032304</c:v>
                </c:pt>
                <c:pt idx="37">
                  <c:v>1.1855582730077288</c:v>
                </c:pt>
                <c:pt idx="38">
                  <c:v>1.1542389339204258</c:v>
                </c:pt>
                <c:pt idx="39">
                  <c:v>1.1236395976472258</c:v>
                </c:pt>
                <c:pt idx="40">
                  <c:v>1.0937551062259265</c:v>
                </c:pt>
                <c:pt idx="41">
                  <c:v>1.0645788784101411</c:v>
                </c:pt>
                <c:pt idx="42">
                  <c:v>1.0361031300115151</c:v>
                </c:pt>
                <c:pt idx="43">
                  <c:v>1.0083190649375426</c:v>
                </c:pt>
                <c:pt idx="44">
                  <c:v>0.98121704105545504</c:v>
                </c:pt>
                <c:pt idx="45">
                  <c:v>0.95478671437032325</c:v>
                </c:pt>
                <c:pt idx="46">
                  <c:v>0.92901716447419869</c:v>
                </c:pt>
                <c:pt idx="47">
                  <c:v>0.90389700378082427</c:v>
                </c:pt>
                <c:pt idx="48">
                  <c:v>0.8794144726912787</c:v>
                </c:pt>
                <c:pt idx="49">
                  <c:v>0.85555752252632811</c:v>
                </c:pt>
                <c:pt idx="50">
                  <c:v>0.83231388780125037</c:v>
                </c:pt>
                <c:pt idx="51">
                  <c:v>0.80967114919868699</c:v>
                </c:pt>
                <c:pt idx="52">
                  <c:v>0.78761678840951799</c:v>
                </c:pt>
                <c:pt idx="53">
                  <c:v>0.7661382358534059</c:v>
                </c:pt>
                <c:pt idx="54">
                  <c:v>0.7452229121559748</c:v>
                </c:pt>
                <c:pt idx="55">
                  <c:v>0.7248582641447685</c:v>
                </c:pt>
                <c:pt idx="56">
                  <c:v>0.70503179602729826</c:v>
                </c:pt>
                <c:pt idx="57">
                  <c:v>0.68573109632995966</c:v>
                </c:pt>
                <c:pt idx="58">
                  <c:v>0.66694386110368953</c:v>
                </c:pt>
                <c:pt idx="59">
                  <c:v>0.64865791383919236</c:v>
                </c:pt>
                <c:pt idx="60">
                  <c:v>0.63086122248022969</c:v>
                </c:pt>
                <c:pt idx="61">
                  <c:v>0.61354191387620771</c:v>
                </c:pt>
                <c:pt idx="62">
                  <c:v>0.59668828597419976</c:v>
                </c:pt>
                <c:pt idx="63">
                  <c:v>0.58028881801504317</c:v>
                </c:pt>
                <c:pt idx="64">
                  <c:v>0.56433217896665155</c:v>
                </c:pt>
                <c:pt idx="65">
                  <c:v>0.54880723440089074</c:v>
                </c:pt>
                <c:pt idx="66">
                  <c:v>0.53370305199607193</c:v>
                </c:pt>
                <c:pt idx="67">
                  <c:v>0.51900890582661985</c:v>
                </c:pt>
                <c:pt idx="68">
                  <c:v>0.50471427958282611</c:v>
                </c:pt>
                <c:pt idx="69">
                  <c:v>0.49080886884758979</c:v>
                </c:pt>
                <c:pt idx="70">
                  <c:v>0.47728258254278311</c:v>
                </c:pt>
                <c:pt idx="71">
                  <c:v>0.46412554364528491</c:v>
                </c:pt>
                <c:pt idx="72">
                  <c:v>0.45132808926174528</c:v>
                </c:pt>
                <c:pt idx="73">
                  <c:v>0.43888077014111682</c:v>
                </c:pt>
                <c:pt idx="74">
                  <c:v>0.42677434969555295</c:v>
                </c:pt>
                <c:pt idx="75">
                  <c:v>0.41499980259238001</c:v>
                </c:pt>
                <c:pt idx="76">
                  <c:v>0.40354831297303884</c:v>
                </c:pt>
                <c:pt idx="77">
                  <c:v>0.39241127234889728</c:v>
                </c:pt>
                <c:pt idx="78">
                  <c:v>0.38158027721828836</c:v>
                </c:pt>
                <c:pt idx="79">
                  <c:v>0.37104712644440552</c:v>
                </c:pt>
                <c:pt idx="80">
                  <c:v>0.36080381842939291</c:v>
                </c:pt>
                <c:pt idx="81">
                  <c:v>0.35084254811603688</c:v>
                </c:pt>
                <c:pt idx="82">
                  <c:v>0.3411557038451396</c:v>
                </c:pt>
                <c:pt idx="83">
                  <c:v>0.33173586409359901</c:v>
                </c:pt>
                <c:pt idx="84">
                  <c:v>0.32257579411539528</c:v>
                </c:pt>
                <c:pt idx="85">
                  <c:v>0.31366844250531845</c:v>
                </c:pt>
                <c:pt idx="86">
                  <c:v>0.30500693770309151</c:v>
                </c:pt>
                <c:pt idx="87">
                  <c:v>0.29658458445347602</c:v>
                </c:pt>
                <c:pt idx="88">
                  <c:v>0.28839486023632088</c:v>
                </c:pt>
                <c:pt idx="89">
                  <c:v>0.28043141167884889</c:v>
                </c:pt>
                <c:pt idx="90">
                  <c:v>0.27268805096110449</c:v>
                </c:pt>
                <c:pt idx="91">
                  <c:v>0.26515875222417273</c:v>
                </c:pt>
                <c:pt idx="92">
                  <c:v>0.25783764798971376</c:v>
                </c:pt>
                <c:pt idx="93">
                  <c:v>0.25071902559826387</c:v>
                </c:pt>
                <c:pt idx="94">
                  <c:v>0.24379732367284901</c:v>
                </c:pt>
                <c:pt idx="95">
                  <c:v>0.23706712861369628</c:v>
                </c:pt>
                <c:pt idx="96">
                  <c:v>0.23052317112899123</c:v>
                </c:pt>
                <c:pt idx="97">
                  <c:v>0.22416032280603493</c:v>
                </c:pt>
                <c:pt idx="98">
                  <c:v>0.21797359272653316</c:v>
                </c:pt>
                <c:pt idx="99">
                  <c:v>0.21195812412922654</c:v>
                </c:pt>
                <c:pt idx="100">
                  <c:v>0.2061091911225672</c:v>
                </c:pt>
                <c:pt idx="101">
                  <c:v>0.20042219544972584</c:v>
                </c:pt>
                <c:pt idx="102">
                  <c:v>0.19489266330786514</c:v>
                </c:pt>
                <c:pt idx="103">
                  <c:v>0.18951624222319663</c:v>
                </c:pt>
                <c:pt idx="104">
                  <c:v>0.1842886979830991</c:v>
                </c:pt>
                <c:pt idx="105">
                  <c:v>0.17920591162623467</c:v>
                </c:pt>
                <c:pt idx="106">
                  <c:v>0.17426387649143193</c:v>
                </c:pt>
                <c:pt idx="107">
                  <c:v>0.16945869532578806</c:v>
                </c:pt>
                <c:pt idx="108">
                  <c:v>0.16478657745233238</c:v>
                </c:pt>
                <c:pt idx="109">
                  <c:v>0.16024383599735159</c:v>
                </c:pt>
                <c:pt idx="110">
                  <c:v>0.15582688517737375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Put</c:v>
                </c15:tx>
              </c15:filteredSeriesTitle>
            </c:ext>
            <c:ext xmlns:c16="http://schemas.microsoft.com/office/drawing/2014/chart" uri="{C3380CC4-5D6E-409C-BE32-E72D297353CC}">
              <c16:uniqueId val="{00000000-4B5B-482E-92B8-04643721D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to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Put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</a:t>
            </a:r>
            <a:r>
              <a:rPr lang="el-GR"/>
              <a:t>Θ </a:t>
            </a:r>
            <a:r>
              <a:rPr lang="en-US"/>
              <a:t>Call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2528694496837731"/>
          <c:y val="0.10749707630220236"/>
          <c:w val="0.7428166224296352"/>
          <c:h val="0.74077352489980897"/>
        </c:manualLayout>
      </c:layout>
      <c:lineChart>
        <c:grouping val="standard"/>
        <c:varyColors val="0"/>
        <c:ser>
          <c:idx val="0"/>
          <c:order val="0"/>
          <c:tx>
            <c:strRef>
              <c:f>Theta!$O$2</c:f>
              <c:strCache>
                <c:ptCount val="1"/>
                <c:pt idx="0">
                  <c:v>ATM Θ Call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Theta!$S$4:$S$113</c:f>
              <c:numCache>
                <c:formatCode>0</c:formatCode>
                <c:ptCount val="110"/>
                <c:pt idx="0">
                  <c:v>9.5100000000000004E-2</c:v>
                </c:pt>
                <c:pt idx="1">
                  <c:v>0.19009999999999999</c:v>
                </c:pt>
                <c:pt idx="2">
                  <c:v>0.28510000000000002</c:v>
                </c:pt>
                <c:pt idx="3">
                  <c:v>0.38009999999999999</c:v>
                </c:pt>
                <c:pt idx="4">
                  <c:v>0.47509999999999997</c:v>
                </c:pt>
                <c:pt idx="5">
                  <c:v>0.57009999999999994</c:v>
                </c:pt>
                <c:pt idx="6">
                  <c:v>0.66509999999999991</c:v>
                </c:pt>
                <c:pt idx="7">
                  <c:v>0.76009999999999989</c:v>
                </c:pt>
                <c:pt idx="8">
                  <c:v>0.85509999999999986</c:v>
                </c:pt>
                <c:pt idx="9">
                  <c:v>0.95009999999999983</c:v>
                </c:pt>
                <c:pt idx="10">
                  <c:v>1.0450999999999999</c:v>
                </c:pt>
                <c:pt idx="11">
                  <c:v>1.1400999999999999</c:v>
                </c:pt>
                <c:pt idx="12">
                  <c:v>1.2350999999999999</c:v>
                </c:pt>
                <c:pt idx="13">
                  <c:v>1.3300999999999998</c:v>
                </c:pt>
                <c:pt idx="14">
                  <c:v>1.4250999999999998</c:v>
                </c:pt>
                <c:pt idx="15">
                  <c:v>1.5200999999999998</c:v>
                </c:pt>
                <c:pt idx="16">
                  <c:v>1.6150999999999998</c:v>
                </c:pt>
                <c:pt idx="17">
                  <c:v>1.7100999999999997</c:v>
                </c:pt>
                <c:pt idx="18">
                  <c:v>1.8050999999999997</c:v>
                </c:pt>
                <c:pt idx="19">
                  <c:v>1.9000999999999997</c:v>
                </c:pt>
                <c:pt idx="20">
                  <c:v>1.9950999999999997</c:v>
                </c:pt>
                <c:pt idx="21">
                  <c:v>2.0900999999999996</c:v>
                </c:pt>
                <c:pt idx="22">
                  <c:v>2.1850999999999998</c:v>
                </c:pt>
                <c:pt idx="23">
                  <c:v>2.2801</c:v>
                </c:pt>
                <c:pt idx="24">
                  <c:v>2.3751000000000002</c:v>
                </c:pt>
                <c:pt idx="25">
                  <c:v>2.4701000000000004</c:v>
                </c:pt>
                <c:pt idx="26">
                  <c:v>2.5651000000000006</c:v>
                </c:pt>
                <c:pt idx="27">
                  <c:v>2.6601000000000008</c:v>
                </c:pt>
                <c:pt idx="28">
                  <c:v>2.755100000000001</c:v>
                </c:pt>
                <c:pt idx="29">
                  <c:v>2.8501000000000012</c:v>
                </c:pt>
                <c:pt idx="30">
                  <c:v>2.9451000000000014</c:v>
                </c:pt>
                <c:pt idx="31">
                  <c:v>3.0401000000000016</c:v>
                </c:pt>
                <c:pt idx="32">
                  <c:v>3.1351000000000018</c:v>
                </c:pt>
                <c:pt idx="33">
                  <c:v>3.230100000000002</c:v>
                </c:pt>
                <c:pt idx="34">
                  <c:v>3.3251000000000022</c:v>
                </c:pt>
                <c:pt idx="35">
                  <c:v>3.4201000000000024</c:v>
                </c:pt>
                <c:pt idx="36">
                  <c:v>3.5151000000000026</c:v>
                </c:pt>
                <c:pt idx="37">
                  <c:v>3.6101000000000028</c:v>
                </c:pt>
                <c:pt idx="38">
                  <c:v>3.7051000000000029</c:v>
                </c:pt>
                <c:pt idx="39">
                  <c:v>3.8001000000000031</c:v>
                </c:pt>
                <c:pt idx="40">
                  <c:v>3.8951000000000033</c:v>
                </c:pt>
                <c:pt idx="41">
                  <c:v>3.9901000000000035</c:v>
                </c:pt>
                <c:pt idx="42">
                  <c:v>4.0851000000000033</c:v>
                </c:pt>
                <c:pt idx="43">
                  <c:v>4.180100000000003</c:v>
                </c:pt>
                <c:pt idx="44">
                  <c:v>4.2751000000000028</c:v>
                </c:pt>
                <c:pt idx="45">
                  <c:v>4.3701000000000025</c:v>
                </c:pt>
                <c:pt idx="46">
                  <c:v>4.4651000000000023</c:v>
                </c:pt>
                <c:pt idx="47">
                  <c:v>4.560100000000002</c:v>
                </c:pt>
                <c:pt idx="48">
                  <c:v>4.6551000000000018</c:v>
                </c:pt>
                <c:pt idx="49">
                  <c:v>4.7501000000000015</c:v>
                </c:pt>
                <c:pt idx="50">
                  <c:v>4.8451000000000013</c:v>
                </c:pt>
                <c:pt idx="51">
                  <c:v>4.940100000000001</c:v>
                </c:pt>
                <c:pt idx="52">
                  <c:v>5.0351000000000008</c:v>
                </c:pt>
                <c:pt idx="53">
                  <c:v>5.1301000000000005</c:v>
                </c:pt>
                <c:pt idx="54">
                  <c:v>5.2251000000000003</c:v>
                </c:pt>
                <c:pt idx="55">
                  <c:v>5.3201000000000001</c:v>
                </c:pt>
                <c:pt idx="56">
                  <c:v>5.4150999999999998</c:v>
                </c:pt>
                <c:pt idx="57">
                  <c:v>5.5100999999999996</c:v>
                </c:pt>
                <c:pt idx="58">
                  <c:v>5.6050999999999993</c:v>
                </c:pt>
                <c:pt idx="59">
                  <c:v>5.7000999999999991</c:v>
                </c:pt>
                <c:pt idx="60">
                  <c:v>5.7950999999999988</c:v>
                </c:pt>
                <c:pt idx="61">
                  <c:v>5.8900999999999986</c:v>
                </c:pt>
                <c:pt idx="62">
                  <c:v>5.9850999999999983</c:v>
                </c:pt>
                <c:pt idx="63">
                  <c:v>6.0800999999999981</c:v>
                </c:pt>
                <c:pt idx="64">
                  <c:v>6.1750999999999978</c:v>
                </c:pt>
                <c:pt idx="65">
                  <c:v>6.2700999999999976</c:v>
                </c:pt>
                <c:pt idx="66">
                  <c:v>6.3650999999999973</c:v>
                </c:pt>
                <c:pt idx="67">
                  <c:v>6.4600999999999971</c:v>
                </c:pt>
                <c:pt idx="68">
                  <c:v>6.5550999999999968</c:v>
                </c:pt>
                <c:pt idx="69">
                  <c:v>6.6500999999999966</c:v>
                </c:pt>
                <c:pt idx="70">
                  <c:v>6.7450999999999963</c:v>
                </c:pt>
                <c:pt idx="71">
                  <c:v>6.8400999999999961</c:v>
                </c:pt>
                <c:pt idx="72">
                  <c:v>6.9350999999999958</c:v>
                </c:pt>
                <c:pt idx="73">
                  <c:v>7.0300999999999956</c:v>
                </c:pt>
                <c:pt idx="74">
                  <c:v>7.1250999999999953</c:v>
                </c:pt>
                <c:pt idx="75">
                  <c:v>7.2200999999999951</c:v>
                </c:pt>
                <c:pt idx="76">
                  <c:v>7.3150999999999948</c:v>
                </c:pt>
                <c:pt idx="77">
                  <c:v>7.4100999999999946</c:v>
                </c:pt>
                <c:pt idx="78">
                  <c:v>7.5050999999999943</c:v>
                </c:pt>
                <c:pt idx="79">
                  <c:v>7.6000999999999941</c:v>
                </c:pt>
                <c:pt idx="80">
                  <c:v>7.6950999999999938</c:v>
                </c:pt>
                <c:pt idx="81">
                  <c:v>7.7900999999999936</c:v>
                </c:pt>
                <c:pt idx="82">
                  <c:v>7.8850999999999933</c:v>
                </c:pt>
                <c:pt idx="83">
                  <c:v>7.9800999999999931</c:v>
                </c:pt>
                <c:pt idx="84">
                  <c:v>8.0750999999999937</c:v>
                </c:pt>
                <c:pt idx="85">
                  <c:v>8.1700999999999944</c:v>
                </c:pt>
                <c:pt idx="86">
                  <c:v>8.265099999999995</c:v>
                </c:pt>
                <c:pt idx="87">
                  <c:v>8.3600999999999956</c:v>
                </c:pt>
                <c:pt idx="88">
                  <c:v>8.4550999999999963</c:v>
                </c:pt>
                <c:pt idx="89">
                  <c:v>8.5500999999999969</c:v>
                </c:pt>
                <c:pt idx="90">
                  <c:v>8.6450999999999976</c:v>
                </c:pt>
                <c:pt idx="91">
                  <c:v>8.7400999999999982</c:v>
                </c:pt>
                <c:pt idx="92">
                  <c:v>8.8350999999999988</c:v>
                </c:pt>
                <c:pt idx="93">
                  <c:v>8.9300999999999995</c:v>
                </c:pt>
                <c:pt idx="94">
                  <c:v>9.0251000000000001</c:v>
                </c:pt>
                <c:pt idx="95">
                  <c:v>9.1201000000000008</c:v>
                </c:pt>
                <c:pt idx="96">
                  <c:v>9.2151000000000014</c:v>
                </c:pt>
                <c:pt idx="97">
                  <c:v>9.310100000000002</c:v>
                </c:pt>
                <c:pt idx="98">
                  <c:v>9.4051000000000027</c:v>
                </c:pt>
                <c:pt idx="99">
                  <c:v>9.5001000000000033</c:v>
                </c:pt>
                <c:pt idx="100">
                  <c:v>9.595100000000004</c:v>
                </c:pt>
                <c:pt idx="101">
                  <c:v>9.6901000000000046</c:v>
                </c:pt>
                <c:pt idx="102">
                  <c:v>9.7851000000000052</c:v>
                </c:pt>
                <c:pt idx="103">
                  <c:v>9.8801000000000059</c:v>
                </c:pt>
                <c:pt idx="104">
                  <c:v>9.9751000000000065</c:v>
                </c:pt>
                <c:pt idx="105">
                  <c:v>10.070100000000007</c:v>
                </c:pt>
                <c:pt idx="106">
                  <c:v>10.165100000000008</c:v>
                </c:pt>
                <c:pt idx="107">
                  <c:v>10.260100000000008</c:v>
                </c:pt>
                <c:pt idx="108">
                  <c:v>10.355100000000009</c:v>
                </c:pt>
                <c:pt idx="109">
                  <c:v>10.45010000000001</c:v>
                </c:pt>
              </c:numCache>
            </c:numRef>
          </c:cat>
          <c:val>
            <c:numRef>
              <c:f>Theta!$O$4:$O$113</c:f>
              <c:numCache>
                <c:formatCode>0.0000</c:formatCode>
                <c:ptCount val="110"/>
                <c:pt idx="0">
                  <c:v>11.971019446400014</c:v>
                </c:pt>
                <c:pt idx="1">
                  <c:v>10.246453517695905</c:v>
                </c:pt>
                <c:pt idx="2">
                  <c:v>9.5183388296079077</c:v>
                </c:pt>
                <c:pt idx="3">
                  <c:v>9.0982963183874634</c:v>
                </c:pt>
                <c:pt idx="4">
                  <c:v>8.8169753130929358</c:v>
                </c:pt>
                <c:pt idx="5">
                  <c:v>8.61046615044331</c:v>
                </c:pt>
                <c:pt idx="6">
                  <c:v>8.448891391438984</c:v>
                </c:pt>
                <c:pt idx="7">
                  <c:v>8.3163152545173791</c:v>
                </c:pt>
                <c:pt idx="8">
                  <c:v>8.2034379492600227</c:v>
                </c:pt>
                <c:pt idx="9">
                  <c:v>8.1044655510667738</c:v>
                </c:pt>
                <c:pt idx="10">
                  <c:v>8.0156047215966666</c:v>
                </c:pt>
                <c:pt idx="11">
                  <c:v>7.9342735929432013</c:v>
                </c:pt>
                <c:pt idx="12">
                  <c:v>7.8586593640192373</c:v>
                </c:pt>
                <c:pt idx="13">
                  <c:v>7.7874565602018313</c:v>
                </c:pt>
                <c:pt idx="14">
                  <c:v>7.7197051885617682</c:v>
                </c:pt>
                <c:pt idx="15">
                  <c:v>7.6546869017096508</c:v>
                </c:pt>
                <c:pt idx="16">
                  <c:v>7.5918562615648728</c:v>
                </c:pt>
                <c:pt idx="17">
                  <c:v>7.5307939994195481</c:v>
                </c:pt>
                <c:pt idx="18">
                  <c:v>7.4711744840012901</c:v>
                </c:pt>
                <c:pt idx="19">
                  <c:v>7.4127426121293958</c:v>
                </c:pt>
                <c:pt idx="20">
                  <c:v>7.3552970949657599</c:v>
                </c:pt>
                <c:pt idx="21">
                  <c:v>7.2986781754268799</c:v>
                </c:pt>
                <c:pt idx="22">
                  <c:v>7.2427584725164209</c:v>
                </c:pt>
                <c:pt idx="23">
                  <c:v>7.1874360688224534</c:v>
                </c:pt>
                <c:pt idx="24">
                  <c:v>7.1326292312544313</c:v>
                </c:pt>
                <c:pt idx="25">
                  <c:v>7.078272337032919</c:v>
                </c:pt>
                <c:pt idx="26">
                  <c:v>7.0243127000453036</c:v>
                </c:pt>
                <c:pt idx="27">
                  <c:v>6.9707080773618069</c:v>
                </c:pt>
                <c:pt idx="28">
                  <c:v>6.917424694847421</c:v>
                </c:pt>
                <c:pt idx="29">
                  <c:v>6.8644356726881988</c:v>
                </c:pt>
                <c:pt idx="30">
                  <c:v>6.8117197616932827</c:v>
                </c:pt>
                <c:pt idx="31">
                  <c:v>6.7592603230409596</c:v>
                </c:pt>
                <c:pt idx="32">
                  <c:v>6.7070445001401549</c:v>
                </c:pt>
                <c:pt idx="33">
                  <c:v>6.6550625431433552</c:v>
                </c:pt>
                <c:pt idx="34">
                  <c:v>6.6033072555271097</c:v>
                </c:pt>
                <c:pt idx="35">
                  <c:v>6.5517735388617604</c:v>
                </c:pt>
                <c:pt idx="36">
                  <c:v>6.5004580169979338</c:v>
                </c:pt>
                <c:pt idx="37">
                  <c:v>6.4493587248152133</c:v>
                </c:pt>
                <c:pt idx="38">
                  <c:v>6.3984748497069859</c:v>
                </c:pt>
                <c:pt idx="39">
                  <c:v>6.3478065163325965</c:v>
                </c:pt>
                <c:pt idx="40">
                  <c:v>6.2973546070144737</c:v>
                </c:pt>
                <c:pt idx="41">
                  <c:v>6.2471206116132141</c:v>
                </c:pt>
                <c:pt idx="42">
                  <c:v>6.1971065018673146</c:v>
                </c:pt>
                <c:pt idx="43">
                  <c:v>6.1473146261038023</c:v>
                </c:pt>
                <c:pt idx="44">
                  <c:v>6.097747620962723</c:v>
                </c:pt>
                <c:pt idx="45">
                  <c:v>6.0484083373715922</c:v>
                </c:pt>
                <c:pt idx="46">
                  <c:v>5.9992997784856783</c:v>
                </c:pt>
                <c:pt idx="47">
                  <c:v>5.9504250476997873</c:v>
                </c:pt>
                <c:pt idx="48">
                  <c:v>5.9017873051551559</c:v>
                </c:pt>
                <c:pt idx="49">
                  <c:v>5.8533897314255823</c:v>
                </c:pt>
                <c:pt idx="50">
                  <c:v>5.8052354972810276</c:v>
                </c:pt>
                <c:pt idx="51">
                  <c:v>5.7573277386036672</c:v>
                </c:pt>
                <c:pt idx="52">
                  <c:v>5.7096695356776417</c:v>
                </c:pt>
                <c:pt idx="53">
                  <c:v>5.662263896195344</c:v>
                </c:pt>
                <c:pt idx="54">
                  <c:v>5.6151137414243442</c:v>
                </c:pt>
                <c:pt idx="55">
                  <c:v>5.5682218950637044</c:v>
                </c:pt>
                <c:pt idx="56">
                  <c:v>5.5215910743893666</c:v>
                </c:pt>
                <c:pt idx="57">
                  <c:v>5.4752238833479767</c:v>
                </c:pt>
                <c:pt idx="58">
                  <c:v>5.4291228073086568</c:v>
                </c:pt>
                <c:pt idx="59">
                  <c:v>5.3832902092247732</c:v>
                </c:pt>
                <c:pt idx="60">
                  <c:v>5.3377283269935738</c:v>
                </c:pt>
                <c:pt idx="61">
                  <c:v>5.2924392718321078</c:v>
                </c:pt>
                <c:pt idx="62">
                  <c:v>5.2474250275137511</c:v>
                </c:pt>
                <c:pt idx="63">
                  <c:v>5.2026874503316698</c:v>
                </c:pt>
                <c:pt idx="64">
                  <c:v>5.158228269674515</c:v>
                </c:pt>
                <c:pt idx="65">
                  <c:v>5.1140490891156363</c:v>
                </c:pt>
                <c:pt idx="66">
                  <c:v>5.0701513879309887</c:v>
                </c:pt>
                <c:pt idx="67">
                  <c:v>5.0265365229726928</c:v>
                </c:pt>
                <c:pt idx="68">
                  <c:v>4.983205730835409</c:v>
                </c:pt>
                <c:pt idx="69">
                  <c:v>4.9401601302614289</c:v>
                </c:pt>
                <c:pt idx="70">
                  <c:v>4.8974007247379294</c:v>
                </c:pt>
                <c:pt idx="71">
                  <c:v>4.8549284052463335</c:v>
                </c:pt>
                <c:pt idx="72">
                  <c:v>4.8127439531293277</c:v>
                </c:pt>
                <c:pt idx="73">
                  <c:v>4.7708480430459828</c:v>
                </c:pt>
                <c:pt idx="74">
                  <c:v>4.7292412459895514</c:v>
                </c:pt>
                <c:pt idx="75">
                  <c:v>4.6879240323462357</c:v>
                </c:pt>
                <c:pt idx="76">
                  <c:v>4.6468967749762875</c:v>
                </c:pt>
                <c:pt idx="77">
                  <c:v>4.6061597523016014</c:v>
                </c:pt>
                <c:pt idx="78">
                  <c:v>4.5657131513862836</c:v>
                </c:pt>
                <c:pt idx="79">
                  <c:v>4.5255570709987838</c:v>
                </c:pt>
                <c:pt idx="80">
                  <c:v>4.4856915246458868</c:v>
                </c:pt>
                <c:pt idx="81">
                  <c:v>4.4461164435705189</c:v>
                </c:pt>
                <c:pt idx="82">
                  <c:v>4.406831679706535</c:v>
                </c:pt>
                <c:pt idx="83">
                  <c:v>4.3678370085849672</c:v>
                </c:pt>
                <c:pt idx="84">
                  <c:v>4.3291321321870928</c:v>
                </c:pt>
                <c:pt idx="85">
                  <c:v>4.2907166817406601</c:v>
                </c:pt>
                <c:pt idx="86">
                  <c:v>4.2525902204563035</c:v>
                </c:pt>
                <c:pt idx="87">
                  <c:v>4.214752246201888</c:v>
                </c:pt>
                <c:pt idx="88">
                  <c:v>4.1772021941130655</c:v>
                </c:pt>
                <c:pt idx="89">
                  <c:v>4.1399394391388125</c:v>
                </c:pt>
                <c:pt idx="90">
                  <c:v>4.1029632985211819</c:v>
                </c:pt>
                <c:pt idx="91">
                  <c:v>4.0662730342088125</c:v>
                </c:pt>
                <c:pt idx="92">
                  <c:v>4.0298678552041132</c:v>
                </c:pt>
                <c:pt idx="93">
                  <c:v>3.9937469198442441</c:v>
                </c:pt>
                <c:pt idx="94">
                  <c:v>3.9579093380163051</c:v>
                </c:pt>
                <c:pt idx="95">
                  <c:v>3.9223541733072964</c:v>
                </c:pt>
                <c:pt idx="96">
                  <c:v>3.8870804450895968</c:v>
                </c:pt>
                <c:pt idx="97">
                  <c:v>3.8520871305428366</c:v>
                </c:pt>
                <c:pt idx="98">
                  <c:v>3.8173731666131627</c:v>
                </c:pt>
                <c:pt idx="99">
                  <c:v>3.7829374519109851</c:v>
                </c:pt>
                <c:pt idx="100">
                  <c:v>3.7487788485483691</c:v>
                </c:pt>
                <c:pt idx="101">
                  <c:v>3.7148961839172996</c:v>
                </c:pt>
                <c:pt idx="102">
                  <c:v>3.6812882524100914</c:v>
                </c:pt>
                <c:pt idx="103">
                  <c:v>3.6479538170832724</c:v>
                </c:pt>
                <c:pt idx="104">
                  <c:v>3.6148916112662497</c:v>
                </c:pt>
                <c:pt idx="105">
                  <c:v>3.5821003401161504</c:v>
                </c:pt>
                <c:pt idx="106">
                  <c:v>3.549578682120178</c:v>
                </c:pt>
                <c:pt idx="107">
                  <c:v>3.5173252905468675</c:v>
                </c:pt>
                <c:pt idx="108">
                  <c:v>3.4853387948476033</c:v>
                </c:pt>
                <c:pt idx="109">
                  <c:v>3.4536178020097741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42-4655-9318-5A6D39AF856F}"/>
            </c:ext>
          </c:extLst>
        </c:ser>
        <c:ser>
          <c:idx val="1"/>
          <c:order val="1"/>
          <c:tx>
            <c:strRef>
              <c:f>Theta!$Q$2</c:f>
              <c:strCache>
                <c:ptCount val="1"/>
                <c:pt idx="0">
                  <c:v>ITM Θ Call</c:v>
                </c:pt>
              </c:strCache>
            </c:strRef>
          </c:tx>
          <c:spPr>
            <a:ln w="28575">
              <a:solidFill>
                <a:srgbClr val="7030A0"/>
              </a:solidFill>
            </a:ln>
          </c:spPr>
          <c:marker>
            <c:symbol val="none"/>
          </c:marker>
          <c:val>
            <c:numRef>
              <c:f>Theta!$Q$4:$Q$113</c:f>
              <c:numCache>
                <c:formatCode>0.0000</c:formatCode>
                <c:ptCount val="110"/>
                <c:pt idx="0">
                  <c:v>18.272324301835351</c:v>
                </c:pt>
                <c:pt idx="1">
                  <c:v>14.588378496498446</c:v>
                </c:pt>
                <c:pt idx="2">
                  <c:v>12.972379040381329</c:v>
                </c:pt>
                <c:pt idx="3">
                  <c:v>12.012565657380893</c:v>
                </c:pt>
                <c:pt idx="4">
                  <c:v>11.356419842986622</c:v>
                </c:pt>
                <c:pt idx="5">
                  <c:v>10.868905071153787</c:v>
                </c:pt>
                <c:pt idx="6">
                  <c:v>10.485900731269659</c:v>
                </c:pt>
                <c:pt idx="7">
                  <c:v>10.172639136602292</c:v>
                </c:pt>
                <c:pt idx="8">
                  <c:v>9.9084729130847986</c:v>
                </c:pt>
                <c:pt idx="9">
                  <c:v>9.6802967966562488</c:v>
                </c:pt>
                <c:pt idx="10">
                  <c:v>9.4793586265883185</c:v>
                </c:pt>
                <c:pt idx="11">
                  <c:v>9.2995737551224664</c:v>
                </c:pt>
                <c:pt idx="12">
                  <c:v>9.1365720395074437</c:v>
                </c:pt>
                <c:pt idx="13">
                  <c:v>8.9871290945536568</c:v>
                </c:pt>
                <c:pt idx="14">
                  <c:v>8.848811452868496</c:v>
                </c:pt>
                <c:pt idx="15">
                  <c:v>8.7197467965806492</c:v>
                </c:pt>
                <c:pt idx="16">
                  <c:v>8.5984704012505997</c:v>
                </c:pt>
                <c:pt idx="17">
                  <c:v>8.4838196849423042</c:v>
                </c:pt>
                <c:pt idx="18">
                  <c:v>8.3748600594957523</c:v>
                </c:pt>
                <c:pt idx="19">
                  <c:v>8.2708316984718575</c:v>
                </c:pt>
                <c:pt idx="20">
                  <c:v>8.1711106127394473</c:v>
                </c:pt>
                <c:pt idx="21">
                  <c:v>8.0751797182136595</c:v>
                </c:pt>
                <c:pt idx="22">
                  <c:v>7.9826070125643858</c:v>
                </c:pt>
                <c:pt idx="23">
                  <c:v>7.8930288947085057</c:v>
                </c:pt>
                <c:pt idx="24">
                  <c:v>7.8061372612269206</c:v>
                </c:pt>
                <c:pt idx="25">
                  <c:v>7.7216694148585407</c:v>
                </c:pt>
                <c:pt idx="26">
                  <c:v>7.6394000930333794</c:v>
                </c:pt>
                <c:pt idx="27">
                  <c:v>7.5591351131182618</c:v>
                </c:pt>
                <c:pt idx="28">
                  <c:v>7.4807062635916424</c:v>
                </c:pt>
                <c:pt idx="29">
                  <c:v>7.4039671647702558</c:v>
                </c:pt>
                <c:pt idx="30">
                  <c:v>7.3287898908269549</c:v>
                </c:pt>
                <c:pt idx="31">
                  <c:v>7.2550621945782936</c:v>
                </c:pt>
                <c:pt idx="32">
                  <c:v>7.1826852132448646</c:v>
                </c:pt>
                <c:pt idx="33">
                  <c:v>7.1115715607840162</c:v>
                </c:pt>
                <c:pt idx="34">
                  <c:v>7.0416437330301127</c:v>
                </c:pt>
                <c:pt idx="35">
                  <c:v>6.9728327675607051</c:v>
                </c:pt>
                <c:pt idx="36">
                  <c:v>6.9050771122277261</c:v>
                </c:pt>
                <c:pt idx="37">
                  <c:v>6.8383216655791141</c:v>
                </c:pt>
                <c:pt idx="38">
                  <c:v>6.7725169596240269</c:v>
                </c:pt>
                <c:pt idx="39">
                  <c:v>6.7076184610599725</c:v>
                </c:pt>
                <c:pt idx="40">
                  <c:v>6.6435859715498653</c:v>
                </c:pt>
                <c:pt idx="41">
                  <c:v>6.5803831111859035</c:v>
                </c:pt>
                <c:pt idx="42">
                  <c:v>6.5179768721114995</c:v>
                </c:pt>
                <c:pt idx="43">
                  <c:v>6.4563372315490675</c:v>
                </c:pt>
                <c:pt idx="44">
                  <c:v>6.3954368153197336</c:v>
                </c:pt>
                <c:pt idx="45">
                  <c:v>6.3352506044329449</c:v>
                </c:pt>
                <c:pt idx="46">
                  <c:v>6.2757556785406834</c:v>
                </c:pt>
                <c:pt idx="47">
                  <c:v>6.2169309910478274</c:v>
                </c:pt>
                <c:pt idx="48">
                  <c:v>6.1587571714904819</c:v>
                </c:pt>
                <c:pt idx="49">
                  <c:v>6.1012163514719635</c:v>
                </c:pt>
                <c:pt idx="50">
                  <c:v>6.0442920110085341</c:v>
                </c:pt>
                <c:pt idx="51">
                  <c:v>5.9879688426053663</c:v>
                </c:pt>
                <c:pt idx="52">
                  <c:v>5.9322326307747772</c:v>
                </c:pt>
                <c:pt idx="53">
                  <c:v>5.8770701450372442</c:v>
                </c:pt>
                <c:pt idx="54">
                  <c:v>5.8224690447222063</c:v>
                </c:pt>
                <c:pt idx="55">
                  <c:v>5.7684177941190802</c:v>
                </c:pt>
                <c:pt idx="56">
                  <c:v>5.7149055867267426</c:v>
                </c:pt>
                <c:pt idx="57">
                  <c:v>5.6619222775177489</c:v>
                </c:pt>
                <c:pt idx="58">
                  <c:v>5.6094583222766978</c:v>
                </c:pt>
                <c:pt idx="59">
                  <c:v>5.5575047231945716</c:v>
                </c:pt>
                <c:pt idx="60">
                  <c:v>5.5060529800055971</c:v>
                </c:pt>
                <c:pt idx="61">
                  <c:v>5.4550950460432786</c:v>
                </c:pt>
                <c:pt idx="62">
                  <c:v>5.404623288669745</c:v>
                </c:pt>
                <c:pt idx="63">
                  <c:v>5.3546304535994196</c:v>
                </c:pt>
                <c:pt idx="64">
                  <c:v>5.3051096326960261</c:v>
                </c:pt>
                <c:pt idx="65">
                  <c:v>5.2560542348719954</c:v>
                </c:pt>
                <c:pt idx="66">
                  <c:v>5.2074579597630768</c:v>
                </c:pt>
                <c:pt idx="67">
                  <c:v>5.1593147738888536</c:v>
                </c:pt>
                <c:pt idx="68">
                  <c:v>5.1116188890430472</c:v>
                </c:pt>
                <c:pt idx="69">
                  <c:v>5.0643647426864424</c:v>
                </c:pt>
                <c:pt idx="70">
                  <c:v>5.0175469801406614</c:v>
                </c:pt>
                <c:pt idx="71">
                  <c:v>4.9711604384032588</c:v>
                </c:pt>
                <c:pt idx="72">
                  <c:v>4.9252001314241856</c:v>
                </c:pt>
                <c:pt idx="73">
                  <c:v>4.8796612367009473</c:v>
                </c:pt>
                <c:pt idx="74">
                  <c:v>4.8345390830649055</c:v>
                </c:pt>
                <c:pt idx="75">
                  <c:v>4.7898291395446853</c:v>
                </c:pt>
                <c:pt idx="76">
                  <c:v>4.7455270052044796</c:v>
                </c:pt>
                <c:pt idx="77">
                  <c:v>4.7016283998655881</c:v>
                </c:pt>
                <c:pt idx="78">
                  <c:v>4.6581291556288944</c:v>
                </c:pt>
                <c:pt idx="79">
                  <c:v>4.6150252091242594</c:v>
                </c:pt>
                <c:pt idx="80">
                  <c:v>4.5723125944202225</c:v>
                </c:pt>
                <c:pt idx="81">
                  <c:v>4.5299874365340047</c:v>
                </c:pt>
                <c:pt idx="82">
                  <c:v>4.4880459454876265</c:v>
                </c:pt>
                <c:pt idx="83">
                  <c:v>4.4464844108613075</c:v>
                </c:pt>
                <c:pt idx="84">
                  <c:v>4.4052991967999082</c:v>
                </c:pt>
                <c:pt idx="85">
                  <c:v>4.3644867374324594</c:v>
                </c:pt>
                <c:pt idx="86">
                  <c:v>4.3240435326685676</c:v>
                </c:pt>
                <c:pt idx="87">
                  <c:v>4.2839661443388737</c:v>
                </c:pt>
                <c:pt idx="88">
                  <c:v>4.244251192649803</c:v>
                </c:pt>
                <c:pt idx="89">
                  <c:v>4.2048953529255737</c:v>
                </c:pt>
                <c:pt idx="90">
                  <c:v>4.1658953526128881</c:v>
                </c:pt>
                <c:pt idx="91">
                  <c:v>4.1272479685259897</c:v>
                </c:pt>
                <c:pt idx="92">
                  <c:v>4.088950024311746</c:v>
                </c:pt>
                <c:pt idx="93">
                  <c:v>4.0509983881162404</c:v>
                </c:pt>
                <c:pt idx="94">
                  <c:v>4.0133899704359948</c:v>
                </c:pt>
                <c:pt idx="95">
                  <c:v>3.9761217221384499</c:v>
                </c:pt>
                <c:pt idx="96">
                  <c:v>3.9391906326376294</c:v>
                </c:pt>
                <c:pt idx="97">
                  <c:v>3.9025937282121843</c:v>
                </c:pt>
                <c:pt idx="98">
                  <c:v>3.8663280704540819</c:v>
                </c:pt>
                <c:pt idx="99">
                  <c:v>3.8303907548372242</c:v>
                </c:pt>
                <c:pt idx="100">
                  <c:v>3.7947789093961939</c:v>
                </c:pt>
                <c:pt idx="101">
                  <c:v>3.7594896935061501</c:v>
                </c:pt>
                <c:pt idx="102">
                  <c:v>3.7245202967556481</c:v>
                </c:pt>
                <c:pt idx="103">
                  <c:v>3.6898679379048689</c:v>
                </c:pt>
                <c:pt idx="104">
                  <c:v>3.6555298639223275</c:v>
                </c:pt>
                <c:pt idx="105">
                  <c:v>3.6215033490937496</c:v>
                </c:pt>
                <c:pt idx="106">
                  <c:v>3.5877856941972985</c:v>
                </c:pt>
                <c:pt idx="107">
                  <c:v>3.5543742257398088</c:v>
                </c:pt>
                <c:pt idx="108">
                  <c:v>3.5212662952491391</c:v>
                </c:pt>
                <c:pt idx="109">
                  <c:v>3.4884592786181443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42-4655-9318-5A6D39AF856F}"/>
            </c:ext>
          </c:extLst>
        </c:ser>
        <c:ser>
          <c:idx val="2"/>
          <c:order val="2"/>
          <c:tx>
            <c:strRef>
              <c:f>Theta!$R$2</c:f>
              <c:strCache>
                <c:ptCount val="1"/>
                <c:pt idx="0">
                  <c:v>OTM Θ Call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Theta!$R$4:$R$113</c:f>
              <c:numCache>
                <c:formatCode>0.0000</c:formatCode>
                <c:ptCount val="110"/>
                <c:pt idx="0">
                  <c:v>6.2998450765082108</c:v>
                </c:pt>
                <c:pt idx="1">
                  <c:v>6.3387210367736175</c:v>
                </c:pt>
                <c:pt idx="2">
                  <c:v>6.4097026399118286</c:v>
                </c:pt>
                <c:pt idx="3">
                  <c:v>6.4754539132933777</c:v>
                </c:pt>
                <c:pt idx="4">
                  <c:v>6.5314752361886201</c:v>
                </c:pt>
                <c:pt idx="5">
                  <c:v>6.5778711218038808</c:v>
                </c:pt>
                <c:pt idx="6">
                  <c:v>6.6155829855913773</c:v>
                </c:pt>
                <c:pt idx="7">
                  <c:v>6.6456237606409587</c:v>
                </c:pt>
                <c:pt idx="8">
                  <c:v>6.6689064818177233</c:v>
                </c:pt>
                <c:pt idx="9">
                  <c:v>6.6862174300362467</c:v>
                </c:pt>
                <c:pt idx="10">
                  <c:v>6.69822620710418</c:v>
                </c:pt>
                <c:pt idx="11">
                  <c:v>6.7055034469818624</c:v>
                </c:pt>
                <c:pt idx="12">
                  <c:v>6.7085379560798524</c:v>
                </c:pt>
                <c:pt idx="13">
                  <c:v>6.7077512792851879</c:v>
                </c:pt>
                <c:pt idx="14">
                  <c:v>6.7035095506857143</c:v>
                </c:pt>
                <c:pt idx="15">
                  <c:v>6.6961329963257512</c:v>
                </c:pt>
                <c:pt idx="16">
                  <c:v>6.6859035358477197</c:v>
                </c:pt>
                <c:pt idx="17">
                  <c:v>6.6730708824490685</c:v>
                </c:pt>
                <c:pt idx="18">
                  <c:v>6.6578574660562744</c:v>
                </c:pt>
                <c:pt idx="19">
                  <c:v>6.6404624344211802</c:v>
                </c:pt>
                <c:pt idx="20">
                  <c:v>6.6210649289694405</c:v>
                </c:pt>
                <c:pt idx="21">
                  <c:v>6.5998267869187792</c:v>
                </c:pt>
                <c:pt idx="22">
                  <c:v>6.576894786473253</c:v>
                </c:pt>
                <c:pt idx="23">
                  <c:v>6.5524025255250065</c:v>
                </c:pt>
                <c:pt idx="24">
                  <c:v>6.5264720042791913</c:v>
                </c:pt>
                <c:pt idx="25">
                  <c:v>6.4992149669898591</c:v>
                </c:pt>
                <c:pt idx="26">
                  <c:v>6.4707340463560348</c:v>
                </c:pt>
                <c:pt idx="27">
                  <c:v>6.441123745180998</c:v>
                </c:pt>
                <c:pt idx="28">
                  <c:v>6.410471282977622</c:v>
                </c:pt>
                <c:pt idx="29">
                  <c:v>6.3788573298143465</c:v>
                </c:pt>
                <c:pt idx="30">
                  <c:v>6.3463566454729774</c:v>
                </c:pt>
                <c:pt idx="31">
                  <c:v>6.3130386386573587</c:v>
                </c:pt>
                <c:pt idx="32">
                  <c:v>6.2789678583459168</c:v>
                </c:pt>
                <c:pt idx="33">
                  <c:v>6.2442044272667596</c:v>
                </c:pt>
                <c:pt idx="34">
                  <c:v>6.2088044257744066</c:v>
                </c:pt>
                <c:pt idx="35">
                  <c:v>6.1728202330327111</c:v>
                </c:pt>
                <c:pt idx="36">
                  <c:v>6.1363008312911198</c:v>
                </c:pt>
                <c:pt idx="37">
                  <c:v>6.0992920781277027</c:v>
                </c:pt>
                <c:pt idx="38">
                  <c:v>6.0618369507816485</c:v>
                </c:pt>
                <c:pt idx="39">
                  <c:v>6.0239757660779585</c:v>
                </c:pt>
                <c:pt idx="40">
                  <c:v>5.985746378932622</c:v>
                </c:pt>
                <c:pt idx="41">
                  <c:v>5.9471843619977935</c:v>
                </c:pt>
                <c:pt idx="42">
                  <c:v>5.9083231686475486</c:v>
                </c:pt>
                <c:pt idx="43">
                  <c:v>5.8691942812030637</c:v>
                </c:pt>
                <c:pt idx="44">
                  <c:v>5.8298273460414132</c:v>
                </c:pt>
                <c:pt idx="45">
                  <c:v>5.7902502970163736</c:v>
                </c:pt>
                <c:pt idx="46">
                  <c:v>5.7504894684361734</c:v>
                </c:pt>
                <c:pt idx="47">
                  <c:v>5.7105696986865508</c:v>
                </c:pt>
                <c:pt idx="48">
                  <c:v>5.670514425453363</c:v>
                </c:pt>
                <c:pt idx="49">
                  <c:v>5.6303457733838389</c:v>
                </c:pt>
                <c:pt idx="50">
                  <c:v>5.5900846349262707</c:v>
                </c:pt>
                <c:pt idx="51">
                  <c:v>5.5497507450021368</c:v>
                </c:pt>
                <c:pt idx="52">
                  <c:v>5.5093627500902196</c:v>
                </c:pt>
                <c:pt idx="53">
                  <c:v>5.468938272237633</c:v>
                </c:pt>
                <c:pt idx="54">
                  <c:v>5.4284939684562685</c:v>
                </c:pt>
                <c:pt idx="55">
                  <c:v>5.3880455859138658</c:v>
                </c:pt>
                <c:pt idx="56">
                  <c:v>5.3476080132857282</c:v>
                </c:pt>
                <c:pt idx="57">
                  <c:v>5.3071953285951814</c:v>
                </c:pt>
                <c:pt idx="58">
                  <c:v>5.2668208438374196</c:v>
                </c:pt>
                <c:pt idx="59">
                  <c:v>5.2264971466519556</c:v>
                </c:pt>
                <c:pt idx="60">
                  <c:v>5.1862361392827525</c:v>
                </c:pt>
                <c:pt idx="61">
                  <c:v>5.146049075042054</c:v>
                </c:pt>
                <c:pt idx="62">
                  <c:v>5.1059465924733578</c:v>
                </c:pt>
                <c:pt idx="63">
                  <c:v>5.0659387473906952</c:v>
                </c:pt>
                <c:pt idx="64">
                  <c:v>5.0260350429551552</c:v>
                </c:pt>
                <c:pt idx="65">
                  <c:v>4.9862444579349132</c:v>
                </c:pt>
                <c:pt idx="66">
                  <c:v>4.9465754732821097</c:v>
                </c:pt>
                <c:pt idx="67">
                  <c:v>4.907036097148147</c:v>
                </c:pt>
                <c:pt idx="68">
                  <c:v>4.867633888448534</c:v>
                </c:pt>
                <c:pt idx="69">
                  <c:v>4.828375979078916</c:v>
                </c:pt>
                <c:pt idx="70">
                  <c:v>4.7892690948754701</c:v>
                </c:pt>
                <c:pt idx="71">
                  <c:v>4.7503195754051006</c:v>
                </c:pt>
                <c:pt idx="72">
                  <c:v>4.7115333926639558</c:v>
                </c:pt>
                <c:pt idx="73">
                  <c:v>4.6729161687565135</c:v>
                </c:pt>
                <c:pt idx="74">
                  <c:v>4.6344731926217326</c:v>
                </c:pt>
                <c:pt idx="75">
                  <c:v>4.5962094358676309</c:v>
                </c:pt>
                <c:pt idx="76">
                  <c:v>4.5581295677709157</c:v>
                </c:pt>
                <c:pt idx="77">
                  <c:v>4.520237969494012</c:v>
                </c:pt>
                <c:pt idx="78">
                  <c:v>4.4825387475679337</c:v>
                </c:pt>
                <c:pt idx="79">
                  <c:v>4.4450357466858561</c:v>
                </c:pt>
                <c:pt idx="80">
                  <c:v>4.4077325618489853</c:v>
                </c:pt>
                <c:pt idx="81">
                  <c:v>4.370632549903382</c:v>
                </c:pt>
                <c:pt idx="82">
                  <c:v>4.3337388405035524</c:v>
                </c:pt>
                <c:pt idx="83">
                  <c:v>4.2970543465362603</c:v>
                </c:pt>
                <c:pt idx="84">
                  <c:v>4.2605817740355594</c:v>
                </c:pt>
                <c:pt idx="85">
                  <c:v>4.2243236316180397</c:v>
                </c:pt>
                <c:pt idx="86">
                  <c:v>4.1882822394652655</c:v>
                </c:pt>
                <c:pt idx="87">
                  <c:v>4.1524597378786021</c:v>
                </c:pt>
                <c:pt idx="88">
                  <c:v>4.1168580954300005</c:v>
                </c:pt>
                <c:pt idx="89">
                  <c:v>4.0814791167307272</c:v>
                </c:pt>
                <c:pt idx="90">
                  <c:v>4.0463244498386466</c:v>
                </c:pt>
                <c:pt idx="91">
                  <c:v>4.0113955933233534</c:v>
                </c:pt>
                <c:pt idx="92">
                  <c:v>3.9766939030072441</c:v>
                </c:pt>
                <c:pt idx="93">
                  <c:v>3.9422205983994476</c:v>
                </c:pt>
                <c:pt idx="94">
                  <c:v>3.907976768838584</c:v>
                </c:pt>
                <c:pt idx="95">
                  <c:v>3.8739633793592581</c:v>
                </c:pt>
                <c:pt idx="96">
                  <c:v>3.8401812762963679</c:v>
                </c:pt>
                <c:pt idx="97">
                  <c:v>3.8066311926404235</c:v>
                </c:pt>
                <c:pt idx="98">
                  <c:v>3.773313753156335</c:v>
                </c:pt>
                <c:pt idx="99">
                  <c:v>3.7402294792773696</c:v>
                </c:pt>
                <c:pt idx="100">
                  <c:v>3.7073787937853266</c:v>
                </c:pt>
                <c:pt idx="101">
                  <c:v>3.6747620252873339</c:v>
                </c:pt>
                <c:pt idx="102">
                  <c:v>3.6423794124990909</c:v>
                </c:pt>
                <c:pt idx="103">
                  <c:v>3.610231108343835</c:v>
                </c:pt>
                <c:pt idx="104">
                  <c:v>3.5783171838757797</c:v>
                </c:pt>
                <c:pt idx="105">
                  <c:v>3.5466376320363109</c:v>
                </c:pt>
                <c:pt idx="106">
                  <c:v>3.5151923712507691</c:v>
                </c:pt>
                <c:pt idx="107">
                  <c:v>3.4839812488732198</c:v>
                </c:pt>
                <c:pt idx="108">
                  <c:v>3.4530040444862213</c:v>
                </c:pt>
                <c:pt idx="109">
                  <c:v>3.422260473062241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42-4655-9318-5A6D39AF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to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  <c:max val="1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Theta 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074463760675119"/>
          <c:y val="5.189360918100322E-2"/>
          <c:w val="0.18654504797309684"/>
          <c:h val="0.1348082006408503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Theta!$P$2</c:f>
              <c:strCache>
                <c:ptCount val="1"/>
                <c:pt idx="0">
                  <c:v>ATM Θ Put</c:v>
                </c:pt>
              </c:strCache>
            </c:strRef>
          </c:tx>
          <c:spPr>
            <a:ln w="28575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Theta!$S$4:$S$113</c:f>
              <c:numCache>
                <c:formatCode>0</c:formatCode>
                <c:ptCount val="110"/>
                <c:pt idx="0">
                  <c:v>9.5100000000000004E-2</c:v>
                </c:pt>
                <c:pt idx="1">
                  <c:v>0.19009999999999999</c:v>
                </c:pt>
                <c:pt idx="2">
                  <c:v>0.28510000000000002</c:v>
                </c:pt>
                <c:pt idx="3">
                  <c:v>0.38009999999999999</c:v>
                </c:pt>
                <c:pt idx="4">
                  <c:v>0.47509999999999997</c:v>
                </c:pt>
                <c:pt idx="5">
                  <c:v>0.57009999999999994</c:v>
                </c:pt>
                <c:pt idx="6">
                  <c:v>0.66509999999999991</c:v>
                </c:pt>
                <c:pt idx="7">
                  <c:v>0.76009999999999989</c:v>
                </c:pt>
                <c:pt idx="8">
                  <c:v>0.85509999999999986</c:v>
                </c:pt>
                <c:pt idx="9">
                  <c:v>0.95009999999999983</c:v>
                </c:pt>
                <c:pt idx="10">
                  <c:v>1.0450999999999999</c:v>
                </c:pt>
                <c:pt idx="11">
                  <c:v>1.1400999999999999</c:v>
                </c:pt>
                <c:pt idx="12">
                  <c:v>1.2350999999999999</c:v>
                </c:pt>
                <c:pt idx="13">
                  <c:v>1.3300999999999998</c:v>
                </c:pt>
                <c:pt idx="14">
                  <c:v>1.4250999999999998</c:v>
                </c:pt>
                <c:pt idx="15">
                  <c:v>1.5200999999999998</c:v>
                </c:pt>
                <c:pt idx="16">
                  <c:v>1.6150999999999998</c:v>
                </c:pt>
                <c:pt idx="17">
                  <c:v>1.7100999999999997</c:v>
                </c:pt>
                <c:pt idx="18">
                  <c:v>1.8050999999999997</c:v>
                </c:pt>
                <c:pt idx="19">
                  <c:v>1.9000999999999997</c:v>
                </c:pt>
                <c:pt idx="20">
                  <c:v>1.9950999999999997</c:v>
                </c:pt>
                <c:pt idx="21">
                  <c:v>2.0900999999999996</c:v>
                </c:pt>
                <c:pt idx="22">
                  <c:v>2.1850999999999998</c:v>
                </c:pt>
                <c:pt idx="23">
                  <c:v>2.2801</c:v>
                </c:pt>
                <c:pt idx="24">
                  <c:v>2.3751000000000002</c:v>
                </c:pt>
                <c:pt idx="25">
                  <c:v>2.4701000000000004</c:v>
                </c:pt>
                <c:pt idx="26">
                  <c:v>2.5651000000000006</c:v>
                </c:pt>
                <c:pt idx="27">
                  <c:v>2.6601000000000008</c:v>
                </c:pt>
                <c:pt idx="28">
                  <c:v>2.755100000000001</c:v>
                </c:pt>
                <c:pt idx="29">
                  <c:v>2.8501000000000012</c:v>
                </c:pt>
                <c:pt idx="30">
                  <c:v>2.9451000000000014</c:v>
                </c:pt>
                <c:pt idx="31">
                  <c:v>3.0401000000000016</c:v>
                </c:pt>
                <c:pt idx="32">
                  <c:v>3.1351000000000018</c:v>
                </c:pt>
                <c:pt idx="33">
                  <c:v>3.230100000000002</c:v>
                </c:pt>
                <c:pt idx="34">
                  <c:v>3.3251000000000022</c:v>
                </c:pt>
                <c:pt idx="35">
                  <c:v>3.4201000000000024</c:v>
                </c:pt>
                <c:pt idx="36">
                  <c:v>3.5151000000000026</c:v>
                </c:pt>
                <c:pt idx="37">
                  <c:v>3.6101000000000028</c:v>
                </c:pt>
                <c:pt idx="38">
                  <c:v>3.7051000000000029</c:v>
                </c:pt>
                <c:pt idx="39">
                  <c:v>3.8001000000000031</c:v>
                </c:pt>
                <c:pt idx="40">
                  <c:v>3.8951000000000033</c:v>
                </c:pt>
                <c:pt idx="41">
                  <c:v>3.9901000000000035</c:v>
                </c:pt>
                <c:pt idx="42">
                  <c:v>4.0851000000000033</c:v>
                </c:pt>
                <c:pt idx="43">
                  <c:v>4.180100000000003</c:v>
                </c:pt>
                <c:pt idx="44">
                  <c:v>4.2751000000000028</c:v>
                </c:pt>
                <c:pt idx="45">
                  <c:v>4.3701000000000025</c:v>
                </c:pt>
                <c:pt idx="46">
                  <c:v>4.4651000000000023</c:v>
                </c:pt>
                <c:pt idx="47">
                  <c:v>4.560100000000002</c:v>
                </c:pt>
                <c:pt idx="48">
                  <c:v>4.6551000000000018</c:v>
                </c:pt>
                <c:pt idx="49">
                  <c:v>4.7501000000000015</c:v>
                </c:pt>
                <c:pt idx="50">
                  <c:v>4.8451000000000013</c:v>
                </c:pt>
                <c:pt idx="51">
                  <c:v>4.940100000000001</c:v>
                </c:pt>
                <c:pt idx="52">
                  <c:v>5.0351000000000008</c:v>
                </c:pt>
                <c:pt idx="53">
                  <c:v>5.1301000000000005</c:v>
                </c:pt>
                <c:pt idx="54">
                  <c:v>5.2251000000000003</c:v>
                </c:pt>
                <c:pt idx="55">
                  <c:v>5.3201000000000001</c:v>
                </c:pt>
                <c:pt idx="56">
                  <c:v>5.4150999999999998</c:v>
                </c:pt>
                <c:pt idx="57">
                  <c:v>5.5100999999999996</c:v>
                </c:pt>
                <c:pt idx="58">
                  <c:v>5.6050999999999993</c:v>
                </c:pt>
                <c:pt idx="59">
                  <c:v>5.7000999999999991</c:v>
                </c:pt>
                <c:pt idx="60">
                  <c:v>5.7950999999999988</c:v>
                </c:pt>
                <c:pt idx="61">
                  <c:v>5.8900999999999986</c:v>
                </c:pt>
                <c:pt idx="62">
                  <c:v>5.9850999999999983</c:v>
                </c:pt>
                <c:pt idx="63">
                  <c:v>6.0800999999999981</c:v>
                </c:pt>
                <c:pt idx="64">
                  <c:v>6.1750999999999978</c:v>
                </c:pt>
                <c:pt idx="65">
                  <c:v>6.2700999999999976</c:v>
                </c:pt>
                <c:pt idx="66">
                  <c:v>6.3650999999999973</c:v>
                </c:pt>
                <c:pt idx="67">
                  <c:v>6.4600999999999971</c:v>
                </c:pt>
                <c:pt idx="68">
                  <c:v>6.5550999999999968</c:v>
                </c:pt>
                <c:pt idx="69">
                  <c:v>6.6500999999999966</c:v>
                </c:pt>
                <c:pt idx="70">
                  <c:v>6.7450999999999963</c:v>
                </c:pt>
                <c:pt idx="71">
                  <c:v>6.8400999999999961</c:v>
                </c:pt>
                <c:pt idx="72">
                  <c:v>6.9350999999999958</c:v>
                </c:pt>
                <c:pt idx="73">
                  <c:v>7.0300999999999956</c:v>
                </c:pt>
                <c:pt idx="74">
                  <c:v>7.1250999999999953</c:v>
                </c:pt>
                <c:pt idx="75">
                  <c:v>7.2200999999999951</c:v>
                </c:pt>
                <c:pt idx="76">
                  <c:v>7.3150999999999948</c:v>
                </c:pt>
                <c:pt idx="77">
                  <c:v>7.4100999999999946</c:v>
                </c:pt>
                <c:pt idx="78">
                  <c:v>7.5050999999999943</c:v>
                </c:pt>
                <c:pt idx="79">
                  <c:v>7.6000999999999941</c:v>
                </c:pt>
                <c:pt idx="80">
                  <c:v>7.6950999999999938</c:v>
                </c:pt>
                <c:pt idx="81">
                  <c:v>7.7900999999999936</c:v>
                </c:pt>
                <c:pt idx="82">
                  <c:v>7.8850999999999933</c:v>
                </c:pt>
                <c:pt idx="83">
                  <c:v>7.9800999999999931</c:v>
                </c:pt>
                <c:pt idx="84">
                  <c:v>8.0750999999999937</c:v>
                </c:pt>
                <c:pt idx="85">
                  <c:v>8.1700999999999944</c:v>
                </c:pt>
                <c:pt idx="86">
                  <c:v>8.265099999999995</c:v>
                </c:pt>
                <c:pt idx="87">
                  <c:v>8.3600999999999956</c:v>
                </c:pt>
                <c:pt idx="88">
                  <c:v>8.4550999999999963</c:v>
                </c:pt>
                <c:pt idx="89">
                  <c:v>8.5500999999999969</c:v>
                </c:pt>
                <c:pt idx="90">
                  <c:v>8.6450999999999976</c:v>
                </c:pt>
                <c:pt idx="91">
                  <c:v>8.7400999999999982</c:v>
                </c:pt>
                <c:pt idx="92">
                  <c:v>8.8350999999999988</c:v>
                </c:pt>
                <c:pt idx="93">
                  <c:v>8.9300999999999995</c:v>
                </c:pt>
                <c:pt idx="94">
                  <c:v>9.0251000000000001</c:v>
                </c:pt>
                <c:pt idx="95">
                  <c:v>9.1201000000000008</c:v>
                </c:pt>
                <c:pt idx="96">
                  <c:v>9.2151000000000014</c:v>
                </c:pt>
                <c:pt idx="97">
                  <c:v>9.310100000000002</c:v>
                </c:pt>
                <c:pt idx="98">
                  <c:v>9.4051000000000027</c:v>
                </c:pt>
                <c:pt idx="99">
                  <c:v>9.5001000000000033</c:v>
                </c:pt>
                <c:pt idx="100">
                  <c:v>9.595100000000004</c:v>
                </c:pt>
                <c:pt idx="101">
                  <c:v>9.6901000000000046</c:v>
                </c:pt>
                <c:pt idx="102">
                  <c:v>9.7851000000000052</c:v>
                </c:pt>
                <c:pt idx="103">
                  <c:v>9.8801000000000059</c:v>
                </c:pt>
                <c:pt idx="104">
                  <c:v>9.9751000000000065</c:v>
                </c:pt>
                <c:pt idx="105">
                  <c:v>10.070100000000007</c:v>
                </c:pt>
                <c:pt idx="106">
                  <c:v>10.165100000000008</c:v>
                </c:pt>
                <c:pt idx="107">
                  <c:v>10.260100000000008</c:v>
                </c:pt>
                <c:pt idx="108">
                  <c:v>10.355100000000009</c:v>
                </c:pt>
                <c:pt idx="109">
                  <c:v>10.45010000000001</c:v>
                </c:pt>
              </c:numCache>
            </c:numRef>
          </c:cat>
          <c:val>
            <c:numRef>
              <c:f>Theta!$P$4:$P$113</c:f>
              <c:numCache>
                <c:formatCode>0.0000</c:formatCode>
                <c:ptCount val="110"/>
                <c:pt idx="0">
                  <c:v>2.0656686759739831</c:v>
                </c:pt>
                <c:pt idx="1">
                  <c:v>0.43475801271348047</c:v>
                </c:pt>
                <c:pt idx="2">
                  <c:v>-0.20058692210999407</c:v>
                </c:pt>
                <c:pt idx="3">
                  <c:v>-0.52873681971179698</c:v>
                </c:pt>
                <c:pt idx="4">
                  <c:v>-0.71903405766281692</c:v>
                </c:pt>
                <c:pt idx="5">
                  <c:v>-0.83538008428728183</c:v>
                </c:pt>
                <c:pt idx="6">
                  <c:v>-0.90764420130056722</c:v>
                </c:pt>
                <c:pt idx="7">
                  <c:v>-0.95175412991919472</c:v>
                </c:pt>
                <c:pt idx="8">
                  <c:v>-0.97700167642628588</c:v>
                </c:pt>
                <c:pt idx="9">
                  <c:v>-0.98917285677677991</c:v>
                </c:pt>
                <c:pt idx="10">
                  <c:v>-0.9920531754428108</c:v>
                </c:pt>
                <c:pt idx="11">
                  <c:v>-0.98821674053142061</c:v>
                </c:pt>
                <c:pt idx="12">
                  <c:v>-0.97946866669933264</c:v>
                </c:pt>
                <c:pt idx="13">
                  <c:v>-0.96710681481440042</c:v>
                </c:pt>
                <c:pt idx="14">
                  <c:v>-0.95208363603894353</c:v>
                </c:pt>
                <c:pt idx="15">
                  <c:v>-0.93511000730300298</c:v>
                </c:pt>
                <c:pt idx="16">
                  <c:v>-0.91672396686114643</c:v>
                </c:pt>
                <c:pt idx="17">
                  <c:v>-0.89733745356071304</c:v>
                </c:pt>
                <c:pt idx="18">
                  <c:v>-0.87726883811750023</c:v>
                </c:pt>
                <c:pt idx="19">
                  <c:v>-0.85676603180431177</c:v>
                </c:pt>
                <c:pt idx="20">
                  <c:v>-0.83602319955096693</c:v>
                </c:pt>
                <c:pt idx="21">
                  <c:v>-0.8151930418893667</c:v>
                </c:pt>
                <c:pt idx="22">
                  <c:v>-0.79439594998405572</c:v>
                </c:pt>
                <c:pt idx="23">
                  <c:v>-0.773726917504161</c:v>
                </c:pt>
                <c:pt idx="24">
                  <c:v>-0.75326081926153343</c:v>
                </c:pt>
                <c:pt idx="25">
                  <c:v>-0.73305648460206108</c:v>
                </c:pt>
                <c:pt idx="26">
                  <c:v>-0.71315987043684015</c:v>
                </c:pt>
                <c:pt idx="27">
                  <c:v>-0.69360655411885175</c:v>
                </c:pt>
                <c:pt idx="28">
                  <c:v>-0.67442370722945211</c:v>
                </c:pt>
                <c:pt idx="29">
                  <c:v>-0.6556316694562011</c:v>
                </c:pt>
                <c:pt idx="30">
                  <c:v>-0.63724521170057147</c:v>
                </c:pt>
                <c:pt idx="31">
                  <c:v>-0.61927455574723389</c:v>
                </c:pt>
                <c:pt idx="32">
                  <c:v>-0.60172620182342551</c:v>
                </c:pt>
                <c:pt idx="33">
                  <c:v>-0.58460360351234386</c:v>
                </c:pt>
                <c:pt idx="34">
                  <c:v>-0.56790772060442141</c:v>
                </c:pt>
                <c:pt idx="35">
                  <c:v>-0.55163747376471239</c:v>
                </c:pt>
                <c:pt idx="36">
                  <c:v>-0.53579011978886149</c:v>
                </c:pt>
                <c:pt idx="37">
                  <c:v>-0.52036156230215336</c:v>
                </c:pt>
                <c:pt idx="38">
                  <c:v>-0.50534660972761403</c:v>
                </c:pt>
                <c:pt idx="39">
                  <c:v>-0.49073918999196886</c:v>
                </c:pt>
                <c:pt idx="40">
                  <c:v>-0.47653252959176334</c:v>
                </c:pt>
                <c:pt idx="41">
                  <c:v>-0.46271930318660059</c:v>
                </c:pt>
                <c:pt idx="42">
                  <c:v>-0.44929175873274085</c:v>
                </c:pt>
                <c:pt idx="43">
                  <c:v>-0.43624182225080482</c:v>
                </c:pt>
                <c:pt idx="44">
                  <c:v>-0.42356118558453537</c:v>
                </c:pt>
                <c:pt idx="45">
                  <c:v>-0.41124137991449522</c:v>
                </c:pt>
                <c:pt idx="46">
                  <c:v>-0.39927383731075505</c:v>
                </c:pt>
                <c:pt idx="47">
                  <c:v>-0.3876499422188972</c:v>
                </c:pt>
                <c:pt idx="48">
                  <c:v>-0.37636107445563388</c:v>
                </c:pt>
                <c:pt idx="49">
                  <c:v>-0.36539864502991315</c:v>
                </c:pt>
                <c:pt idx="50">
                  <c:v>-0.35475412589119426</c:v>
                </c:pt>
                <c:pt idx="51">
                  <c:v>-0.3444190745299095</c:v>
                </c:pt>
                <c:pt idx="52">
                  <c:v>-0.33438515420878218</c:v>
                </c:pt>
                <c:pt idx="53">
                  <c:v>-0.3246441504821348</c:v>
                </c:pt>
                <c:pt idx="54">
                  <c:v>-0.31518798455905805</c:v>
                </c:pt>
                <c:pt idx="55">
                  <c:v>-0.30600872398162821</c:v>
                </c:pt>
                <c:pt idx="56">
                  <c:v>-0.29709859101843927</c:v>
                </c:pt>
                <c:pt idx="57">
                  <c:v>-0.28844996911408555</c:v>
                </c:pt>
                <c:pt idx="58">
                  <c:v>-0.28005540768498061</c:v>
                </c:pt>
                <c:pt idx="59">
                  <c:v>-0.27190762550948944</c:v>
                </c:pt>
                <c:pt idx="60">
                  <c:v>-0.26399951292440715</c:v>
                </c:pt>
                <c:pt idx="61">
                  <c:v>-0.25632413300935325</c:v>
                </c:pt>
                <c:pt idx="62">
                  <c:v>-0.24887472191474325</c:v>
                </c:pt>
                <c:pt idx="63">
                  <c:v>-0.24164468846689613</c:v>
                </c:pt>
                <c:pt idx="64">
                  <c:v>-0.23462761316503025</c:v>
                </c:pt>
                <c:pt idx="65">
                  <c:v>-0.22781724666875411</c:v>
                </c:pt>
                <c:pt idx="66">
                  <c:v>-0.22120750786088123</c:v>
                </c:pt>
                <c:pt idx="67">
                  <c:v>-0.21479248155855088</c:v>
                </c:pt>
                <c:pt idx="68">
                  <c:v>-0.20856641593545769</c:v>
                </c:pt>
                <c:pt idx="69">
                  <c:v>-0.20252371970925903</c:v>
                </c:pt>
                <c:pt idx="70">
                  <c:v>-0.19665895914067233</c:v>
                </c:pt>
                <c:pt idx="71">
                  <c:v>-0.19096685488428342</c:v>
                </c:pt>
                <c:pt idx="72">
                  <c:v>-0.1854422787254687</c:v>
                </c:pt>
                <c:pt idx="73">
                  <c:v>-0.18008025023297475</c:v>
                </c:pt>
                <c:pt idx="74">
                  <c:v>-0.17487593335251217</c:v>
                </c:pt>
                <c:pt idx="75">
                  <c:v>-0.16982463296307473</c:v>
                </c:pt>
                <c:pt idx="76">
                  <c:v>-0.16492179141454627</c:v>
                </c:pt>
                <c:pt idx="77">
                  <c:v>-0.16016298506243101</c:v>
                </c:pt>
                <c:pt idx="78">
                  <c:v>-0.15554392081316865</c:v>
                </c:pt>
                <c:pt idx="79">
                  <c:v>-0.15106043269144317</c:v>
                </c:pt>
                <c:pt idx="80">
                  <c:v>-0.14670847843910845</c:v>
                </c:pt>
                <c:pt idx="81">
                  <c:v>-0.14248413615380107</c:v>
                </c:pt>
                <c:pt idx="82">
                  <c:v>-0.13838360097397467</c:v>
                </c:pt>
                <c:pt idx="83">
                  <c:v>-0.1344031818159119</c:v>
                </c:pt>
                <c:pt idx="84">
                  <c:v>-0.13053929816726606</c:v>
                </c:pt>
                <c:pt idx="85">
                  <c:v>-0.12678847694080309</c:v>
                </c:pt>
                <c:pt idx="86">
                  <c:v>-0.12314734939124859</c:v>
                </c:pt>
                <c:pt idx="87">
                  <c:v>-0.11961264809749443</c:v>
                </c:pt>
                <c:pt idx="88">
                  <c:v>-0.11618120401184007</c:v>
                </c:pt>
                <c:pt idx="89">
                  <c:v>-0.11284994357746192</c:v>
                </c:pt>
                <c:pt idx="90">
                  <c:v>-0.10961588591486415</c:v>
                </c:pt>
                <c:pt idx="91">
                  <c:v>-0.10647614007771786</c:v>
                </c:pt>
                <c:pt idx="92">
                  <c:v>-0.10342790237816545</c:v>
                </c:pt>
                <c:pt idx="93">
                  <c:v>-0.10046845378140931</c:v>
                </c:pt>
                <c:pt idx="94">
                  <c:v>-9.7595157369170737E-2</c:v>
                </c:pt>
                <c:pt idx="95">
                  <c:v>-9.4805455871413299E-2</c:v>
                </c:pt>
                <c:pt idx="96">
                  <c:v>-9.2096869265556519E-2</c:v>
                </c:pt>
                <c:pt idx="97">
                  <c:v>-8.9466992442276627E-2</c:v>
                </c:pt>
                <c:pt idx="98">
                  <c:v>-8.6913492936868203E-2</c:v>
                </c:pt>
                <c:pt idx="99">
                  <c:v>-8.4434108725050222E-2</c:v>
                </c:pt>
                <c:pt idx="100">
                  <c:v>-8.2026646082024576E-2</c:v>
                </c:pt>
                <c:pt idx="101">
                  <c:v>-7.9688977503530475E-2</c:v>
                </c:pt>
                <c:pt idx="102">
                  <c:v>-7.741903968759431E-2</c:v>
                </c:pt>
                <c:pt idx="103">
                  <c:v>-7.5214831575632315E-2</c:v>
                </c:pt>
                <c:pt idx="104">
                  <c:v>-7.307441245154242E-2</c:v>
                </c:pt>
                <c:pt idx="105">
                  <c:v>-7.0995900097402739E-2</c:v>
                </c:pt>
                <c:pt idx="106">
                  <c:v>-6.8977469004381065E-2</c:v>
                </c:pt>
                <c:pt idx="107">
                  <c:v>-6.7017348637458285E-2</c:v>
                </c:pt>
                <c:pt idx="108">
                  <c:v>-6.5113821752573672E-2</c:v>
                </c:pt>
                <c:pt idx="109">
                  <c:v>-6.3265222764798637E-2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7-44BA-8BA2-1D8FC0EA6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258848"/>
        <c:axId val="950266048"/>
      </c:lineChart>
      <c:catAx>
        <c:axId val="9502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to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66048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950266048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Theta 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25884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Call Value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Vega!$P$3:$P$113</c:f>
              <c:numCache>
                <c:formatCode>0.0000</c:formatCode>
                <c:ptCount val="111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</c:numCache>
            </c:numRef>
          </c:cat>
          <c:val>
            <c:numRef>
              <c:f>Vega!$M$3:$M$113</c:f>
              <c:numCache>
                <c:formatCode>0.00</c:formatCode>
                <c:ptCount val="111"/>
                <c:pt idx="0">
                  <c:v>9.5162581964040527</c:v>
                </c:pt>
                <c:pt idx="1">
                  <c:v>9.5162581964040527</c:v>
                </c:pt>
                <c:pt idx="2">
                  <c:v>9.5162581964067385</c:v>
                </c:pt>
                <c:pt idx="3">
                  <c:v>9.5162582981078998</c:v>
                </c:pt>
                <c:pt idx="4">
                  <c:v>9.5162751871462632</c:v>
                </c:pt>
                <c:pt idx="5">
                  <c:v>9.5165779999739613</c:v>
                </c:pt>
                <c:pt idx="6">
                  <c:v>9.5183465161880036</c:v>
                </c:pt>
                <c:pt idx="7">
                  <c:v>9.5238825046086788</c:v>
                </c:pt>
                <c:pt idx="8">
                  <c:v>9.5358875287627285</c:v>
                </c:pt>
                <c:pt idx="9">
                  <c:v>9.5566313059011492</c:v>
                </c:pt>
                <c:pt idx="10">
                  <c:v>9.5875737354235469</c:v>
                </c:pt>
                <c:pt idx="11">
                  <c:v>9.6293777851407469</c:v>
                </c:pt>
                <c:pt idx="12">
                  <c:v>9.6820917788561047</c:v>
                </c:pt>
                <c:pt idx="13">
                  <c:v>9.7453548522437785</c:v>
                </c:pt>
                <c:pt idx="14">
                  <c:v>9.8185661272607945</c:v>
                </c:pt>
                <c:pt idx="15">
                  <c:v>9.90100575126786</c:v>
                </c:pt>
                <c:pt idx="16">
                  <c:v>9.9919143620814026</c:v>
                </c:pt>
                <c:pt idx="17">
                  <c:v>10.090541788792279</c:v>
                </c:pt>
                <c:pt idx="18">
                  <c:v>10.196174748458958</c:v>
                </c:pt>
                <c:pt idx="19">
                  <c:v>10.308150925634436</c:v>
                </c:pt>
                <c:pt idx="20">
                  <c:v>10.425864579499503</c:v>
                </c:pt>
                <c:pt idx="21">
                  <c:v>10.548767094798677</c:v>
                </c:pt>
                <c:pt idx="22">
                  <c:v>10.676364673579073</c:v>
                </c:pt>
                <c:pt idx="23">
                  <c:v>10.808214544938366</c:v>
                </c:pt>
                <c:pt idx="24">
                  <c:v>10.94392053456265</c:v>
                </c:pt>
                <c:pt idx="25">
                  <c:v>11.08312849308291</c:v>
                </c:pt>
                <c:pt idx="26">
                  <c:v>11.225521866386075</c:v>
                </c:pt>
                <c:pt idx="27">
                  <c:v>11.370817557167342</c:v>
                </c:pt>
                <c:pt idx="28">
                  <c:v>11.518762145552898</c:v>
                </c:pt>
                <c:pt idx="29">
                  <c:v>11.669128488287313</c:v>
                </c:pt>
                <c:pt idx="30">
                  <c:v>11.82171268837719</c:v>
                </c:pt>
                <c:pt idx="31">
                  <c:v>11.976331412306116</c:v>
                </c:pt>
                <c:pt idx="32">
                  <c:v>12.13281952497347</c:v>
                </c:pt>
                <c:pt idx="33">
                  <c:v>12.291028010203625</c:v>
                </c:pt>
                <c:pt idx="34">
                  <c:v>12.450822145042466</c:v>
                </c:pt>
                <c:pt idx="35">
                  <c:v>12.612079897883127</c:v>
                </c:pt>
                <c:pt idx="36">
                  <c:v>12.774690522992536</c:v>
                </c:pt>
                <c:pt idx="37">
                  <c:v>12.938553326793517</c:v>
                </c:pt>
                <c:pt idx="38">
                  <c:v>13.103576584040752</c:v>
                </c:pt>
                <c:pt idx="39">
                  <c:v>13.2696765846609</c:v>
                </c:pt>
                <c:pt idx="40">
                  <c:v>13.436776794445969</c:v>
                </c:pt>
                <c:pt idx="41">
                  <c:v>13.604807114959932</c:v>
                </c:pt>
                <c:pt idx="42">
                  <c:v>13.773703229943784</c:v>
                </c:pt>
                <c:pt idx="43">
                  <c:v>13.943406027193888</c:v>
                </c:pt>
                <c:pt idx="44">
                  <c:v>14.113861086360458</c:v>
                </c:pt>
                <c:pt idx="45">
                  <c:v>14.285018224392743</c:v>
                </c:pt>
                <c:pt idx="46">
                  <c:v>14.456831091462057</c:v>
                </c:pt>
                <c:pt idx="47">
                  <c:v>14.629256811149169</c:v>
                </c:pt>
                <c:pt idx="48">
                  <c:v>14.802255659506059</c:v>
                </c:pt>
                <c:pt idx="49">
                  <c:v>14.975790778311307</c:v>
                </c:pt>
                <c:pt idx="50">
                  <c:v>15.149827918449681</c:v>
                </c:pt>
                <c:pt idx="51">
                  <c:v>15.324335209874604</c:v>
                </c:pt>
                <c:pt idx="52">
                  <c:v>15.499282955064892</c:v>
                </c:pt>
                <c:pt idx="53">
                  <c:v>15.674643443281774</c:v>
                </c:pt>
                <c:pt idx="54">
                  <c:v>15.850390783269297</c:v>
                </c:pt>
                <c:pt idx="55">
                  <c:v>16.026500752335529</c:v>
                </c:pt>
                <c:pt idx="56">
                  <c:v>16.202950660005889</c:v>
                </c:pt>
                <c:pt idx="57">
                  <c:v>16.379719224659318</c:v>
                </c:pt>
                <c:pt idx="58">
                  <c:v>16.556786461750548</c:v>
                </c:pt>
                <c:pt idx="59">
                  <c:v>16.734133582386676</c:v>
                </c:pt>
                <c:pt idx="60">
                  <c:v>16.911742901172104</c:v>
                </c:pt>
                <c:pt idx="61">
                  <c:v>17.089597752361527</c:v>
                </c:pt>
                <c:pt idx="62">
                  <c:v>17.267682413471412</c:v>
                </c:pt>
                <c:pt idx="63">
                  <c:v>17.445982035596622</c:v>
                </c:pt>
                <c:pt idx="64">
                  <c:v>17.624482579763473</c:v>
                </c:pt>
                <c:pt idx="65">
                  <c:v>17.803170758724768</c:v>
                </c:pt>
                <c:pt idx="66">
                  <c:v>17.982033983667577</c:v>
                </c:pt>
                <c:pt idx="67">
                  <c:v>18.161060315361404</c:v>
                </c:pt>
                <c:pt idx="68">
                  <c:v>18.340238419325765</c:v>
                </c:pt>
                <c:pt idx="69">
                  <c:v>18.519557524640028</c:v>
                </c:pt>
                <c:pt idx="70">
                  <c:v>18.699007386058291</c:v>
                </c:pt>
                <c:pt idx="71">
                  <c:v>18.878578249126775</c:v>
                </c:pt>
                <c:pt idx="72">
                  <c:v>19.058260818032231</c:v>
                </c:pt>
                <c:pt idx="73">
                  <c:v>19.238046225937047</c:v>
                </c:pt>
                <c:pt idx="74">
                  <c:v>19.417926007581791</c:v>
                </c:pt>
                <c:pt idx="75">
                  <c:v>19.5978920739568</c:v>
                </c:pt>
                <c:pt idx="76">
                  <c:v>19.777936688864358</c:v>
                </c:pt>
                <c:pt idx="77">
                  <c:v>19.958052447210342</c:v>
                </c:pt>
                <c:pt idx="78">
                  <c:v>20.138232254878929</c:v>
                </c:pt>
                <c:pt idx="79">
                  <c:v>20.31846931005871</c:v>
                </c:pt>
                <c:pt idx="80">
                  <c:v>20.498757085900323</c:v>
                </c:pt>
                <c:pt idx="81">
                  <c:v>20.679089314396691</c:v>
                </c:pt>
                <c:pt idx="82">
                  <c:v>20.859459971387601</c:v>
                </c:pt>
                <c:pt idx="83">
                  <c:v>21.039863262598416</c:v>
                </c:pt>
                <c:pt idx="84">
                  <c:v>21.220293610631529</c:v>
                </c:pt>
                <c:pt idx="85">
                  <c:v>21.400745642835794</c:v>
                </c:pt>
                <c:pt idx="86">
                  <c:v>21.581214179986524</c:v>
                </c:pt>
                <c:pt idx="87">
                  <c:v>21.7616942257132</c:v>
                </c:pt>
                <c:pt idx="88">
                  <c:v>21.942180956619083</c:v>
                </c:pt>
                <c:pt idx="89">
                  <c:v>22.122669713040324</c:v>
                </c:pt>
                <c:pt idx="90">
                  <c:v>22.303155990397229</c:v>
                </c:pt>
                <c:pt idx="91">
                  <c:v>22.483635431094278</c:v>
                </c:pt>
                <c:pt idx="92">
                  <c:v>22.664103816928836</c:v>
                </c:pt>
                <c:pt idx="93">
                  <c:v>22.844557061971933</c:v>
                </c:pt>
                <c:pt idx="94">
                  <c:v>23.024991205887559</c:v>
                </c:pt>
                <c:pt idx="95">
                  <c:v>23.205402407659214</c:v>
                </c:pt>
                <c:pt idx="96">
                  <c:v>23.38578693969572</c:v>
                </c:pt>
                <c:pt idx="97">
                  <c:v>23.566141182289321</c:v>
                </c:pt>
                <c:pt idx="98">
                  <c:v>23.746461618402627</c:v>
                </c:pt>
                <c:pt idx="99">
                  <c:v>23.926744828761365</c:v>
                </c:pt>
                <c:pt idx="100">
                  <c:v>24.106987487232942</c:v>
                </c:pt>
                <c:pt idx="101">
                  <c:v>24.287186356471203</c:v>
                </c:pt>
                <c:pt idx="102">
                  <c:v>24.46733828381015</c:v>
                </c:pt>
                <c:pt idx="103">
                  <c:v>24.647440197390161</c:v>
                </c:pt>
                <c:pt idx="104">
                  <c:v>24.82748910250158</c:v>
                </c:pt>
                <c:pt idx="105">
                  <c:v>25.007482078131758</c:v>
                </c:pt>
                <c:pt idx="106">
                  <c:v>25.187416273702489</c:v>
                </c:pt>
                <c:pt idx="107">
                  <c:v>25.36728890598593</c:v>
                </c:pt>
                <c:pt idx="108">
                  <c:v>25.547097256187548</c:v>
                </c:pt>
                <c:pt idx="109">
                  <c:v>25.726838667186016</c:v>
                </c:pt>
                <c:pt idx="110">
                  <c:v>25.906510540920273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A-4ED8-A362-7AC9CD6B0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362736"/>
        <c:axId val="1522365136"/>
      </c:lineChart>
      <c:catAx>
        <c:axId val="152236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513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22365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Call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Vega!$Q$2</c:f>
              <c:strCache>
                <c:ptCount val="1"/>
                <c:pt idx="0">
                  <c:v>Vega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Vega!$P$3:$P$113</c:f>
              <c:numCache>
                <c:formatCode>0.0000</c:formatCode>
                <c:ptCount val="111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3.0000000000000002E-2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4.9999999999999996E-2</c:v>
                </c:pt>
                <c:pt idx="10">
                  <c:v>5.4999999999999993E-2</c:v>
                </c:pt>
                <c:pt idx="11">
                  <c:v>5.9999999999999991E-2</c:v>
                </c:pt>
                <c:pt idx="12">
                  <c:v>6.4999999999999988E-2</c:v>
                </c:pt>
                <c:pt idx="13">
                  <c:v>6.9999999999999993E-2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9.0000000000000011E-2</c:v>
                </c:pt>
                <c:pt idx="18">
                  <c:v>9.5000000000000015E-2</c:v>
                </c:pt>
                <c:pt idx="19">
                  <c:v>0.10000000000000002</c:v>
                </c:pt>
                <c:pt idx="20">
                  <c:v>0.10500000000000002</c:v>
                </c:pt>
                <c:pt idx="21">
                  <c:v>0.11000000000000003</c:v>
                </c:pt>
                <c:pt idx="22">
                  <c:v>0.11500000000000003</c:v>
                </c:pt>
                <c:pt idx="23">
                  <c:v>0.12000000000000004</c:v>
                </c:pt>
                <c:pt idx="24">
                  <c:v>0.12500000000000003</c:v>
                </c:pt>
                <c:pt idx="25">
                  <c:v>0.13000000000000003</c:v>
                </c:pt>
                <c:pt idx="26">
                  <c:v>0.13500000000000004</c:v>
                </c:pt>
                <c:pt idx="27">
                  <c:v>0.14000000000000004</c:v>
                </c:pt>
                <c:pt idx="28">
                  <c:v>0.14500000000000005</c:v>
                </c:pt>
                <c:pt idx="29">
                  <c:v>0.15000000000000005</c:v>
                </c:pt>
                <c:pt idx="30">
                  <c:v>0.15500000000000005</c:v>
                </c:pt>
                <c:pt idx="31">
                  <c:v>0.16000000000000006</c:v>
                </c:pt>
                <c:pt idx="32">
                  <c:v>0.16500000000000006</c:v>
                </c:pt>
                <c:pt idx="33">
                  <c:v>0.17000000000000007</c:v>
                </c:pt>
                <c:pt idx="34">
                  <c:v>0.17500000000000007</c:v>
                </c:pt>
                <c:pt idx="35">
                  <c:v>0.18000000000000008</c:v>
                </c:pt>
                <c:pt idx="36">
                  <c:v>0.18500000000000008</c:v>
                </c:pt>
                <c:pt idx="37">
                  <c:v>0.19000000000000009</c:v>
                </c:pt>
                <c:pt idx="38">
                  <c:v>0.19500000000000009</c:v>
                </c:pt>
                <c:pt idx="39">
                  <c:v>0.20000000000000009</c:v>
                </c:pt>
                <c:pt idx="40">
                  <c:v>0.2050000000000001</c:v>
                </c:pt>
                <c:pt idx="41">
                  <c:v>0.2100000000000001</c:v>
                </c:pt>
                <c:pt idx="42">
                  <c:v>0.21500000000000011</c:v>
                </c:pt>
                <c:pt idx="43">
                  <c:v>0.22000000000000011</c:v>
                </c:pt>
                <c:pt idx="44">
                  <c:v>0.22500000000000012</c:v>
                </c:pt>
                <c:pt idx="45">
                  <c:v>0.23000000000000012</c:v>
                </c:pt>
                <c:pt idx="46">
                  <c:v>0.23500000000000013</c:v>
                </c:pt>
                <c:pt idx="47">
                  <c:v>0.24000000000000013</c:v>
                </c:pt>
                <c:pt idx="48">
                  <c:v>0.24500000000000013</c:v>
                </c:pt>
                <c:pt idx="49">
                  <c:v>0.25000000000000011</c:v>
                </c:pt>
                <c:pt idx="50">
                  <c:v>0.25500000000000012</c:v>
                </c:pt>
                <c:pt idx="51">
                  <c:v>0.26000000000000012</c:v>
                </c:pt>
                <c:pt idx="52">
                  <c:v>0.26500000000000012</c:v>
                </c:pt>
                <c:pt idx="53">
                  <c:v>0.27000000000000013</c:v>
                </c:pt>
                <c:pt idx="54">
                  <c:v>0.27500000000000013</c:v>
                </c:pt>
                <c:pt idx="55">
                  <c:v>0.28000000000000014</c:v>
                </c:pt>
                <c:pt idx="56">
                  <c:v>0.28500000000000014</c:v>
                </c:pt>
                <c:pt idx="57">
                  <c:v>0.29000000000000015</c:v>
                </c:pt>
                <c:pt idx="58">
                  <c:v>0.29500000000000015</c:v>
                </c:pt>
                <c:pt idx="59">
                  <c:v>0.30000000000000016</c:v>
                </c:pt>
                <c:pt idx="60">
                  <c:v>0.30500000000000016</c:v>
                </c:pt>
                <c:pt idx="61">
                  <c:v>0.31000000000000016</c:v>
                </c:pt>
                <c:pt idx="62">
                  <c:v>0.31500000000000017</c:v>
                </c:pt>
                <c:pt idx="63">
                  <c:v>0.32000000000000017</c:v>
                </c:pt>
                <c:pt idx="64">
                  <c:v>0.32500000000000018</c:v>
                </c:pt>
                <c:pt idx="65">
                  <c:v>0.33000000000000018</c:v>
                </c:pt>
                <c:pt idx="66">
                  <c:v>0.33500000000000019</c:v>
                </c:pt>
                <c:pt idx="67">
                  <c:v>0.34000000000000019</c:v>
                </c:pt>
                <c:pt idx="68">
                  <c:v>0.3450000000000002</c:v>
                </c:pt>
                <c:pt idx="69">
                  <c:v>0.3500000000000002</c:v>
                </c:pt>
                <c:pt idx="70">
                  <c:v>0.3550000000000002</c:v>
                </c:pt>
                <c:pt idx="71">
                  <c:v>0.36000000000000021</c:v>
                </c:pt>
                <c:pt idx="72">
                  <c:v>0.36500000000000021</c:v>
                </c:pt>
                <c:pt idx="73">
                  <c:v>0.37000000000000022</c:v>
                </c:pt>
                <c:pt idx="74">
                  <c:v>0.37500000000000022</c:v>
                </c:pt>
                <c:pt idx="75">
                  <c:v>0.38000000000000023</c:v>
                </c:pt>
                <c:pt idx="76">
                  <c:v>0.38500000000000023</c:v>
                </c:pt>
                <c:pt idx="77">
                  <c:v>0.39000000000000024</c:v>
                </c:pt>
                <c:pt idx="78">
                  <c:v>0.39500000000000024</c:v>
                </c:pt>
                <c:pt idx="79">
                  <c:v>0.40000000000000024</c:v>
                </c:pt>
                <c:pt idx="80">
                  <c:v>0.40500000000000025</c:v>
                </c:pt>
                <c:pt idx="81">
                  <c:v>0.41000000000000025</c:v>
                </c:pt>
                <c:pt idx="82">
                  <c:v>0.41500000000000026</c:v>
                </c:pt>
                <c:pt idx="83">
                  <c:v>0.42000000000000026</c:v>
                </c:pt>
                <c:pt idx="84">
                  <c:v>0.42500000000000027</c:v>
                </c:pt>
                <c:pt idx="85">
                  <c:v>0.43000000000000027</c:v>
                </c:pt>
                <c:pt idx="86">
                  <c:v>0.43500000000000028</c:v>
                </c:pt>
                <c:pt idx="87">
                  <c:v>0.44000000000000028</c:v>
                </c:pt>
                <c:pt idx="88">
                  <c:v>0.44500000000000028</c:v>
                </c:pt>
                <c:pt idx="89">
                  <c:v>0.45000000000000029</c:v>
                </c:pt>
                <c:pt idx="90">
                  <c:v>0.45500000000000029</c:v>
                </c:pt>
                <c:pt idx="91">
                  <c:v>0.4600000000000003</c:v>
                </c:pt>
                <c:pt idx="92">
                  <c:v>0.4650000000000003</c:v>
                </c:pt>
                <c:pt idx="93">
                  <c:v>0.47000000000000031</c:v>
                </c:pt>
                <c:pt idx="94">
                  <c:v>0.47500000000000031</c:v>
                </c:pt>
                <c:pt idx="95">
                  <c:v>0.48000000000000032</c:v>
                </c:pt>
                <c:pt idx="96">
                  <c:v>0.48500000000000032</c:v>
                </c:pt>
                <c:pt idx="97">
                  <c:v>0.49000000000000032</c:v>
                </c:pt>
                <c:pt idx="98">
                  <c:v>0.49500000000000033</c:v>
                </c:pt>
                <c:pt idx="99">
                  <c:v>0.50000000000000033</c:v>
                </c:pt>
                <c:pt idx="100">
                  <c:v>0.50500000000000034</c:v>
                </c:pt>
                <c:pt idx="101">
                  <c:v>0.51000000000000034</c:v>
                </c:pt>
                <c:pt idx="102">
                  <c:v>0.51500000000000035</c:v>
                </c:pt>
                <c:pt idx="103">
                  <c:v>0.52000000000000035</c:v>
                </c:pt>
                <c:pt idx="104">
                  <c:v>0.52500000000000036</c:v>
                </c:pt>
                <c:pt idx="105">
                  <c:v>0.53000000000000036</c:v>
                </c:pt>
                <c:pt idx="106">
                  <c:v>0.53500000000000036</c:v>
                </c:pt>
                <c:pt idx="107">
                  <c:v>0.54000000000000037</c:v>
                </c:pt>
                <c:pt idx="108">
                  <c:v>0.54500000000000037</c:v>
                </c:pt>
                <c:pt idx="109">
                  <c:v>0.55000000000000038</c:v>
                </c:pt>
                <c:pt idx="110">
                  <c:v>0.55500000000000038</c:v>
                </c:pt>
              </c:numCache>
            </c:numRef>
          </c:cat>
          <c:val>
            <c:numRef>
              <c:f>Vega!$Q$3:$Q$113</c:f>
              <c:numCache>
                <c:formatCode>0.0000</c:formatCode>
                <c:ptCount val="111"/>
                <c:pt idx="0">
                  <c:v>5.2516721217342744E-86</c:v>
                </c:pt>
                <c:pt idx="1">
                  <c:v>7.3192371324100548E-21</c:v>
                </c:pt>
                <c:pt idx="2">
                  <c:v>8.4760720641190978E-9</c:v>
                </c:pt>
                <c:pt idx="3">
                  <c:v>1.4141406395949961E-4</c:v>
                </c:pt>
                <c:pt idx="4">
                  <c:v>1.2729330345732185E-2</c:v>
                </c:pt>
                <c:pt idx="5">
                  <c:v>0.14668961269641931</c:v>
                </c:pt>
                <c:pt idx="6">
                  <c:v>0.64046927746825988</c:v>
                </c:pt>
                <c:pt idx="7">
                  <c:v>1.6670100837381057</c:v>
                </c:pt>
                <c:pt idx="8">
                  <c:v>3.2118359648747492</c:v>
                </c:pt>
                <c:pt idx="9">
                  <c:v>5.1341749200769407</c:v>
                </c:pt>
                <c:pt idx="10">
                  <c:v>7.264220280514869</c:v>
                </c:pt>
                <c:pt idx="11">
                  <c:v>9.4583009552538932</c:v>
                </c:pt>
                <c:pt idx="12">
                  <c:v>11.614700440217032</c:v>
                </c:pt>
                <c:pt idx="13">
                  <c:v>13.670100321521533</c:v>
                </c:pt>
                <c:pt idx="14">
                  <c:v>15.59015521208196</c:v>
                </c:pt>
                <c:pt idx="15">
                  <c:v>17.360224701503299</c:v>
                </c:pt>
                <c:pt idx="16">
                  <c:v>18.978125098463565</c:v>
                </c:pt>
                <c:pt idx="17">
                  <c:v>20.449024960646554</c:v>
                </c:pt>
                <c:pt idx="18">
                  <c:v>21.782064619259032</c:v>
                </c:pt>
                <c:pt idx="19">
                  <c:v>22.988214068423311</c:v>
                </c:pt>
                <c:pt idx="20">
                  <c:v>24.078968630267582</c:v>
                </c:pt>
                <c:pt idx="21">
                  <c:v>25.065590577761736</c:v>
                </c:pt>
                <c:pt idx="22">
                  <c:v>25.958696900392159</c:v>
                </c:pt>
                <c:pt idx="23">
                  <c:v>26.768061200196154</c:v>
                </c:pt>
                <c:pt idx="24">
                  <c:v>27.502544503260427</c:v>
                </c:pt>
                <c:pt idx="25">
                  <c:v>28.170100925669601</c:v>
                </c:pt>
                <c:pt idx="26">
                  <c:v>28.777824424392719</c:v>
                </c:pt>
                <c:pt idx="27">
                  <c:v>29.332015890191137</c:v>
                </c:pt>
                <c:pt idx="28">
                  <c:v>29.838258111877291</c:v>
                </c:pt>
                <c:pt idx="29">
                  <c:v>30.301491343490163</c:v>
                </c:pt>
                <c:pt idx="30">
                  <c:v>30.726085443274627</c:v>
                </c:pt>
                <c:pt idx="31">
                  <c:v>31.115906541332894</c:v>
                </c:pt>
                <c:pt idx="32">
                  <c:v>31.474377391117024</c:v>
                </c:pt>
                <c:pt idx="33">
                  <c:v>31.804531262312363</c:v>
                </c:pt>
                <c:pt idx="34">
                  <c:v>32.10905962616723</c:v>
                </c:pt>
                <c:pt idx="35">
                  <c:v>32.390354087661827</c:v>
                </c:pt>
                <c:pt idx="36">
                  <c:v>32.650543107132677</c:v>
                </c:pt>
                <c:pt idx="37">
                  <c:v>32.891524074297621</c:v>
                </c:pt>
                <c:pt idx="38">
                  <c:v>33.114991279554303</c:v>
                </c:pt>
                <c:pt idx="39">
                  <c:v>33.322460289179965</c:v>
                </c:pt>
                <c:pt idx="40">
                  <c:v>33.515289183729415</c:v>
                </c:pt>
                <c:pt idx="41">
                  <c:v>33.694697069091852</c:v>
                </c:pt>
                <c:pt idx="42">
                  <c:v>33.861780221079279</c:v>
                </c:pt>
                <c:pt idx="43">
                  <c:v>34.017526179081223</c:v>
                </c:pt>
                <c:pt idx="44">
                  <c:v>34.162826063161866</c:v>
                </c:pt>
                <c:pt idx="45">
                  <c:v>34.298485352283834</c:v>
                </c:pt>
                <c:pt idx="46">
                  <c:v>34.425233329040736</c:v>
                </c:pt>
                <c:pt idx="47">
                  <c:v>34.543731368088253</c:v>
                </c:pt>
                <c:pt idx="48">
                  <c:v>34.6545802210101</c:v>
                </c:pt>
                <c:pt idx="49">
                  <c:v>34.758326429234806</c:v>
                </c:pt>
                <c:pt idx="50">
                  <c:v>34.855467978432067</c:v>
                </c:pt>
                <c:pt idx="51">
                  <c:v>34.946459292185956</c:v>
                </c:pt>
                <c:pt idx="52">
                  <c:v>35.03171564932407</c:v>
                </c:pt>
                <c:pt idx="53">
                  <c:v>35.111617097769447</c:v>
                </c:pt>
                <c:pt idx="54">
                  <c:v>35.186511927907148</c:v>
                </c:pt>
                <c:pt idx="55">
                  <c:v>35.256719759984883</c:v>
                </c:pt>
                <c:pt idx="56">
                  <c:v>35.322534292794032</c:v>
                </c:pt>
                <c:pt idx="57">
                  <c:v>35.384225754629917</c:v>
                </c:pt>
                <c:pt idx="58">
                  <c:v>35.442043092158528</c:v>
                </c:pt>
                <c:pt idx="59">
                  <c:v>35.496215928193706</c:v>
                </c:pt>
                <c:pt idx="60">
                  <c:v>35.546956315405339</c:v>
                </c:pt>
                <c:pt idx="61">
                  <c:v>35.5944603095422</c:v>
                </c:pt>
                <c:pt idx="62">
                  <c:v>35.638909382784426</c:v>
                </c:pt>
                <c:pt idx="63">
                  <c:v>35.680471695272963</c:v>
                </c:pt>
                <c:pt idx="64">
                  <c:v>35.719303240638432</c:v>
                </c:pt>
                <c:pt idx="65">
                  <c:v>35.755548879423174</c:v>
                </c:pt>
                <c:pt idx="66">
                  <c:v>35.789343272613714</c:v>
                </c:pt>
                <c:pt idx="67">
                  <c:v>35.820811726043274</c:v>
                </c:pt>
                <c:pt idx="68">
                  <c:v>35.850070955153868</c:v>
                </c:pt>
                <c:pt idx="69">
                  <c:v>35.877229778499206</c:v>
                </c:pt>
                <c:pt idx="70">
                  <c:v>35.902389747401912</c:v>
                </c:pt>
                <c:pt idx="71">
                  <c:v>35.925645718331154</c:v>
                </c:pt>
                <c:pt idx="72">
                  <c:v>35.94708637382508</c:v>
                </c:pt>
                <c:pt idx="73">
                  <c:v>35.966794697130609</c:v>
                </c:pt>
                <c:pt idx="74">
                  <c:v>35.984848405161735</c:v>
                </c:pt>
                <c:pt idx="75">
                  <c:v>36.001320343873246</c:v>
                </c:pt>
                <c:pt idx="76">
                  <c:v>36.016278849703788</c:v>
                </c:pt>
                <c:pt idx="77">
                  <c:v>36.029788080350336</c:v>
                </c:pt>
                <c:pt idx="78">
                  <c:v>36.041908317790735</c:v>
                </c:pt>
                <c:pt idx="79">
                  <c:v>36.052696246164793</c:v>
                </c:pt>
                <c:pt idx="80">
                  <c:v>36.062205206853477</c:v>
                </c:pt>
                <c:pt idx="81">
                  <c:v>36.070485432855676</c:v>
                </c:pt>
                <c:pt idx="82">
                  <c:v>36.077584264348253</c:v>
                </c:pt>
                <c:pt idx="83">
                  <c:v>36.083546347125491</c:v>
                </c:pt>
                <c:pt idx="84">
                  <c:v>36.088413815445115</c:v>
                </c:pt>
                <c:pt idx="85">
                  <c:v>36.092226460657471</c:v>
                </c:pt>
                <c:pt idx="86">
                  <c:v>36.095021886859996</c:v>
                </c:pt>
                <c:pt idx="87">
                  <c:v>36.096835654699099</c:v>
                </c:pt>
                <c:pt idx="88">
                  <c:v>36.097701414334352</c:v>
                </c:pt>
                <c:pt idx="89">
                  <c:v>36.097651028483405</c:v>
                </c:pt>
                <c:pt idx="90">
                  <c:v>36.096714686380139</c:v>
                </c:pt>
                <c:pt idx="91">
                  <c:v>36.094921009401126</c:v>
                </c:pt>
                <c:pt idx="92">
                  <c:v>36.092297149045827</c:v>
                </c:pt>
                <c:pt idx="93">
                  <c:v>36.088868877893773</c:v>
                </c:pt>
                <c:pt idx="94">
                  <c:v>36.084660674105329</c:v>
                </c:pt>
                <c:pt idx="95">
                  <c:v>36.079695799982261</c:v>
                </c:pt>
                <c:pt idx="96">
                  <c:v>36.073996375058471</c:v>
                </c:pt>
                <c:pt idx="97">
                  <c:v>36.067583444149832</c:v>
                </c:pt>
                <c:pt idx="98">
                  <c:v>36.060477040754954</c:v>
                </c:pt>
                <c:pt idx="99">
                  <c:v>36.052696246164793</c:v>
                </c:pt>
                <c:pt idx="100">
                  <c:v>36.044259244608504</c:v>
                </c:pt>
                <c:pt idx="101">
                  <c:v>36.035183374735126</c:v>
                </c:pt>
                <c:pt idx="102">
                  <c:v>36.025485177705669</c:v>
                </c:pt>
                <c:pt idx="103">
                  <c:v>36.015180442147297</c:v>
                </c:pt>
                <c:pt idx="104">
                  <c:v>36.004284246200392</c:v>
                </c:pt>
                <c:pt idx="105">
                  <c:v>35.992810996870737</c:v>
                </c:pt>
                <c:pt idx="106">
                  <c:v>35.980774466881563</c:v>
                </c:pt>
                <c:pt idx="107">
                  <c:v>35.968187829204687</c:v>
                </c:pt>
                <c:pt idx="108">
                  <c:v>35.955063689435732</c:v>
                </c:pt>
                <c:pt idx="109">
                  <c:v>35.941414116165255</c:v>
                </c:pt>
                <c:pt idx="110">
                  <c:v>35.927250669485936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6-4889-B4BC-EFEEF6E58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362736"/>
        <c:axId val="1522365136"/>
      </c:lineChart>
      <c:catAx>
        <c:axId val="152236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513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22365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Vega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Rho!$M$2</c:f>
              <c:strCache>
                <c:ptCount val="1"/>
                <c:pt idx="0">
                  <c:v>Call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Rho!$P$3:$P$113</c:f>
              <c:numCache>
                <c:formatCode>0.0000</c:formatCode>
                <c:ptCount val="111"/>
                <c:pt idx="0">
                  <c:v>1E-3</c:v>
                </c:pt>
                <c:pt idx="1">
                  <c:v>3.5000000000000001E-3</c:v>
                </c:pt>
                <c:pt idx="2">
                  <c:v>6.0000000000000001E-3</c:v>
                </c:pt>
                <c:pt idx="3">
                  <c:v>8.5000000000000006E-3</c:v>
                </c:pt>
                <c:pt idx="4">
                  <c:v>1.1000000000000001E-2</c:v>
                </c:pt>
                <c:pt idx="5">
                  <c:v>1.3500000000000002E-2</c:v>
                </c:pt>
                <c:pt idx="6">
                  <c:v>1.6E-2</c:v>
                </c:pt>
                <c:pt idx="7">
                  <c:v>1.8499999999999999E-2</c:v>
                </c:pt>
                <c:pt idx="8">
                  <c:v>2.0999999999999998E-2</c:v>
                </c:pt>
                <c:pt idx="9">
                  <c:v>2.3499999999999997E-2</c:v>
                </c:pt>
                <c:pt idx="10">
                  <c:v>2.5999999999999995E-2</c:v>
                </c:pt>
                <c:pt idx="11">
                  <c:v>2.8499999999999994E-2</c:v>
                </c:pt>
                <c:pt idx="12">
                  <c:v>3.0999999999999993E-2</c:v>
                </c:pt>
                <c:pt idx="13">
                  <c:v>3.3499999999999995E-2</c:v>
                </c:pt>
                <c:pt idx="14">
                  <c:v>3.5999999999999997E-2</c:v>
                </c:pt>
                <c:pt idx="15">
                  <c:v>3.85E-2</c:v>
                </c:pt>
                <c:pt idx="16">
                  <c:v>4.1000000000000002E-2</c:v>
                </c:pt>
                <c:pt idx="17">
                  <c:v>4.3500000000000004E-2</c:v>
                </c:pt>
                <c:pt idx="18">
                  <c:v>4.6000000000000006E-2</c:v>
                </c:pt>
                <c:pt idx="19">
                  <c:v>4.8500000000000008E-2</c:v>
                </c:pt>
                <c:pt idx="20">
                  <c:v>5.1000000000000011E-2</c:v>
                </c:pt>
                <c:pt idx="21">
                  <c:v>5.3500000000000013E-2</c:v>
                </c:pt>
                <c:pt idx="22">
                  <c:v>5.6000000000000015E-2</c:v>
                </c:pt>
                <c:pt idx="23">
                  <c:v>5.8500000000000017E-2</c:v>
                </c:pt>
                <c:pt idx="24">
                  <c:v>6.1000000000000019E-2</c:v>
                </c:pt>
                <c:pt idx="25">
                  <c:v>6.3500000000000015E-2</c:v>
                </c:pt>
                <c:pt idx="26">
                  <c:v>6.6000000000000017E-2</c:v>
                </c:pt>
                <c:pt idx="27">
                  <c:v>6.8500000000000019E-2</c:v>
                </c:pt>
                <c:pt idx="28">
                  <c:v>7.1000000000000021E-2</c:v>
                </c:pt>
                <c:pt idx="29">
                  <c:v>7.3500000000000024E-2</c:v>
                </c:pt>
                <c:pt idx="30">
                  <c:v>7.6000000000000026E-2</c:v>
                </c:pt>
                <c:pt idx="31">
                  <c:v>7.8500000000000028E-2</c:v>
                </c:pt>
                <c:pt idx="32">
                  <c:v>8.100000000000003E-2</c:v>
                </c:pt>
                <c:pt idx="33">
                  <c:v>8.3500000000000033E-2</c:v>
                </c:pt>
                <c:pt idx="34">
                  <c:v>8.6000000000000035E-2</c:v>
                </c:pt>
                <c:pt idx="35">
                  <c:v>8.8500000000000037E-2</c:v>
                </c:pt>
                <c:pt idx="36">
                  <c:v>9.1000000000000039E-2</c:v>
                </c:pt>
                <c:pt idx="37">
                  <c:v>9.3500000000000041E-2</c:v>
                </c:pt>
                <c:pt idx="38">
                  <c:v>9.6000000000000044E-2</c:v>
                </c:pt>
                <c:pt idx="39">
                  <c:v>9.8500000000000046E-2</c:v>
                </c:pt>
                <c:pt idx="40">
                  <c:v>0.10100000000000005</c:v>
                </c:pt>
                <c:pt idx="41">
                  <c:v>0.10350000000000005</c:v>
                </c:pt>
                <c:pt idx="42">
                  <c:v>0.10600000000000005</c:v>
                </c:pt>
                <c:pt idx="43">
                  <c:v>0.10850000000000005</c:v>
                </c:pt>
                <c:pt idx="44">
                  <c:v>0.11100000000000006</c:v>
                </c:pt>
                <c:pt idx="45">
                  <c:v>0.11350000000000006</c:v>
                </c:pt>
                <c:pt idx="46">
                  <c:v>0.11600000000000006</c:v>
                </c:pt>
                <c:pt idx="47">
                  <c:v>0.11850000000000006</c:v>
                </c:pt>
                <c:pt idx="48">
                  <c:v>0.12100000000000007</c:v>
                </c:pt>
                <c:pt idx="49">
                  <c:v>0.12350000000000007</c:v>
                </c:pt>
                <c:pt idx="50">
                  <c:v>0.12600000000000006</c:v>
                </c:pt>
                <c:pt idx="51">
                  <c:v>0.12850000000000006</c:v>
                </c:pt>
                <c:pt idx="52">
                  <c:v>0.13100000000000006</c:v>
                </c:pt>
                <c:pt idx="53">
                  <c:v>0.13350000000000006</c:v>
                </c:pt>
                <c:pt idx="54">
                  <c:v>0.13600000000000007</c:v>
                </c:pt>
                <c:pt idx="55">
                  <c:v>0.13850000000000007</c:v>
                </c:pt>
                <c:pt idx="56">
                  <c:v>0.14100000000000007</c:v>
                </c:pt>
                <c:pt idx="57">
                  <c:v>0.14350000000000007</c:v>
                </c:pt>
                <c:pt idx="58">
                  <c:v>0.14600000000000007</c:v>
                </c:pt>
                <c:pt idx="59">
                  <c:v>0.14850000000000008</c:v>
                </c:pt>
                <c:pt idx="60">
                  <c:v>0.15100000000000008</c:v>
                </c:pt>
                <c:pt idx="61">
                  <c:v>0.15350000000000008</c:v>
                </c:pt>
                <c:pt idx="62">
                  <c:v>0.15600000000000008</c:v>
                </c:pt>
                <c:pt idx="63">
                  <c:v>0.15850000000000009</c:v>
                </c:pt>
                <c:pt idx="64">
                  <c:v>0.16100000000000009</c:v>
                </c:pt>
                <c:pt idx="65">
                  <c:v>0.16350000000000009</c:v>
                </c:pt>
                <c:pt idx="66">
                  <c:v>0.16600000000000009</c:v>
                </c:pt>
                <c:pt idx="67">
                  <c:v>0.16850000000000009</c:v>
                </c:pt>
                <c:pt idx="68">
                  <c:v>0.1710000000000001</c:v>
                </c:pt>
                <c:pt idx="69">
                  <c:v>0.1735000000000001</c:v>
                </c:pt>
                <c:pt idx="70">
                  <c:v>0.1760000000000001</c:v>
                </c:pt>
                <c:pt idx="71">
                  <c:v>0.1785000000000001</c:v>
                </c:pt>
                <c:pt idx="72">
                  <c:v>0.18100000000000011</c:v>
                </c:pt>
                <c:pt idx="73">
                  <c:v>0.18350000000000011</c:v>
                </c:pt>
                <c:pt idx="74">
                  <c:v>0.18600000000000011</c:v>
                </c:pt>
                <c:pt idx="75">
                  <c:v>0.18850000000000011</c:v>
                </c:pt>
                <c:pt idx="76">
                  <c:v>0.19100000000000011</c:v>
                </c:pt>
                <c:pt idx="77">
                  <c:v>0.19350000000000012</c:v>
                </c:pt>
                <c:pt idx="78">
                  <c:v>0.19600000000000012</c:v>
                </c:pt>
                <c:pt idx="79">
                  <c:v>0.19850000000000012</c:v>
                </c:pt>
                <c:pt idx="80">
                  <c:v>0.20100000000000012</c:v>
                </c:pt>
                <c:pt idx="81">
                  <c:v>0.20350000000000013</c:v>
                </c:pt>
                <c:pt idx="82">
                  <c:v>0.20600000000000013</c:v>
                </c:pt>
                <c:pt idx="83">
                  <c:v>0.20850000000000013</c:v>
                </c:pt>
                <c:pt idx="84">
                  <c:v>0.21100000000000013</c:v>
                </c:pt>
                <c:pt idx="85">
                  <c:v>0.21350000000000013</c:v>
                </c:pt>
                <c:pt idx="86">
                  <c:v>0.21600000000000014</c:v>
                </c:pt>
                <c:pt idx="87">
                  <c:v>0.21850000000000014</c:v>
                </c:pt>
                <c:pt idx="88">
                  <c:v>0.22100000000000014</c:v>
                </c:pt>
                <c:pt idx="89">
                  <c:v>0.22350000000000014</c:v>
                </c:pt>
                <c:pt idx="90">
                  <c:v>0.22600000000000015</c:v>
                </c:pt>
                <c:pt idx="91">
                  <c:v>0.22850000000000015</c:v>
                </c:pt>
                <c:pt idx="92">
                  <c:v>0.23100000000000015</c:v>
                </c:pt>
                <c:pt idx="93">
                  <c:v>0.23350000000000015</c:v>
                </c:pt>
                <c:pt idx="94">
                  <c:v>0.23600000000000015</c:v>
                </c:pt>
                <c:pt idx="95">
                  <c:v>0.23850000000000016</c:v>
                </c:pt>
                <c:pt idx="96">
                  <c:v>0.24100000000000016</c:v>
                </c:pt>
                <c:pt idx="97">
                  <c:v>0.24350000000000016</c:v>
                </c:pt>
                <c:pt idx="98">
                  <c:v>0.24600000000000016</c:v>
                </c:pt>
                <c:pt idx="99">
                  <c:v>0.24850000000000017</c:v>
                </c:pt>
                <c:pt idx="100">
                  <c:v>0.25100000000000017</c:v>
                </c:pt>
                <c:pt idx="101">
                  <c:v>0.25350000000000017</c:v>
                </c:pt>
                <c:pt idx="102">
                  <c:v>0.25600000000000017</c:v>
                </c:pt>
                <c:pt idx="103">
                  <c:v>0.25850000000000017</c:v>
                </c:pt>
                <c:pt idx="104">
                  <c:v>0.26100000000000018</c:v>
                </c:pt>
                <c:pt idx="105">
                  <c:v>0.26350000000000018</c:v>
                </c:pt>
                <c:pt idx="106">
                  <c:v>0.26600000000000018</c:v>
                </c:pt>
                <c:pt idx="107">
                  <c:v>0.26850000000000018</c:v>
                </c:pt>
                <c:pt idx="108">
                  <c:v>0.27100000000000019</c:v>
                </c:pt>
                <c:pt idx="109">
                  <c:v>0.27350000000000019</c:v>
                </c:pt>
                <c:pt idx="110">
                  <c:v>0.27600000000000019</c:v>
                </c:pt>
              </c:numCache>
            </c:numRef>
          </c:cat>
          <c:val>
            <c:numRef>
              <c:f>Rho!$M$3:$M$113</c:f>
              <c:numCache>
                <c:formatCode>0.00</c:formatCode>
                <c:ptCount val="111"/>
                <c:pt idx="0">
                  <c:v>6.0256485891410492</c:v>
                </c:pt>
                <c:pt idx="1">
                  <c:v>6.1444003057505796</c:v>
                </c:pt>
                <c:pt idx="2">
                  <c:v>6.264507651674478</c:v>
                </c:pt>
                <c:pt idx="3">
                  <c:v>6.3859643075879333</c:v>
                </c:pt>
                <c:pt idx="4">
                  <c:v>6.5087635179431587</c:v>
                </c:pt>
                <c:pt idx="5">
                  <c:v>6.6328980948658796</c:v>
                </c:pt>
                <c:pt idx="6">
                  <c:v>6.7583604224097087</c:v>
                </c:pt>
                <c:pt idx="7">
                  <c:v>6.8851424611632552</c:v>
                </c:pt>
                <c:pt idx="8">
                  <c:v>7.0132357532041212</c:v>
                </c:pt>
                <c:pt idx="9">
                  <c:v>7.1426314273935958</c:v>
                </c:pt>
                <c:pt idx="10">
                  <c:v>7.2733202050055041</c:v>
                </c:pt>
                <c:pt idx="11">
                  <c:v>7.4052924056817204</c:v>
                </c:pt>
                <c:pt idx="12">
                  <c:v>7.5385379537073121</c:v>
                </c:pt>
                <c:pt idx="13">
                  <c:v>7.6730463845968515</c:v>
                </c:pt>
                <c:pt idx="14">
                  <c:v>7.8088068519837535</c:v>
                </c:pt>
                <c:pt idx="15">
                  <c:v>7.9458081348039045</c:v>
                </c:pt>
                <c:pt idx="16">
                  <c:v>8.0840386447643056</c:v>
                </c:pt>
                <c:pt idx="17">
                  <c:v>8.2234864340873273</c:v>
                </c:pt>
                <c:pt idx="18">
                  <c:v>8.3641392035207431</c:v>
                </c:pt>
                <c:pt idx="19">
                  <c:v>8.50598431060331</c:v>
                </c:pt>
                <c:pt idx="20">
                  <c:v>8.6490087781755065</c:v>
                </c:pt>
                <c:pt idx="21">
                  <c:v>8.7931993031247657</c:v>
                </c:pt>
                <c:pt idx="22">
                  <c:v>8.938542265354009</c:v>
                </c:pt>
                <c:pt idx="23">
                  <c:v>9.0850237369624196</c:v>
                </c:pt>
                <c:pt idx="24">
                  <c:v>9.2326294916268452</c:v>
                </c:pt>
                <c:pt idx="25">
                  <c:v>9.3813450141724033</c:v>
                </c:pt>
                <c:pt idx="26">
                  <c:v>9.5311555103200476</c:v>
                </c:pt>
                <c:pt idx="27">
                  <c:v>9.6820459165994848</c:v>
                </c:pt>
                <c:pt idx="28">
                  <c:v>9.834000910415071</c:v>
                </c:pt>
                <c:pt idx="29">
                  <c:v>9.9870049202524882</c:v>
                </c:pt>
                <c:pt idx="30">
                  <c:v>10.141042136013695</c:v>
                </c:pt>
                <c:pt idx="31">
                  <c:v>10.296096519468072</c:v>
                </c:pt>
                <c:pt idx="32">
                  <c:v>10.452151814806797</c:v>
                </c:pt>
                <c:pt idx="33">
                  <c:v>10.609191559288284</c:v>
                </c:pt>
                <c:pt idx="34">
                  <c:v>10.767199093961977</c:v>
                </c:pt>
                <c:pt idx="35">
                  <c:v>10.926157574457982</c:v>
                </c:pt>
                <c:pt idx="36">
                  <c:v>11.086049981830058</c:v>
                </c:pt>
                <c:pt idx="37">
                  <c:v>11.2468591334396</c:v>
                </c:pt>
                <c:pt idx="38">
                  <c:v>11.408567693867951</c:v>
                </c:pt>
                <c:pt idx="39">
                  <c:v>11.571158185845135</c:v>
                </c:pt>
                <c:pt idx="40">
                  <c:v>11.734613001182495</c:v>
                </c:pt>
                <c:pt idx="41">
                  <c:v>11.898914411697291</c:v>
                </c:pt>
                <c:pt idx="42">
                  <c:v>12.064044580117525</c:v>
                </c:pt>
                <c:pt idx="43">
                  <c:v>12.229985570954881</c:v>
                </c:pt>
                <c:pt idx="44">
                  <c:v>12.396719361334505</c:v>
                </c:pt>
                <c:pt idx="45">
                  <c:v>12.564227851770212</c:v>
                </c:pt>
                <c:pt idx="46">
                  <c:v>12.732492876873835</c:v>
                </c:pt>
                <c:pt idx="47">
                  <c:v>12.901496215987876</c:v>
                </c:pt>
                <c:pt idx="48">
                  <c:v>13.071219603730881</c:v>
                </c:pt>
                <c:pt idx="49">
                  <c:v>13.241644740444912</c:v>
                </c:pt>
                <c:pt idx="50">
                  <c:v>13.412753302535222</c:v>
                </c:pt>
                <c:pt idx="51">
                  <c:v>13.584526952691917</c:v>
                </c:pt>
                <c:pt idx="52">
                  <c:v>13.756947349984571</c:v>
                </c:pt>
                <c:pt idx="53">
                  <c:v>13.929996159820007</c:v>
                </c:pt>
                <c:pt idx="54">
                  <c:v>14.103655063754658</c:v>
                </c:pt>
                <c:pt idx="55">
                  <c:v>14.277905769152852</c:v>
                </c:pt>
                <c:pt idx="56">
                  <c:v>14.452730018682601</c:v>
                </c:pt>
                <c:pt idx="57">
                  <c:v>14.628109599641434</c:v>
                </c:pt>
                <c:pt idx="58">
                  <c:v>14.804026353103836</c:v>
                </c:pt>
                <c:pt idx="59">
                  <c:v>14.980462182884423</c:v>
                </c:pt>
                <c:pt idx="60">
                  <c:v>15.157399064308692</c:v>
                </c:pt>
                <c:pt idx="61">
                  <c:v>15.334819052785789</c:v>
                </c:pt>
                <c:pt idx="62">
                  <c:v>15.512704292176991</c:v>
                </c:pt>
                <c:pt idx="63">
                  <c:v>15.691037022953964</c:v>
                </c:pt>
                <c:pt idx="64">
                  <c:v>15.869799590141994</c:v>
                </c:pt>
                <c:pt idx="65">
                  <c:v>16.048974451042895</c:v>
                </c:pt>
                <c:pt idx="66">
                  <c:v>16.228544182733089</c:v>
                </c:pt>
                <c:pt idx="67">
                  <c:v>16.408491489332974</c:v>
                </c:pt>
                <c:pt idx="68">
                  <c:v>16.588799209043614</c:v>
                </c:pt>
                <c:pt idx="69">
                  <c:v>16.76945032094757</c:v>
                </c:pt>
                <c:pt idx="70">
                  <c:v>16.950427951570632</c:v>
                </c:pt>
                <c:pt idx="71">
                  <c:v>17.131715381202199</c:v>
                </c:pt>
                <c:pt idx="72">
                  <c:v>17.313296049971854</c:v>
                </c:pt>
                <c:pt idx="73">
                  <c:v>17.495153563680361</c:v>
                </c:pt>
                <c:pt idx="74">
                  <c:v>17.677271699383681</c:v>
                </c:pt>
                <c:pt idx="75">
                  <c:v>17.859634410728958</c:v>
                </c:pt>
                <c:pt idx="76">
                  <c:v>18.0422258330414</c:v>
                </c:pt>
                <c:pt idx="77">
                  <c:v>18.225030288162287</c:v>
                </c:pt>
                <c:pt idx="78">
                  <c:v>18.408032289037365</c:v>
                </c:pt>
                <c:pt idx="79">
                  <c:v>18.591216544056593</c:v>
                </c:pt>
                <c:pt idx="80">
                  <c:v>18.77456796114538</c:v>
                </c:pt>
                <c:pt idx="81">
                  <c:v>18.958071651608478</c:v>
                </c:pt>
                <c:pt idx="82">
                  <c:v>19.141712933727987</c:v>
                </c:pt>
                <c:pt idx="83">
                  <c:v>19.325477336116677</c:v>
                </c:pt>
                <c:pt idx="84">
                  <c:v>19.509350600828796</c:v>
                </c:pt>
                <c:pt idx="85">
                  <c:v>19.693318686230427</c:v>
                </c:pt>
                <c:pt idx="86">
                  <c:v>19.877367769631874</c:v>
                </c:pt>
                <c:pt idx="87">
                  <c:v>20.061484249684781</c:v>
                </c:pt>
                <c:pt idx="88">
                  <c:v>20.245654748546883</c:v>
                </c:pt>
                <c:pt idx="89">
                  <c:v>20.429866113817766</c:v>
                </c:pt>
                <c:pt idx="90">
                  <c:v>20.614105420248833</c:v>
                </c:pt>
                <c:pt idx="91">
                  <c:v>20.798359971231392</c:v>
                </c:pt>
                <c:pt idx="92">
                  <c:v>20.982617300066536</c:v>
                </c:pt>
                <c:pt idx="93">
                  <c:v>21.166865171021186</c:v>
                </c:pt>
                <c:pt idx="94">
                  <c:v>21.351091580174</c:v>
                </c:pt>
                <c:pt idx="95">
                  <c:v>21.535284756056328</c:v>
                </c:pt>
                <c:pt idx="96">
                  <c:v>21.719433160092137</c:v>
                </c:pt>
                <c:pt idx="97">
                  <c:v>21.903525486842142</c:v>
                </c:pt>
                <c:pt idx="98">
                  <c:v>22.087550664056621</c:v>
                </c:pt>
                <c:pt idx="99">
                  <c:v>22.27149785254251</c:v>
                </c:pt>
                <c:pt idx="100">
                  <c:v>22.455356445849105</c:v>
                </c:pt>
                <c:pt idx="101">
                  <c:v>22.639116069778453</c:v>
                </c:pt>
                <c:pt idx="102">
                  <c:v>22.822766581725119</c:v>
                </c:pt>
                <c:pt idx="103">
                  <c:v>23.006298069851127</c:v>
                </c:pt>
                <c:pt idx="104">
                  <c:v>23.189700852101538</c:v>
                </c:pt>
                <c:pt idx="105">
                  <c:v>23.372965475065783</c:v>
                </c:pt>
                <c:pt idx="106">
                  <c:v>23.556082712691079</c:v>
                </c:pt>
                <c:pt idx="107">
                  <c:v>23.739043564852906</c:v>
                </c:pt>
                <c:pt idx="108">
                  <c:v>23.921839255788555</c:v>
                </c:pt>
                <c:pt idx="109">
                  <c:v>24.104461232399373</c:v>
                </c:pt>
                <c:pt idx="110">
                  <c:v>24.286901162427398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7-4C14-8464-C5FE9060F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362736"/>
        <c:axId val="1522365136"/>
      </c:lineChart>
      <c:catAx>
        <c:axId val="152236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Interest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5136"/>
        <c:crosses val="autoZero"/>
        <c:auto val="1"/>
        <c:lblAlgn val="ctr"/>
        <c:lblOffset val="100"/>
        <c:tickLblSkip val="30"/>
        <c:tickMarkSkip val="5"/>
        <c:noMultiLvlLbl val="0"/>
      </c:catAx>
      <c:valAx>
        <c:axId val="1522365136"/>
        <c:scaling>
          <c:orientation val="minMax"/>
          <c:max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Call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Rho!$Q$2</c:f>
              <c:strCache>
                <c:ptCount val="1"/>
                <c:pt idx="0">
                  <c:v>Rho Call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Rho!$P$3:$P$113</c:f>
              <c:numCache>
                <c:formatCode>0.0000</c:formatCode>
                <c:ptCount val="111"/>
                <c:pt idx="0">
                  <c:v>1E-3</c:v>
                </c:pt>
                <c:pt idx="1">
                  <c:v>3.5000000000000001E-3</c:v>
                </c:pt>
                <c:pt idx="2">
                  <c:v>6.0000000000000001E-3</c:v>
                </c:pt>
                <c:pt idx="3">
                  <c:v>8.5000000000000006E-3</c:v>
                </c:pt>
                <c:pt idx="4">
                  <c:v>1.1000000000000001E-2</c:v>
                </c:pt>
                <c:pt idx="5">
                  <c:v>1.3500000000000002E-2</c:v>
                </c:pt>
                <c:pt idx="6">
                  <c:v>1.6E-2</c:v>
                </c:pt>
                <c:pt idx="7">
                  <c:v>1.8499999999999999E-2</c:v>
                </c:pt>
                <c:pt idx="8">
                  <c:v>2.0999999999999998E-2</c:v>
                </c:pt>
                <c:pt idx="9">
                  <c:v>2.3499999999999997E-2</c:v>
                </c:pt>
                <c:pt idx="10">
                  <c:v>2.5999999999999995E-2</c:v>
                </c:pt>
                <c:pt idx="11">
                  <c:v>2.8499999999999994E-2</c:v>
                </c:pt>
                <c:pt idx="12">
                  <c:v>3.0999999999999993E-2</c:v>
                </c:pt>
                <c:pt idx="13">
                  <c:v>3.3499999999999995E-2</c:v>
                </c:pt>
                <c:pt idx="14">
                  <c:v>3.5999999999999997E-2</c:v>
                </c:pt>
                <c:pt idx="15">
                  <c:v>3.85E-2</c:v>
                </c:pt>
                <c:pt idx="16">
                  <c:v>4.1000000000000002E-2</c:v>
                </c:pt>
                <c:pt idx="17">
                  <c:v>4.3500000000000004E-2</c:v>
                </c:pt>
                <c:pt idx="18">
                  <c:v>4.6000000000000006E-2</c:v>
                </c:pt>
                <c:pt idx="19">
                  <c:v>4.8500000000000008E-2</c:v>
                </c:pt>
                <c:pt idx="20">
                  <c:v>5.1000000000000011E-2</c:v>
                </c:pt>
                <c:pt idx="21">
                  <c:v>5.3500000000000013E-2</c:v>
                </c:pt>
                <c:pt idx="22">
                  <c:v>5.6000000000000015E-2</c:v>
                </c:pt>
                <c:pt idx="23">
                  <c:v>5.8500000000000017E-2</c:v>
                </c:pt>
                <c:pt idx="24">
                  <c:v>6.1000000000000019E-2</c:v>
                </c:pt>
                <c:pt idx="25">
                  <c:v>6.3500000000000015E-2</c:v>
                </c:pt>
                <c:pt idx="26">
                  <c:v>6.6000000000000017E-2</c:v>
                </c:pt>
                <c:pt idx="27">
                  <c:v>6.8500000000000019E-2</c:v>
                </c:pt>
                <c:pt idx="28">
                  <c:v>7.1000000000000021E-2</c:v>
                </c:pt>
                <c:pt idx="29">
                  <c:v>7.3500000000000024E-2</c:v>
                </c:pt>
                <c:pt idx="30">
                  <c:v>7.6000000000000026E-2</c:v>
                </c:pt>
                <c:pt idx="31">
                  <c:v>7.8500000000000028E-2</c:v>
                </c:pt>
                <c:pt idx="32">
                  <c:v>8.100000000000003E-2</c:v>
                </c:pt>
                <c:pt idx="33">
                  <c:v>8.3500000000000033E-2</c:v>
                </c:pt>
                <c:pt idx="34">
                  <c:v>8.6000000000000035E-2</c:v>
                </c:pt>
                <c:pt idx="35">
                  <c:v>8.8500000000000037E-2</c:v>
                </c:pt>
                <c:pt idx="36">
                  <c:v>9.1000000000000039E-2</c:v>
                </c:pt>
                <c:pt idx="37">
                  <c:v>9.3500000000000041E-2</c:v>
                </c:pt>
                <c:pt idx="38">
                  <c:v>9.6000000000000044E-2</c:v>
                </c:pt>
                <c:pt idx="39">
                  <c:v>9.8500000000000046E-2</c:v>
                </c:pt>
                <c:pt idx="40">
                  <c:v>0.10100000000000005</c:v>
                </c:pt>
                <c:pt idx="41">
                  <c:v>0.10350000000000005</c:v>
                </c:pt>
                <c:pt idx="42">
                  <c:v>0.10600000000000005</c:v>
                </c:pt>
                <c:pt idx="43">
                  <c:v>0.10850000000000005</c:v>
                </c:pt>
                <c:pt idx="44">
                  <c:v>0.11100000000000006</c:v>
                </c:pt>
                <c:pt idx="45">
                  <c:v>0.11350000000000006</c:v>
                </c:pt>
                <c:pt idx="46">
                  <c:v>0.11600000000000006</c:v>
                </c:pt>
                <c:pt idx="47">
                  <c:v>0.11850000000000006</c:v>
                </c:pt>
                <c:pt idx="48">
                  <c:v>0.12100000000000007</c:v>
                </c:pt>
                <c:pt idx="49">
                  <c:v>0.12350000000000007</c:v>
                </c:pt>
                <c:pt idx="50">
                  <c:v>0.12600000000000006</c:v>
                </c:pt>
                <c:pt idx="51">
                  <c:v>0.12850000000000006</c:v>
                </c:pt>
                <c:pt idx="52">
                  <c:v>0.13100000000000006</c:v>
                </c:pt>
                <c:pt idx="53">
                  <c:v>0.13350000000000006</c:v>
                </c:pt>
                <c:pt idx="54">
                  <c:v>0.13600000000000007</c:v>
                </c:pt>
                <c:pt idx="55">
                  <c:v>0.13850000000000007</c:v>
                </c:pt>
                <c:pt idx="56">
                  <c:v>0.14100000000000007</c:v>
                </c:pt>
                <c:pt idx="57">
                  <c:v>0.14350000000000007</c:v>
                </c:pt>
                <c:pt idx="58">
                  <c:v>0.14600000000000007</c:v>
                </c:pt>
                <c:pt idx="59">
                  <c:v>0.14850000000000008</c:v>
                </c:pt>
                <c:pt idx="60">
                  <c:v>0.15100000000000008</c:v>
                </c:pt>
                <c:pt idx="61">
                  <c:v>0.15350000000000008</c:v>
                </c:pt>
                <c:pt idx="62">
                  <c:v>0.15600000000000008</c:v>
                </c:pt>
                <c:pt idx="63">
                  <c:v>0.15850000000000009</c:v>
                </c:pt>
                <c:pt idx="64">
                  <c:v>0.16100000000000009</c:v>
                </c:pt>
                <c:pt idx="65">
                  <c:v>0.16350000000000009</c:v>
                </c:pt>
                <c:pt idx="66">
                  <c:v>0.16600000000000009</c:v>
                </c:pt>
                <c:pt idx="67">
                  <c:v>0.16850000000000009</c:v>
                </c:pt>
                <c:pt idx="68">
                  <c:v>0.1710000000000001</c:v>
                </c:pt>
                <c:pt idx="69">
                  <c:v>0.1735000000000001</c:v>
                </c:pt>
                <c:pt idx="70">
                  <c:v>0.1760000000000001</c:v>
                </c:pt>
                <c:pt idx="71">
                  <c:v>0.1785000000000001</c:v>
                </c:pt>
                <c:pt idx="72">
                  <c:v>0.18100000000000011</c:v>
                </c:pt>
                <c:pt idx="73">
                  <c:v>0.18350000000000011</c:v>
                </c:pt>
                <c:pt idx="74">
                  <c:v>0.18600000000000011</c:v>
                </c:pt>
                <c:pt idx="75">
                  <c:v>0.18850000000000011</c:v>
                </c:pt>
                <c:pt idx="76">
                  <c:v>0.19100000000000011</c:v>
                </c:pt>
                <c:pt idx="77">
                  <c:v>0.19350000000000012</c:v>
                </c:pt>
                <c:pt idx="78">
                  <c:v>0.19600000000000012</c:v>
                </c:pt>
                <c:pt idx="79">
                  <c:v>0.19850000000000012</c:v>
                </c:pt>
                <c:pt idx="80">
                  <c:v>0.20100000000000012</c:v>
                </c:pt>
                <c:pt idx="81">
                  <c:v>0.20350000000000013</c:v>
                </c:pt>
                <c:pt idx="82">
                  <c:v>0.20600000000000013</c:v>
                </c:pt>
                <c:pt idx="83">
                  <c:v>0.20850000000000013</c:v>
                </c:pt>
                <c:pt idx="84">
                  <c:v>0.21100000000000013</c:v>
                </c:pt>
                <c:pt idx="85">
                  <c:v>0.21350000000000013</c:v>
                </c:pt>
                <c:pt idx="86">
                  <c:v>0.21600000000000014</c:v>
                </c:pt>
                <c:pt idx="87">
                  <c:v>0.21850000000000014</c:v>
                </c:pt>
                <c:pt idx="88">
                  <c:v>0.22100000000000014</c:v>
                </c:pt>
                <c:pt idx="89">
                  <c:v>0.22350000000000014</c:v>
                </c:pt>
                <c:pt idx="90">
                  <c:v>0.22600000000000015</c:v>
                </c:pt>
                <c:pt idx="91">
                  <c:v>0.22850000000000015</c:v>
                </c:pt>
                <c:pt idx="92">
                  <c:v>0.23100000000000015</c:v>
                </c:pt>
                <c:pt idx="93">
                  <c:v>0.23350000000000015</c:v>
                </c:pt>
                <c:pt idx="94">
                  <c:v>0.23600000000000015</c:v>
                </c:pt>
                <c:pt idx="95">
                  <c:v>0.23850000000000016</c:v>
                </c:pt>
                <c:pt idx="96">
                  <c:v>0.24100000000000016</c:v>
                </c:pt>
                <c:pt idx="97">
                  <c:v>0.24350000000000016</c:v>
                </c:pt>
                <c:pt idx="98">
                  <c:v>0.24600000000000016</c:v>
                </c:pt>
                <c:pt idx="99">
                  <c:v>0.24850000000000017</c:v>
                </c:pt>
                <c:pt idx="100">
                  <c:v>0.25100000000000017</c:v>
                </c:pt>
                <c:pt idx="101">
                  <c:v>0.25350000000000017</c:v>
                </c:pt>
                <c:pt idx="102">
                  <c:v>0.25600000000000017</c:v>
                </c:pt>
                <c:pt idx="103">
                  <c:v>0.25850000000000017</c:v>
                </c:pt>
                <c:pt idx="104">
                  <c:v>0.26100000000000018</c:v>
                </c:pt>
                <c:pt idx="105">
                  <c:v>0.26350000000000018</c:v>
                </c:pt>
                <c:pt idx="106">
                  <c:v>0.26600000000000018</c:v>
                </c:pt>
                <c:pt idx="107">
                  <c:v>0.26850000000000018</c:v>
                </c:pt>
                <c:pt idx="108">
                  <c:v>0.27100000000000019</c:v>
                </c:pt>
                <c:pt idx="109">
                  <c:v>0.27350000000000019</c:v>
                </c:pt>
                <c:pt idx="110">
                  <c:v>0.27600000000000019</c:v>
                </c:pt>
              </c:numCache>
            </c:numRef>
          </c:cat>
          <c:val>
            <c:numRef>
              <c:f>Rho!$Q$3:$Q$113</c:f>
              <c:numCache>
                <c:formatCode>0.0000</c:formatCode>
                <c:ptCount val="111"/>
                <c:pt idx="0">
                  <c:v>47.228762114161455</c:v>
                </c:pt>
                <c:pt idx="1">
                  <c:v>47.772219181136229</c:v>
                </c:pt>
                <c:pt idx="2">
                  <c:v>48.313236246106548</c:v>
                </c:pt>
                <c:pt idx="3">
                  <c:v>48.851638088823812</c:v>
                </c:pt>
                <c:pt idx="4">
                  <c:v>49.387250975369405</c:v>
                </c:pt>
                <c:pt idx="5">
                  <c:v>49.919902802327641</c:v>
                </c:pt>
                <c:pt idx="6">
                  <c:v>50.449423238946849</c:v>
                </c:pt>
                <c:pt idx="7">
                  <c:v>50.975643867094306</c:v>
                </c:pt>
                <c:pt idx="8">
                  <c:v>51.498398318815461</c:v>
                </c:pt>
                <c:pt idx="9">
                  <c:v>52.017522411311802</c:v>
                </c:pt>
                <c:pt idx="10">
                  <c:v>52.532854279156687</c:v>
                </c:pt>
                <c:pt idx="11">
                  <c:v>53.044234503573684</c:v>
                </c:pt>
                <c:pt idx="12">
                  <c:v>53.55150623860694</c:v>
                </c:pt>
                <c:pt idx="13">
                  <c:v>54.054515334019591</c:v>
                </c:pt>
                <c:pt idx="14">
                  <c:v>54.553110454761388</c:v>
                </c:pt>
                <c:pt idx="15">
                  <c:v>55.047143196853803</c:v>
                </c:pt>
                <c:pt idx="16">
                  <c:v>55.53646819954696</c:v>
                </c:pt>
                <c:pt idx="17">
                  <c:v>56.020943253609751</c:v>
                </c:pt>
                <c:pt idx="18">
                  <c:v>56.500429405621752</c:v>
                </c:pt>
                <c:pt idx="19">
                  <c:v>56.974791058142458</c:v>
                </c:pt>
                <c:pt idx="20">
                  <c:v>57.44389606564139</c:v>
                </c:pt>
                <c:pt idx="21">
                  <c:v>57.907615826079564</c:v>
                </c:pt>
                <c:pt idx="22">
                  <c:v>58.365825368041691</c:v>
                </c:pt>
                <c:pt idx="23">
                  <c:v>58.818403433325393</c:v>
                </c:pt>
                <c:pt idx="24">
                  <c:v>59.265232554902717</c:v>
                </c:pt>
                <c:pt idx="25">
                  <c:v>59.706199130176877</c:v>
                </c:pt>
                <c:pt idx="26">
                  <c:v>60.141193489466005</c:v>
                </c:pt>
                <c:pt idx="27">
                  <c:v>60.570109959653514</c:v>
                </c:pt>
                <c:pt idx="28">
                  <c:v>60.99284692295376</c:v>
                </c:pt>
                <c:pt idx="29">
                  <c:v>61.40930687074966</c:v>
                </c:pt>
                <c:pt idx="30">
                  <c:v>61.819396452467799</c:v>
                </c:pt>
                <c:pt idx="31">
                  <c:v>62.223026519464874</c:v>
                </c:pt>
                <c:pt idx="32">
                  <c:v>62.620112163907805</c:v>
                </c:pt>
                <c:pt idx="33">
                  <c:v>63.010572752638531</c:v>
                </c:pt>
                <c:pt idx="34">
                  <c:v>63.394331956022427</c:v>
                </c:pt>
                <c:pt idx="35">
                  <c:v>63.77131777178824</c:v>
                </c:pt>
                <c:pt idx="36">
                  <c:v>64.141462543874923</c:v>
                </c:pt>
                <c:pt idx="37">
                  <c:v>64.504702976309432</c:v>
                </c:pt>
                <c:pt idx="38">
                  <c:v>64.860980142147326</c:v>
                </c:pt>
                <c:pt idx="39">
                  <c:v>65.210239487515693</c:v>
                </c:pt>
                <c:pt idx="40">
                  <c:v>65.55243083080579</c:v>
                </c:pt>
                <c:pt idx="41">
                  <c:v>65.887508357070345</c:v>
                </c:pt>
                <c:pt idx="42">
                  <c:v>66.215430607687253</c:v>
                </c:pt>
                <c:pt idx="43">
                  <c:v>66.536160465359472</c:v>
                </c:pt>
                <c:pt idx="44">
                  <c:v>66.849665134526731</c:v>
                </c:pt>
                <c:pt idx="45">
                  <c:v>67.155916117271829</c:v>
                </c:pt>
                <c:pt idx="46">
                  <c:v>67.454889184811123</c:v>
                </c:pt>
                <c:pt idx="47">
                  <c:v>67.746564344664066</c:v>
                </c:pt>
                <c:pt idx="48">
                  <c:v>68.030925803603097</c:v>
                </c:pt>
                <c:pt idx="49">
                  <c:v>68.307961926490918</c:v>
                </c:pt>
                <c:pt idx="50">
                  <c:v>68.577665191117092</c:v>
                </c:pt>
                <c:pt idx="51">
                  <c:v>68.840032139151404</c:v>
                </c:pt>
                <c:pt idx="52">
                  <c:v>69.095063323335609</c:v>
                </c:pt>
                <c:pt idx="53">
                  <c:v>69.342763251040495</c:v>
                </c:pt>
                <c:pt idx="54">
                  <c:v>69.58314032431835</c:v>
                </c:pt>
                <c:pt idx="55">
                  <c:v>69.816206776585432</c:v>
                </c:pt>
                <c:pt idx="56">
                  <c:v>70.041978606072448</c:v>
                </c:pt>
                <c:pt idx="57">
                  <c:v>70.260475506183838</c:v>
                </c:pt>
                <c:pt idx="58">
                  <c:v>70.471720792910304</c:v>
                </c:pt>
                <c:pt idx="59">
                  <c:v>70.675741329440484</c:v>
                </c:pt>
                <c:pt idx="60">
                  <c:v>70.87256744812116</c:v>
                </c:pt>
                <c:pt idx="61">
                  <c:v>71.062232869916159</c:v>
                </c:pt>
                <c:pt idx="62">
                  <c:v>71.244774621516413</c:v>
                </c:pt>
                <c:pt idx="63">
                  <c:v>71.420232950254714</c:v>
                </c:pt>
                <c:pt idx="64">
                  <c:v>71.588651236979402</c:v>
                </c:pt>
                <c:pt idx="65">
                  <c:v>71.750075907042188</c:v>
                </c:pt>
                <c:pt idx="66">
                  <c:v>71.90455633955564</c:v>
                </c:pt>
                <c:pt idx="67">
                  <c:v>72.052144775075476</c:v>
                </c:pt>
                <c:pt idx="68">
                  <c:v>72.192896221862981</c:v>
                </c:pt>
                <c:pt idx="69">
                  <c:v>72.32686836088206</c:v>
                </c:pt>
                <c:pt idx="70">
                  <c:v>72.454121449684791</c:v>
                </c:pt>
                <c:pt idx="71">
                  <c:v>72.574718225337634</c:v>
                </c:pt>
                <c:pt idx="72">
                  <c:v>72.688723806540125</c:v>
                </c:pt>
                <c:pt idx="73">
                  <c:v>72.796205595084913</c:v>
                </c:pt>
                <c:pt idx="74">
                  <c:v>72.897233176807049</c:v>
                </c:pt>
                <c:pt idx="75">
                  <c:v>72.991878222167969</c:v>
                </c:pt>
                <c:pt idx="76">
                  <c:v>73.080214386617101</c:v>
                </c:pt>
                <c:pt idx="77">
                  <c:v>73.162317210871407</c:v>
                </c:pt>
                <c:pt idx="78">
                  <c:v>73.238264021250629</c:v>
                </c:pt>
                <c:pt idx="79">
                  <c:v>73.308133830202578</c:v>
                </c:pt>
                <c:pt idx="80">
                  <c:v>73.37200723714983</c:v>
                </c:pt>
                <c:pt idx="81">
                  <c:v>73.429966329785756</c:v>
                </c:pt>
                <c:pt idx="82">
                  <c:v>73.482094585944012</c:v>
                </c:pt>
                <c:pt idx="83">
                  <c:v>73.528476776162236</c:v>
                </c:pt>
                <c:pt idx="84">
                  <c:v>73.569198867056585</c:v>
                </c:pt>
                <c:pt idx="85">
                  <c:v>73.604347925619678</c:v>
                </c:pt>
                <c:pt idx="86">
                  <c:v>73.634012024550486</c:v>
                </c:pt>
                <c:pt idx="87">
                  <c:v>73.658280148720593</c:v>
                </c:pt>
                <c:pt idx="88">
                  <c:v>73.677242102876576</c:v>
                </c:pt>
                <c:pt idx="89">
                  <c:v>73.69098842067396</c:v>
                </c:pt>
                <c:pt idx="90">
                  <c:v>73.69961027513402</c:v>
                </c:pt>
                <c:pt idx="91">
                  <c:v>73.703199390609484</c:v>
                </c:pt>
                <c:pt idx="92">
                  <c:v>73.701847956341197</c:v>
                </c:pt>
                <c:pt idx="93">
                  <c:v>73.695648541682601</c:v>
                </c:pt>
                <c:pt idx="94">
                  <c:v>73.684694013064913</c:v>
                </c:pt>
                <c:pt idx="95">
                  <c:v>73.669077452770125</c:v>
                </c:pt>
                <c:pt idx="96">
                  <c:v>73.648892079575432</c:v>
                </c:pt>
                <c:pt idx="97">
                  <c:v>73.624231171327011</c:v>
                </c:pt>
                <c:pt idx="98">
                  <c:v>73.595187989496949</c:v>
                </c:pt>
                <c:pt idx="99">
                  <c:v>73.561855705772018</c:v>
                </c:pt>
                <c:pt idx="100">
                  <c:v>73.524327330719004</c:v>
                </c:pt>
                <c:pt idx="101">
                  <c:v>73.482695644565879</c:v>
                </c:pt>
                <c:pt idx="102">
                  <c:v>73.43705313013416</c:v>
                </c:pt>
                <c:pt idx="103">
                  <c:v>73.387491907953105</c:v>
                </c:pt>
                <c:pt idx="104">
                  <c:v>73.334103673581922</c:v>
                </c:pt>
                <c:pt idx="105">
                  <c:v>73.276979637162029</c:v>
                </c:pt>
                <c:pt idx="106">
                  <c:v>73.216210465216818</c:v>
                </c:pt>
                <c:pt idx="107">
                  <c:v>73.151886224712555</c:v>
                </c:pt>
                <c:pt idx="108">
                  <c:v>73.084096329389709</c:v>
                </c:pt>
                <c:pt idx="109">
                  <c:v>73.012929488370148</c:v>
                </c:pt>
                <c:pt idx="110">
                  <c:v>72.938473657041826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B-43EE-B79D-9476530B0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362736"/>
        <c:axId val="1522365136"/>
      </c:lineChart>
      <c:catAx>
        <c:axId val="152236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Interest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5136"/>
        <c:crosses val="autoZero"/>
        <c:auto val="1"/>
        <c:lblAlgn val="ctr"/>
        <c:lblOffset val="100"/>
        <c:tickLblSkip val="30"/>
        <c:tickMarkSkip val="5"/>
        <c:noMultiLvlLbl val="0"/>
      </c:catAx>
      <c:valAx>
        <c:axId val="1522365136"/>
        <c:scaling>
          <c:orientation val="minMax"/>
          <c:max val="75"/>
          <c:min val="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Rho</a:t>
                </a:r>
                <a:r>
                  <a:rPr lang="en-US" baseline="0"/>
                  <a:t> Call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22991591179348"/>
          <c:y val="7.4249110000650514E-2"/>
          <c:w val="0.78664811007613888"/>
          <c:h val="0.74140371744167577"/>
        </c:manualLayout>
      </c:layout>
      <c:lineChart>
        <c:grouping val="standard"/>
        <c:varyColors val="0"/>
        <c:ser>
          <c:idx val="0"/>
          <c:order val="0"/>
          <c:tx>
            <c:strRef>
              <c:f>Rho!$N$2</c:f>
              <c:strCache>
                <c:ptCount val="1"/>
                <c:pt idx="0">
                  <c:v>Put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Rho!$P$3:$P$113</c:f>
              <c:numCache>
                <c:formatCode>0.0000</c:formatCode>
                <c:ptCount val="111"/>
                <c:pt idx="0">
                  <c:v>1E-3</c:v>
                </c:pt>
                <c:pt idx="1">
                  <c:v>3.5000000000000001E-3</c:v>
                </c:pt>
                <c:pt idx="2">
                  <c:v>6.0000000000000001E-3</c:v>
                </c:pt>
                <c:pt idx="3">
                  <c:v>8.5000000000000006E-3</c:v>
                </c:pt>
                <c:pt idx="4">
                  <c:v>1.1000000000000001E-2</c:v>
                </c:pt>
                <c:pt idx="5">
                  <c:v>1.3500000000000002E-2</c:v>
                </c:pt>
                <c:pt idx="6">
                  <c:v>1.6E-2</c:v>
                </c:pt>
                <c:pt idx="7">
                  <c:v>1.8499999999999999E-2</c:v>
                </c:pt>
                <c:pt idx="8">
                  <c:v>2.0999999999999998E-2</c:v>
                </c:pt>
                <c:pt idx="9">
                  <c:v>2.3499999999999997E-2</c:v>
                </c:pt>
                <c:pt idx="10">
                  <c:v>2.5999999999999995E-2</c:v>
                </c:pt>
                <c:pt idx="11">
                  <c:v>2.8499999999999994E-2</c:v>
                </c:pt>
                <c:pt idx="12">
                  <c:v>3.0999999999999993E-2</c:v>
                </c:pt>
                <c:pt idx="13">
                  <c:v>3.3499999999999995E-2</c:v>
                </c:pt>
                <c:pt idx="14">
                  <c:v>3.5999999999999997E-2</c:v>
                </c:pt>
                <c:pt idx="15">
                  <c:v>3.85E-2</c:v>
                </c:pt>
                <c:pt idx="16">
                  <c:v>4.1000000000000002E-2</c:v>
                </c:pt>
                <c:pt idx="17">
                  <c:v>4.3500000000000004E-2</c:v>
                </c:pt>
                <c:pt idx="18">
                  <c:v>4.6000000000000006E-2</c:v>
                </c:pt>
                <c:pt idx="19">
                  <c:v>4.8500000000000008E-2</c:v>
                </c:pt>
                <c:pt idx="20">
                  <c:v>5.1000000000000011E-2</c:v>
                </c:pt>
                <c:pt idx="21">
                  <c:v>5.3500000000000013E-2</c:v>
                </c:pt>
                <c:pt idx="22">
                  <c:v>5.6000000000000015E-2</c:v>
                </c:pt>
                <c:pt idx="23">
                  <c:v>5.8500000000000017E-2</c:v>
                </c:pt>
                <c:pt idx="24">
                  <c:v>6.1000000000000019E-2</c:v>
                </c:pt>
                <c:pt idx="25">
                  <c:v>6.3500000000000015E-2</c:v>
                </c:pt>
                <c:pt idx="26">
                  <c:v>6.6000000000000017E-2</c:v>
                </c:pt>
                <c:pt idx="27">
                  <c:v>6.8500000000000019E-2</c:v>
                </c:pt>
                <c:pt idx="28">
                  <c:v>7.1000000000000021E-2</c:v>
                </c:pt>
                <c:pt idx="29">
                  <c:v>7.3500000000000024E-2</c:v>
                </c:pt>
                <c:pt idx="30">
                  <c:v>7.6000000000000026E-2</c:v>
                </c:pt>
                <c:pt idx="31">
                  <c:v>7.8500000000000028E-2</c:v>
                </c:pt>
                <c:pt idx="32">
                  <c:v>8.100000000000003E-2</c:v>
                </c:pt>
                <c:pt idx="33">
                  <c:v>8.3500000000000033E-2</c:v>
                </c:pt>
                <c:pt idx="34">
                  <c:v>8.6000000000000035E-2</c:v>
                </c:pt>
                <c:pt idx="35">
                  <c:v>8.8500000000000037E-2</c:v>
                </c:pt>
                <c:pt idx="36">
                  <c:v>9.1000000000000039E-2</c:v>
                </c:pt>
                <c:pt idx="37">
                  <c:v>9.3500000000000041E-2</c:v>
                </c:pt>
                <c:pt idx="38">
                  <c:v>9.6000000000000044E-2</c:v>
                </c:pt>
                <c:pt idx="39">
                  <c:v>9.8500000000000046E-2</c:v>
                </c:pt>
                <c:pt idx="40">
                  <c:v>0.10100000000000005</c:v>
                </c:pt>
                <c:pt idx="41">
                  <c:v>0.10350000000000005</c:v>
                </c:pt>
                <c:pt idx="42">
                  <c:v>0.10600000000000005</c:v>
                </c:pt>
                <c:pt idx="43">
                  <c:v>0.10850000000000005</c:v>
                </c:pt>
                <c:pt idx="44">
                  <c:v>0.11100000000000006</c:v>
                </c:pt>
                <c:pt idx="45">
                  <c:v>0.11350000000000006</c:v>
                </c:pt>
                <c:pt idx="46">
                  <c:v>0.11600000000000006</c:v>
                </c:pt>
                <c:pt idx="47">
                  <c:v>0.11850000000000006</c:v>
                </c:pt>
                <c:pt idx="48">
                  <c:v>0.12100000000000007</c:v>
                </c:pt>
                <c:pt idx="49">
                  <c:v>0.12350000000000007</c:v>
                </c:pt>
                <c:pt idx="50">
                  <c:v>0.12600000000000006</c:v>
                </c:pt>
                <c:pt idx="51">
                  <c:v>0.12850000000000006</c:v>
                </c:pt>
                <c:pt idx="52">
                  <c:v>0.13100000000000006</c:v>
                </c:pt>
                <c:pt idx="53">
                  <c:v>0.13350000000000006</c:v>
                </c:pt>
                <c:pt idx="54">
                  <c:v>0.13600000000000007</c:v>
                </c:pt>
                <c:pt idx="55">
                  <c:v>0.13850000000000007</c:v>
                </c:pt>
                <c:pt idx="56">
                  <c:v>0.14100000000000007</c:v>
                </c:pt>
                <c:pt idx="57">
                  <c:v>0.14350000000000007</c:v>
                </c:pt>
                <c:pt idx="58">
                  <c:v>0.14600000000000007</c:v>
                </c:pt>
                <c:pt idx="59">
                  <c:v>0.14850000000000008</c:v>
                </c:pt>
                <c:pt idx="60">
                  <c:v>0.15100000000000008</c:v>
                </c:pt>
                <c:pt idx="61">
                  <c:v>0.15350000000000008</c:v>
                </c:pt>
                <c:pt idx="62">
                  <c:v>0.15600000000000008</c:v>
                </c:pt>
                <c:pt idx="63">
                  <c:v>0.15850000000000009</c:v>
                </c:pt>
                <c:pt idx="64">
                  <c:v>0.16100000000000009</c:v>
                </c:pt>
                <c:pt idx="65">
                  <c:v>0.16350000000000009</c:v>
                </c:pt>
                <c:pt idx="66">
                  <c:v>0.16600000000000009</c:v>
                </c:pt>
                <c:pt idx="67">
                  <c:v>0.16850000000000009</c:v>
                </c:pt>
                <c:pt idx="68">
                  <c:v>0.1710000000000001</c:v>
                </c:pt>
                <c:pt idx="69">
                  <c:v>0.1735000000000001</c:v>
                </c:pt>
                <c:pt idx="70">
                  <c:v>0.1760000000000001</c:v>
                </c:pt>
                <c:pt idx="71">
                  <c:v>0.1785000000000001</c:v>
                </c:pt>
                <c:pt idx="72">
                  <c:v>0.18100000000000011</c:v>
                </c:pt>
                <c:pt idx="73">
                  <c:v>0.18350000000000011</c:v>
                </c:pt>
                <c:pt idx="74">
                  <c:v>0.18600000000000011</c:v>
                </c:pt>
                <c:pt idx="75">
                  <c:v>0.18850000000000011</c:v>
                </c:pt>
                <c:pt idx="76">
                  <c:v>0.19100000000000011</c:v>
                </c:pt>
                <c:pt idx="77">
                  <c:v>0.19350000000000012</c:v>
                </c:pt>
                <c:pt idx="78">
                  <c:v>0.19600000000000012</c:v>
                </c:pt>
                <c:pt idx="79">
                  <c:v>0.19850000000000012</c:v>
                </c:pt>
                <c:pt idx="80">
                  <c:v>0.20100000000000012</c:v>
                </c:pt>
                <c:pt idx="81">
                  <c:v>0.20350000000000013</c:v>
                </c:pt>
                <c:pt idx="82">
                  <c:v>0.20600000000000013</c:v>
                </c:pt>
                <c:pt idx="83">
                  <c:v>0.20850000000000013</c:v>
                </c:pt>
                <c:pt idx="84">
                  <c:v>0.21100000000000013</c:v>
                </c:pt>
                <c:pt idx="85">
                  <c:v>0.21350000000000013</c:v>
                </c:pt>
                <c:pt idx="86">
                  <c:v>0.21600000000000014</c:v>
                </c:pt>
                <c:pt idx="87">
                  <c:v>0.21850000000000014</c:v>
                </c:pt>
                <c:pt idx="88">
                  <c:v>0.22100000000000014</c:v>
                </c:pt>
                <c:pt idx="89">
                  <c:v>0.22350000000000014</c:v>
                </c:pt>
                <c:pt idx="90">
                  <c:v>0.22600000000000015</c:v>
                </c:pt>
                <c:pt idx="91">
                  <c:v>0.22850000000000015</c:v>
                </c:pt>
                <c:pt idx="92">
                  <c:v>0.23100000000000015</c:v>
                </c:pt>
                <c:pt idx="93">
                  <c:v>0.23350000000000015</c:v>
                </c:pt>
                <c:pt idx="94">
                  <c:v>0.23600000000000015</c:v>
                </c:pt>
                <c:pt idx="95">
                  <c:v>0.23850000000000016</c:v>
                </c:pt>
                <c:pt idx="96">
                  <c:v>0.24100000000000016</c:v>
                </c:pt>
                <c:pt idx="97">
                  <c:v>0.24350000000000016</c:v>
                </c:pt>
                <c:pt idx="98">
                  <c:v>0.24600000000000016</c:v>
                </c:pt>
                <c:pt idx="99">
                  <c:v>0.24850000000000017</c:v>
                </c:pt>
                <c:pt idx="100">
                  <c:v>0.25100000000000017</c:v>
                </c:pt>
                <c:pt idx="101">
                  <c:v>0.25350000000000017</c:v>
                </c:pt>
                <c:pt idx="102">
                  <c:v>0.25600000000000017</c:v>
                </c:pt>
                <c:pt idx="103">
                  <c:v>0.25850000000000017</c:v>
                </c:pt>
                <c:pt idx="104">
                  <c:v>0.26100000000000018</c:v>
                </c:pt>
                <c:pt idx="105">
                  <c:v>0.26350000000000018</c:v>
                </c:pt>
                <c:pt idx="106">
                  <c:v>0.26600000000000018</c:v>
                </c:pt>
                <c:pt idx="107">
                  <c:v>0.26850000000000018</c:v>
                </c:pt>
                <c:pt idx="108">
                  <c:v>0.27100000000000019</c:v>
                </c:pt>
                <c:pt idx="109">
                  <c:v>0.27350000000000019</c:v>
                </c:pt>
                <c:pt idx="110">
                  <c:v>0.27600000000000019</c:v>
                </c:pt>
              </c:numCache>
            </c:numRef>
          </c:cat>
          <c:val>
            <c:numRef>
              <c:f>Rho!$N$3:$N$113</c:f>
              <c:numCache>
                <c:formatCode>0.00</c:formatCode>
                <c:ptCount val="111"/>
                <c:pt idx="0">
                  <c:v>5.925698572478538</c:v>
                </c:pt>
                <c:pt idx="1">
                  <c:v>5.79501209179206</c:v>
                </c:pt>
                <c:pt idx="2">
                  <c:v>5.6663040570680039</c:v>
                </c:pt>
                <c:pt idx="3">
                  <c:v>5.5395665938846079</c:v>
                </c:pt>
                <c:pt idx="4">
                  <c:v>5.4147913954800231</c:v>
                </c:pt>
                <c:pt idx="5">
                  <c:v>5.2919697266391381</c:v>
                </c:pt>
                <c:pt idx="6">
                  <c:v>5.1710924279382198</c:v>
                </c:pt>
                <c:pt idx="7">
                  <c:v>5.0521499203424014</c:v>
                </c:pt>
                <c:pt idx="8">
                  <c:v>4.9351322101500728</c:v>
                </c:pt>
                <c:pt idx="9">
                  <c:v>4.8200288942779821</c:v>
                </c:pt>
                <c:pt idx="10">
                  <c:v>4.7068291658804284</c:v>
                </c:pt>
                <c:pt idx="11">
                  <c:v>4.5955218202953745</c:v>
                </c:pt>
                <c:pt idx="12">
                  <c:v>4.486095261309913</c:v>
                </c:pt>
                <c:pt idx="13">
                  <c:v>4.3785375077371498</c:v>
                </c:pt>
                <c:pt idx="14">
                  <c:v>4.2728362002960623</c:v>
                </c:pt>
                <c:pt idx="15">
                  <c:v>4.1689786087856575</c:v>
                </c:pt>
                <c:pt idx="16">
                  <c:v>4.0669516395442002</c:v>
                </c:pt>
                <c:pt idx="17">
                  <c:v>3.9667418431840176</c:v>
                </c:pt>
                <c:pt idx="18">
                  <c:v>3.8683354225922031</c:v>
                </c:pt>
                <c:pt idx="19">
                  <c:v>3.7717182411867753</c:v>
                </c:pt>
                <c:pt idx="20">
                  <c:v>3.6768758314181866</c:v>
                </c:pt>
                <c:pt idx="21">
                  <c:v>3.5837934035050694</c:v>
                </c:pt>
                <c:pt idx="22">
                  <c:v>3.4924558543936257</c:v>
                </c:pt>
                <c:pt idx="23">
                  <c:v>3.4028477769290646</c:v>
                </c:pt>
                <c:pt idx="24">
                  <c:v>3.3149534692278166</c:v>
                </c:pt>
                <c:pt idx="25">
                  <c:v>3.2287569442387998</c:v>
                </c:pt>
                <c:pt idx="26">
                  <c:v>3.1442419394819261</c:v>
                </c:pt>
                <c:pt idx="27">
                  <c:v>3.0613919269517673</c:v>
                </c:pt>
                <c:pt idx="28">
                  <c:v>2.9801901231742889</c:v>
                </c:pt>
                <c:pt idx="29">
                  <c:v>2.9006194994044066</c:v>
                </c:pt>
                <c:pt idx="30">
                  <c:v>2.8226627919519167</c:v>
                </c:pt>
                <c:pt idx="31">
                  <c:v>2.7463025126233767</c:v>
                </c:pt>
                <c:pt idx="32">
                  <c:v>2.6715209592675997</c:v>
                </c:pt>
                <c:pt idx="33">
                  <c:v>2.5983002264119328</c:v>
                </c:pt>
                <c:pt idx="34">
                  <c:v>2.5266222159770741</c:v>
                </c:pt>
                <c:pt idx="35">
                  <c:v>2.4564686480577365</c:v>
                </c:pt>
                <c:pt idx="36">
                  <c:v>2.3878210717566404</c:v>
                </c:pt>
                <c:pt idx="37">
                  <c:v>2.3206608760595131</c:v>
                </c:pt>
                <c:pt idx="38">
                  <c:v>2.2549693007385692</c:v>
                </c:pt>
                <c:pt idx="39">
                  <c:v>2.1907274472722129</c:v>
                </c:pt>
                <c:pt idx="40">
                  <c:v>2.1279162897688941</c:v>
                </c:pt>
                <c:pt idx="41">
                  <c:v>2.066516685882835</c:v>
                </c:pt>
                <c:pt idx="42">
                  <c:v>2.0065093877099329</c:v>
                </c:pt>
                <c:pt idx="43">
                  <c:v>1.9478750526519661</c:v>
                </c:pt>
                <c:pt idx="44">
                  <c:v>1.8905942542375946</c:v>
                </c:pt>
                <c:pt idx="45">
                  <c:v>1.8346474928887204</c:v>
                </c:pt>
                <c:pt idx="46">
                  <c:v>1.7800152066210835</c:v>
                </c:pt>
                <c:pt idx="47">
                  <c:v>1.7266777816683145</c:v>
                </c:pt>
                <c:pt idx="48">
                  <c:v>1.6746155630184383</c:v>
                </c:pt>
                <c:pt idx="49">
                  <c:v>1.6238088648527622</c:v>
                </c:pt>
                <c:pt idx="50">
                  <c:v>1.5742379808768128</c:v>
                </c:pt>
                <c:pt idx="51">
                  <c:v>1.5258831945335096</c:v>
                </c:pt>
                <c:pt idx="52">
                  <c:v>1.478724789088929</c:v>
                </c:pt>
                <c:pt idx="53">
                  <c:v>1.4327430575816678</c:v>
                </c:pt>
                <c:pt idx="54">
                  <c:v>1.3879183126265815</c:v>
                </c:pt>
                <c:pt idx="55">
                  <c:v>1.3442308960644596</c:v>
                </c:pt>
                <c:pt idx="56">
                  <c:v>1.3016611884493923</c:v>
                </c:pt>
                <c:pt idx="57">
                  <c:v>1.2601896183658798</c:v>
                </c:pt>
                <c:pt idx="58">
                  <c:v>1.2197966715681012</c:v>
                </c:pt>
                <c:pt idx="59">
                  <c:v>1.180462899934291</c:v>
                </c:pt>
                <c:pt idx="60">
                  <c:v>1.1421689302292357</c:v>
                </c:pt>
                <c:pt idx="61">
                  <c:v>1.1048954726685754</c:v>
                </c:pt>
                <c:pt idx="62">
                  <c:v>1.0686233292788145</c:v>
                </c:pt>
                <c:pt idx="63">
                  <c:v>1.0333334020473313</c:v>
                </c:pt>
                <c:pt idx="64">
                  <c:v>0.99900670085710352</c:v>
                </c:pt>
                <c:pt idx="65">
                  <c:v>0.96562435120127965</c:v>
                </c:pt>
                <c:pt idx="66">
                  <c:v>0.93316760167305191</c:v>
                </c:pt>
                <c:pt idx="67">
                  <c:v>0.90161783122660033</c:v>
                </c:pt>
                <c:pt idx="68">
                  <c:v>0.8709565562055932</c:v>
                </c:pt>
                <c:pt idx="69">
                  <c:v>0.84116543713568248</c:v>
                </c:pt>
                <c:pt idx="70">
                  <c:v>0.81222628527802421</c:v>
                </c:pt>
                <c:pt idx="71">
                  <c:v>0.78412106894144706</c:v>
                </c:pt>
                <c:pt idx="72">
                  <c:v>0.75683191955080353</c:v>
                </c:pt>
                <c:pt idx="73">
                  <c:v>0.73034113746981966</c:v>
                </c:pt>
                <c:pt idx="74">
                  <c:v>0.70463119757695303</c:v>
                </c:pt>
                <c:pt idx="75">
                  <c:v>0.67968475459314703</c:v>
                </c:pt>
                <c:pt idx="76">
                  <c:v>0.65548464816077612</c:v>
                </c:pt>
                <c:pt idx="77">
                  <c:v>0.63201390767335397</c:v>
                </c:pt>
                <c:pt idx="78">
                  <c:v>0.60925575685600641</c:v>
                </c:pt>
                <c:pt idx="79">
                  <c:v>0.58719361809706605</c:v>
                </c:pt>
                <c:pt idx="80">
                  <c:v>0.56581111653129401</c:v>
                </c:pt>
                <c:pt idx="81">
                  <c:v>0.54509208387582664</c:v>
                </c:pt>
                <c:pt idx="82">
                  <c:v>0.52502056202004965</c:v>
                </c:pt>
                <c:pt idx="83">
                  <c:v>0.5055808063710554</c:v>
                </c:pt>
                <c:pt idx="84">
                  <c:v>0.48675728895641956</c:v>
                </c:pt>
                <c:pt idx="85">
                  <c:v>0.46853470128669539</c:v>
                </c:pt>
                <c:pt idx="86">
                  <c:v>0.45089795697982815</c:v>
                </c:pt>
                <c:pt idx="87">
                  <c:v>0.43383219415037289</c:v>
                </c:pt>
                <c:pt idx="88">
                  <c:v>0.4173227775664019</c:v>
                </c:pt>
                <c:pt idx="89">
                  <c:v>0.40135530057736624</c:v>
                </c:pt>
                <c:pt idx="90">
                  <c:v>0.38591558681625138</c:v>
                </c:pt>
                <c:pt idx="91">
                  <c:v>0.37098969167983231</c:v>
                </c:pt>
                <c:pt idx="92">
                  <c:v>0.35656390359080259</c:v>
                </c:pt>
                <c:pt idx="93">
                  <c:v>0.34262474504590834</c:v>
                </c:pt>
                <c:pt idx="94">
                  <c:v>0.32915897345426082</c:v>
                </c:pt>
                <c:pt idx="95">
                  <c:v>0.31615358177042108</c:v>
                </c:pt>
                <c:pt idx="96">
                  <c:v>0.30359579892667288</c:v>
                </c:pt>
                <c:pt idx="97">
                  <c:v>0.2914730900694007</c:v>
                </c:pt>
                <c:pt idx="98">
                  <c:v>0.27977315660433444</c:v>
                </c:pt>
                <c:pt idx="99">
                  <c:v>0.26848393605576071</c:v>
                </c:pt>
                <c:pt idx="100">
                  <c:v>0.25759360174483081</c:v>
                </c:pt>
                <c:pt idx="101">
                  <c:v>0.24709056229212356</c:v>
                </c:pt>
                <c:pt idx="102">
                  <c:v>0.23696346094993848</c:v>
                </c:pt>
                <c:pt idx="103">
                  <c:v>0.2272011747696201</c:v>
                </c:pt>
                <c:pt idx="104">
                  <c:v>0.2177928136094458</c:v>
                </c:pt>
                <c:pt idx="105">
                  <c:v>0.20872771898861853</c:v>
                </c:pt>
                <c:pt idx="106">
                  <c:v>0.19999546279298119</c:v>
                </c:pt>
                <c:pt idx="107">
                  <c:v>0.19158584583804572</c:v>
                </c:pt>
                <c:pt idx="108">
                  <c:v>0.18348889629506759</c:v>
                </c:pt>
                <c:pt idx="109">
                  <c:v>0.17569486798577483</c:v>
                </c:pt>
                <c:pt idx="110">
                  <c:v>0.16819423855150717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A-46AA-840E-205286800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362736"/>
        <c:axId val="1522365136"/>
      </c:lineChart>
      <c:catAx>
        <c:axId val="152236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Interest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5136"/>
        <c:crosses val="autoZero"/>
        <c:auto val="1"/>
        <c:lblAlgn val="ctr"/>
        <c:lblOffset val="100"/>
        <c:tickLblSkip val="30"/>
        <c:tickMarkSkip val="5"/>
        <c:noMultiLvlLbl val="0"/>
      </c:catAx>
      <c:valAx>
        <c:axId val="1522365136"/>
        <c:scaling>
          <c:orientation val="minMax"/>
          <c:max val="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Call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Rho!$R$2</c:f>
              <c:strCache>
                <c:ptCount val="1"/>
                <c:pt idx="0">
                  <c:v>Rho Put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Rho!$P$3:$P$113</c:f>
              <c:numCache>
                <c:formatCode>0.0000</c:formatCode>
                <c:ptCount val="111"/>
                <c:pt idx="0">
                  <c:v>1E-3</c:v>
                </c:pt>
                <c:pt idx="1">
                  <c:v>3.5000000000000001E-3</c:v>
                </c:pt>
                <c:pt idx="2">
                  <c:v>6.0000000000000001E-3</c:v>
                </c:pt>
                <c:pt idx="3">
                  <c:v>8.5000000000000006E-3</c:v>
                </c:pt>
                <c:pt idx="4">
                  <c:v>1.1000000000000001E-2</c:v>
                </c:pt>
                <c:pt idx="5">
                  <c:v>1.3500000000000002E-2</c:v>
                </c:pt>
                <c:pt idx="6">
                  <c:v>1.6E-2</c:v>
                </c:pt>
                <c:pt idx="7">
                  <c:v>1.8499999999999999E-2</c:v>
                </c:pt>
                <c:pt idx="8">
                  <c:v>2.0999999999999998E-2</c:v>
                </c:pt>
                <c:pt idx="9">
                  <c:v>2.3499999999999997E-2</c:v>
                </c:pt>
                <c:pt idx="10">
                  <c:v>2.5999999999999995E-2</c:v>
                </c:pt>
                <c:pt idx="11">
                  <c:v>2.8499999999999994E-2</c:v>
                </c:pt>
                <c:pt idx="12">
                  <c:v>3.0999999999999993E-2</c:v>
                </c:pt>
                <c:pt idx="13">
                  <c:v>3.3499999999999995E-2</c:v>
                </c:pt>
                <c:pt idx="14">
                  <c:v>3.5999999999999997E-2</c:v>
                </c:pt>
                <c:pt idx="15">
                  <c:v>3.85E-2</c:v>
                </c:pt>
                <c:pt idx="16">
                  <c:v>4.1000000000000002E-2</c:v>
                </c:pt>
                <c:pt idx="17">
                  <c:v>4.3500000000000004E-2</c:v>
                </c:pt>
                <c:pt idx="18">
                  <c:v>4.6000000000000006E-2</c:v>
                </c:pt>
                <c:pt idx="19">
                  <c:v>4.8500000000000008E-2</c:v>
                </c:pt>
                <c:pt idx="20">
                  <c:v>5.1000000000000011E-2</c:v>
                </c:pt>
                <c:pt idx="21">
                  <c:v>5.3500000000000013E-2</c:v>
                </c:pt>
                <c:pt idx="22">
                  <c:v>5.6000000000000015E-2</c:v>
                </c:pt>
                <c:pt idx="23">
                  <c:v>5.8500000000000017E-2</c:v>
                </c:pt>
                <c:pt idx="24">
                  <c:v>6.1000000000000019E-2</c:v>
                </c:pt>
                <c:pt idx="25">
                  <c:v>6.3500000000000015E-2</c:v>
                </c:pt>
                <c:pt idx="26">
                  <c:v>6.6000000000000017E-2</c:v>
                </c:pt>
                <c:pt idx="27">
                  <c:v>6.8500000000000019E-2</c:v>
                </c:pt>
                <c:pt idx="28">
                  <c:v>7.1000000000000021E-2</c:v>
                </c:pt>
                <c:pt idx="29">
                  <c:v>7.3500000000000024E-2</c:v>
                </c:pt>
                <c:pt idx="30">
                  <c:v>7.6000000000000026E-2</c:v>
                </c:pt>
                <c:pt idx="31">
                  <c:v>7.8500000000000028E-2</c:v>
                </c:pt>
                <c:pt idx="32">
                  <c:v>8.100000000000003E-2</c:v>
                </c:pt>
                <c:pt idx="33">
                  <c:v>8.3500000000000033E-2</c:v>
                </c:pt>
                <c:pt idx="34">
                  <c:v>8.6000000000000035E-2</c:v>
                </c:pt>
                <c:pt idx="35">
                  <c:v>8.8500000000000037E-2</c:v>
                </c:pt>
                <c:pt idx="36">
                  <c:v>9.1000000000000039E-2</c:v>
                </c:pt>
                <c:pt idx="37">
                  <c:v>9.3500000000000041E-2</c:v>
                </c:pt>
                <c:pt idx="38">
                  <c:v>9.6000000000000044E-2</c:v>
                </c:pt>
                <c:pt idx="39">
                  <c:v>9.8500000000000046E-2</c:v>
                </c:pt>
                <c:pt idx="40">
                  <c:v>0.10100000000000005</c:v>
                </c:pt>
                <c:pt idx="41">
                  <c:v>0.10350000000000005</c:v>
                </c:pt>
                <c:pt idx="42">
                  <c:v>0.10600000000000005</c:v>
                </c:pt>
                <c:pt idx="43">
                  <c:v>0.10850000000000005</c:v>
                </c:pt>
                <c:pt idx="44">
                  <c:v>0.11100000000000006</c:v>
                </c:pt>
                <c:pt idx="45">
                  <c:v>0.11350000000000006</c:v>
                </c:pt>
                <c:pt idx="46">
                  <c:v>0.11600000000000006</c:v>
                </c:pt>
                <c:pt idx="47">
                  <c:v>0.11850000000000006</c:v>
                </c:pt>
                <c:pt idx="48">
                  <c:v>0.12100000000000007</c:v>
                </c:pt>
                <c:pt idx="49">
                  <c:v>0.12350000000000007</c:v>
                </c:pt>
                <c:pt idx="50">
                  <c:v>0.12600000000000006</c:v>
                </c:pt>
                <c:pt idx="51">
                  <c:v>0.12850000000000006</c:v>
                </c:pt>
                <c:pt idx="52">
                  <c:v>0.13100000000000006</c:v>
                </c:pt>
                <c:pt idx="53">
                  <c:v>0.13350000000000006</c:v>
                </c:pt>
                <c:pt idx="54">
                  <c:v>0.13600000000000007</c:v>
                </c:pt>
                <c:pt idx="55">
                  <c:v>0.13850000000000007</c:v>
                </c:pt>
                <c:pt idx="56">
                  <c:v>0.14100000000000007</c:v>
                </c:pt>
                <c:pt idx="57">
                  <c:v>0.14350000000000007</c:v>
                </c:pt>
                <c:pt idx="58">
                  <c:v>0.14600000000000007</c:v>
                </c:pt>
                <c:pt idx="59">
                  <c:v>0.14850000000000008</c:v>
                </c:pt>
                <c:pt idx="60">
                  <c:v>0.15100000000000008</c:v>
                </c:pt>
                <c:pt idx="61">
                  <c:v>0.15350000000000008</c:v>
                </c:pt>
                <c:pt idx="62">
                  <c:v>0.15600000000000008</c:v>
                </c:pt>
                <c:pt idx="63">
                  <c:v>0.15850000000000009</c:v>
                </c:pt>
                <c:pt idx="64">
                  <c:v>0.16100000000000009</c:v>
                </c:pt>
                <c:pt idx="65">
                  <c:v>0.16350000000000009</c:v>
                </c:pt>
                <c:pt idx="66">
                  <c:v>0.16600000000000009</c:v>
                </c:pt>
                <c:pt idx="67">
                  <c:v>0.16850000000000009</c:v>
                </c:pt>
                <c:pt idx="68">
                  <c:v>0.1710000000000001</c:v>
                </c:pt>
                <c:pt idx="69">
                  <c:v>0.1735000000000001</c:v>
                </c:pt>
                <c:pt idx="70">
                  <c:v>0.1760000000000001</c:v>
                </c:pt>
                <c:pt idx="71">
                  <c:v>0.1785000000000001</c:v>
                </c:pt>
                <c:pt idx="72">
                  <c:v>0.18100000000000011</c:v>
                </c:pt>
                <c:pt idx="73">
                  <c:v>0.18350000000000011</c:v>
                </c:pt>
                <c:pt idx="74">
                  <c:v>0.18600000000000011</c:v>
                </c:pt>
                <c:pt idx="75">
                  <c:v>0.18850000000000011</c:v>
                </c:pt>
                <c:pt idx="76">
                  <c:v>0.19100000000000011</c:v>
                </c:pt>
                <c:pt idx="77">
                  <c:v>0.19350000000000012</c:v>
                </c:pt>
                <c:pt idx="78">
                  <c:v>0.19600000000000012</c:v>
                </c:pt>
                <c:pt idx="79">
                  <c:v>0.19850000000000012</c:v>
                </c:pt>
                <c:pt idx="80">
                  <c:v>0.20100000000000012</c:v>
                </c:pt>
                <c:pt idx="81">
                  <c:v>0.20350000000000013</c:v>
                </c:pt>
                <c:pt idx="82">
                  <c:v>0.20600000000000013</c:v>
                </c:pt>
                <c:pt idx="83">
                  <c:v>0.20850000000000013</c:v>
                </c:pt>
                <c:pt idx="84">
                  <c:v>0.21100000000000013</c:v>
                </c:pt>
                <c:pt idx="85">
                  <c:v>0.21350000000000013</c:v>
                </c:pt>
                <c:pt idx="86">
                  <c:v>0.21600000000000014</c:v>
                </c:pt>
                <c:pt idx="87">
                  <c:v>0.21850000000000014</c:v>
                </c:pt>
                <c:pt idx="88">
                  <c:v>0.22100000000000014</c:v>
                </c:pt>
                <c:pt idx="89">
                  <c:v>0.22350000000000014</c:v>
                </c:pt>
                <c:pt idx="90">
                  <c:v>0.22600000000000015</c:v>
                </c:pt>
                <c:pt idx="91">
                  <c:v>0.22850000000000015</c:v>
                </c:pt>
                <c:pt idx="92">
                  <c:v>0.23100000000000015</c:v>
                </c:pt>
                <c:pt idx="93">
                  <c:v>0.23350000000000015</c:v>
                </c:pt>
                <c:pt idx="94">
                  <c:v>0.23600000000000015</c:v>
                </c:pt>
                <c:pt idx="95">
                  <c:v>0.23850000000000016</c:v>
                </c:pt>
                <c:pt idx="96">
                  <c:v>0.24100000000000016</c:v>
                </c:pt>
                <c:pt idx="97">
                  <c:v>0.24350000000000016</c:v>
                </c:pt>
                <c:pt idx="98">
                  <c:v>0.24600000000000016</c:v>
                </c:pt>
                <c:pt idx="99">
                  <c:v>0.24850000000000017</c:v>
                </c:pt>
                <c:pt idx="100">
                  <c:v>0.25100000000000017</c:v>
                </c:pt>
                <c:pt idx="101">
                  <c:v>0.25350000000000017</c:v>
                </c:pt>
                <c:pt idx="102">
                  <c:v>0.25600000000000017</c:v>
                </c:pt>
                <c:pt idx="103">
                  <c:v>0.25850000000000017</c:v>
                </c:pt>
                <c:pt idx="104">
                  <c:v>0.26100000000000018</c:v>
                </c:pt>
                <c:pt idx="105">
                  <c:v>0.26350000000000018</c:v>
                </c:pt>
                <c:pt idx="106">
                  <c:v>0.26600000000000018</c:v>
                </c:pt>
                <c:pt idx="107">
                  <c:v>0.26850000000000018</c:v>
                </c:pt>
                <c:pt idx="108">
                  <c:v>0.27100000000000019</c:v>
                </c:pt>
                <c:pt idx="109">
                  <c:v>0.27350000000000019</c:v>
                </c:pt>
                <c:pt idx="110">
                  <c:v>0.27600000000000019</c:v>
                </c:pt>
              </c:numCache>
            </c:numRef>
          </c:cat>
          <c:val>
            <c:numRef>
              <c:f>Rho!$R$3:$R$113</c:f>
              <c:numCache>
                <c:formatCode>0.0000</c:formatCode>
                <c:ptCount val="111"/>
                <c:pt idx="0">
                  <c:v>-52.671287869176041</c:v>
                </c:pt>
                <c:pt idx="1">
                  <c:v>-51.878392604905251</c:v>
                </c:pt>
                <c:pt idx="2">
                  <c:v>-51.088560159286978</c:v>
                </c:pt>
                <c:pt idx="3">
                  <c:v>-50.301964197472863</c:v>
                </c:pt>
                <c:pt idx="4">
                  <c:v>-49.518776902167467</c:v>
                </c:pt>
                <c:pt idx="5">
                  <c:v>-48.739168829445617</c:v>
                </c:pt>
                <c:pt idx="6">
                  <c:v>-47.963308766581662</c:v>
                </c:pt>
                <c:pt idx="7">
                  <c:v>-47.191363592084841</c:v>
                </c:pt>
                <c:pt idx="8">
                  <c:v>-46.423498138130498</c:v>
                </c:pt>
                <c:pt idx="9">
                  <c:v>-45.659875055572584</c:v>
                </c:pt>
                <c:pt idx="10">
                  <c:v>-44.900654681718237</c:v>
                </c:pt>
                <c:pt idx="11">
                  <c:v>-44.145994911039971</c:v>
                </c:pt>
                <c:pt idx="12">
                  <c:v>-43.396051068995654</c:v>
                </c:pt>
                <c:pt idx="13">
                  <c:v>-42.650975789120707</c:v>
                </c:pt>
                <c:pt idx="14">
                  <c:v>-41.910918893550921</c:v>
                </c:pt>
                <c:pt idx="15">
                  <c:v>-41.17602727712795</c:v>
                </c:pt>
                <c:pt idx="16">
                  <c:v>-40.446444795232935</c:v>
                </c:pt>
                <c:pt idx="17">
                  <c:v>-39.722312155486939</c:v>
                </c:pt>
                <c:pt idx="18">
                  <c:v>-39.003766813449715</c:v>
                </c:pt>
                <c:pt idx="19">
                  <c:v>-38.290942872441015</c:v>
                </c:pt>
                <c:pt idx="20">
                  <c:v>-37.583970987601298</c:v>
                </c:pt>
                <c:pt idx="21">
                  <c:v>-36.88297827430074</c:v>
                </c:pt>
                <c:pt idx="22">
                  <c:v>-36.188088220997926</c:v>
                </c:pt>
                <c:pt idx="23">
                  <c:v>-35.499420606641252</c:v>
                </c:pt>
                <c:pt idx="24">
                  <c:v>-34.817091422698248</c:v>
                </c:pt>
                <c:pt idx="25">
                  <c:v>-34.141212799889523</c:v>
                </c:pt>
                <c:pt idx="26">
                  <c:v>-33.471892939695877</c:v>
                </c:pt>
                <c:pt idx="27">
                  <c:v>-32.809236050698765</c:v>
                </c:pt>
                <c:pt idx="28">
                  <c:v>-32.153342289805451</c:v>
                </c:pt>
                <c:pt idx="29">
                  <c:v>-31.504307708402266</c:v>
                </c:pt>
                <c:pt idx="30">
                  <c:v>-30.862224203470415</c:v>
                </c:pt>
                <c:pt idx="31">
                  <c:v>-30.227179473690434</c:v>
                </c:pt>
                <c:pt idx="32">
                  <c:v>-29.59925698055299</c:v>
                </c:pt>
                <c:pt idx="33">
                  <c:v>-28.978535914485118</c:v>
                </c:pt>
                <c:pt idx="34">
                  <c:v>-28.365091165992666</c:v>
                </c:pt>
                <c:pt idx="35">
                  <c:v>-27.758993301811518</c:v>
                </c:pt>
                <c:pt idx="36">
                  <c:v>-27.160308546051652</c:v>
                </c:pt>
                <c:pt idx="37">
                  <c:v>-26.569098766310486</c:v>
                </c:pt>
                <c:pt idx="38">
                  <c:v>-25.985421464723284</c:v>
                </c:pt>
                <c:pt idx="39">
                  <c:v>-25.409329773911384</c:v>
                </c:pt>
                <c:pt idx="40">
                  <c:v>-24.840872457780609</c:v>
                </c:pt>
                <c:pt idx="41">
                  <c:v>-24.280093917115202</c:v>
                </c:pt>
                <c:pt idx="42">
                  <c:v>-23.727034199905155</c:v>
                </c:pt>
                <c:pt idx="43">
                  <c:v>-23.181729016337606</c:v>
                </c:pt>
                <c:pt idx="44">
                  <c:v>-22.644209758376366</c:v>
                </c:pt>
                <c:pt idx="45">
                  <c:v>-22.114503523846679</c:v>
                </c:pt>
                <c:pt idx="46">
                  <c:v>-21.592633144936123</c:v>
                </c:pt>
                <c:pt idx="47">
                  <c:v>-21.078617221016366</c:v>
                </c:pt>
                <c:pt idx="48">
                  <c:v>-20.572470155684453</c:v>
                </c:pt>
                <c:pt idx="49">
                  <c:v>-20.074202197916922</c:v>
                </c:pt>
                <c:pt idx="50">
                  <c:v>-19.583819487224499</c:v>
                </c:pt>
                <c:pt idx="51">
                  <c:v>-19.101324102690192</c:v>
                </c:pt>
                <c:pt idx="52">
                  <c:v>-18.626714115768753</c:v>
                </c:pt>
                <c:pt idx="53">
                  <c:v>-18.159983646721166</c:v>
                </c:pt>
                <c:pt idx="54">
                  <c:v>-17.701122924553573</c:v>
                </c:pt>
                <c:pt idx="55">
                  <c:v>-17.250118350326179</c:v>
                </c:pt>
                <c:pt idx="56">
                  <c:v>-16.806952563694335</c:v>
                </c:pt>
                <c:pt idx="57">
                  <c:v>-16.371604512540618</c:v>
                </c:pt>
                <c:pt idx="58">
                  <c:v>-15.944049525553963</c:v>
                </c:pt>
                <c:pt idx="59">
                  <c:v>-15.52425938760938</c:v>
                </c:pt>
                <c:pt idx="60">
                  <c:v>-15.112202417799379</c:v>
                </c:pt>
                <c:pt idx="61">
                  <c:v>-14.707843549966622</c:v>
                </c:pt>
                <c:pt idx="62">
                  <c:v>-14.311144415585419</c:v>
                </c:pt>
                <c:pt idx="63">
                  <c:v>-13.922063428838662</c:v>
                </c:pt>
                <c:pt idx="64">
                  <c:v>-13.540555873735711</c:v>
                </c:pt>
                <c:pt idx="65">
                  <c:v>-13.166573993116192</c:v>
                </c:pt>
                <c:pt idx="66">
                  <c:v>-12.800067079384316</c:v>
                </c:pt>
                <c:pt idx="67">
                  <c:v>-12.44098156681815</c:v>
                </c:pt>
                <c:pt idx="68">
                  <c:v>-12.089261125299004</c:v>
                </c:pt>
                <c:pt idx="69">
                  <c:v>-11.744846755306048</c:v>
                </c:pt>
                <c:pt idx="70">
                  <c:v>-11.407676884022612</c:v>
                </c:pt>
                <c:pt idx="71">
                  <c:v>-11.077687462401613</c:v>
                </c:pt>
                <c:pt idx="72">
                  <c:v>-10.754812063038816</c:v>
                </c:pt>
                <c:pt idx="73">
                  <c:v>-10.438981978704545</c:v>
                </c:pt>
                <c:pt idx="74">
                  <c:v>-10.130126321386218</c:v>
                </c:pt>
                <c:pt idx="75">
                  <c:v>-9.8281721216962232</c:v>
                </c:pt>
                <c:pt idx="76">
                  <c:v>-9.5330444285022704</c:v>
                </c:pt>
                <c:pt idx="77">
                  <c:v>-9.2446664086396648</c:v>
                </c:pt>
                <c:pt idx="78">
                  <c:v>-8.9629594465680142</c:v>
                </c:pt>
                <c:pt idx="79">
                  <c:v>-8.687843243837893</c:v>
                </c:pt>
                <c:pt idx="80">
                  <c:v>-8.4192359182360885</c:v>
                </c:pt>
                <c:pt idx="81">
                  <c:v>-8.1570541024815935</c:v>
                </c:pt>
                <c:pt idx="82">
                  <c:v>-7.9012130423480542</c:v>
                </c:pt>
                <c:pt idx="83">
                  <c:v>-7.6516266940921378</c:v>
                </c:pt>
                <c:pt idx="84">
                  <c:v>-7.4082078210710325</c:v>
                </c:pt>
                <c:pt idx="85">
                  <c:v>-7.1708680894365928</c:v>
                </c:pt>
                <c:pt idx="86">
                  <c:v>-6.9395181627974676</c:v>
                </c:pt>
                <c:pt idx="87">
                  <c:v>-6.7140677957449908</c:v>
                </c:pt>
                <c:pt idx="88">
                  <c:v>-6.4944259261429425</c:v>
                </c:pt>
                <c:pt idx="89">
                  <c:v>-6.2805007660856438</c:v>
                </c:pt>
                <c:pt idx="90">
                  <c:v>-6.0721998914334057</c:v>
                </c:pt>
                <c:pt idx="91">
                  <c:v>-5.8694303298389654</c:v>
                </c:pt>
                <c:pt idx="92">
                  <c:v>-5.6720986471830717</c:v>
                </c:pt>
                <c:pt idx="93">
                  <c:v>-5.4801110323421192</c:v>
                </c:pt>
                <c:pt idx="94">
                  <c:v>-5.2933733802153453</c:v>
                </c:pt>
                <c:pt idx="95">
                  <c:v>-5.111791372943971</c:v>
                </c:pt>
                <c:pt idx="96">
                  <c:v>-4.9352705592591031</c:v>
                </c:pt>
                <c:pt idx="97">
                  <c:v>-4.763716431900253</c:v>
                </c:pt>
                <c:pt idx="98">
                  <c:v>-4.5970345030507627</c:v>
                </c:pt>
                <c:pt idx="99">
                  <c:v>-4.4351303777412365</c:v>
                </c:pt>
                <c:pt idx="100">
                  <c:v>-4.2779098251767138</c:v>
                </c:pt>
                <c:pt idx="101">
                  <c:v>-4.12527884794779</c:v>
                </c:pt>
                <c:pt idx="102">
                  <c:v>-3.9771437490906649</c:v>
                </c:pt>
                <c:pt idx="103">
                  <c:v>-3.8334111969653808</c:v>
                </c:pt>
                <c:pt idx="104">
                  <c:v>-3.6939882879259889</c:v>
                </c:pt>
                <c:pt idx="105">
                  <c:v>-3.5587826067608064</c:v>
                </c:pt>
                <c:pt idx="106">
                  <c:v>-3.4277022848850782</c:v>
                </c:pt>
                <c:pt idx="107">
                  <c:v>-3.3006560562725831</c:v>
                </c:pt>
                <c:pt idx="108">
                  <c:v>-3.1775533111168079</c:v>
                </c:pt>
                <c:pt idx="109">
                  <c:v>-3.0583041472162513</c:v>
                </c:pt>
                <c:pt idx="110">
                  <c:v>-2.9428194190822889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90-49C9-94A6-FB57E8AEC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362736"/>
        <c:axId val="1522365136"/>
      </c:lineChart>
      <c:catAx>
        <c:axId val="152236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Interest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5136"/>
        <c:crosses val="autoZero"/>
        <c:auto val="1"/>
        <c:lblAlgn val="ctr"/>
        <c:lblOffset val="100"/>
        <c:tickLblSkip val="30"/>
        <c:tickMarkSkip val="5"/>
        <c:noMultiLvlLbl val="0"/>
      </c:catAx>
      <c:valAx>
        <c:axId val="1522365136"/>
        <c:scaling>
          <c:orientation val="minMax"/>
          <c:max val="0"/>
          <c:min val="-5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Rho</a:t>
                </a:r>
                <a:r>
                  <a:rPr lang="en-US" baseline="0"/>
                  <a:t> Call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236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198120</xdr:colOff>
      <xdr:row>1</xdr:row>
      <xdr:rowOff>11430</xdr:rowOff>
    </xdr:from>
    <xdr:to>
      <xdr:col>21</xdr:col>
      <xdr:colOff>502920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17165-9486-7BC4-452D-350B708BF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217714</xdr:colOff>
      <xdr:row>16</xdr:row>
      <xdr:rowOff>19792</xdr:rowOff>
    </xdr:from>
    <xdr:to>
      <xdr:col>21</xdr:col>
      <xdr:colOff>522514</xdr:colOff>
      <xdr:row>31</xdr:row>
      <xdr:rowOff>19792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BF9F49-AEF2-49FE-BB37-2D9704699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508001</xdr:colOff>
      <xdr:row>1</xdr:row>
      <xdr:rowOff>34637</xdr:rowOff>
    </xdr:from>
    <xdr:to>
      <xdr:col>29</xdr:col>
      <xdr:colOff>200891</xdr:colOff>
      <xdr:row>16</xdr:row>
      <xdr:rowOff>34637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989384-AA5B-4B71-A4EC-2D4E51011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508001</xdr:colOff>
      <xdr:row>16</xdr:row>
      <xdr:rowOff>0</xdr:rowOff>
    </xdr:from>
    <xdr:to>
      <xdr:col>29</xdr:col>
      <xdr:colOff>200891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B5D58E-62D9-4B0E-9A9B-F9E111CFC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426721</xdr:colOff>
      <xdr:row>16</xdr:row>
      <xdr:rowOff>87629</xdr:rowOff>
    </xdr:from>
    <xdr:to>
      <xdr:col>32</xdr:col>
      <xdr:colOff>121921</xdr:colOff>
      <xdr:row>31</xdr:row>
      <xdr:rowOff>87629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067BE4-9380-4AB8-8547-BBCF52B7F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185057</xdr:colOff>
      <xdr:row>16</xdr:row>
      <xdr:rowOff>117764</xdr:rowOff>
    </xdr:from>
    <xdr:to>
      <xdr:col>24</xdr:col>
      <xdr:colOff>489857</xdr:colOff>
      <xdr:row>31</xdr:row>
      <xdr:rowOff>117764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8A9F0F-60B9-43BC-A09E-E1740B61E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185057</xdr:colOff>
      <xdr:row>1</xdr:row>
      <xdr:rowOff>119744</xdr:rowOff>
    </xdr:from>
    <xdr:to>
      <xdr:col>24</xdr:col>
      <xdr:colOff>506020</xdr:colOff>
      <xdr:row>16</xdr:row>
      <xdr:rowOff>114796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36D7A5-31BF-482C-BA7F-49D5EA51B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457199</xdr:colOff>
      <xdr:row>1</xdr:row>
      <xdr:rowOff>97972</xdr:rowOff>
    </xdr:from>
    <xdr:to>
      <xdr:col>32</xdr:col>
      <xdr:colOff>168562</xdr:colOff>
      <xdr:row>16</xdr:row>
      <xdr:rowOff>93024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F66DB7-961F-445B-B148-A14A23E89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20886</xdr:colOff>
      <xdr:row>29</xdr:row>
      <xdr:rowOff>80112</xdr:rowOff>
    </xdr:from>
    <xdr:to>
      <xdr:col>26</xdr:col>
      <xdr:colOff>325686</xdr:colOff>
      <xdr:row>44</xdr:row>
      <xdr:rowOff>80112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E85E08-91CC-4805-AA71-0585F2B25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538631</xdr:colOff>
      <xdr:row>29</xdr:row>
      <xdr:rowOff>64890</xdr:rowOff>
    </xdr:from>
    <xdr:to>
      <xdr:col>34</xdr:col>
      <xdr:colOff>233830</xdr:colOff>
      <xdr:row>44</xdr:row>
      <xdr:rowOff>64890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F0CAE8-3D68-4A38-96A4-B80AC1CF0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287481</xdr:colOff>
      <xdr:row>1</xdr:row>
      <xdr:rowOff>199572</xdr:rowOff>
    </xdr:from>
    <xdr:to>
      <xdr:col>29</xdr:col>
      <xdr:colOff>217714</xdr:colOff>
      <xdr:row>28</xdr:row>
      <xdr:rowOff>108857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869562-9C81-4D27-8542-DA7EE0261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372187</xdr:colOff>
      <xdr:row>11</xdr:row>
      <xdr:rowOff>177800</xdr:rowOff>
    </xdr:from>
    <xdr:to>
      <xdr:col>37</xdr:col>
      <xdr:colOff>83550</xdr:colOff>
      <xdr:row>27</xdr:row>
      <xdr:rowOff>172852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9C1C71-E05D-4537-95A9-37A2F0CBF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51955</xdr:colOff>
      <xdr:row>2</xdr:row>
      <xdr:rowOff>19626</xdr:rowOff>
    </xdr:from>
    <xdr:to>
      <xdr:col>26</xdr:col>
      <xdr:colOff>340591</xdr:colOff>
      <xdr:row>16</xdr:row>
      <xdr:rowOff>176645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FF9756-F863-341B-D3F3-5ED87E5FD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17</xdr:row>
      <xdr:rowOff>69271</xdr:rowOff>
    </xdr:from>
    <xdr:to>
      <xdr:col>26</xdr:col>
      <xdr:colOff>600363</xdr:colOff>
      <xdr:row>34</xdr:row>
      <xdr:rowOff>173181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109410-68B2-4566-BF59-A4292B99B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457536</xdr:colOff>
      <xdr:row>2</xdr:row>
      <xdr:rowOff>130238</xdr:rowOff>
    </xdr:from>
    <xdr:to>
      <xdr:col>26</xdr:col>
      <xdr:colOff>442451</xdr:colOff>
      <xdr:row>19</xdr:row>
      <xdr:rowOff>24579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C7772-2161-41CE-A58D-7B5CDD3B1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417871</xdr:colOff>
      <xdr:row>19</xdr:row>
      <xdr:rowOff>98323</xdr:rowOff>
    </xdr:from>
    <xdr:to>
      <xdr:col>26</xdr:col>
      <xdr:colOff>402786</xdr:colOff>
      <xdr:row>35</xdr:row>
      <xdr:rowOff>177019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D7B46F-9B73-4F93-837C-1E1FAD891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553064</xdr:colOff>
      <xdr:row>2</xdr:row>
      <xdr:rowOff>135193</xdr:rowOff>
    </xdr:from>
    <xdr:to>
      <xdr:col>34</xdr:col>
      <xdr:colOff>537979</xdr:colOff>
      <xdr:row>19</xdr:row>
      <xdr:rowOff>29534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A76DF3-2DDD-45CF-8769-9DF2B8C91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49161</xdr:colOff>
      <xdr:row>20</xdr:row>
      <xdr:rowOff>36871</xdr:rowOff>
    </xdr:from>
    <xdr:to>
      <xdr:col>35</xdr:col>
      <xdr:colOff>34076</xdr:colOff>
      <xdr:row>36</xdr:row>
      <xdr:rowOff>115567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ABD24D-75AC-4FC1-A6AC-4601F774A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16"/>
  <sheetViews>
    <sheetView workbookViewId="0">
      <selection activeCell="C14" sqref="C14"/>
    </sheetView>
  </sheetViews>
  <sheetFormatPr defaultRowHeight="14.4"/>
  <sheetData>
    <row r="3" spans="3:11">
      <c r="C3" t="s">
        <v>0</v>
      </c>
      <c r="D3">
        <v>100</v>
      </c>
    </row>
    <row r="4" spans="3:11">
      <c r="C4" t="s">
        <v>1</v>
      </c>
      <c r="D4">
        <v>100</v>
      </c>
      <c r="G4" t="s">
        <v>9</v>
      </c>
      <c r="H4" s="1">
        <f>D3*D12-D4*EXP(-D5*D7)*D13</f>
        <v>11.669128488287299</v>
      </c>
      <c r="J4" t="s">
        <v>13</v>
      </c>
      <c r="K4" s="2">
        <f>D12</f>
        <v>0.77085533971897768</v>
      </c>
    </row>
    <row r="5" spans="3:11">
      <c r="C5" t="s">
        <v>2</v>
      </c>
      <c r="D5">
        <v>0.1</v>
      </c>
      <c r="G5" t="s">
        <v>10</v>
      </c>
      <c r="H5" s="1">
        <f>EXP(-D5*D7)*D4*D16-D3*D15</f>
        <v>2.1528702918832394</v>
      </c>
      <c r="J5" t="s">
        <v>14</v>
      </c>
      <c r="K5" s="2">
        <f>+K4-1</f>
        <v>-0.22914466028102232</v>
      </c>
    </row>
    <row r="6" spans="3:11">
      <c r="C6" t="s">
        <v>3</v>
      </c>
      <c r="D6">
        <v>0.15</v>
      </c>
    </row>
    <row r="7" spans="3:11">
      <c r="C7" t="s">
        <v>4</v>
      </c>
      <c r="D7">
        <v>1</v>
      </c>
    </row>
    <row r="9" spans="3:11">
      <c r="C9" t="s">
        <v>5</v>
      </c>
      <c r="D9">
        <f>(LN(D3/D4)+(D5+(D6^2)/2)*D7)/D6*SQRT(D7)</f>
        <v>0.7416666666666667</v>
      </c>
    </row>
    <row r="10" spans="3:11">
      <c r="C10" t="s">
        <v>6</v>
      </c>
      <c r="D10">
        <f>D9-D6*SQRT(D7)</f>
        <v>0.59166666666666667</v>
      </c>
    </row>
    <row r="12" spans="3:11">
      <c r="C12" t="s">
        <v>7</v>
      </c>
      <c r="D12">
        <f>_xlfn.NORM.S.DIST(D9,TRUE)</f>
        <v>0.77085533971897768</v>
      </c>
    </row>
    <row r="13" spans="3:11">
      <c r="C13" t="s">
        <v>8</v>
      </c>
      <c r="D13">
        <f>_xlfn.NORM.S.DIST(D10,TRUE)</f>
        <v>0.72296308905530626</v>
      </c>
    </row>
    <row r="15" spans="3:11">
      <c r="C15" t="s">
        <v>11</v>
      </c>
      <c r="D15">
        <f>_xlfn.NORM.S.DIST(-D9,TRUE)</f>
        <v>0.22914466028102232</v>
      </c>
    </row>
    <row r="16" spans="3:11">
      <c r="C16" t="s">
        <v>12</v>
      </c>
      <c r="D16">
        <f>_xlfn.NORM.S.DIST(-D10,TRUE)</f>
        <v>0.27703691094469374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A645-80FD-4123-B3B8-BD64B5A09547}">
  <dimension ref="A1:O113"/>
  <sheetViews>
    <sheetView zoomScale="66" workbookViewId="0">
      <selection activeCell="I4" sqref="I4"/>
    </sheetView>
  </sheetViews>
  <sheetFormatPr defaultRowHeight="14.4"/>
  <cols>
    <col min="9" max="9" width="9.77734375" customWidth="1"/>
    <col min="13" max="13" width="10.109375" customWidth="1"/>
  </cols>
  <sheetData>
    <row r="1" spans="1:15">
      <c r="A1" t="s">
        <v>0</v>
      </c>
      <c r="B1">
        <v>100</v>
      </c>
    </row>
    <row r="2" spans="1:15">
      <c r="A2" t="s">
        <v>1</v>
      </c>
      <c r="B2">
        <v>100</v>
      </c>
      <c r="F2" t="s">
        <v>0</v>
      </c>
      <c r="G2" t="s">
        <v>5</v>
      </c>
      <c r="H2" t="s">
        <v>6</v>
      </c>
      <c r="I2" t="s">
        <v>7</v>
      </c>
      <c r="J2" t="s">
        <v>8</v>
      </c>
      <c r="K2" t="s">
        <v>11</v>
      </c>
      <c r="L2" t="s">
        <v>12</v>
      </c>
      <c r="M2" t="s">
        <v>9</v>
      </c>
      <c r="N2" t="s">
        <v>10</v>
      </c>
      <c r="O2" t="s">
        <v>14</v>
      </c>
    </row>
    <row r="3" spans="1:15">
      <c r="A3" t="s">
        <v>2</v>
      </c>
      <c r="B3">
        <v>0.1</v>
      </c>
      <c r="F3">
        <v>50</v>
      </c>
      <c r="G3" s="2">
        <f>(LN(F3/$B$2)+($B$3+($B$4^2)/2)*$B$5)/($B$4*SQRT($B$5))</f>
        <v>-3.8793145370663025</v>
      </c>
      <c r="H3" s="2">
        <f>G3-$B$4*SQRT($B$5)</f>
        <v>-4.0293145370663028</v>
      </c>
      <c r="I3" s="2">
        <f>_xlfn.NORM.S.DIST(G3,TRUE)</f>
        <v>5.2375616366471045E-5</v>
      </c>
      <c r="J3" s="2">
        <f>_xlfn.NORM.S.DIST(H3,TRUE)</f>
        <v>2.7969864491401959E-5</v>
      </c>
      <c r="K3" s="3">
        <f>_xlfn.NORM.S.DIST(-G3,TRUE)</f>
        <v>0.99994762438363349</v>
      </c>
      <c r="L3" s="3">
        <f t="shared" ref="L3" si="0">_xlfn.NORM.S.DIST(-H3,TRUE)</f>
        <v>0.99997203013550862</v>
      </c>
      <c r="M3" s="1">
        <f>F3*I3-$B$2*EXP(-$B$3*$B$5)*J3</f>
        <v>8.7962821401971203E-5</v>
      </c>
      <c r="N3" s="1">
        <f t="shared" ref="N3:N66" si="1">EXP(-$B$3*$B$5)*$B$2*L3-F3*K3</f>
        <v>40.483829766417358</v>
      </c>
      <c r="O3" s="2">
        <f>+I3-1</f>
        <v>-0.99994762438363349</v>
      </c>
    </row>
    <row r="4" spans="1:15">
      <c r="A4" t="s">
        <v>3</v>
      </c>
      <c r="B4">
        <v>0.15</v>
      </c>
      <c r="F4">
        <f>+F3+1</f>
        <v>51</v>
      </c>
      <c r="G4" s="2">
        <f t="shared" ref="G4:G67" si="2">(LN(F4/$B$2)+($B$3+($B$4^2)/2)*$B$5)/($B$4*SQRT($B$5))</f>
        <v>-3.7472970217584378</v>
      </c>
      <c r="H4" s="2">
        <f t="shared" ref="H4:H67" si="3">G4-$B$4*SQRT($B$5)</f>
        <v>-3.8972970217584377</v>
      </c>
      <c r="I4" s="2">
        <f t="shared" ref="I4:I67" si="4">_xlfn.NORM.S.DIST(G4,TRUE)</f>
        <v>8.9375189030725742E-5</v>
      </c>
      <c r="J4" s="2">
        <f t="shared" ref="J4:J67" si="5">_xlfn.NORM.S.DIST(H4,TRUE)</f>
        <v>4.8636144966902123E-5</v>
      </c>
      <c r="K4" s="3">
        <f t="shared" ref="K4:K67" si="6">_xlfn.NORM.S.DIST(-G4,TRUE)</f>
        <v>0.99991062481096926</v>
      </c>
      <c r="L4" s="3">
        <f t="shared" ref="L4:L67" si="7">_xlfn.NORM.S.DIST(-H4,TRUE)</f>
        <v>0.99995136385503314</v>
      </c>
      <c r="M4" s="1">
        <f t="shared" ref="M4:M67" si="8">F4*I4-$B$2*EXP(-$B$3*$B$5)*J4</f>
        <v>1.5735425705957866E-4</v>
      </c>
      <c r="N4" s="1">
        <f t="shared" si="1"/>
        <v>39.48389915785301</v>
      </c>
      <c r="O4" s="2">
        <f t="shared" ref="O4:O67" si="9">+I4-1</f>
        <v>-0.99991062481096926</v>
      </c>
    </row>
    <row r="5" spans="1:15">
      <c r="A5" t="s">
        <v>4</v>
      </c>
      <c r="B5">
        <v>1</v>
      </c>
      <c r="F5">
        <f t="shared" ref="F5:F68" si="10">+F4+1</f>
        <v>52</v>
      </c>
      <c r="G5" s="2">
        <f t="shared" si="2"/>
        <v>-3.6178431160444267</v>
      </c>
      <c r="H5" s="2">
        <f t="shared" si="3"/>
        <v>-3.7678431160444266</v>
      </c>
      <c r="I5" s="2">
        <f t="shared" si="4"/>
        <v>1.4853418343912183E-4</v>
      </c>
      <c r="J5" s="2">
        <f t="shared" si="5"/>
        <v>8.2332064185541997E-5</v>
      </c>
      <c r="K5" s="3">
        <f t="shared" si="6"/>
        <v>0.99985146581656092</v>
      </c>
      <c r="L5" s="3">
        <f t="shared" si="7"/>
        <v>0.99991766793581449</v>
      </c>
      <c r="M5" s="1">
        <f t="shared" si="8"/>
        <v>2.7406430091266379E-4</v>
      </c>
      <c r="N5" s="1">
        <f t="shared" si="1"/>
        <v>38.484015867896858</v>
      </c>
      <c r="O5" s="2">
        <f t="shared" si="9"/>
        <v>-0.99985146581656092</v>
      </c>
    </row>
    <row r="6" spans="1:15">
      <c r="F6">
        <f t="shared" si="10"/>
        <v>53</v>
      </c>
      <c r="G6" s="2">
        <f t="shared" si="2"/>
        <v>-3.4908551495731306</v>
      </c>
      <c r="H6" s="2">
        <f t="shared" si="3"/>
        <v>-3.6408551495731305</v>
      </c>
      <c r="I6" s="2">
        <f t="shared" si="4"/>
        <v>2.407386080785543E-4</v>
      </c>
      <c r="J6" s="2">
        <f t="shared" si="5"/>
        <v>1.3586699564450386E-4</v>
      </c>
      <c r="K6" s="3">
        <f t="shared" si="6"/>
        <v>0.99975926139192139</v>
      </c>
      <c r="L6" s="3">
        <f t="shared" si="7"/>
        <v>0.9998641330043555</v>
      </c>
      <c r="M6" s="1">
        <f t="shared" si="8"/>
        <v>4.6539207463579604E-4</v>
      </c>
      <c r="N6" s="1">
        <f t="shared" si="1"/>
        <v>37.484207195670578</v>
      </c>
      <c r="O6" s="2">
        <f t="shared" si="9"/>
        <v>-0.99975926139192139</v>
      </c>
    </row>
    <row r="7" spans="1:15">
      <c r="A7" t="s">
        <v>5</v>
      </c>
      <c r="B7">
        <f>(LN(B1/B2)+(B3+(B4^2)/2)*B5)/B4*SQRT(B5)</f>
        <v>0.7416666666666667</v>
      </c>
      <c r="F7">
        <f t="shared" si="10"/>
        <v>54</v>
      </c>
      <c r="G7" s="2">
        <f t="shared" si="2"/>
        <v>-3.3662409294921134</v>
      </c>
      <c r="H7" s="2">
        <f t="shared" si="3"/>
        <v>-3.5162409294921133</v>
      </c>
      <c r="I7" s="2">
        <f t="shared" si="4"/>
        <v>3.8100061007698182E-4</v>
      </c>
      <c r="J7" s="2">
        <f t="shared" si="5"/>
        <v>2.1885179739267765E-4</v>
      </c>
      <c r="K7" s="3">
        <f t="shared" si="6"/>
        <v>0.99961899938992305</v>
      </c>
      <c r="L7" s="3">
        <f t="shared" si="7"/>
        <v>0.99978114820260733</v>
      </c>
      <c r="M7" s="1">
        <f t="shared" si="8"/>
        <v>7.7150341562508273E-4</v>
      </c>
      <c r="N7" s="1">
        <f t="shared" si="1"/>
        <v>36.484513307011568</v>
      </c>
      <c r="O7" s="2">
        <f t="shared" si="9"/>
        <v>-0.99961899938992305</v>
      </c>
    </row>
    <row r="8" spans="1:15">
      <c r="A8" t="s">
        <v>6</v>
      </c>
      <c r="B8">
        <f>B7-B4*SQRT(B5)</f>
        <v>0.59166666666666667</v>
      </c>
      <c r="F8">
        <f t="shared" si="10"/>
        <v>55</v>
      </c>
      <c r="G8" s="2">
        <f t="shared" si="2"/>
        <v>-3.2439133383708025</v>
      </c>
      <c r="H8" s="2">
        <f t="shared" si="3"/>
        <v>-3.3939133383708024</v>
      </c>
      <c r="I8" s="2">
        <f t="shared" si="4"/>
        <v>5.8949805637580706E-4</v>
      </c>
      <c r="J8" s="2">
        <f t="shared" si="5"/>
        <v>3.4450746388021947E-4</v>
      </c>
      <c r="K8" s="3">
        <f t="shared" si="6"/>
        <v>0.99941050194362424</v>
      </c>
      <c r="L8" s="3">
        <f t="shared" si="7"/>
        <v>0.99965549253611974</v>
      </c>
      <c r="M8" s="1">
        <f t="shared" si="8"/>
        <v>1.250068689519955E-3</v>
      </c>
      <c r="N8" s="1">
        <f t="shared" si="1"/>
        <v>35.484991872285455</v>
      </c>
      <c r="O8" s="2">
        <f t="shared" si="9"/>
        <v>-0.99941050194362424</v>
      </c>
    </row>
    <row r="9" spans="1:15">
      <c r="F9">
        <f t="shared" si="10"/>
        <v>56</v>
      </c>
      <c r="G9" s="2">
        <f t="shared" si="2"/>
        <v>-3.1237899683529471</v>
      </c>
      <c r="H9" s="2">
        <f t="shared" si="3"/>
        <v>-3.273789968352947</v>
      </c>
      <c r="I9" s="2">
        <f t="shared" si="4"/>
        <v>8.9268924905408118E-4</v>
      </c>
      <c r="J9" s="2">
        <f t="shared" si="5"/>
        <v>5.3057726539250101E-4</v>
      </c>
      <c r="K9" s="3">
        <f t="shared" si="6"/>
        <v>0.99910731075094594</v>
      </c>
      <c r="L9" s="3">
        <f t="shared" si="7"/>
        <v>0.99946942273460748</v>
      </c>
      <c r="M9" s="1">
        <f t="shared" si="8"/>
        <v>1.9819816583954777E-3</v>
      </c>
      <c r="N9" s="1">
        <f t="shared" si="1"/>
        <v>34.485723785254336</v>
      </c>
      <c r="O9" s="2">
        <f t="shared" si="9"/>
        <v>-0.99910731075094594</v>
      </c>
    </row>
    <row r="10" spans="1:15">
      <c r="A10" t="s">
        <v>7</v>
      </c>
      <c r="B10">
        <f>_xlfn.NORM.S.DIST(B7,TRUE)</f>
        <v>0.77085533971897768</v>
      </c>
      <c r="F10">
        <f t="shared" si="10"/>
        <v>57</v>
      </c>
      <c r="G10" s="2">
        <f t="shared" si="2"/>
        <v>-3.0057927876902752</v>
      </c>
      <c r="H10" s="2">
        <f t="shared" si="3"/>
        <v>-3.1557927876902752</v>
      </c>
      <c r="I10" s="2">
        <f t="shared" si="4"/>
        <v>1.3244472050385756E-3</v>
      </c>
      <c r="J10" s="2">
        <f t="shared" si="5"/>
        <v>8.0031264243077662E-4</v>
      </c>
      <c r="K10" s="3">
        <f t="shared" si="6"/>
        <v>0.99867555279496145</v>
      </c>
      <c r="L10" s="3">
        <f t="shared" si="7"/>
        <v>0.99919968735756926</v>
      </c>
      <c r="M10" s="1">
        <f t="shared" si="8"/>
        <v>3.0782081873388101E-3</v>
      </c>
      <c r="N10" s="1">
        <f t="shared" si="1"/>
        <v>33.48682001178328</v>
      </c>
      <c r="O10" s="2">
        <f t="shared" si="9"/>
        <v>-0.99867555279496145</v>
      </c>
    </row>
    <row r="11" spans="1:15">
      <c r="A11" t="s">
        <v>8</v>
      </c>
      <c r="B11">
        <f>_xlfn.NORM.S.DIST(B8,TRUE)</f>
        <v>0.72296308905530626</v>
      </c>
      <c r="F11">
        <f t="shared" si="10"/>
        <v>58</v>
      </c>
      <c r="G11" s="2">
        <f t="shared" si="2"/>
        <v>-2.8898478362778142</v>
      </c>
      <c r="H11" s="2">
        <f t="shared" si="3"/>
        <v>-3.0398478362778141</v>
      </c>
      <c r="I11" s="2">
        <f t="shared" si="4"/>
        <v>1.9271417016951285E-3</v>
      </c>
      <c r="J11" s="2">
        <f t="shared" si="5"/>
        <v>1.1834885125281095E-3</v>
      </c>
      <c r="K11" s="3">
        <f t="shared" si="6"/>
        <v>0.99807285829830483</v>
      </c>
      <c r="L11" s="3">
        <f t="shared" si="7"/>
        <v>0.99881651148747186</v>
      </c>
      <c r="M11" s="1">
        <f t="shared" si="8"/>
        <v>4.6877497032021681E-3</v>
      </c>
      <c r="N11" s="1">
        <f t="shared" si="1"/>
        <v>32.488429553299149</v>
      </c>
      <c r="O11" s="2">
        <f t="shared" si="9"/>
        <v>-0.99807285829830483</v>
      </c>
    </row>
    <row r="12" spans="1:15">
      <c r="F12">
        <f t="shared" si="10"/>
        <v>59</v>
      </c>
      <c r="G12" s="2">
        <f t="shared" si="2"/>
        <v>-2.7758849472158134</v>
      </c>
      <c r="H12" s="2">
        <f t="shared" si="3"/>
        <v>-2.9258849472158133</v>
      </c>
      <c r="I12" s="2">
        <f t="shared" si="4"/>
        <v>2.7525842946605197E-3</v>
      </c>
      <c r="J12" s="2">
        <f t="shared" si="5"/>
        <v>1.7173896947404979E-3</v>
      </c>
      <c r="K12" s="3">
        <f t="shared" si="6"/>
        <v>0.99724741570533948</v>
      </c>
      <c r="L12" s="3">
        <f t="shared" si="7"/>
        <v>0.99828261030525955</v>
      </c>
      <c r="M12" s="1">
        <f t="shared" si="8"/>
        <v>7.0066276699149721E-3</v>
      </c>
      <c r="N12" s="1">
        <f t="shared" si="1"/>
        <v>31.490748431265871</v>
      </c>
      <c r="O12" s="2">
        <f t="shared" si="9"/>
        <v>-0.99724741570533948</v>
      </c>
    </row>
    <row r="13" spans="1:15">
      <c r="A13" t="s">
        <v>11</v>
      </c>
      <c r="B13">
        <f>_xlfn.NORM.S.DIST(-B7,TRUE)</f>
        <v>0.22914466028102232</v>
      </c>
      <c r="F13">
        <f t="shared" si="10"/>
        <v>60</v>
      </c>
      <c r="G13" s="2">
        <f t="shared" si="2"/>
        <v>-2.6638374917732714</v>
      </c>
      <c r="H13" s="2">
        <f t="shared" si="3"/>
        <v>-2.8138374917732714</v>
      </c>
      <c r="I13" s="2">
        <f t="shared" si="4"/>
        <v>3.8627436897791349E-3</v>
      </c>
      <c r="J13" s="2">
        <f t="shared" si="5"/>
        <v>2.4476984576224979E-3</v>
      </c>
      <c r="K13" s="3">
        <f t="shared" si="6"/>
        <v>0.99613725631022088</v>
      </c>
      <c r="L13" s="3">
        <f t="shared" si="7"/>
        <v>0.99755230154237751</v>
      </c>
      <c r="M13" s="1">
        <f t="shared" si="8"/>
        <v>1.028770613417393E-2</v>
      </c>
      <c r="N13" s="1">
        <f t="shared" si="1"/>
        <v>30.494029509730112</v>
      </c>
      <c r="O13" s="2">
        <f t="shared" si="9"/>
        <v>-0.99613725631022088</v>
      </c>
    </row>
    <row r="14" spans="1:15">
      <c r="A14" t="s">
        <v>12</v>
      </c>
      <c r="B14">
        <f>_xlfn.NORM.S.DIST(-B8,TRUE)</f>
        <v>0.27703691094469374</v>
      </c>
      <c r="F14">
        <f t="shared" si="10"/>
        <v>61</v>
      </c>
      <c r="G14" s="2">
        <f t="shared" si="2"/>
        <v>-2.5536421454318674</v>
      </c>
      <c r="H14" s="2">
        <f t="shared" si="3"/>
        <v>-2.7036421454318673</v>
      </c>
      <c r="I14" s="2">
        <f t="shared" si="4"/>
        <v>5.3301377987360551E-3</v>
      </c>
      <c r="J14" s="2">
        <f t="shared" si="5"/>
        <v>3.4292053346219927E-3</v>
      </c>
      <c r="K14" s="3">
        <f t="shared" si="6"/>
        <v>0.99466986220126397</v>
      </c>
      <c r="L14" s="3">
        <f t="shared" si="7"/>
        <v>0.99657079466537801</v>
      </c>
      <c r="M14" s="1">
        <f t="shared" si="8"/>
        <v>1.4851075633449118E-2</v>
      </c>
      <c r="N14" s="1">
        <f t="shared" si="1"/>
        <v>29.498592879229392</v>
      </c>
      <c r="O14" s="2">
        <f t="shared" si="9"/>
        <v>-0.99466986220126397</v>
      </c>
    </row>
    <row r="15" spans="1:15">
      <c r="F15">
        <f t="shared" si="10"/>
        <v>62</v>
      </c>
      <c r="G15" s="2">
        <f t="shared" si="2"/>
        <v>-2.445238672953332</v>
      </c>
      <c r="H15" s="2">
        <f t="shared" si="3"/>
        <v>-2.5952386729533319</v>
      </c>
      <c r="I15" s="2">
        <f t="shared" si="4"/>
        <v>7.2378155595925224E-3</v>
      </c>
      <c r="J15" s="2">
        <f t="shared" si="5"/>
        <v>4.726262700696285E-3</v>
      </c>
      <c r="K15" s="3">
        <f t="shared" si="6"/>
        <v>0.99276218444040742</v>
      </c>
      <c r="L15" s="3">
        <f t="shared" si="7"/>
        <v>0.99527373729930368</v>
      </c>
      <c r="M15" s="1">
        <f t="shared" si="8"/>
        <v>2.1094630788967672E-2</v>
      </c>
      <c r="N15" s="1">
        <f t="shared" si="1"/>
        <v>28.50483643438492</v>
      </c>
      <c r="O15" s="2">
        <f t="shared" si="9"/>
        <v>-0.99276218444040742</v>
      </c>
    </row>
    <row r="16" spans="1:15">
      <c r="A16" t="s">
        <v>9</v>
      </c>
      <c r="B16" s="1">
        <f>B1*B10-B2*EXP(-B3*B5)*B11</f>
        <v>11.669128488287299</v>
      </c>
      <c r="F16">
        <f t="shared" si="10"/>
        <v>63</v>
      </c>
      <c r="G16" s="2">
        <f t="shared" si="2"/>
        <v>-2.3385697306437243</v>
      </c>
      <c r="H16" s="2">
        <f t="shared" si="3"/>
        <v>-2.4885697306437242</v>
      </c>
      <c r="I16" s="2">
        <f t="shared" si="4"/>
        <v>9.6788564487899284E-3</v>
      </c>
      <c r="J16" s="2">
        <f t="shared" si="5"/>
        <v>6.4129041412550117E-3</v>
      </c>
      <c r="K16" s="3">
        <f t="shared" si="6"/>
        <v>0.99032114355121004</v>
      </c>
      <c r="L16" s="3">
        <f t="shared" si="7"/>
        <v>0.99358709585874494</v>
      </c>
      <c r="M16" s="1">
        <f t="shared" si="8"/>
        <v>2.9504393745235835E-2</v>
      </c>
      <c r="N16" s="1">
        <f t="shared" si="1"/>
        <v>27.513246197341189</v>
      </c>
      <c r="O16" s="2">
        <f t="shared" si="9"/>
        <v>-0.99032114355121004</v>
      </c>
    </row>
    <row r="17" spans="1:15">
      <c r="A17" t="s">
        <v>10</v>
      </c>
      <c r="B17" s="1">
        <f>EXP(-B3*B5)*B2*B14-B1*B13</f>
        <v>2.1528702918832394</v>
      </c>
      <c r="F17">
        <f t="shared" si="10"/>
        <v>64</v>
      </c>
      <c r="G17" s="2">
        <f t="shared" si="2"/>
        <v>-2.2335806841894632</v>
      </c>
      <c r="H17" s="2">
        <f t="shared" si="3"/>
        <v>-2.3835806841894631</v>
      </c>
      <c r="I17" s="2">
        <f t="shared" si="4"/>
        <v>1.2755338015691918E-2</v>
      </c>
      <c r="J17" s="2">
        <f t="shared" si="5"/>
        <v>8.5725627983784976E-3</v>
      </c>
      <c r="K17" s="3">
        <f t="shared" si="6"/>
        <v>0.98724466198430805</v>
      </c>
      <c r="L17" s="3">
        <f t="shared" si="7"/>
        <v>0.99142743720162152</v>
      </c>
      <c r="M17" s="1">
        <f t="shared" si="8"/>
        <v>4.0664074160690844E-2</v>
      </c>
      <c r="N17" s="1">
        <f t="shared" si="1"/>
        <v>26.524405877756635</v>
      </c>
      <c r="O17" s="2">
        <f t="shared" si="9"/>
        <v>-0.98724466198430805</v>
      </c>
    </row>
    <row r="18" spans="1:15">
      <c r="F18">
        <f t="shared" si="10"/>
        <v>65</v>
      </c>
      <c r="G18" s="2">
        <f t="shared" si="2"/>
        <v>-2.1302194406163615</v>
      </c>
      <c r="H18" s="2">
        <f t="shared" si="3"/>
        <v>-2.2802194406163614</v>
      </c>
      <c r="I18" s="2">
        <f t="shared" si="4"/>
        <v>1.657675039473596E-2</v>
      </c>
      <c r="J18" s="2">
        <f t="shared" si="5"/>
        <v>1.1297338445867954E-2</v>
      </c>
      <c r="K18" s="3">
        <f t="shared" si="6"/>
        <v>0.98342324960526406</v>
      </c>
      <c r="L18" s="3">
        <f t="shared" si="7"/>
        <v>0.988702661554132</v>
      </c>
      <c r="M18" s="1">
        <f t="shared" si="8"/>
        <v>5.526332065408357E-2</v>
      </c>
      <c r="N18" s="1">
        <f t="shared" si="1"/>
        <v>25.539005124250018</v>
      </c>
      <c r="O18" s="2">
        <f t="shared" si="9"/>
        <v>-0.98342324960526406</v>
      </c>
    </row>
    <row r="19" spans="1:15">
      <c r="A19" t="s">
        <v>13</v>
      </c>
      <c r="B19" s="2">
        <f>B10</f>
        <v>0.77085533971897768</v>
      </c>
      <c r="F19">
        <f t="shared" si="10"/>
        <v>66</v>
      </c>
      <c r="G19" s="2">
        <f t="shared" si="2"/>
        <v>-2.028436293077772</v>
      </c>
      <c r="H19" s="2">
        <f t="shared" si="3"/>
        <v>-2.1784362930777719</v>
      </c>
      <c r="I19" s="2">
        <f t="shared" si="4"/>
        <v>2.1257869568017933E-2</v>
      </c>
      <c r="J19" s="2">
        <f t="shared" si="5"/>
        <v>1.4686785175717386E-2</v>
      </c>
      <c r="K19" s="3">
        <f t="shared" si="6"/>
        <v>0.9787421304319821</v>
      </c>
      <c r="L19" s="3">
        <f t="shared" si="7"/>
        <v>0.98531321482428258</v>
      </c>
      <c r="M19" s="1">
        <f t="shared" si="8"/>
        <v>7.4104113724690945E-2</v>
      </c>
      <c r="N19" s="1">
        <f t="shared" si="1"/>
        <v>24.557845917320634</v>
      </c>
      <c r="O19" s="2">
        <f t="shared" si="9"/>
        <v>-0.9787421304319821</v>
      </c>
    </row>
    <row r="20" spans="1:15">
      <c r="A20" t="s">
        <v>14</v>
      </c>
      <c r="B20" s="2">
        <f>+B19-1</f>
        <v>-0.22914466028102232</v>
      </c>
      <c r="F20">
        <f t="shared" si="10"/>
        <v>67</v>
      </c>
      <c r="G20" s="2">
        <f t="shared" si="2"/>
        <v>-1.9281837773141683</v>
      </c>
      <c r="H20" s="2">
        <f t="shared" si="3"/>
        <v>-2.0781837773141683</v>
      </c>
      <c r="I20" s="2">
        <f t="shared" si="4"/>
        <v>2.6916135652385251E-2</v>
      </c>
      <c r="J20" s="2">
        <f t="shared" si="5"/>
        <v>1.884621784597431E-2</v>
      </c>
      <c r="K20" s="3">
        <f t="shared" si="6"/>
        <v>0.97308386434761474</v>
      </c>
      <c r="L20" s="3">
        <f t="shared" si="7"/>
        <v>0.98115378215402571</v>
      </c>
      <c r="M20" s="1">
        <f t="shared" si="8"/>
        <v>9.8104779160350208E-2</v>
      </c>
      <c r="N20" s="1">
        <f t="shared" si="1"/>
        <v>23.581846582756299</v>
      </c>
      <c r="O20" s="2">
        <f t="shared" si="9"/>
        <v>-0.97308386434761474</v>
      </c>
    </row>
    <row r="21" spans="1:15">
      <c r="F21">
        <f t="shared" si="10"/>
        <v>68</v>
      </c>
      <c r="G21" s="2">
        <f t="shared" si="2"/>
        <v>-1.8294165387465642</v>
      </c>
      <c r="H21" s="2">
        <f t="shared" si="3"/>
        <v>-1.9794165387465641</v>
      </c>
      <c r="I21" s="2">
        <f t="shared" si="4"/>
        <v>3.366861593161407E-2</v>
      </c>
      <c r="J21" s="2">
        <f t="shared" si="5"/>
        <v>2.3884563968335649E-2</v>
      </c>
      <c r="K21" s="3">
        <f t="shared" si="6"/>
        <v>0.96633138406838592</v>
      </c>
      <c r="L21" s="3">
        <f t="shared" si="7"/>
        <v>0.9761154360316644</v>
      </c>
      <c r="M21" s="1">
        <f t="shared" si="8"/>
        <v>0.12830116414740278</v>
      </c>
      <c r="N21" s="1">
        <f t="shared" si="1"/>
        <v>22.612042967743363</v>
      </c>
      <c r="O21" s="2">
        <f t="shared" si="9"/>
        <v>-0.96633138406838592</v>
      </c>
    </row>
    <row r="22" spans="1:15">
      <c r="F22">
        <f t="shared" si="10"/>
        <v>69</v>
      </c>
      <c r="G22" s="2">
        <f t="shared" si="2"/>
        <v>-1.7320912092722138</v>
      </c>
      <c r="H22" s="2">
        <f t="shared" si="3"/>
        <v>-1.8820912092722137</v>
      </c>
      <c r="I22" s="2">
        <f t="shared" si="4"/>
        <v>4.1628662057364436E-2</v>
      </c>
      <c r="J22" s="2">
        <f t="shared" si="5"/>
        <v>2.9911816363061054E-2</v>
      </c>
      <c r="K22" s="3">
        <f t="shared" si="6"/>
        <v>0.95837133794263552</v>
      </c>
      <c r="L22" s="3">
        <f t="shared" si="7"/>
        <v>0.97008818363693894</v>
      </c>
      <c r="M22" s="1">
        <f t="shared" si="8"/>
        <v>0.16584461328635314</v>
      </c>
      <c r="N22" s="1">
        <f t="shared" si="1"/>
        <v>21.649586416882315</v>
      </c>
      <c r="O22" s="2">
        <f t="shared" si="9"/>
        <v>-0.95837133794263552</v>
      </c>
    </row>
    <row r="23" spans="1:15">
      <c r="F23">
        <f t="shared" si="10"/>
        <v>70</v>
      </c>
      <c r="G23" s="2">
        <f t="shared" si="2"/>
        <v>-1.636166292924883</v>
      </c>
      <c r="H23" s="2">
        <f t="shared" si="3"/>
        <v>-1.7861662929248829</v>
      </c>
      <c r="I23" s="2">
        <f t="shared" si="4"/>
        <v>5.0902394427572564E-2</v>
      </c>
      <c r="J23" s="2">
        <f t="shared" si="5"/>
        <v>3.7036168482895558E-2</v>
      </c>
      <c r="K23" s="3">
        <f t="shared" si="6"/>
        <v>0.94909760557242739</v>
      </c>
      <c r="L23" s="3">
        <f t="shared" si="7"/>
        <v>0.96296383151710441</v>
      </c>
      <c r="M23" s="1">
        <f t="shared" si="8"/>
        <v>0.21199650352927968</v>
      </c>
      <c r="N23" s="1">
        <f t="shared" si="1"/>
        <v>20.695738307125225</v>
      </c>
      <c r="O23" s="2">
        <f t="shared" si="9"/>
        <v>-0.94909760557242739</v>
      </c>
    </row>
    <row r="24" spans="1:15">
      <c r="F24">
        <f t="shared" si="10"/>
        <v>71</v>
      </c>
      <c r="G24" s="2">
        <f t="shared" si="2"/>
        <v>-1.5416020596451734</v>
      </c>
      <c r="H24" s="2">
        <f t="shared" si="3"/>
        <v>-1.6916020596451733</v>
      </c>
      <c r="I24" s="2">
        <f t="shared" si="4"/>
        <v>6.1585162377409491E-2</v>
      </c>
      <c r="J24" s="2">
        <f t="shared" si="5"/>
        <v>4.536093676481201E-2</v>
      </c>
      <c r="K24" s="3">
        <f t="shared" si="6"/>
        <v>0.93841483762259048</v>
      </c>
      <c r="L24" s="3">
        <f t="shared" si="7"/>
        <v>0.95463906323518799</v>
      </c>
      <c r="M24" s="1">
        <f t="shared" si="8"/>
        <v>0.26811923859958142</v>
      </c>
      <c r="N24" s="1">
        <f t="shared" si="1"/>
        <v>19.751861042195529</v>
      </c>
      <c r="O24" s="2">
        <f t="shared" si="9"/>
        <v>-0.93841483762259048</v>
      </c>
    </row>
    <row r="25" spans="1:15">
      <c r="F25">
        <f t="shared" si="10"/>
        <v>72</v>
      </c>
      <c r="G25" s="2">
        <f t="shared" si="2"/>
        <v>-1.4483604464802406</v>
      </c>
      <c r="H25" s="2">
        <f t="shared" si="3"/>
        <v>-1.5983604464802406</v>
      </c>
      <c r="I25" s="2">
        <f t="shared" si="4"/>
        <v>7.3758135334498778E-2</v>
      </c>
      <c r="J25" s="2">
        <f t="shared" si="5"/>
        <v>5.4981391007761324E-2</v>
      </c>
      <c r="K25" s="3">
        <f t="shared" si="6"/>
        <v>0.92624186466550118</v>
      </c>
      <c r="L25" s="3">
        <f t="shared" si="7"/>
        <v>0.94501860899223866</v>
      </c>
      <c r="M25" s="1">
        <f t="shared" si="8"/>
        <v>0.33566375613508459</v>
      </c>
      <c r="N25" s="1">
        <f t="shared" si="1"/>
        <v>18.819405559731024</v>
      </c>
      <c r="O25" s="2">
        <f t="shared" si="9"/>
        <v>-0.92624186466550118</v>
      </c>
    </row>
    <row r="26" spans="1:15">
      <c r="F26">
        <f t="shared" si="10"/>
        <v>73</v>
      </c>
      <c r="G26" s="2">
        <f t="shared" si="2"/>
        <v>-1.3564049655980015</v>
      </c>
      <c r="H26" s="2">
        <f t="shared" si="3"/>
        <v>-1.5064049655980014</v>
      </c>
      <c r="I26" s="2">
        <f t="shared" si="4"/>
        <v>8.7485177110372625E-2</v>
      </c>
      <c r="J26" s="2">
        <f t="shared" si="5"/>
        <v>6.5981623381267673E-2</v>
      </c>
      <c r="K26" s="3">
        <f t="shared" si="6"/>
        <v>0.91251482288962737</v>
      </c>
      <c r="L26" s="3">
        <f t="shared" si="7"/>
        <v>0.93401837661873233</v>
      </c>
      <c r="M26" s="1">
        <f t="shared" si="8"/>
        <v>0.41615375524446829</v>
      </c>
      <c r="N26" s="1">
        <f t="shared" si="1"/>
        <v>17.899895558840413</v>
      </c>
      <c r="O26" s="2">
        <f t="shared" si="9"/>
        <v>-0.91251482288962737</v>
      </c>
    </row>
    <row r="27" spans="1:15">
      <c r="F27">
        <f t="shared" si="10"/>
        <v>74</v>
      </c>
      <c r="G27" s="2">
        <f t="shared" si="2"/>
        <v>-1.2657006185594775</v>
      </c>
      <c r="H27" s="2">
        <f t="shared" si="3"/>
        <v>-1.4157006185594774</v>
      </c>
      <c r="I27" s="2">
        <f t="shared" si="4"/>
        <v>0.10281014339871647</v>
      </c>
      <c r="J27" s="2">
        <f t="shared" si="5"/>
        <v>7.8431588604011379E-2</v>
      </c>
      <c r="K27" s="3">
        <f t="shared" si="6"/>
        <v>0.89718985660128348</v>
      </c>
      <c r="L27" s="3">
        <f t="shared" si="7"/>
        <v>0.92156841139598866</v>
      </c>
      <c r="M27" s="1">
        <f t="shared" si="8"/>
        <v>0.51116699901379459</v>
      </c>
      <c r="N27" s="1">
        <f t="shared" si="1"/>
        <v>16.994908802609743</v>
      </c>
      <c r="O27" s="2">
        <f t="shared" si="9"/>
        <v>-0.89718985660128348</v>
      </c>
    </row>
    <row r="28" spans="1:15">
      <c r="F28">
        <f t="shared" si="10"/>
        <v>75</v>
      </c>
      <c r="G28" s="2">
        <f t="shared" si="2"/>
        <v>-1.1762138163452061</v>
      </c>
      <c r="H28" s="2">
        <f t="shared" si="3"/>
        <v>-1.326213816345206</v>
      </c>
      <c r="I28" s="2">
        <f t="shared" si="4"/>
        <v>0.11975472238658495</v>
      </c>
      <c r="J28" s="2">
        <f t="shared" si="5"/>
        <v>9.2384442058532079E-2</v>
      </c>
      <c r="K28" s="3">
        <f t="shared" si="6"/>
        <v>0.88024527761341509</v>
      </c>
      <c r="L28" s="3">
        <f t="shared" si="7"/>
        <v>0.90761555794146798</v>
      </c>
      <c r="M28" s="1">
        <f t="shared" si="8"/>
        <v>0.62231417710038528</v>
      </c>
      <c r="N28" s="1">
        <f t="shared" si="1"/>
        <v>16.106055980696325</v>
      </c>
      <c r="O28" s="2">
        <f t="shared" si="9"/>
        <v>-0.88024527761341509</v>
      </c>
    </row>
    <row r="29" spans="1:15">
      <c r="F29">
        <f t="shared" si="10"/>
        <v>76</v>
      </c>
      <c r="G29" s="2">
        <f t="shared" si="2"/>
        <v>-1.0879123046784021</v>
      </c>
      <c r="H29" s="2">
        <f t="shared" si="3"/>
        <v>-1.237912304678402</v>
      </c>
      <c r="I29" s="2">
        <f t="shared" si="4"/>
        <v>0.13831691176612843</v>
      </c>
      <c r="J29" s="2">
        <f t="shared" si="5"/>
        <v>0.10787428966858167</v>
      </c>
      <c r="K29" s="3">
        <f t="shared" si="6"/>
        <v>0.86168308823387152</v>
      </c>
      <c r="L29" s="3">
        <f t="shared" si="7"/>
        <v>0.8921257103314183</v>
      </c>
      <c r="M29" s="1">
        <f t="shared" si="8"/>
        <v>0.75121592060749975</v>
      </c>
      <c r="N29" s="1">
        <f t="shared" si="1"/>
        <v>15.234957724203454</v>
      </c>
      <c r="O29" s="2">
        <f t="shared" si="9"/>
        <v>-0.86168308823387152</v>
      </c>
    </row>
    <row r="30" spans="1:15">
      <c r="F30">
        <f t="shared" si="10"/>
        <v>77</v>
      </c>
      <c r="G30" s="2">
        <f t="shared" si="2"/>
        <v>-1.0007650942293833</v>
      </c>
      <c r="H30" s="2">
        <f t="shared" si="3"/>
        <v>-1.1507650942293832</v>
      </c>
      <c r="I30" s="2">
        <f t="shared" si="4"/>
        <v>0.15847019434754309</v>
      </c>
      <c r="J30" s="2">
        <f t="shared" si="5"/>
        <v>0.12491444429689699</v>
      </c>
      <c r="K30" s="3">
        <f t="shared" si="6"/>
        <v>0.84152980565245694</v>
      </c>
      <c r="L30" s="3">
        <f t="shared" si="7"/>
        <v>0.87508555570310298</v>
      </c>
      <c r="M30" s="1">
        <f t="shared" si="8"/>
        <v>0.89947863946072104</v>
      </c>
      <c r="N30" s="1">
        <f t="shared" si="1"/>
        <v>14.383220443056658</v>
      </c>
      <c r="O30" s="2">
        <f t="shared" si="9"/>
        <v>-0.84152980565245694</v>
      </c>
    </row>
    <row r="31" spans="1:15">
      <c r="F31">
        <f t="shared" si="10"/>
        <v>78</v>
      </c>
      <c r="G31" s="2">
        <f t="shared" si="2"/>
        <v>-0.91474239532333068</v>
      </c>
      <c r="H31" s="2">
        <f t="shared" si="3"/>
        <v>-1.0647423953233306</v>
      </c>
      <c r="I31" s="2">
        <f t="shared" si="4"/>
        <v>0.18016344109299831</v>
      </c>
      <c r="J31" s="2">
        <f t="shared" si="5"/>
        <v>0.14349625964099563</v>
      </c>
      <c r="K31" s="3">
        <f t="shared" si="6"/>
        <v>0.81983655890700169</v>
      </c>
      <c r="L31" s="3">
        <f t="shared" si="7"/>
        <v>0.85650374035900434</v>
      </c>
      <c r="M31" s="1">
        <f t="shared" si="8"/>
        <v>1.068669898116255</v>
      </c>
      <c r="N31" s="1">
        <f t="shared" si="1"/>
        <v>13.552411701712202</v>
      </c>
      <c r="O31" s="2">
        <f t="shared" si="9"/>
        <v>-0.81983655890700169</v>
      </c>
    </row>
    <row r="32" spans="1:15">
      <c r="F32">
        <f t="shared" si="10"/>
        <v>79</v>
      </c>
      <c r="G32" s="2">
        <f t="shared" si="2"/>
        <v>-0.82981555680713226</v>
      </c>
      <c r="H32" s="2">
        <f t="shared" si="3"/>
        <v>-0.97981555680713228</v>
      </c>
      <c r="I32" s="2">
        <f t="shared" si="4"/>
        <v>0.20332153689193502</v>
      </c>
      <c r="J32" s="2">
        <f t="shared" si="5"/>
        <v>0.16358858577233149</v>
      </c>
      <c r="K32" s="3">
        <f t="shared" si="6"/>
        <v>0.796678463108065</v>
      </c>
      <c r="L32" s="3">
        <f t="shared" si="7"/>
        <v>0.83641141422766851</v>
      </c>
      <c r="M32" s="1">
        <f t="shared" si="8"/>
        <v>1.2602940574238133</v>
      </c>
      <c r="N32" s="1">
        <f t="shared" si="1"/>
        <v>12.744035861019761</v>
      </c>
      <c r="O32" s="2">
        <f t="shared" si="9"/>
        <v>-0.796678463108065</v>
      </c>
    </row>
    <row r="33" spans="6:15">
      <c r="F33">
        <f t="shared" si="10"/>
        <v>80</v>
      </c>
      <c r="G33" s="2">
        <f t="shared" si="2"/>
        <v>-0.74595700876139803</v>
      </c>
      <c r="H33" s="2">
        <f t="shared" si="3"/>
        <v>-0.89595700876139805</v>
      </c>
      <c r="I33" s="2">
        <f t="shared" si="4"/>
        <v>0.22784669279157016</v>
      </c>
      <c r="J33" s="2">
        <f t="shared" si="5"/>
        <v>0.18513786233484783</v>
      </c>
      <c r="K33" s="3">
        <f t="shared" si="6"/>
        <v>0.7721533072084299</v>
      </c>
      <c r="L33" s="3">
        <f t="shared" si="7"/>
        <v>0.81486213766515214</v>
      </c>
      <c r="M33" s="1">
        <f t="shared" si="8"/>
        <v>1.4757688897495491</v>
      </c>
      <c r="N33" s="1">
        <f t="shared" si="1"/>
        <v>11.959510693345493</v>
      </c>
      <c r="O33" s="2">
        <f t="shared" si="9"/>
        <v>-0.7721533072084299</v>
      </c>
    </row>
    <row r="34" spans="6:15">
      <c r="F34">
        <f t="shared" si="10"/>
        <v>81</v>
      </c>
      <c r="G34" s="2">
        <f t="shared" si="2"/>
        <v>-0.66314020877101687</v>
      </c>
      <c r="H34" s="2">
        <f t="shared" si="3"/>
        <v>-0.81314020877101689</v>
      </c>
      <c r="I34" s="2">
        <f t="shared" si="4"/>
        <v>0.25362038039596413</v>
      </c>
      <c r="J34" s="2">
        <f t="shared" si="5"/>
        <v>0.20806883770482118</v>
      </c>
      <c r="K34" s="3">
        <f t="shared" si="6"/>
        <v>0.74637961960403587</v>
      </c>
      <c r="L34" s="3">
        <f t="shared" si="7"/>
        <v>0.79193116229517879</v>
      </c>
      <c r="M34" s="1">
        <f t="shared" si="8"/>
        <v>1.716403823815746</v>
      </c>
      <c r="N34" s="1">
        <f t="shared" si="1"/>
        <v>11.200145627411686</v>
      </c>
      <c r="O34" s="2">
        <f t="shared" si="9"/>
        <v>-0.74637961960403587</v>
      </c>
    </row>
    <row r="35" spans="6:15">
      <c r="F35">
        <f t="shared" si="10"/>
        <v>82</v>
      </c>
      <c r="G35" s="2">
        <f t="shared" si="2"/>
        <v>-0.58133959149225545</v>
      </c>
      <c r="H35" s="2">
        <f t="shared" si="3"/>
        <v>-0.73133959149225547</v>
      </c>
      <c r="I35" s="2">
        <f t="shared" si="4"/>
        <v>0.28050580107469081</v>
      </c>
      <c r="J35" s="2">
        <f t="shared" si="5"/>
        <v>0.23228587666400335</v>
      </c>
      <c r="K35" s="3">
        <f t="shared" si="6"/>
        <v>0.71949419892530919</v>
      </c>
      <c r="L35" s="3">
        <f t="shared" si="7"/>
        <v>0.76771412333599665</v>
      </c>
      <c r="M35" s="1">
        <f t="shared" si="8"/>
        <v>1.9833803994370349</v>
      </c>
      <c r="N35" s="1">
        <f t="shared" si="1"/>
        <v>10.467122203032972</v>
      </c>
      <c r="O35" s="2">
        <f t="shared" si="9"/>
        <v>-0.71949419892530919</v>
      </c>
    </row>
    <row r="36" spans="6:15">
      <c r="F36">
        <f t="shared" si="10"/>
        <v>83</v>
      </c>
      <c r="G36" s="2">
        <f t="shared" si="2"/>
        <v>-0.50053052127662323</v>
      </c>
      <c r="H36" s="2">
        <f t="shared" si="3"/>
        <v>-0.65053052127662325</v>
      </c>
      <c r="I36" s="2">
        <f t="shared" si="4"/>
        <v>0.30835078535839189</v>
      </c>
      <c r="J36" s="2">
        <f t="shared" si="5"/>
        <v>0.25767479664492149</v>
      </c>
      <c r="K36" s="3">
        <f t="shared" si="6"/>
        <v>0.69164921464160811</v>
      </c>
      <c r="L36" s="3">
        <f t="shared" si="7"/>
        <v>0.74232520335507846</v>
      </c>
      <c r="M36" s="1">
        <f t="shared" si="8"/>
        <v>2.2777354158333587</v>
      </c>
      <c r="N36" s="1">
        <f t="shared" si="1"/>
        <v>9.7614772194293025</v>
      </c>
      <c r="O36" s="2">
        <f t="shared" si="9"/>
        <v>-0.69164921464160811</v>
      </c>
    </row>
    <row r="37" spans="6:15">
      <c r="F37">
        <f t="shared" si="10"/>
        <v>84</v>
      </c>
      <c r="G37" s="2">
        <f t="shared" si="2"/>
        <v>-0.420689247631852</v>
      </c>
      <c r="H37" s="2">
        <f t="shared" si="3"/>
        <v>-0.57068924763185203</v>
      </c>
      <c r="I37" s="2">
        <f t="shared" si="4"/>
        <v>0.33699100687228395</v>
      </c>
      <c r="J37" s="2">
        <f t="shared" si="5"/>
        <v>0.28410515434400885</v>
      </c>
      <c r="K37" s="3">
        <f t="shared" si="6"/>
        <v>0.66300899312771611</v>
      </c>
      <c r="L37" s="3">
        <f t="shared" si="7"/>
        <v>0.71589484565599115</v>
      </c>
      <c r="M37" s="1">
        <f t="shared" si="8"/>
        <v>2.6003471465377785</v>
      </c>
      <c r="N37" s="1">
        <f t="shared" si="1"/>
        <v>9.0840889501337188</v>
      </c>
      <c r="O37" s="2">
        <f t="shared" si="9"/>
        <v>-0.66300899312771611</v>
      </c>
    </row>
    <row r="38" spans="6:15">
      <c r="F38">
        <f t="shared" si="10"/>
        <v>85</v>
      </c>
      <c r="G38" s="2">
        <f t="shared" si="2"/>
        <v>-0.34179286331849962</v>
      </c>
      <c r="H38" s="2">
        <f t="shared" si="3"/>
        <v>-0.49179286331849958</v>
      </c>
      <c r="I38" s="2">
        <f t="shared" si="4"/>
        <v>0.36625339037350718</v>
      </c>
      <c r="J38" s="2">
        <f t="shared" si="5"/>
        <v>0.31143289108830935</v>
      </c>
      <c r="K38" s="3">
        <f t="shared" si="6"/>
        <v>0.63374660962649276</v>
      </c>
      <c r="L38" s="3">
        <f t="shared" si="7"/>
        <v>0.68856710891169071</v>
      </c>
      <c r="M38" s="1">
        <f t="shared" si="8"/>
        <v>2.9519248753661103</v>
      </c>
      <c r="N38" s="1">
        <f t="shared" si="1"/>
        <v>8.4356666789620647</v>
      </c>
      <c r="O38" s="2">
        <f t="shared" si="9"/>
        <v>-0.63374660962649276</v>
      </c>
    </row>
    <row r="39" spans="6:15">
      <c r="F39">
        <f t="shared" si="10"/>
        <v>86</v>
      </c>
      <c r="G39" s="2">
        <f t="shared" si="2"/>
        <v>-0.2638192648972244</v>
      </c>
      <c r="H39" s="2">
        <f t="shared" si="3"/>
        <v>-0.41381926489722443</v>
      </c>
      <c r="I39" s="2">
        <f t="shared" si="4"/>
        <v>0.39595959454568314</v>
      </c>
      <c r="J39" s="2">
        <f t="shared" si="5"/>
        <v>0.33950323705720981</v>
      </c>
      <c r="K39" s="3">
        <f t="shared" si="6"/>
        <v>0.60404040545431692</v>
      </c>
      <c r="L39" s="3">
        <f t="shared" si="7"/>
        <v>0.66049676294279025</v>
      </c>
      <c r="M39" s="1">
        <f t="shared" si="8"/>
        <v>3.3330018875591492</v>
      </c>
      <c r="N39" s="1">
        <f t="shared" si="1"/>
        <v>7.8167436911550965</v>
      </c>
      <c r="O39" s="2">
        <f t="shared" si="9"/>
        <v>-0.60404040545431692</v>
      </c>
    </row>
    <row r="40" spans="6:15">
      <c r="F40">
        <f t="shared" si="10"/>
        <v>87</v>
      </c>
      <c r="G40" s="2">
        <f t="shared" si="2"/>
        <v>-0.18674711555671769</v>
      </c>
      <c r="H40" s="2">
        <f t="shared" si="3"/>
        <v>-0.33674711555671766</v>
      </c>
      <c r="I40" s="2">
        <f t="shared" si="4"/>
        <v>0.42592945649710368</v>
      </c>
      <c r="J40" s="2">
        <f t="shared" si="5"/>
        <v>0.36815377124816889</v>
      </c>
      <c r="K40" s="3">
        <f t="shared" si="6"/>
        <v>0.57407054350289632</v>
      </c>
      <c r="L40" s="3">
        <f t="shared" si="7"/>
        <v>0.63184622875183116</v>
      </c>
      <c r="M40" s="1">
        <f t="shared" si="8"/>
        <v>3.7439319336085788</v>
      </c>
      <c r="N40" s="1">
        <f t="shared" si="1"/>
        <v>7.2276737372045332</v>
      </c>
      <c r="O40" s="2">
        <f t="shared" si="9"/>
        <v>-0.57407054350289632</v>
      </c>
    </row>
    <row r="41" spans="6:15">
      <c r="F41">
        <f t="shared" si="10"/>
        <v>88</v>
      </c>
      <c r="G41" s="2">
        <f t="shared" si="2"/>
        <v>-0.11055581006589923</v>
      </c>
      <c r="H41" s="2">
        <f t="shared" si="3"/>
        <v>-0.26055581006589923</v>
      </c>
      <c r="I41" s="2">
        <f t="shared" si="4"/>
        <v>0.45598429552496317</v>
      </c>
      <c r="J41" s="2">
        <f t="shared" si="5"/>
        <v>0.39721753559881462</v>
      </c>
      <c r="K41" s="3">
        <f t="shared" si="6"/>
        <v>0.54401570447503689</v>
      </c>
      <c r="L41" s="3">
        <f t="shared" si="7"/>
        <v>0.60278246440118544</v>
      </c>
      <c r="M41" s="1">
        <f t="shared" si="8"/>
        <v>4.1848890752129364</v>
      </c>
      <c r="N41" s="1">
        <f t="shared" si="1"/>
        <v>6.6686308788088766</v>
      </c>
      <c r="O41" s="2">
        <f t="shared" si="9"/>
        <v>-0.54401570447503689</v>
      </c>
    </row>
    <row r="42" spans="6:15">
      <c r="F42">
        <f t="shared" si="10"/>
        <v>89</v>
      </c>
      <c r="G42" s="2">
        <f t="shared" si="2"/>
        <v>-3.5225441706343383E-2</v>
      </c>
      <c r="H42" s="2">
        <f t="shared" si="3"/>
        <v>-0.18522544170634336</v>
      </c>
      <c r="I42" s="2">
        <f t="shared" si="4"/>
        <v>0.48594998763448355</v>
      </c>
      <c r="J42" s="2">
        <f t="shared" si="5"/>
        <v>0.42652610737669489</v>
      </c>
      <c r="K42" s="3">
        <f t="shared" si="6"/>
        <v>0.51405001236551651</v>
      </c>
      <c r="L42" s="3">
        <f t="shared" si="7"/>
        <v>0.57347389262330517</v>
      </c>
      <c r="M42" s="1">
        <f t="shared" si="8"/>
        <v>4.6558707271033342</v>
      </c>
      <c r="N42" s="1">
        <f t="shared" si="1"/>
        <v>6.1396125306992815</v>
      </c>
      <c r="O42" s="2">
        <f t="shared" si="9"/>
        <v>-0.51405001236551651</v>
      </c>
    </row>
    <row r="43" spans="6:15">
      <c r="F43">
        <f t="shared" si="10"/>
        <v>90</v>
      </c>
      <c r="G43" s="2">
        <f t="shared" si="2"/>
        <v>3.9263228947824802E-2</v>
      </c>
      <c r="H43" s="2">
        <f t="shared" si="3"/>
        <v>-0.11073677105217519</v>
      </c>
      <c r="I43" s="2">
        <f t="shared" si="4"/>
        <v>0.51565973847723223</v>
      </c>
      <c r="J43" s="2">
        <f t="shared" si="5"/>
        <v>0.45591254310173845</v>
      </c>
      <c r="K43" s="3">
        <f t="shared" si="6"/>
        <v>0.48434026152276777</v>
      </c>
      <c r="L43" s="3">
        <f t="shared" si="7"/>
        <v>0.54408745689826155</v>
      </c>
      <c r="M43" s="1">
        <f t="shared" si="8"/>
        <v>5.1567036279123926</v>
      </c>
      <c r="N43" s="1">
        <f t="shared" si="1"/>
        <v>5.6404454315083399</v>
      </c>
      <c r="O43" s="2">
        <f t="shared" si="9"/>
        <v>-0.48434026152276777</v>
      </c>
    </row>
    <row r="44" spans="6:15">
      <c r="F44">
        <f t="shared" si="10"/>
        <v>91</v>
      </c>
      <c r="G44" s="2">
        <f t="shared" si="2"/>
        <v>0.11292880352505807</v>
      </c>
      <c r="H44" s="2">
        <f t="shared" si="3"/>
        <v>-3.707119647494192E-2</v>
      </c>
      <c r="I44" s="2">
        <f t="shared" si="4"/>
        <v>0.54495649975831029</v>
      </c>
      <c r="J44" s="2">
        <f t="shared" si="5"/>
        <v>0.48521411905961015</v>
      </c>
      <c r="K44" s="3">
        <f t="shared" si="6"/>
        <v>0.45504350024168977</v>
      </c>
      <c r="L44" s="3">
        <f>_xlfn.NORM.S.DIST(-H44,TRUE)</f>
        <v>0.5147858809403898</v>
      </c>
      <c r="M44" s="1">
        <f t="shared" si="8"/>
        <v>5.6870524095572037</v>
      </c>
      <c r="N44" s="1">
        <f t="shared" si="1"/>
        <v>5.1707942131531439</v>
      </c>
      <c r="O44" s="2">
        <f t="shared" si="9"/>
        <v>-0.45504350024168971</v>
      </c>
    </row>
    <row r="45" spans="6:15">
      <c r="F45">
        <f t="shared" si="10"/>
        <v>92</v>
      </c>
      <c r="G45" s="2">
        <f t="shared" si="2"/>
        <v>0.18578927373965992</v>
      </c>
      <c r="H45" s="2">
        <f t="shared" si="3"/>
        <v>3.5789273739659927E-2</v>
      </c>
      <c r="I45" s="2">
        <f t="shared" si="4"/>
        <v>0.5736949917986327</v>
      </c>
      <c r="J45" s="2">
        <f t="shared" si="5"/>
        <v>0.51427480704752948</v>
      </c>
      <c r="K45" s="3">
        <f t="shared" si="6"/>
        <v>0.4263050082013673</v>
      </c>
      <c r="L45" s="3">
        <f t="shared" si="7"/>
        <v>0.48572519295247052</v>
      </c>
      <c r="M45" s="1">
        <f t="shared" si="8"/>
        <v>6.2464303884914258</v>
      </c>
      <c r="N45" s="1">
        <f t="shared" si="1"/>
        <v>4.7301721920873732</v>
      </c>
      <c r="O45" s="2">
        <f t="shared" si="9"/>
        <v>-0.4263050082013673</v>
      </c>
    </row>
    <row r="46" spans="6:15">
      <c r="F46">
        <f t="shared" si="10"/>
        <v>93</v>
      </c>
      <c r="G46" s="2">
        <f t="shared" si="2"/>
        <v>0.25786204776776422</v>
      </c>
      <c r="H46" s="2">
        <f t="shared" si="3"/>
        <v>0.10786204776776423</v>
      </c>
      <c r="I46" s="2">
        <f t="shared" si="4"/>
        <v>0.6017433119910236</v>
      </c>
      <c r="J46" s="2">
        <f t="shared" si="5"/>
        <v>0.54294743853905714</v>
      </c>
      <c r="K46" s="3">
        <f t="shared" si="6"/>
        <v>0.3982566880089764</v>
      </c>
      <c r="L46" s="3">
        <f t="shared" si="7"/>
        <v>0.45705256146094292</v>
      </c>
      <c r="M46" s="1">
        <f t="shared" si="8"/>
        <v>6.8342121734733681</v>
      </c>
      <c r="N46" s="1">
        <f t="shared" si="1"/>
        <v>4.3179539770693154</v>
      </c>
      <c r="O46" s="2">
        <f t="shared" si="9"/>
        <v>-0.3982566880089764</v>
      </c>
    </row>
    <row r="47" spans="6:15">
      <c r="F47">
        <f t="shared" si="10"/>
        <v>94</v>
      </c>
      <c r="G47" s="2">
        <f t="shared" si="2"/>
        <v>0.32916397521274982</v>
      </c>
      <c r="H47" s="2">
        <f t="shared" si="3"/>
        <v>0.17916397521274982</v>
      </c>
      <c r="I47" s="2">
        <f t="shared" si="4"/>
        <v>0.62898412467348619</v>
      </c>
      <c r="J47" s="2">
        <f t="shared" si="5"/>
        <v>0.57109552519628393</v>
      </c>
      <c r="K47" s="3">
        <f t="shared" si="6"/>
        <v>0.37101587532651381</v>
      </c>
      <c r="L47" s="3">
        <f t="shared" si="7"/>
        <v>0.42890447480371607</v>
      </c>
      <c r="M47" s="1">
        <f t="shared" si="8"/>
        <v>7.4496476722581235</v>
      </c>
      <c r="N47" s="1">
        <f t="shared" si="1"/>
        <v>3.9333894758540708</v>
      </c>
      <c r="O47" s="2">
        <f t="shared" si="9"/>
        <v>-0.37101587532651381</v>
      </c>
    </row>
    <row r="48" spans="6:15">
      <c r="F48">
        <f t="shared" si="10"/>
        <v>95</v>
      </c>
      <c r="G48" s="2">
        <f t="shared" si="2"/>
        <v>0.39971137074966284</v>
      </c>
      <c r="H48" s="2">
        <f t="shared" si="3"/>
        <v>0.24971137074966285</v>
      </c>
      <c r="I48" s="2">
        <f t="shared" si="4"/>
        <v>0.65531544194116209</v>
      </c>
      <c r="J48" s="2">
        <f t="shared" si="5"/>
        <v>0.59859471792918195</v>
      </c>
      <c r="K48" s="3">
        <f t="shared" si="6"/>
        <v>0.34468455805883791</v>
      </c>
      <c r="L48" s="3">
        <f t="shared" si="7"/>
        <v>0.4014052820708181</v>
      </c>
      <c r="M48" s="1">
        <f t="shared" si="8"/>
        <v>8.0918770823099564</v>
      </c>
      <c r="N48" s="1">
        <f t="shared" si="1"/>
        <v>3.5756188859059108</v>
      </c>
      <c r="O48" s="2">
        <f t="shared" si="9"/>
        <v>-0.34468455805883791</v>
      </c>
    </row>
    <row r="49" spans="6:15">
      <c r="F49">
        <f t="shared" si="10"/>
        <v>96</v>
      </c>
      <c r="G49" s="2">
        <f t="shared" si="2"/>
        <v>0.46952003653163232</v>
      </c>
      <c r="H49" s="2">
        <f t="shared" si="3"/>
        <v>0.3195200365316323</v>
      </c>
      <c r="I49" s="2">
        <f t="shared" si="4"/>
        <v>0.6806510167778258</v>
      </c>
      <c r="J49" s="2">
        <f t="shared" si="5"/>
        <v>0.62533389995318622</v>
      </c>
      <c r="K49" s="3">
        <f t="shared" si="6"/>
        <v>0.3193489832221742</v>
      </c>
      <c r="L49" s="3">
        <f t="shared" si="7"/>
        <v>0.37466610004681378</v>
      </c>
      <c r="M49" s="1">
        <f t="shared" si="8"/>
        <v>8.7599464662714723</v>
      </c>
      <c r="N49" s="1">
        <f t="shared" si="1"/>
        <v>3.2436882698674232</v>
      </c>
      <c r="O49" s="2">
        <f t="shared" si="9"/>
        <v>-0.3193489832221742</v>
      </c>
    </row>
    <row r="50" spans="6:15">
      <c r="F50">
        <f t="shared" si="10"/>
        <v>97</v>
      </c>
      <c r="G50" s="2">
        <f t="shared" si="2"/>
        <v>0.53860528343527614</v>
      </c>
      <c r="H50" s="2">
        <f t="shared" si="3"/>
        <v>0.38860528343527612</v>
      </c>
      <c r="I50" s="2">
        <f t="shared" si="4"/>
        <v>0.70492037941342489</v>
      </c>
      <c r="J50" s="2">
        <f t="shared" si="5"/>
        <v>0.65121592110697379</v>
      </c>
      <c r="K50" s="3">
        <f t="shared" si="6"/>
        <v>0.29507962058657511</v>
      </c>
      <c r="L50" s="3">
        <f t="shared" si="7"/>
        <v>0.34878407889302621</v>
      </c>
      <c r="M50" s="1">
        <f t="shared" si="8"/>
        <v>9.4528235392678965</v>
      </c>
      <c r="N50" s="1">
        <f t="shared" si="1"/>
        <v>2.9365653428638367</v>
      </c>
      <c r="O50" s="2">
        <f t="shared" si="9"/>
        <v>-0.29507962058657511</v>
      </c>
    </row>
    <row r="51" spans="6:15">
      <c r="F51">
        <f t="shared" si="10"/>
        <v>98</v>
      </c>
      <c r="G51" s="2">
        <f t="shared" si="2"/>
        <v>0.60698195121653686</v>
      </c>
      <c r="H51" s="2">
        <f t="shared" si="3"/>
        <v>0.45698195121653684</v>
      </c>
      <c r="I51" s="2">
        <f t="shared" si="4"/>
        <v>0.728068554952084</v>
      </c>
      <c r="J51" s="2">
        <f t="shared" si="5"/>
        <v>0.67615799077259453</v>
      </c>
      <c r="K51" s="3">
        <f t="shared" si="6"/>
        <v>0.27193144504791594</v>
      </c>
      <c r="L51" s="3">
        <f t="shared" si="7"/>
        <v>0.32384200922740553</v>
      </c>
      <c r="M51" s="1">
        <f t="shared" si="8"/>
        <v>10.16941332979858</v>
      </c>
      <c r="N51" s="1">
        <f t="shared" si="1"/>
        <v>2.6531551333945345</v>
      </c>
      <c r="O51" s="2">
        <f t="shared" si="9"/>
        <v>-0.271931445047916</v>
      </c>
    </row>
    <row r="52" spans="6:15">
      <c r="F52">
        <f t="shared" si="10"/>
        <v>99</v>
      </c>
      <c r="G52" s="2">
        <f t="shared" si="2"/>
        <v>0.67466442764332379</v>
      </c>
      <c r="H52" s="2">
        <f t="shared" si="3"/>
        <v>0.52466442764332377</v>
      </c>
      <c r="I52" s="2">
        <f t="shared" si="4"/>
        <v>0.75005550513040753</v>
      </c>
      <c r="J52" s="2">
        <f t="shared" si="5"/>
        <v>0.70009175492325448</v>
      </c>
      <c r="K52" s="3">
        <f t="shared" si="6"/>
        <v>0.24994449486959247</v>
      </c>
      <c r="L52" s="3">
        <f t="shared" si="7"/>
        <v>0.29990824507674552</v>
      </c>
      <c r="M52" s="1">
        <f t="shared" si="8"/>
        <v>10.908573416608213</v>
      </c>
      <c r="N52" s="1">
        <f t="shared" si="1"/>
        <v>2.3923152202041607</v>
      </c>
      <c r="O52" s="2">
        <f t="shared" si="9"/>
        <v>-0.24994449486959247</v>
      </c>
    </row>
    <row r="53" spans="6:15">
      <c r="F53">
        <f t="shared" si="10"/>
        <v>100</v>
      </c>
      <c r="G53" s="2">
        <f t="shared" si="2"/>
        <v>0.7416666666666667</v>
      </c>
      <c r="H53" s="2">
        <f t="shared" si="3"/>
        <v>0.59166666666666667</v>
      </c>
      <c r="I53" s="2">
        <f t="shared" si="4"/>
        <v>0.77085533971897768</v>
      </c>
      <c r="J53" s="2">
        <f t="shared" si="5"/>
        <v>0.72296308905530626</v>
      </c>
      <c r="K53" s="3">
        <f t="shared" si="6"/>
        <v>0.22914466028102232</v>
      </c>
      <c r="L53" s="3">
        <f t="shared" si="7"/>
        <v>0.27703691094469374</v>
      </c>
      <c r="M53" s="1">
        <f t="shared" si="8"/>
        <v>11.669128488287299</v>
      </c>
      <c r="N53" s="1">
        <f t="shared" si="1"/>
        <v>2.1528702918832394</v>
      </c>
      <c r="O53" s="2">
        <f t="shared" si="9"/>
        <v>-0.22914466028102232</v>
      </c>
    </row>
    <row r="54" spans="6:15">
      <c r="F54">
        <f t="shared" si="10"/>
        <v>101</v>
      </c>
      <c r="G54" s="2">
        <f t="shared" si="2"/>
        <v>0.80800220568778724</v>
      </c>
      <c r="H54" s="2">
        <f t="shared" si="3"/>
        <v>0.65800220568778722</v>
      </c>
      <c r="I54" s="2">
        <f t="shared" si="4"/>
        <v>0.79045534380082305</v>
      </c>
      <c r="J54" s="2">
        <f t="shared" si="5"/>
        <v>0.74473164308097939</v>
      </c>
      <c r="K54" s="3">
        <f t="shared" si="6"/>
        <v>0.20954465619917695</v>
      </c>
      <c r="L54" s="3">
        <f t="shared" si="7"/>
        <v>0.25526835691902061</v>
      </c>
      <c r="M54" s="1">
        <f t="shared" si="8"/>
        <v>12.449884018376025</v>
      </c>
      <c r="N54" s="1">
        <f t="shared" si="1"/>
        <v>1.9336258219719618</v>
      </c>
      <c r="O54" s="2">
        <f t="shared" si="9"/>
        <v>-0.20954465619917695</v>
      </c>
    </row>
    <row r="55" spans="6:15">
      <c r="F55">
        <f t="shared" si="10"/>
        <v>102</v>
      </c>
      <c r="G55" s="2">
        <f t="shared" si="2"/>
        <v>0.87368418197453157</v>
      </c>
      <c r="H55" s="2">
        <f t="shared" si="3"/>
        <v>0.72368418197453155</v>
      </c>
      <c r="I55" s="2">
        <f t="shared" si="4"/>
        <v>0.808854866225449</v>
      </c>
      <c r="J55" s="2">
        <f t="shared" si="5"/>
        <v>0.76537017678470021</v>
      </c>
      <c r="K55" s="3">
        <f t="shared" si="6"/>
        <v>0.19114513377455103</v>
      </c>
      <c r="L55" s="3">
        <f t="shared" si="7"/>
        <v>0.23462982321529982</v>
      </c>
      <c r="M55" s="1">
        <f t="shared" si="8"/>
        <v>13.249638894636391</v>
      </c>
      <c r="N55" s="1">
        <f t="shared" si="1"/>
        <v>1.7333806982323452</v>
      </c>
      <c r="O55" s="2">
        <f t="shared" si="9"/>
        <v>-0.191145133774551</v>
      </c>
    </row>
    <row r="56" spans="6:15">
      <c r="F56">
        <f t="shared" si="10"/>
        <v>103</v>
      </c>
      <c r="G56" s="2">
        <f t="shared" si="2"/>
        <v>0.93872534827696297</v>
      </c>
      <c r="H56" s="2">
        <f t="shared" si="3"/>
        <v>0.78872534827696295</v>
      </c>
      <c r="I56" s="2">
        <f t="shared" si="4"/>
        <v>0.82606411224613607</v>
      </c>
      <c r="J56" s="2">
        <f t="shared" si="5"/>
        <v>0.78486372535400661</v>
      </c>
      <c r="K56" s="3">
        <f t="shared" si="6"/>
        <v>0.17393588775386387</v>
      </c>
      <c r="L56" s="3">
        <f t="shared" si="7"/>
        <v>0.21513627464599339</v>
      </c>
      <c r="M56" s="1">
        <f t="shared" si="8"/>
        <v>14.067196885411633</v>
      </c>
      <c r="N56" s="1">
        <f t="shared" si="1"/>
        <v>1.5509386890075945</v>
      </c>
      <c r="O56" s="2">
        <f t="shared" si="9"/>
        <v>-0.17393588775386393</v>
      </c>
    </row>
    <row r="57" spans="6:15">
      <c r="F57">
        <f t="shared" si="10"/>
        <v>104</v>
      </c>
      <c r="G57" s="2">
        <f t="shared" si="2"/>
        <v>1.0031380876885423</v>
      </c>
      <c r="H57" s="2">
        <f t="shared" si="3"/>
        <v>0.85313808768854227</v>
      </c>
      <c r="I57" s="2">
        <f t="shared" si="4"/>
        <v>0.84210288000732969</v>
      </c>
      <c r="J57" s="2">
        <f t="shared" si="5"/>
        <v>0.80320863400092479</v>
      </c>
      <c r="K57" s="3">
        <f t="shared" si="6"/>
        <v>0.15789711999267034</v>
      </c>
      <c r="L57" s="3">
        <f t="shared" si="7"/>
        <v>0.19679136599907521</v>
      </c>
      <c r="M57" s="1">
        <f t="shared" si="8"/>
        <v>14.901376867403613</v>
      </c>
      <c r="N57" s="1">
        <f t="shared" si="1"/>
        <v>1.3851186709995567</v>
      </c>
      <c r="O57" s="2">
        <f t="shared" si="9"/>
        <v>-0.15789711999267031</v>
      </c>
    </row>
    <row r="58" spans="6:15">
      <c r="F58">
        <f t="shared" si="10"/>
        <v>105</v>
      </c>
      <c r="G58" s="2">
        <f t="shared" si="2"/>
        <v>1.0669344277962138</v>
      </c>
      <c r="H58" s="2">
        <f t="shared" si="3"/>
        <v>0.91693442779621381</v>
      </c>
      <c r="I58" s="2">
        <f t="shared" si="4"/>
        <v>0.85699927645388052</v>
      </c>
      <c r="J58" s="2">
        <f t="shared" si="5"/>
        <v>0.82041149902841326</v>
      </c>
      <c r="K58" s="3">
        <f t="shared" si="6"/>
        <v>0.14300072354611948</v>
      </c>
      <c r="L58" s="3">
        <f t="shared" si="7"/>
        <v>0.1795885009715868</v>
      </c>
      <c r="M58" s="1">
        <f t="shared" si="8"/>
        <v>15.751021776869408</v>
      </c>
      <c r="N58" s="1">
        <f t="shared" si="1"/>
        <v>1.2347635804653532</v>
      </c>
      <c r="O58" s="2">
        <f t="shared" si="9"/>
        <v>-0.14300072354611948</v>
      </c>
    </row>
    <row r="59" spans="6:15">
      <c r="F59">
        <f t="shared" si="10"/>
        <v>106</v>
      </c>
      <c r="G59" s="2">
        <f t="shared" si="2"/>
        <v>1.1301260541598388</v>
      </c>
      <c r="H59" s="2">
        <f t="shared" si="3"/>
        <v>0.98012605415983878</v>
      </c>
      <c r="I59" s="2">
        <f t="shared" si="4"/>
        <v>0.87078844365875419</v>
      </c>
      <c r="J59" s="2">
        <f t="shared" si="5"/>
        <v>0.83648805011363692</v>
      </c>
      <c r="K59" s="3">
        <f t="shared" si="6"/>
        <v>0.12921155634124579</v>
      </c>
      <c r="L59" s="3">
        <f t="shared" si="7"/>
        <v>0.16351194988636311</v>
      </c>
      <c r="M59" s="1">
        <f t="shared" si="8"/>
        <v>16.61500627955219</v>
      </c>
      <c r="N59" s="1">
        <f t="shared" si="1"/>
        <v>1.0987480831481466</v>
      </c>
      <c r="O59" s="2">
        <f t="shared" si="9"/>
        <v>-0.12921155634124581</v>
      </c>
    </row>
    <row r="60" spans="6:15">
      <c r="F60">
        <f t="shared" si="10"/>
        <v>107</v>
      </c>
      <c r="G60" s="2">
        <f t="shared" si="2"/>
        <v>1.1927243231587659</v>
      </c>
      <c r="H60" s="2">
        <f t="shared" si="3"/>
        <v>1.042724323158766</v>
      </c>
      <c r="I60" s="2">
        <f t="shared" si="4"/>
        <v>0.8835113217547268</v>
      </c>
      <c r="J60" s="2">
        <f t="shared" si="5"/>
        <v>0.85146200531499261</v>
      </c>
      <c r="K60" s="3">
        <f t="shared" si="6"/>
        <v>0.11648867824527322</v>
      </c>
      <c r="L60" s="3">
        <f t="shared" si="7"/>
        <v>0.14853799468500745</v>
      </c>
      <c r="M60" s="1">
        <f t="shared" si="8"/>
        <v>17.492243183261934</v>
      </c>
      <c r="N60" s="1">
        <f t="shared" si="1"/>
        <v>0.97598498685788648</v>
      </c>
      <c r="O60" s="2">
        <f t="shared" si="9"/>
        <v>-0.1164886782452732</v>
      </c>
    </row>
    <row r="61" spans="6:15">
      <c r="F61">
        <f t="shared" si="10"/>
        <v>108</v>
      </c>
      <c r="G61" s="2">
        <f t="shared" si="2"/>
        <v>1.2547402742408562</v>
      </c>
      <c r="H61" s="2">
        <f t="shared" si="3"/>
        <v>1.1047402742408563</v>
      </c>
      <c r="I61" s="2">
        <f t="shared" si="4"/>
        <v>0.89521346981760264</v>
      </c>
      <c r="J61" s="2">
        <f t="shared" si="5"/>
        <v>0.86536392658780992</v>
      </c>
      <c r="K61" s="3">
        <f t="shared" si="6"/>
        <v>0.10478653018239741</v>
      </c>
      <c r="L61" s="3">
        <f t="shared" si="7"/>
        <v>0.13463607341219008</v>
      </c>
      <c r="M61" s="1">
        <f t="shared" si="8"/>
        <v>18.381688640783736</v>
      </c>
      <c r="N61" s="1">
        <f t="shared" si="1"/>
        <v>0.86543044437967609</v>
      </c>
      <c r="O61" s="2">
        <f t="shared" si="9"/>
        <v>-0.10478653018239736</v>
      </c>
    </row>
    <row r="62" spans="6:15">
      <c r="F62">
        <f t="shared" si="10"/>
        <v>109</v>
      </c>
      <c r="G62" s="2">
        <f t="shared" si="2"/>
        <v>1.3161846416070162</v>
      </c>
      <c r="H62" s="2">
        <f t="shared" si="3"/>
        <v>1.1661846416070163</v>
      </c>
      <c r="I62" s="2">
        <f t="shared" si="4"/>
        <v>0.90594396135523703</v>
      </c>
      <c r="J62" s="2">
        <f t="shared" si="5"/>
        <v>0.87823009961762466</v>
      </c>
      <c r="K62" s="3">
        <f t="shared" si="6"/>
        <v>9.4056038644762932E-2</v>
      </c>
      <c r="L62" s="3">
        <f t="shared" si="7"/>
        <v>0.12176990038237528</v>
      </c>
      <c r="M62" s="1">
        <f t="shared" si="8"/>
        <v>19.282346209773337</v>
      </c>
      <c r="N62" s="1">
        <f t="shared" si="1"/>
        <v>0.766088013369286</v>
      </c>
      <c r="O62" s="2">
        <f t="shared" si="9"/>
        <v>-9.4056038644762974E-2</v>
      </c>
    </row>
    <row r="63" spans="6:15">
      <c r="F63">
        <f t="shared" si="10"/>
        <v>110</v>
      </c>
      <c r="G63" s="2">
        <f t="shared" si="2"/>
        <v>1.3770678653621664</v>
      </c>
      <c r="H63" s="2">
        <f t="shared" si="3"/>
        <v>1.2270678653621665</v>
      </c>
      <c r="I63" s="2">
        <f t="shared" si="4"/>
        <v>0.91575436664229093</v>
      </c>
      <c r="J63" s="2">
        <f t="shared" si="5"/>
        <v>0.89010145772654159</v>
      </c>
      <c r="K63" s="3">
        <f t="shared" si="6"/>
        <v>8.4245633357709127E-2</v>
      </c>
      <c r="L63" s="3">
        <f t="shared" si="7"/>
        <v>0.10989854227345847</v>
      </c>
      <c r="M63" s="1">
        <f t="shared" si="8"/>
        <v>20.193269850719233</v>
      </c>
      <c r="N63" s="1">
        <f t="shared" si="1"/>
        <v>0.6770116543151854</v>
      </c>
      <c r="O63" s="2">
        <f t="shared" si="9"/>
        <v>-8.4245633357709071E-2</v>
      </c>
    </row>
    <row r="64" spans="6:15">
      <c r="F64">
        <f t="shared" si="10"/>
        <v>111</v>
      </c>
      <c r="G64" s="2">
        <f t="shared" si="2"/>
        <v>1.437400102161619</v>
      </c>
      <c r="H64" s="2">
        <f t="shared" si="3"/>
        <v>1.287400102161619</v>
      </c>
      <c r="I64" s="2">
        <f t="shared" si="4"/>
        <v>0.92469783010356155</v>
      </c>
      <c r="J64" s="2">
        <f t="shared" si="5"/>
        <v>0.90102256562535543</v>
      </c>
      <c r="K64" s="3">
        <f t="shared" si="6"/>
        <v>7.5302169896438481E-2</v>
      </c>
      <c r="L64" s="3">
        <f t="shared" si="7"/>
        <v>9.897743437464461E-2</v>
      </c>
      <c r="M64" s="1">
        <f t="shared" si="8"/>
        <v>21.113565954237089</v>
      </c>
      <c r="N64" s="1">
        <f t="shared" si="1"/>
        <v>0.59730775783303436</v>
      </c>
      <c r="O64" s="2">
        <f t="shared" si="9"/>
        <v>-7.5302169896438453E-2</v>
      </c>
    </row>
    <row r="65" spans="6:15">
      <c r="F65">
        <f t="shared" si="10"/>
        <v>112</v>
      </c>
      <c r="G65" s="2">
        <f t="shared" si="2"/>
        <v>1.4971912353800219</v>
      </c>
      <c r="H65" s="2">
        <f t="shared" si="3"/>
        <v>1.3471912353800219</v>
      </c>
      <c r="I65" s="2">
        <f t="shared" si="4"/>
        <v>0.93282824735459391</v>
      </c>
      <c r="J65" s="2">
        <f t="shared" si="5"/>
        <v>0.91104067499018093</v>
      </c>
      <c r="K65" s="3">
        <f t="shared" si="6"/>
        <v>6.7171752645406146E-2</v>
      </c>
      <c r="L65" s="3">
        <f t="shared" si="7"/>
        <v>8.895932500981911E-2</v>
      </c>
      <c r="M65" s="1">
        <f t="shared" si="8"/>
        <v>22.042394495329205</v>
      </c>
      <c r="N65" s="1">
        <f t="shared" si="1"/>
        <v>0.52613629892515856</v>
      </c>
      <c r="O65" s="2">
        <f t="shared" si="9"/>
        <v>-6.7171752645406091E-2</v>
      </c>
    </row>
    <row r="66" spans="6:15">
      <c r="F66">
        <f t="shared" si="10"/>
        <v>113</v>
      </c>
      <c r="G66" s="2">
        <f t="shared" si="2"/>
        <v>1.5564508848283274</v>
      </c>
      <c r="H66" s="2">
        <f t="shared" si="3"/>
        <v>1.4064508848283275</v>
      </c>
      <c r="I66" s="2">
        <f t="shared" si="4"/>
        <v>0.94019954339386669</v>
      </c>
      <c r="J66" s="2">
        <f t="shared" si="5"/>
        <v>0.92020486032712911</v>
      </c>
      <c r="K66" s="3">
        <f t="shared" si="6"/>
        <v>5.9800456606133263E-2</v>
      </c>
      <c r="L66" s="3">
        <f t="shared" si="7"/>
        <v>7.9795139672870857E-2</v>
      </c>
      <c r="M66" s="1">
        <f t="shared" si="8"/>
        <v>22.978969415252905</v>
      </c>
      <c r="N66" s="1">
        <f t="shared" si="1"/>
        <v>0.46271121884886313</v>
      </c>
      <c r="O66" s="2">
        <f t="shared" si="9"/>
        <v>-5.9800456606133312E-2</v>
      </c>
    </row>
    <row r="67" spans="6:15">
      <c r="F67">
        <f t="shared" si="10"/>
        <v>114</v>
      </c>
      <c r="G67" s="2">
        <f t="shared" si="2"/>
        <v>1.6151884160426933</v>
      </c>
      <c r="H67" s="2">
        <f t="shared" si="3"/>
        <v>1.4651884160426933</v>
      </c>
      <c r="I67" s="2">
        <f t="shared" si="4"/>
        <v>0.94686505081849837</v>
      </c>
      <c r="J67" s="2">
        <f t="shared" si="5"/>
        <v>0.92856524041523192</v>
      </c>
      <c r="K67" s="3">
        <f t="shared" si="6"/>
        <v>5.3134949181501606E-2</v>
      </c>
      <c r="L67" s="3">
        <f t="shared" si="7"/>
        <v>7.1434759584768054E-2</v>
      </c>
      <c r="M67" s="1">
        <f t="shared" si="8"/>
        <v>23.92255833178298</v>
      </c>
      <c r="N67" s="1">
        <f t="shared" ref="N67:N113" si="11">EXP(-$B$3*$B$5)*$B$2*L67-F67*K67</f>
        <v>0.4063001353789204</v>
      </c>
      <c r="O67" s="2">
        <f t="shared" si="9"/>
        <v>-5.3134949181501634E-2</v>
      </c>
    </row>
    <row r="68" spans="6:15">
      <c r="F68">
        <f t="shared" si="10"/>
        <v>115</v>
      </c>
      <c r="G68" s="2">
        <f t="shared" ref="G68:G113" si="12">(LN(F68/$B$2)+($B$3+($B$4^2)/2)*$B$5)/($B$4*SQRT($B$5))</f>
        <v>1.6734129491677241</v>
      </c>
      <c r="H68" s="2">
        <f t="shared" ref="H68:H113" si="13">G68-$B$4*SQRT($B$5)</f>
        <v>1.5234129491677242</v>
      </c>
      <c r="I68" s="2">
        <f t="shared" ref="I68:I113" si="14">_xlfn.NORM.S.DIST(G68,TRUE)</f>
        <v>0.95287698479743466</v>
      </c>
      <c r="J68" s="2">
        <f t="shared" ref="J68:J113" si="15">_xlfn.NORM.S.DIST(H68,TRUE)</f>
        <v>0.93617228782553619</v>
      </c>
      <c r="K68" s="3">
        <f t="shared" ref="K68:K113" si="16">_xlfn.NORM.S.DIST(-G68,TRUE)</f>
        <v>4.7123015202565392E-2</v>
      </c>
      <c r="L68" s="3">
        <f t="shared" ref="L68:L113" si="17">_xlfn.NORM.S.DIST(-H68,TRUE)</f>
        <v>6.3827712174463799E-2</v>
      </c>
      <c r="M68" s="1">
        <f t="shared" ref="M68:M113" si="18">F68*I68-$B$2*EXP(-$B$3*$B$5)*J68</f>
        <v>24.872481676417451</v>
      </c>
      <c r="N68" s="1">
        <f t="shared" si="11"/>
        <v>0.35622348001339965</v>
      </c>
      <c r="O68" s="2">
        <f t="shared" ref="O68:O113" si="19">+I68-1</f>
        <v>-4.7123015202565344E-2</v>
      </c>
    </row>
    <row r="69" spans="6:15">
      <c r="F69">
        <f t="shared" ref="F69:F113" si="20">+F68+1</f>
        <v>116</v>
      </c>
      <c r="G69" s="2">
        <f t="shared" si="12"/>
        <v>1.7311333674551548</v>
      </c>
      <c r="H69" s="2">
        <f t="shared" si="13"/>
        <v>1.5811333674551549</v>
      </c>
      <c r="I69" s="2">
        <f t="shared" si="14"/>
        <v>0.95828600985925527</v>
      </c>
      <c r="J69" s="2">
        <f t="shared" si="15"/>
        <v>0.94307622662161039</v>
      </c>
      <c r="K69" s="3">
        <f t="shared" si="16"/>
        <v>4.1713990140744679E-2</v>
      </c>
      <c r="L69" s="3">
        <f t="shared" si="17"/>
        <v>5.6923773378389594E-2</v>
      </c>
      <c r="M69" s="1">
        <f t="shared" si="18"/>
        <v>25.828111352934272</v>
      </c>
      <c r="N69" s="1">
        <f t="shared" si="11"/>
        <v>0.31185315653022982</v>
      </c>
      <c r="O69" s="2">
        <f t="shared" si="19"/>
        <v>-4.1713990140744728E-2</v>
      </c>
    </row>
    <row r="70" spans="6:15">
      <c r="F70">
        <f t="shared" si="20"/>
        <v>117</v>
      </c>
      <c r="G70" s="2">
        <f t="shared" si="12"/>
        <v>1.7883583253977646</v>
      </c>
      <c r="H70" s="2">
        <f t="shared" si="13"/>
        <v>1.6383583253977647</v>
      </c>
      <c r="I70" s="2">
        <f t="shared" si="14"/>
        <v>0.96314089230135558</v>
      </c>
      <c r="J70" s="2">
        <f t="shared" si="15"/>
        <v>0.94932651635479659</v>
      </c>
      <c r="K70" s="3">
        <f t="shared" si="16"/>
        <v>3.6859107698644443E-2</v>
      </c>
      <c r="L70" s="3">
        <f t="shared" si="17"/>
        <v>5.0673483645203465E-2</v>
      </c>
      <c r="M70" s="1">
        <f t="shared" si="18"/>
        <v>26.788869006103994</v>
      </c>
      <c r="N70" s="1">
        <f t="shared" si="11"/>
        <v>0.27261080969993223</v>
      </c>
      <c r="O70" s="2">
        <f t="shared" si="19"/>
        <v>-3.6859107698644422E-2</v>
      </c>
    </row>
    <row r="71" spans="6:15">
      <c r="F71">
        <f t="shared" si="20"/>
        <v>118</v>
      </c>
      <c r="G71" s="2">
        <f t="shared" si="12"/>
        <v>1.8450962565171556</v>
      </c>
      <c r="H71" s="2">
        <f t="shared" si="13"/>
        <v>1.6950962565171557</v>
      </c>
      <c r="I71" s="2">
        <f t="shared" si="14"/>
        <v>0.96748823116093885</v>
      </c>
      <c r="J71" s="2">
        <f t="shared" si="15"/>
        <v>0.95497141886377124</v>
      </c>
      <c r="K71" s="3">
        <f t="shared" si="16"/>
        <v>3.2511768839061102E-2</v>
      </c>
      <c r="L71" s="3">
        <f t="shared" si="17"/>
        <v>4.5028581136228728E-2</v>
      </c>
      <c r="M71" s="1">
        <f t="shared" si="18"/>
        <v>27.754223982707629</v>
      </c>
      <c r="N71" s="1">
        <f t="shared" si="11"/>
        <v>0.23796578630358134</v>
      </c>
      <c r="O71" s="2">
        <f t="shared" si="19"/>
        <v>-3.251176883906115E-2</v>
      </c>
    </row>
    <row r="72" spans="6:15">
      <c r="F72">
        <f t="shared" si="20"/>
        <v>119</v>
      </c>
      <c r="G72" s="2">
        <f t="shared" si="12"/>
        <v>1.90135538082292</v>
      </c>
      <c r="H72" s="2">
        <f t="shared" si="13"/>
        <v>1.7513553808229201</v>
      </c>
      <c r="I72" s="2">
        <f t="shared" si="14"/>
        <v>0.9713722601590794</v>
      </c>
      <c r="J72" s="2">
        <f t="shared" si="15"/>
        <v>0.9600576431490957</v>
      </c>
      <c r="K72" s="3">
        <f t="shared" si="16"/>
        <v>2.8627739840920548E-2</v>
      </c>
      <c r="L72" s="3">
        <f t="shared" si="17"/>
        <v>3.9942356850904276E-2</v>
      </c>
      <c r="M72" s="1">
        <f t="shared" si="18"/>
        <v>28.723691059658819</v>
      </c>
      <c r="N72" s="1">
        <f t="shared" si="11"/>
        <v>0.20743286325476928</v>
      </c>
      <c r="O72" s="2">
        <f t="shared" si="19"/>
        <v>-2.8627739840920596E-2</v>
      </c>
    </row>
    <row r="73" spans="6:15">
      <c r="F73">
        <f t="shared" si="20"/>
        <v>120</v>
      </c>
      <c r="G73" s="2">
        <f t="shared" si="12"/>
        <v>1.9571437119596973</v>
      </c>
      <c r="H73" s="2">
        <f t="shared" si="13"/>
        <v>1.8071437119596974</v>
      </c>
      <c r="I73" s="2">
        <f t="shared" si="14"/>
        <v>0.97483471278834466</v>
      </c>
      <c r="J73" s="2">
        <f t="shared" si="15"/>
        <v>0.96463006268862506</v>
      </c>
      <c r="K73" s="3">
        <f t="shared" si="16"/>
        <v>2.5165287211655313E-2</v>
      </c>
      <c r="L73" s="3">
        <f t="shared" si="17"/>
        <v>3.5369937311374999E-2</v>
      </c>
      <c r="M73" s="1">
        <f t="shared" si="18"/>
        <v>29.696828006297238</v>
      </c>
      <c r="N73" s="1">
        <f t="shared" si="11"/>
        <v>0.18056980989319271</v>
      </c>
      <c r="O73" s="2">
        <f t="shared" si="19"/>
        <v>-2.5165287211655341E-2</v>
      </c>
    </row>
    <row r="74" spans="6:15">
      <c r="F74">
        <f t="shared" si="20"/>
        <v>121</v>
      </c>
      <c r="G74" s="2">
        <f t="shared" si="12"/>
        <v>2.0124690640576648</v>
      </c>
      <c r="H74" s="2">
        <f t="shared" si="13"/>
        <v>1.8624690640576649</v>
      </c>
      <c r="I74" s="2">
        <f t="shared" si="14"/>
        <v>0.9779147427137751</v>
      </c>
      <c r="J74" s="2">
        <f t="shared" si="15"/>
        <v>0.9687314989532142</v>
      </c>
      <c r="K74" s="3">
        <f t="shared" si="16"/>
        <v>2.2085257286224947E-2</v>
      </c>
      <c r="L74" s="3">
        <f t="shared" si="17"/>
        <v>3.1268501046785808E-2</v>
      </c>
      <c r="M74" s="1">
        <f t="shared" si="18"/>
        <v>30.673233040073683</v>
      </c>
      <c r="N74" s="1">
        <f t="shared" si="11"/>
        <v>0.15697484366961811</v>
      </c>
      <c r="O74" s="2">
        <f t="shared" si="19"/>
        <v>-2.2085257286224902E-2</v>
      </c>
    </row>
    <row r="75" spans="6:15">
      <c r="F75">
        <f t="shared" si="20"/>
        <v>122</v>
      </c>
      <c r="G75" s="2">
        <f t="shared" si="12"/>
        <v>2.0673390583011013</v>
      </c>
      <c r="H75" s="2">
        <f t="shared" si="13"/>
        <v>1.9173390583011014</v>
      </c>
      <c r="I75" s="2">
        <f t="shared" si="14"/>
        <v>0.98064889185007265</v>
      </c>
      <c r="J75" s="2">
        <f t="shared" si="15"/>
        <v>0.97240256453578733</v>
      </c>
      <c r="K75" s="3">
        <f t="shared" si="16"/>
        <v>1.9351108149927403E-2</v>
      </c>
      <c r="L75" s="3">
        <f t="shared" si="17"/>
        <v>2.7597435464212648E-2</v>
      </c>
      <c r="M75" s="1">
        <f t="shared" si="18"/>
        <v>31.652542227098138</v>
      </c>
      <c r="N75" s="1">
        <f t="shared" si="11"/>
        <v>0.13628403069407646</v>
      </c>
      <c r="O75" s="2">
        <f t="shared" si="19"/>
        <v>-1.9351108149927354E-2</v>
      </c>
    </row>
    <row r="76" spans="6:15">
      <c r="F76">
        <f t="shared" si="20"/>
        <v>123</v>
      </c>
      <c r="G76" s="2">
        <f t="shared" si="12"/>
        <v>2.1217611292288407</v>
      </c>
      <c r="H76" s="2">
        <f t="shared" si="13"/>
        <v>1.9717611292288408</v>
      </c>
      <c r="I76" s="2">
        <f t="shared" si="14"/>
        <v>0.98307109882161481</v>
      </c>
      <c r="J76" s="2">
        <f t="shared" si="15"/>
        <v>0.97568155918153299</v>
      </c>
      <c r="K76" s="3">
        <f t="shared" si="16"/>
        <v>1.6928901178385164E-2</v>
      </c>
      <c r="L76" s="3">
        <f t="shared" si="17"/>
        <v>2.4318440818466961E-2</v>
      </c>
      <c r="M76" s="1">
        <f t="shared" si="18"/>
        <v>32.634426871546879</v>
      </c>
      <c r="N76" s="1">
        <f t="shared" si="11"/>
        <v>0.11816867514281748</v>
      </c>
      <c r="O76" s="2">
        <f t="shared" si="19"/>
        <v>-1.6928901178385192E-2</v>
      </c>
    </row>
    <row r="77" spans="6:15">
      <c r="F77">
        <f t="shared" si="20"/>
        <v>124</v>
      </c>
      <c r="G77" s="2">
        <f t="shared" si="12"/>
        <v>2.1757425307796368</v>
      </c>
      <c r="H77" s="2">
        <f t="shared" si="13"/>
        <v>2.0257425307796368</v>
      </c>
      <c r="I77" s="2">
        <f t="shared" si="14"/>
        <v>0.98521274096741385</v>
      </c>
      <c r="J77" s="2">
        <f t="shared" si="15"/>
        <v>0.9786044120645534</v>
      </c>
      <c r="K77" s="3">
        <f t="shared" si="16"/>
        <v>1.478725903258613E-2</v>
      </c>
      <c r="L77" s="3">
        <f t="shared" si="17"/>
        <v>2.1395587935446568E-2</v>
      </c>
      <c r="M77" s="1">
        <f t="shared" si="18"/>
        <v>33.618590930850459</v>
      </c>
      <c r="N77" s="1">
        <f t="shared" si="11"/>
        <v>0.10233273444639956</v>
      </c>
      <c r="O77" s="2">
        <f t="shared" si="19"/>
        <v>-1.4787259032586153E-2</v>
      </c>
    </row>
    <row r="78" spans="6:15">
      <c r="F78">
        <f t="shared" si="20"/>
        <v>125</v>
      </c>
      <c r="G78" s="2">
        <f t="shared" si="12"/>
        <v>2.2292903420947319</v>
      </c>
      <c r="H78" s="2">
        <f t="shared" si="13"/>
        <v>2.079290342094732</v>
      </c>
      <c r="I78" s="2">
        <f t="shared" si="14"/>
        <v>0.98710270358597307</v>
      </c>
      <c r="J78" s="2">
        <f t="shared" si="15"/>
        <v>0.98120466386050653</v>
      </c>
      <c r="K78" s="3">
        <f t="shared" si="16"/>
        <v>1.2897296414026916E-2</v>
      </c>
      <c r="L78" s="3">
        <f t="shared" si="17"/>
        <v>1.8795336139493413E-2</v>
      </c>
      <c r="M78" s="1">
        <f t="shared" si="18"/>
        <v>34.6047684870084</v>
      </c>
      <c r="N78" s="1">
        <f t="shared" si="11"/>
        <v>8.8510290604353115E-2</v>
      </c>
      <c r="O78" s="2">
        <f t="shared" si="19"/>
        <v>-1.2897296414026926E-2</v>
      </c>
    </row>
    <row r="79" spans="6:15">
      <c r="F79">
        <f t="shared" si="20"/>
        <v>126</v>
      </c>
      <c r="G79" s="2">
        <f t="shared" si="12"/>
        <v>2.2824114730892444</v>
      </c>
      <c r="H79" s="2">
        <f t="shared" si="13"/>
        <v>2.1324114730892445</v>
      </c>
      <c r="I79" s="2">
        <f t="shared" si="14"/>
        <v>0.98876747069550275</v>
      </c>
      <c r="J79" s="2">
        <f t="shared" si="15"/>
        <v>0.98351348248219861</v>
      </c>
      <c r="K79" s="3">
        <f t="shared" si="16"/>
        <v>1.1232529304497278E-2</v>
      </c>
      <c r="L79" s="3">
        <f t="shared" si="17"/>
        <v>1.6486517517801433E-2</v>
      </c>
      <c r="M79" s="1">
        <f t="shared" si="18"/>
        <v>35.592721298358612</v>
      </c>
      <c r="N79" s="1">
        <f t="shared" si="11"/>
        <v>7.6463101954549417E-2</v>
      </c>
      <c r="O79" s="2">
        <f t="shared" si="19"/>
        <v>-1.1232529304497252E-2</v>
      </c>
    </row>
    <row r="80" spans="6:15">
      <c r="F80">
        <f t="shared" si="20"/>
        <v>127</v>
      </c>
      <c r="G80" s="2">
        <f t="shared" si="12"/>
        <v>2.3351126698033329</v>
      </c>
      <c r="H80" s="2">
        <f t="shared" si="13"/>
        <v>2.185112669803333</v>
      </c>
      <c r="I80" s="2">
        <f t="shared" si="14"/>
        <v>0.9902312321882023</v>
      </c>
      <c r="J80" s="2">
        <f t="shared" si="15"/>
        <v>0.98555970674559823</v>
      </c>
      <c r="K80" s="3">
        <f t="shared" si="16"/>
        <v>9.7687678117976875E-3</v>
      </c>
      <c r="L80" s="3">
        <f t="shared" si="17"/>
        <v>1.4440293254401789E-2</v>
      </c>
      <c r="M80" s="1">
        <f t="shared" si="18"/>
        <v>36.582236450705238</v>
      </c>
      <c r="N80" s="1">
        <f t="shared" si="11"/>
        <v>6.5978254301193529E-2</v>
      </c>
      <c r="O80" s="2">
        <f t="shared" si="19"/>
        <v>-9.7687678117976962E-3</v>
      </c>
    </row>
    <row r="81" spans="6:15">
      <c r="F81">
        <f t="shared" si="20"/>
        <v>128</v>
      </c>
      <c r="G81" s="2">
        <f t="shared" si="12"/>
        <v>2.3874005195435055</v>
      </c>
      <c r="H81" s="2">
        <f t="shared" si="13"/>
        <v>2.2374005195435056</v>
      </c>
      <c r="I81" s="2">
        <f t="shared" si="14"/>
        <v>0.99151600286290531</v>
      </c>
      <c r="J81" s="2">
        <f t="shared" si="15"/>
        <v>0.9873699126908746</v>
      </c>
      <c r="K81" s="3">
        <f t="shared" si="16"/>
        <v>8.4839971370946465E-3</v>
      </c>
      <c r="L81" s="3">
        <f t="shared" si="17"/>
        <v>1.263008730912542E-2</v>
      </c>
      <c r="M81" s="1">
        <f t="shared" si="18"/>
        <v>37.573124121891709</v>
      </c>
      <c r="N81" s="1">
        <f t="shared" si="11"/>
        <v>5.686592548766356E-2</v>
      </c>
      <c r="O81" s="2">
        <f t="shared" si="19"/>
        <v>-8.4839971370946898E-3</v>
      </c>
    </row>
    <row r="82" spans="6:15">
      <c r="F82">
        <f t="shared" si="20"/>
        <v>129</v>
      </c>
      <c r="G82" s="2">
        <f t="shared" si="12"/>
        <v>2.4392814558238718</v>
      </c>
      <c r="H82" s="2">
        <f t="shared" si="13"/>
        <v>2.2892814558238719</v>
      </c>
      <c r="I82" s="2">
        <f t="shared" si="14"/>
        <v>0.99264174941210892</v>
      </c>
      <c r="J82" s="2">
        <f t="shared" si="15"/>
        <v>0.98896849777403439</v>
      </c>
      <c r="K82" s="3">
        <f t="shared" si="16"/>
        <v>7.3582505878911336E-3</v>
      </c>
      <c r="L82" s="3">
        <f t="shared" si="17"/>
        <v>1.103150222596566E-2</v>
      </c>
      <c r="M82" s="1">
        <f t="shared" si="18"/>
        <v>38.56521546968618</v>
      </c>
      <c r="N82" s="1">
        <f t="shared" si="11"/>
        <v>4.8957273282114522E-2</v>
      </c>
      <c r="O82" s="2">
        <f t="shared" si="19"/>
        <v>-7.3582505878910798E-3</v>
      </c>
    </row>
    <row r="83" spans="6:15">
      <c r="F83">
        <f t="shared" si="20"/>
        <v>130</v>
      </c>
      <c r="G83" s="2">
        <f t="shared" si="12"/>
        <v>2.4907617631166072</v>
      </c>
      <c r="H83" s="2">
        <f t="shared" si="13"/>
        <v>2.3407617631166073</v>
      </c>
      <c r="I83" s="2">
        <f t="shared" si="14"/>
        <v>0.99362652200489976</v>
      </c>
      <c r="J83" s="2">
        <f t="shared" si="15"/>
        <v>0.99037777865046583</v>
      </c>
      <c r="K83" s="3">
        <f t="shared" si="16"/>
        <v>6.3734779951002745E-3</v>
      </c>
      <c r="L83" s="3">
        <f t="shared" si="17"/>
        <v>9.6222213495341571E-3</v>
      </c>
      <c r="M83" s="1">
        <f t="shared" si="18"/>
        <v>39.558360649209305</v>
      </c>
      <c r="N83" s="1">
        <f t="shared" si="11"/>
        <v>4.2102452805261481E-2</v>
      </c>
      <c r="O83" s="2">
        <f t="shared" si="19"/>
        <v>-6.3734779951002407E-3</v>
      </c>
    </row>
    <row r="84" spans="6:15">
      <c r="F84">
        <f t="shared" si="20"/>
        <v>131</v>
      </c>
      <c r="G84" s="2">
        <f t="shared" si="12"/>
        <v>2.5418475814204018</v>
      </c>
      <c r="H84" s="2">
        <f t="shared" si="13"/>
        <v>2.3918475814204019</v>
      </c>
      <c r="I84" s="2">
        <f t="shared" si="14"/>
        <v>0.99448658763752595</v>
      </c>
      <c r="J84" s="2">
        <f t="shared" si="15"/>
        <v>0.9916180987765747</v>
      </c>
      <c r="K84" s="3">
        <f t="shared" si="16"/>
        <v>5.5134123624740652E-3</v>
      </c>
      <c r="L84" s="3">
        <f t="shared" si="17"/>
        <v>8.381901223425324E-3</v>
      </c>
      <c r="M84" s="1">
        <f t="shared" si="18"/>
        <v>40.552426963043629</v>
      </c>
      <c r="N84" s="1">
        <f t="shared" si="11"/>
        <v>3.6168766639559369E-2</v>
      </c>
      <c r="O84" s="2">
        <f t="shared" si="19"/>
        <v>-5.5134123624740461E-3</v>
      </c>
    </row>
    <row r="85" spans="6:15">
      <c r="F85">
        <f t="shared" si="20"/>
        <v>132</v>
      </c>
      <c r="G85" s="2">
        <f t="shared" si="12"/>
        <v>2.5925449106551972</v>
      </c>
      <c r="H85" s="2">
        <f t="shared" si="13"/>
        <v>2.4425449106551973</v>
      </c>
      <c r="I85" s="2">
        <f t="shared" si="14"/>
        <v>0.99523656291224527</v>
      </c>
      <c r="J85" s="2">
        <f t="shared" si="15"/>
        <v>0.99270794254735117</v>
      </c>
      <c r="K85" s="3">
        <f t="shared" si="16"/>
        <v>4.7634370877547615E-3</v>
      </c>
      <c r="L85" s="3">
        <f t="shared" si="17"/>
        <v>7.2920574526487911E-3</v>
      </c>
      <c r="M85" s="1">
        <f t="shared" si="18"/>
        <v>41.547297144582899</v>
      </c>
      <c r="N85" s="1">
        <f t="shared" si="11"/>
        <v>3.1038948178832237E-2</v>
      </c>
      <c r="O85" s="2">
        <f t="shared" si="19"/>
        <v>-4.7634370877547294E-3</v>
      </c>
    </row>
    <row r="86" spans="6:15">
      <c r="F86">
        <f t="shared" si="20"/>
        <v>133</v>
      </c>
      <c r="G86" s="2">
        <f t="shared" si="12"/>
        <v>2.6428596148910835</v>
      </c>
      <c r="H86" s="2">
        <f t="shared" si="13"/>
        <v>2.4928596148910835</v>
      </c>
      <c r="I86" s="2">
        <f t="shared" si="14"/>
        <v>0.99588954434897003</v>
      </c>
      <c r="J86" s="2">
        <f t="shared" si="15"/>
        <v>0.99366405315669581</v>
      </c>
      <c r="K86" s="3">
        <f t="shared" si="16"/>
        <v>4.1104556510299954E-3</v>
      </c>
      <c r="L86" s="3">
        <f t="shared" si="17"/>
        <v>6.3359468433041343E-3</v>
      </c>
      <c r="M86" s="1">
        <f t="shared" si="18"/>
        <v>42.542867773067911</v>
      </c>
      <c r="N86" s="1">
        <f t="shared" si="11"/>
        <v>2.6609576663850776E-2</v>
      </c>
      <c r="O86" s="2">
        <f t="shared" si="19"/>
        <v>-4.110455651029965E-3</v>
      </c>
    </row>
    <row r="87" spans="6:15">
      <c r="F87">
        <f t="shared" si="20"/>
        <v>134</v>
      </c>
      <c r="G87" s="2">
        <f t="shared" si="12"/>
        <v>2.6927974264188004</v>
      </c>
      <c r="H87" s="2">
        <f t="shared" si="13"/>
        <v>2.5427974264188005</v>
      </c>
      <c r="I87" s="2">
        <f t="shared" si="14"/>
        <v>0.99645723473149428</v>
      </c>
      <c r="J87" s="2">
        <f t="shared" si="15"/>
        <v>0.99450155180677602</v>
      </c>
      <c r="K87" s="3">
        <f t="shared" si="16"/>
        <v>3.5427652685056698E-3</v>
      </c>
      <c r="L87" s="3">
        <f t="shared" si="17"/>
        <v>5.498448193223932E-3</v>
      </c>
      <c r="M87" s="1">
        <f t="shared" si="18"/>
        <v>43.539047817060421</v>
      </c>
      <c r="N87" s="1">
        <f t="shared" si="11"/>
        <v>2.2789620656363196E-2</v>
      </c>
      <c r="O87" s="2">
        <f t="shared" si="19"/>
        <v>-3.5427652685057209E-3</v>
      </c>
    </row>
    <row r="88" spans="6:15">
      <c r="F88">
        <f t="shared" si="20"/>
        <v>135</v>
      </c>
      <c r="G88" s="2">
        <f t="shared" si="12"/>
        <v>2.7423639496689214</v>
      </c>
      <c r="H88" s="2">
        <f t="shared" si="13"/>
        <v>2.5923639496689215</v>
      </c>
      <c r="I88" s="2">
        <f t="shared" si="14"/>
        <v>0.9969500643407373</v>
      </c>
      <c r="J88" s="2">
        <f t="shared" si="15"/>
        <v>0.99523405629796313</v>
      </c>
      <c r="K88" s="3">
        <f t="shared" si="16"/>
        <v>3.0499356592626971E-3</v>
      </c>
      <c r="L88" s="3">
        <f t="shared" si="17"/>
        <v>4.765943702036821E-3</v>
      </c>
      <c r="M88" s="1">
        <f t="shared" si="18"/>
        <v>44.535757301789161</v>
      </c>
      <c r="N88" s="1">
        <f t="shared" si="11"/>
        <v>1.9499105385109849E-2</v>
      </c>
      <c r="O88" s="2">
        <f t="shared" si="19"/>
        <v>-3.0499356592627036E-3</v>
      </c>
    </row>
    <row r="89" spans="6:15">
      <c r="F89">
        <f t="shared" si="20"/>
        <v>136</v>
      </c>
      <c r="G89" s="2">
        <f t="shared" si="12"/>
        <v>2.7915646649864052</v>
      </c>
      <c r="H89" s="2">
        <f t="shared" si="13"/>
        <v>2.6415646649864053</v>
      </c>
      <c r="I89" s="2">
        <f t="shared" si="14"/>
        <v>0.99737730623272114</v>
      </c>
      <c r="J89" s="2">
        <f t="shared" si="15"/>
        <v>0.99587379739924553</v>
      </c>
      <c r="K89" s="3">
        <f t="shared" si="16"/>
        <v>2.6226937672789085E-3</v>
      </c>
      <c r="L89" s="3">
        <f t="shared" si="17"/>
        <v>4.1262026007545128E-3</v>
      </c>
      <c r="M89" s="1">
        <f t="shared" si="18"/>
        <v>45.532926094810122</v>
      </c>
      <c r="N89" s="1">
        <f t="shared" si="11"/>
        <v>1.6667898406065862E-2</v>
      </c>
      <c r="O89" s="2">
        <f t="shared" si="19"/>
        <v>-2.6226937672788608E-3</v>
      </c>
    </row>
    <row r="90" spans="6:15">
      <c r="F90">
        <f t="shared" si="20"/>
        <v>137</v>
      </c>
      <c r="G90" s="2">
        <f t="shared" si="12"/>
        <v>2.8404049322668907</v>
      </c>
      <c r="H90" s="2">
        <f t="shared" si="13"/>
        <v>2.6904049322668908</v>
      </c>
      <c r="I90" s="2">
        <f t="shared" si="14"/>
        <v>0.99774718498112225</v>
      </c>
      <c r="J90" s="2">
        <f t="shared" si="15"/>
        <v>0.99643173172923671</v>
      </c>
      <c r="K90" s="3">
        <f t="shared" si="16"/>
        <v>2.2528150188777254E-3</v>
      </c>
      <c r="L90" s="3">
        <f t="shared" si="17"/>
        <v>3.568268270763317E-3</v>
      </c>
      <c r="M90" s="1">
        <f t="shared" si="18"/>
        <v>46.530492803715504</v>
      </c>
      <c r="N90" s="1">
        <f t="shared" si="11"/>
        <v>1.4234607311463365E-2</v>
      </c>
      <c r="O90" s="2">
        <f t="shared" si="19"/>
        <v>-2.2528150188777518E-3</v>
      </c>
    </row>
    <row r="91" spans="6:15">
      <c r="F91">
        <f t="shared" si="20"/>
        <v>138</v>
      </c>
      <c r="G91" s="2">
        <f t="shared" si="12"/>
        <v>2.8888899944607549</v>
      </c>
      <c r="H91" s="2">
        <f t="shared" si="13"/>
        <v>2.738889994460755</v>
      </c>
      <c r="I91" s="2">
        <f t="shared" si="14"/>
        <v>0.99806697852604642</v>
      </c>
      <c r="J91" s="2">
        <f t="shared" si="15"/>
        <v>0.99691765017004841</v>
      </c>
      <c r="K91" s="3">
        <f t="shared" si="16"/>
        <v>1.933021473953567E-3</v>
      </c>
      <c r="L91" s="3">
        <f t="shared" si="17"/>
        <v>3.0823498299516017E-3</v>
      </c>
      <c r="M91" s="1">
        <f t="shared" si="18"/>
        <v>47.528403779160172</v>
      </c>
      <c r="N91" s="1">
        <f t="shared" si="11"/>
        <v>1.2145582756106332E-2</v>
      </c>
      <c r="O91" s="2">
        <f t="shared" si="19"/>
        <v>-1.9330214739535778E-3</v>
      </c>
    </row>
    <row r="92" spans="6:15">
      <c r="F92">
        <f t="shared" si="20"/>
        <v>139</v>
      </c>
      <c r="G92" s="2">
        <f t="shared" si="12"/>
        <v>2.9370249809506688</v>
      </c>
      <c r="H92" s="2">
        <f t="shared" si="13"/>
        <v>2.7870249809506689</v>
      </c>
      <c r="I92" s="2">
        <f t="shared" si="14"/>
        <v>0.99834311295546985</v>
      </c>
      <c r="J92" s="2">
        <f t="shared" si="15"/>
        <v>0.99734028109139716</v>
      </c>
      <c r="K92" s="3">
        <f t="shared" si="16"/>
        <v>1.6568870445301997E-3</v>
      </c>
      <c r="L92" s="3">
        <f t="shared" si="17"/>
        <v>2.6597189086027956E-3</v>
      </c>
      <c r="M92" s="1">
        <f t="shared" si="18"/>
        <v>48.526612216210523</v>
      </c>
      <c r="N92" s="1">
        <f t="shared" si="11"/>
        <v>1.0354019806459613E-2</v>
      </c>
      <c r="O92" s="2">
        <f t="shared" si="19"/>
        <v>-1.6568870445301531E-3</v>
      </c>
    </row>
    <row r="93" spans="6:15">
      <c r="F93">
        <f t="shared" si="20"/>
        <v>140</v>
      </c>
      <c r="G93" s="2">
        <f t="shared" si="12"/>
        <v>2.9848149108080864</v>
      </c>
      <c r="H93" s="2">
        <f t="shared" si="13"/>
        <v>2.8348149108080865</v>
      </c>
      <c r="I93" s="2">
        <f t="shared" si="14"/>
        <v>0.99858125019709376</v>
      </c>
      <c r="J93" s="2">
        <f t="shared" si="15"/>
        <v>0.99770738788212465</v>
      </c>
      <c r="K93" s="3">
        <f t="shared" si="16"/>
        <v>1.4187498029062226E-3</v>
      </c>
      <c r="L93" s="3">
        <f t="shared" si="17"/>
        <v>2.2926121178754007E-3</v>
      </c>
      <c r="M93" s="1">
        <f t="shared" si="18"/>
        <v>49.525077346926821</v>
      </c>
      <c r="N93" s="1">
        <f t="shared" si="11"/>
        <v>8.8191505227618872E-3</v>
      </c>
      <c r="O93" s="2">
        <f t="shared" si="19"/>
        <v>-1.4187498029062384E-3</v>
      </c>
    </row>
    <row r="94" spans="6:15">
      <c r="F94">
        <f t="shared" si="20"/>
        <v>141</v>
      </c>
      <c r="G94" s="2">
        <f t="shared" si="12"/>
        <v>3.0322646959338457</v>
      </c>
      <c r="H94" s="2">
        <f t="shared" si="13"/>
        <v>2.8822646959338458</v>
      </c>
      <c r="I94" s="2">
        <f t="shared" si="14"/>
        <v>0.99878636871977899</v>
      </c>
      <c r="J94" s="2">
        <f t="shared" si="15"/>
        <v>0.99802586047309949</v>
      </c>
      <c r="K94" s="3">
        <f t="shared" si="16"/>
        <v>1.2136312802210442E-3</v>
      </c>
      <c r="L94" s="3">
        <f t="shared" si="17"/>
        <v>1.9741395269005035E-3</v>
      </c>
      <c r="M94" s="1">
        <f t="shared" si="18"/>
        <v>50.523763717129228</v>
      </c>
      <c r="N94" s="1">
        <f t="shared" si="11"/>
        <v>7.5055207251709666E-3</v>
      </c>
      <c r="O94" s="2">
        <f t="shared" si="19"/>
        <v>-1.2136312802210059E-3</v>
      </c>
    </row>
    <row r="95" spans="6:15">
      <c r="F95">
        <f t="shared" si="20"/>
        <v>142</v>
      </c>
      <c r="G95" s="2">
        <f t="shared" si="12"/>
        <v>3.0793791440877958</v>
      </c>
      <c r="H95" s="2">
        <f t="shared" si="13"/>
        <v>2.9293791440877959</v>
      </c>
      <c r="I95" s="2">
        <f t="shared" si="14"/>
        <v>0.99896283743883885</v>
      </c>
      <c r="J95" s="2">
        <f t="shared" si="15"/>
        <v>0.9983018006918617</v>
      </c>
      <c r="K95" s="3">
        <f t="shared" si="16"/>
        <v>1.0371625611611205E-3</v>
      </c>
      <c r="L95" s="3">
        <f t="shared" si="17"/>
        <v>1.6981993081383309E-3</v>
      </c>
      <c r="M95" s="1">
        <f t="shared" si="18"/>
        <v>51.522640540447796</v>
      </c>
      <c r="N95" s="1">
        <f t="shared" si="11"/>
        <v>6.3823440437549006E-3</v>
      </c>
      <c r="O95" s="2">
        <f t="shared" si="19"/>
        <v>-1.0371625611611535E-3</v>
      </c>
    </row>
    <row r="96" spans="6:15">
      <c r="F96">
        <f t="shared" si="20"/>
        <v>143</v>
      </c>
      <c r="G96" s="2">
        <f t="shared" si="12"/>
        <v>3.1261629618121063</v>
      </c>
      <c r="H96" s="2">
        <f t="shared" si="13"/>
        <v>2.9761629618121064</v>
      </c>
      <c r="I96" s="2">
        <f t="shared" si="14"/>
        <v>0.99911448309172513</v>
      </c>
      <c r="J96" s="2">
        <f t="shared" si="15"/>
        <v>0.99854060141816159</v>
      </c>
      <c r="K96" s="3">
        <f t="shared" si="16"/>
        <v>8.8551690827486118E-4</v>
      </c>
      <c r="L96" s="3">
        <f t="shared" si="17"/>
        <v>1.4593985818383735E-3</v>
      </c>
      <c r="M96" s="1">
        <f t="shared" si="18"/>
        <v>52.521681122988355</v>
      </c>
      <c r="N96" s="1">
        <f t="shared" si="11"/>
        <v>5.4229265842923036E-3</v>
      </c>
      <c r="O96" s="2">
        <f t="shared" si="19"/>
        <v>-8.8551690827487484E-4</v>
      </c>
    </row>
    <row r="97" spans="6:15">
      <c r="F97">
        <f t="shared" si="20"/>
        <v>144</v>
      </c>
      <c r="G97" s="2">
        <f t="shared" si="12"/>
        <v>3.1726207572527283</v>
      </c>
      <c r="H97" s="2">
        <f t="shared" si="13"/>
        <v>3.0226207572527284</v>
      </c>
      <c r="I97" s="2">
        <f t="shared" si="14"/>
        <v>0.99924465140327723</v>
      </c>
      <c r="J97" s="2">
        <f t="shared" si="15"/>
        <v>0.99874701961364087</v>
      </c>
      <c r="K97" s="3">
        <f t="shared" si="16"/>
        <v>7.5534859672279236E-4</v>
      </c>
      <c r="L97" s="3">
        <f t="shared" si="17"/>
        <v>1.2529803863591327E-3</v>
      </c>
      <c r="M97" s="1">
        <f t="shared" si="18"/>
        <v>53.520862352240272</v>
      </c>
      <c r="N97" s="1">
        <f t="shared" si="11"/>
        <v>4.6041558362075602E-3</v>
      </c>
      <c r="O97" s="2">
        <f t="shared" si="19"/>
        <v>-7.5534859672277133E-4</v>
      </c>
    </row>
    <row r="98" spans="6:15">
      <c r="F98">
        <f t="shared" si="20"/>
        <v>145</v>
      </c>
      <c r="G98" s="2">
        <f t="shared" si="12"/>
        <v>3.2187570428832202</v>
      </c>
      <c r="H98" s="2">
        <f t="shared" si="13"/>
        <v>3.0687570428832203</v>
      </c>
      <c r="I98" s="2">
        <f t="shared" si="14"/>
        <v>0.99935626239575581</v>
      </c>
      <c r="J98" s="2">
        <f t="shared" si="15"/>
        <v>0.99892524338113786</v>
      </c>
      <c r="K98" s="3">
        <f t="shared" si="16"/>
        <v>6.4373760424415625E-4</v>
      </c>
      <c r="L98" s="3">
        <f t="shared" si="17"/>
        <v>1.0747566188621627E-3</v>
      </c>
      <c r="M98" s="1">
        <f t="shared" si="18"/>
        <v>54.520164244191463</v>
      </c>
      <c r="N98" s="1">
        <f t="shared" si="11"/>
        <v>3.9060477874270638E-3</v>
      </c>
      <c r="O98" s="2">
        <f t="shared" si="19"/>
        <v>-6.437376042441878E-4</v>
      </c>
    </row>
    <row r="99" spans="6:15">
      <c r="F99">
        <f t="shared" si="20"/>
        <v>146</v>
      </c>
      <c r="G99" s="2">
        <f t="shared" si="12"/>
        <v>3.2645762381349672</v>
      </c>
      <c r="H99" s="2">
        <f t="shared" si="13"/>
        <v>3.1145762381349673</v>
      </c>
      <c r="I99" s="2">
        <f t="shared" si="14"/>
        <v>0.99945186022107779</v>
      </c>
      <c r="J99" s="2">
        <f t="shared" si="15"/>
        <v>0.99907895327227003</v>
      </c>
      <c r="K99" s="3">
        <f t="shared" si="16"/>
        <v>5.4813977892224897E-4</v>
      </c>
      <c r="L99" s="3">
        <f t="shared" si="17"/>
        <v>9.2104672772994284E-4</v>
      </c>
      <c r="M99" s="1">
        <f t="shared" si="18"/>
        <v>55.519569542982381</v>
      </c>
      <c r="N99" s="1">
        <f t="shared" si="11"/>
        <v>3.3113465783147361E-3</v>
      </c>
      <c r="O99" s="2">
        <f t="shared" si="19"/>
        <v>-5.4813977892220755E-4</v>
      </c>
    </row>
    <row r="100" spans="6:15">
      <c r="F100">
        <f t="shared" si="20"/>
        <v>147</v>
      </c>
      <c r="G100" s="2">
        <f t="shared" si="12"/>
        <v>3.3100826719376326</v>
      </c>
      <c r="H100" s="2">
        <f t="shared" si="13"/>
        <v>3.1600826719376327</v>
      </c>
      <c r="I100" s="2">
        <f t="shared" si="14"/>
        <v>0.99953365790349324</v>
      </c>
      <c r="J100" s="2">
        <f t="shared" si="15"/>
        <v>0.99921137810865623</v>
      </c>
      <c r="K100" s="3">
        <f t="shared" si="16"/>
        <v>4.6634209650675312E-4</v>
      </c>
      <c r="L100" s="3">
        <f t="shared" si="17"/>
        <v>7.8862189134371291E-4</v>
      </c>
      <c r="M100" s="1">
        <f t="shared" si="18"/>
        <v>56.519063367814582</v>
      </c>
      <c r="N100" s="1">
        <f t="shared" si="11"/>
        <v>2.8051714105152975E-3</v>
      </c>
      <c r="O100" s="2">
        <f t="shared" si="19"/>
        <v>-4.6634209650675551E-4</v>
      </c>
    </row>
    <row r="101" spans="6:15">
      <c r="F101">
        <f t="shared" si="20"/>
        <v>148</v>
      </c>
      <c r="G101" s="2">
        <f t="shared" si="12"/>
        <v>3.355280585173491</v>
      </c>
      <c r="H101" s="2">
        <f t="shared" si="13"/>
        <v>3.2052805851734911</v>
      </c>
      <c r="I101" s="2">
        <f t="shared" si="14"/>
        <v>0.99960357738259109</v>
      </c>
      <c r="J101" s="2">
        <f t="shared" si="15"/>
        <v>0.99932534561484754</v>
      </c>
      <c r="K101" s="3">
        <f t="shared" si="16"/>
        <v>3.9642261740887837E-4</v>
      </c>
      <c r="L101" s="3">
        <f t="shared" si="17"/>
        <v>6.7465438515245443E-4</v>
      </c>
      <c r="M101" s="1">
        <f t="shared" si="18"/>
        <v>57.518632902220332</v>
      </c>
      <c r="N101" s="1">
        <f t="shared" si="11"/>
        <v>2.3747058162844614E-3</v>
      </c>
      <c r="O101" s="2">
        <f t="shared" si="19"/>
        <v>-3.9642261740890916E-4</v>
      </c>
    </row>
    <row r="102" spans="6:15">
      <c r="F102">
        <f t="shared" si="20"/>
        <v>149</v>
      </c>
      <c r="G102" s="2">
        <f t="shared" si="12"/>
        <v>3.4001741330491186</v>
      </c>
      <c r="H102" s="2">
        <f t="shared" si="13"/>
        <v>3.2501741330491187</v>
      </c>
      <c r="I102" s="2">
        <f t="shared" si="14"/>
        <v>0.9996632852408972</v>
      </c>
      <c r="J102" s="2">
        <f t="shared" si="15"/>
        <v>0.99942332818197244</v>
      </c>
      <c r="K102" s="3">
        <f t="shared" si="16"/>
        <v>3.3671475910280454E-4</v>
      </c>
      <c r="L102" s="3">
        <f t="shared" si="17"/>
        <v>5.7667181802751168E-4</v>
      </c>
      <c r="M102" s="1">
        <f t="shared" si="18"/>
        <v>58.518267121185559</v>
      </c>
      <c r="N102" s="1">
        <f t="shared" si="11"/>
        <v>2.0089247814937539E-3</v>
      </c>
      <c r="O102" s="2">
        <f t="shared" si="19"/>
        <v>-3.3671475910279636E-4</v>
      </c>
    </row>
    <row r="103" spans="6:15">
      <c r="F103">
        <f t="shared" si="20"/>
        <v>150</v>
      </c>
      <c r="G103" s="2">
        <f t="shared" si="12"/>
        <v>3.4447673873877624</v>
      </c>
      <c r="H103" s="2">
        <f t="shared" si="13"/>
        <v>3.2947673873877625</v>
      </c>
      <c r="I103" s="2">
        <f t="shared" si="14"/>
        <v>0.99971422448911762</v>
      </c>
      <c r="J103" s="2">
        <f t="shared" si="15"/>
        <v>0.99950748409229528</v>
      </c>
      <c r="K103" s="3">
        <f t="shared" si="16"/>
        <v>2.8577551088242897E-4</v>
      </c>
      <c r="L103" s="3">
        <f t="shared" si="17"/>
        <v>4.9251590770472357E-4</v>
      </c>
      <c r="M103" s="1">
        <f t="shared" si="18"/>
        <v>59.517956551998623</v>
      </c>
      <c r="N103" s="1">
        <f t="shared" si="11"/>
        <v>1.6983555945535578E-3</v>
      </c>
      <c r="O103" s="2">
        <f t="shared" si="19"/>
        <v>-2.8577551088238007E-4</v>
      </c>
    </row>
    <row r="104" spans="6:15">
      <c r="F104">
        <f t="shared" si="20"/>
        <v>151</v>
      </c>
      <c r="G104" s="2">
        <f t="shared" si="12"/>
        <v>3.4890643388455533</v>
      </c>
      <c r="H104" s="2">
        <f t="shared" si="13"/>
        <v>3.3390643388455534</v>
      </c>
      <c r="I104" s="2">
        <f t="shared" si="14"/>
        <v>0.99975764276668522</v>
      </c>
      <c r="J104" s="2">
        <f t="shared" si="15"/>
        <v>0.99957969453813889</v>
      </c>
      <c r="K104" s="3">
        <f t="shared" si="16"/>
        <v>2.423572333147498E-4</v>
      </c>
      <c r="L104" s="3">
        <f t="shared" si="17"/>
        <v>4.2030546186113906E-4</v>
      </c>
      <c r="M104" s="1">
        <f t="shared" si="18"/>
        <v>60.517693065063213</v>
      </c>
      <c r="N104" s="1">
        <f t="shared" si="11"/>
        <v>1.4348686591572277E-3</v>
      </c>
      <c r="O104" s="2">
        <f t="shared" si="19"/>
        <v>-2.4235723331478276E-4</v>
      </c>
    </row>
    <row r="105" spans="6:15">
      <c r="F105">
        <f t="shared" si="20"/>
        <v>152</v>
      </c>
      <c r="G105" s="2">
        <f t="shared" si="12"/>
        <v>3.5330688990545673</v>
      </c>
      <c r="H105" s="2">
        <f t="shared" si="13"/>
        <v>3.3830688990545674</v>
      </c>
      <c r="I105" s="2">
        <f t="shared" si="14"/>
        <v>0.99979461729689845</v>
      </c>
      <c r="J105" s="2">
        <f t="shared" si="15"/>
        <v>0.99964159676553555</v>
      </c>
      <c r="K105" s="3">
        <f t="shared" si="16"/>
        <v>2.0538270310155576E-4</v>
      </c>
      <c r="L105" s="3">
        <f t="shared" si="17"/>
        <v>3.5840323446442013E-4</v>
      </c>
      <c r="M105" s="1">
        <f t="shared" si="18"/>
        <v>61.517469691261482</v>
      </c>
      <c r="N105" s="1">
        <f t="shared" si="11"/>
        <v>1.2114948574157777E-3</v>
      </c>
      <c r="O105" s="2">
        <f t="shared" si="19"/>
        <v>-2.0538270310155315E-4</v>
      </c>
    </row>
    <row r="106" spans="6:15">
      <c r="F106">
        <f t="shared" si="20"/>
        <v>153</v>
      </c>
      <c r="G106" s="2">
        <f t="shared" si="12"/>
        <v>3.5767849026956275</v>
      </c>
      <c r="H106" s="2">
        <f t="shared" si="13"/>
        <v>3.4267849026956276</v>
      </c>
      <c r="I106" s="2">
        <f t="shared" si="14"/>
        <v>0.99982607691558933</v>
      </c>
      <c r="J106" s="2">
        <f t="shared" si="15"/>
        <v>0.99969461366491663</v>
      </c>
      <c r="K106" s="3">
        <f t="shared" si="16"/>
        <v>1.7392308441066022E-4</v>
      </c>
      <c r="L106" s="3">
        <f t="shared" si="17"/>
        <v>3.0538633508341121E-4</v>
      </c>
      <c r="M106" s="1">
        <f t="shared" si="18"/>
        <v>62.517280462783233</v>
      </c>
      <c r="N106" s="1">
        <f t="shared" si="11"/>
        <v>1.0222663792027985E-3</v>
      </c>
      <c r="O106" s="2">
        <f t="shared" si="19"/>
        <v>-1.739230844106654E-4</v>
      </c>
    </row>
    <row r="107" spans="6:15">
      <c r="F107">
        <f t="shared" si="20"/>
        <v>154</v>
      </c>
      <c r="G107" s="2">
        <f t="shared" si="12"/>
        <v>3.6202161095035854</v>
      </c>
      <c r="H107" s="2">
        <f t="shared" si="13"/>
        <v>3.4702161095035855</v>
      </c>
      <c r="I107" s="2">
        <f t="shared" si="14"/>
        <v>0.99985282147075272</v>
      </c>
      <c r="J107" s="2">
        <f t="shared" si="15"/>
        <v>0.99973998011933529</v>
      </c>
      <c r="K107" s="3">
        <f t="shared" si="16"/>
        <v>1.4717852924732807E-4</v>
      </c>
      <c r="L107" s="3">
        <f t="shared" si="17"/>
        <v>2.600198806646817E-4</v>
      </c>
      <c r="M107" s="1">
        <f t="shared" si="18"/>
        <v>63.517120274645833</v>
      </c>
      <c r="N107" s="1">
        <f t="shared" si="11"/>
        <v>8.6207824177636505E-4</v>
      </c>
      <c r="O107" s="2">
        <f t="shared" si="19"/>
        <v>-1.471785292472827E-4</v>
      </c>
    </row>
    <row r="108" spans="6:15">
      <c r="F108">
        <f t="shared" si="20"/>
        <v>155</v>
      </c>
      <c r="G108" s="2">
        <f t="shared" si="12"/>
        <v>3.6633662062077019</v>
      </c>
      <c r="H108" s="2">
        <f t="shared" si="13"/>
        <v>3.513366206207702</v>
      </c>
      <c r="I108" s="2">
        <f t="shared" si="14"/>
        <v>0.9998755388685564</v>
      </c>
      <c r="J108" s="2">
        <f t="shared" si="15"/>
        <v>0.99977876640615293</v>
      </c>
      <c r="K108" s="3">
        <f t="shared" si="16"/>
        <v>1.2446113144356423E-4</v>
      </c>
      <c r="L108" s="3">
        <f t="shared" si="17"/>
        <v>2.2123359384707429E-4</v>
      </c>
      <c r="M108" s="1">
        <f t="shared" si="18"/>
        <v>64.516984764414232</v>
      </c>
      <c r="N108" s="1">
        <f t="shared" si="11"/>
        <v>7.2656801018782663E-4</v>
      </c>
      <c r="O108" s="2">
        <f t="shared" si="19"/>
        <v>-1.2446113144359838E-4</v>
      </c>
    </row>
    <row r="109" spans="6:15">
      <c r="F109">
        <f t="shared" si="20"/>
        <v>156</v>
      </c>
      <c r="G109" s="2">
        <f t="shared" si="12"/>
        <v>3.7062388084096383</v>
      </c>
      <c r="H109" s="2">
        <f t="shared" si="13"/>
        <v>3.5562388084096384</v>
      </c>
      <c r="I109" s="2">
        <f t="shared" si="14"/>
        <v>0.9998948200191774</v>
      </c>
      <c r="J109" s="2">
        <f t="shared" si="15"/>
        <v>0.99981189893164824</v>
      </c>
      <c r="K109" s="3">
        <f t="shared" si="16"/>
        <v>1.0517998082259247E-4</v>
      </c>
      <c r="L109" s="3">
        <f t="shared" si="17"/>
        <v>1.8810106835180353E-4</v>
      </c>
      <c r="M109" s="1">
        <f t="shared" si="18"/>
        <v>65.516870207897455</v>
      </c>
      <c r="N109" s="1">
        <f t="shared" si="11"/>
        <v>6.120114934007187E-4</v>
      </c>
      <c r="O109" s="2">
        <f t="shared" si="19"/>
        <v>-1.051799808226006E-4</v>
      </c>
    </row>
    <row r="110" spans="6:15">
      <c r="F110">
        <f t="shared" si="20"/>
        <v>157</v>
      </c>
      <c r="G110" s="2">
        <f t="shared" si="12"/>
        <v>3.7488374624014451</v>
      </c>
      <c r="H110" s="2">
        <f t="shared" si="13"/>
        <v>3.5988374624014452</v>
      </c>
      <c r="I110" s="2">
        <f t="shared" si="14"/>
        <v>0.99991117191435885</v>
      </c>
      <c r="J110" s="2">
        <f t="shared" si="15"/>
        <v>0.99984017856035723</v>
      </c>
      <c r="K110" s="3">
        <f t="shared" si="16"/>
        <v>8.8828085641139617E-5</v>
      </c>
      <c r="L110" s="3">
        <f t="shared" si="17"/>
        <v>1.5982143964282644E-4</v>
      </c>
      <c r="M110" s="1">
        <f t="shared" si="18"/>
        <v>66.516773428837723</v>
      </c>
      <c r="N110" s="1">
        <f t="shared" si="11"/>
        <v>5.1523243366158149E-4</v>
      </c>
      <c r="O110" s="2">
        <f t="shared" si="19"/>
        <v>-8.8828085641146082E-5</v>
      </c>
    </row>
    <row r="111" spans="6:15">
      <c r="F111">
        <f t="shared" si="20"/>
        <v>158</v>
      </c>
      <c r="G111" s="2">
        <f t="shared" si="12"/>
        <v>3.7911656469258368</v>
      </c>
      <c r="H111" s="2">
        <f t="shared" si="13"/>
        <v>3.6411656469258369</v>
      </c>
      <c r="I111" s="2">
        <f t="shared" si="14"/>
        <v>0.9999250290477838</v>
      </c>
      <c r="J111" s="2">
        <f t="shared" si="15"/>
        <v>0.99986429678267619</v>
      </c>
      <c r="K111" s="3">
        <f t="shared" si="16"/>
        <v>7.4970952216182269E-5</v>
      </c>
      <c r="L111" s="3">
        <f t="shared" si="17"/>
        <v>1.3570321732380965E-4</v>
      </c>
      <c r="M111" s="1">
        <f t="shared" si="18"/>
        <v>67.516691720832142</v>
      </c>
      <c r="N111" s="1">
        <f t="shared" si="11"/>
        <v>4.3352442808806263E-4</v>
      </c>
      <c r="O111" s="2">
        <f t="shared" si="19"/>
        <v>-7.4970952216202313E-5</v>
      </c>
    </row>
    <row r="112" spans="6:15">
      <c r="F112">
        <f t="shared" si="20"/>
        <v>159</v>
      </c>
      <c r="G112" s="2">
        <f t="shared" si="12"/>
        <v>3.8332267748809352</v>
      </c>
      <c r="H112" s="2">
        <f t="shared" si="13"/>
        <v>3.6832267748809353</v>
      </c>
      <c r="I112" s="2">
        <f t="shared" si="14"/>
        <v>0.99993676336951698</v>
      </c>
      <c r="J112" s="2">
        <f t="shared" si="15"/>
        <v>0.99988484994583959</v>
      </c>
      <c r="K112" s="3">
        <f t="shared" si="16"/>
        <v>6.3236630482974411E-5</v>
      </c>
      <c r="L112" s="3">
        <f t="shared" si="17"/>
        <v>1.1515005416037759E-4</v>
      </c>
      <c r="M112" s="1">
        <f t="shared" si="18"/>
        <v>68.516622779926564</v>
      </c>
      <c r="N112" s="1">
        <f t="shared" si="11"/>
        <v>3.645835225247647E-4</v>
      </c>
      <c r="O112" s="2">
        <f t="shared" si="19"/>
        <v>-6.3236630483021194E-5</v>
      </c>
    </row>
    <row r="113" spans="6:15">
      <c r="F113">
        <f t="shared" si="20"/>
        <v>160</v>
      </c>
      <c r="G113" s="2">
        <f t="shared" si="12"/>
        <v>3.8750241949715711</v>
      </c>
      <c r="H113" s="2">
        <f t="shared" si="13"/>
        <v>3.7250241949715712</v>
      </c>
      <c r="I113" s="2">
        <f t="shared" si="14"/>
        <v>0.9999466929470453</v>
      </c>
      <c r="J113" s="2">
        <f t="shared" si="15"/>
        <v>0.99990235175517572</v>
      </c>
      <c r="K113" s="3">
        <f t="shared" si="16"/>
        <v>5.3307052954650786E-5</v>
      </c>
      <c r="L113" s="3">
        <f t="shared" si="17"/>
        <v>9.7648244824292862E-5</v>
      </c>
      <c r="M113" s="1">
        <f t="shared" si="18"/>
        <v>69.516564646503554</v>
      </c>
      <c r="N113" s="1">
        <f t="shared" si="11"/>
        <v>3.0645009951151339E-4</v>
      </c>
      <c r="O113" s="2">
        <f t="shared" si="19"/>
        <v>-5.3307052954698619E-5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C1F6-E39C-41C2-A1AD-87F344CE3AE0}">
  <dimension ref="A1:N113"/>
  <sheetViews>
    <sheetView tabSelected="1" zoomScale="70" zoomScaleNormal="70" workbookViewId="0">
      <selection activeCell="R17" sqref="R17"/>
    </sheetView>
  </sheetViews>
  <sheetFormatPr defaultRowHeight="14.4"/>
  <cols>
    <col min="7" max="7" width="9.77734375" customWidth="1"/>
    <col min="11" max="11" width="10.109375" customWidth="1"/>
    <col min="14" max="14" width="13" style="3" bestFit="1" customWidth="1"/>
  </cols>
  <sheetData>
    <row r="1" spans="1:14">
      <c r="A1" t="s">
        <v>0</v>
      </c>
      <c r="B1">
        <v>100</v>
      </c>
      <c r="N1"/>
    </row>
    <row r="2" spans="1:14">
      <c r="A2" t="s">
        <v>1</v>
      </c>
      <c r="B2">
        <v>100</v>
      </c>
      <c r="D2" t="s">
        <v>0</v>
      </c>
      <c r="E2" t="s">
        <v>5</v>
      </c>
      <c r="F2" t="s">
        <v>6</v>
      </c>
      <c r="G2" t="s">
        <v>7</v>
      </c>
      <c r="H2" t="s">
        <v>8</v>
      </c>
      <c r="I2" t="s">
        <v>11</v>
      </c>
      <c r="J2" t="s">
        <v>12</v>
      </c>
      <c r="K2" t="s">
        <v>9</v>
      </c>
      <c r="L2" t="s">
        <v>10</v>
      </c>
      <c r="M2" t="s">
        <v>14</v>
      </c>
      <c r="N2" t="s">
        <v>15</v>
      </c>
    </row>
    <row r="3" spans="1:14">
      <c r="A3" t="s">
        <v>2</v>
      </c>
      <c r="B3">
        <v>0.1</v>
      </c>
      <c r="D3">
        <v>50</v>
      </c>
      <c r="E3" s="2">
        <f>(LN(D3/$B$2)+($B$3+($B$4^2)/2)*$B$5)/($B$4*SQRT($B$5))</f>
        <v>-3.8793145370663025</v>
      </c>
      <c r="F3" s="2">
        <f>E3-$B$4*SQRT($B$5)</f>
        <v>-4.0293145370663028</v>
      </c>
      <c r="G3" s="2">
        <f>_xlfn.NORM.S.DIST(E3,TRUE)</f>
        <v>5.2375616366471045E-5</v>
      </c>
      <c r="H3" s="2">
        <f>_xlfn.NORM.S.DIST(F3,TRUE)</f>
        <v>2.7969864491401959E-5</v>
      </c>
      <c r="I3" s="3">
        <f>_xlfn.NORM.S.DIST(-E3,TRUE)</f>
        <v>0.99994762438363349</v>
      </c>
      <c r="J3" s="3">
        <f t="shared" ref="J3:J66" si="0">_xlfn.NORM.S.DIST(-F3,TRUE)</f>
        <v>0.99997203013550862</v>
      </c>
      <c r="K3" s="1">
        <f>D3*G3-$B$2*EXP(-$B$3*$B$5)*H3</f>
        <v>8.7962821401971203E-5</v>
      </c>
      <c r="L3" s="1">
        <f t="shared" ref="L3:L66" si="1">EXP(-$B$3*$B$5)*$B$2*J3-D3*I3</f>
        <v>40.483829766417358</v>
      </c>
      <c r="M3" s="2">
        <f>+G3-1</f>
        <v>-0.99994762438363349</v>
      </c>
      <c r="N3" s="3">
        <f>_xlfn.NORM.S.DIST(E3,FALSE)/(D3*$B$4*SQRT($B$5))</f>
        <v>2.8706637433026914E-5</v>
      </c>
    </row>
    <row r="4" spans="1:14">
      <c r="A4" t="s">
        <v>3</v>
      </c>
      <c r="B4">
        <v>0.15</v>
      </c>
      <c r="D4">
        <f>+D3+1</f>
        <v>51</v>
      </c>
      <c r="E4" s="2">
        <f t="shared" ref="E4:E67" si="2">(LN(D4/$B$2)+($B$3+($B$4^2)/2)*$B$5)/($B$4*SQRT($B$5))</f>
        <v>-3.7472970217584378</v>
      </c>
      <c r="F4" s="2">
        <f t="shared" ref="F4:F67" si="3">E4-$B$4*SQRT($B$5)</f>
        <v>-3.8972970217584377</v>
      </c>
      <c r="G4" s="2">
        <f t="shared" ref="G4:H67" si="4">_xlfn.NORM.S.DIST(E4,TRUE)</f>
        <v>8.9375189030725742E-5</v>
      </c>
      <c r="H4" s="2">
        <f t="shared" si="4"/>
        <v>4.8636144966902123E-5</v>
      </c>
      <c r="I4" s="3">
        <f t="shared" ref="I4:J67" si="5">_xlfn.NORM.S.DIST(-E4,TRUE)</f>
        <v>0.99991062481096926</v>
      </c>
      <c r="J4" s="3">
        <f t="shared" si="0"/>
        <v>0.99995136385503314</v>
      </c>
      <c r="K4" s="1">
        <f t="shared" ref="K4:K67" si="6">D4*G4-$B$2*EXP(-$B$3*$B$5)*H4</f>
        <v>1.5735425705957866E-4</v>
      </c>
      <c r="L4" s="1">
        <f t="shared" si="1"/>
        <v>39.48389915785301</v>
      </c>
      <c r="M4" s="2">
        <f t="shared" ref="M4:M67" si="7">+G4-1</f>
        <v>-0.99991062481096926</v>
      </c>
      <c r="N4" s="3">
        <f t="shared" ref="N4:N67" si="8">_xlfn.NORM.S.DIST(E4,FALSE)/(D4*$B$4*SQRT($B$5))</f>
        <v>4.6560330058405128E-5</v>
      </c>
    </row>
    <row r="5" spans="1:14">
      <c r="A5" t="s">
        <v>4</v>
      </c>
      <c r="B5">
        <v>1</v>
      </c>
      <c r="D5">
        <f t="shared" ref="D5:D68" si="9">+D4+1</f>
        <v>52</v>
      </c>
      <c r="E5" s="2">
        <f t="shared" si="2"/>
        <v>-3.6178431160444267</v>
      </c>
      <c r="F5" s="2">
        <f t="shared" si="3"/>
        <v>-3.7678431160444266</v>
      </c>
      <c r="G5" s="2">
        <f t="shared" si="4"/>
        <v>1.4853418343912183E-4</v>
      </c>
      <c r="H5" s="2">
        <f t="shared" si="4"/>
        <v>8.2332064185541997E-5</v>
      </c>
      <c r="I5" s="3">
        <f t="shared" si="5"/>
        <v>0.99985146581656092</v>
      </c>
      <c r="J5" s="3">
        <f t="shared" si="0"/>
        <v>0.99991766793581449</v>
      </c>
      <c r="K5" s="1">
        <f t="shared" si="6"/>
        <v>2.7406430091266379E-4</v>
      </c>
      <c r="L5" s="1">
        <f t="shared" si="1"/>
        <v>38.484015867896858</v>
      </c>
      <c r="M5" s="2">
        <f t="shared" si="7"/>
        <v>-0.99985146581656092</v>
      </c>
      <c r="N5" s="3">
        <f t="shared" si="8"/>
        <v>7.3556504892354784E-5</v>
      </c>
    </row>
    <row r="6" spans="1:14">
      <c r="D6">
        <f t="shared" si="9"/>
        <v>53</v>
      </c>
      <c r="E6" s="2">
        <f t="shared" si="2"/>
        <v>-3.4908551495731306</v>
      </c>
      <c r="F6" s="2">
        <f t="shared" si="3"/>
        <v>-3.6408551495731305</v>
      </c>
      <c r="G6" s="2">
        <f t="shared" si="4"/>
        <v>2.407386080785543E-4</v>
      </c>
      <c r="H6" s="2">
        <f t="shared" si="4"/>
        <v>1.3586699564450386E-4</v>
      </c>
      <c r="I6" s="3">
        <f t="shared" si="5"/>
        <v>0.99975926139192139</v>
      </c>
      <c r="J6" s="3">
        <f t="shared" si="0"/>
        <v>0.9998641330043555</v>
      </c>
      <c r="K6" s="1">
        <f t="shared" si="6"/>
        <v>4.6539207463579604E-4</v>
      </c>
      <c r="L6" s="1">
        <f t="shared" si="1"/>
        <v>37.484207195670578</v>
      </c>
      <c r="M6" s="2">
        <f t="shared" si="7"/>
        <v>-0.99975926139192139</v>
      </c>
      <c r="N6" s="3">
        <f t="shared" si="8"/>
        <v>1.1333695206784461E-4</v>
      </c>
    </row>
    <row r="7" spans="1:14">
      <c r="A7" t="s">
        <v>5</v>
      </c>
      <c r="B7">
        <f>(LN(B1/B2)+(B3+(B4^2)/2)*B5)/B4*SQRT(B5)</f>
        <v>0.7416666666666667</v>
      </c>
      <c r="D7">
        <f t="shared" si="9"/>
        <v>54</v>
      </c>
      <c r="E7" s="2">
        <f t="shared" si="2"/>
        <v>-3.3662409294921134</v>
      </c>
      <c r="F7" s="2">
        <f t="shared" si="3"/>
        <v>-3.5162409294921133</v>
      </c>
      <c r="G7" s="2">
        <f t="shared" si="4"/>
        <v>3.8100061007698182E-4</v>
      </c>
      <c r="H7" s="2">
        <f t="shared" si="4"/>
        <v>2.1885179739267765E-4</v>
      </c>
      <c r="I7" s="3">
        <f t="shared" si="5"/>
        <v>0.99961899938992305</v>
      </c>
      <c r="J7" s="3">
        <f t="shared" si="0"/>
        <v>0.99978114820260733</v>
      </c>
      <c r="K7" s="1">
        <f t="shared" si="6"/>
        <v>7.7150341562508273E-4</v>
      </c>
      <c r="L7" s="1">
        <f t="shared" si="1"/>
        <v>36.484513307011568</v>
      </c>
      <c r="M7" s="2">
        <f t="shared" si="7"/>
        <v>-0.99961899938992305</v>
      </c>
      <c r="N7" s="3">
        <f t="shared" si="8"/>
        <v>1.7053131838317098E-4</v>
      </c>
    </row>
    <row r="8" spans="1:14">
      <c r="A8" t="s">
        <v>6</v>
      </c>
      <c r="B8">
        <f>B7-B4*SQRT(B5)</f>
        <v>0.59166666666666667</v>
      </c>
      <c r="D8">
        <f t="shared" si="9"/>
        <v>55</v>
      </c>
      <c r="E8" s="2">
        <f t="shared" si="2"/>
        <v>-3.2439133383708025</v>
      </c>
      <c r="F8" s="2">
        <f t="shared" si="3"/>
        <v>-3.3939133383708024</v>
      </c>
      <c r="G8" s="2">
        <f t="shared" si="4"/>
        <v>5.8949805637580706E-4</v>
      </c>
      <c r="H8" s="2">
        <f t="shared" si="4"/>
        <v>3.4450746388021947E-4</v>
      </c>
      <c r="I8" s="3">
        <f t="shared" si="5"/>
        <v>0.99941050194362424</v>
      </c>
      <c r="J8" s="3">
        <f t="shared" si="0"/>
        <v>0.99965549253611974</v>
      </c>
      <c r="K8" s="1">
        <f t="shared" si="6"/>
        <v>1.250068689519955E-3</v>
      </c>
      <c r="L8" s="1">
        <f t="shared" si="1"/>
        <v>35.484991872285455</v>
      </c>
      <c r="M8" s="2">
        <f t="shared" si="7"/>
        <v>-0.99941050194362424</v>
      </c>
      <c r="N8" s="3">
        <f t="shared" si="8"/>
        <v>2.5085421432863205E-4</v>
      </c>
    </row>
    <row r="9" spans="1:14">
      <c r="D9">
        <f t="shared" si="9"/>
        <v>56</v>
      </c>
      <c r="E9" s="2">
        <f t="shared" si="2"/>
        <v>-3.1237899683529471</v>
      </c>
      <c r="F9" s="2">
        <f t="shared" si="3"/>
        <v>-3.273789968352947</v>
      </c>
      <c r="G9" s="2">
        <f t="shared" si="4"/>
        <v>8.9268924905408118E-4</v>
      </c>
      <c r="H9" s="2">
        <f t="shared" si="4"/>
        <v>5.3057726539250101E-4</v>
      </c>
      <c r="I9" s="3">
        <f t="shared" si="5"/>
        <v>0.99910731075094594</v>
      </c>
      <c r="J9" s="3">
        <f t="shared" si="0"/>
        <v>0.99946942273460748</v>
      </c>
      <c r="K9" s="1">
        <f t="shared" si="6"/>
        <v>1.9819816583954777E-3</v>
      </c>
      <c r="L9" s="1">
        <f t="shared" si="1"/>
        <v>34.485723785254336</v>
      </c>
      <c r="M9" s="2">
        <f t="shared" si="7"/>
        <v>-0.99910731075094594</v>
      </c>
      <c r="N9" s="3">
        <f t="shared" si="8"/>
        <v>3.6115543578981401E-4</v>
      </c>
    </row>
    <row r="10" spans="1:14">
      <c r="A10" t="s">
        <v>7</v>
      </c>
      <c r="B10">
        <f>_xlfn.NORM.S.DIST(B7,TRUE)</f>
        <v>0.77085533971897768</v>
      </c>
      <c r="D10">
        <f t="shared" si="9"/>
        <v>57</v>
      </c>
      <c r="E10" s="2">
        <f t="shared" si="2"/>
        <v>-3.0057927876902752</v>
      </c>
      <c r="F10" s="2">
        <f t="shared" si="3"/>
        <v>-3.1557927876902752</v>
      </c>
      <c r="G10" s="2">
        <f t="shared" si="4"/>
        <v>1.3244472050385756E-3</v>
      </c>
      <c r="H10" s="2">
        <f t="shared" si="4"/>
        <v>8.0031264243077662E-4</v>
      </c>
      <c r="I10" s="3">
        <f t="shared" si="5"/>
        <v>0.99867555279496145</v>
      </c>
      <c r="J10" s="3">
        <f t="shared" si="0"/>
        <v>0.99919968735756926</v>
      </c>
      <c r="K10" s="1">
        <f t="shared" si="6"/>
        <v>3.0782081873388101E-3</v>
      </c>
      <c r="L10" s="1">
        <f t="shared" si="1"/>
        <v>33.48682001178328</v>
      </c>
      <c r="M10" s="2">
        <f t="shared" si="7"/>
        <v>-0.99867555279496145</v>
      </c>
      <c r="N10" s="3">
        <f t="shared" si="8"/>
        <v>5.0940613219417987E-4</v>
      </c>
    </row>
    <row r="11" spans="1:14">
      <c r="A11" t="s">
        <v>8</v>
      </c>
      <c r="B11">
        <f>_xlfn.NORM.S.DIST(B8,TRUE)</f>
        <v>0.72296308905530626</v>
      </c>
      <c r="D11">
        <f t="shared" si="9"/>
        <v>58</v>
      </c>
      <c r="E11" s="2">
        <f t="shared" si="2"/>
        <v>-2.8898478362778142</v>
      </c>
      <c r="F11" s="2">
        <f t="shared" si="3"/>
        <v>-3.0398478362778141</v>
      </c>
      <c r="G11" s="2">
        <f t="shared" si="4"/>
        <v>1.9271417016951285E-3</v>
      </c>
      <c r="H11" s="2">
        <f t="shared" si="4"/>
        <v>1.1834885125281095E-3</v>
      </c>
      <c r="I11" s="3">
        <f t="shared" si="5"/>
        <v>0.99807285829830483</v>
      </c>
      <c r="J11" s="3">
        <f t="shared" si="0"/>
        <v>0.99881651148747186</v>
      </c>
      <c r="K11" s="1">
        <f t="shared" si="6"/>
        <v>4.6877497032021681E-3</v>
      </c>
      <c r="L11" s="1">
        <f t="shared" si="1"/>
        <v>32.488429553299149</v>
      </c>
      <c r="M11" s="2">
        <f t="shared" si="7"/>
        <v>-0.99807285829830483</v>
      </c>
      <c r="N11" s="3">
        <f t="shared" si="8"/>
        <v>7.0460597134975537E-4</v>
      </c>
    </row>
    <row r="12" spans="1:14">
      <c r="D12">
        <f t="shared" si="9"/>
        <v>59</v>
      </c>
      <c r="E12" s="2">
        <f t="shared" si="2"/>
        <v>-2.7758849472158134</v>
      </c>
      <c r="F12" s="2">
        <f t="shared" si="3"/>
        <v>-2.9258849472158133</v>
      </c>
      <c r="G12" s="2">
        <f t="shared" si="4"/>
        <v>2.7525842946605197E-3</v>
      </c>
      <c r="H12" s="2">
        <f t="shared" si="4"/>
        <v>1.7173896947404979E-3</v>
      </c>
      <c r="I12" s="3">
        <f t="shared" si="5"/>
        <v>0.99724741570533948</v>
      </c>
      <c r="J12" s="3">
        <f t="shared" si="0"/>
        <v>0.99828261030525955</v>
      </c>
      <c r="K12" s="1">
        <f t="shared" si="6"/>
        <v>7.0066276699149721E-3</v>
      </c>
      <c r="L12" s="1">
        <f t="shared" si="1"/>
        <v>31.490748431265871</v>
      </c>
      <c r="M12" s="2">
        <f t="shared" si="7"/>
        <v>-0.99724741570533948</v>
      </c>
      <c r="N12" s="3">
        <f t="shared" si="8"/>
        <v>9.5660058773894871E-4</v>
      </c>
    </row>
    <row r="13" spans="1:14">
      <c r="A13" t="s">
        <v>11</v>
      </c>
      <c r="B13">
        <f>_xlfn.NORM.S.DIST(-B7,TRUE)</f>
        <v>0.22914466028102232</v>
      </c>
      <c r="D13">
        <f t="shared" si="9"/>
        <v>60</v>
      </c>
      <c r="E13" s="2">
        <f t="shared" si="2"/>
        <v>-2.6638374917732714</v>
      </c>
      <c r="F13" s="2">
        <f t="shared" si="3"/>
        <v>-2.8138374917732714</v>
      </c>
      <c r="G13" s="2">
        <f t="shared" si="4"/>
        <v>3.8627436897791349E-3</v>
      </c>
      <c r="H13" s="2">
        <f t="shared" si="4"/>
        <v>2.4476984576224979E-3</v>
      </c>
      <c r="I13" s="3">
        <f t="shared" si="5"/>
        <v>0.99613725631022088</v>
      </c>
      <c r="J13" s="3">
        <f t="shared" si="0"/>
        <v>0.99755230154237751</v>
      </c>
      <c r="K13" s="1">
        <f t="shared" si="6"/>
        <v>1.028770613417393E-2</v>
      </c>
      <c r="L13" s="1">
        <f t="shared" si="1"/>
        <v>30.494029509730112</v>
      </c>
      <c r="M13" s="2">
        <f t="shared" si="7"/>
        <v>-0.99613725631022088</v>
      </c>
      <c r="N13" s="3">
        <f t="shared" si="8"/>
        <v>1.2758046494409478E-3</v>
      </c>
    </row>
    <row r="14" spans="1:14">
      <c r="A14" t="s">
        <v>12</v>
      </c>
      <c r="B14">
        <f>_xlfn.NORM.S.DIST(-B8,TRUE)</f>
        <v>0.27703691094469374</v>
      </c>
      <c r="D14">
        <f t="shared" si="9"/>
        <v>61</v>
      </c>
      <c r="E14" s="2">
        <f t="shared" si="2"/>
        <v>-2.5536421454318674</v>
      </c>
      <c r="F14" s="2">
        <f t="shared" si="3"/>
        <v>-2.7036421454318673</v>
      </c>
      <c r="G14" s="2">
        <f t="shared" si="4"/>
        <v>5.3301377987360551E-3</v>
      </c>
      <c r="H14" s="2">
        <f t="shared" si="4"/>
        <v>3.4292053346219927E-3</v>
      </c>
      <c r="I14" s="3">
        <f t="shared" si="5"/>
        <v>0.99466986220126397</v>
      </c>
      <c r="J14" s="3">
        <f t="shared" si="0"/>
        <v>0.99657079466537801</v>
      </c>
      <c r="K14" s="1">
        <f t="shared" si="6"/>
        <v>1.4851075633449118E-2</v>
      </c>
      <c r="L14" s="1">
        <f t="shared" si="1"/>
        <v>29.498592879229392</v>
      </c>
      <c r="M14" s="2">
        <f t="shared" si="7"/>
        <v>-0.99466986220126397</v>
      </c>
      <c r="N14" s="3">
        <f t="shared" si="8"/>
        <v>1.6728332788382635E-3</v>
      </c>
    </row>
    <row r="15" spans="1:14">
      <c r="D15">
        <f t="shared" si="9"/>
        <v>62</v>
      </c>
      <c r="E15" s="2">
        <f t="shared" si="2"/>
        <v>-2.445238672953332</v>
      </c>
      <c r="F15" s="2">
        <f t="shared" si="3"/>
        <v>-2.5952386729533319</v>
      </c>
      <c r="G15" s="2">
        <f t="shared" si="4"/>
        <v>7.2378155595925224E-3</v>
      </c>
      <c r="H15" s="2">
        <f t="shared" si="4"/>
        <v>4.726262700696285E-3</v>
      </c>
      <c r="I15" s="3">
        <f t="shared" si="5"/>
        <v>0.99276218444040742</v>
      </c>
      <c r="J15" s="3">
        <f t="shared" si="0"/>
        <v>0.99527373729930368</v>
      </c>
      <c r="K15" s="1">
        <f t="shared" si="6"/>
        <v>2.1094630788967672E-2</v>
      </c>
      <c r="L15" s="1">
        <f t="shared" si="1"/>
        <v>28.50483643438492</v>
      </c>
      <c r="M15" s="2">
        <f t="shared" si="7"/>
        <v>-0.99276218444040742</v>
      </c>
      <c r="N15" s="3">
        <f t="shared" si="8"/>
        <v>2.1580526448989686E-3</v>
      </c>
    </row>
    <row r="16" spans="1:14">
      <c r="A16" t="s">
        <v>9</v>
      </c>
      <c r="B16" s="1">
        <f>B1*B10-B2*EXP(-B3*B5)*B11</f>
        <v>11.669128488287299</v>
      </c>
      <c r="D16">
        <f t="shared" si="9"/>
        <v>63</v>
      </c>
      <c r="E16" s="2">
        <f t="shared" si="2"/>
        <v>-2.3385697306437243</v>
      </c>
      <c r="F16" s="2">
        <f t="shared" si="3"/>
        <v>-2.4885697306437242</v>
      </c>
      <c r="G16" s="2">
        <f t="shared" si="4"/>
        <v>9.6788564487899284E-3</v>
      </c>
      <c r="H16" s="2">
        <f t="shared" si="4"/>
        <v>6.4129041412550117E-3</v>
      </c>
      <c r="I16" s="3">
        <f t="shared" si="5"/>
        <v>0.99032114355121004</v>
      </c>
      <c r="J16" s="3">
        <f t="shared" si="0"/>
        <v>0.99358709585874494</v>
      </c>
      <c r="K16" s="1">
        <f t="shared" si="6"/>
        <v>2.9504393745235835E-2</v>
      </c>
      <c r="L16" s="1">
        <f t="shared" si="1"/>
        <v>27.513246197341189</v>
      </c>
      <c r="M16" s="2">
        <f t="shared" si="7"/>
        <v>-0.99032114355121004</v>
      </c>
      <c r="N16" s="3">
        <f t="shared" si="8"/>
        <v>2.7410685105329923E-3</v>
      </c>
    </row>
    <row r="17" spans="1:14">
      <c r="A17" t="s">
        <v>10</v>
      </c>
      <c r="B17" s="1">
        <f>EXP(-B3*B5)*B2*B14-B1*B13</f>
        <v>2.1528702918832394</v>
      </c>
      <c r="D17">
        <f t="shared" si="9"/>
        <v>64</v>
      </c>
      <c r="E17" s="2">
        <f t="shared" si="2"/>
        <v>-2.2335806841894632</v>
      </c>
      <c r="F17" s="2">
        <f t="shared" si="3"/>
        <v>-2.3835806841894631</v>
      </c>
      <c r="G17" s="2">
        <f t="shared" si="4"/>
        <v>1.2755338015691918E-2</v>
      </c>
      <c r="H17" s="2">
        <f t="shared" si="4"/>
        <v>8.5725627983784976E-3</v>
      </c>
      <c r="I17" s="3">
        <f t="shared" si="5"/>
        <v>0.98724466198430805</v>
      </c>
      <c r="J17" s="3">
        <f t="shared" si="0"/>
        <v>0.99142743720162152</v>
      </c>
      <c r="K17" s="1">
        <f t="shared" si="6"/>
        <v>4.0664074160690844E-2</v>
      </c>
      <c r="L17" s="1">
        <f t="shared" si="1"/>
        <v>26.524405877756635</v>
      </c>
      <c r="M17" s="2">
        <f t="shared" si="7"/>
        <v>-0.98724466198430805</v>
      </c>
      <c r="N17" s="3">
        <f t="shared" si="8"/>
        <v>3.4301785352328722E-3</v>
      </c>
    </row>
    <row r="18" spans="1:14">
      <c r="D18">
        <f t="shared" si="9"/>
        <v>65</v>
      </c>
      <c r="E18" s="2">
        <f t="shared" si="2"/>
        <v>-2.1302194406163615</v>
      </c>
      <c r="F18" s="2">
        <f t="shared" si="3"/>
        <v>-2.2802194406163614</v>
      </c>
      <c r="G18" s="2">
        <f t="shared" si="4"/>
        <v>1.657675039473596E-2</v>
      </c>
      <c r="H18" s="2">
        <f t="shared" si="4"/>
        <v>1.1297338445867954E-2</v>
      </c>
      <c r="I18" s="3">
        <f t="shared" si="5"/>
        <v>0.98342324960526406</v>
      </c>
      <c r="J18" s="3">
        <f t="shared" si="0"/>
        <v>0.988702661554132</v>
      </c>
      <c r="K18" s="1">
        <f t="shared" si="6"/>
        <v>5.526332065408357E-2</v>
      </c>
      <c r="L18" s="1">
        <f t="shared" si="1"/>
        <v>25.539005124250018</v>
      </c>
      <c r="M18" s="2">
        <f t="shared" si="7"/>
        <v>-0.98342324960526406</v>
      </c>
      <c r="N18" s="3">
        <f t="shared" si="8"/>
        <v>4.2318194397392766E-3</v>
      </c>
    </row>
    <row r="19" spans="1:14">
      <c r="A19" t="s">
        <v>13</v>
      </c>
      <c r="B19" s="2">
        <f>B10</f>
        <v>0.77085533971897768</v>
      </c>
      <c r="D19">
        <f t="shared" si="9"/>
        <v>66</v>
      </c>
      <c r="E19" s="2">
        <f t="shared" si="2"/>
        <v>-2.028436293077772</v>
      </c>
      <c r="F19" s="2">
        <f t="shared" si="3"/>
        <v>-2.1784362930777719</v>
      </c>
      <c r="G19" s="2">
        <f t="shared" si="4"/>
        <v>2.1257869568017933E-2</v>
      </c>
      <c r="H19" s="2">
        <f t="shared" si="4"/>
        <v>1.4686785175717386E-2</v>
      </c>
      <c r="I19" s="3">
        <f t="shared" si="5"/>
        <v>0.9787421304319821</v>
      </c>
      <c r="J19" s="3">
        <f t="shared" si="0"/>
        <v>0.98531321482428258</v>
      </c>
      <c r="K19" s="1">
        <f t="shared" si="6"/>
        <v>7.4104113724690945E-2</v>
      </c>
      <c r="L19" s="1">
        <f t="shared" si="1"/>
        <v>24.557845917320634</v>
      </c>
      <c r="M19" s="2">
        <f t="shared" si="7"/>
        <v>-0.9787421304319821</v>
      </c>
      <c r="N19" s="3">
        <f t="shared" si="8"/>
        <v>5.1500431387628779E-3</v>
      </c>
    </row>
    <row r="20" spans="1:14">
      <c r="A20" t="s">
        <v>14</v>
      </c>
      <c r="B20" s="2">
        <f>+B19-1</f>
        <v>-0.22914466028102232</v>
      </c>
      <c r="D20">
        <f t="shared" si="9"/>
        <v>67</v>
      </c>
      <c r="E20" s="2">
        <f t="shared" si="2"/>
        <v>-1.9281837773141683</v>
      </c>
      <c r="F20" s="2">
        <f t="shared" si="3"/>
        <v>-2.0781837773141683</v>
      </c>
      <c r="G20" s="2">
        <f t="shared" si="4"/>
        <v>2.6916135652385251E-2</v>
      </c>
      <c r="H20" s="2">
        <f t="shared" si="4"/>
        <v>1.884621784597431E-2</v>
      </c>
      <c r="I20" s="3">
        <f t="shared" si="5"/>
        <v>0.97308386434761474</v>
      </c>
      <c r="J20" s="3">
        <f t="shared" si="0"/>
        <v>0.98115378215402571</v>
      </c>
      <c r="K20" s="1">
        <f t="shared" si="6"/>
        <v>9.8104779160350208E-2</v>
      </c>
      <c r="L20" s="1">
        <f t="shared" si="1"/>
        <v>23.581846582756299</v>
      </c>
      <c r="M20" s="2">
        <f t="shared" si="7"/>
        <v>-0.97308386434761474</v>
      </c>
      <c r="N20" s="3">
        <f t="shared" si="8"/>
        <v>6.1860562771480941E-3</v>
      </c>
    </row>
    <row r="21" spans="1:14">
      <c r="D21">
        <f t="shared" si="9"/>
        <v>68</v>
      </c>
      <c r="E21" s="2">
        <f t="shared" si="2"/>
        <v>-1.8294165387465642</v>
      </c>
      <c r="F21" s="2">
        <f t="shared" si="3"/>
        <v>-1.9794165387465641</v>
      </c>
      <c r="G21" s="2">
        <f t="shared" si="4"/>
        <v>3.366861593161407E-2</v>
      </c>
      <c r="H21" s="2">
        <f t="shared" si="4"/>
        <v>2.3884563968335649E-2</v>
      </c>
      <c r="I21" s="3">
        <f t="shared" si="5"/>
        <v>0.96633138406838592</v>
      </c>
      <c r="J21" s="3">
        <f t="shared" si="0"/>
        <v>0.9761154360316644</v>
      </c>
      <c r="K21" s="1">
        <f t="shared" si="6"/>
        <v>0.12830116414740278</v>
      </c>
      <c r="L21" s="1">
        <f t="shared" si="1"/>
        <v>22.612042967743363</v>
      </c>
      <c r="M21" s="2">
        <f t="shared" si="7"/>
        <v>-0.96633138406838592</v>
      </c>
      <c r="N21" s="3">
        <f t="shared" si="8"/>
        <v>7.3378551745109525E-3</v>
      </c>
    </row>
    <row r="22" spans="1:14">
      <c r="A22" t="s">
        <v>15</v>
      </c>
      <c r="B22">
        <f>_xlfn.NORM.S.DIST(B7,FALSE)/(B1*B4*SQRT(B5))</f>
        <v>2.0200994228993439E-2</v>
      </c>
      <c r="D22">
        <f t="shared" si="9"/>
        <v>69</v>
      </c>
      <c r="E22" s="2">
        <f t="shared" si="2"/>
        <v>-1.7320912092722138</v>
      </c>
      <c r="F22" s="2">
        <f t="shared" si="3"/>
        <v>-1.8820912092722137</v>
      </c>
      <c r="G22" s="2">
        <f t="shared" si="4"/>
        <v>4.1628662057364436E-2</v>
      </c>
      <c r="H22" s="2">
        <f t="shared" si="4"/>
        <v>2.9911816363061054E-2</v>
      </c>
      <c r="I22" s="3">
        <f t="shared" si="5"/>
        <v>0.95837133794263552</v>
      </c>
      <c r="J22" s="3">
        <f t="shared" si="0"/>
        <v>0.97008818363693894</v>
      </c>
      <c r="K22" s="1">
        <f t="shared" si="6"/>
        <v>0.16584461328635314</v>
      </c>
      <c r="L22" s="1">
        <f t="shared" si="1"/>
        <v>21.649586416882315</v>
      </c>
      <c r="M22" s="2">
        <f t="shared" si="7"/>
        <v>-0.95837133794263552</v>
      </c>
      <c r="N22" s="3">
        <f t="shared" si="8"/>
        <v>8.599983180029672E-3</v>
      </c>
    </row>
    <row r="23" spans="1:14">
      <c r="D23">
        <f t="shared" si="9"/>
        <v>70</v>
      </c>
      <c r="E23" s="2">
        <f t="shared" si="2"/>
        <v>-1.636166292924883</v>
      </c>
      <c r="F23" s="2">
        <f t="shared" si="3"/>
        <v>-1.7861662929248829</v>
      </c>
      <c r="G23" s="2">
        <f t="shared" si="4"/>
        <v>5.0902394427572564E-2</v>
      </c>
      <c r="H23" s="2">
        <f t="shared" si="4"/>
        <v>3.7036168482895558E-2</v>
      </c>
      <c r="I23" s="3">
        <f t="shared" si="5"/>
        <v>0.94909760557242739</v>
      </c>
      <c r="J23" s="3">
        <f t="shared" si="0"/>
        <v>0.96296383151710441</v>
      </c>
      <c r="K23" s="1">
        <f t="shared" si="6"/>
        <v>0.21199650352927968</v>
      </c>
      <c r="L23" s="1">
        <f t="shared" si="1"/>
        <v>20.695738307125225</v>
      </c>
      <c r="M23" s="2">
        <f t="shared" si="7"/>
        <v>-0.94909760557242739</v>
      </c>
      <c r="N23" s="3">
        <f t="shared" si="8"/>
        <v>9.9634302963122808E-3</v>
      </c>
    </row>
    <row r="24" spans="1:14">
      <c r="D24">
        <f t="shared" si="9"/>
        <v>71</v>
      </c>
      <c r="E24" s="2">
        <f t="shared" si="2"/>
        <v>-1.5416020596451734</v>
      </c>
      <c r="F24" s="2">
        <f t="shared" si="3"/>
        <v>-1.6916020596451733</v>
      </c>
      <c r="G24" s="2">
        <f t="shared" si="4"/>
        <v>6.1585162377409491E-2</v>
      </c>
      <c r="H24" s="2">
        <f t="shared" si="4"/>
        <v>4.536093676481201E-2</v>
      </c>
      <c r="I24" s="3">
        <f t="shared" si="5"/>
        <v>0.93841483762259048</v>
      </c>
      <c r="J24" s="3">
        <f t="shared" si="0"/>
        <v>0.95463906323518799</v>
      </c>
      <c r="K24" s="1">
        <f t="shared" si="6"/>
        <v>0.26811923859958142</v>
      </c>
      <c r="L24" s="1">
        <f t="shared" si="1"/>
        <v>19.751861042195529</v>
      </c>
      <c r="M24" s="2">
        <f t="shared" si="7"/>
        <v>-0.93841483762259048</v>
      </c>
      <c r="N24" s="3">
        <f t="shared" si="8"/>
        <v>1.1415686273182304E-2</v>
      </c>
    </row>
    <row r="25" spans="1:14">
      <c r="D25">
        <f t="shared" si="9"/>
        <v>72</v>
      </c>
      <c r="E25" s="2">
        <f t="shared" si="2"/>
        <v>-1.4483604464802406</v>
      </c>
      <c r="F25" s="2">
        <f t="shared" si="3"/>
        <v>-1.5983604464802406</v>
      </c>
      <c r="G25" s="2">
        <f t="shared" si="4"/>
        <v>7.3758135334498778E-2</v>
      </c>
      <c r="H25" s="2">
        <f t="shared" si="4"/>
        <v>5.4981391007761324E-2</v>
      </c>
      <c r="I25" s="3">
        <f t="shared" si="5"/>
        <v>0.92624186466550118</v>
      </c>
      <c r="J25" s="3">
        <f t="shared" si="0"/>
        <v>0.94501860899223866</v>
      </c>
      <c r="K25" s="1">
        <f t="shared" si="6"/>
        <v>0.33566375613508459</v>
      </c>
      <c r="L25" s="1">
        <f t="shared" si="1"/>
        <v>18.819405559731024</v>
      </c>
      <c r="M25" s="2">
        <f t="shared" si="7"/>
        <v>-0.92624186466550118</v>
      </c>
      <c r="N25" s="3">
        <f t="shared" si="8"/>
        <v>1.2940948939360436E-2</v>
      </c>
    </row>
    <row r="26" spans="1:14">
      <c r="D26">
        <f t="shared" si="9"/>
        <v>73</v>
      </c>
      <c r="E26" s="2">
        <f t="shared" si="2"/>
        <v>-1.3564049655980015</v>
      </c>
      <c r="F26" s="2">
        <f t="shared" si="3"/>
        <v>-1.5064049655980014</v>
      </c>
      <c r="G26" s="2">
        <f t="shared" si="4"/>
        <v>8.7485177110372625E-2</v>
      </c>
      <c r="H26" s="2">
        <f t="shared" si="4"/>
        <v>6.5981623381267673E-2</v>
      </c>
      <c r="I26" s="3">
        <f t="shared" si="5"/>
        <v>0.91251482288962737</v>
      </c>
      <c r="J26" s="3">
        <f t="shared" si="0"/>
        <v>0.93401837661873233</v>
      </c>
      <c r="K26" s="1">
        <f t="shared" si="6"/>
        <v>0.41615375524446829</v>
      </c>
      <c r="L26" s="1">
        <f t="shared" si="1"/>
        <v>17.899895558840413</v>
      </c>
      <c r="M26" s="2">
        <f t="shared" si="7"/>
        <v>-0.91251482288962737</v>
      </c>
      <c r="N26" s="3">
        <f t="shared" si="8"/>
        <v>1.4520480108380947E-2</v>
      </c>
    </row>
    <row r="27" spans="1:14">
      <c r="D27">
        <f t="shared" si="9"/>
        <v>74</v>
      </c>
      <c r="E27" s="2">
        <f t="shared" si="2"/>
        <v>-1.2657006185594775</v>
      </c>
      <c r="F27" s="2">
        <f t="shared" si="3"/>
        <v>-1.4157006185594774</v>
      </c>
      <c r="G27" s="2">
        <f t="shared" si="4"/>
        <v>0.10281014339871647</v>
      </c>
      <c r="H27" s="2">
        <f t="shared" si="4"/>
        <v>7.8431588604011379E-2</v>
      </c>
      <c r="I27" s="3">
        <f t="shared" si="5"/>
        <v>0.89718985660128348</v>
      </c>
      <c r="J27" s="3">
        <f t="shared" si="0"/>
        <v>0.92156841139598866</v>
      </c>
      <c r="K27" s="1">
        <f t="shared" si="6"/>
        <v>0.51116699901379459</v>
      </c>
      <c r="L27" s="1">
        <f t="shared" si="1"/>
        <v>16.994908802609743</v>
      </c>
      <c r="M27" s="2">
        <f t="shared" si="7"/>
        <v>-0.89718985660128348</v>
      </c>
      <c r="N27" s="3">
        <f t="shared" si="8"/>
        <v>1.6133092698294216E-2</v>
      </c>
    </row>
    <row r="28" spans="1:14">
      <c r="D28">
        <f t="shared" si="9"/>
        <v>75</v>
      </c>
      <c r="E28" s="2">
        <f t="shared" si="2"/>
        <v>-1.1762138163452061</v>
      </c>
      <c r="F28" s="2">
        <f t="shared" si="3"/>
        <v>-1.326213816345206</v>
      </c>
      <c r="G28" s="2">
        <f t="shared" si="4"/>
        <v>0.11975472238658495</v>
      </c>
      <c r="H28" s="2">
        <f t="shared" si="4"/>
        <v>9.2384442058532079E-2</v>
      </c>
      <c r="I28" s="3">
        <f t="shared" si="5"/>
        <v>0.88024527761341509</v>
      </c>
      <c r="J28" s="3">
        <f t="shared" si="0"/>
        <v>0.90761555794146798</v>
      </c>
      <c r="K28" s="1">
        <f t="shared" si="6"/>
        <v>0.62231417710038528</v>
      </c>
      <c r="L28" s="1">
        <f t="shared" si="1"/>
        <v>16.106055980696325</v>
      </c>
      <c r="M28" s="2">
        <f t="shared" si="7"/>
        <v>-0.88024527761341509</v>
      </c>
      <c r="N28" s="3">
        <f t="shared" si="8"/>
        <v>1.775574536790506E-2</v>
      </c>
    </row>
    <row r="29" spans="1:14">
      <c r="D29">
        <f t="shared" si="9"/>
        <v>76</v>
      </c>
      <c r="E29" s="2">
        <f t="shared" si="2"/>
        <v>-1.0879123046784021</v>
      </c>
      <c r="F29" s="2">
        <f t="shared" si="3"/>
        <v>-1.237912304678402</v>
      </c>
      <c r="G29" s="2">
        <f t="shared" si="4"/>
        <v>0.13831691176612843</v>
      </c>
      <c r="H29" s="2">
        <f t="shared" si="4"/>
        <v>0.10787428966858167</v>
      </c>
      <c r="I29" s="3">
        <f t="shared" si="5"/>
        <v>0.86168308823387152</v>
      </c>
      <c r="J29" s="3">
        <f t="shared" si="0"/>
        <v>0.8921257103314183</v>
      </c>
      <c r="K29" s="1">
        <f t="shared" si="6"/>
        <v>0.75121592060749975</v>
      </c>
      <c r="L29" s="1">
        <f t="shared" si="1"/>
        <v>15.234957724203454</v>
      </c>
      <c r="M29" s="2">
        <f t="shared" si="7"/>
        <v>-0.86168308823387152</v>
      </c>
      <c r="N29" s="3">
        <f t="shared" si="8"/>
        <v>1.9364215463734086E-2</v>
      </c>
    </row>
    <row r="30" spans="1:14">
      <c r="D30">
        <f t="shared" si="9"/>
        <v>77</v>
      </c>
      <c r="E30" s="2">
        <f t="shared" si="2"/>
        <v>-1.0007650942293833</v>
      </c>
      <c r="F30" s="2">
        <f t="shared" si="3"/>
        <v>-1.1507650942293832</v>
      </c>
      <c r="G30" s="2">
        <f t="shared" si="4"/>
        <v>0.15847019434754309</v>
      </c>
      <c r="H30" s="2">
        <f t="shared" si="4"/>
        <v>0.12491444429689699</v>
      </c>
      <c r="I30" s="3">
        <f t="shared" si="5"/>
        <v>0.84152980565245694</v>
      </c>
      <c r="J30" s="3">
        <f t="shared" si="0"/>
        <v>0.87508555570310298</v>
      </c>
      <c r="K30" s="1">
        <f t="shared" si="6"/>
        <v>0.89947863946072104</v>
      </c>
      <c r="L30" s="1">
        <f t="shared" si="1"/>
        <v>14.383220443056658</v>
      </c>
      <c r="M30" s="2">
        <f t="shared" si="7"/>
        <v>-0.84152980565245694</v>
      </c>
      <c r="N30" s="3">
        <f t="shared" si="8"/>
        <v>2.0933817675346356E-2</v>
      </c>
    </row>
    <row r="31" spans="1:14">
      <c r="D31">
        <f t="shared" si="9"/>
        <v>78</v>
      </c>
      <c r="E31" s="2">
        <f t="shared" si="2"/>
        <v>-0.91474239532333068</v>
      </c>
      <c r="F31" s="2">
        <f t="shared" si="3"/>
        <v>-1.0647423953233306</v>
      </c>
      <c r="G31" s="2">
        <f t="shared" si="4"/>
        <v>0.18016344109299831</v>
      </c>
      <c r="H31" s="2">
        <f t="shared" si="4"/>
        <v>0.14349625964099563</v>
      </c>
      <c r="I31" s="3">
        <f t="shared" si="5"/>
        <v>0.81983655890700169</v>
      </c>
      <c r="J31" s="3">
        <f t="shared" si="0"/>
        <v>0.85650374035900434</v>
      </c>
      <c r="K31" s="1">
        <f t="shared" si="6"/>
        <v>1.068669898116255</v>
      </c>
      <c r="L31" s="1">
        <f t="shared" si="1"/>
        <v>13.552411701712202</v>
      </c>
      <c r="M31" s="2">
        <f t="shared" si="7"/>
        <v>-0.81983655890700169</v>
      </c>
      <c r="N31" s="3">
        <f t="shared" si="8"/>
        <v>2.2440134604910948E-2</v>
      </c>
    </row>
    <row r="32" spans="1:14">
      <c r="D32">
        <f t="shared" si="9"/>
        <v>79</v>
      </c>
      <c r="E32" s="2">
        <f t="shared" si="2"/>
        <v>-0.82981555680713226</v>
      </c>
      <c r="F32" s="2">
        <f t="shared" si="3"/>
        <v>-0.97981555680713228</v>
      </c>
      <c r="G32" s="2">
        <f t="shared" si="4"/>
        <v>0.20332153689193502</v>
      </c>
      <c r="H32" s="2">
        <f t="shared" si="4"/>
        <v>0.16358858577233149</v>
      </c>
      <c r="I32" s="3">
        <f t="shared" si="5"/>
        <v>0.796678463108065</v>
      </c>
      <c r="J32" s="3">
        <f t="shared" si="0"/>
        <v>0.83641141422766851</v>
      </c>
      <c r="K32" s="1">
        <f t="shared" si="6"/>
        <v>1.2602940574238133</v>
      </c>
      <c r="L32" s="1">
        <f t="shared" si="1"/>
        <v>12.744035861019761</v>
      </c>
      <c r="M32" s="2">
        <f t="shared" si="7"/>
        <v>-0.796678463108065</v>
      </c>
      <c r="N32" s="3">
        <f t="shared" si="8"/>
        <v>2.3859726383845221E-2</v>
      </c>
    </row>
    <row r="33" spans="4:14">
      <c r="D33">
        <f t="shared" si="9"/>
        <v>80</v>
      </c>
      <c r="E33" s="2">
        <f t="shared" si="2"/>
        <v>-0.74595700876139803</v>
      </c>
      <c r="F33" s="2">
        <f t="shared" si="3"/>
        <v>-0.89595700876139805</v>
      </c>
      <c r="G33" s="2">
        <f t="shared" si="4"/>
        <v>0.22784669279157016</v>
      </c>
      <c r="H33" s="2">
        <f t="shared" si="4"/>
        <v>0.18513786233484783</v>
      </c>
      <c r="I33" s="3">
        <f t="shared" si="5"/>
        <v>0.7721533072084299</v>
      </c>
      <c r="J33" s="3">
        <f t="shared" si="0"/>
        <v>0.81486213766515214</v>
      </c>
      <c r="K33" s="1">
        <f t="shared" si="6"/>
        <v>1.4757688897495491</v>
      </c>
      <c r="L33" s="1">
        <f t="shared" si="1"/>
        <v>11.959510693345493</v>
      </c>
      <c r="M33" s="2">
        <f t="shared" si="7"/>
        <v>-0.7721533072084299</v>
      </c>
      <c r="N33" s="3">
        <f t="shared" si="8"/>
        <v>2.517078927768257E-2</v>
      </c>
    </row>
    <row r="34" spans="4:14">
      <c r="D34">
        <f t="shared" si="9"/>
        <v>81</v>
      </c>
      <c r="E34" s="2">
        <f t="shared" si="2"/>
        <v>-0.66314020877101687</v>
      </c>
      <c r="F34" s="2">
        <f t="shared" si="3"/>
        <v>-0.81314020877101689</v>
      </c>
      <c r="G34" s="2">
        <f t="shared" si="4"/>
        <v>0.25362038039596413</v>
      </c>
      <c r="H34" s="2">
        <f t="shared" si="4"/>
        <v>0.20806883770482118</v>
      </c>
      <c r="I34" s="3">
        <f t="shared" si="5"/>
        <v>0.74637961960403587</v>
      </c>
      <c r="J34" s="3">
        <f t="shared" si="0"/>
        <v>0.79193116229517879</v>
      </c>
      <c r="K34" s="1">
        <f t="shared" si="6"/>
        <v>1.716403823815746</v>
      </c>
      <c r="L34" s="1">
        <f t="shared" si="1"/>
        <v>11.200145627411686</v>
      </c>
      <c r="M34" s="2">
        <f t="shared" si="7"/>
        <v>-0.74637961960403587</v>
      </c>
      <c r="N34" s="3">
        <f t="shared" si="8"/>
        <v>2.6353737558250163E-2</v>
      </c>
    </row>
    <row r="35" spans="4:14">
      <c r="D35">
        <f t="shared" si="9"/>
        <v>82</v>
      </c>
      <c r="E35" s="2">
        <f t="shared" si="2"/>
        <v>-0.58133959149225545</v>
      </c>
      <c r="F35" s="2">
        <f t="shared" si="3"/>
        <v>-0.73133959149225547</v>
      </c>
      <c r="G35" s="2">
        <f t="shared" si="4"/>
        <v>0.28050580107469081</v>
      </c>
      <c r="H35" s="2">
        <f t="shared" si="4"/>
        <v>0.23228587666400335</v>
      </c>
      <c r="I35" s="3">
        <f t="shared" si="5"/>
        <v>0.71949419892530919</v>
      </c>
      <c r="J35" s="3">
        <f t="shared" si="0"/>
        <v>0.76771412333599665</v>
      </c>
      <c r="K35" s="1">
        <f t="shared" si="6"/>
        <v>1.9833803994370349</v>
      </c>
      <c r="L35" s="1">
        <f t="shared" si="1"/>
        <v>10.467122203032972</v>
      </c>
      <c r="M35" s="2">
        <f t="shared" si="7"/>
        <v>-0.71949419892530919</v>
      </c>
      <c r="N35" s="3">
        <f t="shared" si="8"/>
        <v>2.739168836631875E-2</v>
      </c>
    </row>
    <row r="36" spans="4:14">
      <c r="D36">
        <f t="shared" si="9"/>
        <v>83</v>
      </c>
      <c r="E36" s="2">
        <f t="shared" si="2"/>
        <v>-0.50053052127662323</v>
      </c>
      <c r="F36" s="2">
        <f t="shared" si="3"/>
        <v>-0.65053052127662325</v>
      </c>
      <c r="G36" s="2">
        <f t="shared" si="4"/>
        <v>0.30835078535839189</v>
      </c>
      <c r="H36" s="2">
        <f t="shared" si="4"/>
        <v>0.25767479664492149</v>
      </c>
      <c r="I36" s="3">
        <f t="shared" si="5"/>
        <v>0.69164921464160811</v>
      </c>
      <c r="J36" s="3">
        <f t="shared" si="0"/>
        <v>0.74232520335507846</v>
      </c>
      <c r="K36" s="1">
        <f t="shared" si="6"/>
        <v>2.2777354158333587</v>
      </c>
      <c r="L36" s="1">
        <f t="shared" si="1"/>
        <v>9.7614772194293025</v>
      </c>
      <c r="M36" s="2">
        <f t="shared" si="7"/>
        <v>-0.69164921464160811</v>
      </c>
      <c r="N36" s="3">
        <f t="shared" si="8"/>
        <v>2.8270835385090426E-2</v>
      </c>
    </row>
    <row r="37" spans="4:14">
      <c r="D37">
        <f t="shared" si="9"/>
        <v>84</v>
      </c>
      <c r="E37" s="2">
        <f t="shared" si="2"/>
        <v>-0.420689247631852</v>
      </c>
      <c r="F37" s="2">
        <f t="shared" si="3"/>
        <v>-0.57068924763185203</v>
      </c>
      <c r="G37" s="2">
        <f t="shared" si="4"/>
        <v>0.33699100687228395</v>
      </c>
      <c r="H37" s="2">
        <f t="shared" si="4"/>
        <v>0.28410515434400885</v>
      </c>
      <c r="I37" s="3">
        <f t="shared" si="5"/>
        <v>0.66300899312771611</v>
      </c>
      <c r="J37" s="3">
        <f t="shared" si="0"/>
        <v>0.71589484565599115</v>
      </c>
      <c r="K37" s="1">
        <f t="shared" si="6"/>
        <v>2.6003471465377785</v>
      </c>
      <c r="L37" s="1">
        <f t="shared" si="1"/>
        <v>9.0840889501337188</v>
      </c>
      <c r="M37" s="2">
        <f t="shared" si="7"/>
        <v>-0.66300899312771611</v>
      </c>
      <c r="N37" s="3">
        <f t="shared" si="8"/>
        <v>2.8980703451407821E-2</v>
      </c>
    </row>
    <row r="38" spans="4:14">
      <c r="D38">
        <f t="shared" si="9"/>
        <v>85</v>
      </c>
      <c r="E38" s="2">
        <f t="shared" si="2"/>
        <v>-0.34179286331849962</v>
      </c>
      <c r="F38" s="2">
        <f t="shared" si="3"/>
        <v>-0.49179286331849958</v>
      </c>
      <c r="G38" s="2">
        <f t="shared" si="4"/>
        <v>0.36625339037350718</v>
      </c>
      <c r="H38" s="2">
        <f t="shared" si="4"/>
        <v>0.31143289108830935</v>
      </c>
      <c r="I38" s="3">
        <f t="shared" si="5"/>
        <v>0.63374660962649276</v>
      </c>
      <c r="J38" s="3">
        <f t="shared" si="0"/>
        <v>0.68856710891169071</v>
      </c>
      <c r="K38" s="1">
        <f t="shared" si="6"/>
        <v>2.9519248753661103</v>
      </c>
      <c r="L38" s="1">
        <f t="shared" si="1"/>
        <v>8.4356666789620647</v>
      </c>
      <c r="M38" s="2">
        <f t="shared" si="7"/>
        <v>-0.63374660962649276</v>
      </c>
      <c r="N38" s="3">
        <f t="shared" si="8"/>
        <v>2.9514282344789693E-2</v>
      </c>
    </row>
    <row r="39" spans="4:14">
      <c r="D39">
        <f t="shared" si="9"/>
        <v>86</v>
      </c>
      <c r="E39" s="2">
        <f t="shared" si="2"/>
        <v>-0.2638192648972244</v>
      </c>
      <c r="F39" s="2">
        <f t="shared" si="3"/>
        <v>-0.41381926489722443</v>
      </c>
      <c r="G39" s="2">
        <f t="shared" si="4"/>
        <v>0.39595959454568314</v>
      </c>
      <c r="H39" s="2">
        <f t="shared" si="4"/>
        <v>0.33950323705720981</v>
      </c>
      <c r="I39" s="3">
        <f t="shared" si="5"/>
        <v>0.60404040545431692</v>
      </c>
      <c r="J39" s="3">
        <f t="shared" si="0"/>
        <v>0.66049676294279025</v>
      </c>
      <c r="K39" s="1">
        <f t="shared" si="6"/>
        <v>3.3330018875591492</v>
      </c>
      <c r="L39" s="1">
        <f t="shared" si="1"/>
        <v>7.8167436911550965</v>
      </c>
      <c r="M39" s="2">
        <f t="shared" si="7"/>
        <v>-0.60404040545431692</v>
      </c>
      <c r="N39" s="3">
        <f t="shared" si="8"/>
        <v>2.9868043576575427E-2</v>
      </c>
    </row>
    <row r="40" spans="4:14">
      <c r="D40">
        <f t="shared" si="9"/>
        <v>87</v>
      </c>
      <c r="E40" s="2">
        <f t="shared" si="2"/>
        <v>-0.18674711555671769</v>
      </c>
      <c r="F40" s="2">
        <f t="shared" si="3"/>
        <v>-0.33674711555671766</v>
      </c>
      <c r="G40" s="2">
        <f t="shared" si="4"/>
        <v>0.42592945649710368</v>
      </c>
      <c r="H40" s="2">
        <f t="shared" si="4"/>
        <v>0.36815377124816889</v>
      </c>
      <c r="I40" s="3">
        <f t="shared" si="5"/>
        <v>0.57407054350289632</v>
      </c>
      <c r="J40" s="3">
        <f t="shared" si="0"/>
        <v>0.63184622875183116</v>
      </c>
      <c r="K40" s="1">
        <f t="shared" si="6"/>
        <v>3.7439319336085788</v>
      </c>
      <c r="L40" s="1">
        <f t="shared" si="1"/>
        <v>7.2276737372045332</v>
      </c>
      <c r="M40" s="2">
        <f t="shared" si="7"/>
        <v>-0.57407054350289632</v>
      </c>
      <c r="N40" s="3">
        <f t="shared" si="8"/>
        <v>3.0041848794443826E-2</v>
      </c>
    </row>
    <row r="41" spans="4:14">
      <c r="D41">
        <f t="shared" si="9"/>
        <v>88</v>
      </c>
      <c r="E41" s="2">
        <f t="shared" si="2"/>
        <v>-0.11055581006589923</v>
      </c>
      <c r="F41" s="2">
        <f t="shared" si="3"/>
        <v>-0.26055581006589923</v>
      </c>
      <c r="G41" s="2">
        <f t="shared" si="4"/>
        <v>0.45598429552496317</v>
      </c>
      <c r="H41" s="2">
        <f t="shared" si="4"/>
        <v>0.39721753559881462</v>
      </c>
      <c r="I41" s="3">
        <f t="shared" si="5"/>
        <v>0.54401570447503689</v>
      </c>
      <c r="J41" s="3">
        <f t="shared" si="0"/>
        <v>0.60278246440118544</v>
      </c>
      <c r="K41" s="1">
        <f t="shared" si="6"/>
        <v>4.1848890752129364</v>
      </c>
      <c r="L41" s="1">
        <f t="shared" si="1"/>
        <v>6.6686308788088766</v>
      </c>
      <c r="M41" s="2">
        <f t="shared" si="7"/>
        <v>-0.54401570447503689</v>
      </c>
      <c r="N41" s="3">
        <f t="shared" si="8"/>
        <v>3.0038762248915531E-2</v>
      </c>
    </row>
    <row r="42" spans="4:14">
      <c r="D42">
        <f t="shared" si="9"/>
        <v>89</v>
      </c>
      <c r="E42" s="2">
        <f t="shared" si="2"/>
        <v>-3.5225441706343383E-2</v>
      </c>
      <c r="F42" s="2">
        <f t="shared" si="3"/>
        <v>-0.18522544170634336</v>
      </c>
      <c r="G42" s="2">
        <f t="shared" si="4"/>
        <v>0.48594998763448355</v>
      </c>
      <c r="H42" s="2">
        <f t="shared" si="4"/>
        <v>0.42652610737669489</v>
      </c>
      <c r="I42" s="3">
        <f t="shared" si="5"/>
        <v>0.51405001236551651</v>
      </c>
      <c r="J42" s="3">
        <f t="shared" si="0"/>
        <v>0.57347389262330517</v>
      </c>
      <c r="K42" s="1">
        <f t="shared" si="6"/>
        <v>4.6558707271033342</v>
      </c>
      <c r="L42" s="1">
        <f t="shared" si="1"/>
        <v>6.1396125306992815</v>
      </c>
      <c r="M42" s="2">
        <f t="shared" si="7"/>
        <v>-0.51405001236551651</v>
      </c>
      <c r="N42" s="3">
        <f t="shared" si="8"/>
        <v>2.9864782550000475E-2</v>
      </c>
    </row>
    <row r="43" spans="4:14">
      <c r="D43">
        <f t="shared" si="9"/>
        <v>90</v>
      </c>
      <c r="E43" s="2">
        <f t="shared" si="2"/>
        <v>3.9263228947824802E-2</v>
      </c>
      <c r="F43" s="2">
        <f t="shared" si="3"/>
        <v>-0.11073677105217519</v>
      </c>
      <c r="G43" s="2">
        <f t="shared" si="4"/>
        <v>0.51565973847723223</v>
      </c>
      <c r="H43" s="2">
        <f t="shared" si="4"/>
        <v>0.45591254310173845</v>
      </c>
      <c r="I43" s="3">
        <f t="shared" si="5"/>
        <v>0.48434026152276777</v>
      </c>
      <c r="J43" s="3">
        <f t="shared" si="0"/>
        <v>0.54408745689826155</v>
      </c>
      <c r="K43" s="1">
        <f t="shared" si="6"/>
        <v>5.1567036279123926</v>
      </c>
      <c r="L43" s="1">
        <f t="shared" si="1"/>
        <v>5.6404454315083399</v>
      </c>
      <c r="M43" s="2">
        <f t="shared" si="7"/>
        <v>-0.48434026152276777</v>
      </c>
      <c r="N43" s="3">
        <f t="shared" si="8"/>
        <v>2.95285106625831E-2</v>
      </c>
    </row>
    <row r="44" spans="4:14">
      <c r="D44">
        <f t="shared" si="9"/>
        <v>91</v>
      </c>
      <c r="E44" s="2">
        <f t="shared" si="2"/>
        <v>0.11292880352505807</v>
      </c>
      <c r="F44" s="2">
        <f t="shared" si="3"/>
        <v>-3.707119647494192E-2</v>
      </c>
      <c r="G44" s="2">
        <f t="shared" si="4"/>
        <v>0.54495649975831029</v>
      </c>
      <c r="H44" s="2">
        <f t="shared" si="4"/>
        <v>0.48521411905961015</v>
      </c>
      <c r="I44" s="3">
        <f t="shared" si="5"/>
        <v>0.45504350024168977</v>
      </c>
      <c r="J44" s="3">
        <f>_xlfn.NORM.S.DIST(-F44,TRUE)</f>
        <v>0.5147858809403898</v>
      </c>
      <c r="K44" s="1">
        <f t="shared" si="6"/>
        <v>5.6870524095572037</v>
      </c>
      <c r="L44" s="1">
        <f t="shared" si="1"/>
        <v>5.1707942131531439</v>
      </c>
      <c r="M44" s="2">
        <f t="shared" si="7"/>
        <v>-0.45504350024168971</v>
      </c>
      <c r="N44" s="3">
        <f t="shared" si="8"/>
        <v>2.9040771802186168E-2</v>
      </c>
    </row>
    <row r="45" spans="4:14">
      <c r="D45">
        <f t="shared" si="9"/>
        <v>92</v>
      </c>
      <c r="E45" s="2">
        <f t="shared" si="2"/>
        <v>0.18578927373965992</v>
      </c>
      <c r="F45" s="2">
        <f t="shared" si="3"/>
        <v>3.5789273739659927E-2</v>
      </c>
      <c r="G45" s="2">
        <f t="shared" si="4"/>
        <v>0.5736949917986327</v>
      </c>
      <c r="H45" s="2">
        <f t="shared" si="4"/>
        <v>0.51427480704752948</v>
      </c>
      <c r="I45" s="3">
        <f t="shared" si="5"/>
        <v>0.4263050082013673</v>
      </c>
      <c r="J45" s="3">
        <f t="shared" si="0"/>
        <v>0.48572519295247052</v>
      </c>
      <c r="K45" s="1">
        <f t="shared" si="6"/>
        <v>6.2464303884914258</v>
      </c>
      <c r="L45" s="1">
        <f t="shared" si="1"/>
        <v>4.7301721920873732</v>
      </c>
      <c r="M45" s="2">
        <f t="shared" si="7"/>
        <v>-0.4263050082013673</v>
      </c>
      <c r="N45" s="3">
        <f t="shared" si="8"/>
        <v>2.8414208702905355E-2</v>
      </c>
    </row>
    <row r="46" spans="4:14">
      <c r="D46">
        <f t="shared" si="9"/>
        <v>93</v>
      </c>
      <c r="E46" s="2">
        <f t="shared" si="2"/>
        <v>0.25786204776776422</v>
      </c>
      <c r="F46" s="2">
        <f t="shared" si="3"/>
        <v>0.10786204776776423</v>
      </c>
      <c r="G46" s="2">
        <f t="shared" si="4"/>
        <v>0.6017433119910236</v>
      </c>
      <c r="H46" s="2">
        <f t="shared" si="4"/>
        <v>0.54294743853905714</v>
      </c>
      <c r="I46" s="3">
        <f t="shared" si="5"/>
        <v>0.3982566880089764</v>
      </c>
      <c r="J46" s="3">
        <f t="shared" si="0"/>
        <v>0.45705256146094292</v>
      </c>
      <c r="K46" s="1">
        <f t="shared" si="6"/>
        <v>6.8342121734733681</v>
      </c>
      <c r="L46" s="1">
        <f t="shared" si="1"/>
        <v>4.3179539770693154</v>
      </c>
      <c r="M46" s="2">
        <f t="shared" si="7"/>
        <v>-0.3982566880089764</v>
      </c>
      <c r="N46" s="3">
        <f t="shared" si="8"/>
        <v>2.7662862776520764E-2</v>
      </c>
    </row>
    <row r="47" spans="4:14">
      <c r="D47">
        <f t="shared" si="9"/>
        <v>94</v>
      </c>
      <c r="E47" s="2">
        <f t="shared" si="2"/>
        <v>0.32916397521274982</v>
      </c>
      <c r="F47" s="2">
        <f t="shared" si="3"/>
        <v>0.17916397521274982</v>
      </c>
      <c r="G47" s="2">
        <f t="shared" si="4"/>
        <v>0.62898412467348619</v>
      </c>
      <c r="H47" s="2">
        <f t="shared" si="4"/>
        <v>0.57109552519628393</v>
      </c>
      <c r="I47" s="3">
        <f t="shared" si="5"/>
        <v>0.37101587532651381</v>
      </c>
      <c r="J47" s="3">
        <f t="shared" si="0"/>
        <v>0.42890447480371607</v>
      </c>
      <c r="K47" s="1">
        <f t="shared" si="6"/>
        <v>7.4496476722581235</v>
      </c>
      <c r="L47" s="1">
        <f t="shared" si="1"/>
        <v>3.9333894758540708</v>
      </c>
      <c r="M47" s="2">
        <f t="shared" si="7"/>
        <v>-0.37101587532651381</v>
      </c>
      <c r="N47" s="3">
        <f t="shared" si="8"/>
        <v>2.6801758126613267E-2</v>
      </c>
    </row>
    <row r="48" spans="4:14">
      <c r="D48">
        <f t="shared" si="9"/>
        <v>95</v>
      </c>
      <c r="E48" s="2">
        <f t="shared" si="2"/>
        <v>0.39971137074966284</v>
      </c>
      <c r="F48" s="2">
        <f t="shared" si="3"/>
        <v>0.24971137074966285</v>
      </c>
      <c r="G48" s="2">
        <f t="shared" si="4"/>
        <v>0.65531544194116209</v>
      </c>
      <c r="H48" s="2">
        <f t="shared" si="4"/>
        <v>0.59859471792918195</v>
      </c>
      <c r="I48" s="3">
        <f t="shared" si="5"/>
        <v>0.34468455805883791</v>
      </c>
      <c r="J48" s="3">
        <f t="shared" si="0"/>
        <v>0.4014052820708181</v>
      </c>
      <c r="K48" s="1">
        <f t="shared" si="6"/>
        <v>8.0918770823099564</v>
      </c>
      <c r="L48" s="1">
        <f t="shared" si="1"/>
        <v>3.5756188859059108</v>
      </c>
      <c r="M48" s="2">
        <f t="shared" si="7"/>
        <v>-0.34468455805883791</v>
      </c>
      <c r="N48" s="3">
        <f t="shared" si="8"/>
        <v>2.5846501391585695E-2</v>
      </c>
    </row>
    <row r="49" spans="4:14">
      <c r="D49">
        <f t="shared" si="9"/>
        <v>96</v>
      </c>
      <c r="E49" s="2">
        <f t="shared" si="2"/>
        <v>0.46952003653163232</v>
      </c>
      <c r="F49" s="2">
        <f t="shared" si="3"/>
        <v>0.3195200365316323</v>
      </c>
      <c r="G49" s="2">
        <f t="shared" si="4"/>
        <v>0.6806510167778258</v>
      </c>
      <c r="H49" s="2">
        <f t="shared" si="4"/>
        <v>0.62533389995318622</v>
      </c>
      <c r="I49" s="3">
        <f t="shared" si="5"/>
        <v>0.3193489832221742</v>
      </c>
      <c r="J49" s="3">
        <f t="shared" si="0"/>
        <v>0.37466610004681378</v>
      </c>
      <c r="K49" s="1">
        <f t="shared" si="6"/>
        <v>8.7599464662714723</v>
      </c>
      <c r="L49" s="1">
        <f t="shared" si="1"/>
        <v>3.2436882698674232</v>
      </c>
      <c r="M49" s="2">
        <f t="shared" si="7"/>
        <v>-0.3193489832221742</v>
      </c>
      <c r="N49" s="3">
        <f t="shared" si="8"/>
        <v>2.4812908129176515E-2</v>
      </c>
    </row>
    <row r="50" spans="4:14">
      <c r="D50">
        <f t="shared" si="9"/>
        <v>97</v>
      </c>
      <c r="E50" s="2">
        <f t="shared" si="2"/>
        <v>0.53860528343527614</v>
      </c>
      <c r="F50" s="2">
        <f t="shared" si="3"/>
        <v>0.38860528343527612</v>
      </c>
      <c r="G50" s="2">
        <f t="shared" si="4"/>
        <v>0.70492037941342489</v>
      </c>
      <c r="H50" s="2">
        <f t="shared" si="4"/>
        <v>0.65121592110697379</v>
      </c>
      <c r="I50" s="3">
        <f t="shared" si="5"/>
        <v>0.29507962058657511</v>
      </c>
      <c r="J50" s="3">
        <f t="shared" si="0"/>
        <v>0.34878407889302621</v>
      </c>
      <c r="K50" s="1">
        <f t="shared" si="6"/>
        <v>9.4528235392678965</v>
      </c>
      <c r="L50" s="1">
        <f t="shared" si="1"/>
        <v>2.9365653428638367</v>
      </c>
      <c r="M50" s="2">
        <f t="shared" si="7"/>
        <v>-0.29507962058657511</v>
      </c>
      <c r="N50" s="3">
        <f t="shared" si="8"/>
        <v>2.3716664072538144E-2</v>
      </c>
    </row>
    <row r="51" spans="4:14">
      <c r="D51">
        <f t="shared" si="9"/>
        <v>98</v>
      </c>
      <c r="E51" s="2">
        <f t="shared" si="2"/>
        <v>0.60698195121653686</v>
      </c>
      <c r="F51" s="2">
        <f t="shared" si="3"/>
        <v>0.45698195121653684</v>
      </c>
      <c r="G51" s="2">
        <f t="shared" si="4"/>
        <v>0.728068554952084</v>
      </c>
      <c r="H51" s="2">
        <f t="shared" si="4"/>
        <v>0.67615799077259453</v>
      </c>
      <c r="I51" s="3">
        <f t="shared" si="5"/>
        <v>0.27193144504791594</v>
      </c>
      <c r="J51" s="3">
        <f t="shared" si="0"/>
        <v>0.32384200922740553</v>
      </c>
      <c r="K51" s="1">
        <f t="shared" si="6"/>
        <v>10.16941332979858</v>
      </c>
      <c r="L51" s="1">
        <f t="shared" si="1"/>
        <v>2.6531551333945345</v>
      </c>
      <c r="M51" s="2">
        <f t="shared" si="7"/>
        <v>-0.271931445047916</v>
      </c>
      <c r="N51" s="3">
        <f t="shared" si="8"/>
        <v>2.2573027214928484E-2</v>
      </c>
    </row>
    <row r="52" spans="4:14">
      <c r="D52">
        <f t="shared" si="9"/>
        <v>99</v>
      </c>
      <c r="E52" s="2">
        <f t="shared" si="2"/>
        <v>0.67466442764332379</v>
      </c>
      <c r="F52" s="2">
        <f t="shared" si="3"/>
        <v>0.52466442764332377</v>
      </c>
      <c r="G52" s="2">
        <f t="shared" si="4"/>
        <v>0.75005550513040753</v>
      </c>
      <c r="H52" s="2">
        <f t="shared" si="4"/>
        <v>0.70009175492325448</v>
      </c>
      <c r="I52" s="3">
        <f t="shared" si="5"/>
        <v>0.24994449486959247</v>
      </c>
      <c r="J52" s="3">
        <f t="shared" si="0"/>
        <v>0.29990824507674552</v>
      </c>
      <c r="K52" s="1">
        <f t="shared" si="6"/>
        <v>10.908573416608213</v>
      </c>
      <c r="L52" s="1">
        <f t="shared" si="1"/>
        <v>2.3923152202041607</v>
      </c>
      <c r="M52" s="2">
        <f t="shared" si="7"/>
        <v>-0.24994449486959247</v>
      </c>
      <c r="N52" s="3">
        <f t="shared" si="8"/>
        <v>2.1396574423899781E-2</v>
      </c>
    </row>
    <row r="53" spans="4:14">
      <c r="D53">
        <f t="shared" si="9"/>
        <v>100</v>
      </c>
      <c r="E53" s="2">
        <f t="shared" si="2"/>
        <v>0.7416666666666667</v>
      </c>
      <c r="F53" s="2">
        <f t="shared" si="3"/>
        <v>0.59166666666666667</v>
      </c>
      <c r="G53" s="2">
        <f t="shared" si="4"/>
        <v>0.77085533971897768</v>
      </c>
      <c r="H53" s="2">
        <f t="shared" si="4"/>
        <v>0.72296308905530626</v>
      </c>
      <c r="I53" s="3">
        <f t="shared" si="5"/>
        <v>0.22914466028102232</v>
      </c>
      <c r="J53" s="3">
        <f t="shared" si="0"/>
        <v>0.27703691094469374</v>
      </c>
      <c r="K53" s="1">
        <f t="shared" si="6"/>
        <v>11.669128488287299</v>
      </c>
      <c r="L53" s="1">
        <f t="shared" si="1"/>
        <v>2.1528702918832394</v>
      </c>
      <c r="M53" s="2">
        <f t="shared" si="7"/>
        <v>-0.22914466028102232</v>
      </c>
      <c r="N53" s="3">
        <f t="shared" si="8"/>
        <v>2.0200994228993439E-2</v>
      </c>
    </row>
    <row r="54" spans="4:14">
      <c r="D54">
        <f t="shared" si="9"/>
        <v>101</v>
      </c>
      <c r="E54" s="2">
        <f t="shared" si="2"/>
        <v>0.80800220568778724</v>
      </c>
      <c r="F54" s="2">
        <f t="shared" si="3"/>
        <v>0.65800220568778722</v>
      </c>
      <c r="G54" s="2">
        <f t="shared" si="4"/>
        <v>0.79045534380082305</v>
      </c>
      <c r="H54" s="2">
        <f t="shared" si="4"/>
        <v>0.74473164308097939</v>
      </c>
      <c r="I54" s="3">
        <f t="shared" si="5"/>
        <v>0.20954465619917695</v>
      </c>
      <c r="J54" s="3">
        <f t="shared" si="0"/>
        <v>0.25526835691902061</v>
      </c>
      <c r="K54" s="1">
        <f t="shared" si="6"/>
        <v>12.449884018376025</v>
      </c>
      <c r="L54" s="1">
        <f t="shared" si="1"/>
        <v>1.9336258219719618</v>
      </c>
      <c r="M54" s="2">
        <f t="shared" si="7"/>
        <v>-0.20954465619917695</v>
      </c>
      <c r="N54" s="3">
        <f t="shared" si="8"/>
        <v>1.8998925627069004E-2</v>
      </c>
    </row>
    <row r="55" spans="4:14">
      <c r="D55">
        <f t="shared" si="9"/>
        <v>102</v>
      </c>
      <c r="E55" s="2">
        <f t="shared" si="2"/>
        <v>0.87368418197453157</v>
      </c>
      <c r="F55" s="2">
        <f t="shared" si="3"/>
        <v>0.72368418197453155</v>
      </c>
      <c r="G55" s="2">
        <f t="shared" si="4"/>
        <v>0.808854866225449</v>
      </c>
      <c r="H55" s="2">
        <f t="shared" si="4"/>
        <v>0.76537017678470021</v>
      </c>
      <c r="I55" s="3">
        <f t="shared" si="5"/>
        <v>0.19114513377455103</v>
      </c>
      <c r="J55" s="3">
        <f t="shared" si="0"/>
        <v>0.23462982321529982</v>
      </c>
      <c r="K55" s="1">
        <f t="shared" si="6"/>
        <v>13.249638894636391</v>
      </c>
      <c r="L55" s="1">
        <f t="shared" si="1"/>
        <v>1.7333806982323452</v>
      </c>
      <c r="M55" s="2">
        <f t="shared" si="7"/>
        <v>-0.191145133774551</v>
      </c>
      <c r="N55" s="3">
        <f t="shared" si="8"/>
        <v>1.7801841241156018E-2</v>
      </c>
    </row>
    <row r="56" spans="4:14">
      <c r="D56">
        <f t="shared" si="9"/>
        <v>103</v>
      </c>
      <c r="E56" s="2">
        <f t="shared" si="2"/>
        <v>0.93872534827696297</v>
      </c>
      <c r="F56" s="2">
        <f t="shared" si="3"/>
        <v>0.78872534827696295</v>
      </c>
      <c r="G56" s="2">
        <f t="shared" si="4"/>
        <v>0.82606411224613607</v>
      </c>
      <c r="H56" s="2">
        <f t="shared" si="4"/>
        <v>0.78486372535400661</v>
      </c>
      <c r="I56" s="3">
        <f t="shared" si="5"/>
        <v>0.17393588775386387</v>
      </c>
      <c r="J56" s="3">
        <f t="shared" si="0"/>
        <v>0.21513627464599339</v>
      </c>
      <c r="K56" s="1">
        <f t="shared" si="6"/>
        <v>14.067196885411633</v>
      </c>
      <c r="L56" s="1">
        <f t="shared" si="1"/>
        <v>1.5509386890075945</v>
      </c>
      <c r="M56" s="2">
        <f t="shared" si="7"/>
        <v>-0.17393588775386393</v>
      </c>
      <c r="N56" s="3">
        <f t="shared" si="8"/>
        <v>1.6619971966364208E-2</v>
      </c>
    </row>
    <row r="57" spans="4:14">
      <c r="D57">
        <f t="shared" si="9"/>
        <v>104</v>
      </c>
      <c r="E57" s="2">
        <f t="shared" si="2"/>
        <v>1.0031380876885423</v>
      </c>
      <c r="F57" s="2">
        <f t="shared" si="3"/>
        <v>0.85313808768854227</v>
      </c>
      <c r="G57" s="2">
        <f t="shared" si="4"/>
        <v>0.84210288000732969</v>
      </c>
      <c r="H57" s="2">
        <f t="shared" si="4"/>
        <v>0.80320863400092479</v>
      </c>
      <c r="I57" s="3">
        <f t="shared" si="5"/>
        <v>0.15789711999267034</v>
      </c>
      <c r="J57" s="3">
        <f t="shared" si="0"/>
        <v>0.19679136599907521</v>
      </c>
      <c r="K57" s="1">
        <f t="shared" si="6"/>
        <v>14.901376867403613</v>
      </c>
      <c r="L57" s="1">
        <f t="shared" si="1"/>
        <v>1.3851186709995567</v>
      </c>
      <c r="M57" s="2">
        <f t="shared" si="7"/>
        <v>-0.15789711999267031</v>
      </c>
      <c r="N57" s="3">
        <f t="shared" si="8"/>
        <v>1.5462269337057206E-2</v>
      </c>
    </row>
    <row r="58" spans="4:14">
      <c r="D58">
        <f t="shared" si="9"/>
        <v>105</v>
      </c>
      <c r="E58" s="2">
        <f t="shared" si="2"/>
        <v>1.0669344277962138</v>
      </c>
      <c r="F58" s="2">
        <f t="shared" si="3"/>
        <v>0.91693442779621381</v>
      </c>
      <c r="G58" s="2">
        <f t="shared" si="4"/>
        <v>0.85699927645388052</v>
      </c>
      <c r="H58" s="2">
        <f t="shared" si="4"/>
        <v>0.82041149902841326</v>
      </c>
      <c r="I58" s="3">
        <f t="shared" si="5"/>
        <v>0.14300072354611948</v>
      </c>
      <c r="J58" s="3">
        <f t="shared" si="0"/>
        <v>0.1795885009715868</v>
      </c>
      <c r="K58" s="1">
        <f t="shared" si="6"/>
        <v>15.751021776869408</v>
      </c>
      <c r="L58" s="1">
        <f t="shared" si="1"/>
        <v>1.2347635804653532</v>
      </c>
      <c r="M58" s="2">
        <f t="shared" si="7"/>
        <v>-0.14300072354611948</v>
      </c>
      <c r="N58" s="3">
        <f t="shared" si="8"/>
        <v>1.4336401236777825E-2</v>
      </c>
    </row>
    <row r="59" spans="4:14">
      <c r="D59">
        <f t="shared" si="9"/>
        <v>106</v>
      </c>
      <c r="E59" s="2">
        <f t="shared" si="2"/>
        <v>1.1301260541598388</v>
      </c>
      <c r="F59" s="2">
        <f t="shared" si="3"/>
        <v>0.98012605415983878</v>
      </c>
      <c r="G59" s="2">
        <f t="shared" si="4"/>
        <v>0.87078844365875419</v>
      </c>
      <c r="H59" s="2">
        <f t="shared" si="4"/>
        <v>0.83648805011363692</v>
      </c>
      <c r="I59" s="3">
        <f t="shared" si="5"/>
        <v>0.12921155634124579</v>
      </c>
      <c r="J59" s="3">
        <f t="shared" si="0"/>
        <v>0.16351194988636311</v>
      </c>
      <c r="K59" s="1">
        <f t="shared" si="6"/>
        <v>16.61500627955219</v>
      </c>
      <c r="L59" s="1">
        <f t="shared" si="1"/>
        <v>1.0987480831481466</v>
      </c>
      <c r="M59" s="2">
        <f t="shared" si="7"/>
        <v>-0.12921155634124581</v>
      </c>
      <c r="N59" s="3">
        <f t="shared" si="8"/>
        <v>1.3248776219918362E-2</v>
      </c>
    </row>
    <row r="60" spans="4:14">
      <c r="D60">
        <f t="shared" si="9"/>
        <v>107</v>
      </c>
      <c r="E60" s="2">
        <f t="shared" si="2"/>
        <v>1.1927243231587659</v>
      </c>
      <c r="F60" s="2">
        <f t="shared" si="3"/>
        <v>1.042724323158766</v>
      </c>
      <c r="G60" s="2">
        <f t="shared" si="4"/>
        <v>0.8835113217547268</v>
      </c>
      <c r="H60" s="2">
        <f t="shared" si="4"/>
        <v>0.85146200531499261</v>
      </c>
      <c r="I60" s="3">
        <f t="shared" si="5"/>
        <v>0.11648867824527322</v>
      </c>
      <c r="J60" s="3">
        <f t="shared" si="0"/>
        <v>0.14853799468500745</v>
      </c>
      <c r="K60" s="1">
        <f t="shared" si="6"/>
        <v>17.492243183261934</v>
      </c>
      <c r="L60" s="1">
        <f t="shared" si="1"/>
        <v>0.97598498685788648</v>
      </c>
      <c r="M60" s="2">
        <f t="shared" si="7"/>
        <v>-0.1164886782452732</v>
      </c>
      <c r="N60" s="3">
        <f t="shared" si="8"/>
        <v>1.2204591588834376E-2</v>
      </c>
    </row>
    <row r="61" spans="4:14">
      <c r="D61">
        <f t="shared" si="9"/>
        <v>108</v>
      </c>
      <c r="E61" s="2">
        <f t="shared" si="2"/>
        <v>1.2547402742408562</v>
      </c>
      <c r="F61" s="2">
        <f t="shared" si="3"/>
        <v>1.1047402742408563</v>
      </c>
      <c r="G61" s="2">
        <f t="shared" si="4"/>
        <v>0.89521346981760264</v>
      </c>
      <c r="H61" s="2">
        <f t="shared" si="4"/>
        <v>0.86536392658780992</v>
      </c>
      <c r="I61" s="3">
        <f t="shared" si="5"/>
        <v>0.10478653018239741</v>
      </c>
      <c r="J61" s="3">
        <f t="shared" si="0"/>
        <v>0.13463607341219008</v>
      </c>
      <c r="K61" s="1">
        <f t="shared" si="6"/>
        <v>18.381688640783736</v>
      </c>
      <c r="L61" s="1">
        <f t="shared" si="1"/>
        <v>0.86543044437967609</v>
      </c>
      <c r="M61" s="2">
        <f t="shared" si="7"/>
        <v>-0.10478653018239736</v>
      </c>
      <c r="N61" s="3">
        <f t="shared" si="8"/>
        <v>1.1207900435333262E-2</v>
      </c>
    </row>
    <row r="62" spans="4:14">
      <c r="D62">
        <f t="shared" si="9"/>
        <v>109</v>
      </c>
      <c r="E62" s="2">
        <f t="shared" si="2"/>
        <v>1.3161846416070162</v>
      </c>
      <c r="F62" s="2">
        <f t="shared" si="3"/>
        <v>1.1661846416070163</v>
      </c>
      <c r="G62" s="2">
        <f t="shared" si="4"/>
        <v>0.90594396135523703</v>
      </c>
      <c r="H62" s="2">
        <f t="shared" si="4"/>
        <v>0.87823009961762466</v>
      </c>
      <c r="I62" s="3">
        <f t="shared" si="5"/>
        <v>9.4056038644762932E-2</v>
      </c>
      <c r="J62" s="3">
        <f t="shared" si="0"/>
        <v>0.12176990038237528</v>
      </c>
      <c r="K62" s="1">
        <f t="shared" si="6"/>
        <v>19.282346209773337</v>
      </c>
      <c r="L62" s="1">
        <f t="shared" si="1"/>
        <v>0.766088013369286</v>
      </c>
      <c r="M62" s="2">
        <f t="shared" si="7"/>
        <v>-9.4056038644762974E-2</v>
      </c>
      <c r="N62" s="3">
        <f t="shared" si="8"/>
        <v>1.0261693073437866E-2</v>
      </c>
    </row>
    <row r="63" spans="4:14">
      <c r="D63">
        <f t="shared" si="9"/>
        <v>110</v>
      </c>
      <c r="E63" s="2">
        <f t="shared" si="2"/>
        <v>1.3770678653621664</v>
      </c>
      <c r="F63" s="2">
        <f t="shared" si="3"/>
        <v>1.2270678653621665</v>
      </c>
      <c r="G63" s="2">
        <f t="shared" si="4"/>
        <v>0.91575436664229093</v>
      </c>
      <c r="H63" s="2">
        <f t="shared" si="4"/>
        <v>0.89010145772654159</v>
      </c>
      <c r="I63" s="3">
        <f t="shared" si="5"/>
        <v>8.4245633357709127E-2</v>
      </c>
      <c r="J63" s="3">
        <f t="shared" si="0"/>
        <v>0.10989854227345847</v>
      </c>
      <c r="K63" s="1">
        <f t="shared" si="6"/>
        <v>20.193269850719233</v>
      </c>
      <c r="L63" s="1">
        <f t="shared" si="1"/>
        <v>0.6770116543151854</v>
      </c>
      <c r="M63" s="2">
        <f t="shared" si="7"/>
        <v>-8.4245633357709071E-2</v>
      </c>
      <c r="N63" s="3">
        <f t="shared" si="8"/>
        <v>9.3679886241536912E-3</v>
      </c>
    </row>
    <row r="64" spans="4:14">
      <c r="D64">
        <f t="shared" si="9"/>
        <v>111</v>
      </c>
      <c r="E64" s="2">
        <f t="shared" si="2"/>
        <v>1.437400102161619</v>
      </c>
      <c r="F64" s="2">
        <f t="shared" si="3"/>
        <v>1.287400102161619</v>
      </c>
      <c r="G64" s="2">
        <f t="shared" si="4"/>
        <v>0.92469783010356155</v>
      </c>
      <c r="H64" s="2">
        <f t="shared" si="4"/>
        <v>0.90102256562535543</v>
      </c>
      <c r="I64" s="3">
        <f t="shared" si="5"/>
        <v>7.5302169896438481E-2</v>
      </c>
      <c r="J64" s="3">
        <f t="shared" si="0"/>
        <v>9.897743437464461E-2</v>
      </c>
      <c r="K64" s="1">
        <f t="shared" si="6"/>
        <v>21.113565954237089</v>
      </c>
      <c r="L64" s="1">
        <f t="shared" si="1"/>
        <v>0.59730775783303436</v>
      </c>
      <c r="M64" s="2">
        <f t="shared" si="7"/>
        <v>-7.5302169896438453E-2</v>
      </c>
      <c r="N64" s="3">
        <f t="shared" si="8"/>
        <v>8.527932928229464E-3</v>
      </c>
    </row>
    <row r="65" spans="4:14">
      <c r="D65">
        <f t="shared" si="9"/>
        <v>112</v>
      </c>
      <c r="E65" s="2">
        <f t="shared" si="2"/>
        <v>1.4971912353800219</v>
      </c>
      <c r="F65" s="2">
        <f t="shared" si="3"/>
        <v>1.3471912353800219</v>
      </c>
      <c r="G65" s="2">
        <f t="shared" si="4"/>
        <v>0.93282824735459391</v>
      </c>
      <c r="H65" s="2">
        <f t="shared" si="4"/>
        <v>0.91104067499018093</v>
      </c>
      <c r="I65" s="3">
        <f t="shared" si="5"/>
        <v>6.7171752645406146E-2</v>
      </c>
      <c r="J65" s="3">
        <f t="shared" si="0"/>
        <v>8.895932500981911E-2</v>
      </c>
      <c r="K65" s="1">
        <f t="shared" si="6"/>
        <v>22.042394495329205</v>
      </c>
      <c r="L65" s="1">
        <f t="shared" si="1"/>
        <v>0.52613629892515856</v>
      </c>
      <c r="M65" s="2">
        <f t="shared" si="7"/>
        <v>-6.7171752645406091E-2</v>
      </c>
      <c r="N65" s="3">
        <f t="shared" si="8"/>
        <v>7.7418994286932068E-3</v>
      </c>
    </row>
    <row r="66" spans="4:14">
      <c r="D66">
        <f t="shared" si="9"/>
        <v>113</v>
      </c>
      <c r="E66" s="2">
        <f t="shared" si="2"/>
        <v>1.5564508848283274</v>
      </c>
      <c r="F66" s="2">
        <f t="shared" si="3"/>
        <v>1.4064508848283275</v>
      </c>
      <c r="G66" s="2">
        <f t="shared" si="4"/>
        <v>0.94019954339386669</v>
      </c>
      <c r="H66" s="2">
        <f t="shared" si="4"/>
        <v>0.92020486032712911</v>
      </c>
      <c r="I66" s="3">
        <f t="shared" si="5"/>
        <v>5.9800456606133263E-2</v>
      </c>
      <c r="J66" s="3">
        <f t="shared" si="0"/>
        <v>7.9795139672870857E-2</v>
      </c>
      <c r="K66" s="1">
        <f t="shared" si="6"/>
        <v>22.978969415252905</v>
      </c>
      <c r="L66" s="1">
        <f t="shared" si="1"/>
        <v>0.46271121884886313</v>
      </c>
      <c r="M66" s="2">
        <f t="shared" si="7"/>
        <v>-5.9800456606133312E-2</v>
      </c>
      <c r="N66" s="3">
        <f t="shared" si="8"/>
        <v>7.009590154547528E-3</v>
      </c>
    </row>
    <row r="67" spans="4:14">
      <c r="D67">
        <f t="shared" si="9"/>
        <v>114</v>
      </c>
      <c r="E67" s="2">
        <f t="shared" si="2"/>
        <v>1.6151884160426933</v>
      </c>
      <c r="F67" s="2">
        <f t="shared" si="3"/>
        <v>1.4651884160426933</v>
      </c>
      <c r="G67" s="2">
        <f t="shared" si="4"/>
        <v>0.94686505081849837</v>
      </c>
      <c r="H67" s="2">
        <f t="shared" si="4"/>
        <v>0.92856524041523192</v>
      </c>
      <c r="I67" s="3">
        <f t="shared" si="5"/>
        <v>5.3134949181501606E-2</v>
      </c>
      <c r="J67" s="3">
        <f t="shared" si="5"/>
        <v>7.1434759584768054E-2</v>
      </c>
      <c r="K67" s="1">
        <f t="shared" si="6"/>
        <v>23.92255833178298</v>
      </c>
      <c r="L67" s="1">
        <f t="shared" ref="L67:L113" si="10">EXP(-$B$3*$B$5)*$B$2*J67-D67*I67</f>
        <v>0.4063001353789204</v>
      </c>
      <c r="M67" s="2">
        <f t="shared" si="7"/>
        <v>-5.3134949181501634E-2</v>
      </c>
      <c r="N67" s="3">
        <f t="shared" si="8"/>
        <v>6.3301344281781234E-3</v>
      </c>
    </row>
    <row r="68" spans="4:14">
      <c r="D68">
        <f t="shared" si="9"/>
        <v>115</v>
      </c>
      <c r="E68" s="2">
        <f t="shared" ref="E68:E113" si="11">(LN(D68/$B$2)+($B$3+($B$4^2)/2)*$B$5)/($B$4*SQRT($B$5))</f>
        <v>1.6734129491677241</v>
      </c>
      <c r="F68" s="2">
        <f t="shared" ref="F68:F113" si="12">E68-$B$4*SQRT($B$5)</f>
        <v>1.5234129491677242</v>
      </c>
      <c r="G68" s="2">
        <f t="shared" ref="G68:H113" si="13">_xlfn.NORM.S.DIST(E68,TRUE)</f>
        <v>0.95287698479743466</v>
      </c>
      <c r="H68" s="2">
        <f t="shared" si="13"/>
        <v>0.93617228782553619</v>
      </c>
      <c r="I68" s="3">
        <f t="shared" ref="I68:J113" si="14">_xlfn.NORM.S.DIST(-E68,TRUE)</f>
        <v>4.7123015202565392E-2</v>
      </c>
      <c r="J68" s="3">
        <f t="shared" si="14"/>
        <v>6.3827712174463799E-2</v>
      </c>
      <c r="K68" s="1">
        <f t="shared" ref="K68:K113" si="15">D68*G68-$B$2*EXP(-$B$3*$B$5)*H68</f>
        <v>24.872481676417451</v>
      </c>
      <c r="L68" s="1">
        <f t="shared" si="10"/>
        <v>0.35622348001339965</v>
      </c>
      <c r="M68" s="2">
        <f t="shared" ref="M68:M113" si="16">+G68-1</f>
        <v>-4.7123015202565344E-2</v>
      </c>
      <c r="N68" s="3">
        <f t="shared" ref="N68:N113" si="17">_xlfn.NORM.S.DIST(E68,FALSE)/(D68*$B$4*SQRT($B$5))</f>
        <v>5.7021833940288551E-3</v>
      </c>
    </row>
    <row r="69" spans="4:14">
      <c r="D69">
        <f t="shared" ref="D69:D113" si="18">+D68+1</f>
        <v>116</v>
      </c>
      <c r="E69" s="2">
        <f t="shared" si="11"/>
        <v>1.7311333674551548</v>
      </c>
      <c r="F69" s="2">
        <f t="shared" si="12"/>
        <v>1.5811333674551549</v>
      </c>
      <c r="G69" s="2">
        <f t="shared" si="13"/>
        <v>0.95828600985925527</v>
      </c>
      <c r="H69" s="2">
        <f t="shared" si="13"/>
        <v>0.94307622662161039</v>
      </c>
      <c r="I69" s="3">
        <f t="shared" si="14"/>
        <v>4.1713990140744679E-2</v>
      </c>
      <c r="J69" s="3">
        <f t="shared" si="14"/>
        <v>5.6923773378389594E-2</v>
      </c>
      <c r="K69" s="1">
        <f t="shared" si="15"/>
        <v>25.828111352934272</v>
      </c>
      <c r="L69" s="1">
        <f t="shared" si="10"/>
        <v>0.31185315653022982</v>
      </c>
      <c r="M69" s="2">
        <f t="shared" si="16"/>
        <v>-4.1713990140744728E-2</v>
      </c>
      <c r="N69" s="3">
        <f t="shared" si="17"/>
        <v>5.1239989114789811E-3</v>
      </c>
    </row>
    <row r="70" spans="4:14">
      <c r="D70">
        <f t="shared" si="18"/>
        <v>117</v>
      </c>
      <c r="E70" s="2">
        <f t="shared" si="11"/>
        <v>1.7883583253977646</v>
      </c>
      <c r="F70" s="2">
        <f t="shared" si="12"/>
        <v>1.6383583253977647</v>
      </c>
      <c r="G70" s="2">
        <f t="shared" si="13"/>
        <v>0.96314089230135558</v>
      </c>
      <c r="H70" s="2">
        <f t="shared" si="13"/>
        <v>0.94932651635479659</v>
      </c>
      <c r="I70" s="3">
        <f t="shared" si="14"/>
        <v>3.6859107698644443E-2</v>
      </c>
      <c r="J70" s="3">
        <f t="shared" si="14"/>
        <v>5.0673483645203465E-2</v>
      </c>
      <c r="K70" s="1">
        <f t="shared" si="15"/>
        <v>26.788869006103994</v>
      </c>
      <c r="L70" s="1">
        <f t="shared" si="10"/>
        <v>0.27261080969993223</v>
      </c>
      <c r="M70" s="2">
        <f t="shared" si="16"/>
        <v>-3.6859107698644422E-2</v>
      </c>
      <c r="N70" s="3">
        <f t="shared" si="17"/>
        <v>4.5935357611175823E-3</v>
      </c>
    </row>
    <row r="71" spans="4:14">
      <c r="D71">
        <f t="shared" si="18"/>
        <v>118</v>
      </c>
      <c r="E71" s="2">
        <f t="shared" si="11"/>
        <v>1.8450962565171556</v>
      </c>
      <c r="F71" s="2">
        <f t="shared" si="12"/>
        <v>1.6950962565171557</v>
      </c>
      <c r="G71" s="2">
        <f t="shared" si="13"/>
        <v>0.96748823116093885</v>
      </c>
      <c r="H71" s="2">
        <f t="shared" si="13"/>
        <v>0.95497141886377124</v>
      </c>
      <c r="I71" s="3">
        <f t="shared" si="14"/>
        <v>3.2511768839061102E-2</v>
      </c>
      <c r="J71" s="3">
        <f t="shared" si="14"/>
        <v>4.5028581136228728E-2</v>
      </c>
      <c r="K71" s="1">
        <f t="shared" si="15"/>
        <v>27.754223982707629</v>
      </c>
      <c r="L71" s="1">
        <f t="shared" si="10"/>
        <v>0.23796578630358134</v>
      </c>
      <c r="M71" s="2">
        <f t="shared" si="16"/>
        <v>-3.251176883906115E-2</v>
      </c>
      <c r="N71" s="3">
        <f t="shared" si="17"/>
        <v>4.1085164747144323E-3</v>
      </c>
    </row>
    <row r="72" spans="4:14">
      <c r="D72">
        <f t="shared" si="18"/>
        <v>119</v>
      </c>
      <c r="E72" s="2">
        <f t="shared" si="11"/>
        <v>1.90135538082292</v>
      </c>
      <c r="F72" s="2">
        <f t="shared" si="12"/>
        <v>1.7513553808229201</v>
      </c>
      <c r="G72" s="2">
        <f t="shared" si="13"/>
        <v>0.9713722601590794</v>
      </c>
      <c r="H72" s="2">
        <f t="shared" si="13"/>
        <v>0.9600576431490957</v>
      </c>
      <c r="I72" s="3">
        <f t="shared" si="14"/>
        <v>2.8627739840920548E-2</v>
      </c>
      <c r="J72" s="3">
        <f t="shared" si="14"/>
        <v>3.9942356850904276E-2</v>
      </c>
      <c r="K72" s="1">
        <f t="shared" si="15"/>
        <v>28.723691059658819</v>
      </c>
      <c r="L72" s="1">
        <f t="shared" si="10"/>
        <v>0.20743286325476928</v>
      </c>
      <c r="M72" s="2">
        <f t="shared" si="16"/>
        <v>-2.8627739840920596E-2</v>
      </c>
      <c r="N72" s="3">
        <f t="shared" si="17"/>
        <v>3.6664984120683931E-3</v>
      </c>
    </row>
    <row r="73" spans="4:14">
      <c r="D73">
        <f t="shared" si="18"/>
        <v>120</v>
      </c>
      <c r="E73" s="2">
        <f t="shared" si="11"/>
        <v>1.9571437119596973</v>
      </c>
      <c r="F73" s="2">
        <f t="shared" si="12"/>
        <v>1.8071437119596974</v>
      </c>
      <c r="G73" s="2">
        <f t="shared" si="13"/>
        <v>0.97483471278834466</v>
      </c>
      <c r="H73" s="2">
        <f t="shared" si="13"/>
        <v>0.96463006268862506</v>
      </c>
      <c r="I73" s="3">
        <f t="shared" si="14"/>
        <v>2.5165287211655313E-2</v>
      </c>
      <c r="J73" s="3">
        <f t="shared" si="14"/>
        <v>3.5369937311374999E-2</v>
      </c>
      <c r="K73" s="1">
        <f t="shared" si="15"/>
        <v>29.696828006297238</v>
      </c>
      <c r="L73" s="1">
        <f t="shared" si="10"/>
        <v>0.18056980989319271</v>
      </c>
      <c r="M73" s="2">
        <f t="shared" si="16"/>
        <v>-2.5165287211655341E-2</v>
      </c>
      <c r="N73" s="3">
        <f t="shared" si="17"/>
        <v>3.264932971939792E-3</v>
      </c>
    </row>
    <row r="74" spans="4:14">
      <c r="D74">
        <f t="shared" si="18"/>
        <v>121</v>
      </c>
      <c r="E74" s="2">
        <f t="shared" si="11"/>
        <v>2.0124690640576648</v>
      </c>
      <c r="F74" s="2">
        <f t="shared" si="12"/>
        <v>1.8624690640576649</v>
      </c>
      <c r="G74" s="2">
        <f t="shared" si="13"/>
        <v>0.9779147427137751</v>
      </c>
      <c r="H74" s="2">
        <f t="shared" si="13"/>
        <v>0.9687314989532142</v>
      </c>
      <c r="I74" s="3">
        <f t="shared" si="14"/>
        <v>2.2085257286224947E-2</v>
      </c>
      <c r="J74" s="3">
        <f t="shared" si="14"/>
        <v>3.1268501046785808E-2</v>
      </c>
      <c r="K74" s="1">
        <f t="shared" si="15"/>
        <v>30.673233040073683</v>
      </c>
      <c r="L74" s="1">
        <f t="shared" si="10"/>
        <v>0.15697484366961811</v>
      </c>
      <c r="M74" s="2">
        <f t="shared" si="16"/>
        <v>-2.2085257286224902E-2</v>
      </c>
      <c r="N74" s="3">
        <f t="shared" si="17"/>
        <v>2.9012170407267048E-3</v>
      </c>
    </row>
    <row r="75" spans="4:14">
      <c r="D75">
        <f t="shared" si="18"/>
        <v>122</v>
      </c>
      <c r="E75" s="2">
        <f t="shared" si="11"/>
        <v>2.0673390583011013</v>
      </c>
      <c r="F75" s="2">
        <f t="shared" si="12"/>
        <v>1.9173390583011014</v>
      </c>
      <c r="G75" s="2">
        <f t="shared" si="13"/>
        <v>0.98064889185007265</v>
      </c>
      <c r="H75" s="2">
        <f t="shared" si="13"/>
        <v>0.97240256453578733</v>
      </c>
      <c r="I75" s="3">
        <f t="shared" si="14"/>
        <v>1.9351108149927403E-2</v>
      </c>
      <c r="J75" s="3">
        <f t="shared" si="14"/>
        <v>2.7597435464212648E-2</v>
      </c>
      <c r="K75" s="1">
        <f t="shared" si="15"/>
        <v>31.652542227098138</v>
      </c>
      <c r="L75" s="1">
        <f t="shared" si="10"/>
        <v>0.13628403069407646</v>
      </c>
      <c r="M75" s="2">
        <f t="shared" si="16"/>
        <v>-1.9351108149927354E-2</v>
      </c>
      <c r="N75" s="3">
        <f t="shared" si="17"/>
        <v>2.5727369541513703E-3</v>
      </c>
    </row>
    <row r="76" spans="4:14">
      <c r="D76">
        <f t="shared" si="18"/>
        <v>123</v>
      </c>
      <c r="E76" s="2">
        <f t="shared" si="11"/>
        <v>2.1217611292288407</v>
      </c>
      <c r="F76" s="2">
        <f t="shared" si="12"/>
        <v>1.9717611292288408</v>
      </c>
      <c r="G76" s="2">
        <f t="shared" si="13"/>
        <v>0.98307109882161481</v>
      </c>
      <c r="H76" s="2">
        <f t="shared" si="13"/>
        <v>0.97568155918153299</v>
      </c>
      <c r="I76" s="3">
        <f t="shared" si="14"/>
        <v>1.6928901178385164E-2</v>
      </c>
      <c r="J76" s="3">
        <f t="shared" si="14"/>
        <v>2.4318440818466961E-2</v>
      </c>
      <c r="K76" s="1">
        <f t="shared" si="15"/>
        <v>32.634426871546879</v>
      </c>
      <c r="L76" s="1">
        <f t="shared" si="10"/>
        <v>0.11816867514281748</v>
      </c>
      <c r="M76" s="2">
        <f t="shared" si="16"/>
        <v>-1.6928901178385192E-2</v>
      </c>
      <c r="N76" s="3">
        <f t="shared" si="17"/>
        <v>2.2769053777156475E-3</v>
      </c>
    </row>
    <row r="77" spans="4:14">
      <c r="D77">
        <f t="shared" si="18"/>
        <v>124</v>
      </c>
      <c r="E77" s="2">
        <f t="shared" si="11"/>
        <v>2.1757425307796368</v>
      </c>
      <c r="F77" s="2">
        <f t="shared" si="12"/>
        <v>2.0257425307796368</v>
      </c>
      <c r="G77" s="2">
        <f t="shared" si="13"/>
        <v>0.98521274096741385</v>
      </c>
      <c r="H77" s="2">
        <f t="shared" si="13"/>
        <v>0.9786044120645534</v>
      </c>
      <c r="I77" s="3">
        <f t="shared" si="14"/>
        <v>1.478725903258613E-2</v>
      </c>
      <c r="J77" s="3">
        <f t="shared" si="14"/>
        <v>2.1395587935446568E-2</v>
      </c>
      <c r="K77" s="1">
        <f t="shared" si="15"/>
        <v>33.618590930850459</v>
      </c>
      <c r="L77" s="1">
        <f t="shared" si="10"/>
        <v>0.10233273444639956</v>
      </c>
      <c r="M77" s="2">
        <f t="shared" si="16"/>
        <v>-1.4787259032586153E-2</v>
      </c>
      <c r="N77" s="3">
        <f t="shared" si="17"/>
        <v>2.0111916054351936E-3</v>
      </c>
    </row>
    <row r="78" spans="4:14">
      <c r="D78">
        <f t="shared" si="18"/>
        <v>125</v>
      </c>
      <c r="E78" s="2">
        <f t="shared" si="11"/>
        <v>2.2292903420947319</v>
      </c>
      <c r="F78" s="2">
        <f t="shared" si="12"/>
        <v>2.079290342094732</v>
      </c>
      <c r="G78" s="2">
        <f t="shared" si="13"/>
        <v>0.98710270358597307</v>
      </c>
      <c r="H78" s="2">
        <f t="shared" si="13"/>
        <v>0.98120466386050653</v>
      </c>
      <c r="I78" s="3">
        <f t="shared" si="14"/>
        <v>1.2897296414026916E-2</v>
      </c>
      <c r="J78" s="3">
        <f t="shared" si="14"/>
        <v>1.8795336139493413E-2</v>
      </c>
      <c r="K78" s="1">
        <f t="shared" si="15"/>
        <v>34.6047684870084</v>
      </c>
      <c r="L78" s="1">
        <f t="shared" si="10"/>
        <v>8.8510290604353115E-2</v>
      </c>
      <c r="M78" s="2">
        <f t="shared" si="16"/>
        <v>-1.2897296414026926E-2</v>
      </c>
      <c r="N78" s="3">
        <f t="shared" si="17"/>
        <v>1.7731458380676698E-3</v>
      </c>
    </row>
    <row r="79" spans="4:14">
      <c r="D79">
        <f t="shared" si="18"/>
        <v>126</v>
      </c>
      <c r="E79" s="2">
        <f t="shared" si="11"/>
        <v>2.2824114730892444</v>
      </c>
      <c r="F79" s="2">
        <f t="shared" si="12"/>
        <v>2.1324114730892445</v>
      </c>
      <c r="G79" s="2">
        <f t="shared" si="13"/>
        <v>0.98876747069550275</v>
      </c>
      <c r="H79" s="2">
        <f t="shared" si="13"/>
        <v>0.98351348248219861</v>
      </c>
      <c r="I79" s="3">
        <f t="shared" si="14"/>
        <v>1.1232529304497278E-2</v>
      </c>
      <c r="J79" s="3">
        <f t="shared" si="14"/>
        <v>1.6486517517801433E-2</v>
      </c>
      <c r="K79" s="1">
        <f t="shared" si="15"/>
        <v>35.592721298358612</v>
      </c>
      <c r="L79" s="1">
        <f t="shared" si="10"/>
        <v>7.6463101954549417E-2</v>
      </c>
      <c r="M79" s="2">
        <f t="shared" si="16"/>
        <v>-1.1232529304497252E-2</v>
      </c>
      <c r="N79" s="3">
        <f t="shared" si="17"/>
        <v>1.5604180364819681E-3</v>
      </c>
    </row>
    <row r="80" spans="4:14">
      <c r="D80">
        <f t="shared" si="18"/>
        <v>127</v>
      </c>
      <c r="E80" s="2">
        <f t="shared" si="11"/>
        <v>2.3351126698033329</v>
      </c>
      <c r="F80" s="2">
        <f t="shared" si="12"/>
        <v>2.185112669803333</v>
      </c>
      <c r="G80" s="2">
        <f t="shared" si="13"/>
        <v>0.9902312321882023</v>
      </c>
      <c r="H80" s="2">
        <f t="shared" si="13"/>
        <v>0.98555970674559823</v>
      </c>
      <c r="I80" s="3">
        <f t="shared" si="14"/>
        <v>9.7687678117976875E-3</v>
      </c>
      <c r="J80" s="3">
        <f t="shared" si="14"/>
        <v>1.4440293254401789E-2</v>
      </c>
      <c r="K80" s="1">
        <f t="shared" si="15"/>
        <v>36.582236450705238</v>
      </c>
      <c r="L80" s="1">
        <f t="shared" si="10"/>
        <v>6.5978254301193529E-2</v>
      </c>
      <c r="M80" s="2">
        <f t="shared" si="16"/>
        <v>-9.7687678117976962E-3</v>
      </c>
      <c r="N80" s="3">
        <f t="shared" si="17"/>
        <v>1.3707719576234389E-3</v>
      </c>
    </row>
    <row r="81" spans="4:14">
      <c r="D81">
        <f t="shared" si="18"/>
        <v>128</v>
      </c>
      <c r="E81" s="2">
        <f t="shared" si="11"/>
        <v>2.3874005195435055</v>
      </c>
      <c r="F81" s="2">
        <f t="shared" si="12"/>
        <v>2.2374005195435056</v>
      </c>
      <c r="G81" s="2">
        <f t="shared" si="13"/>
        <v>0.99151600286290531</v>
      </c>
      <c r="H81" s="2">
        <f t="shared" si="13"/>
        <v>0.9873699126908746</v>
      </c>
      <c r="I81" s="3">
        <f t="shared" si="14"/>
        <v>8.4839971370946465E-3</v>
      </c>
      <c r="J81" s="3">
        <f t="shared" si="14"/>
        <v>1.263008730912542E-2</v>
      </c>
      <c r="K81" s="1">
        <f t="shared" si="15"/>
        <v>37.573124121891709</v>
      </c>
      <c r="L81" s="1">
        <f t="shared" si="10"/>
        <v>5.686592548766356E-2</v>
      </c>
      <c r="M81" s="2">
        <f t="shared" si="16"/>
        <v>-8.4839971370946898E-3</v>
      </c>
      <c r="N81" s="3">
        <f t="shared" si="17"/>
        <v>1.2020949740993551E-3</v>
      </c>
    </row>
    <row r="82" spans="4:14">
      <c r="D82">
        <f t="shared" si="18"/>
        <v>129</v>
      </c>
      <c r="E82" s="2">
        <f t="shared" si="11"/>
        <v>2.4392814558238718</v>
      </c>
      <c r="F82" s="2">
        <f t="shared" si="12"/>
        <v>2.2892814558238719</v>
      </c>
      <c r="G82" s="2">
        <f t="shared" si="13"/>
        <v>0.99264174941210892</v>
      </c>
      <c r="H82" s="2">
        <f t="shared" si="13"/>
        <v>0.98896849777403439</v>
      </c>
      <c r="I82" s="3">
        <f t="shared" si="14"/>
        <v>7.3582505878911336E-3</v>
      </c>
      <c r="J82" s="3">
        <f t="shared" si="14"/>
        <v>1.103150222596566E-2</v>
      </c>
      <c r="K82" s="1">
        <f t="shared" si="15"/>
        <v>38.56521546968618</v>
      </c>
      <c r="L82" s="1">
        <f t="shared" si="10"/>
        <v>4.8957273282114522E-2</v>
      </c>
      <c r="M82" s="2">
        <f t="shared" si="16"/>
        <v>-7.3582505878910798E-3</v>
      </c>
      <c r="N82" s="3">
        <f t="shared" si="17"/>
        <v>1.0524042577607115E-3</v>
      </c>
    </row>
    <row r="83" spans="4:14">
      <c r="D83">
        <f t="shared" si="18"/>
        <v>130</v>
      </c>
      <c r="E83" s="2">
        <f t="shared" si="11"/>
        <v>2.4907617631166072</v>
      </c>
      <c r="F83" s="2">
        <f t="shared" si="12"/>
        <v>2.3407617631166073</v>
      </c>
      <c r="G83" s="2">
        <f t="shared" si="13"/>
        <v>0.99362652200489976</v>
      </c>
      <c r="H83" s="2">
        <f t="shared" si="13"/>
        <v>0.99037777865046583</v>
      </c>
      <c r="I83" s="3">
        <f t="shared" si="14"/>
        <v>6.3734779951002745E-3</v>
      </c>
      <c r="J83" s="3">
        <f t="shared" si="14"/>
        <v>9.6222213495341571E-3</v>
      </c>
      <c r="K83" s="1">
        <f t="shared" si="15"/>
        <v>39.558360649209305</v>
      </c>
      <c r="L83" s="1">
        <f t="shared" si="10"/>
        <v>4.2102452805261481E-2</v>
      </c>
      <c r="M83" s="2">
        <f t="shared" si="16"/>
        <v>-6.3734779951002407E-3</v>
      </c>
      <c r="N83" s="3">
        <f t="shared" si="17"/>
        <v>9.1984987638710019E-4</v>
      </c>
    </row>
    <row r="84" spans="4:14">
      <c r="D84">
        <f t="shared" si="18"/>
        <v>131</v>
      </c>
      <c r="E84" s="2">
        <f t="shared" si="11"/>
        <v>2.5418475814204018</v>
      </c>
      <c r="F84" s="2">
        <f t="shared" si="12"/>
        <v>2.3918475814204019</v>
      </c>
      <c r="G84" s="2">
        <f t="shared" si="13"/>
        <v>0.99448658763752595</v>
      </c>
      <c r="H84" s="2">
        <f t="shared" si="13"/>
        <v>0.9916180987765747</v>
      </c>
      <c r="I84" s="3">
        <f t="shared" si="14"/>
        <v>5.5134123624740652E-3</v>
      </c>
      <c r="J84" s="3">
        <f t="shared" si="14"/>
        <v>8.381901223425324E-3</v>
      </c>
      <c r="K84" s="1">
        <f t="shared" si="15"/>
        <v>40.552426963043629</v>
      </c>
      <c r="L84" s="1">
        <f t="shared" si="10"/>
        <v>3.6168766639559369E-2</v>
      </c>
      <c r="M84" s="2">
        <f t="shared" si="16"/>
        <v>-5.5134123624740461E-3</v>
      </c>
      <c r="N84" s="3">
        <f t="shared" si="17"/>
        <v>8.0271531383226298E-4</v>
      </c>
    </row>
    <row r="85" spans="4:14">
      <c r="D85">
        <f t="shared" si="18"/>
        <v>132</v>
      </c>
      <c r="E85" s="2">
        <f t="shared" si="11"/>
        <v>2.5925449106551972</v>
      </c>
      <c r="F85" s="2">
        <f t="shared" si="12"/>
        <v>2.4425449106551973</v>
      </c>
      <c r="G85" s="2">
        <f t="shared" si="13"/>
        <v>0.99523656291224527</v>
      </c>
      <c r="H85" s="2">
        <f t="shared" si="13"/>
        <v>0.99270794254735117</v>
      </c>
      <c r="I85" s="3">
        <f t="shared" si="14"/>
        <v>4.7634370877547615E-3</v>
      </c>
      <c r="J85" s="3">
        <f t="shared" si="14"/>
        <v>7.2920574526487911E-3</v>
      </c>
      <c r="K85" s="1">
        <f t="shared" si="15"/>
        <v>41.547297144582899</v>
      </c>
      <c r="L85" s="1">
        <f t="shared" si="10"/>
        <v>3.1038948178832237E-2</v>
      </c>
      <c r="M85" s="2">
        <f t="shared" si="16"/>
        <v>-4.7634370877547294E-3</v>
      </c>
      <c r="N85" s="3">
        <f t="shared" si="17"/>
        <v>6.9941588044038542E-4</v>
      </c>
    </row>
    <row r="86" spans="4:14">
      <c r="D86">
        <f t="shared" si="18"/>
        <v>133</v>
      </c>
      <c r="E86" s="2">
        <f t="shared" si="11"/>
        <v>2.6428596148910835</v>
      </c>
      <c r="F86" s="2">
        <f t="shared" si="12"/>
        <v>2.4928596148910835</v>
      </c>
      <c r="G86" s="2">
        <f t="shared" si="13"/>
        <v>0.99588954434897003</v>
      </c>
      <c r="H86" s="2">
        <f t="shared" si="13"/>
        <v>0.99366405315669581</v>
      </c>
      <c r="I86" s="3">
        <f t="shared" si="14"/>
        <v>4.1104556510299954E-3</v>
      </c>
      <c r="J86" s="3">
        <f t="shared" si="14"/>
        <v>6.3359468433041343E-3</v>
      </c>
      <c r="K86" s="1">
        <f t="shared" si="15"/>
        <v>42.542867773067911</v>
      </c>
      <c r="L86" s="1">
        <f t="shared" si="10"/>
        <v>2.6609576663850776E-2</v>
      </c>
      <c r="M86" s="2">
        <f t="shared" si="16"/>
        <v>-4.110455651029965E-3</v>
      </c>
      <c r="N86" s="3">
        <f t="shared" si="17"/>
        <v>6.0849543443251494E-4</v>
      </c>
    </row>
    <row r="87" spans="4:14">
      <c r="D87">
        <f t="shared" si="18"/>
        <v>134</v>
      </c>
      <c r="E87" s="2">
        <f t="shared" si="11"/>
        <v>2.6927974264188004</v>
      </c>
      <c r="F87" s="2">
        <f t="shared" si="12"/>
        <v>2.5427974264188005</v>
      </c>
      <c r="G87" s="2">
        <f t="shared" si="13"/>
        <v>0.99645723473149428</v>
      </c>
      <c r="H87" s="2">
        <f t="shared" si="13"/>
        <v>0.99450155180677602</v>
      </c>
      <c r="I87" s="3">
        <f t="shared" si="14"/>
        <v>3.5427652685056698E-3</v>
      </c>
      <c r="J87" s="3">
        <f t="shared" si="14"/>
        <v>5.498448193223932E-3</v>
      </c>
      <c r="K87" s="1">
        <f t="shared" si="15"/>
        <v>43.539047817060421</v>
      </c>
      <c r="L87" s="1">
        <f t="shared" si="10"/>
        <v>2.2789620656363196E-2</v>
      </c>
      <c r="M87" s="2">
        <f t="shared" si="16"/>
        <v>-3.5427652685057209E-3</v>
      </c>
      <c r="N87" s="3">
        <f t="shared" si="17"/>
        <v>5.2862178810437783E-4</v>
      </c>
    </row>
    <row r="88" spans="4:14">
      <c r="D88">
        <f t="shared" si="18"/>
        <v>135</v>
      </c>
      <c r="E88" s="2">
        <f t="shared" si="11"/>
        <v>2.7423639496689214</v>
      </c>
      <c r="F88" s="2">
        <f t="shared" si="12"/>
        <v>2.5923639496689215</v>
      </c>
      <c r="G88" s="2">
        <f t="shared" si="13"/>
        <v>0.9969500643407373</v>
      </c>
      <c r="H88" s="2">
        <f t="shared" si="13"/>
        <v>0.99523405629796313</v>
      </c>
      <c r="I88" s="3">
        <f t="shared" si="14"/>
        <v>3.0499356592626971E-3</v>
      </c>
      <c r="J88" s="3">
        <f t="shared" si="14"/>
        <v>4.765943702036821E-3</v>
      </c>
      <c r="K88" s="1">
        <f t="shared" si="15"/>
        <v>44.535757301789161</v>
      </c>
      <c r="L88" s="1">
        <f t="shared" si="10"/>
        <v>1.9499105385109849E-2</v>
      </c>
      <c r="M88" s="2">
        <f t="shared" si="16"/>
        <v>-3.0499356592627036E-3</v>
      </c>
      <c r="N88" s="3">
        <f t="shared" si="17"/>
        <v>4.5858112650422778E-4</v>
      </c>
    </row>
    <row r="89" spans="4:14">
      <c r="D89">
        <f t="shared" si="18"/>
        <v>136</v>
      </c>
      <c r="E89" s="2">
        <f t="shared" si="11"/>
        <v>2.7915646649864052</v>
      </c>
      <c r="F89" s="2">
        <f t="shared" si="12"/>
        <v>2.6415646649864053</v>
      </c>
      <c r="G89" s="2">
        <f t="shared" si="13"/>
        <v>0.99737730623272114</v>
      </c>
      <c r="H89" s="2">
        <f t="shared" si="13"/>
        <v>0.99587379739924553</v>
      </c>
      <c r="I89" s="3">
        <f t="shared" si="14"/>
        <v>2.6226937672789085E-3</v>
      </c>
      <c r="J89" s="3">
        <f t="shared" si="14"/>
        <v>4.1262026007545128E-3</v>
      </c>
      <c r="K89" s="1">
        <f t="shared" si="15"/>
        <v>45.532926094810122</v>
      </c>
      <c r="L89" s="1">
        <f t="shared" si="10"/>
        <v>1.6667898406065862E-2</v>
      </c>
      <c r="M89" s="2">
        <f t="shared" si="16"/>
        <v>-2.6226937672788608E-3</v>
      </c>
      <c r="N89" s="3">
        <f t="shared" si="17"/>
        <v>3.9727172186326674E-4</v>
      </c>
    </row>
    <row r="90" spans="4:14">
      <c r="D90">
        <f t="shared" si="18"/>
        <v>137</v>
      </c>
      <c r="E90" s="2">
        <f t="shared" si="11"/>
        <v>2.8404049322668907</v>
      </c>
      <c r="F90" s="2">
        <f t="shared" si="12"/>
        <v>2.6904049322668908</v>
      </c>
      <c r="G90" s="2">
        <f t="shared" si="13"/>
        <v>0.99774718498112225</v>
      </c>
      <c r="H90" s="2">
        <f t="shared" si="13"/>
        <v>0.99643173172923671</v>
      </c>
      <c r="I90" s="3">
        <f t="shared" si="14"/>
        <v>2.2528150188777254E-3</v>
      </c>
      <c r="J90" s="3">
        <f t="shared" si="14"/>
        <v>3.568268270763317E-3</v>
      </c>
      <c r="K90" s="1">
        <f t="shared" si="15"/>
        <v>46.530492803715504</v>
      </c>
      <c r="L90" s="1">
        <f t="shared" si="10"/>
        <v>1.4234607311463365E-2</v>
      </c>
      <c r="M90" s="2">
        <f t="shared" si="16"/>
        <v>-2.2528150188777518E-3</v>
      </c>
      <c r="N90" s="3">
        <f t="shared" si="17"/>
        <v>3.4369718522487853E-4</v>
      </c>
    </row>
    <row r="91" spans="4:14">
      <c r="D91">
        <f t="shared" si="18"/>
        <v>138</v>
      </c>
      <c r="E91" s="2">
        <f t="shared" si="11"/>
        <v>2.8888899944607549</v>
      </c>
      <c r="F91" s="2">
        <f t="shared" si="12"/>
        <v>2.738889994460755</v>
      </c>
      <c r="G91" s="2">
        <f t="shared" si="13"/>
        <v>0.99806697852604642</v>
      </c>
      <c r="H91" s="2">
        <f t="shared" si="13"/>
        <v>0.99691765017004841</v>
      </c>
      <c r="I91" s="3">
        <f t="shared" si="14"/>
        <v>1.933021473953567E-3</v>
      </c>
      <c r="J91" s="3">
        <f t="shared" si="14"/>
        <v>3.0823498299516017E-3</v>
      </c>
      <c r="K91" s="1">
        <f t="shared" si="15"/>
        <v>47.528403779160172</v>
      </c>
      <c r="L91" s="1">
        <f t="shared" si="10"/>
        <v>1.2145582756106332E-2</v>
      </c>
      <c r="M91" s="2">
        <f t="shared" si="16"/>
        <v>-1.9330214739535778E-3</v>
      </c>
      <c r="N91" s="3">
        <f t="shared" si="17"/>
        <v>2.9695945800178641E-4</v>
      </c>
    </row>
    <row r="92" spans="4:14">
      <c r="D92">
        <f t="shared" si="18"/>
        <v>139</v>
      </c>
      <c r="E92" s="2">
        <f t="shared" si="11"/>
        <v>2.9370249809506688</v>
      </c>
      <c r="F92" s="2">
        <f t="shared" si="12"/>
        <v>2.7870249809506689</v>
      </c>
      <c r="G92" s="2">
        <f t="shared" si="13"/>
        <v>0.99834311295546985</v>
      </c>
      <c r="H92" s="2">
        <f t="shared" si="13"/>
        <v>0.99734028109139716</v>
      </c>
      <c r="I92" s="3">
        <f t="shared" si="14"/>
        <v>1.6568870445301997E-3</v>
      </c>
      <c r="J92" s="3">
        <f t="shared" si="14"/>
        <v>2.6597189086027956E-3</v>
      </c>
      <c r="K92" s="1">
        <f t="shared" si="15"/>
        <v>48.526612216210523</v>
      </c>
      <c r="L92" s="1">
        <f t="shared" si="10"/>
        <v>1.0354019806459613E-2</v>
      </c>
      <c r="M92" s="2">
        <f t="shared" si="16"/>
        <v>-1.6568870445301531E-3</v>
      </c>
      <c r="N92" s="3">
        <f t="shared" si="17"/>
        <v>2.5625171090958319E-4</v>
      </c>
    </row>
    <row r="93" spans="4:14">
      <c r="D93">
        <f t="shared" si="18"/>
        <v>140</v>
      </c>
      <c r="E93" s="2">
        <f t="shared" si="11"/>
        <v>2.9848149108080864</v>
      </c>
      <c r="F93" s="2">
        <f t="shared" si="12"/>
        <v>2.8348149108080865</v>
      </c>
      <c r="G93" s="2">
        <f t="shared" si="13"/>
        <v>0.99858125019709376</v>
      </c>
      <c r="H93" s="2">
        <f t="shared" si="13"/>
        <v>0.99770738788212465</v>
      </c>
      <c r="I93" s="3">
        <f t="shared" si="14"/>
        <v>1.4187498029062226E-3</v>
      </c>
      <c r="J93" s="3">
        <f t="shared" si="14"/>
        <v>2.2926121178754007E-3</v>
      </c>
      <c r="K93" s="1">
        <f t="shared" si="15"/>
        <v>49.525077346926821</v>
      </c>
      <c r="L93" s="1">
        <f t="shared" si="10"/>
        <v>8.8191505227618872E-3</v>
      </c>
      <c r="M93" s="2">
        <f t="shared" si="16"/>
        <v>-1.4187498029062384E-3</v>
      </c>
      <c r="N93" s="3">
        <f t="shared" si="17"/>
        <v>2.2085128603593158E-4</v>
      </c>
    </row>
    <row r="94" spans="4:14">
      <c r="D94">
        <f t="shared" si="18"/>
        <v>141</v>
      </c>
      <c r="E94" s="2">
        <f t="shared" si="11"/>
        <v>3.0322646959338457</v>
      </c>
      <c r="F94" s="2">
        <f t="shared" si="12"/>
        <v>2.8822646959338458</v>
      </c>
      <c r="G94" s="2">
        <f t="shared" si="13"/>
        <v>0.99878636871977899</v>
      </c>
      <c r="H94" s="2">
        <f t="shared" si="13"/>
        <v>0.99802586047309949</v>
      </c>
      <c r="I94" s="3">
        <f t="shared" si="14"/>
        <v>1.2136312802210442E-3</v>
      </c>
      <c r="J94" s="3">
        <f t="shared" si="14"/>
        <v>1.9741395269005035E-3</v>
      </c>
      <c r="K94" s="1">
        <f t="shared" si="15"/>
        <v>50.523763717129228</v>
      </c>
      <c r="L94" s="1">
        <f t="shared" si="10"/>
        <v>7.5055207251709666E-3</v>
      </c>
      <c r="M94" s="2">
        <f t="shared" si="16"/>
        <v>-1.2136312802210059E-3</v>
      </c>
      <c r="N94" s="3">
        <f t="shared" si="17"/>
        <v>1.9011278972510027E-4</v>
      </c>
    </row>
    <row r="95" spans="4:14">
      <c r="D95">
        <f t="shared" si="18"/>
        <v>142</v>
      </c>
      <c r="E95" s="2">
        <f t="shared" si="11"/>
        <v>3.0793791440877958</v>
      </c>
      <c r="F95" s="2">
        <f t="shared" si="12"/>
        <v>2.9293791440877959</v>
      </c>
      <c r="G95" s="2">
        <f t="shared" si="13"/>
        <v>0.99896283743883885</v>
      </c>
      <c r="H95" s="2">
        <f t="shared" si="13"/>
        <v>0.9983018006918617</v>
      </c>
      <c r="I95" s="3">
        <f t="shared" si="14"/>
        <v>1.0371625611611205E-3</v>
      </c>
      <c r="J95" s="3">
        <f t="shared" si="14"/>
        <v>1.6981993081383309E-3</v>
      </c>
      <c r="K95" s="1">
        <f t="shared" si="15"/>
        <v>51.522640540447796</v>
      </c>
      <c r="L95" s="1">
        <f t="shared" si="10"/>
        <v>6.3823440437549006E-3</v>
      </c>
      <c r="M95" s="2">
        <f t="shared" si="16"/>
        <v>-1.0371625611611535E-3</v>
      </c>
      <c r="N95" s="3">
        <f t="shared" si="17"/>
        <v>1.6346141940041424E-4</v>
      </c>
    </row>
    <row r="96" spans="4:14">
      <c r="D96">
        <f t="shared" si="18"/>
        <v>143</v>
      </c>
      <c r="E96" s="2">
        <f t="shared" si="11"/>
        <v>3.1261629618121063</v>
      </c>
      <c r="F96" s="2">
        <f t="shared" si="12"/>
        <v>2.9761629618121064</v>
      </c>
      <c r="G96" s="2">
        <f t="shared" si="13"/>
        <v>0.99911448309172513</v>
      </c>
      <c r="H96" s="2">
        <f t="shared" si="13"/>
        <v>0.99854060141816159</v>
      </c>
      <c r="I96" s="3">
        <f t="shared" si="14"/>
        <v>8.8551690827486118E-4</v>
      </c>
      <c r="J96" s="3">
        <f t="shared" si="14"/>
        <v>1.4593985818383735E-3</v>
      </c>
      <c r="K96" s="1">
        <f t="shared" si="15"/>
        <v>52.521681122988355</v>
      </c>
      <c r="L96" s="1">
        <f t="shared" si="10"/>
        <v>5.4229265842923036E-3</v>
      </c>
      <c r="M96" s="2">
        <f t="shared" si="16"/>
        <v>-8.8551690827487484E-4</v>
      </c>
      <c r="N96" s="3">
        <f t="shared" si="17"/>
        <v>1.4038658624790132E-4</v>
      </c>
    </row>
    <row r="97" spans="4:14">
      <c r="D97">
        <f t="shared" si="18"/>
        <v>144</v>
      </c>
      <c r="E97" s="2">
        <f t="shared" si="11"/>
        <v>3.1726207572527283</v>
      </c>
      <c r="F97" s="2">
        <f t="shared" si="12"/>
        <v>3.0226207572527284</v>
      </c>
      <c r="G97" s="2">
        <f t="shared" si="13"/>
        <v>0.99924465140327723</v>
      </c>
      <c r="H97" s="2">
        <f t="shared" si="13"/>
        <v>0.99874701961364087</v>
      </c>
      <c r="I97" s="3">
        <f t="shared" si="14"/>
        <v>7.5534859672279236E-4</v>
      </c>
      <c r="J97" s="3">
        <f t="shared" si="14"/>
        <v>1.2529803863591327E-3</v>
      </c>
      <c r="K97" s="1">
        <f t="shared" si="15"/>
        <v>53.520862352240272</v>
      </c>
      <c r="L97" s="1">
        <f t="shared" si="10"/>
        <v>4.6041558362075602E-3</v>
      </c>
      <c r="M97" s="2">
        <f t="shared" si="16"/>
        <v>-7.5534859672277133E-4</v>
      </c>
      <c r="N97" s="3">
        <f t="shared" si="17"/>
        <v>1.2043587762379606E-4</v>
      </c>
    </row>
    <row r="98" spans="4:14">
      <c r="D98">
        <f t="shared" si="18"/>
        <v>145</v>
      </c>
      <c r="E98" s="2">
        <f t="shared" si="11"/>
        <v>3.2187570428832202</v>
      </c>
      <c r="F98" s="2">
        <f t="shared" si="12"/>
        <v>3.0687570428832203</v>
      </c>
      <c r="G98" s="2">
        <f t="shared" si="13"/>
        <v>0.99935626239575581</v>
      </c>
      <c r="H98" s="2">
        <f t="shared" si="13"/>
        <v>0.99892524338113786</v>
      </c>
      <c r="I98" s="3">
        <f t="shared" si="14"/>
        <v>6.4373760424415625E-4</v>
      </c>
      <c r="J98" s="3">
        <f t="shared" si="14"/>
        <v>1.0747566188621627E-3</v>
      </c>
      <c r="K98" s="1">
        <f t="shared" si="15"/>
        <v>54.520164244191463</v>
      </c>
      <c r="L98" s="1">
        <f t="shared" si="10"/>
        <v>3.9060477874270638E-3</v>
      </c>
      <c r="M98" s="2">
        <f t="shared" si="16"/>
        <v>-6.437376042441878E-4</v>
      </c>
      <c r="N98" s="3">
        <f t="shared" si="17"/>
        <v>1.0320938787279024E-4</v>
      </c>
    </row>
    <row r="99" spans="4:14">
      <c r="D99">
        <f t="shared" si="18"/>
        <v>146</v>
      </c>
      <c r="E99" s="2">
        <f t="shared" si="11"/>
        <v>3.2645762381349672</v>
      </c>
      <c r="F99" s="2">
        <f t="shared" si="12"/>
        <v>3.1145762381349673</v>
      </c>
      <c r="G99" s="2">
        <f t="shared" si="13"/>
        <v>0.99945186022107779</v>
      </c>
      <c r="H99" s="2">
        <f t="shared" si="13"/>
        <v>0.99907895327227003</v>
      </c>
      <c r="I99" s="3">
        <f t="shared" si="14"/>
        <v>5.4813977892224897E-4</v>
      </c>
      <c r="J99" s="3">
        <f t="shared" si="14"/>
        <v>9.2104672772994284E-4</v>
      </c>
      <c r="K99" s="1">
        <f t="shared" si="15"/>
        <v>55.519569542982381</v>
      </c>
      <c r="L99" s="1">
        <f t="shared" si="10"/>
        <v>3.3113465783147361E-3</v>
      </c>
      <c r="M99" s="2">
        <f t="shared" si="16"/>
        <v>-5.4813977892220755E-4</v>
      </c>
      <c r="N99" s="3">
        <f t="shared" si="17"/>
        <v>8.8354433679786881E-5</v>
      </c>
    </row>
    <row r="100" spans="4:14">
      <c r="D100">
        <f t="shared" si="18"/>
        <v>147</v>
      </c>
      <c r="E100" s="2">
        <f t="shared" si="11"/>
        <v>3.3100826719376326</v>
      </c>
      <c r="F100" s="2">
        <f t="shared" si="12"/>
        <v>3.1600826719376327</v>
      </c>
      <c r="G100" s="2">
        <f t="shared" si="13"/>
        <v>0.99953365790349324</v>
      </c>
      <c r="H100" s="2">
        <f t="shared" si="13"/>
        <v>0.99921137810865623</v>
      </c>
      <c r="I100" s="3">
        <f t="shared" si="14"/>
        <v>4.6634209650675312E-4</v>
      </c>
      <c r="J100" s="3">
        <f t="shared" si="14"/>
        <v>7.8862189134371291E-4</v>
      </c>
      <c r="K100" s="1">
        <f t="shared" si="15"/>
        <v>56.519063367814582</v>
      </c>
      <c r="L100" s="1">
        <f t="shared" si="10"/>
        <v>2.8051714105152975E-3</v>
      </c>
      <c r="M100" s="2">
        <f t="shared" si="16"/>
        <v>-4.6634209650675551E-4</v>
      </c>
      <c r="N100" s="3">
        <f t="shared" si="17"/>
        <v>7.5560659845885683E-5</v>
      </c>
    </row>
    <row r="101" spans="4:14">
      <c r="D101">
        <f t="shared" si="18"/>
        <v>148</v>
      </c>
      <c r="E101" s="2">
        <f t="shared" si="11"/>
        <v>3.355280585173491</v>
      </c>
      <c r="F101" s="2">
        <f t="shared" si="12"/>
        <v>3.2052805851734911</v>
      </c>
      <c r="G101" s="2">
        <f t="shared" si="13"/>
        <v>0.99960357738259109</v>
      </c>
      <c r="H101" s="2">
        <f t="shared" si="13"/>
        <v>0.99932534561484754</v>
      </c>
      <c r="I101" s="3">
        <f t="shared" si="14"/>
        <v>3.9642261740887837E-4</v>
      </c>
      <c r="J101" s="3">
        <f t="shared" si="14"/>
        <v>6.7465438515245443E-4</v>
      </c>
      <c r="K101" s="1">
        <f t="shared" si="15"/>
        <v>57.518632902220332</v>
      </c>
      <c r="L101" s="1">
        <f t="shared" si="10"/>
        <v>2.3747058162844614E-3</v>
      </c>
      <c r="M101" s="2">
        <f t="shared" si="16"/>
        <v>-3.9642261740890916E-4</v>
      </c>
      <c r="N101" s="3">
        <f t="shared" si="17"/>
        <v>6.4555533202849326E-5</v>
      </c>
    </row>
    <row r="102" spans="4:14">
      <c r="D102">
        <f t="shared" si="18"/>
        <v>149</v>
      </c>
      <c r="E102" s="2">
        <f t="shared" si="11"/>
        <v>3.4001741330491186</v>
      </c>
      <c r="F102" s="2">
        <f t="shared" si="12"/>
        <v>3.2501741330491187</v>
      </c>
      <c r="G102" s="2">
        <f t="shared" si="13"/>
        <v>0.9996632852408972</v>
      </c>
      <c r="H102" s="2">
        <f t="shared" si="13"/>
        <v>0.99942332818197244</v>
      </c>
      <c r="I102" s="3">
        <f t="shared" si="14"/>
        <v>3.3671475910280454E-4</v>
      </c>
      <c r="J102" s="3">
        <f t="shared" si="14"/>
        <v>5.7667181802751168E-4</v>
      </c>
      <c r="K102" s="1">
        <f t="shared" si="15"/>
        <v>58.518267121185559</v>
      </c>
      <c r="L102" s="1">
        <f t="shared" si="10"/>
        <v>2.0089247814937539E-3</v>
      </c>
      <c r="M102" s="2">
        <f t="shared" si="16"/>
        <v>-3.3671475910279636E-4</v>
      </c>
      <c r="N102" s="3">
        <f t="shared" si="17"/>
        <v>5.5100215993139198E-5</v>
      </c>
    </row>
    <row r="103" spans="4:14">
      <c r="D103">
        <f t="shared" si="18"/>
        <v>150</v>
      </c>
      <c r="E103" s="2">
        <f t="shared" si="11"/>
        <v>3.4447673873877624</v>
      </c>
      <c r="F103" s="2">
        <f t="shared" si="12"/>
        <v>3.2947673873877625</v>
      </c>
      <c r="G103" s="2">
        <f t="shared" si="13"/>
        <v>0.99971422448911762</v>
      </c>
      <c r="H103" s="2">
        <f t="shared" si="13"/>
        <v>0.99950748409229528</v>
      </c>
      <c r="I103" s="3">
        <f t="shared" si="14"/>
        <v>2.8577551088242897E-4</v>
      </c>
      <c r="J103" s="3">
        <f t="shared" si="14"/>
        <v>4.9251590770472357E-4</v>
      </c>
      <c r="K103" s="1">
        <f t="shared" si="15"/>
        <v>59.517956551998623</v>
      </c>
      <c r="L103" s="1">
        <f t="shared" si="10"/>
        <v>1.6983555945535578E-3</v>
      </c>
      <c r="M103" s="2">
        <f t="shared" si="16"/>
        <v>-2.8577551088238007E-4</v>
      </c>
      <c r="N103" s="3">
        <f t="shared" si="17"/>
        <v>4.6985805193967726E-5</v>
      </c>
    </row>
    <row r="104" spans="4:14">
      <c r="D104">
        <f t="shared" si="18"/>
        <v>151</v>
      </c>
      <c r="E104" s="2">
        <f t="shared" si="11"/>
        <v>3.4890643388455533</v>
      </c>
      <c r="F104" s="2">
        <f t="shared" si="12"/>
        <v>3.3390643388455534</v>
      </c>
      <c r="G104" s="2">
        <f t="shared" si="13"/>
        <v>0.99975764276668522</v>
      </c>
      <c r="H104" s="2">
        <f t="shared" si="13"/>
        <v>0.99957969453813889</v>
      </c>
      <c r="I104" s="3">
        <f t="shared" si="14"/>
        <v>2.423572333147498E-4</v>
      </c>
      <c r="J104" s="3">
        <f t="shared" si="14"/>
        <v>4.2030546186113906E-4</v>
      </c>
      <c r="K104" s="1">
        <f t="shared" si="15"/>
        <v>60.517693065063213</v>
      </c>
      <c r="L104" s="1">
        <f t="shared" si="10"/>
        <v>1.4348686591572277E-3</v>
      </c>
      <c r="M104" s="2">
        <f t="shared" si="16"/>
        <v>-2.4235723331478276E-4</v>
      </c>
      <c r="N104" s="3">
        <f t="shared" si="17"/>
        <v>4.00299207216321E-5</v>
      </c>
    </row>
    <row r="105" spans="4:14">
      <c r="D105">
        <f t="shared" si="18"/>
        <v>152</v>
      </c>
      <c r="E105" s="2">
        <f t="shared" si="11"/>
        <v>3.5330688990545673</v>
      </c>
      <c r="F105" s="2">
        <f t="shared" si="12"/>
        <v>3.3830688990545674</v>
      </c>
      <c r="G105" s="2">
        <f t="shared" si="13"/>
        <v>0.99979461729689845</v>
      </c>
      <c r="H105" s="2">
        <f t="shared" si="13"/>
        <v>0.99964159676553555</v>
      </c>
      <c r="I105" s="3">
        <f t="shared" si="14"/>
        <v>2.0538270310155576E-4</v>
      </c>
      <c r="J105" s="3">
        <f t="shared" si="14"/>
        <v>3.5840323446442013E-4</v>
      </c>
      <c r="K105" s="1">
        <f t="shared" si="15"/>
        <v>61.517469691261482</v>
      </c>
      <c r="L105" s="1">
        <f t="shared" si="10"/>
        <v>1.2114948574157777E-3</v>
      </c>
      <c r="M105" s="2">
        <f t="shared" si="16"/>
        <v>-2.0538270310155315E-4</v>
      </c>
      <c r="N105" s="3">
        <f t="shared" si="17"/>
        <v>3.4073623005391312E-5</v>
      </c>
    </row>
    <row r="106" spans="4:14">
      <c r="D106">
        <f t="shared" si="18"/>
        <v>153</v>
      </c>
      <c r="E106" s="2">
        <f t="shared" si="11"/>
        <v>3.5767849026956275</v>
      </c>
      <c r="F106" s="2">
        <f t="shared" si="12"/>
        <v>3.4267849026956276</v>
      </c>
      <c r="G106" s="2">
        <f t="shared" si="13"/>
        <v>0.99982607691558933</v>
      </c>
      <c r="H106" s="2">
        <f t="shared" si="13"/>
        <v>0.99969461366491663</v>
      </c>
      <c r="I106" s="3">
        <f t="shared" si="14"/>
        <v>1.7392308441066022E-4</v>
      </c>
      <c r="J106" s="3">
        <f t="shared" si="14"/>
        <v>3.0538633508341121E-4</v>
      </c>
      <c r="K106" s="1">
        <f t="shared" si="15"/>
        <v>62.517280462783233</v>
      </c>
      <c r="L106" s="1">
        <f t="shared" si="10"/>
        <v>1.0222663792027985E-3</v>
      </c>
      <c r="M106" s="2">
        <f t="shared" si="16"/>
        <v>-1.739230844106654E-4</v>
      </c>
      <c r="N106" s="3">
        <f t="shared" si="17"/>
        <v>2.8978638878599576E-5</v>
      </c>
    </row>
    <row r="107" spans="4:14">
      <c r="D107">
        <f t="shared" si="18"/>
        <v>154</v>
      </c>
      <c r="E107" s="2">
        <f t="shared" si="11"/>
        <v>3.6202161095035854</v>
      </c>
      <c r="F107" s="2">
        <f t="shared" si="12"/>
        <v>3.4702161095035855</v>
      </c>
      <c r="G107" s="2">
        <f t="shared" si="13"/>
        <v>0.99985282147075272</v>
      </c>
      <c r="H107" s="2">
        <f t="shared" si="13"/>
        <v>0.99973998011933529</v>
      </c>
      <c r="I107" s="3">
        <f t="shared" si="14"/>
        <v>1.4717852924732807E-4</v>
      </c>
      <c r="J107" s="3">
        <f t="shared" si="14"/>
        <v>2.600198806646817E-4</v>
      </c>
      <c r="K107" s="1">
        <f t="shared" si="15"/>
        <v>63.517120274645833</v>
      </c>
      <c r="L107" s="1">
        <f t="shared" si="10"/>
        <v>8.6207824177636505E-4</v>
      </c>
      <c r="M107" s="2">
        <f t="shared" si="16"/>
        <v>-1.471785292472827E-4</v>
      </c>
      <c r="N107" s="3">
        <f t="shared" si="17"/>
        <v>2.4624873930642145E-5</v>
      </c>
    </row>
    <row r="108" spans="4:14">
      <c r="D108">
        <f t="shared" si="18"/>
        <v>155</v>
      </c>
      <c r="E108" s="2">
        <f t="shared" si="11"/>
        <v>3.6633662062077019</v>
      </c>
      <c r="F108" s="2">
        <f t="shared" si="12"/>
        <v>3.513366206207702</v>
      </c>
      <c r="G108" s="2">
        <f t="shared" si="13"/>
        <v>0.9998755388685564</v>
      </c>
      <c r="H108" s="2">
        <f t="shared" si="13"/>
        <v>0.99977876640615293</v>
      </c>
      <c r="I108" s="3">
        <f t="shared" si="14"/>
        <v>1.2446113144356423E-4</v>
      </c>
      <c r="J108" s="3">
        <f t="shared" si="14"/>
        <v>2.2123359384707429E-4</v>
      </c>
      <c r="K108" s="1">
        <f t="shared" si="15"/>
        <v>64.516984764414232</v>
      </c>
      <c r="L108" s="1">
        <f t="shared" si="10"/>
        <v>7.2656801018782663E-4</v>
      </c>
      <c r="M108" s="2">
        <f t="shared" si="16"/>
        <v>-1.2446113144359838E-4</v>
      </c>
      <c r="N108" s="3">
        <f t="shared" si="17"/>
        <v>2.0908189249268387E-5</v>
      </c>
    </row>
    <row r="109" spans="4:14">
      <c r="D109">
        <f t="shared" si="18"/>
        <v>156</v>
      </c>
      <c r="E109" s="2">
        <f t="shared" si="11"/>
        <v>3.7062388084096383</v>
      </c>
      <c r="F109" s="2">
        <f t="shared" si="12"/>
        <v>3.5562388084096384</v>
      </c>
      <c r="G109" s="2">
        <f t="shared" si="13"/>
        <v>0.9998948200191774</v>
      </c>
      <c r="H109" s="2">
        <f t="shared" si="13"/>
        <v>0.99981189893164824</v>
      </c>
      <c r="I109" s="3">
        <f t="shared" si="14"/>
        <v>1.0517998082259247E-4</v>
      </c>
      <c r="J109" s="3">
        <f t="shared" si="14"/>
        <v>1.8810106835180353E-4</v>
      </c>
      <c r="K109" s="1">
        <f t="shared" si="15"/>
        <v>65.516870207897455</v>
      </c>
      <c r="L109" s="1">
        <f t="shared" si="10"/>
        <v>6.120114934007187E-4</v>
      </c>
      <c r="M109" s="2">
        <f t="shared" si="16"/>
        <v>-1.051799808226006E-4</v>
      </c>
      <c r="N109" s="3">
        <f t="shared" si="17"/>
        <v>1.7738420731916973E-5</v>
      </c>
    </row>
    <row r="110" spans="4:14">
      <c r="D110">
        <f t="shared" si="18"/>
        <v>157</v>
      </c>
      <c r="E110" s="2">
        <f t="shared" si="11"/>
        <v>3.7488374624014451</v>
      </c>
      <c r="F110" s="2">
        <f t="shared" si="12"/>
        <v>3.5988374624014452</v>
      </c>
      <c r="G110" s="2">
        <f t="shared" si="13"/>
        <v>0.99991117191435885</v>
      </c>
      <c r="H110" s="2">
        <f t="shared" si="13"/>
        <v>0.99984017856035723</v>
      </c>
      <c r="I110" s="3">
        <f t="shared" si="14"/>
        <v>8.8828085641139617E-5</v>
      </c>
      <c r="J110" s="3">
        <f t="shared" si="14"/>
        <v>1.5982143964282644E-4</v>
      </c>
      <c r="K110" s="1">
        <f t="shared" si="15"/>
        <v>66.516773428837723</v>
      </c>
      <c r="L110" s="1">
        <f t="shared" si="10"/>
        <v>5.1523243366158149E-4</v>
      </c>
      <c r="M110" s="2">
        <f t="shared" si="16"/>
        <v>-8.8828085641146082E-5</v>
      </c>
      <c r="N110" s="3">
        <f t="shared" si="17"/>
        <v>1.5037619747760308E-5</v>
      </c>
    </row>
    <row r="111" spans="4:14">
      <c r="D111">
        <f t="shared" si="18"/>
        <v>158</v>
      </c>
      <c r="E111" s="2">
        <f t="shared" si="11"/>
        <v>3.7911656469258368</v>
      </c>
      <c r="F111" s="2">
        <f t="shared" si="12"/>
        <v>3.6411656469258369</v>
      </c>
      <c r="G111" s="2">
        <f t="shared" si="13"/>
        <v>0.9999250290477838</v>
      </c>
      <c r="H111" s="2">
        <f t="shared" si="13"/>
        <v>0.99986429678267619</v>
      </c>
      <c r="I111" s="3">
        <f t="shared" si="14"/>
        <v>7.4970952216182269E-5</v>
      </c>
      <c r="J111" s="3">
        <f t="shared" si="14"/>
        <v>1.3570321732380965E-4</v>
      </c>
      <c r="K111" s="1">
        <f t="shared" si="15"/>
        <v>67.516691720832142</v>
      </c>
      <c r="L111" s="1">
        <f t="shared" si="10"/>
        <v>4.3352442808806263E-4</v>
      </c>
      <c r="M111" s="2">
        <f t="shared" si="16"/>
        <v>-7.4970952216202313E-5</v>
      </c>
      <c r="N111" s="3">
        <f t="shared" si="17"/>
        <v>1.2738494797527355E-5</v>
      </c>
    </row>
    <row r="112" spans="4:14">
      <c r="D112">
        <f t="shared" si="18"/>
        <v>159</v>
      </c>
      <c r="E112" s="2">
        <f t="shared" si="11"/>
        <v>3.8332267748809352</v>
      </c>
      <c r="F112" s="2">
        <f t="shared" si="12"/>
        <v>3.6832267748809353</v>
      </c>
      <c r="G112" s="2">
        <f t="shared" si="13"/>
        <v>0.99993676336951698</v>
      </c>
      <c r="H112" s="2">
        <f t="shared" si="13"/>
        <v>0.99988484994583959</v>
      </c>
      <c r="I112" s="3">
        <f t="shared" si="14"/>
        <v>6.3236630482974411E-5</v>
      </c>
      <c r="J112" s="3">
        <f t="shared" si="14"/>
        <v>1.1515005416037759E-4</v>
      </c>
      <c r="K112" s="1">
        <f t="shared" si="15"/>
        <v>68.516622779926564</v>
      </c>
      <c r="L112" s="1">
        <f t="shared" si="10"/>
        <v>3.645835225247647E-4</v>
      </c>
      <c r="M112" s="2">
        <f t="shared" si="16"/>
        <v>-6.3236630483021194E-5</v>
      </c>
      <c r="N112" s="3">
        <f t="shared" si="17"/>
        <v>1.0783034868970882E-5</v>
      </c>
    </row>
    <row r="113" spans="4:14">
      <c r="D113">
        <f t="shared" si="18"/>
        <v>160</v>
      </c>
      <c r="E113" s="2">
        <f t="shared" si="11"/>
        <v>3.8750241949715711</v>
      </c>
      <c r="F113" s="2">
        <f t="shared" si="12"/>
        <v>3.7250241949715712</v>
      </c>
      <c r="G113" s="2">
        <f t="shared" si="13"/>
        <v>0.9999466929470453</v>
      </c>
      <c r="H113" s="2">
        <f t="shared" si="13"/>
        <v>0.99990235175517572</v>
      </c>
      <c r="I113" s="3">
        <f t="shared" si="14"/>
        <v>5.3307052954650786E-5</v>
      </c>
      <c r="J113" s="3">
        <f t="shared" si="14"/>
        <v>9.7648244824292862E-5</v>
      </c>
      <c r="K113" s="1">
        <f t="shared" si="15"/>
        <v>69.516564646503554</v>
      </c>
      <c r="L113" s="1">
        <f t="shared" si="10"/>
        <v>3.0645009951151339E-4</v>
      </c>
      <c r="M113" s="2">
        <f t="shared" si="16"/>
        <v>-5.3307052954698619E-5</v>
      </c>
      <c r="N113" s="3">
        <f t="shared" si="17"/>
        <v>9.1212963589295551E-6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BB7D-0975-4F83-B728-F0E9C040B94B}">
  <dimension ref="A1:S113"/>
  <sheetViews>
    <sheetView zoomScale="49" workbookViewId="0">
      <selection activeCell="AA52" sqref="AA52"/>
    </sheetView>
  </sheetViews>
  <sheetFormatPr defaultRowHeight="14.4"/>
  <cols>
    <col min="7" max="7" width="9.77734375" customWidth="1"/>
    <col min="11" max="11" width="10.109375" customWidth="1"/>
    <col min="14" max="14" width="13" style="3" bestFit="1" customWidth="1"/>
  </cols>
  <sheetData>
    <row r="1" spans="1:19">
      <c r="A1" t="s">
        <v>0</v>
      </c>
      <c r="B1">
        <v>100</v>
      </c>
      <c r="N1"/>
    </row>
    <row r="2" spans="1:19" ht="28.8">
      <c r="A2" t="s">
        <v>1</v>
      </c>
      <c r="B2">
        <v>100</v>
      </c>
      <c r="D2" t="s">
        <v>0</v>
      </c>
      <c r="E2" t="s">
        <v>5</v>
      </c>
      <c r="F2" t="s">
        <v>6</v>
      </c>
      <c r="G2" t="s">
        <v>7</v>
      </c>
      <c r="H2" t="s">
        <v>8</v>
      </c>
      <c r="I2" t="s">
        <v>11</v>
      </c>
      <c r="J2" t="s">
        <v>12</v>
      </c>
      <c r="K2" t="s">
        <v>9</v>
      </c>
      <c r="L2" t="s">
        <v>10</v>
      </c>
      <c r="M2" t="s">
        <v>14</v>
      </c>
      <c r="N2" t="s">
        <v>15</v>
      </c>
      <c r="O2" s="6" t="s">
        <v>21</v>
      </c>
      <c r="P2" s="6" t="s">
        <v>22</v>
      </c>
      <c r="Q2" s="6" t="s">
        <v>23</v>
      </c>
      <c r="R2" s="6" t="s">
        <v>24</v>
      </c>
      <c r="S2" s="5" t="s">
        <v>18</v>
      </c>
    </row>
    <row r="3" spans="1:19">
      <c r="A3" t="s">
        <v>2</v>
      </c>
      <c r="B3">
        <v>0.1</v>
      </c>
      <c r="D3">
        <v>50</v>
      </c>
      <c r="E3" s="2">
        <f>(LN($B$1/$B$2)+($B$3+($B$4^2)/2)*S3)/($B$4*SQRT(S3))</f>
        <v>7.4166666666666669E-3</v>
      </c>
      <c r="F3" s="2">
        <f>E3-$B$4*SQRT(S3)</f>
        <v>5.9166666666666673E-3</v>
      </c>
      <c r="G3" s="2">
        <f>_xlfn.NORM.S.DIST(E3,TRUE)</f>
        <v>0.50295879478724237</v>
      </c>
      <c r="H3" s="2">
        <f>_xlfn.NORM.S.DIST(F3,TRUE)</f>
        <v>0.50236039472066596</v>
      </c>
      <c r="I3" s="3">
        <f>_xlfn.NORM.S.DIST(-E3,TRUE)</f>
        <v>0.49704120521275763</v>
      </c>
      <c r="J3" s="3">
        <f t="shared" ref="J3:J66" si="0">_xlfn.NORM.S.DIST(-F3,TRUE)</f>
        <v>0.49763960527933404</v>
      </c>
      <c r="K3" s="1">
        <f>$B$1*G3-$B$2*EXP(-$B$3*S3)*H3</f>
        <v>6.0342364540566962E-2</v>
      </c>
      <c r="L3" s="1">
        <f>EXP(-$B$3*S3)*$B$2*J3-$B$1*I3</f>
        <v>5.9342369540551942E-2</v>
      </c>
      <c r="M3" s="2">
        <f>+G3-1</f>
        <v>-0.49704120521275763</v>
      </c>
      <c r="N3" s="3">
        <f>_xlfn.NORM.S.DIST(E3,FALSE)/(D3*$B$4*SQRT($B$5))</f>
        <v>5.3190841100585619E-2</v>
      </c>
      <c r="O3" s="2">
        <f>($B$1*$B$3*_xlfn.NORM.S.DIST(E3,FALSE))/(2*SQRT(S3))+$B$2*$B$3*EXP(-$B$3*S3)*H3</f>
        <v>204.48920783861445</v>
      </c>
      <c r="P3" s="2">
        <f>($B$1*$B$3*_xlfn.NORM.S.DIST(E3,FALSE))/(2*SQRT(S3))-$B$2*$B$3*EXP(-$B$3*S3)*J3</f>
        <v>194.48930783811446</v>
      </c>
      <c r="Q3" s="2">
        <f>(200*$B$3*_xlfn.NORM.S.DIST(E3,FALSE))/(2*SQRT(S3))+$B$2*$B$3*EXP(-$B$3*S3)*H3</f>
        <v>403.95486196581049</v>
      </c>
      <c r="R3" s="2">
        <f>(10*$B$3*_xlfn.NORM.S.DIST(E3,FALSE))/(2*SQRT(S3))+$B$2*$B$3*EXP(-$B$3*S3)*H3</f>
        <v>24.970119124137973</v>
      </c>
      <c r="S3" s="4">
        <v>1E-4</v>
      </c>
    </row>
    <row r="4" spans="1:19">
      <c r="A4" t="s">
        <v>3</v>
      </c>
      <c r="B4">
        <v>0.15</v>
      </c>
      <c r="D4">
        <f>+D3+1</f>
        <v>51</v>
      </c>
      <c r="E4" s="2">
        <f t="shared" ref="E4:E67" si="1">(LN($B$1/$B$2)+($B$3+($B$4^2)/2)*S4)/($B$4*SQRT(S4))</f>
        <v>0.22871730185245423</v>
      </c>
      <c r="F4" s="2">
        <f t="shared" ref="F4:F67" si="2">E4-$B$4*SQRT(S4)</f>
        <v>0.18245987001712641</v>
      </c>
      <c r="G4" s="2">
        <f t="shared" ref="G4:H67" si="3">_xlfn.NORM.S.DIST(E4,TRUE)</f>
        <v>0.5904556768608652</v>
      </c>
      <c r="H4" s="2">
        <f t="shared" si="3"/>
        <v>0.57238907761777547</v>
      </c>
      <c r="I4" s="3">
        <f t="shared" ref="I4:J67" si="4">_xlfn.NORM.S.DIST(-E4,TRUE)</f>
        <v>0.4095443231391348</v>
      </c>
      <c r="J4" s="3">
        <f t="shared" si="0"/>
        <v>0.42761092238222453</v>
      </c>
      <c r="K4" s="1">
        <f t="shared" ref="K4:K67" si="5">$B$1*G4-$B$2*EXP(-$B$3*S4)*H4</f>
        <v>2.3484217764397428</v>
      </c>
      <c r="L4" s="1">
        <f>EXP(-$B$3*S4)*$B$2*J4-$B$1*I4</f>
        <v>1.4019294807000549</v>
      </c>
      <c r="M4" s="2">
        <f t="shared" ref="M4:M67" si="6">+G4-1</f>
        <v>-0.4095443231391348</v>
      </c>
      <c r="N4" s="3">
        <f t="shared" ref="N4:N67" si="7">_xlfn.NORM.S.DIST(E4,FALSE)/(D4*$B$4*SQRT($B$5))</f>
        <v>5.0802994304822727E-2</v>
      </c>
      <c r="O4" s="2">
        <f>($B$1*$B$3*_xlfn.NORM.S.DIST(E4,FALSE))/(2*SQRT(S4))+$B$2*$B$3*EXP(-$B$3*S4)*H4</f>
        <v>11.971019446400014</v>
      </c>
      <c r="P4" s="2">
        <f t="shared" ref="P4:P67" si="8">($B$1*$B$3*_xlfn.NORM.S.DIST(E4,FALSE))/(2*SQRT(S4))-$B$2*$B$3*EXP(-$B$3*S4)*J4</f>
        <v>2.0656686759739831</v>
      </c>
      <c r="Q4" s="2">
        <f t="shared" ref="Q4:Q67" si="9">(200*$B$3*_xlfn.NORM.S.DIST(E4,FALSE))/(2*SQRT(S4))+$B$2*$B$3*EXP(-$B$3*S4)*H4</f>
        <v>18.272324301835351</v>
      </c>
      <c r="R4" s="2">
        <f t="shared" ref="R4:R67" si="10">(10*$B$3*_xlfn.NORM.S.DIST(E4,FALSE))/(2*SQRT(S4))+$B$2*$B$3*EXP(-$B$3*S4)*H4</f>
        <v>6.2998450765082108</v>
      </c>
      <c r="S4" s="4">
        <f>+S3+0.095</f>
        <v>9.5100000000000004E-2</v>
      </c>
    </row>
    <row r="5" spans="1:19">
      <c r="A5" t="s">
        <v>4</v>
      </c>
      <c r="B5">
        <v>1</v>
      </c>
      <c r="D5">
        <f t="shared" ref="D5:D68" si="11">+D4+1</f>
        <v>52</v>
      </c>
      <c r="E5" s="2">
        <f t="shared" si="1"/>
        <v>0.32337006878944269</v>
      </c>
      <c r="F5" s="2">
        <f t="shared" si="2"/>
        <v>0.2579693807196678</v>
      </c>
      <c r="G5" s="2">
        <f t="shared" si="3"/>
        <v>0.62679250273533105</v>
      </c>
      <c r="H5" s="2">
        <f t="shared" si="3"/>
        <v>0.60178473087500695</v>
      </c>
      <c r="I5" s="3">
        <f t="shared" si="4"/>
        <v>0.37320749726466895</v>
      </c>
      <c r="J5" s="3">
        <f t="shared" si="0"/>
        <v>0.39821526912499305</v>
      </c>
      <c r="K5" s="1">
        <f t="shared" si="5"/>
        <v>3.6339648845994716</v>
      </c>
      <c r="L5" s="1">
        <f t="shared" ref="L5:L67" si="12">EXP(-$B$3*S5)*$B$2*J5-$B$1*I5</f>
        <v>1.7509199344237132</v>
      </c>
      <c r="M5" s="2">
        <f t="shared" si="6"/>
        <v>-0.37320749726466895</v>
      </c>
      <c r="N5" s="3">
        <f t="shared" si="7"/>
        <v>4.8541005326671632E-2</v>
      </c>
      <c r="O5" s="2">
        <f t="shared" ref="O5:O67" si="13">($B$1*$B$3*_xlfn.NORM.S.DIST(E5,FALSE))/(2*SQRT(S5))+$B$2*$B$3*EXP(-$B$3*S5)*H5</f>
        <v>10.246453517695905</v>
      </c>
      <c r="P5" s="2">
        <f t="shared" si="8"/>
        <v>0.43475801271348047</v>
      </c>
      <c r="Q5" s="2">
        <f t="shared" si="9"/>
        <v>14.588378496498446</v>
      </c>
      <c r="R5" s="2">
        <f t="shared" si="10"/>
        <v>6.3387210367736175</v>
      </c>
      <c r="S5" s="4">
        <f t="shared" ref="S5:S68" si="14">+S4+0.095</f>
        <v>0.19009999999999999</v>
      </c>
    </row>
    <row r="6" spans="1:19">
      <c r="D6">
        <f t="shared" si="11"/>
        <v>53</v>
      </c>
      <c r="E6" s="2">
        <f t="shared" si="1"/>
        <v>0.39601110920163735</v>
      </c>
      <c r="F6" s="2">
        <f t="shared" si="2"/>
        <v>0.31591897475636238</v>
      </c>
      <c r="G6" s="2">
        <f t="shared" si="3"/>
        <v>0.65395158358540784</v>
      </c>
      <c r="H6" s="2">
        <f t="shared" si="3"/>
        <v>0.62396799540963377</v>
      </c>
      <c r="I6" s="3">
        <f t="shared" si="4"/>
        <v>0.34604841641459216</v>
      </c>
      <c r="J6" s="3">
        <f t="shared" si="0"/>
        <v>0.37603200459036629</v>
      </c>
      <c r="K6" s="1">
        <f t="shared" si="5"/>
        <v>4.7521721701959194</v>
      </c>
      <c r="L6" s="1">
        <f t="shared" si="12"/>
        <v>1.9414296873749279</v>
      </c>
      <c r="M6" s="2">
        <f t="shared" si="6"/>
        <v>-0.34604841641459216</v>
      </c>
      <c r="N6" s="3">
        <f t="shared" si="7"/>
        <v>4.6396889382079788E-2</v>
      </c>
      <c r="O6" s="2">
        <f t="shared" si="13"/>
        <v>9.5183388296079077</v>
      </c>
      <c r="P6" s="2">
        <f t="shared" si="8"/>
        <v>-0.20058692210999407</v>
      </c>
      <c r="Q6" s="2">
        <f t="shared" si="9"/>
        <v>12.972379040381329</v>
      </c>
      <c r="R6" s="2">
        <f t="shared" si="10"/>
        <v>6.4097026399118286</v>
      </c>
      <c r="S6" s="4">
        <f t="shared" si="14"/>
        <v>0.28510000000000002</v>
      </c>
    </row>
    <row r="7" spans="1:19">
      <c r="A7" t="s">
        <v>5</v>
      </c>
      <c r="B7">
        <f>(LN(B1/B2)+(B3+(B4^2)/2)*B5)/B4*SQRT(B5)</f>
        <v>0.7416666666666667</v>
      </c>
      <c r="D7">
        <f t="shared" si="11"/>
        <v>54</v>
      </c>
      <c r="E7" s="2">
        <f t="shared" si="1"/>
        <v>0.45725419170668441</v>
      </c>
      <c r="F7" s="2">
        <f t="shared" si="2"/>
        <v>0.3647758158558943</v>
      </c>
      <c r="G7" s="2">
        <f t="shared" si="3"/>
        <v>0.67625582444626509</v>
      </c>
      <c r="H7" s="2">
        <f t="shared" si="3"/>
        <v>0.64236062042007203</v>
      </c>
      <c r="I7" s="3">
        <f t="shared" si="4"/>
        <v>0.32374417555373491</v>
      </c>
      <c r="J7" s="3">
        <f t="shared" si="0"/>
        <v>0.35763937957992792</v>
      </c>
      <c r="K7" s="1">
        <f t="shared" si="5"/>
        <v>5.7853126506861585</v>
      </c>
      <c r="L7" s="1">
        <f t="shared" si="12"/>
        <v>2.0556440316787743</v>
      </c>
      <c r="M7" s="2">
        <f t="shared" si="6"/>
        <v>-0.32374417555373491</v>
      </c>
      <c r="N7" s="3">
        <f t="shared" si="7"/>
        <v>4.4363274940225191E-2</v>
      </c>
      <c r="O7" s="2">
        <f t="shared" si="13"/>
        <v>9.0982963183874634</v>
      </c>
      <c r="P7" s="2">
        <f t="shared" si="8"/>
        <v>-0.52873681971179698</v>
      </c>
      <c r="Q7" s="2">
        <f t="shared" si="9"/>
        <v>12.012565657380893</v>
      </c>
      <c r="R7" s="2">
        <f t="shared" si="10"/>
        <v>6.4754539132933777</v>
      </c>
      <c r="S7" s="4">
        <f t="shared" si="14"/>
        <v>0.38009999999999999</v>
      </c>
    </row>
    <row r="8" spans="1:19">
      <c r="A8" t="s">
        <v>6</v>
      </c>
      <c r="B8">
        <f>B7-B4*SQRT(B5)</f>
        <v>0.59166666666666667</v>
      </c>
      <c r="D8">
        <f t="shared" si="11"/>
        <v>55</v>
      </c>
      <c r="E8" s="2">
        <f t="shared" si="1"/>
        <v>0.51121227788029067</v>
      </c>
      <c r="F8" s="2">
        <f t="shared" si="2"/>
        <v>0.40782103066854647</v>
      </c>
      <c r="G8" s="2">
        <f t="shared" si="3"/>
        <v>0.6953987888488673</v>
      </c>
      <c r="H8" s="2">
        <f t="shared" si="3"/>
        <v>0.65829746376410503</v>
      </c>
      <c r="I8" s="3">
        <f t="shared" si="4"/>
        <v>0.3046012111511327</v>
      </c>
      <c r="J8" s="3">
        <f t="shared" si="0"/>
        <v>0.34170253623589497</v>
      </c>
      <c r="K8" s="1">
        <f t="shared" si="5"/>
        <v>6.7645710528942118</v>
      </c>
      <c r="L8" s="1">
        <f t="shared" si="12"/>
        <v>2.124664760451747</v>
      </c>
      <c r="M8" s="2">
        <f t="shared" si="6"/>
        <v>-0.3046012111511327</v>
      </c>
      <c r="N8" s="3">
        <f t="shared" si="7"/>
        <v>4.2433347421535268E-2</v>
      </c>
      <c r="O8" s="2">
        <f t="shared" si="13"/>
        <v>8.8169753130929358</v>
      </c>
      <c r="P8" s="2">
        <f t="shared" si="8"/>
        <v>-0.71903405766281692</v>
      </c>
      <c r="Q8" s="2">
        <f t="shared" si="9"/>
        <v>11.356419842986622</v>
      </c>
      <c r="R8" s="2">
        <f t="shared" si="10"/>
        <v>6.5314752361886201</v>
      </c>
      <c r="S8" s="4">
        <f t="shared" si="14"/>
        <v>0.47509999999999997</v>
      </c>
    </row>
    <row r="9" spans="1:19">
      <c r="D9">
        <f t="shared" si="11"/>
        <v>56</v>
      </c>
      <c r="E9" s="2">
        <f t="shared" si="1"/>
        <v>0.55999516987004261</v>
      </c>
      <c r="F9" s="2">
        <f t="shared" si="2"/>
        <v>0.44673771978396659</v>
      </c>
      <c r="G9" s="2">
        <f t="shared" si="3"/>
        <v>0.7122586338532646</v>
      </c>
      <c r="H9" s="2">
        <f t="shared" si="3"/>
        <v>0.67246777809886737</v>
      </c>
      <c r="I9" s="3">
        <f t="shared" si="4"/>
        <v>0.2877413661467354</v>
      </c>
      <c r="J9" s="3">
        <f t="shared" si="0"/>
        <v>0.32753222190113263</v>
      </c>
      <c r="K9" s="1">
        <f t="shared" si="5"/>
        <v>7.7055910879981226</v>
      </c>
      <c r="L9" s="1">
        <f t="shared" si="12"/>
        <v>2.1640534353040444</v>
      </c>
      <c r="M9" s="2">
        <f t="shared" si="6"/>
        <v>-0.2877413661467354</v>
      </c>
      <c r="N9" s="3">
        <f t="shared" si="7"/>
        <v>4.0600798942034624E-2</v>
      </c>
      <c r="O9" s="2">
        <f t="shared" si="13"/>
        <v>8.61046615044331</v>
      </c>
      <c r="P9" s="2">
        <f t="shared" si="8"/>
        <v>-0.83538008428728183</v>
      </c>
      <c r="Q9" s="2">
        <f t="shared" si="9"/>
        <v>10.868905071153787</v>
      </c>
      <c r="R9" s="2">
        <f t="shared" si="10"/>
        <v>6.5778711218038808</v>
      </c>
      <c r="S9" s="4">
        <f t="shared" si="14"/>
        <v>0.57009999999999994</v>
      </c>
    </row>
    <row r="10" spans="1:19">
      <c r="A10" t="s">
        <v>7</v>
      </c>
      <c r="B10">
        <f>_xlfn.NORM.S.DIST(B7,TRUE)</f>
        <v>0.77085533971897768</v>
      </c>
      <c r="D10">
        <f t="shared" si="11"/>
        <v>57</v>
      </c>
      <c r="E10" s="2">
        <f t="shared" si="1"/>
        <v>0.60485633624853419</v>
      </c>
      <c r="F10" s="2">
        <f t="shared" si="2"/>
        <v>0.4825258412769205</v>
      </c>
      <c r="G10" s="2">
        <f t="shared" si="3"/>
        <v>0.72736277127829196</v>
      </c>
      <c r="H10" s="2">
        <f t="shared" si="3"/>
        <v>0.6852837771048268</v>
      </c>
      <c r="I10" s="3">
        <f t="shared" si="4"/>
        <v>0.27263722872170809</v>
      </c>
      <c r="J10" s="3">
        <f t="shared" si="0"/>
        <v>0.31471622289517315</v>
      </c>
      <c r="K10" s="1">
        <f t="shared" si="5"/>
        <v>8.6174566117461069</v>
      </c>
      <c r="L10" s="1">
        <f t="shared" si="12"/>
        <v>2.182812539141608</v>
      </c>
      <c r="M10" s="2">
        <f t="shared" si="6"/>
        <v>-0.27263722872170804</v>
      </c>
      <c r="N10" s="3">
        <f t="shared" si="7"/>
        <v>3.8859783361136303E-2</v>
      </c>
      <c r="O10" s="2">
        <f t="shared" si="13"/>
        <v>8.448891391438984</v>
      </c>
      <c r="P10" s="2">
        <f t="shared" si="8"/>
        <v>-0.90764420130056722</v>
      </c>
      <c r="Q10" s="2">
        <f t="shared" si="9"/>
        <v>10.485900731269659</v>
      </c>
      <c r="R10" s="2">
        <f t="shared" si="10"/>
        <v>6.6155829855913773</v>
      </c>
      <c r="S10" s="4">
        <f t="shared" si="14"/>
        <v>0.66509999999999991</v>
      </c>
    </row>
    <row r="11" spans="1:19">
      <c r="A11" t="s">
        <v>8</v>
      </c>
      <c r="B11">
        <f>_xlfn.NORM.S.DIST(B8,TRUE)</f>
        <v>0.72296308905530626</v>
      </c>
      <c r="D11">
        <f t="shared" si="11"/>
        <v>58</v>
      </c>
      <c r="E11" s="2">
        <f t="shared" si="1"/>
        <v>0.6466125460600205</v>
      </c>
      <c r="F11" s="2">
        <f t="shared" si="2"/>
        <v>0.51583697494675795</v>
      </c>
      <c r="G11" s="2">
        <f t="shared" si="3"/>
        <v>0.74105863194448407</v>
      </c>
      <c r="H11" s="2">
        <f t="shared" si="3"/>
        <v>0.69701586214712874</v>
      </c>
      <c r="I11" s="3">
        <f t="shared" si="4"/>
        <v>0.25894136805551593</v>
      </c>
      <c r="J11" s="3">
        <f t="shared" si="0"/>
        <v>0.30298413785287126</v>
      </c>
      <c r="K11" s="1">
        <f t="shared" si="5"/>
        <v>9.5059494701237384</v>
      </c>
      <c r="L11" s="1">
        <f t="shared" si="12"/>
        <v>2.1866433144894728</v>
      </c>
      <c r="M11" s="2">
        <f t="shared" si="6"/>
        <v>-0.25894136805551593</v>
      </c>
      <c r="N11" s="3">
        <f t="shared" si="7"/>
        <v>3.7204875992466378E-2</v>
      </c>
      <c r="O11" s="2">
        <f t="shared" si="13"/>
        <v>8.3163152545173791</v>
      </c>
      <c r="P11" s="2">
        <f t="shared" si="8"/>
        <v>-0.95175412991919472</v>
      </c>
      <c r="Q11" s="2">
        <f t="shared" si="9"/>
        <v>10.172639136602292</v>
      </c>
      <c r="R11" s="2">
        <f t="shared" si="10"/>
        <v>6.6456237606409587</v>
      </c>
      <c r="S11" s="4">
        <f t="shared" si="14"/>
        <v>0.76009999999999989</v>
      </c>
    </row>
    <row r="12" spans="1:19">
      <c r="D12">
        <f t="shared" si="11"/>
        <v>59</v>
      </c>
      <c r="E12" s="2">
        <f t="shared" si="1"/>
        <v>0.68583116139793798</v>
      </c>
      <c r="F12" s="2">
        <f t="shared" si="2"/>
        <v>0.54712373549723148</v>
      </c>
      <c r="G12" s="2">
        <f t="shared" si="3"/>
        <v>0.75359020821367451</v>
      </c>
      <c r="H12" s="2">
        <f t="shared" si="3"/>
        <v>0.70785313671178796</v>
      </c>
      <c r="I12" s="3">
        <f t="shared" si="4"/>
        <v>0.24640979178632544</v>
      </c>
      <c r="J12" s="3">
        <f t="shared" si="0"/>
        <v>0.29214686328821199</v>
      </c>
      <c r="K12" s="1">
        <f t="shared" si="5"/>
        <v>10.374990967014995</v>
      </c>
      <c r="L12" s="1">
        <f t="shared" si="12"/>
        <v>2.1793872238780772</v>
      </c>
      <c r="M12" s="2">
        <f t="shared" si="6"/>
        <v>-0.24640979178632549</v>
      </c>
      <c r="N12" s="3">
        <f t="shared" si="7"/>
        <v>3.5631037424156534E-2</v>
      </c>
      <c r="O12" s="2">
        <f t="shared" si="13"/>
        <v>8.2034379492600227</v>
      </c>
      <c r="P12" s="2">
        <f t="shared" si="8"/>
        <v>-0.97700167642628588</v>
      </c>
      <c r="Q12" s="2">
        <f t="shared" si="9"/>
        <v>9.9084729130847986</v>
      </c>
      <c r="R12" s="2">
        <f t="shared" si="10"/>
        <v>6.6689064818177233</v>
      </c>
      <c r="S12" s="4">
        <f t="shared" si="14"/>
        <v>0.85509999999999986</v>
      </c>
    </row>
    <row r="13" spans="1:19">
      <c r="A13" t="s">
        <v>11</v>
      </c>
      <c r="B13">
        <f>_xlfn.NORM.S.DIST(-B7,TRUE)</f>
        <v>0.22914466028102232</v>
      </c>
      <c r="D13">
        <f t="shared" si="11"/>
        <v>60</v>
      </c>
      <c r="E13" s="2">
        <f t="shared" si="1"/>
        <v>0.72292529293604513</v>
      </c>
      <c r="F13" s="2">
        <f t="shared" si="2"/>
        <v>0.5767156831287551</v>
      </c>
      <c r="G13" s="2">
        <f t="shared" si="3"/>
        <v>0.76513710834196025</v>
      </c>
      <c r="H13" s="2">
        <f t="shared" si="3"/>
        <v>0.71793423189623895</v>
      </c>
      <c r="I13" s="3">
        <f t="shared" si="4"/>
        <v>0.23486289165803981</v>
      </c>
      <c r="J13" s="3">
        <f t="shared" si="0"/>
        <v>0.28206576810376105</v>
      </c>
      <c r="K13" s="1">
        <f t="shared" si="5"/>
        <v>11.227367779423034</v>
      </c>
      <c r="L13" s="1">
        <f t="shared" si="12"/>
        <v>2.1637518578585606</v>
      </c>
      <c r="M13" s="2">
        <f t="shared" si="6"/>
        <v>-0.23486289165803975</v>
      </c>
      <c r="N13" s="3">
        <f t="shared" si="7"/>
        <v>3.4133580968855243E-2</v>
      </c>
      <c r="O13" s="2">
        <f t="shared" si="13"/>
        <v>8.1044655510667738</v>
      </c>
      <c r="P13" s="2">
        <f t="shared" si="8"/>
        <v>-0.98917285677677991</v>
      </c>
      <c r="Q13" s="2">
        <f t="shared" si="9"/>
        <v>9.6802967966562488</v>
      </c>
      <c r="R13" s="2">
        <f t="shared" si="10"/>
        <v>6.6862174300362467</v>
      </c>
      <c r="S13" s="4">
        <f t="shared" si="14"/>
        <v>0.95009999999999983</v>
      </c>
    </row>
    <row r="14" spans="1:19">
      <c r="A14" t="s">
        <v>12</v>
      </c>
      <c r="B14">
        <f>_xlfn.NORM.S.DIST(-B8,TRUE)</f>
        <v>0.27703691094469374</v>
      </c>
      <c r="D14">
        <f t="shared" si="11"/>
        <v>61</v>
      </c>
      <c r="E14" s="2">
        <f t="shared" si="1"/>
        <v>0.75820681636931286</v>
      </c>
      <c r="F14" s="2">
        <f t="shared" si="2"/>
        <v>0.60486161755304735</v>
      </c>
      <c r="G14" s="2">
        <f t="shared" si="3"/>
        <v>0.77583640938819676</v>
      </c>
      <c r="H14" s="2">
        <f t="shared" si="3"/>
        <v>0.72736452599497525</v>
      </c>
      <c r="I14" s="3">
        <f t="shared" si="4"/>
        <v>0.22416359061180327</v>
      </c>
      <c r="J14" s="3">
        <f t="shared" si="0"/>
        <v>0.27263547400502475</v>
      </c>
      <c r="K14" s="1">
        <f t="shared" si="5"/>
        <v>12.065132772769516</v>
      </c>
      <c r="L14" s="1">
        <f t="shared" si="12"/>
        <v>2.1417117431642971</v>
      </c>
      <c r="M14" s="2">
        <f t="shared" si="6"/>
        <v>-0.22416359061180324</v>
      </c>
      <c r="N14" s="3">
        <f t="shared" si="7"/>
        <v>3.2708143326634583E-2</v>
      </c>
      <c r="O14" s="2">
        <f t="shared" si="13"/>
        <v>8.0156047215966666</v>
      </c>
      <c r="P14" s="2">
        <f t="shared" si="8"/>
        <v>-0.9920531754428108</v>
      </c>
      <c r="Q14" s="2">
        <f t="shared" si="9"/>
        <v>9.4793586265883185</v>
      </c>
      <c r="R14" s="2">
        <f t="shared" si="10"/>
        <v>6.69822620710418</v>
      </c>
      <c r="S14" s="4">
        <f t="shared" si="14"/>
        <v>1.0450999999999999</v>
      </c>
    </row>
    <row r="15" spans="1:19">
      <c r="D15">
        <f t="shared" si="11"/>
        <v>62</v>
      </c>
      <c r="E15" s="2">
        <f t="shared" si="1"/>
        <v>0.79191803465454125</v>
      </c>
      <c r="F15" s="2">
        <f t="shared" si="2"/>
        <v>0.6317548366345217</v>
      </c>
      <c r="G15" s="2">
        <f t="shared" si="3"/>
        <v>0.78579576475112867</v>
      </c>
      <c r="H15" s="2">
        <f t="shared" si="3"/>
        <v>0.73622645531136455</v>
      </c>
      <c r="I15" s="3">
        <f t="shared" si="4"/>
        <v>0.21420423524887131</v>
      </c>
      <c r="J15" s="3">
        <f t="shared" si="0"/>
        <v>0.26377354468863545</v>
      </c>
      <c r="K15" s="1">
        <f t="shared" si="5"/>
        <v>12.889842167473518</v>
      </c>
      <c r="L15" s="1">
        <f t="shared" si="12"/>
        <v>2.1147455022197299</v>
      </c>
      <c r="M15" s="2">
        <f t="shared" si="6"/>
        <v>-0.21420423524887133</v>
      </c>
      <c r="N15" s="3">
        <f t="shared" si="7"/>
        <v>3.1350658097760935E-2</v>
      </c>
      <c r="O15" s="2">
        <f t="shared" si="13"/>
        <v>7.9342735929432013</v>
      </c>
      <c r="P15" s="2">
        <f t="shared" si="8"/>
        <v>-0.98821674053142061</v>
      </c>
      <c r="Q15" s="2">
        <f t="shared" si="9"/>
        <v>9.2995737551224664</v>
      </c>
      <c r="R15" s="2">
        <f t="shared" si="10"/>
        <v>6.7055034469818624</v>
      </c>
      <c r="S15" s="4">
        <f t="shared" si="14"/>
        <v>1.1400999999999999</v>
      </c>
    </row>
    <row r="16" spans="1:19">
      <c r="A16" t="s">
        <v>9</v>
      </c>
      <c r="B16" s="1">
        <f>B1*B10-B2*EXP(-B3*B5)*B11</f>
        <v>11.669128488287299</v>
      </c>
      <c r="D16">
        <f t="shared" si="11"/>
        <v>63</v>
      </c>
      <c r="E16" s="2">
        <f t="shared" si="1"/>
        <v>0.82425164290605646</v>
      </c>
      <c r="F16" s="2">
        <f t="shared" si="2"/>
        <v>0.65754906344191022</v>
      </c>
      <c r="G16" s="2">
        <f t="shared" si="3"/>
        <v>0.79510170553236015</v>
      </c>
      <c r="H16" s="2">
        <f t="shared" si="3"/>
        <v>0.74458603288597014</v>
      </c>
      <c r="I16" s="3">
        <f t="shared" si="4"/>
        <v>0.2048982944676398</v>
      </c>
      <c r="J16" s="3">
        <f t="shared" si="0"/>
        <v>0.25541396711402986</v>
      </c>
      <c r="K16" s="1">
        <f t="shared" si="5"/>
        <v>13.702703667925704</v>
      </c>
      <c r="L16" s="1">
        <f t="shared" si="12"/>
        <v>2.0839839751114013</v>
      </c>
      <c r="M16" s="2">
        <f t="shared" si="6"/>
        <v>-0.20489829446763985</v>
      </c>
      <c r="N16" s="3">
        <f t="shared" si="7"/>
        <v>3.0057331828403863E-2</v>
      </c>
      <c r="O16" s="2">
        <f t="shared" si="13"/>
        <v>7.8586593640192373</v>
      </c>
      <c r="P16" s="2">
        <f t="shared" si="8"/>
        <v>-0.97946866669933264</v>
      </c>
      <c r="Q16" s="2">
        <f t="shared" si="9"/>
        <v>9.1365720395074437</v>
      </c>
      <c r="R16" s="2">
        <f t="shared" si="10"/>
        <v>6.7085379560798524</v>
      </c>
      <c r="S16" s="4">
        <f t="shared" si="14"/>
        <v>1.2350999999999999</v>
      </c>
    </row>
    <row r="17" spans="1:19">
      <c r="A17" t="s">
        <v>10</v>
      </c>
      <c r="B17" s="1">
        <f>EXP(-B3*B5)*B2*B14-B1*B13</f>
        <v>2.1528702918832394</v>
      </c>
      <c r="D17">
        <f t="shared" si="11"/>
        <v>64</v>
      </c>
      <c r="E17" s="2">
        <f t="shared" si="1"/>
        <v>0.85536388049505319</v>
      </c>
      <c r="F17" s="2">
        <f t="shared" si="2"/>
        <v>0.68236893837245816</v>
      </c>
      <c r="G17" s="2">
        <f t="shared" si="3"/>
        <v>0.80382513348624651</v>
      </c>
      <c r="H17" s="2">
        <f t="shared" si="3"/>
        <v>0.75249715418706309</v>
      </c>
      <c r="I17" s="3">
        <f t="shared" si="4"/>
        <v>0.19617486651375354</v>
      </c>
      <c r="J17" s="3">
        <f t="shared" si="0"/>
        <v>0.24750284581293686</v>
      </c>
      <c r="K17" s="1">
        <f t="shared" si="5"/>
        <v>14.504673090124598</v>
      </c>
      <c r="L17" s="1">
        <f t="shared" si="12"/>
        <v>2.0503068402869111</v>
      </c>
      <c r="M17" s="2">
        <f t="shared" si="6"/>
        <v>-0.19617486651375349</v>
      </c>
      <c r="N17" s="3">
        <f t="shared" si="7"/>
        <v>2.8824622311980699E-2</v>
      </c>
      <c r="O17" s="2">
        <f t="shared" si="13"/>
        <v>7.7874565602018313</v>
      </c>
      <c r="P17" s="2">
        <f t="shared" si="8"/>
        <v>-0.96710681481440042</v>
      </c>
      <c r="Q17" s="2">
        <f t="shared" si="9"/>
        <v>8.9871290945536568</v>
      </c>
      <c r="R17" s="2">
        <f t="shared" si="10"/>
        <v>6.7077512792851879</v>
      </c>
      <c r="S17" s="4">
        <f t="shared" si="14"/>
        <v>1.3300999999999998</v>
      </c>
    </row>
    <row r="18" spans="1:19">
      <c r="D18">
        <f t="shared" si="11"/>
        <v>65</v>
      </c>
      <c r="E18" s="2">
        <f t="shared" si="1"/>
        <v>0.8853835131047888</v>
      </c>
      <c r="F18" s="2">
        <f t="shared" si="2"/>
        <v>0.70631718461168547</v>
      </c>
      <c r="G18" s="2">
        <f t="shared" si="3"/>
        <v>0.81202508929012507</v>
      </c>
      <c r="H18" s="2">
        <f t="shared" si="3"/>
        <v>0.7600045454933575</v>
      </c>
      <c r="I18" s="3">
        <f t="shared" si="4"/>
        <v>0.18797491070987499</v>
      </c>
      <c r="J18" s="3">
        <f t="shared" si="0"/>
        <v>0.23999545450664245</v>
      </c>
      <c r="K18" s="1">
        <f t="shared" si="5"/>
        <v>15.296519686462105</v>
      </c>
      <c r="L18" s="1">
        <f t="shared" si="12"/>
        <v>2.0144079324692079</v>
      </c>
      <c r="M18" s="2">
        <f t="shared" si="6"/>
        <v>-0.18797491070987493</v>
      </c>
      <c r="N18" s="3">
        <f t="shared" si="7"/>
        <v>2.7649218902970143E-2</v>
      </c>
      <c r="O18" s="2">
        <f t="shared" si="13"/>
        <v>7.7197051885617682</v>
      </c>
      <c r="P18" s="2">
        <f t="shared" si="8"/>
        <v>-0.95208363603894353</v>
      </c>
      <c r="Q18" s="2">
        <f t="shared" si="9"/>
        <v>8.848811452868496</v>
      </c>
      <c r="R18" s="2">
        <f t="shared" si="10"/>
        <v>6.7035095506857143</v>
      </c>
      <c r="S18" s="4">
        <f t="shared" si="14"/>
        <v>1.4250999999999998</v>
      </c>
    </row>
    <row r="19" spans="1:19">
      <c r="A19" t="s">
        <v>13</v>
      </c>
      <c r="B19" s="2">
        <f>B10</f>
        <v>0.77085533971897768</v>
      </c>
      <c r="D19">
        <f t="shared" si="11"/>
        <v>66</v>
      </c>
      <c r="E19" s="2">
        <f t="shared" si="1"/>
        <v>0.91441815516753611</v>
      </c>
      <c r="F19" s="2">
        <f t="shared" si="2"/>
        <v>0.72947965187522545</v>
      </c>
      <c r="G19" s="2">
        <f t="shared" si="3"/>
        <v>0.81975141716769662</v>
      </c>
      <c r="H19" s="2">
        <f t="shared" si="3"/>
        <v>0.76714584484816306</v>
      </c>
      <c r="I19" s="3">
        <f t="shared" si="4"/>
        <v>0.18024858283230338</v>
      </c>
      <c r="J19" s="3">
        <f t="shared" si="0"/>
        <v>0.23285415515183694</v>
      </c>
      <c r="K19" s="1">
        <f t="shared" si="5"/>
        <v>16.078871648383142</v>
      </c>
      <c r="L19" s="1">
        <f t="shared" si="12"/>
        <v>1.9768407385096829</v>
      </c>
      <c r="M19" s="2">
        <f t="shared" si="6"/>
        <v>-0.18024858283230338</v>
      </c>
      <c r="N19" s="3">
        <f t="shared" si="7"/>
        <v>2.6528024629509525E-2</v>
      </c>
      <c r="O19" s="2">
        <f t="shared" si="13"/>
        <v>7.6546869017096508</v>
      </c>
      <c r="P19" s="2">
        <f t="shared" si="8"/>
        <v>-0.93511000730300298</v>
      </c>
      <c r="Q19" s="2">
        <f t="shared" si="9"/>
        <v>8.7197467965806492</v>
      </c>
      <c r="R19" s="2">
        <f t="shared" si="10"/>
        <v>6.6961329963257512</v>
      </c>
      <c r="S19" s="4">
        <f t="shared" si="14"/>
        <v>1.5200999999999998</v>
      </c>
    </row>
    <row r="20" spans="1:19">
      <c r="A20" t="s">
        <v>14</v>
      </c>
      <c r="B20" s="2">
        <f>+B19-1</f>
        <v>-0.22914466028102232</v>
      </c>
      <c r="D20">
        <f t="shared" si="11"/>
        <v>67</v>
      </c>
      <c r="E20" s="2">
        <f t="shared" si="1"/>
        <v>0.94255883621247871</v>
      </c>
      <c r="F20" s="2">
        <f t="shared" si="2"/>
        <v>0.75192895922568526</v>
      </c>
      <c r="G20" s="2">
        <f t="shared" si="3"/>
        <v>0.8270466983518272</v>
      </c>
      <c r="H20" s="2">
        <f t="shared" si="3"/>
        <v>0.77395310910729154</v>
      </c>
      <c r="I20" s="3">
        <f t="shared" si="4"/>
        <v>0.17295330164817277</v>
      </c>
      <c r="J20" s="3">
        <f t="shared" si="0"/>
        <v>0.22604689089270844</v>
      </c>
      <c r="K20" s="1">
        <f t="shared" si="5"/>
        <v>16.852248616391265</v>
      </c>
      <c r="L20" s="1">
        <f t="shared" si="12"/>
        <v>1.9380509006514508</v>
      </c>
      <c r="M20" s="2">
        <f t="shared" si="6"/>
        <v>-0.1729533016481728</v>
      </c>
      <c r="N20" s="3">
        <f t="shared" si="7"/>
        <v>2.5458139916611201E-2</v>
      </c>
      <c r="O20" s="2">
        <f t="shared" si="13"/>
        <v>7.5918562615648728</v>
      </c>
      <c r="P20" s="2">
        <f t="shared" si="8"/>
        <v>-0.91672396686114643</v>
      </c>
      <c r="Q20" s="2">
        <f t="shared" si="9"/>
        <v>8.5984704012505997</v>
      </c>
      <c r="R20" s="2">
        <f t="shared" si="10"/>
        <v>6.6859035358477197</v>
      </c>
      <c r="S20" s="4">
        <f t="shared" si="14"/>
        <v>1.6150999999999998</v>
      </c>
    </row>
    <row r="21" spans="1:19">
      <c r="D21">
        <f t="shared" si="11"/>
        <v>68</v>
      </c>
      <c r="E21" s="2">
        <f t="shared" si="1"/>
        <v>0.96988337285698656</v>
      </c>
      <c r="F21" s="2">
        <f t="shared" si="2"/>
        <v>0.77372718508815785</v>
      </c>
      <c r="G21" s="2">
        <f t="shared" si="3"/>
        <v>0.83394768558327115</v>
      </c>
      <c r="H21" s="2">
        <f t="shared" si="3"/>
        <v>0.78045392986494488</v>
      </c>
      <c r="I21" s="3">
        <f t="shared" si="4"/>
        <v>0.16605231441672885</v>
      </c>
      <c r="J21" s="3">
        <f t="shared" si="0"/>
        <v>0.21954607013505509</v>
      </c>
      <c r="K21" s="1">
        <f t="shared" si="5"/>
        <v>17.617085419359185</v>
      </c>
      <c r="L21" s="1">
        <f t="shared" si="12"/>
        <v>1.8983999491617958</v>
      </c>
      <c r="M21" s="2">
        <f t="shared" si="6"/>
        <v>-0.16605231441672885</v>
      </c>
      <c r="N21" s="3">
        <f t="shared" si="7"/>
        <v>2.4436847753976251E-2</v>
      </c>
      <c r="O21" s="2">
        <f t="shared" si="13"/>
        <v>7.5307939994195481</v>
      </c>
      <c r="P21" s="2">
        <f t="shared" si="8"/>
        <v>-0.89733745356071304</v>
      </c>
      <c r="Q21" s="2">
        <f t="shared" si="9"/>
        <v>8.4838196849423042</v>
      </c>
      <c r="R21" s="2">
        <f t="shared" si="10"/>
        <v>6.6730708824490685</v>
      </c>
      <c r="S21" s="4">
        <f t="shared" si="14"/>
        <v>1.7100999999999997</v>
      </c>
    </row>
    <row r="22" spans="1:19">
      <c r="A22" t="s">
        <v>15</v>
      </c>
      <c r="B22">
        <f>_xlfn.NORM.S.DIST(B7,FALSE)/(B1*B4*SQRT(B5))</f>
        <v>2.0200994228993439E-2</v>
      </c>
      <c r="D22">
        <f t="shared" si="11"/>
        <v>69</v>
      </c>
      <c r="E22" s="2">
        <f t="shared" si="1"/>
        <v>0.99645890741498544</v>
      </c>
      <c r="F22" s="2">
        <f t="shared" si="2"/>
        <v>0.79492789243217943</v>
      </c>
      <c r="G22" s="2">
        <f t="shared" si="3"/>
        <v>0.84048638825713784</v>
      </c>
      <c r="H22" s="2">
        <f t="shared" si="3"/>
        <v>0.78667227590880195</v>
      </c>
      <c r="I22" s="3">
        <f t="shared" si="4"/>
        <v>0.15951361174286222</v>
      </c>
      <c r="J22" s="3">
        <f t="shared" si="0"/>
        <v>0.21332772409119805</v>
      </c>
      <c r="K22" s="1">
        <f t="shared" si="5"/>
        <v>18.373749740645508</v>
      </c>
      <c r="L22" s="1">
        <f t="shared" si="12"/>
        <v>1.858182961833398</v>
      </c>
      <c r="M22" s="2">
        <f t="shared" si="6"/>
        <v>-0.15951361174286216</v>
      </c>
      <c r="N22" s="3">
        <f t="shared" si="7"/>
        <v>2.3461600161638656E-2</v>
      </c>
      <c r="O22" s="2">
        <f t="shared" si="13"/>
        <v>7.4711744840012901</v>
      </c>
      <c r="P22" s="2">
        <f t="shared" si="8"/>
        <v>-0.87726883811750023</v>
      </c>
      <c r="Q22" s="2">
        <f t="shared" si="9"/>
        <v>8.3748600594957523</v>
      </c>
      <c r="R22" s="2">
        <f t="shared" si="10"/>
        <v>6.6578574660562744</v>
      </c>
      <c r="S22" s="4">
        <f t="shared" si="14"/>
        <v>1.8050999999999997</v>
      </c>
    </row>
    <row r="23" spans="1:19">
      <c r="D23">
        <f t="shared" si="11"/>
        <v>70</v>
      </c>
      <c r="E23" s="2">
        <f t="shared" si="1"/>
        <v>1.0223438518369878</v>
      </c>
      <c r="F23" s="2">
        <f t="shared" si="2"/>
        <v>0.81557767955534988</v>
      </c>
      <c r="G23" s="2">
        <f t="shared" si="3"/>
        <v>0.84669090742363184</v>
      </c>
      <c r="H23" s="2">
        <f t="shared" si="3"/>
        <v>0.79262914013582342</v>
      </c>
      <c r="I23" s="3">
        <f t="shared" si="4"/>
        <v>0.15330909257636818</v>
      </c>
      <c r="J23" s="3">
        <f t="shared" si="0"/>
        <v>0.20737085986417653</v>
      </c>
      <c r="K23" s="1">
        <f t="shared" si="5"/>
        <v>19.122555484493844</v>
      </c>
      <c r="L23" s="1">
        <f t="shared" si="12"/>
        <v>1.8176419238309158</v>
      </c>
      <c r="M23" s="2">
        <f t="shared" si="6"/>
        <v>-0.15330909257636816</v>
      </c>
      <c r="N23" s="3">
        <f t="shared" si="7"/>
        <v>2.2530005823451268E-2</v>
      </c>
      <c r="O23" s="2">
        <f t="shared" si="13"/>
        <v>7.4127426121293958</v>
      </c>
      <c r="P23" s="2">
        <f t="shared" si="8"/>
        <v>-0.85676603180431177</v>
      </c>
      <c r="Q23" s="2">
        <f t="shared" si="9"/>
        <v>8.2708316984718575</v>
      </c>
      <c r="R23" s="2">
        <f t="shared" si="10"/>
        <v>6.6404624344211802</v>
      </c>
      <c r="S23" s="4">
        <f t="shared" si="14"/>
        <v>1.9000999999999997</v>
      </c>
    </row>
    <row r="24" spans="1:19">
      <c r="A24" t="s">
        <v>16</v>
      </c>
      <c r="B24">
        <f>(B1*B3*_xlfn.NORM.S.DIST(B7,FALSE))/(2*SQRT(B5))+B2*B3*EXP(-B3*B5)*B11</f>
        <v>8.056715115535555</v>
      </c>
      <c r="D24">
        <f t="shared" si="11"/>
        <v>71</v>
      </c>
      <c r="E24" s="2">
        <f t="shared" si="1"/>
        <v>1.0475893988634626</v>
      </c>
      <c r="F24" s="2">
        <f t="shared" si="2"/>
        <v>0.83571738561017805</v>
      </c>
      <c r="G24" s="2">
        <f t="shared" si="3"/>
        <v>0.85258608810170722</v>
      </c>
      <c r="H24" s="2">
        <f t="shared" si="3"/>
        <v>0.7983430438643212</v>
      </c>
      <c r="I24" s="3">
        <f t="shared" si="4"/>
        <v>0.14741391189829275</v>
      </c>
      <c r="J24" s="3">
        <f t="shared" si="0"/>
        <v>0.20165695613567877</v>
      </c>
      <c r="K24" s="1">
        <f t="shared" si="5"/>
        <v>19.863773038250002</v>
      </c>
      <c r="L24" s="1">
        <f t="shared" si="12"/>
        <v>1.7769759834172731</v>
      </c>
      <c r="M24" s="2">
        <f t="shared" si="6"/>
        <v>-0.14741391189829278</v>
      </c>
      <c r="N24" s="3">
        <f t="shared" si="7"/>
        <v>2.1639818773077375E-2</v>
      </c>
      <c r="O24" s="2">
        <f t="shared" si="13"/>
        <v>7.3552970949657599</v>
      </c>
      <c r="P24" s="2">
        <f t="shared" si="8"/>
        <v>-0.83602319955096693</v>
      </c>
      <c r="Q24" s="2">
        <f t="shared" si="9"/>
        <v>8.1711106127394473</v>
      </c>
      <c r="R24" s="2">
        <f t="shared" si="10"/>
        <v>6.6210649289694405</v>
      </c>
      <c r="S24" s="4">
        <f t="shared" si="14"/>
        <v>1.9950999999999997</v>
      </c>
    </row>
    <row r="25" spans="1:19">
      <c r="A25" t="s">
        <v>17</v>
      </c>
      <c r="B25">
        <f>+(B1*B4*_xlfn.NORM.S.DIST(B7,FALSE))/(2*SQRT(B5))-B2*B3*EXP(-B3*B5)*B14</f>
        <v>-0.23412178123678551</v>
      </c>
      <c r="D25">
        <f t="shared" si="11"/>
        <v>72</v>
      </c>
      <c r="E25" s="2">
        <f t="shared" si="1"/>
        <v>1.0722407126356157</v>
      </c>
      <c r="F25" s="2">
        <f t="shared" si="2"/>
        <v>0.8553830404171765</v>
      </c>
      <c r="G25" s="2">
        <f t="shared" si="3"/>
        <v>0.85819403580747622</v>
      </c>
      <c r="H25" s="2">
        <f t="shared" si="3"/>
        <v>0.80383043530698084</v>
      </c>
      <c r="I25" s="3">
        <f t="shared" si="4"/>
        <v>0.14180596419252378</v>
      </c>
      <c r="J25" s="3">
        <f t="shared" si="0"/>
        <v>0.19616956469301919</v>
      </c>
      <c r="K25" s="1">
        <f t="shared" si="5"/>
        <v>20.597637254346608</v>
      </c>
      <c r="L25" s="1">
        <f t="shared" si="12"/>
        <v>1.7363494275090794</v>
      </c>
      <c r="M25" s="2">
        <f t="shared" si="6"/>
        <v>-0.14180596419252378</v>
      </c>
      <c r="N25" s="3">
        <f t="shared" si="7"/>
        <v>2.0788928029971312E-2</v>
      </c>
      <c r="O25" s="2">
        <f t="shared" si="13"/>
        <v>7.2986781754268799</v>
      </c>
      <c r="P25" s="2">
        <f t="shared" si="8"/>
        <v>-0.8151930418893667</v>
      </c>
      <c r="Q25" s="2">
        <f t="shared" si="9"/>
        <v>8.0751797182136595</v>
      </c>
      <c r="R25" s="2">
        <f t="shared" si="10"/>
        <v>6.5998267869187792</v>
      </c>
      <c r="S25" s="4">
        <f t="shared" si="14"/>
        <v>2.0900999999999996</v>
      </c>
    </row>
    <row r="26" spans="1:19">
      <c r="D26">
        <f t="shared" si="11"/>
        <v>73</v>
      </c>
      <c r="E26" s="2">
        <f t="shared" si="1"/>
        <v>1.0963378781450341</v>
      </c>
      <c r="F26" s="2">
        <f t="shared" si="2"/>
        <v>0.87460662189098237</v>
      </c>
      <c r="G26" s="2">
        <f t="shared" si="3"/>
        <v>0.86353453055878948</v>
      </c>
      <c r="H26" s="2">
        <f t="shared" si="3"/>
        <v>0.80910600824878842</v>
      </c>
      <c r="I26" s="3">
        <f t="shared" si="4"/>
        <v>0.13646546944121055</v>
      </c>
      <c r="J26" s="3">
        <f t="shared" si="0"/>
        <v>0.19089399175121163</v>
      </c>
      <c r="K26" s="1">
        <f t="shared" si="5"/>
        <v>21.324353731194378</v>
      </c>
      <c r="L26" s="1">
        <f t="shared" si="12"/>
        <v>1.695897956199147</v>
      </c>
      <c r="M26" s="2">
        <f t="shared" si="6"/>
        <v>-0.13646546944121052</v>
      </c>
      <c r="N26" s="3">
        <f t="shared" si="7"/>
        <v>1.997534809407139E-2</v>
      </c>
      <c r="O26" s="2">
        <f t="shared" si="13"/>
        <v>7.2427584725164209</v>
      </c>
      <c r="P26" s="2">
        <f t="shared" si="8"/>
        <v>-0.79439594998405572</v>
      </c>
      <c r="Q26" s="2">
        <f t="shared" si="9"/>
        <v>7.9826070125643858</v>
      </c>
      <c r="R26" s="2">
        <f t="shared" si="10"/>
        <v>6.576894786473253</v>
      </c>
      <c r="S26" s="4">
        <f t="shared" si="14"/>
        <v>2.1850999999999998</v>
      </c>
    </row>
    <row r="27" spans="1:19">
      <c r="D27">
        <f t="shared" si="11"/>
        <v>74</v>
      </c>
      <c r="E27" s="2">
        <f t="shared" si="1"/>
        <v>1.1199166666666667</v>
      </c>
      <c r="F27" s="2">
        <f t="shared" si="2"/>
        <v>0.89341666666666675</v>
      </c>
      <c r="G27" s="2">
        <f t="shared" si="3"/>
        <v>0.86862536236643051</v>
      </c>
      <c r="H27" s="2">
        <f t="shared" si="3"/>
        <v>0.81418295970940913</v>
      </c>
      <c r="I27" s="3">
        <f t="shared" si="4"/>
        <v>0.13137463763356949</v>
      </c>
      <c r="J27" s="3">
        <f t="shared" si="0"/>
        <v>0.1858170402905909</v>
      </c>
      <c r="K27" s="1">
        <f t="shared" si="5"/>
        <v>22.044103807279043</v>
      </c>
      <c r="L27" s="1">
        <f t="shared" si="12"/>
        <v>1.6557336705451853</v>
      </c>
      <c r="M27" s="2">
        <f t="shared" si="6"/>
        <v>-0.13137463763356949</v>
      </c>
      <c r="N27" s="3">
        <f t="shared" si="7"/>
        <v>1.9197210217800711E-2</v>
      </c>
      <c r="O27" s="2">
        <f t="shared" si="13"/>
        <v>7.1874360688224534</v>
      </c>
      <c r="P27" s="2">
        <f t="shared" si="8"/>
        <v>-0.773726917504161</v>
      </c>
      <c r="Q27" s="2">
        <f t="shared" si="9"/>
        <v>7.8930288947085057</v>
      </c>
      <c r="R27" s="2">
        <f t="shared" si="10"/>
        <v>6.5524025255250065</v>
      </c>
      <c r="S27" s="4">
        <f t="shared" si="14"/>
        <v>2.2801</v>
      </c>
    </row>
    <row r="28" spans="1:19">
      <c r="D28">
        <f t="shared" si="11"/>
        <v>75</v>
      </c>
      <c r="E28" s="2">
        <f t="shared" si="1"/>
        <v>1.1430091589746776</v>
      </c>
      <c r="F28" s="2">
        <f t="shared" si="2"/>
        <v>0.9118387672719338</v>
      </c>
      <c r="G28" s="2">
        <f t="shared" si="3"/>
        <v>0.87348260582402348</v>
      </c>
      <c r="H28" s="2">
        <f t="shared" si="3"/>
        <v>0.81907320034969655</v>
      </c>
      <c r="I28" s="3">
        <f t="shared" si="4"/>
        <v>0.12651739417597652</v>
      </c>
      <c r="J28" s="3">
        <f t="shared" si="0"/>
        <v>0.18092679965030339</v>
      </c>
      <c r="K28" s="1">
        <f t="shared" si="5"/>
        <v>22.757048569582921</v>
      </c>
      <c r="L28" s="1">
        <f t="shared" si="12"/>
        <v>1.6159490747425789</v>
      </c>
      <c r="M28" s="2">
        <f t="shared" si="6"/>
        <v>-0.12651739417597652</v>
      </c>
      <c r="N28" s="3">
        <f t="shared" si="7"/>
        <v>1.8452754382658813E-2</v>
      </c>
      <c r="O28" s="2">
        <f t="shared" si="13"/>
        <v>7.1326292312544313</v>
      </c>
      <c r="P28" s="2">
        <f t="shared" si="8"/>
        <v>-0.75326081926153343</v>
      </c>
      <c r="Q28" s="2">
        <f t="shared" si="9"/>
        <v>7.8061372612269206</v>
      </c>
      <c r="R28" s="2">
        <f t="shared" si="10"/>
        <v>6.5264720042791913</v>
      </c>
      <c r="S28" s="4">
        <f t="shared" si="14"/>
        <v>2.3751000000000002</v>
      </c>
    </row>
    <row r="29" spans="1:19">
      <c r="D29">
        <f t="shared" si="11"/>
        <v>76</v>
      </c>
      <c r="E29" s="2">
        <f t="shared" si="1"/>
        <v>1.165644257362521</v>
      </c>
      <c r="F29" s="2">
        <f t="shared" si="2"/>
        <v>0.92989598059257306</v>
      </c>
      <c r="G29" s="2">
        <f t="shared" si="3"/>
        <v>0.87812084690427661</v>
      </c>
      <c r="H29" s="2">
        <f t="shared" si="3"/>
        <v>0.82378752785117315</v>
      </c>
      <c r="I29" s="3">
        <f t="shared" si="4"/>
        <v>0.12187915309572342</v>
      </c>
      <c r="J29" s="3">
        <f t="shared" si="0"/>
        <v>0.17621247214882688</v>
      </c>
      <c r="K29" s="1">
        <f t="shared" si="5"/>
        <v>23.463332098354684</v>
      </c>
      <c r="L29" s="1">
        <f t="shared" si="12"/>
        <v>1.5766203147044848</v>
      </c>
      <c r="M29" s="2">
        <f t="shared" si="6"/>
        <v>-0.12187915309572339</v>
      </c>
      <c r="N29" s="3">
        <f t="shared" si="7"/>
        <v>1.774032191534624E-2</v>
      </c>
      <c r="O29" s="2">
        <f t="shared" si="13"/>
        <v>7.078272337032919</v>
      </c>
      <c r="P29" s="2">
        <f t="shared" si="8"/>
        <v>-0.73305648460206108</v>
      </c>
      <c r="Q29" s="2">
        <f t="shared" si="9"/>
        <v>7.7216694148585407</v>
      </c>
      <c r="R29" s="2">
        <f t="shared" si="10"/>
        <v>6.4992149669898591</v>
      </c>
      <c r="S29" s="4">
        <f t="shared" si="14"/>
        <v>2.4701000000000004</v>
      </c>
    </row>
    <row r="30" spans="1:19">
      <c r="D30">
        <f t="shared" si="11"/>
        <v>77</v>
      </c>
      <c r="E30" s="2">
        <f t="shared" si="1"/>
        <v>1.187848109795375</v>
      </c>
      <c r="F30" s="2">
        <f t="shared" si="2"/>
        <v>0.94760916624125424</v>
      </c>
      <c r="G30" s="2">
        <f t="shared" si="3"/>
        <v>0.88255337184657656</v>
      </c>
      <c r="H30" s="2">
        <f t="shared" si="3"/>
        <v>0.82833577097357647</v>
      </c>
      <c r="I30" s="3">
        <f t="shared" si="4"/>
        <v>0.11744662815342348</v>
      </c>
      <c r="J30" s="3">
        <f t="shared" si="0"/>
        <v>0.1716642290264235</v>
      </c>
      <c r="K30" s="1">
        <f t="shared" si="5"/>
        <v>24.163084114085393</v>
      </c>
      <c r="L30" s="1">
        <f t="shared" si="12"/>
        <v>1.5378098189068155</v>
      </c>
      <c r="M30" s="2">
        <f t="shared" si="6"/>
        <v>-0.11744662815342344</v>
      </c>
      <c r="N30" s="3">
        <f t="shared" si="7"/>
        <v>1.7058348685127133E-2</v>
      </c>
      <c r="O30" s="2">
        <f t="shared" si="13"/>
        <v>7.0243127000453036</v>
      </c>
      <c r="P30" s="2">
        <f t="shared" si="8"/>
        <v>-0.71315987043684015</v>
      </c>
      <c r="Q30" s="2">
        <f t="shared" si="9"/>
        <v>7.6394000930333794</v>
      </c>
      <c r="R30" s="2">
        <f t="shared" si="10"/>
        <v>6.4707340463560348</v>
      </c>
      <c r="S30" s="4">
        <f t="shared" si="14"/>
        <v>2.5651000000000006</v>
      </c>
    </row>
    <row r="31" spans="1:19">
      <c r="D31">
        <f t="shared" si="11"/>
        <v>78</v>
      </c>
      <c r="E31" s="2">
        <f t="shared" si="1"/>
        <v>1.2096444639507378</v>
      </c>
      <c r="F31" s="2">
        <f t="shared" si="2"/>
        <v>0.96499726899440885</v>
      </c>
      <c r="G31" s="2">
        <f t="shared" si="3"/>
        <v>0.88679232568132582</v>
      </c>
      <c r="H31" s="2">
        <f t="shared" si="3"/>
        <v>0.83272691016500822</v>
      </c>
      <c r="I31" s="3">
        <f t="shared" si="4"/>
        <v>0.11320767431867421</v>
      </c>
      <c r="J31" s="3">
        <f t="shared" si="0"/>
        <v>0.16727308983499178</v>
      </c>
      <c r="K31" s="1">
        <f t="shared" si="5"/>
        <v>24.856422152079055</v>
      </c>
      <c r="L31" s="1">
        <f t="shared" si="12"/>
        <v>1.4995684668856413</v>
      </c>
      <c r="M31" s="2">
        <f t="shared" si="6"/>
        <v>-0.11320767431867418</v>
      </c>
      <c r="N31" s="3">
        <f t="shared" si="7"/>
        <v>1.6405358830117837E-2</v>
      </c>
      <c r="O31" s="2">
        <f t="shared" si="13"/>
        <v>6.9707080773618069</v>
      </c>
      <c r="P31" s="2">
        <f t="shared" si="8"/>
        <v>-0.69360655411885175</v>
      </c>
      <c r="Q31" s="2">
        <f t="shared" si="9"/>
        <v>7.5591351131182618</v>
      </c>
      <c r="R31" s="2">
        <f t="shared" si="10"/>
        <v>6.441123745180998</v>
      </c>
      <c r="S31" s="4">
        <f t="shared" si="14"/>
        <v>2.6601000000000008</v>
      </c>
    </row>
    <row r="32" spans="1:19">
      <c r="D32">
        <f t="shared" si="11"/>
        <v>79</v>
      </c>
      <c r="E32" s="2">
        <f t="shared" si="1"/>
        <v>1.2310549648122497</v>
      </c>
      <c r="F32" s="2">
        <f t="shared" si="2"/>
        <v>0.98207755619853632</v>
      </c>
      <c r="G32" s="2">
        <f t="shared" si="3"/>
        <v>0.89084884621485816</v>
      </c>
      <c r="H32" s="2">
        <f t="shared" si="3"/>
        <v>0.8369691792534899</v>
      </c>
      <c r="I32" s="3">
        <f t="shared" si="4"/>
        <v>0.10915115378514183</v>
      </c>
      <c r="J32" s="3">
        <f t="shared" si="0"/>
        <v>0.16303082074651007</v>
      </c>
      <c r="K32" s="1">
        <f t="shared" si="5"/>
        <v>25.54345336045381</v>
      </c>
      <c r="L32" s="1">
        <f t="shared" si="12"/>
        <v>1.4619373812225565</v>
      </c>
      <c r="M32" s="2">
        <f t="shared" si="6"/>
        <v>-0.10915115378514184</v>
      </c>
      <c r="N32" s="3">
        <f t="shared" si="7"/>
        <v>1.5779958965491264E-2</v>
      </c>
      <c r="O32" s="2">
        <f t="shared" si="13"/>
        <v>6.917424694847421</v>
      </c>
      <c r="P32" s="2">
        <f t="shared" si="8"/>
        <v>-0.67442370722945211</v>
      </c>
      <c r="Q32" s="2">
        <f t="shared" si="9"/>
        <v>7.4807062635916424</v>
      </c>
      <c r="R32" s="2">
        <f t="shared" si="10"/>
        <v>6.410471282977622</v>
      </c>
      <c r="S32" s="4">
        <f t="shared" si="14"/>
        <v>2.755100000000001</v>
      </c>
    </row>
    <row r="33" spans="4:19">
      <c r="D33">
        <f t="shared" si="11"/>
        <v>80</v>
      </c>
      <c r="E33" s="2">
        <f t="shared" si="1"/>
        <v>1.2520994064414821</v>
      </c>
      <c r="F33" s="2">
        <f t="shared" si="2"/>
        <v>0.99886581862185653</v>
      </c>
      <c r="G33" s="2">
        <f t="shared" si="3"/>
        <v>0.89473317801625374</v>
      </c>
      <c r="H33" s="2">
        <f t="shared" si="3"/>
        <v>0.84107015174714517</v>
      </c>
      <c r="I33" s="3">
        <f t="shared" si="4"/>
        <v>0.10526682198374629</v>
      </c>
      <c r="J33" s="3">
        <f t="shared" si="0"/>
        <v>0.15892984825285483</v>
      </c>
      <c r="K33" s="1">
        <f t="shared" si="5"/>
        <v>26.224275995563978</v>
      </c>
      <c r="L33" s="1">
        <f t="shared" si="12"/>
        <v>1.4249494170079551</v>
      </c>
      <c r="M33" s="2">
        <f t="shared" si="6"/>
        <v>-0.10526682198374626</v>
      </c>
      <c r="N33" s="3">
        <f t="shared" si="7"/>
        <v>1.5180832831290597E-2</v>
      </c>
      <c r="O33" s="2">
        <f t="shared" si="13"/>
        <v>6.8644356726881988</v>
      </c>
      <c r="P33" s="2">
        <f t="shared" si="8"/>
        <v>-0.6556316694562011</v>
      </c>
      <c r="Q33" s="2">
        <f t="shared" si="9"/>
        <v>7.4039671647702558</v>
      </c>
      <c r="R33" s="2">
        <f t="shared" si="10"/>
        <v>6.3788573298143465</v>
      </c>
      <c r="S33" s="4">
        <f t="shared" si="14"/>
        <v>2.8501000000000012</v>
      </c>
    </row>
    <row r="34" spans="4:19">
      <c r="D34">
        <f t="shared" si="11"/>
        <v>81</v>
      </c>
      <c r="E34" s="2">
        <f t="shared" si="1"/>
        <v>1.2727959462668532</v>
      </c>
      <c r="F34" s="2">
        <f t="shared" si="2"/>
        <v>1.0153765414038942</v>
      </c>
      <c r="G34" s="2">
        <f t="shared" si="3"/>
        <v>0.89845476998096285</v>
      </c>
      <c r="H34" s="2">
        <f t="shared" si="3"/>
        <v>0.84503681451621571</v>
      </c>
      <c r="I34" s="3">
        <f t="shared" si="4"/>
        <v>0.10154523001903709</v>
      </c>
      <c r="J34" s="3">
        <f t="shared" si="0"/>
        <v>0.15496318548378429</v>
      </c>
      <c r="K34" s="1">
        <f t="shared" si="5"/>
        <v>26.898980672500194</v>
      </c>
      <c r="L34" s="1">
        <f t="shared" si="12"/>
        <v>1.3886304064387325</v>
      </c>
      <c r="M34" s="2">
        <f t="shared" si="6"/>
        <v>-0.10154523001903715</v>
      </c>
      <c r="N34" s="3">
        <f t="shared" si="7"/>
        <v>1.4606736341728765E-2</v>
      </c>
      <c r="O34" s="2">
        <f t="shared" si="13"/>
        <v>6.8117197616932827</v>
      </c>
      <c r="P34" s="2">
        <f t="shared" si="8"/>
        <v>-0.63724521170057147</v>
      </c>
      <c r="Q34" s="2">
        <f t="shared" si="9"/>
        <v>7.3287898908269549</v>
      </c>
      <c r="R34" s="2">
        <f t="shared" si="10"/>
        <v>6.3463566454729774</v>
      </c>
      <c r="S34" s="4">
        <f t="shared" si="14"/>
        <v>2.9451000000000014</v>
      </c>
    </row>
    <row r="35" spans="4:19">
      <c r="D35">
        <f t="shared" si="11"/>
        <v>82</v>
      </c>
      <c r="E35" s="2">
        <f t="shared" si="1"/>
        <v>1.2931612884924899</v>
      </c>
      <c r="F35" s="2">
        <f t="shared" si="2"/>
        <v>1.0316230503704134</v>
      </c>
      <c r="G35" s="2">
        <f t="shared" si="3"/>
        <v>0.90202235931022012</v>
      </c>
      <c r="H35" s="2">
        <f t="shared" si="3"/>
        <v>0.84887563105648667</v>
      </c>
      <c r="I35" s="3">
        <f t="shared" si="4"/>
        <v>9.7977640689779877E-2</v>
      </c>
      <c r="J35" s="3">
        <f t="shared" si="0"/>
        <v>0.15112436894351328</v>
      </c>
      <c r="K35" s="1">
        <f t="shared" si="5"/>
        <v>27.567651415985758</v>
      </c>
      <c r="L35" s="1">
        <f t="shared" si="12"/>
        <v>1.353000203867694</v>
      </c>
      <c r="M35" s="2">
        <f t="shared" si="6"/>
        <v>-9.7977640689779877E-2</v>
      </c>
      <c r="N35" s="3">
        <f t="shared" si="7"/>
        <v>1.4056493001572091E-2</v>
      </c>
      <c r="O35" s="2">
        <f t="shared" si="13"/>
        <v>6.7592603230409596</v>
      </c>
      <c r="P35" s="2">
        <f t="shared" si="8"/>
        <v>-0.61927455574723389</v>
      </c>
      <c r="Q35" s="2">
        <f t="shared" si="9"/>
        <v>7.2550621945782936</v>
      </c>
      <c r="R35" s="2">
        <f t="shared" si="10"/>
        <v>6.3130386386573587</v>
      </c>
      <c r="S35" s="4">
        <f t="shared" si="14"/>
        <v>3.0401000000000016</v>
      </c>
    </row>
    <row r="36" spans="4:19">
      <c r="D36">
        <f t="shared" si="11"/>
        <v>83</v>
      </c>
      <c r="E36" s="2">
        <f t="shared" si="1"/>
        <v>1.3132108418977428</v>
      </c>
      <c r="F36" s="2">
        <f t="shared" si="2"/>
        <v>1.0476176379184241</v>
      </c>
      <c r="G36" s="2">
        <f t="shared" si="3"/>
        <v>0.9054440441792766</v>
      </c>
      <c r="H36" s="2">
        <f t="shared" si="3"/>
        <v>0.85259259609298066</v>
      </c>
      <c r="I36" s="3">
        <f t="shared" si="4"/>
        <v>9.4555955820723445E-2</v>
      </c>
      <c r="J36" s="3">
        <f t="shared" si="0"/>
        <v>0.14740740390701931</v>
      </c>
      <c r="K36" s="1">
        <f t="shared" si="5"/>
        <v>28.230366547573212</v>
      </c>
      <c r="L36" s="1">
        <f t="shared" si="12"/>
        <v>1.3180735672089998</v>
      </c>
      <c r="M36" s="2">
        <f t="shared" si="6"/>
        <v>-9.4555955820723403E-2</v>
      </c>
      <c r="N36" s="3">
        <f t="shared" si="7"/>
        <v>1.3528989658526124E-2</v>
      </c>
      <c r="O36" s="2">
        <f t="shared" si="13"/>
        <v>6.7070445001401549</v>
      </c>
      <c r="P36" s="2">
        <f t="shared" si="8"/>
        <v>-0.60172620182342551</v>
      </c>
      <c r="Q36" s="2">
        <f t="shared" si="9"/>
        <v>7.1826852132448646</v>
      </c>
      <c r="R36" s="2">
        <f t="shared" si="10"/>
        <v>6.2789678583459168</v>
      </c>
      <c r="S36" s="4">
        <f t="shared" si="14"/>
        <v>3.1351000000000018</v>
      </c>
    </row>
    <row r="37" spans="4:19">
      <c r="D37">
        <f t="shared" si="11"/>
        <v>84</v>
      </c>
      <c r="E37" s="2">
        <f t="shared" si="1"/>
        <v>1.3329588562667645</v>
      </c>
      <c r="F37" s="2">
        <f t="shared" si="2"/>
        <v>1.0633716718532615</v>
      </c>
      <c r="G37" s="2">
        <f t="shared" si="3"/>
        <v>0.90872734692827228</v>
      </c>
      <c r="H37" s="2">
        <f t="shared" si="3"/>
        <v>0.85619328294110097</v>
      </c>
      <c r="I37" s="3">
        <f t="shared" si="4"/>
        <v>9.1272653071727716E-2</v>
      </c>
      <c r="J37" s="3">
        <f t="shared" si="0"/>
        <v>0.14380671705889897</v>
      </c>
      <c r="K37" s="1">
        <f t="shared" si="5"/>
        <v>28.887199437800277</v>
      </c>
      <c r="L37" s="1">
        <f t="shared" si="12"/>
        <v>1.2838609043572848</v>
      </c>
      <c r="M37" s="2">
        <f t="shared" si="6"/>
        <v>-9.1272653071727716E-2</v>
      </c>
      <c r="N37" s="3">
        <f t="shared" si="7"/>
        <v>1.3023172563504774E-2</v>
      </c>
      <c r="O37" s="2">
        <f t="shared" si="13"/>
        <v>6.6550625431433552</v>
      </c>
      <c r="P37" s="2">
        <f t="shared" si="8"/>
        <v>-0.58460360351234386</v>
      </c>
      <c r="Q37" s="2">
        <f t="shared" si="9"/>
        <v>7.1115715607840162</v>
      </c>
      <c r="R37" s="2">
        <f t="shared" si="10"/>
        <v>6.2442044272667596</v>
      </c>
      <c r="S37" s="4">
        <f t="shared" si="14"/>
        <v>3.230100000000002</v>
      </c>
    </row>
    <row r="38" spans="4:19">
      <c r="D38">
        <f t="shared" si="11"/>
        <v>85</v>
      </c>
      <c r="E38" s="2">
        <f t="shared" si="1"/>
        <v>1.3524185408823053</v>
      </c>
      <c r="F38" s="2">
        <f t="shared" si="2"/>
        <v>1.0788956899173447</v>
      </c>
      <c r="G38" s="2">
        <f t="shared" si="3"/>
        <v>0.91187926926579588</v>
      </c>
      <c r="H38" s="2">
        <f t="shared" si="3"/>
        <v>0.85968288477523269</v>
      </c>
      <c r="I38" s="3">
        <f t="shared" si="4"/>
        <v>8.8120730734204122E-2</v>
      </c>
      <c r="J38" s="3">
        <f t="shared" si="0"/>
        <v>0.14031711522476728</v>
      </c>
      <c r="K38" s="1">
        <f t="shared" si="5"/>
        <v>29.538219146338527</v>
      </c>
      <c r="L38" s="1">
        <f t="shared" si="12"/>
        <v>1.2503689076538365</v>
      </c>
      <c r="M38" s="2">
        <f t="shared" si="6"/>
        <v>-8.8120730734204122E-2</v>
      </c>
      <c r="N38" s="3">
        <f t="shared" si="7"/>
        <v>1.2538043713313445E-2</v>
      </c>
      <c r="O38" s="2">
        <f t="shared" si="13"/>
        <v>6.6033072555271097</v>
      </c>
      <c r="P38" s="2">
        <f t="shared" si="8"/>
        <v>-0.56790772060442141</v>
      </c>
      <c r="Q38" s="2">
        <f t="shared" si="9"/>
        <v>7.0416437330301127</v>
      </c>
      <c r="R38" s="2">
        <f t="shared" si="10"/>
        <v>6.2088044257744066</v>
      </c>
      <c r="S38" s="4">
        <f t="shared" si="14"/>
        <v>3.3251000000000022</v>
      </c>
    </row>
    <row r="39" spans="4:19">
      <c r="D39">
        <f t="shared" si="11"/>
        <v>86</v>
      </c>
      <c r="E39" s="2">
        <f t="shared" si="1"/>
        <v>1.3716021678841304</v>
      </c>
      <c r="F39" s="2">
        <f t="shared" si="2"/>
        <v>1.0941994822446435</v>
      </c>
      <c r="G39" s="2">
        <f t="shared" si="3"/>
        <v>0.91490634070395738</v>
      </c>
      <c r="H39" s="2">
        <f t="shared" si="3"/>
        <v>0.86306625074423171</v>
      </c>
      <c r="I39" s="3">
        <f t="shared" si="4"/>
        <v>8.5093659296042609E-2</v>
      </c>
      <c r="J39" s="3">
        <f t="shared" si="0"/>
        <v>0.13693374925576829</v>
      </c>
      <c r="K39" s="1">
        <f t="shared" si="5"/>
        <v>30.183490968767586</v>
      </c>
      <c r="L39" s="1">
        <f t="shared" si="12"/>
        <v>1.217601095032304</v>
      </c>
      <c r="M39" s="2">
        <f t="shared" si="6"/>
        <v>-8.5093659296042623E-2</v>
      </c>
      <c r="N39" s="3">
        <f t="shared" si="7"/>
        <v>1.2072657452648895E-2</v>
      </c>
      <c r="O39" s="2">
        <f t="shared" si="13"/>
        <v>6.5517735388617604</v>
      </c>
      <c r="P39" s="2">
        <f t="shared" si="8"/>
        <v>-0.55163747376471239</v>
      </c>
      <c r="Q39" s="2">
        <f t="shared" si="9"/>
        <v>6.9728327675607051</v>
      </c>
      <c r="R39" s="2">
        <f t="shared" si="10"/>
        <v>6.1728202330327111</v>
      </c>
      <c r="S39" s="4">
        <f t="shared" si="14"/>
        <v>3.4201000000000024</v>
      </c>
    </row>
    <row r="40" spans="4:19">
      <c r="D40">
        <f t="shared" si="11"/>
        <v>87</v>
      </c>
      <c r="E40" s="2">
        <f t="shared" si="1"/>
        <v>1.3905211627899334</v>
      </c>
      <c r="F40" s="2">
        <f t="shared" si="2"/>
        <v>1.1092921635739919</v>
      </c>
      <c r="G40" s="2">
        <f t="shared" si="3"/>
        <v>0.91781466122821187</v>
      </c>
      <c r="H40" s="2">
        <f t="shared" si="3"/>
        <v>0.86634791770602537</v>
      </c>
      <c r="I40" s="3">
        <f t="shared" si="4"/>
        <v>8.218533877178813E-2</v>
      </c>
      <c r="J40" s="3">
        <f t="shared" si="0"/>
        <v>0.13365208229397463</v>
      </c>
      <c r="K40" s="1">
        <f t="shared" si="5"/>
        <v>30.823076905139786</v>
      </c>
      <c r="L40" s="1">
        <f t="shared" si="12"/>
        <v>1.1855582730077288</v>
      </c>
      <c r="M40" s="2">
        <f t="shared" si="6"/>
        <v>-8.218533877178813E-2</v>
      </c>
      <c r="N40" s="3">
        <f t="shared" si="7"/>
        <v>1.1626117314445409E-2</v>
      </c>
      <c r="O40" s="2">
        <f t="shared" si="13"/>
        <v>6.5004580169979338</v>
      </c>
      <c r="P40" s="2">
        <f t="shared" si="8"/>
        <v>-0.53579011978886149</v>
      </c>
      <c r="Q40" s="2">
        <f t="shared" si="9"/>
        <v>6.9050771122277261</v>
      </c>
      <c r="R40" s="2">
        <f t="shared" si="10"/>
        <v>6.1363008312911198</v>
      </c>
      <c r="S40" s="4">
        <f t="shared" si="14"/>
        <v>3.5151000000000026</v>
      </c>
    </row>
    <row r="41" spans="4:19">
      <c r="D41">
        <f t="shared" si="11"/>
        <v>88</v>
      </c>
      <c r="E41" s="2">
        <f t="shared" si="1"/>
        <v>1.4091861840753657</v>
      </c>
      <c r="F41" s="2">
        <f t="shared" si="2"/>
        <v>1.1241822367342804</v>
      </c>
      <c r="G41" s="2">
        <f t="shared" si="3"/>
        <v>0.9206099390325988</v>
      </c>
      <c r="H41" s="2">
        <f t="shared" si="3"/>
        <v>0.869532138219833</v>
      </c>
      <c r="I41" s="3">
        <f t="shared" si="4"/>
        <v>7.9390060967401185E-2</v>
      </c>
      <c r="J41" s="3">
        <f t="shared" si="0"/>
        <v>0.13046786178016698</v>
      </c>
      <c r="K41" s="1">
        <f t="shared" si="5"/>
        <v>31.457036062746759</v>
      </c>
      <c r="L41" s="1">
        <f t="shared" si="12"/>
        <v>1.1542389339204258</v>
      </c>
      <c r="M41" s="2">
        <f t="shared" si="6"/>
        <v>-7.9390060967401199E-2</v>
      </c>
      <c r="N41" s="3">
        <f t="shared" si="7"/>
        <v>1.1197573079505904E-2</v>
      </c>
      <c r="O41" s="2">
        <f t="shared" si="13"/>
        <v>6.4493587248152133</v>
      </c>
      <c r="P41" s="2">
        <f t="shared" si="8"/>
        <v>-0.52036156230215336</v>
      </c>
      <c r="Q41" s="2">
        <f t="shared" si="9"/>
        <v>6.8383216655791141</v>
      </c>
      <c r="R41" s="2">
        <f t="shared" si="10"/>
        <v>6.0992920781277027</v>
      </c>
      <c r="S41" s="4">
        <f t="shared" si="14"/>
        <v>3.6101000000000028</v>
      </c>
    </row>
    <row r="42" spans="4:19">
      <c r="D42">
        <f t="shared" si="11"/>
        <v>89</v>
      </c>
      <c r="E42" s="2">
        <f t="shared" si="1"/>
        <v>1.4276071933872823</v>
      </c>
      <c r="F42" s="2">
        <f t="shared" si="2"/>
        <v>1.13887764865727</v>
      </c>
      <c r="G42" s="2">
        <f t="shared" si="3"/>
        <v>0.92329752401200671</v>
      </c>
      <c r="H42" s="2">
        <f t="shared" si="3"/>
        <v>0.87262290532688913</v>
      </c>
      <c r="I42" s="3">
        <f t="shared" si="4"/>
        <v>7.670247598799329E-2</v>
      </c>
      <c r="J42" s="3">
        <f t="shared" si="0"/>
        <v>0.1273770946731109</v>
      </c>
      <c r="K42" s="1">
        <f t="shared" si="5"/>
        <v>32.085425003301232</v>
      </c>
      <c r="L42" s="1">
        <f t="shared" si="12"/>
        <v>1.1236395976472258</v>
      </c>
      <c r="M42" s="2">
        <f t="shared" si="6"/>
        <v>-7.670247598799329E-2</v>
      </c>
      <c r="N42" s="3">
        <f t="shared" si="7"/>
        <v>1.0786218038072464E-2</v>
      </c>
      <c r="O42" s="2">
        <f t="shared" si="13"/>
        <v>6.3984748497069859</v>
      </c>
      <c r="P42" s="2">
        <f t="shared" si="8"/>
        <v>-0.50534660972761403</v>
      </c>
      <c r="Q42" s="2">
        <f t="shared" si="9"/>
        <v>6.7725169596240269</v>
      </c>
      <c r="R42" s="2">
        <f t="shared" si="10"/>
        <v>6.0618369507816485</v>
      </c>
      <c r="S42" s="4">
        <f t="shared" si="14"/>
        <v>3.7051000000000029</v>
      </c>
    </row>
    <row r="43" spans="4:19">
      <c r="D43">
        <f t="shared" si="11"/>
        <v>90</v>
      </c>
      <c r="E43" s="2">
        <f t="shared" si="1"/>
        <v>1.4457935177034567</v>
      </c>
      <c r="F43" s="2">
        <f t="shared" si="2"/>
        <v>1.1533858399656789</v>
      </c>
      <c r="G43" s="2">
        <f t="shared" si="3"/>
        <v>0.92588243759032485</v>
      </c>
      <c r="H43" s="2">
        <f t="shared" si="3"/>
        <v>0.87562397456337537</v>
      </c>
      <c r="I43" s="3">
        <f t="shared" si="4"/>
        <v>7.4117562409675194E-2</v>
      </c>
      <c r="J43" s="3">
        <f t="shared" si="0"/>
        <v>0.12437602543662468</v>
      </c>
      <c r="K43" s="1">
        <f t="shared" si="5"/>
        <v>32.708298042980267</v>
      </c>
      <c r="L43" s="1">
        <f t="shared" si="12"/>
        <v>1.0937551062259265</v>
      </c>
      <c r="M43" s="2">
        <f t="shared" si="6"/>
        <v>-7.4117562409675153E-2</v>
      </c>
      <c r="N43" s="3">
        <f t="shared" si="7"/>
        <v>1.0391286437535365E-2</v>
      </c>
      <c r="O43" s="2">
        <f t="shared" si="13"/>
        <v>6.3478065163325965</v>
      </c>
      <c r="P43" s="2">
        <f t="shared" si="8"/>
        <v>-0.49073918999196886</v>
      </c>
      <c r="Q43" s="2">
        <f t="shared" si="9"/>
        <v>6.7076184610599725</v>
      </c>
      <c r="R43" s="2">
        <f t="shared" si="10"/>
        <v>6.0239757660779585</v>
      </c>
      <c r="S43" s="4">
        <f t="shared" si="14"/>
        <v>3.8001000000000031</v>
      </c>
    </row>
    <row r="44" spans="4:19">
      <c r="D44">
        <f t="shared" si="11"/>
        <v>91</v>
      </c>
      <c r="E44" s="2">
        <f t="shared" si="1"/>
        <v>1.4637539045398165</v>
      </c>
      <c r="F44" s="2">
        <f t="shared" si="2"/>
        <v>1.1677137890149099</v>
      </c>
      <c r="G44" s="2">
        <f t="shared" si="3"/>
        <v>0.92836939937138596</v>
      </c>
      <c r="H44" s="2">
        <f t="shared" si="3"/>
        <v>0.87853888357824561</v>
      </c>
      <c r="I44" s="3">
        <f t="shared" si="4"/>
        <v>7.1630600628614038E-2</v>
      </c>
      <c r="J44" s="3">
        <f>_xlfn.NORM.S.DIST(-F44,TRUE)</f>
        <v>0.12146111642175435</v>
      </c>
      <c r="K44" s="1">
        <f t="shared" si="5"/>
        <v>33.325707512347762</v>
      </c>
      <c r="L44" s="1">
        <f t="shared" si="12"/>
        <v>1.0645788784101411</v>
      </c>
      <c r="M44" s="2">
        <f t="shared" si="6"/>
        <v>-7.1630600628614038E-2</v>
      </c>
      <c r="N44" s="3">
        <f t="shared" si="7"/>
        <v>1.0012051101870891E-2</v>
      </c>
      <c r="O44" s="2">
        <f t="shared" si="13"/>
        <v>6.2973546070144737</v>
      </c>
      <c r="P44" s="2">
        <f t="shared" si="8"/>
        <v>-0.47653252959176334</v>
      </c>
      <c r="Q44" s="2">
        <f t="shared" si="9"/>
        <v>6.6435859715498653</v>
      </c>
      <c r="R44" s="2">
        <f t="shared" si="10"/>
        <v>5.985746378932622</v>
      </c>
      <c r="S44" s="4">
        <f t="shared" si="14"/>
        <v>3.8951000000000033</v>
      </c>
    </row>
    <row r="45" spans="4:19">
      <c r="D45">
        <f t="shared" si="11"/>
        <v>92</v>
      </c>
      <c r="E45" s="2">
        <f t="shared" si="1"/>
        <v>1.4814965711326433</v>
      </c>
      <c r="F45" s="2">
        <f t="shared" si="2"/>
        <v>1.1818680511282884</v>
      </c>
      <c r="G45" s="2">
        <f t="shared" si="3"/>
        <v>0.9307628510241861</v>
      </c>
      <c r="H45" s="2">
        <f t="shared" si="3"/>
        <v>0.88137096967043838</v>
      </c>
      <c r="I45" s="3">
        <f t="shared" si="4"/>
        <v>6.9237148975813859E-2</v>
      </c>
      <c r="J45" s="3">
        <f t="shared" si="0"/>
        <v>0.11862903032956157</v>
      </c>
      <c r="K45" s="1">
        <f t="shared" si="5"/>
        <v>33.93770398201336</v>
      </c>
      <c r="L45" s="1">
        <f t="shared" si="12"/>
        <v>1.0361031300115151</v>
      </c>
      <c r="M45" s="2">
        <f t="shared" si="6"/>
        <v>-6.92371489758139E-2</v>
      </c>
      <c r="N45" s="3">
        <f t="shared" si="7"/>
        <v>9.6478212096538073E-3</v>
      </c>
      <c r="O45" s="2">
        <f t="shared" si="13"/>
        <v>6.2471206116132141</v>
      </c>
      <c r="P45" s="2">
        <f t="shared" si="8"/>
        <v>-0.46271930318660059</v>
      </c>
      <c r="Q45" s="2">
        <f t="shared" si="9"/>
        <v>6.5803831111859035</v>
      </c>
      <c r="R45" s="2">
        <f t="shared" si="10"/>
        <v>5.9471843619977935</v>
      </c>
      <c r="S45" s="4">
        <f t="shared" si="14"/>
        <v>3.9901000000000035</v>
      </c>
    </row>
    <row r="46" spans="4:19">
      <c r="D46">
        <f t="shared" si="11"/>
        <v>93</v>
      </c>
      <c r="E46" s="2">
        <f t="shared" si="1"/>
        <v>1.4990292483804317</v>
      </c>
      <c r="F46" s="2">
        <f t="shared" si="2"/>
        <v>1.1958547936518051</v>
      </c>
      <c r="G46" s="2">
        <f t="shared" si="3"/>
        <v>0.9330669777516829</v>
      </c>
      <c r="H46" s="2">
        <f t="shared" si="3"/>
        <v>0.88412338551205127</v>
      </c>
      <c r="I46" s="3">
        <f t="shared" si="4"/>
        <v>6.6933022248317139E-2</v>
      </c>
      <c r="J46" s="3">
        <f t="shared" si="0"/>
        <v>0.11587661448794874</v>
      </c>
      <c r="K46" s="1">
        <f t="shared" si="5"/>
        <v>34.544336458936989</v>
      </c>
      <c r="L46" s="1">
        <f t="shared" si="12"/>
        <v>1.0083190649375426</v>
      </c>
      <c r="M46" s="2">
        <f t="shared" si="6"/>
        <v>-6.6933022248317098E-2</v>
      </c>
      <c r="N46" s="3">
        <f t="shared" si="7"/>
        <v>9.297940218623969E-3</v>
      </c>
      <c r="O46" s="2">
        <f t="shared" si="13"/>
        <v>6.1971065018673146</v>
      </c>
      <c r="P46" s="2">
        <f t="shared" si="8"/>
        <v>-0.44929175873274085</v>
      </c>
      <c r="Q46" s="2">
        <f t="shared" si="9"/>
        <v>6.5179768721114995</v>
      </c>
      <c r="R46" s="2">
        <f t="shared" si="10"/>
        <v>5.9083231686475486</v>
      </c>
      <c r="S46" s="4">
        <f t="shared" si="14"/>
        <v>4.0851000000000033</v>
      </c>
    </row>
    <row r="47" spans="4:19">
      <c r="D47">
        <f t="shared" si="11"/>
        <v>94</v>
      </c>
      <c r="E47" s="2">
        <f t="shared" si="1"/>
        <v>1.5163592202120921</v>
      </c>
      <c r="F47" s="2">
        <f t="shared" si="2"/>
        <v>1.2096798273602083</v>
      </c>
      <c r="G47" s="2">
        <f t="shared" si="3"/>
        <v>0.93528572764094753</v>
      </c>
      <c r="H47" s="2">
        <f t="shared" si="3"/>
        <v>0.88679911328438144</v>
      </c>
      <c r="I47" s="3">
        <f t="shared" si="4"/>
        <v>6.4714272359052444E-2</v>
      </c>
      <c r="J47" s="3">
        <f t="shared" si="0"/>
        <v>0.11320088671561856</v>
      </c>
      <c r="K47" s="1">
        <f t="shared" si="5"/>
        <v>35.145652557509379</v>
      </c>
      <c r="L47" s="1">
        <f t="shared" si="12"/>
        <v>0.98121704105545504</v>
      </c>
      <c r="M47" s="2">
        <f t="shared" si="6"/>
        <v>-6.4714272359052472E-2</v>
      </c>
      <c r="N47" s="3">
        <f t="shared" si="7"/>
        <v>8.9617839258119315E-3</v>
      </c>
      <c r="O47" s="2">
        <f t="shared" si="13"/>
        <v>6.1473146261038023</v>
      </c>
      <c r="P47" s="2">
        <f t="shared" si="8"/>
        <v>-0.43624182225080482</v>
      </c>
      <c r="Q47" s="2">
        <f t="shared" si="9"/>
        <v>6.4563372315490675</v>
      </c>
      <c r="R47" s="2">
        <f t="shared" si="10"/>
        <v>5.8691942812030637</v>
      </c>
      <c r="S47" s="4">
        <f t="shared" si="14"/>
        <v>4.180100000000003</v>
      </c>
    </row>
    <row r="48" spans="4:19">
      <c r="D48">
        <f t="shared" si="11"/>
        <v>95</v>
      </c>
      <c r="E48" s="2">
        <f t="shared" si="1"/>
        <v>1.5334933589502258</v>
      </c>
      <c r="F48" s="2">
        <f t="shared" si="2"/>
        <v>1.2233486346681577</v>
      </c>
      <c r="G48" s="2">
        <f t="shared" si="3"/>
        <v>0.93742282914954866</v>
      </c>
      <c r="H48" s="2">
        <f t="shared" si="3"/>
        <v>0.88940097742075552</v>
      </c>
      <c r="I48" s="3">
        <f t="shared" si="4"/>
        <v>6.2577170850451364E-2</v>
      </c>
      <c r="J48" s="3">
        <f t="shared" si="0"/>
        <v>0.11059902257924445</v>
      </c>
      <c r="K48" s="1">
        <f t="shared" si="5"/>
        <v>35.741698648897739</v>
      </c>
      <c r="L48" s="1">
        <f t="shared" si="12"/>
        <v>0.95478671437032325</v>
      </c>
      <c r="M48" s="2">
        <f t="shared" si="6"/>
        <v>-6.2577170850451336E-2</v>
      </c>
      <c r="N48" s="3">
        <f t="shared" si="7"/>
        <v>8.6387586531561228E-3</v>
      </c>
      <c r="O48" s="2">
        <f t="shared" si="13"/>
        <v>6.097747620962723</v>
      </c>
      <c r="P48" s="2">
        <f t="shared" si="8"/>
        <v>-0.42356118558453537</v>
      </c>
      <c r="Q48" s="2">
        <f t="shared" si="9"/>
        <v>6.3954368153197336</v>
      </c>
      <c r="R48" s="2">
        <f t="shared" si="10"/>
        <v>5.8298273460414132</v>
      </c>
      <c r="S48" s="4">
        <f t="shared" si="14"/>
        <v>4.2751000000000028</v>
      </c>
    </row>
    <row r="49" spans="4:19">
      <c r="D49">
        <f t="shared" si="11"/>
        <v>96</v>
      </c>
      <c r="E49" s="2">
        <f t="shared" si="1"/>
        <v>1.5504381571564432</v>
      </c>
      <c r="F49" s="2">
        <f t="shared" si="2"/>
        <v>1.2368663950349152</v>
      </c>
      <c r="G49" s="2">
        <f t="shared" si="3"/>
        <v>0.93948180694715711</v>
      </c>
      <c r="H49" s="2">
        <f t="shared" si="3"/>
        <v>0.89193165612250314</v>
      </c>
      <c r="I49" s="3">
        <f t="shared" si="4"/>
        <v>6.0518193052842853E-2</v>
      </c>
      <c r="J49" s="3">
        <f t="shared" si="0"/>
        <v>0.10806834387749689</v>
      </c>
      <c r="K49" s="1">
        <f t="shared" si="5"/>
        <v>36.332519991613331</v>
      </c>
      <c r="L49" s="1">
        <f t="shared" si="12"/>
        <v>0.92901716447419869</v>
      </c>
      <c r="M49" s="2">
        <f t="shared" si="6"/>
        <v>-6.0518193052842895E-2</v>
      </c>
      <c r="N49" s="3">
        <f t="shared" si="7"/>
        <v>8.3282995493854112E-3</v>
      </c>
      <c r="O49" s="2">
        <f t="shared" si="13"/>
        <v>6.0484083373715922</v>
      </c>
      <c r="P49" s="2">
        <f t="shared" si="8"/>
        <v>-0.41124137991449522</v>
      </c>
      <c r="Q49" s="2">
        <f t="shared" si="9"/>
        <v>6.3352506044329449</v>
      </c>
      <c r="R49" s="2">
        <f t="shared" si="10"/>
        <v>5.7902502970163736</v>
      </c>
      <c r="S49" s="4">
        <f t="shared" si="14"/>
        <v>4.3701000000000025</v>
      </c>
    </row>
    <row r="50" spans="4:19">
      <c r="D50">
        <f t="shared" si="11"/>
        <v>97</v>
      </c>
      <c r="E50" s="2">
        <f t="shared" si="1"/>
        <v>1.5671997563772431</v>
      </c>
      <c r="F50" s="2">
        <f t="shared" si="2"/>
        <v>1.2502380078964523</v>
      </c>
      <c r="G50" s="2">
        <f t="shared" si="3"/>
        <v>0.94146599630123229</v>
      </c>
      <c r="H50" s="2">
        <f t="shared" si="3"/>
        <v>0.89439369179131467</v>
      </c>
      <c r="I50" s="3">
        <f t="shared" si="4"/>
        <v>5.8534003698767739E-2</v>
      </c>
      <c r="J50" s="3">
        <f t="shared" si="0"/>
        <v>0.10560630820868527</v>
      </c>
      <c r="K50" s="1">
        <f t="shared" si="5"/>
        <v>36.918160845816502</v>
      </c>
      <c r="L50" s="1">
        <f t="shared" si="12"/>
        <v>0.90389700378082427</v>
      </c>
      <c r="M50" s="2">
        <f t="shared" si="6"/>
        <v>-5.8534003698767711E-2</v>
      </c>
      <c r="N50" s="3">
        <f t="shared" si="7"/>
        <v>8.0298689997035586E-3</v>
      </c>
      <c r="O50" s="2">
        <f t="shared" si="13"/>
        <v>5.9992997784856783</v>
      </c>
      <c r="P50" s="2">
        <f t="shared" si="8"/>
        <v>-0.39927383731075505</v>
      </c>
      <c r="Q50" s="2">
        <f t="shared" si="9"/>
        <v>6.2757556785406834</v>
      </c>
      <c r="R50" s="2">
        <f t="shared" si="10"/>
        <v>5.7504894684361734</v>
      </c>
      <c r="S50" s="4">
        <f t="shared" si="14"/>
        <v>4.4651000000000023</v>
      </c>
    </row>
    <row r="51" spans="4:19">
      <c r="D51">
        <f t="shared" si="11"/>
        <v>98</v>
      </c>
      <c r="E51" s="2">
        <f t="shared" si="1"/>
        <v>1.5837839731513612</v>
      </c>
      <c r="F51" s="2">
        <f t="shared" si="2"/>
        <v>1.2634681134128836</v>
      </c>
      <c r="G51" s="2">
        <f t="shared" si="3"/>
        <v>0.94337855617021904</v>
      </c>
      <c r="H51" s="2">
        <f t="shared" si="3"/>
        <v>0.89678950050173989</v>
      </c>
      <c r="I51" s="3">
        <f t="shared" si="4"/>
        <v>5.6621443829780946E-2</v>
      </c>
      <c r="J51" s="3">
        <f t="shared" si="0"/>
        <v>0.10321049949826008</v>
      </c>
      <c r="K51" s="1">
        <f t="shared" si="5"/>
        <v>37.498664573504421</v>
      </c>
      <c r="L51" s="1">
        <f t="shared" si="12"/>
        <v>0.8794144726912787</v>
      </c>
      <c r="M51" s="2">
        <f t="shared" si="6"/>
        <v>-5.662144382978096E-2</v>
      </c>
      <c r="N51" s="3">
        <f t="shared" si="7"/>
        <v>7.7429551355048922E-3</v>
      </c>
      <c r="O51" s="2">
        <f t="shared" si="13"/>
        <v>5.9504250476997873</v>
      </c>
      <c r="P51" s="2">
        <f t="shared" si="8"/>
        <v>-0.3876499422188972</v>
      </c>
      <c r="Q51" s="2">
        <f t="shared" si="9"/>
        <v>6.2169309910478274</v>
      </c>
      <c r="R51" s="2">
        <f t="shared" si="10"/>
        <v>5.7105696986865508</v>
      </c>
      <c r="S51" s="4">
        <f t="shared" si="14"/>
        <v>4.560100000000002</v>
      </c>
    </row>
    <row r="52" spans="4:19">
      <c r="D52">
        <f t="shared" si="11"/>
        <v>99</v>
      </c>
      <c r="E52" s="2">
        <f t="shared" si="1"/>
        <v>1.6001963225908671</v>
      </c>
      <c r="F52" s="2">
        <f t="shared" si="2"/>
        <v>1.2765611112803548</v>
      </c>
      <c r="G52" s="2">
        <f t="shared" si="3"/>
        <v>0.94522248114616736</v>
      </c>
      <c r="H52" s="2">
        <f t="shared" si="3"/>
        <v>0.8991213806211088</v>
      </c>
      <c r="I52" s="3">
        <f t="shared" si="4"/>
        <v>5.4777518853832641E-2</v>
      </c>
      <c r="J52" s="3">
        <f t="shared" si="0"/>
        <v>0.10087861937889116</v>
      </c>
      <c r="K52" s="1">
        <f t="shared" si="5"/>
        <v>38.074073726418419</v>
      </c>
      <c r="L52" s="1">
        <f t="shared" si="12"/>
        <v>0.85555752252632811</v>
      </c>
      <c r="M52" s="2">
        <f t="shared" si="6"/>
        <v>-5.4777518853832641E-2</v>
      </c>
      <c r="N52" s="3">
        <f t="shared" si="7"/>
        <v>7.467070436980216E-3</v>
      </c>
      <c r="O52" s="2">
        <f t="shared" si="13"/>
        <v>5.9017873051551559</v>
      </c>
      <c r="P52" s="2">
        <f t="shared" si="8"/>
        <v>-0.37636107445563388</v>
      </c>
      <c r="Q52" s="2">
        <f t="shared" si="9"/>
        <v>6.1587571714904819</v>
      </c>
      <c r="R52" s="2">
        <f t="shared" si="10"/>
        <v>5.670514425453363</v>
      </c>
      <c r="S52" s="4">
        <f t="shared" si="14"/>
        <v>4.6551000000000018</v>
      </c>
    </row>
    <row r="53" spans="4:19">
      <c r="D53">
        <f t="shared" si="11"/>
        <v>100</v>
      </c>
      <c r="E53" s="2">
        <f t="shared" si="1"/>
        <v>1.6164420398070438</v>
      </c>
      <c r="F53" s="2">
        <f t="shared" si="2"/>
        <v>1.2895211778235969</v>
      </c>
      <c r="G53" s="2">
        <f t="shared" si="3"/>
        <v>0.94700061237038302</v>
      </c>
      <c r="H53" s="2">
        <f t="shared" si="3"/>
        <v>0.9013915206701707</v>
      </c>
      <c r="I53" s="3">
        <f t="shared" si="4"/>
        <v>5.299938762961693E-2</v>
      </c>
      <c r="J53" s="3">
        <f t="shared" si="0"/>
        <v>9.8608479329829288E-2</v>
      </c>
      <c r="K53" s="1">
        <f t="shared" si="5"/>
        <v>38.644430123246288</v>
      </c>
      <c r="L53" s="1">
        <f t="shared" si="12"/>
        <v>0.83231388780125037</v>
      </c>
      <c r="M53" s="2">
        <f t="shared" si="6"/>
        <v>-5.2999387629616979E-2</v>
      </c>
      <c r="N53" s="3">
        <f t="shared" si="7"/>
        <v>7.2017504220450827E-3</v>
      </c>
      <c r="O53" s="2">
        <f t="shared" si="13"/>
        <v>5.8533897314255823</v>
      </c>
      <c r="P53" s="2">
        <f t="shared" si="8"/>
        <v>-0.36539864502991315</v>
      </c>
      <c r="Q53" s="2">
        <f t="shared" si="9"/>
        <v>6.1012163514719635</v>
      </c>
      <c r="R53" s="2">
        <f t="shared" si="10"/>
        <v>5.6303457733838389</v>
      </c>
      <c r="S53" s="4">
        <f t="shared" si="14"/>
        <v>4.7501000000000015</v>
      </c>
    </row>
    <row r="54" spans="4:19">
      <c r="D54">
        <f t="shared" si="11"/>
        <v>101</v>
      </c>
      <c r="E54" s="2">
        <f t="shared" si="1"/>
        <v>1.6325260994170288</v>
      </c>
      <c r="F54" s="2">
        <f t="shared" si="2"/>
        <v>1.3023522815574049</v>
      </c>
      <c r="G54" s="2">
        <f t="shared" si="3"/>
        <v>0.94871564753011672</v>
      </c>
      <c r="H54" s="2">
        <f t="shared" si="3"/>
        <v>0.90360200650583145</v>
      </c>
      <c r="I54" s="3">
        <f t="shared" si="4"/>
        <v>5.1284352469883263E-2</v>
      </c>
      <c r="J54" s="3">
        <f t="shared" si="0"/>
        <v>9.6397993494168499E-2</v>
      </c>
      <c r="K54" s="1">
        <f t="shared" si="5"/>
        <v>39.209774917476466</v>
      </c>
      <c r="L54" s="1">
        <f t="shared" si="12"/>
        <v>0.80967114919868699</v>
      </c>
      <c r="M54" s="2">
        <f t="shared" si="6"/>
        <v>-5.1284352469883276E-2</v>
      </c>
      <c r="N54" s="3">
        <f t="shared" si="7"/>
        <v>6.9465524155443393E-3</v>
      </c>
      <c r="O54" s="2">
        <f t="shared" si="13"/>
        <v>5.8052354972810276</v>
      </c>
      <c r="P54" s="2">
        <f t="shared" si="8"/>
        <v>-0.35475412589119426</v>
      </c>
      <c r="Q54" s="2">
        <f t="shared" si="9"/>
        <v>6.0442920110085341</v>
      </c>
      <c r="R54" s="2">
        <f t="shared" si="10"/>
        <v>5.5900846349262707</v>
      </c>
      <c r="S54" s="4">
        <f t="shared" si="14"/>
        <v>4.8451000000000013</v>
      </c>
    </row>
    <row r="55" spans="4:19">
      <c r="D55">
        <f t="shared" si="11"/>
        <v>102</v>
      </c>
      <c r="E55" s="2">
        <f t="shared" si="1"/>
        <v>1.6484532333372401</v>
      </c>
      <c r="F55" s="2">
        <f t="shared" si="2"/>
        <v>1.315058197381394</v>
      </c>
      <c r="G55" s="2">
        <f t="shared" si="3"/>
        <v>0.95037015003093428</v>
      </c>
      <c r="H55" s="2">
        <f t="shared" si="3"/>
        <v>0.90575482789717965</v>
      </c>
      <c r="I55" s="3">
        <f t="shared" si="4"/>
        <v>4.9629849969065748E-2</v>
      </c>
      <c r="J55" s="3">
        <f t="shared" si="0"/>
        <v>9.4245172102820296E-2</v>
      </c>
      <c r="K55" s="1">
        <f t="shared" si="5"/>
        <v>39.770148657073754</v>
      </c>
      <c r="L55" s="1">
        <f t="shared" si="12"/>
        <v>0.78761678840951799</v>
      </c>
      <c r="M55" s="2">
        <f t="shared" si="6"/>
        <v>-4.962984996906572E-2</v>
      </c>
      <c r="N55" s="3">
        <f t="shared" si="7"/>
        <v>6.7010543931627659E-3</v>
      </c>
      <c r="O55" s="2">
        <f t="shared" si="13"/>
        <v>5.7573277386036672</v>
      </c>
      <c r="P55" s="2">
        <f t="shared" si="8"/>
        <v>-0.3444190745299095</v>
      </c>
      <c r="Q55" s="2">
        <f t="shared" si="9"/>
        <v>5.9879688426053663</v>
      </c>
      <c r="R55" s="2">
        <f t="shared" si="10"/>
        <v>5.5497507450021368</v>
      </c>
      <c r="S55" s="4">
        <f t="shared" si="14"/>
        <v>4.940100000000001</v>
      </c>
    </row>
    <row r="56" spans="4:19">
      <c r="D56">
        <f t="shared" si="11"/>
        <v>103</v>
      </c>
      <c r="E56" s="2">
        <f t="shared" si="1"/>
        <v>1.6642279470439807</v>
      </c>
      <c r="F56" s="2">
        <f t="shared" si="2"/>
        <v>1.3276425195519397</v>
      </c>
      <c r="G56" s="2">
        <f t="shared" si="3"/>
        <v>0.95196655742794234</v>
      </c>
      <c r="H56" s="2">
        <f t="shared" si="3"/>
        <v>0.90785188455725518</v>
      </c>
      <c r="I56" s="3">
        <f t="shared" si="4"/>
        <v>4.8033442572057716E-2</v>
      </c>
      <c r="J56" s="3">
        <f t="shared" si="0"/>
        <v>9.2148115442744871E-2</v>
      </c>
      <c r="K56" s="1">
        <f t="shared" si="5"/>
        <v>40.325591336989177</v>
      </c>
      <c r="L56" s="1">
        <f t="shared" si="12"/>
        <v>0.7661382358534059</v>
      </c>
      <c r="M56" s="2">
        <f t="shared" si="6"/>
        <v>-4.8033442572057661E-2</v>
      </c>
      <c r="N56" s="3">
        <f t="shared" si="7"/>
        <v>6.4648538949058166E-3</v>
      </c>
      <c r="O56" s="2">
        <f t="shared" si="13"/>
        <v>5.7096695356776417</v>
      </c>
      <c r="P56" s="2">
        <f t="shared" si="8"/>
        <v>-0.33438515420878218</v>
      </c>
      <c r="Q56" s="2">
        <f t="shared" si="9"/>
        <v>5.9322326307747772</v>
      </c>
      <c r="R56" s="2">
        <f t="shared" si="10"/>
        <v>5.5093627500902196</v>
      </c>
      <c r="S56" s="4">
        <f t="shared" si="14"/>
        <v>5.0351000000000008</v>
      </c>
    </row>
    <row r="57" spans="4:19">
      <c r="D57">
        <f t="shared" si="11"/>
        <v>104</v>
      </c>
      <c r="E57" s="2">
        <f t="shared" si="1"/>
        <v>1.6798545344595901</v>
      </c>
      <c r="F57" s="2">
        <f t="shared" si="2"/>
        <v>1.3401086735576506</v>
      </c>
      <c r="G57" s="2">
        <f t="shared" si="3"/>
        <v>0.95350718918915622</v>
      </c>
      <c r="H57" s="2">
        <f t="shared" si="3"/>
        <v>0.90989499168549759</v>
      </c>
      <c r="I57" s="3">
        <f t="shared" si="4"/>
        <v>4.6492810810843818E-2</v>
      </c>
      <c r="J57" s="3">
        <f t="shared" si="0"/>
        <v>9.0105008314502424E-2</v>
      </c>
      <c r="K57" s="1">
        <f t="shared" si="5"/>
        <v>40.876142445381191</v>
      </c>
      <c r="L57" s="1">
        <f t="shared" si="12"/>
        <v>0.7452229121559748</v>
      </c>
      <c r="M57" s="2">
        <f t="shared" si="6"/>
        <v>-4.6492810810843777E-2</v>
      </c>
      <c r="N57" s="3">
        <f t="shared" si="7"/>
        <v>6.2375670034109281E-3</v>
      </c>
      <c r="O57" s="2">
        <f t="shared" si="13"/>
        <v>5.662263896195344</v>
      </c>
      <c r="P57" s="2">
        <f t="shared" si="8"/>
        <v>-0.3246441504821348</v>
      </c>
      <c r="Q57" s="2">
        <f t="shared" si="9"/>
        <v>5.8770701450372442</v>
      </c>
      <c r="R57" s="2">
        <f t="shared" si="10"/>
        <v>5.468938272237633</v>
      </c>
      <c r="S57" s="4">
        <f t="shared" si="14"/>
        <v>5.1301000000000005</v>
      </c>
    </row>
    <row r="58" spans="4:19">
      <c r="D58">
        <f t="shared" si="11"/>
        <v>105</v>
      </c>
      <c r="E58" s="2">
        <f t="shared" si="1"/>
        <v>1.6953370916035158</v>
      </c>
      <c r="F58" s="2">
        <f t="shared" si="2"/>
        <v>1.3524599270095463</v>
      </c>
      <c r="G58" s="2">
        <f t="shared" si="3"/>
        <v>0.95499425385575565</v>
      </c>
      <c r="H58" s="2">
        <f t="shared" si="3"/>
        <v>0.91188588506931856</v>
      </c>
      <c r="I58" s="3">
        <f t="shared" si="4"/>
        <v>4.5005746144244338E-2</v>
      </c>
      <c r="J58" s="3">
        <f t="shared" si="0"/>
        <v>8.811411493068147E-2</v>
      </c>
      <c r="K58" s="1">
        <f t="shared" si="5"/>
        <v>41.421841004310743</v>
      </c>
      <c r="L58" s="1">
        <f t="shared" si="12"/>
        <v>0.7248582641447685</v>
      </c>
      <c r="M58" s="2">
        <f t="shared" si="6"/>
        <v>-4.5005746144244352E-2</v>
      </c>
      <c r="N58" s="3">
        <f t="shared" si="7"/>
        <v>6.0188273827126784E-3</v>
      </c>
      <c r="O58" s="2">
        <f t="shared" si="13"/>
        <v>5.6151137414243442</v>
      </c>
      <c r="P58" s="2">
        <f t="shared" si="8"/>
        <v>-0.31518798455905805</v>
      </c>
      <c r="Q58" s="2">
        <f t="shared" si="9"/>
        <v>5.8224690447222063</v>
      </c>
      <c r="R58" s="2">
        <f t="shared" si="10"/>
        <v>5.4284939684562685</v>
      </c>
      <c r="S58" s="4">
        <f t="shared" si="14"/>
        <v>5.2251000000000003</v>
      </c>
    </row>
    <row r="59" spans="4:19">
      <c r="D59">
        <f t="shared" si="11"/>
        <v>106</v>
      </c>
      <c r="E59" s="2">
        <f t="shared" si="1"/>
        <v>1.7106795291313008</v>
      </c>
      <c r="F59" s="2">
        <f t="shared" si="2"/>
        <v>1.3646993996440715</v>
      </c>
      <c r="G59" s="2">
        <f t="shared" si="3"/>
        <v>0.95642985565657257</v>
      </c>
      <c r="H59" s="2">
        <f t="shared" si="3"/>
        <v>0.91382622578762984</v>
      </c>
      <c r="I59" s="3">
        <f t="shared" si="4"/>
        <v>4.357014434342743E-2</v>
      </c>
      <c r="J59" s="3">
        <f t="shared" si="0"/>
        <v>8.6173774212370199E-2</v>
      </c>
      <c r="K59" s="1">
        <f t="shared" si="5"/>
        <v>41.962725605573972</v>
      </c>
      <c r="L59" s="1">
        <f t="shared" si="12"/>
        <v>0.70503179602729826</v>
      </c>
      <c r="M59" s="2">
        <f t="shared" si="6"/>
        <v>-4.357014434342743E-2</v>
      </c>
      <c r="N59" s="3">
        <f t="shared" si="7"/>
        <v>5.8082853734164564E-3</v>
      </c>
      <c r="O59" s="2">
        <f t="shared" si="13"/>
        <v>5.5682218950637044</v>
      </c>
      <c r="P59" s="2">
        <f t="shared" si="8"/>
        <v>-0.30600872398162821</v>
      </c>
      <c r="Q59" s="2">
        <f t="shared" si="9"/>
        <v>5.7684177941190802</v>
      </c>
      <c r="R59" s="2">
        <f t="shared" si="10"/>
        <v>5.3880455859138658</v>
      </c>
      <c r="S59" s="4">
        <f t="shared" si="14"/>
        <v>5.3201000000000001</v>
      </c>
    </row>
    <row r="60" spans="4:19">
      <c r="D60">
        <f t="shared" si="11"/>
        <v>107</v>
      </c>
      <c r="E60" s="2">
        <f t="shared" si="1"/>
        <v>1.7258855838702376</v>
      </c>
      <c r="F60" s="2">
        <f t="shared" si="2"/>
        <v>1.3768300725256952</v>
      </c>
      <c r="G60" s="2">
        <f t="shared" si="3"/>
        <v>0.9578160006277181</v>
      </c>
      <c r="H60" s="2">
        <f t="shared" si="3"/>
        <v>0.91571760455428164</v>
      </c>
      <c r="I60" s="3">
        <f t="shared" si="4"/>
        <v>4.2183999372281927E-2</v>
      </c>
      <c r="J60" s="3">
        <f t="shared" si="0"/>
        <v>8.4282395445718347E-2</v>
      </c>
      <c r="K60" s="1">
        <f t="shared" si="5"/>
        <v>42.498834442251912</v>
      </c>
      <c r="L60" s="1">
        <f t="shared" si="12"/>
        <v>0.68573109632995966</v>
      </c>
      <c r="M60" s="2">
        <f t="shared" si="6"/>
        <v>-4.21839993722819E-2</v>
      </c>
      <c r="N60" s="3">
        <f t="shared" si="7"/>
        <v>5.6056071405394519E-3</v>
      </c>
      <c r="O60" s="2">
        <f t="shared" si="13"/>
        <v>5.5215910743893666</v>
      </c>
      <c r="P60" s="2">
        <f t="shared" si="8"/>
        <v>-0.29709859101843927</v>
      </c>
      <c r="Q60" s="2">
        <f t="shared" si="9"/>
        <v>5.7149055867267426</v>
      </c>
      <c r="R60" s="2">
        <f t="shared" si="10"/>
        <v>5.3476080132857282</v>
      </c>
      <c r="S60" s="4">
        <f t="shared" si="14"/>
        <v>5.4150999999999998</v>
      </c>
    </row>
    <row r="61" spans="4:19">
      <c r="D61">
        <f t="shared" si="11"/>
        <v>108</v>
      </c>
      <c r="E61" s="2">
        <f t="shared" si="1"/>
        <v>1.7409588294481098</v>
      </c>
      <c r="F61" s="2">
        <f t="shared" si="2"/>
        <v>1.3888547965260201</v>
      </c>
      <c r="G61" s="2">
        <f t="shared" si="3"/>
        <v>0.95915460228265115</v>
      </c>
      <c r="H61" s="2">
        <f t="shared" si="3"/>
        <v>0.91756154573512361</v>
      </c>
      <c r="I61" s="3">
        <f t="shared" si="4"/>
        <v>4.0845397717348866E-2</v>
      </c>
      <c r="J61" s="3">
        <f t="shared" si="0"/>
        <v>8.2438454264876393E-2</v>
      </c>
      <c r="K61" s="1">
        <f t="shared" si="5"/>
        <v>43.030205336483071</v>
      </c>
      <c r="L61" s="1">
        <f t="shared" si="12"/>
        <v>0.66694386110368953</v>
      </c>
      <c r="M61" s="2">
        <f t="shared" si="6"/>
        <v>-4.0845397717348852E-2</v>
      </c>
      <c r="N61" s="3">
        <f t="shared" si="7"/>
        <v>5.4104738705559449E-3</v>
      </c>
      <c r="O61" s="2">
        <f t="shared" si="13"/>
        <v>5.4752238833479767</v>
      </c>
      <c r="P61" s="2">
        <f t="shared" si="8"/>
        <v>-0.28844996911408555</v>
      </c>
      <c r="Q61" s="2">
        <f t="shared" si="9"/>
        <v>5.6619222775177489</v>
      </c>
      <c r="R61" s="2">
        <f t="shared" si="10"/>
        <v>5.3071953285951814</v>
      </c>
      <c r="S61" s="4">
        <f t="shared" si="14"/>
        <v>5.5100999999999996</v>
      </c>
    </row>
    <row r="62" spans="4:19">
      <c r="D62">
        <f t="shared" si="11"/>
        <v>109</v>
      </c>
      <c r="E62" s="2">
        <f t="shared" si="1"/>
        <v>1.7559026861006721</v>
      </c>
      <c r="F62" s="2">
        <f t="shared" si="2"/>
        <v>1.4007763001477271</v>
      </c>
      <c r="G62" s="2">
        <f t="shared" si="3"/>
        <v>0.96044748687308978</v>
      </c>
      <c r="H62" s="2">
        <f t="shared" si="3"/>
        <v>0.91935951106869862</v>
      </c>
      <c r="I62" s="3">
        <f t="shared" si="4"/>
        <v>3.9552513126910244E-2</v>
      </c>
      <c r="J62" s="3">
        <f t="shared" si="0"/>
        <v>8.0640488931301421E-2</v>
      </c>
      <c r="K62" s="1">
        <f t="shared" si="5"/>
        <v>43.556875763902816</v>
      </c>
      <c r="L62" s="1">
        <f t="shared" si="12"/>
        <v>0.64865791383919236</v>
      </c>
      <c r="M62" s="2">
        <f t="shared" si="6"/>
        <v>-3.9552513126910216E-2</v>
      </c>
      <c r="N62" s="3">
        <f t="shared" si="7"/>
        <v>5.2225810144394371E-3</v>
      </c>
      <c r="O62" s="2">
        <f t="shared" si="13"/>
        <v>5.4291228073086568</v>
      </c>
      <c r="P62" s="2">
        <f t="shared" si="8"/>
        <v>-0.28005540768498061</v>
      </c>
      <c r="Q62" s="2">
        <f t="shared" si="9"/>
        <v>5.6094583222766978</v>
      </c>
      <c r="R62" s="2">
        <f t="shared" si="10"/>
        <v>5.2668208438374196</v>
      </c>
      <c r="S62" s="4">
        <f t="shared" si="14"/>
        <v>5.6050999999999993</v>
      </c>
    </row>
    <row r="63" spans="4:19">
      <c r="D63">
        <f t="shared" si="11"/>
        <v>110</v>
      </c>
      <c r="E63" s="2">
        <f t="shared" si="1"/>
        <v>1.7707204297341177</v>
      </c>
      <c r="F63" s="2">
        <f t="shared" si="2"/>
        <v>1.4125971967541839</v>
      </c>
      <c r="G63" s="2">
        <f t="shared" si="3"/>
        <v>0.96169639827687359</v>
      </c>
      <c r="H63" s="2">
        <f t="shared" si="3"/>
        <v>0.92111290311734062</v>
      </c>
      <c r="I63" s="3">
        <f t="shared" si="4"/>
        <v>3.8303601723126426E-2</v>
      </c>
      <c r="J63" s="3">
        <f t="shared" si="0"/>
        <v>7.8887096882659352E-2</v>
      </c>
      <c r="K63" s="1">
        <f t="shared" si="5"/>
        <v>44.078882875137602</v>
      </c>
      <c r="L63" s="1">
        <f t="shared" si="12"/>
        <v>0.63086122248022969</v>
      </c>
      <c r="M63" s="2">
        <f t="shared" si="6"/>
        <v>-3.8303601723126413E-2</v>
      </c>
      <c r="N63" s="3">
        <f t="shared" si="7"/>
        <v>5.0416375737286322E-3</v>
      </c>
      <c r="O63" s="2">
        <f t="shared" si="13"/>
        <v>5.3832902092247732</v>
      </c>
      <c r="P63" s="2">
        <f t="shared" si="8"/>
        <v>-0.27190762550948944</v>
      </c>
      <c r="Q63" s="2">
        <f t="shared" si="9"/>
        <v>5.5575047231945716</v>
      </c>
      <c r="R63" s="2">
        <f t="shared" si="10"/>
        <v>5.2264971466519556</v>
      </c>
      <c r="S63" s="4">
        <f t="shared" si="14"/>
        <v>5.7000999999999991</v>
      </c>
    </row>
    <row r="64" spans="4:19">
      <c r="D64">
        <f t="shared" si="11"/>
        <v>111</v>
      </c>
      <c r="E64" s="2">
        <f t="shared" si="1"/>
        <v>1.7854152003105606</v>
      </c>
      <c r="F64" s="2">
        <f t="shared" si="2"/>
        <v>1.4243199912589866</v>
      </c>
      <c r="G64" s="2">
        <f t="shared" si="3"/>
        <v>0.96290300254511907</v>
      </c>
      <c r="H64" s="2">
        <f t="shared" si="3"/>
        <v>0.92282306847260898</v>
      </c>
      <c r="I64" s="3">
        <f t="shared" si="4"/>
        <v>3.7096997454880945E-2</v>
      </c>
      <c r="J64" s="3">
        <f t="shared" si="0"/>
        <v>7.7176931527391066E-2</v>
      </c>
      <c r="K64" s="1">
        <f t="shared" si="5"/>
        <v>44.596263514696403</v>
      </c>
      <c r="L64" s="1">
        <f t="shared" si="12"/>
        <v>0.61354191387620771</v>
      </c>
      <c r="M64" s="2">
        <f t="shared" si="6"/>
        <v>-3.7096997454880931E-2</v>
      </c>
      <c r="N64" s="3">
        <f t="shared" si="7"/>
        <v>4.8673654268596711E-3</v>
      </c>
      <c r="O64" s="2">
        <f t="shared" si="13"/>
        <v>5.3377283269935738</v>
      </c>
      <c r="P64" s="2">
        <f t="shared" si="8"/>
        <v>-0.26399951292440715</v>
      </c>
      <c r="Q64" s="2">
        <f t="shared" si="9"/>
        <v>5.5060529800055971</v>
      </c>
      <c r="R64" s="2">
        <f t="shared" si="10"/>
        <v>5.1862361392827525</v>
      </c>
      <c r="S64" s="4">
        <f t="shared" si="14"/>
        <v>5.7950999999999988</v>
      </c>
    </row>
    <row r="65" spans="4:19">
      <c r="D65">
        <f t="shared" si="11"/>
        <v>112</v>
      </c>
      <c r="E65" s="2">
        <f t="shared" si="1"/>
        <v>1.7999900096173373</v>
      </c>
      <c r="F65" s="2">
        <f t="shared" si="2"/>
        <v>1.4359470863239434</v>
      </c>
      <c r="G65" s="2">
        <f t="shared" si="3"/>
        <v>0.96406889213768965</v>
      </c>
      <c r="H65" s="2">
        <f t="shared" si="3"/>
        <v>0.92449130073649355</v>
      </c>
      <c r="I65" s="3">
        <f t="shared" si="4"/>
        <v>3.59311078623104E-2</v>
      </c>
      <c r="J65" s="3">
        <f t="shared" si="0"/>
        <v>7.5508699263506451E-2</v>
      </c>
      <c r="K65" s="1">
        <f t="shared" si="5"/>
        <v>45.10905423755959</v>
      </c>
      <c r="L65" s="1">
        <f t="shared" si="12"/>
        <v>0.59668828597419976</v>
      </c>
      <c r="M65" s="2">
        <f t="shared" si="6"/>
        <v>-3.5931107862310352E-2</v>
      </c>
      <c r="N65" s="3">
        <f t="shared" si="7"/>
        <v>4.6994986932051459E-3</v>
      </c>
      <c r="O65" s="2">
        <f t="shared" si="13"/>
        <v>5.2924392718321078</v>
      </c>
      <c r="P65" s="2">
        <f t="shared" si="8"/>
        <v>-0.25632413300935325</v>
      </c>
      <c r="Q65" s="2">
        <f t="shared" si="9"/>
        <v>5.4550950460432786</v>
      </c>
      <c r="R65" s="2">
        <f t="shared" si="10"/>
        <v>5.146049075042054</v>
      </c>
      <c r="S65" s="4">
        <f t="shared" si="14"/>
        <v>5.8900999999999986</v>
      </c>
    </row>
    <row r="66" spans="4:19">
      <c r="D66">
        <f t="shared" si="11"/>
        <v>113</v>
      </c>
      <c r="E66" s="2">
        <f t="shared" si="1"/>
        <v>1.8144477484745722</v>
      </c>
      <c r="F66" s="2">
        <f t="shared" si="2"/>
        <v>1.4474807881089284</v>
      </c>
      <c r="G66" s="2">
        <f t="shared" si="3"/>
        <v>0.96519558987307674</v>
      </c>
      <c r="H66" s="2">
        <f t="shared" si="3"/>
        <v>0.92611884329762761</v>
      </c>
      <c r="I66" s="3">
        <f t="shared" si="4"/>
        <v>3.4804410126923223E-2</v>
      </c>
      <c r="J66" s="3">
        <f t="shared" si="0"/>
        <v>7.3881156702372358E-2</v>
      </c>
      <c r="K66" s="1">
        <f t="shared" si="5"/>
        <v>45.617291323730093</v>
      </c>
      <c r="L66" s="1">
        <f t="shared" si="12"/>
        <v>0.58028881801504317</v>
      </c>
      <c r="M66" s="2">
        <f t="shared" si="6"/>
        <v>-3.4804410126923258E-2</v>
      </c>
      <c r="N66" s="3">
        <f t="shared" si="7"/>
        <v>4.5377831324428337E-3</v>
      </c>
      <c r="O66" s="2">
        <f t="shared" si="13"/>
        <v>5.2474250275137511</v>
      </c>
      <c r="P66" s="2">
        <f t="shared" si="8"/>
        <v>-0.24887472191474325</v>
      </c>
      <c r="Q66" s="2">
        <f t="shared" si="9"/>
        <v>5.404623288669745</v>
      </c>
      <c r="R66" s="2">
        <f t="shared" si="10"/>
        <v>5.1059465924733578</v>
      </c>
      <c r="S66" s="4">
        <f t="shared" si="14"/>
        <v>5.9850999999999983</v>
      </c>
    </row>
    <row r="67" spans="4:19">
      <c r="D67">
        <f t="shared" si="11"/>
        <v>114</v>
      </c>
      <c r="E67" s="2">
        <f t="shared" si="1"/>
        <v>1.8287911934298751</v>
      </c>
      <c r="F67" s="2">
        <f t="shared" si="2"/>
        <v>1.458923311612597</v>
      </c>
      <c r="G67" s="2">
        <f t="shared" si="3"/>
        <v>0.96628455261620194</v>
      </c>
      <c r="H67" s="2">
        <f t="shared" si="3"/>
        <v>0.9277068919198046</v>
      </c>
      <c r="I67" s="3">
        <f t="shared" si="4"/>
        <v>3.3715447383798065E-2</v>
      </c>
      <c r="J67" s="3">
        <f t="shared" si="4"/>
        <v>7.2293108080195345E-2</v>
      </c>
      <c r="K67" s="1">
        <f t="shared" si="5"/>
        <v>46.121010790980989</v>
      </c>
      <c r="L67" s="1">
        <f t="shared" si="12"/>
        <v>0.56433217896665155</v>
      </c>
      <c r="M67" s="2">
        <f t="shared" si="6"/>
        <v>-3.3715447383798058E-2</v>
      </c>
      <c r="N67" s="3">
        <f t="shared" si="7"/>
        <v>4.381975577044706E-3</v>
      </c>
      <c r="O67" s="2">
        <f t="shared" si="13"/>
        <v>5.2026874503316698</v>
      </c>
      <c r="P67" s="2">
        <f t="shared" si="8"/>
        <v>-0.24164468846689613</v>
      </c>
      <c r="Q67" s="2">
        <f t="shared" si="9"/>
        <v>5.3546304535994196</v>
      </c>
      <c r="R67" s="2">
        <f t="shared" si="10"/>
        <v>5.0659387473906952</v>
      </c>
      <c r="S67" s="4">
        <f t="shared" si="14"/>
        <v>6.0800999999999981</v>
      </c>
    </row>
    <row r="68" spans="4:19">
      <c r="D68">
        <f t="shared" si="11"/>
        <v>115</v>
      </c>
      <c r="E68" s="2">
        <f t="shared" ref="E68:E113" si="15">(LN($B$1/$B$2)+($B$3+($B$4^2)/2)*S68)/($B$4*SQRT(S68))</f>
        <v>1.8430230129840726</v>
      </c>
      <c r="F68" s="2">
        <f t="shared" ref="F68:F113" si="16">E68-$B$4*SQRT(S68)</f>
        <v>1.4702767856389793</v>
      </c>
      <c r="G68" s="2">
        <f t="shared" ref="G68:H113" si="17">_xlfn.NORM.S.DIST(E68,TRUE)</f>
        <v>0.96733717472535474</v>
      </c>
      <c r="H68" s="2">
        <f t="shared" si="17"/>
        <v>0.92925659715837572</v>
      </c>
      <c r="I68" s="3">
        <f t="shared" ref="I68:J113" si="18">_xlfn.NORM.S.DIST(-E68,TRUE)</f>
        <v>3.2662825274645223E-2</v>
      </c>
      <c r="J68" s="3">
        <f t="shared" si="18"/>
        <v>7.0743402841624267E-2</v>
      </c>
      <c r="K68" s="1">
        <f t="shared" ref="K68:K113" si="19">$B$1*G68-$B$2*EXP(-$B$3*S68)*H68</f>
        <v>46.62024840600543</v>
      </c>
      <c r="L68" s="1">
        <f t="shared" ref="L68:L112" si="20">EXP(-$B$3*S68)*$B$2*J68-$B$1*I68</f>
        <v>0.54880723440089074</v>
      </c>
      <c r="M68" s="2">
        <f t="shared" ref="M68:M113" si="21">+G68-1</f>
        <v>-3.2662825274645257E-2</v>
      </c>
      <c r="N68" s="3">
        <f t="shared" ref="N68:N113" si="22">_xlfn.NORM.S.DIST(E68,FALSE)/(D68*$B$4*SQRT($B$5))</f>
        <v>4.2318433958317527E-3</v>
      </c>
      <c r="O68" s="2">
        <f t="shared" ref="O68:O113" si="23">($B$1*$B$3*_xlfn.NORM.S.DIST(E68,FALSE))/(2*SQRT(S68))+$B$2*$B$3*EXP(-$B$3*S68)*H68</f>
        <v>5.158228269674515</v>
      </c>
      <c r="P68" s="2">
        <f t="shared" ref="P68:P113" si="24">($B$1*$B$3*_xlfn.NORM.S.DIST(E68,FALSE))/(2*SQRT(S68))-$B$2*$B$3*EXP(-$B$3*S68)*J68</f>
        <v>-0.23462761316503025</v>
      </c>
      <c r="Q68" s="2">
        <f t="shared" ref="Q68:Q113" si="25">(200*$B$3*_xlfn.NORM.S.DIST(E68,FALSE))/(2*SQRT(S68))+$B$2*$B$3*EXP(-$B$3*S68)*H68</f>
        <v>5.3051096326960261</v>
      </c>
      <c r="R68" s="2">
        <f t="shared" ref="R68:R113" si="26">(10*$B$3*_xlfn.NORM.S.DIST(E68,FALSE))/(2*SQRT(S68))+$B$2*$B$3*EXP(-$B$3*S68)*H68</f>
        <v>5.0260350429551552</v>
      </c>
      <c r="S68" s="4">
        <f t="shared" si="14"/>
        <v>6.1750999999999978</v>
      </c>
    </row>
    <row r="69" spans="4:19">
      <c r="D69">
        <f t="shared" ref="D69:D113" si="27">+D68+1</f>
        <v>116</v>
      </c>
      <c r="E69" s="2">
        <f t="shared" si="15"/>
        <v>1.8571457733875145</v>
      </c>
      <c r="F69" s="2">
        <f t="shared" si="16"/>
        <v>1.4815432574215004</v>
      </c>
      <c r="G69" s="2">
        <f t="shared" si="17"/>
        <v>0.96835479127744939</v>
      </c>
      <c r="H69" s="2">
        <f t="shared" si="17"/>
        <v>0.93076906661858494</v>
      </c>
      <c r="I69" s="3">
        <f t="shared" si="18"/>
        <v>3.164520872255059E-2</v>
      </c>
      <c r="J69" s="3">
        <f t="shared" si="18"/>
        <v>6.9230933381415102E-2</v>
      </c>
      <c r="K69" s="1">
        <f t="shared" si="19"/>
        <v>47.115039694152166</v>
      </c>
      <c r="L69" s="1">
        <f t="shared" si="20"/>
        <v>0.53370305199607193</v>
      </c>
      <c r="M69" s="2">
        <f t="shared" si="21"/>
        <v>-3.1645208722550611E-2</v>
      </c>
      <c r="N69" s="3">
        <f t="shared" si="22"/>
        <v>4.087163986682683E-3</v>
      </c>
      <c r="O69" s="2">
        <f t="shared" si="23"/>
        <v>5.1140490891156363</v>
      </c>
      <c r="P69" s="2">
        <f t="shared" si="24"/>
        <v>-0.22781724666875411</v>
      </c>
      <c r="Q69" s="2">
        <f t="shared" si="25"/>
        <v>5.2560542348719954</v>
      </c>
      <c r="R69" s="2">
        <f t="shared" si="26"/>
        <v>4.9862444579349132</v>
      </c>
      <c r="S69" s="4">
        <f t="shared" ref="S69:S113" si="28">+S68+0.095</f>
        <v>6.2700999999999976</v>
      </c>
    </row>
    <row r="70" spans="4:19">
      <c r="D70">
        <f t="shared" si="27"/>
        <v>117</v>
      </c>
      <c r="E70" s="2">
        <f t="shared" si="15"/>
        <v>1.8711619440426135</v>
      </c>
      <c r="F70" s="2">
        <f t="shared" si="16"/>
        <v>1.4927246969328716</v>
      </c>
      <c r="G70" s="2">
        <f t="shared" si="17"/>
        <v>0.96933868108896926</v>
      </c>
      <c r="H70" s="2">
        <f t="shared" si="17"/>
        <v>0.93224536706854466</v>
      </c>
      <c r="I70" s="3">
        <f t="shared" si="18"/>
        <v>3.066131891103072E-2</v>
      </c>
      <c r="J70" s="3">
        <f t="shared" si="18"/>
        <v>6.775463293145538E-2</v>
      </c>
      <c r="K70" s="1">
        <f t="shared" si="19"/>
        <v>47.605419947907926</v>
      </c>
      <c r="L70" s="1">
        <f t="shared" si="20"/>
        <v>0.51900890582661985</v>
      </c>
      <c r="M70" s="2">
        <f t="shared" si="21"/>
        <v>-3.0661318911030744E-2</v>
      </c>
      <c r="N70" s="3">
        <f t="shared" si="22"/>
        <v>3.9477242966162521E-3</v>
      </c>
      <c r="O70" s="2">
        <f t="shared" si="23"/>
        <v>5.0701513879309887</v>
      </c>
      <c r="P70" s="2">
        <f t="shared" si="24"/>
        <v>-0.22120750786088123</v>
      </c>
      <c r="Q70" s="2">
        <f t="shared" si="25"/>
        <v>5.2074579597630768</v>
      </c>
      <c r="R70" s="2">
        <f t="shared" si="26"/>
        <v>4.9465754732821097</v>
      </c>
      <c r="S70" s="4">
        <f t="shared" si="28"/>
        <v>6.3650999999999973</v>
      </c>
    </row>
    <row r="71" spans="4:19">
      <c r="D71">
        <f t="shared" si="27"/>
        <v>118</v>
      </c>
      <c r="E71" s="2">
        <f t="shared" si="15"/>
        <v>1.8850739025448191</v>
      </c>
      <c r="F71" s="2">
        <f t="shared" si="16"/>
        <v>1.5038230009065412</v>
      </c>
      <c r="G71" s="2">
        <f t="shared" si="17"/>
        <v>0.97029006954835706</v>
      </c>
      <c r="H71" s="2">
        <f t="shared" si="17"/>
        <v>0.93368652641835115</v>
      </c>
      <c r="I71" s="3">
        <f t="shared" si="18"/>
        <v>2.9709930451642958E-2</v>
      </c>
      <c r="J71" s="3">
        <f t="shared" si="18"/>
        <v>6.6313473581648796E-2</v>
      </c>
      <c r="K71" s="1">
        <f t="shared" si="19"/>
        <v>48.091424234270399</v>
      </c>
      <c r="L71" s="1">
        <f t="shared" si="20"/>
        <v>0.50471427958282611</v>
      </c>
      <c r="M71" s="2">
        <f t="shared" si="21"/>
        <v>-2.9709930451642941E-2</v>
      </c>
      <c r="N71" s="3">
        <f t="shared" si="22"/>
        <v>3.8133203675887019E-3</v>
      </c>
      <c r="O71" s="2">
        <f t="shared" si="23"/>
        <v>5.0265365229726928</v>
      </c>
      <c r="P71" s="2">
        <f t="shared" si="24"/>
        <v>-0.21479248155855088</v>
      </c>
      <c r="Q71" s="2">
        <f t="shared" si="25"/>
        <v>5.1593147738888536</v>
      </c>
      <c r="R71" s="2">
        <f t="shared" si="26"/>
        <v>4.907036097148147</v>
      </c>
      <c r="S71" s="4">
        <f t="shared" si="28"/>
        <v>6.4600999999999971</v>
      </c>
    </row>
    <row r="72" spans="4:19">
      <c r="D72">
        <f t="shared" si="27"/>
        <v>119</v>
      </c>
      <c r="E72" s="2">
        <f t="shared" si="15"/>
        <v>1.8988839393911827</v>
      </c>
      <c r="F72" s="2">
        <f t="shared" si="16"/>
        <v>1.5148399965929662</v>
      </c>
      <c r="G72" s="2">
        <f t="shared" si="17"/>
        <v>0.97121013127416622</v>
      </c>
      <c r="H72" s="2">
        <f t="shared" si="17"/>
        <v>0.93509353557576902</v>
      </c>
      <c r="I72" s="3">
        <f t="shared" si="18"/>
        <v>2.8789868725833747E-2</v>
      </c>
      <c r="J72" s="3">
        <f t="shared" si="18"/>
        <v>6.4906464424230981E-2</v>
      </c>
      <c r="K72" s="1">
        <f t="shared" si="19"/>
        <v>48.573087401138928</v>
      </c>
      <c r="L72" s="1">
        <f t="shared" si="20"/>
        <v>0.49080886884758979</v>
      </c>
      <c r="M72" s="2">
        <f t="shared" si="21"/>
        <v>-2.8789868725833778E-2</v>
      </c>
      <c r="N72" s="3">
        <f t="shared" si="22"/>
        <v>3.6837569064599668E-3</v>
      </c>
      <c r="O72" s="2">
        <f t="shared" si="23"/>
        <v>4.983205730835409</v>
      </c>
      <c r="P72" s="2">
        <f t="shared" si="24"/>
        <v>-0.20856641593545769</v>
      </c>
      <c r="Q72" s="2">
        <f t="shared" si="25"/>
        <v>5.1116188890430472</v>
      </c>
      <c r="R72" s="2">
        <f t="shared" si="26"/>
        <v>4.867633888448534</v>
      </c>
      <c r="S72" s="4">
        <f t="shared" si="28"/>
        <v>6.5550999999999968</v>
      </c>
    </row>
    <row r="73" spans="4:19">
      <c r="D73">
        <f t="shared" si="27"/>
        <v>120</v>
      </c>
      <c r="E73" s="2">
        <f t="shared" si="15"/>
        <v>1.9125942623829026</v>
      </c>
      <c r="F73" s="2">
        <f t="shared" si="16"/>
        <v>1.5257774452717539</v>
      </c>
      <c r="G73" s="2">
        <f t="shared" si="17"/>
        <v>0.97209999261200053</v>
      </c>
      <c r="H73" s="2">
        <f t="shared" si="17"/>
        <v>0.93646735018794991</v>
      </c>
      <c r="I73" s="3">
        <f t="shared" si="18"/>
        <v>2.7900007387999495E-2</v>
      </c>
      <c r="J73" s="3">
        <f t="shared" si="18"/>
        <v>6.353264981205009E-2</v>
      </c>
      <c r="K73" s="1">
        <f t="shared" si="19"/>
        <v>49.050444082835909</v>
      </c>
      <c r="L73" s="1">
        <f t="shared" si="20"/>
        <v>0.47728258254278311</v>
      </c>
      <c r="M73" s="2">
        <f t="shared" si="21"/>
        <v>-2.790000738799947E-2</v>
      </c>
      <c r="N73" s="3">
        <f t="shared" si="22"/>
        <v>3.558846877686506E-3</v>
      </c>
      <c r="O73" s="2">
        <f t="shared" si="23"/>
        <v>4.9401601302614289</v>
      </c>
      <c r="P73" s="2">
        <f t="shared" si="24"/>
        <v>-0.20252371970925903</v>
      </c>
      <c r="Q73" s="2">
        <f t="shared" si="25"/>
        <v>5.0643647426864424</v>
      </c>
      <c r="R73" s="2">
        <f t="shared" si="26"/>
        <v>4.828375979078916</v>
      </c>
      <c r="S73" s="4">
        <f t="shared" si="28"/>
        <v>6.6500999999999966</v>
      </c>
    </row>
    <row r="74" spans="4:19">
      <c r="D74">
        <f t="shared" si="27"/>
        <v>121</v>
      </c>
      <c r="E74" s="2">
        <f t="shared" si="15"/>
        <v>1.926207000745823</v>
      </c>
      <c r="F74" s="2">
        <f t="shared" si="16"/>
        <v>1.5366370455388025</v>
      </c>
      <c r="G74" s="2">
        <f t="shared" si="17"/>
        <v>0.97296073398211236</v>
      </c>
      <c r="H74" s="2">
        <f t="shared" si="17"/>
        <v>0.93780889227780106</v>
      </c>
      <c r="I74" s="3">
        <f t="shared" si="18"/>
        <v>2.7039266017887642E-2</v>
      </c>
      <c r="J74" s="3">
        <f t="shared" si="18"/>
        <v>6.2191107722198963E-2</v>
      </c>
      <c r="K74" s="1">
        <f t="shared" si="19"/>
        <v>49.523528704859267</v>
      </c>
      <c r="L74" s="1">
        <f t="shared" si="20"/>
        <v>0.46412554364528491</v>
      </c>
      <c r="M74" s="2">
        <f t="shared" si="21"/>
        <v>-2.7039266017887642E-2</v>
      </c>
      <c r="N74" s="3">
        <f t="shared" si="22"/>
        <v>3.4384111173945829E-3</v>
      </c>
      <c r="O74" s="2">
        <f t="shared" si="23"/>
        <v>4.8974007247379294</v>
      </c>
      <c r="P74" s="2">
        <f t="shared" si="24"/>
        <v>-0.19665895914067233</v>
      </c>
      <c r="Q74" s="2">
        <f t="shared" si="25"/>
        <v>5.0175469801406614</v>
      </c>
      <c r="R74" s="2">
        <f t="shared" si="26"/>
        <v>4.7892690948754701</v>
      </c>
      <c r="S74" s="4">
        <f t="shared" si="28"/>
        <v>6.7450999999999963</v>
      </c>
    </row>
    <row r="75" spans="4:19">
      <c r="D75">
        <f t="shared" si="27"/>
        <v>122</v>
      </c>
      <c r="E75" s="2">
        <f t="shared" si="15"/>
        <v>1.9397242089906603</v>
      </c>
      <c r="F75" s="2">
        <f t="shared" si="16"/>
        <v>1.5474204363858077</v>
      </c>
      <c r="G75" s="2">
        <f t="shared" si="17"/>
        <v>0.97379339208849658</v>
      </c>
      <c r="H75" s="2">
        <f t="shared" si="17"/>
        <v>0.93911905178284327</v>
      </c>
      <c r="I75" s="3">
        <f t="shared" si="18"/>
        <v>2.62066079115034E-2</v>
      </c>
      <c r="J75" s="3">
        <f t="shared" si="18"/>
        <v>6.0880948217156713E-2</v>
      </c>
      <c r="K75" s="1">
        <f t="shared" si="19"/>
        <v>49.992375487955584</v>
      </c>
      <c r="L75" s="1">
        <f t="shared" si="20"/>
        <v>0.45132808926174528</v>
      </c>
      <c r="M75" s="2">
        <f t="shared" si="21"/>
        <v>-2.6206607911503421E-2</v>
      </c>
      <c r="N75" s="3">
        <f t="shared" si="22"/>
        <v>3.3222779675769793E-3</v>
      </c>
      <c r="O75" s="2">
        <f t="shared" si="23"/>
        <v>4.8549284052463335</v>
      </c>
      <c r="P75" s="2">
        <f t="shared" si="24"/>
        <v>-0.19096685488428342</v>
      </c>
      <c r="Q75" s="2">
        <f t="shared" si="25"/>
        <v>4.9711604384032588</v>
      </c>
      <c r="R75" s="2">
        <f t="shared" si="26"/>
        <v>4.7503195754051006</v>
      </c>
      <c r="S75" s="4">
        <f t="shared" si="28"/>
        <v>6.8400999999999961</v>
      </c>
    </row>
    <row r="76" spans="4:19">
      <c r="D76">
        <f t="shared" si="27"/>
        <v>123</v>
      </c>
      <c r="E76" s="2">
        <f t="shared" si="15"/>
        <v>1.9531478705327625</v>
      </c>
      <c r="F76" s="2">
        <f t="shared" si="16"/>
        <v>1.5581292000879341</v>
      </c>
      <c r="G76" s="2">
        <f t="shared" si="17"/>
        <v>0.97459896199937857</v>
      </c>
      <c r="H76" s="2">
        <f t="shared" si="17"/>
        <v>0.94039868800371251</v>
      </c>
      <c r="I76" s="3">
        <f t="shared" si="18"/>
        <v>2.5401038000621483E-2</v>
      </c>
      <c r="J76" s="3">
        <f t="shared" si="18"/>
        <v>5.9601311996287536E-2</v>
      </c>
      <c r="K76" s="1">
        <f t="shared" si="19"/>
        <v>50.45701845159315</v>
      </c>
      <c r="L76" s="1">
        <f t="shared" si="20"/>
        <v>0.43888077014111682</v>
      </c>
      <c r="M76" s="2">
        <f t="shared" si="21"/>
        <v>-2.5401038000621434E-2</v>
      </c>
      <c r="N76" s="3">
        <f t="shared" si="22"/>
        <v>3.2102829292387563E-3</v>
      </c>
      <c r="O76" s="2">
        <f t="shared" si="23"/>
        <v>4.8127439531293277</v>
      </c>
      <c r="P76" s="2">
        <f t="shared" si="24"/>
        <v>-0.1854422787254687</v>
      </c>
      <c r="Q76" s="2">
        <f t="shared" si="25"/>
        <v>4.9252001314241856</v>
      </c>
      <c r="R76" s="2">
        <f t="shared" si="26"/>
        <v>4.7115333926639558</v>
      </c>
      <c r="S76" s="4">
        <f t="shared" si="28"/>
        <v>6.9350999999999958</v>
      </c>
    </row>
    <row r="77" spans="4:19">
      <c r="D77">
        <f t="shared" si="27"/>
        <v>124</v>
      </c>
      <c r="E77" s="2">
        <f t="shared" si="15"/>
        <v>1.9664799010894787</v>
      </c>
      <c r="F77" s="2">
        <f t="shared" si="16"/>
        <v>1.5687648649140784</v>
      </c>
      <c r="G77" s="2">
        <f t="shared" si="17"/>
        <v>0.9753783991081616</v>
      </c>
      <c r="H77" s="2">
        <f t="shared" si="17"/>
        <v>0.94164863096883833</v>
      </c>
      <c r="I77" s="3">
        <f t="shared" si="18"/>
        <v>2.4621600891838454E-2</v>
      </c>
      <c r="J77" s="3">
        <f t="shared" si="18"/>
        <v>5.8351369031161678E-2</v>
      </c>
      <c r="K77" s="1">
        <f t="shared" si="19"/>
        <v>50.917491416905989</v>
      </c>
      <c r="L77" s="1">
        <f t="shared" si="20"/>
        <v>0.42677434969555295</v>
      </c>
      <c r="M77" s="2">
        <f t="shared" si="21"/>
        <v>-2.4621600891838402E-2</v>
      </c>
      <c r="N77" s="3">
        <f t="shared" si="22"/>
        <v>3.1022683333939275E-3</v>
      </c>
      <c r="O77" s="2">
        <f t="shared" si="23"/>
        <v>4.7708480430459828</v>
      </c>
      <c r="P77" s="2">
        <f t="shared" si="24"/>
        <v>-0.18008025023297475</v>
      </c>
      <c r="Q77" s="2">
        <f t="shared" si="25"/>
        <v>4.8796612367009473</v>
      </c>
      <c r="R77" s="2">
        <f t="shared" si="26"/>
        <v>4.6729161687565135</v>
      </c>
      <c r="S77" s="4">
        <f t="shared" si="28"/>
        <v>7.0300999999999956</v>
      </c>
    </row>
    <row r="78" spans="4:19">
      <c r="D78">
        <f t="shared" si="27"/>
        <v>125</v>
      </c>
      <c r="E78" s="2">
        <f t="shared" si="15"/>
        <v>1.9797221518715975</v>
      </c>
      <c r="F78" s="2">
        <f t="shared" si="16"/>
        <v>1.5793289076728474</v>
      </c>
      <c r="G78" s="2">
        <f t="shared" si="17"/>
        <v>0.97613262098313713</v>
      </c>
      <c r="H78" s="2">
        <f t="shared" si="17"/>
        <v>0.94286968272127336</v>
      </c>
      <c r="I78" s="3">
        <f t="shared" si="18"/>
        <v>2.3867379016862818E-2</v>
      </c>
      <c r="J78" s="3">
        <f t="shared" si="18"/>
        <v>5.713031727872666E-2</v>
      </c>
      <c r="K78" s="1">
        <f t="shared" si="19"/>
        <v>51.373828009171731</v>
      </c>
      <c r="L78" s="1">
        <f t="shared" si="20"/>
        <v>0.41499980259238001</v>
      </c>
      <c r="M78" s="2">
        <f t="shared" si="21"/>
        <v>-2.3867379016862866E-2</v>
      </c>
      <c r="N78" s="3">
        <f t="shared" si="22"/>
        <v>2.9980830288862141E-3</v>
      </c>
      <c r="O78" s="2">
        <f t="shared" si="23"/>
        <v>4.7292412459895514</v>
      </c>
      <c r="P78" s="2">
        <f t="shared" si="24"/>
        <v>-0.17487593335251217</v>
      </c>
      <c r="Q78" s="2">
        <f t="shared" si="25"/>
        <v>4.8345390830649055</v>
      </c>
      <c r="R78" s="2">
        <f t="shared" si="26"/>
        <v>4.6344731926217326</v>
      </c>
      <c r="S78" s="4">
        <f t="shared" si="28"/>
        <v>7.1250999999999953</v>
      </c>
    </row>
    <row r="79" spans="4:19">
      <c r="D79">
        <f t="shared" si="27"/>
        <v>126</v>
      </c>
      <c r="E79" s="2">
        <f t="shared" si="15"/>
        <v>1.992876412583914</v>
      </c>
      <c r="F79" s="2">
        <f t="shared" si="16"/>
        <v>1.5898227561062686</v>
      </c>
      <c r="G79" s="2">
        <f t="shared" si="17"/>
        <v>0.97686250911357797</v>
      </c>
      <c r="H79" s="2">
        <f t="shared" si="17"/>
        <v>0.94406261853314255</v>
      </c>
      <c r="I79" s="3">
        <f t="shared" si="18"/>
        <v>2.3137490886422044E-2</v>
      </c>
      <c r="J79" s="3">
        <f t="shared" si="18"/>
        <v>5.5937381466857408E-2</v>
      </c>
      <c r="K79" s="1">
        <f t="shared" si="19"/>
        <v>51.826061659879947</v>
      </c>
      <c r="L79" s="1">
        <f t="shared" si="20"/>
        <v>0.40354831297303884</v>
      </c>
      <c r="M79" s="2">
        <f t="shared" si="21"/>
        <v>-2.313749088642203E-2</v>
      </c>
      <c r="N79" s="3">
        <f t="shared" si="22"/>
        <v>2.8975820860727723E-3</v>
      </c>
      <c r="O79" s="2">
        <f t="shared" si="23"/>
        <v>4.6879240323462357</v>
      </c>
      <c r="P79" s="2">
        <f t="shared" si="24"/>
        <v>-0.16982463296307473</v>
      </c>
      <c r="Q79" s="2">
        <f t="shared" si="25"/>
        <v>4.7898291395446853</v>
      </c>
      <c r="R79" s="2">
        <f t="shared" si="26"/>
        <v>4.5962094358676309</v>
      </c>
      <c r="S79" s="4">
        <f t="shared" si="28"/>
        <v>7.2200999999999951</v>
      </c>
    </row>
    <row r="80" spans="4:19">
      <c r="D80">
        <f t="shared" si="27"/>
        <v>127</v>
      </c>
      <c r="E80" s="2">
        <f t="shared" si="15"/>
        <v>2.0059444142486984</v>
      </c>
      <c r="F80" s="2">
        <f t="shared" si="16"/>
        <v>1.6002477911422202</v>
      </c>
      <c r="G80" s="2">
        <f t="shared" si="17"/>
        <v>0.97756891055921524</v>
      </c>
      <c r="H80" s="2">
        <f t="shared" si="17"/>
        <v>0.94522818805273068</v>
      </c>
      <c r="I80" s="3">
        <f t="shared" si="18"/>
        <v>2.2431089440784792E-2</v>
      </c>
      <c r="J80" s="3">
        <f t="shared" si="18"/>
        <v>5.4771811947269287E-2</v>
      </c>
      <c r="K80" s="1">
        <f t="shared" si="19"/>
        <v>52.274225608440567</v>
      </c>
      <c r="L80" s="1">
        <f t="shared" si="20"/>
        <v>0.39241127234889728</v>
      </c>
      <c r="M80" s="2">
        <f t="shared" si="21"/>
        <v>-2.2431089440784757E-2</v>
      </c>
      <c r="N80" s="3">
        <f t="shared" si="22"/>
        <v>2.8006265154709889E-3</v>
      </c>
      <c r="O80" s="2">
        <f t="shared" si="23"/>
        <v>4.6468967749762875</v>
      </c>
      <c r="P80" s="2">
        <f t="shared" si="24"/>
        <v>-0.16492179141454627</v>
      </c>
      <c r="Q80" s="2">
        <f t="shared" si="25"/>
        <v>4.7455270052044796</v>
      </c>
      <c r="R80" s="2">
        <f t="shared" si="26"/>
        <v>4.5581295677709157</v>
      </c>
      <c r="S80" s="4">
        <f t="shared" si="28"/>
        <v>7.3150999999999948</v>
      </c>
    </row>
    <row r="81" spans="4:19">
      <c r="D81">
        <f t="shared" si="27"/>
        <v>128</v>
      </c>
      <c r="E81" s="2">
        <f t="shared" si="15"/>
        <v>2.0189278318646697</v>
      </c>
      <c r="F81" s="2">
        <f t="shared" si="16"/>
        <v>1.6106053490156356</v>
      </c>
      <c r="G81" s="2">
        <f t="shared" si="17"/>
        <v>0.978252639509541</v>
      </c>
      <c r="H81" s="2">
        <f t="shared" si="17"/>
        <v>0.94636711638880899</v>
      </c>
      <c r="I81" s="3">
        <f t="shared" si="18"/>
        <v>2.1747360490458955E-2</v>
      </c>
      <c r="J81" s="3">
        <f t="shared" si="18"/>
        <v>5.3632883611190993E-2</v>
      </c>
      <c r="K81" s="1">
        <f t="shared" si="19"/>
        <v>52.718352903577966</v>
      </c>
      <c r="L81" s="1">
        <f t="shared" si="20"/>
        <v>0.38158027721828836</v>
      </c>
      <c r="M81" s="2">
        <f t="shared" si="21"/>
        <v>-2.1747360490459E-2</v>
      </c>
      <c r="N81" s="3">
        <f t="shared" si="22"/>
        <v>2.7070830005254663E-3</v>
      </c>
      <c r="O81" s="2">
        <f t="shared" si="23"/>
        <v>4.6061597523016014</v>
      </c>
      <c r="P81" s="2">
        <f t="shared" si="24"/>
        <v>-0.16016298506243101</v>
      </c>
      <c r="Q81" s="2">
        <f t="shared" si="25"/>
        <v>4.7016283998655881</v>
      </c>
      <c r="R81" s="2">
        <f t="shared" si="26"/>
        <v>4.520237969494012</v>
      </c>
      <c r="S81" s="4">
        <f t="shared" si="28"/>
        <v>7.4100999999999946</v>
      </c>
    </row>
    <row r="82" spans="4:19">
      <c r="D82">
        <f t="shared" si="27"/>
        <v>129</v>
      </c>
      <c r="E82" s="2">
        <f t="shared" si="15"/>
        <v>2.0318282869130444</v>
      </c>
      <c r="F82" s="2">
        <f t="shared" si="16"/>
        <v>1.6208967232677096</v>
      </c>
      <c r="G82" s="2">
        <f t="shared" si="17"/>
        <v>0.97891447875886617</v>
      </c>
      <c r="H82" s="2">
        <f t="shared" si="17"/>
        <v>0.94748010513643466</v>
      </c>
      <c r="I82" s="3">
        <f t="shared" si="18"/>
        <v>2.108552124113388E-2</v>
      </c>
      <c r="J82" s="3">
        <f t="shared" si="18"/>
        <v>5.2519894863565293E-2</v>
      </c>
      <c r="K82" s="1">
        <f t="shared" si="19"/>
        <v>53.158476404449885</v>
      </c>
      <c r="L82" s="1">
        <f t="shared" si="20"/>
        <v>0.37104712644440552</v>
      </c>
      <c r="M82" s="2">
        <f t="shared" si="21"/>
        <v>-2.1085521241133831E-2</v>
      </c>
      <c r="N82" s="3">
        <f t="shared" si="22"/>
        <v>2.6168236437050757E-3</v>
      </c>
      <c r="O82" s="2">
        <f t="shared" si="23"/>
        <v>4.5657131513862836</v>
      </c>
      <c r="P82" s="2">
        <f t="shared" si="24"/>
        <v>-0.15554392081316865</v>
      </c>
      <c r="Q82" s="2">
        <f t="shared" si="25"/>
        <v>4.6581291556288944</v>
      </c>
      <c r="R82" s="2">
        <f t="shared" si="26"/>
        <v>4.4825387475679337</v>
      </c>
      <c r="S82" s="4">
        <f t="shared" si="28"/>
        <v>7.5050999999999943</v>
      </c>
    </row>
    <row r="83" spans="4:19">
      <c r="D83">
        <f t="shared" si="27"/>
        <v>130</v>
      </c>
      <c r="E83" s="2">
        <f t="shared" si="15"/>
        <v>2.0446473497212714</v>
      </c>
      <c r="F83" s="2">
        <f t="shared" si="16"/>
        <v>1.6311231666315762</v>
      </c>
      <c r="G83" s="2">
        <f t="shared" si="17"/>
        <v>0.97955518110260209</v>
      </c>
      <c r="H83" s="2">
        <f t="shared" si="17"/>
        <v>0.9485678333481149</v>
      </c>
      <c r="I83" s="3">
        <f t="shared" si="18"/>
        <v>2.0444818897397937E-2</v>
      </c>
      <c r="J83" s="3">
        <f t="shared" si="18"/>
        <v>5.1432166651885117E-2</v>
      </c>
      <c r="K83" s="1">
        <f t="shared" si="19"/>
        <v>53.594628781527142</v>
      </c>
      <c r="L83" s="1">
        <f t="shared" si="20"/>
        <v>0.36080381842939291</v>
      </c>
      <c r="M83" s="2">
        <f t="shared" si="21"/>
        <v>-2.0444818897397909E-2</v>
      </c>
      <c r="N83" s="3">
        <f t="shared" si="22"/>
        <v>2.529725725189285E-3</v>
      </c>
      <c r="O83" s="2">
        <f t="shared" si="23"/>
        <v>4.5255570709987838</v>
      </c>
      <c r="P83" s="2">
        <f t="shared" si="24"/>
        <v>-0.15106043269144317</v>
      </c>
      <c r="Q83" s="2">
        <f t="shared" si="25"/>
        <v>4.6150252091242594</v>
      </c>
      <c r="R83" s="2">
        <f t="shared" si="26"/>
        <v>4.4450357466858561</v>
      </c>
      <c r="S83" s="4">
        <f t="shared" si="28"/>
        <v>7.6000999999999941</v>
      </c>
    </row>
    <row r="84" spans="4:19">
      <c r="D84">
        <f t="shared" si="27"/>
        <v>131</v>
      </c>
      <c r="E84" s="2">
        <f t="shared" si="15"/>
        <v>2.0573865416942052</v>
      </c>
      <c r="F84" s="2">
        <f t="shared" si="16"/>
        <v>1.6412858928122311</v>
      </c>
      <c r="G84" s="2">
        <f t="shared" si="17"/>
        <v>0.98017547065981603</v>
      </c>
      <c r="H84" s="2">
        <f t="shared" si="17"/>
        <v>0.9496309584539212</v>
      </c>
      <c r="I84" s="3">
        <f t="shared" si="18"/>
        <v>1.9824529340183996E-2</v>
      </c>
      <c r="J84" s="3">
        <f t="shared" si="18"/>
        <v>5.036904154607879E-2</v>
      </c>
      <c r="K84" s="1">
        <f t="shared" si="19"/>
        <v>54.026842517266083</v>
      </c>
      <c r="L84" s="1">
        <f t="shared" si="20"/>
        <v>0.35084254811603688</v>
      </c>
      <c r="M84" s="2">
        <f t="shared" si="21"/>
        <v>-1.9824529340183972E-2</v>
      </c>
      <c r="N84" s="3">
        <f t="shared" si="22"/>
        <v>2.4456714734487966E-3</v>
      </c>
      <c r="O84" s="2">
        <f t="shared" si="23"/>
        <v>4.4856915246458868</v>
      </c>
      <c r="P84" s="2">
        <f t="shared" si="24"/>
        <v>-0.14670847843910845</v>
      </c>
      <c r="Q84" s="2">
        <f t="shared" si="25"/>
        <v>4.5723125944202225</v>
      </c>
      <c r="R84" s="2">
        <f t="shared" si="26"/>
        <v>4.4077325618489853</v>
      </c>
      <c r="S84" s="4">
        <f t="shared" si="28"/>
        <v>7.6950999999999938</v>
      </c>
    </row>
    <row r="85" spans="4:19">
      <c r="D85">
        <f t="shared" si="27"/>
        <v>132</v>
      </c>
      <c r="E85" s="2">
        <f t="shared" si="15"/>
        <v>2.0700473374216988</v>
      </c>
      <c r="F85" s="2">
        <f t="shared" si="16"/>
        <v>1.6513860781678722</v>
      </c>
      <c r="G85" s="2">
        <f t="shared" si="17"/>
        <v>0.9807760441267227</v>
      </c>
      <c r="H85" s="2">
        <f t="shared" si="17"/>
        <v>0.95067011713386351</v>
      </c>
      <c r="I85" s="3">
        <f t="shared" si="18"/>
        <v>1.9223955873277267E-2</v>
      </c>
      <c r="J85" s="3">
        <f t="shared" si="18"/>
        <v>4.932988286613648E-2</v>
      </c>
      <c r="K85" s="1">
        <f t="shared" si="19"/>
        <v>54.455149906601939</v>
      </c>
      <c r="L85" s="1">
        <f t="shared" si="20"/>
        <v>0.3411557038451396</v>
      </c>
      <c r="M85" s="2">
        <f t="shared" si="21"/>
        <v>-1.9223955873277299E-2</v>
      </c>
      <c r="N85" s="3">
        <f t="shared" si="22"/>
        <v>2.3645478470681277E-3</v>
      </c>
      <c r="O85" s="2">
        <f t="shared" si="23"/>
        <v>4.4461164435705189</v>
      </c>
      <c r="P85" s="2">
        <f t="shared" si="24"/>
        <v>-0.14248413615380107</v>
      </c>
      <c r="Q85" s="2">
        <f t="shared" si="25"/>
        <v>4.5299874365340047</v>
      </c>
      <c r="R85" s="2">
        <f t="shared" si="26"/>
        <v>4.370632549903382</v>
      </c>
      <c r="S85" s="4">
        <f t="shared" si="28"/>
        <v>7.7900999999999936</v>
      </c>
    </row>
    <row r="86" spans="4:19">
      <c r="D86">
        <f t="shared" si="27"/>
        <v>133</v>
      </c>
      <c r="E86" s="2">
        <f t="shared" si="15"/>
        <v>2.0826311666708741</v>
      </c>
      <c r="F86" s="2">
        <f t="shared" si="16"/>
        <v>1.6614248632992368</v>
      </c>
      <c r="G86" s="2">
        <f t="shared" si="17"/>
        <v>0.98135757196542939</v>
      </c>
      <c r="H86" s="2">
        <f t="shared" si="17"/>
        <v>0.95168592614557346</v>
      </c>
      <c r="I86" s="3">
        <f t="shared" si="18"/>
        <v>1.864242803457063E-2</v>
      </c>
      <c r="J86" s="3">
        <f t="shared" si="18"/>
        <v>4.8314073854426542E-2</v>
      </c>
      <c r="K86" s="1">
        <f t="shared" si="19"/>
        <v>54.879583057288507</v>
      </c>
      <c r="L86" s="1">
        <f t="shared" si="20"/>
        <v>0.33173586409359901</v>
      </c>
      <c r="M86" s="2">
        <f t="shared" si="21"/>
        <v>-1.8642428034570613E-2</v>
      </c>
      <c r="N86" s="3">
        <f t="shared" si="22"/>
        <v>2.2862463271976765E-3</v>
      </c>
      <c r="O86" s="2">
        <f t="shared" si="23"/>
        <v>4.406831679706535</v>
      </c>
      <c r="P86" s="2">
        <f t="shared" si="24"/>
        <v>-0.13838360097397467</v>
      </c>
      <c r="Q86" s="2">
        <f t="shared" si="25"/>
        <v>4.4880459454876265</v>
      </c>
      <c r="R86" s="2">
        <f t="shared" si="26"/>
        <v>4.3337388405035524</v>
      </c>
      <c r="S86" s="4">
        <f t="shared" si="28"/>
        <v>7.8850999999999933</v>
      </c>
    </row>
    <row r="87" spans="4:19">
      <c r="D87">
        <f t="shared" si="27"/>
        <v>134</v>
      </c>
      <c r="E87" s="2">
        <f t="shared" si="15"/>
        <v>2.0951394162706944</v>
      </c>
      <c r="F87" s="2">
        <f t="shared" si="16"/>
        <v>1.6714033545530258</v>
      </c>
      <c r="G87" s="2">
        <f t="shared" si="17"/>
        <v>0.98192069953192862</v>
      </c>
      <c r="H87" s="2">
        <f t="shared" si="17"/>
        <v>0.95267898311012078</v>
      </c>
      <c r="I87" s="3">
        <f t="shared" si="18"/>
        <v>1.8079300468071345E-2</v>
      </c>
      <c r="J87" s="3">
        <f t="shared" si="18"/>
        <v>4.7321016889879206E-2</v>
      </c>
      <c r="K87" s="1">
        <f t="shared" si="19"/>
        <v>55.300173890106599</v>
      </c>
      <c r="L87" s="1">
        <f t="shared" si="20"/>
        <v>0.32257579411539528</v>
      </c>
      <c r="M87" s="2">
        <f t="shared" si="21"/>
        <v>-1.807930046807138E-2</v>
      </c>
      <c r="N87" s="3">
        <f t="shared" si="22"/>
        <v>2.2106627200598312E-3</v>
      </c>
      <c r="O87" s="2">
        <f t="shared" si="23"/>
        <v>4.3678370085849672</v>
      </c>
      <c r="P87" s="2">
        <f t="shared" si="24"/>
        <v>-0.1344031818159119</v>
      </c>
      <c r="Q87" s="2">
        <f t="shared" si="25"/>
        <v>4.4464844108613075</v>
      </c>
      <c r="R87" s="2">
        <f t="shared" si="26"/>
        <v>4.2970543465362603</v>
      </c>
      <c r="S87" s="4">
        <f t="shared" si="28"/>
        <v>7.9800999999999931</v>
      </c>
    </row>
    <row r="88" spans="4:19">
      <c r="D88">
        <f t="shared" si="27"/>
        <v>135</v>
      </c>
      <c r="E88" s="2">
        <f t="shared" si="15"/>
        <v>2.1075734318958688</v>
      </c>
      <c r="F88" s="2">
        <f t="shared" si="16"/>
        <v>1.6813226254450189</v>
      </c>
      <c r="G88" s="2">
        <f t="shared" si="17"/>
        <v>0.98246604814704508</v>
      </c>
      <c r="H88" s="2">
        <f t="shared" si="17"/>
        <v>0.95364986725857137</v>
      </c>
      <c r="I88" s="3">
        <f t="shared" si="18"/>
        <v>1.7533951852954966E-2</v>
      </c>
      <c r="J88" s="3">
        <f t="shared" si="18"/>
        <v>4.635013274142865E-2</v>
      </c>
      <c r="K88" s="1">
        <f t="shared" si="19"/>
        <v>55.716954138961739</v>
      </c>
      <c r="L88" s="1">
        <f t="shared" si="20"/>
        <v>0.31366844250531845</v>
      </c>
      <c r="M88" s="2">
        <f t="shared" si="21"/>
        <v>-1.7533951852954921E-2</v>
      </c>
      <c r="N88" s="3">
        <f t="shared" si="22"/>
        <v>2.1376969689683345E-3</v>
      </c>
      <c r="O88" s="2">
        <f t="shared" si="23"/>
        <v>4.3291321321870928</v>
      </c>
      <c r="P88" s="2">
        <f t="shared" si="24"/>
        <v>-0.13053929816726606</v>
      </c>
      <c r="Q88" s="2">
        <f t="shared" si="25"/>
        <v>4.4052991967999082</v>
      </c>
      <c r="R88" s="2">
        <f t="shared" si="26"/>
        <v>4.2605817740355594</v>
      </c>
      <c r="S88" s="4">
        <f t="shared" si="28"/>
        <v>8.0750999999999937</v>
      </c>
    </row>
    <row r="89" spans="4:19">
      <c r="D89">
        <f t="shared" si="27"/>
        <v>136</v>
      </c>
      <c r="E89" s="2">
        <f t="shared" si="15"/>
        <v>2.119934519756578</v>
      </c>
      <c r="F89" s="2">
        <f t="shared" si="16"/>
        <v>1.6911837180080567</v>
      </c>
      <c r="G89" s="2">
        <f t="shared" si="17"/>
        <v>0.98299421611377058</v>
      </c>
      <c r="H89" s="2">
        <f t="shared" si="17"/>
        <v>0.95459914014170255</v>
      </c>
      <c r="I89" s="3">
        <f t="shared" si="18"/>
        <v>1.7005783886229378E-2</v>
      </c>
      <c r="J89" s="3">
        <f t="shared" si="18"/>
        <v>4.54008598582974E-2</v>
      </c>
      <c r="K89" s="1">
        <f t="shared" si="19"/>
        <v>56.129955350888459</v>
      </c>
      <c r="L89" s="1">
        <f t="shared" si="20"/>
        <v>0.30500693770309151</v>
      </c>
      <c r="M89" s="2">
        <f t="shared" si="21"/>
        <v>-1.700578388622942E-2</v>
      </c>
      <c r="N89" s="3">
        <f t="shared" si="22"/>
        <v>2.0672529753524354E-3</v>
      </c>
      <c r="O89" s="2">
        <f t="shared" si="23"/>
        <v>4.2907166817406601</v>
      </c>
      <c r="P89" s="2">
        <f t="shared" si="24"/>
        <v>-0.12678847694080309</v>
      </c>
      <c r="Q89" s="2">
        <f t="shared" si="25"/>
        <v>4.3644867374324594</v>
      </c>
      <c r="R89" s="2">
        <f t="shared" si="26"/>
        <v>4.2243236316180397</v>
      </c>
      <c r="S89" s="4">
        <f t="shared" si="28"/>
        <v>8.1700999999999944</v>
      </c>
    </row>
    <row r="90" spans="4:19">
      <c r="D90">
        <f t="shared" si="27"/>
        <v>137</v>
      </c>
      <c r="E90" s="2">
        <f t="shared" si="15"/>
        <v>2.1322239482000422</v>
      </c>
      <c r="F90" s="2">
        <f t="shared" si="16"/>
        <v>1.7009876440696967</v>
      </c>
      <c r="G90" s="2">
        <f t="shared" si="17"/>
        <v>0.9835057796841834</v>
      </c>
      <c r="H90" s="2">
        <f t="shared" si="17"/>
        <v>0.95552734630511837</v>
      </c>
      <c r="I90" s="3">
        <f t="shared" si="18"/>
        <v>1.649422031581655E-2</v>
      </c>
      <c r="J90" s="3">
        <f t="shared" si="18"/>
        <v>4.4472653694881639E-2</v>
      </c>
      <c r="K90" s="1">
        <f t="shared" si="19"/>
        <v>56.539208885977949</v>
      </c>
      <c r="L90" s="1">
        <f t="shared" si="20"/>
        <v>0.29658458445347602</v>
      </c>
      <c r="M90" s="2">
        <f t="shared" si="21"/>
        <v>-1.6494220315816599E-2</v>
      </c>
      <c r="N90" s="3">
        <f t="shared" si="22"/>
        <v>1.9992384283074541E-3</v>
      </c>
      <c r="O90" s="2">
        <f t="shared" si="23"/>
        <v>4.2525902204563035</v>
      </c>
      <c r="P90" s="2">
        <f t="shared" si="24"/>
        <v>-0.12314734939124859</v>
      </c>
      <c r="Q90" s="2">
        <f t="shared" si="25"/>
        <v>4.3240435326685676</v>
      </c>
      <c r="R90" s="2">
        <f t="shared" si="26"/>
        <v>4.1882822394652655</v>
      </c>
      <c r="S90" s="4">
        <f t="shared" si="28"/>
        <v>8.265099999999995</v>
      </c>
    </row>
    <row r="91" spans="4:19">
      <c r="D91">
        <f t="shared" si="27"/>
        <v>138</v>
      </c>
      <c r="E91" s="2">
        <f t="shared" si="15"/>
        <v>2.1444429492294721</v>
      </c>
      <c r="F91" s="2">
        <f t="shared" si="16"/>
        <v>1.7107353864639607</v>
      </c>
      <c r="G91" s="2">
        <f t="shared" si="17"/>
        <v>0.98400129397891523</v>
      </c>
      <c r="H91" s="2">
        <f t="shared" si="17"/>
        <v>0.95643501393183883</v>
      </c>
      <c r="I91" s="3">
        <f t="shared" si="18"/>
        <v>1.599870602108475E-2</v>
      </c>
      <c r="J91" s="3">
        <f t="shared" si="18"/>
        <v>4.3564986068161192E-2</v>
      </c>
      <c r="K91" s="1">
        <f t="shared" si="19"/>
        <v>56.944745917242486</v>
      </c>
      <c r="L91" s="1">
        <f t="shared" si="20"/>
        <v>0.28839486023632088</v>
      </c>
      <c r="M91" s="2">
        <f t="shared" si="21"/>
        <v>-1.5998706021084774E-2</v>
      </c>
      <c r="N91" s="3">
        <f t="shared" si="22"/>
        <v>1.9335646422217188E-3</v>
      </c>
      <c r="O91" s="2">
        <f t="shared" si="23"/>
        <v>4.214752246201888</v>
      </c>
      <c r="P91" s="2">
        <f t="shared" si="24"/>
        <v>-0.11961264809749443</v>
      </c>
      <c r="Q91" s="2">
        <f t="shared" si="25"/>
        <v>4.2839661443388737</v>
      </c>
      <c r="R91" s="2">
        <f t="shared" si="26"/>
        <v>4.1524597378786021</v>
      </c>
      <c r="S91" s="4">
        <f t="shared" si="28"/>
        <v>8.3600999999999956</v>
      </c>
    </row>
    <row r="92" spans="4:19">
      <c r="D92">
        <f t="shared" si="27"/>
        <v>139</v>
      </c>
      <c r="E92" s="2">
        <f t="shared" si="15"/>
        <v>2.1565927199455674</v>
      </c>
      <c r="F92" s="2">
        <f t="shared" si="16"/>
        <v>1.7204279001812954</v>
      </c>
      <c r="G92" s="2">
        <f t="shared" si="17"/>
        <v>0.98448129386193062</v>
      </c>
      <c r="H92" s="2">
        <f t="shared" si="17"/>
        <v>0.95732265545429684</v>
      </c>
      <c r="I92" s="3">
        <f t="shared" si="18"/>
        <v>1.551870613806933E-2</v>
      </c>
      <c r="J92" s="3">
        <f t="shared" si="18"/>
        <v>4.26773445457031E-2</v>
      </c>
      <c r="K92" s="1">
        <f t="shared" si="19"/>
        <v>57.346597430429782</v>
      </c>
      <c r="L92" s="1">
        <f t="shared" si="20"/>
        <v>0.28043141167884889</v>
      </c>
      <c r="M92" s="2">
        <f t="shared" si="21"/>
        <v>-1.5518706138069382E-2</v>
      </c>
      <c r="N92" s="3">
        <f t="shared" si="22"/>
        <v>1.8701464020560402E-3</v>
      </c>
      <c r="O92" s="2">
        <f t="shared" si="23"/>
        <v>4.1772021941130655</v>
      </c>
      <c r="P92" s="2">
        <f t="shared" si="24"/>
        <v>-0.11618120401184007</v>
      </c>
      <c r="Q92" s="2">
        <f t="shared" si="25"/>
        <v>4.244251192649803</v>
      </c>
      <c r="R92" s="2">
        <f t="shared" si="26"/>
        <v>4.1168580954300005</v>
      </c>
      <c r="S92" s="4">
        <f t="shared" si="28"/>
        <v>8.4550999999999963</v>
      </c>
    </row>
    <row r="93" spans="4:19">
      <c r="D93">
        <f t="shared" si="27"/>
        <v>140</v>
      </c>
      <c r="E93" s="2">
        <f t="shared" si="15"/>
        <v>2.1686744239153195</v>
      </c>
      <c r="F93" s="2">
        <f t="shared" si="16"/>
        <v>1.7300661134605357</v>
      </c>
      <c r="G93" s="2">
        <f t="shared" si="17"/>
        <v>0.98494629477318874</v>
      </c>
      <c r="H93" s="2">
        <f t="shared" si="17"/>
        <v>0.9581907681375329</v>
      </c>
      <c r="I93" s="3">
        <f t="shared" si="18"/>
        <v>1.5053705226811273E-2</v>
      </c>
      <c r="J93" s="3">
        <f t="shared" si="18"/>
        <v>4.1809231862467128E-2</v>
      </c>
      <c r="K93" s="1">
        <f t="shared" si="19"/>
        <v>57.744794223798351</v>
      </c>
      <c r="L93" s="1">
        <f t="shared" si="20"/>
        <v>0.27268805096110449</v>
      </c>
      <c r="M93" s="2">
        <f t="shared" si="21"/>
        <v>-1.5053705226811265E-2</v>
      </c>
      <c r="N93" s="3">
        <f t="shared" si="22"/>
        <v>1.8089018158766949E-3</v>
      </c>
      <c r="O93" s="2">
        <f t="shared" si="23"/>
        <v>4.1399394391388125</v>
      </c>
      <c r="P93" s="2">
        <f t="shared" si="24"/>
        <v>-0.11284994357746192</v>
      </c>
      <c r="Q93" s="2">
        <f t="shared" si="25"/>
        <v>4.2048953529255737</v>
      </c>
      <c r="R93" s="2">
        <f t="shared" si="26"/>
        <v>4.0814791167307272</v>
      </c>
      <c r="S93" s="4">
        <f t="shared" si="28"/>
        <v>8.5500999999999969</v>
      </c>
    </row>
    <row r="94" spans="4:19">
      <c r="D94">
        <f t="shared" si="27"/>
        <v>141</v>
      </c>
      <c r="E94" s="2">
        <f t="shared" si="15"/>
        <v>2.1806891924725691</v>
      </c>
      <c r="F94" s="2">
        <f t="shared" si="16"/>
        <v>1.7396509288264315</v>
      </c>
      <c r="G94" s="2">
        <f t="shared" si="17"/>
        <v>0.98539679352158471</v>
      </c>
      <c r="H94" s="2">
        <f t="shared" si="17"/>
        <v>0.95903983463525799</v>
      </c>
      <c r="I94" s="3">
        <f t="shared" si="18"/>
        <v>1.4603206478415315E-2</v>
      </c>
      <c r="J94" s="3">
        <f t="shared" si="18"/>
        <v>4.0960165364741993E-2</v>
      </c>
      <c r="K94" s="1">
        <f t="shared" si="19"/>
        <v>58.13936690786371</v>
      </c>
      <c r="L94" s="1">
        <f t="shared" si="20"/>
        <v>0.26515875222417273</v>
      </c>
      <c r="M94" s="2">
        <f t="shared" si="21"/>
        <v>-1.4603206478415287E-2</v>
      </c>
      <c r="N94" s="3">
        <f t="shared" si="22"/>
        <v>1.7497521742657796E-3</v>
      </c>
      <c r="O94" s="2">
        <f t="shared" si="23"/>
        <v>4.1029632985211819</v>
      </c>
      <c r="P94" s="2">
        <f t="shared" si="24"/>
        <v>-0.10961588591486415</v>
      </c>
      <c r="Q94" s="2">
        <f t="shared" si="25"/>
        <v>4.1658953526128881</v>
      </c>
      <c r="R94" s="2">
        <f t="shared" si="26"/>
        <v>4.0463244498386466</v>
      </c>
      <c r="S94" s="4">
        <f t="shared" si="28"/>
        <v>8.6450999999999976</v>
      </c>
    </row>
    <row r="95" spans="4:19">
      <c r="D95">
        <f t="shared" si="27"/>
        <v>142</v>
      </c>
      <c r="E95" s="2">
        <f t="shared" si="15"/>
        <v>2.1926381259544145</v>
      </c>
      <c r="F95" s="2">
        <f t="shared" si="16"/>
        <v>1.7491832240759937</v>
      </c>
      <c r="G95" s="2">
        <f t="shared" si="17"/>
        <v>0.98583326904040769</v>
      </c>
      <c r="H95" s="2">
        <f t="shared" si="17"/>
        <v>0.95987032352033819</v>
      </c>
      <c r="I95" s="3">
        <f t="shared" si="18"/>
        <v>1.4166730959592311E-2</v>
      </c>
      <c r="J95" s="3">
        <f t="shared" si="18"/>
        <v>4.012967647966182E-2</v>
      </c>
      <c r="K95" s="1">
        <f t="shared" si="19"/>
        <v>58.530345905124406</v>
      </c>
      <c r="L95" s="1">
        <f t="shared" si="20"/>
        <v>0.25783764798971376</v>
      </c>
      <c r="M95" s="2">
        <f t="shared" si="21"/>
        <v>-1.4166730959592311E-2</v>
      </c>
      <c r="N95" s="3">
        <f t="shared" si="22"/>
        <v>1.6926218162545675E-3</v>
      </c>
      <c r="O95" s="2">
        <f t="shared" si="23"/>
        <v>4.0662730342088125</v>
      </c>
      <c r="P95" s="2">
        <f t="shared" si="24"/>
        <v>-0.10647614007771786</v>
      </c>
      <c r="Q95" s="2">
        <f t="shared" si="25"/>
        <v>4.1272479685259897</v>
      </c>
      <c r="R95" s="2">
        <f t="shared" si="26"/>
        <v>4.0113955933233534</v>
      </c>
      <c r="S95" s="4">
        <f t="shared" si="28"/>
        <v>8.7400999999999982</v>
      </c>
    </row>
    <row r="96" spans="4:19">
      <c r="D96">
        <f t="shared" si="27"/>
        <v>143</v>
      </c>
      <c r="E96" s="2">
        <f t="shared" si="15"/>
        <v>2.2045222948773078</v>
      </c>
      <c r="F96" s="2">
        <f t="shared" si="16"/>
        <v>1.7586638532167287</v>
      </c>
      <c r="G96" s="2">
        <f t="shared" si="17"/>
        <v>0.98625618310740282</v>
      </c>
      <c r="H96" s="2">
        <f t="shared" si="17"/>
        <v>0.96068268979114702</v>
      </c>
      <c r="I96" s="3">
        <f t="shared" si="18"/>
        <v>1.3743816892597191E-2</v>
      </c>
      <c r="J96" s="3">
        <f t="shared" si="18"/>
        <v>3.9317310208852943E-2</v>
      </c>
      <c r="K96" s="1">
        <f t="shared" si="19"/>
        <v>58.917761449775476</v>
      </c>
      <c r="L96" s="1">
        <f t="shared" si="20"/>
        <v>0.25071902559826387</v>
      </c>
      <c r="M96" s="2">
        <f t="shared" si="21"/>
        <v>-1.3743816892597183E-2</v>
      </c>
      <c r="N96" s="3">
        <f t="shared" si="22"/>
        <v>1.6374380014455936E-3</v>
      </c>
      <c r="O96" s="2">
        <f t="shared" si="23"/>
        <v>4.0298678552041132</v>
      </c>
      <c r="P96" s="2">
        <f t="shared" si="24"/>
        <v>-0.10342790237816545</v>
      </c>
      <c r="Q96" s="2">
        <f t="shared" si="25"/>
        <v>4.088950024311746</v>
      </c>
      <c r="R96" s="2">
        <f t="shared" si="26"/>
        <v>3.9766939030072441</v>
      </c>
      <c r="S96" s="4">
        <f t="shared" si="28"/>
        <v>8.8350999999999988</v>
      </c>
    </row>
    <row r="97" spans="4:19">
      <c r="D97">
        <f t="shared" si="27"/>
        <v>144</v>
      </c>
      <c r="E97" s="2">
        <f t="shared" si="15"/>
        <v>2.2163427410563856</v>
      </c>
      <c r="F97" s="2">
        <f t="shared" si="16"/>
        <v>1.7680936473595885</v>
      </c>
      <c r="G97" s="2">
        <f t="shared" si="17"/>
        <v>0.98666598103138792</v>
      </c>
      <c r="H97" s="2">
        <f t="shared" si="17"/>
        <v>0.96147737535513778</v>
      </c>
      <c r="I97" s="3">
        <f t="shared" si="18"/>
        <v>1.3334018968612056E-2</v>
      </c>
      <c r="J97" s="3">
        <f t="shared" si="18"/>
        <v>3.8522624644862245E-2</v>
      </c>
      <c r="K97" s="1">
        <f t="shared" si="19"/>
        <v>59.301643587416322</v>
      </c>
      <c r="L97" s="1">
        <f t="shared" si="20"/>
        <v>0.24379732367284901</v>
      </c>
      <c r="M97" s="2">
        <f t="shared" si="21"/>
        <v>-1.3334018968612082E-2</v>
      </c>
      <c r="N97" s="3">
        <f t="shared" si="22"/>
        <v>1.584130788008224E-3</v>
      </c>
      <c r="O97" s="2">
        <f t="shared" si="23"/>
        <v>3.9937469198442441</v>
      </c>
      <c r="P97" s="2">
        <f t="shared" si="24"/>
        <v>-0.10046845378140931</v>
      </c>
      <c r="Q97" s="2">
        <f t="shared" si="25"/>
        <v>4.0509983881162404</v>
      </c>
      <c r="R97" s="2">
        <f t="shared" si="26"/>
        <v>3.9422205983994476</v>
      </c>
      <c r="S97" s="4">
        <f t="shared" si="28"/>
        <v>8.9300999999999995</v>
      </c>
    </row>
    <row r="98" spans="4:19">
      <c r="D98">
        <f t="shared" si="27"/>
        <v>145</v>
      </c>
      <c r="E98" s="2">
        <f t="shared" si="15"/>
        <v>2.228100478671363</v>
      </c>
      <c r="F98" s="2">
        <f t="shared" si="16"/>
        <v>1.7774734155692897</v>
      </c>
      <c r="G98" s="2">
        <f t="shared" si="17"/>
        <v>0.98706309230725087</v>
      </c>
      <c r="H98" s="2">
        <f t="shared" si="17"/>
        <v>0.96225480949089393</v>
      </c>
      <c r="I98" s="3">
        <f t="shared" si="18"/>
        <v>1.2936907692749126E-2</v>
      </c>
      <c r="J98" s="3">
        <f t="shared" si="18"/>
        <v>3.7745190509106075E-2</v>
      </c>
      <c r="K98" s="1">
        <f t="shared" si="19"/>
        <v>59.682022174758927</v>
      </c>
      <c r="L98" s="1">
        <f t="shared" si="20"/>
        <v>0.23706712861369628</v>
      </c>
      <c r="M98" s="2">
        <f t="shared" si="21"/>
        <v>-1.2936907692749133E-2</v>
      </c>
      <c r="N98" s="3">
        <f t="shared" si="22"/>
        <v>1.5326329162501542E-3</v>
      </c>
      <c r="O98" s="2">
        <f t="shared" si="23"/>
        <v>3.9579093380163051</v>
      </c>
      <c r="P98" s="2">
        <f t="shared" si="24"/>
        <v>-9.7595157369170737E-2</v>
      </c>
      <c r="Q98" s="2">
        <f t="shared" si="25"/>
        <v>4.0133899704359948</v>
      </c>
      <c r="R98" s="2">
        <f t="shared" si="26"/>
        <v>3.907976768838584</v>
      </c>
      <c r="S98" s="4">
        <f t="shared" si="28"/>
        <v>9.0251000000000001</v>
      </c>
    </row>
    <row r="99" spans="4:19">
      <c r="D99">
        <f t="shared" si="27"/>
        <v>146</v>
      </c>
      <c r="E99" s="2">
        <f t="shared" si="15"/>
        <v>2.239796495282055</v>
      </c>
      <c r="F99" s="2">
        <f t="shared" si="16"/>
        <v>1.7868039456744484</v>
      </c>
      <c r="G99" s="2">
        <f t="shared" si="17"/>
        <v>0.98744793124103325</v>
      </c>
      <c r="H99" s="2">
        <f t="shared" si="17"/>
        <v>0.96301540928983653</v>
      </c>
      <c r="I99" s="3">
        <f t="shared" si="18"/>
        <v>1.2552068758966761E-2</v>
      </c>
      <c r="J99" s="3">
        <f t="shared" si="18"/>
        <v>3.6984590710163495E-2</v>
      </c>
      <c r="K99" s="1">
        <f t="shared" si="19"/>
        <v>60.058926879341897</v>
      </c>
      <c r="L99" s="1">
        <f t="shared" si="20"/>
        <v>0.23052317112899123</v>
      </c>
      <c r="M99" s="2">
        <f t="shared" si="21"/>
        <v>-1.255206875896675E-2</v>
      </c>
      <c r="N99" s="3">
        <f t="shared" si="22"/>
        <v>1.4828796974840604E-3</v>
      </c>
      <c r="O99" s="2">
        <f t="shared" si="23"/>
        <v>3.9223541733072964</v>
      </c>
      <c r="P99" s="2">
        <f t="shared" si="24"/>
        <v>-9.4805455871413299E-2</v>
      </c>
      <c r="Q99" s="2">
        <f t="shared" si="25"/>
        <v>3.9761217221384499</v>
      </c>
      <c r="R99" s="2">
        <f t="shared" si="26"/>
        <v>3.8739633793592581</v>
      </c>
      <c r="S99" s="4">
        <f t="shared" si="28"/>
        <v>9.1201000000000008</v>
      </c>
    </row>
    <row r="100" spans="4:19">
      <c r="D100">
        <f t="shared" si="27"/>
        <v>147</v>
      </c>
      <c r="E100" s="2">
        <f t="shared" si="15"/>
        <v>2.2514317527964289</v>
      </c>
      <c r="F100" s="2">
        <f t="shared" si="16"/>
        <v>1.7960860050398477</v>
      </c>
      <c r="G100" s="2">
        <f t="shared" si="17"/>
        <v>0.98782089754670144</v>
      </c>
      <c r="H100" s="2">
        <f t="shared" si="17"/>
        <v>0.96375958007868812</v>
      </c>
      <c r="I100" s="3">
        <f t="shared" si="18"/>
        <v>1.2179102453298531E-2</v>
      </c>
      <c r="J100" s="3">
        <f t="shared" si="18"/>
        <v>3.6240419921311877E-2</v>
      </c>
      <c r="K100" s="1">
        <f t="shared" si="19"/>
        <v>60.432387179254491</v>
      </c>
      <c r="L100" s="1">
        <f t="shared" si="20"/>
        <v>0.22416032280603493</v>
      </c>
      <c r="M100" s="2">
        <f t="shared" si="21"/>
        <v>-1.2179102453298563E-2</v>
      </c>
      <c r="N100" s="3">
        <f t="shared" si="22"/>
        <v>1.4348089079240782E-3</v>
      </c>
      <c r="O100" s="2">
        <f t="shared" si="23"/>
        <v>3.8870804450895968</v>
      </c>
      <c r="P100" s="2">
        <f t="shared" si="24"/>
        <v>-9.2096869265556519E-2</v>
      </c>
      <c r="Q100" s="2">
        <f t="shared" si="25"/>
        <v>3.9391906326376294</v>
      </c>
      <c r="R100" s="2">
        <f t="shared" si="26"/>
        <v>3.8401812762963679</v>
      </c>
      <c r="S100" s="4">
        <f t="shared" si="28"/>
        <v>9.2151000000000014</v>
      </c>
    </row>
    <row r="101" spans="4:19">
      <c r="D101">
        <f t="shared" si="27"/>
        <v>148</v>
      </c>
      <c r="E101" s="2">
        <f t="shared" si="15"/>
        <v>2.2630071883938467</v>
      </c>
      <c r="F101" s="2">
        <f t="shared" si="16"/>
        <v>1.8053203413029564</v>
      </c>
      <c r="G101" s="2">
        <f t="shared" si="17"/>
        <v>0.98818237691610289</v>
      </c>
      <c r="H101" s="2">
        <f t="shared" si="17"/>
        <v>0.96448771582372284</v>
      </c>
      <c r="I101" s="3">
        <f t="shared" si="18"/>
        <v>1.1817623083897116E-2</v>
      </c>
      <c r="J101" s="3">
        <f t="shared" si="18"/>
        <v>3.551228417627722E-2</v>
      </c>
      <c r="K101" s="1">
        <f t="shared" si="19"/>
        <v>60.802432362875408</v>
      </c>
      <c r="L101" s="1">
        <f t="shared" si="20"/>
        <v>0.21797359272653316</v>
      </c>
      <c r="M101" s="2">
        <f t="shared" si="21"/>
        <v>-1.1817623083897111E-2</v>
      </c>
      <c r="N101" s="3">
        <f t="shared" si="22"/>
        <v>1.3883606873616771E-3</v>
      </c>
      <c r="O101" s="2">
        <f t="shared" si="23"/>
        <v>3.8520871305428366</v>
      </c>
      <c r="P101" s="2">
        <f t="shared" si="24"/>
        <v>-8.9466992442276627E-2</v>
      </c>
      <c r="Q101" s="2">
        <f t="shared" si="25"/>
        <v>3.9025937282121843</v>
      </c>
      <c r="R101" s="2">
        <f t="shared" si="26"/>
        <v>3.8066311926404235</v>
      </c>
      <c r="S101" s="4">
        <f t="shared" si="28"/>
        <v>9.310100000000002</v>
      </c>
    </row>
    <row r="102" spans="4:19">
      <c r="D102">
        <f t="shared" si="27"/>
        <v>149</v>
      </c>
      <c r="E102" s="2">
        <f t="shared" si="15"/>
        <v>2.2745237154060289</v>
      </c>
      <c r="F102" s="2">
        <f t="shared" si="16"/>
        <v>1.8145076830767197</v>
      </c>
      <c r="G102" s="2">
        <f t="shared" si="17"/>
        <v>0.98853274156351345</v>
      </c>
      <c r="H102" s="2">
        <f t="shared" si="17"/>
        <v>0.96520019951776637</v>
      </c>
      <c r="I102" s="3">
        <f t="shared" si="18"/>
        <v>1.1467258436486497E-2</v>
      </c>
      <c r="J102" s="3">
        <f t="shared" si="18"/>
        <v>3.4799800482233675E-2</v>
      </c>
      <c r="K102" s="1">
        <f t="shared" si="19"/>
        <v>61.169091528628918</v>
      </c>
      <c r="L102" s="1">
        <f t="shared" si="20"/>
        <v>0.21195812412922654</v>
      </c>
      <c r="M102" s="2">
        <f t="shared" si="21"/>
        <v>-1.1467258436486549E-2</v>
      </c>
      <c r="N102" s="3">
        <f t="shared" si="22"/>
        <v>1.3434774423840498E-3</v>
      </c>
      <c r="O102" s="2">
        <f t="shared" si="23"/>
        <v>3.8173731666131627</v>
      </c>
      <c r="P102" s="2">
        <f t="shared" si="24"/>
        <v>-8.6913492936868203E-2</v>
      </c>
      <c r="Q102" s="2">
        <f t="shared" si="25"/>
        <v>3.8663280704540819</v>
      </c>
      <c r="R102" s="2">
        <f t="shared" si="26"/>
        <v>3.773313753156335</v>
      </c>
      <c r="S102" s="4">
        <f t="shared" si="28"/>
        <v>9.4051000000000027</v>
      </c>
    </row>
    <row r="103" spans="4:19">
      <c r="D103">
        <f t="shared" si="27"/>
        <v>150</v>
      </c>
      <c r="E103" s="2">
        <f t="shared" si="15"/>
        <v>2.2859822241580683</v>
      </c>
      <c r="F103" s="2">
        <f t="shared" si="16"/>
        <v>1.8236487406204815</v>
      </c>
      <c r="G103" s="2">
        <f t="shared" si="17"/>
        <v>0.9888723507460967</v>
      </c>
      <c r="H103" s="2">
        <f t="shared" si="17"/>
        <v>0.96589740355085019</v>
      </c>
      <c r="I103" s="3">
        <f t="shared" si="18"/>
        <v>1.112764925390327E-2</v>
      </c>
      <c r="J103" s="3">
        <f t="shared" si="18"/>
        <v>3.4102596449149807E-2</v>
      </c>
      <c r="K103" s="1">
        <f t="shared" si="19"/>
        <v>61.532393584762204</v>
      </c>
      <c r="L103" s="1">
        <f t="shared" si="20"/>
        <v>0.2061091911225672</v>
      </c>
      <c r="M103" s="2">
        <f t="shared" si="21"/>
        <v>-1.1127649253903305E-2</v>
      </c>
      <c r="N103" s="3">
        <f t="shared" si="22"/>
        <v>1.3001037539112602E-3</v>
      </c>
      <c r="O103" s="2">
        <f t="shared" si="23"/>
        <v>3.7829374519109851</v>
      </c>
      <c r="P103" s="2">
        <f t="shared" si="24"/>
        <v>-8.4434108725050222E-2</v>
      </c>
      <c r="Q103" s="2">
        <f t="shared" si="25"/>
        <v>3.8303907548372242</v>
      </c>
      <c r="R103" s="2">
        <f t="shared" si="26"/>
        <v>3.7402294792773696</v>
      </c>
      <c r="S103" s="4">
        <f t="shared" si="28"/>
        <v>9.5001000000000033</v>
      </c>
    </row>
    <row r="104" spans="4:19">
      <c r="D104">
        <f t="shared" si="27"/>
        <v>151</v>
      </c>
      <c r="E104" s="2">
        <f t="shared" si="15"/>
        <v>2.2973835827716909</v>
      </c>
      <c r="F104" s="2">
        <f t="shared" si="16"/>
        <v>1.8327442064807871</v>
      </c>
      <c r="G104" s="2">
        <f t="shared" si="17"/>
        <v>0.98920155126151232</v>
      </c>
      <c r="H104" s="2">
        <f t="shared" si="17"/>
        <v>0.96657969006536526</v>
      </c>
      <c r="I104" s="3">
        <f t="shared" si="18"/>
        <v>1.079844873848769E-2</v>
      </c>
      <c r="J104" s="3">
        <f t="shared" si="18"/>
        <v>3.3420309934634733E-2</v>
      </c>
      <c r="K104" s="1">
        <f t="shared" si="19"/>
        <v>61.892367249145785</v>
      </c>
      <c r="L104" s="1">
        <f t="shared" si="20"/>
        <v>0.20042219544972584</v>
      </c>
      <c r="M104" s="2">
        <f t="shared" si="21"/>
        <v>-1.0798448738487676E-2</v>
      </c>
      <c r="N104" s="3">
        <f t="shared" si="22"/>
        <v>1.2581862888404404E-3</v>
      </c>
      <c r="O104" s="2">
        <f t="shared" si="23"/>
        <v>3.7487788485483691</v>
      </c>
      <c r="P104" s="2">
        <f t="shared" si="24"/>
        <v>-8.2026646082024576E-2</v>
      </c>
      <c r="Q104" s="2">
        <f t="shared" si="25"/>
        <v>3.7947789093961939</v>
      </c>
      <c r="R104" s="2">
        <f t="shared" si="26"/>
        <v>3.7073787937853266</v>
      </c>
      <c r="S104" s="4">
        <f t="shared" si="28"/>
        <v>9.595100000000004</v>
      </c>
    </row>
    <row r="105" spans="4:19">
      <c r="D105">
        <f t="shared" si="27"/>
        <v>152</v>
      </c>
      <c r="E105" s="2">
        <f t="shared" si="15"/>
        <v>2.3087286379328158</v>
      </c>
      <c r="F105" s="2">
        <f t="shared" si="16"/>
        <v>1.8417947561037071</v>
      </c>
      <c r="G105" s="2">
        <f t="shared" si="17"/>
        <v>0.98952067792384057</v>
      </c>
      <c r="H105" s="2">
        <f t="shared" si="17"/>
        <v>0.96724741129651048</v>
      </c>
      <c r="I105" s="3">
        <f t="shared" si="18"/>
        <v>1.0479322076159448E-2</v>
      </c>
      <c r="J105" s="3">
        <f t="shared" si="18"/>
        <v>3.2752588703489557E-2</v>
      </c>
      <c r="K105" s="1">
        <f t="shared" si="19"/>
        <v>62.24904104909956</v>
      </c>
      <c r="L105" s="1">
        <f t="shared" si="20"/>
        <v>0.19489266330786514</v>
      </c>
      <c r="M105" s="2">
        <f t="shared" si="21"/>
        <v>-1.0479322076159425E-2</v>
      </c>
      <c r="N105" s="3">
        <f t="shared" si="22"/>
        <v>1.2176737155968152E-3</v>
      </c>
      <c r="O105" s="2">
        <f t="shared" si="23"/>
        <v>3.7148961839172996</v>
      </c>
      <c r="P105" s="2">
        <f t="shared" si="24"/>
        <v>-7.9688977503530475E-2</v>
      </c>
      <c r="Q105" s="2">
        <f t="shared" si="25"/>
        <v>3.7594896935061501</v>
      </c>
      <c r="R105" s="2">
        <f t="shared" si="26"/>
        <v>3.6747620252873339</v>
      </c>
      <c r="S105" s="4">
        <f t="shared" si="28"/>
        <v>9.6901000000000046</v>
      </c>
    </row>
    <row r="106" spans="4:19">
      <c r="D106">
        <f t="shared" si="27"/>
        <v>153</v>
      </c>
      <c r="E106" s="2">
        <f t="shared" si="15"/>
        <v>2.3200182156253293</v>
      </c>
      <c r="F106" s="2">
        <f t="shared" si="16"/>
        <v>1.8508010484202067</v>
      </c>
      <c r="G106" s="2">
        <f t="shared" si="17"/>
        <v>0.98983005401891688</v>
      </c>
      <c r="H106" s="2">
        <f t="shared" si="17"/>
        <v>0.96790090989878141</v>
      </c>
      <c r="I106" s="3">
        <f t="shared" si="18"/>
        <v>1.0169945981083114E-2</v>
      </c>
      <c r="J106" s="3">
        <f t="shared" si="18"/>
        <v>3.2099090101218544E-2</v>
      </c>
      <c r="K106" s="1">
        <f t="shared" si="19"/>
        <v>62.602443321246341</v>
      </c>
      <c r="L106" s="1">
        <f t="shared" si="20"/>
        <v>0.18951624222319663</v>
      </c>
      <c r="M106" s="2">
        <f t="shared" si="21"/>
        <v>-1.0169945981083117E-2</v>
      </c>
      <c r="N106" s="3">
        <f t="shared" si="22"/>
        <v>1.1785166234020775E-3</v>
      </c>
      <c r="O106" s="2">
        <f t="shared" si="23"/>
        <v>3.6812882524100914</v>
      </c>
      <c r="P106" s="2">
        <f t="shared" si="24"/>
        <v>-7.741903968759431E-2</v>
      </c>
      <c r="Q106" s="2">
        <f t="shared" si="25"/>
        <v>3.7245202967556481</v>
      </c>
      <c r="R106" s="2">
        <f t="shared" si="26"/>
        <v>3.6423794124990909</v>
      </c>
      <c r="S106" s="4">
        <f t="shared" si="28"/>
        <v>9.7851000000000052</v>
      </c>
    </row>
    <row r="107" spans="4:19">
      <c r="D107">
        <f t="shared" si="27"/>
        <v>154</v>
      </c>
      <c r="E107" s="2">
        <f t="shared" si="15"/>
        <v>2.3312531218328818</v>
      </c>
      <c r="F107" s="2">
        <f t="shared" si="16"/>
        <v>1.8597637264060067</v>
      </c>
      <c r="G107" s="2">
        <f t="shared" si="17"/>
        <v>0.99012999174010807</v>
      </c>
      <c r="H107" s="2">
        <f t="shared" si="17"/>
        <v>0.96854051925920159</v>
      </c>
      <c r="I107" s="3">
        <f t="shared" si="18"/>
        <v>9.8700082598919183E-3</v>
      </c>
      <c r="J107" s="3">
        <f t="shared" si="18"/>
        <v>3.1459480740798372E-2</v>
      </c>
      <c r="K107" s="1">
        <f t="shared" si="19"/>
        <v>62.952602211394051</v>
      </c>
      <c r="L107" s="1">
        <f t="shared" si="20"/>
        <v>0.1842886979830991</v>
      </c>
      <c r="M107" s="2">
        <f t="shared" si="21"/>
        <v>-9.870008259891927E-3</v>
      </c>
      <c r="N107" s="3">
        <f t="shared" si="22"/>
        <v>1.1406674450807311E-3</v>
      </c>
      <c r="O107" s="2">
        <f t="shared" si="23"/>
        <v>3.6479538170832724</v>
      </c>
      <c r="P107" s="2">
        <f t="shared" si="24"/>
        <v>-7.5214831575632315E-2</v>
      </c>
      <c r="Q107" s="2">
        <f t="shared" si="25"/>
        <v>3.6898679379048689</v>
      </c>
      <c r="R107" s="2">
        <f t="shared" si="26"/>
        <v>3.610231108343835</v>
      </c>
      <c r="S107" s="4">
        <f t="shared" si="28"/>
        <v>9.8801000000000059</v>
      </c>
    </row>
    <row r="108" spans="4:19">
      <c r="D108">
        <f t="shared" si="27"/>
        <v>155</v>
      </c>
      <c r="E108" s="2">
        <f t="shared" si="15"/>
        <v>2.342434143210387</v>
      </c>
      <c r="F108" s="2">
        <f t="shared" si="16"/>
        <v>1.8686834176172749</v>
      </c>
      <c r="G108" s="2">
        <f t="shared" si="17"/>
        <v>0.99042079260550031</v>
      </c>
      <c r="H108" s="2">
        <f t="shared" si="17"/>
        <v>0.96916656379795285</v>
      </c>
      <c r="I108" s="3">
        <f t="shared" si="18"/>
        <v>9.5792073944996683E-3</v>
      </c>
      <c r="J108" s="3">
        <f t="shared" si="18"/>
        <v>3.083343620204718E-2</v>
      </c>
      <c r="K108" s="1">
        <f t="shared" si="19"/>
        <v>63.299545674448311</v>
      </c>
      <c r="L108" s="1">
        <f t="shared" si="20"/>
        <v>0.17920591162623467</v>
      </c>
      <c r="M108" s="2">
        <f t="shared" si="21"/>
        <v>-9.5792073944996892E-3</v>
      </c>
      <c r="N108" s="3">
        <f t="shared" si="22"/>
        <v>1.1040803832345831E-3</v>
      </c>
      <c r="O108" s="2">
        <f t="shared" si="23"/>
        <v>3.6148916112662497</v>
      </c>
      <c r="P108" s="2">
        <f t="shared" si="24"/>
        <v>-7.307441245154242E-2</v>
      </c>
      <c r="Q108" s="2">
        <f t="shared" si="25"/>
        <v>3.6555298639223275</v>
      </c>
      <c r="R108" s="2">
        <f t="shared" si="26"/>
        <v>3.5783171838757797</v>
      </c>
      <c r="S108" s="4">
        <f t="shared" si="28"/>
        <v>9.9751000000000065</v>
      </c>
    </row>
    <row r="109" spans="4:19">
      <c r="D109">
        <f t="shared" si="27"/>
        <v>156</v>
      </c>
      <c r="E109" s="2">
        <f t="shared" si="15"/>
        <v>2.353562047726808</v>
      </c>
      <c r="F109" s="2">
        <f t="shared" si="16"/>
        <v>1.8775607347034087</v>
      </c>
      <c r="G109" s="2">
        <f t="shared" si="17"/>
        <v>0.99070274785741408</v>
      </c>
      <c r="H109" s="2">
        <f t="shared" si="17"/>
        <v>0.96977935925702619</v>
      </c>
      <c r="I109" s="3">
        <f t="shared" si="18"/>
        <v>9.2972521425858986E-3</v>
      </c>
      <c r="J109" s="3">
        <f t="shared" si="18"/>
        <v>3.0220640742973821E-2</v>
      </c>
      <c r="K109" s="1">
        <f t="shared" si="19"/>
        <v>63.643301474355894</v>
      </c>
      <c r="L109" s="1">
        <f t="shared" si="20"/>
        <v>0.17426387649143193</v>
      </c>
      <c r="M109" s="2">
        <f t="shared" si="21"/>
        <v>-9.2972521425859211E-3</v>
      </c>
      <c r="N109" s="3">
        <f t="shared" si="22"/>
        <v>1.0687113396245086E-3</v>
      </c>
      <c r="O109" s="2">
        <f t="shared" si="23"/>
        <v>3.5821003401161504</v>
      </c>
      <c r="P109" s="2">
        <f t="shared" si="24"/>
        <v>-7.0995900097402739E-2</v>
      </c>
      <c r="Q109" s="2">
        <f t="shared" si="25"/>
        <v>3.6215033490937496</v>
      </c>
      <c r="R109" s="2">
        <f t="shared" si="26"/>
        <v>3.5466376320363109</v>
      </c>
      <c r="S109" s="4">
        <f t="shared" si="28"/>
        <v>10.070100000000007</v>
      </c>
    </row>
    <row r="110" spans="4:19">
      <c r="D110">
        <f t="shared" si="27"/>
        <v>157</v>
      </c>
      <c r="E110" s="2">
        <f t="shared" si="15"/>
        <v>2.3646375852807182</v>
      </c>
      <c r="F110" s="2">
        <f t="shared" si="16"/>
        <v>1.886396275898101</v>
      </c>
      <c r="G110" s="2">
        <f t="shared" si="17"/>
        <v>0.99097613884510771</v>
      </c>
      <c r="H110" s="2">
        <f t="shared" si="17"/>
        <v>0.97037921297747676</v>
      </c>
      <c r="I110" s="3">
        <f t="shared" si="18"/>
        <v>9.0238611548922997E-3</v>
      </c>
      <c r="J110" s="3">
        <f t="shared" si="18"/>
        <v>2.9620787022523194E-2</v>
      </c>
      <c r="K110" s="1">
        <f t="shared" si="19"/>
        <v>63.983897184080199</v>
      </c>
      <c r="L110" s="1">
        <f t="shared" si="20"/>
        <v>0.16945869532578806</v>
      </c>
      <c r="M110" s="2">
        <f t="shared" si="21"/>
        <v>-9.0238611548922876E-3</v>
      </c>
      <c r="N110" s="3">
        <f t="shared" si="22"/>
        <v>1.0345178476070603E-3</v>
      </c>
      <c r="O110" s="2">
        <f t="shared" si="23"/>
        <v>3.549578682120178</v>
      </c>
      <c r="P110" s="2">
        <f t="shared" si="24"/>
        <v>-6.8977469004381065E-2</v>
      </c>
      <c r="Q110" s="2">
        <f t="shared" si="25"/>
        <v>3.5877856941972985</v>
      </c>
      <c r="R110" s="2">
        <f t="shared" si="26"/>
        <v>3.5151923712507691</v>
      </c>
      <c r="S110" s="4">
        <f t="shared" si="28"/>
        <v>10.165100000000008</v>
      </c>
    </row>
    <row r="111" spans="4:19">
      <c r="D111">
        <f t="shared" si="27"/>
        <v>158</v>
      </c>
      <c r="E111" s="2">
        <f t="shared" si="15"/>
        <v>2.3756614882900404</v>
      </c>
      <c r="F111" s="2">
        <f t="shared" si="16"/>
        <v>1.8951906254898077</v>
      </c>
      <c r="G111" s="2">
        <f t="shared" si="17"/>
        <v>0.99124123739148329</v>
      </c>
      <c r="H111" s="2">
        <f t="shared" si="17"/>
        <v>0.97096642416583201</v>
      </c>
      <c r="I111" s="3">
        <f t="shared" si="18"/>
        <v>8.7587626085166605E-3</v>
      </c>
      <c r="J111" s="3">
        <f t="shared" si="18"/>
        <v>2.9033575834167959E-2</v>
      </c>
      <c r="K111" s="1">
        <f t="shared" si="19"/>
        <v>64.32136018560908</v>
      </c>
      <c r="L111" s="1">
        <f t="shared" si="20"/>
        <v>0.16478657745233238</v>
      </c>
      <c r="M111" s="2">
        <f t="shared" si="21"/>
        <v>-8.7587626085167125E-3</v>
      </c>
      <c r="N111" s="3">
        <f t="shared" si="22"/>
        <v>1.0014590074814366E-3</v>
      </c>
      <c r="O111" s="2">
        <f t="shared" si="23"/>
        <v>3.5173252905468675</v>
      </c>
      <c r="P111" s="2">
        <f t="shared" si="24"/>
        <v>-6.7017348637458285E-2</v>
      </c>
      <c r="Q111" s="2">
        <f t="shared" si="25"/>
        <v>3.5543742257398088</v>
      </c>
      <c r="R111" s="2">
        <f t="shared" si="26"/>
        <v>3.4839812488732198</v>
      </c>
      <c r="S111" s="4">
        <f t="shared" si="28"/>
        <v>10.260100000000008</v>
      </c>
    </row>
    <row r="112" spans="4:19">
      <c r="D112">
        <f t="shared" si="27"/>
        <v>159</v>
      </c>
      <c r="E112" s="2">
        <f t="shared" si="15"/>
        <v>2.3866344722572559</v>
      </c>
      <c r="F112" s="2">
        <f t="shared" si="16"/>
        <v>1.9039443542726424</v>
      </c>
      <c r="G112" s="2">
        <f t="shared" si="17"/>
        <v>0.99149830614456258</v>
      </c>
      <c r="H112" s="2">
        <f t="shared" si="17"/>
        <v>0.97154128415017005</v>
      </c>
      <c r="I112" s="3">
        <f t="shared" si="18"/>
        <v>8.5016938554374321E-3</v>
      </c>
      <c r="J112" s="3">
        <f t="shared" si="18"/>
        <v>2.84587158498299E-2</v>
      </c>
      <c r="K112" s="1">
        <f t="shared" si="19"/>
        <v>64.655717669995596</v>
      </c>
      <c r="L112" s="1">
        <f t="shared" si="20"/>
        <v>0.16024383599735159</v>
      </c>
      <c r="M112" s="2">
        <f t="shared" si="21"/>
        <v>-8.50169385543742E-3</v>
      </c>
      <c r="N112" s="3">
        <f t="shared" si="22"/>
        <v>9.694954246099001E-4</v>
      </c>
      <c r="O112" s="2">
        <f t="shared" si="23"/>
        <v>3.4853387948476033</v>
      </c>
      <c r="P112" s="2">
        <f t="shared" si="24"/>
        <v>-6.5113821752573672E-2</v>
      </c>
      <c r="Q112" s="2">
        <f t="shared" si="25"/>
        <v>3.5212662952491391</v>
      </c>
      <c r="R112" s="2">
        <f t="shared" si="26"/>
        <v>3.4530040444862213</v>
      </c>
      <c r="S112" s="4">
        <f t="shared" si="28"/>
        <v>10.355100000000009</v>
      </c>
    </row>
    <row r="113" spans="4:19">
      <c r="D113">
        <f t="shared" si="27"/>
        <v>160</v>
      </c>
      <c r="E113" s="2">
        <f t="shared" si="15"/>
        <v>2.3975572363113451</v>
      </c>
      <c r="F113" s="2">
        <f t="shared" si="16"/>
        <v>1.9126580199787135</v>
      </c>
      <c r="G113" s="2">
        <f t="shared" si="17"/>
        <v>0.99174759891445685</v>
      </c>
      <c r="H113" s="2">
        <f t="shared" si="17"/>
        <v>0.97210407662635945</v>
      </c>
      <c r="I113" s="3">
        <f t="shared" si="18"/>
        <v>8.252401085543138E-3</v>
      </c>
      <c r="J113" s="3">
        <f t="shared" si="18"/>
        <v>2.7895923373640576E-2</v>
      </c>
      <c r="K113" s="1">
        <f t="shared" si="19"/>
        <v>64.986996637431645</v>
      </c>
      <c r="L113" s="1">
        <f>EXP(-$B$3*S113)*$B$2*J113-$B$1*I113</f>
        <v>0.15582688517737375</v>
      </c>
      <c r="M113" s="2">
        <f t="shared" si="21"/>
        <v>-8.2524010855431484E-3</v>
      </c>
      <c r="N113" s="3">
        <f t="shared" si="22"/>
        <v>9.3858915018168825E-4</v>
      </c>
      <c r="O113" s="2">
        <f t="shared" si="23"/>
        <v>3.4536178020097741</v>
      </c>
      <c r="P113" s="2">
        <f t="shared" si="24"/>
        <v>-6.3265222764798637E-2</v>
      </c>
      <c r="Q113" s="2">
        <f t="shared" si="25"/>
        <v>3.4884592786181443</v>
      </c>
      <c r="R113" s="2">
        <f t="shared" si="26"/>
        <v>3.422260473062241</v>
      </c>
      <c r="S113" s="4">
        <f t="shared" si="28"/>
        <v>10.45010000000001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6A73-EEE7-4B11-B1F1-8CC95005C730}">
  <dimension ref="A1:Q113"/>
  <sheetViews>
    <sheetView zoomScale="66" workbookViewId="0">
      <selection activeCell="G8" sqref="G8"/>
    </sheetView>
  </sheetViews>
  <sheetFormatPr defaultRowHeight="14.4"/>
  <cols>
    <col min="8" max="8" width="11.77734375" bestFit="1" customWidth="1"/>
    <col min="9" max="9" width="9.77734375" customWidth="1"/>
    <col min="13" max="13" width="10.109375" customWidth="1"/>
    <col min="17" max="17" width="12.21875" style="2" bestFit="1" customWidth="1"/>
  </cols>
  <sheetData>
    <row r="1" spans="1:17">
      <c r="A1" t="s">
        <v>0</v>
      </c>
      <c r="B1">
        <v>100</v>
      </c>
    </row>
    <row r="2" spans="1:17">
      <c r="A2" t="s">
        <v>1</v>
      </c>
      <c r="B2">
        <v>100</v>
      </c>
      <c r="F2" t="s">
        <v>0</v>
      </c>
      <c r="G2" t="s">
        <v>5</v>
      </c>
      <c r="H2" t="s">
        <v>6</v>
      </c>
      <c r="I2" t="s">
        <v>7</v>
      </c>
      <c r="J2" t="s">
        <v>8</v>
      </c>
      <c r="K2" t="s">
        <v>11</v>
      </c>
      <c r="L2" t="s">
        <v>12</v>
      </c>
      <c r="M2" t="s">
        <v>9</v>
      </c>
      <c r="N2" t="s">
        <v>10</v>
      </c>
      <c r="O2" t="s">
        <v>14</v>
      </c>
      <c r="P2" s="2" t="s">
        <v>19</v>
      </c>
      <c r="Q2" s="2" t="s">
        <v>20</v>
      </c>
    </row>
    <row r="3" spans="1:17">
      <c r="A3" t="s">
        <v>2</v>
      </c>
      <c r="B3">
        <v>0.1</v>
      </c>
      <c r="F3">
        <v>50</v>
      </c>
      <c r="G3" s="2">
        <f>(LN($B$1/$B$2)+($B$3+(P3^2)/2)*$B$5)/(P3*SQRT($B$5))</f>
        <v>20.002500000000001</v>
      </c>
      <c r="H3" s="2">
        <f>G3-P3*SQRT($B$5)</f>
        <v>19.997500000000002</v>
      </c>
      <c r="I3" s="2">
        <f>_xlfn.NORM.S.DIST(G3,TRUE)</f>
        <v>1</v>
      </c>
      <c r="J3" s="2">
        <f>_xlfn.NORM.S.DIST(H3,TRUE)</f>
        <v>1</v>
      </c>
      <c r="K3" s="3">
        <f>_xlfn.NORM.S.DIST(-G3,TRUE)</f>
        <v>2.6189943426332934E-89</v>
      </c>
      <c r="L3" s="3">
        <f>_xlfn.NORM.S.DIST(-H3,TRUE)</f>
        <v>2.8951565071122225E-89</v>
      </c>
      <c r="M3" s="1">
        <f>$B$1*I3-$B$2*EXP(-$B$3*$B$5)*J3</f>
        <v>9.5162581964040527</v>
      </c>
      <c r="N3" s="1">
        <f>EXP(-$B$3*$B$5)*$B$2*L3-$B$1*K3</f>
        <v>6.5159607213675221E-91</v>
      </c>
      <c r="O3" s="2">
        <f>+I3-1</f>
        <v>0</v>
      </c>
      <c r="P3" s="2">
        <f>0.005</f>
        <v>5.0000000000000001E-3</v>
      </c>
      <c r="Q3" s="2">
        <f>$B$1*SQRT($B$5)*_xlfn.NORM.S.DIST(G3,FALSE)</f>
        <v>5.2516721217342744E-86</v>
      </c>
    </row>
    <row r="4" spans="1:17">
      <c r="A4" t="s">
        <v>3</v>
      </c>
      <c r="B4">
        <v>0.15</v>
      </c>
      <c r="F4">
        <f>+F3+1</f>
        <v>51</v>
      </c>
      <c r="G4" s="2">
        <f t="shared" ref="G4:G67" si="0">(LN($B$1/$B$2)+($B$3+(P4^2)/2)*$B$5)/P4*SQRT($B$5)</f>
        <v>10.004999999999999</v>
      </c>
      <c r="H4" s="2">
        <f t="shared" ref="H4:H67" si="1">G4-P4*SQRT($B$5)</f>
        <v>9.9949999999999992</v>
      </c>
      <c r="I4" s="2">
        <f t="shared" ref="I4:J67" si="2">_xlfn.NORM.S.DIST(G4,TRUE)</f>
        <v>1</v>
      </c>
      <c r="J4" s="2">
        <f t="shared" si="2"/>
        <v>1</v>
      </c>
      <c r="K4" s="3">
        <f t="shared" ref="K4:L67" si="3">_xlfn.NORM.S.DIST(-G4,TRUE)</f>
        <v>7.2445845650074075E-24</v>
      </c>
      <c r="L4" s="3">
        <f t="shared" ref="L4:L66" si="4">_xlfn.NORM.S.DIST(-H4,TRUE)</f>
        <v>8.0143618675568951E-24</v>
      </c>
      <c r="M4" s="1">
        <f t="shared" ref="M4:M67" si="5">$B$1*I4-$B$2*EXP(-$B$3*$B$5)*J4</f>
        <v>9.5162581964040527</v>
      </c>
      <c r="N4" s="1">
        <f t="shared" ref="N4:N67" si="6">EXP(-$B$3*$B$5)*$B$2*L4-$B$1*K4</f>
        <v>7.1099344386235633E-25</v>
      </c>
      <c r="O4" s="2">
        <f t="shared" ref="O4:O67" si="7">+I4-1</f>
        <v>0</v>
      </c>
      <c r="P4" s="2">
        <f>+P3+0.005</f>
        <v>0.01</v>
      </c>
      <c r="Q4" s="2">
        <f t="shared" ref="Q4:Q67" si="8">$B$1*SQRT($B$5)*_xlfn.NORM.S.DIST(G4,FALSE)</f>
        <v>7.3192371324100548E-21</v>
      </c>
    </row>
    <row r="5" spans="1:17">
      <c r="A5" t="s">
        <v>4</v>
      </c>
      <c r="B5">
        <v>1</v>
      </c>
      <c r="F5">
        <f t="shared" ref="F5:F68" si="9">+F4+1</f>
        <v>52</v>
      </c>
      <c r="G5" s="2">
        <f t="shared" si="0"/>
        <v>6.6741666666666672</v>
      </c>
      <c r="H5" s="2">
        <f t="shared" si="1"/>
        <v>6.6591666666666676</v>
      </c>
      <c r="I5" s="2">
        <f t="shared" si="2"/>
        <v>0.99999999998756794</v>
      </c>
      <c r="J5" s="2">
        <f t="shared" si="2"/>
        <v>0.99999999998623079</v>
      </c>
      <c r="K5" s="3">
        <f t="shared" si="3"/>
        <v>1.2432046125627239E-11</v>
      </c>
      <c r="L5" s="3">
        <f t="shared" si="4"/>
        <v>1.3769225614365155E-11</v>
      </c>
      <c r="M5" s="1">
        <f t="shared" si="5"/>
        <v>9.5162581964067385</v>
      </c>
      <c r="N5" s="1">
        <f t="shared" si="6"/>
        <v>2.686442762952591E-12</v>
      </c>
      <c r="O5" s="2">
        <f t="shared" si="7"/>
        <v>-1.2432055385147578E-11</v>
      </c>
      <c r="P5" s="2">
        <f t="shared" ref="P5:P68" si="10">+P4+0.005</f>
        <v>1.4999999999999999E-2</v>
      </c>
      <c r="Q5" s="2">
        <f t="shared" si="8"/>
        <v>8.4760720641190978E-9</v>
      </c>
    </row>
    <row r="6" spans="1:17">
      <c r="F6">
        <f t="shared" si="9"/>
        <v>53</v>
      </c>
      <c r="G6" s="2">
        <f t="shared" si="0"/>
        <v>5.0100000000000007</v>
      </c>
      <c r="H6" s="2">
        <f t="shared" si="1"/>
        <v>4.9900000000000011</v>
      </c>
      <c r="I6" s="2">
        <f t="shared" si="2"/>
        <v>0.99999972784982272</v>
      </c>
      <c r="J6" s="2">
        <f t="shared" si="2"/>
        <v>0.9999996981035375</v>
      </c>
      <c r="K6" s="3">
        <f t="shared" si="3"/>
        <v>2.7215017728557998E-7</v>
      </c>
      <c r="L6" s="3">
        <f t="shared" si="4"/>
        <v>3.0189646252084622E-7</v>
      </c>
      <c r="M6" s="1">
        <f t="shared" si="5"/>
        <v>9.5162582981078998</v>
      </c>
      <c r="N6" s="1">
        <f t="shared" si="6"/>
        <v>1.0170383759723156E-7</v>
      </c>
      <c r="O6" s="2">
        <f t="shared" si="7"/>
        <v>-2.721501772828816E-7</v>
      </c>
      <c r="P6" s="2">
        <f t="shared" si="10"/>
        <v>0.02</v>
      </c>
      <c r="Q6" s="2">
        <f t="shared" si="8"/>
        <v>1.4141406395949961E-4</v>
      </c>
    </row>
    <row r="7" spans="1:17">
      <c r="A7" t="s">
        <v>5</v>
      </c>
      <c r="B7">
        <f>(LN(B1/B2)+(B3+(B4^2)/2)*B5)/B4*SQRT(B5)</f>
        <v>0.7416666666666667</v>
      </c>
      <c r="F7">
        <f t="shared" si="9"/>
        <v>54</v>
      </c>
      <c r="G7" s="2">
        <f t="shared" si="0"/>
        <v>4.0124999999999993</v>
      </c>
      <c r="H7" s="2">
        <f t="shared" si="1"/>
        <v>3.9874999999999994</v>
      </c>
      <c r="I7" s="2">
        <f t="shared" si="2"/>
        <v>0.99996996046048725</v>
      </c>
      <c r="J7" s="2">
        <f t="shared" si="2"/>
        <v>0.99996661339779636</v>
      </c>
      <c r="K7" s="3">
        <f t="shared" si="3"/>
        <v>3.0039539512783652E-5</v>
      </c>
      <c r="L7" s="3">
        <f t="shared" si="4"/>
        <v>3.3386602203660123E-5</v>
      </c>
      <c r="M7" s="1">
        <f t="shared" si="5"/>
        <v>9.5162751871462632</v>
      </c>
      <c r="N7" s="1">
        <f t="shared" si="6"/>
        <v>1.6990742216984635E-5</v>
      </c>
      <c r="O7" s="2">
        <f t="shared" si="7"/>
        <v>-3.0039539512749514E-5</v>
      </c>
      <c r="P7" s="2">
        <f t="shared" si="10"/>
        <v>2.5000000000000001E-2</v>
      </c>
      <c r="Q7" s="2">
        <f t="shared" si="8"/>
        <v>1.2729330345732185E-2</v>
      </c>
    </row>
    <row r="8" spans="1:17">
      <c r="A8" t="s">
        <v>6</v>
      </c>
      <c r="B8">
        <f>B7-B4*SQRT(B5)</f>
        <v>0.59166666666666667</v>
      </c>
      <c r="F8">
        <f t="shared" si="9"/>
        <v>55</v>
      </c>
      <c r="G8" s="2">
        <f t="shared" si="0"/>
        <v>3.3483333333333336</v>
      </c>
      <c r="H8" s="2">
        <f t="shared" si="1"/>
        <v>3.3183333333333338</v>
      </c>
      <c r="I8" s="2">
        <f t="shared" si="2"/>
        <v>0.99959350418145898</v>
      </c>
      <c r="J8" s="2">
        <f t="shared" si="2"/>
        <v>0.99954721826697956</v>
      </c>
      <c r="K8" s="3">
        <f t="shared" si="3"/>
        <v>4.0649581854107497E-4</v>
      </c>
      <c r="L8" s="3">
        <f t="shared" si="4"/>
        <v>4.5278173302046288E-4</v>
      </c>
      <c r="M8" s="1">
        <f t="shared" si="5"/>
        <v>9.5165779999739613</v>
      </c>
      <c r="N8" s="1">
        <f t="shared" si="6"/>
        <v>3.1980356990077979E-4</v>
      </c>
      <c r="O8" s="2">
        <f t="shared" si="7"/>
        <v>-4.0649581854101946E-4</v>
      </c>
      <c r="P8" s="2">
        <f t="shared" si="10"/>
        <v>3.0000000000000002E-2</v>
      </c>
      <c r="Q8" s="2">
        <f t="shared" si="8"/>
        <v>0.14668961269641931</v>
      </c>
    </row>
    <row r="9" spans="1:17">
      <c r="F9">
        <f t="shared" si="9"/>
        <v>56</v>
      </c>
      <c r="G9" s="2">
        <f t="shared" si="0"/>
        <v>2.8746428571428573</v>
      </c>
      <c r="H9" s="2">
        <f t="shared" si="1"/>
        <v>2.8396428571428571</v>
      </c>
      <c r="I9" s="2">
        <f t="shared" si="2"/>
        <v>0.99797757629360817</v>
      </c>
      <c r="J9" s="2">
        <f t="shared" si="2"/>
        <v>0.99774179663274032</v>
      </c>
      <c r="K9" s="3">
        <f t="shared" si="3"/>
        <v>2.0224237063918597E-3</v>
      </c>
      <c r="L9" s="3">
        <f t="shared" si="4"/>
        <v>2.2582033672596978E-3</v>
      </c>
      <c r="M9" s="1">
        <f t="shared" si="5"/>
        <v>9.5183465161880036</v>
      </c>
      <c r="N9" s="1">
        <f t="shared" si="6"/>
        <v>2.0883197839514922E-3</v>
      </c>
      <c r="O9" s="2">
        <f t="shared" si="7"/>
        <v>-2.0224237063918293E-3</v>
      </c>
      <c r="P9" s="2">
        <f t="shared" si="10"/>
        <v>3.5000000000000003E-2</v>
      </c>
      <c r="Q9" s="2">
        <f t="shared" si="8"/>
        <v>0.64046927746825988</v>
      </c>
    </row>
    <row r="10" spans="1:17">
      <c r="A10" t="s">
        <v>7</v>
      </c>
      <c r="B10">
        <f>_xlfn.NORM.S.DIST(B7,TRUE)</f>
        <v>0.77085533971897768</v>
      </c>
      <c r="F10">
        <f t="shared" si="9"/>
        <v>57</v>
      </c>
      <c r="G10" s="2">
        <f t="shared" si="0"/>
        <v>2.52</v>
      </c>
      <c r="H10" s="2">
        <f t="shared" si="1"/>
        <v>2.48</v>
      </c>
      <c r="I10" s="2">
        <f t="shared" si="2"/>
        <v>0.99413225828466745</v>
      </c>
      <c r="J10" s="2">
        <f t="shared" si="2"/>
        <v>0.99343088086445319</v>
      </c>
      <c r="K10" s="3">
        <f t="shared" si="3"/>
        <v>5.8677417153325615E-3</v>
      </c>
      <c r="L10" s="3">
        <f t="shared" si="4"/>
        <v>6.569119135546763E-3</v>
      </c>
      <c r="M10" s="1">
        <f t="shared" si="5"/>
        <v>9.5238825046086788</v>
      </c>
      <c r="N10" s="1">
        <f t="shared" si="6"/>
        <v>7.6243082046185684E-3</v>
      </c>
      <c r="O10" s="2">
        <f t="shared" si="7"/>
        <v>-5.8677417153325528E-3</v>
      </c>
      <c r="P10" s="2">
        <f t="shared" si="10"/>
        <v>0.04</v>
      </c>
      <c r="Q10" s="2">
        <f t="shared" si="8"/>
        <v>1.6670100837381057</v>
      </c>
    </row>
    <row r="11" spans="1:17">
      <c r="A11" t="s">
        <v>8</v>
      </c>
      <c r="B11">
        <f>_xlfn.NORM.S.DIST(B8,TRUE)</f>
        <v>0.72296308905530626</v>
      </c>
      <c r="F11">
        <f t="shared" si="9"/>
        <v>58</v>
      </c>
      <c r="G11" s="2">
        <f t="shared" si="0"/>
        <v>2.2447222222222223</v>
      </c>
      <c r="H11" s="2">
        <f t="shared" si="1"/>
        <v>2.1997222222222224</v>
      </c>
      <c r="I11" s="2">
        <f t="shared" si="2"/>
        <v>0.98760701473241586</v>
      </c>
      <c r="J11" s="2">
        <f t="shared" si="2"/>
        <v>0.98608669542148553</v>
      </c>
      <c r="K11" s="3">
        <f t="shared" si="3"/>
        <v>1.2392985267584108E-2</v>
      </c>
      <c r="L11" s="3">
        <f t="shared" si="4"/>
        <v>1.391330457851446E-2</v>
      </c>
      <c r="M11" s="1">
        <f t="shared" si="5"/>
        <v>9.5358875287627285</v>
      </c>
      <c r="N11" s="1">
        <f t="shared" si="6"/>
        <v>1.9629332358680918E-2</v>
      </c>
      <c r="O11" s="2">
        <f t="shared" si="7"/>
        <v>-1.2392985267584145E-2</v>
      </c>
      <c r="P11" s="2">
        <f t="shared" si="10"/>
        <v>4.4999999999999998E-2</v>
      </c>
      <c r="Q11" s="2">
        <f t="shared" si="8"/>
        <v>3.2118359648747492</v>
      </c>
    </row>
    <row r="12" spans="1:17">
      <c r="F12">
        <f t="shared" si="9"/>
        <v>59</v>
      </c>
      <c r="G12" s="2">
        <f t="shared" si="0"/>
        <v>2.0250000000000004</v>
      </c>
      <c r="H12" s="2">
        <f t="shared" si="1"/>
        <v>1.9750000000000003</v>
      </c>
      <c r="I12" s="2">
        <f t="shared" si="2"/>
        <v>0.97856631788584703</v>
      </c>
      <c r="J12" s="2">
        <f t="shared" si="2"/>
        <v>0.97586592599527522</v>
      </c>
      <c r="K12" s="3">
        <f t="shared" si="3"/>
        <v>2.1433682114152967E-2</v>
      </c>
      <c r="L12" s="3">
        <f t="shared" si="4"/>
        <v>2.4134074004724736E-2</v>
      </c>
      <c r="M12" s="1">
        <f t="shared" si="5"/>
        <v>9.5566313059011492</v>
      </c>
      <c r="N12" s="1">
        <f t="shared" si="6"/>
        <v>4.0373109497093385E-2</v>
      </c>
      <c r="O12" s="2">
        <f t="shared" si="7"/>
        <v>-2.1433682114152974E-2</v>
      </c>
      <c r="P12" s="2">
        <f t="shared" si="10"/>
        <v>4.9999999999999996E-2</v>
      </c>
      <c r="Q12" s="2">
        <f t="shared" si="8"/>
        <v>5.1341749200769407</v>
      </c>
    </row>
    <row r="13" spans="1:17">
      <c r="A13" t="s">
        <v>11</v>
      </c>
      <c r="B13">
        <f>_xlfn.NORM.S.DIST(-B7,TRUE)</f>
        <v>0.22914466028102232</v>
      </c>
      <c r="F13">
        <f t="shared" si="9"/>
        <v>60</v>
      </c>
      <c r="G13" s="2">
        <f t="shared" si="0"/>
        <v>1.8456818181818184</v>
      </c>
      <c r="H13" s="2">
        <f t="shared" si="1"/>
        <v>1.7906818181818185</v>
      </c>
      <c r="I13" s="2">
        <f t="shared" si="2"/>
        <v>0.96753079064186753</v>
      </c>
      <c r="J13" s="2">
        <f t="shared" si="2"/>
        <v>0.96332781548716995</v>
      </c>
      <c r="K13" s="3">
        <f t="shared" si="3"/>
        <v>3.2469209358132516E-2</v>
      </c>
      <c r="L13" s="3">
        <f t="shared" si="4"/>
        <v>3.6672184512830081E-2</v>
      </c>
      <c r="M13" s="1">
        <f t="shared" si="5"/>
        <v>9.5875737354235469</v>
      </c>
      <c r="N13" s="1">
        <f t="shared" si="6"/>
        <v>7.13155390194955E-2</v>
      </c>
      <c r="O13" s="2">
        <f t="shared" si="7"/>
        <v>-3.2469209358132467E-2</v>
      </c>
      <c r="P13" s="2">
        <f t="shared" si="10"/>
        <v>5.4999999999999993E-2</v>
      </c>
      <c r="Q13" s="2">
        <f t="shared" si="8"/>
        <v>7.264220280514869</v>
      </c>
    </row>
    <row r="14" spans="1:17">
      <c r="A14" t="s">
        <v>12</v>
      </c>
      <c r="B14">
        <f>_xlfn.NORM.S.DIST(-B8,TRUE)</f>
        <v>0.27703691094469374</v>
      </c>
      <c r="F14">
        <f t="shared" si="9"/>
        <v>61</v>
      </c>
      <c r="G14" s="2">
        <f t="shared" si="0"/>
        <v>1.696666666666667</v>
      </c>
      <c r="H14" s="2">
        <f t="shared" si="1"/>
        <v>1.6366666666666669</v>
      </c>
      <c r="I14" s="2">
        <f t="shared" si="2"/>
        <v>0.95512015097843417</v>
      </c>
      <c r="J14" s="2">
        <f t="shared" si="2"/>
        <v>0.94914993125637492</v>
      </c>
      <c r="K14" s="3">
        <f t="shared" si="3"/>
        <v>4.4879849021565776E-2</v>
      </c>
      <c r="L14" s="3">
        <f t="shared" si="4"/>
        <v>5.0850068743625063E-2</v>
      </c>
      <c r="M14" s="1">
        <f t="shared" si="5"/>
        <v>9.6293777851407469</v>
      </c>
      <c r="N14" s="1">
        <f t="shared" si="6"/>
        <v>0.11311958873669692</v>
      </c>
      <c r="O14" s="2">
        <f t="shared" si="7"/>
        <v>-4.4879849021565832E-2</v>
      </c>
      <c r="P14" s="2">
        <f t="shared" si="10"/>
        <v>5.9999999999999991E-2</v>
      </c>
      <c r="Q14" s="2">
        <f t="shared" si="8"/>
        <v>9.4583009552538932</v>
      </c>
    </row>
    <row r="15" spans="1:17">
      <c r="F15">
        <f t="shared" si="9"/>
        <v>62</v>
      </c>
      <c r="G15" s="2">
        <f t="shared" si="0"/>
        <v>1.570961538461539</v>
      </c>
      <c r="H15" s="2">
        <f t="shared" si="1"/>
        <v>1.505961538461539</v>
      </c>
      <c r="I15" s="2">
        <f t="shared" si="2"/>
        <v>0.94190420854703849</v>
      </c>
      <c r="J15" s="2">
        <f t="shared" si="2"/>
        <v>0.93396147629793602</v>
      </c>
      <c r="K15" s="3">
        <f t="shared" si="3"/>
        <v>5.8095791452961495E-2</v>
      </c>
      <c r="L15" s="3">
        <f t="shared" si="4"/>
        <v>6.6038523702064006E-2</v>
      </c>
      <c r="M15" s="1">
        <f t="shared" si="5"/>
        <v>9.6820917788561047</v>
      </c>
      <c r="N15" s="1">
        <f t="shared" si="6"/>
        <v>0.16583358245206092</v>
      </c>
      <c r="O15" s="2">
        <f t="shared" si="7"/>
        <v>-5.8095791452961509E-2</v>
      </c>
      <c r="P15" s="2">
        <f t="shared" si="10"/>
        <v>6.4999999999999988E-2</v>
      </c>
      <c r="Q15" s="2">
        <f t="shared" si="8"/>
        <v>11.614700440217032</v>
      </c>
    </row>
    <row r="16" spans="1:17">
      <c r="A16" t="s">
        <v>9</v>
      </c>
      <c r="B16" s="1">
        <f>B1*B10-B2*EXP(-B3*B5)*B11</f>
        <v>11.669128488287299</v>
      </c>
      <c r="F16">
        <f t="shared" si="9"/>
        <v>63</v>
      </c>
      <c r="G16" s="2">
        <f t="shared" si="0"/>
        <v>1.4635714285714287</v>
      </c>
      <c r="H16" s="2">
        <f t="shared" si="1"/>
        <v>1.3935714285714287</v>
      </c>
      <c r="I16" s="2">
        <f t="shared" si="2"/>
        <v>0.92834445805422794</v>
      </c>
      <c r="J16" s="2">
        <f t="shared" si="2"/>
        <v>0.91827646930795848</v>
      </c>
      <c r="K16" s="3">
        <f t="shared" si="3"/>
        <v>7.1655541945772061E-2</v>
      </c>
      <c r="L16" s="3">
        <f t="shared" si="4"/>
        <v>8.1723530692041524E-2</v>
      </c>
      <c r="M16" s="1">
        <f t="shared" si="5"/>
        <v>9.7453548522437785</v>
      </c>
      <c r="N16" s="1">
        <f t="shared" si="6"/>
        <v>0.2290966558397276</v>
      </c>
      <c r="O16" s="2">
        <f t="shared" si="7"/>
        <v>-7.1655541945772061E-2</v>
      </c>
      <c r="P16" s="2">
        <f t="shared" si="10"/>
        <v>6.9999999999999993E-2</v>
      </c>
      <c r="Q16" s="2">
        <f t="shared" si="8"/>
        <v>13.670100321521533</v>
      </c>
    </row>
    <row r="17" spans="1:17">
      <c r="A17" t="s">
        <v>10</v>
      </c>
      <c r="B17" s="1">
        <f>EXP(-B3*B5)*B2*B14-B1*B13</f>
        <v>2.1528702918832394</v>
      </c>
      <c r="F17">
        <f t="shared" si="9"/>
        <v>64</v>
      </c>
      <c r="G17" s="2">
        <f t="shared" si="0"/>
        <v>1.3708333333333333</v>
      </c>
      <c r="H17" s="2">
        <f t="shared" si="1"/>
        <v>1.2958333333333334</v>
      </c>
      <c r="I17" s="2">
        <f t="shared" si="2"/>
        <v>0.91478654135796167</v>
      </c>
      <c r="J17" s="2">
        <f t="shared" si="2"/>
        <v>0.90248354434531219</v>
      </c>
      <c r="K17" s="3">
        <f t="shared" si="3"/>
        <v>8.5213458642038359E-2</v>
      </c>
      <c r="L17" s="3">
        <f t="shared" si="4"/>
        <v>9.7516455654687834E-2</v>
      </c>
      <c r="M17" s="1">
        <f t="shared" si="5"/>
        <v>9.8185661272607945</v>
      </c>
      <c r="N17" s="1">
        <f t="shared" si="6"/>
        <v>0.30230793085675245</v>
      </c>
      <c r="O17" s="2">
        <f t="shared" si="7"/>
        <v>-8.5213458642038331E-2</v>
      </c>
      <c r="P17" s="2">
        <f t="shared" si="10"/>
        <v>7.4999999999999997E-2</v>
      </c>
      <c r="Q17" s="2">
        <f t="shared" si="8"/>
        <v>15.59015521208196</v>
      </c>
    </row>
    <row r="18" spans="1:17">
      <c r="F18">
        <f t="shared" si="9"/>
        <v>65</v>
      </c>
      <c r="G18" s="2">
        <f t="shared" si="0"/>
        <v>1.29</v>
      </c>
      <c r="H18" s="2">
        <f t="shared" si="1"/>
        <v>1.21</v>
      </c>
      <c r="I18" s="2">
        <f t="shared" si="2"/>
        <v>0.90147467095025213</v>
      </c>
      <c r="J18" s="2">
        <f t="shared" si="2"/>
        <v>0.88686055355602278</v>
      </c>
      <c r="K18" s="3">
        <f t="shared" si="3"/>
        <v>9.8525329049747812E-2</v>
      </c>
      <c r="L18" s="3">
        <f t="shared" si="4"/>
        <v>0.11313944644397728</v>
      </c>
      <c r="M18" s="1">
        <f t="shared" si="5"/>
        <v>9.90100575126786</v>
      </c>
      <c r="N18" s="1">
        <f t="shared" si="6"/>
        <v>0.38474755486383039</v>
      </c>
      <c r="O18" s="2">
        <f t="shared" si="7"/>
        <v>-9.8525329049747867E-2</v>
      </c>
      <c r="P18" s="2">
        <f t="shared" si="10"/>
        <v>0.08</v>
      </c>
      <c r="Q18" s="2">
        <f t="shared" si="8"/>
        <v>17.360224701503299</v>
      </c>
    </row>
    <row r="19" spans="1:17">
      <c r="A19" t="s">
        <v>13</v>
      </c>
      <c r="B19" s="2">
        <f>B10</f>
        <v>0.77085533971897768</v>
      </c>
      <c r="F19">
        <f t="shared" si="9"/>
        <v>66</v>
      </c>
      <c r="G19" s="2">
        <f t="shared" si="0"/>
        <v>1.2189705882352941</v>
      </c>
      <c r="H19" s="2">
        <f t="shared" si="1"/>
        <v>1.1339705882352942</v>
      </c>
      <c r="I19" s="2">
        <f t="shared" si="2"/>
        <v>0.88857232205589276</v>
      </c>
      <c r="J19" s="2">
        <f t="shared" si="2"/>
        <v>0.87159655725437357</v>
      </c>
      <c r="K19" s="3">
        <f t="shared" si="3"/>
        <v>0.11142767794410728</v>
      </c>
      <c r="L19" s="3">
        <f t="shared" si="4"/>
        <v>0.12840344274562643</v>
      </c>
      <c r="M19" s="1">
        <f t="shared" si="5"/>
        <v>9.9919143620814026</v>
      </c>
      <c r="N19" s="1">
        <f t="shared" si="6"/>
        <v>0.47565616567734814</v>
      </c>
      <c r="O19" s="2">
        <f t="shared" si="7"/>
        <v>-0.11142767794410724</v>
      </c>
      <c r="P19" s="2">
        <f t="shared" si="10"/>
        <v>8.5000000000000006E-2</v>
      </c>
      <c r="Q19" s="2">
        <f t="shared" si="8"/>
        <v>18.978125098463565</v>
      </c>
    </row>
    <row r="20" spans="1:17">
      <c r="A20" t="s">
        <v>14</v>
      </c>
      <c r="B20" s="2">
        <f>+B19-1</f>
        <v>-0.22914466028102232</v>
      </c>
      <c r="F20">
        <f t="shared" si="9"/>
        <v>67</v>
      </c>
      <c r="G20" s="2">
        <f t="shared" si="0"/>
        <v>1.1561111111111111</v>
      </c>
      <c r="H20" s="2">
        <f t="shared" si="1"/>
        <v>1.066111111111111</v>
      </c>
      <c r="I20" s="2">
        <f t="shared" si="2"/>
        <v>0.87618214410494077</v>
      </c>
      <c r="J20" s="2">
        <f t="shared" si="2"/>
        <v>0.8568132912759443</v>
      </c>
      <c r="K20" s="3">
        <f t="shared" si="3"/>
        <v>0.12381785589505925</v>
      </c>
      <c r="L20" s="3">
        <f t="shared" si="4"/>
        <v>0.14318670872405567</v>
      </c>
      <c r="M20" s="1">
        <f t="shared" si="5"/>
        <v>10.090541788792279</v>
      </c>
      <c r="N20" s="1">
        <f t="shared" si="6"/>
        <v>0.57428359238822679</v>
      </c>
      <c r="O20" s="2">
        <f t="shared" si="7"/>
        <v>-0.12381785589505923</v>
      </c>
      <c r="P20" s="2">
        <f t="shared" si="10"/>
        <v>9.0000000000000011E-2</v>
      </c>
      <c r="Q20" s="2">
        <f t="shared" si="8"/>
        <v>20.449024960646554</v>
      </c>
    </row>
    <row r="21" spans="1:17">
      <c r="F21">
        <f t="shared" si="9"/>
        <v>68</v>
      </c>
      <c r="G21" s="2">
        <f t="shared" si="0"/>
        <v>1.1001315789473682</v>
      </c>
      <c r="H21" s="2">
        <f t="shared" si="1"/>
        <v>1.0051315789473683</v>
      </c>
      <c r="I21" s="2">
        <f t="shared" si="2"/>
        <v>0.86436260173934709</v>
      </c>
      <c r="J21" s="2">
        <f t="shared" si="2"/>
        <v>0.84258325203838846</v>
      </c>
      <c r="K21" s="3">
        <f t="shared" si="3"/>
        <v>0.13563739826065291</v>
      </c>
      <c r="L21" s="3">
        <f t="shared" si="4"/>
        <v>0.15741674796161156</v>
      </c>
      <c r="M21" s="1">
        <f t="shared" si="5"/>
        <v>10.196174748458958</v>
      </c>
      <c r="N21" s="1">
        <f t="shared" si="6"/>
        <v>0.67991655205490886</v>
      </c>
      <c r="O21" s="2">
        <f t="shared" si="7"/>
        <v>-0.13563739826065291</v>
      </c>
      <c r="P21" s="2">
        <f t="shared" si="10"/>
        <v>9.5000000000000015E-2</v>
      </c>
      <c r="Q21" s="2">
        <f t="shared" si="8"/>
        <v>21.782064619259032</v>
      </c>
    </row>
    <row r="22" spans="1:17">
      <c r="F22">
        <f t="shared" si="9"/>
        <v>69</v>
      </c>
      <c r="G22" s="2">
        <f t="shared" si="0"/>
        <v>1.0499999999999998</v>
      </c>
      <c r="H22" s="2">
        <f t="shared" si="1"/>
        <v>0.94999999999999984</v>
      </c>
      <c r="I22" s="2">
        <f t="shared" si="2"/>
        <v>0.85314094362410409</v>
      </c>
      <c r="J22" s="2">
        <f t="shared" si="2"/>
        <v>0.82894387369151812</v>
      </c>
      <c r="K22" s="3">
        <f t="shared" si="3"/>
        <v>0.14685905637589594</v>
      </c>
      <c r="L22" s="3">
        <f t="shared" si="4"/>
        <v>0.17105612630848185</v>
      </c>
      <c r="M22" s="1">
        <f t="shared" si="5"/>
        <v>10.308150925634436</v>
      </c>
      <c r="N22" s="1">
        <f t="shared" si="6"/>
        <v>0.79189272923037457</v>
      </c>
      <c r="O22" s="2">
        <f t="shared" si="7"/>
        <v>-0.14685905637589591</v>
      </c>
      <c r="P22" s="2">
        <f t="shared" si="10"/>
        <v>0.10000000000000002</v>
      </c>
      <c r="Q22" s="2">
        <f t="shared" si="8"/>
        <v>22.988214068423311</v>
      </c>
    </row>
    <row r="23" spans="1:17">
      <c r="F23">
        <f t="shared" si="9"/>
        <v>70</v>
      </c>
      <c r="G23" s="2">
        <f t="shared" si="0"/>
        <v>1.0048809523809523</v>
      </c>
      <c r="H23" s="2">
        <f t="shared" si="1"/>
        <v>0.89988095238095234</v>
      </c>
      <c r="I23" s="2">
        <f t="shared" si="2"/>
        <v>0.84252291134543034</v>
      </c>
      <c r="J23" s="2">
        <f t="shared" si="2"/>
        <v>0.81590819614081833</v>
      </c>
      <c r="K23" s="3">
        <f t="shared" si="3"/>
        <v>0.15747708865456969</v>
      </c>
      <c r="L23" s="3">
        <f t="shared" si="4"/>
        <v>0.18409180385918167</v>
      </c>
      <c r="M23" s="1">
        <f t="shared" si="5"/>
        <v>10.425864579499503</v>
      </c>
      <c r="N23" s="1">
        <f t="shared" si="6"/>
        <v>0.90960638309545239</v>
      </c>
      <c r="O23" s="2">
        <f t="shared" si="7"/>
        <v>-0.15747708865456966</v>
      </c>
      <c r="P23" s="2">
        <f t="shared" si="10"/>
        <v>0.10500000000000002</v>
      </c>
      <c r="Q23" s="2">
        <f t="shared" si="8"/>
        <v>24.078968630267582</v>
      </c>
    </row>
    <row r="24" spans="1:17">
      <c r="F24">
        <f t="shared" si="9"/>
        <v>71</v>
      </c>
      <c r="G24" s="2">
        <f t="shared" si="0"/>
        <v>0.96409090909090889</v>
      </c>
      <c r="H24" s="2">
        <f t="shared" si="1"/>
        <v>0.8540909090909089</v>
      </c>
      <c r="I24" s="2">
        <f t="shared" si="2"/>
        <v>0.83249982496302299</v>
      </c>
      <c r="J24" s="2">
        <f t="shared" si="2"/>
        <v>0.80347268970495178</v>
      </c>
      <c r="K24" s="3">
        <f t="shared" si="3"/>
        <v>0.16750017503697698</v>
      </c>
      <c r="L24" s="3">
        <f t="shared" si="4"/>
        <v>0.19652731029504827</v>
      </c>
      <c r="M24" s="1">
        <f t="shared" si="5"/>
        <v>10.548767094798677</v>
      </c>
      <c r="N24" s="1">
        <f t="shared" si="6"/>
        <v>1.0325088983946351</v>
      </c>
      <c r="O24" s="2">
        <f t="shared" si="7"/>
        <v>-0.16750017503697701</v>
      </c>
      <c r="P24" s="2">
        <f t="shared" si="10"/>
        <v>0.11000000000000003</v>
      </c>
      <c r="Q24" s="2">
        <f t="shared" si="8"/>
        <v>25.065590577761736</v>
      </c>
    </row>
    <row r="25" spans="1:17">
      <c r="F25">
        <f t="shared" si="9"/>
        <v>72</v>
      </c>
      <c r="G25" s="2">
        <f t="shared" si="0"/>
        <v>0.92706521739130421</v>
      </c>
      <c r="H25" s="2">
        <f t="shared" si="1"/>
        <v>0.81206521739130422</v>
      </c>
      <c r="I25" s="2">
        <f t="shared" si="2"/>
        <v>0.8230536629553038</v>
      </c>
      <c r="J25" s="2">
        <f t="shared" si="2"/>
        <v>0.79162289483373982</v>
      </c>
      <c r="K25" s="3">
        <f t="shared" si="3"/>
        <v>0.17694633704469614</v>
      </c>
      <c r="L25" s="3">
        <f t="shared" si="4"/>
        <v>0.20837710516626015</v>
      </c>
      <c r="M25" s="1">
        <f t="shared" si="5"/>
        <v>10.676364673579073</v>
      </c>
      <c r="N25" s="1">
        <f t="shared" si="6"/>
        <v>1.1601064771750309</v>
      </c>
      <c r="O25" s="2">
        <f t="shared" si="7"/>
        <v>-0.1769463370446962</v>
      </c>
      <c r="P25" s="2">
        <f t="shared" si="10"/>
        <v>0.11500000000000003</v>
      </c>
      <c r="Q25" s="2">
        <f t="shared" si="8"/>
        <v>25.958696900392159</v>
      </c>
    </row>
    <row r="26" spans="1:17">
      <c r="F26">
        <f t="shared" si="9"/>
        <v>73</v>
      </c>
      <c r="G26" s="2">
        <f t="shared" si="0"/>
        <v>0.89333333333333309</v>
      </c>
      <c r="H26" s="2">
        <f t="shared" si="1"/>
        <v>0.7733333333333331</v>
      </c>
      <c r="I26" s="2">
        <f t="shared" si="2"/>
        <v>0.81416065382205305</v>
      </c>
      <c r="J26" s="2">
        <f t="shared" si="2"/>
        <v>0.78033743333170702</v>
      </c>
      <c r="K26" s="3">
        <f t="shared" si="3"/>
        <v>0.18583934617794698</v>
      </c>
      <c r="L26" s="3">
        <f t="shared" si="4"/>
        <v>0.21966256666829292</v>
      </c>
      <c r="M26" s="1">
        <f t="shared" si="5"/>
        <v>10.808214544938366</v>
      </c>
      <c r="N26" s="1">
        <f t="shared" si="6"/>
        <v>1.2919563485343026</v>
      </c>
      <c r="O26" s="2">
        <f t="shared" si="7"/>
        <v>-0.18583934617794695</v>
      </c>
      <c r="P26" s="2">
        <f t="shared" si="10"/>
        <v>0.12000000000000004</v>
      </c>
      <c r="Q26" s="2">
        <f t="shared" si="8"/>
        <v>26.768061200196154</v>
      </c>
    </row>
    <row r="27" spans="1:17">
      <c r="F27">
        <f t="shared" si="9"/>
        <v>74</v>
      </c>
      <c r="G27" s="2">
        <f t="shared" si="0"/>
        <v>0.86249999999999982</v>
      </c>
      <c r="H27" s="2">
        <f t="shared" si="1"/>
        <v>0.73749999999999982</v>
      </c>
      <c r="I27" s="2">
        <f t="shared" si="2"/>
        <v>0.80579378345600428</v>
      </c>
      <c r="J27" s="2">
        <f t="shared" si="2"/>
        <v>0.76959082839642656</v>
      </c>
      <c r="K27" s="3">
        <f t="shared" si="3"/>
        <v>0.19420621654399575</v>
      </c>
      <c r="L27" s="3">
        <f t="shared" si="4"/>
        <v>0.23040917160357349</v>
      </c>
      <c r="M27" s="1">
        <f t="shared" si="5"/>
        <v>10.94392053456265</v>
      </c>
      <c r="N27" s="1">
        <f t="shared" si="6"/>
        <v>1.4276623381586013</v>
      </c>
      <c r="O27" s="2">
        <f t="shared" si="7"/>
        <v>-0.19420621654399572</v>
      </c>
      <c r="P27" s="2">
        <f t="shared" si="10"/>
        <v>0.12500000000000003</v>
      </c>
      <c r="Q27" s="2">
        <f t="shared" si="8"/>
        <v>27.502544503260427</v>
      </c>
    </row>
    <row r="28" spans="1:17">
      <c r="F28">
        <f t="shared" si="9"/>
        <v>75</v>
      </c>
      <c r="G28" s="2">
        <f t="shared" si="0"/>
        <v>0.83423076923076911</v>
      </c>
      <c r="H28" s="2">
        <f t="shared" si="1"/>
        <v>0.7042307692307691</v>
      </c>
      <c r="I28" s="2">
        <f t="shared" si="2"/>
        <v>0.79792452225900945</v>
      </c>
      <c r="J28" s="2">
        <f t="shared" si="2"/>
        <v>0.75935546390155406</v>
      </c>
      <c r="K28" s="3">
        <f t="shared" si="3"/>
        <v>0.20207547774099055</v>
      </c>
      <c r="L28" s="3">
        <f t="shared" si="4"/>
        <v>0.24064453609844599</v>
      </c>
      <c r="M28" s="1">
        <f t="shared" si="5"/>
        <v>11.08312849308291</v>
      </c>
      <c r="N28" s="1">
        <f t="shared" si="6"/>
        <v>1.5668702966788572</v>
      </c>
      <c r="O28" s="2">
        <f t="shared" si="7"/>
        <v>-0.20207547774099055</v>
      </c>
      <c r="P28" s="2">
        <f t="shared" si="10"/>
        <v>0.13000000000000003</v>
      </c>
      <c r="Q28" s="2">
        <f t="shared" si="8"/>
        <v>28.170100925669601</v>
      </c>
    </row>
    <row r="29" spans="1:17">
      <c r="F29">
        <f t="shared" si="9"/>
        <v>76</v>
      </c>
      <c r="G29" s="2">
        <f t="shared" si="0"/>
        <v>0.80824074074074059</v>
      </c>
      <c r="H29" s="2">
        <f t="shared" si="1"/>
        <v>0.67324074074074058</v>
      </c>
      <c r="I29" s="2">
        <f t="shared" si="2"/>
        <v>0.79052399561650943</v>
      </c>
      <c r="J29" s="2">
        <f t="shared" si="2"/>
        <v>0.74960292692680552</v>
      </c>
      <c r="K29" s="3">
        <f t="shared" si="3"/>
        <v>0.20947600438349059</v>
      </c>
      <c r="L29" s="3">
        <f t="shared" si="4"/>
        <v>0.25039707307319448</v>
      </c>
      <c r="M29" s="1">
        <f t="shared" si="5"/>
        <v>11.225521866386075</v>
      </c>
      <c r="N29" s="1">
        <f t="shared" si="6"/>
        <v>1.7092636699820147</v>
      </c>
      <c r="O29" s="2">
        <f t="shared" si="7"/>
        <v>-0.20947600438349057</v>
      </c>
      <c r="P29" s="2">
        <f t="shared" si="10"/>
        <v>0.13500000000000004</v>
      </c>
      <c r="Q29" s="2">
        <f t="shared" si="8"/>
        <v>28.777824424392719</v>
      </c>
    </row>
    <row r="30" spans="1:17">
      <c r="F30">
        <f t="shared" si="9"/>
        <v>77</v>
      </c>
      <c r="G30" s="2">
        <f t="shared" si="0"/>
        <v>0.78428571428571414</v>
      </c>
      <c r="H30" s="2">
        <f t="shared" si="1"/>
        <v>0.64428571428571413</v>
      </c>
      <c r="I30" s="2">
        <f t="shared" si="2"/>
        <v>0.7835637599954709</v>
      </c>
      <c r="J30" s="2">
        <f t="shared" si="2"/>
        <v>0.74030491121574782</v>
      </c>
      <c r="K30" s="3">
        <f t="shared" si="3"/>
        <v>0.21643624000452907</v>
      </c>
      <c r="L30" s="3">
        <f t="shared" si="4"/>
        <v>0.25969508878425218</v>
      </c>
      <c r="M30" s="1">
        <f t="shared" si="5"/>
        <v>11.370817557167342</v>
      </c>
      <c r="N30" s="1">
        <f t="shared" si="6"/>
        <v>1.8545593607632931</v>
      </c>
      <c r="O30" s="2">
        <f t="shared" si="7"/>
        <v>-0.2164362400045291</v>
      </c>
      <c r="P30" s="2">
        <f t="shared" si="10"/>
        <v>0.14000000000000004</v>
      </c>
      <c r="Q30" s="2">
        <f t="shared" si="8"/>
        <v>29.332015890191137</v>
      </c>
    </row>
    <row r="31" spans="1:17">
      <c r="F31">
        <f t="shared" si="9"/>
        <v>78</v>
      </c>
      <c r="G31" s="2">
        <f t="shared" si="0"/>
        <v>0.76215517241379294</v>
      </c>
      <c r="H31" s="2">
        <f t="shared" si="1"/>
        <v>0.61715517241379292</v>
      </c>
      <c r="I31" s="2">
        <f t="shared" si="2"/>
        <v>0.77701630140309508</v>
      </c>
      <c r="J31" s="2">
        <f t="shared" si="2"/>
        <v>0.73143380982644568</v>
      </c>
      <c r="K31" s="3">
        <f t="shared" si="3"/>
        <v>0.22298369859690495</v>
      </c>
      <c r="L31" s="3">
        <f t="shared" si="4"/>
        <v>0.26856619017355426</v>
      </c>
      <c r="M31" s="1">
        <f t="shared" si="5"/>
        <v>11.518762145552898</v>
      </c>
      <c r="N31" s="1">
        <f t="shared" si="6"/>
        <v>2.002503949148835</v>
      </c>
      <c r="O31" s="2">
        <f t="shared" si="7"/>
        <v>-0.22298369859690492</v>
      </c>
      <c r="P31" s="2">
        <f t="shared" si="10"/>
        <v>0.14500000000000005</v>
      </c>
      <c r="Q31" s="2">
        <f t="shared" si="8"/>
        <v>29.838258111877291</v>
      </c>
    </row>
    <row r="32" spans="1:17">
      <c r="F32">
        <f t="shared" si="9"/>
        <v>79</v>
      </c>
      <c r="G32" s="2">
        <f t="shared" si="0"/>
        <v>0.74166666666666647</v>
      </c>
      <c r="H32" s="2">
        <f t="shared" si="1"/>
        <v>0.59166666666666645</v>
      </c>
      <c r="I32" s="2">
        <f t="shared" si="2"/>
        <v>0.77085533971897768</v>
      </c>
      <c r="J32" s="2">
        <f t="shared" si="2"/>
        <v>0.72296308905530615</v>
      </c>
      <c r="K32" s="3">
        <f t="shared" si="3"/>
        <v>0.22914466028102232</v>
      </c>
      <c r="L32" s="3">
        <f t="shared" si="4"/>
        <v>0.27703691094469385</v>
      </c>
      <c r="M32" s="1">
        <f t="shared" si="5"/>
        <v>11.669128488287313</v>
      </c>
      <c r="N32" s="1">
        <f t="shared" si="6"/>
        <v>2.1528702918832501</v>
      </c>
      <c r="O32" s="2">
        <f t="shared" si="7"/>
        <v>-0.22914466028102232</v>
      </c>
      <c r="P32" s="2">
        <f t="shared" si="10"/>
        <v>0.15000000000000005</v>
      </c>
      <c r="Q32" s="2">
        <f t="shared" si="8"/>
        <v>30.301491343490163</v>
      </c>
    </row>
    <row r="33" spans="6:17">
      <c r="F33">
        <f t="shared" si="9"/>
        <v>80</v>
      </c>
      <c r="G33" s="2">
        <f t="shared" si="0"/>
        <v>0.72266129032258053</v>
      </c>
      <c r="H33" s="2">
        <f t="shared" si="1"/>
        <v>0.5676612903225805</v>
      </c>
      <c r="I33" s="2">
        <f t="shared" si="2"/>
        <v>0.76505599841182037</v>
      </c>
      <c r="J33" s="2">
        <f t="shared" si="2"/>
        <v>0.71486750949366928</v>
      </c>
      <c r="K33" s="3">
        <f t="shared" si="3"/>
        <v>0.23494400158817969</v>
      </c>
      <c r="L33" s="3">
        <f t="shared" si="4"/>
        <v>0.28513249050633072</v>
      </c>
      <c r="M33" s="1">
        <f t="shared" si="5"/>
        <v>11.82171268837719</v>
      </c>
      <c r="N33" s="1">
        <f t="shared" si="6"/>
        <v>2.3054544919731335</v>
      </c>
      <c r="O33" s="2">
        <f t="shared" si="7"/>
        <v>-0.23494400158817963</v>
      </c>
      <c r="P33" s="2">
        <f t="shared" si="10"/>
        <v>0.15500000000000005</v>
      </c>
      <c r="Q33" s="2">
        <f t="shared" si="8"/>
        <v>30.726085443274627</v>
      </c>
    </row>
    <row r="34" spans="6:17">
      <c r="F34">
        <f t="shared" si="9"/>
        <v>81</v>
      </c>
      <c r="G34" s="2">
        <f t="shared" si="0"/>
        <v>0.70499999999999985</v>
      </c>
      <c r="H34" s="2">
        <f t="shared" si="1"/>
        <v>0.54499999999999982</v>
      </c>
      <c r="I34" s="2">
        <f t="shared" si="2"/>
        <v>0.75959488191843549</v>
      </c>
      <c r="J34" s="2">
        <f t="shared" si="2"/>
        <v>0.7071232411941949</v>
      </c>
      <c r="K34" s="3">
        <f t="shared" si="3"/>
        <v>0.24040511808156456</v>
      </c>
      <c r="L34" s="3">
        <f t="shared" si="4"/>
        <v>0.2928767588058051</v>
      </c>
      <c r="M34" s="1">
        <f t="shared" si="5"/>
        <v>11.976331412306116</v>
      </c>
      <c r="N34" s="1">
        <f t="shared" si="6"/>
        <v>2.4600732159020602</v>
      </c>
      <c r="O34" s="2">
        <f t="shared" si="7"/>
        <v>-0.24040511808156451</v>
      </c>
      <c r="P34" s="2">
        <f t="shared" si="10"/>
        <v>0.16000000000000006</v>
      </c>
      <c r="Q34" s="2">
        <f t="shared" si="8"/>
        <v>31.115906541332894</v>
      </c>
    </row>
    <row r="35" spans="6:17">
      <c r="F35">
        <f t="shared" si="9"/>
        <v>82</v>
      </c>
      <c r="G35" s="2">
        <f t="shared" si="0"/>
        <v>0.68856060606060587</v>
      </c>
      <c r="H35" s="2">
        <f t="shared" si="1"/>
        <v>0.52356060606060584</v>
      </c>
      <c r="I35" s="2">
        <f t="shared" si="2"/>
        <v>0.75445009063359958</v>
      </c>
      <c r="J35" s="2">
        <f t="shared" si="2"/>
        <v>0.69970790637518021</v>
      </c>
      <c r="K35" s="3">
        <f t="shared" si="3"/>
        <v>0.24554990936640037</v>
      </c>
      <c r="L35" s="3">
        <f t="shared" si="4"/>
        <v>0.30029209362481979</v>
      </c>
      <c r="M35" s="1">
        <f t="shared" si="5"/>
        <v>12.13281952497347</v>
      </c>
      <c r="N35" s="1">
        <f t="shared" si="6"/>
        <v>2.6165613285694178</v>
      </c>
      <c r="O35" s="2">
        <f t="shared" si="7"/>
        <v>-0.24554990936640042</v>
      </c>
      <c r="P35" s="2">
        <f t="shared" si="10"/>
        <v>0.16500000000000006</v>
      </c>
      <c r="Q35" s="2">
        <f t="shared" si="8"/>
        <v>31.474377391117024</v>
      </c>
    </row>
    <row r="36" spans="6:17">
      <c r="F36">
        <f t="shared" si="9"/>
        <v>83</v>
      </c>
      <c r="G36" s="2">
        <f t="shared" si="0"/>
        <v>0.67323529411764693</v>
      </c>
      <c r="H36" s="2">
        <f t="shared" si="1"/>
        <v>0.50323529411764689</v>
      </c>
      <c r="I36" s="2">
        <f t="shared" si="2"/>
        <v>0.7496011946570369</v>
      </c>
      <c r="J36" s="2">
        <f t="shared" si="2"/>
        <v>0.6926005733884173</v>
      </c>
      <c r="K36" s="3">
        <f t="shared" si="3"/>
        <v>0.25039880534296305</v>
      </c>
      <c r="L36" s="3">
        <f t="shared" si="4"/>
        <v>0.3073994266115827</v>
      </c>
      <c r="M36" s="1">
        <f t="shared" si="5"/>
        <v>12.291028010203625</v>
      </c>
      <c r="N36" s="1">
        <f t="shared" si="6"/>
        <v>2.7747698137995869</v>
      </c>
      <c r="O36" s="2">
        <f t="shared" si="7"/>
        <v>-0.2503988053429631</v>
      </c>
      <c r="P36" s="2">
        <f t="shared" si="10"/>
        <v>0.17000000000000007</v>
      </c>
      <c r="Q36" s="2">
        <f t="shared" si="8"/>
        <v>31.804531262312363</v>
      </c>
    </row>
    <row r="37" spans="6:17">
      <c r="F37">
        <f t="shared" si="9"/>
        <v>84</v>
      </c>
      <c r="G37" s="2">
        <f t="shared" si="0"/>
        <v>0.6589285714285712</v>
      </c>
      <c r="H37" s="2">
        <f t="shared" si="1"/>
        <v>0.48392857142857115</v>
      </c>
      <c r="I37" s="2">
        <f t="shared" si="2"/>
        <v>0.74502918116719763</v>
      </c>
      <c r="J37" s="2">
        <f t="shared" si="2"/>
        <v>0.68578171873536808</v>
      </c>
      <c r="K37" s="3">
        <f t="shared" si="3"/>
        <v>0.25497081883280237</v>
      </c>
      <c r="L37" s="3">
        <f t="shared" si="4"/>
        <v>0.31421828126463186</v>
      </c>
      <c r="M37" s="1">
        <f t="shared" si="5"/>
        <v>12.450822145042466</v>
      </c>
      <c r="N37" s="1">
        <f t="shared" si="6"/>
        <v>2.9345639486384023</v>
      </c>
      <c r="O37" s="2">
        <f t="shared" si="7"/>
        <v>-0.25497081883280237</v>
      </c>
      <c r="P37" s="2">
        <f t="shared" si="10"/>
        <v>0.17500000000000007</v>
      </c>
      <c r="Q37" s="2">
        <f t="shared" si="8"/>
        <v>32.10905962616723</v>
      </c>
    </row>
    <row r="38" spans="6:17">
      <c r="F38">
        <f t="shared" si="9"/>
        <v>85</v>
      </c>
      <c r="G38" s="2">
        <f t="shared" si="0"/>
        <v>0.64555555555555544</v>
      </c>
      <c r="H38" s="2">
        <f t="shared" si="1"/>
        <v>0.46555555555555539</v>
      </c>
      <c r="I38" s="2">
        <f t="shared" si="2"/>
        <v>0.74071638581958554</v>
      </c>
      <c r="J38" s="2">
        <f t="shared" si="2"/>
        <v>0.67923316895403785</v>
      </c>
      <c r="K38" s="3">
        <f t="shared" si="3"/>
        <v>0.2592836141804144</v>
      </c>
      <c r="L38" s="3">
        <f t="shared" si="4"/>
        <v>0.32076683104596221</v>
      </c>
      <c r="M38" s="1">
        <f t="shared" si="5"/>
        <v>12.612079897883127</v>
      </c>
      <c r="N38" s="1">
        <f t="shared" si="6"/>
        <v>3.095821701479089</v>
      </c>
      <c r="O38" s="2">
        <f t="shared" si="7"/>
        <v>-0.25928361418041446</v>
      </c>
      <c r="P38" s="2">
        <f t="shared" si="10"/>
        <v>0.18000000000000008</v>
      </c>
      <c r="Q38" s="2">
        <f t="shared" si="8"/>
        <v>32.390354087661827</v>
      </c>
    </row>
    <row r="39" spans="6:17">
      <c r="F39">
        <f t="shared" si="9"/>
        <v>86</v>
      </c>
      <c r="G39" s="2">
        <f t="shared" si="0"/>
        <v>0.63304054054054038</v>
      </c>
      <c r="H39" s="2">
        <f t="shared" si="1"/>
        <v>0.44804054054054032</v>
      </c>
      <c r="I39" s="2">
        <f t="shared" si="2"/>
        <v>0.73664641538388587</v>
      </c>
      <c r="J39" s="2">
        <f t="shared" si="2"/>
        <v>0.67293803065266478</v>
      </c>
      <c r="K39" s="3">
        <f t="shared" si="3"/>
        <v>0.26335358461611413</v>
      </c>
      <c r="L39" s="3">
        <f t="shared" si="4"/>
        <v>0.32706196934733522</v>
      </c>
      <c r="M39" s="1">
        <f t="shared" si="5"/>
        <v>12.774690522992536</v>
      </c>
      <c r="N39" s="1">
        <f t="shared" si="6"/>
        <v>3.2584323265884798</v>
      </c>
      <c r="O39" s="2">
        <f t="shared" si="7"/>
        <v>-0.26335358461611413</v>
      </c>
      <c r="P39" s="2">
        <f t="shared" si="10"/>
        <v>0.18500000000000008</v>
      </c>
      <c r="Q39" s="2">
        <f t="shared" si="8"/>
        <v>32.650543107132677</v>
      </c>
    </row>
    <row r="40" spans="6:17">
      <c r="F40">
        <f t="shared" si="9"/>
        <v>87</v>
      </c>
      <c r="G40" s="2">
        <f t="shared" si="0"/>
        <v>0.62131578947368404</v>
      </c>
      <c r="H40" s="2">
        <f t="shared" si="1"/>
        <v>0.43131578947368399</v>
      </c>
      <c r="I40" s="2">
        <f t="shared" si="2"/>
        <v>0.73280406657041552</v>
      </c>
      <c r="J40" s="2">
        <f t="shared" si="2"/>
        <v>0.66688061443376301</v>
      </c>
      <c r="K40" s="3">
        <f t="shared" si="3"/>
        <v>0.26719593342958448</v>
      </c>
      <c r="L40" s="3">
        <f t="shared" si="4"/>
        <v>0.33311938556623699</v>
      </c>
      <c r="M40" s="1">
        <f t="shared" si="5"/>
        <v>12.938553326793517</v>
      </c>
      <c r="N40" s="1">
        <f t="shared" si="6"/>
        <v>3.4222951303894682</v>
      </c>
      <c r="O40" s="2">
        <f t="shared" si="7"/>
        <v>-0.26719593342958448</v>
      </c>
      <c r="P40" s="2">
        <f t="shared" si="10"/>
        <v>0.19000000000000009</v>
      </c>
      <c r="Q40" s="2">
        <f t="shared" si="8"/>
        <v>32.891524074297621</v>
      </c>
    </row>
    <row r="41" spans="6:17">
      <c r="F41">
        <f t="shared" si="9"/>
        <v>88</v>
      </c>
      <c r="G41" s="2">
        <f t="shared" si="0"/>
        <v>0.6103205128205127</v>
      </c>
      <c r="H41" s="2">
        <f t="shared" si="1"/>
        <v>0.41532051282051263</v>
      </c>
      <c r="I41" s="2">
        <f t="shared" si="2"/>
        <v>0.72917524438951775</v>
      </c>
      <c r="J41" s="2">
        <f t="shared" si="2"/>
        <v>0.66104635664540934</v>
      </c>
      <c r="K41" s="3">
        <f t="shared" si="3"/>
        <v>0.27082475561048225</v>
      </c>
      <c r="L41" s="3">
        <f t="shared" si="4"/>
        <v>0.33895364335459066</v>
      </c>
      <c r="M41" s="1">
        <f t="shared" si="5"/>
        <v>13.103576584040752</v>
      </c>
      <c r="N41" s="1">
        <f t="shared" si="6"/>
        <v>3.587318387636703</v>
      </c>
      <c r="O41" s="2">
        <f t="shared" si="7"/>
        <v>-0.27082475561048225</v>
      </c>
      <c r="P41" s="2">
        <f t="shared" si="10"/>
        <v>0.19500000000000009</v>
      </c>
      <c r="Q41" s="2">
        <f t="shared" si="8"/>
        <v>33.114991279554303</v>
      </c>
    </row>
    <row r="42" spans="6:17">
      <c r="F42">
        <f t="shared" si="9"/>
        <v>89</v>
      </c>
      <c r="G42" s="2">
        <f t="shared" si="0"/>
        <v>0.59999999999999987</v>
      </c>
      <c r="H42" s="2">
        <f t="shared" si="1"/>
        <v>0.3999999999999998</v>
      </c>
      <c r="I42" s="2">
        <f t="shared" si="2"/>
        <v>0.72574688224992645</v>
      </c>
      <c r="J42" s="2">
        <f t="shared" si="2"/>
        <v>0.65542174161032407</v>
      </c>
      <c r="K42" s="3">
        <f t="shared" si="3"/>
        <v>0.27425311775007361</v>
      </c>
      <c r="L42" s="3">
        <f t="shared" si="4"/>
        <v>0.34457825838967593</v>
      </c>
      <c r="M42" s="1">
        <f t="shared" si="5"/>
        <v>13.2696765846609</v>
      </c>
      <c r="N42" s="1">
        <f t="shared" si="6"/>
        <v>3.7534183882568435</v>
      </c>
      <c r="O42" s="2">
        <f t="shared" si="7"/>
        <v>-0.27425311775007355</v>
      </c>
      <c r="P42" s="2">
        <f t="shared" si="10"/>
        <v>0.20000000000000009</v>
      </c>
      <c r="Q42" s="2">
        <f t="shared" si="8"/>
        <v>33.322460289179965</v>
      </c>
    </row>
    <row r="43" spans="6:17">
      <c r="F43">
        <f t="shared" si="9"/>
        <v>90</v>
      </c>
      <c r="G43" s="2">
        <f t="shared" si="0"/>
        <v>0.59030487804878029</v>
      </c>
      <c r="H43" s="2">
        <f t="shared" si="1"/>
        <v>0.38530487804878022</v>
      </c>
      <c r="I43" s="2">
        <f t="shared" si="2"/>
        <v>0.72250686519999674</v>
      </c>
      <c r="J43" s="2">
        <f t="shared" si="2"/>
        <v>0.64999422607008461</v>
      </c>
      <c r="K43" s="3">
        <f t="shared" si="3"/>
        <v>0.27749313480000326</v>
      </c>
      <c r="L43" s="3">
        <f t="shared" si="4"/>
        <v>0.35000577392991539</v>
      </c>
      <c r="M43" s="1">
        <f t="shared" si="5"/>
        <v>13.436776794445969</v>
      </c>
      <c r="N43" s="1">
        <f t="shared" si="6"/>
        <v>3.9205185980419124</v>
      </c>
      <c r="O43" s="2">
        <f t="shared" si="7"/>
        <v>-0.27749313480000326</v>
      </c>
      <c r="P43" s="2">
        <f t="shared" si="10"/>
        <v>0.2050000000000001</v>
      </c>
      <c r="Q43" s="2">
        <f t="shared" si="8"/>
        <v>33.515289183729415</v>
      </c>
    </row>
    <row r="44" spans="6:17">
      <c r="F44">
        <f t="shared" si="9"/>
        <v>91</v>
      </c>
      <c r="G44" s="2">
        <f t="shared" si="0"/>
        <v>0.58119047619047604</v>
      </c>
      <c r="H44" s="2">
        <f t="shared" si="1"/>
        <v>0.37119047619047596</v>
      </c>
      <c r="I44" s="2">
        <f t="shared" si="2"/>
        <v>0.71944395715339504</v>
      </c>
      <c r="J44" s="2">
        <f t="shared" si="2"/>
        <v>0.64475216693637094</v>
      </c>
      <c r="K44" s="3">
        <f t="shared" si="3"/>
        <v>0.28055604284660501</v>
      </c>
      <c r="L44" s="3">
        <f>_xlfn.NORM.S.DIST(-H44,TRUE)</f>
        <v>0.35524783306362906</v>
      </c>
      <c r="M44" s="1">
        <f t="shared" si="5"/>
        <v>13.604807114959932</v>
      </c>
      <c r="N44" s="1">
        <f t="shared" si="6"/>
        <v>4.088548918555869</v>
      </c>
      <c r="O44" s="2">
        <f t="shared" si="7"/>
        <v>-0.28055604284660496</v>
      </c>
      <c r="P44" s="2">
        <f t="shared" si="10"/>
        <v>0.2100000000000001</v>
      </c>
      <c r="Q44" s="2">
        <f t="shared" si="8"/>
        <v>33.694697069091852</v>
      </c>
    </row>
    <row r="45" spans="6:17">
      <c r="F45">
        <f t="shared" si="9"/>
        <v>92</v>
      </c>
      <c r="G45" s="2">
        <f t="shared" si="0"/>
        <v>0.57261627906976731</v>
      </c>
      <c r="H45" s="2">
        <f t="shared" si="1"/>
        <v>0.35761627906976723</v>
      </c>
      <c r="I45" s="2">
        <f t="shared" si="2"/>
        <v>0.71654773254995885</v>
      </c>
      <c r="J45" s="2">
        <f t="shared" si="2"/>
        <v>0.63968475298787686</v>
      </c>
      <c r="K45" s="3">
        <f t="shared" si="3"/>
        <v>0.28345226745004115</v>
      </c>
      <c r="L45" s="3">
        <f t="shared" si="4"/>
        <v>0.3603152470121232</v>
      </c>
      <c r="M45" s="1">
        <f t="shared" si="5"/>
        <v>13.773703229943784</v>
      </c>
      <c r="N45" s="1">
        <f t="shared" si="6"/>
        <v>4.2574450335397351</v>
      </c>
      <c r="O45" s="2">
        <f t="shared" si="7"/>
        <v>-0.28345226745004115</v>
      </c>
      <c r="P45" s="2">
        <f t="shared" si="10"/>
        <v>0.21500000000000011</v>
      </c>
      <c r="Q45" s="2">
        <f t="shared" si="8"/>
        <v>33.861780221079279</v>
      </c>
    </row>
    <row r="46" spans="6:17">
      <c r="F46">
        <f t="shared" si="9"/>
        <v>93</v>
      </c>
      <c r="G46" s="2">
        <f t="shared" si="0"/>
        <v>0.56454545454545435</v>
      </c>
      <c r="H46" s="2">
        <f t="shared" si="1"/>
        <v>0.34454545454545427</v>
      </c>
      <c r="I46" s="2">
        <f t="shared" si="2"/>
        <v>0.7138085126339494</v>
      </c>
      <c r="J46" s="2">
        <f t="shared" si="2"/>
        <v>0.63478194083612061</v>
      </c>
      <c r="K46" s="3">
        <f t="shared" si="3"/>
        <v>0.2861914873660506</v>
      </c>
      <c r="L46" s="3">
        <f t="shared" si="4"/>
        <v>0.36521805916387939</v>
      </c>
      <c r="M46" s="1">
        <f t="shared" si="5"/>
        <v>13.943406027193888</v>
      </c>
      <c r="N46" s="1">
        <f t="shared" si="6"/>
        <v>4.4271478307898313</v>
      </c>
      <c r="O46" s="2">
        <f t="shared" si="7"/>
        <v>-0.2861914873660506</v>
      </c>
      <c r="P46" s="2">
        <f t="shared" si="10"/>
        <v>0.22000000000000011</v>
      </c>
      <c r="Q46" s="2">
        <f t="shared" si="8"/>
        <v>34.017526179081223</v>
      </c>
    </row>
    <row r="47" spans="6:17">
      <c r="F47">
        <f t="shared" si="9"/>
        <v>94</v>
      </c>
      <c r="G47" s="2">
        <f t="shared" si="0"/>
        <v>0.55694444444444424</v>
      </c>
      <c r="H47" s="2">
        <f t="shared" si="1"/>
        <v>0.33194444444444415</v>
      </c>
      <c r="I47" s="2">
        <f t="shared" si="2"/>
        <v>0.71121730635066482</v>
      </c>
      <c r="J47" s="2">
        <f t="shared" si="2"/>
        <v>0.63003439526680205</v>
      </c>
      <c r="K47" s="3">
        <f t="shared" si="3"/>
        <v>0.28878269364933523</v>
      </c>
      <c r="L47" s="3">
        <f t="shared" si="4"/>
        <v>0.36996560473319795</v>
      </c>
      <c r="M47" s="1">
        <f t="shared" si="5"/>
        <v>14.113861086360458</v>
      </c>
      <c r="N47" s="1">
        <f t="shared" si="6"/>
        <v>4.5976028899563985</v>
      </c>
      <c r="O47" s="2">
        <f t="shared" si="7"/>
        <v>-0.28878269364933518</v>
      </c>
      <c r="P47" s="2">
        <f t="shared" si="10"/>
        <v>0.22500000000000012</v>
      </c>
      <c r="Q47" s="2">
        <f t="shared" si="8"/>
        <v>34.162826063161866</v>
      </c>
    </row>
    <row r="48" spans="6:17">
      <c r="F48">
        <f t="shared" si="9"/>
        <v>95</v>
      </c>
      <c r="G48" s="2">
        <f t="shared" si="0"/>
        <v>0.54978260869565199</v>
      </c>
      <c r="H48" s="2">
        <f t="shared" si="1"/>
        <v>0.31978260869565189</v>
      </c>
      <c r="I48" s="2">
        <f t="shared" si="2"/>
        <v>0.70876575574312894</v>
      </c>
      <c r="J48" s="2">
        <f t="shared" si="2"/>
        <v>0.62543343391741923</v>
      </c>
      <c r="K48" s="3">
        <f t="shared" si="3"/>
        <v>0.29123424425687106</v>
      </c>
      <c r="L48" s="3">
        <f t="shared" si="4"/>
        <v>0.37456656608258077</v>
      </c>
      <c r="M48" s="1">
        <f t="shared" si="5"/>
        <v>14.285018224392743</v>
      </c>
      <c r="N48" s="1">
        <f t="shared" si="6"/>
        <v>4.7687600279886908</v>
      </c>
      <c r="O48" s="2">
        <f t="shared" si="7"/>
        <v>-0.29123424425687106</v>
      </c>
      <c r="P48" s="2">
        <f t="shared" si="10"/>
        <v>0.23000000000000012</v>
      </c>
      <c r="Q48" s="2">
        <f t="shared" si="8"/>
        <v>34.298485352283834</v>
      </c>
    </row>
    <row r="49" spans="6:17">
      <c r="F49">
        <f t="shared" si="9"/>
        <v>96</v>
      </c>
      <c r="G49" s="2">
        <f t="shared" si="0"/>
        <v>0.54303191489361691</v>
      </c>
      <c r="H49" s="2">
        <f t="shared" si="1"/>
        <v>0.30803191489361681</v>
      </c>
      <c r="I49" s="2">
        <f t="shared" si="2"/>
        <v>0.70644608565516653</v>
      </c>
      <c r="J49" s="2">
        <f t="shared" si="2"/>
        <v>0.62097097615631114</v>
      </c>
      <c r="K49" s="3">
        <f t="shared" si="3"/>
        <v>0.29355391434483347</v>
      </c>
      <c r="L49" s="3">
        <f t="shared" si="4"/>
        <v>0.37902902384368886</v>
      </c>
      <c r="M49" s="1">
        <f t="shared" si="5"/>
        <v>14.456831091462057</v>
      </c>
      <c r="N49" s="1">
        <f t="shared" si="6"/>
        <v>4.9405728950580077</v>
      </c>
      <c r="O49" s="2">
        <f t="shared" si="7"/>
        <v>-0.29355391434483347</v>
      </c>
      <c r="P49" s="2">
        <f t="shared" si="10"/>
        <v>0.23500000000000013</v>
      </c>
      <c r="Q49" s="2">
        <f t="shared" si="8"/>
        <v>34.425233329040736</v>
      </c>
    </row>
    <row r="50" spans="6:17">
      <c r="F50">
        <f t="shared" si="9"/>
        <v>97</v>
      </c>
      <c r="G50" s="2">
        <f t="shared" si="0"/>
        <v>0.53666666666666651</v>
      </c>
      <c r="H50" s="2">
        <f t="shared" si="1"/>
        <v>0.29666666666666641</v>
      </c>
      <c r="I50" s="2">
        <f t="shared" si="2"/>
        <v>0.70425105750259287</v>
      </c>
      <c r="J50" s="2">
        <f t="shared" si="2"/>
        <v>0.6166394959684649</v>
      </c>
      <c r="K50" s="3">
        <f t="shared" si="3"/>
        <v>0.29574894249740713</v>
      </c>
      <c r="L50" s="3">
        <f t="shared" si="4"/>
        <v>0.38336050403153515</v>
      </c>
      <c r="M50" s="1">
        <f t="shared" si="5"/>
        <v>14.629256811149169</v>
      </c>
      <c r="N50" s="1">
        <f t="shared" si="6"/>
        <v>5.1129986147451199</v>
      </c>
      <c r="O50" s="2">
        <f t="shared" si="7"/>
        <v>-0.29574894249740713</v>
      </c>
      <c r="P50" s="2">
        <f t="shared" si="10"/>
        <v>0.24000000000000013</v>
      </c>
      <c r="Q50" s="2">
        <f t="shared" si="8"/>
        <v>34.543731368088253</v>
      </c>
    </row>
    <row r="51" spans="6:17">
      <c r="F51">
        <f t="shared" si="9"/>
        <v>98</v>
      </c>
      <c r="G51" s="2">
        <f t="shared" si="0"/>
        <v>0.53066326530612229</v>
      </c>
      <c r="H51" s="2">
        <f t="shared" si="1"/>
        <v>0.28566326530612218</v>
      </c>
      <c r="I51" s="2">
        <f t="shared" si="2"/>
        <v>0.70217392685113245</v>
      </c>
      <c r="J51" s="2">
        <f t="shared" si="2"/>
        <v>0.61243197861878107</v>
      </c>
      <c r="K51" s="3">
        <f t="shared" si="3"/>
        <v>0.2978260731488675</v>
      </c>
      <c r="L51" s="3">
        <f t="shared" si="4"/>
        <v>0.38756802138121899</v>
      </c>
      <c r="M51" s="1">
        <f t="shared" si="5"/>
        <v>14.802255659506059</v>
      </c>
      <c r="N51" s="1">
        <f t="shared" si="6"/>
        <v>5.2859974631020243</v>
      </c>
      <c r="O51" s="2">
        <f t="shared" si="7"/>
        <v>-0.29782607314886755</v>
      </c>
      <c r="P51" s="2">
        <f t="shared" si="10"/>
        <v>0.24500000000000013</v>
      </c>
      <c r="Q51" s="2">
        <f t="shared" si="8"/>
        <v>34.6545802210101</v>
      </c>
    </row>
    <row r="52" spans="6:17">
      <c r="F52">
        <f t="shared" si="9"/>
        <v>99</v>
      </c>
      <c r="G52" s="2">
        <f t="shared" si="0"/>
        <v>0.52499999999999991</v>
      </c>
      <c r="H52" s="2">
        <f t="shared" si="1"/>
        <v>0.2749999999999998</v>
      </c>
      <c r="I52" s="2">
        <f t="shared" si="2"/>
        <v>0.70020840453130417</v>
      </c>
      <c r="J52" s="2">
        <f t="shared" si="2"/>
        <v>0.60834188084639473</v>
      </c>
      <c r="K52" s="3">
        <f t="shared" si="3"/>
        <v>0.29979159546869588</v>
      </c>
      <c r="L52" s="3">
        <f t="shared" si="4"/>
        <v>0.39165811915360527</v>
      </c>
      <c r="M52" s="1">
        <f t="shared" si="5"/>
        <v>14.975790778311307</v>
      </c>
      <c r="N52" s="1">
        <f t="shared" si="6"/>
        <v>5.4595325819072471</v>
      </c>
      <c r="O52" s="2">
        <f t="shared" si="7"/>
        <v>-0.29979159546869583</v>
      </c>
      <c r="P52" s="2">
        <f t="shared" si="10"/>
        <v>0.25000000000000011</v>
      </c>
      <c r="Q52" s="2">
        <f t="shared" si="8"/>
        <v>34.758326429234806</v>
      </c>
    </row>
    <row r="53" spans="6:17">
      <c r="F53">
        <f t="shared" si="9"/>
        <v>100</v>
      </c>
      <c r="G53" s="2">
        <f t="shared" si="0"/>
        <v>0.51965686274509792</v>
      </c>
      <c r="H53" s="2">
        <f t="shared" si="1"/>
        <v>0.26465686274509781</v>
      </c>
      <c r="I53" s="2">
        <f t="shared" si="2"/>
        <v>0.69834862102208417</v>
      </c>
      <c r="J53" s="2">
        <f t="shared" si="2"/>
        <v>0.60436309433862823</v>
      </c>
      <c r="K53" s="3">
        <f t="shared" si="3"/>
        <v>0.30165137897791577</v>
      </c>
      <c r="L53" s="3">
        <f t="shared" si="4"/>
        <v>0.39563690566137177</v>
      </c>
      <c r="M53" s="1">
        <f t="shared" si="5"/>
        <v>15.149827918449681</v>
      </c>
      <c r="N53" s="1">
        <f t="shared" si="6"/>
        <v>5.6335697220456318</v>
      </c>
      <c r="O53" s="2">
        <f t="shared" si="7"/>
        <v>-0.30165137897791583</v>
      </c>
      <c r="P53" s="2">
        <f t="shared" si="10"/>
        <v>0.25500000000000012</v>
      </c>
      <c r="Q53" s="2">
        <f t="shared" si="8"/>
        <v>34.855467978432067</v>
      </c>
    </row>
    <row r="54" spans="6:17">
      <c r="F54">
        <f t="shared" si="9"/>
        <v>101</v>
      </c>
      <c r="G54" s="2">
        <f t="shared" si="0"/>
        <v>0.51461538461538447</v>
      </c>
      <c r="H54" s="2">
        <f t="shared" si="1"/>
        <v>0.25461538461538435</v>
      </c>
      <c r="I54" s="2">
        <f t="shared" si="2"/>
        <v>0.69658909384324463</v>
      </c>
      <c r="J54" s="2">
        <f t="shared" si="2"/>
        <v>0.60048991223626125</v>
      </c>
      <c r="K54" s="3">
        <f t="shared" si="3"/>
        <v>0.30341090615675537</v>
      </c>
      <c r="L54" s="3">
        <f t="shared" si="4"/>
        <v>0.3995100877637387</v>
      </c>
      <c r="M54" s="1">
        <f t="shared" si="5"/>
        <v>15.324335209874604</v>
      </c>
      <c r="N54" s="1">
        <f t="shared" si="6"/>
        <v>5.8080770134705553</v>
      </c>
      <c r="O54" s="2">
        <f t="shared" si="7"/>
        <v>-0.30341090615675537</v>
      </c>
      <c r="P54" s="2">
        <f t="shared" si="10"/>
        <v>0.26000000000000012</v>
      </c>
      <c r="Q54" s="2">
        <f t="shared" si="8"/>
        <v>34.946459292185956</v>
      </c>
    </row>
    <row r="55" spans="6:17">
      <c r="F55">
        <f t="shared" si="9"/>
        <v>102</v>
      </c>
      <c r="G55" s="2">
        <f t="shared" si="0"/>
        <v>0.5098584905660376</v>
      </c>
      <c r="H55" s="2">
        <f t="shared" si="1"/>
        <v>0.24485849056603748</v>
      </c>
      <c r="I55" s="2">
        <f t="shared" si="2"/>
        <v>0.69492469770842757</v>
      </c>
      <c r="J55" s="2">
        <f t="shared" si="2"/>
        <v>0.59671699843023185</v>
      </c>
      <c r="K55" s="3">
        <f t="shared" si="3"/>
        <v>0.30507530229157237</v>
      </c>
      <c r="L55" s="3">
        <f t="shared" si="4"/>
        <v>0.4032830015697681</v>
      </c>
      <c r="M55" s="1">
        <f t="shared" si="5"/>
        <v>15.499282955064892</v>
      </c>
      <c r="N55" s="1">
        <f t="shared" si="6"/>
        <v>5.9830247586608358</v>
      </c>
      <c r="O55" s="2">
        <f t="shared" si="7"/>
        <v>-0.30507530229157243</v>
      </c>
      <c r="P55" s="2">
        <f t="shared" si="10"/>
        <v>0.26500000000000012</v>
      </c>
      <c r="Q55" s="2">
        <f t="shared" si="8"/>
        <v>35.03171564932407</v>
      </c>
    </row>
    <row r="56" spans="6:17">
      <c r="F56">
        <f t="shared" si="9"/>
        <v>103</v>
      </c>
      <c r="G56" s="2">
        <f t="shared" si="0"/>
        <v>0.50537037037037025</v>
      </c>
      <c r="H56" s="2">
        <f t="shared" si="1"/>
        <v>0.23537037037037012</v>
      </c>
      <c r="I56" s="2">
        <f t="shared" si="2"/>
        <v>0.69335063720556667</v>
      </c>
      <c r="J56" s="2">
        <f t="shared" si="2"/>
        <v>0.5930393594216099</v>
      </c>
      <c r="K56" s="3">
        <f t="shared" si="3"/>
        <v>0.30664936279443333</v>
      </c>
      <c r="L56" s="3">
        <f t="shared" si="4"/>
        <v>0.4069606405783901</v>
      </c>
      <c r="M56" s="1">
        <f t="shared" si="5"/>
        <v>15.674643443281774</v>
      </c>
      <c r="N56" s="1">
        <f t="shared" si="6"/>
        <v>6.158385246877728</v>
      </c>
      <c r="O56" s="2">
        <f t="shared" si="7"/>
        <v>-0.30664936279443333</v>
      </c>
      <c r="P56" s="2">
        <f t="shared" si="10"/>
        <v>0.27000000000000013</v>
      </c>
      <c r="Q56" s="2">
        <f t="shared" si="8"/>
        <v>35.111617097769447</v>
      </c>
    </row>
    <row r="57" spans="6:17">
      <c r="F57">
        <f t="shared" si="9"/>
        <v>104</v>
      </c>
      <c r="G57" s="2">
        <f t="shared" si="0"/>
        <v>0.50113636363636349</v>
      </c>
      <c r="H57" s="2">
        <f t="shared" si="1"/>
        <v>0.22613636363636336</v>
      </c>
      <c r="I57" s="2">
        <f t="shared" si="2"/>
        <v>0.69186242178697499</v>
      </c>
      <c r="J57" s="2">
        <f t="shared" si="2"/>
        <v>0.58945231853031699</v>
      </c>
      <c r="K57" s="3">
        <f t="shared" si="3"/>
        <v>0.30813757821302501</v>
      </c>
      <c r="L57" s="3">
        <f t="shared" si="4"/>
        <v>0.41054768146968301</v>
      </c>
      <c r="M57" s="1">
        <f t="shared" si="5"/>
        <v>15.850390783269297</v>
      </c>
      <c r="N57" s="1">
        <f t="shared" si="6"/>
        <v>6.3341325868652447</v>
      </c>
      <c r="O57" s="2">
        <f t="shared" si="7"/>
        <v>-0.30813757821302501</v>
      </c>
      <c r="P57" s="2">
        <f t="shared" si="10"/>
        <v>0.27500000000000013</v>
      </c>
      <c r="Q57" s="2">
        <f t="shared" si="8"/>
        <v>35.186511927907148</v>
      </c>
    </row>
    <row r="58" spans="6:17">
      <c r="F58">
        <f t="shared" si="9"/>
        <v>105</v>
      </c>
      <c r="G58" s="2">
        <f t="shared" si="0"/>
        <v>0.49714285714285705</v>
      </c>
      <c r="H58" s="2">
        <f t="shared" si="1"/>
        <v>0.21714285714285692</v>
      </c>
      <c r="I58" s="2">
        <f t="shared" si="2"/>
        <v>0.69045584286750672</v>
      </c>
      <c r="J58" s="2">
        <f t="shared" si="2"/>
        <v>0.58595149225259036</v>
      </c>
      <c r="K58" s="3">
        <f t="shared" si="3"/>
        <v>0.30954415713249328</v>
      </c>
      <c r="L58" s="3">
        <f t="shared" si="4"/>
        <v>0.41404850774740964</v>
      </c>
      <c r="M58" s="1">
        <f t="shared" si="5"/>
        <v>16.026500752335529</v>
      </c>
      <c r="N58" s="1">
        <f t="shared" si="6"/>
        <v>6.5102425559314803</v>
      </c>
      <c r="O58" s="2">
        <f t="shared" si="7"/>
        <v>-0.30954415713249328</v>
      </c>
      <c r="P58" s="2">
        <f t="shared" si="10"/>
        <v>0.28000000000000014</v>
      </c>
      <c r="Q58" s="2">
        <f t="shared" si="8"/>
        <v>35.256719759984883</v>
      </c>
    </row>
    <row r="59" spans="6:17">
      <c r="F59">
        <f t="shared" si="9"/>
        <v>106</v>
      </c>
      <c r="G59" s="2">
        <f t="shared" si="0"/>
        <v>0.49337719298245597</v>
      </c>
      <c r="H59" s="2">
        <f t="shared" si="1"/>
        <v>0.20837719298245583</v>
      </c>
      <c r="I59" s="2">
        <f t="shared" si="2"/>
        <v>0.68912695284507952</v>
      </c>
      <c r="J59" s="2">
        <f t="shared" si="2"/>
        <v>0.58253276858193881</v>
      </c>
      <c r="K59" s="3">
        <f t="shared" si="3"/>
        <v>0.31087304715492048</v>
      </c>
      <c r="L59" s="3">
        <f t="shared" si="4"/>
        <v>0.41746723141806114</v>
      </c>
      <c r="M59" s="1">
        <f t="shared" si="5"/>
        <v>16.202950660005889</v>
      </c>
      <c r="N59" s="1">
        <f t="shared" si="6"/>
        <v>6.6866924636018332</v>
      </c>
      <c r="O59" s="2">
        <f t="shared" si="7"/>
        <v>-0.31087304715492048</v>
      </c>
      <c r="P59" s="2">
        <f t="shared" si="10"/>
        <v>0.28500000000000014</v>
      </c>
      <c r="Q59" s="2">
        <f t="shared" si="8"/>
        <v>35.322534292794032</v>
      </c>
    </row>
    <row r="60" spans="6:17">
      <c r="F60">
        <f t="shared" si="9"/>
        <v>107</v>
      </c>
      <c r="G60" s="2">
        <f t="shared" si="0"/>
        <v>0.48982758620689654</v>
      </c>
      <c r="H60" s="2">
        <f t="shared" si="1"/>
        <v>0.19982758620689639</v>
      </c>
      <c r="I60" s="2">
        <f t="shared" si="2"/>
        <v>0.68787204587318052</v>
      </c>
      <c r="J60" s="2">
        <f t="shared" si="2"/>
        <v>0.57919228712285631</v>
      </c>
      <c r="K60" s="3">
        <f t="shared" si="3"/>
        <v>0.31212795412681948</v>
      </c>
      <c r="L60" s="3">
        <f t="shared" si="4"/>
        <v>0.42080771287714375</v>
      </c>
      <c r="M60" s="1">
        <f t="shared" si="5"/>
        <v>16.379719224659318</v>
      </c>
      <c r="N60" s="1">
        <f t="shared" si="6"/>
        <v>6.8634610282552657</v>
      </c>
      <c r="O60" s="2">
        <f t="shared" si="7"/>
        <v>-0.31212795412681948</v>
      </c>
      <c r="P60" s="2">
        <f t="shared" si="10"/>
        <v>0.29000000000000015</v>
      </c>
      <c r="Q60" s="2">
        <f t="shared" si="8"/>
        <v>35.384225754629917</v>
      </c>
    </row>
    <row r="61" spans="6:17">
      <c r="F61">
        <f t="shared" si="9"/>
        <v>108</v>
      </c>
      <c r="G61" s="2">
        <f t="shared" si="0"/>
        <v>0.48648305084745752</v>
      </c>
      <c r="H61" s="2">
        <f t="shared" si="1"/>
        <v>0.19148305084745737</v>
      </c>
      <c r="I61" s="2">
        <f t="shared" si="2"/>
        <v>0.68668764022954087</v>
      </c>
      <c r="J61" s="2">
        <f t="shared" si="2"/>
        <v>0.57592642084052881</v>
      </c>
      <c r="K61" s="3">
        <f t="shared" si="3"/>
        <v>0.31331235977045913</v>
      </c>
      <c r="L61" s="3">
        <f t="shared" si="4"/>
        <v>0.42407357915947119</v>
      </c>
      <c r="M61" s="1">
        <f t="shared" si="5"/>
        <v>16.556786461750548</v>
      </c>
      <c r="N61" s="1">
        <f t="shared" si="6"/>
        <v>7.040528265346488</v>
      </c>
      <c r="O61" s="2">
        <f t="shared" si="7"/>
        <v>-0.31331235977045913</v>
      </c>
      <c r="P61" s="2">
        <f t="shared" si="10"/>
        <v>0.29500000000000015</v>
      </c>
      <c r="Q61" s="2">
        <f t="shared" si="8"/>
        <v>35.442043092158528</v>
      </c>
    </row>
    <row r="62" spans="6:17">
      <c r="F62">
        <f t="shared" si="9"/>
        <v>109</v>
      </c>
      <c r="G62" s="2">
        <f t="shared" si="0"/>
        <v>0.48333333333333323</v>
      </c>
      <c r="H62" s="2">
        <f t="shared" si="1"/>
        <v>0.18333333333333307</v>
      </c>
      <c r="I62" s="2">
        <f t="shared" si="2"/>
        <v>0.68557046213882245</v>
      </c>
      <c r="J62" s="2">
        <f t="shared" si="2"/>
        <v>0.57273175930304043</v>
      </c>
      <c r="K62" s="3">
        <f t="shared" si="3"/>
        <v>0.31442953786117755</v>
      </c>
      <c r="L62" s="3">
        <f t="shared" si="4"/>
        <v>0.42726824069695957</v>
      </c>
      <c r="M62" s="1">
        <f t="shared" si="5"/>
        <v>16.734133582386676</v>
      </c>
      <c r="N62" s="1">
        <f t="shared" si="6"/>
        <v>7.217875385982623</v>
      </c>
      <c r="O62" s="2">
        <f t="shared" si="7"/>
        <v>-0.31442953786117755</v>
      </c>
      <c r="P62" s="2">
        <f t="shared" si="10"/>
        <v>0.30000000000000016</v>
      </c>
      <c r="Q62" s="2">
        <f t="shared" si="8"/>
        <v>35.496215928193706</v>
      </c>
    </row>
    <row r="63" spans="6:17">
      <c r="F63">
        <f t="shared" si="9"/>
        <v>110</v>
      </c>
      <c r="G63" s="2">
        <f t="shared" si="0"/>
        <v>0.48036885245901628</v>
      </c>
      <c r="H63" s="2">
        <f t="shared" si="1"/>
        <v>0.17536885245901612</v>
      </c>
      <c r="I63" s="2">
        <f t="shared" si="2"/>
        <v>0.68451743091985862</v>
      </c>
      <c r="J63" s="2">
        <f t="shared" si="2"/>
        <v>0.56960509328500697</v>
      </c>
      <c r="K63" s="3">
        <f t="shared" si="3"/>
        <v>0.31548256908014138</v>
      </c>
      <c r="L63" s="3">
        <f t="shared" si="4"/>
        <v>0.43039490671499298</v>
      </c>
      <c r="M63" s="1">
        <f t="shared" si="5"/>
        <v>16.911742901172104</v>
      </c>
      <c r="N63" s="1">
        <f t="shared" si="6"/>
        <v>7.3954847047680516</v>
      </c>
      <c r="O63" s="2">
        <f t="shared" si="7"/>
        <v>-0.31548256908014138</v>
      </c>
      <c r="P63" s="2">
        <f t="shared" si="10"/>
        <v>0.30500000000000016</v>
      </c>
      <c r="Q63" s="2">
        <f t="shared" si="8"/>
        <v>35.546956315405339</v>
      </c>
    </row>
    <row r="64" spans="6:17">
      <c r="F64">
        <f t="shared" si="9"/>
        <v>111</v>
      </c>
      <c r="G64" s="2">
        <f t="shared" si="0"/>
        <v>0.47758064516129028</v>
      </c>
      <c r="H64" s="2">
        <f t="shared" si="1"/>
        <v>0.16758064516129012</v>
      </c>
      <c r="I64" s="2">
        <f t="shared" si="2"/>
        <v>0.68352564533972227</v>
      </c>
      <c r="J64" s="2">
        <f t="shared" si="2"/>
        <v>0.56654340061314135</v>
      </c>
      <c r="K64" s="3">
        <f t="shared" si="3"/>
        <v>0.31647435466027768</v>
      </c>
      <c r="L64" s="3">
        <f t="shared" si="4"/>
        <v>0.43345659938685865</v>
      </c>
      <c r="M64" s="1">
        <f t="shared" si="5"/>
        <v>17.089597752361527</v>
      </c>
      <c r="N64" s="1">
        <f t="shared" si="6"/>
        <v>7.5733395559574781</v>
      </c>
      <c r="O64" s="2">
        <f t="shared" si="7"/>
        <v>-0.31647435466027773</v>
      </c>
      <c r="P64" s="2">
        <f t="shared" si="10"/>
        <v>0.31000000000000016</v>
      </c>
      <c r="Q64" s="2">
        <f t="shared" si="8"/>
        <v>35.5944603095422</v>
      </c>
    </row>
    <row r="65" spans="6:17">
      <c r="F65">
        <f t="shared" si="9"/>
        <v>112</v>
      </c>
      <c r="G65" s="2">
        <f t="shared" si="0"/>
        <v>0.47496031746031742</v>
      </c>
      <c r="H65" s="2">
        <f t="shared" si="1"/>
        <v>0.15996031746031725</v>
      </c>
      <c r="I65" s="2">
        <f t="shared" si="2"/>
        <v>0.68259237106766113</v>
      </c>
      <c r="J65" s="2">
        <f t="shared" si="2"/>
        <v>0.56354383314493106</v>
      </c>
      <c r="K65" s="3">
        <f t="shared" si="3"/>
        <v>0.31740762893233887</v>
      </c>
      <c r="L65" s="3">
        <f t="shared" si="4"/>
        <v>0.43645616685506894</v>
      </c>
      <c r="M65" s="1">
        <f t="shared" si="5"/>
        <v>17.267682413471412</v>
      </c>
      <c r="N65" s="1">
        <f t="shared" si="6"/>
        <v>7.7514242170673668</v>
      </c>
      <c r="O65" s="2">
        <f t="shared" si="7"/>
        <v>-0.31740762893233887</v>
      </c>
      <c r="P65" s="2">
        <f t="shared" si="10"/>
        <v>0.31500000000000017</v>
      </c>
      <c r="Q65" s="2">
        <f t="shared" si="8"/>
        <v>35.638909382784426</v>
      </c>
    </row>
    <row r="66" spans="6:17">
      <c r="F66">
        <f t="shared" si="9"/>
        <v>113</v>
      </c>
      <c r="G66" s="2">
        <f t="shared" si="0"/>
        <v>0.47249999999999992</v>
      </c>
      <c r="H66" s="2">
        <f t="shared" si="1"/>
        <v>0.15249999999999975</v>
      </c>
      <c r="I66" s="2">
        <f t="shared" si="2"/>
        <v>0.68171502913179549</v>
      </c>
      <c r="J66" s="2">
        <f t="shared" si="2"/>
        <v>0.56060370478143762</v>
      </c>
      <c r="K66" s="3">
        <f t="shared" si="3"/>
        <v>0.31828497086820451</v>
      </c>
      <c r="L66" s="3">
        <f t="shared" si="4"/>
        <v>0.43939629521856244</v>
      </c>
      <c r="M66" s="1">
        <f t="shared" si="5"/>
        <v>17.445982035596622</v>
      </c>
      <c r="N66" s="1">
        <f t="shared" si="6"/>
        <v>7.9297238391925724</v>
      </c>
      <c r="O66" s="2">
        <f t="shared" si="7"/>
        <v>-0.31828497086820451</v>
      </c>
      <c r="P66" s="2">
        <f t="shared" si="10"/>
        <v>0.32000000000000017</v>
      </c>
      <c r="Q66" s="2">
        <f t="shared" si="8"/>
        <v>35.680471695272963</v>
      </c>
    </row>
    <row r="67" spans="6:17">
      <c r="F67">
        <f t="shared" si="9"/>
        <v>114</v>
      </c>
      <c r="G67" s="2">
        <f t="shared" si="0"/>
        <v>0.47019230769230769</v>
      </c>
      <c r="H67" s="2">
        <f t="shared" si="1"/>
        <v>0.14519230769230751</v>
      </c>
      <c r="I67" s="2">
        <f t="shared" si="2"/>
        <v>0.68089118529045844</v>
      </c>
      <c r="J67" s="2">
        <f t="shared" si="2"/>
        <v>0.5577204804242174</v>
      </c>
      <c r="K67" s="3">
        <f t="shared" si="3"/>
        <v>0.31910881470954161</v>
      </c>
      <c r="L67" s="3">
        <f t="shared" si="3"/>
        <v>0.4422795195757826</v>
      </c>
      <c r="M67" s="1">
        <f t="shared" si="5"/>
        <v>17.624482579763473</v>
      </c>
      <c r="N67" s="1">
        <f t="shared" si="6"/>
        <v>8.1082243833594099</v>
      </c>
      <c r="O67" s="2">
        <f t="shared" si="7"/>
        <v>-0.31910881470954156</v>
      </c>
      <c r="P67" s="2">
        <f t="shared" si="10"/>
        <v>0.32500000000000018</v>
      </c>
      <c r="Q67" s="2">
        <f t="shared" si="8"/>
        <v>35.719303240638432</v>
      </c>
    </row>
    <row r="68" spans="6:17">
      <c r="F68">
        <f t="shared" si="9"/>
        <v>115</v>
      </c>
      <c r="G68" s="2">
        <f t="shared" ref="G68:G113" si="11">(LN($B$1/$B$2)+($B$3+(P68^2)/2)*$B$5)/P68*SQRT($B$5)</f>
        <v>0.46803030303030296</v>
      </c>
      <c r="H68" s="2">
        <f t="shared" ref="H68:H113" si="12">G68-P68*SQRT($B$5)</f>
        <v>0.13803030303030278</v>
      </c>
      <c r="I68" s="2">
        <f t="shared" ref="I68:J113" si="13">_xlfn.NORM.S.DIST(G68,TRUE)</f>
        <v>0.68011854023822915</v>
      </c>
      <c r="J68" s="2">
        <f t="shared" si="13"/>
        <v>0.55489176579457933</v>
      </c>
      <c r="K68" s="3">
        <f t="shared" ref="K68:L113" si="14">_xlfn.NORM.S.DIST(-G68,TRUE)</f>
        <v>0.31988145976177085</v>
      </c>
      <c r="L68" s="3">
        <f t="shared" si="14"/>
        <v>0.44510823420542062</v>
      </c>
      <c r="M68" s="1">
        <f t="shared" ref="M68:M113" si="15">$B$1*I68-$B$2*EXP(-$B$3*$B$5)*J68</f>
        <v>17.803170758724768</v>
      </c>
      <c r="N68" s="1">
        <f t="shared" ref="N68:N113" si="16">EXP(-$B$3*$B$5)*$B$2*L68-$B$1*K68</f>
        <v>8.2869125623207118</v>
      </c>
      <c r="O68" s="2">
        <f t="shared" ref="O68:O113" si="17">+I68-1</f>
        <v>-0.31988145976177085</v>
      </c>
      <c r="P68" s="2">
        <f t="shared" si="10"/>
        <v>0.33000000000000018</v>
      </c>
      <c r="Q68" s="2">
        <f t="shared" ref="Q68:Q113" si="18">$B$1*SQRT($B$5)*_xlfn.NORM.S.DIST(G68,FALSE)</f>
        <v>35.755548879423174</v>
      </c>
    </row>
    <row r="69" spans="6:17">
      <c r="F69">
        <f t="shared" ref="F69:F113" si="19">+F68+1</f>
        <v>116</v>
      </c>
      <c r="G69" s="2">
        <f t="shared" si="11"/>
        <v>0.46600746268656712</v>
      </c>
      <c r="H69" s="2">
        <f t="shared" si="12"/>
        <v>0.13100746268656693</v>
      </c>
      <c r="I69" s="2">
        <f t="shared" si="13"/>
        <v>0.67939492057413231</v>
      </c>
      <c r="J69" s="2">
        <f t="shared" si="13"/>
        <v>0.55211529804087167</v>
      </c>
      <c r="K69" s="3">
        <f t="shared" si="14"/>
        <v>0.32060507942586769</v>
      </c>
      <c r="L69" s="3">
        <f t="shared" si="14"/>
        <v>0.44788470195912833</v>
      </c>
      <c r="M69" s="1">
        <f t="shared" si="15"/>
        <v>17.982033983667577</v>
      </c>
      <c r="N69" s="1">
        <f t="shared" si="16"/>
        <v>8.4657757872635244</v>
      </c>
      <c r="O69" s="2">
        <f t="shared" si="17"/>
        <v>-0.32060507942586769</v>
      </c>
      <c r="P69" s="2">
        <f t="shared" ref="P69:P113" si="20">+P68+0.005</f>
        <v>0.33500000000000019</v>
      </c>
      <c r="Q69" s="2">
        <f t="shared" si="18"/>
        <v>35.789343272613714</v>
      </c>
    </row>
    <row r="70" spans="6:17">
      <c r="F70">
        <f t="shared" si="19"/>
        <v>117</v>
      </c>
      <c r="G70" s="2">
        <f t="shared" si="11"/>
        <v>0.46411764705882352</v>
      </c>
      <c r="H70" s="2">
        <f t="shared" si="12"/>
        <v>0.12411764705882333</v>
      </c>
      <c r="I70" s="2">
        <f t="shared" si="13"/>
        <v>0.67871827046619737</v>
      </c>
      <c r="J70" s="2">
        <f t="shared" si="13"/>
        <v>0.54938893706629144</v>
      </c>
      <c r="K70" s="3">
        <f t="shared" si="14"/>
        <v>0.32128172953380257</v>
      </c>
      <c r="L70" s="3">
        <f t="shared" si="14"/>
        <v>0.45061106293370856</v>
      </c>
      <c r="M70" s="1">
        <f t="shared" si="15"/>
        <v>18.161060315361404</v>
      </c>
      <c r="N70" s="1">
        <f t="shared" si="16"/>
        <v>8.644802118957351</v>
      </c>
      <c r="O70" s="2">
        <f t="shared" si="17"/>
        <v>-0.32128172953380263</v>
      </c>
      <c r="P70" s="2">
        <f t="shared" si="20"/>
        <v>0.34000000000000019</v>
      </c>
      <c r="Q70" s="2">
        <f t="shared" si="18"/>
        <v>35.820811726043274</v>
      </c>
    </row>
    <row r="71" spans="6:17">
      <c r="F71">
        <f t="shared" si="19"/>
        <v>118</v>
      </c>
      <c r="G71" s="2">
        <f t="shared" si="11"/>
        <v>0.462355072463768</v>
      </c>
      <c r="H71" s="2">
        <f t="shared" si="12"/>
        <v>0.11735507246376781</v>
      </c>
      <c r="I71" s="2">
        <f t="shared" si="13"/>
        <v>0.67808664395267049</v>
      </c>
      <c r="J71" s="2">
        <f t="shared" si="13"/>
        <v>0.54671065751588244</v>
      </c>
      <c r="K71" s="3">
        <f t="shared" si="14"/>
        <v>0.32191335604732951</v>
      </c>
      <c r="L71" s="3">
        <f t="shared" si="14"/>
        <v>0.45328934248411756</v>
      </c>
      <c r="M71" s="1">
        <f t="shared" si="15"/>
        <v>18.340238419325765</v>
      </c>
      <c r="N71" s="1">
        <f t="shared" si="16"/>
        <v>8.823980222921719</v>
      </c>
      <c r="O71" s="2">
        <f t="shared" si="17"/>
        <v>-0.32191335604732951</v>
      </c>
      <c r="P71" s="2">
        <f t="shared" si="20"/>
        <v>0.3450000000000002</v>
      </c>
      <c r="Q71" s="2">
        <f t="shared" si="18"/>
        <v>35.850070955153868</v>
      </c>
    </row>
    <row r="72" spans="6:17">
      <c r="F72">
        <f t="shared" si="19"/>
        <v>119</v>
      </c>
      <c r="G72" s="2">
        <f t="shared" si="11"/>
        <v>0.46071428571428563</v>
      </c>
      <c r="H72" s="2">
        <f t="shared" si="12"/>
        <v>0.11071428571428543</v>
      </c>
      <c r="I72" s="2">
        <f t="shared" si="13"/>
        <v>0.67749819782567544</v>
      </c>
      <c r="J72" s="2">
        <f t="shared" si="13"/>
        <v>0.54407854136698663</v>
      </c>
      <c r="K72" s="3">
        <f t="shared" si="14"/>
        <v>0.32250180217432456</v>
      </c>
      <c r="L72" s="3">
        <f t="shared" si="14"/>
        <v>0.45592145863301337</v>
      </c>
      <c r="M72" s="1">
        <f t="shared" si="15"/>
        <v>18.519557524640028</v>
      </c>
      <c r="N72" s="1">
        <f t="shared" si="16"/>
        <v>9.0032993282359755</v>
      </c>
      <c r="O72" s="2">
        <f t="shared" si="17"/>
        <v>-0.32250180217432456</v>
      </c>
      <c r="P72" s="2">
        <f t="shared" si="20"/>
        <v>0.3500000000000002</v>
      </c>
      <c r="Q72" s="2">
        <f t="shared" si="18"/>
        <v>35.877229778499206</v>
      </c>
    </row>
    <row r="73" spans="6:17">
      <c r="F73">
        <f t="shared" si="19"/>
        <v>120</v>
      </c>
      <c r="G73" s="2">
        <f t="shared" si="11"/>
        <v>0.45919014084507032</v>
      </c>
      <c r="H73" s="2">
        <f t="shared" si="12"/>
        <v>0.10419014084507011</v>
      </c>
      <c r="I73" s="2">
        <f t="shared" si="13"/>
        <v>0.67695118504811136</v>
      </c>
      <c r="J73" s="2">
        <f t="shared" si="13"/>
        <v>0.54149077107248533</v>
      </c>
      <c r="K73" s="3">
        <f t="shared" si="14"/>
        <v>0.32304881495188864</v>
      </c>
      <c r="L73" s="3">
        <f t="shared" si="14"/>
        <v>0.45850922892751467</v>
      </c>
      <c r="M73" s="1">
        <f t="shared" si="15"/>
        <v>18.699007386058291</v>
      </c>
      <c r="N73" s="1">
        <f t="shared" si="16"/>
        <v>9.1827491896542384</v>
      </c>
      <c r="O73" s="2">
        <f t="shared" si="17"/>
        <v>-0.32304881495188864</v>
      </c>
      <c r="P73" s="2">
        <f t="shared" si="20"/>
        <v>0.3550000000000002</v>
      </c>
      <c r="Q73" s="2">
        <f t="shared" si="18"/>
        <v>35.902389747401912</v>
      </c>
    </row>
    <row r="74" spans="6:17">
      <c r="F74">
        <f t="shared" si="19"/>
        <v>121</v>
      </c>
      <c r="G74" s="2">
        <f t="shared" si="11"/>
        <v>0.45777777777777773</v>
      </c>
      <c r="H74" s="2">
        <f t="shared" si="12"/>
        <v>9.7777777777777519E-2</v>
      </c>
      <c r="I74" s="2">
        <f t="shared" si="13"/>
        <v>0.67644394865907742</v>
      </c>
      <c r="J74" s="2">
        <f t="shared" si="13"/>
        <v>0.538945623210765</v>
      </c>
      <c r="K74" s="3">
        <f t="shared" si="14"/>
        <v>0.32355605134092252</v>
      </c>
      <c r="L74" s="3">
        <f t="shared" si="14"/>
        <v>0.46105437678923505</v>
      </c>
      <c r="M74" s="1">
        <f t="shared" si="15"/>
        <v>18.878578249126775</v>
      </c>
      <c r="N74" s="1">
        <f t="shared" si="16"/>
        <v>9.3623200527227368</v>
      </c>
      <c r="O74" s="2">
        <f t="shared" si="17"/>
        <v>-0.32355605134092258</v>
      </c>
      <c r="P74" s="2">
        <f t="shared" si="20"/>
        <v>0.36000000000000021</v>
      </c>
      <c r="Q74" s="2">
        <f t="shared" si="18"/>
        <v>35.925645718331154</v>
      </c>
    </row>
    <row r="75" spans="6:17">
      <c r="F75">
        <f t="shared" si="19"/>
        <v>122</v>
      </c>
      <c r="G75" s="2">
        <f t="shared" si="11"/>
        <v>0.45647260273972595</v>
      </c>
      <c r="H75" s="2">
        <f t="shared" si="12"/>
        <v>9.1472602739725739E-2</v>
      </c>
      <c r="I75" s="2">
        <f t="shared" si="13"/>
        <v>0.67597491612719207</v>
      </c>
      <c r="J75" s="2">
        <f t="shared" si="13"/>
        <v>0.53644146260049963</v>
      </c>
      <c r="K75" s="3">
        <f t="shared" si="14"/>
        <v>0.32402508387280793</v>
      </c>
      <c r="L75" s="3">
        <f t="shared" si="14"/>
        <v>0.46355853739950037</v>
      </c>
      <c r="M75" s="1">
        <f t="shared" si="15"/>
        <v>19.058260818032231</v>
      </c>
      <c r="N75" s="1">
        <f t="shared" si="16"/>
        <v>9.5420026216281784</v>
      </c>
      <c r="O75" s="2">
        <f t="shared" si="17"/>
        <v>-0.32402508387280793</v>
      </c>
      <c r="P75" s="2">
        <f t="shared" si="20"/>
        <v>0.36500000000000021</v>
      </c>
      <c r="Q75" s="2">
        <f t="shared" si="18"/>
        <v>35.94708637382508</v>
      </c>
    </row>
    <row r="76" spans="6:17">
      <c r="F76">
        <f t="shared" si="19"/>
        <v>123</v>
      </c>
      <c r="G76" s="2">
        <f t="shared" si="11"/>
        <v>0.45527027027027028</v>
      </c>
      <c r="H76" s="2">
        <f t="shared" si="12"/>
        <v>8.5270270270270065E-2</v>
      </c>
      <c r="I76" s="2">
        <f t="shared" si="13"/>
        <v>0.67554259411485384</v>
      </c>
      <c r="J76" s="2">
        <f t="shared" si="13"/>
        <v>0.53397673684211178</v>
      </c>
      <c r="K76" s="3">
        <f t="shared" si="14"/>
        <v>0.3244574058851461</v>
      </c>
      <c r="L76" s="3">
        <f t="shared" si="14"/>
        <v>0.46602326315788817</v>
      </c>
      <c r="M76" s="1">
        <f t="shared" si="15"/>
        <v>19.238046225937047</v>
      </c>
      <c r="N76" s="1">
        <f t="shared" si="16"/>
        <v>9.7217880295329877</v>
      </c>
      <c r="O76" s="2">
        <f t="shared" si="17"/>
        <v>-0.32445740588514616</v>
      </c>
      <c r="P76" s="2">
        <f t="shared" si="20"/>
        <v>0.37000000000000022</v>
      </c>
      <c r="Q76" s="2">
        <f t="shared" si="18"/>
        <v>35.966794697130609</v>
      </c>
    </row>
    <row r="77" spans="6:17">
      <c r="F77">
        <f t="shared" si="19"/>
        <v>124</v>
      </c>
      <c r="G77" s="2">
        <f t="shared" si="11"/>
        <v>0.45416666666666661</v>
      </c>
      <c r="H77" s="2">
        <f t="shared" si="12"/>
        <v>7.9166666666666385E-2</v>
      </c>
      <c r="I77" s="2">
        <f t="shared" si="13"/>
        <v>0.67514556361982492</v>
      </c>
      <c r="J77" s="2">
        <f t="shared" si="13"/>
        <v>0.53154997125118086</v>
      </c>
      <c r="K77" s="3">
        <f t="shared" si="14"/>
        <v>0.32485443638017508</v>
      </c>
      <c r="L77" s="3">
        <f t="shared" si="14"/>
        <v>0.46845002874881914</v>
      </c>
      <c r="M77" s="1">
        <f t="shared" si="15"/>
        <v>19.417926007581791</v>
      </c>
      <c r="N77" s="1">
        <f t="shared" si="16"/>
        <v>9.9016678111777452</v>
      </c>
      <c r="O77" s="2">
        <f t="shared" si="17"/>
        <v>-0.32485443638017508</v>
      </c>
      <c r="P77" s="2">
        <f t="shared" si="20"/>
        <v>0.37500000000000022</v>
      </c>
      <c r="Q77" s="2">
        <f t="shared" si="18"/>
        <v>35.984848405161735</v>
      </c>
    </row>
    <row r="78" spans="6:17">
      <c r="F78">
        <f t="shared" si="19"/>
        <v>125</v>
      </c>
      <c r="G78" s="2">
        <f t="shared" si="11"/>
        <v>0.45315789473684204</v>
      </c>
      <c r="H78" s="2">
        <f t="shared" si="12"/>
        <v>7.3157894736841811E-2</v>
      </c>
      <c r="I78" s="2">
        <f t="shared" si="13"/>
        <v>0.67478247546352321</v>
      </c>
      <c r="J78" s="2">
        <f t="shared" si="13"/>
        <v>0.52915976415215726</v>
      </c>
      <c r="K78" s="3">
        <f t="shared" si="14"/>
        <v>0.32521752453647679</v>
      </c>
      <c r="L78" s="3">
        <f t="shared" si="14"/>
        <v>0.47084023584784274</v>
      </c>
      <c r="M78" s="1">
        <f t="shared" si="15"/>
        <v>19.5978920739568</v>
      </c>
      <c r="N78" s="1">
        <f t="shared" si="16"/>
        <v>10.081633877552747</v>
      </c>
      <c r="O78" s="2">
        <f t="shared" si="17"/>
        <v>-0.32521752453647679</v>
      </c>
      <c r="P78" s="2">
        <f t="shared" si="20"/>
        <v>0.38000000000000023</v>
      </c>
      <c r="Q78" s="2">
        <f t="shared" si="18"/>
        <v>36.001320343873246</v>
      </c>
    </row>
    <row r="79" spans="6:17">
      <c r="F79">
        <f t="shared" si="19"/>
        <v>126</v>
      </c>
      <c r="G79" s="2">
        <f t="shared" si="11"/>
        <v>0.45224025974025978</v>
      </c>
      <c r="H79" s="2">
        <f t="shared" si="12"/>
        <v>6.7240259740259545E-2</v>
      </c>
      <c r="I79" s="2">
        <f t="shared" si="13"/>
        <v>0.67445204609813902</v>
      </c>
      <c r="J79" s="2">
        <f t="shared" si="13"/>
        <v>0.52680478250353679</v>
      </c>
      <c r="K79" s="3">
        <f t="shared" si="14"/>
        <v>0.32554795390186098</v>
      </c>
      <c r="L79" s="3">
        <f t="shared" si="14"/>
        <v>0.47319521749646321</v>
      </c>
      <c r="M79" s="1">
        <f t="shared" si="15"/>
        <v>19.777936688864358</v>
      </c>
      <c r="N79" s="1">
        <f t="shared" si="16"/>
        <v>10.261678492460305</v>
      </c>
      <c r="O79" s="2">
        <f t="shared" si="17"/>
        <v>-0.32554795390186098</v>
      </c>
      <c r="P79" s="2">
        <f t="shared" si="20"/>
        <v>0.38500000000000023</v>
      </c>
      <c r="Q79" s="2">
        <f t="shared" si="18"/>
        <v>36.016278849703788</v>
      </c>
    </row>
    <row r="80" spans="6:17">
      <c r="F80">
        <f t="shared" si="19"/>
        <v>127</v>
      </c>
      <c r="G80" s="2">
        <f t="shared" si="11"/>
        <v>0.45141025641025639</v>
      </c>
      <c r="H80" s="2">
        <f t="shared" si="12"/>
        <v>6.1410256410256159E-2</v>
      </c>
      <c r="I80" s="2">
        <f t="shared" si="13"/>
        <v>0.6741530537071504</v>
      </c>
      <c r="J80" s="2">
        <f t="shared" si="13"/>
        <v>0.52448375782817913</v>
      </c>
      <c r="K80" s="3">
        <f t="shared" si="14"/>
        <v>0.3258469462928496</v>
      </c>
      <c r="L80" s="3">
        <f t="shared" si="14"/>
        <v>0.47551624217182092</v>
      </c>
      <c r="M80" s="1">
        <f t="shared" si="15"/>
        <v>19.958052447210342</v>
      </c>
      <c r="N80" s="1">
        <f t="shared" si="16"/>
        <v>10.441794250806289</v>
      </c>
      <c r="O80" s="2">
        <f t="shared" si="17"/>
        <v>-0.3258469462928496</v>
      </c>
      <c r="P80" s="2">
        <f t="shared" si="20"/>
        <v>0.39000000000000024</v>
      </c>
      <c r="Q80" s="2">
        <f t="shared" si="18"/>
        <v>36.029788080350336</v>
      </c>
    </row>
    <row r="81" spans="6:17">
      <c r="F81">
        <f t="shared" si="19"/>
        <v>128</v>
      </c>
      <c r="G81" s="2">
        <f t="shared" si="11"/>
        <v>0.45066455696202529</v>
      </c>
      <c r="H81" s="2">
        <f t="shared" si="12"/>
        <v>5.5664556962025047E-2</v>
      </c>
      <c r="I81" s="2">
        <f t="shared" si="13"/>
        <v>0.67388433457604557</v>
      </c>
      <c r="J81" s="2">
        <f t="shared" si="13"/>
        <v>0.52219548242475367</v>
      </c>
      <c r="K81" s="3">
        <f t="shared" si="14"/>
        <v>0.32611566542395443</v>
      </c>
      <c r="L81" s="3">
        <f t="shared" si="14"/>
        <v>0.47780451757524628</v>
      </c>
      <c r="M81" s="1">
        <f t="shared" si="15"/>
        <v>20.138232254878929</v>
      </c>
      <c r="N81" s="1">
        <f t="shared" si="16"/>
        <v>10.621974058474862</v>
      </c>
      <c r="O81" s="2">
        <f t="shared" si="17"/>
        <v>-0.32611566542395443</v>
      </c>
      <c r="P81" s="2">
        <f t="shared" si="20"/>
        <v>0.39500000000000024</v>
      </c>
      <c r="Q81" s="2">
        <f t="shared" si="18"/>
        <v>36.041908317790735</v>
      </c>
    </row>
    <row r="82" spans="6:17">
      <c r="F82">
        <f t="shared" si="19"/>
        <v>129</v>
      </c>
      <c r="G82" s="2">
        <f t="shared" si="11"/>
        <v>0.45</v>
      </c>
      <c r="H82" s="2">
        <f t="shared" si="12"/>
        <v>4.9999999999999767E-2</v>
      </c>
      <c r="I82" s="2">
        <f t="shared" si="13"/>
        <v>0.67364477971208003</v>
      </c>
      <c r="J82" s="2">
        <f t="shared" si="13"/>
        <v>0.51993880583837238</v>
      </c>
      <c r="K82" s="3">
        <f t="shared" si="14"/>
        <v>0.32635522028791997</v>
      </c>
      <c r="L82" s="3">
        <f t="shared" si="14"/>
        <v>0.48006119416162762</v>
      </c>
      <c r="M82" s="1">
        <f t="shared" si="15"/>
        <v>20.31846931005871</v>
      </c>
      <c r="N82" s="1">
        <f t="shared" si="16"/>
        <v>10.802211113654657</v>
      </c>
      <c r="O82" s="2">
        <f t="shared" si="17"/>
        <v>-0.32635522028791997</v>
      </c>
      <c r="P82" s="2">
        <f t="shared" si="20"/>
        <v>0.40000000000000024</v>
      </c>
      <c r="Q82" s="2">
        <f t="shared" si="18"/>
        <v>36.052696246164793</v>
      </c>
    </row>
    <row r="83" spans="6:17">
      <c r="F83">
        <f t="shared" si="19"/>
        <v>130</v>
      </c>
      <c r="G83" s="2">
        <f t="shared" si="11"/>
        <v>0.44941358024691358</v>
      </c>
      <c r="H83" s="2">
        <f t="shared" si="12"/>
        <v>4.4413580246913331E-2</v>
      </c>
      <c r="I83" s="2">
        <f t="shared" si="13"/>
        <v>0.67343333169372632</v>
      </c>
      <c r="J83" s="2">
        <f t="shared" si="13"/>
        <v>0.51771263157035619</v>
      </c>
      <c r="K83" s="3">
        <f t="shared" si="14"/>
        <v>0.32656666830627368</v>
      </c>
      <c r="L83" s="3">
        <f t="shared" si="14"/>
        <v>0.48228736842964381</v>
      </c>
      <c r="M83" s="1">
        <f t="shared" si="15"/>
        <v>20.498757085900323</v>
      </c>
      <c r="N83" s="1">
        <f t="shared" si="16"/>
        <v>10.982498889496277</v>
      </c>
      <c r="O83" s="2">
        <f t="shared" si="17"/>
        <v>-0.32656666830627368</v>
      </c>
      <c r="P83" s="2">
        <f t="shared" si="20"/>
        <v>0.40500000000000025</v>
      </c>
      <c r="Q83" s="2">
        <f t="shared" si="18"/>
        <v>36.062205206853477</v>
      </c>
    </row>
    <row r="84" spans="6:17">
      <c r="F84">
        <f t="shared" si="19"/>
        <v>131</v>
      </c>
      <c r="G84" s="2">
        <f t="shared" si="11"/>
        <v>0.4489024390243902</v>
      </c>
      <c r="H84" s="2">
        <f t="shared" si="12"/>
        <v>3.8902439024389945E-2</v>
      </c>
      <c r="I84" s="2">
        <f t="shared" si="13"/>
        <v>0.67324898173213488</v>
      </c>
      <c r="J84" s="2">
        <f t="shared" si="13"/>
        <v>0.51551591400879737</v>
      </c>
      <c r="K84" s="3">
        <f t="shared" si="14"/>
        <v>0.32675101826786512</v>
      </c>
      <c r="L84" s="3">
        <f t="shared" si="14"/>
        <v>0.48448408599120263</v>
      </c>
      <c r="M84" s="1">
        <f t="shared" si="15"/>
        <v>20.679089314396691</v>
      </c>
      <c r="N84" s="1">
        <f t="shared" si="16"/>
        <v>11.162831117992646</v>
      </c>
      <c r="O84" s="2">
        <f t="shared" si="17"/>
        <v>-0.32675101826786512</v>
      </c>
      <c r="P84" s="2">
        <f t="shared" si="20"/>
        <v>0.41000000000000025</v>
      </c>
      <c r="Q84" s="2">
        <f t="shared" si="18"/>
        <v>36.070485432855676</v>
      </c>
    </row>
    <row r="85" spans="6:17">
      <c r="F85">
        <f t="shared" si="19"/>
        <v>132</v>
      </c>
      <c r="G85" s="2">
        <f t="shared" si="11"/>
        <v>0.44846385542168676</v>
      </c>
      <c r="H85" s="2">
        <f t="shared" si="12"/>
        <v>3.3463855421686506E-2</v>
      </c>
      <c r="I85" s="2">
        <f t="shared" si="13"/>
        <v>0.67309076692842984</v>
      </c>
      <c r="J85" s="2">
        <f t="shared" si="13"/>
        <v>0.513347655563128</v>
      </c>
      <c r="K85" s="3">
        <f t="shared" si="14"/>
        <v>0.32690923307157016</v>
      </c>
      <c r="L85" s="3">
        <f t="shared" si="14"/>
        <v>0.48665234443687205</v>
      </c>
      <c r="M85" s="1">
        <f t="shared" si="15"/>
        <v>20.859459971387601</v>
      </c>
      <c r="N85" s="1">
        <f t="shared" si="16"/>
        <v>11.343201774983562</v>
      </c>
      <c r="O85" s="2">
        <f t="shared" si="17"/>
        <v>-0.32690923307157016</v>
      </c>
      <c r="P85" s="2">
        <f t="shared" si="20"/>
        <v>0.41500000000000026</v>
      </c>
      <c r="Q85" s="2">
        <f t="shared" si="18"/>
        <v>36.077584264348253</v>
      </c>
    </row>
    <row r="86" spans="6:17">
      <c r="F86">
        <f t="shared" si="19"/>
        <v>133</v>
      </c>
      <c r="G86" s="2">
        <f t="shared" si="11"/>
        <v>0.4480952380952381</v>
      </c>
      <c r="H86" s="2">
        <f t="shared" si="12"/>
        <v>2.809523809523784E-2</v>
      </c>
      <c r="I86" s="2">
        <f t="shared" si="13"/>
        <v>0.67295776771202886</v>
      </c>
      <c r="J86" s="2">
        <f t="shared" si="13"/>
        <v>0.51120690398732149</v>
      </c>
      <c r="K86" s="3">
        <f t="shared" si="14"/>
        <v>0.32704223228797108</v>
      </c>
      <c r="L86" s="3">
        <f t="shared" si="14"/>
        <v>0.48879309601267845</v>
      </c>
      <c r="M86" s="1">
        <f t="shared" si="15"/>
        <v>21.039863262598416</v>
      </c>
      <c r="N86" s="1">
        <f t="shared" si="16"/>
        <v>11.523605066194378</v>
      </c>
      <c r="O86" s="2">
        <f t="shared" si="17"/>
        <v>-0.32704223228797114</v>
      </c>
      <c r="P86" s="2">
        <f t="shared" si="20"/>
        <v>0.42000000000000026</v>
      </c>
      <c r="Q86" s="2">
        <f t="shared" si="18"/>
        <v>36.083546347125491</v>
      </c>
    </row>
    <row r="87" spans="6:17">
      <c r="F87">
        <f t="shared" si="19"/>
        <v>134</v>
      </c>
      <c r="G87" s="2">
        <f t="shared" si="11"/>
        <v>0.44779411764705879</v>
      </c>
      <c r="H87" s="2">
        <f t="shared" si="12"/>
        <v>2.2794117647058521E-2</v>
      </c>
      <c r="I87" s="2">
        <f t="shared" si="13"/>
        <v>0.67284910544642196</v>
      </c>
      <c r="J87" s="2">
        <f t="shared" si="13"/>
        <v>0.50909274987763609</v>
      </c>
      <c r="K87" s="3">
        <f t="shared" si="14"/>
        <v>0.32715089455357804</v>
      </c>
      <c r="L87" s="3">
        <f t="shared" si="14"/>
        <v>0.49090725012236386</v>
      </c>
      <c r="M87" s="1">
        <f t="shared" si="15"/>
        <v>21.220293610631529</v>
      </c>
      <c r="N87" s="1">
        <f t="shared" si="16"/>
        <v>11.704035414227462</v>
      </c>
      <c r="O87" s="2">
        <f t="shared" si="17"/>
        <v>-0.32715089455357804</v>
      </c>
      <c r="P87" s="2">
        <f t="shared" si="20"/>
        <v>0.42500000000000027</v>
      </c>
      <c r="Q87" s="2">
        <f t="shared" si="18"/>
        <v>36.088413815445115</v>
      </c>
    </row>
    <row r="88" spans="6:17">
      <c r="F88">
        <f t="shared" si="19"/>
        <v>135</v>
      </c>
      <c r="G88" s="2">
        <f t="shared" si="11"/>
        <v>0.44755813953488371</v>
      </c>
      <c r="H88" s="2">
        <f t="shared" si="12"/>
        <v>1.7558139534883443E-2</v>
      </c>
      <c r="I88" s="2">
        <f t="shared" si="13"/>
        <v>0.67276394018996621</v>
      </c>
      <c r="J88" s="2">
        <f t="shared" si="13"/>
        <v>0.50700432433197262</v>
      </c>
      <c r="K88" s="3">
        <f t="shared" si="14"/>
        <v>0.32723605981003379</v>
      </c>
      <c r="L88" s="3">
        <f t="shared" si="14"/>
        <v>0.49299567566802743</v>
      </c>
      <c r="M88" s="1">
        <f t="shared" si="15"/>
        <v>21.400745642835794</v>
      </c>
      <c r="N88" s="1">
        <f t="shared" si="16"/>
        <v>11.884487446431741</v>
      </c>
      <c r="O88" s="2">
        <f t="shared" si="17"/>
        <v>-0.32723605981003379</v>
      </c>
      <c r="P88" s="2">
        <f t="shared" si="20"/>
        <v>0.43000000000000027</v>
      </c>
      <c r="Q88" s="2">
        <f t="shared" si="18"/>
        <v>36.092226460657471</v>
      </c>
    </row>
    <row r="89" spans="6:17">
      <c r="F89">
        <f t="shared" si="19"/>
        <v>136</v>
      </c>
      <c r="G89" s="2">
        <f t="shared" si="11"/>
        <v>0.44738505747126439</v>
      </c>
      <c r="H89" s="2">
        <f t="shared" si="12"/>
        <v>1.2385057471264116E-2</v>
      </c>
      <c r="I89" s="2">
        <f t="shared" si="13"/>
        <v>0.67270146860028657</v>
      </c>
      <c r="J89" s="2">
        <f t="shared" si="13"/>
        <v>0.50494079675898629</v>
      </c>
      <c r="K89" s="3">
        <f t="shared" si="14"/>
        <v>0.32729853139971343</v>
      </c>
      <c r="L89" s="3">
        <f t="shared" si="14"/>
        <v>0.49505920324101377</v>
      </c>
      <c r="M89" s="1">
        <f t="shared" si="15"/>
        <v>21.581214179986524</v>
      </c>
      <c r="N89" s="1">
        <f t="shared" si="16"/>
        <v>12.064955983582479</v>
      </c>
      <c r="O89" s="2">
        <f t="shared" si="17"/>
        <v>-0.32729853139971343</v>
      </c>
      <c r="P89" s="2">
        <f t="shared" si="20"/>
        <v>0.43500000000000028</v>
      </c>
      <c r="Q89" s="2">
        <f t="shared" si="18"/>
        <v>36.095021886859996</v>
      </c>
    </row>
    <row r="90" spans="6:17">
      <c r="F90">
        <f t="shared" si="19"/>
        <v>137</v>
      </c>
      <c r="G90" s="2">
        <f t="shared" si="11"/>
        <v>0.44727272727272732</v>
      </c>
      <c r="H90" s="2">
        <f t="shared" si="12"/>
        <v>7.272727272727042E-3</v>
      </c>
      <c r="I90" s="2">
        <f t="shared" si="13"/>
        <v>0.6726609219718005</v>
      </c>
      <c r="J90" s="2">
        <f t="shared" si="13"/>
        <v>0.50290137282605651</v>
      </c>
      <c r="K90" s="3">
        <f t="shared" si="14"/>
        <v>0.32733907802819956</v>
      </c>
      <c r="L90" s="3">
        <f t="shared" si="14"/>
        <v>0.49709862717394349</v>
      </c>
      <c r="M90" s="1">
        <f t="shared" si="15"/>
        <v>21.7616942257132</v>
      </c>
      <c r="N90" s="1">
        <f t="shared" si="16"/>
        <v>12.245436029309147</v>
      </c>
      <c r="O90" s="2">
        <f t="shared" si="17"/>
        <v>-0.3273390780281995</v>
      </c>
      <c r="P90" s="2">
        <f t="shared" si="20"/>
        <v>0.44000000000000028</v>
      </c>
      <c r="Q90" s="2">
        <f t="shared" si="18"/>
        <v>36.096835654699099</v>
      </c>
    </row>
    <row r="91" spans="6:17">
      <c r="F91">
        <f t="shared" si="19"/>
        <v>138</v>
      </c>
      <c r="G91" s="2">
        <f t="shared" si="11"/>
        <v>0.44721910112359553</v>
      </c>
      <c r="H91" s="2">
        <f t="shared" si="12"/>
        <v>2.2191011235952462E-3</v>
      </c>
      <c r="I91" s="2">
        <f t="shared" si="13"/>
        <v>0.67264156439673983</v>
      </c>
      <c r="J91" s="2">
        <f t="shared" si="13"/>
        <v>0.50088529253609781</v>
      </c>
      <c r="K91" s="3">
        <f t="shared" si="14"/>
        <v>0.32735843560326011</v>
      </c>
      <c r="L91" s="3">
        <f t="shared" si="14"/>
        <v>0.49911470746390213</v>
      </c>
      <c r="M91" s="1">
        <f t="shared" si="15"/>
        <v>21.942180956619083</v>
      </c>
      <c r="N91" s="1">
        <f t="shared" si="16"/>
        <v>12.42592276021503</v>
      </c>
      <c r="O91" s="2">
        <f t="shared" si="17"/>
        <v>-0.32735843560326017</v>
      </c>
      <c r="P91" s="2">
        <f t="shared" si="20"/>
        <v>0.44500000000000028</v>
      </c>
      <c r="Q91" s="2">
        <f t="shared" si="18"/>
        <v>36.097701414334352</v>
      </c>
    </row>
    <row r="92" spans="6:17">
      <c r="F92">
        <f t="shared" si="19"/>
        <v>139</v>
      </c>
      <c r="G92" s="2">
        <f t="shared" si="11"/>
        <v>0.44722222222222224</v>
      </c>
      <c r="H92" s="2">
        <f t="shared" si="12"/>
        <v>-2.7777777777780455E-3</v>
      </c>
      <c r="I92" s="2">
        <f t="shared" si="13"/>
        <v>0.67264269104081675</v>
      </c>
      <c r="J92" s="2">
        <f t="shared" si="13"/>
        <v>0.49889182842400276</v>
      </c>
      <c r="K92" s="3">
        <f t="shared" si="14"/>
        <v>0.32735730895918325</v>
      </c>
      <c r="L92" s="3">
        <f t="shared" si="14"/>
        <v>0.5011081715759973</v>
      </c>
      <c r="M92" s="1">
        <f t="shared" si="15"/>
        <v>22.122669713040324</v>
      </c>
      <c r="N92" s="1">
        <f t="shared" si="16"/>
        <v>12.606411516636271</v>
      </c>
      <c r="O92" s="2">
        <f t="shared" si="17"/>
        <v>-0.32735730895918325</v>
      </c>
      <c r="P92" s="2">
        <f t="shared" si="20"/>
        <v>0.45000000000000029</v>
      </c>
      <c r="Q92" s="2">
        <f t="shared" si="18"/>
        <v>36.097651028483405</v>
      </c>
    </row>
    <row r="93" spans="6:17">
      <c r="F93">
        <f t="shared" si="19"/>
        <v>140</v>
      </c>
      <c r="G93" s="2">
        <f t="shared" si="11"/>
        <v>0.44728021978021981</v>
      </c>
      <c r="H93" s="2">
        <f t="shared" si="12"/>
        <v>-7.719780219780481E-3</v>
      </c>
      <c r="I93" s="2">
        <f t="shared" si="13"/>
        <v>0.67266362652538469</v>
      </c>
      <c r="J93" s="2">
        <f t="shared" si="13"/>
        <v>0.4969202838642372</v>
      </c>
      <c r="K93" s="3">
        <f t="shared" si="14"/>
        <v>0.32733637347461536</v>
      </c>
      <c r="L93" s="3">
        <f t="shared" si="14"/>
        <v>0.50307971613576274</v>
      </c>
      <c r="M93" s="1">
        <f t="shared" si="15"/>
        <v>22.303155990397229</v>
      </c>
      <c r="N93" s="1">
        <f t="shared" si="16"/>
        <v>12.786897793993163</v>
      </c>
      <c r="O93" s="2">
        <f t="shared" si="17"/>
        <v>-0.32733637347461531</v>
      </c>
      <c r="P93" s="2">
        <f t="shared" si="20"/>
        <v>0.45500000000000029</v>
      </c>
      <c r="Q93" s="2">
        <f t="shared" si="18"/>
        <v>36.096714686380139</v>
      </c>
    </row>
    <row r="94" spans="6:17">
      <c r="F94">
        <f t="shared" si="19"/>
        <v>141</v>
      </c>
      <c r="G94" s="2">
        <f t="shared" si="11"/>
        <v>0.44739130434782615</v>
      </c>
      <c r="H94" s="2">
        <f t="shared" si="12"/>
        <v>-1.2608695652174151E-2</v>
      </c>
      <c r="I94" s="2">
        <f t="shared" si="13"/>
        <v>0.67270372340859796</v>
      </c>
      <c r="J94" s="2">
        <f t="shared" si="13"/>
        <v>0.49496999148178056</v>
      </c>
      <c r="K94" s="3">
        <f t="shared" si="14"/>
        <v>0.32729627659140204</v>
      </c>
      <c r="L94" s="3">
        <f t="shared" si="14"/>
        <v>0.50503000851821944</v>
      </c>
      <c r="M94" s="1">
        <f t="shared" si="15"/>
        <v>22.483635431094278</v>
      </c>
      <c r="N94" s="1">
        <f t="shared" si="16"/>
        <v>12.967377234690225</v>
      </c>
      <c r="O94" s="2">
        <f t="shared" si="17"/>
        <v>-0.32729627659140204</v>
      </c>
      <c r="P94" s="2">
        <f t="shared" si="20"/>
        <v>0.4600000000000003</v>
      </c>
      <c r="Q94" s="2">
        <f t="shared" si="18"/>
        <v>36.094921009401126</v>
      </c>
    </row>
    <row r="95" spans="6:17">
      <c r="F95">
        <f t="shared" si="19"/>
        <v>142</v>
      </c>
      <c r="G95" s="2">
        <f t="shared" si="11"/>
        <v>0.44755376344086023</v>
      </c>
      <c r="H95" s="2">
        <f t="shared" si="12"/>
        <v>-1.7446236559140071E-2</v>
      </c>
      <c r="I95" s="2">
        <f t="shared" si="13"/>
        <v>0.67276236075865448</v>
      </c>
      <c r="J95" s="2">
        <f t="shared" si="13"/>
        <v>0.49304031165921192</v>
      </c>
      <c r="K95" s="3">
        <f t="shared" si="14"/>
        <v>0.32723763924134552</v>
      </c>
      <c r="L95" s="3">
        <f t="shared" si="14"/>
        <v>0.50695968834078808</v>
      </c>
      <c r="M95" s="1">
        <f t="shared" si="15"/>
        <v>22.664103816928836</v>
      </c>
      <c r="N95" s="1">
        <f t="shared" si="16"/>
        <v>13.147845620524791</v>
      </c>
      <c r="O95" s="2">
        <f t="shared" si="17"/>
        <v>-0.32723763924134552</v>
      </c>
      <c r="P95" s="2">
        <f t="shared" si="20"/>
        <v>0.4650000000000003</v>
      </c>
      <c r="Q95" s="2">
        <f t="shared" si="18"/>
        <v>36.092297149045827</v>
      </c>
    </row>
    <row r="96" spans="6:17">
      <c r="F96">
        <f t="shared" si="19"/>
        <v>143</v>
      </c>
      <c r="G96" s="2">
        <f t="shared" si="11"/>
        <v>0.44776595744680853</v>
      </c>
      <c r="H96" s="2">
        <f t="shared" si="12"/>
        <v>-2.223404255319178E-2</v>
      </c>
      <c r="I96" s="2">
        <f t="shared" si="13"/>
        <v>0.67283894281275058</v>
      </c>
      <c r="J96" s="2">
        <f t="shared" si="13"/>
        <v>0.4911306311333053</v>
      </c>
      <c r="K96" s="3">
        <f t="shared" si="14"/>
        <v>0.32716105718724942</v>
      </c>
      <c r="L96" s="3">
        <f t="shared" si="14"/>
        <v>0.50886936886669476</v>
      </c>
      <c r="M96" s="1">
        <f t="shared" si="15"/>
        <v>22.844557061971933</v>
      </c>
      <c r="N96" s="1">
        <f t="shared" si="16"/>
        <v>13.328298865567895</v>
      </c>
      <c r="O96" s="2">
        <f t="shared" si="17"/>
        <v>-0.32716105718724942</v>
      </c>
      <c r="P96" s="2">
        <f t="shared" si="20"/>
        <v>0.47000000000000031</v>
      </c>
      <c r="Q96" s="2">
        <f t="shared" si="18"/>
        <v>36.088868877893773</v>
      </c>
    </row>
    <row r="97" spans="6:17">
      <c r="F97">
        <f t="shared" si="19"/>
        <v>144</v>
      </c>
      <c r="G97" s="2">
        <f t="shared" si="11"/>
        <v>0.44802631578947372</v>
      </c>
      <c r="H97" s="2">
        <f t="shared" si="12"/>
        <v>-2.6973684210526594E-2</v>
      </c>
      <c r="I97" s="2">
        <f t="shared" si="13"/>
        <v>0.67293289771586717</v>
      </c>
      <c r="J97" s="2">
        <f t="shared" si="13"/>
        <v>0.48924036167500617</v>
      </c>
      <c r="K97" s="3">
        <f t="shared" si="14"/>
        <v>0.32706710228413283</v>
      </c>
      <c r="L97" s="3">
        <f t="shared" si="14"/>
        <v>0.51075963832499383</v>
      </c>
      <c r="M97" s="1">
        <f t="shared" si="15"/>
        <v>23.024991205887559</v>
      </c>
      <c r="N97" s="1">
        <f t="shared" si="16"/>
        <v>13.508733009483507</v>
      </c>
      <c r="O97" s="2">
        <f t="shared" si="17"/>
        <v>-0.32706710228413283</v>
      </c>
      <c r="P97" s="2">
        <f t="shared" si="20"/>
        <v>0.47500000000000031</v>
      </c>
      <c r="Q97" s="2">
        <f t="shared" si="18"/>
        <v>36.084660674105329</v>
      </c>
    </row>
    <row r="98" spans="6:17">
      <c r="F98">
        <f t="shared" si="19"/>
        <v>145</v>
      </c>
      <c r="G98" s="2">
        <f t="shared" si="11"/>
        <v>0.44833333333333342</v>
      </c>
      <c r="H98" s="2">
        <f t="shared" si="12"/>
        <v>-3.1666666666666898E-2</v>
      </c>
      <c r="I98" s="2">
        <f t="shared" si="13"/>
        <v>0.6730436763339569</v>
      </c>
      <c r="J98" s="2">
        <f t="shared" si="13"/>
        <v>0.48736893884713239</v>
      </c>
      <c r="K98" s="3">
        <f t="shared" si="14"/>
        <v>0.3269563236660431</v>
      </c>
      <c r="L98" s="3">
        <f t="shared" si="14"/>
        <v>0.51263106115286761</v>
      </c>
      <c r="M98" s="1">
        <f t="shared" si="15"/>
        <v>23.205402407659214</v>
      </c>
      <c r="N98" s="1">
        <f t="shared" si="16"/>
        <v>13.689144211255169</v>
      </c>
      <c r="O98" s="2">
        <f t="shared" si="17"/>
        <v>-0.3269563236660431</v>
      </c>
      <c r="P98" s="2">
        <f t="shared" si="20"/>
        <v>0.48000000000000032</v>
      </c>
      <c r="Q98" s="2">
        <f t="shared" si="18"/>
        <v>36.079695799982261</v>
      </c>
    </row>
    <row r="99" spans="6:17">
      <c r="F99">
        <f t="shared" si="19"/>
        <v>146</v>
      </c>
      <c r="G99" s="2">
        <f t="shared" si="11"/>
        <v>0.44868556701030932</v>
      </c>
      <c r="H99" s="2">
        <f t="shared" si="12"/>
        <v>-3.6314432989691003E-2</v>
      </c>
      <c r="I99" s="2">
        <f t="shared" si="13"/>
        <v>0.67317075113651748</v>
      </c>
      <c r="J99" s="2">
        <f t="shared" si="13"/>
        <v>0.48551582083456835</v>
      </c>
      <c r="K99" s="3">
        <f t="shared" si="14"/>
        <v>0.32682924886348247</v>
      </c>
      <c r="L99" s="3">
        <f t="shared" si="14"/>
        <v>0.51448417916543165</v>
      </c>
      <c r="M99" s="1">
        <f t="shared" si="15"/>
        <v>23.38578693969572</v>
      </c>
      <c r="N99" s="1">
        <f t="shared" si="16"/>
        <v>13.869528743291667</v>
      </c>
      <c r="O99" s="2">
        <f t="shared" si="17"/>
        <v>-0.32682924886348252</v>
      </c>
      <c r="P99" s="2">
        <f t="shared" si="20"/>
        <v>0.48500000000000032</v>
      </c>
      <c r="Q99" s="2">
        <f t="shared" si="18"/>
        <v>36.073996375058471</v>
      </c>
    </row>
    <row r="100" spans="6:17">
      <c r="F100">
        <f t="shared" si="19"/>
        <v>147</v>
      </c>
      <c r="G100" s="2">
        <f t="shared" si="11"/>
        <v>0.44908163265306128</v>
      </c>
      <c r="H100" s="2">
        <f t="shared" si="12"/>
        <v>-4.0918367346939044E-2</v>
      </c>
      <c r="I100" s="2">
        <f t="shared" si="13"/>
        <v>0.67331361514390997</v>
      </c>
      <c r="J100" s="2">
        <f t="shared" si="13"/>
        <v>0.48368048734211805</v>
      </c>
      <c r="K100" s="3">
        <f t="shared" si="14"/>
        <v>0.32668638485609003</v>
      </c>
      <c r="L100" s="3">
        <f t="shared" si="14"/>
        <v>0.5163195126578819</v>
      </c>
      <c r="M100" s="1">
        <f t="shared" si="15"/>
        <v>23.566141182289321</v>
      </c>
      <c r="N100" s="1">
        <f t="shared" si="16"/>
        <v>14.049882985885276</v>
      </c>
      <c r="O100" s="2">
        <f t="shared" si="17"/>
        <v>-0.32668638485609003</v>
      </c>
      <c r="P100" s="2">
        <f t="shared" si="20"/>
        <v>0.49000000000000032</v>
      </c>
      <c r="Q100" s="2">
        <f t="shared" si="18"/>
        <v>36.067583444149832</v>
      </c>
    </row>
    <row r="101" spans="6:17">
      <c r="F101">
        <f t="shared" si="19"/>
        <v>148</v>
      </c>
      <c r="G101" s="2">
        <f t="shared" si="11"/>
        <v>0.44952020202020204</v>
      </c>
      <c r="H101" s="2">
        <f t="shared" si="12"/>
        <v>-4.5479797979798287E-2</v>
      </c>
      <c r="I101" s="2">
        <f t="shared" si="13"/>
        <v>0.67347178093513316</v>
      </c>
      <c r="J101" s="2">
        <f t="shared" si="13"/>
        <v>0.48186243855554106</v>
      </c>
      <c r="K101" s="3">
        <f t="shared" si="14"/>
        <v>0.32652821906486684</v>
      </c>
      <c r="L101" s="3">
        <f t="shared" si="14"/>
        <v>0.51813756144445899</v>
      </c>
      <c r="M101" s="1">
        <f t="shared" si="15"/>
        <v>23.746461618402627</v>
      </c>
      <c r="N101" s="1">
        <f t="shared" si="16"/>
        <v>14.230203421998574</v>
      </c>
      <c r="O101" s="2">
        <f t="shared" si="17"/>
        <v>-0.32652821906486684</v>
      </c>
      <c r="P101" s="2">
        <f t="shared" si="20"/>
        <v>0.49500000000000033</v>
      </c>
      <c r="Q101" s="2">
        <f t="shared" si="18"/>
        <v>36.060477040754954</v>
      </c>
    </row>
    <row r="102" spans="6:17">
      <c r="F102">
        <f t="shared" si="19"/>
        <v>149</v>
      </c>
      <c r="G102" s="2">
        <f t="shared" si="11"/>
        <v>0.45000000000000007</v>
      </c>
      <c r="H102" s="2">
        <f t="shared" si="12"/>
        <v>-5.0000000000000266E-2</v>
      </c>
      <c r="I102" s="2">
        <f t="shared" si="13"/>
        <v>0.67364477971208003</v>
      </c>
      <c r="J102" s="2">
        <f t="shared" si="13"/>
        <v>0.4800611941616274</v>
      </c>
      <c r="K102" s="3">
        <f t="shared" si="14"/>
        <v>0.32635522028791997</v>
      </c>
      <c r="L102" s="3">
        <f t="shared" si="14"/>
        <v>0.5199388058383726</v>
      </c>
      <c r="M102" s="1">
        <f t="shared" si="15"/>
        <v>23.926744828761365</v>
      </c>
      <c r="N102" s="1">
        <f t="shared" si="16"/>
        <v>14.410486632357312</v>
      </c>
      <c r="O102" s="2">
        <f t="shared" si="17"/>
        <v>-0.32635522028791997</v>
      </c>
      <c r="P102" s="2">
        <f t="shared" si="20"/>
        <v>0.50000000000000033</v>
      </c>
      <c r="Q102" s="2">
        <f t="shared" si="18"/>
        <v>36.052696246164793</v>
      </c>
    </row>
    <row r="103" spans="6:17">
      <c r="F103">
        <f t="shared" si="19"/>
        <v>150</v>
      </c>
      <c r="G103" s="2">
        <f t="shared" si="11"/>
        <v>0.45051980198019809</v>
      </c>
      <c r="H103" s="2">
        <f t="shared" si="12"/>
        <v>-5.4480198019802251E-2</v>
      </c>
      <c r="I103" s="2">
        <f t="shared" si="13"/>
        <v>0.67383216041659555</v>
      </c>
      <c r="J103" s="2">
        <f t="shared" si="13"/>
        <v>0.47827629242347219</v>
      </c>
      <c r="K103" s="3">
        <f t="shared" si="14"/>
        <v>0.32616783958340445</v>
      </c>
      <c r="L103" s="3">
        <f t="shared" si="14"/>
        <v>0.52172370757652775</v>
      </c>
      <c r="M103" s="1">
        <f t="shared" si="15"/>
        <v>24.106987487232942</v>
      </c>
      <c r="N103" s="1">
        <f t="shared" si="16"/>
        <v>14.590729290828882</v>
      </c>
      <c r="O103" s="2">
        <f t="shared" si="17"/>
        <v>-0.32616783958340445</v>
      </c>
      <c r="P103" s="2">
        <f t="shared" si="20"/>
        <v>0.50500000000000034</v>
      </c>
      <c r="Q103" s="2">
        <f t="shared" si="18"/>
        <v>36.044259244608504</v>
      </c>
    </row>
    <row r="104" spans="6:17">
      <c r="F104">
        <f t="shared" si="19"/>
        <v>151</v>
      </c>
      <c r="G104" s="2">
        <f t="shared" si="11"/>
        <v>0.45107843137254905</v>
      </c>
      <c r="H104" s="2">
        <f t="shared" si="12"/>
        <v>-5.8921568627451293E-2</v>
      </c>
      <c r="I104" s="2">
        <f t="shared" si="13"/>
        <v>0.67403348889692438</v>
      </c>
      <c r="J104" s="2">
        <f t="shared" si="13"/>
        <v>0.47650728930738961</v>
      </c>
      <c r="K104" s="3">
        <f t="shared" si="14"/>
        <v>0.32596651110307562</v>
      </c>
      <c r="L104" s="3">
        <f t="shared" si="14"/>
        <v>0.52349271069261039</v>
      </c>
      <c r="M104" s="1">
        <f t="shared" si="15"/>
        <v>24.287186356471203</v>
      </c>
      <c r="N104" s="1">
        <f t="shared" si="16"/>
        <v>14.77092816006715</v>
      </c>
      <c r="O104" s="2">
        <f t="shared" si="17"/>
        <v>-0.32596651110307562</v>
      </c>
      <c r="P104" s="2">
        <f t="shared" si="20"/>
        <v>0.51000000000000034</v>
      </c>
      <c r="Q104" s="2">
        <f t="shared" si="18"/>
        <v>36.035183374735126</v>
      </c>
    </row>
    <row r="105" spans="6:17">
      <c r="F105">
        <f t="shared" si="19"/>
        <v>152</v>
      </c>
      <c r="G105" s="2">
        <f t="shared" si="11"/>
        <v>0.45167475728155349</v>
      </c>
      <c r="H105" s="2">
        <f t="shared" si="12"/>
        <v>-6.3325242718446861E-2</v>
      </c>
      <c r="I105" s="2">
        <f t="shared" si="13"/>
        <v>0.67424834712038417</v>
      </c>
      <c r="J105" s="2">
        <f t="shared" si="13"/>
        <v>0.47475375765816391</v>
      </c>
      <c r="K105" s="3">
        <f t="shared" si="14"/>
        <v>0.32575165287961577</v>
      </c>
      <c r="L105" s="3">
        <f t="shared" si="14"/>
        <v>0.52524624234183603</v>
      </c>
      <c r="M105" s="1">
        <f t="shared" si="15"/>
        <v>24.46733828381015</v>
      </c>
      <c r="N105" s="1">
        <f t="shared" si="16"/>
        <v>14.951080087406105</v>
      </c>
      <c r="O105" s="2">
        <f t="shared" si="17"/>
        <v>-0.32575165287961583</v>
      </c>
      <c r="P105" s="2">
        <f t="shared" si="20"/>
        <v>0.51500000000000035</v>
      </c>
      <c r="Q105" s="2">
        <f t="shared" si="18"/>
        <v>36.025485177705669</v>
      </c>
    </row>
    <row r="106" spans="6:17">
      <c r="F106">
        <f t="shared" si="19"/>
        <v>153</v>
      </c>
      <c r="G106" s="2">
        <f t="shared" si="11"/>
        <v>0.45230769230769236</v>
      </c>
      <c r="H106" s="2">
        <f t="shared" si="12"/>
        <v>-6.7692307692307996E-2</v>
      </c>
      <c r="I106" s="2">
        <f t="shared" si="13"/>
        <v>0.67447633242932614</v>
      </c>
      <c r="J106" s="2">
        <f t="shared" si="13"/>
        <v>0.47301528641957102</v>
      </c>
      <c r="K106" s="3">
        <f t="shared" si="14"/>
        <v>0.3255236675706738</v>
      </c>
      <c r="L106" s="3">
        <f t="shared" si="14"/>
        <v>0.52698471358042898</v>
      </c>
      <c r="M106" s="1">
        <f t="shared" si="15"/>
        <v>24.647440197390161</v>
      </c>
      <c r="N106" s="1">
        <f t="shared" si="16"/>
        <v>15.131182000986115</v>
      </c>
      <c r="O106" s="2">
        <f t="shared" si="17"/>
        <v>-0.32552366757067386</v>
      </c>
      <c r="P106" s="2">
        <f t="shared" si="20"/>
        <v>0.52000000000000035</v>
      </c>
      <c r="Q106" s="2">
        <f t="shared" si="18"/>
        <v>36.015180442147297</v>
      </c>
    </row>
    <row r="107" spans="6:17">
      <c r="F107">
        <f t="shared" si="19"/>
        <v>154</v>
      </c>
      <c r="G107" s="2">
        <f t="shared" si="11"/>
        <v>0.45297619047619053</v>
      </c>
      <c r="H107" s="2">
        <f t="shared" si="12"/>
        <v>-7.2023809523809823E-2</v>
      </c>
      <c r="I107" s="2">
        <f t="shared" si="13"/>
        <v>0.67471705683765604</v>
      </c>
      <c r="J107" s="2">
        <f t="shared" si="13"/>
        <v>0.47129147989732323</v>
      </c>
      <c r="K107" s="3">
        <f t="shared" si="14"/>
        <v>0.32528294316234396</v>
      </c>
      <c r="L107" s="3">
        <f t="shared" si="14"/>
        <v>0.52870852010267677</v>
      </c>
      <c r="M107" s="1">
        <f t="shared" si="15"/>
        <v>24.82748910250158</v>
      </c>
      <c r="N107" s="1">
        <f t="shared" si="16"/>
        <v>15.311230906097528</v>
      </c>
      <c r="O107" s="2">
        <f t="shared" si="17"/>
        <v>-0.32528294316234396</v>
      </c>
      <c r="P107" s="2">
        <f t="shared" si="20"/>
        <v>0.52500000000000036</v>
      </c>
      <c r="Q107" s="2">
        <f t="shared" si="18"/>
        <v>36.004284246200392</v>
      </c>
    </row>
    <row r="108" spans="6:17">
      <c r="F108">
        <f t="shared" si="19"/>
        <v>155</v>
      </c>
      <c r="G108" s="2">
        <f t="shared" si="11"/>
        <v>0.45367924528301889</v>
      </c>
      <c r="H108" s="2">
        <f t="shared" si="12"/>
        <v>-7.6320754716981465E-2</v>
      </c>
      <c r="I108" s="2">
        <f t="shared" si="13"/>
        <v>0.67497014636538022</v>
      </c>
      <c r="J108" s="2">
        <f t="shared" si="13"/>
        <v>0.46958195706178979</v>
      </c>
      <c r="K108" s="3">
        <f t="shared" si="14"/>
        <v>0.32502985363461978</v>
      </c>
      <c r="L108" s="3">
        <f t="shared" si="14"/>
        <v>0.53041804293821015</v>
      </c>
      <c r="M108" s="1">
        <f t="shared" si="15"/>
        <v>25.007482078131758</v>
      </c>
      <c r="N108" s="1">
        <f t="shared" si="16"/>
        <v>15.491223881727699</v>
      </c>
      <c r="O108" s="2">
        <f t="shared" si="17"/>
        <v>-0.32502985363461978</v>
      </c>
      <c r="P108" s="2">
        <f t="shared" si="20"/>
        <v>0.53000000000000036</v>
      </c>
      <c r="Q108" s="2">
        <f t="shared" si="18"/>
        <v>35.992810996870737</v>
      </c>
    </row>
    <row r="109" spans="6:17">
      <c r="F109">
        <f t="shared" si="19"/>
        <v>156</v>
      </c>
      <c r="G109" s="2">
        <f t="shared" si="11"/>
        <v>0.45441588785046738</v>
      </c>
      <c r="H109" s="2">
        <f t="shared" si="12"/>
        <v>-8.0584112149532983E-2</v>
      </c>
      <c r="I109" s="2">
        <f t="shared" si="13"/>
        <v>0.67523524040881888</v>
      </c>
      <c r="J109" s="2">
        <f t="shared" si="13"/>
        <v>0.4678863508880321</v>
      </c>
      <c r="K109" s="3">
        <f t="shared" si="14"/>
        <v>0.32476475959118106</v>
      </c>
      <c r="L109" s="3">
        <f t="shared" si="14"/>
        <v>0.5321136491119679</v>
      </c>
      <c r="M109" s="1">
        <f t="shared" si="15"/>
        <v>25.187416273702489</v>
      </c>
      <c r="N109" s="1">
        <f t="shared" si="16"/>
        <v>15.67115807729845</v>
      </c>
      <c r="O109" s="2">
        <f t="shared" si="17"/>
        <v>-0.32476475959118112</v>
      </c>
      <c r="P109" s="2">
        <f t="shared" si="20"/>
        <v>0.53500000000000036</v>
      </c>
      <c r="Q109" s="2">
        <f t="shared" si="18"/>
        <v>35.980774466881563</v>
      </c>
    </row>
    <row r="110" spans="6:17">
      <c r="F110">
        <f t="shared" si="19"/>
        <v>157</v>
      </c>
      <c r="G110" s="2">
        <f t="shared" si="11"/>
        <v>0.45518518518518525</v>
      </c>
      <c r="H110" s="2">
        <f t="shared" si="12"/>
        <v>-8.481481481481512E-2</v>
      </c>
      <c r="I110" s="2">
        <f t="shared" si="13"/>
        <v>0.67551199114429505</v>
      </c>
      <c r="J110" s="2">
        <f t="shared" si="13"/>
        <v>0.46620430773086274</v>
      </c>
      <c r="K110" s="3">
        <f t="shared" si="14"/>
        <v>0.32448800885570489</v>
      </c>
      <c r="L110" s="3">
        <f t="shared" si="14"/>
        <v>0.53379569226913726</v>
      </c>
      <c r="M110" s="1">
        <f t="shared" si="15"/>
        <v>25.36728890598593</v>
      </c>
      <c r="N110" s="1">
        <f t="shared" si="16"/>
        <v>15.851030709581877</v>
      </c>
      <c r="O110" s="2">
        <f t="shared" si="17"/>
        <v>-0.32448800885570495</v>
      </c>
      <c r="P110" s="2">
        <f t="shared" si="20"/>
        <v>0.54000000000000037</v>
      </c>
      <c r="Q110" s="2">
        <f t="shared" si="18"/>
        <v>35.968187829204687</v>
      </c>
    </row>
    <row r="111" spans="6:17">
      <c r="F111">
        <f t="shared" si="19"/>
        <v>158</v>
      </c>
      <c r="G111" s="2">
        <f t="shared" si="11"/>
        <v>0.45598623853211018</v>
      </c>
      <c r="H111" s="2">
        <f t="shared" si="12"/>
        <v>-8.9013761467890196E-2</v>
      </c>
      <c r="I111" s="2">
        <f t="shared" si="13"/>
        <v>0.67580006296325579</v>
      </c>
      <c r="J111" s="2">
        <f t="shared" si="13"/>
        <v>0.46453548673279538</v>
      </c>
      <c r="K111" s="3">
        <f t="shared" si="14"/>
        <v>0.32419993703674421</v>
      </c>
      <c r="L111" s="3">
        <f t="shared" si="14"/>
        <v>0.53546451326720468</v>
      </c>
      <c r="M111" s="1">
        <f t="shared" si="15"/>
        <v>25.547097256187548</v>
      </c>
      <c r="N111" s="1">
        <f t="shared" si="16"/>
        <v>16.030839059783503</v>
      </c>
      <c r="O111" s="2">
        <f t="shared" si="17"/>
        <v>-0.32419993703674421</v>
      </c>
      <c r="P111" s="2">
        <f t="shared" si="20"/>
        <v>0.54500000000000037</v>
      </c>
      <c r="Q111" s="2">
        <f t="shared" si="18"/>
        <v>35.955063689435732</v>
      </c>
    </row>
    <row r="112" spans="6:17">
      <c r="F112">
        <f t="shared" si="19"/>
        <v>159</v>
      </c>
      <c r="G112" s="2">
        <f t="shared" si="11"/>
        <v>0.45681818181818185</v>
      </c>
      <c r="H112" s="2">
        <f t="shared" si="12"/>
        <v>-9.3181818181818532E-2</v>
      </c>
      <c r="I112" s="2">
        <f t="shared" si="13"/>
        <v>0.67609913193692495</v>
      </c>
      <c r="J112" s="2">
        <f t="shared" si="13"/>
        <v>0.46287955926289936</v>
      </c>
      <c r="K112" s="3">
        <f t="shared" si="14"/>
        <v>0.32390086806307505</v>
      </c>
      <c r="L112" s="3">
        <f t="shared" si="14"/>
        <v>0.53712044073710064</v>
      </c>
      <c r="M112" s="1">
        <f t="shared" si="15"/>
        <v>25.726838667186016</v>
      </c>
      <c r="N112" s="1">
        <f t="shared" si="16"/>
        <v>16.210580470781963</v>
      </c>
      <c r="O112" s="2">
        <f t="shared" si="17"/>
        <v>-0.32390086806307505</v>
      </c>
      <c r="P112" s="2">
        <f t="shared" si="20"/>
        <v>0.55000000000000038</v>
      </c>
      <c r="Q112" s="2">
        <f t="shared" si="18"/>
        <v>35.941414116165255</v>
      </c>
    </row>
    <row r="113" spans="6:17">
      <c r="F113">
        <f t="shared" si="19"/>
        <v>160</v>
      </c>
      <c r="G113" s="2">
        <f t="shared" si="11"/>
        <v>0.4576801801801802</v>
      </c>
      <c r="H113" s="2">
        <f t="shared" si="12"/>
        <v>-9.7319819819820186E-2</v>
      </c>
      <c r="I113" s="2">
        <f t="shared" si="13"/>
        <v>0.67640888530871612</v>
      </c>
      <c r="J113" s="2">
        <f t="shared" si="13"/>
        <v>0.46123620838470625</v>
      </c>
      <c r="K113" s="3">
        <f t="shared" si="14"/>
        <v>0.32359111469128388</v>
      </c>
      <c r="L113" s="3">
        <f t="shared" si="14"/>
        <v>0.53876379161529375</v>
      </c>
      <c r="M113" s="1">
        <f t="shared" si="15"/>
        <v>25.906510540920273</v>
      </c>
      <c r="N113" s="1">
        <f t="shared" si="16"/>
        <v>16.390252344516227</v>
      </c>
      <c r="O113" s="2">
        <f t="shared" si="17"/>
        <v>-0.32359111469128388</v>
      </c>
      <c r="P113" s="2">
        <f t="shared" si="20"/>
        <v>0.55500000000000038</v>
      </c>
      <c r="Q113" s="2">
        <f t="shared" si="18"/>
        <v>35.927250669485936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4E62-6932-4C09-BD99-F52D91E45C97}">
  <dimension ref="A1:R113"/>
  <sheetViews>
    <sheetView topLeftCell="H1" zoomScale="62" zoomScaleNormal="85" workbookViewId="0">
      <selection activeCell="Z41" sqref="Z41"/>
    </sheetView>
  </sheetViews>
  <sheetFormatPr defaultRowHeight="14.4"/>
  <cols>
    <col min="8" max="8" width="11.77734375" bestFit="1" customWidth="1"/>
    <col min="9" max="9" width="9.77734375" customWidth="1"/>
    <col min="13" max="13" width="10.109375" customWidth="1"/>
    <col min="17" max="17" width="12.21875" style="2" bestFit="1" customWidth="1"/>
  </cols>
  <sheetData>
    <row r="1" spans="1:18">
      <c r="A1" t="s">
        <v>0</v>
      </c>
      <c r="B1">
        <v>100</v>
      </c>
    </row>
    <row r="2" spans="1:18">
      <c r="A2" t="s">
        <v>1</v>
      </c>
      <c r="B2">
        <v>100</v>
      </c>
      <c r="F2" t="s">
        <v>0</v>
      </c>
      <c r="G2" t="s">
        <v>5</v>
      </c>
      <c r="H2" t="s">
        <v>6</v>
      </c>
      <c r="I2" t="s">
        <v>7</v>
      </c>
      <c r="J2" t="s">
        <v>8</v>
      </c>
      <c r="K2" t="s">
        <v>11</v>
      </c>
      <c r="L2" t="s">
        <v>12</v>
      </c>
      <c r="M2" t="s">
        <v>9</v>
      </c>
      <c r="N2" t="s">
        <v>10</v>
      </c>
      <c r="O2" t="s">
        <v>14</v>
      </c>
      <c r="P2" s="2" t="s">
        <v>2</v>
      </c>
      <c r="Q2" s="2" t="s">
        <v>25</v>
      </c>
      <c r="R2" s="2" t="s">
        <v>26</v>
      </c>
    </row>
    <row r="3" spans="1:18">
      <c r="A3" t="s">
        <v>2</v>
      </c>
      <c r="B3">
        <v>0.1</v>
      </c>
      <c r="F3">
        <v>50</v>
      </c>
      <c r="G3" s="2">
        <f>(LN($B$1/$B$2)+(P3+($B$4^2)/2)*$B$5)/($B$4*SQRT($B$5))</f>
        <v>8.1666666666666679E-2</v>
      </c>
      <c r="H3" s="2">
        <f>G3-$B$4*SQRT($B$5)</f>
        <v>-6.8333333333333315E-2</v>
      </c>
      <c r="I3" s="2">
        <f>_xlfn.NORM.S.DIST(G3,TRUE)</f>
        <v>0.53254410703302502</v>
      </c>
      <c r="J3" s="2">
        <f>_xlfn.NORM.S.DIST(H3,TRUE)</f>
        <v>0.47276014498530106</v>
      </c>
      <c r="K3" s="3">
        <f>_xlfn.NORM.S.DIST(-G3,TRUE)</f>
        <v>0.46745589296697504</v>
      </c>
      <c r="L3" s="3">
        <f>_xlfn.NORM.S.DIST(-H3,TRUE)</f>
        <v>0.52723985501469894</v>
      </c>
      <c r="M3" s="1">
        <f>$B$1*I3-$B$2*EXP(-P3*$B$5)*J3</f>
        <v>6.0256485891410492</v>
      </c>
      <c r="N3" s="1">
        <f>EXP(-P3*$B$5)*$B$2*L3-$B$1*K3</f>
        <v>5.925698572478538</v>
      </c>
      <c r="O3" s="2">
        <f>+I3-1</f>
        <v>-0.46745589296697498</v>
      </c>
      <c r="P3" s="2">
        <v>1E-3</v>
      </c>
      <c r="Q3" s="2">
        <f>$B$5*$B$2*EXP(-P3*$B$5)*J3</f>
        <v>47.228762114161455</v>
      </c>
      <c r="R3" s="2">
        <f>-$B$5*$B$2*EXP(-P3*$B$5)*L3</f>
        <v>-52.671287869176041</v>
      </c>
    </row>
    <row r="4" spans="1:18">
      <c r="A4" t="s">
        <v>3</v>
      </c>
      <c r="B4">
        <v>0.15</v>
      </c>
      <c r="F4">
        <f>+F3+1</f>
        <v>51</v>
      </c>
      <c r="G4" s="2">
        <f t="shared" ref="G4:G67" si="0">(LN($B$1/$B$2)+(P4+($B$4^2)/2)*$B$5)/($B$4*SQRT($B$5))</f>
        <v>9.8333333333333328E-2</v>
      </c>
      <c r="H4" s="2">
        <f t="shared" ref="H4:H67" si="1">G4-$B$4*SQRT($B$5)</f>
        <v>-5.1666666666666666E-2</v>
      </c>
      <c r="I4" s="2">
        <f t="shared" ref="I4:J67" si="2">_xlfn.NORM.S.DIST(G4,TRUE)</f>
        <v>0.53916619486886808</v>
      </c>
      <c r="J4" s="2">
        <f t="shared" si="2"/>
        <v>0.47939714894783919</v>
      </c>
      <c r="K4" s="3">
        <f t="shared" ref="K4:L67" si="3">_xlfn.NORM.S.DIST(-G4,TRUE)</f>
        <v>0.46083380513113192</v>
      </c>
      <c r="L4" s="3">
        <f t="shared" si="3"/>
        <v>0.52060285105216075</v>
      </c>
      <c r="M4" s="1">
        <f t="shared" ref="M4:M67" si="4">$B$1*I4-$B$2*EXP(-P4*$B$5)*J4</f>
        <v>6.1444003057505796</v>
      </c>
      <c r="N4" s="1">
        <f t="shared" ref="N4:N67" si="5">EXP(-P4*$B$5)*$B$2*L4-$B$1*K4</f>
        <v>5.79501209179206</v>
      </c>
      <c r="O4" s="2">
        <f t="shared" ref="O4:O67" si="6">+I4-1</f>
        <v>-0.46083380513113192</v>
      </c>
      <c r="P4" s="2">
        <f>+P3+0.0025</f>
        <v>3.5000000000000001E-3</v>
      </c>
      <c r="Q4" s="2">
        <f t="shared" ref="Q4:Q67" si="7">$B$5*$B$2*EXP(-P4*$B$5)*J4</f>
        <v>47.772219181136229</v>
      </c>
      <c r="R4" s="2">
        <f t="shared" ref="R4:R67" si="8">-$B$5*$B$2*EXP(-P4*$B$5)*L4</f>
        <v>-51.878392604905251</v>
      </c>
    </row>
    <row r="5" spans="1:18">
      <c r="A5" t="s">
        <v>4</v>
      </c>
      <c r="B5">
        <v>1</v>
      </c>
      <c r="F5">
        <f t="shared" ref="F5:F68" si="9">+F4+1</f>
        <v>52</v>
      </c>
      <c r="G5" s="2">
        <f t="shared" si="0"/>
        <v>0.11500000000000002</v>
      </c>
      <c r="H5" s="2">
        <f t="shared" si="1"/>
        <v>-3.4999999999999976E-2</v>
      </c>
      <c r="I5" s="2">
        <f t="shared" si="2"/>
        <v>0.54577743897781028</v>
      </c>
      <c r="J5" s="2">
        <f t="shared" si="2"/>
        <v>0.48603987043724173</v>
      </c>
      <c r="K5" s="3">
        <f t="shared" si="3"/>
        <v>0.45422256102218972</v>
      </c>
      <c r="L5" s="3">
        <f t="shared" si="3"/>
        <v>0.51396012956275827</v>
      </c>
      <c r="M5" s="1">
        <f t="shared" si="4"/>
        <v>6.264507651674478</v>
      </c>
      <c r="N5" s="1">
        <f t="shared" si="5"/>
        <v>5.6663040570680039</v>
      </c>
      <c r="O5" s="2">
        <f t="shared" si="6"/>
        <v>-0.45422256102218972</v>
      </c>
      <c r="P5" s="2">
        <f t="shared" ref="P5:P68" si="10">+P4+0.0025</f>
        <v>6.0000000000000001E-3</v>
      </c>
      <c r="Q5" s="2">
        <f t="shared" si="7"/>
        <v>48.313236246106548</v>
      </c>
      <c r="R5" s="2">
        <f t="shared" si="8"/>
        <v>-51.088560159286978</v>
      </c>
    </row>
    <row r="6" spans="1:18">
      <c r="F6">
        <f t="shared" si="9"/>
        <v>53</v>
      </c>
      <c r="G6" s="2">
        <f t="shared" si="0"/>
        <v>0.13166666666666668</v>
      </c>
      <c r="H6" s="2">
        <f t="shared" si="1"/>
        <v>-1.8333333333333313E-2</v>
      </c>
      <c r="I6" s="2">
        <f t="shared" si="2"/>
        <v>0.55237602396411745</v>
      </c>
      <c r="J6" s="2">
        <f t="shared" si="2"/>
        <v>0.49268646788816928</v>
      </c>
      <c r="K6" s="3">
        <f t="shared" si="3"/>
        <v>0.44762397603588255</v>
      </c>
      <c r="L6" s="3">
        <f t="shared" si="3"/>
        <v>0.50731353211183072</v>
      </c>
      <c r="M6" s="1">
        <f t="shared" si="4"/>
        <v>6.3859643075879333</v>
      </c>
      <c r="N6" s="1">
        <f t="shared" si="5"/>
        <v>5.5395665938846079</v>
      </c>
      <c r="O6" s="2">
        <f t="shared" si="6"/>
        <v>-0.44762397603588255</v>
      </c>
      <c r="P6" s="2">
        <f t="shared" si="10"/>
        <v>8.5000000000000006E-3</v>
      </c>
      <c r="Q6" s="2">
        <f t="shared" si="7"/>
        <v>48.851638088823812</v>
      </c>
      <c r="R6" s="2">
        <f t="shared" si="8"/>
        <v>-50.301964197472863</v>
      </c>
    </row>
    <row r="7" spans="1:18">
      <c r="A7" t="s">
        <v>5</v>
      </c>
      <c r="B7">
        <f>(LN(B1/B2)+(B3+(B4^2)/2)*B5)/B4*SQRT(B5)</f>
        <v>0.7416666666666667</v>
      </c>
      <c r="F7">
        <f t="shared" si="9"/>
        <v>54</v>
      </c>
      <c r="G7" s="2">
        <f t="shared" si="0"/>
        <v>0.14833333333333334</v>
      </c>
      <c r="H7" s="2">
        <f t="shared" si="1"/>
        <v>-1.6666666666666496E-3</v>
      </c>
      <c r="I7" s="2">
        <f t="shared" si="2"/>
        <v>0.55896014493312562</v>
      </c>
      <c r="J7" s="2">
        <f t="shared" si="2"/>
        <v>0.49933509650715668</v>
      </c>
      <c r="K7" s="3">
        <f t="shared" si="3"/>
        <v>0.44103985506687443</v>
      </c>
      <c r="L7" s="3">
        <f t="shared" si="3"/>
        <v>0.50066490349284332</v>
      </c>
      <c r="M7" s="1">
        <f t="shared" si="4"/>
        <v>6.5087635179431587</v>
      </c>
      <c r="N7" s="1">
        <f t="shared" si="5"/>
        <v>5.4147913954800231</v>
      </c>
      <c r="O7" s="2">
        <f t="shared" si="6"/>
        <v>-0.44103985506687438</v>
      </c>
      <c r="P7" s="2">
        <f t="shared" si="10"/>
        <v>1.1000000000000001E-2</v>
      </c>
      <c r="Q7" s="2">
        <f t="shared" si="7"/>
        <v>49.387250975369405</v>
      </c>
      <c r="R7" s="2">
        <f t="shared" si="8"/>
        <v>-49.518776902167467</v>
      </c>
    </row>
    <row r="8" spans="1:18">
      <c r="A8" t="s">
        <v>6</v>
      </c>
      <c r="B8">
        <f>B7-B4*SQRT(B5)</f>
        <v>0.59166666666666667</v>
      </c>
      <c r="F8">
        <f t="shared" si="9"/>
        <v>55</v>
      </c>
      <c r="G8" s="2">
        <f t="shared" si="0"/>
        <v>0.16500000000000001</v>
      </c>
      <c r="H8" s="2">
        <f t="shared" si="1"/>
        <v>1.5000000000000013E-2</v>
      </c>
      <c r="I8" s="2">
        <f t="shared" si="2"/>
        <v>0.56552800897193523</v>
      </c>
      <c r="J8" s="2">
        <f t="shared" si="2"/>
        <v>0.50598390980856223</v>
      </c>
      <c r="K8" s="3">
        <f t="shared" si="3"/>
        <v>0.43447199102806477</v>
      </c>
      <c r="L8" s="3">
        <f t="shared" si="3"/>
        <v>0.49401609019143777</v>
      </c>
      <c r="M8" s="1">
        <f t="shared" si="4"/>
        <v>6.6328980948658796</v>
      </c>
      <c r="N8" s="1">
        <f t="shared" si="5"/>
        <v>5.2919697266391381</v>
      </c>
      <c r="O8" s="2">
        <f t="shared" si="6"/>
        <v>-0.43447199102806477</v>
      </c>
      <c r="P8" s="2">
        <f t="shared" si="10"/>
        <v>1.3500000000000002E-2</v>
      </c>
      <c r="Q8" s="2">
        <f t="shared" si="7"/>
        <v>49.919902802327641</v>
      </c>
      <c r="R8" s="2">
        <f t="shared" si="8"/>
        <v>-48.739168829445617</v>
      </c>
    </row>
    <row r="9" spans="1:18">
      <c r="F9">
        <f t="shared" si="9"/>
        <v>56</v>
      </c>
      <c r="G9" s="2">
        <f t="shared" si="0"/>
        <v>0.18166666666666667</v>
      </c>
      <c r="H9" s="2">
        <f t="shared" si="1"/>
        <v>3.1666666666666676E-2</v>
      </c>
      <c r="I9" s="2">
        <f t="shared" si="2"/>
        <v>0.57207783661356559</v>
      </c>
      <c r="J9" s="2">
        <f t="shared" si="2"/>
        <v>0.5126310611528675</v>
      </c>
      <c r="K9" s="3">
        <f t="shared" si="3"/>
        <v>0.42792216338643441</v>
      </c>
      <c r="L9" s="3">
        <f t="shared" si="3"/>
        <v>0.4873689388471325</v>
      </c>
      <c r="M9" s="1">
        <f t="shared" si="4"/>
        <v>6.7583604224097087</v>
      </c>
      <c r="N9" s="1">
        <f t="shared" si="5"/>
        <v>5.1710924279382198</v>
      </c>
      <c r="O9" s="2">
        <f t="shared" si="6"/>
        <v>-0.42792216338643441</v>
      </c>
      <c r="P9" s="2">
        <f t="shared" si="10"/>
        <v>1.6E-2</v>
      </c>
      <c r="Q9" s="2">
        <f t="shared" si="7"/>
        <v>50.449423238946849</v>
      </c>
      <c r="R9" s="2">
        <f t="shared" si="8"/>
        <v>-47.963308766581662</v>
      </c>
    </row>
    <row r="10" spans="1:18">
      <c r="A10" t="s">
        <v>7</v>
      </c>
      <c r="B10">
        <f>_xlfn.NORM.S.DIST(B7,TRUE)</f>
        <v>0.77085533971897768</v>
      </c>
      <c r="F10">
        <f t="shared" si="9"/>
        <v>57</v>
      </c>
      <c r="G10" s="2">
        <f t="shared" si="0"/>
        <v>0.19833333333333333</v>
      </c>
      <c r="H10" s="2">
        <f t="shared" si="1"/>
        <v>4.8333333333333339E-2</v>
      </c>
      <c r="I10" s="2">
        <f t="shared" si="2"/>
        <v>0.57860786328257563</v>
      </c>
      <c r="J10" s="2">
        <f t="shared" si="2"/>
        <v>0.51927470528519004</v>
      </c>
      <c r="K10" s="3">
        <f t="shared" si="3"/>
        <v>0.42139213671742437</v>
      </c>
      <c r="L10" s="3">
        <f t="shared" si="3"/>
        <v>0.48072529471480996</v>
      </c>
      <c r="M10" s="1">
        <f t="shared" si="4"/>
        <v>6.8851424611632552</v>
      </c>
      <c r="N10" s="1">
        <f t="shared" si="5"/>
        <v>5.0521499203424014</v>
      </c>
      <c r="O10" s="2">
        <f t="shared" si="6"/>
        <v>-0.42139213671742437</v>
      </c>
      <c r="P10" s="2">
        <f t="shared" si="10"/>
        <v>1.8499999999999999E-2</v>
      </c>
      <c r="Q10" s="2">
        <f t="shared" si="7"/>
        <v>50.975643867094306</v>
      </c>
      <c r="R10" s="2">
        <f t="shared" si="8"/>
        <v>-47.191363592084841</v>
      </c>
    </row>
    <row r="11" spans="1:18">
      <c r="A11" t="s">
        <v>8</v>
      </c>
      <c r="B11">
        <f>_xlfn.NORM.S.DIST(B8,TRUE)</f>
        <v>0.72296308905530626</v>
      </c>
      <c r="F11">
        <f t="shared" si="9"/>
        <v>58</v>
      </c>
      <c r="G11" s="2">
        <f t="shared" si="0"/>
        <v>0.21500000000000002</v>
      </c>
      <c r="H11" s="2">
        <f t="shared" si="1"/>
        <v>6.500000000000003E-2</v>
      </c>
      <c r="I11" s="2">
        <f t="shared" si="2"/>
        <v>0.5851163407201958</v>
      </c>
      <c r="J11" s="2">
        <f t="shared" si="2"/>
        <v>0.52591299987187379</v>
      </c>
      <c r="K11" s="3">
        <f t="shared" si="3"/>
        <v>0.41488365927980425</v>
      </c>
      <c r="L11" s="3">
        <f t="shared" si="3"/>
        <v>0.47408700012812621</v>
      </c>
      <c r="M11" s="1">
        <f t="shared" si="4"/>
        <v>7.0132357532041212</v>
      </c>
      <c r="N11" s="1">
        <f t="shared" si="5"/>
        <v>4.9351322101500728</v>
      </c>
      <c r="O11" s="2">
        <f t="shared" si="6"/>
        <v>-0.4148836592798042</v>
      </c>
      <c r="P11" s="2">
        <f t="shared" si="10"/>
        <v>2.0999999999999998E-2</v>
      </c>
      <c r="Q11" s="2">
        <f t="shared" si="7"/>
        <v>51.498398318815461</v>
      </c>
      <c r="R11" s="2">
        <f t="shared" si="8"/>
        <v>-46.423498138130498</v>
      </c>
    </row>
    <row r="12" spans="1:18">
      <c r="F12">
        <f t="shared" si="9"/>
        <v>59</v>
      </c>
      <c r="G12" s="2">
        <f t="shared" si="0"/>
        <v>0.23166666666666666</v>
      </c>
      <c r="H12" s="2">
        <f t="shared" si="1"/>
        <v>8.1666666666666665E-2</v>
      </c>
      <c r="I12" s="2">
        <f t="shared" si="2"/>
        <v>0.59160153838705398</v>
      </c>
      <c r="J12" s="2">
        <f t="shared" si="2"/>
        <v>0.53254410703302502</v>
      </c>
      <c r="K12" s="3">
        <f t="shared" si="3"/>
        <v>0.40839846161294602</v>
      </c>
      <c r="L12" s="3">
        <f t="shared" si="3"/>
        <v>0.46745589296697504</v>
      </c>
      <c r="M12" s="1">
        <f t="shared" si="4"/>
        <v>7.1426314273935958</v>
      </c>
      <c r="N12" s="1">
        <f t="shared" si="5"/>
        <v>4.8200288942779821</v>
      </c>
      <c r="O12" s="2">
        <f t="shared" si="6"/>
        <v>-0.40839846161294602</v>
      </c>
      <c r="P12" s="2">
        <f t="shared" si="10"/>
        <v>2.3499999999999997E-2</v>
      </c>
      <c r="Q12" s="2">
        <f t="shared" si="7"/>
        <v>52.017522411311802</v>
      </c>
      <c r="R12" s="2">
        <f t="shared" si="8"/>
        <v>-45.659875055572584</v>
      </c>
    </row>
    <row r="13" spans="1:18">
      <c r="A13" t="s">
        <v>11</v>
      </c>
      <c r="B13">
        <f>_xlfn.NORM.S.DIST(-B7,TRUE)</f>
        <v>0.22914466028102232</v>
      </c>
      <c r="F13">
        <f t="shared" si="9"/>
        <v>60</v>
      </c>
      <c r="G13" s="2">
        <f t="shared" si="0"/>
        <v>0.24833333333333329</v>
      </c>
      <c r="H13" s="2">
        <f t="shared" si="1"/>
        <v>9.83333333333333E-2</v>
      </c>
      <c r="I13" s="2">
        <f t="shared" si="2"/>
        <v>0.59806174484162189</v>
      </c>
      <c r="J13" s="2">
        <f t="shared" si="2"/>
        <v>0.53916619486886797</v>
      </c>
      <c r="K13" s="3">
        <f t="shared" si="3"/>
        <v>0.40193825515837811</v>
      </c>
      <c r="L13" s="3">
        <f t="shared" si="3"/>
        <v>0.46083380513113198</v>
      </c>
      <c r="M13" s="1">
        <f t="shared" si="4"/>
        <v>7.2733202050055041</v>
      </c>
      <c r="N13" s="1">
        <f t="shared" si="5"/>
        <v>4.7068291658804284</v>
      </c>
      <c r="O13" s="2">
        <f t="shared" si="6"/>
        <v>-0.40193825515837811</v>
      </c>
      <c r="P13" s="2">
        <f t="shared" si="10"/>
        <v>2.5999999999999995E-2</v>
      </c>
      <c r="Q13" s="2">
        <f t="shared" si="7"/>
        <v>52.532854279156687</v>
      </c>
      <c r="R13" s="2">
        <f t="shared" si="8"/>
        <v>-44.900654681718237</v>
      </c>
    </row>
    <row r="14" spans="1:18">
      <c r="A14" t="s">
        <v>12</v>
      </c>
      <c r="B14">
        <f>_xlfn.NORM.S.DIST(-B8,TRUE)</f>
        <v>0.27703691094469374</v>
      </c>
      <c r="F14">
        <f t="shared" si="9"/>
        <v>61</v>
      </c>
      <c r="G14" s="2">
        <f t="shared" si="0"/>
        <v>0.26499999999999996</v>
      </c>
      <c r="H14" s="2">
        <f t="shared" si="1"/>
        <v>0.11499999999999996</v>
      </c>
      <c r="I14" s="2">
        <f t="shared" si="2"/>
        <v>0.60449526909255402</v>
      </c>
      <c r="J14" s="2">
        <f t="shared" si="2"/>
        <v>0.54577743897781028</v>
      </c>
      <c r="K14" s="3">
        <f t="shared" si="3"/>
        <v>0.39550473090744598</v>
      </c>
      <c r="L14" s="3">
        <f t="shared" si="3"/>
        <v>0.45422256102218977</v>
      </c>
      <c r="M14" s="1">
        <f t="shared" si="4"/>
        <v>7.4052924056817204</v>
      </c>
      <c r="N14" s="1">
        <f t="shared" si="5"/>
        <v>4.5955218202953745</v>
      </c>
      <c r="O14" s="2">
        <f t="shared" si="6"/>
        <v>-0.39550473090744598</v>
      </c>
      <c r="P14" s="2">
        <f t="shared" si="10"/>
        <v>2.8499999999999994E-2</v>
      </c>
      <c r="Q14" s="2">
        <f t="shared" si="7"/>
        <v>53.044234503573684</v>
      </c>
      <c r="R14" s="2">
        <f t="shared" si="8"/>
        <v>-44.145994911039971</v>
      </c>
    </row>
    <row r="15" spans="1:18">
      <c r="F15">
        <f t="shared" si="9"/>
        <v>62</v>
      </c>
      <c r="G15" s="2">
        <f t="shared" si="0"/>
        <v>0.28166666666666668</v>
      </c>
      <c r="H15" s="2">
        <f t="shared" si="1"/>
        <v>0.13166666666666668</v>
      </c>
      <c r="I15" s="2">
        <f t="shared" si="2"/>
        <v>0.61090044192314252</v>
      </c>
      <c r="J15" s="2">
        <f t="shared" si="2"/>
        <v>0.55237602396411745</v>
      </c>
      <c r="K15" s="3">
        <f t="shared" si="3"/>
        <v>0.38909955807685742</v>
      </c>
      <c r="L15" s="3">
        <f t="shared" si="3"/>
        <v>0.44762397603588255</v>
      </c>
      <c r="M15" s="1">
        <f t="shared" si="4"/>
        <v>7.5385379537073121</v>
      </c>
      <c r="N15" s="1">
        <f t="shared" si="5"/>
        <v>4.486095261309913</v>
      </c>
      <c r="O15" s="2">
        <f t="shared" si="6"/>
        <v>-0.38909955807685748</v>
      </c>
      <c r="P15" s="2">
        <f t="shared" si="10"/>
        <v>3.0999999999999993E-2</v>
      </c>
      <c r="Q15" s="2">
        <f t="shared" si="7"/>
        <v>53.55150623860694</v>
      </c>
      <c r="R15" s="2">
        <f t="shared" si="8"/>
        <v>-43.396051068995654</v>
      </c>
    </row>
    <row r="16" spans="1:18">
      <c r="A16" t="s">
        <v>9</v>
      </c>
      <c r="B16" s="1">
        <f>B1*B10-B2*EXP(-B3*B5)*B11</f>
        <v>11.669128488287299</v>
      </c>
      <c r="F16">
        <f t="shared" si="9"/>
        <v>63</v>
      </c>
      <c r="G16" s="2">
        <f t="shared" si="0"/>
        <v>0.29833333333333334</v>
      </c>
      <c r="H16" s="2">
        <f t="shared" si="1"/>
        <v>0.14833333333333334</v>
      </c>
      <c r="I16" s="2">
        <f t="shared" si="2"/>
        <v>0.61727561718616442</v>
      </c>
      <c r="J16" s="2">
        <f t="shared" si="2"/>
        <v>0.55896014493312562</v>
      </c>
      <c r="K16" s="3">
        <f t="shared" si="3"/>
        <v>0.38272438281383558</v>
      </c>
      <c r="L16" s="3">
        <f t="shared" si="3"/>
        <v>0.44103985506687443</v>
      </c>
      <c r="M16" s="1">
        <f t="shared" si="4"/>
        <v>7.6730463845968515</v>
      </c>
      <c r="N16" s="1">
        <f t="shared" si="5"/>
        <v>4.3785375077371498</v>
      </c>
      <c r="O16" s="2">
        <f t="shared" si="6"/>
        <v>-0.38272438281383558</v>
      </c>
      <c r="P16" s="2">
        <f t="shared" si="10"/>
        <v>3.3499999999999995E-2</v>
      </c>
      <c r="Q16" s="2">
        <f t="shared" si="7"/>
        <v>54.054515334019591</v>
      </c>
      <c r="R16" s="2">
        <f t="shared" si="8"/>
        <v>-42.650975789120707</v>
      </c>
    </row>
    <row r="17" spans="1:18">
      <c r="A17" t="s">
        <v>10</v>
      </c>
      <c r="B17" s="1">
        <f>EXP(-B3*B5)*B2*B14-B1*B13</f>
        <v>2.1528702918832394</v>
      </c>
      <c r="F17">
        <f t="shared" si="9"/>
        <v>64</v>
      </c>
      <c r="G17" s="2">
        <f t="shared" si="0"/>
        <v>0.315</v>
      </c>
      <c r="H17" s="2">
        <f t="shared" si="1"/>
        <v>0.16500000000000001</v>
      </c>
      <c r="I17" s="2">
        <f t="shared" si="2"/>
        <v>0.6236191730674514</v>
      </c>
      <c r="J17" s="2">
        <f t="shared" si="2"/>
        <v>0.56552800897193523</v>
      </c>
      <c r="K17" s="3">
        <f t="shared" si="3"/>
        <v>0.3763808269325486</v>
      </c>
      <c r="L17" s="3">
        <f t="shared" si="3"/>
        <v>0.43447199102806477</v>
      </c>
      <c r="M17" s="1">
        <f t="shared" si="4"/>
        <v>7.8088068519837535</v>
      </c>
      <c r="N17" s="1">
        <f t="shared" si="5"/>
        <v>4.2728362002960623</v>
      </c>
      <c r="O17" s="2">
        <f t="shared" si="6"/>
        <v>-0.3763808269325486</v>
      </c>
      <c r="P17" s="2">
        <f t="shared" si="10"/>
        <v>3.5999999999999997E-2</v>
      </c>
      <c r="Q17" s="2">
        <f t="shared" si="7"/>
        <v>54.553110454761388</v>
      </c>
      <c r="R17" s="2">
        <f t="shared" si="8"/>
        <v>-41.910918893550921</v>
      </c>
    </row>
    <row r="18" spans="1:18">
      <c r="F18">
        <f t="shared" si="9"/>
        <v>65</v>
      </c>
      <c r="G18" s="2">
        <f t="shared" si="0"/>
        <v>0.33166666666666672</v>
      </c>
      <c r="H18" s="2">
        <f t="shared" si="1"/>
        <v>0.18166666666666673</v>
      </c>
      <c r="I18" s="2">
        <f t="shared" si="2"/>
        <v>0.62992951331657709</v>
      </c>
      <c r="J18" s="2">
        <f t="shared" si="2"/>
        <v>0.57207783661356559</v>
      </c>
      <c r="K18" s="3">
        <f t="shared" si="3"/>
        <v>0.37007048668342291</v>
      </c>
      <c r="L18" s="3">
        <f t="shared" si="3"/>
        <v>0.42792216338643441</v>
      </c>
      <c r="M18" s="1">
        <f t="shared" si="4"/>
        <v>7.9458081348039045</v>
      </c>
      <c r="N18" s="1">
        <f t="shared" si="5"/>
        <v>4.1689786087856575</v>
      </c>
      <c r="O18" s="2">
        <f t="shared" si="6"/>
        <v>-0.37007048668342291</v>
      </c>
      <c r="P18" s="2">
        <f t="shared" si="10"/>
        <v>3.85E-2</v>
      </c>
      <c r="Q18" s="2">
        <f t="shared" si="7"/>
        <v>55.047143196853803</v>
      </c>
      <c r="R18" s="2">
        <f t="shared" si="8"/>
        <v>-41.17602727712795</v>
      </c>
    </row>
    <row r="19" spans="1:18">
      <c r="A19" t="s">
        <v>13</v>
      </c>
      <c r="B19" s="2">
        <f>B10</f>
        <v>0.77085533971897768</v>
      </c>
      <c r="F19">
        <f t="shared" si="9"/>
        <v>66</v>
      </c>
      <c r="G19" s="2">
        <f t="shared" si="0"/>
        <v>0.34833333333333338</v>
      </c>
      <c r="H19" s="2">
        <f t="shared" si="1"/>
        <v>0.19833333333333339</v>
      </c>
      <c r="I19" s="2">
        <f t="shared" si="2"/>
        <v>0.63620506844311264</v>
      </c>
      <c r="J19" s="2">
        <f t="shared" si="2"/>
        <v>0.57860786328257563</v>
      </c>
      <c r="K19" s="3">
        <f t="shared" si="3"/>
        <v>0.36379493155688736</v>
      </c>
      <c r="L19" s="3">
        <f t="shared" si="3"/>
        <v>0.42139213671742437</v>
      </c>
      <c r="M19" s="1">
        <f t="shared" si="4"/>
        <v>8.0840386447643056</v>
      </c>
      <c r="N19" s="1">
        <f t="shared" si="5"/>
        <v>4.0669516395442002</v>
      </c>
      <c r="O19" s="2">
        <f t="shared" si="6"/>
        <v>-0.36379493155688736</v>
      </c>
      <c r="P19" s="2">
        <f t="shared" si="10"/>
        <v>4.1000000000000002E-2</v>
      </c>
      <c r="Q19" s="2">
        <f t="shared" si="7"/>
        <v>55.53646819954696</v>
      </c>
      <c r="R19" s="2">
        <f t="shared" si="8"/>
        <v>-40.446444795232935</v>
      </c>
    </row>
    <row r="20" spans="1:18">
      <c r="A20" t="s">
        <v>14</v>
      </c>
      <c r="B20" s="2">
        <f>+B19-1</f>
        <v>-0.22914466028102232</v>
      </c>
      <c r="F20">
        <f t="shared" si="9"/>
        <v>67</v>
      </c>
      <c r="G20" s="2">
        <f t="shared" si="0"/>
        <v>0.36500000000000005</v>
      </c>
      <c r="H20" s="2">
        <f t="shared" si="1"/>
        <v>0.21500000000000005</v>
      </c>
      <c r="I20" s="2">
        <f t="shared" si="2"/>
        <v>0.6424442968769708</v>
      </c>
      <c r="J20" s="2">
        <f t="shared" si="2"/>
        <v>0.5851163407201958</v>
      </c>
      <c r="K20" s="3">
        <f t="shared" si="3"/>
        <v>0.3575557031230292</v>
      </c>
      <c r="L20" s="3">
        <f t="shared" si="3"/>
        <v>0.4148836592798042</v>
      </c>
      <c r="M20" s="1">
        <f t="shared" si="4"/>
        <v>8.2234864340873273</v>
      </c>
      <c r="N20" s="1">
        <f t="shared" si="5"/>
        <v>3.9667418431840176</v>
      </c>
      <c r="O20" s="2">
        <f t="shared" si="6"/>
        <v>-0.3575557031230292</v>
      </c>
      <c r="P20" s="2">
        <f t="shared" si="10"/>
        <v>4.3500000000000004E-2</v>
      </c>
      <c r="Q20" s="2">
        <f t="shared" si="7"/>
        <v>56.020943253609751</v>
      </c>
      <c r="R20" s="2">
        <f t="shared" si="8"/>
        <v>-39.722312155486939</v>
      </c>
    </row>
    <row r="21" spans="1:18">
      <c r="F21">
        <f t="shared" si="9"/>
        <v>68</v>
      </c>
      <c r="G21" s="2">
        <f t="shared" si="0"/>
        <v>0.38166666666666677</v>
      </c>
      <c r="H21" s="2">
        <f t="shared" si="1"/>
        <v>0.23166666666666677</v>
      </c>
      <c r="I21" s="2">
        <f t="shared" si="2"/>
        <v>0.64864568609142492</v>
      </c>
      <c r="J21" s="2">
        <f t="shared" si="2"/>
        <v>0.59160153838705409</v>
      </c>
      <c r="K21" s="3">
        <f t="shared" si="3"/>
        <v>0.35135431390857513</v>
      </c>
      <c r="L21" s="3">
        <f t="shared" si="3"/>
        <v>0.40839846161294596</v>
      </c>
      <c r="M21" s="1">
        <f t="shared" si="4"/>
        <v>8.3641392035207431</v>
      </c>
      <c r="N21" s="1">
        <f t="shared" si="5"/>
        <v>3.8683354225922031</v>
      </c>
      <c r="O21" s="2">
        <f t="shared" si="6"/>
        <v>-0.35135431390857508</v>
      </c>
      <c r="P21" s="2">
        <f t="shared" si="10"/>
        <v>4.6000000000000006E-2</v>
      </c>
      <c r="Q21" s="2">
        <f t="shared" si="7"/>
        <v>56.500429405621752</v>
      </c>
      <c r="R21" s="2">
        <f t="shared" si="8"/>
        <v>-39.003766813449715</v>
      </c>
    </row>
    <row r="22" spans="1:18">
      <c r="F22">
        <f t="shared" si="9"/>
        <v>69</v>
      </c>
      <c r="G22" s="2">
        <f t="shared" si="0"/>
        <v>0.39833333333333343</v>
      </c>
      <c r="H22" s="2">
        <f t="shared" si="1"/>
        <v>0.24833333333333343</v>
      </c>
      <c r="I22" s="2">
        <f t="shared" si="2"/>
        <v>0.65480775368745769</v>
      </c>
      <c r="J22" s="2">
        <f t="shared" si="2"/>
        <v>0.59806174484162189</v>
      </c>
      <c r="K22" s="3">
        <f t="shared" si="3"/>
        <v>0.34519224631254236</v>
      </c>
      <c r="L22" s="3">
        <f t="shared" si="3"/>
        <v>0.40193825515837805</v>
      </c>
      <c r="M22" s="1">
        <f t="shared" si="4"/>
        <v>8.50598431060331</v>
      </c>
      <c r="N22" s="1">
        <f t="shared" si="5"/>
        <v>3.7717182411867753</v>
      </c>
      <c r="O22" s="2">
        <f t="shared" si="6"/>
        <v>-0.34519224631254231</v>
      </c>
      <c r="P22" s="2">
        <f t="shared" si="10"/>
        <v>4.8500000000000008E-2</v>
      </c>
      <c r="Q22" s="2">
        <f t="shared" si="7"/>
        <v>56.974791058142458</v>
      </c>
      <c r="R22" s="2">
        <f t="shared" si="8"/>
        <v>-38.290942872441015</v>
      </c>
    </row>
    <row r="23" spans="1:18">
      <c r="F23">
        <f t="shared" si="9"/>
        <v>70</v>
      </c>
      <c r="G23" s="2">
        <f t="shared" si="0"/>
        <v>0.41500000000000009</v>
      </c>
      <c r="H23" s="2">
        <f t="shared" si="1"/>
        <v>0.26500000000000012</v>
      </c>
      <c r="I23" s="2">
        <f t="shared" si="2"/>
        <v>0.66092904843816891</v>
      </c>
      <c r="J23" s="2">
        <f t="shared" si="2"/>
        <v>0.60449526909255402</v>
      </c>
      <c r="K23" s="3">
        <f t="shared" si="3"/>
        <v>0.33907095156183109</v>
      </c>
      <c r="L23" s="3">
        <f t="shared" si="3"/>
        <v>0.39550473090744592</v>
      </c>
      <c r="M23" s="1">
        <f t="shared" si="4"/>
        <v>8.6490087781755065</v>
      </c>
      <c r="N23" s="1">
        <f t="shared" si="5"/>
        <v>3.6768758314181866</v>
      </c>
      <c r="O23" s="2">
        <f t="shared" si="6"/>
        <v>-0.33907095156183109</v>
      </c>
      <c r="P23" s="2">
        <f t="shared" si="10"/>
        <v>5.1000000000000011E-2</v>
      </c>
      <c r="Q23" s="2">
        <f t="shared" si="7"/>
        <v>57.44389606564139</v>
      </c>
      <c r="R23" s="2">
        <f t="shared" si="8"/>
        <v>-37.583970987601298</v>
      </c>
    </row>
    <row r="24" spans="1:18">
      <c r="F24">
        <f t="shared" si="9"/>
        <v>71</v>
      </c>
      <c r="G24" s="2">
        <f t="shared" si="0"/>
        <v>0.43166666666666681</v>
      </c>
      <c r="H24" s="2">
        <f t="shared" si="1"/>
        <v>0.28166666666666684</v>
      </c>
      <c r="I24" s="2">
        <f t="shared" si="2"/>
        <v>0.66700815129204327</v>
      </c>
      <c r="J24" s="2">
        <f t="shared" si="2"/>
        <v>0.61090044192314263</v>
      </c>
      <c r="K24" s="3">
        <f t="shared" si="3"/>
        <v>0.33299184870795673</v>
      </c>
      <c r="L24" s="3">
        <f t="shared" si="3"/>
        <v>0.38909955807685737</v>
      </c>
      <c r="M24" s="1">
        <f t="shared" si="4"/>
        <v>8.7931993031247657</v>
      </c>
      <c r="N24" s="1">
        <f t="shared" si="5"/>
        <v>3.5837934035050694</v>
      </c>
      <c r="O24" s="2">
        <f t="shared" si="6"/>
        <v>-0.33299184870795673</v>
      </c>
      <c r="P24" s="2">
        <f t="shared" si="10"/>
        <v>5.3500000000000013E-2</v>
      </c>
      <c r="Q24" s="2">
        <f t="shared" si="7"/>
        <v>57.907615826079564</v>
      </c>
      <c r="R24" s="2">
        <f t="shared" si="8"/>
        <v>-36.88297827430074</v>
      </c>
    </row>
    <row r="25" spans="1:18">
      <c r="F25">
        <f t="shared" si="9"/>
        <v>72</v>
      </c>
      <c r="G25" s="2">
        <f t="shared" si="0"/>
        <v>0.44833333333333347</v>
      </c>
      <c r="H25" s="2">
        <f t="shared" si="1"/>
        <v>0.29833333333333345</v>
      </c>
      <c r="I25" s="2">
        <f t="shared" si="2"/>
        <v>0.67304367633395701</v>
      </c>
      <c r="J25" s="2">
        <f t="shared" si="2"/>
        <v>0.61727561718616442</v>
      </c>
      <c r="K25" s="3">
        <f t="shared" si="3"/>
        <v>0.32695632366604299</v>
      </c>
      <c r="L25" s="3">
        <f t="shared" si="3"/>
        <v>0.38272438281383553</v>
      </c>
      <c r="M25" s="1">
        <f t="shared" si="4"/>
        <v>8.938542265354009</v>
      </c>
      <c r="N25" s="1">
        <f t="shared" si="5"/>
        <v>3.4924558543936257</v>
      </c>
      <c r="O25" s="2">
        <f t="shared" si="6"/>
        <v>-0.32695632366604299</v>
      </c>
      <c r="P25" s="2">
        <f t="shared" si="10"/>
        <v>5.6000000000000015E-2</v>
      </c>
      <c r="Q25" s="2">
        <f t="shared" si="7"/>
        <v>58.365825368041691</v>
      </c>
      <c r="R25" s="2">
        <f t="shared" si="8"/>
        <v>-36.188088220997926</v>
      </c>
    </row>
    <row r="26" spans="1:18">
      <c r="F26">
        <f t="shared" si="9"/>
        <v>73</v>
      </c>
      <c r="G26" s="2">
        <f t="shared" si="0"/>
        <v>0.46500000000000014</v>
      </c>
      <c r="H26" s="2">
        <f t="shared" si="1"/>
        <v>0.31500000000000017</v>
      </c>
      <c r="I26" s="2">
        <f t="shared" si="2"/>
        <v>0.67903427170287811</v>
      </c>
      <c r="J26" s="2">
        <f t="shared" si="2"/>
        <v>0.6236191730674514</v>
      </c>
      <c r="K26" s="3">
        <f t="shared" si="3"/>
        <v>0.32096572829712189</v>
      </c>
      <c r="L26" s="3">
        <f t="shared" si="3"/>
        <v>0.37638082693254854</v>
      </c>
      <c r="M26" s="1">
        <f t="shared" si="4"/>
        <v>9.0850237369624196</v>
      </c>
      <c r="N26" s="1">
        <f t="shared" si="5"/>
        <v>3.4028477769290646</v>
      </c>
      <c r="O26" s="2">
        <f t="shared" si="6"/>
        <v>-0.32096572829712189</v>
      </c>
      <c r="P26" s="2">
        <f t="shared" si="10"/>
        <v>5.8500000000000017E-2</v>
      </c>
      <c r="Q26" s="2">
        <f t="shared" si="7"/>
        <v>58.818403433325393</v>
      </c>
      <c r="R26" s="2">
        <f t="shared" si="8"/>
        <v>-35.499420606641252</v>
      </c>
    </row>
    <row r="27" spans="1:18">
      <c r="F27">
        <f t="shared" si="9"/>
        <v>74</v>
      </c>
      <c r="G27" s="2">
        <f t="shared" si="0"/>
        <v>0.48166666666666685</v>
      </c>
      <c r="H27" s="2">
        <f t="shared" si="1"/>
        <v>0.33166666666666689</v>
      </c>
      <c r="I27" s="2">
        <f t="shared" si="2"/>
        <v>0.68497862046529567</v>
      </c>
      <c r="J27" s="2">
        <f t="shared" si="2"/>
        <v>0.62992951331657721</v>
      </c>
      <c r="K27" s="3">
        <f t="shared" si="3"/>
        <v>0.31502137953470433</v>
      </c>
      <c r="L27" s="3">
        <f t="shared" si="3"/>
        <v>0.37007048668342279</v>
      </c>
      <c r="M27" s="1">
        <f t="shared" si="4"/>
        <v>9.2326294916268452</v>
      </c>
      <c r="N27" s="1">
        <f t="shared" si="5"/>
        <v>3.3149534692278166</v>
      </c>
      <c r="O27" s="2">
        <f t="shared" si="6"/>
        <v>-0.31502137953470433</v>
      </c>
      <c r="P27" s="2">
        <f t="shared" si="10"/>
        <v>6.1000000000000019E-2</v>
      </c>
      <c r="Q27" s="2">
        <f t="shared" si="7"/>
        <v>59.265232554902717</v>
      </c>
      <c r="R27" s="2">
        <f t="shared" si="8"/>
        <v>-34.817091422698248</v>
      </c>
    </row>
    <row r="28" spans="1:18">
      <c r="F28">
        <f t="shared" si="9"/>
        <v>75</v>
      </c>
      <c r="G28" s="2">
        <f t="shared" si="0"/>
        <v>0.49833333333333341</v>
      </c>
      <c r="H28" s="2">
        <f t="shared" si="1"/>
        <v>0.34833333333333338</v>
      </c>
      <c r="I28" s="2">
        <f t="shared" si="2"/>
        <v>0.69087544144349278</v>
      </c>
      <c r="J28" s="2">
        <f t="shared" si="2"/>
        <v>0.63620506844311264</v>
      </c>
      <c r="K28" s="3">
        <f t="shared" si="3"/>
        <v>0.30912455855650722</v>
      </c>
      <c r="L28" s="3">
        <f t="shared" si="3"/>
        <v>0.36379493155688736</v>
      </c>
      <c r="M28" s="1">
        <f t="shared" si="4"/>
        <v>9.3813450141724033</v>
      </c>
      <c r="N28" s="1">
        <f t="shared" si="5"/>
        <v>3.2287569442387998</v>
      </c>
      <c r="O28" s="2">
        <f t="shared" si="6"/>
        <v>-0.30912455855650722</v>
      </c>
      <c r="P28" s="2">
        <f t="shared" si="10"/>
        <v>6.3500000000000015E-2</v>
      </c>
      <c r="Q28" s="2">
        <f t="shared" si="7"/>
        <v>59.706199130176877</v>
      </c>
      <c r="R28" s="2">
        <f t="shared" si="8"/>
        <v>-34.141212799889523</v>
      </c>
    </row>
    <row r="29" spans="1:18">
      <c r="F29">
        <f t="shared" si="9"/>
        <v>76</v>
      </c>
      <c r="G29" s="2">
        <f t="shared" si="0"/>
        <v>0.51500000000000012</v>
      </c>
      <c r="H29" s="2">
        <f t="shared" si="1"/>
        <v>0.3650000000000001</v>
      </c>
      <c r="I29" s="2">
        <f t="shared" si="2"/>
        <v>0.69672348999786049</v>
      </c>
      <c r="J29" s="2">
        <f t="shared" si="2"/>
        <v>0.6424442968769708</v>
      </c>
      <c r="K29" s="3">
        <f t="shared" si="3"/>
        <v>0.30327651000213951</v>
      </c>
      <c r="L29" s="3">
        <f t="shared" si="3"/>
        <v>0.35755570312302914</v>
      </c>
      <c r="M29" s="1">
        <f t="shared" si="4"/>
        <v>9.5311555103200476</v>
      </c>
      <c r="N29" s="1">
        <f t="shared" si="5"/>
        <v>3.1442419394819261</v>
      </c>
      <c r="O29" s="2">
        <f t="shared" si="6"/>
        <v>-0.30327651000213951</v>
      </c>
      <c r="P29" s="2">
        <f t="shared" si="10"/>
        <v>6.6000000000000017E-2</v>
      </c>
      <c r="Q29" s="2">
        <f t="shared" si="7"/>
        <v>60.141193489466005</v>
      </c>
      <c r="R29" s="2">
        <f t="shared" si="8"/>
        <v>-33.471892939695877</v>
      </c>
    </row>
    <row r="30" spans="1:18">
      <c r="F30">
        <f t="shared" si="9"/>
        <v>77</v>
      </c>
      <c r="G30" s="2">
        <f t="shared" si="0"/>
        <v>0.53166666666666684</v>
      </c>
      <c r="H30" s="2">
        <f t="shared" si="1"/>
        <v>0.38166666666666682</v>
      </c>
      <c r="I30" s="2">
        <f t="shared" si="2"/>
        <v>0.70252155876252997</v>
      </c>
      <c r="J30" s="2">
        <f t="shared" si="2"/>
        <v>0.64864568609142492</v>
      </c>
      <c r="K30" s="3">
        <f t="shared" si="3"/>
        <v>0.29747844123746997</v>
      </c>
      <c r="L30" s="3">
        <f t="shared" si="3"/>
        <v>0.35135431390857508</v>
      </c>
      <c r="M30" s="1">
        <f t="shared" si="4"/>
        <v>9.6820459165994848</v>
      </c>
      <c r="N30" s="1">
        <f t="shared" si="5"/>
        <v>3.0613919269517673</v>
      </c>
      <c r="O30" s="2">
        <f t="shared" si="6"/>
        <v>-0.29747844123747003</v>
      </c>
      <c r="P30" s="2">
        <f t="shared" si="10"/>
        <v>6.8500000000000019E-2</v>
      </c>
      <c r="Q30" s="2">
        <f t="shared" si="7"/>
        <v>60.570109959653514</v>
      </c>
      <c r="R30" s="2">
        <f t="shared" si="8"/>
        <v>-32.809236050698765</v>
      </c>
    </row>
    <row r="31" spans="1:18">
      <c r="F31">
        <f t="shared" si="9"/>
        <v>78</v>
      </c>
      <c r="G31" s="2">
        <f t="shared" si="0"/>
        <v>0.54833333333333345</v>
      </c>
      <c r="H31" s="2">
        <f t="shared" si="1"/>
        <v>0.39833333333333343</v>
      </c>
      <c r="I31" s="2">
        <f t="shared" si="2"/>
        <v>0.70826847833368833</v>
      </c>
      <c r="J31" s="2">
        <f t="shared" si="2"/>
        <v>0.65480775368745769</v>
      </c>
      <c r="K31" s="3">
        <f t="shared" si="3"/>
        <v>0.29173152166631161</v>
      </c>
      <c r="L31" s="3">
        <f t="shared" si="3"/>
        <v>0.34519224631254236</v>
      </c>
      <c r="M31" s="1">
        <f t="shared" si="4"/>
        <v>9.834000910415071</v>
      </c>
      <c r="N31" s="1">
        <f t="shared" si="5"/>
        <v>2.9801901231742889</v>
      </c>
      <c r="O31" s="2">
        <f t="shared" si="6"/>
        <v>-0.29173152166631167</v>
      </c>
      <c r="P31" s="2">
        <f t="shared" si="10"/>
        <v>7.1000000000000021E-2</v>
      </c>
      <c r="Q31" s="2">
        <f t="shared" si="7"/>
        <v>60.99284692295376</v>
      </c>
      <c r="R31" s="2">
        <f t="shared" si="8"/>
        <v>-32.153342289805451</v>
      </c>
    </row>
    <row r="32" spans="1:18">
      <c r="F32">
        <f t="shared" si="9"/>
        <v>79</v>
      </c>
      <c r="G32" s="2">
        <f t="shared" si="0"/>
        <v>0.56500000000000017</v>
      </c>
      <c r="H32" s="2">
        <f t="shared" si="1"/>
        <v>0.41500000000000015</v>
      </c>
      <c r="I32" s="2">
        <f t="shared" si="2"/>
        <v>0.71396311791002143</v>
      </c>
      <c r="J32" s="2">
        <f t="shared" si="2"/>
        <v>0.66092904843816891</v>
      </c>
      <c r="K32" s="3">
        <f t="shared" si="3"/>
        <v>0.28603688208997857</v>
      </c>
      <c r="L32" s="3">
        <f t="shared" si="3"/>
        <v>0.33907095156183109</v>
      </c>
      <c r="M32" s="1">
        <f t="shared" si="4"/>
        <v>9.9870049202524882</v>
      </c>
      <c r="N32" s="1">
        <f t="shared" si="5"/>
        <v>2.9006194994044066</v>
      </c>
      <c r="O32" s="2">
        <f t="shared" si="6"/>
        <v>-0.28603688208997857</v>
      </c>
      <c r="P32" s="2">
        <f t="shared" si="10"/>
        <v>7.3500000000000024E-2</v>
      </c>
      <c r="Q32" s="2">
        <f t="shared" si="7"/>
        <v>61.40930687074966</v>
      </c>
      <c r="R32" s="2">
        <f t="shared" si="8"/>
        <v>-31.504307708402266</v>
      </c>
    </row>
    <row r="33" spans="6:18">
      <c r="F33">
        <f t="shared" si="9"/>
        <v>80</v>
      </c>
      <c r="G33" s="2">
        <f t="shared" si="0"/>
        <v>0.58166666666666689</v>
      </c>
      <c r="H33" s="2">
        <f t="shared" si="1"/>
        <v>0.43166666666666687</v>
      </c>
      <c r="I33" s="2">
        <f t="shared" si="2"/>
        <v>0.71960438588481501</v>
      </c>
      <c r="J33" s="2">
        <f t="shared" si="2"/>
        <v>0.66700815129204327</v>
      </c>
      <c r="K33" s="3">
        <f t="shared" si="3"/>
        <v>0.28039561411518499</v>
      </c>
      <c r="L33" s="3">
        <f t="shared" si="3"/>
        <v>0.33299184870795673</v>
      </c>
      <c r="M33" s="1">
        <f t="shared" si="4"/>
        <v>10.141042136013695</v>
      </c>
      <c r="N33" s="1">
        <f t="shared" si="5"/>
        <v>2.8226627919519167</v>
      </c>
      <c r="O33" s="2">
        <f t="shared" si="6"/>
        <v>-0.28039561411518499</v>
      </c>
      <c r="P33" s="2">
        <f t="shared" si="10"/>
        <v>7.6000000000000026E-2</v>
      </c>
      <c r="Q33" s="2">
        <f t="shared" si="7"/>
        <v>61.819396452467799</v>
      </c>
      <c r="R33" s="2">
        <f t="shared" si="8"/>
        <v>-30.862224203470415</v>
      </c>
    </row>
    <row r="34" spans="6:18">
      <c r="F34">
        <f t="shared" si="9"/>
        <v>81</v>
      </c>
      <c r="G34" s="2">
        <f t="shared" si="0"/>
        <v>0.59833333333333349</v>
      </c>
      <c r="H34" s="2">
        <f t="shared" si="1"/>
        <v>0.44833333333333347</v>
      </c>
      <c r="I34" s="2">
        <f t="shared" si="2"/>
        <v>0.72519123038932942</v>
      </c>
      <c r="J34" s="2">
        <f t="shared" si="2"/>
        <v>0.67304367633395701</v>
      </c>
      <c r="K34" s="3">
        <f t="shared" si="3"/>
        <v>0.27480876961067058</v>
      </c>
      <c r="L34" s="3">
        <f t="shared" si="3"/>
        <v>0.32695632366604299</v>
      </c>
      <c r="M34" s="1">
        <f t="shared" si="4"/>
        <v>10.296096519468072</v>
      </c>
      <c r="N34" s="1">
        <f t="shared" si="5"/>
        <v>2.7463025126233767</v>
      </c>
      <c r="O34" s="2">
        <f t="shared" si="6"/>
        <v>-0.27480876961067058</v>
      </c>
      <c r="P34" s="2">
        <f t="shared" si="10"/>
        <v>7.8500000000000028E-2</v>
      </c>
      <c r="Q34" s="2">
        <f t="shared" si="7"/>
        <v>62.223026519464874</v>
      </c>
      <c r="R34" s="2">
        <f t="shared" si="8"/>
        <v>-30.227179473690434</v>
      </c>
    </row>
    <row r="35" spans="6:18">
      <c r="F35">
        <f t="shared" si="9"/>
        <v>82</v>
      </c>
      <c r="G35" s="2">
        <f t="shared" si="0"/>
        <v>0.61500000000000021</v>
      </c>
      <c r="H35" s="2">
        <f t="shared" si="1"/>
        <v>0.46500000000000019</v>
      </c>
      <c r="I35" s="2">
        <f t="shared" si="2"/>
        <v>0.73072263978714602</v>
      </c>
      <c r="J35" s="2">
        <f t="shared" si="2"/>
        <v>0.67903427170287811</v>
      </c>
      <c r="K35" s="3">
        <f t="shared" si="3"/>
        <v>0.26927736021285392</v>
      </c>
      <c r="L35" s="3">
        <f t="shared" si="3"/>
        <v>0.32096572829712189</v>
      </c>
      <c r="M35" s="1">
        <f t="shared" si="4"/>
        <v>10.452151814806797</v>
      </c>
      <c r="N35" s="1">
        <f t="shared" si="5"/>
        <v>2.6715209592675997</v>
      </c>
      <c r="O35" s="2">
        <f t="shared" si="6"/>
        <v>-0.26927736021285398</v>
      </c>
      <c r="P35" s="2">
        <f t="shared" si="10"/>
        <v>8.100000000000003E-2</v>
      </c>
      <c r="Q35" s="2">
        <f t="shared" si="7"/>
        <v>62.620112163907805</v>
      </c>
      <c r="R35" s="2">
        <f t="shared" si="8"/>
        <v>-29.59925698055299</v>
      </c>
    </row>
    <row r="36" spans="6:18">
      <c r="F36">
        <f t="shared" si="9"/>
        <v>83</v>
      </c>
      <c r="G36" s="2">
        <f t="shared" si="0"/>
        <v>0.63166666666666693</v>
      </c>
      <c r="H36" s="2">
        <f t="shared" si="1"/>
        <v>0.48166666666666691</v>
      </c>
      <c r="I36" s="2">
        <f t="shared" si="2"/>
        <v>0.73619764311926816</v>
      </c>
      <c r="J36" s="2">
        <f t="shared" si="2"/>
        <v>0.68497862046529567</v>
      </c>
      <c r="K36" s="3">
        <f t="shared" si="3"/>
        <v>0.26380235688073184</v>
      </c>
      <c r="L36" s="3">
        <f t="shared" si="3"/>
        <v>0.31502137953470433</v>
      </c>
      <c r="M36" s="1">
        <f t="shared" si="4"/>
        <v>10.609191559288284</v>
      </c>
      <c r="N36" s="1">
        <f t="shared" si="5"/>
        <v>2.5983002264119328</v>
      </c>
      <c r="O36" s="2">
        <f t="shared" si="6"/>
        <v>-0.26380235688073184</v>
      </c>
      <c r="P36" s="2">
        <f t="shared" si="10"/>
        <v>8.3500000000000033E-2</v>
      </c>
      <c r="Q36" s="2">
        <f t="shared" si="7"/>
        <v>63.010572752638531</v>
      </c>
      <c r="R36" s="2">
        <f t="shared" si="8"/>
        <v>-28.978535914485118</v>
      </c>
    </row>
    <row r="37" spans="6:18">
      <c r="F37">
        <f t="shared" si="9"/>
        <v>84</v>
      </c>
      <c r="G37" s="2">
        <f t="shared" si="0"/>
        <v>0.64833333333333354</v>
      </c>
      <c r="H37" s="2">
        <f t="shared" si="1"/>
        <v>0.49833333333333352</v>
      </c>
      <c r="I37" s="2">
        <f t="shared" si="2"/>
        <v>0.74161531049984408</v>
      </c>
      <c r="J37" s="2">
        <f t="shared" si="2"/>
        <v>0.69087544144349289</v>
      </c>
      <c r="K37" s="3">
        <f t="shared" si="3"/>
        <v>0.25838468950015592</v>
      </c>
      <c r="L37" s="3">
        <f t="shared" si="3"/>
        <v>0.30912455855650711</v>
      </c>
      <c r="M37" s="1">
        <f t="shared" si="4"/>
        <v>10.767199093961977</v>
      </c>
      <c r="N37" s="1">
        <f t="shared" si="5"/>
        <v>2.5266222159770741</v>
      </c>
      <c r="O37" s="2">
        <f t="shared" si="6"/>
        <v>-0.25838468950015592</v>
      </c>
      <c r="P37" s="2">
        <f t="shared" si="10"/>
        <v>8.6000000000000035E-2</v>
      </c>
      <c r="Q37" s="2">
        <f t="shared" si="7"/>
        <v>63.394331956022427</v>
      </c>
      <c r="R37" s="2">
        <f t="shared" si="8"/>
        <v>-28.365091165992666</v>
      </c>
    </row>
    <row r="38" spans="6:18">
      <c r="F38">
        <f t="shared" si="9"/>
        <v>85</v>
      </c>
      <c r="G38" s="2">
        <f t="shared" si="0"/>
        <v>0.66500000000000026</v>
      </c>
      <c r="H38" s="2">
        <f t="shared" si="1"/>
        <v>0.51500000000000024</v>
      </c>
      <c r="I38" s="2">
        <f t="shared" si="2"/>
        <v>0.74697475346246223</v>
      </c>
      <c r="J38" s="2">
        <f t="shared" si="2"/>
        <v>0.69672348999786049</v>
      </c>
      <c r="K38" s="3">
        <f t="shared" si="3"/>
        <v>0.25302524653753783</v>
      </c>
      <c r="L38" s="3">
        <f t="shared" si="3"/>
        <v>0.30327651000213951</v>
      </c>
      <c r="M38" s="1">
        <f t="shared" si="4"/>
        <v>10.926157574457982</v>
      </c>
      <c r="N38" s="1">
        <f t="shared" si="5"/>
        <v>2.4564686480577365</v>
      </c>
      <c r="O38" s="2">
        <f t="shared" si="6"/>
        <v>-0.25302524653753777</v>
      </c>
      <c r="P38" s="2">
        <f t="shared" si="10"/>
        <v>8.8500000000000037E-2</v>
      </c>
      <c r="Q38" s="2">
        <f t="shared" si="7"/>
        <v>63.77131777178824</v>
      </c>
      <c r="R38" s="2">
        <f t="shared" si="8"/>
        <v>-27.758993301811518</v>
      </c>
    </row>
    <row r="39" spans="6:18">
      <c r="F39">
        <f t="shared" si="9"/>
        <v>86</v>
      </c>
      <c r="G39" s="2">
        <f t="shared" si="0"/>
        <v>0.68166666666666698</v>
      </c>
      <c r="H39" s="2">
        <f t="shared" si="1"/>
        <v>0.53166666666666695</v>
      </c>
      <c r="I39" s="2">
        <f t="shared" si="2"/>
        <v>0.75227512525704987</v>
      </c>
      <c r="J39" s="2">
        <f t="shared" si="2"/>
        <v>0.70252155876253009</v>
      </c>
      <c r="K39" s="3">
        <f t="shared" si="3"/>
        <v>0.24772487474295013</v>
      </c>
      <c r="L39" s="3">
        <f t="shared" si="3"/>
        <v>0.29747844123746991</v>
      </c>
      <c r="M39" s="1">
        <f t="shared" si="4"/>
        <v>11.086049981830058</v>
      </c>
      <c r="N39" s="1">
        <f t="shared" si="5"/>
        <v>2.3878210717566404</v>
      </c>
      <c r="O39" s="2">
        <f t="shared" si="6"/>
        <v>-0.24772487474295013</v>
      </c>
      <c r="P39" s="2">
        <f t="shared" si="10"/>
        <v>9.1000000000000039E-2</v>
      </c>
      <c r="Q39" s="2">
        <f t="shared" si="7"/>
        <v>64.141462543874923</v>
      </c>
      <c r="R39" s="2">
        <f t="shared" si="8"/>
        <v>-27.160308546051652</v>
      </c>
    </row>
    <row r="40" spans="6:18">
      <c r="F40">
        <f t="shared" si="9"/>
        <v>87</v>
      </c>
      <c r="G40" s="2">
        <f t="shared" si="0"/>
        <v>0.69833333333333358</v>
      </c>
      <c r="H40" s="2">
        <f t="shared" si="1"/>
        <v>0.54833333333333356</v>
      </c>
      <c r="I40" s="2">
        <f t="shared" si="2"/>
        <v>0.75751562109749027</v>
      </c>
      <c r="J40" s="2">
        <f t="shared" si="2"/>
        <v>0.70826847833368844</v>
      </c>
      <c r="K40" s="3">
        <f t="shared" si="3"/>
        <v>0.24248437890250973</v>
      </c>
      <c r="L40" s="3">
        <f t="shared" si="3"/>
        <v>0.29173152166631156</v>
      </c>
      <c r="M40" s="1">
        <f t="shared" si="4"/>
        <v>11.2468591334396</v>
      </c>
      <c r="N40" s="1">
        <f t="shared" si="5"/>
        <v>2.3206608760595131</v>
      </c>
      <c r="O40" s="2">
        <f t="shared" si="6"/>
        <v>-0.24248437890250973</v>
      </c>
      <c r="P40" s="2">
        <f t="shared" si="10"/>
        <v>9.3500000000000041E-2</v>
      </c>
      <c r="Q40" s="2">
        <f t="shared" si="7"/>
        <v>64.504702976309432</v>
      </c>
      <c r="R40" s="2">
        <f t="shared" si="8"/>
        <v>-26.569098766310486</v>
      </c>
    </row>
    <row r="41" spans="6:18">
      <c r="F41">
        <f t="shared" si="9"/>
        <v>88</v>
      </c>
      <c r="G41" s="2">
        <f t="shared" si="0"/>
        <v>0.7150000000000003</v>
      </c>
      <c r="H41" s="2">
        <f t="shared" si="1"/>
        <v>0.56500000000000028</v>
      </c>
      <c r="I41" s="2">
        <f t="shared" si="2"/>
        <v>0.76269547836015283</v>
      </c>
      <c r="J41" s="2">
        <f t="shared" si="2"/>
        <v>0.71396311791002143</v>
      </c>
      <c r="K41" s="3">
        <f t="shared" si="3"/>
        <v>0.23730452163984717</v>
      </c>
      <c r="L41" s="3">
        <f t="shared" si="3"/>
        <v>0.28603688208997852</v>
      </c>
      <c r="M41" s="1">
        <f t="shared" si="4"/>
        <v>11.408567693867951</v>
      </c>
      <c r="N41" s="1">
        <f t="shared" si="5"/>
        <v>2.2549693007385692</v>
      </c>
      <c r="O41" s="2">
        <f t="shared" si="6"/>
        <v>-0.23730452163984717</v>
      </c>
      <c r="P41" s="2">
        <f t="shared" si="10"/>
        <v>9.6000000000000044E-2</v>
      </c>
      <c r="Q41" s="2">
        <f t="shared" si="7"/>
        <v>64.860980142147326</v>
      </c>
      <c r="R41" s="2">
        <f t="shared" si="8"/>
        <v>-25.985421464723284</v>
      </c>
    </row>
    <row r="42" spans="6:18">
      <c r="F42">
        <f t="shared" si="9"/>
        <v>89</v>
      </c>
      <c r="G42" s="2">
        <f t="shared" si="0"/>
        <v>0.73166666666666702</v>
      </c>
      <c r="H42" s="2">
        <f t="shared" si="1"/>
        <v>0.581666666666667</v>
      </c>
      <c r="I42" s="2">
        <f t="shared" si="2"/>
        <v>0.76781397673360829</v>
      </c>
      <c r="J42" s="2">
        <f t="shared" si="2"/>
        <v>0.71960438588481501</v>
      </c>
      <c r="K42" s="3">
        <f t="shared" si="3"/>
        <v>0.23218602326639171</v>
      </c>
      <c r="L42" s="3">
        <f t="shared" si="3"/>
        <v>0.28039561411518499</v>
      </c>
      <c r="M42" s="1">
        <f t="shared" si="4"/>
        <v>11.571158185845135</v>
      </c>
      <c r="N42" s="1">
        <f t="shared" si="5"/>
        <v>2.1907274472722129</v>
      </c>
      <c r="O42" s="2">
        <f t="shared" si="6"/>
        <v>-0.23218602326639171</v>
      </c>
      <c r="P42" s="2">
        <f t="shared" si="10"/>
        <v>9.8500000000000046E-2</v>
      </c>
      <c r="Q42" s="2">
        <f t="shared" si="7"/>
        <v>65.210239487515693</v>
      </c>
      <c r="R42" s="2">
        <f t="shared" si="8"/>
        <v>-25.409329773911384</v>
      </c>
    </row>
    <row r="43" spans="6:18">
      <c r="F43">
        <f t="shared" si="9"/>
        <v>90</v>
      </c>
      <c r="G43" s="2">
        <f t="shared" si="0"/>
        <v>0.74833333333333363</v>
      </c>
      <c r="H43" s="2">
        <f t="shared" si="1"/>
        <v>0.59833333333333361</v>
      </c>
      <c r="I43" s="2">
        <f t="shared" si="2"/>
        <v>0.77287043831988289</v>
      </c>
      <c r="J43" s="2">
        <f t="shared" si="2"/>
        <v>0.72519123038932942</v>
      </c>
      <c r="K43" s="3">
        <f t="shared" si="3"/>
        <v>0.22712956168011714</v>
      </c>
      <c r="L43" s="3">
        <f t="shared" si="3"/>
        <v>0.27480876961067058</v>
      </c>
      <c r="M43" s="1">
        <f t="shared" si="4"/>
        <v>11.734613001182495</v>
      </c>
      <c r="N43" s="1">
        <f t="shared" si="5"/>
        <v>2.1279162897688941</v>
      </c>
      <c r="O43" s="2">
        <f t="shared" si="6"/>
        <v>-0.22712956168011711</v>
      </c>
      <c r="P43" s="2">
        <f t="shared" si="10"/>
        <v>0.10100000000000005</v>
      </c>
      <c r="Q43" s="2">
        <f t="shared" si="7"/>
        <v>65.55243083080579</v>
      </c>
      <c r="R43" s="2">
        <f t="shared" si="8"/>
        <v>-24.840872457780609</v>
      </c>
    </row>
    <row r="44" spans="6:18">
      <c r="F44">
        <f t="shared" si="9"/>
        <v>91</v>
      </c>
      <c r="G44" s="2">
        <f t="shared" si="0"/>
        <v>0.76500000000000035</v>
      </c>
      <c r="H44" s="2">
        <f t="shared" si="1"/>
        <v>0.61500000000000032</v>
      </c>
      <c r="I44" s="2">
        <f t="shared" si="2"/>
        <v>0.77786422768767638</v>
      </c>
      <c r="J44" s="2">
        <f t="shared" si="2"/>
        <v>0.73072263978714613</v>
      </c>
      <c r="K44" s="3">
        <f t="shared" si="3"/>
        <v>0.22213577231232368</v>
      </c>
      <c r="L44" s="3">
        <f>_xlfn.NORM.S.DIST(-H44,TRUE)</f>
        <v>0.26927736021285387</v>
      </c>
      <c r="M44" s="1">
        <f t="shared" si="4"/>
        <v>11.898914411697291</v>
      </c>
      <c r="N44" s="1">
        <f t="shared" si="5"/>
        <v>2.066516685882835</v>
      </c>
      <c r="O44" s="2">
        <f t="shared" si="6"/>
        <v>-0.22213577231232362</v>
      </c>
      <c r="P44" s="2">
        <f t="shared" si="10"/>
        <v>0.10350000000000005</v>
      </c>
      <c r="Q44" s="2">
        <f t="shared" si="7"/>
        <v>65.887508357070345</v>
      </c>
      <c r="R44" s="2">
        <f t="shared" si="8"/>
        <v>-24.280093917115202</v>
      </c>
    </row>
    <row r="45" spans="6:18">
      <c r="F45">
        <f t="shared" si="9"/>
        <v>92</v>
      </c>
      <c r="G45" s="2">
        <f t="shared" si="0"/>
        <v>0.78166666666666706</v>
      </c>
      <c r="H45" s="2">
        <f t="shared" si="1"/>
        <v>0.63166666666666704</v>
      </c>
      <c r="I45" s="2">
        <f t="shared" si="2"/>
        <v>0.78279475187804781</v>
      </c>
      <c r="J45" s="2">
        <f t="shared" si="2"/>
        <v>0.73619764311926816</v>
      </c>
      <c r="K45" s="3">
        <f t="shared" si="3"/>
        <v>0.21720524812195222</v>
      </c>
      <c r="L45" s="3">
        <f t="shared" si="3"/>
        <v>0.26380235688073184</v>
      </c>
      <c r="M45" s="1">
        <f t="shared" si="4"/>
        <v>12.064044580117525</v>
      </c>
      <c r="N45" s="1">
        <f t="shared" si="5"/>
        <v>2.0065093877099329</v>
      </c>
      <c r="O45" s="2">
        <f t="shared" si="6"/>
        <v>-0.21720524812195219</v>
      </c>
      <c r="P45" s="2">
        <f t="shared" si="10"/>
        <v>0.10600000000000005</v>
      </c>
      <c r="Q45" s="2">
        <f t="shared" si="7"/>
        <v>66.215430607687253</v>
      </c>
      <c r="R45" s="2">
        <f t="shared" si="8"/>
        <v>-23.727034199905155</v>
      </c>
    </row>
    <row r="46" spans="6:18">
      <c r="F46">
        <f t="shared" si="9"/>
        <v>93</v>
      </c>
      <c r="G46" s="2">
        <f t="shared" si="0"/>
        <v>0.79833333333333367</v>
      </c>
      <c r="H46" s="2">
        <f t="shared" si="1"/>
        <v>0.64833333333333365</v>
      </c>
      <c r="I46" s="2">
        <f t="shared" si="2"/>
        <v>0.78766146036314355</v>
      </c>
      <c r="J46" s="2">
        <f t="shared" si="2"/>
        <v>0.74161531049984408</v>
      </c>
      <c r="K46" s="3">
        <f t="shared" si="3"/>
        <v>0.21233853963685639</v>
      </c>
      <c r="L46" s="3">
        <f t="shared" si="3"/>
        <v>0.25838468950015592</v>
      </c>
      <c r="M46" s="1">
        <f t="shared" si="4"/>
        <v>12.229985570954881</v>
      </c>
      <c r="N46" s="1">
        <f t="shared" si="5"/>
        <v>1.9478750526519661</v>
      </c>
      <c r="O46" s="2">
        <f t="shared" si="6"/>
        <v>-0.21233853963685645</v>
      </c>
      <c r="P46" s="2">
        <f t="shared" si="10"/>
        <v>0.10850000000000005</v>
      </c>
      <c r="Q46" s="2">
        <f t="shared" si="7"/>
        <v>66.536160465359472</v>
      </c>
      <c r="R46" s="2">
        <f t="shared" si="8"/>
        <v>-23.181729016337606</v>
      </c>
    </row>
    <row r="47" spans="6:18">
      <c r="F47">
        <f t="shared" si="9"/>
        <v>94</v>
      </c>
      <c r="G47" s="2">
        <f t="shared" si="0"/>
        <v>0.81500000000000039</v>
      </c>
      <c r="H47" s="2">
        <f t="shared" si="1"/>
        <v>0.66500000000000037</v>
      </c>
      <c r="I47" s="2">
        <f t="shared" si="2"/>
        <v>0.79246384495861233</v>
      </c>
      <c r="J47" s="2">
        <f t="shared" si="2"/>
        <v>0.74697475346246223</v>
      </c>
      <c r="K47" s="3">
        <f t="shared" si="3"/>
        <v>0.2075361550413877</v>
      </c>
      <c r="L47" s="3">
        <f t="shared" si="3"/>
        <v>0.25302524653753777</v>
      </c>
      <c r="M47" s="1">
        <f t="shared" si="4"/>
        <v>12.396719361334505</v>
      </c>
      <c r="N47" s="1">
        <f t="shared" si="5"/>
        <v>1.8905942542375946</v>
      </c>
      <c r="O47" s="2">
        <f t="shared" si="6"/>
        <v>-0.20753615504138767</v>
      </c>
      <c r="P47" s="2">
        <f t="shared" si="10"/>
        <v>0.11100000000000006</v>
      </c>
      <c r="Q47" s="2">
        <f t="shared" si="7"/>
        <v>66.849665134526731</v>
      </c>
      <c r="R47" s="2">
        <f t="shared" si="8"/>
        <v>-22.644209758376366</v>
      </c>
    </row>
    <row r="48" spans="6:18">
      <c r="F48">
        <f t="shared" si="9"/>
        <v>95</v>
      </c>
      <c r="G48" s="2">
        <f t="shared" si="0"/>
        <v>0.83166666666666711</v>
      </c>
      <c r="H48" s="2">
        <f t="shared" si="1"/>
        <v>0.68166666666666709</v>
      </c>
      <c r="I48" s="2">
        <f t="shared" si="2"/>
        <v>0.79720143969042045</v>
      </c>
      <c r="J48" s="2">
        <f t="shared" si="2"/>
        <v>0.75227512525704987</v>
      </c>
      <c r="K48" s="3">
        <f t="shared" si="3"/>
        <v>0.20279856030957957</v>
      </c>
      <c r="L48" s="3">
        <f t="shared" si="3"/>
        <v>0.24772487474295013</v>
      </c>
      <c r="M48" s="1">
        <f t="shared" si="4"/>
        <v>12.564227851770212</v>
      </c>
      <c r="N48" s="1">
        <f t="shared" si="5"/>
        <v>1.8346474928887204</v>
      </c>
      <c r="O48" s="2">
        <f t="shared" si="6"/>
        <v>-0.20279856030957955</v>
      </c>
      <c r="P48" s="2">
        <f t="shared" si="10"/>
        <v>0.11350000000000006</v>
      </c>
      <c r="Q48" s="2">
        <f t="shared" si="7"/>
        <v>67.155916117271829</v>
      </c>
      <c r="R48" s="2">
        <f t="shared" si="8"/>
        <v>-22.114503523846679</v>
      </c>
    </row>
    <row r="49" spans="6:18">
      <c r="F49">
        <f t="shared" si="9"/>
        <v>96</v>
      </c>
      <c r="G49" s="2">
        <f t="shared" si="0"/>
        <v>0.84833333333333372</v>
      </c>
      <c r="H49" s="2">
        <f t="shared" si="1"/>
        <v>0.69833333333333369</v>
      </c>
      <c r="I49" s="2">
        <f t="shared" si="2"/>
        <v>0.80187382061684964</v>
      </c>
      <c r="J49" s="2">
        <f t="shared" si="2"/>
        <v>0.75751562109749027</v>
      </c>
      <c r="K49" s="3">
        <f t="shared" si="3"/>
        <v>0.19812617938315039</v>
      </c>
      <c r="L49" s="3">
        <f t="shared" si="3"/>
        <v>0.24248437890250968</v>
      </c>
      <c r="M49" s="1">
        <f t="shared" si="4"/>
        <v>12.732492876873835</v>
      </c>
      <c r="N49" s="1">
        <f t="shared" si="5"/>
        <v>1.7800152066210835</v>
      </c>
      <c r="O49" s="2">
        <f t="shared" si="6"/>
        <v>-0.19812617938315036</v>
      </c>
      <c r="P49" s="2">
        <f t="shared" si="10"/>
        <v>0.11600000000000006</v>
      </c>
      <c r="Q49" s="2">
        <f t="shared" si="7"/>
        <v>67.454889184811123</v>
      </c>
      <c r="R49" s="2">
        <f t="shared" si="8"/>
        <v>-21.592633144936123</v>
      </c>
    </row>
    <row r="50" spans="6:18">
      <c r="F50">
        <f t="shared" si="9"/>
        <v>97</v>
      </c>
      <c r="G50" s="2">
        <f t="shared" si="0"/>
        <v>0.86500000000000044</v>
      </c>
      <c r="H50" s="2">
        <f t="shared" si="1"/>
        <v>0.71500000000000041</v>
      </c>
      <c r="I50" s="2">
        <f t="shared" si="2"/>
        <v>0.80648060560651946</v>
      </c>
      <c r="J50" s="2">
        <f t="shared" si="2"/>
        <v>0.76269547836015283</v>
      </c>
      <c r="K50" s="3">
        <f t="shared" si="3"/>
        <v>0.19351939439348051</v>
      </c>
      <c r="L50" s="3">
        <f t="shared" si="3"/>
        <v>0.23730452163984717</v>
      </c>
      <c r="M50" s="1">
        <f t="shared" si="4"/>
        <v>12.901496215987876</v>
      </c>
      <c r="N50" s="1">
        <f t="shared" si="5"/>
        <v>1.7266777816683145</v>
      </c>
      <c r="O50" s="2">
        <f t="shared" si="6"/>
        <v>-0.19351939439348054</v>
      </c>
      <c r="P50" s="2">
        <f t="shared" si="10"/>
        <v>0.11850000000000006</v>
      </c>
      <c r="Q50" s="2">
        <f t="shared" si="7"/>
        <v>67.746564344664066</v>
      </c>
      <c r="R50" s="2">
        <f t="shared" si="8"/>
        <v>-21.078617221016366</v>
      </c>
    </row>
    <row r="51" spans="6:18">
      <c r="F51">
        <f t="shared" si="9"/>
        <v>98</v>
      </c>
      <c r="G51" s="2">
        <f t="shared" si="0"/>
        <v>0.88166666666666715</v>
      </c>
      <c r="H51" s="2">
        <f t="shared" si="1"/>
        <v>0.73166666666666713</v>
      </c>
      <c r="I51" s="2">
        <f t="shared" si="2"/>
        <v>0.81102145407333981</v>
      </c>
      <c r="J51" s="2">
        <f t="shared" si="2"/>
        <v>0.76781397673360829</v>
      </c>
      <c r="K51" s="3">
        <f t="shared" si="3"/>
        <v>0.18897854592666014</v>
      </c>
      <c r="L51" s="3">
        <f t="shared" si="3"/>
        <v>0.23218602326639168</v>
      </c>
      <c r="M51" s="1">
        <f t="shared" si="4"/>
        <v>13.071219603730881</v>
      </c>
      <c r="N51" s="1">
        <f t="shared" si="5"/>
        <v>1.6746155630184383</v>
      </c>
      <c r="O51" s="2">
        <f t="shared" si="6"/>
        <v>-0.18897854592666019</v>
      </c>
      <c r="P51" s="2">
        <f t="shared" si="10"/>
        <v>0.12100000000000007</v>
      </c>
      <c r="Q51" s="2">
        <f t="shared" si="7"/>
        <v>68.030925803603097</v>
      </c>
      <c r="R51" s="2">
        <f t="shared" si="8"/>
        <v>-20.572470155684453</v>
      </c>
    </row>
    <row r="52" spans="6:18">
      <c r="F52">
        <f t="shared" si="9"/>
        <v>99</v>
      </c>
      <c r="G52" s="2">
        <f t="shared" si="0"/>
        <v>0.89833333333333376</v>
      </c>
      <c r="H52" s="2">
        <f t="shared" si="1"/>
        <v>0.74833333333333374</v>
      </c>
      <c r="I52" s="2">
        <f t="shared" si="2"/>
        <v>0.81549606666935837</v>
      </c>
      <c r="J52" s="2">
        <f t="shared" si="2"/>
        <v>0.77287043831988289</v>
      </c>
      <c r="K52" s="3">
        <f t="shared" si="3"/>
        <v>0.18450393333064161</v>
      </c>
      <c r="L52" s="3">
        <f t="shared" si="3"/>
        <v>0.22712956168011711</v>
      </c>
      <c r="M52" s="1">
        <f t="shared" si="4"/>
        <v>13.241644740444912</v>
      </c>
      <c r="N52" s="1">
        <f t="shared" si="5"/>
        <v>1.6238088648527622</v>
      </c>
      <c r="O52" s="2">
        <f t="shared" si="6"/>
        <v>-0.18450393333064163</v>
      </c>
      <c r="P52" s="2">
        <f t="shared" si="10"/>
        <v>0.12350000000000007</v>
      </c>
      <c r="Q52" s="2">
        <f t="shared" si="7"/>
        <v>68.307961926490918</v>
      </c>
      <c r="R52" s="2">
        <f t="shared" si="8"/>
        <v>-20.074202197916922</v>
      </c>
    </row>
    <row r="53" spans="6:18">
      <c r="F53">
        <f t="shared" si="9"/>
        <v>100</v>
      </c>
      <c r="G53" s="2">
        <f t="shared" si="0"/>
        <v>0.91500000000000048</v>
      </c>
      <c r="H53" s="2">
        <f t="shared" si="1"/>
        <v>0.76500000000000046</v>
      </c>
      <c r="I53" s="2">
        <f t="shared" si="2"/>
        <v>0.81990418493652317</v>
      </c>
      <c r="J53" s="2">
        <f t="shared" si="2"/>
        <v>0.77786422768767638</v>
      </c>
      <c r="K53" s="3">
        <f t="shared" si="3"/>
        <v>0.18009581506347686</v>
      </c>
      <c r="L53" s="3">
        <f t="shared" si="3"/>
        <v>0.22213577231232368</v>
      </c>
      <c r="M53" s="1">
        <f t="shared" si="4"/>
        <v>13.412753302535222</v>
      </c>
      <c r="N53" s="1">
        <f t="shared" si="5"/>
        <v>1.5742379808768128</v>
      </c>
      <c r="O53" s="2">
        <f t="shared" si="6"/>
        <v>-0.18009581506347683</v>
      </c>
      <c r="P53" s="2">
        <f t="shared" si="10"/>
        <v>0.12600000000000006</v>
      </c>
      <c r="Q53" s="2">
        <f t="shared" si="7"/>
        <v>68.577665191117092</v>
      </c>
      <c r="R53" s="2">
        <f t="shared" si="8"/>
        <v>-19.583819487224499</v>
      </c>
    </row>
    <row r="54" spans="6:18">
      <c r="F54">
        <f t="shared" si="9"/>
        <v>101</v>
      </c>
      <c r="G54" s="2">
        <f t="shared" si="0"/>
        <v>0.9316666666666672</v>
      </c>
      <c r="H54" s="2">
        <f t="shared" si="1"/>
        <v>0.78166666666666718</v>
      </c>
      <c r="I54" s="2">
        <f t="shared" si="2"/>
        <v>0.82424559091843319</v>
      </c>
      <c r="J54" s="2">
        <f t="shared" si="2"/>
        <v>0.78279475187804781</v>
      </c>
      <c r="K54" s="3">
        <f t="shared" si="3"/>
        <v>0.17575440908156684</v>
      </c>
      <c r="L54" s="3">
        <f t="shared" si="3"/>
        <v>0.21720524812195222</v>
      </c>
      <c r="M54" s="1">
        <f t="shared" si="4"/>
        <v>13.584526952691917</v>
      </c>
      <c r="N54" s="1">
        <f t="shared" si="5"/>
        <v>1.5258831945335096</v>
      </c>
      <c r="O54" s="2">
        <f t="shared" si="6"/>
        <v>-0.17575440908156681</v>
      </c>
      <c r="P54" s="2">
        <f t="shared" si="10"/>
        <v>0.12850000000000006</v>
      </c>
      <c r="Q54" s="2">
        <f t="shared" si="7"/>
        <v>68.840032139151404</v>
      </c>
      <c r="R54" s="2">
        <f t="shared" si="8"/>
        <v>-19.101324102690192</v>
      </c>
    </row>
    <row r="55" spans="6:18">
      <c r="F55">
        <f t="shared" si="9"/>
        <v>102</v>
      </c>
      <c r="G55" s="2">
        <f t="shared" si="0"/>
        <v>0.94833333333333381</v>
      </c>
      <c r="H55" s="2">
        <f t="shared" si="1"/>
        <v>0.79833333333333378</v>
      </c>
      <c r="I55" s="2">
        <f t="shared" si="2"/>
        <v>0.82852010673320176</v>
      </c>
      <c r="J55" s="2">
        <f t="shared" si="2"/>
        <v>0.78766146036314366</v>
      </c>
      <c r="K55" s="3">
        <f t="shared" si="3"/>
        <v>0.17147989326679824</v>
      </c>
      <c r="L55" s="3">
        <f t="shared" si="3"/>
        <v>0.21233853963685637</v>
      </c>
      <c r="M55" s="1">
        <f t="shared" si="4"/>
        <v>13.756947349984571</v>
      </c>
      <c r="N55" s="1">
        <f t="shared" si="5"/>
        <v>1.478724789088929</v>
      </c>
      <c r="O55" s="2">
        <f t="shared" si="6"/>
        <v>-0.17147989326679824</v>
      </c>
      <c r="P55" s="2">
        <f t="shared" si="10"/>
        <v>0.13100000000000006</v>
      </c>
      <c r="Q55" s="2">
        <f t="shared" si="7"/>
        <v>69.095063323335609</v>
      </c>
      <c r="R55" s="2">
        <f t="shared" si="8"/>
        <v>-18.626714115768753</v>
      </c>
    </row>
    <row r="56" spans="6:18">
      <c r="F56">
        <f t="shared" si="9"/>
        <v>103</v>
      </c>
      <c r="G56" s="2">
        <f t="shared" si="0"/>
        <v>0.96500000000000052</v>
      </c>
      <c r="H56" s="2">
        <f t="shared" si="1"/>
        <v>0.8150000000000005</v>
      </c>
      <c r="I56" s="2">
        <f t="shared" si="2"/>
        <v>0.83272759410860497</v>
      </c>
      <c r="J56" s="2">
        <f t="shared" si="2"/>
        <v>0.79246384495861233</v>
      </c>
      <c r="K56" s="3">
        <f t="shared" si="3"/>
        <v>0.167272405891395</v>
      </c>
      <c r="L56" s="3">
        <f t="shared" si="3"/>
        <v>0.20753615504138764</v>
      </c>
      <c r="M56" s="1">
        <f t="shared" si="4"/>
        <v>13.929996159820007</v>
      </c>
      <c r="N56" s="1">
        <f t="shared" si="5"/>
        <v>1.4327430575816678</v>
      </c>
      <c r="O56" s="2">
        <f t="shared" si="6"/>
        <v>-0.16727240589139503</v>
      </c>
      <c r="P56" s="2">
        <f t="shared" si="10"/>
        <v>0.13350000000000006</v>
      </c>
      <c r="Q56" s="2">
        <f t="shared" si="7"/>
        <v>69.342763251040495</v>
      </c>
      <c r="R56" s="2">
        <f t="shared" si="8"/>
        <v>-18.159983646721166</v>
      </c>
    </row>
    <row r="57" spans="6:18">
      <c r="F57">
        <f t="shared" si="9"/>
        <v>104</v>
      </c>
      <c r="G57" s="2">
        <f t="shared" si="0"/>
        <v>0.98166666666666724</v>
      </c>
      <c r="H57" s="2">
        <f t="shared" si="1"/>
        <v>0.83166666666666722</v>
      </c>
      <c r="I57" s="2">
        <f t="shared" si="2"/>
        <v>0.8368679538807301</v>
      </c>
      <c r="J57" s="2">
        <f t="shared" si="2"/>
        <v>0.79720143969042045</v>
      </c>
      <c r="K57" s="3">
        <f t="shared" si="3"/>
        <v>0.1631320461192699</v>
      </c>
      <c r="L57" s="3">
        <f t="shared" si="3"/>
        <v>0.20279856030957957</v>
      </c>
      <c r="M57" s="1">
        <f t="shared" si="4"/>
        <v>14.103655063754658</v>
      </c>
      <c r="N57" s="1">
        <f t="shared" si="5"/>
        <v>1.3879183126265815</v>
      </c>
      <c r="O57" s="2">
        <f t="shared" si="6"/>
        <v>-0.1631320461192699</v>
      </c>
      <c r="P57" s="2">
        <f t="shared" si="10"/>
        <v>0.13600000000000007</v>
      </c>
      <c r="Q57" s="2">
        <f t="shared" si="7"/>
        <v>69.58314032431835</v>
      </c>
      <c r="R57" s="2">
        <f t="shared" si="8"/>
        <v>-17.701122924553573</v>
      </c>
    </row>
    <row r="58" spans="6:18">
      <c r="F58">
        <f t="shared" si="9"/>
        <v>105</v>
      </c>
      <c r="G58" s="2">
        <f t="shared" si="0"/>
        <v>0.99833333333333385</v>
      </c>
      <c r="H58" s="2">
        <f t="shared" si="1"/>
        <v>0.84833333333333383</v>
      </c>
      <c r="I58" s="2">
        <f t="shared" si="2"/>
        <v>0.84094112545738287</v>
      </c>
      <c r="J58" s="2">
        <f t="shared" si="2"/>
        <v>0.80187382061684964</v>
      </c>
      <c r="K58" s="3">
        <f t="shared" si="3"/>
        <v>0.15905887454261719</v>
      </c>
      <c r="L58" s="3">
        <f t="shared" si="3"/>
        <v>0.19812617938315033</v>
      </c>
      <c r="M58" s="1">
        <f t="shared" si="4"/>
        <v>14.277905769152852</v>
      </c>
      <c r="N58" s="1">
        <f t="shared" si="5"/>
        <v>1.3442308960644596</v>
      </c>
      <c r="O58" s="2">
        <f t="shared" si="6"/>
        <v>-0.15905887454261713</v>
      </c>
      <c r="P58" s="2">
        <f t="shared" si="10"/>
        <v>0.13850000000000007</v>
      </c>
      <c r="Q58" s="2">
        <f t="shared" si="7"/>
        <v>69.816206776585432</v>
      </c>
      <c r="R58" s="2">
        <f t="shared" si="8"/>
        <v>-17.250118350326179</v>
      </c>
    </row>
    <row r="59" spans="6:18">
      <c r="F59">
        <f t="shared" si="9"/>
        <v>106</v>
      </c>
      <c r="G59" s="2">
        <f t="shared" si="0"/>
        <v>1.0150000000000006</v>
      </c>
      <c r="H59" s="2">
        <f t="shared" si="1"/>
        <v>0.86500000000000055</v>
      </c>
      <c r="I59" s="2">
        <f t="shared" si="2"/>
        <v>0.84494708624755055</v>
      </c>
      <c r="J59" s="2">
        <f t="shared" si="2"/>
        <v>0.80648060560651957</v>
      </c>
      <c r="K59" s="3">
        <f t="shared" si="3"/>
        <v>0.15505291375244942</v>
      </c>
      <c r="L59" s="3">
        <f t="shared" si="3"/>
        <v>0.19351939439348045</v>
      </c>
      <c r="M59" s="1">
        <f t="shared" si="4"/>
        <v>14.452730018682601</v>
      </c>
      <c r="N59" s="1">
        <f t="shared" si="5"/>
        <v>1.3016611884493923</v>
      </c>
      <c r="O59" s="2">
        <f t="shared" si="6"/>
        <v>-0.15505291375244945</v>
      </c>
      <c r="P59" s="2">
        <f t="shared" si="10"/>
        <v>0.14100000000000007</v>
      </c>
      <c r="Q59" s="2">
        <f t="shared" si="7"/>
        <v>70.041978606072448</v>
      </c>
      <c r="R59" s="2">
        <f t="shared" si="8"/>
        <v>-16.806952563694335</v>
      </c>
    </row>
    <row r="60" spans="6:18">
      <c r="F60">
        <f t="shared" si="9"/>
        <v>107</v>
      </c>
      <c r="G60" s="2">
        <f t="shared" si="0"/>
        <v>1.0316666666666672</v>
      </c>
      <c r="H60" s="2">
        <f t="shared" si="1"/>
        <v>0.88166666666666715</v>
      </c>
      <c r="I60" s="2">
        <f t="shared" si="2"/>
        <v>0.84888585105825265</v>
      </c>
      <c r="J60" s="2">
        <f t="shared" si="2"/>
        <v>0.81102145407333981</v>
      </c>
      <c r="K60" s="3">
        <f t="shared" si="3"/>
        <v>0.15111414894174738</v>
      </c>
      <c r="L60" s="3">
        <f t="shared" si="3"/>
        <v>0.18897854592666014</v>
      </c>
      <c r="M60" s="1">
        <f t="shared" si="4"/>
        <v>14.628109599641434</v>
      </c>
      <c r="N60" s="1">
        <f t="shared" si="5"/>
        <v>1.2601896183658798</v>
      </c>
      <c r="O60" s="2">
        <f t="shared" si="6"/>
        <v>-0.15111414894174735</v>
      </c>
      <c r="P60" s="2">
        <f t="shared" si="10"/>
        <v>0.14350000000000007</v>
      </c>
      <c r="Q60" s="2">
        <f t="shared" si="7"/>
        <v>70.260475506183838</v>
      </c>
      <c r="R60" s="2">
        <f t="shared" si="8"/>
        <v>-16.371604512540618</v>
      </c>
    </row>
    <row r="61" spans="6:18">
      <c r="F61">
        <f t="shared" si="9"/>
        <v>108</v>
      </c>
      <c r="G61" s="2">
        <f t="shared" si="0"/>
        <v>1.048333333333334</v>
      </c>
      <c r="H61" s="2">
        <f t="shared" si="1"/>
        <v>0.89833333333333398</v>
      </c>
      <c r="I61" s="2">
        <f t="shared" si="2"/>
        <v>0.85275747146014136</v>
      </c>
      <c r="J61" s="2">
        <f t="shared" si="2"/>
        <v>0.81549606666935848</v>
      </c>
      <c r="K61" s="3">
        <f t="shared" si="3"/>
        <v>0.14724252853985861</v>
      </c>
      <c r="L61" s="3">
        <f t="shared" si="3"/>
        <v>0.18450393333064152</v>
      </c>
      <c r="M61" s="1">
        <f t="shared" si="4"/>
        <v>14.804026353103836</v>
      </c>
      <c r="N61" s="1">
        <f t="shared" si="5"/>
        <v>1.2197966715681012</v>
      </c>
      <c r="O61" s="2">
        <f t="shared" si="6"/>
        <v>-0.14724252853985864</v>
      </c>
      <c r="P61" s="2">
        <f t="shared" si="10"/>
        <v>0.14600000000000007</v>
      </c>
      <c r="Q61" s="2">
        <f t="shared" si="7"/>
        <v>70.471720792910304</v>
      </c>
      <c r="R61" s="2">
        <f t="shared" si="8"/>
        <v>-15.944049525553963</v>
      </c>
    </row>
    <row r="62" spans="6:18">
      <c r="F62">
        <f t="shared" si="9"/>
        <v>109</v>
      </c>
      <c r="G62" s="2">
        <f t="shared" si="0"/>
        <v>1.0650000000000006</v>
      </c>
      <c r="H62" s="2">
        <f t="shared" si="1"/>
        <v>0.91500000000000059</v>
      </c>
      <c r="I62" s="2">
        <f t="shared" si="2"/>
        <v>0.85656203512324913</v>
      </c>
      <c r="J62" s="2">
        <f t="shared" si="2"/>
        <v>0.81990418493652317</v>
      </c>
      <c r="K62" s="3">
        <f t="shared" si="3"/>
        <v>0.1434379648767509</v>
      </c>
      <c r="L62" s="3">
        <f t="shared" si="3"/>
        <v>0.1800958150634768</v>
      </c>
      <c r="M62" s="1">
        <f t="shared" si="4"/>
        <v>14.980462182884423</v>
      </c>
      <c r="N62" s="1">
        <f t="shared" si="5"/>
        <v>1.180462899934291</v>
      </c>
      <c r="O62" s="2">
        <f t="shared" si="6"/>
        <v>-0.14343796487675087</v>
      </c>
      <c r="P62" s="2">
        <f t="shared" si="10"/>
        <v>0.14850000000000008</v>
      </c>
      <c r="Q62" s="2">
        <f t="shared" si="7"/>
        <v>70.675741329440484</v>
      </c>
      <c r="R62" s="2">
        <f t="shared" si="8"/>
        <v>-15.52425938760938</v>
      </c>
    </row>
    <row r="63" spans="6:18">
      <c r="F63">
        <f t="shared" si="9"/>
        <v>110</v>
      </c>
      <c r="G63" s="2">
        <f t="shared" si="0"/>
        <v>1.0816666666666672</v>
      </c>
      <c r="H63" s="2">
        <f t="shared" si="1"/>
        <v>0.9316666666666672</v>
      </c>
      <c r="I63" s="2">
        <f t="shared" si="2"/>
        <v>0.86029966512429856</v>
      </c>
      <c r="J63" s="2">
        <f t="shared" si="2"/>
        <v>0.82424559091843319</v>
      </c>
      <c r="K63" s="3">
        <f t="shared" si="3"/>
        <v>0.13970033487570144</v>
      </c>
      <c r="L63" s="3">
        <f t="shared" si="3"/>
        <v>0.17575440908156684</v>
      </c>
      <c r="M63" s="1">
        <f t="shared" si="4"/>
        <v>15.157399064308692</v>
      </c>
      <c r="N63" s="1">
        <f t="shared" si="5"/>
        <v>1.1421689302292357</v>
      </c>
      <c r="O63" s="2">
        <f t="shared" si="6"/>
        <v>-0.13970033487570144</v>
      </c>
      <c r="P63" s="2">
        <f t="shared" si="10"/>
        <v>0.15100000000000008</v>
      </c>
      <c r="Q63" s="2">
        <f t="shared" si="7"/>
        <v>70.87256744812116</v>
      </c>
      <c r="R63" s="2">
        <f t="shared" si="8"/>
        <v>-15.112202417799379</v>
      </c>
    </row>
    <row r="64" spans="6:18">
      <c r="F64">
        <f t="shared" si="9"/>
        <v>111</v>
      </c>
      <c r="G64" s="2">
        <f t="shared" si="0"/>
        <v>1.098333333333334</v>
      </c>
      <c r="H64" s="2">
        <f t="shared" si="1"/>
        <v>0.94833333333333403</v>
      </c>
      <c r="I64" s="2">
        <f t="shared" si="2"/>
        <v>0.86397051922701951</v>
      </c>
      <c r="J64" s="2">
        <f t="shared" si="2"/>
        <v>0.82852010673320187</v>
      </c>
      <c r="K64" s="3">
        <f t="shared" si="3"/>
        <v>0.13602948077298047</v>
      </c>
      <c r="L64" s="3">
        <f t="shared" si="3"/>
        <v>0.17147989326679816</v>
      </c>
      <c r="M64" s="1">
        <f t="shared" si="4"/>
        <v>15.334819052785789</v>
      </c>
      <c r="N64" s="1">
        <f t="shared" si="5"/>
        <v>1.1048954726685754</v>
      </c>
      <c r="O64" s="2">
        <f t="shared" si="6"/>
        <v>-0.13602948077298049</v>
      </c>
      <c r="P64" s="2">
        <f t="shared" si="10"/>
        <v>0.15350000000000008</v>
      </c>
      <c r="Q64" s="2">
        <f t="shared" si="7"/>
        <v>71.062232869916159</v>
      </c>
      <c r="R64" s="2">
        <f t="shared" si="8"/>
        <v>-14.707843549966622</v>
      </c>
    </row>
    <row r="65" spans="6:18">
      <c r="F65">
        <f t="shared" si="9"/>
        <v>112</v>
      </c>
      <c r="G65" s="2">
        <f t="shared" si="0"/>
        <v>1.1150000000000007</v>
      </c>
      <c r="H65" s="2">
        <f t="shared" si="1"/>
        <v>0.96500000000000064</v>
      </c>
      <c r="I65" s="2">
        <f t="shared" si="2"/>
        <v>0.86757478913693398</v>
      </c>
      <c r="J65" s="2">
        <f t="shared" si="2"/>
        <v>0.83272759410860508</v>
      </c>
      <c r="K65" s="3">
        <f t="shared" si="3"/>
        <v>0.13242521086306605</v>
      </c>
      <c r="L65" s="3">
        <f t="shared" si="3"/>
        <v>0.16727240589139492</v>
      </c>
      <c r="M65" s="1">
        <f t="shared" si="4"/>
        <v>15.512704292176991</v>
      </c>
      <c r="N65" s="1">
        <f t="shared" si="5"/>
        <v>1.0686233292788145</v>
      </c>
      <c r="O65" s="2">
        <f t="shared" si="6"/>
        <v>-0.13242521086306602</v>
      </c>
      <c r="P65" s="2">
        <f t="shared" si="10"/>
        <v>0.15600000000000008</v>
      </c>
      <c r="Q65" s="2">
        <f t="shared" si="7"/>
        <v>71.244774621516413</v>
      </c>
      <c r="R65" s="2">
        <f t="shared" si="8"/>
        <v>-14.311144415585419</v>
      </c>
    </row>
    <row r="66" spans="6:18">
      <c r="F66">
        <f t="shared" si="9"/>
        <v>113</v>
      </c>
      <c r="G66" s="2">
        <f t="shared" si="0"/>
        <v>1.1316666666666673</v>
      </c>
      <c r="H66" s="2">
        <f t="shared" si="1"/>
        <v>0.98166666666666724</v>
      </c>
      <c r="I66" s="2">
        <f t="shared" si="2"/>
        <v>0.87111269973208671</v>
      </c>
      <c r="J66" s="2">
        <f t="shared" si="2"/>
        <v>0.8368679538807301</v>
      </c>
      <c r="K66" s="3">
        <f t="shared" si="3"/>
        <v>0.12888730026791331</v>
      </c>
      <c r="L66" s="3">
        <f t="shared" si="3"/>
        <v>0.1631320461192699</v>
      </c>
      <c r="M66" s="1">
        <f t="shared" si="4"/>
        <v>15.691037022953964</v>
      </c>
      <c r="N66" s="1">
        <f t="shared" si="5"/>
        <v>1.0333334020473313</v>
      </c>
      <c r="O66" s="2">
        <f t="shared" si="6"/>
        <v>-0.12888730026791329</v>
      </c>
      <c r="P66" s="2">
        <f t="shared" si="10"/>
        <v>0.15850000000000009</v>
      </c>
      <c r="Q66" s="2">
        <f t="shared" si="7"/>
        <v>71.420232950254714</v>
      </c>
      <c r="R66" s="2">
        <f t="shared" si="8"/>
        <v>-13.922063428838662</v>
      </c>
    </row>
    <row r="67" spans="6:18">
      <c r="F67">
        <f t="shared" si="9"/>
        <v>114</v>
      </c>
      <c r="G67" s="2">
        <f t="shared" si="0"/>
        <v>1.1483333333333341</v>
      </c>
      <c r="H67" s="2">
        <f t="shared" si="1"/>
        <v>0.99833333333333407</v>
      </c>
      <c r="I67" s="2">
        <f t="shared" si="2"/>
        <v>0.87458450827121392</v>
      </c>
      <c r="J67" s="2">
        <f t="shared" si="2"/>
        <v>0.84094112545738287</v>
      </c>
      <c r="K67" s="3">
        <f t="shared" si="3"/>
        <v>0.12541549172878608</v>
      </c>
      <c r="L67" s="3">
        <f t="shared" si="3"/>
        <v>0.15905887454261719</v>
      </c>
      <c r="M67" s="1">
        <f t="shared" si="4"/>
        <v>15.869799590141994</v>
      </c>
      <c r="N67" s="1">
        <f t="shared" si="5"/>
        <v>0.99900670085710352</v>
      </c>
      <c r="O67" s="2">
        <f t="shared" si="6"/>
        <v>-0.12541549172878608</v>
      </c>
      <c r="P67" s="2">
        <f t="shared" si="10"/>
        <v>0.16100000000000009</v>
      </c>
      <c r="Q67" s="2">
        <f t="shared" si="7"/>
        <v>71.588651236979402</v>
      </c>
      <c r="R67" s="2">
        <f t="shared" si="8"/>
        <v>-13.540555873735711</v>
      </c>
    </row>
    <row r="68" spans="6:18">
      <c r="F68">
        <f t="shared" si="9"/>
        <v>115</v>
      </c>
      <c r="G68" s="2">
        <f t="shared" ref="G68:G113" si="11">(LN($B$1/$B$2)+(P68+($B$4^2)/2)*$B$5)/($B$4*SQRT($B$5))</f>
        <v>1.1650000000000007</v>
      </c>
      <c r="H68" s="2">
        <f t="shared" ref="H68:H113" si="12">G68-$B$4*SQRT($B$5)</f>
        <v>1.0150000000000008</v>
      </c>
      <c r="I68" s="2">
        <f t="shared" ref="I68:J113" si="13">_xlfn.NORM.S.DIST(G68,TRUE)</f>
        <v>0.87799050358085085</v>
      </c>
      <c r="J68" s="2">
        <f t="shared" si="13"/>
        <v>0.84494708624755066</v>
      </c>
      <c r="K68" s="3">
        <f t="shared" ref="K68:L113" si="14">_xlfn.NORM.S.DIST(-G68,TRUE)</f>
        <v>0.12200949641914913</v>
      </c>
      <c r="L68" s="3">
        <f t="shared" si="14"/>
        <v>0.15505291375244934</v>
      </c>
      <c r="M68" s="1">
        <f t="shared" ref="M68:M113" si="15">$B$1*I68-$B$2*EXP(-P68*$B$5)*J68</f>
        <v>16.048974451042895</v>
      </c>
      <c r="N68" s="1">
        <f t="shared" ref="N68:N113" si="16">EXP(-P68*$B$5)*$B$2*L68-$B$1*K68</f>
        <v>0.96562435120127965</v>
      </c>
      <c r="O68" s="2">
        <f t="shared" ref="O68:O113" si="17">+I68-1</f>
        <v>-0.12200949641914915</v>
      </c>
      <c r="P68" s="2">
        <f t="shared" si="10"/>
        <v>0.16350000000000009</v>
      </c>
      <c r="Q68" s="2">
        <f t="shared" ref="Q68:Q113" si="18">$B$5*$B$2*EXP(-P68*$B$5)*J68</f>
        <v>71.750075907042188</v>
      </c>
      <c r="R68" s="2">
        <f t="shared" ref="R68:R113" si="19">-$B$5*$B$2*EXP(-P68*$B$5)*L68</f>
        <v>-13.166573993116192</v>
      </c>
    </row>
    <row r="69" spans="6:18">
      <c r="F69">
        <f t="shared" ref="F69:F113" si="20">+F68+1</f>
        <v>116</v>
      </c>
      <c r="G69" s="2">
        <f t="shared" si="11"/>
        <v>1.1816666666666673</v>
      </c>
      <c r="H69" s="2">
        <f t="shared" si="12"/>
        <v>1.0316666666666674</v>
      </c>
      <c r="I69" s="2">
        <f t="shared" si="13"/>
        <v>0.88133100522288732</v>
      </c>
      <c r="J69" s="2">
        <f t="shared" si="13"/>
        <v>0.84888585105825265</v>
      </c>
      <c r="K69" s="3">
        <f t="shared" si="14"/>
        <v>0.11866899477711265</v>
      </c>
      <c r="L69" s="3">
        <f t="shared" si="14"/>
        <v>0.15111414894174738</v>
      </c>
      <c r="M69" s="1">
        <f t="shared" si="15"/>
        <v>16.228544182733089</v>
      </c>
      <c r="N69" s="1">
        <f t="shared" si="16"/>
        <v>0.93316760167305191</v>
      </c>
      <c r="O69" s="2">
        <f t="shared" si="17"/>
        <v>-0.11866899477711268</v>
      </c>
      <c r="P69" s="2">
        <f t="shared" ref="P69:P113" si="21">+P68+0.0025</f>
        <v>0.16600000000000009</v>
      </c>
      <c r="Q69" s="2">
        <f t="shared" si="18"/>
        <v>71.90455633955564</v>
      </c>
      <c r="R69" s="2">
        <f t="shared" si="19"/>
        <v>-12.800067079384316</v>
      </c>
    </row>
    <row r="70" spans="6:18">
      <c r="F70">
        <f t="shared" si="20"/>
        <v>117</v>
      </c>
      <c r="G70" s="2">
        <f t="shared" si="11"/>
        <v>1.1983333333333341</v>
      </c>
      <c r="H70" s="2">
        <f t="shared" si="12"/>
        <v>1.0483333333333342</v>
      </c>
      <c r="I70" s="2">
        <f t="shared" si="13"/>
        <v>0.88460636264408454</v>
      </c>
      <c r="J70" s="2">
        <f t="shared" si="13"/>
        <v>0.85275747146014136</v>
      </c>
      <c r="K70" s="3">
        <f t="shared" si="14"/>
        <v>0.1153936373559155</v>
      </c>
      <c r="L70" s="3">
        <f t="shared" si="14"/>
        <v>0.14724252853985859</v>
      </c>
      <c r="M70" s="1">
        <f t="shared" si="15"/>
        <v>16.408491489332974</v>
      </c>
      <c r="N70" s="1">
        <f t="shared" si="16"/>
        <v>0.90161783122660033</v>
      </c>
      <c r="O70" s="2">
        <f t="shared" si="17"/>
        <v>-0.11539363735591546</v>
      </c>
      <c r="P70" s="2">
        <f t="shared" si="21"/>
        <v>0.16850000000000009</v>
      </c>
      <c r="Q70" s="2">
        <f t="shared" si="18"/>
        <v>72.052144775075476</v>
      </c>
      <c r="R70" s="2">
        <f t="shared" si="19"/>
        <v>-12.44098156681815</v>
      </c>
    </row>
    <row r="71" spans="6:18">
      <c r="F71">
        <f t="shared" si="20"/>
        <v>118</v>
      </c>
      <c r="G71" s="2">
        <f t="shared" si="11"/>
        <v>1.2150000000000007</v>
      </c>
      <c r="H71" s="2">
        <f t="shared" si="12"/>
        <v>1.0650000000000008</v>
      </c>
      <c r="I71" s="2">
        <f t="shared" si="13"/>
        <v>0.88781695430906593</v>
      </c>
      <c r="J71" s="2">
        <f t="shared" si="13"/>
        <v>0.85656203512324924</v>
      </c>
      <c r="K71" s="3">
        <f t="shared" si="14"/>
        <v>0.1121830456909341</v>
      </c>
      <c r="L71" s="3">
        <f t="shared" si="14"/>
        <v>0.14343796487675078</v>
      </c>
      <c r="M71" s="1">
        <f t="shared" si="15"/>
        <v>16.588799209043614</v>
      </c>
      <c r="N71" s="1">
        <f t="shared" si="16"/>
        <v>0.8709565562055932</v>
      </c>
      <c r="O71" s="2">
        <f t="shared" si="17"/>
        <v>-0.11218304569093407</v>
      </c>
      <c r="P71" s="2">
        <f t="shared" si="21"/>
        <v>0.1710000000000001</v>
      </c>
      <c r="Q71" s="2">
        <f t="shared" si="18"/>
        <v>72.192896221862981</v>
      </c>
      <c r="R71" s="2">
        <f t="shared" si="19"/>
        <v>-12.089261125299004</v>
      </c>
    </row>
    <row r="72" spans="6:18">
      <c r="F72">
        <f t="shared" si="20"/>
        <v>119</v>
      </c>
      <c r="G72" s="2">
        <f t="shared" si="11"/>
        <v>1.2316666666666674</v>
      </c>
      <c r="H72" s="2">
        <f t="shared" si="12"/>
        <v>1.0816666666666674</v>
      </c>
      <c r="I72" s="2">
        <f t="shared" si="13"/>
        <v>0.89096318681829634</v>
      </c>
      <c r="J72" s="2">
        <f t="shared" si="13"/>
        <v>0.86029966512429856</v>
      </c>
      <c r="K72" s="3">
        <f t="shared" si="14"/>
        <v>0.10903681318170365</v>
      </c>
      <c r="L72" s="3">
        <f t="shared" si="14"/>
        <v>0.13970033487570141</v>
      </c>
      <c r="M72" s="1">
        <f t="shared" si="15"/>
        <v>16.76945032094757</v>
      </c>
      <c r="N72" s="1">
        <f t="shared" si="16"/>
        <v>0.84116543713568248</v>
      </c>
      <c r="O72" s="2">
        <f t="shared" si="17"/>
        <v>-0.10903681318170366</v>
      </c>
      <c r="P72" s="2">
        <f t="shared" si="21"/>
        <v>0.1735000000000001</v>
      </c>
      <c r="Q72" s="2">
        <f t="shared" si="18"/>
        <v>72.32686836088206</v>
      </c>
      <c r="R72" s="2">
        <f t="shared" si="19"/>
        <v>-11.744846755306048</v>
      </c>
    </row>
    <row r="73" spans="6:18">
      <c r="F73">
        <f t="shared" si="20"/>
        <v>120</v>
      </c>
      <c r="G73" s="2">
        <f t="shared" si="11"/>
        <v>1.2483333333333342</v>
      </c>
      <c r="H73" s="2">
        <f t="shared" si="12"/>
        <v>1.0983333333333343</v>
      </c>
      <c r="I73" s="2">
        <f t="shared" si="13"/>
        <v>0.89404549401255418</v>
      </c>
      <c r="J73" s="2">
        <f t="shared" si="13"/>
        <v>0.86397051922701962</v>
      </c>
      <c r="K73" s="3">
        <f t="shared" si="14"/>
        <v>0.10595450598744588</v>
      </c>
      <c r="L73" s="3">
        <f t="shared" si="14"/>
        <v>0.13602948077298041</v>
      </c>
      <c r="M73" s="1">
        <f t="shared" si="15"/>
        <v>16.950427951570632</v>
      </c>
      <c r="N73" s="1">
        <f t="shared" si="16"/>
        <v>0.81222628527802421</v>
      </c>
      <c r="O73" s="2">
        <f t="shared" si="17"/>
        <v>-0.10595450598744582</v>
      </c>
      <c r="P73" s="2">
        <f t="shared" si="21"/>
        <v>0.1760000000000001</v>
      </c>
      <c r="Q73" s="2">
        <f t="shared" si="18"/>
        <v>72.454121449684791</v>
      </c>
      <c r="R73" s="2">
        <f t="shared" si="19"/>
        <v>-11.407676884022612</v>
      </c>
    </row>
    <row r="74" spans="6:18">
      <c r="F74">
        <f t="shared" si="20"/>
        <v>121</v>
      </c>
      <c r="G74" s="2">
        <f t="shared" si="11"/>
        <v>1.2650000000000008</v>
      </c>
      <c r="H74" s="2">
        <f t="shared" si="12"/>
        <v>1.1150000000000009</v>
      </c>
      <c r="I74" s="2">
        <f t="shared" si="13"/>
        <v>0.89706433606539837</v>
      </c>
      <c r="J74" s="2">
        <f t="shared" si="13"/>
        <v>0.86757478913693398</v>
      </c>
      <c r="K74" s="3">
        <f t="shared" si="14"/>
        <v>0.10293566393460166</v>
      </c>
      <c r="L74" s="3">
        <f t="shared" si="14"/>
        <v>0.13242521086306602</v>
      </c>
      <c r="M74" s="1">
        <f t="shared" si="15"/>
        <v>17.131715381202199</v>
      </c>
      <c r="N74" s="1">
        <f t="shared" si="16"/>
        <v>0.78412106894144706</v>
      </c>
      <c r="O74" s="2">
        <f t="shared" si="17"/>
        <v>-0.10293566393460163</v>
      </c>
      <c r="P74" s="2">
        <f t="shared" si="21"/>
        <v>0.1785000000000001</v>
      </c>
      <c r="Q74" s="2">
        <f t="shared" si="18"/>
        <v>72.574718225337634</v>
      </c>
      <c r="R74" s="2">
        <f t="shared" si="19"/>
        <v>-11.077687462401613</v>
      </c>
    </row>
    <row r="75" spans="6:18">
      <c r="F75">
        <f t="shared" si="20"/>
        <v>122</v>
      </c>
      <c r="G75" s="2">
        <f t="shared" si="11"/>
        <v>1.2816666666666674</v>
      </c>
      <c r="H75" s="2">
        <f t="shared" si="12"/>
        <v>1.1316666666666675</v>
      </c>
      <c r="I75" s="2">
        <f t="shared" si="13"/>
        <v>0.90002019856511983</v>
      </c>
      <c r="J75" s="2">
        <f t="shared" si="13"/>
        <v>0.87111269973208671</v>
      </c>
      <c r="K75" s="3">
        <f t="shared" si="14"/>
        <v>9.9979801434880125E-2</v>
      </c>
      <c r="L75" s="3">
        <f t="shared" si="14"/>
        <v>0.12888730026791331</v>
      </c>
      <c r="M75" s="1">
        <f t="shared" si="15"/>
        <v>17.313296049971854</v>
      </c>
      <c r="N75" s="1">
        <f t="shared" si="16"/>
        <v>0.75683191955080353</v>
      </c>
      <c r="O75" s="2">
        <f t="shared" si="17"/>
        <v>-9.9979801434880167E-2</v>
      </c>
      <c r="P75" s="2">
        <f t="shared" si="21"/>
        <v>0.18100000000000011</v>
      </c>
      <c r="Q75" s="2">
        <f t="shared" si="18"/>
        <v>72.688723806540125</v>
      </c>
      <c r="R75" s="2">
        <f t="shared" si="19"/>
        <v>-10.754812063038816</v>
      </c>
    </row>
    <row r="76" spans="6:18">
      <c r="F76">
        <f t="shared" si="20"/>
        <v>123</v>
      </c>
      <c r="G76" s="2">
        <f t="shared" si="11"/>
        <v>1.2983333333333342</v>
      </c>
      <c r="H76" s="2">
        <f t="shared" si="12"/>
        <v>1.1483333333333343</v>
      </c>
      <c r="I76" s="2">
        <f t="shared" si="13"/>
        <v>0.90291359158765272</v>
      </c>
      <c r="J76" s="2">
        <f t="shared" si="13"/>
        <v>0.87458450827121403</v>
      </c>
      <c r="K76" s="3">
        <f t="shared" si="14"/>
        <v>9.7086408412347253E-2</v>
      </c>
      <c r="L76" s="3">
        <f t="shared" si="14"/>
        <v>0.12541549172878602</v>
      </c>
      <c r="M76" s="1">
        <f t="shared" si="15"/>
        <v>17.495153563680361</v>
      </c>
      <c r="N76" s="1">
        <f t="shared" si="16"/>
        <v>0.73034113746981966</v>
      </c>
      <c r="O76" s="2">
        <f t="shared" si="17"/>
        <v>-9.708640841234728E-2</v>
      </c>
      <c r="P76" s="2">
        <f t="shared" si="21"/>
        <v>0.18350000000000011</v>
      </c>
      <c r="Q76" s="2">
        <f t="shared" si="18"/>
        <v>72.796205595084913</v>
      </c>
      <c r="R76" s="2">
        <f t="shared" si="19"/>
        <v>-10.438981978704545</v>
      </c>
    </row>
    <row r="77" spans="6:18">
      <c r="F77">
        <f t="shared" si="20"/>
        <v>124</v>
      </c>
      <c r="G77" s="2">
        <f t="shared" si="11"/>
        <v>1.3150000000000008</v>
      </c>
      <c r="H77" s="2">
        <f t="shared" si="12"/>
        <v>1.1650000000000009</v>
      </c>
      <c r="I77" s="2">
        <f t="shared" si="13"/>
        <v>0.90574504876190731</v>
      </c>
      <c r="J77" s="2">
        <f t="shared" si="13"/>
        <v>0.87799050358085085</v>
      </c>
      <c r="K77" s="3">
        <f t="shared" si="14"/>
        <v>9.4254951238092646E-2</v>
      </c>
      <c r="L77" s="3">
        <f t="shared" si="14"/>
        <v>0.12200949641914913</v>
      </c>
      <c r="M77" s="1">
        <f t="shared" si="15"/>
        <v>17.677271699383681</v>
      </c>
      <c r="N77" s="1">
        <f t="shared" si="16"/>
        <v>0.70463119757695303</v>
      </c>
      <c r="O77" s="2">
        <f t="shared" si="17"/>
        <v>-9.4254951238092688E-2</v>
      </c>
      <c r="P77" s="2">
        <f t="shared" si="21"/>
        <v>0.18600000000000011</v>
      </c>
      <c r="Q77" s="2">
        <f t="shared" si="18"/>
        <v>72.897233176807049</v>
      </c>
      <c r="R77" s="2">
        <f t="shared" si="19"/>
        <v>-10.130126321386218</v>
      </c>
    </row>
    <row r="78" spans="6:18">
      <c r="F78">
        <f t="shared" si="20"/>
        <v>125</v>
      </c>
      <c r="G78" s="2">
        <f t="shared" si="11"/>
        <v>1.3316666666666674</v>
      </c>
      <c r="H78" s="2">
        <f t="shared" si="12"/>
        <v>1.1816666666666675</v>
      </c>
      <c r="I78" s="2">
        <f t="shared" si="13"/>
        <v>0.90851512632896925</v>
      </c>
      <c r="J78" s="2">
        <f t="shared" si="13"/>
        <v>0.88133100522288743</v>
      </c>
      <c r="K78" s="3">
        <f t="shared" si="14"/>
        <v>9.1484873671030753E-2</v>
      </c>
      <c r="L78" s="3">
        <f t="shared" si="14"/>
        <v>0.11866899477711261</v>
      </c>
      <c r="M78" s="1">
        <f t="shared" si="15"/>
        <v>17.859634410728958</v>
      </c>
      <c r="N78" s="1">
        <f t="shared" si="16"/>
        <v>0.67968475459314703</v>
      </c>
      <c r="O78" s="2">
        <f t="shared" si="17"/>
        <v>-9.1484873671030753E-2</v>
      </c>
      <c r="P78" s="2">
        <f t="shared" si="21"/>
        <v>0.18850000000000011</v>
      </c>
      <c r="Q78" s="2">
        <f t="shared" si="18"/>
        <v>72.991878222167969</v>
      </c>
      <c r="R78" s="2">
        <f t="shared" si="19"/>
        <v>-9.8281721216962232</v>
      </c>
    </row>
    <row r="79" spans="6:18">
      <c r="F79">
        <f t="shared" si="20"/>
        <v>126</v>
      </c>
      <c r="G79" s="2">
        <f t="shared" si="11"/>
        <v>1.3483333333333343</v>
      </c>
      <c r="H79" s="2">
        <f t="shared" si="12"/>
        <v>1.1983333333333344</v>
      </c>
      <c r="I79" s="2">
        <f t="shared" si="13"/>
        <v>0.91122440219658507</v>
      </c>
      <c r="J79" s="2">
        <f t="shared" si="13"/>
        <v>0.88460636264408454</v>
      </c>
      <c r="K79" s="3">
        <f t="shared" si="14"/>
        <v>8.8775597803414943E-2</v>
      </c>
      <c r="L79" s="3">
        <f t="shared" si="14"/>
        <v>0.11539363735591547</v>
      </c>
      <c r="M79" s="1">
        <f t="shared" si="15"/>
        <v>18.0422258330414</v>
      </c>
      <c r="N79" s="1">
        <f t="shared" si="16"/>
        <v>0.65548464816077612</v>
      </c>
      <c r="O79" s="2">
        <f t="shared" si="17"/>
        <v>-8.877559780341493E-2</v>
      </c>
      <c r="P79" s="2">
        <f t="shared" si="21"/>
        <v>0.19100000000000011</v>
      </c>
      <c r="Q79" s="2">
        <f t="shared" si="18"/>
        <v>73.080214386617101</v>
      </c>
      <c r="R79" s="2">
        <f t="shared" si="19"/>
        <v>-9.5330444285022704</v>
      </c>
    </row>
    <row r="80" spans="6:18">
      <c r="F80">
        <f t="shared" si="20"/>
        <v>127</v>
      </c>
      <c r="G80" s="2">
        <f t="shared" si="11"/>
        <v>1.3650000000000009</v>
      </c>
      <c r="H80" s="2">
        <f t="shared" si="12"/>
        <v>1.215000000000001</v>
      </c>
      <c r="I80" s="2">
        <f t="shared" si="13"/>
        <v>0.91387347499033689</v>
      </c>
      <c r="J80" s="2">
        <f t="shared" si="13"/>
        <v>0.88781695430906593</v>
      </c>
      <c r="K80" s="3">
        <f t="shared" si="14"/>
        <v>8.6126525009663113E-2</v>
      </c>
      <c r="L80" s="3">
        <f t="shared" si="14"/>
        <v>0.11218304569093404</v>
      </c>
      <c r="M80" s="1">
        <f t="shared" si="15"/>
        <v>18.225030288162287</v>
      </c>
      <c r="N80" s="1">
        <f t="shared" si="16"/>
        <v>0.63201390767335397</v>
      </c>
      <c r="O80" s="2">
        <f t="shared" si="17"/>
        <v>-8.6126525009663113E-2</v>
      </c>
      <c r="P80" s="2">
        <f t="shared" si="21"/>
        <v>0.19350000000000012</v>
      </c>
      <c r="Q80" s="2">
        <f t="shared" si="18"/>
        <v>73.162317210871407</v>
      </c>
      <c r="R80" s="2">
        <f t="shared" si="19"/>
        <v>-9.2446664086396648</v>
      </c>
    </row>
    <row r="81" spans="6:18">
      <c r="F81">
        <f t="shared" si="20"/>
        <v>128</v>
      </c>
      <c r="G81" s="2">
        <f t="shared" si="11"/>
        <v>1.3816666666666675</v>
      </c>
      <c r="H81" s="2">
        <f t="shared" si="12"/>
        <v>1.2316666666666676</v>
      </c>
      <c r="I81" s="2">
        <f t="shared" si="13"/>
        <v>0.91646296310287989</v>
      </c>
      <c r="J81" s="2">
        <f t="shared" si="13"/>
        <v>0.89096318681829634</v>
      </c>
      <c r="K81" s="3">
        <f t="shared" si="14"/>
        <v>8.3537036897120082E-2</v>
      </c>
      <c r="L81" s="3">
        <f t="shared" si="14"/>
        <v>0.10903681318170362</v>
      </c>
      <c r="M81" s="1">
        <f t="shared" si="15"/>
        <v>18.408032289037365</v>
      </c>
      <c r="N81" s="1">
        <f t="shared" si="16"/>
        <v>0.60925575685600641</v>
      </c>
      <c r="O81" s="2">
        <f t="shared" si="17"/>
        <v>-8.3537036897120109E-2</v>
      </c>
      <c r="P81" s="2">
        <f t="shared" si="21"/>
        <v>0.19600000000000012</v>
      </c>
      <c r="Q81" s="2">
        <f t="shared" si="18"/>
        <v>73.238264021250629</v>
      </c>
      <c r="R81" s="2">
        <f t="shared" si="19"/>
        <v>-8.9629594465680142</v>
      </c>
    </row>
    <row r="82" spans="6:18">
      <c r="F82">
        <f t="shared" si="20"/>
        <v>129</v>
      </c>
      <c r="G82" s="2">
        <f t="shared" si="11"/>
        <v>1.3983333333333343</v>
      </c>
      <c r="H82" s="2">
        <f t="shared" si="12"/>
        <v>1.2483333333333344</v>
      </c>
      <c r="I82" s="2">
        <f t="shared" si="13"/>
        <v>0.9189935037425917</v>
      </c>
      <c r="J82" s="2">
        <f t="shared" si="13"/>
        <v>0.89404549401255418</v>
      </c>
      <c r="K82" s="3">
        <f t="shared" si="14"/>
        <v>8.1006496257408273E-2</v>
      </c>
      <c r="L82" s="3">
        <f t="shared" si="14"/>
        <v>0.10595450598744585</v>
      </c>
      <c r="M82" s="1">
        <f t="shared" si="15"/>
        <v>18.591216544056593</v>
      </c>
      <c r="N82" s="1">
        <f t="shared" si="16"/>
        <v>0.58719361809706605</v>
      </c>
      <c r="O82" s="2">
        <f t="shared" si="17"/>
        <v>-8.10064962574083E-2</v>
      </c>
      <c r="P82" s="2">
        <f t="shared" si="21"/>
        <v>0.19850000000000012</v>
      </c>
      <c r="Q82" s="2">
        <f t="shared" si="18"/>
        <v>73.308133830202578</v>
      </c>
      <c r="R82" s="2">
        <f t="shared" si="19"/>
        <v>-8.687843243837893</v>
      </c>
    </row>
    <row r="83" spans="6:18">
      <c r="F83">
        <f t="shared" si="20"/>
        <v>130</v>
      </c>
      <c r="G83" s="2">
        <f t="shared" si="11"/>
        <v>1.4150000000000009</v>
      </c>
      <c r="H83" s="2">
        <f t="shared" si="12"/>
        <v>1.265000000000001</v>
      </c>
      <c r="I83" s="2">
        <f t="shared" si="13"/>
        <v>0.92146575198295211</v>
      </c>
      <c r="J83" s="2">
        <f t="shared" si="13"/>
        <v>0.89706433606539837</v>
      </c>
      <c r="K83" s="3">
        <f t="shared" si="14"/>
        <v>7.8534248017047947E-2</v>
      </c>
      <c r="L83" s="3">
        <f t="shared" si="14"/>
        <v>0.1029356639346016</v>
      </c>
      <c r="M83" s="1">
        <f t="shared" si="15"/>
        <v>18.77456796114538</v>
      </c>
      <c r="N83" s="1">
        <f t="shared" si="16"/>
        <v>0.56581111653129401</v>
      </c>
      <c r="O83" s="2">
        <f t="shared" si="17"/>
        <v>-7.8534248017047892E-2</v>
      </c>
      <c r="P83" s="2">
        <f t="shared" si="21"/>
        <v>0.20100000000000012</v>
      </c>
      <c r="Q83" s="2">
        <f t="shared" si="18"/>
        <v>73.37200723714983</v>
      </c>
      <c r="R83" s="2">
        <f t="shared" si="19"/>
        <v>-8.4192359182360885</v>
      </c>
    </row>
    <row r="84" spans="6:18">
      <c r="F84">
        <f t="shared" si="20"/>
        <v>131</v>
      </c>
      <c r="G84" s="2">
        <f t="shared" si="11"/>
        <v>1.4316666666666675</v>
      </c>
      <c r="H84" s="2">
        <f t="shared" si="12"/>
        <v>1.2816666666666676</v>
      </c>
      <c r="I84" s="2">
        <f t="shared" si="13"/>
        <v>0.92388037981394233</v>
      </c>
      <c r="J84" s="2">
        <f t="shared" si="13"/>
        <v>0.90002019856511994</v>
      </c>
      <c r="K84" s="3">
        <f t="shared" si="14"/>
        <v>7.6119620186057668E-2</v>
      </c>
      <c r="L84" s="3">
        <f t="shared" si="14"/>
        <v>9.9979801434880083E-2</v>
      </c>
      <c r="M84" s="1">
        <f t="shared" si="15"/>
        <v>18.958071651608478</v>
      </c>
      <c r="N84" s="1">
        <f t="shared" si="16"/>
        <v>0.54509208387582664</v>
      </c>
      <c r="O84" s="2">
        <f t="shared" si="17"/>
        <v>-7.6119620186057668E-2</v>
      </c>
      <c r="P84" s="2">
        <f t="shared" si="21"/>
        <v>0.20350000000000013</v>
      </c>
      <c r="Q84" s="2">
        <f t="shared" si="18"/>
        <v>73.429966329785756</v>
      </c>
      <c r="R84" s="2">
        <f t="shared" si="19"/>
        <v>-8.1570541024815935</v>
      </c>
    </row>
    <row r="85" spans="6:18">
      <c r="F85">
        <f t="shared" si="20"/>
        <v>132</v>
      </c>
      <c r="G85" s="2">
        <f t="shared" si="11"/>
        <v>1.4483333333333344</v>
      </c>
      <c r="H85" s="2">
        <f t="shared" si="12"/>
        <v>1.2983333333333344</v>
      </c>
      <c r="I85" s="2">
        <f t="shared" si="13"/>
        <v>0.92623807519671997</v>
      </c>
      <c r="J85" s="2">
        <f t="shared" si="13"/>
        <v>0.90291359158765283</v>
      </c>
      <c r="K85" s="3">
        <f t="shared" si="14"/>
        <v>7.3761924803280046E-2</v>
      </c>
      <c r="L85" s="3">
        <f t="shared" si="14"/>
        <v>9.7086408412347197E-2</v>
      </c>
      <c r="M85" s="1">
        <f t="shared" si="15"/>
        <v>19.141712933727987</v>
      </c>
      <c r="N85" s="1">
        <f t="shared" si="16"/>
        <v>0.52502056202004965</v>
      </c>
      <c r="O85" s="2">
        <f t="shared" si="17"/>
        <v>-7.3761924803280032E-2</v>
      </c>
      <c r="P85" s="2">
        <f t="shared" si="21"/>
        <v>0.20600000000000013</v>
      </c>
      <c r="Q85" s="2">
        <f t="shared" si="18"/>
        <v>73.482094585944012</v>
      </c>
      <c r="R85" s="2">
        <f t="shared" si="19"/>
        <v>-7.9012130423480542</v>
      </c>
    </row>
    <row r="86" spans="6:18">
      <c r="F86">
        <f t="shared" si="20"/>
        <v>133</v>
      </c>
      <c r="G86" s="2">
        <f t="shared" si="11"/>
        <v>1.465000000000001</v>
      </c>
      <c r="H86" s="2">
        <f t="shared" si="12"/>
        <v>1.3150000000000011</v>
      </c>
      <c r="I86" s="2">
        <f t="shared" si="13"/>
        <v>0.92853954112278914</v>
      </c>
      <c r="J86" s="2">
        <f t="shared" si="13"/>
        <v>0.90574504876190742</v>
      </c>
      <c r="K86" s="3">
        <f t="shared" si="14"/>
        <v>7.1460458877210822E-2</v>
      </c>
      <c r="L86" s="3">
        <f t="shared" si="14"/>
        <v>9.4254951238092605E-2</v>
      </c>
      <c r="M86" s="1">
        <f t="shared" si="15"/>
        <v>19.325477336116677</v>
      </c>
      <c r="N86" s="1">
        <f t="shared" si="16"/>
        <v>0.5055808063710554</v>
      </c>
      <c r="O86" s="2">
        <f t="shared" si="17"/>
        <v>-7.1460458877210864E-2</v>
      </c>
      <c r="P86" s="2">
        <f t="shared" si="21"/>
        <v>0.20850000000000013</v>
      </c>
      <c r="Q86" s="2">
        <f t="shared" si="18"/>
        <v>73.528476776162236</v>
      </c>
      <c r="R86" s="2">
        <f t="shared" si="19"/>
        <v>-7.6516266940921378</v>
      </c>
    </row>
    <row r="87" spans="6:18">
      <c r="F87">
        <f t="shared" si="20"/>
        <v>134</v>
      </c>
      <c r="G87" s="2">
        <f t="shared" si="11"/>
        <v>1.4816666666666676</v>
      </c>
      <c r="H87" s="2">
        <f t="shared" si="12"/>
        <v>1.3316666666666677</v>
      </c>
      <c r="I87" s="2">
        <f t="shared" si="13"/>
        <v>0.93078549467885385</v>
      </c>
      <c r="J87" s="2">
        <f t="shared" si="13"/>
        <v>0.90851512632896925</v>
      </c>
      <c r="K87" s="3">
        <f t="shared" si="14"/>
        <v>6.9214505321146133E-2</v>
      </c>
      <c r="L87" s="3">
        <f t="shared" si="14"/>
        <v>9.1484873671030711E-2</v>
      </c>
      <c r="M87" s="1">
        <f t="shared" si="15"/>
        <v>19.509350600828796</v>
      </c>
      <c r="N87" s="1">
        <f t="shared" si="16"/>
        <v>0.48675728895641956</v>
      </c>
      <c r="O87" s="2">
        <f t="shared" si="17"/>
        <v>-6.9214505321146147E-2</v>
      </c>
      <c r="P87" s="2">
        <f t="shared" si="21"/>
        <v>0.21100000000000013</v>
      </c>
      <c r="Q87" s="2">
        <f t="shared" si="18"/>
        <v>73.569198867056585</v>
      </c>
      <c r="R87" s="2">
        <f t="shared" si="19"/>
        <v>-7.4082078210710325</v>
      </c>
    </row>
    <row r="88" spans="6:18">
      <c r="F88">
        <f t="shared" si="20"/>
        <v>135</v>
      </c>
      <c r="G88" s="2">
        <f t="shared" si="11"/>
        <v>1.4983333333333344</v>
      </c>
      <c r="H88" s="2">
        <f t="shared" si="12"/>
        <v>1.3483333333333345</v>
      </c>
      <c r="I88" s="2">
        <f t="shared" si="13"/>
        <v>0.93297666611850105</v>
      </c>
      <c r="J88" s="2">
        <f t="shared" si="13"/>
        <v>0.91122440219658507</v>
      </c>
      <c r="K88" s="3">
        <f t="shared" si="14"/>
        <v>6.7023333881498975E-2</v>
      </c>
      <c r="L88" s="3">
        <f t="shared" si="14"/>
        <v>8.8775597803414888E-2</v>
      </c>
      <c r="M88" s="1">
        <f t="shared" si="15"/>
        <v>19.693318686230427</v>
      </c>
      <c r="N88" s="1">
        <f t="shared" si="16"/>
        <v>0.46853470128669539</v>
      </c>
      <c r="O88" s="2">
        <f t="shared" si="17"/>
        <v>-6.7023333881498948E-2</v>
      </c>
      <c r="P88" s="2">
        <f t="shared" si="21"/>
        <v>0.21350000000000013</v>
      </c>
      <c r="Q88" s="2">
        <f t="shared" si="18"/>
        <v>73.604347925619678</v>
      </c>
      <c r="R88" s="2">
        <f t="shared" si="19"/>
        <v>-7.1708680894365928</v>
      </c>
    </row>
    <row r="89" spans="6:18">
      <c r="F89">
        <f t="shared" si="20"/>
        <v>136</v>
      </c>
      <c r="G89" s="2">
        <f t="shared" si="11"/>
        <v>1.515000000000001</v>
      </c>
      <c r="H89" s="2">
        <f t="shared" si="12"/>
        <v>1.3650000000000011</v>
      </c>
      <c r="I89" s="2">
        <f t="shared" si="13"/>
        <v>0.93511379794182359</v>
      </c>
      <c r="J89" s="2">
        <f t="shared" si="13"/>
        <v>0.91387347499033689</v>
      </c>
      <c r="K89" s="3">
        <f t="shared" si="14"/>
        <v>6.4886202058176398E-2</v>
      </c>
      <c r="L89" s="3">
        <f t="shared" si="14"/>
        <v>8.6126525009663085E-2</v>
      </c>
      <c r="M89" s="1">
        <f t="shared" si="15"/>
        <v>19.877367769631874</v>
      </c>
      <c r="N89" s="1">
        <f t="shared" si="16"/>
        <v>0.45089795697982815</v>
      </c>
      <c r="O89" s="2">
        <f t="shared" si="17"/>
        <v>-6.4886202058176412E-2</v>
      </c>
      <c r="P89" s="2">
        <f t="shared" si="21"/>
        <v>0.21600000000000014</v>
      </c>
      <c r="Q89" s="2">
        <f t="shared" si="18"/>
        <v>73.634012024550486</v>
      </c>
      <c r="R89" s="2">
        <f t="shared" si="19"/>
        <v>-6.9395181627974676</v>
      </c>
    </row>
    <row r="90" spans="6:18">
      <c r="F90">
        <f t="shared" si="20"/>
        <v>137</v>
      </c>
      <c r="G90" s="2">
        <f t="shared" si="11"/>
        <v>1.5316666666666676</v>
      </c>
      <c r="H90" s="2">
        <f t="shared" si="12"/>
        <v>1.3816666666666677</v>
      </c>
      <c r="I90" s="2">
        <f t="shared" si="13"/>
        <v>0.93719764398405381</v>
      </c>
      <c r="J90" s="2">
        <f t="shared" si="13"/>
        <v>0.91646296310288</v>
      </c>
      <c r="K90" s="3">
        <f t="shared" si="14"/>
        <v>6.2802356015946179E-2</v>
      </c>
      <c r="L90" s="3">
        <f t="shared" si="14"/>
        <v>8.3537036897120026E-2</v>
      </c>
      <c r="M90" s="1">
        <f t="shared" si="15"/>
        <v>20.061484249684781</v>
      </c>
      <c r="N90" s="1">
        <f t="shared" si="16"/>
        <v>0.43383219415037289</v>
      </c>
      <c r="O90" s="2">
        <f t="shared" si="17"/>
        <v>-6.2802356015946192E-2</v>
      </c>
      <c r="P90" s="2">
        <f t="shared" si="21"/>
        <v>0.21850000000000014</v>
      </c>
      <c r="Q90" s="2">
        <f t="shared" si="18"/>
        <v>73.658280148720593</v>
      </c>
      <c r="R90" s="2">
        <f t="shared" si="19"/>
        <v>-6.7140677957449908</v>
      </c>
    </row>
    <row r="91" spans="6:18">
      <c r="F91">
        <f t="shared" si="20"/>
        <v>138</v>
      </c>
      <c r="G91" s="2">
        <f t="shared" si="11"/>
        <v>1.5483333333333344</v>
      </c>
      <c r="H91" s="2">
        <f t="shared" si="12"/>
        <v>1.3983333333333345</v>
      </c>
      <c r="I91" s="2">
        <f t="shared" si="13"/>
        <v>0.93922896851423454</v>
      </c>
      <c r="J91" s="2">
        <f t="shared" si="13"/>
        <v>0.91899350374259181</v>
      </c>
      <c r="K91" s="3">
        <f t="shared" si="14"/>
        <v>6.0771031485765403E-2</v>
      </c>
      <c r="L91" s="3">
        <f t="shared" si="14"/>
        <v>8.1006496257408203E-2</v>
      </c>
      <c r="M91" s="1">
        <f t="shared" si="15"/>
        <v>20.245654748546883</v>
      </c>
      <c r="N91" s="1">
        <f t="shared" si="16"/>
        <v>0.4173227775664019</v>
      </c>
      <c r="O91" s="2">
        <f t="shared" si="17"/>
        <v>-6.0771031485765459E-2</v>
      </c>
      <c r="P91" s="2">
        <f t="shared" si="21"/>
        <v>0.22100000000000014</v>
      </c>
      <c r="Q91" s="2">
        <f t="shared" si="18"/>
        <v>73.677242102876576</v>
      </c>
      <c r="R91" s="2">
        <f t="shared" si="19"/>
        <v>-6.4944259261429425</v>
      </c>
    </row>
    <row r="92" spans="6:18">
      <c r="F92">
        <f t="shared" si="20"/>
        <v>139</v>
      </c>
      <c r="G92" s="2">
        <f t="shared" si="11"/>
        <v>1.5650000000000011</v>
      </c>
      <c r="H92" s="2">
        <f t="shared" si="12"/>
        <v>1.4150000000000011</v>
      </c>
      <c r="I92" s="2">
        <f t="shared" si="13"/>
        <v>0.94120854534491727</v>
      </c>
      <c r="J92" s="2">
        <f t="shared" si="13"/>
        <v>0.92146575198295211</v>
      </c>
      <c r="K92" s="3">
        <f t="shared" si="14"/>
        <v>5.879145465508278E-2</v>
      </c>
      <c r="L92" s="3">
        <f t="shared" si="14"/>
        <v>7.853424801704792E-2</v>
      </c>
      <c r="M92" s="1">
        <f t="shared" si="15"/>
        <v>20.429866113817766</v>
      </c>
      <c r="N92" s="1">
        <f t="shared" si="16"/>
        <v>0.40135530057736624</v>
      </c>
      <c r="O92" s="2">
        <f t="shared" si="17"/>
        <v>-5.8791454655082731E-2</v>
      </c>
      <c r="P92" s="2">
        <f t="shared" si="21"/>
        <v>0.22350000000000014</v>
      </c>
      <c r="Q92" s="2">
        <f t="shared" si="18"/>
        <v>73.69098842067396</v>
      </c>
      <c r="R92" s="2">
        <f t="shared" si="19"/>
        <v>-6.2805007660856438</v>
      </c>
    </row>
    <row r="93" spans="6:18">
      <c r="F93">
        <f t="shared" si="20"/>
        <v>140</v>
      </c>
      <c r="G93" s="2">
        <f t="shared" si="11"/>
        <v>1.5816666666666677</v>
      </c>
      <c r="H93" s="2">
        <f t="shared" si="12"/>
        <v>1.4316666666666678</v>
      </c>
      <c r="I93" s="2">
        <f t="shared" si="13"/>
        <v>0.94313715695382849</v>
      </c>
      <c r="J93" s="2">
        <f t="shared" si="13"/>
        <v>0.92388037981394233</v>
      </c>
      <c r="K93" s="3">
        <f t="shared" si="14"/>
        <v>5.6862843046171542E-2</v>
      </c>
      <c r="L93" s="3">
        <f t="shared" si="14"/>
        <v>7.6119620186057668E-2</v>
      </c>
      <c r="M93" s="1">
        <f t="shared" si="15"/>
        <v>20.614105420248833</v>
      </c>
      <c r="N93" s="1">
        <f t="shared" si="16"/>
        <v>0.38591558681625138</v>
      </c>
      <c r="O93" s="2">
        <f t="shared" si="17"/>
        <v>-5.6862843046171507E-2</v>
      </c>
      <c r="P93" s="2">
        <f t="shared" si="21"/>
        <v>0.22600000000000015</v>
      </c>
      <c r="Q93" s="2">
        <f t="shared" si="18"/>
        <v>73.69961027513402</v>
      </c>
      <c r="R93" s="2">
        <f t="shared" si="19"/>
        <v>-6.0721998914334057</v>
      </c>
    </row>
    <row r="94" spans="6:18">
      <c r="F94">
        <f t="shared" si="20"/>
        <v>141</v>
      </c>
      <c r="G94" s="2">
        <f t="shared" si="11"/>
        <v>1.5983333333333345</v>
      </c>
      <c r="H94" s="2">
        <f t="shared" si="12"/>
        <v>1.4483333333333346</v>
      </c>
      <c r="I94" s="2">
        <f t="shared" si="13"/>
        <v>0.9450155936184087</v>
      </c>
      <c r="J94" s="2">
        <f t="shared" si="13"/>
        <v>0.92623807519671997</v>
      </c>
      <c r="K94" s="3">
        <f t="shared" si="14"/>
        <v>5.4984406381591328E-2</v>
      </c>
      <c r="L94" s="3">
        <f t="shared" si="14"/>
        <v>7.3761924803280046E-2</v>
      </c>
      <c r="M94" s="1">
        <f t="shared" si="15"/>
        <v>20.798359971231392</v>
      </c>
      <c r="N94" s="1">
        <f t="shared" si="16"/>
        <v>0.37098969167983231</v>
      </c>
      <c r="O94" s="2">
        <f t="shared" si="17"/>
        <v>-5.49844063815913E-2</v>
      </c>
      <c r="P94" s="2">
        <f t="shared" si="21"/>
        <v>0.22850000000000015</v>
      </c>
      <c r="Q94" s="2">
        <f t="shared" si="18"/>
        <v>73.703199390609484</v>
      </c>
      <c r="R94" s="2">
        <f t="shared" si="19"/>
        <v>-5.8694303298389654</v>
      </c>
    </row>
    <row r="95" spans="6:18">
      <c r="F95">
        <f t="shared" si="20"/>
        <v>142</v>
      </c>
      <c r="G95" s="2">
        <f t="shared" si="11"/>
        <v>1.6150000000000011</v>
      </c>
      <c r="H95" s="2">
        <f t="shared" si="12"/>
        <v>1.4650000000000012</v>
      </c>
      <c r="I95" s="2">
        <f t="shared" si="13"/>
        <v>0.94684465256407735</v>
      </c>
      <c r="J95" s="2">
        <f t="shared" si="13"/>
        <v>0.92853954112278925</v>
      </c>
      <c r="K95" s="3">
        <f t="shared" si="14"/>
        <v>5.3155347435922692E-2</v>
      </c>
      <c r="L95" s="3">
        <f t="shared" si="14"/>
        <v>7.1460458877210808E-2</v>
      </c>
      <c r="M95" s="1">
        <f t="shared" si="15"/>
        <v>20.982617300066536</v>
      </c>
      <c r="N95" s="1">
        <f t="shared" si="16"/>
        <v>0.35656390359080259</v>
      </c>
      <c r="O95" s="2">
        <f t="shared" si="17"/>
        <v>-5.3155347435922651E-2</v>
      </c>
      <c r="P95" s="2">
        <f t="shared" si="21"/>
        <v>0.23100000000000015</v>
      </c>
      <c r="Q95" s="2">
        <f t="shared" si="18"/>
        <v>73.701847956341197</v>
      </c>
      <c r="R95" s="2">
        <f t="shared" si="19"/>
        <v>-5.6720986471830717</v>
      </c>
    </row>
    <row r="96" spans="6:18">
      <c r="F96">
        <f t="shared" si="20"/>
        <v>143</v>
      </c>
      <c r="G96" s="2">
        <f t="shared" si="11"/>
        <v>1.6316666666666677</v>
      </c>
      <c r="H96" s="2">
        <f t="shared" si="12"/>
        <v>1.4816666666666678</v>
      </c>
      <c r="I96" s="2">
        <f t="shared" si="13"/>
        <v>0.94862513712703789</v>
      </c>
      <c r="J96" s="2">
        <f t="shared" si="13"/>
        <v>0.93078549467885385</v>
      </c>
      <c r="K96" s="3">
        <f t="shared" si="14"/>
        <v>5.1374862872962106E-2</v>
      </c>
      <c r="L96" s="3">
        <f t="shared" si="14"/>
        <v>6.9214505321146105E-2</v>
      </c>
      <c r="M96" s="1">
        <f t="shared" si="15"/>
        <v>21.166865171021186</v>
      </c>
      <c r="N96" s="1">
        <f t="shared" si="16"/>
        <v>0.34262474504590834</v>
      </c>
      <c r="O96" s="2">
        <f t="shared" si="17"/>
        <v>-5.1374862872962113E-2</v>
      </c>
      <c r="P96" s="2">
        <f t="shared" si="21"/>
        <v>0.23350000000000015</v>
      </c>
      <c r="Q96" s="2">
        <f t="shared" si="18"/>
        <v>73.695648541682601</v>
      </c>
      <c r="R96" s="2">
        <f t="shared" si="19"/>
        <v>-5.4801110323421192</v>
      </c>
    </row>
    <row r="97" spans="6:18">
      <c r="F97">
        <f t="shared" si="20"/>
        <v>144</v>
      </c>
      <c r="G97" s="2">
        <f t="shared" si="11"/>
        <v>1.6483333333333345</v>
      </c>
      <c r="H97" s="2">
        <f t="shared" si="12"/>
        <v>1.4983333333333346</v>
      </c>
      <c r="I97" s="2">
        <f t="shared" si="13"/>
        <v>0.95035785593238919</v>
      </c>
      <c r="J97" s="2">
        <f t="shared" si="13"/>
        <v>0.93297666611850105</v>
      </c>
      <c r="K97" s="3">
        <f t="shared" si="14"/>
        <v>4.9642144067610847E-2</v>
      </c>
      <c r="L97" s="3">
        <f t="shared" si="14"/>
        <v>6.702333388149892E-2</v>
      </c>
      <c r="M97" s="1">
        <f t="shared" si="15"/>
        <v>21.351091580174</v>
      </c>
      <c r="N97" s="1">
        <f t="shared" si="16"/>
        <v>0.32915897345426082</v>
      </c>
      <c r="O97" s="2">
        <f t="shared" si="17"/>
        <v>-4.9642144067610805E-2</v>
      </c>
      <c r="P97" s="2">
        <f t="shared" si="21"/>
        <v>0.23600000000000015</v>
      </c>
      <c r="Q97" s="2">
        <f t="shared" si="18"/>
        <v>73.684694013064913</v>
      </c>
      <c r="R97" s="2">
        <f t="shared" si="19"/>
        <v>-5.2933733802153453</v>
      </c>
    </row>
    <row r="98" spans="6:18">
      <c r="F98">
        <f t="shared" si="20"/>
        <v>145</v>
      </c>
      <c r="G98" s="2">
        <f t="shared" si="11"/>
        <v>1.6650000000000011</v>
      </c>
      <c r="H98" s="2">
        <f t="shared" si="12"/>
        <v>1.5150000000000012</v>
      </c>
      <c r="I98" s="2">
        <f t="shared" si="13"/>
        <v>0.95204362208826454</v>
      </c>
      <c r="J98" s="2">
        <f t="shared" si="13"/>
        <v>0.93511379794182359</v>
      </c>
      <c r="K98" s="3">
        <f t="shared" si="14"/>
        <v>4.7956377911735501E-2</v>
      </c>
      <c r="L98" s="3">
        <f t="shared" si="14"/>
        <v>6.4886202058176357E-2</v>
      </c>
      <c r="M98" s="1">
        <f t="shared" si="15"/>
        <v>21.535284756056328</v>
      </c>
      <c r="N98" s="1">
        <f t="shared" si="16"/>
        <v>0.31615358177042108</v>
      </c>
      <c r="O98" s="2">
        <f t="shared" si="17"/>
        <v>-4.7956377911735459E-2</v>
      </c>
      <c r="P98" s="2">
        <f t="shared" si="21"/>
        <v>0.23850000000000016</v>
      </c>
      <c r="Q98" s="2">
        <f t="shared" si="18"/>
        <v>73.669077452770125</v>
      </c>
      <c r="R98" s="2">
        <f t="shared" si="19"/>
        <v>-5.111791372943971</v>
      </c>
    </row>
    <row r="99" spans="6:18">
      <c r="F99">
        <f t="shared" si="20"/>
        <v>146</v>
      </c>
      <c r="G99" s="2">
        <f t="shared" si="11"/>
        <v>1.6816666666666678</v>
      </c>
      <c r="H99" s="2">
        <f t="shared" si="12"/>
        <v>1.5316666666666678</v>
      </c>
      <c r="I99" s="2">
        <f t="shared" si="13"/>
        <v>0.95368325239667573</v>
      </c>
      <c r="J99" s="2">
        <f t="shared" si="13"/>
        <v>0.93719764398405381</v>
      </c>
      <c r="K99" s="3">
        <f t="shared" si="14"/>
        <v>4.6316747603324299E-2</v>
      </c>
      <c r="L99" s="3">
        <f t="shared" si="14"/>
        <v>6.2802356015946179E-2</v>
      </c>
      <c r="M99" s="1">
        <f t="shared" si="15"/>
        <v>21.719433160092137</v>
      </c>
      <c r="N99" s="1">
        <f t="shared" si="16"/>
        <v>0.30359579892667288</v>
      </c>
      <c r="O99" s="2">
        <f t="shared" si="17"/>
        <v>-4.6316747603324271E-2</v>
      </c>
      <c r="P99" s="2">
        <f t="shared" si="21"/>
        <v>0.24100000000000016</v>
      </c>
      <c r="Q99" s="2">
        <f t="shared" si="18"/>
        <v>73.648892079575432</v>
      </c>
      <c r="R99" s="2">
        <f t="shared" si="19"/>
        <v>-4.9352705592591031</v>
      </c>
    </row>
    <row r="100" spans="6:18">
      <c r="F100">
        <f t="shared" si="20"/>
        <v>147</v>
      </c>
      <c r="G100" s="2">
        <f t="shared" si="11"/>
        <v>1.6983333333333344</v>
      </c>
      <c r="H100" s="2">
        <f t="shared" si="12"/>
        <v>1.5483333333333344</v>
      </c>
      <c r="I100" s="2">
        <f t="shared" si="13"/>
        <v>0.9552775665816915</v>
      </c>
      <c r="J100" s="2">
        <f t="shared" si="13"/>
        <v>0.93922896851423454</v>
      </c>
      <c r="K100" s="3">
        <f t="shared" si="14"/>
        <v>4.4722433418308526E-2</v>
      </c>
      <c r="L100" s="3">
        <f t="shared" si="14"/>
        <v>6.0771031485765403E-2</v>
      </c>
      <c r="M100" s="1">
        <f t="shared" si="15"/>
        <v>21.903525486842142</v>
      </c>
      <c r="N100" s="1">
        <f t="shared" si="16"/>
        <v>0.2914730900694007</v>
      </c>
      <c r="O100" s="2">
        <f t="shared" si="17"/>
        <v>-4.4722433418308505E-2</v>
      </c>
      <c r="P100" s="2">
        <f t="shared" si="21"/>
        <v>0.24350000000000016</v>
      </c>
      <c r="Q100" s="2">
        <f t="shared" si="18"/>
        <v>73.624231171327011</v>
      </c>
      <c r="R100" s="2">
        <f t="shared" si="19"/>
        <v>-4.763716431900253</v>
      </c>
    </row>
    <row r="101" spans="6:18">
      <c r="F101">
        <f t="shared" si="20"/>
        <v>148</v>
      </c>
      <c r="G101" s="2">
        <f t="shared" si="11"/>
        <v>1.715000000000001</v>
      </c>
      <c r="H101" s="2">
        <f t="shared" si="12"/>
        <v>1.5650000000000011</v>
      </c>
      <c r="I101" s="2">
        <f t="shared" si="13"/>
        <v>0.95682738653553567</v>
      </c>
      <c r="J101" s="2">
        <f t="shared" si="13"/>
        <v>0.94120854534491727</v>
      </c>
      <c r="K101" s="3">
        <f t="shared" si="14"/>
        <v>4.3172613464464285E-2</v>
      </c>
      <c r="L101" s="3">
        <f t="shared" si="14"/>
        <v>5.879145465508278E-2</v>
      </c>
      <c r="M101" s="1">
        <f t="shared" si="15"/>
        <v>22.087550664056621</v>
      </c>
      <c r="N101" s="1">
        <f t="shared" si="16"/>
        <v>0.27977315660433444</v>
      </c>
      <c r="O101" s="2">
        <f t="shared" si="17"/>
        <v>-4.3172613464464327E-2</v>
      </c>
      <c r="P101" s="2">
        <f t="shared" si="21"/>
        <v>0.24600000000000016</v>
      </c>
      <c r="Q101" s="2">
        <f t="shared" si="18"/>
        <v>73.595187989496949</v>
      </c>
      <c r="R101" s="2">
        <f t="shared" si="19"/>
        <v>-4.5970345030507627</v>
      </c>
    </row>
    <row r="102" spans="6:18">
      <c r="F102">
        <f t="shared" si="20"/>
        <v>149</v>
      </c>
      <c r="G102" s="2">
        <f t="shared" si="11"/>
        <v>1.7316666666666678</v>
      </c>
      <c r="H102" s="2">
        <f t="shared" si="12"/>
        <v>1.5816666666666679</v>
      </c>
      <c r="I102" s="2">
        <f t="shared" si="13"/>
        <v>0.95833353558314527</v>
      </c>
      <c r="J102" s="2">
        <f t="shared" si="13"/>
        <v>0.94313715695382849</v>
      </c>
      <c r="K102" s="3">
        <f t="shared" si="14"/>
        <v>4.1666464416854759E-2</v>
      </c>
      <c r="L102" s="3">
        <f t="shared" si="14"/>
        <v>5.68628430461715E-2</v>
      </c>
      <c r="M102" s="1">
        <f t="shared" si="15"/>
        <v>22.27149785254251</v>
      </c>
      <c r="N102" s="1">
        <f t="shared" si="16"/>
        <v>0.26848393605576071</v>
      </c>
      <c r="O102" s="2">
        <f t="shared" si="17"/>
        <v>-4.1666464416854732E-2</v>
      </c>
      <c r="P102" s="2">
        <f t="shared" si="21"/>
        <v>0.24850000000000017</v>
      </c>
      <c r="Q102" s="2">
        <f t="shared" si="18"/>
        <v>73.561855705772018</v>
      </c>
      <c r="R102" s="2">
        <f t="shared" si="19"/>
        <v>-4.4351303777412365</v>
      </c>
    </row>
    <row r="103" spans="6:18">
      <c r="F103">
        <f t="shared" si="20"/>
        <v>150</v>
      </c>
      <c r="G103" s="2">
        <f t="shared" si="11"/>
        <v>1.7483333333333344</v>
      </c>
      <c r="H103" s="2">
        <f t="shared" si="12"/>
        <v>1.5983333333333345</v>
      </c>
      <c r="I103" s="2">
        <f t="shared" si="13"/>
        <v>0.95979683776568114</v>
      </c>
      <c r="J103" s="2">
        <f t="shared" si="13"/>
        <v>0.9450155936184087</v>
      </c>
      <c r="K103" s="3">
        <f t="shared" si="14"/>
        <v>4.0203162234318829E-2</v>
      </c>
      <c r="L103" s="3">
        <f t="shared" si="14"/>
        <v>5.4984406381591328E-2</v>
      </c>
      <c r="M103" s="1">
        <f t="shared" si="15"/>
        <v>22.455356445849105</v>
      </c>
      <c r="N103" s="1">
        <f t="shared" si="16"/>
        <v>0.25759360174483081</v>
      </c>
      <c r="O103" s="2">
        <f t="shared" si="17"/>
        <v>-4.0203162234318857E-2</v>
      </c>
      <c r="P103" s="2">
        <f t="shared" si="21"/>
        <v>0.25100000000000017</v>
      </c>
      <c r="Q103" s="2">
        <f t="shared" si="18"/>
        <v>73.524327330719004</v>
      </c>
      <c r="R103" s="2">
        <f t="shared" si="19"/>
        <v>-4.2779098251767138</v>
      </c>
    </row>
    <row r="104" spans="6:18">
      <c r="F104">
        <f t="shared" si="20"/>
        <v>151</v>
      </c>
      <c r="G104" s="2">
        <f t="shared" si="11"/>
        <v>1.765000000000001</v>
      </c>
      <c r="H104" s="2">
        <f t="shared" si="12"/>
        <v>1.6150000000000011</v>
      </c>
      <c r="I104" s="2">
        <f t="shared" si="13"/>
        <v>0.9612181171434433</v>
      </c>
      <c r="J104" s="2">
        <f t="shared" si="13"/>
        <v>0.94684465256407735</v>
      </c>
      <c r="K104" s="3">
        <f t="shared" si="14"/>
        <v>3.8781882856556663E-2</v>
      </c>
      <c r="L104" s="3">
        <f t="shared" si="14"/>
        <v>5.3155347435922692E-2</v>
      </c>
      <c r="M104" s="1">
        <f t="shared" si="15"/>
        <v>22.639116069778453</v>
      </c>
      <c r="N104" s="1">
        <f t="shared" si="16"/>
        <v>0.24709056229212356</v>
      </c>
      <c r="O104" s="2">
        <f t="shared" si="17"/>
        <v>-3.8781882856556704E-2</v>
      </c>
      <c r="P104" s="2">
        <f t="shared" si="21"/>
        <v>0.25350000000000017</v>
      </c>
      <c r="Q104" s="2">
        <f t="shared" si="18"/>
        <v>73.482695644565879</v>
      </c>
      <c r="R104" s="2">
        <f t="shared" si="19"/>
        <v>-4.12527884794779</v>
      </c>
    </row>
    <row r="105" spans="6:18">
      <c r="F105">
        <f t="shared" si="20"/>
        <v>152</v>
      </c>
      <c r="G105" s="2">
        <f t="shared" si="11"/>
        <v>1.7816666666666678</v>
      </c>
      <c r="H105" s="2">
        <f t="shared" si="12"/>
        <v>1.6316666666666679</v>
      </c>
      <c r="I105" s="2">
        <f t="shared" si="13"/>
        <v>0.96259819711859274</v>
      </c>
      <c r="J105" s="2">
        <f t="shared" si="13"/>
        <v>0.94862513712703789</v>
      </c>
      <c r="K105" s="3">
        <f t="shared" si="14"/>
        <v>3.7401802881407265E-2</v>
      </c>
      <c r="L105" s="3">
        <f t="shared" si="14"/>
        <v>5.1374862872962085E-2</v>
      </c>
      <c r="M105" s="1">
        <f t="shared" si="15"/>
        <v>22.822766581725119</v>
      </c>
      <c r="N105" s="1">
        <f t="shared" si="16"/>
        <v>0.23696346094993848</v>
      </c>
      <c r="O105" s="2">
        <f t="shared" si="17"/>
        <v>-3.7401802881407265E-2</v>
      </c>
      <c r="P105" s="2">
        <f t="shared" si="21"/>
        <v>0.25600000000000017</v>
      </c>
      <c r="Q105" s="2">
        <f t="shared" si="18"/>
        <v>73.43705313013416</v>
      </c>
      <c r="R105" s="2">
        <f t="shared" si="19"/>
        <v>-3.9771437490906649</v>
      </c>
    </row>
    <row r="106" spans="6:18">
      <c r="F106">
        <f t="shared" si="20"/>
        <v>153</v>
      </c>
      <c r="G106" s="2">
        <f t="shared" si="11"/>
        <v>1.7983333333333344</v>
      </c>
      <c r="H106" s="2">
        <f t="shared" si="12"/>
        <v>1.6483333333333345</v>
      </c>
      <c r="I106" s="2">
        <f t="shared" si="13"/>
        <v>0.96393789977804234</v>
      </c>
      <c r="J106" s="2">
        <f t="shared" si="13"/>
        <v>0.95035785593238919</v>
      </c>
      <c r="K106" s="3">
        <f t="shared" si="14"/>
        <v>3.6062100221957605E-2</v>
      </c>
      <c r="L106" s="3">
        <f t="shared" si="14"/>
        <v>4.9642144067610847E-2</v>
      </c>
      <c r="M106" s="1">
        <f t="shared" si="15"/>
        <v>23.006298069851127</v>
      </c>
      <c r="N106" s="1">
        <f t="shared" si="16"/>
        <v>0.2272011747696201</v>
      </c>
      <c r="O106" s="2">
        <f t="shared" si="17"/>
        <v>-3.606210022195766E-2</v>
      </c>
      <c r="P106" s="2">
        <f t="shared" si="21"/>
        <v>0.25850000000000017</v>
      </c>
      <c r="Q106" s="2">
        <f t="shared" si="18"/>
        <v>73.387491907953105</v>
      </c>
      <c r="R106" s="2">
        <f t="shared" si="19"/>
        <v>-3.8334111969653808</v>
      </c>
    </row>
    <row r="107" spans="6:18">
      <c r="F107">
        <f t="shared" si="20"/>
        <v>154</v>
      </c>
      <c r="G107" s="2">
        <f t="shared" si="11"/>
        <v>1.8150000000000011</v>
      </c>
      <c r="H107" s="2">
        <f t="shared" si="12"/>
        <v>1.6650000000000011</v>
      </c>
      <c r="I107" s="2">
        <f t="shared" si="13"/>
        <v>0.96523804525683454</v>
      </c>
      <c r="J107" s="2">
        <f t="shared" si="13"/>
        <v>0.95204362208826454</v>
      </c>
      <c r="K107" s="3">
        <f t="shared" si="14"/>
        <v>3.476195474316543E-2</v>
      </c>
      <c r="L107" s="3">
        <f t="shared" si="14"/>
        <v>4.7956377911735501E-2</v>
      </c>
      <c r="M107" s="1">
        <f t="shared" si="15"/>
        <v>23.189700852101538</v>
      </c>
      <c r="N107" s="1">
        <f t="shared" si="16"/>
        <v>0.2177928136094458</v>
      </c>
      <c r="O107" s="2">
        <f t="shared" si="17"/>
        <v>-3.4761954743165457E-2</v>
      </c>
      <c r="P107" s="2">
        <f t="shared" si="21"/>
        <v>0.26100000000000018</v>
      </c>
      <c r="Q107" s="2">
        <f t="shared" si="18"/>
        <v>73.334103673581922</v>
      </c>
      <c r="R107" s="2">
        <f t="shared" si="19"/>
        <v>-3.6939882879259889</v>
      </c>
    </row>
    <row r="108" spans="6:18">
      <c r="F108">
        <f t="shared" si="20"/>
        <v>155</v>
      </c>
      <c r="G108" s="2">
        <f t="shared" si="11"/>
        <v>1.8316666666666679</v>
      </c>
      <c r="H108" s="2">
        <f t="shared" si="12"/>
        <v>1.681666666666668</v>
      </c>
      <c r="I108" s="2">
        <f t="shared" si="13"/>
        <v>0.96649945112227809</v>
      </c>
      <c r="J108" s="2">
        <f t="shared" si="13"/>
        <v>0.95368325239667573</v>
      </c>
      <c r="K108" s="3">
        <f t="shared" si="14"/>
        <v>3.3500548877721879E-2</v>
      </c>
      <c r="L108" s="3">
        <f t="shared" si="14"/>
        <v>4.6316747603324271E-2</v>
      </c>
      <c r="M108" s="1">
        <f t="shared" si="15"/>
        <v>23.372965475065783</v>
      </c>
      <c r="N108" s="1">
        <f t="shared" si="16"/>
        <v>0.20872771898861853</v>
      </c>
      <c r="O108" s="2">
        <f t="shared" si="17"/>
        <v>-3.3500548877721914E-2</v>
      </c>
      <c r="P108" s="2">
        <f t="shared" si="21"/>
        <v>0.26350000000000018</v>
      </c>
      <c r="Q108" s="2">
        <f t="shared" si="18"/>
        <v>73.276979637162029</v>
      </c>
      <c r="R108" s="2">
        <f t="shared" si="19"/>
        <v>-3.5587826067608064</v>
      </c>
    </row>
    <row r="109" spans="6:18">
      <c r="F109">
        <f t="shared" si="20"/>
        <v>156</v>
      </c>
      <c r="G109" s="2">
        <f t="shared" si="11"/>
        <v>1.8483333333333345</v>
      </c>
      <c r="H109" s="2">
        <f t="shared" si="12"/>
        <v>1.6983333333333346</v>
      </c>
      <c r="I109" s="2">
        <f t="shared" si="13"/>
        <v>0.96772293177907898</v>
      </c>
      <c r="J109" s="2">
        <f t="shared" si="13"/>
        <v>0.9552775665816915</v>
      </c>
      <c r="K109" s="3">
        <f t="shared" si="14"/>
        <v>3.2277068220920968E-2</v>
      </c>
      <c r="L109" s="3">
        <f t="shared" si="14"/>
        <v>4.4722433418308505E-2</v>
      </c>
      <c r="M109" s="1">
        <f t="shared" si="15"/>
        <v>23.556082712691079</v>
      </c>
      <c r="N109" s="1">
        <f t="shared" si="16"/>
        <v>0.19999546279298119</v>
      </c>
      <c r="O109" s="2">
        <f t="shared" si="17"/>
        <v>-3.2277068220921024E-2</v>
      </c>
      <c r="P109" s="2">
        <f t="shared" si="21"/>
        <v>0.26600000000000018</v>
      </c>
      <c r="Q109" s="2">
        <f t="shared" si="18"/>
        <v>73.216210465216818</v>
      </c>
      <c r="R109" s="2">
        <f t="shared" si="19"/>
        <v>-3.4277022848850782</v>
      </c>
    </row>
    <row r="110" spans="6:18">
      <c r="F110">
        <f t="shared" si="20"/>
        <v>157</v>
      </c>
      <c r="G110" s="2">
        <f t="shared" si="11"/>
        <v>1.8650000000000011</v>
      </c>
      <c r="H110" s="2">
        <f t="shared" si="12"/>
        <v>1.7150000000000012</v>
      </c>
      <c r="I110" s="2">
        <f t="shared" si="13"/>
        <v>0.96890929789565461</v>
      </c>
      <c r="J110" s="2">
        <f t="shared" si="13"/>
        <v>0.95682738653553567</v>
      </c>
      <c r="K110" s="3">
        <f t="shared" si="14"/>
        <v>3.1090702104345374E-2</v>
      </c>
      <c r="L110" s="3">
        <f t="shared" si="14"/>
        <v>4.3172613464464271E-2</v>
      </c>
      <c r="M110" s="1">
        <f t="shared" si="15"/>
        <v>23.739043564852906</v>
      </c>
      <c r="N110" s="1">
        <f t="shared" si="16"/>
        <v>0.19158584583804572</v>
      </c>
      <c r="O110" s="2">
        <f t="shared" si="17"/>
        <v>-3.1090702104345391E-2</v>
      </c>
      <c r="P110" s="2">
        <f t="shared" si="21"/>
        <v>0.26850000000000018</v>
      </c>
      <c r="Q110" s="2">
        <f t="shared" si="18"/>
        <v>73.151886224712555</v>
      </c>
      <c r="R110" s="2">
        <f t="shared" si="19"/>
        <v>-3.3006560562725831</v>
      </c>
    </row>
    <row r="111" spans="6:18">
      <c r="F111">
        <f t="shared" si="20"/>
        <v>158</v>
      </c>
      <c r="G111" s="2">
        <f t="shared" si="11"/>
        <v>1.8816666666666679</v>
      </c>
      <c r="H111" s="2">
        <f t="shared" si="12"/>
        <v>1.731666666666668</v>
      </c>
      <c r="I111" s="2">
        <f t="shared" si="13"/>
        <v>0.9700593558517826</v>
      </c>
      <c r="J111" s="2">
        <f t="shared" si="13"/>
        <v>0.95833353558314527</v>
      </c>
      <c r="K111" s="3">
        <f t="shared" si="14"/>
        <v>2.9940644148217403E-2</v>
      </c>
      <c r="L111" s="3">
        <f t="shared" si="14"/>
        <v>4.1666464416854739E-2</v>
      </c>
      <c r="M111" s="1">
        <f t="shared" si="15"/>
        <v>23.921839255788555</v>
      </c>
      <c r="N111" s="1">
        <f t="shared" si="16"/>
        <v>0.18348889629506759</v>
      </c>
      <c r="O111" s="2">
        <f t="shared" si="17"/>
        <v>-2.9940644148217399E-2</v>
      </c>
      <c r="P111" s="2">
        <f t="shared" si="21"/>
        <v>0.27100000000000019</v>
      </c>
      <c r="Q111" s="2">
        <f t="shared" si="18"/>
        <v>73.084096329389709</v>
      </c>
      <c r="R111" s="2">
        <f t="shared" si="19"/>
        <v>-3.1775533111168079</v>
      </c>
    </row>
    <row r="112" spans="6:18">
      <c r="F112">
        <f t="shared" si="20"/>
        <v>159</v>
      </c>
      <c r="G112" s="2">
        <f t="shared" si="11"/>
        <v>1.8983333333333345</v>
      </c>
      <c r="H112" s="2">
        <f t="shared" si="12"/>
        <v>1.7483333333333346</v>
      </c>
      <c r="I112" s="2">
        <f t="shared" si="13"/>
        <v>0.97117390720769525</v>
      </c>
      <c r="J112" s="2">
        <f t="shared" si="13"/>
        <v>0.95979683776568114</v>
      </c>
      <c r="K112" s="3">
        <f t="shared" si="14"/>
        <v>2.8826092792304765E-2</v>
      </c>
      <c r="L112" s="3">
        <f t="shared" si="14"/>
        <v>4.0203162234318829E-2</v>
      </c>
      <c r="M112" s="1">
        <f t="shared" si="15"/>
        <v>24.104461232399373</v>
      </c>
      <c r="N112" s="1">
        <f t="shared" si="16"/>
        <v>0.17569486798577483</v>
      </c>
      <c r="O112" s="2">
        <f t="shared" si="17"/>
        <v>-2.8826092792304747E-2</v>
      </c>
      <c r="P112" s="2">
        <f t="shared" si="21"/>
        <v>0.27350000000000019</v>
      </c>
      <c r="Q112" s="2">
        <f t="shared" si="18"/>
        <v>73.012929488370148</v>
      </c>
      <c r="R112" s="2">
        <f t="shared" si="19"/>
        <v>-3.0583041472162513</v>
      </c>
    </row>
    <row r="113" spans="6:18">
      <c r="F113">
        <f t="shared" si="20"/>
        <v>160</v>
      </c>
      <c r="G113" s="2">
        <f t="shared" si="11"/>
        <v>1.9150000000000011</v>
      </c>
      <c r="H113" s="2">
        <f t="shared" si="12"/>
        <v>1.7650000000000012</v>
      </c>
      <c r="I113" s="2">
        <f t="shared" si="13"/>
        <v>0.97225374819469224</v>
      </c>
      <c r="J113" s="2">
        <f t="shared" si="13"/>
        <v>0.9612181171434433</v>
      </c>
      <c r="K113" s="3">
        <f t="shared" si="14"/>
        <v>2.7746251805307817E-2</v>
      </c>
      <c r="L113" s="3">
        <f t="shared" si="14"/>
        <v>3.8781882856556649E-2</v>
      </c>
      <c r="M113" s="1">
        <f t="shared" si="15"/>
        <v>24.286901162427398</v>
      </c>
      <c r="N113" s="1">
        <f t="shared" si="16"/>
        <v>0.16819423855150717</v>
      </c>
      <c r="O113" s="2">
        <f t="shared" si="17"/>
        <v>-2.7746251805307764E-2</v>
      </c>
      <c r="P113" s="2">
        <f t="shared" si="21"/>
        <v>0.27600000000000019</v>
      </c>
      <c r="Q113" s="2">
        <f t="shared" si="18"/>
        <v>72.938473657041826</v>
      </c>
      <c r="R113" s="2">
        <f t="shared" si="19"/>
        <v>-2.9428194190822889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8A73-A405-4C7F-8535-B4AEA781ADF7}">
  <dimension ref="A1:G27"/>
  <sheetViews>
    <sheetView showGridLines="0" workbookViewId="0"/>
  </sheetViews>
  <sheetFormatPr defaultRowHeight="14.4"/>
  <cols>
    <col min="1" max="1" width="2.33203125" customWidth="1"/>
    <col min="2" max="2" width="6.109375" bestFit="1" customWidth="1"/>
    <col min="3" max="3" width="22.88671875" bestFit="1" customWidth="1"/>
    <col min="4" max="4" width="12.6640625" bestFit="1" customWidth="1"/>
    <col min="5" max="5" width="10.109375" bestFit="1" customWidth="1"/>
    <col min="6" max="6" width="10.44140625" bestFit="1" customWidth="1"/>
    <col min="7" max="7" width="5.33203125" bestFit="1" customWidth="1"/>
  </cols>
  <sheetData>
    <row r="1" spans="1:5">
      <c r="A1" s="14" t="s">
        <v>45</v>
      </c>
    </row>
    <row r="2" spans="1:5">
      <c r="A2" s="14" t="s">
        <v>46</v>
      </c>
    </row>
    <row r="3" spans="1:5">
      <c r="A3" s="14" t="s">
        <v>47</v>
      </c>
    </row>
    <row r="4" spans="1:5">
      <c r="A4" s="14" t="s">
        <v>48</v>
      </c>
    </row>
    <row r="5" spans="1:5">
      <c r="A5" s="14" t="s">
        <v>49</v>
      </c>
    </row>
    <row r="6" spans="1:5">
      <c r="A6" s="14"/>
      <c r="B6" t="s">
        <v>50</v>
      </c>
    </row>
    <row r="7" spans="1:5">
      <c r="A7" s="14"/>
      <c r="B7" t="s">
        <v>51</v>
      </c>
    </row>
    <row r="8" spans="1:5">
      <c r="A8" s="14"/>
      <c r="B8" t="s">
        <v>52</v>
      </c>
    </row>
    <row r="9" spans="1:5">
      <c r="A9" s="14" t="s">
        <v>53</v>
      </c>
    </row>
    <row r="10" spans="1:5">
      <c r="B10" t="s">
        <v>54</v>
      </c>
    </row>
    <row r="11" spans="1:5">
      <c r="B11" t="s">
        <v>55</v>
      </c>
    </row>
    <row r="12" spans="1:5">
      <c r="B12" t="s">
        <v>56</v>
      </c>
    </row>
    <row r="14" spans="1:5" ht="15" thickBot="1">
      <c r="A14" t="s">
        <v>57</v>
      </c>
    </row>
    <row r="15" spans="1:5" ht="15" thickBot="1">
      <c r="B15" s="16" t="s">
        <v>58</v>
      </c>
      <c r="C15" s="16" t="s">
        <v>59</v>
      </c>
      <c r="D15" s="16" t="s">
        <v>60</v>
      </c>
      <c r="E15" s="16" t="s">
        <v>61</v>
      </c>
    </row>
    <row r="16" spans="1:5" ht="15" thickBot="1">
      <c r="B16" s="15" t="s">
        <v>69</v>
      </c>
      <c r="C16" s="15" t="s">
        <v>29</v>
      </c>
      <c r="D16" s="17">
        <v>0</v>
      </c>
      <c r="E16" s="17">
        <v>0</v>
      </c>
    </row>
    <row r="19" spans="1:7" ht="15" thickBot="1">
      <c r="A19" t="s">
        <v>62</v>
      </c>
    </row>
    <row r="20" spans="1:7" ht="15" thickBot="1">
      <c r="B20" s="16" t="s">
        <v>58</v>
      </c>
      <c r="C20" s="16" t="s">
        <v>59</v>
      </c>
      <c r="D20" s="16" t="s">
        <v>60</v>
      </c>
      <c r="E20" s="16" t="s">
        <v>61</v>
      </c>
      <c r="F20" s="16" t="s">
        <v>63</v>
      </c>
    </row>
    <row r="21" spans="1:7" ht="15" thickBot="1">
      <c r="B21" s="15" t="s">
        <v>70</v>
      </c>
      <c r="C21" s="15" t="s">
        <v>3</v>
      </c>
      <c r="D21" s="15">
        <v>0.15</v>
      </c>
      <c r="E21" s="15">
        <v>0.15</v>
      </c>
      <c r="F21" s="15" t="s">
        <v>71</v>
      </c>
    </row>
    <row r="24" spans="1:7" ht="15" thickBot="1">
      <c r="A24" t="s">
        <v>64</v>
      </c>
    </row>
    <row r="25" spans="1:7" ht="15" thickBot="1">
      <c r="B25" s="16" t="s">
        <v>58</v>
      </c>
      <c r="C25" s="16" t="s">
        <v>59</v>
      </c>
      <c r="D25" s="16" t="s">
        <v>65</v>
      </c>
      <c r="E25" s="16" t="s">
        <v>66</v>
      </c>
      <c r="F25" s="16" t="s">
        <v>67</v>
      </c>
      <c r="G25" s="16" t="s">
        <v>68</v>
      </c>
    </row>
    <row r="26" spans="1:7">
      <c r="B26" s="18" t="s">
        <v>69</v>
      </c>
      <c r="C26" s="18" t="s">
        <v>29</v>
      </c>
      <c r="D26" s="19">
        <v>0</v>
      </c>
      <c r="E26" s="18" t="s">
        <v>72</v>
      </c>
      <c r="F26" s="18" t="s">
        <v>73</v>
      </c>
      <c r="G26" s="18">
        <v>0</v>
      </c>
    </row>
    <row r="27" spans="1:7" ht="15" thickBot="1">
      <c r="B27" s="15" t="s">
        <v>70</v>
      </c>
      <c r="C27" s="15" t="s">
        <v>3</v>
      </c>
      <c r="D27" s="15">
        <v>0.15</v>
      </c>
      <c r="E27" s="15" t="s">
        <v>74</v>
      </c>
      <c r="F27" s="15" t="s">
        <v>75</v>
      </c>
      <c r="G27" s="15">
        <v>0.15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E8FE-98C5-40E8-95EA-6D778C64C117}">
  <dimension ref="A1:CO22"/>
  <sheetViews>
    <sheetView workbookViewId="0">
      <selection activeCell="M4" sqref="M4"/>
    </sheetView>
  </sheetViews>
  <sheetFormatPr defaultRowHeight="14.4"/>
  <cols>
    <col min="1" max="1" width="22.88671875" bestFit="1" customWidth="1"/>
  </cols>
  <sheetData>
    <row r="1" spans="1:93" ht="27">
      <c r="E1" s="8" t="s">
        <v>30</v>
      </c>
    </row>
    <row r="2" spans="1:93">
      <c r="A2" t="s">
        <v>0</v>
      </c>
      <c r="B2">
        <v>100</v>
      </c>
      <c r="E2" s="7"/>
    </row>
    <row r="3" spans="1:93" ht="20.399999999999999">
      <c r="A3" t="s">
        <v>1</v>
      </c>
      <c r="B3">
        <v>100</v>
      </c>
      <c r="E3" s="9" t="s">
        <v>31</v>
      </c>
      <c r="I3" s="9" t="s">
        <v>36</v>
      </c>
    </row>
    <row r="4" spans="1:93">
      <c r="A4" t="s">
        <v>4</v>
      </c>
      <c r="B4">
        <v>1</v>
      </c>
      <c r="E4" s="10"/>
      <c r="I4" s="10"/>
    </row>
    <row r="5" spans="1:93">
      <c r="A5" t="s">
        <v>2</v>
      </c>
      <c r="B5">
        <v>0.1</v>
      </c>
      <c r="E5" s="11" t="s">
        <v>32</v>
      </c>
      <c r="I5" s="11" t="s">
        <v>37</v>
      </c>
    </row>
    <row r="6" spans="1:93">
      <c r="A6" t="s">
        <v>3</v>
      </c>
      <c r="B6">
        <v>8.5424575347526385E-2</v>
      </c>
      <c r="E6" s="11" t="s">
        <v>33</v>
      </c>
      <c r="I6" s="11" t="s">
        <v>38</v>
      </c>
    </row>
    <row r="7" spans="1:93">
      <c r="A7" t="s">
        <v>27</v>
      </c>
      <c r="B7" s="1">
        <v>10</v>
      </c>
      <c r="E7" s="11" t="s">
        <v>34</v>
      </c>
      <c r="I7" s="12" t="s">
        <v>39</v>
      </c>
    </row>
    <row r="8" spans="1:93">
      <c r="E8" s="11" t="s">
        <v>35</v>
      </c>
      <c r="I8" s="12" t="s">
        <v>40</v>
      </c>
    </row>
    <row r="9" spans="1:93">
      <c r="A9" t="s">
        <v>5</v>
      </c>
      <c r="B9">
        <f>(LN(B2/B3)+(B5+0.5*B6^2)*B4)/(B6*SQRT(B4))</f>
        <v>1.2133356076396808</v>
      </c>
      <c r="E9" s="11"/>
      <c r="I9" s="12" t="s">
        <v>41</v>
      </c>
    </row>
    <row r="10" spans="1:93">
      <c r="A10" t="s">
        <v>6</v>
      </c>
      <c r="B10">
        <f>B9-B6*SQRT(B4)</f>
        <v>1.1279110322921544</v>
      </c>
      <c r="E10" s="7"/>
      <c r="I10" s="11" t="s">
        <v>42</v>
      </c>
    </row>
    <row r="11" spans="1:93">
      <c r="I11" s="13" t="s">
        <v>43</v>
      </c>
    </row>
    <row r="12" spans="1:93">
      <c r="A12" t="s">
        <v>28</v>
      </c>
      <c r="B12" s="1">
        <f>B2*_xlfn.NORM.S.DIST(B9,TRUE)-B3*EXP(-B5*B4)*_xlfn.NORM.S.DIST(B10,TRUE)</f>
        <v>9.9999997479726375</v>
      </c>
      <c r="E12" s="7"/>
      <c r="I12" s="11" t="s">
        <v>44</v>
      </c>
    </row>
    <row r="14" spans="1:93">
      <c r="A14" t="s">
        <v>29</v>
      </c>
      <c r="B14" s="1">
        <f>B12-B7</f>
        <v>-2.5202736253504554E-7</v>
      </c>
    </row>
    <row r="16" spans="1:93">
      <c r="B16" t="s">
        <v>76</v>
      </c>
      <c r="C16">
        <v>20</v>
      </c>
      <c r="D16">
        <f>+C16+2</f>
        <v>22</v>
      </c>
      <c r="E16">
        <f t="shared" ref="E16:BP16" si="0">+D16+2</f>
        <v>24</v>
      </c>
      <c r="F16">
        <f t="shared" si="0"/>
        <v>26</v>
      </c>
      <c r="G16">
        <f t="shared" si="0"/>
        <v>28</v>
      </c>
      <c r="H16">
        <f t="shared" si="0"/>
        <v>30</v>
      </c>
      <c r="I16">
        <f t="shared" si="0"/>
        <v>32</v>
      </c>
      <c r="J16">
        <f t="shared" si="0"/>
        <v>34</v>
      </c>
      <c r="K16">
        <f t="shared" si="0"/>
        <v>36</v>
      </c>
      <c r="L16">
        <f t="shared" si="0"/>
        <v>38</v>
      </c>
      <c r="M16">
        <f t="shared" si="0"/>
        <v>40</v>
      </c>
      <c r="N16">
        <f t="shared" si="0"/>
        <v>42</v>
      </c>
      <c r="O16">
        <f t="shared" si="0"/>
        <v>44</v>
      </c>
      <c r="P16">
        <f t="shared" si="0"/>
        <v>46</v>
      </c>
      <c r="Q16">
        <f t="shared" si="0"/>
        <v>48</v>
      </c>
      <c r="R16">
        <f t="shared" si="0"/>
        <v>50</v>
      </c>
      <c r="S16">
        <f t="shared" si="0"/>
        <v>52</v>
      </c>
      <c r="T16">
        <f t="shared" si="0"/>
        <v>54</v>
      </c>
      <c r="U16">
        <f t="shared" si="0"/>
        <v>56</v>
      </c>
      <c r="V16">
        <f t="shared" si="0"/>
        <v>58</v>
      </c>
      <c r="W16">
        <f t="shared" si="0"/>
        <v>60</v>
      </c>
      <c r="X16">
        <f t="shared" si="0"/>
        <v>62</v>
      </c>
      <c r="Y16">
        <f t="shared" si="0"/>
        <v>64</v>
      </c>
      <c r="Z16">
        <f t="shared" si="0"/>
        <v>66</v>
      </c>
      <c r="AA16">
        <f t="shared" si="0"/>
        <v>68</v>
      </c>
      <c r="AB16">
        <f t="shared" si="0"/>
        <v>70</v>
      </c>
      <c r="AC16">
        <f t="shared" si="0"/>
        <v>72</v>
      </c>
      <c r="AD16">
        <f t="shared" si="0"/>
        <v>74</v>
      </c>
      <c r="AE16">
        <f t="shared" si="0"/>
        <v>76</v>
      </c>
      <c r="AF16">
        <f t="shared" si="0"/>
        <v>78</v>
      </c>
      <c r="AG16">
        <f t="shared" si="0"/>
        <v>80</v>
      </c>
      <c r="AH16">
        <f t="shared" si="0"/>
        <v>82</v>
      </c>
      <c r="AI16">
        <f t="shared" si="0"/>
        <v>84</v>
      </c>
      <c r="AJ16">
        <f t="shared" si="0"/>
        <v>86</v>
      </c>
      <c r="AK16">
        <f t="shared" si="0"/>
        <v>88</v>
      </c>
      <c r="AL16">
        <f t="shared" si="0"/>
        <v>90</v>
      </c>
      <c r="AM16">
        <f t="shared" si="0"/>
        <v>92</v>
      </c>
      <c r="AN16">
        <f t="shared" si="0"/>
        <v>94</v>
      </c>
      <c r="AO16">
        <f t="shared" si="0"/>
        <v>96</v>
      </c>
      <c r="AP16">
        <f t="shared" si="0"/>
        <v>98</v>
      </c>
      <c r="AQ16">
        <f t="shared" si="0"/>
        <v>100</v>
      </c>
      <c r="AR16">
        <f t="shared" si="0"/>
        <v>102</v>
      </c>
      <c r="AS16">
        <f t="shared" si="0"/>
        <v>104</v>
      </c>
      <c r="AT16">
        <f t="shared" si="0"/>
        <v>106</v>
      </c>
      <c r="AU16">
        <f t="shared" si="0"/>
        <v>108</v>
      </c>
      <c r="AV16">
        <f t="shared" si="0"/>
        <v>110</v>
      </c>
      <c r="AW16">
        <f t="shared" si="0"/>
        <v>112</v>
      </c>
      <c r="AX16">
        <f t="shared" si="0"/>
        <v>114</v>
      </c>
      <c r="AY16">
        <f t="shared" si="0"/>
        <v>116</v>
      </c>
      <c r="AZ16">
        <f t="shared" si="0"/>
        <v>118</v>
      </c>
      <c r="BA16">
        <f t="shared" si="0"/>
        <v>120</v>
      </c>
      <c r="BB16">
        <f t="shared" si="0"/>
        <v>122</v>
      </c>
      <c r="BC16">
        <f t="shared" si="0"/>
        <v>124</v>
      </c>
      <c r="BD16">
        <f t="shared" si="0"/>
        <v>126</v>
      </c>
      <c r="BE16">
        <f t="shared" si="0"/>
        <v>128</v>
      </c>
      <c r="BF16">
        <f t="shared" si="0"/>
        <v>130</v>
      </c>
      <c r="BG16">
        <f t="shared" si="0"/>
        <v>132</v>
      </c>
      <c r="BH16">
        <f t="shared" si="0"/>
        <v>134</v>
      </c>
      <c r="BI16">
        <f t="shared" si="0"/>
        <v>136</v>
      </c>
      <c r="BJ16">
        <f t="shared" si="0"/>
        <v>138</v>
      </c>
      <c r="BK16">
        <f t="shared" si="0"/>
        <v>140</v>
      </c>
      <c r="BL16">
        <f t="shared" si="0"/>
        <v>142</v>
      </c>
      <c r="BM16">
        <f t="shared" si="0"/>
        <v>144</v>
      </c>
      <c r="BN16">
        <f t="shared" si="0"/>
        <v>146</v>
      </c>
      <c r="BO16">
        <f t="shared" si="0"/>
        <v>148</v>
      </c>
      <c r="BP16">
        <f t="shared" si="0"/>
        <v>150</v>
      </c>
      <c r="BQ16">
        <f t="shared" ref="BQ16:CO16" si="1">+BP16+2</f>
        <v>152</v>
      </c>
      <c r="BR16">
        <f t="shared" si="1"/>
        <v>154</v>
      </c>
      <c r="BS16">
        <f t="shared" si="1"/>
        <v>156</v>
      </c>
      <c r="BT16">
        <f t="shared" si="1"/>
        <v>158</v>
      </c>
      <c r="BU16">
        <f t="shared" si="1"/>
        <v>160</v>
      </c>
      <c r="BV16">
        <f t="shared" si="1"/>
        <v>162</v>
      </c>
      <c r="BW16">
        <f t="shared" si="1"/>
        <v>164</v>
      </c>
      <c r="BX16">
        <f t="shared" si="1"/>
        <v>166</v>
      </c>
      <c r="BY16">
        <f t="shared" si="1"/>
        <v>168</v>
      </c>
      <c r="BZ16">
        <f t="shared" si="1"/>
        <v>170</v>
      </c>
      <c r="CA16">
        <f t="shared" si="1"/>
        <v>172</v>
      </c>
      <c r="CB16">
        <f t="shared" si="1"/>
        <v>174</v>
      </c>
      <c r="CC16">
        <f t="shared" si="1"/>
        <v>176</v>
      </c>
      <c r="CD16">
        <f t="shared" si="1"/>
        <v>178</v>
      </c>
      <c r="CE16">
        <f t="shared" si="1"/>
        <v>180</v>
      </c>
      <c r="CF16">
        <f t="shared" si="1"/>
        <v>182</v>
      </c>
      <c r="CG16">
        <f t="shared" si="1"/>
        <v>184</v>
      </c>
      <c r="CH16">
        <f t="shared" si="1"/>
        <v>186</v>
      </c>
      <c r="CI16">
        <f t="shared" si="1"/>
        <v>188</v>
      </c>
      <c r="CJ16">
        <f t="shared" si="1"/>
        <v>190</v>
      </c>
      <c r="CK16">
        <f t="shared" si="1"/>
        <v>192</v>
      </c>
      <c r="CL16">
        <f t="shared" si="1"/>
        <v>194</v>
      </c>
      <c r="CM16">
        <f t="shared" si="1"/>
        <v>196</v>
      </c>
      <c r="CN16">
        <f t="shared" si="1"/>
        <v>198</v>
      </c>
      <c r="CO16">
        <f t="shared" si="1"/>
        <v>200</v>
      </c>
    </row>
    <row r="17" spans="2:93">
      <c r="B17" t="s">
        <v>80</v>
      </c>
      <c r="C17" s="20">
        <f>$B$2*_xlfn.NORM.S.DIST(C18,TRUE)-C16*EXP(-$B$5*$B$4)*_xlfn.NORM.S.DIST(C19,TRUE)</f>
        <v>81.903251639280811</v>
      </c>
      <c r="D17" s="20">
        <f t="shared" ref="D17:BO17" si="2">$B$2*_xlfn.NORM.S.DIST(D18,TRUE)-D16*EXP(-$B$5*$B$4)*_xlfn.NORM.S.DIST(D19,TRUE)</f>
        <v>80.09357680320889</v>
      </c>
      <c r="E17" s="20">
        <f t="shared" si="2"/>
        <v>78.28390196713697</v>
      </c>
      <c r="F17" s="20">
        <f t="shared" si="2"/>
        <v>76.474227131065049</v>
      </c>
      <c r="G17" s="20">
        <f t="shared" si="2"/>
        <v>74.664552294993129</v>
      </c>
      <c r="H17" s="20">
        <f t="shared" si="2"/>
        <v>72.854877458921209</v>
      </c>
      <c r="I17" s="20">
        <f t="shared" si="2"/>
        <v>71.045202622849303</v>
      </c>
      <c r="J17" s="20">
        <f t="shared" si="2"/>
        <v>69.235527786777368</v>
      </c>
      <c r="K17" s="20">
        <f t="shared" si="2"/>
        <v>67.425852950705462</v>
      </c>
      <c r="L17" s="20">
        <f t="shared" si="2"/>
        <v>65.616178114633541</v>
      </c>
      <c r="M17" s="20">
        <f t="shared" si="2"/>
        <v>63.806503278561621</v>
      </c>
      <c r="N17" s="20">
        <f t="shared" si="2"/>
        <v>61.996828442489701</v>
      </c>
      <c r="O17" s="20">
        <f t="shared" si="2"/>
        <v>60.18715360641778</v>
      </c>
      <c r="P17" s="20">
        <f t="shared" si="2"/>
        <v>58.37747877034586</v>
      </c>
      <c r="Q17" s="20">
        <f t="shared" si="2"/>
        <v>56.56780393427394</v>
      </c>
      <c r="R17" s="20">
        <f t="shared" si="2"/>
        <v>54.758129098202026</v>
      </c>
      <c r="S17" s="20">
        <f t="shared" si="2"/>
        <v>52.948454262130106</v>
      </c>
      <c r="T17" s="20">
        <f t="shared" si="2"/>
        <v>51.138779426058186</v>
      </c>
      <c r="U17" s="20">
        <f t="shared" si="2"/>
        <v>49.329104589986258</v>
      </c>
      <c r="V17" s="20">
        <f t="shared" si="2"/>
        <v>47.519429753914366</v>
      </c>
      <c r="W17" s="20">
        <f t="shared" si="2"/>
        <v>45.709754917842801</v>
      </c>
      <c r="X17" s="20">
        <f t="shared" si="2"/>
        <v>43.900080081776501</v>
      </c>
      <c r="Y17" s="20">
        <f t="shared" si="2"/>
        <v>42.090405245776559</v>
      </c>
      <c r="Z17" s="20">
        <f t="shared" si="2"/>
        <v>40.280730410454453</v>
      </c>
      <c r="AA17" s="20">
        <f t="shared" si="2"/>
        <v>38.471055580829074</v>
      </c>
      <c r="AB17" s="20">
        <f t="shared" si="2"/>
        <v>36.661380791190787</v>
      </c>
      <c r="AC17" s="20">
        <f t="shared" si="2"/>
        <v>34.851706239088429</v>
      </c>
      <c r="AD17" s="20">
        <f t="shared" si="2"/>
        <v>33.042032895489726</v>
      </c>
      <c r="AE17" s="20">
        <f t="shared" si="2"/>
        <v>31.232364875408834</v>
      </c>
      <c r="AF17" s="20">
        <f t="shared" si="2"/>
        <v>29.422717361534197</v>
      </c>
      <c r="AG17" s="20">
        <f t="shared" si="2"/>
        <v>27.613139548626137</v>
      </c>
      <c r="AH17" s="20">
        <f t="shared" si="2"/>
        <v>25.803772529295358</v>
      </c>
      <c r="AI17" s="20">
        <f t="shared" si="2"/>
        <v>23.994977042928795</v>
      </c>
      <c r="AJ17" s="20">
        <f t="shared" si="2"/>
        <v>22.187580574160023</v>
      </c>
      <c r="AK17" s="20">
        <f t="shared" si="2"/>
        <v>20.383295784128819</v>
      </c>
      <c r="AL17" s="20">
        <f t="shared" si="2"/>
        <v>18.585337009069505</v>
      </c>
      <c r="AM17" s="20">
        <f t="shared" si="2"/>
        <v>16.799197948850221</v>
      </c>
      <c r="AN17" s="20">
        <f t="shared" si="2"/>
        <v>15.033458604502556</v>
      </c>
      <c r="AO17" s="20">
        <f t="shared" si="2"/>
        <v>13.300394477794569</v>
      </c>
      <c r="AP17" s="20">
        <f t="shared" si="2"/>
        <v>11.616114582177119</v>
      </c>
      <c r="AQ17" s="20">
        <f t="shared" si="2"/>
        <v>9.9999997479726375</v>
      </c>
      <c r="AR17" s="20">
        <f t="shared" si="2"/>
        <v>8.4733590349059256</v>
      </c>
      <c r="AS17" s="20">
        <f t="shared" si="2"/>
        <v>7.0574331182013452</v>
      </c>
      <c r="AT17" s="20">
        <f t="shared" si="2"/>
        <v>5.7710767018760123</v>
      </c>
      <c r="AU17" s="20">
        <f t="shared" si="2"/>
        <v>4.6285704824317833</v>
      </c>
      <c r="AV17" s="20">
        <f t="shared" si="2"/>
        <v>3.6380012088945577</v>
      </c>
      <c r="AW17" s="20">
        <f t="shared" si="2"/>
        <v>2.8005111522899924</v>
      </c>
      <c r="AX17" s="20">
        <f t="shared" si="2"/>
        <v>2.1105067775514073</v>
      </c>
      <c r="AY17" s="20">
        <f t="shared" si="2"/>
        <v>1.5567023947945557</v>
      </c>
      <c r="AZ17" s="20">
        <f t="shared" si="2"/>
        <v>1.1237205077102992</v>
      </c>
      <c r="BA17" s="20">
        <f t="shared" si="2"/>
        <v>0.79390869460300806</v>
      </c>
      <c r="BB17" s="20">
        <f t="shared" si="2"/>
        <v>0.5490604486631625</v>
      </c>
      <c r="BC17" s="20">
        <f t="shared" si="2"/>
        <v>0.37181624544489189</v>
      </c>
      <c r="BD17" s="20">
        <f t="shared" si="2"/>
        <v>0.24663334601854281</v>
      </c>
      <c r="BE17" s="20">
        <f t="shared" si="2"/>
        <v>0.1603154117769412</v>
      </c>
      <c r="BF17" s="20">
        <f t="shared" si="2"/>
        <v>0.10216578516995156</v>
      </c>
      <c r="BG17" s="20">
        <f t="shared" si="2"/>
        <v>6.3865381651395658E-2</v>
      </c>
      <c r="BH17" s="20">
        <f t="shared" si="2"/>
        <v>3.9182336009982999E-2</v>
      </c>
      <c r="BI17" s="20">
        <f t="shared" si="2"/>
        <v>2.3606024184182339E-2</v>
      </c>
      <c r="BJ17" s="20">
        <f t="shared" si="2"/>
        <v>1.3973680724988724E-2</v>
      </c>
      <c r="BK17" s="20">
        <f t="shared" si="2"/>
        <v>8.1321271292835173E-3</v>
      </c>
      <c r="BL17" s="20">
        <f t="shared" si="2"/>
        <v>4.6553558739944878E-3</v>
      </c>
      <c r="BM17" s="20">
        <f t="shared" si="2"/>
        <v>2.6230428474079276E-3</v>
      </c>
      <c r="BN17" s="20">
        <f t="shared" si="2"/>
        <v>1.4554828041100226E-3</v>
      </c>
      <c r="BO17" s="20">
        <f t="shared" si="2"/>
        <v>7.9579163020889604E-4</v>
      </c>
      <c r="BP17" s="20">
        <f t="shared" ref="BP17:CO17" si="3">$B$2*_xlfn.NORM.S.DIST(BP18,TRUE)-BP16*EXP(-$B$5*$B$4)*_xlfn.NORM.S.DIST(BP19,TRUE)</f>
        <v>4.2896199124650355E-4</v>
      </c>
      <c r="BQ17" s="20">
        <f t="shared" si="3"/>
        <v>2.2808489641820348E-4</v>
      </c>
      <c r="BR17" s="20">
        <f t="shared" si="3"/>
        <v>1.1968996045725287E-4</v>
      </c>
      <c r="BS17" s="20">
        <f t="shared" si="3"/>
        <v>6.2018519509208711E-5</v>
      </c>
      <c r="BT17" s="20">
        <f t="shared" si="3"/>
        <v>3.1746811345131952E-5</v>
      </c>
      <c r="BU17" s="20">
        <f t="shared" si="3"/>
        <v>1.6062010294699402E-5</v>
      </c>
      <c r="BV17" s="20">
        <f t="shared" si="3"/>
        <v>8.0356348968300831E-6</v>
      </c>
      <c r="BW17" s="20">
        <f t="shared" si="3"/>
        <v>3.976984079684864E-6</v>
      </c>
      <c r="BX17" s="20">
        <f t="shared" si="3"/>
        <v>1.9479921058707231E-6</v>
      </c>
      <c r="BY17" s="20">
        <f t="shared" si="3"/>
        <v>9.4471345425758984E-7</v>
      </c>
      <c r="BZ17" s="20">
        <f t="shared" si="3"/>
        <v>4.5380171925474578E-7</v>
      </c>
      <c r="CA17" s="20">
        <f t="shared" si="3"/>
        <v>2.159994659137641E-7</v>
      </c>
      <c r="CB17" s="20">
        <f t="shared" si="3"/>
        <v>1.0191100041984873E-7</v>
      </c>
      <c r="CC17" s="20">
        <f t="shared" si="3"/>
        <v>4.7678960184324004E-8</v>
      </c>
      <c r="CD17" s="20">
        <f t="shared" si="3"/>
        <v>2.2126849887927968E-8</v>
      </c>
      <c r="CE17" s="20">
        <f t="shared" si="3"/>
        <v>1.0189286412861346E-8</v>
      </c>
      <c r="CF17" s="20">
        <f t="shared" si="3"/>
        <v>4.6573431986361481E-9</v>
      </c>
      <c r="CG17" s="20">
        <f t="shared" si="3"/>
        <v>2.1136680067791504E-9</v>
      </c>
      <c r="CH17" s="20">
        <f t="shared" si="3"/>
        <v>9.5272630401003175E-10</v>
      </c>
      <c r="CI17" s="20">
        <f t="shared" si="3"/>
        <v>4.2663490113305103E-10</v>
      </c>
      <c r="CJ17" s="20">
        <f t="shared" si="3"/>
        <v>1.8985446487204349E-10</v>
      </c>
      <c r="CK17" s="20">
        <f t="shared" si="3"/>
        <v>8.3980097808208348E-11</v>
      </c>
      <c r="CL17" s="20">
        <f t="shared" si="3"/>
        <v>3.6934625083285943E-11</v>
      </c>
      <c r="CM17" s="20">
        <f t="shared" si="3"/>
        <v>1.6154714292825515E-11</v>
      </c>
      <c r="CN17" s="20">
        <f t="shared" si="3"/>
        <v>7.0287109436241383E-12</v>
      </c>
      <c r="CO17" s="20">
        <f t="shared" si="3"/>
        <v>3.0427175357114339E-12</v>
      </c>
    </row>
    <row r="18" spans="2:93">
      <c r="B18" t="s">
        <v>5</v>
      </c>
      <c r="C18" s="20">
        <f>(LN($B$2/C16)+($B$5+0.5*$B$6^2)*$B$4)/($B$6*SQRT($B$4))</f>
        <v>20.053791130965902</v>
      </c>
      <c r="D18" s="20">
        <f t="shared" ref="D18:BO18" si="4">(LN($B$2/D16)+($B$5+0.5*$B$6^2)*$B$4)/($B$6*SQRT($B$4))</f>
        <v>18.93806793987503</v>
      </c>
      <c r="E18" s="20">
        <f t="shared" si="4"/>
        <v>17.919492469810965</v>
      </c>
      <c r="F18" s="20">
        <f t="shared" si="4"/>
        <v>16.982493867852398</v>
      </c>
      <c r="G18" s="20">
        <f t="shared" si="4"/>
        <v>16.114968663867081</v>
      </c>
      <c r="H18" s="20">
        <f t="shared" si="4"/>
        <v>15.307322021126714</v>
      </c>
      <c r="I18" s="20">
        <f t="shared" si="4"/>
        <v>14.55181904232917</v>
      </c>
      <c r="J18" s="20">
        <f t="shared" si="4"/>
        <v>13.842133081704839</v>
      </c>
      <c r="K18" s="20">
        <f t="shared" si="4"/>
        <v>13.173023359971772</v>
      </c>
      <c r="L18" s="20">
        <f t="shared" si="4"/>
        <v>12.540099859324355</v>
      </c>
      <c r="M18" s="20">
        <f t="shared" si="4"/>
        <v>11.939648593644918</v>
      </c>
      <c r="N18" s="20">
        <f t="shared" si="4"/>
        <v>11.368499554027892</v>
      </c>
      <c r="O18" s="20">
        <f t="shared" si="4"/>
        <v>10.823925402554046</v>
      </c>
      <c r="P18" s="20">
        <f t="shared" si="4"/>
        <v>10.303562703763982</v>
      </c>
      <c r="Q18" s="20">
        <f t="shared" si="4"/>
        <v>9.8053499324899818</v>
      </c>
      <c r="R18" s="20">
        <f t="shared" si="4"/>
        <v>9.327478144960665</v>
      </c>
      <c r="S18" s="20">
        <f t="shared" si="4"/>
        <v>8.8683513305314143</v>
      </c>
      <c r="T18" s="20">
        <f t="shared" si="4"/>
        <v>8.4265542501325843</v>
      </c>
      <c r="U18" s="20">
        <f t="shared" si="4"/>
        <v>8.000826126546098</v>
      </c>
      <c r="V18" s="20">
        <f t="shared" si="4"/>
        <v>7.5900389535515487</v>
      </c>
      <c r="W18" s="20">
        <f t="shared" si="4"/>
        <v>7.1931794838057277</v>
      </c>
      <c r="X18" s="20">
        <f t="shared" si="4"/>
        <v>6.8093341712642887</v>
      </c>
      <c r="Y18" s="20">
        <f t="shared" si="4"/>
        <v>6.437676505008187</v>
      </c>
      <c r="Z18" s="20">
        <f t="shared" si="4"/>
        <v>6.0774562927148539</v>
      </c>
      <c r="AA18" s="20">
        <f t="shared" si="4"/>
        <v>5.7279905443838564</v>
      </c>
      <c r="AB18" s="20">
        <f t="shared" si="4"/>
        <v>5.388655677861844</v>
      </c>
      <c r="AC18" s="20">
        <f t="shared" si="4"/>
        <v>5.0588808226507904</v>
      </c>
      <c r="AD18" s="20">
        <f t="shared" si="4"/>
        <v>4.7381420413732807</v>
      </c>
      <c r="AE18" s="20">
        <f t="shared" si="4"/>
        <v>4.4259573220033692</v>
      </c>
      <c r="AF18" s="20">
        <f t="shared" si="4"/>
        <v>4.1218822206922248</v>
      </c>
      <c r="AG18" s="20">
        <f t="shared" si="4"/>
        <v>3.8255060563239334</v>
      </c>
      <c r="AH18" s="20">
        <f t="shared" si="4"/>
        <v>3.5364485750322046</v>
      </c>
      <c r="AI18" s="20">
        <f t="shared" si="4"/>
        <v>3.2543570167069071</v>
      </c>
      <c r="AJ18" s="20">
        <f t="shared" si="4"/>
        <v>2.9789035267191997</v>
      </c>
      <c r="AK18" s="20">
        <f t="shared" si="4"/>
        <v>2.7097828652330618</v>
      </c>
      <c r="AL18" s="20">
        <f t="shared" si="4"/>
        <v>2.4467103739665381</v>
      </c>
      <c r="AM18" s="20">
        <f t="shared" si="4"/>
        <v>2.1894201664429978</v>
      </c>
      <c r="AN18" s="20">
        <f t="shared" si="4"/>
        <v>1.9376635128866706</v>
      </c>
      <c r="AO18" s="20">
        <f t="shared" si="4"/>
        <v>1.691207395168997</v>
      </c>
      <c r="AP18" s="20">
        <f t="shared" si="4"/>
        <v>1.4498332107630245</v>
      </c>
      <c r="AQ18" s="20">
        <f t="shared" si="4"/>
        <v>1.2133356076396808</v>
      </c>
      <c r="AR18" s="20">
        <f t="shared" si="4"/>
        <v>0.98152143454466434</v>
      </c>
      <c r="AS18" s="20">
        <f t="shared" si="4"/>
        <v>0.75420879321043033</v>
      </c>
      <c r="AT18" s="20">
        <f t="shared" si="4"/>
        <v>0.53122618085090556</v>
      </c>
      <c r="AU18" s="20">
        <f t="shared" si="4"/>
        <v>0.31241171281159996</v>
      </c>
      <c r="AV18" s="20">
        <f t="shared" si="4"/>
        <v>9.7612416548807354E-2</v>
      </c>
      <c r="AW18" s="20">
        <f t="shared" si="4"/>
        <v>-0.11331641077488597</v>
      </c>
      <c r="AX18" s="20">
        <f t="shared" si="4"/>
        <v>-0.32051178783582146</v>
      </c>
      <c r="AY18" s="20">
        <f t="shared" si="4"/>
        <v>-0.524103583769435</v>
      </c>
      <c r="AZ18" s="20">
        <f t="shared" si="4"/>
        <v>-0.72421500708943531</v>
      </c>
      <c r="BA18" s="20">
        <f t="shared" si="4"/>
        <v>-0.92096305351525609</v>
      </c>
      <c r="BB18" s="20">
        <f t="shared" si="4"/>
        <v>-1.1144589167837087</v>
      </c>
      <c r="BC18" s="20">
        <f t="shared" si="4"/>
        <v>-1.3048083660566951</v>
      </c>
      <c r="BD18" s="20">
        <f t="shared" si="4"/>
        <v>-1.4921120931322838</v>
      </c>
      <c r="BE18" s="20">
        <f t="shared" si="4"/>
        <v>-1.6764660323127973</v>
      </c>
      <c r="BF18" s="20">
        <f t="shared" si="4"/>
        <v>-1.8579616554738223</v>
      </c>
      <c r="BG18" s="20">
        <f t="shared" si="4"/>
        <v>-2.0366862446061296</v>
      </c>
      <c r="BH18" s="20">
        <f t="shared" si="4"/>
        <v>-2.2127231438633159</v>
      </c>
      <c r="BI18" s="20">
        <f t="shared" si="4"/>
        <v>-2.386151992937128</v>
      </c>
      <c r="BJ18" s="20">
        <f t="shared" si="4"/>
        <v>-2.5570489433961918</v>
      </c>
      <c r="BK18" s="20">
        <f t="shared" si="4"/>
        <v>-2.725486859459139</v>
      </c>
      <c r="BL18" s="20">
        <f t="shared" si="4"/>
        <v>-2.8915355045270279</v>
      </c>
      <c r="BM18" s="20">
        <f t="shared" si="4"/>
        <v>-3.0552617146701948</v>
      </c>
      <c r="BN18" s="20">
        <f t="shared" si="4"/>
        <v>-3.2167295601493371</v>
      </c>
      <c r="BO18" s="20">
        <f t="shared" si="4"/>
        <v>-3.3760004959477046</v>
      </c>
      <c r="BP18" s="20">
        <f t="shared" ref="BP18:CO18" si="5">(LN($B$2/BP16)+($B$5+0.5*$B$6^2)*$B$4)/($B$6*SQRT($B$4))</f>
        <v>-3.5331335021995103</v>
      </c>
      <c r="BQ18" s="20">
        <f t="shared" si="5"/>
        <v>-3.6881852153176138</v>
      </c>
      <c r="BR18" s="20">
        <f t="shared" si="5"/>
        <v>-3.8412100505500124</v>
      </c>
      <c r="BS18" s="20">
        <f t="shared" si="5"/>
        <v>-3.9922603166287591</v>
      </c>
      <c r="BT18" s="20">
        <f t="shared" si="5"/>
        <v>-4.1413863231158219</v>
      </c>
      <c r="BU18" s="20">
        <f t="shared" si="5"/>
        <v>-4.2886364809970505</v>
      </c>
      <c r="BV18" s="20">
        <f t="shared" si="5"/>
        <v>-4.4340573970275914</v>
      </c>
      <c r="BW18" s="20">
        <f t="shared" si="5"/>
        <v>-4.5776939622887793</v>
      </c>
      <c r="BX18" s="20">
        <f t="shared" si="5"/>
        <v>-4.7195894353775509</v>
      </c>
      <c r="BY18" s="20">
        <f t="shared" si="5"/>
        <v>-4.8597855206140759</v>
      </c>
      <c r="BZ18" s="20">
        <f t="shared" si="5"/>
        <v>-4.9983224416213812</v>
      </c>
      <c r="CA18" s="20">
        <f t="shared" si="5"/>
        <v>-5.1352390106017838</v>
      </c>
      <c r="CB18" s="20">
        <f t="shared" si="5"/>
        <v>-5.2705726936086252</v>
      </c>
      <c r="CC18" s="20">
        <f t="shared" si="5"/>
        <v>-5.4043596720879226</v>
      </c>
      <c r="CD18" s="20">
        <f t="shared" si="5"/>
        <v>-5.5366349009429001</v>
      </c>
      <c r="CE18" s="20">
        <f t="shared" si="5"/>
        <v>-5.6674321633544453</v>
      </c>
      <c r="CF18" s="20">
        <f t="shared" si="5"/>
        <v>-5.7967841225726415</v>
      </c>
      <c r="CG18" s="20">
        <f t="shared" si="5"/>
        <v>-5.9247223708779853</v>
      </c>
      <c r="CH18" s="20">
        <f t="shared" si="5"/>
        <v>-6.0512774758958852</v>
      </c>
      <c r="CI18" s="20">
        <f t="shared" si="5"/>
        <v>-6.1764790244343128</v>
      </c>
      <c r="CJ18" s="20">
        <f t="shared" si="5"/>
        <v>-6.3003556640018674</v>
      </c>
      <c r="CK18" s="20">
        <f t="shared" si="5"/>
        <v>-6.4229351421519869</v>
      </c>
      <c r="CL18" s="20">
        <f t="shared" si="5"/>
        <v>-6.5442443437885016</v>
      </c>
      <c r="CM18" s="20">
        <f t="shared" si="5"/>
        <v>-6.6643093265579587</v>
      </c>
      <c r="CN18" s="20">
        <f t="shared" si="5"/>
        <v>-6.7831553544453191</v>
      </c>
      <c r="CO18" s="20">
        <f t="shared" si="5"/>
        <v>-6.9008069296813028</v>
      </c>
    </row>
    <row r="19" spans="2:93">
      <c r="B19" t="s">
        <v>6</v>
      </c>
      <c r="C19" s="20">
        <f>C18-$B$6*SQRT($B$4)</f>
        <v>19.968366555618374</v>
      </c>
      <c r="D19" s="20">
        <f t="shared" ref="D19:BO19" si="6">D18-$B$6*SQRT($B$4)</f>
        <v>18.852643364527502</v>
      </c>
      <c r="E19" s="20">
        <f t="shared" si="6"/>
        <v>17.834067894463438</v>
      </c>
      <c r="F19" s="20">
        <f t="shared" si="6"/>
        <v>16.89706929250487</v>
      </c>
      <c r="G19" s="20">
        <f t="shared" si="6"/>
        <v>16.029544088519554</v>
      </c>
      <c r="H19" s="20">
        <f t="shared" si="6"/>
        <v>15.221897445779188</v>
      </c>
      <c r="I19" s="20">
        <f t="shared" si="6"/>
        <v>14.466394466981644</v>
      </c>
      <c r="J19" s="20">
        <f t="shared" si="6"/>
        <v>13.756708506357313</v>
      </c>
      <c r="K19" s="20">
        <f t="shared" si="6"/>
        <v>13.087598784624246</v>
      </c>
      <c r="L19" s="20">
        <f t="shared" si="6"/>
        <v>12.45467528397683</v>
      </c>
      <c r="M19" s="20">
        <f t="shared" si="6"/>
        <v>11.854224018297392</v>
      </c>
      <c r="N19" s="20">
        <f t="shared" si="6"/>
        <v>11.283074978680366</v>
      </c>
      <c r="O19" s="20">
        <f t="shared" si="6"/>
        <v>10.73850082720652</v>
      </c>
      <c r="P19" s="20">
        <f t="shared" si="6"/>
        <v>10.218138128416456</v>
      </c>
      <c r="Q19" s="20">
        <f t="shared" si="6"/>
        <v>9.719925357142456</v>
      </c>
      <c r="R19" s="20">
        <f t="shared" si="6"/>
        <v>9.2420535696131392</v>
      </c>
      <c r="S19" s="20">
        <f t="shared" si="6"/>
        <v>8.7829267551838885</v>
      </c>
      <c r="T19" s="20">
        <f t="shared" si="6"/>
        <v>8.3411296747850585</v>
      </c>
      <c r="U19" s="20">
        <f t="shared" si="6"/>
        <v>7.9154015511985714</v>
      </c>
      <c r="V19" s="20">
        <f t="shared" si="6"/>
        <v>7.504614378204022</v>
      </c>
      <c r="W19" s="20">
        <f t="shared" si="6"/>
        <v>7.107754908458201</v>
      </c>
      <c r="X19" s="20">
        <f t="shared" si="6"/>
        <v>6.7239095959167621</v>
      </c>
      <c r="Y19" s="20">
        <f t="shared" si="6"/>
        <v>6.3522519296606603</v>
      </c>
      <c r="Z19" s="20">
        <f t="shared" si="6"/>
        <v>5.9920317173673272</v>
      </c>
      <c r="AA19" s="20">
        <f t="shared" si="6"/>
        <v>5.6425659690363297</v>
      </c>
      <c r="AB19" s="20">
        <f t="shared" si="6"/>
        <v>5.3032311025143173</v>
      </c>
      <c r="AC19" s="20">
        <f t="shared" si="6"/>
        <v>4.9734562473032637</v>
      </c>
      <c r="AD19" s="20">
        <f t="shared" si="6"/>
        <v>4.652717466025754</v>
      </c>
      <c r="AE19" s="20">
        <f t="shared" si="6"/>
        <v>4.3405327466558425</v>
      </c>
      <c r="AF19" s="20">
        <f t="shared" si="6"/>
        <v>4.0364576453446981</v>
      </c>
      <c r="AG19" s="20">
        <f t="shared" si="6"/>
        <v>3.7400814809764071</v>
      </c>
      <c r="AH19" s="20">
        <f t="shared" si="6"/>
        <v>3.4510239996846783</v>
      </c>
      <c r="AI19" s="20">
        <f t="shared" si="6"/>
        <v>3.1689324413593809</v>
      </c>
      <c r="AJ19" s="20">
        <f t="shared" si="6"/>
        <v>2.8934789513716734</v>
      </c>
      <c r="AK19" s="20">
        <f t="shared" si="6"/>
        <v>2.6243582898855355</v>
      </c>
      <c r="AL19" s="20">
        <f t="shared" si="6"/>
        <v>2.3612857986190119</v>
      </c>
      <c r="AM19" s="20">
        <f t="shared" si="6"/>
        <v>2.1039955910954715</v>
      </c>
      <c r="AN19" s="20">
        <f t="shared" si="6"/>
        <v>1.8522389375391441</v>
      </c>
      <c r="AO19" s="20">
        <f t="shared" si="6"/>
        <v>1.6057828198214705</v>
      </c>
      <c r="AP19" s="20">
        <f t="shared" si="6"/>
        <v>1.3644086354154981</v>
      </c>
      <c r="AQ19" s="20">
        <f t="shared" si="6"/>
        <v>1.1279110322921544</v>
      </c>
      <c r="AR19" s="20">
        <f t="shared" si="6"/>
        <v>0.896096859197138</v>
      </c>
      <c r="AS19" s="20">
        <f t="shared" si="6"/>
        <v>0.66878421786290398</v>
      </c>
      <c r="AT19" s="20">
        <f t="shared" si="6"/>
        <v>0.44580160550337916</v>
      </c>
      <c r="AU19" s="20">
        <f t="shared" si="6"/>
        <v>0.22698713746407356</v>
      </c>
      <c r="AV19" s="20">
        <f t="shared" si="6"/>
        <v>1.2187841201280969E-2</v>
      </c>
      <c r="AW19" s="20">
        <f t="shared" si="6"/>
        <v>-0.19874098612241237</v>
      </c>
      <c r="AX19" s="20">
        <f t="shared" si="6"/>
        <v>-0.40593636318334786</v>
      </c>
      <c r="AY19" s="20">
        <f t="shared" si="6"/>
        <v>-0.60952815911696134</v>
      </c>
      <c r="AZ19" s="20">
        <f t="shared" si="6"/>
        <v>-0.80963958243696166</v>
      </c>
      <c r="BA19" s="20">
        <f t="shared" si="6"/>
        <v>-1.0063876288627824</v>
      </c>
      <c r="BB19" s="20">
        <f t="shared" si="6"/>
        <v>-1.1998834921312351</v>
      </c>
      <c r="BC19" s="20">
        <f t="shared" si="6"/>
        <v>-1.3902329414042216</v>
      </c>
      <c r="BD19" s="20">
        <f t="shared" si="6"/>
        <v>-1.5775366684798102</v>
      </c>
      <c r="BE19" s="20">
        <f t="shared" si="6"/>
        <v>-1.7618906076603238</v>
      </c>
      <c r="BF19" s="20">
        <f t="shared" si="6"/>
        <v>-1.9433862308213488</v>
      </c>
      <c r="BG19" s="20">
        <f t="shared" si="6"/>
        <v>-2.1221108199536558</v>
      </c>
      <c r="BH19" s="20">
        <f t="shared" si="6"/>
        <v>-2.2981477192108422</v>
      </c>
      <c r="BI19" s="20">
        <f t="shared" si="6"/>
        <v>-2.4715765682846542</v>
      </c>
      <c r="BJ19" s="20">
        <f t="shared" si="6"/>
        <v>-2.6424735187437181</v>
      </c>
      <c r="BK19" s="20">
        <f t="shared" si="6"/>
        <v>-2.8109114348066653</v>
      </c>
      <c r="BL19" s="20">
        <f t="shared" si="6"/>
        <v>-2.9769600798745541</v>
      </c>
      <c r="BM19" s="20">
        <f t="shared" si="6"/>
        <v>-3.140686290017721</v>
      </c>
      <c r="BN19" s="20">
        <f t="shared" si="6"/>
        <v>-3.3021541354968633</v>
      </c>
      <c r="BO19" s="20">
        <f t="shared" si="6"/>
        <v>-3.4614250712952308</v>
      </c>
      <c r="BP19" s="20">
        <f t="shared" ref="BP19:CO19" si="7">BP18-$B$6*SQRT($B$4)</f>
        <v>-3.6185580775470365</v>
      </c>
      <c r="BQ19" s="20">
        <f t="shared" si="7"/>
        <v>-3.77360979066514</v>
      </c>
      <c r="BR19" s="20">
        <f t="shared" si="7"/>
        <v>-3.9266346258975386</v>
      </c>
      <c r="BS19" s="20">
        <f t="shared" si="7"/>
        <v>-4.0776848919762854</v>
      </c>
      <c r="BT19" s="20">
        <f t="shared" si="7"/>
        <v>-4.2268108984633486</v>
      </c>
      <c r="BU19" s="20">
        <f t="shared" si="7"/>
        <v>-4.3740610563445772</v>
      </c>
      <c r="BV19" s="20">
        <f t="shared" si="7"/>
        <v>-4.5194819723751181</v>
      </c>
      <c r="BW19" s="20">
        <f t="shared" si="7"/>
        <v>-4.663118537636306</v>
      </c>
      <c r="BX19" s="20">
        <f t="shared" si="7"/>
        <v>-4.8050140107250776</v>
      </c>
      <c r="BY19" s="20">
        <f t="shared" si="7"/>
        <v>-4.9452100959616025</v>
      </c>
      <c r="BZ19" s="20">
        <f t="shared" si="7"/>
        <v>-5.0837470169689079</v>
      </c>
      <c r="CA19" s="20">
        <f t="shared" si="7"/>
        <v>-5.2206635859493105</v>
      </c>
      <c r="CB19" s="20">
        <f t="shared" si="7"/>
        <v>-5.3559972689561519</v>
      </c>
      <c r="CC19" s="20">
        <f t="shared" si="7"/>
        <v>-5.4897842474354492</v>
      </c>
      <c r="CD19" s="20">
        <f t="shared" si="7"/>
        <v>-5.6220594762904268</v>
      </c>
      <c r="CE19" s="20">
        <f t="shared" si="7"/>
        <v>-5.752856738701972</v>
      </c>
      <c r="CF19" s="20">
        <f t="shared" si="7"/>
        <v>-5.8822086979201682</v>
      </c>
      <c r="CG19" s="20">
        <f t="shared" si="7"/>
        <v>-6.0101469462255119</v>
      </c>
      <c r="CH19" s="20">
        <f t="shared" si="7"/>
        <v>-6.1367020512434118</v>
      </c>
      <c r="CI19" s="20">
        <f t="shared" si="7"/>
        <v>-6.2619035997818395</v>
      </c>
      <c r="CJ19" s="20">
        <f t="shared" si="7"/>
        <v>-6.3857802393493941</v>
      </c>
      <c r="CK19" s="20">
        <f t="shared" si="7"/>
        <v>-6.5083597174995136</v>
      </c>
      <c r="CL19" s="20">
        <f t="shared" si="7"/>
        <v>-6.6296689191360283</v>
      </c>
      <c r="CM19" s="20">
        <f t="shared" si="7"/>
        <v>-6.7497339019054854</v>
      </c>
      <c r="CN19" s="20">
        <f t="shared" si="7"/>
        <v>-6.8685799297928458</v>
      </c>
      <c r="CO19" s="20">
        <f t="shared" si="7"/>
        <v>-6.9862315050288295</v>
      </c>
    </row>
    <row r="20" spans="2:93">
      <c r="B20" t="s">
        <v>77</v>
      </c>
      <c r="C20" s="20">
        <v>82</v>
      </c>
      <c r="D20" s="20">
        <f>MAX(+C20-1.7,0)</f>
        <v>80.3</v>
      </c>
      <c r="E20" s="20">
        <f t="shared" ref="E20:BP20" si="8">MAX(+D20-1.7,0)</f>
        <v>78.599999999999994</v>
      </c>
      <c r="F20" s="20">
        <f t="shared" si="8"/>
        <v>76.899999999999991</v>
      </c>
      <c r="G20" s="20">
        <f t="shared" si="8"/>
        <v>75.199999999999989</v>
      </c>
      <c r="H20" s="20">
        <f t="shared" si="8"/>
        <v>73.499999999999986</v>
      </c>
      <c r="I20" s="20">
        <f t="shared" si="8"/>
        <v>71.799999999999983</v>
      </c>
      <c r="J20" s="20">
        <f t="shared" si="8"/>
        <v>70.09999999999998</v>
      </c>
      <c r="K20" s="20">
        <f t="shared" si="8"/>
        <v>68.399999999999977</v>
      </c>
      <c r="L20" s="20">
        <f t="shared" si="8"/>
        <v>66.699999999999974</v>
      </c>
      <c r="M20" s="20">
        <f t="shared" si="8"/>
        <v>64.999999999999972</v>
      </c>
      <c r="N20" s="20">
        <f t="shared" si="8"/>
        <v>63.299999999999969</v>
      </c>
      <c r="O20" s="20">
        <f t="shared" si="8"/>
        <v>61.599999999999966</v>
      </c>
      <c r="P20" s="20">
        <f t="shared" si="8"/>
        <v>59.899999999999963</v>
      </c>
      <c r="Q20" s="20">
        <f t="shared" si="8"/>
        <v>58.19999999999996</v>
      </c>
      <c r="R20" s="20">
        <f t="shared" si="8"/>
        <v>56.499999999999957</v>
      </c>
      <c r="S20" s="20">
        <f t="shared" si="8"/>
        <v>54.799999999999955</v>
      </c>
      <c r="T20" s="20">
        <f t="shared" si="8"/>
        <v>53.099999999999952</v>
      </c>
      <c r="U20" s="20">
        <f t="shared" si="8"/>
        <v>51.399999999999949</v>
      </c>
      <c r="V20" s="20">
        <f t="shared" si="8"/>
        <v>49.699999999999946</v>
      </c>
      <c r="W20" s="20">
        <f t="shared" si="8"/>
        <v>47.999999999999943</v>
      </c>
      <c r="X20" s="20">
        <f t="shared" si="8"/>
        <v>46.29999999999994</v>
      </c>
      <c r="Y20" s="20">
        <f t="shared" si="8"/>
        <v>44.599999999999937</v>
      </c>
      <c r="Z20" s="20">
        <f t="shared" si="8"/>
        <v>42.899999999999935</v>
      </c>
      <c r="AA20" s="20">
        <f t="shared" si="8"/>
        <v>41.199999999999932</v>
      </c>
      <c r="AB20" s="20">
        <f t="shared" si="8"/>
        <v>39.499999999999929</v>
      </c>
      <c r="AC20" s="20">
        <f t="shared" si="8"/>
        <v>37.799999999999926</v>
      </c>
      <c r="AD20" s="20">
        <f t="shared" si="8"/>
        <v>36.099999999999923</v>
      </c>
      <c r="AE20" s="20">
        <f t="shared" si="8"/>
        <v>34.39999999999992</v>
      </c>
      <c r="AF20" s="20">
        <f t="shared" si="8"/>
        <v>32.699999999999918</v>
      </c>
      <c r="AG20" s="20">
        <f t="shared" si="8"/>
        <v>30.999999999999918</v>
      </c>
      <c r="AH20" s="20">
        <f t="shared" si="8"/>
        <v>29.299999999999919</v>
      </c>
      <c r="AI20" s="20">
        <f t="shared" si="8"/>
        <v>27.59999999999992</v>
      </c>
      <c r="AJ20" s="20">
        <f t="shared" si="8"/>
        <v>25.89999999999992</v>
      </c>
      <c r="AK20" s="20">
        <f t="shared" si="8"/>
        <v>24.199999999999921</v>
      </c>
      <c r="AL20" s="20">
        <f t="shared" si="8"/>
        <v>22.499999999999922</v>
      </c>
      <c r="AM20" s="20">
        <f t="shared" si="8"/>
        <v>20.799999999999923</v>
      </c>
      <c r="AN20" s="20">
        <f t="shared" si="8"/>
        <v>19.099999999999923</v>
      </c>
      <c r="AO20" s="20">
        <f t="shared" si="8"/>
        <v>17.399999999999924</v>
      </c>
      <c r="AP20" s="20">
        <f t="shared" si="8"/>
        <v>15.699999999999925</v>
      </c>
      <c r="AQ20" s="20">
        <f t="shared" si="8"/>
        <v>13.999999999999925</v>
      </c>
      <c r="AR20" s="20">
        <f t="shared" si="8"/>
        <v>12.299999999999926</v>
      </c>
      <c r="AS20" s="20">
        <f t="shared" si="8"/>
        <v>10.599999999999927</v>
      </c>
      <c r="AT20" s="20">
        <f t="shared" si="8"/>
        <v>8.8999999999999275</v>
      </c>
      <c r="AU20" s="20">
        <f t="shared" si="8"/>
        <v>7.1999999999999273</v>
      </c>
      <c r="AV20" s="20">
        <f t="shared" si="8"/>
        <v>5.4999999999999272</v>
      </c>
      <c r="AW20" s="20">
        <f t="shared" si="8"/>
        <v>3.799999999999927</v>
      </c>
      <c r="AX20" s="20">
        <f t="shared" si="8"/>
        <v>2.0999999999999268</v>
      </c>
      <c r="AY20" s="20">
        <f t="shared" si="8"/>
        <v>0.39999999999992686</v>
      </c>
      <c r="AZ20" s="20">
        <f t="shared" si="8"/>
        <v>0</v>
      </c>
      <c r="BA20" s="20">
        <f t="shared" si="8"/>
        <v>0</v>
      </c>
      <c r="BB20" s="20">
        <f t="shared" si="8"/>
        <v>0</v>
      </c>
      <c r="BC20" s="20">
        <f t="shared" si="8"/>
        <v>0</v>
      </c>
      <c r="BD20" s="20">
        <f t="shared" si="8"/>
        <v>0</v>
      </c>
      <c r="BE20" s="20">
        <f t="shared" si="8"/>
        <v>0</v>
      </c>
      <c r="BF20" s="20">
        <f t="shared" si="8"/>
        <v>0</v>
      </c>
      <c r="BG20" s="20">
        <f t="shared" si="8"/>
        <v>0</v>
      </c>
      <c r="BH20" s="20">
        <f t="shared" si="8"/>
        <v>0</v>
      </c>
      <c r="BI20" s="20">
        <f t="shared" si="8"/>
        <v>0</v>
      </c>
      <c r="BJ20" s="20">
        <f t="shared" si="8"/>
        <v>0</v>
      </c>
      <c r="BK20" s="20">
        <f t="shared" si="8"/>
        <v>0</v>
      </c>
      <c r="BL20" s="20">
        <f t="shared" si="8"/>
        <v>0</v>
      </c>
      <c r="BM20" s="20">
        <f t="shared" si="8"/>
        <v>0</v>
      </c>
      <c r="BN20" s="20">
        <f t="shared" si="8"/>
        <v>0</v>
      </c>
      <c r="BO20" s="20">
        <f t="shared" si="8"/>
        <v>0</v>
      </c>
      <c r="BP20" s="20">
        <f t="shared" si="8"/>
        <v>0</v>
      </c>
      <c r="BQ20" s="20">
        <f t="shared" ref="BQ20:CO20" si="9">MAX(+BP20-1.7,0)</f>
        <v>0</v>
      </c>
      <c r="BR20" s="20">
        <f t="shared" si="9"/>
        <v>0</v>
      </c>
      <c r="BS20" s="20">
        <f t="shared" si="9"/>
        <v>0</v>
      </c>
      <c r="BT20" s="20">
        <f t="shared" si="9"/>
        <v>0</v>
      </c>
      <c r="BU20" s="20">
        <f t="shared" si="9"/>
        <v>0</v>
      </c>
      <c r="BV20" s="20">
        <f t="shared" si="9"/>
        <v>0</v>
      </c>
      <c r="BW20" s="20">
        <f t="shared" si="9"/>
        <v>0</v>
      </c>
      <c r="BX20" s="20">
        <f t="shared" si="9"/>
        <v>0</v>
      </c>
      <c r="BY20" s="20">
        <f t="shared" si="9"/>
        <v>0</v>
      </c>
      <c r="BZ20" s="20">
        <f t="shared" si="9"/>
        <v>0</v>
      </c>
      <c r="CA20" s="20">
        <f t="shared" si="9"/>
        <v>0</v>
      </c>
      <c r="CB20" s="20">
        <f t="shared" si="9"/>
        <v>0</v>
      </c>
      <c r="CC20" s="20">
        <f t="shared" si="9"/>
        <v>0</v>
      </c>
      <c r="CD20" s="20">
        <f t="shared" si="9"/>
        <v>0</v>
      </c>
      <c r="CE20" s="20">
        <f t="shared" si="9"/>
        <v>0</v>
      </c>
      <c r="CF20" s="20">
        <f t="shared" si="9"/>
        <v>0</v>
      </c>
      <c r="CG20" s="20">
        <f t="shared" si="9"/>
        <v>0</v>
      </c>
      <c r="CH20" s="20">
        <f t="shared" si="9"/>
        <v>0</v>
      </c>
      <c r="CI20" s="20">
        <f t="shared" si="9"/>
        <v>0</v>
      </c>
      <c r="CJ20" s="20">
        <f t="shared" si="9"/>
        <v>0</v>
      </c>
      <c r="CK20" s="20">
        <f t="shared" si="9"/>
        <v>0</v>
      </c>
      <c r="CL20" s="20">
        <f t="shared" si="9"/>
        <v>0</v>
      </c>
      <c r="CM20" s="20">
        <f t="shared" si="9"/>
        <v>0</v>
      </c>
      <c r="CN20" s="20">
        <f t="shared" si="9"/>
        <v>0</v>
      </c>
      <c r="CO20" s="20">
        <f t="shared" si="9"/>
        <v>0</v>
      </c>
    </row>
    <row r="21" spans="2:93">
      <c r="B21" t="s">
        <v>78</v>
      </c>
      <c r="C21" s="20">
        <f>+C17-C20</f>
        <v>-9.6748360719189463E-2</v>
      </c>
      <c r="D21" s="20">
        <f t="shared" ref="D21:BO21" si="10">+D17-D20</f>
        <v>-0.20642319679110699</v>
      </c>
      <c r="E21" s="20">
        <f t="shared" si="10"/>
        <v>-0.31609803286302451</v>
      </c>
      <c r="F21" s="20">
        <f t="shared" si="10"/>
        <v>-0.42577286893494204</v>
      </c>
      <c r="G21" s="20">
        <f t="shared" si="10"/>
        <v>-0.53544770500685956</v>
      </c>
      <c r="H21" s="20">
        <f t="shared" si="10"/>
        <v>-0.64512254107877709</v>
      </c>
      <c r="I21" s="20">
        <f t="shared" si="10"/>
        <v>-0.7547973771506804</v>
      </c>
      <c r="J21" s="20">
        <f t="shared" si="10"/>
        <v>-0.86447221322261214</v>
      </c>
      <c r="K21" s="20">
        <f t="shared" si="10"/>
        <v>-0.97414704929451545</v>
      </c>
      <c r="L21" s="20">
        <f t="shared" si="10"/>
        <v>-1.083821885366433</v>
      </c>
      <c r="M21" s="20">
        <f t="shared" si="10"/>
        <v>-1.1934967214383505</v>
      </c>
      <c r="N21" s="20">
        <f t="shared" si="10"/>
        <v>-1.303171557510268</v>
      </c>
      <c r="O21" s="20">
        <f t="shared" si="10"/>
        <v>-1.4128463935821856</v>
      </c>
      <c r="P21" s="20">
        <f t="shared" si="10"/>
        <v>-1.5225212296541031</v>
      </c>
      <c r="Q21" s="20">
        <f t="shared" si="10"/>
        <v>-1.6321960657260206</v>
      </c>
      <c r="R21" s="20">
        <f t="shared" si="10"/>
        <v>-1.741870901797931</v>
      </c>
      <c r="S21" s="20">
        <f t="shared" si="10"/>
        <v>-1.8515457378698486</v>
      </c>
      <c r="T21" s="20">
        <f t="shared" si="10"/>
        <v>-1.9612205739417661</v>
      </c>
      <c r="U21" s="20">
        <f t="shared" si="10"/>
        <v>-2.0708954100136907</v>
      </c>
      <c r="V21" s="20">
        <f t="shared" si="10"/>
        <v>-2.1805702460855798</v>
      </c>
      <c r="W21" s="20">
        <f t="shared" si="10"/>
        <v>-2.2902450821571421</v>
      </c>
      <c r="X21" s="20">
        <f t="shared" si="10"/>
        <v>-2.3999199182234392</v>
      </c>
      <c r="Y21" s="20">
        <f t="shared" si="10"/>
        <v>-2.5095947542233787</v>
      </c>
      <c r="Z21" s="20">
        <f t="shared" si="10"/>
        <v>-2.6192695895454818</v>
      </c>
      <c r="AA21" s="20">
        <f t="shared" si="10"/>
        <v>-2.7289444191708583</v>
      </c>
      <c r="AB21" s="20">
        <f t="shared" si="10"/>
        <v>-2.838619208809142</v>
      </c>
      <c r="AC21" s="20">
        <f t="shared" si="10"/>
        <v>-2.948293760911497</v>
      </c>
      <c r="AD21" s="20">
        <f t="shared" si="10"/>
        <v>-3.0579671045101975</v>
      </c>
      <c r="AE21" s="20">
        <f t="shared" si="10"/>
        <v>-3.1676351245910865</v>
      </c>
      <c r="AF21" s="20">
        <f t="shared" si="10"/>
        <v>-3.2772826384657208</v>
      </c>
      <c r="AG21" s="20">
        <f t="shared" si="10"/>
        <v>-3.3868604513737814</v>
      </c>
      <c r="AH21" s="20">
        <f t="shared" si="10"/>
        <v>-3.4962274707045609</v>
      </c>
      <c r="AI21" s="20">
        <f t="shared" si="10"/>
        <v>-3.6050229570711245</v>
      </c>
      <c r="AJ21" s="20">
        <f t="shared" si="10"/>
        <v>-3.7124194258398973</v>
      </c>
      <c r="AK21" s="20">
        <f t="shared" si="10"/>
        <v>-3.816704215871102</v>
      </c>
      <c r="AL21" s="20">
        <f t="shared" si="10"/>
        <v>-3.9146629909304167</v>
      </c>
      <c r="AM21" s="20">
        <f t="shared" si="10"/>
        <v>-4.0008020511497016</v>
      </c>
      <c r="AN21" s="20">
        <f t="shared" si="10"/>
        <v>-4.0665413954973673</v>
      </c>
      <c r="AO21" s="20">
        <f t="shared" si="10"/>
        <v>-4.0996055222053549</v>
      </c>
      <c r="AP21" s="20">
        <f t="shared" si="10"/>
        <v>-4.0838854178228061</v>
      </c>
      <c r="AQ21" s="20">
        <f t="shared" si="10"/>
        <v>-4.0000002520272879</v>
      </c>
      <c r="AR21" s="20">
        <f t="shared" si="10"/>
        <v>-3.8266409650940005</v>
      </c>
      <c r="AS21" s="20">
        <f t="shared" si="10"/>
        <v>-3.5425668817985816</v>
      </c>
      <c r="AT21" s="20">
        <f t="shared" si="10"/>
        <v>-3.1289232981239152</v>
      </c>
      <c r="AU21" s="20">
        <f t="shared" si="10"/>
        <v>-2.5714295175681441</v>
      </c>
      <c r="AV21" s="20">
        <f t="shared" si="10"/>
        <v>-1.8619987911053695</v>
      </c>
      <c r="AW21" s="20">
        <f t="shared" si="10"/>
        <v>-0.99948884770993462</v>
      </c>
      <c r="AX21" s="20">
        <f t="shared" si="10"/>
        <v>1.050677755148044E-2</v>
      </c>
      <c r="AY21" s="20">
        <f t="shared" si="10"/>
        <v>1.1567023947946289</v>
      </c>
      <c r="AZ21" s="20">
        <f t="shared" si="10"/>
        <v>1.1237205077102992</v>
      </c>
      <c r="BA21" s="20">
        <f t="shared" si="10"/>
        <v>0.79390869460300806</v>
      </c>
      <c r="BB21" s="20">
        <f t="shared" si="10"/>
        <v>0.5490604486631625</v>
      </c>
      <c r="BC21" s="20">
        <f t="shared" si="10"/>
        <v>0.37181624544489189</v>
      </c>
      <c r="BD21" s="20">
        <f t="shared" si="10"/>
        <v>0.24663334601854281</v>
      </c>
      <c r="BE21" s="20">
        <f t="shared" si="10"/>
        <v>0.1603154117769412</v>
      </c>
      <c r="BF21" s="20">
        <f t="shared" si="10"/>
        <v>0.10216578516995156</v>
      </c>
      <c r="BG21" s="20">
        <f t="shared" si="10"/>
        <v>6.3865381651395658E-2</v>
      </c>
      <c r="BH21" s="20">
        <f t="shared" si="10"/>
        <v>3.9182336009982999E-2</v>
      </c>
      <c r="BI21" s="20">
        <f t="shared" si="10"/>
        <v>2.3606024184182339E-2</v>
      </c>
      <c r="BJ21" s="20">
        <f t="shared" si="10"/>
        <v>1.3973680724988724E-2</v>
      </c>
      <c r="BK21" s="20">
        <f t="shared" si="10"/>
        <v>8.1321271292835173E-3</v>
      </c>
      <c r="BL21" s="20">
        <f t="shared" si="10"/>
        <v>4.6553558739944878E-3</v>
      </c>
      <c r="BM21" s="20">
        <f t="shared" si="10"/>
        <v>2.6230428474079276E-3</v>
      </c>
      <c r="BN21" s="20">
        <f t="shared" si="10"/>
        <v>1.4554828041100226E-3</v>
      </c>
      <c r="BO21" s="20">
        <f t="shared" si="10"/>
        <v>7.9579163020889604E-4</v>
      </c>
      <c r="BP21" s="20">
        <f t="shared" ref="BP21:CO21" si="11">+BP17-BP20</f>
        <v>4.2896199124650355E-4</v>
      </c>
      <c r="BQ21" s="20">
        <f t="shared" si="11"/>
        <v>2.2808489641820348E-4</v>
      </c>
      <c r="BR21" s="20">
        <f t="shared" si="11"/>
        <v>1.1968996045725287E-4</v>
      </c>
      <c r="BS21" s="20">
        <f t="shared" si="11"/>
        <v>6.2018519509208711E-5</v>
      </c>
      <c r="BT21" s="20">
        <f t="shared" si="11"/>
        <v>3.1746811345131952E-5</v>
      </c>
      <c r="BU21" s="20">
        <f t="shared" si="11"/>
        <v>1.6062010294699402E-5</v>
      </c>
      <c r="BV21" s="20">
        <f t="shared" si="11"/>
        <v>8.0356348968300831E-6</v>
      </c>
      <c r="BW21" s="20">
        <f t="shared" si="11"/>
        <v>3.976984079684864E-6</v>
      </c>
      <c r="BX21" s="20">
        <f t="shared" si="11"/>
        <v>1.9479921058707231E-6</v>
      </c>
      <c r="BY21" s="20">
        <f t="shared" si="11"/>
        <v>9.4471345425758984E-7</v>
      </c>
      <c r="BZ21" s="20">
        <f t="shared" si="11"/>
        <v>4.5380171925474578E-7</v>
      </c>
      <c r="CA21" s="20">
        <f t="shared" si="11"/>
        <v>2.159994659137641E-7</v>
      </c>
      <c r="CB21" s="20">
        <f t="shared" si="11"/>
        <v>1.0191100041984873E-7</v>
      </c>
      <c r="CC21" s="20">
        <f t="shared" si="11"/>
        <v>4.7678960184324004E-8</v>
      </c>
      <c r="CD21" s="20">
        <f t="shared" si="11"/>
        <v>2.2126849887927968E-8</v>
      </c>
      <c r="CE21" s="20">
        <f t="shared" si="11"/>
        <v>1.0189286412861346E-8</v>
      </c>
      <c r="CF21" s="20">
        <f t="shared" si="11"/>
        <v>4.6573431986361481E-9</v>
      </c>
      <c r="CG21" s="20">
        <f t="shared" si="11"/>
        <v>2.1136680067791504E-9</v>
      </c>
      <c r="CH21" s="20">
        <f t="shared" si="11"/>
        <v>9.5272630401003175E-10</v>
      </c>
      <c r="CI21" s="20">
        <f t="shared" si="11"/>
        <v>4.2663490113305103E-10</v>
      </c>
      <c r="CJ21" s="20">
        <f t="shared" si="11"/>
        <v>1.8985446487204349E-10</v>
      </c>
      <c r="CK21" s="20">
        <f t="shared" si="11"/>
        <v>8.3980097808208348E-11</v>
      </c>
      <c r="CL21" s="20">
        <f t="shared" si="11"/>
        <v>3.6934625083285943E-11</v>
      </c>
      <c r="CM21" s="20">
        <f t="shared" si="11"/>
        <v>1.6154714292825515E-11</v>
      </c>
      <c r="CN21" s="20">
        <f t="shared" si="11"/>
        <v>7.0287109436241383E-12</v>
      </c>
      <c r="CO21" s="20">
        <f t="shared" si="11"/>
        <v>3.0427175357114339E-12</v>
      </c>
    </row>
    <row r="22" spans="2:93">
      <c r="B22" t="s">
        <v>79</v>
      </c>
      <c r="C22">
        <v>0.14999999551903817</v>
      </c>
      <c r="D22">
        <v>0.14999999551903817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7AC3-F6CF-49F7-AA0C-06BFFBC63EBB}">
  <dimension ref="C3:M19"/>
  <sheetViews>
    <sheetView workbookViewId="0">
      <selection activeCell="K19" sqref="K19"/>
    </sheetView>
  </sheetViews>
  <sheetFormatPr defaultRowHeight="14.4"/>
  <sheetData>
    <row r="3" spans="3:13">
      <c r="C3" t="s">
        <v>0</v>
      </c>
      <c r="D3">
        <v>100</v>
      </c>
    </row>
    <row r="4" spans="3:13">
      <c r="C4" t="s">
        <v>1</v>
      </c>
      <c r="D4">
        <v>100</v>
      </c>
      <c r="G4" t="s">
        <v>9</v>
      </c>
      <c r="H4" s="1">
        <f>D3*D12-D4*EXP(-D5*D7)*D13</f>
        <v>11.669128488287299</v>
      </c>
      <c r="J4" t="s">
        <v>13</v>
      </c>
      <c r="K4" s="2">
        <f>D12</f>
        <v>0.77085533971897768</v>
      </c>
    </row>
    <row r="5" spans="3:13">
      <c r="C5" t="s">
        <v>2</v>
      </c>
      <c r="D5">
        <v>0.1</v>
      </c>
      <c r="G5" t="s">
        <v>10</v>
      </c>
      <c r="H5" s="1">
        <f>EXP(-D5*D7)*D4*D16-D3*D15</f>
        <v>2.1528702918832394</v>
      </c>
      <c r="J5" t="s">
        <v>14</v>
      </c>
      <c r="K5" s="2">
        <f>+K4-1</f>
        <v>-0.22914466028102232</v>
      </c>
    </row>
    <row r="6" spans="3:13">
      <c r="C6" t="s">
        <v>3</v>
      </c>
      <c r="D6">
        <v>0.15</v>
      </c>
    </row>
    <row r="7" spans="3:13">
      <c r="C7" t="s">
        <v>4</v>
      </c>
      <c r="D7">
        <v>1</v>
      </c>
    </row>
    <row r="9" spans="3:13">
      <c r="C9" t="s">
        <v>5</v>
      </c>
      <c r="D9">
        <f>(LN(D3/D4)+(D5+(D6^2)/2)*D7)/D6*SQRT(D7)</f>
        <v>0.7416666666666667</v>
      </c>
    </row>
    <row r="10" spans="3:13">
      <c r="C10" t="s">
        <v>6</v>
      </c>
      <c r="D10">
        <f>D9-D6*SQRT(D7)</f>
        <v>0.59166666666666667</v>
      </c>
    </row>
    <row r="11" spans="3:13">
      <c r="G11" t="s">
        <v>81</v>
      </c>
    </row>
    <row r="12" spans="3:13">
      <c r="C12" t="s">
        <v>7</v>
      </c>
      <c r="D12">
        <f>_xlfn.NORM.S.DIST(D9,TRUE)</f>
        <v>0.77085533971897768</v>
      </c>
      <c r="G12">
        <v>19.100000000000001</v>
      </c>
      <c r="H12" t="s">
        <v>82</v>
      </c>
      <c r="J12" t="s">
        <v>83</v>
      </c>
      <c r="L12" t="s">
        <v>84</v>
      </c>
    </row>
    <row r="13" spans="3:13">
      <c r="C13" t="s">
        <v>8</v>
      </c>
      <c r="D13">
        <f>_xlfn.NORM.S.DIST(D10,TRUE)</f>
        <v>0.72296308905530626</v>
      </c>
      <c r="G13">
        <v>19.2</v>
      </c>
      <c r="H13" t="s">
        <v>85</v>
      </c>
      <c r="I13" t="s">
        <v>86</v>
      </c>
      <c r="J13" t="s">
        <v>2</v>
      </c>
      <c r="K13">
        <v>0.1</v>
      </c>
      <c r="L13" t="s">
        <v>5</v>
      </c>
      <c r="M13" s="20">
        <f>(0+(K13+K15^2/2)*K14)/(K15*SQRT(K14))</f>
        <v>0.37123106012293744</v>
      </c>
    </row>
    <row r="14" spans="3:13">
      <c r="J14" t="s">
        <v>4</v>
      </c>
      <c r="K14">
        <v>0.5</v>
      </c>
      <c r="L14" t="s">
        <v>87</v>
      </c>
      <c r="M14" s="20">
        <f>_xlfn.NORM.S.DIST(M13,TRUE)</f>
        <v>0.64476727962935421</v>
      </c>
    </row>
    <row r="15" spans="3:13">
      <c r="C15" t="s">
        <v>11</v>
      </c>
      <c r="D15">
        <f>_xlfn.NORM.S.DIST(-D9,TRUE)</f>
        <v>0.22914466028102232</v>
      </c>
      <c r="J15" t="s">
        <v>19</v>
      </c>
      <c r="K15">
        <v>0.25</v>
      </c>
    </row>
    <row r="16" spans="3:13">
      <c r="C16" t="s">
        <v>12</v>
      </c>
      <c r="D16">
        <f>_xlfn.NORM.S.DIST(-D10,TRUE)</f>
        <v>0.27703691094469374</v>
      </c>
    </row>
    <row r="17" spans="7:12">
      <c r="G17">
        <v>19.3</v>
      </c>
      <c r="H17" t="s">
        <v>90</v>
      </c>
      <c r="I17" t="s">
        <v>1</v>
      </c>
      <c r="J17">
        <v>40</v>
      </c>
      <c r="K17" t="s">
        <v>91</v>
      </c>
      <c r="L17">
        <v>40.1</v>
      </c>
    </row>
    <row r="18" spans="7:12">
      <c r="I18" t="s">
        <v>88</v>
      </c>
      <c r="J18">
        <v>4</v>
      </c>
      <c r="K18" t="s">
        <v>92</v>
      </c>
      <c r="L18">
        <v>39.9</v>
      </c>
    </row>
    <row r="19" spans="7:12">
      <c r="I19" t="s">
        <v>89</v>
      </c>
      <c r="J1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pg50</vt:lpstr>
      <vt:lpstr>Delta</vt:lpstr>
      <vt:lpstr>Gamma</vt:lpstr>
      <vt:lpstr>Theta</vt:lpstr>
      <vt:lpstr>Vega</vt:lpstr>
      <vt:lpstr>Rho</vt:lpstr>
      <vt:lpstr>Answer Report 1</vt:lpstr>
      <vt:lpstr>Implied Volatility</vt:lpstr>
      <vt:lpstr>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2026-04-13T11:09:26Z</dcterms:modified>
</cp:coreProperties>
</file>