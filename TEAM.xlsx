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9706AC0A-1E72-48DB-AC07-79ACA8CB3B8B}" xr6:coauthVersionLast="47" xr6:coauthVersionMax="47" xr10:uidLastSave="{00000000-0000-0000-0000-000000000000}"/>
  <bookViews>
    <workbookView xWindow="-108" yWindow="-108" windowWidth="23256" windowHeight="12456" activeTab="1" xr2:uid="{3AF6BCC7-0372-4EF8-A651-596D3CC14EF5}"/>
  </bookViews>
  <sheets>
    <sheet name="Main" sheetId="1" r:id="rId1"/>
    <sheet name="ModeI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37" i="3" l="1"/>
  <c r="AT35" i="3"/>
  <c r="AT34" i="3"/>
  <c r="AY90" i="3"/>
  <c r="AZ90" i="3" s="1"/>
  <c r="BA90" i="3" s="1"/>
  <c r="BB90" i="3" s="1"/>
  <c r="BC90" i="3" s="1"/>
  <c r="BD90" i="3" s="1"/>
  <c r="BE90" i="3" s="1"/>
  <c r="BF90" i="3" s="1"/>
  <c r="BG90" i="3" s="1"/>
  <c r="BH90" i="3" s="1"/>
  <c r="BI90" i="3" s="1"/>
  <c r="BJ90" i="3" s="1"/>
  <c r="BK90" i="3" s="1"/>
  <c r="BL90" i="3" s="1"/>
  <c r="BM90" i="3" s="1"/>
  <c r="BN90" i="3" s="1"/>
  <c r="BO90" i="3" s="1"/>
  <c r="BP90" i="3" s="1"/>
  <c r="BQ90" i="3" s="1"/>
  <c r="BR90" i="3" s="1"/>
  <c r="BS90" i="3" s="1"/>
  <c r="BT90" i="3" s="1"/>
  <c r="BU90" i="3" s="1"/>
  <c r="BV90" i="3" s="1"/>
  <c r="BW90" i="3" s="1"/>
  <c r="BX90" i="3" s="1"/>
  <c r="BY90" i="3" s="1"/>
  <c r="BZ90" i="3" s="1"/>
  <c r="CA90" i="3" s="1"/>
  <c r="CB90" i="3" s="1"/>
  <c r="CC90" i="3" s="1"/>
  <c r="CD90" i="3" s="1"/>
  <c r="CE90" i="3" s="1"/>
  <c r="CF90" i="3" s="1"/>
  <c r="CG90" i="3" s="1"/>
  <c r="CH90" i="3" s="1"/>
  <c r="CI90" i="3" s="1"/>
  <c r="CJ90" i="3" s="1"/>
  <c r="CK90" i="3" s="1"/>
  <c r="CL90" i="3" s="1"/>
  <c r="CM90" i="3" s="1"/>
  <c r="CN90" i="3" s="1"/>
  <c r="CO90" i="3" s="1"/>
  <c r="CP90" i="3" s="1"/>
  <c r="CQ90" i="3" s="1"/>
  <c r="CR90" i="3" s="1"/>
  <c r="CS90" i="3" s="1"/>
  <c r="CT90" i="3" s="1"/>
  <c r="CU90" i="3" s="1"/>
  <c r="CV90" i="3" s="1"/>
  <c r="CW90" i="3" s="1"/>
  <c r="CX90" i="3" s="1"/>
  <c r="CY90" i="3" s="1"/>
  <c r="CZ90" i="3" s="1"/>
  <c r="DA90" i="3" s="1"/>
  <c r="DB90" i="3" s="1"/>
  <c r="DC90" i="3" s="1"/>
  <c r="DD90" i="3" s="1"/>
  <c r="DE90" i="3" s="1"/>
  <c r="DF90" i="3" s="1"/>
  <c r="DG90" i="3" s="1"/>
  <c r="DH90" i="3" s="1"/>
  <c r="DI90" i="3" s="1"/>
  <c r="DJ90" i="3" s="1"/>
  <c r="DK90" i="3" s="1"/>
  <c r="DL90" i="3" s="1"/>
  <c r="DM90" i="3" s="1"/>
  <c r="DN90" i="3" s="1"/>
  <c r="DO90" i="3" s="1"/>
  <c r="DP90" i="3" s="1"/>
  <c r="DQ90" i="3" s="1"/>
  <c r="DR90" i="3" s="1"/>
  <c r="DS90" i="3" s="1"/>
  <c r="DT90" i="3" s="1"/>
  <c r="DU90" i="3" s="1"/>
  <c r="DV90" i="3" s="1"/>
  <c r="DW90" i="3" s="1"/>
  <c r="DX90" i="3" s="1"/>
  <c r="DY90" i="3" s="1"/>
  <c r="DZ90" i="3" s="1"/>
  <c r="EA90" i="3" s="1"/>
  <c r="EB90" i="3" s="1"/>
  <c r="EC90" i="3" s="1"/>
  <c r="ED90" i="3" s="1"/>
  <c r="EE90" i="3" s="1"/>
  <c r="EF90" i="3" s="1"/>
  <c r="EG90" i="3" s="1"/>
  <c r="EH90" i="3" s="1"/>
  <c r="EI90" i="3" s="1"/>
  <c r="EJ90" i="3" s="1"/>
  <c r="EK90" i="3" s="1"/>
  <c r="EL90" i="3" s="1"/>
  <c r="EM90" i="3" s="1"/>
  <c r="EN90" i="3" s="1"/>
  <c r="EO90" i="3" s="1"/>
  <c r="EP90" i="3" s="1"/>
  <c r="EQ90" i="3" s="1"/>
  <c r="ER90" i="3" s="1"/>
  <c r="ES90" i="3" s="1"/>
  <c r="ET90" i="3" s="1"/>
  <c r="EU90" i="3" s="1"/>
  <c r="EV90" i="3" s="1"/>
  <c r="EW90" i="3" s="1"/>
  <c r="EX90" i="3" s="1"/>
  <c r="EY90" i="3" s="1"/>
  <c r="EZ90" i="3" s="1"/>
  <c r="FA90" i="3" s="1"/>
  <c r="FB90" i="3" s="1"/>
  <c r="FC90" i="3" s="1"/>
  <c r="FD90" i="3" s="1"/>
  <c r="FE90" i="3" s="1"/>
  <c r="FF90" i="3" s="1"/>
  <c r="FG90" i="3" s="1"/>
  <c r="FH90" i="3" s="1"/>
  <c r="FI90" i="3" s="1"/>
  <c r="FJ90" i="3" s="1"/>
  <c r="FK90" i="3" s="1"/>
  <c r="FL90" i="3" s="1"/>
  <c r="FM90" i="3" s="1"/>
  <c r="FN90" i="3" s="1"/>
  <c r="FO90" i="3" s="1"/>
  <c r="FP90" i="3" s="1"/>
  <c r="FQ90" i="3" s="1"/>
  <c r="FR90" i="3" s="1"/>
  <c r="FS90" i="3" s="1"/>
  <c r="FT90" i="3" s="1"/>
  <c r="FU90" i="3" s="1"/>
  <c r="FV90" i="3" s="1"/>
  <c r="FW90" i="3" s="1"/>
  <c r="FX90" i="3" s="1"/>
  <c r="FY90" i="3" s="1"/>
  <c r="FZ90" i="3" s="1"/>
  <c r="GA90" i="3" s="1"/>
  <c r="GB90" i="3" s="1"/>
  <c r="GC90" i="3" s="1"/>
  <c r="GD90" i="3" s="1"/>
  <c r="GE90" i="3" s="1"/>
  <c r="GF90" i="3" s="1"/>
  <c r="GG90" i="3" s="1"/>
  <c r="GH90" i="3" s="1"/>
  <c r="GI90" i="3" s="1"/>
  <c r="GJ90" i="3" s="1"/>
  <c r="GK90" i="3" s="1"/>
  <c r="GL90" i="3" s="1"/>
  <c r="GM90" i="3" s="1"/>
  <c r="GN90" i="3" s="1"/>
  <c r="GO90" i="3" s="1"/>
  <c r="GP90" i="3" s="1"/>
  <c r="GQ90" i="3" s="1"/>
  <c r="GR90" i="3" s="1"/>
  <c r="GS90" i="3" s="1"/>
  <c r="GT90" i="3" s="1"/>
  <c r="GU90" i="3" s="1"/>
  <c r="GV90" i="3" s="1"/>
  <c r="GW90" i="3" s="1"/>
  <c r="GX90" i="3" s="1"/>
  <c r="GY90" i="3" s="1"/>
  <c r="GZ90" i="3" s="1"/>
  <c r="HA90" i="3" s="1"/>
  <c r="HB90" i="3" s="1"/>
  <c r="HC90" i="3" s="1"/>
  <c r="HD90" i="3" s="1"/>
  <c r="HE90" i="3" s="1"/>
  <c r="HF90" i="3" s="1"/>
  <c r="HG90" i="3" s="1"/>
  <c r="HH90" i="3" s="1"/>
  <c r="HI90" i="3" s="1"/>
  <c r="HJ90" i="3" s="1"/>
  <c r="HK90" i="3" s="1"/>
  <c r="HL90" i="3" s="1"/>
  <c r="HM90" i="3" s="1"/>
  <c r="HN90" i="3" s="1"/>
  <c r="HO90" i="3" s="1"/>
  <c r="HP90" i="3" s="1"/>
  <c r="HQ90" i="3" s="1"/>
  <c r="HR90" i="3" s="1"/>
  <c r="HS90" i="3" s="1"/>
  <c r="HT90" i="3" s="1"/>
  <c r="HU90" i="3" s="1"/>
  <c r="HV90" i="3" s="1"/>
  <c r="HW90" i="3" s="1"/>
  <c r="HX90" i="3" s="1"/>
  <c r="HY90" i="3" s="1"/>
  <c r="HZ90" i="3" s="1"/>
  <c r="IA90" i="3" s="1"/>
  <c r="IB90" i="3" s="1"/>
  <c r="IC90" i="3" s="1"/>
  <c r="ID90" i="3" s="1"/>
  <c r="IE90" i="3" s="1"/>
  <c r="IF90" i="3" s="1"/>
  <c r="IG90" i="3" s="1"/>
  <c r="IH90" i="3" s="1"/>
  <c r="II90" i="3" s="1"/>
  <c r="IJ90" i="3" s="1"/>
  <c r="IK90" i="3" s="1"/>
  <c r="IL90" i="3" s="1"/>
  <c r="IM90" i="3" s="1"/>
  <c r="IN90" i="3" s="1"/>
  <c r="IO90" i="3" s="1"/>
  <c r="IP90" i="3" s="1"/>
  <c r="IQ90" i="3" s="1"/>
  <c r="IR90" i="3" s="1"/>
  <c r="IS90" i="3" s="1"/>
  <c r="IT90" i="3" s="1"/>
  <c r="IU90" i="3" s="1"/>
  <c r="IV90" i="3" s="1"/>
  <c r="IW90" i="3" s="1"/>
  <c r="IX90" i="3" s="1"/>
  <c r="IY90" i="3" s="1"/>
  <c r="IZ90" i="3" s="1"/>
  <c r="JA90" i="3" s="1"/>
  <c r="JB90" i="3" s="1"/>
  <c r="JC90" i="3" s="1"/>
  <c r="JD90" i="3" s="1"/>
  <c r="JE90" i="3" s="1"/>
  <c r="JF90" i="3" s="1"/>
  <c r="JG90" i="3" s="1"/>
  <c r="JH90" i="3" s="1"/>
  <c r="JI90" i="3" s="1"/>
  <c r="JJ90" i="3" s="1"/>
  <c r="JK90" i="3" s="1"/>
  <c r="JL90" i="3" s="1"/>
  <c r="JM90" i="3" s="1"/>
  <c r="JN90" i="3" s="1"/>
  <c r="JO90" i="3" s="1"/>
  <c r="JP90" i="3" s="1"/>
  <c r="JQ90" i="3" s="1"/>
  <c r="JR90" i="3" s="1"/>
  <c r="JS90" i="3" s="1"/>
  <c r="JT90" i="3" s="1"/>
  <c r="JU90" i="3" s="1"/>
  <c r="JV90" i="3" s="1"/>
  <c r="JW90" i="3" s="1"/>
  <c r="JX90" i="3" s="1"/>
  <c r="JY90" i="3" s="1"/>
  <c r="JZ90" i="3" s="1"/>
  <c r="KA90" i="3" s="1"/>
  <c r="KB90" i="3" s="1"/>
  <c r="KC90" i="3" s="1"/>
  <c r="KD90" i="3" s="1"/>
  <c r="KE90" i="3" s="1"/>
  <c r="KF90" i="3" s="1"/>
  <c r="KG90" i="3" s="1"/>
  <c r="KH90" i="3" s="1"/>
  <c r="KI90" i="3" s="1"/>
  <c r="KJ90" i="3" s="1"/>
  <c r="KK90" i="3" s="1"/>
  <c r="KL90" i="3" s="1"/>
  <c r="KM90" i="3" s="1"/>
  <c r="KN90" i="3" s="1"/>
  <c r="KO90" i="3" s="1"/>
  <c r="KP90" i="3" s="1"/>
  <c r="KQ90" i="3" s="1"/>
  <c r="KR90" i="3" s="1"/>
  <c r="KS90" i="3" s="1"/>
  <c r="KT90" i="3" s="1"/>
  <c r="KU90" i="3" s="1"/>
  <c r="KV90" i="3" s="1"/>
  <c r="KW90" i="3" s="1"/>
  <c r="KX90" i="3" s="1"/>
  <c r="KY90" i="3" s="1"/>
  <c r="KZ90" i="3" s="1"/>
  <c r="LA90" i="3" s="1"/>
  <c r="LB90" i="3" s="1"/>
  <c r="LC90" i="3" s="1"/>
  <c r="LD90" i="3" s="1"/>
  <c r="LE90" i="3" s="1"/>
  <c r="LF90" i="3" s="1"/>
  <c r="LG90" i="3" s="1"/>
  <c r="LH90" i="3" s="1"/>
  <c r="LI90" i="3" s="1"/>
  <c r="LJ90" i="3" s="1"/>
  <c r="LK90" i="3" s="1"/>
  <c r="LL90" i="3" s="1"/>
  <c r="LM90" i="3" s="1"/>
  <c r="LN90" i="3" s="1"/>
  <c r="LO90" i="3" s="1"/>
  <c r="LP90" i="3" s="1"/>
  <c r="LQ90" i="3" s="1"/>
  <c r="LR90" i="3" s="1"/>
  <c r="LS90" i="3" s="1"/>
  <c r="LT90" i="3" s="1"/>
  <c r="LU90" i="3" s="1"/>
  <c r="LV90" i="3" s="1"/>
  <c r="LW90" i="3" s="1"/>
  <c r="LX90" i="3" s="1"/>
  <c r="LY90" i="3" s="1"/>
  <c r="LZ90" i="3" s="1"/>
  <c r="MA90" i="3" s="1"/>
  <c r="MB90" i="3" s="1"/>
  <c r="MC90" i="3" s="1"/>
  <c r="MD90" i="3" s="1"/>
  <c r="ME90" i="3" s="1"/>
  <c r="MF90" i="3" s="1"/>
  <c r="MG90" i="3" s="1"/>
  <c r="MH90" i="3" s="1"/>
  <c r="MI90" i="3" s="1"/>
  <c r="MJ90" i="3" s="1"/>
  <c r="MK90" i="3" s="1"/>
  <c r="ML90" i="3" s="1"/>
  <c r="MM90" i="3" s="1"/>
  <c r="MN90" i="3" s="1"/>
  <c r="MO90" i="3" s="1"/>
  <c r="MP90" i="3" s="1"/>
  <c r="MQ90" i="3" s="1"/>
  <c r="MR90" i="3" s="1"/>
  <c r="MS90" i="3" s="1"/>
  <c r="MT90" i="3" s="1"/>
  <c r="MU90" i="3" s="1"/>
  <c r="MV90" i="3" s="1"/>
  <c r="MW90" i="3" s="1"/>
  <c r="MX90" i="3" s="1"/>
  <c r="MY90" i="3" s="1"/>
  <c r="MZ90" i="3" s="1"/>
  <c r="NA90" i="3" s="1"/>
  <c r="NB90" i="3" s="1"/>
  <c r="NC90" i="3" s="1"/>
  <c r="ND90" i="3" s="1"/>
  <c r="NE90" i="3" s="1"/>
  <c r="NF90" i="3" s="1"/>
  <c r="NG90" i="3" s="1"/>
  <c r="NH90" i="3" s="1"/>
  <c r="NI90" i="3" s="1"/>
  <c r="NJ90" i="3" s="1"/>
  <c r="NK90" i="3" s="1"/>
  <c r="NL90" i="3" s="1"/>
  <c r="NM90" i="3" s="1"/>
  <c r="NN90" i="3" s="1"/>
  <c r="NO90" i="3" s="1"/>
  <c r="NP90" i="3" s="1"/>
  <c r="NQ90" i="3" s="1"/>
  <c r="NR90" i="3" s="1"/>
  <c r="NS90" i="3" s="1"/>
  <c r="NT90" i="3" s="1"/>
  <c r="NU90" i="3" s="1"/>
  <c r="NV90" i="3" s="1"/>
  <c r="NW90" i="3" s="1"/>
  <c r="NX90" i="3" s="1"/>
  <c r="NY90" i="3" s="1"/>
  <c r="NZ90" i="3" s="1"/>
  <c r="OA90" i="3" s="1"/>
  <c r="OB90" i="3" s="1"/>
  <c r="OC90" i="3" s="1"/>
  <c r="OD90" i="3" s="1"/>
  <c r="OE90" i="3" s="1"/>
  <c r="OF90" i="3" s="1"/>
  <c r="OG90" i="3" s="1"/>
  <c r="OH90" i="3" s="1"/>
  <c r="OI90" i="3" s="1"/>
  <c r="OJ90" i="3" s="1"/>
  <c r="OK90" i="3" s="1"/>
  <c r="OL90" i="3" s="1"/>
  <c r="OM90" i="3" s="1"/>
  <c r="ON90" i="3" s="1"/>
  <c r="OO90" i="3" s="1"/>
  <c r="OP90" i="3" s="1"/>
  <c r="OQ90" i="3" s="1"/>
  <c r="OR90" i="3" s="1"/>
  <c r="OS90" i="3" s="1"/>
  <c r="OT90" i="3" s="1"/>
  <c r="OU90" i="3" s="1"/>
  <c r="OV90" i="3" s="1"/>
  <c r="OW90" i="3" s="1"/>
  <c r="OX90" i="3" s="1"/>
  <c r="OY90" i="3" s="1"/>
  <c r="OZ90" i="3" s="1"/>
  <c r="PA90" i="3" s="1"/>
  <c r="PB90" i="3" s="1"/>
  <c r="PC90" i="3" s="1"/>
  <c r="PD90" i="3" s="1"/>
  <c r="PE90" i="3" s="1"/>
  <c r="PF90" i="3" s="1"/>
  <c r="PG90" i="3" s="1"/>
  <c r="PH90" i="3" s="1"/>
  <c r="PI90" i="3" s="1"/>
  <c r="PJ90" i="3" s="1"/>
  <c r="PK90" i="3" s="1"/>
  <c r="PL90" i="3" s="1"/>
  <c r="PM90" i="3" s="1"/>
  <c r="PN90" i="3" s="1"/>
  <c r="PO90" i="3" s="1"/>
  <c r="PP90" i="3" s="1"/>
  <c r="PQ90" i="3" s="1"/>
  <c r="PR90" i="3" s="1"/>
  <c r="PS90" i="3" s="1"/>
  <c r="PT90" i="3" s="1"/>
  <c r="PU90" i="3" s="1"/>
  <c r="PV90" i="3" s="1"/>
  <c r="PW90" i="3" s="1"/>
  <c r="PX90" i="3" s="1"/>
  <c r="PY90" i="3" s="1"/>
  <c r="PZ90" i="3" s="1"/>
  <c r="QA90" i="3" s="1"/>
  <c r="QB90" i="3" s="1"/>
  <c r="QC90" i="3" s="1"/>
  <c r="QD90" i="3" s="1"/>
  <c r="QE90" i="3" s="1"/>
  <c r="QF90" i="3" s="1"/>
  <c r="QG90" i="3" s="1"/>
  <c r="QH90" i="3" s="1"/>
  <c r="QI90" i="3" s="1"/>
  <c r="QJ90" i="3" s="1"/>
  <c r="QK90" i="3" s="1"/>
  <c r="QL90" i="3" s="1"/>
  <c r="QM90" i="3" s="1"/>
  <c r="QN90" i="3" s="1"/>
  <c r="QO90" i="3" s="1"/>
  <c r="QP90" i="3" s="1"/>
  <c r="QQ90" i="3" s="1"/>
  <c r="QR90" i="3" s="1"/>
  <c r="QS90" i="3" s="1"/>
  <c r="QT90" i="3" s="1"/>
  <c r="QU90" i="3" s="1"/>
  <c r="QV90" i="3" s="1"/>
  <c r="QW90" i="3" s="1"/>
  <c r="QX90" i="3" s="1"/>
  <c r="QY90" i="3" s="1"/>
  <c r="QZ90" i="3" s="1"/>
  <c r="RA90" i="3" s="1"/>
  <c r="RB90" i="3" s="1"/>
  <c r="RC90" i="3" s="1"/>
  <c r="RD90" i="3" s="1"/>
  <c r="RE90" i="3" s="1"/>
  <c r="RF90" i="3" s="1"/>
  <c r="RG90" i="3" s="1"/>
  <c r="RH90" i="3" s="1"/>
  <c r="RI90" i="3" s="1"/>
  <c r="RJ90" i="3" s="1"/>
  <c r="RK90" i="3" s="1"/>
  <c r="RL90" i="3" s="1"/>
  <c r="RM90" i="3" s="1"/>
  <c r="RN90" i="3" s="1"/>
  <c r="RO90" i="3" s="1"/>
  <c r="RP90" i="3" s="1"/>
  <c r="RQ90" i="3" s="1"/>
  <c r="RR90" i="3" s="1"/>
  <c r="RS90" i="3" s="1"/>
  <c r="RT90" i="3" s="1"/>
  <c r="RU90" i="3" s="1"/>
  <c r="RV90" i="3" s="1"/>
  <c r="RW90" i="3" s="1"/>
  <c r="RX90" i="3" s="1"/>
  <c r="RY90" i="3" s="1"/>
  <c r="RZ90" i="3" s="1"/>
  <c r="SA90" i="3" s="1"/>
  <c r="SB90" i="3" s="1"/>
  <c r="SC90" i="3" s="1"/>
  <c r="SD90" i="3" s="1"/>
  <c r="SE90" i="3" s="1"/>
  <c r="SF90" i="3" s="1"/>
  <c r="SG90" i="3" s="1"/>
  <c r="SH90" i="3" s="1"/>
  <c r="SI90" i="3" s="1"/>
  <c r="SJ90" i="3" s="1"/>
  <c r="SK90" i="3" s="1"/>
  <c r="SL90" i="3" s="1"/>
  <c r="SM90" i="3" s="1"/>
  <c r="SN90" i="3" s="1"/>
  <c r="SO90" i="3" s="1"/>
  <c r="SP90" i="3" s="1"/>
  <c r="SQ90" i="3" s="1"/>
  <c r="SR90" i="3" s="1"/>
  <c r="SS90" i="3" s="1"/>
  <c r="ST90" i="3" s="1"/>
  <c r="SU90" i="3" s="1"/>
  <c r="SV90" i="3" s="1"/>
  <c r="SW90" i="3" s="1"/>
  <c r="SX90" i="3" s="1"/>
  <c r="SY90" i="3" s="1"/>
  <c r="SZ90" i="3" s="1"/>
  <c r="TA90" i="3" s="1"/>
  <c r="TB90" i="3" s="1"/>
  <c r="TC90" i="3" s="1"/>
  <c r="TD90" i="3" s="1"/>
  <c r="TE90" i="3" s="1"/>
  <c r="TF90" i="3" s="1"/>
  <c r="TG90" i="3" s="1"/>
  <c r="TH90" i="3" s="1"/>
  <c r="TI90" i="3" s="1"/>
  <c r="TJ90" i="3" s="1"/>
  <c r="TK90" i="3" s="1"/>
  <c r="TL90" i="3" s="1"/>
  <c r="TM90" i="3" s="1"/>
  <c r="TN90" i="3" s="1"/>
  <c r="TO90" i="3" s="1"/>
  <c r="TP90" i="3" s="1"/>
  <c r="TQ90" i="3" s="1"/>
  <c r="TR90" i="3" s="1"/>
  <c r="TS90" i="3" s="1"/>
  <c r="TT90" i="3" s="1"/>
  <c r="TU90" i="3" s="1"/>
  <c r="TV90" i="3" s="1"/>
  <c r="TW90" i="3" s="1"/>
  <c r="TX90" i="3" s="1"/>
  <c r="TY90" i="3" s="1"/>
  <c r="TZ90" i="3" s="1"/>
  <c r="UA90" i="3" s="1"/>
  <c r="UB90" i="3" s="1"/>
  <c r="UC90" i="3" s="1"/>
  <c r="UD90" i="3" s="1"/>
  <c r="UE90" i="3" s="1"/>
  <c r="UF90" i="3" s="1"/>
  <c r="UG90" i="3" s="1"/>
  <c r="UH90" i="3" s="1"/>
  <c r="UI90" i="3" s="1"/>
  <c r="UJ90" i="3" s="1"/>
  <c r="UK90" i="3" s="1"/>
  <c r="UL90" i="3" s="1"/>
  <c r="UM90" i="3" s="1"/>
  <c r="UN90" i="3" s="1"/>
  <c r="UO90" i="3" s="1"/>
  <c r="UP90" i="3" s="1"/>
  <c r="UQ90" i="3" s="1"/>
  <c r="UR90" i="3" s="1"/>
  <c r="US90" i="3" s="1"/>
  <c r="UT90" i="3" s="1"/>
  <c r="UU90" i="3" s="1"/>
  <c r="UV90" i="3" s="1"/>
  <c r="UW90" i="3" s="1"/>
  <c r="UX90" i="3" s="1"/>
  <c r="UY90" i="3" s="1"/>
  <c r="UZ90" i="3" s="1"/>
  <c r="VA90" i="3" s="1"/>
  <c r="VB90" i="3" s="1"/>
  <c r="VC90" i="3" s="1"/>
  <c r="VD90" i="3" s="1"/>
  <c r="VE90" i="3" s="1"/>
  <c r="VF90" i="3" s="1"/>
  <c r="VG90" i="3" s="1"/>
  <c r="VH90" i="3" s="1"/>
  <c r="VI90" i="3" s="1"/>
  <c r="VJ90" i="3" s="1"/>
  <c r="VK90" i="3" s="1"/>
  <c r="VL90" i="3" s="1"/>
  <c r="VM90" i="3" s="1"/>
  <c r="VN90" i="3" s="1"/>
  <c r="VO90" i="3" s="1"/>
  <c r="VP90" i="3" s="1"/>
  <c r="VQ90" i="3" s="1"/>
  <c r="VR90" i="3" s="1"/>
  <c r="VS90" i="3" s="1"/>
  <c r="VT90" i="3" s="1"/>
  <c r="VU90" i="3" s="1"/>
  <c r="VV90" i="3" s="1"/>
  <c r="VW90" i="3" s="1"/>
  <c r="VX90" i="3" s="1"/>
  <c r="VY90" i="3" s="1"/>
  <c r="VZ90" i="3" s="1"/>
  <c r="WA90" i="3" s="1"/>
  <c r="WB90" i="3" s="1"/>
  <c r="WC90" i="3" s="1"/>
  <c r="WD90" i="3" s="1"/>
  <c r="WE90" i="3" s="1"/>
  <c r="WF90" i="3" s="1"/>
  <c r="WG90" i="3" s="1"/>
  <c r="WH90" i="3" s="1"/>
  <c r="WI90" i="3" s="1"/>
  <c r="WJ90" i="3" s="1"/>
  <c r="WK90" i="3" s="1"/>
  <c r="WL90" i="3" s="1"/>
  <c r="WM90" i="3" s="1"/>
  <c r="WN90" i="3" s="1"/>
  <c r="WO90" i="3" s="1"/>
  <c r="WP90" i="3" s="1"/>
  <c r="WQ90" i="3" s="1"/>
  <c r="WR90" i="3" s="1"/>
  <c r="WS90" i="3" s="1"/>
  <c r="WT90" i="3" s="1"/>
  <c r="WU90" i="3" s="1"/>
  <c r="WV90" i="3" s="1"/>
  <c r="WW90" i="3" s="1"/>
  <c r="WX90" i="3" s="1"/>
  <c r="WY90" i="3" s="1"/>
  <c r="WZ90" i="3" s="1"/>
  <c r="XA90" i="3" s="1"/>
  <c r="XB90" i="3" s="1"/>
  <c r="XC90" i="3" s="1"/>
  <c r="XD90" i="3" s="1"/>
  <c r="XE90" i="3" s="1"/>
  <c r="XF90" i="3" s="1"/>
  <c r="XG90" i="3" s="1"/>
  <c r="XH90" i="3" s="1"/>
  <c r="XI90" i="3" s="1"/>
  <c r="XJ90" i="3" s="1"/>
  <c r="XK90" i="3" s="1"/>
  <c r="XL90" i="3" s="1"/>
  <c r="XM90" i="3" s="1"/>
  <c r="XN90" i="3" s="1"/>
  <c r="XO90" i="3" s="1"/>
  <c r="XP90" i="3" s="1"/>
  <c r="XQ90" i="3" s="1"/>
  <c r="XR90" i="3" s="1"/>
  <c r="XS90" i="3" s="1"/>
  <c r="XT90" i="3" s="1"/>
  <c r="XU90" i="3" s="1"/>
  <c r="XV90" i="3" s="1"/>
  <c r="XW90" i="3" s="1"/>
  <c r="XX90" i="3" s="1"/>
  <c r="XY90" i="3" s="1"/>
  <c r="XZ90" i="3" s="1"/>
  <c r="YA90" i="3" s="1"/>
  <c r="YB90" i="3" s="1"/>
  <c r="YC90" i="3" s="1"/>
  <c r="YD90" i="3" s="1"/>
  <c r="YE90" i="3" s="1"/>
  <c r="YF90" i="3" s="1"/>
  <c r="YG90" i="3" s="1"/>
  <c r="YH90" i="3" s="1"/>
  <c r="YI90" i="3" s="1"/>
  <c r="YJ90" i="3" s="1"/>
  <c r="YK90" i="3" s="1"/>
  <c r="YL90" i="3" s="1"/>
  <c r="YM90" i="3" s="1"/>
  <c r="YN90" i="3" s="1"/>
  <c r="YO90" i="3" s="1"/>
  <c r="YP90" i="3" s="1"/>
  <c r="YQ90" i="3" s="1"/>
  <c r="YR90" i="3" s="1"/>
  <c r="YS90" i="3" s="1"/>
  <c r="YT90" i="3" s="1"/>
  <c r="YU90" i="3" s="1"/>
  <c r="YV90" i="3" s="1"/>
  <c r="YW90" i="3" s="1"/>
  <c r="YX90" i="3" s="1"/>
  <c r="YY90" i="3" s="1"/>
  <c r="YZ90" i="3" s="1"/>
  <c r="ZA90" i="3" s="1"/>
  <c r="ZB90" i="3" s="1"/>
  <c r="ZC90" i="3" s="1"/>
  <c r="ZD90" i="3" s="1"/>
  <c r="ZE90" i="3" s="1"/>
  <c r="ZF90" i="3" s="1"/>
  <c r="ZG90" i="3" s="1"/>
  <c r="ZH90" i="3" s="1"/>
  <c r="ZI90" i="3" s="1"/>
  <c r="ZJ90" i="3" s="1"/>
  <c r="ZK90" i="3" s="1"/>
  <c r="ZL90" i="3" s="1"/>
  <c r="ZM90" i="3" s="1"/>
  <c r="ZN90" i="3" s="1"/>
  <c r="ZO90" i="3" s="1"/>
  <c r="ZP90" i="3" s="1"/>
  <c r="ZQ90" i="3" s="1"/>
  <c r="ZR90" i="3" s="1"/>
  <c r="ZS90" i="3" s="1"/>
  <c r="ZT90" i="3" s="1"/>
  <c r="ZU90" i="3" s="1"/>
  <c r="ZV90" i="3" s="1"/>
  <c r="ZW90" i="3" s="1"/>
  <c r="ZX90" i="3" s="1"/>
  <c r="ZY90" i="3" s="1"/>
  <c r="ZZ90" i="3" s="1"/>
  <c r="AAA90" i="3" s="1"/>
  <c r="AAB90" i="3" s="1"/>
  <c r="AAC90" i="3" s="1"/>
  <c r="AAD90" i="3" s="1"/>
  <c r="AAE90" i="3" s="1"/>
  <c r="AAF90" i="3" s="1"/>
  <c r="AAG90" i="3" s="1"/>
  <c r="AAH90" i="3" s="1"/>
  <c r="AAI90" i="3" s="1"/>
  <c r="AAJ90" i="3" s="1"/>
  <c r="AAK90" i="3" s="1"/>
  <c r="AAL90" i="3" s="1"/>
  <c r="AAM90" i="3" s="1"/>
  <c r="AAN90" i="3" s="1"/>
  <c r="AAO90" i="3" s="1"/>
  <c r="AAP90" i="3" s="1"/>
  <c r="AAQ90" i="3" s="1"/>
  <c r="AAR90" i="3" s="1"/>
  <c r="AAS90" i="3" s="1"/>
  <c r="AAT90" i="3" s="1"/>
  <c r="AAU90" i="3" s="1"/>
  <c r="AAV90" i="3" s="1"/>
  <c r="AAW90" i="3" s="1"/>
  <c r="AAX90" i="3" s="1"/>
  <c r="AAY90" i="3" s="1"/>
  <c r="AAZ90" i="3" s="1"/>
  <c r="ABA90" i="3" s="1"/>
  <c r="AX90" i="3"/>
  <c r="AO90" i="3"/>
  <c r="AP90" i="3" s="1"/>
  <c r="AQ90" i="3" s="1"/>
  <c r="AR90" i="3" s="1"/>
  <c r="AS90" i="3" s="1"/>
  <c r="AT90" i="3" s="1"/>
  <c r="AU90" i="3" s="1"/>
  <c r="AV90" i="3" s="1"/>
  <c r="AW90" i="3" s="1"/>
  <c r="AN90" i="3"/>
  <c r="AM88" i="3"/>
  <c r="AM90" i="3" s="1"/>
  <c r="AL88" i="3"/>
  <c r="AL90" i="3" s="1"/>
  <c r="AK88" i="3"/>
  <c r="AJ88" i="3"/>
  <c r="AI88" i="3"/>
  <c r="AH88" i="3"/>
  <c r="AG88" i="3"/>
  <c r="AF88" i="3"/>
  <c r="AF90" i="3" s="1"/>
  <c r="AH90" i="3"/>
  <c r="AG90" i="3"/>
  <c r="AM91" i="3"/>
  <c r="AL91" i="3"/>
  <c r="AK91" i="3"/>
  <c r="AJ91" i="3"/>
  <c r="AI91" i="3"/>
  <c r="AH91" i="3"/>
  <c r="AG91" i="3"/>
  <c r="AF91" i="3"/>
  <c r="AE91" i="3"/>
  <c r="AD91" i="3"/>
  <c r="AC92" i="3"/>
  <c r="AK90" i="3"/>
  <c r="AJ90" i="3"/>
  <c r="AI90" i="3"/>
  <c r="AM89" i="3"/>
  <c r="AL89" i="3"/>
  <c r="AM95" i="3" s="1"/>
  <c r="AK89" i="3"/>
  <c r="AK95" i="3" s="1"/>
  <c r="AJ89" i="3"/>
  <c r="AJ95" i="3" s="1"/>
  <c r="AI89" i="3"/>
  <c r="AH89" i="3"/>
  <c r="AG89" i="3"/>
  <c r="AF89" i="3"/>
  <c r="AI95" i="3"/>
  <c r="AH95" i="3"/>
  <c r="AG95" i="3"/>
  <c r="AF95" i="3"/>
  <c r="AE93" i="3"/>
  <c r="AD93" i="3"/>
  <c r="AP37" i="3"/>
  <c r="AP35" i="3"/>
  <c r="AP34" i="3"/>
  <c r="AC84" i="3"/>
  <c r="AC82" i="3"/>
  <c r="AC72" i="3"/>
  <c r="AC60" i="3"/>
  <c r="UD26" i="3"/>
  <c r="UE26" i="3" s="1"/>
  <c r="UF26" i="3" s="1"/>
  <c r="UG26" i="3" s="1"/>
  <c r="UH26" i="3" s="1"/>
  <c r="UI26" i="3" s="1"/>
  <c r="UJ26" i="3" s="1"/>
  <c r="UK26" i="3" s="1"/>
  <c r="UL26" i="3" s="1"/>
  <c r="UM26" i="3" s="1"/>
  <c r="UN26" i="3" s="1"/>
  <c r="UO26" i="3" s="1"/>
  <c r="UP26" i="3" s="1"/>
  <c r="UQ26" i="3" s="1"/>
  <c r="UR26" i="3" s="1"/>
  <c r="US26" i="3" s="1"/>
  <c r="UT26" i="3" s="1"/>
  <c r="UU26" i="3" s="1"/>
  <c r="UV26" i="3" s="1"/>
  <c r="UW26" i="3" s="1"/>
  <c r="UX26" i="3" s="1"/>
  <c r="UY26" i="3" s="1"/>
  <c r="UZ26" i="3" s="1"/>
  <c r="VA26" i="3" s="1"/>
  <c r="VB26" i="3" s="1"/>
  <c r="VC26" i="3" s="1"/>
  <c r="VD26" i="3" s="1"/>
  <c r="VE26" i="3" s="1"/>
  <c r="VF26" i="3" s="1"/>
  <c r="VG26" i="3" s="1"/>
  <c r="VH26" i="3" s="1"/>
  <c r="VI26" i="3" s="1"/>
  <c r="VJ26" i="3" s="1"/>
  <c r="VK26" i="3" s="1"/>
  <c r="VL26" i="3" s="1"/>
  <c r="VM26" i="3" s="1"/>
  <c r="VN26" i="3" s="1"/>
  <c r="VO26" i="3" s="1"/>
  <c r="VP26" i="3" s="1"/>
  <c r="VQ26" i="3" s="1"/>
  <c r="VR26" i="3" s="1"/>
  <c r="VS26" i="3" s="1"/>
  <c r="VT26" i="3" s="1"/>
  <c r="VU26" i="3" s="1"/>
  <c r="VV26" i="3" s="1"/>
  <c r="VW26" i="3" s="1"/>
  <c r="VX26" i="3" s="1"/>
  <c r="VY26" i="3" s="1"/>
  <c r="VZ26" i="3" s="1"/>
  <c r="WA26" i="3" s="1"/>
  <c r="WB26" i="3" s="1"/>
  <c r="WC26" i="3" s="1"/>
  <c r="WD26" i="3" s="1"/>
  <c r="WE26" i="3" s="1"/>
  <c r="WF26" i="3" s="1"/>
  <c r="WG26" i="3" s="1"/>
  <c r="WH26" i="3" s="1"/>
  <c r="WI26" i="3" s="1"/>
  <c r="WJ26" i="3" s="1"/>
  <c r="WK26" i="3" s="1"/>
  <c r="WL26" i="3" s="1"/>
  <c r="WM26" i="3" s="1"/>
  <c r="WN26" i="3" s="1"/>
  <c r="WO26" i="3" s="1"/>
  <c r="WP26" i="3" s="1"/>
  <c r="WQ26" i="3" s="1"/>
  <c r="WR26" i="3" s="1"/>
  <c r="WS26" i="3" s="1"/>
  <c r="WT26" i="3" s="1"/>
  <c r="WU26" i="3" s="1"/>
  <c r="WV26" i="3" s="1"/>
  <c r="WW26" i="3" s="1"/>
  <c r="WX26" i="3" s="1"/>
  <c r="WY26" i="3" s="1"/>
  <c r="WZ26" i="3" s="1"/>
  <c r="XA26" i="3" s="1"/>
  <c r="XB26" i="3" s="1"/>
  <c r="XC26" i="3" s="1"/>
  <c r="XD26" i="3" s="1"/>
  <c r="XE26" i="3" s="1"/>
  <c r="XF26" i="3" s="1"/>
  <c r="XG26" i="3" s="1"/>
  <c r="XH26" i="3" s="1"/>
  <c r="XI26" i="3" s="1"/>
  <c r="XJ26" i="3" s="1"/>
  <c r="XK26" i="3" s="1"/>
  <c r="XL26" i="3" s="1"/>
  <c r="XM26" i="3" s="1"/>
  <c r="XN26" i="3" s="1"/>
  <c r="XO26" i="3" s="1"/>
  <c r="XP26" i="3" s="1"/>
  <c r="XQ26" i="3" s="1"/>
  <c r="XR26" i="3" s="1"/>
  <c r="XS26" i="3" s="1"/>
  <c r="XT26" i="3" s="1"/>
  <c r="XU26" i="3" s="1"/>
  <c r="XV26" i="3" s="1"/>
  <c r="XW26" i="3" s="1"/>
  <c r="XX26" i="3" s="1"/>
  <c r="XY26" i="3" s="1"/>
  <c r="XZ26" i="3" s="1"/>
  <c r="YA26" i="3" s="1"/>
  <c r="YB26" i="3" s="1"/>
  <c r="YC26" i="3" s="1"/>
  <c r="YD26" i="3" s="1"/>
  <c r="YE26" i="3" s="1"/>
  <c r="YF26" i="3" s="1"/>
  <c r="YG26" i="3" s="1"/>
  <c r="YH26" i="3" s="1"/>
  <c r="YI26" i="3" s="1"/>
  <c r="YJ26" i="3" s="1"/>
  <c r="YK26" i="3" s="1"/>
  <c r="YL26" i="3" s="1"/>
  <c r="YM26" i="3" s="1"/>
  <c r="YN26" i="3" s="1"/>
  <c r="YO26" i="3" s="1"/>
  <c r="YP26" i="3" s="1"/>
  <c r="YQ26" i="3" s="1"/>
  <c r="YR26" i="3" s="1"/>
  <c r="YS26" i="3" s="1"/>
  <c r="YT26" i="3" s="1"/>
  <c r="YU26" i="3" s="1"/>
  <c r="YV26" i="3" s="1"/>
  <c r="YW26" i="3" s="1"/>
  <c r="YX26" i="3" s="1"/>
  <c r="YY26" i="3" s="1"/>
  <c r="YZ26" i="3" s="1"/>
  <c r="ZA26" i="3" s="1"/>
  <c r="ZB26" i="3" s="1"/>
  <c r="ZC26" i="3" s="1"/>
  <c r="ZD26" i="3" s="1"/>
  <c r="ZE26" i="3" s="1"/>
  <c r="ZF26" i="3" s="1"/>
  <c r="ZG26" i="3" s="1"/>
  <c r="ZH26" i="3" s="1"/>
  <c r="ZI26" i="3" s="1"/>
  <c r="ZJ26" i="3" s="1"/>
  <c r="ZK26" i="3" s="1"/>
  <c r="ZL26" i="3" s="1"/>
  <c r="ZM26" i="3" s="1"/>
  <c r="ZN26" i="3" s="1"/>
  <c r="ZO26" i="3" s="1"/>
  <c r="ZP26" i="3" s="1"/>
  <c r="ZQ26" i="3" s="1"/>
  <c r="ZR26" i="3" s="1"/>
  <c r="ZS26" i="3" s="1"/>
  <c r="ZT26" i="3" s="1"/>
  <c r="ZU26" i="3" s="1"/>
  <c r="ZV26" i="3" s="1"/>
  <c r="ZW26" i="3" s="1"/>
  <c r="ZX26" i="3" s="1"/>
  <c r="ZY26" i="3" s="1"/>
  <c r="ZZ26" i="3" s="1"/>
  <c r="AAA26" i="3" s="1"/>
  <c r="AAB26" i="3" s="1"/>
  <c r="AAC26" i="3" s="1"/>
  <c r="AAD26" i="3" s="1"/>
  <c r="AAE26" i="3" s="1"/>
  <c r="AAF26" i="3" s="1"/>
  <c r="AAG26" i="3" s="1"/>
  <c r="AAH26" i="3" s="1"/>
  <c r="AAI26" i="3" s="1"/>
  <c r="AAJ26" i="3" s="1"/>
  <c r="AAK26" i="3" s="1"/>
  <c r="AAL26" i="3" s="1"/>
  <c r="AAM26" i="3" s="1"/>
  <c r="AAN26" i="3" s="1"/>
  <c r="AAO26" i="3" s="1"/>
  <c r="AAP26" i="3" s="1"/>
  <c r="AAQ26" i="3" s="1"/>
  <c r="AAR26" i="3" s="1"/>
  <c r="AAS26" i="3" s="1"/>
  <c r="AAT26" i="3" s="1"/>
  <c r="AAU26" i="3" s="1"/>
  <c r="AAV26" i="3" s="1"/>
  <c r="AAW26" i="3" s="1"/>
  <c r="AAX26" i="3" s="1"/>
  <c r="AAY26" i="3" s="1"/>
  <c r="AAZ26" i="3" s="1"/>
  <c r="ABA26" i="3" s="1"/>
  <c r="ABB26" i="3" s="1"/>
  <c r="ABC26" i="3" s="1"/>
  <c r="ABD26" i="3" s="1"/>
  <c r="ABE26" i="3" s="1"/>
  <c r="ABF26" i="3" s="1"/>
  <c r="ABG26" i="3" s="1"/>
  <c r="ABH26" i="3" s="1"/>
  <c r="ABI26" i="3" s="1"/>
  <c r="ABJ26" i="3" s="1"/>
  <c r="ABK26" i="3" s="1"/>
  <c r="ABL26" i="3" s="1"/>
  <c r="ABM26" i="3" s="1"/>
  <c r="ABN26" i="3" s="1"/>
  <c r="ABO26" i="3" s="1"/>
  <c r="ABP26" i="3" s="1"/>
  <c r="ABQ26" i="3" s="1"/>
  <c r="ABR26" i="3" s="1"/>
  <c r="ABS26" i="3" s="1"/>
  <c r="ABT26" i="3" s="1"/>
  <c r="ABU26" i="3" s="1"/>
  <c r="AY26" i="3"/>
  <c r="AZ26" i="3" s="1"/>
  <c r="BA26" i="3" s="1"/>
  <c r="BB26" i="3" s="1"/>
  <c r="BC26" i="3" s="1"/>
  <c r="BD26" i="3" s="1"/>
  <c r="BE26" i="3" s="1"/>
  <c r="BF26" i="3" s="1"/>
  <c r="BG26" i="3" s="1"/>
  <c r="BH26" i="3" s="1"/>
  <c r="BI26" i="3" s="1"/>
  <c r="BJ26" i="3" s="1"/>
  <c r="BK26" i="3" s="1"/>
  <c r="BL26" i="3" s="1"/>
  <c r="BM26" i="3" s="1"/>
  <c r="BN26" i="3" s="1"/>
  <c r="BO26" i="3" s="1"/>
  <c r="BP26" i="3" s="1"/>
  <c r="BQ26" i="3" s="1"/>
  <c r="BR26" i="3" s="1"/>
  <c r="BS26" i="3" s="1"/>
  <c r="BT26" i="3" s="1"/>
  <c r="BU26" i="3" s="1"/>
  <c r="BV26" i="3" s="1"/>
  <c r="BW26" i="3" s="1"/>
  <c r="BX26" i="3" s="1"/>
  <c r="BY26" i="3" s="1"/>
  <c r="BZ26" i="3" s="1"/>
  <c r="CA26" i="3" s="1"/>
  <c r="CB26" i="3" s="1"/>
  <c r="CC26" i="3" s="1"/>
  <c r="CD26" i="3" s="1"/>
  <c r="CE26" i="3" s="1"/>
  <c r="CF26" i="3" s="1"/>
  <c r="CG26" i="3" s="1"/>
  <c r="CH26" i="3" s="1"/>
  <c r="CI26" i="3" s="1"/>
  <c r="CJ26" i="3" s="1"/>
  <c r="CK26" i="3" s="1"/>
  <c r="CL26" i="3" s="1"/>
  <c r="CM26" i="3" s="1"/>
  <c r="CN26" i="3" s="1"/>
  <c r="CO26" i="3" s="1"/>
  <c r="CP26" i="3" s="1"/>
  <c r="CQ26" i="3" s="1"/>
  <c r="CR26" i="3" s="1"/>
  <c r="CS26" i="3" s="1"/>
  <c r="CT26" i="3" s="1"/>
  <c r="CU26" i="3" s="1"/>
  <c r="CV26" i="3" s="1"/>
  <c r="CW26" i="3" s="1"/>
  <c r="CX26" i="3" s="1"/>
  <c r="CY26" i="3" s="1"/>
  <c r="CZ26" i="3" s="1"/>
  <c r="DA26" i="3" s="1"/>
  <c r="DB26" i="3" s="1"/>
  <c r="DC26" i="3" s="1"/>
  <c r="DD26" i="3" s="1"/>
  <c r="DE26" i="3" s="1"/>
  <c r="DF26" i="3" s="1"/>
  <c r="DG26" i="3" s="1"/>
  <c r="DH26" i="3" s="1"/>
  <c r="DI26" i="3" s="1"/>
  <c r="DJ26" i="3" s="1"/>
  <c r="DK26" i="3" s="1"/>
  <c r="DL26" i="3" s="1"/>
  <c r="DM26" i="3" s="1"/>
  <c r="DN26" i="3" s="1"/>
  <c r="DO26" i="3" s="1"/>
  <c r="DP26" i="3" s="1"/>
  <c r="DQ26" i="3" s="1"/>
  <c r="DR26" i="3" s="1"/>
  <c r="DS26" i="3" s="1"/>
  <c r="DT26" i="3" s="1"/>
  <c r="DU26" i="3" s="1"/>
  <c r="DV26" i="3" s="1"/>
  <c r="DW26" i="3" s="1"/>
  <c r="DX26" i="3" s="1"/>
  <c r="DY26" i="3" s="1"/>
  <c r="DZ26" i="3" s="1"/>
  <c r="EA26" i="3" s="1"/>
  <c r="EB26" i="3" s="1"/>
  <c r="EC26" i="3" s="1"/>
  <c r="ED26" i="3" s="1"/>
  <c r="EE26" i="3" s="1"/>
  <c r="EF26" i="3" s="1"/>
  <c r="EG26" i="3" s="1"/>
  <c r="EH26" i="3" s="1"/>
  <c r="EI26" i="3" s="1"/>
  <c r="EJ26" i="3" s="1"/>
  <c r="EK26" i="3" s="1"/>
  <c r="EL26" i="3" s="1"/>
  <c r="EM26" i="3" s="1"/>
  <c r="EN26" i="3" s="1"/>
  <c r="EO26" i="3" s="1"/>
  <c r="EP26" i="3" s="1"/>
  <c r="EQ26" i="3" s="1"/>
  <c r="ER26" i="3" s="1"/>
  <c r="ES26" i="3" s="1"/>
  <c r="ET26" i="3" s="1"/>
  <c r="EU26" i="3" s="1"/>
  <c r="EV26" i="3" s="1"/>
  <c r="EW26" i="3" s="1"/>
  <c r="EX26" i="3" s="1"/>
  <c r="EY26" i="3" s="1"/>
  <c r="EZ26" i="3" s="1"/>
  <c r="FA26" i="3" s="1"/>
  <c r="FB26" i="3" s="1"/>
  <c r="FC26" i="3" s="1"/>
  <c r="FD26" i="3" s="1"/>
  <c r="FE26" i="3" s="1"/>
  <c r="FF26" i="3" s="1"/>
  <c r="FG26" i="3" s="1"/>
  <c r="FH26" i="3" s="1"/>
  <c r="FI26" i="3" s="1"/>
  <c r="FJ26" i="3" s="1"/>
  <c r="FK26" i="3" s="1"/>
  <c r="FL26" i="3" s="1"/>
  <c r="FM26" i="3" s="1"/>
  <c r="FN26" i="3" s="1"/>
  <c r="FO26" i="3" s="1"/>
  <c r="FP26" i="3" s="1"/>
  <c r="FQ26" i="3" s="1"/>
  <c r="FR26" i="3" s="1"/>
  <c r="FS26" i="3" s="1"/>
  <c r="FT26" i="3" s="1"/>
  <c r="FU26" i="3" s="1"/>
  <c r="FV26" i="3" s="1"/>
  <c r="FW26" i="3" s="1"/>
  <c r="FX26" i="3" s="1"/>
  <c r="FY26" i="3" s="1"/>
  <c r="FZ26" i="3" s="1"/>
  <c r="GA26" i="3" s="1"/>
  <c r="GB26" i="3" s="1"/>
  <c r="GC26" i="3" s="1"/>
  <c r="GD26" i="3" s="1"/>
  <c r="GE26" i="3" s="1"/>
  <c r="GF26" i="3" s="1"/>
  <c r="GG26" i="3" s="1"/>
  <c r="GH26" i="3" s="1"/>
  <c r="GI26" i="3" s="1"/>
  <c r="GJ26" i="3" s="1"/>
  <c r="GK26" i="3" s="1"/>
  <c r="GL26" i="3" s="1"/>
  <c r="GM26" i="3" s="1"/>
  <c r="GN26" i="3" s="1"/>
  <c r="GO26" i="3" s="1"/>
  <c r="GP26" i="3" s="1"/>
  <c r="GQ26" i="3" s="1"/>
  <c r="GR26" i="3" s="1"/>
  <c r="GS26" i="3" s="1"/>
  <c r="GT26" i="3" s="1"/>
  <c r="GU26" i="3" s="1"/>
  <c r="GV26" i="3" s="1"/>
  <c r="GW26" i="3" s="1"/>
  <c r="GX26" i="3" s="1"/>
  <c r="GY26" i="3" s="1"/>
  <c r="GZ26" i="3" s="1"/>
  <c r="HA26" i="3" s="1"/>
  <c r="HB26" i="3" s="1"/>
  <c r="HC26" i="3" s="1"/>
  <c r="HD26" i="3" s="1"/>
  <c r="HE26" i="3" s="1"/>
  <c r="HF26" i="3" s="1"/>
  <c r="HG26" i="3" s="1"/>
  <c r="HH26" i="3" s="1"/>
  <c r="HI26" i="3" s="1"/>
  <c r="HJ26" i="3" s="1"/>
  <c r="HK26" i="3" s="1"/>
  <c r="HL26" i="3" s="1"/>
  <c r="HM26" i="3" s="1"/>
  <c r="HN26" i="3" s="1"/>
  <c r="HO26" i="3" s="1"/>
  <c r="HP26" i="3" s="1"/>
  <c r="HQ26" i="3" s="1"/>
  <c r="HR26" i="3" s="1"/>
  <c r="HS26" i="3" s="1"/>
  <c r="HT26" i="3" s="1"/>
  <c r="HU26" i="3" s="1"/>
  <c r="HV26" i="3" s="1"/>
  <c r="HW26" i="3" s="1"/>
  <c r="HX26" i="3" s="1"/>
  <c r="HY26" i="3" s="1"/>
  <c r="HZ26" i="3" s="1"/>
  <c r="IA26" i="3" s="1"/>
  <c r="IB26" i="3" s="1"/>
  <c r="IC26" i="3" s="1"/>
  <c r="ID26" i="3" s="1"/>
  <c r="IE26" i="3" s="1"/>
  <c r="IF26" i="3" s="1"/>
  <c r="IG26" i="3" s="1"/>
  <c r="IH26" i="3" s="1"/>
  <c r="II26" i="3" s="1"/>
  <c r="IJ26" i="3" s="1"/>
  <c r="IK26" i="3" s="1"/>
  <c r="IL26" i="3" s="1"/>
  <c r="IM26" i="3" s="1"/>
  <c r="IN26" i="3" s="1"/>
  <c r="IO26" i="3" s="1"/>
  <c r="IP26" i="3" s="1"/>
  <c r="IQ26" i="3" s="1"/>
  <c r="IR26" i="3" s="1"/>
  <c r="IS26" i="3" s="1"/>
  <c r="IT26" i="3" s="1"/>
  <c r="IU26" i="3" s="1"/>
  <c r="IV26" i="3" s="1"/>
  <c r="IW26" i="3" s="1"/>
  <c r="IX26" i="3" s="1"/>
  <c r="IY26" i="3" s="1"/>
  <c r="IZ26" i="3" s="1"/>
  <c r="JA26" i="3" s="1"/>
  <c r="JB26" i="3" s="1"/>
  <c r="JC26" i="3" s="1"/>
  <c r="JD26" i="3" s="1"/>
  <c r="JE26" i="3" s="1"/>
  <c r="JF26" i="3" s="1"/>
  <c r="JG26" i="3" s="1"/>
  <c r="JH26" i="3" s="1"/>
  <c r="JI26" i="3" s="1"/>
  <c r="JJ26" i="3" s="1"/>
  <c r="JK26" i="3" s="1"/>
  <c r="JL26" i="3" s="1"/>
  <c r="JM26" i="3" s="1"/>
  <c r="JN26" i="3" s="1"/>
  <c r="JO26" i="3" s="1"/>
  <c r="JP26" i="3" s="1"/>
  <c r="JQ26" i="3" s="1"/>
  <c r="JR26" i="3" s="1"/>
  <c r="JS26" i="3" s="1"/>
  <c r="JT26" i="3" s="1"/>
  <c r="JU26" i="3" s="1"/>
  <c r="JV26" i="3" s="1"/>
  <c r="JW26" i="3" s="1"/>
  <c r="JX26" i="3" s="1"/>
  <c r="JY26" i="3" s="1"/>
  <c r="JZ26" i="3" s="1"/>
  <c r="KA26" i="3" s="1"/>
  <c r="KB26" i="3" s="1"/>
  <c r="KC26" i="3" s="1"/>
  <c r="KD26" i="3" s="1"/>
  <c r="KE26" i="3" s="1"/>
  <c r="KF26" i="3" s="1"/>
  <c r="KG26" i="3" s="1"/>
  <c r="KH26" i="3" s="1"/>
  <c r="KI26" i="3" s="1"/>
  <c r="KJ26" i="3" s="1"/>
  <c r="KK26" i="3" s="1"/>
  <c r="KL26" i="3" s="1"/>
  <c r="KM26" i="3" s="1"/>
  <c r="KN26" i="3" s="1"/>
  <c r="KO26" i="3" s="1"/>
  <c r="KP26" i="3" s="1"/>
  <c r="KQ26" i="3" s="1"/>
  <c r="KR26" i="3" s="1"/>
  <c r="KS26" i="3" s="1"/>
  <c r="KT26" i="3" s="1"/>
  <c r="KU26" i="3" s="1"/>
  <c r="KV26" i="3" s="1"/>
  <c r="KW26" i="3" s="1"/>
  <c r="KX26" i="3" s="1"/>
  <c r="KY26" i="3" s="1"/>
  <c r="KZ26" i="3" s="1"/>
  <c r="LA26" i="3" s="1"/>
  <c r="LB26" i="3" s="1"/>
  <c r="LC26" i="3" s="1"/>
  <c r="LD26" i="3" s="1"/>
  <c r="LE26" i="3" s="1"/>
  <c r="LF26" i="3" s="1"/>
  <c r="LG26" i="3" s="1"/>
  <c r="LH26" i="3" s="1"/>
  <c r="LI26" i="3" s="1"/>
  <c r="LJ26" i="3" s="1"/>
  <c r="LK26" i="3" s="1"/>
  <c r="LL26" i="3" s="1"/>
  <c r="LM26" i="3" s="1"/>
  <c r="LN26" i="3" s="1"/>
  <c r="LO26" i="3" s="1"/>
  <c r="LP26" i="3" s="1"/>
  <c r="LQ26" i="3" s="1"/>
  <c r="LR26" i="3" s="1"/>
  <c r="LS26" i="3" s="1"/>
  <c r="LT26" i="3" s="1"/>
  <c r="LU26" i="3" s="1"/>
  <c r="LV26" i="3" s="1"/>
  <c r="LW26" i="3" s="1"/>
  <c r="LX26" i="3" s="1"/>
  <c r="LY26" i="3" s="1"/>
  <c r="LZ26" i="3" s="1"/>
  <c r="MA26" i="3" s="1"/>
  <c r="MB26" i="3" s="1"/>
  <c r="MC26" i="3" s="1"/>
  <c r="MD26" i="3" s="1"/>
  <c r="ME26" i="3" s="1"/>
  <c r="MF26" i="3" s="1"/>
  <c r="MG26" i="3" s="1"/>
  <c r="MH26" i="3" s="1"/>
  <c r="MI26" i="3" s="1"/>
  <c r="MJ26" i="3" s="1"/>
  <c r="MK26" i="3" s="1"/>
  <c r="ML26" i="3" s="1"/>
  <c r="MM26" i="3" s="1"/>
  <c r="MN26" i="3" s="1"/>
  <c r="MO26" i="3" s="1"/>
  <c r="MP26" i="3" s="1"/>
  <c r="MQ26" i="3" s="1"/>
  <c r="MR26" i="3" s="1"/>
  <c r="MS26" i="3" s="1"/>
  <c r="MT26" i="3" s="1"/>
  <c r="MU26" i="3" s="1"/>
  <c r="MV26" i="3" s="1"/>
  <c r="MW26" i="3" s="1"/>
  <c r="MX26" i="3" s="1"/>
  <c r="MY26" i="3" s="1"/>
  <c r="MZ26" i="3" s="1"/>
  <c r="NA26" i="3" s="1"/>
  <c r="NB26" i="3" s="1"/>
  <c r="NC26" i="3" s="1"/>
  <c r="ND26" i="3" s="1"/>
  <c r="NE26" i="3" s="1"/>
  <c r="NF26" i="3" s="1"/>
  <c r="NG26" i="3" s="1"/>
  <c r="NH26" i="3" s="1"/>
  <c r="NI26" i="3" s="1"/>
  <c r="NJ26" i="3" s="1"/>
  <c r="NK26" i="3" s="1"/>
  <c r="NL26" i="3" s="1"/>
  <c r="NM26" i="3" s="1"/>
  <c r="NN26" i="3" s="1"/>
  <c r="NO26" i="3" s="1"/>
  <c r="NP26" i="3" s="1"/>
  <c r="NQ26" i="3" s="1"/>
  <c r="NR26" i="3" s="1"/>
  <c r="NS26" i="3" s="1"/>
  <c r="NT26" i="3" s="1"/>
  <c r="NU26" i="3" s="1"/>
  <c r="NV26" i="3" s="1"/>
  <c r="NW26" i="3" s="1"/>
  <c r="NX26" i="3" s="1"/>
  <c r="NY26" i="3" s="1"/>
  <c r="NZ26" i="3" s="1"/>
  <c r="OA26" i="3" s="1"/>
  <c r="OB26" i="3" s="1"/>
  <c r="OC26" i="3" s="1"/>
  <c r="OD26" i="3" s="1"/>
  <c r="OE26" i="3" s="1"/>
  <c r="OF26" i="3" s="1"/>
  <c r="OG26" i="3" s="1"/>
  <c r="OH26" i="3" s="1"/>
  <c r="OI26" i="3" s="1"/>
  <c r="OJ26" i="3" s="1"/>
  <c r="OK26" i="3" s="1"/>
  <c r="OL26" i="3" s="1"/>
  <c r="OM26" i="3" s="1"/>
  <c r="ON26" i="3" s="1"/>
  <c r="OO26" i="3" s="1"/>
  <c r="OP26" i="3" s="1"/>
  <c r="OQ26" i="3" s="1"/>
  <c r="OR26" i="3" s="1"/>
  <c r="OS26" i="3" s="1"/>
  <c r="OT26" i="3" s="1"/>
  <c r="OU26" i="3" s="1"/>
  <c r="OV26" i="3" s="1"/>
  <c r="OW26" i="3" s="1"/>
  <c r="OX26" i="3" s="1"/>
  <c r="OY26" i="3" s="1"/>
  <c r="OZ26" i="3" s="1"/>
  <c r="PA26" i="3" s="1"/>
  <c r="PB26" i="3" s="1"/>
  <c r="PC26" i="3" s="1"/>
  <c r="PD26" i="3" s="1"/>
  <c r="PE26" i="3" s="1"/>
  <c r="PF26" i="3" s="1"/>
  <c r="PG26" i="3" s="1"/>
  <c r="PH26" i="3" s="1"/>
  <c r="PI26" i="3" s="1"/>
  <c r="PJ26" i="3" s="1"/>
  <c r="PK26" i="3" s="1"/>
  <c r="PL26" i="3" s="1"/>
  <c r="PM26" i="3" s="1"/>
  <c r="PN26" i="3" s="1"/>
  <c r="PO26" i="3" s="1"/>
  <c r="PP26" i="3" s="1"/>
  <c r="PQ26" i="3" s="1"/>
  <c r="PR26" i="3" s="1"/>
  <c r="PS26" i="3" s="1"/>
  <c r="PT26" i="3" s="1"/>
  <c r="PU26" i="3" s="1"/>
  <c r="PV26" i="3" s="1"/>
  <c r="PW26" i="3" s="1"/>
  <c r="PX26" i="3" s="1"/>
  <c r="PY26" i="3" s="1"/>
  <c r="PZ26" i="3" s="1"/>
  <c r="QA26" i="3" s="1"/>
  <c r="QB26" i="3" s="1"/>
  <c r="QC26" i="3" s="1"/>
  <c r="QD26" i="3" s="1"/>
  <c r="QE26" i="3" s="1"/>
  <c r="QF26" i="3" s="1"/>
  <c r="QG26" i="3" s="1"/>
  <c r="QH26" i="3" s="1"/>
  <c r="QI26" i="3" s="1"/>
  <c r="QJ26" i="3" s="1"/>
  <c r="QK26" i="3" s="1"/>
  <c r="QL26" i="3" s="1"/>
  <c r="QM26" i="3" s="1"/>
  <c r="QN26" i="3" s="1"/>
  <c r="QO26" i="3" s="1"/>
  <c r="QP26" i="3" s="1"/>
  <c r="QQ26" i="3" s="1"/>
  <c r="QR26" i="3" s="1"/>
  <c r="QS26" i="3" s="1"/>
  <c r="QT26" i="3" s="1"/>
  <c r="QU26" i="3" s="1"/>
  <c r="QV26" i="3" s="1"/>
  <c r="QW26" i="3" s="1"/>
  <c r="QX26" i="3" s="1"/>
  <c r="QY26" i="3" s="1"/>
  <c r="QZ26" i="3" s="1"/>
  <c r="RA26" i="3" s="1"/>
  <c r="RB26" i="3" s="1"/>
  <c r="RC26" i="3" s="1"/>
  <c r="RD26" i="3" s="1"/>
  <c r="RE26" i="3" s="1"/>
  <c r="RF26" i="3" s="1"/>
  <c r="RG26" i="3" s="1"/>
  <c r="RH26" i="3" s="1"/>
  <c r="RI26" i="3" s="1"/>
  <c r="RJ26" i="3" s="1"/>
  <c r="RK26" i="3" s="1"/>
  <c r="RL26" i="3" s="1"/>
  <c r="RM26" i="3" s="1"/>
  <c r="RN26" i="3" s="1"/>
  <c r="RO26" i="3" s="1"/>
  <c r="RP26" i="3" s="1"/>
  <c r="RQ26" i="3" s="1"/>
  <c r="RR26" i="3" s="1"/>
  <c r="RS26" i="3" s="1"/>
  <c r="RT26" i="3" s="1"/>
  <c r="RU26" i="3" s="1"/>
  <c r="RV26" i="3" s="1"/>
  <c r="RW26" i="3" s="1"/>
  <c r="RX26" i="3" s="1"/>
  <c r="RY26" i="3" s="1"/>
  <c r="RZ26" i="3" s="1"/>
  <c r="SA26" i="3" s="1"/>
  <c r="SB26" i="3" s="1"/>
  <c r="SC26" i="3" s="1"/>
  <c r="SD26" i="3" s="1"/>
  <c r="SE26" i="3" s="1"/>
  <c r="SF26" i="3" s="1"/>
  <c r="SG26" i="3" s="1"/>
  <c r="SH26" i="3" s="1"/>
  <c r="SI26" i="3" s="1"/>
  <c r="SJ26" i="3" s="1"/>
  <c r="SK26" i="3" s="1"/>
  <c r="SL26" i="3" s="1"/>
  <c r="SM26" i="3" s="1"/>
  <c r="SN26" i="3" s="1"/>
  <c r="SO26" i="3" s="1"/>
  <c r="SP26" i="3" s="1"/>
  <c r="SQ26" i="3" s="1"/>
  <c r="SR26" i="3" s="1"/>
  <c r="SS26" i="3" s="1"/>
  <c r="ST26" i="3" s="1"/>
  <c r="SU26" i="3" s="1"/>
  <c r="SV26" i="3" s="1"/>
  <c r="SW26" i="3" s="1"/>
  <c r="SX26" i="3" s="1"/>
  <c r="SY26" i="3" s="1"/>
  <c r="SZ26" i="3" s="1"/>
  <c r="TA26" i="3" s="1"/>
  <c r="TB26" i="3" s="1"/>
  <c r="TC26" i="3" s="1"/>
  <c r="TD26" i="3" s="1"/>
  <c r="TE26" i="3" s="1"/>
  <c r="TF26" i="3" s="1"/>
  <c r="TG26" i="3" s="1"/>
  <c r="TH26" i="3" s="1"/>
  <c r="TI26" i="3" s="1"/>
  <c r="TJ26" i="3" s="1"/>
  <c r="TK26" i="3" s="1"/>
  <c r="TL26" i="3" s="1"/>
  <c r="TM26" i="3" s="1"/>
  <c r="TN26" i="3" s="1"/>
  <c r="TO26" i="3" s="1"/>
  <c r="TP26" i="3" s="1"/>
  <c r="TQ26" i="3" s="1"/>
  <c r="TR26" i="3" s="1"/>
  <c r="TS26" i="3" s="1"/>
  <c r="TT26" i="3" s="1"/>
  <c r="TU26" i="3" s="1"/>
  <c r="TV26" i="3" s="1"/>
  <c r="TW26" i="3" s="1"/>
  <c r="TX26" i="3" s="1"/>
  <c r="TY26" i="3" s="1"/>
  <c r="TZ26" i="3" s="1"/>
  <c r="UA26" i="3" s="1"/>
  <c r="UB26" i="3" s="1"/>
  <c r="UC26" i="3" s="1"/>
  <c r="AX26" i="3"/>
  <c r="AL95" i="3" l="1"/>
  <c r="AO26" i="3"/>
  <c r="AP26" i="3" s="1"/>
  <c r="AQ26" i="3" s="1"/>
  <c r="AR26" i="3" s="1"/>
  <c r="AS26" i="3" s="1"/>
  <c r="AT26" i="3" s="1"/>
  <c r="AU26" i="3" s="1"/>
  <c r="AV26" i="3" s="1"/>
  <c r="AW26" i="3" s="1"/>
  <c r="AN26" i="3"/>
  <c r="AF45" i="3"/>
  <c r="AG45" i="3"/>
  <c r="AH45" i="3"/>
  <c r="AI45" i="3"/>
  <c r="AJ45" i="3"/>
  <c r="AK45" i="3"/>
  <c r="AL45" i="3"/>
  <c r="AM45" i="3"/>
  <c r="AF26" i="3"/>
  <c r="AG26" i="3"/>
  <c r="AH26" i="3"/>
  <c r="AI26" i="3"/>
  <c r="AJ26" i="3"/>
  <c r="AK26" i="3"/>
  <c r="AL26" i="3"/>
  <c r="AM26" i="3"/>
  <c r="AE26" i="3"/>
  <c r="AG11" i="3"/>
  <c r="AG47" i="3" s="1"/>
  <c r="AH11" i="3"/>
  <c r="AH47" i="3" s="1"/>
  <c r="AI11" i="3"/>
  <c r="AI47" i="3" s="1"/>
  <c r="AJ11" i="3"/>
  <c r="AJ47" i="3" s="1"/>
  <c r="AK11" i="3"/>
  <c r="AL11" i="3"/>
  <c r="AM11" i="3"/>
  <c r="AK47" i="3"/>
  <c r="AL47" i="3"/>
  <c r="AM47" i="3"/>
  <c r="AF47" i="3"/>
  <c r="AF11" i="3"/>
  <c r="AM39" i="3"/>
  <c r="AL39" i="3"/>
  <c r="AK39" i="3"/>
  <c r="AJ39" i="3"/>
  <c r="AI39" i="3"/>
  <c r="AH39" i="3"/>
  <c r="AG39" i="3"/>
  <c r="AF39" i="3"/>
  <c r="AM3" i="3"/>
  <c r="AL3" i="3"/>
  <c r="AK3" i="3"/>
  <c r="AJ3" i="3"/>
  <c r="AI3" i="3"/>
  <c r="AH3" i="3"/>
  <c r="AG3" i="3"/>
  <c r="AF3" i="3"/>
  <c r="AF57" i="3"/>
  <c r="AG57" i="3" s="1"/>
  <c r="AH57" i="3" s="1"/>
  <c r="AI57" i="3" s="1"/>
  <c r="AJ57" i="3" s="1"/>
  <c r="AK57" i="3" s="1"/>
  <c r="AL57" i="3" s="1"/>
  <c r="AM57" i="3" s="1"/>
  <c r="AG53" i="3"/>
  <c r="AH53" i="3" s="1"/>
  <c r="AI53" i="3" s="1"/>
  <c r="AJ53" i="3" s="1"/>
  <c r="AK53" i="3" s="1"/>
  <c r="AL53" i="3" s="1"/>
  <c r="AM53" i="3" s="1"/>
  <c r="AF53" i="3"/>
  <c r="AD26" i="3"/>
  <c r="AE39" i="3"/>
  <c r="AD6" i="3"/>
  <c r="AD4" i="3"/>
  <c r="AE4" i="3" s="1"/>
  <c r="AD39" i="3"/>
  <c r="AD47" i="3"/>
  <c r="AC47" i="3"/>
  <c r="AB47" i="3"/>
  <c r="AA47" i="3"/>
  <c r="Z47" i="3"/>
  <c r="AE3" i="3"/>
  <c r="AE47" i="3" s="1"/>
  <c r="AD3" i="3"/>
  <c r="AE57" i="3"/>
  <c r="AD57" i="3"/>
  <c r="AE55" i="3"/>
  <c r="AD55" i="3"/>
  <c r="AE53" i="3"/>
  <c r="AD53" i="3"/>
  <c r="S53" i="3"/>
  <c r="R53" i="3"/>
  <c r="V53" i="3" s="1"/>
  <c r="Q53" i="3"/>
  <c r="U53" i="3" s="1"/>
  <c r="P53" i="3"/>
  <c r="T53" i="3" s="1"/>
  <c r="O53" i="3"/>
  <c r="AC58" i="3"/>
  <c r="AB58" i="3"/>
  <c r="AA58" i="3"/>
  <c r="N58" i="3"/>
  <c r="M58" i="3"/>
  <c r="L58" i="3"/>
  <c r="K58" i="3"/>
  <c r="J58" i="3"/>
  <c r="I58" i="3"/>
  <c r="H58" i="3"/>
  <c r="G58" i="3"/>
  <c r="AC57" i="3"/>
  <c r="AB57" i="3"/>
  <c r="AA57" i="3"/>
  <c r="Z57" i="3"/>
  <c r="N57" i="3"/>
  <c r="M57" i="3"/>
  <c r="L57" i="3"/>
  <c r="K57" i="3"/>
  <c r="J57" i="3"/>
  <c r="I57" i="3"/>
  <c r="H57" i="3"/>
  <c r="G57" i="3"/>
  <c r="F57" i="3"/>
  <c r="E57" i="3"/>
  <c r="D57" i="3"/>
  <c r="C57" i="3"/>
  <c r="AE89" i="3"/>
  <c r="AE90" i="3" s="1"/>
  <c r="AD89" i="3"/>
  <c r="AC93" i="3"/>
  <c r="AB93" i="3"/>
  <c r="AA93" i="3"/>
  <c r="Z93" i="3"/>
  <c r="M93" i="3"/>
  <c r="L93" i="3"/>
  <c r="K93" i="3"/>
  <c r="J93" i="3"/>
  <c r="I93" i="3"/>
  <c r="H93" i="3"/>
  <c r="G93" i="3"/>
  <c r="F93" i="3"/>
  <c r="E93" i="3"/>
  <c r="D93" i="3"/>
  <c r="C93" i="3"/>
  <c r="N93" i="3"/>
  <c r="J95" i="3"/>
  <c r="M95" i="3"/>
  <c r="L95" i="3"/>
  <c r="K95" i="3"/>
  <c r="I95" i="3"/>
  <c r="H95" i="3"/>
  <c r="G95" i="3"/>
  <c r="N95" i="3"/>
  <c r="AC95" i="3"/>
  <c r="AB95" i="3"/>
  <c r="AA95" i="3"/>
  <c r="AE88" i="3"/>
  <c r="AD88" i="3"/>
  <c r="AC24" i="3"/>
  <c r="AB24" i="3"/>
  <c r="AA24" i="3"/>
  <c r="Z24" i="3"/>
  <c r="N24" i="3"/>
  <c r="M24" i="3"/>
  <c r="L24" i="3"/>
  <c r="K24" i="3"/>
  <c r="J24" i="3"/>
  <c r="I24" i="3"/>
  <c r="H24" i="3"/>
  <c r="G24" i="3"/>
  <c r="F24" i="3"/>
  <c r="E24" i="3"/>
  <c r="D24" i="3"/>
  <c r="C24" i="3"/>
  <c r="G35" i="3"/>
  <c r="AC20" i="3"/>
  <c r="AC35" i="3" s="1"/>
  <c r="AB20" i="3"/>
  <c r="AB35" i="3" s="1"/>
  <c r="AA20" i="3"/>
  <c r="AA35" i="3" s="1"/>
  <c r="Z20" i="3"/>
  <c r="Z35" i="3" s="1"/>
  <c r="M20" i="3"/>
  <c r="M35" i="3" s="1"/>
  <c r="L20" i="3"/>
  <c r="L35" i="3" s="1"/>
  <c r="K20" i="3"/>
  <c r="K35" i="3" s="1"/>
  <c r="J20" i="3"/>
  <c r="J35" i="3" s="1"/>
  <c r="I20" i="3"/>
  <c r="I35" i="3" s="1"/>
  <c r="H20" i="3"/>
  <c r="H35" i="3" s="1"/>
  <c r="G20" i="3"/>
  <c r="F20" i="3"/>
  <c r="F35" i="3" s="1"/>
  <c r="E20" i="3"/>
  <c r="E35" i="3" s="1"/>
  <c r="D20" i="3"/>
  <c r="D35" i="3" s="1"/>
  <c r="C20" i="3"/>
  <c r="C35" i="3" s="1"/>
  <c r="N20" i="3"/>
  <c r="N35" i="3" s="1"/>
  <c r="AE11" i="3"/>
  <c r="AD11" i="3"/>
  <c r="L6" i="1"/>
  <c r="L5" i="1"/>
  <c r="N60" i="3"/>
  <c r="AB82" i="3"/>
  <c r="AB84" i="3" s="1"/>
  <c r="AA82" i="3"/>
  <c r="AA84" i="3" s="1"/>
  <c r="Z82" i="3"/>
  <c r="Z84" i="3" s="1"/>
  <c r="V82" i="3"/>
  <c r="V84" i="3" s="1"/>
  <c r="U82" i="3"/>
  <c r="U84" i="3" s="1"/>
  <c r="T82" i="3"/>
  <c r="T84" i="3" s="1"/>
  <c r="S82" i="3"/>
  <c r="S84" i="3" s="1"/>
  <c r="R82" i="3"/>
  <c r="R84" i="3" s="1"/>
  <c r="Q82" i="3"/>
  <c r="Q84" i="3" s="1"/>
  <c r="P82" i="3"/>
  <c r="P84" i="3" s="1"/>
  <c r="O82" i="3"/>
  <c r="O84" i="3" s="1"/>
  <c r="M82" i="3"/>
  <c r="M84" i="3" s="1"/>
  <c r="L82" i="3"/>
  <c r="L84" i="3" s="1"/>
  <c r="K82" i="3"/>
  <c r="K84" i="3" s="1"/>
  <c r="J82" i="3"/>
  <c r="J84" i="3" s="1"/>
  <c r="I82" i="3"/>
  <c r="I84" i="3" s="1"/>
  <c r="H82" i="3"/>
  <c r="H84" i="3" s="1"/>
  <c r="G82" i="3"/>
  <c r="G84" i="3" s="1"/>
  <c r="F82" i="3"/>
  <c r="F84" i="3" s="1"/>
  <c r="E82" i="3"/>
  <c r="E84" i="3" s="1"/>
  <c r="D82" i="3"/>
  <c r="D84" i="3" s="1"/>
  <c r="C82" i="3"/>
  <c r="C84" i="3" s="1"/>
  <c r="N82" i="3"/>
  <c r="N84" i="3" s="1"/>
  <c r="AB72" i="3"/>
  <c r="AA72" i="3"/>
  <c r="Z72" i="3"/>
  <c r="V72" i="3"/>
  <c r="U72" i="3"/>
  <c r="T72" i="3"/>
  <c r="S72" i="3"/>
  <c r="R72" i="3"/>
  <c r="Q72" i="3"/>
  <c r="P72" i="3"/>
  <c r="O72" i="3"/>
  <c r="M72" i="3"/>
  <c r="L72" i="3"/>
  <c r="K72" i="3"/>
  <c r="J72" i="3"/>
  <c r="I72" i="3"/>
  <c r="H72" i="3"/>
  <c r="G72" i="3"/>
  <c r="F72" i="3"/>
  <c r="E72" i="3"/>
  <c r="D72" i="3"/>
  <c r="C72" i="3"/>
  <c r="N72" i="3"/>
  <c r="AC90" i="3"/>
  <c r="AC94" i="3" s="1"/>
  <c r="AB90" i="3"/>
  <c r="AA90" i="3"/>
  <c r="AB94" i="3" s="1"/>
  <c r="Z90" i="3"/>
  <c r="AA94" i="3" s="1"/>
  <c r="V90" i="3"/>
  <c r="V94" i="3" s="1"/>
  <c r="U90" i="3"/>
  <c r="U94" i="3" s="1"/>
  <c r="T90" i="3"/>
  <c r="T94" i="3" s="1"/>
  <c r="S90" i="3"/>
  <c r="R90" i="3"/>
  <c r="R94" i="3" s="1"/>
  <c r="Q90" i="3"/>
  <c r="Q94" i="3" s="1"/>
  <c r="P90" i="3"/>
  <c r="P94" i="3" s="1"/>
  <c r="O90" i="3"/>
  <c r="S94" i="3" s="1"/>
  <c r="M90" i="3"/>
  <c r="M94" i="3" s="1"/>
  <c r="L90" i="3"/>
  <c r="L94" i="3" s="1"/>
  <c r="K90" i="3"/>
  <c r="K94" i="3" s="1"/>
  <c r="J90" i="3"/>
  <c r="J94" i="3" s="1"/>
  <c r="I90" i="3"/>
  <c r="I94" i="3" s="1"/>
  <c r="H90" i="3"/>
  <c r="H94" i="3" s="1"/>
  <c r="G90" i="3"/>
  <c r="G94" i="3" s="1"/>
  <c r="F90" i="3"/>
  <c r="E90" i="3"/>
  <c r="D90" i="3"/>
  <c r="C90" i="3"/>
  <c r="N90" i="3"/>
  <c r="N94" i="3" s="1"/>
  <c r="AB44" i="3"/>
  <c r="AA44" i="3"/>
  <c r="AC44" i="3"/>
  <c r="AC42" i="3"/>
  <c r="AB42" i="3"/>
  <c r="AA42" i="3"/>
  <c r="AC41" i="3"/>
  <c r="AB41" i="3"/>
  <c r="AA41" i="3"/>
  <c r="AC40" i="3"/>
  <c r="AB40" i="3"/>
  <c r="AA40" i="3"/>
  <c r="AB39" i="3"/>
  <c r="AA39" i="3"/>
  <c r="AC39" i="3"/>
  <c r="M42" i="3"/>
  <c r="L42" i="3"/>
  <c r="K42" i="3"/>
  <c r="J42" i="3"/>
  <c r="I42" i="3"/>
  <c r="H42" i="3"/>
  <c r="G42" i="3"/>
  <c r="M41" i="3"/>
  <c r="L41" i="3"/>
  <c r="K41" i="3"/>
  <c r="J41" i="3"/>
  <c r="I41" i="3"/>
  <c r="H41" i="3"/>
  <c r="G41" i="3"/>
  <c r="M40" i="3"/>
  <c r="L40" i="3"/>
  <c r="K40" i="3"/>
  <c r="J40" i="3"/>
  <c r="I40" i="3"/>
  <c r="H40" i="3"/>
  <c r="G40" i="3"/>
  <c r="M39" i="3"/>
  <c r="L39" i="3"/>
  <c r="K39" i="3"/>
  <c r="J39" i="3"/>
  <c r="I39" i="3"/>
  <c r="H39" i="3"/>
  <c r="G39" i="3"/>
  <c r="M44" i="3"/>
  <c r="L44" i="3"/>
  <c r="K44" i="3"/>
  <c r="J44" i="3"/>
  <c r="I44" i="3"/>
  <c r="H44" i="3"/>
  <c r="G44" i="3"/>
  <c r="N44" i="3"/>
  <c r="N42" i="3"/>
  <c r="N41" i="3"/>
  <c r="N40" i="3"/>
  <c r="N39" i="3"/>
  <c r="AB55" i="3"/>
  <c r="AA55" i="3"/>
  <c r="AC55" i="3"/>
  <c r="M55" i="3"/>
  <c r="L55" i="3"/>
  <c r="K55" i="3"/>
  <c r="J55" i="3"/>
  <c r="I55" i="3"/>
  <c r="H55" i="3"/>
  <c r="G55" i="3"/>
  <c r="N55" i="3"/>
  <c r="M54" i="3"/>
  <c r="L54" i="3"/>
  <c r="K54" i="3"/>
  <c r="J54" i="3"/>
  <c r="I54" i="3"/>
  <c r="H54" i="3"/>
  <c r="G54" i="3"/>
  <c r="F54" i="3"/>
  <c r="E54" i="3"/>
  <c r="D54" i="3"/>
  <c r="N54" i="3"/>
  <c r="AD7" i="3" l="1"/>
  <c r="AE6" i="3"/>
  <c r="AE7" i="3"/>
  <c r="O94" i="3"/>
  <c r="AE95" i="3"/>
  <c r="AD95" i="3"/>
  <c r="AD90" i="3"/>
  <c r="AE45" i="3"/>
  <c r="AD94" i="3" l="1"/>
  <c r="AE94" i="3"/>
  <c r="AB114" i="3" l="1"/>
  <c r="AA114" i="3"/>
  <c r="AC114" i="3"/>
  <c r="M114" i="3"/>
  <c r="L114" i="3"/>
  <c r="K114" i="3"/>
  <c r="J114" i="3"/>
  <c r="I114" i="3"/>
  <c r="H114" i="3"/>
  <c r="G114" i="3"/>
  <c r="N114" i="3"/>
  <c r="M113" i="3"/>
  <c r="L113" i="3"/>
  <c r="K113" i="3"/>
  <c r="J113" i="3"/>
  <c r="I113" i="3"/>
  <c r="H113" i="3"/>
  <c r="G113" i="3"/>
  <c r="F113" i="3"/>
  <c r="E113" i="3"/>
  <c r="D113" i="3"/>
  <c r="N113" i="3"/>
  <c r="AB105" i="3"/>
  <c r="AA105" i="3"/>
  <c r="AC104" i="3"/>
  <c r="AB104" i="3"/>
  <c r="AA104" i="3"/>
  <c r="AC103" i="3"/>
  <c r="AB103" i="3"/>
  <c r="AA103" i="3"/>
  <c r="AC105" i="3"/>
  <c r="N105" i="3"/>
  <c r="M105" i="3"/>
  <c r="L105" i="3"/>
  <c r="K105" i="3"/>
  <c r="J105" i="3"/>
  <c r="I105" i="3"/>
  <c r="H105" i="3"/>
  <c r="G105" i="3"/>
  <c r="N104" i="3"/>
  <c r="M104" i="3"/>
  <c r="L104" i="3"/>
  <c r="K104" i="3"/>
  <c r="J104" i="3"/>
  <c r="I104" i="3"/>
  <c r="H104" i="3"/>
  <c r="G104" i="3"/>
  <c r="M103" i="3"/>
  <c r="L103" i="3"/>
  <c r="K103" i="3"/>
  <c r="J103" i="3"/>
  <c r="I103" i="3"/>
  <c r="H103" i="3"/>
  <c r="G103" i="3"/>
  <c r="N103" i="3"/>
  <c r="AC101" i="3" l="1"/>
  <c r="AB101" i="3"/>
  <c r="AA101" i="3"/>
  <c r="Z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AC17" i="3"/>
  <c r="AB17" i="3"/>
  <c r="AA17" i="3"/>
  <c r="Z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AC11" i="3"/>
  <c r="AB11" i="3"/>
  <c r="AA11" i="3"/>
  <c r="Z11" i="3"/>
  <c r="V13" i="3"/>
  <c r="U13" i="3"/>
  <c r="T13" i="3"/>
  <c r="S13" i="3"/>
  <c r="R13" i="3"/>
  <c r="Q13" i="3"/>
  <c r="Q18" i="3" s="1"/>
  <c r="P13" i="3"/>
  <c r="P18" i="3" s="1"/>
  <c r="O13" i="3"/>
  <c r="O18" i="3" s="1"/>
  <c r="N11" i="3"/>
  <c r="M11" i="3"/>
  <c r="L11" i="3"/>
  <c r="K11" i="3"/>
  <c r="J11" i="3"/>
  <c r="I11" i="3"/>
  <c r="H11" i="3"/>
  <c r="G11" i="3"/>
  <c r="F11" i="3"/>
  <c r="E11" i="3"/>
  <c r="D11" i="3"/>
  <c r="C11" i="3"/>
  <c r="AC7" i="3"/>
  <c r="AB7" i="3"/>
  <c r="AA7" i="3"/>
  <c r="Z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L4" i="1"/>
  <c r="L9" i="1" s="1"/>
  <c r="V18" i="3" l="1"/>
  <c r="E92" i="3"/>
  <c r="E37" i="3"/>
  <c r="E36" i="3"/>
  <c r="J92" i="3"/>
  <c r="J37" i="3"/>
  <c r="J36" i="3"/>
  <c r="AA92" i="3"/>
  <c r="AA36" i="3"/>
  <c r="AA37" i="3"/>
  <c r="M92" i="3"/>
  <c r="M37" i="3"/>
  <c r="M36" i="3"/>
  <c r="AB92" i="3"/>
  <c r="AB36" i="3"/>
  <c r="AB37" i="3"/>
  <c r="H37" i="3"/>
  <c r="H36" i="3"/>
  <c r="Z92" i="3"/>
  <c r="Z36" i="3"/>
  <c r="Z37" i="3"/>
  <c r="N92" i="3"/>
  <c r="N36" i="3"/>
  <c r="N37" i="3"/>
  <c r="AC37" i="3"/>
  <c r="AC36" i="3"/>
  <c r="F92" i="3"/>
  <c r="F37" i="3"/>
  <c r="F36" i="3"/>
  <c r="G36" i="3"/>
  <c r="G37" i="3"/>
  <c r="I92" i="3"/>
  <c r="I37" i="3"/>
  <c r="I36" i="3"/>
  <c r="C92" i="3"/>
  <c r="C37" i="3"/>
  <c r="C36" i="3"/>
  <c r="K92" i="3"/>
  <c r="K37" i="3"/>
  <c r="K36" i="3"/>
  <c r="L92" i="3"/>
  <c r="L36" i="3"/>
  <c r="L37" i="3"/>
  <c r="D92" i="3"/>
  <c r="D37" i="3"/>
  <c r="D36" i="3"/>
  <c r="T18" i="3"/>
  <c r="AD45" i="3"/>
  <c r="H45" i="3"/>
  <c r="H92" i="3"/>
  <c r="G45" i="3"/>
  <c r="G92" i="3"/>
  <c r="I45" i="3"/>
  <c r="J45" i="3"/>
  <c r="E48" i="3"/>
  <c r="E49" i="3"/>
  <c r="E50" i="3"/>
  <c r="E47" i="3"/>
  <c r="F49" i="3"/>
  <c r="F50" i="3"/>
  <c r="F48" i="3"/>
  <c r="F47" i="3"/>
  <c r="H50" i="3"/>
  <c r="H47" i="3"/>
  <c r="H49" i="3"/>
  <c r="H48" i="3"/>
  <c r="K47" i="3"/>
  <c r="K48" i="3"/>
  <c r="K49" i="3"/>
  <c r="K50" i="3"/>
  <c r="K45" i="3"/>
  <c r="AA48" i="3"/>
  <c r="AA50" i="3"/>
  <c r="AA49" i="3"/>
  <c r="AA45" i="3"/>
  <c r="AB48" i="3"/>
  <c r="AB50" i="3"/>
  <c r="AB49" i="3"/>
  <c r="M45" i="3"/>
  <c r="AC45" i="3"/>
  <c r="C47" i="3"/>
  <c r="C48" i="3"/>
  <c r="C49" i="3"/>
  <c r="C50" i="3"/>
  <c r="G50" i="3"/>
  <c r="G47" i="3"/>
  <c r="G49" i="3"/>
  <c r="G48" i="3"/>
  <c r="I48" i="3"/>
  <c r="I50" i="3"/>
  <c r="I47" i="3"/>
  <c r="I49" i="3"/>
  <c r="J47" i="3"/>
  <c r="J50" i="3"/>
  <c r="J49" i="3"/>
  <c r="J48" i="3"/>
  <c r="Z49" i="3"/>
  <c r="Z48" i="3"/>
  <c r="Z50" i="3"/>
  <c r="L47" i="3"/>
  <c r="L48" i="3"/>
  <c r="L49" i="3"/>
  <c r="L50" i="3"/>
  <c r="L45" i="3"/>
  <c r="M47" i="3"/>
  <c r="M48" i="3"/>
  <c r="M49" i="3"/>
  <c r="M50" i="3"/>
  <c r="AB45" i="3"/>
  <c r="N50" i="3"/>
  <c r="N49" i="3"/>
  <c r="N48" i="3"/>
  <c r="N47" i="3"/>
  <c r="AC48" i="3"/>
  <c r="AC50" i="3"/>
  <c r="AC49" i="3"/>
  <c r="D47" i="3"/>
  <c r="D48" i="3"/>
  <c r="D49" i="3"/>
  <c r="D50" i="3"/>
  <c r="N45" i="3"/>
  <c r="R18" i="3"/>
  <c r="S18" i="3"/>
  <c r="U18" i="3"/>
  <c r="G13" i="3"/>
  <c r="G115" i="3"/>
  <c r="H13" i="3"/>
  <c r="H115" i="3"/>
  <c r="F13" i="3"/>
  <c r="F115" i="3"/>
  <c r="I13" i="3"/>
  <c r="I115" i="3"/>
  <c r="K13" i="3"/>
  <c r="K115" i="3"/>
  <c r="L13" i="3"/>
  <c r="L115" i="3"/>
  <c r="AB13" i="3"/>
  <c r="AB115" i="3"/>
  <c r="N13" i="3"/>
  <c r="N115" i="3"/>
  <c r="C13" i="3"/>
  <c r="C115" i="3"/>
  <c r="E13" i="3"/>
  <c r="E115" i="3"/>
  <c r="J13" i="3"/>
  <c r="J115" i="3"/>
  <c r="Z13" i="3"/>
  <c r="Z115" i="3"/>
  <c r="AA13" i="3"/>
  <c r="AA115" i="3"/>
  <c r="M13" i="3"/>
  <c r="M115" i="3"/>
  <c r="AC13" i="3"/>
  <c r="AC115" i="3"/>
  <c r="D13" i="3"/>
  <c r="D115" i="3"/>
  <c r="G107" i="3"/>
  <c r="G108" i="3"/>
  <c r="G109" i="3"/>
  <c r="J109" i="3"/>
  <c r="J107" i="3"/>
  <c r="J108" i="3"/>
  <c r="E108" i="3"/>
  <c r="E109" i="3"/>
  <c r="E107" i="3"/>
  <c r="L107" i="3"/>
  <c r="L108" i="3"/>
  <c r="L109" i="3"/>
  <c r="AA108" i="3"/>
  <c r="AA107" i="3"/>
  <c r="AA109" i="3"/>
  <c r="M109" i="3"/>
  <c r="M107" i="3"/>
  <c r="M108" i="3"/>
  <c r="AB108" i="3"/>
  <c r="AB107" i="3"/>
  <c r="AB109" i="3"/>
  <c r="K109" i="3"/>
  <c r="K108" i="3"/>
  <c r="K107" i="3"/>
  <c r="N109" i="3"/>
  <c r="N108" i="3"/>
  <c r="N107" i="3"/>
  <c r="AC108" i="3"/>
  <c r="AC107" i="3"/>
  <c r="AC109" i="3"/>
  <c r="H107" i="3"/>
  <c r="H108" i="3"/>
  <c r="H109" i="3"/>
  <c r="Z109" i="3"/>
  <c r="Z108" i="3"/>
  <c r="Z107" i="3"/>
  <c r="C107" i="3"/>
  <c r="C108" i="3"/>
  <c r="C109" i="3"/>
  <c r="F107" i="3"/>
  <c r="F108" i="3"/>
  <c r="F109" i="3"/>
  <c r="I108" i="3"/>
  <c r="I109" i="3"/>
  <c r="I107" i="3"/>
  <c r="D107" i="3"/>
  <c r="D108" i="3"/>
  <c r="D109" i="3"/>
  <c r="E18" i="3" l="1"/>
  <c r="E32" i="3"/>
  <c r="E30" i="3"/>
  <c r="E29" i="3"/>
  <c r="E31" i="3"/>
  <c r="AC18" i="3"/>
  <c r="AC32" i="3"/>
  <c r="AC29" i="3"/>
  <c r="AC31" i="3"/>
  <c r="AC30" i="3"/>
  <c r="M18" i="3"/>
  <c r="M29" i="3"/>
  <c r="M30" i="3"/>
  <c r="M31" i="3"/>
  <c r="M32" i="3"/>
  <c r="H18" i="3"/>
  <c r="H29" i="3"/>
  <c r="H32" i="3"/>
  <c r="H31" i="3"/>
  <c r="H30" i="3"/>
  <c r="K18" i="3"/>
  <c r="K29" i="3"/>
  <c r="K30" i="3"/>
  <c r="K31" i="3"/>
  <c r="K32" i="3"/>
  <c r="D18" i="3"/>
  <c r="D31" i="3"/>
  <c r="D32" i="3"/>
  <c r="D30" i="3"/>
  <c r="D29" i="3"/>
  <c r="I18" i="3"/>
  <c r="I29" i="3"/>
  <c r="I30" i="3"/>
  <c r="I32" i="3"/>
  <c r="I31" i="3"/>
  <c r="F18" i="3"/>
  <c r="F32" i="3"/>
  <c r="F29" i="3"/>
  <c r="F31" i="3"/>
  <c r="F30" i="3"/>
  <c r="J18" i="3"/>
  <c r="J29" i="3"/>
  <c r="J30" i="3"/>
  <c r="J31" i="3"/>
  <c r="J32" i="3"/>
  <c r="C18" i="3"/>
  <c r="C30" i="3"/>
  <c r="C31" i="3"/>
  <c r="C32" i="3"/>
  <c r="C29" i="3"/>
  <c r="AA18" i="3"/>
  <c r="AA32" i="3"/>
  <c r="AA29" i="3"/>
  <c r="AA31" i="3"/>
  <c r="AA30" i="3"/>
  <c r="AB18" i="3"/>
  <c r="AB32" i="3"/>
  <c r="AB29" i="3"/>
  <c r="AB31" i="3"/>
  <c r="AB30" i="3"/>
  <c r="G18" i="3"/>
  <c r="G30" i="3"/>
  <c r="G32" i="3"/>
  <c r="G29" i="3"/>
  <c r="G31" i="3"/>
  <c r="Z18" i="3"/>
  <c r="Z30" i="3"/>
  <c r="Z32" i="3"/>
  <c r="Z29" i="3"/>
  <c r="Z31" i="3"/>
  <c r="L18" i="3"/>
  <c r="L29" i="3"/>
  <c r="L30" i="3"/>
  <c r="L31" i="3"/>
  <c r="L32" i="3"/>
  <c r="N18" i="3"/>
  <c r="N29" i="3"/>
  <c r="N32" i="3"/>
  <c r="N31" i="3"/>
  <c r="N30" i="3"/>
  <c r="J116" i="3"/>
  <c r="K116" i="3"/>
  <c r="AC116" i="3"/>
  <c r="L116" i="3"/>
  <c r="H116" i="3"/>
  <c r="I116" i="3"/>
  <c r="M116" i="3"/>
  <c r="N116" i="3"/>
  <c r="AA116" i="3"/>
  <c r="AB116" i="3"/>
  <c r="G116" i="3"/>
  <c r="L33" i="3" l="1"/>
  <c r="L19" i="3"/>
  <c r="L34" i="3" s="1"/>
  <c r="M33" i="3"/>
  <c r="M19" i="3"/>
  <c r="M34" i="3" s="1"/>
  <c r="AC33" i="3"/>
  <c r="AC19" i="3"/>
  <c r="AC34" i="3" s="1"/>
  <c r="J33" i="3"/>
  <c r="J19" i="3"/>
  <c r="J34" i="3" s="1"/>
  <c r="N33" i="3"/>
  <c r="N19" i="3"/>
  <c r="N34" i="3" s="1"/>
  <c r="H33" i="3"/>
  <c r="H19" i="3"/>
  <c r="H34" i="3" s="1"/>
  <c r="K33" i="3"/>
  <c r="K19" i="3"/>
  <c r="K34" i="3" s="1"/>
  <c r="F33" i="3"/>
  <c r="F19" i="3"/>
  <c r="F34" i="3" s="1"/>
  <c r="I33" i="3"/>
  <c r="I19" i="3"/>
  <c r="I34" i="3" s="1"/>
  <c r="Z33" i="3"/>
  <c r="Z19" i="3"/>
  <c r="Z34" i="3" s="1"/>
  <c r="C33" i="3"/>
  <c r="C19" i="3"/>
  <c r="C34" i="3" s="1"/>
  <c r="AB33" i="3"/>
  <c r="AB19" i="3"/>
  <c r="AB34" i="3" s="1"/>
  <c r="AA33" i="3"/>
  <c r="AA19" i="3"/>
  <c r="AA34" i="3" s="1"/>
  <c r="D33" i="3"/>
  <c r="D19" i="3"/>
  <c r="D34" i="3" s="1"/>
  <c r="G33" i="3"/>
  <c r="G19" i="3"/>
  <c r="G34" i="3" s="1"/>
  <c r="E33" i="3"/>
  <c r="E19" i="3"/>
  <c r="E34" i="3" s="1"/>
</calcChain>
</file>

<file path=xl/sharedStrings.xml><?xml version="1.0" encoding="utf-8"?>
<sst xmlns="http://schemas.openxmlformats.org/spreadsheetml/2006/main" count="166" uniqueCount="153">
  <si>
    <t>Price</t>
  </si>
  <si>
    <t>Shares</t>
  </si>
  <si>
    <t>MC</t>
  </si>
  <si>
    <t>Cash</t>
  </si>
  <si>
    <t>Debt</t>
  </si>
  <si>
    <t>EV</t>
  </si>
  <si>
    <t>Main</t>
  </si>
  <si>
    <t>Other</t>
  </si>
  <si>
    <t>COGS</t>
  </si>
  <si>
    <t>Gross Margin</t>
  </si>
  <si>
    <t>R&amp;D</t>
  </si>
  <si>
    <t>M&amp;S</t>
  </si>
  <si>
    <t>G&amp;A</t>
  </si>
  <si>
    <t>OpEx</t>
  </si>
  <si>
    <t>OpInc</t>
  </si>
  <si>
    <t>Net Income</t>
  </si>
  <si>
    <t>Taxes</t>
  </si>
  <si>
    <t>Pretax Income</t>
  </si>
  <si>
    <t>Interest Income</t>
  </si>
  <si>
    <t>EPS</t>
  </si>
  <si>
    <t>CFFO</t>
  </si>
  <si>
    <t>Cloud</t>
  </si>
  <si>
    <t>Data Center</t>
  </si>
  <si>
    <t>Server</t>
  </si>
  <si>
    <t>Jira</t>
  </si>
  <si>
    <t>Trello</t>
  </si>
  <si>
    <t>Confluence</t>
  </si>
  <si>
    <t>Bitbucket</t>
  </si>
  <si>
    <t>Prepaids</t>
  </si>
  <si>
    <t>Goodwill</t>
  </si>
  <si>
    <t>DTA</t>
  </si>
  <si>
    <t>ONCA</t>
  </si>
  <si>
    <t>L+SE</t>
  </si>
  <si>
    <t>ONCL</t>
  </si>
  <si>
    <t>Q1FY23</t>
  </si>
  <si>
    <t>Q1FY24</t>
  </si>
  <si>
    <t>Q1FY25</t>
  </si>
  <si>
    <t>Q1FY26</t>
  </si>
  <si>
    <t>Q1FY27</t>
  </si>
  <si>
    <t>Q2FY23</t>
  </si>
  <si>
    <t>Q3FY23</t>
  </si>
  <si>
    <t>Q4FY23</t>
  </si>
  <si>
    <t>Q2FY24</t>
  </si>
  <si>
    <t>Q3FY24</t>
  </si>
  <si>
    <t>Q4FY24</t>
  </si>
  <si>
    <t>Q2FY25</t>
  </si>
  <si>
    <t>Q3FY25</t>
  </si>
  <si>
    <t>Q4FY25</t>
  </si>
  <si>
    <t>Q2FY26</t>
  </si>
  <si>
    <t>Q3FY26</t>
  </si>
  <si>
    <t>Q4FY26</t>
  </si>
  <si>
    <t>Q2FY27</t>
  </si>
  <si>
    <t>Q3FY27</t>
  </si>
  <si>
    <t>Q4FY27</t>
  </si>
  <si>
    <t>Marketplace and other</t>
  </si>
  <si>
    <t>Total</t>
  </si>
  <si>
    <t>FY2022</t>
  </si>
  <si>
    <t>FY2023</t>
  </si>
  <si>
    <t>FY2024</t>
  </si>
  <si>
    <t>FY2025</t>
  </si>
  <si>
    <t>Subscriptions</t>
  </si>
  <si>
    <t>Total revenues</t>
  </si>
  <si>
    <t>Gross Profit</t>
  </si>
  <si>
    <t>Americas</t>
  </si>
  <si>
    <t>EMEA</t>
  </si>
  <si>
    <t>Asia-Pacific</t>
  </si>
  <si>
    <t>Employee Headcount</t>
  </si>
  <si>
    <t>Asia-Pacific Y/Y</t>
  </si>
  <si>
    <t>Asia-Pacific %</t>
  </si>
  <si>
    <t>EMEA Y/Y</t>
  </si>
  <si>
    <t>Americas Y/Y</t>
  </si>
  <si>
    <t>Americas %</t>
  </si>
  <si>
    <t>EMEA %</t>
  </si>
  <si>
    <t>QoQ Growth</t>
  </si>
  <si>
    <t>YoY Growth</t>
  </si>
  <si>
    <t>Revenue per worker</t>
  </si>
  <si>
    <t>&gt;10K in Cloud ARR</t>
  </si>
  <si>
    <t>YoY Cloud</t>
  </si>
  <si>
    <t>YoY Data Center</t>
  </si>
  <si>
    <t>YoY Server</t>
  </si>
  <si>
    <t>YoY Marketplace and other</t>
  </si>
  <si>
    <t>YoY Subscriptions</t>
  </si>
  <si>
    <t>YoY Revenue</t>
  </si>
  <si>
    <t>R&amp;D Margin</t>
  </si>
  <si>
    <t>M&amp;S Margin</t>
  </si>
  <si>
    <t>G&amp;A Margin</t>
  </si>
  <si>
    <t>Op Margin</t>
  </si>
  <si>
    <t>Interest Margin</t>
  </si>
  <si>
    <t>Net Margin</t>
  </si>
  <si>
    <t>Cloud %</t>
  </si>
  <si>
    <t>Data Center %</t>
  </si>
  <si>
    <t>Server %</t>
  </si>
  <si>
    <t>Marketplace and other %</t>
  </si>
  <si>
    <t>CapEx</t>
  </si>
  <si>
    <t>FCF</t>
  </si>
  <si>
    <t>FCF Margin</t>
  </si>
  <si>
    <t>Net Cash</t>
  </si>
  <si>
    <t>Securities</t>
  </si>
  <si>
    <t>A/R</t>
  </si>
  <si>
    <t>PP&amp;A</t>
  </si>
  <si>
    <t>Operating lease ROU</t>
  </si>
  <si>
    <t>Strategic Investments</t>
  </si>
  <si>
    <t>Intangibles</t>
  </si>
  <si>
    <t>Total Assets</t>
  </si>
  <si>
    <t>A/P</t>
  </si>
  <si>
    <t>Accrued and other current</t>
  </si>
  <si>
    <t>Deferred revenue, current</t>
  </si>
  <si>
    <t>Operating lease liabilities, current</t>
  </si>
  <si>
    <t>Deferred revenue, non-current</t>
  </si>
  <si>
    <t>Operating lease, non-current</t>
  </si>
  <si>
    <t>Long-term debt</t>
  </si>
  <si>
    <t>Deferred tax liabilities</t>
  </si>
  <si>
    <t>Total Liabilities</t>
  </si>
  <si>
    <t xml:space="preserve">SE </t>
  </si>
  <si>
    <t>Q425</t>
  </si>
  <si>
    <t>FY2026</t>
  </si>
  <si>
    <t>FY2027</t>
  </si>
  <si>
    <t>FY2028</t>
  </si>
  <si>
    <t>FY2029</t>
  </si>
  <si>
    <t>FY2030</t>
  </si>
  <si>
    <t>FY2031</t>
  </si>
  <si>
    <t>FY2032</t>
  </si>
  <si>
    <t>FY2033</t>
  </si>
  <si>
    <t>FY2034</t>
  </si>
  <si>
    <t>FY2035</t>
  </si>
  <si>
    <t>FY2036</t>
  </si>
  <si>
    <t>FY2037</t>
  </si>
  <si>
    <t>FY2038</t>
  </si>
  <si>
    <t>FY2039</t>
  </si>
  <si>
    <t>FY2040</t>
  </si>
  <si>
    <t>FY2041</t>
  </si>
  <si>
    <t>FY2042</t>
  </si>
  <si>
    <t>FY2043</t>
  </si>
  <si>
    <t>FY2044</t>
  </si>
  <si>
    <t>FY2045</t>
  </si>
  <si>
    <t>S/O</t>
  </si>
  <si>
    <t>Non-GAAP NI</t>
  </si>
  <si>
    <t>Non-GAAP NI Margin</t>
  </si>
  <si>
    <t>Tax Margin</t>
  </si>
  <si>
    <t>YoY FCF</t>
  </si>
  <si>
    <t>YoY CapEx</t>
  </si>
  <si>
    <t>Non-GAAP CapEx Margin</t>
  </si>
  <si>
    <t>Revenue per customer</t>
  </si>
  <si>
    <t>YoY</t>
  </si>
  <si>
    <t>Non-GAAP NI Model</t>
  </si>
  <si>
    <t>Maturity</t>
  </si>
  <si>
    <t>Discount</t>
  </si>
  <si>
    <t>FCF Model</t>
  </si>
  <si>
    <t>NPV</t>
  </si>
  <si>
    <t>Share</t>
  </si>
  <si>
    <t>Current</t>
  </si>
  <si>
    <t>Return</t>
  </si>
  <si>
    <t>Saas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</si>
</sst>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right"/>
    </xf>
    <xf numFmtId="0" fontId="1" fillId="0" borderId="0" xfId="0" applyFont="1"/>
    <xf numFmtId="0" fontId="2" fillId="0" borderId="0" xfId="1"/>
    <xf numFmtId="3" fontId="1" fillId="0" borderId="0" xfId="0" applyNumberFormat="1" applyFont="1"/>
    <xf numFmtId="4" fontId="0" fillId="0" borderId="0" xfId="0" applyNumberFormat="1"/>
    <xf numFmtId="0" fontId="1" fillId="0" borderId="0" xfId="0" applyFont="1" applyAlignment="1">
      <alignment horizontal="left" indent="1"/>
    </xf>
    <xf numFmtId="3" fontId="1" fillId="0" borderId="0" xfId="0" applyNumberFormat="1" applyFont="1" applyAlignment="1">
      <alignment horizontal="left" indent="1"/>
    </xf>
    <xf numFmtId="164" fontId="0" fillId="0" borderId="0" xfId="0" applyNumberFormat="1"/>
    <xf numFmtId="9" fontId="0" fillId="0" borderId="0" xfId="0" applyNumberFormat="1"/>
    <xf numFmtId="164" fontId="1" fillId="0" borderId="0" xfId="0" applyNumberFormat="1" applyFont="1"/>
    <xf numFmtId="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0BB7A767-F62A-4760-BB9F-9041954341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601980</xdr:colOff>
      <xdr:row>0</xdr:row>
      <xdr:rowOff>30480</xdr:rowOff>
    </xdr:from>
    <xdr:to>
      <xdr:col>29</xdr:col>
      <xdr:colOff>15240</xdr:colOff>
      <xdr:row>117</xdr:row>
      <xdr:rowOff>53340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5248995-65D1-8D34-C736-09EFC4779C07}"/>
            </a:ext>
          </a:extLst>
        </xdr:cNvPr>
        <xdr:cNvCxnSpPr/>
      </xdr:nvCxnSpPr>
      <xdr:spPr>
        <a:xfrm flipH="1">
          <a:off x="18669000" y="30480"/>
          <a:ext cx="22860" cy="174574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</xdr:colOff>
      <xdr:row>0</xdr:row>
      <xdr:rowOff>22860</xdr:rowOff>
    </xdr:from>
    <xdr:to>
      <xdr:col>14</xdr:col>
      <xdr:colOff>22860</xdr:colOff>
      <xdr:row>58</xdr:row>
      <xdr:rowOff>144780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47C3A59-0F00-407A-F568-EEDA08BDDD76}"/>
            </a:ext>
          </a:extLst>
        </xdr:cNvPr>
        <xdr:cNvCxnSpPr/>
      </xdr:nvCxnSpPr>
      <xdr:spPr>
        <a:xfrm flipH="1">
          <a:off x="9296400" y="22860"/>
          <a:ext cx="15240" cy="98450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691673F2-D878-4E73-9BD7-049390760563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SaaS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EAD64-12F8-4515-B4C9-2102128D3387}">
  <dimension ref="A1:M9"/>
  <sheetViews>
    <sheetView zoomScaleNormal="100" workbookViewId="0">
      <selection activeCell="C32" sqref="C32"/>
    </sheetView>
  </sheetViews>
  <sheetFormatPr defaultRowHeight="13.2" x14ac:dyDescent="0.25"/>
  <sheetData>
    <row r="1" spans="1:13" x14ac:dyDescent="0.25">
      <c r="A1" s="4" t="s">
        <v>152</v>
      </c>
    </row>
    <row r="2" spans="1:13" x14ac:dyDescent="0.25">
      <c r="K2" t="s">
        <v>0</v>
      </c>
      <c r="L2" s="6">
        <v>160.4</v>
      </c>
    </row>
    <row r="3" spans="1:13" x14ac:dyDescent="0.25">
      <c r="K3" t="s">
        <v>1</v>
      </c>
      <c r="L3" s="1">
        <v>260.39999999999998</v>
      </c>
      <c r="M3" s="2" t="s">
        <v>114</v>
      </c>
    </row>
    <row r="4" spans="1:13" x14ac:dyDescent="0.25">
      <c r="D4" t="s">
        <v>24</v>
      </c>
      <c r="K4" t="s">
        <v>2</v>
      </c>
      <c r="L4" s="1">
        <f>+L2*L3</f>
        <v>41768.159999999996</v>
      </c>
    </row>
    <row r="5" spans="1:13" x14ac:dyDescent="0.25">
      <c r="D5" t="s">
        <v>25</v>
      </c>
      <c r="K5" t="s">
        <v>3</v>
      </c>
      <c r="L5" s="1">
        <f>(ModeI!N61+ModeI!N62)/1000</f>
        <v>2937.1419999999998</v>
      </c>
      <c r="M5" s="2" t="s">
        <v>114</v>
      </c>
    </row>
    <row r="6" spans="1:13" x14ac:dyDescent="0.25">
      <c r="D6" t="s">
        <v>26</v>
      </c>
      <c r="K6" t="s">
        <v>4</v>
      </c>
      <c r="L6" s="1">
        <f>ModeI!N79/1000</f>
        <v>987.68399999999997</v>
      </c>
      <c r="M6" s="2" t="s">
        <v>114</v>
      </c>
    </row>
    <row r="7" spans="1:13" x14ac:dyDescent="0.25">
      <c r="D7" t="s">
        <v>27</v>
      </c>
    </row>
    <row r="9" spans="1:13" x14ac:dyDescent="0.25">
      <c r="K9" t="s">
        <v>5</v>
      </c>
      <c r="L9" s="1">
        <f>+L4-L5+L6</f>
        <v>39818.701999999997</v>
      </c>
    </row>
  </sheetData>
  <hyperlinks>
    <hyperlink ref="A1" r:id="rId1" xr:uid="{7FEE4EC7-60B2-4090-AFC7-477AC4CF2D0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9297-894B-4605-B715-E79EB385F1CE}">
  <dimension ref="A1:ABU116"/>
  <sheetViews>
    <sheetView tabSelected="1" zoomScaleNormal="100" workbookViewId="0">
      <pane xSplit="2" ySplit="2" topLeftCell="U3" activePane="bottomRight" state="frozen"/>
      <selection pane="topRight" activeCell="C1" sqref="C1"/>
      <selection pane="bottomLeft" activeCell="A3" sqref="A3"/>
      <selection pane="bottomRight" activeCell="AC10" sqref="AC10"/>
    </sheetView>
  </sheetViews>
  <sheetFormatPr defaultRowHeight="13.2" x14ac:dyDescent="0.25"/>
  <cols>
    <col min="2" max="2" width="18" customWidth="1"/>
    <col min="3" max="3" width="9.44140625" bestFit="1" customWidth="1"/>
    <col min="4" max="12" width="9.109375" bestFit="1" customWidth="1"/>
    <col min="13" max="14" width="9.21875" bestFit="1" customWidth="1"/>
    <col min="15" max="17" width="9.109375" bestFit="1" customWidth="1"/>
    <col min="18" max="19" width="9.21875" bestFit="1" customWidth="1"/>
    <col min="20" max="22" width="9.5546875" bestFit="1" customWidth="1"/>
    <col min="26" max="29" width="9.5546875" bestFit="1" customWidth="1"/>
    <col min="30" max="34" width="9.109375" bestFit="1" customWidth="1"/>
    <col min="35" max="39" width="10.109375" bestFit="1" customWidth="1"/>
    <col min="40" max="40" width="9.109375" bestFit="1" customWidth="1"/>
    <col min="42" max="42" width="10.109375" bestFit="1" customWidth="1"/>
    <col min="46" max="46" width="10.109375" bestFit="1" customWidth="1"/>
    <col min="50" max="50" width="9.109375" bestFit="1" customWidth="1"/>
  </cols>
  <sheetData>
    <row r="1" spans="1:49" x14ac:dyDescent="0.25">
      <c r="A1" s="4" t="s">
        <v>6</v>
      </c>
    </row>
    <row r="2" spans="1:49" x14ac:dyDescent="0.25">
      <c r="C2" t="s">
        <v>34</v>
      </c>
      <c r="D2" t="s">
        <v>39</v>
      </c>
      <c r="E2" t="s">
        <v>40</v>
      </c>
      <c r="F2" t="s">
        <v>41</v>
      </c>
      <c r="G2" t="s">
        <v>35</v>
      </c>
      <c r="H2" t="s">
        <v>42</v>
      </c>
      <c r="I2" t="s">
        <v>43</v>
      </c>
      <c r="J2" t="s">
        <v>44</v>
      </c>
      <c r="K2" t="s">
        <v>36</v>
      </c>
      <c r="L2" t="s">
        <v>45</v>
      </c>
      <c r="M2" t="s">
        <v>46</v>
      </c>
      <c r="N2" t="s">
        <v>47</v>
      </c>
      <c r="O2" t="s">
        <v>37</v>
      </c>
      <c r="P2" t="s">
        <v>48</v>
      </c>
      <c r="Q2" t="s">
        <v>49</v>
      </c>
      <c r="R2" t="s">
        <v>50</v>
      </c>
      <c r="S2" t="s">
        <v>38</v>
      </c>
      <c r="T2" t="s">
        <v>51</v>
      </c>
      <c r="U2" t="s">
        <v>52</v>
      </c>
      <c r="V2" t="s">
        <v>53</v>
      </c>
      <c r="Z2" t="s">
        <v>56</v>
      </c>
      <c r="AA2" t="s">
        <v>57</v>
      </c>
      <c r="AB2" t="s">
        <v>58</v>
      </c>
      <c r="AC2" t="s">
        <v>59</v>
      </c>
      <c r="AD2" t="s">
        <v>115</v>
      </c>
      <c r="AE2" t="s">
        <v>116</v>
      </c>
      <c r="AF2" t="s">
        <v>117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123</v>
      </c>
      <c r="AM2" t="s">
        <v>124</v>
      </c>
      <c r="AN2" t="s">
        <v>125</v>
      </c>
      <c r="AO2" t="s">
        <v>126</v>
      </c>
      <c r="AP2" t="s">
        <v>127</v>
      </c>
      <c r="AQ2" t="s">
        <v>128</v>
      </c>
      <c r="AR2" t="s">
        <v>129</v>
      </c>
      <c r="AS2" t="s">
        <v>130</v>
      </c>
      <c r="AT2" t="s">
        <v>131</v>
      </c>
      <c r="AU2" t="s">
        <v>132</v>
      </c>
      <c r="AV2" t="s">
        <v>133</v>
      </c>
      <c r="AW2" t="s">
        <v>134</v>
      </c>
    </row>
    <row r="3" spans="1:49" s="1" customFormat="1" x14ac:dyDescent="0.25">
      <c r="B3" s="1" t="s">
        <v>21</v>
      </c>
      <c r="C3" s="1">
        <v>475043</v>
      </c>
      <c r="D3" s="1">
        <v>512335</v>
      </c>
      <c r="E3" s="1">
        <v>534891</v>
      </c>
      <c r="F3" s="1">
        <v>563229</v>
      </c>
      <c r="G3" s="1">
        <v>604647</v>
      </c>
      <c r="H3" s="1">
        <v>653210</v>
      </c>
      <c r="I3" s="1">
        <v>703036</v>
      </c>
      <c r="J3" s="1">
        <v>738006</v>
      </c>
      <c r="K3" s="1">
        <v>792306</v>
      </c>
      <c r="L3" s="1">
        <v>846962</v>
      </c>
      <c r="M3" s="1">
        <v>880429</v>
      </c>
      <c r="N3" s="1">
        <v>927730</v>
      </c>
      <c r="Z3" s="1">
        <v>1515424</v>
      </c>
      <c r="AA3" s="1">
        <v>2085498</v>
      </c>
      <c r="AB3" s="1">
        <v>2698899</v>
      </c>
      <c r="AC3" s="1">
        <v>3447427</v>
      </c>
      <c r="AD3" s="1">
        <f>AD53*AD57</f>
        <v>4171041.9273000006</v>
      </c>
      <c r="AE3" s="1">
        <f>AE53*AE57</f>
        <v>4817553.426031501</v>
      </c>
      <c r="AF3" s="1">
        <f t="shared" ref="AF3:AM3" si="0">AF53*AF57</f>
        <v>5408667.2314055655</v>
      </c>
      <c r="AG3" s="1">
        <f t="shared" si="0"/>
        <v>5987394.6251659608</v>
      </c>
      <c r="AH3" s="1">
        <f t="shared" si="0"/>
        <v>6470577.3714168547</v>
      </c>
      <c r="AI3" s="1">
        <f t="shared" si="0"/>
        <v>6927400.1338388855</v>
      </c>
      <c r="AJ3" s="1">
        <f t="shared" si="0"/>
        <v>7346507.8419361375</v>
      </c>
      <c r="AK3" s="1">
        <f t="shared" si="0"/>
        <v>7716771.8371697189</v>
      </c>
      <c r="AL3" s="1">
        <f t="shared" si="0"/>
        <v>8027757.7422076594</v>
      </c>
      <c r="AM3" s="1">
        <f t="shared" si="0"/>
        <v>8270196.0260223318</v>
      </c>
    </row>
    <row r="4" spans="1:49" s="1" customFormat="1" x14ac:dyDescent="0.25">
      <c r="B4" s="1" t="s">
        <v>22</v>
      </c>
      <c r="C4" s="1">
        <v>171228</v>
      </c>
      <c r="D4" s="1">
        <v>194264</v>
      </c>
      <c r="E4" s="1">
        <v>221551</v>
      </c>
      <c r="F4" s="1">
        <v>232208</v>
      </c>
      <c r="G4" s="1">
        <v>242943</v>
      </c>
      <c r="H4" s="1">
        <v>274758</v>
      </c>
      <c r="I4" s="1">
        <v>364134</v>
      </c>
      <c r="J4" s="1">
        <v>326663</v>
      </c>
      <c r="K4" s="1">
        <v>335594</v>
      </c>
      <c r="L4" s="1">
        <v>362281</v>
      </c>
      <c r="M4" s="1">
        <v>388516</v>
      </c>
      <c r="N4" s="1">
        <v>380776</v>
      </c>
      <c r="Z4" s="1">
        <v>560319</v>
      </c>
      <c r="AA4" s="1">
        <v>819251</v>
      </c>
      <c r="AB4" s="1">
        <v>1208498</v>
      </c>
      <c r="AC4" s="1">
        <v>1467167</v>
      </c>
      <c r="AD4" s="1">
        <f>AC4*(1+AD40)</f>
        <v>1651149.7418</v>
      </c>
      <c r="AE4" s="1">
        <f>AD4*(1+AE40)</f>
        <v>2105215.9207949997</v>
      </c>
    </row>
    <row r="5" spans="1:49" s="1" customFormat="1" x14ac:dyDescent="0.25">
      <c r="B5" s="1" t="s">
        <v>23</v>
      </c>
      <c r="C5" s="1">
        <v>113813</v>
      </c>
      <c r="D5" s="1">
        <v>106168</v>
      </c>
      <c r="E5" s="1">
        <v>94389</v>
      </c>
      <c r="F5" s="1">
        <v>86149</v>
      </c>
      <c r="G5" s="1">
        <v>78752</v>
      </c>
      <c r="H5" s="1">
        <v>69173</v>
      </c>
      <c r="I5" s="1">
        <v>29720</v>
      </c>
      <c r="Z5" s="1">
        <v>525028</v>
      </c>
      <c r="AA5" s="1">
        <v>400519</v>
      </c>
      <c r="AB5" s="1">
        <v>177645</v>
      </c>
    </row>
    <row r="6" spans="1:49" s="1" customFormat="1" x14ac:dyDescent="0.25">
      <c r="B6" s="1" t="s">
        <v>54</v>
      </c>
      <c r="C6" s="1">
        <v>47308</v>
      </c>
      <c r="D6" s="1">
        <v>59937</v>
      </c>
      <c r="E6" s="1">
        <v>64622</v>
      </c>
      <c r="F6" s="1">
        <v>57512</v>
      </c>
      <c r="G6" s="1">
        <v>51433</v>
      </c>
      <c r="H6" s="1">
        <v>62969</v>
      </c>
      <c r="I6" s="1">
        <v>92238</v>
      </c>
      <c r="J6" s="1">
        <v>66921</v>
      </c>
      <c r="K6" s="1">
        <v>59881</v>
      </c>
      <c r="L6" s="1">
        <v>77220</v>
      </c>
      <c r="M6" s="1">
        <v>87771</v>
      </c>
      <c r="N6" s="1">
        <v>75838</v>
      </c>
      <c r="Z6" s="1">
        <v>202111</v>
      </c>
      <c r="AA6" s="1">
        <v>229379</v>
      </c>
      <c r="AB6" s="1">
        <v>273561</v>
      </c>
      <c r="AC6" s="1">
        <v>300710</v>
      </c>
      <c r="AD6" s="1">
        <f>AC6*(1+AD42)</f>
        <v>331983.84000000003</v>
      </c>
      <c r="AE6" s="1">
        <f>AD6*(1+AE42)</f>
        <v>365182.22400000005</v>
      </c>
    </row>
    <row r="7" spans="1:49" s="3" customFormat="1" x14ac:dyDescent="0.25">
      <c r="B7" s="7" t="s">
        <v>55</v>
      </c>
      <c r="C7" s="5">
        <f>SUM(C3:C6)</f>
        <v>807392</v>
      </c>
      <c r="D7" s="5">
        <f t="shared" ref="D7:V7" si="1">SUM(D3:D6)</f>
        <v>872704</v>
      </c>
      <c r="E7" s="5">
        <f t="shared" si="1"/>
        <v>915453</v>
      </c>
      <c r="F7" s="5">
        <f t="shared" si="1"/>
        <v>939098</v>
      </c>
      <c r="G7" s="5">
        <f t="shared" si="1"/>
        <v>977775</v>
      </c>
      <c r="H7" s="5">
        <f t="shared" si="1"/>
        <v>1060110</v>
      </c>
      <c r="I7" s="5">
        <f t="shared" si="1"/>
        <v>1189128</v>
      </c>
      <c r="J7" s="5">
        <f t="shared" si="1"/>
        <v>1131590</v>
      </c>
      <c r="K7" s="5">
        <f t="shared" si="1"/>
        <v>1187781</v>
      </c>
      <c r="L7" s="5">
        <f t="shared" si="1"/>
        <v>1286463</v>
      </c>
      <c r="M7" s="5">
        <f t="shared" si="1"/>
        <v>1356716</v>
      </c>
      <c r="N7" s="5">
        <f t="shared" si="1"/>
        <v>1384344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Z7" s="5">
        <f t="shared" ref="Z7" si="2">SUM(Z3:Z6)</f>
        <v>2802882</v>
      </c>
      <c r="AA7" s="5">
        <f t="shared" ref="AA7" si="3">SUM(AA3:AA6)</f>
        <v>3534647</v>
      </c>
      <c r="AB7" s="5">
        <f t="shared" ref="AB7" si="4">SUM(AB3:AB6)</f>
        <v>4358603</v>
      </c>
      <c r="AC7" s="5">
        <f t="shared" ref="AC7" si="5">SUM(AC3:AC6)</f>
        <v>5215304</v>
      </c>
      <c r="AD7" s="5">
        <f t="shared" ref="AD7:AE7" si="6">SUM(AD3:AD6)</f>
        <v>6154175.5091000004</v>
      </c>
      <c r="AE7" s="5">
        <f t="shared" si="6"/>
        <v>7287951.5708265016</v>
      </c>
    </row>
    <row r="9" spans="1:49" x14ac:dyDescent="0.25">
      <c r="B9" t="s">
        <v>60</v>
      </c>
      <c r="C9" s="1">
        <v>650984</v>
      </c>
      <c r="D9" s="1">
        <v>711199</v>
      </c>
      <c r="E9" s="1">
        <v>760680</v>
      </c>
      <c r="F9" s="1">
        <v>799713</v>
      </c>
      <c r="G9" s="1">
        <v>851982</v>
      </c>
      <c r="H9" s="1">
        <v>932181</v>
      </c>
      <c r="I9" s="1">
        <v>1071355</v>
      </c>
      <c r="J9" s="1">
        <v>1068871</v>
      </c>
      <c r="K9" s="1">
        <v>1131948</v>
      </c>
      <c r="L9" s="1">
        <v>1213248</v>
      </c>
      <c r="M9" s="1">
        <v>1272876</v>
      </c>
      <c r="N9" s="1">
        <v>1312532</v>
      </c>
      <c r="O9" s="1"/>
      <c r="P9" s="1"/>
      <c r="Q9" s="1"/>
      <c r="Z9" s="1">
        <v>2096706</v>
      </c>
      <c r="AA9" s="1">
        <v>2922576</v>
      </c>
      <c r="AB9" s="1">
        <v>3924389</v>
      </c>
      <c r="AC9" s="1">
        <v>4930604</v>
      </c>
    </row>
    <row r="10" spans="1:49" x14ac:dyDescent="0.25">
      <c r="B10" t="s">
        <v>7</v>
      </c>
      <c r="C10" s="1">
        <v>156408</v>
      </c>
      <c r="D10" s="1">
        <v>161505</v>
      </c>
      <c r="E10" s="1">
        <v>154773</v>
      </c>
      <c r="F10" s="1">
        <v>139385</v>
      </c>
      <c r="G10" s="1">
        <v>125793</v>
      </c>
      <c r="H10" s="1">
        <v>127929</v>
      </c>
      <c r="I10" s="1">
        <v>117773</v>
      </c>
      <c r="J10" s="1">
        <v>62719</v>
      </c>
      <c r="K10" s="1">
        <v>55833</v>
      </c>
      <c r="L10" s="1">
        <v>73215</v>
      </c>
      <c r="M10" s="1">
        <v>83840</v>
      </c>
      <c r="N10" s="1">
        <v>71812</v>
      </c>
      <c r="O10" s="1"/>
      <c r="P10" s="1"/>
      <c r="Q10" s="1"/>
      <c r="Z10" s="1">
        <v>706176</v>
      </c>
      <c r="AA10" s="1">
        <v>612071</v>
      </c>
      <c r="AB10" s="1">
        <v>434214</v>
      </c>
      <c r="AC10" s="1">
        <v>284700</v>
      </c>
    </row>
    <row r="11" spans="1:49" s="5" customFormat="1" x14ac:dyDescent="0.25">
      <c r="B11" s="8" t="s">
        <v>61</v>
      </c>
      <c r="C11" s="5">
        <f>SUM(C9:C10)</f>
        <v>807392</v>
      </c>
      <c r="D11" s="5">
        <f t="shared" ref="D11:N11" si="7">SUM(D9:D10)</f>
        <v>872704</v>
      </c>
      <c r="E11" s="5">
        <f t="shared" si="7"/>
        <v>915453</v>
      </c>
      <c r="F11" s="5">
        <f t="shared" si="7"/>
        <v>939098</v>
      </c>
      <c r="G11" s="5">
        <f t="shared" si="7"/>
        <v>977775</v>
      </c>
      <c r="H11" s="5">
        <f t="shared" si="7"/>
        <v>1060110</v>
      </c>
      <c r="I11" s="5">
        <f t="shared" si="7"/>
        <v>1189128</v>
      </c>
      <c r="J11" s="5">
        <f t="shared" si="7"/>
        <v>1131590</v>
      </c>
      <c r="K11" s="5">
        <f t="shared" si="7"/>
        <v>1187781</v>
      </c>
      <c r="L11" s="5">
        <f t="shared" si="7"/>
        <v>1286463</v>
      </c>
      <c r="M11" s="5">
        <f t="shared" si="7"/>
        <v>1356716</v>
      </c>
      <c r="N11" s="5">
        <f t="shared" si="7"/>
        <v>1384344</v>
      </c>
      <c r="O11" s="5">
        <v>1400000</v>
      </c>
      <c r="P11" s="5">
        <v>1510000</v>
      </c>
      <c r="Q11" s="5">
        <v>1610000</v>
      </c>
      <c r="R11" s="5">
        <v>1640000</v>
      </c>
      <c r="S11" s="5">
        <v>1680000</v>
      </c>
      <c r="T11" s="5">
        <v>1800000</v>
      </c>
      <c r="U11" s="5">
        <v>1890000</v>
      </c>
      <c r="V11" s="5">
        <v>1940000</v>
      </c>
      <c r="Z11" s="5">
        <f t="shared" ref="Z11:AC11" si="8">SUM(Z9:Z10)</f>
        <v>2802882</v>
      </c>
      <c r="AA11" s="5">
        <f t="shared" si="8"/>
        <v>3534647</v>
      </c>
      <c r="AB11" s="5">
        <f t="shared" si="8"/>
        <v>4358603</v>
      </c>
      <c r="AC11" s="5">
        <f t="shared" si="8"/>
        <v>5215304</v>
      </c>
      <c r="AD11" s="5">
        <f>SUM(O11:R11)</f>
        <v>6160000</v>
      </c>
      <c r="AE11" s="5">
        <f>SUM(S11:V11)</f>
        <v>7310000</v>
      </c>
      <c r="AF11" s="5">
        <f>AF3/0.65</f>
        <v>8321026.5098547162</v>
      </c>
      <c r="AG11" s="5">
        <f t="shared" ref="AG11:AM11" si="9">AG3/0.65</f>
        <v>9211376.34640917</v>
      </c>
      <c r="AH11" s="5">
        <f t="shared" si="9"/>
        <v>9954734.4175643921</v>
      </c>
      <c r="AI11" s="5">
        <f t="shared" si="9"/>
        <v>10657538.66744444</v>
      </c>
      <c r="AJ11" s="5">
        <f t="shared" si="9"/>
        <v>11302319.756824827</v>
      </c>
      <c r="AK11" s="5">
        <f t="shared" si="9"/>
        <v>11871956.672568798</v>
      </c>
      <c r="AL11" s="5">
        <f t="shared" si="9"/>
        <v>12350396.526473321</v>
      </c>
      <c r="AM11" s="5">
        <f t="shared" si="9"/>
        <v>12723378.501572818</v>
      </c>
    </row>
    <row r="12" spans="1:49" x14ac:dyDescent="0.25">
      <c r="B12" t="s">
        <v>8</v>
      </c>
      <c r="C12" s="1">
        <v>139392</v>
      </c>
      <c r="D12" s="1">
        <v>155945</v>
      </c>
      <c r="E12" s="1">
        <v>168652</v>
      </c>
      <c r="F12" s="1">
        <v>169776</v>
      </c>
      <c r="G12" s="1">
        <v>178029</v>
      </c>
      <c r="H12" s="1">
        <v>194536</v>
      </c>
      <c r="I12" s="1">
        <v>213425</v>
      </c>
      <c r="J12" s="1">
        <v>217505</v>
      </c>
      <c r="K12" s="1">
        <v>217624</v>
      </c>
      <c r="L12" s="1">
        <v>223127</v>
      </c>
      <c r="M12" s="1">
        <v>219675</v>
      </c>
      <c r="N12" s="1">
        <v>234425</v>
      </c>
      <c r="P12" s="1"/>
      <c r="Q12" s="1"/>
      <c r="R12" s="1"/>
      <c r="S12" s="1"/>
      <c r="Z12" s="1">
        <v>452914</v>
      </c>
      <c r="AA12" s="1">
        <v>633765</v>
      </c>
      <c r="AB12" s="1">
        <v>803495</v>
      </c>
      <c r="AC12" s="1">
        <v>894851</v>
      </c>
    </row>
    <row r="13" spans="1:49" s="3" customFormat="1" x14ac:dyDescent="0.25">
      <c r="B13" s="3" t="s">
        <v>62</v>
      </c>
      <c r="C13" s="5">
        <f>C11-C12</f>
        <v>668000</v>
      </c>
      <c r="D13" s="5">
        <f t="shared" ref="D13:N13" si="10">D11-D12</f>
        <v>716759</v>
      </c>
      <c r="E13" s="5">
        <f t="shared" si="10"/>
        <v>746801</v>
      </c>
      <c r="F13" s="5">
        <f t="shared" si="10"/>
        <v>769322</v>
      </c>
      <c r="G13" s="5">
        <f t="shared" si="10"/>
        <v>799746</v>
      </c>
      <c r="H13" s="5">
        <f t="shared" si="10"/>
        <v>865574</v>
      </c>
      <c r="I13" s="5">
        <f t="shared" si="10"/>
        <v>975703</v>
      </c>
      <c r="J13" s="5">
        <f t="shared" si="10"/>
        <v>914085</v>
      </c>
      <c r="K13" s="5">
        <f t="shared" si="10"/>
        <v>970157</v>
      </c>
      <c r="L13" s="5">
        <f t="shared" si="10"/>
        <v>1063336</v>
      </c>
      <c r="M13" s="5">
        <f t="shared" si="10"/>
        <v>1137041</v>
      </c>
      <c r="N13" s="5">
        <f t="shared" si="10"/>
        <v>1149919</v>
      </c>
      <c r="O13" s="5">
        <f t="shared" ref="O13" si="11">O11-O12</f>
        <v>1400000</v>
      </c>
      <c r="P13" s="5">
        <f t="shared" ref="P13" si="12">P11-P12</f>
        <v>1510000</v>
      </c>
      <c r="Q13" s="5">
        <f t="shared" ref="Q13" si="13">Q11-Q12</f>
        <v>1610000</v>
      </c>
      <c r="R13" s="5">
        <f t="shared" ref="R13" si="14">R11-R12</f>
        <v>1640000</v>
      </c>
      <c r="S13" s="5">
        <f t="shared" ref="S13" si="15">S11-S12</f>
        <v>1680000</v>
      </c>
      <c r="T13" s="5">
        <f t="shared" ref="T13" si="16">T11-T12</f>
        <v>1800000</v>
      </c>
      <c r="U13" s="5">
        <f t="shared" ref="U13" si="17">U11-U12</f>
        <v>1890000</v>
      </c>
      <c r="V13" s="5">
        <f t="shared" ref="V13" si="18">V11-V12</f>
        <v>1940000</v>
      </c>
      <c r="Z13" s="5">
        <f t="shared" ref="Z13" si="19">Z11-Z12</f>
        <v>2349968</v>
      </c>
      <c r="AA13" s="5">
        <f t="shared" ref="AA13" si="20">AA11-AA12</f>
        <v>2900882</v>
      </c>
      <c r="AB13" s="5">
        <f t="shared" ref="AB13" si="21">AB11-AB12</f>
        <v>3555108</v>
      </c>
      <c r="AC13" s="5">
        <f t="shared" ref="AC13" si="22">AC11-AC12</f>
        <v>4320453</v>
      </c>
    </row>
    <row r="14" spans="1:49" x14ac:dyDescent="0.25">
      <c r="B14" t="s">
        <v>10</v>
      </c>
      <c r="C14" s="1">
        <v>399006</v>
      </c>
      <c r="D14" s="1">
        <v>473676</v>
      </c>
      <c r="E14" s="1">
        <v>522344</v>
      </c>
      <c r="F14" s="1">
        <v>474855</v>
      </c>
      <c r="G14" s="1">
        <v>481738</v>
      </c>
      <c r="H14" s="1">
        <v>536779</v>
      </c>
      <c r="I14" s="1">
        <v>576490</v>
      </c>
      <c r="J14" s="1">
        <v>589104</v>
      </c>
      <c r="K14" s="1">
        <v>603101</v>
      </c>
      <c r="L14" s="1">
        <v>680213</v>
      </c>
      <c r="M14" s="1">
        <v>685320</v>
      </c>
      <c r="N14" s="1">
        <v>700678</v>
      </c>
      <c r="O14" s="1"/>
      <c r="P14" s="1"/>
      <c r="Q14" s="1"/>
      <c r="Z14" s="1">
        <v>1291877</v>
      </c>
      <c r="AA14" s="1">
        <v>1869881</v>
      </c>
      <c r="AB14" s="1">
        <v>2184111</v>
      </c>
      <c r="AC14" s="1">
        <v>2669312</v>
      </c>
    </row>
    <row r="15" spans="1:49" x14ac:dyDescent="0.25">
      <c r="B15" t="s">
        <v>11</v>
      </c>
      <c r="C15" s="1">
        <v>160128</v>
      </c>
      <c r="D15" s="1">
        <v>186191</v>
      </c>
      <c r="E15" s="1">
        <v>220921</v>
      </c>
      <c r="F15" s="1">
        <v>202621</v>
      </c>
      <c r="G15" s="1">
        <v>193567</v>
      </c>
      <c r="H15" s="1">
        <v>220513</v>
      </c>
      <c r="I15" s="1">
        <v>223814</v>
      </c>
      <c r="J15" s="1">
        <v>239603</v>
      </c>
      <c r="K15" s="1">
        <v>252393</v>
      </c>
      <c r="L15" s="1">
        <v>271894</v>
      </c>
      <c r="M15" s="1">
        <v>295832</v>
      </c>
      <c r="N15" s="1">
        <v>314416</v>
      </c>
      <c r="O15" s="1"/>
      <c r="P15" s="1"/>
      <c r="Q15" s="1"/>
      <c r="Z15" s="1">
        <v>535815</v>
      </c>
      <c r="AA15" s="1">
        <v>769861</v>
      </c>
      <c r="AB15" s="1">
        <v>877497</v>
      </c>
      <c r="AC15" s="1">
        <v>1134535</v>
      </c>
    </row>
    <row r="16" spans="1:49" x14ac:dyDescent="0.25">
      <c r="B16" t="s">
        <v>12</v>
      </c>
      <c r="C16" s="1">
        <v>142893</v>
      </c>
      <c r="D16" s="1">
        <v>156131</v>
      </c>
      <c r="E16" s="1">
        <v>165103</v>
      </c>
      <c r="F16" s="1">
        <v>142235</v>
      </c>
      <c r="G16" s="1">
        <v>143310</v>
      </c>
      <c r="H16" s="1">
        <v>157344</v>
      </c>
      <c r="I16" s="1">
        <v>157595</v>
      </c>
      <c r="J16" s="1">
        <v>152328</v>
      </c>
      <c r="K16" s="1">
        <v>146641</v>
      </c>
      <c r="L16" s="1">
        <v>168708</v>
      </c>
      <c r="M16" s="1">
        <v>168345</v>
      </c>
      <c r="N16" s="1">
        <v>163304</v>
      </c>
      <c r="O16" s="1"/>
      <c r="P16" s="1"/>
      <c r="Q16" s="1"/>
      <c r="Z16" s="1">
        <v>452193</v>
      </c>
      <c r="AA16" s="1">
        <v>606362</v>
      </c>
      <c r="AB16" s="1">
        <v>610577</v>
      </c>
      <c r="AC16" s="1">
        <v>646998</v>
      </c>
    </row>
    <row r="17" spans="2:749" s="3" customFormat="1" x14ac:dyDescent="0.25">
      <c r="B17" s="3" t="s">
        <v>13</v>
      </c>
      <c r="C17" s="5">
        <f>SUM(C14:C16)</f>
        <v>702027</v>
      </c>
      <c r="D17" s="5">
        <f t="shared" ref="D17:V17" si="23">SUM(D14:D16)</f>
        <v>815998</v>
      </c>
      <c r="E17" s="5">
        <f t="shared" si="23"/>
        <v>908368</v>
      </c>
      <c r="F17" s="5">
        <f t="shared" si="23"/>
        <v>819711</v>
      </c>
      <c r="G17" s="5">
        <f t="shared" si="23"/>
        <v>818615</v>
      </c>
      <c r="H17" s="5">
        <f t="shared" si="23"/>
        <v>914636</v>
      </c>
      <c r="I17" s="5">
        <f t="shared" si="23"/>
        <v>957899</v>
      </c>
      <c r="J17" s="5">
        <f t="shared" si="23"/>
        <v>981035</v>
      </c>
      <c r="K17" s="5">
        <f t="shared" si="23"/>
        <v>1002135</v>
      </c>
      <c r="L17" s="5">
        <f t="shared" si="23"/>
        <v>1120815</v>
      </c>
      <c r="M17" s="5">
        <f t="shared" si="23"/>
        <v>1149497</v>
      </c>
      <c r="N17" s="5">
        <f t="shared" si="23"/>
        <v>1178398</v>
      </c>
      <c r="O17" s="5">
        <f t="shared" si="23"/>
        <v>0</v>
      </c>
      <c r="P17" s="5">
        <f t="shared" si="23"/>
        <v>0</v>
      </c>
      <c r="Q17" s="5">
        <f t="shared" si="23"/>
        <v>0</v>
      </c>
      <c r="R17" s="5">
        <f t="shared" si="23"/>
        <v>0</v>
      </c>
      <c r="S17" s="5">
        <f t="shared" si="23"/>
        <v>0</v>
      </c>
      <c r="T17" s="5">
        <f t="shared" si="23"/>
        <v>0</v>
      </c>
      <c r="U17" s="5">
        <f t="shared" si="23"/>
        <v>0</v>
      </c>
      <c r="V17" s="5">
        <f t="shared" si="23"/>
        <v>0</v>
      </c>
      <c r="Z17" s="5">
        <f t="shared" ref="Z17:AC17" si="24">SUM(Z14:Z16)</f>
        <v>2279885</v>
      </c>
      <c r="AA17" s="5">
        <f t="shared" si="24"/>
        <v>3246104</v>
      </c>
      <c r="AB17" s="5">
        <f t="shared" si="24"/>
        <v>3672185</v>
      </c>
      <c r="AC17" s="5">
        <f t="shared" si="24"/>
        <v>4450845</v>
      </c>
    </row>
    <row r="18" spans="2:749" s="3" customFormat="1" x14ac:dyDescent="0.25">
      <c r="B18" s="3" t="s">
        <v>14</v>
      </c>
      <c r="C18" s="5">
        <f>C13-C17</f>
        <v>-34027</v>
      </c>
      <c r="D18" s="5">
        <f t="shared" ref="D18:V18" si="25">D13-D17</f>
        <v>-99239</v>
      </c>
      <c r="E18" s="5">
        <f t="shared" si="25"/>
        <v>-161567</v>
      </c>
      <c r="F18" s="5">
        <f t="shared" si="25"/>
        <v>-50389</v>
      </c>
      <c r="G18" s="5">
        <f t="shared" si="25"/>
        <v>-18869</v>
      </c>
      <c r="H18" s="5">
        <f t="shared" si="25"/>
        <v>-49062</v>
      </c>
      <c r="I18" s="5">
        <f t="shared" si="25"/>
        <v>17804</v>
      </c>
      <c r="J18" s="5">
        <f t="shared" si="25"/>
        <v>-66950</v>
      </c>
      <c r="K18" s="5">
        <f t="shared" si="25"/>
        <v>-31978</v>
      </c>
      <c r="L18" s="5">
        <f t="shared" si="25"/>
        <v>-57479</v>
      </c>
      <c r="M18" s="5">
        <f t="shared" si="25"/>
        <v>-12456</v>
      </c>
      <c r="N18" s="5">
        <f t="shared" si="25"/>
        <v>-28479</v>
      </c>
      <c r="O18" s="5">
        <f t="shared" si="25"/>
        <v>1400000</v>
      </c>
      <c r="P18" s="5">
        <f t="shared" si="25"/>
        <v>1510000</v>
      </c>
      <c r="Q18" s="5">
        <f t="shared" si="25"/>
        <v>1610000</v>
      </c>
      <c r="R18" s="5">
        <f t="shared" si="25"/>
        <v>1640000</v>
      </c>
      <c r="S18" s="5">
        <f t="shared" si="25"/>
        <v>1680000</v>
      </c>
      <c r="T18" s="5">
        <f t="shared" si="25"/>
        <v>1800000</v>
      </c>
      <c r="U18" s="5">
        <f t="shared" si="25"/>
        <v>1890000</v>
      </c>
      <c r="V18" s="5">
        <f t="shared" si="25"/>
        <v>1940000</v>
      </c>
      <c r="Z18" s="5">
        <f t="shared" ref="Z18:AC18" si="26">Z13-Z17</f>
        <v>70083</v>
      </c>
      <c r="AA18" s="5">
        <f t="shared" si="26"/>
        <v>-345222</v>
      </c>
      <c r="AB18" s="5">
        <f t="shared" si="26"/>
        <v>-117077</v>
      </c>
      <c r="AC18" s="5">
        <f t="shared" si="26"/>
        <v>-130392</v>
      </c>
    </row>
    <row r="19" spans="2:749" s="1" customFormat="1" x14ac:dyDescent="0.25">
      <c r="B19" s="1" t="s">
        <v>18</v>
      </c>
      <c r="C19" s="1">
        <f t="shared" ref="C19:M19" si="27">-(C18-C20)</f>
        <v>28311</v>
      </c>
      <c r="D19" s="1">
        <f t="shared" si="27"/>
        <v>-5294</v>
      </c>
      <c r="E19" s="1">
        <f t="shared" si="27"/>
        <v>6126</v>
      </c>
      <c r="F19" s="1">
        <f t="shared" si="27"/>
        <v>4943</v>
      </c>
      <c r="G19" s="1">
        <f t="shared" si="27"/>
        <v>7915</v>
      </c>
      <c r="H19" s="1">
        <f t="shared" si="27"/>
        <v>8953</v>
      </c>
      <c r="I19" s="1">
        <f t="shared" si="27"/>
        <v>1971</v>
      </c>
      <c r="J19" s="1">
        <f t="shared" si="27"/>
        <v>12831</v>
      </c>
      <c r="K19" s="1">
        <f t="shared" si="27"/>
        <v>1814</v>
      </c>
      <c r="L19" s="1">
        <f t="shared" si="27"/>
        <v>10296</v>
      </c>
      <c r="M19" s="1">
        <f t="shared" si="27"/>
        <v>5102</v>
      </c>
      <c r="N19" s="1">
        <f>-(N18-N20)</f>
        <v>14285</v>
      </c>
      <c r="Z19" s="1">
        <f t="shared" ref="Z19:AC19" si="28">-(Z18-Z20)</f>
        <v>-541021</v>
      </c>
      <c r="AA19" s="1">
        <f t="shared" si="28"/>
        <v>34086</v>
      </c>
      <c r="AB19" s="1">
        <f t="shared" si="28"/>
        <v>31670</v>
      </c>
      <c r="AC19" s="1">
        <f t="shared" si="28"/>
        <v>31497</v>
      </c>
    </row>
    <row r="20" spans="2:749" s="5" customFormat="1" x14ac:dyDescent="0.25">
      <c r="B20" s="5" t="s">
        <v>17</v>
      </c>
      <c r="C20" s="5">
        <f t="shared" ref="C20:M20" si="29">C22-C21</f>
        <v>-5716</v>
      </c>
      <c r="D20" s="5">
        <f t="shared" si="29"/>
        <v>-104533</v>
      </c>
      <c r="E20" s="5">
        <f t="shared" si="29"/>
        <v>-155441</v>
      </c>
      <c r="F20" s="5">
        <f t="shared" si="29"/>
        <v>-45446</v>
      </c>
      <c r="G20" s="5">
        <f t="shared" si="29"/>
        <v>-10954</v>
      </c>
      <c r="H20" s="5">
        <f t="shared" si="29"/>
        <v>-40109</v>
      </c>
      <c r="I20" s="5">
        <f t="shared" si="29"/>
        <v>19775</v>
      </c>
      <c r="J20" s="5">
        <f t="shared" si="29"/>
        <v>-54119</v>
      </c>
      <c r="K20" s="5">
        <f t="shared" si="29"/>
        <v>-30164</v>
      </c>
      <c r="L20" s="5">
        <f t="shared" si="29"/>
        <v>-47183</v>
      </c>
      <c r="M20" s="5">
        <f t="shared" si="29"/>
        <v>-7354</v>
      </c>
      <c r="N20" s="5">
        <f>N22-N21</f>
        <v>-14194</v>
      </c>
      <c r="Z20" s="5">
        <f t="shared" ref="Z20:AC20" si="30">Z22-Z21</f>
        <v>-470938</v>
      </c>
      <c r="AA20" s="5">
        <f t="shared" si="30"/>
        <v>-311136</v>
      </c>
      <c r="AB20" s="5">
        <f t="shared" si="30"/>
        <v>-85407</v>
      </c>
      <c r="AC20" s="5">
        <f t="shared" si="30"/>
        <v>-98895</v>
      </c>
    </row>
    <row r="21" spans="2:749" s="1" customFormat="1" x14ac:dyDescent="0.25">
      <c r="B21" s="1" t="s">
        <v>16</v>
      </c>
      <c r="C21" s="1">
        <v>-8025</v>
      </c>
      <c r="D21" s="1">
        <v>-100498</v>
      </c>
      <c r="E21" s="1">
        <v>-53596</v>
      </c>
      <c r="F21" s="1">
        <v>-13506</v>
      </c>
      <c r="G21" s="1">
        <v>-20929</v>
      </c>
      <c r="H21" s="1">
        <v>-44360</v>
      </c>
      <c r="I21" s="1">
        <v>-7023</v>
      </c>
      <c r="J21" s="1">
        <v>-142800</v>
      </c>
      <c r="K21" s="1">
        <v>-93605</v>
      </c>
      <c r="L21" s="1">
        <v>8975</v>
      </c>
      <c r="M21" s="1">
        <v>-63453</v>
      </c>
      <c r="N21" s="1">
        <v>-9709</v>
      </c>
      <c r="Z21" s="1">
        <v>-48572</v>
      </c>
      <c r="AA21" s="1">
        <v>-175625</v>
      </c>
      <c r="AB21" s="1">
        <v>-215112</v>
      </c>
      <c r="AC21" s="1">
        <v>-157792</v>
      </c>
    </row>
    <row r="22" spans="2:749" s="5" customFormat="1" x14ac:dyDescent="0.25">
      <c r="B22" s="5" t="s">
        <v>15</v>
      </c>
      <c r="C22" s="5">
        <v>-13741</v>
      </c>
      <c r="D22" s="5">
        <v>-205031</v>
      </c>
      <c r="E22" s="5">
        <v>-209037</v>
      </c>
      <c r="F22" s="5">
        <v>-58952</v>
      </c>
      <c r="G22" s="5">
        <v>-31883</v>
      </c>
      <c r="H22" s="5">
        <v>-84469</v>
      </c>
      <c r="I22" s="5">
        <v>12752</v>
      </c>
      <c r="J22" s="5">
        <v>-196919</v>
      </c>
      <c r="K22" s="5">
        <v>-123769</v>
      </c>
      <c r="L22" s="5">
        <v>-38208</v>
      </c>
      <c r="M22" s="5">
        <v>-70807</v>
      </c>
      <c r="N22" s="5">
        <v>-23903</v>
      </c>
      <c r="Z22" s="5">
        <v>-519510</v>
      </c>
      <c r="AA22" s="5">
        <v>-486761</v>
      </c>
      <c r="AB22" s="5">
        <v>-300519</v>
      </c>
      <c r="AC22" s="5">
        <v>-256687</v>
      </c>
    </row>
    <row r="23" spans="2:749" s="1" customFormat="1" x14ac:dyDescent="0.25">
      <c r="B23" s="1" t="s">
        <v>135</v>
      </c>
      <c r="C23" s="1">
        <v>255167</v>
      </c>
      <c r="D23" s="1">
        <v>255874</v>
      </c>
      <c r="E23" s="1">
        <v>256825</v>
      </c>
      <c r="F23" s="1">
        <v>257389</v>
      </c>
      <c r="G23" s="1">
        <v>257907</v>
      </c>
      <c r="H23" s="1">
        <v>258601</v>
      </c>
      <c r="I23" s="1">
        <v>261778</v>
      </c>
      <c r="J23" s="1">
        <v>260326</v>
      </c>
      <c r="K23" s="1">
        <v>260477</v>
      </c>
      <c r="L23" s="1">
        <v>261147</v>
      </c>
      <c r="M23" s="1">
        <v>262671</v>
      </c>
      <c r="N23" s="1">
        <v>262884</v>
      </c>
      <c r="Z23" s="1">
        <v>253312</v>
      </c>
      <c r="AA23" s="1">
        <v>256307</v>
      </c>
      <c r="AB23" s="1">
        <v>259133</v>
      </c>
      <c r="AC23" s="1">
        <v>261787</v>
      </c>
    </row>
    <row r="24" spans="2:749" s="12" customFormat="1" x14ac:dyDescent="0.25">
      <c r="B24" s="12" t="s">
        <v>19</v>
      </c>
      <c r="C24" s="12">
        <f>C22/C23</f>
        <v>-5.3851007379480891E-2</v>
      </c>
      <c r="D24" s="12">
        <f t="shared" ref="D24:N24" si="31">D22/D23</f>
        <v>-0.80129673198527396</v>
      </c>
      <c r="E24" s="12">
        <f t="shared" si="31"/>
        <v>-0.8139277718290665</v>
      </c>
      <c r="F24" s="12">
        <f t="shared" si="31"/>
        <v>-0.22903853700041571</v>
      </c>
      <c r="G24" s="12">
        <f t="shared" si="31"/>
        <v>-0.12362208082758513</v>
      </c>
      <c r="H24" s="12">
        <f t="shared" si="31"/>
        <v>-0.32663833473188425</v>
      </c>
      <c r="I24" s="12">
        <f t="shared" si="31"/>
        <v>4.8713031652774491E-2</v>
      </c>
      <c r="J24" s="12">
        <f t="shared" si="31"/>
        <v>-0.75643231947634892</v>
      </c>
      <c r="K24" s="12">
        <f t="shared" si="31"/>
        <v>-0.47516287426529019</v>
      </c>
      <c r="L24" s="12">
        <f t="shared" si="31"/>
        <v>-0.14630840101552001</v>
      </c>
      <c r="M24" s="12">
        <f t="shared" si="31"/>
        <v>-0.26956534981021885</v>
      </c>
      <c r="N24" s="12">
        <f t="shared" si="31"/>
        <v>-9.0926035818079454E-2</v>
      </c>
      <c r="Z24" s="12">
        <f t="shared" ref="Z24:AC24" si="32">Z22/Z23</f>
        <v>-2.0508700732693281</v>
      </c>
      <c r="AA24" s="12">
        <f t="shared" si="32"/>
        <v>-1.8991326807305302</v>
      </c>
      <c r="AB24" s="12">
        <f t="shared" si="32"/>
        <v>-1.1597094928087122</v>
      </c>
      <c r="AC24" s="12">
        <f t="shared" si="32"/>
        <v>-0.98051851314236382</v>
      </c>
    </row>
    <row r="25" spans="2:749" s="3" customFormat="1" x14ac:dyDescent="0.25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Z25" s="5"/>
      <c r="AA25" s="5"/>
      <c r="AB25" s="5"/>
      <c r="AC25" s="5"/>
    </row>
    <row r="26" spans="2:749" s="5" customFormat="1" x14ac:dyDescent="0.25">
      <c r="B26" s="5" t="s">
        <v>136</v>
      </c>
      <c r="C26" s="5">
        <v>92547</v>
      </c>
      <c r="D26" s="5">
        <v>114733</v>
      </c>
      <c r="E26" s="5">
        <v>137955</v>
      </c>
      <c r="F26" s="5">
        <v>147020</v>
      </c>
      <c r="G26" s="5">
        <v>168980</v>
      </c>
      <c r="H26" s="5">
        <v>189506</v>
      </c>
      <c r="I26" s="5">
        <v>232496</v>
      </c>
      <c r="J26" s="5">
        <v>171427</v>
      </c>
      <c r="K26" s="5">
        <v>199700</v>
      </c>
      <c r="L26" s="5">
        <v>255627</v>
      </c>
      <c r="M26" s="5">
        <v>261505</v>
      </c>
      <c r="N26" s="5">
        <v>259113</v>
      </c>
      <c r="Z26" s="5">
        <v>383456</v>
      </c>
      <c r="AA26" s="5">
        <v>492255</v>
      </c>
      <c r="AB26" s="5">
        <v>762409</v>
      </c>
      <c r="AC26" s="5">
        <v>975945</v>
      </c>
      <c r="AD26" s="5">
        <f>AD11*(AD37)</f>
        <v>1170400</v>
      </c>
      <c r="AE26" s="5">
        <f>AE11*(AE37)</f>
        <v>1462000</v>
      </c>
      <c r="AF26" s="5">
        <f t="shared" ref="AF26:AM26" si="33">AF11*(AF37)</f>
        <v>1664205.3019709433</v>
      </c>
      <c r="AG26" s="5">
        <f t="shared" si="33"/>
        <v>1842275.2692818341</v>
      </c>
      <c r="AH26" s="5">
        <f t="shared" si="33"/>
        <v>1990946.8835128786</v>
      </c>
      <c r="AI26" s="5">
        <f t="shared" si="33"/>
        <v>2131507.733488888</v>
      </c>
      <c r="AJ26" s="5">
        <f t="shared" si="33"/>
        <v>2260463.9513649656</v>
      </c>
      <c r="AK26" s="5">
        <f t="shared" si="33"/>
        <v>2374391.3345137597</v>
      </c>
      <c r="AL26" s="5">
        <f t="shared" si="33"/>
        <v>2470079.3052946641</v>
      </c>
      <c r="AM26" s="5">
        <f t="shared" si="33"/>
        <v>2544675.7003145637</v>
      </c>
      <c r="AN26" s="5">
        <f>+AM26*1.02</f>
        <v>2595569.2143208552</v>
      </c>
      <c r="AO26" s="5">
        <f t="shared" ref="AO26:AW26" si="34">+AN26*1.02</f>
        <v>2647480.5986072724</v>
      </c>
      <c r="AP26" s="5">
        <f t="shared" si="34"/>
        <v>2700430.2105794176</v>
      </c>
      <c r="AQ26" s="5">
        <f t="shared" si="34"/>
        <v>2754438.814791006</v>
      </c>
      <c r="AR26" s="5">
        <f t="shared" si="34"/>
        <v>2809527.5910868263</v>
      </c>
      <c r="AS26" s="5">
        <f t="shared" si="34"/>
        <v>2865718.1429085629</v>
      </c>
      <c r="AT26" s="5">
        <f t="shared" si="34"/>
        <v>2923032.505766734</v>
      </c>
      <c r="AU26" s="5">
        <f t="shared" si="34"/>
        <v>2981493.1558820689</v>
      </c>
      <c r="AV26" s="5">
        <f t="shared" si="34"/>
        <v>3041123.0189997102</v>
      </c>
      <c r="AW26" s="5">
        <f t="shared" si="34"/>
        <v>3101945.4793797047</v>
      </c>
      <c r="AX26" s="5">
        <f>+AW26*(1+$AP$32)</f>
        <v>3055416.2971890089</v>
      </c>
      <c r="AY26" s="5">
        <f t="shared" ref="AY26:DJ26" si="35">+AX26*(1+$AP$32)</f>
        <v>3009585.0527311736</v>
      </c>
      <c r="AZ26" s="5">
        <f t="shared" si="35"/>
        <v>2964441.2769402061</v>
      </c>
      <c r="BA26" s="5">
        <f t="shared" si="35"/>
        <v>2919974.657786103</v>
      </c>
      <c r="BB26" s="5">
        <f t="shared" si="35"/>
        <v>2876175.0379193113</v>
      </c>
      <c r="BC26" s="5">
        <f t="shared" si="35"/>
        <v>2833032.4123505214</v>
      </c>
      <c r="BD26" s="5">
        <f t="shared" si="35"/>
        <v>2790536.9261652636</v>
      </c>
      <c r="BE26" s="5">
        <f t="shared" si="35"/>
        <v>2748678.8722727848</v>
      </c>
      <c r="BF26" s="5">
        <f t="shared" si="35"/>
        <v>2707448.6891886932</v>
      </c>
      <c r="BG26" s="5">
        <f t="shared" si="35"/>
        <v>2666836.9588508629</v>
      </c>
      <c r="BH26" s="5">
        <f t="shared" si="35"/>
        <v>2626834.4044681001</v>
      </c>
      <c r="BI26" s="5">
        <f t="shared" si="35"/>
        <v>2587431.8884010785</v>
      </c>
      <c r="BJ26" s="5">
        <f t="shared" si="35"/>
        <v>2548620.4100750624</v>
      </c>
      <c r="BK26" s="5">
        <f t="shared" si="35"/>
        <v>2510391.1039239364</v>
      </c>
      <c r="BL26" s="5">
        <f t="shared" si="35"/>
        <v>2472735.2373650772</v>
      </c>
      <c r="BM26" s="5">
        <f t="shared" si="35"/>
        <v>2435644.2088046009</v>
      </c>
      <c r="BN26" s="5">
        <f t="shared" si="35"/>
        <v>2399109.5456725317</v>
      </c>
      <c r="BO26" s="5">
        <f t="shared" si="35"/>
        <v>2363122.9024874438</v>
      </c>
      <c r="BP26" s="5">
        <f t="shared" si="35"/>
        <v>2327676.0589501322</v>
      </c>
      <c r="BQ26" s="5">
        <f t="shared" si="35"/>
        <v>2292760.9180658804</v>
      </c>
      <c r="BR26" s="5">
        <f t="shared" si="35"/>
        <v>2258369.5042948923</v>
      </c>
      <c r="BS26" s="5">
        <f t="shared" si="35"/>
        <v>2224493.961730469</v>
      </c>
      <c r="BT26" s="5">
        <f t="shared" si="35"/>
        <v>2191126.5523045119</v>
      </c>
      <c r="BU26" s="5">
        <f t="shared" si="35"/>
        <v>2158259.6540199444</v>
      </c>
      <c r="BV26" s="5">
        <f t="shared" si="35"/>
        <v>2125885.759209645</v>
      </c>
      <c r="BW26" s="5">
        <f t="shared" si="35"/>
        <v>2093997.4728215004</v>
      </c>
      <c r="BX26" s="5">
        <f t="shared" si="35"/>
        <v>2062587.5107291779</v>
      </c>
      <c r="BY26" s="5">
        <f t="shared" si="35"/>
        <v>2031648.6980682402</v>
      </c>
      <c r="BZ26" s="5">
        <f t="shared" si="35"/>
        <v>2001173.9675972166</v>
      </c>
      <c r="CA26" s="5">
        <f t="shared" si="35"/>
        <v>1971156.3580832584</v>
      </c>
      <c r="CB26" s="5">
        <f t="shared" si="35"/>
        <v>1941589.0127120095</v>
      </c>
      <c r="CC26" s="5">
        <f t="shared" si="35"/>
        <v>1912465.1775213294</v>
      </c>
      <c r="CD26" s="5">
        <f t="shared" si="35"/>
        <v>1883778.1998585095</v>
      </c>
      <c r="CE26" s="5">
        <f t="shared" si="35"/>
        <v>1855521.5268606318</v>
      </c>
      <c r="CF26" s="5">
        <f t="shared" si="35"/>
        <v>1827688.7039577223</v>
      </c>
      <c r="CG26" s="5">
        <f t="shared" si="35"/>
        <v>1800273.3733983564</v>
      </c>
      <c r="CH26" s="5">
        <f t="shared" si="35"/>
        <v>1773269.272797381</v>
      </c>
      <c r="CI26" s="5">
        <f t="shared" si="35"/>
        <v>1746670.2337054203</v>
      </c>
      <c r="CJ26" s="5">
        <f t="shared" si="35"/>
        <v>1720470.1801998389</v>
      </c>
      <c r="CK26" s="5">
        <f t="shared" si="35"/>
        <v>1694663.1274968414</v>
      </c>
      <c r="CL26" s="5">
        <f t="shared" si="35"/>
        <v>1669243.1805843888</v>
      </c>
      <c r="CM26" s="5">
        <f t="shared" si="35"/>
        <v>1644204.5328756229</v>
      </c>
      <c r="CN26" s="5">
        <f t="shared" si="35"/>
        <v>1619541.4648824886</v>
      </c>
      <c r="CO26" s="5">
        <f t="shared" si="35"/>
        <v>1595248.3429092513</v>
      </c>
      <c r="CP26" s="5">
        <f t="shared" si="35"/>
        <v>1571319.6177656124</v>
      </c>
      <c r="CQ26" s="5">
        <f t="shared" si="35"/>
        <v>1547749.8234991282</v>
      </c>
      <c r="CR26" s="5">
        <f t="shared" si="35"/>
        <v>1524533.5761466413</v>
      </c>
      <c r="CS26" s="5">
        <f t="shared" si="35"/>
        <v>1501665.5725044417</v>
      </c>
      <c r="CT26" s="5">
        <f t="shared" si="35"/>
        <v>1479140.5889168752</v>
      </c>
      <c r="CU26" s="5">
        <f t="shared" si="35"/>
        <v>1456953.4800831222</v>
      </c>
      <c r="CV26" s="5">
        <f t="shared" si="35"/>
        <v>1435099.1778818753</v>
      </c>
      <c r="CW26" s="5">
        <f t="shared" si="35"/>
        <v>1413572.6902136472</v>
      </c>
      <c r="CX26" s="5">
        <f t="shared" si="35"/>
        <v>1392369.0998604426</v>
      </c>
      <c r="CY26" s="5">
        <f t="shared" si="35"/>
        <v>1371483.563362536</v>
      </c>
      <c r="CZ26" s="5">
        <f t="shared" si="35"/>
        <v>1350911.3099120979</v>
      </c>
      <c r="DA26" s="5">
        <f t="shared" si="35"/>
        <v>1330647.6402634163</v>
      </c>
      <c r="DB26" s="5">
        <f t="shared" si="35"/>
        <v>1310687.9256594651</v>
      </c>
      <c r="DC26" s="5">
        <f t="shared" si="35"/>
        <v>1291027.6067745732</v>
      </c>
      <c r="DD26" s="5">
        <f t="shared" si="35"/>
        <v>1271662.1926729546</v>
      </c>
      <c r="DE26" s="5">
        <f t="shared" si="35"/>
        <v>1252587.2597828603</v>
      </c>
      <c r="DF26" s="5">
        <f t="shared" si="35"/>
        <v>1233798.4508861173</v>
      </c>
      <c r="DG26" s="5">
        <f t="shared" si="35"/>
        <v>1215291.4741228255</v>
      </c>
      <c r="DH26" s="5">
        <f t="shared" si="35"/>
        <v>1197062.102010983</v>
      </c>
      <c r="DI26" s="5">
        <f t="shared" si="35"/>
        <v>1179106.1704808183</v>
      </c>
      <c r="DJ26" s="5">
        <f t="shared" si="35"/>
        <v>1161419.5779236059</v>
      </c>
      <c r="DK26" s="5">
        <f t="shared" ref="DK26:FV26" si="36">+DJ26*(1+$AP$32)</f>
        <v>1143998.2842547519</v>
      </c>
      <c r="DL26" s="5">
        <f t="shared" si="36"/>
        <v>1126838.3099909306</v>
      </c>
      <c r="DM26" s="5">
        <f t="shared" si="36"/>
        <v>1109935.7353410667</v>
      </c>
      <c r="DN26" s="5">
        <f t="shared" si="36"/>
        <v>1093286.6993109507</v>
      </c>
      <c r="DO26" s="5">
        <f t="shared" si="36"/>
        <v>1076887.3988212864</v>
      </c>
      <c r="DP26" s="5">
        <f t="shared" si="36"/>
        <v>1060734.0878389671</v>
      </c>
      <c r="DQ26" s="5">
        <f t="shared" si="36"/>
        <v>1044823.0765213826</v>
      </c>
      <c r="DR26" s="5">
        <f t="shared" si="36"/>
        <v>1029150.7303735618</v>
      </c>
      <c r="DS26" s="5">
        <f t="shared" si="36"/>
        <v>1013713.4694179584</v>
      </c>
      <c r="DT26" s="5">
        <f t="shared" si="36"/>
        <v>998507.76737668901</v>
      </c>
      <c r="DU26" s="5">
        <f t="shared" si="36"/>
        <v>983530.15086603863</v>
      </c>
      <c r="DV26" s="5">
        <f t="shared" si="36"/>
        <v>968777.19860304799</v>
      </c>
      <c r="DW26" s="5">
        <f t="shared" si="36"/>
        <v>954245.54062400223</v>
      </c>
      <c r="DX26" s="5">
        <f t="shared" si="36"/>
        <v>939931.85751464218</v>
      </c>
      <c r="DY26" s="5">
        <f t="shared" si="36"/>
        <v>925832.8796519225</v>
      </c>
      <c r="DZ26" s="5">
        <f t="shared" si="36"/>
        <v>911945.3864571437</v>
      </c>
      <c r="EA26" s="5">
        <f t="shared" si="36"/>
        <v>898266.20566028648</v>
      </c>
      <c r="EB26" s="5">
        <f t="shared" si="36"/>
        <v>884792.2125753822</v>
      </c>
      <c r="EC26" s="5">
        <f t="shared" si="36"/>
        <v>871520.32938675152</v>
      </c>
      <c r="ED26" s="5">
        <f t="shared" si="36"/>
        <v>858447.52444595029</v>
      </c>
      <c r="EE26" s="5">
        <f t="shared" si="36"/>
        <v>845570.81157926098</v>
      </c>
      <c r="EF26" s="5">
        <f t="shared" si="36"/>
        <v>832887.24940557207</v>
      </c>
      <c r="EG26" s="5">
        <f t="shared" si="36"/>
        <v>820393.94066448847</v>
      </c>
      <c r="EH26" s="5">
        <f t="shared" si="36"/>
        <v>808088.03155452118</v>
      </c>
      <c r="EI26" s="5">
        <f t="shared" si="36"/>
        <v>795966.71108120331</v>
      </c>
      <c r="EJ26" s="5">
        <f t="shared" si="36"/>
        <v>784027.21041498519</v>
      </c>
      <c r="EK26" s="5">
        <f t="shared" si="36"/>
        <v>772266.80225876044</v>
      </c>
      <c r="EL26" s="5">
        <f t="shared" si="36"/>
        <v>760682.80022487906</v>
      </c>
      <c r="EM26" s="5">
        <f t="shared" si="36"/>
        <v>749272.55822150584</v>
      </c>
      <c r="EN26" s="5">
        <f t="shared" si="36"/>
        <v>738033.46984818322</v>
      </c>
      <c r="EO26" s="5">
        <f t="shared" si="36"/>
        <v>726962.96780046041</v>
      </c>
      <c r="EP26" s="5">
        <f t="shared" si="36"/>
        <v>716058.52328345354</v>
      </c>
      <c r="EQ26" s="5">
        <f t="shared" si="36"/>
        <v>705317.6454342017</v>
      </c>
      <c r="ER26" s="5">
        <f t="shared" si="36"/>
        <v>694737.88075268862</v>
      </c>
      <c r="ES26" s="5">
        <f t="shared" si="36"/>
        <v>684316.81254139834</v>
      </c>
      <c r="ET26" s="5">
        <f t="shared" si="36"/>
        <v>674052.06035327737</v>
      </c>
      <c r="EU26" s="5">
        <f t="shared" si="36"/>
        <v>663941.27944797825</v>
      </c>
      <c r="EV26" s="5">
        <f t="shared" si="36"/>
        <v>653982.16025625856</v>
      </c>
      <c r="EW26" s="5">
        <f t="shared" si="36"/>
        <v>644172.42785241466</v>
      </c>
      <c r="EX26" s="5">
        <f t="shared" si="36"/>
        <v>634509.84143462847</v>
      </c>
      <c r="EY26" s="5">
        <f t="shared" si="36"/>
        <v>624992.19381310907</v>
      </c>
      <c r="EZ26" s="5">
        <f t="shared" si="36"/>
        <v>615617.31090591243</v>
      </c>
      <c r="FA26" s="5">
        <f t="shared" si="36"/>
        <v>606383.05124232371</v>
      </c>
      <c r="FB26" s="5">
        <f t="shared" si="36"/>
        <v>597287.30547368887</v>
      </c>
      <c r="FC26" s="5">
        <f t="shared" si="36"/>
        <v>588327.9958915835</v>
      </c>
      <c r="FD26" s="5">
        <f t="shared" si="36"/>
        <v>579503.07595320977</v>
      </c>
      <c r="FE26" s="5">
        <f t="shared" si="36"/>
        <v>570810.52981391165</v>
      </c>
      <c r="FF26" s="5">
        <f t="shared" si="36"/>
        <v>562248.37186670292</v>
      </c>
      <c r="FG26" s="5">
        <f t="shared" si="36"/>
        <v>553814.64628870238</v>
      </c>
      <c r="FH26" s="5">
        <f t="shared" si="36"/>
        <v>545507.42659437179</v>
      </c>
      <c r="FI26" s="5">
        <f t="shared" si="36"/>
        <v>537324.81519545626</v>
      </c>
      <c r="FJ26" s="5">
        <f t="shared" si="36"/>
        <v>529264.9429675244</v>
      </c>
      <c r="FK26" s="5">
        <f t="shared" si="36"/>
        <v>521325.96882301156</v>
      </c>
      <c r="FL26" s="5">
        <f t="shared" si="36"/>
        <v>513506.07929066638</v>
      </c>
      <c r="FM26" s="5">
        <f t="shared" si="36"/>
        <v>505803.48810130637</v>
      </c>
      <c r="FN26" s="5">
        <f t="shared" si="36"/>
        <v>498216.43577978679</v>
      </c>
      <c r="FO26" s="5">
        <f t="shared" si="36"/>
        <v>490743.18924308999</v>
      </c>
      <c r="FP26" s="5">
        <f t="shared" si="36"/>
        <v>483382.04140444362</v>
      </c>
      <c r="FQ26" s="5">
        <f t="shared" si="36"/>
        <v>476131.31078337698</v>
      </c>
      <c r="FR26" s="5">
        <f t="shared" si="36"/>
        <v>468989.34112162632</v>
      </c>
      <c r="FS26" s="5">
        <f t="shared" si="36"/>
        <v>461954.50100480195</v>
      </c>
      <c r="FT26" s="5">
        <f t="shared" si="36"/>
        <v>455025.18348972988</v>
      </c>
      <c r="FU26" s="5">
        <f t="shared" si="36"/>
        <v>448199.80573738395</v>
      </c>
      <c r="FV26" s="5">
        <f t="shared" si="36"/>
        <v>441476.8086513232</v>
      </c>
      <c r="FW26" s="5">
        <f t="shared" ref="FW26:IH26" si="37">+FV26*(1+$AP$32)</f>
        <v>434854.65652155335</v>
      </c>
      <c r="FX26" s="5">
        <f t="shared" si="37"/>
        <v>428331.83667373005</v>
      </c>
      <c r="FY26" s="5">
        <f t="shared" si="37"/>
        <v>421906.8591236241</v>
      </c>
      <c r="FZ26" s="5">
        <f t="shared" si="37"/>
        <v>415578.25623676972</v>
      </c>
      <c r="GA26" s="5">
        <f t="shared" si="37"/>
        <v>409344.58239321818</v>
      </c>
      <c r="GB26" s="5">
        <f t="shared" si="37"/>
        <v>403204.41365731991</v>
      </c>
      <c r="GC26" s="5">
        <f t="shared" si="37"/>
        <v>397156.34745246009</v>
      </c>
      <c r="GD26" s="5">
        <f t="shared" si="37"/>
        <v>391199.00224067317</v>
      </c>
      <c r="GE26" s="5">
        <f t="shared" si="37"/>
        <v>385331.01720706309</v>
      </c>
      <c r="GF26" s="5">
        <f t="shared" si="37"/>
        <v>379551.05194895715</v>
      </c>
      <c r="GG26" s="5">
        <f t="shared" si="37"/>
        <v>373857.78616972279</v>
      </c>
      <c r="GH26" s="5">
        <f t="shared" si="37"/>
        <v>368249.91937717696</v>
      </c>
      <c r="GI26" s="5">
        <f t="shared" si="37"/>
        <v>362726.17058651929</v>
      </c>
      <c r="GJ26" s="5">
        <f t="shared" si="37"/>
        <v>357285.27802772151</v>
      </c>
      <c r="GK26" s="5">
        <f t="shared" si="37"/>
        <v>351925.99885730568</v>
      </c>
      <c r="GL26" s="5">
        <f t="shared" si="37"/>
        <v>346647.10887444607</v>
      </c>
      <c r="GM26" s="5">
        <f t="shared" si="37"/>
        <v>341447.40224132937</v>
      </c>
      <c r="GN26" s="5">
        <f t="shared" si="37"/>
        <v>336325.69120770943</v>
      </c>
      <c r="GO26" s="5">
        <f t="shared" si="37"/>
        <v>331280.80583959381</v>
      </c>
      <c r="GP26" s="5">
        <f t="shared" si="37"/>
        <v>326311.5937519999</v>
      </c>
      <c r="GQ26" s="5">
        <f t="shared" si="37"/>
        <v>321416.91984571988</v>
      </c>
      <c r="GR26" s="5">
        <f t="shared" si="37"/>
        <v>316595.66604803409</v>
      </c>
      <c r="GS26" s="5">
        <f t="shared" si="37"/>
        <v>311846.73105731356</v>
      </c>
      <c r="GT26" s="5">
        <f t="shared" si="37"/>
        <v>307169.03009145387</v>
      </c>
      <c r="GU26" s="5">
        <f t="shared" si="37"/>
        <v>302561.49464008206</v>
      </c>
      <c r="GV26" s="5">
        <f t="shared" si="37"/>
        <v>298023.07222048083</v>
      </c>
      <c r="GW26" s="5">
        <f t="shared" si="37"/>
        <v>293552.72613717359</v>
      </c>
      <c r="GX26" s="5">
        <f t="shared" si="37"/>
        <v>289149.43524511601</v>
      </c>
      <c r="GY26" s="5">
        <f t="shared" si="37"/>
        <v>284812.19371643924</v>
      </c>
      <c r="GZ26" s="5">
        <f t="shared" si="37"/>
        <v>280540.01081069268</v>
      </c>
      <c r="HA26" s="5">
        <f t="shared" si="37"/>
        <v>276331.91064853227</v>
      </c>
      <c r="HB26" s="5">
        <f t="shared" si="37"/>
        <v>272186.93198880431</v>
      </c>
      <c r="HC26" s="5">
        <f t="shared" si="37"/>
        <v>268104.12800897221</v>
      </c>
      <c r="HD26" s="5">
        <f t="shared" si="37"/>
        <v>264082.56608883763</v>
      </c>
      <c r="HE26" s="5">
        <f t="shared" si="37"/>
        <v>260121.32759750506</v>
      </c>
      <c r="HF26" s="5">
        <f t="shared" si="37"/>
        <v>256219.5076835425</v>
      </c>
      <c r="HG26" s="5">
        <f t="shared" si="37"/>
        <v>252376.21506828937</v>
      </c>
      <c r="HH26" s="5">
        <f t="shared" si="37"/>
        <v>248590.57184226502</v>
      </c>
      <c r="HI26" s="5">
        <f t="shared" si="37"/>
        <v>244861.71326463105</v>
      </c>
      <c r="HJ26" s="5">
        <f t="shared" si="37"/>
        <v>241188.78756566159</v>
      </c>
      <c r="HK26" s="5">
        <f t="shared" si="37"/>
        <v>237570.95575217667</v>
      </c>
      <c r="HL26" s="5">
        <f t="shared" si="37"/>
        <v>234007.391415894</v>
      </c>
      <c r="HM26" s="5">
        <f t="shared" si="37"/>
        <v>230497.2805446556</v>
      </c>
      <c r="HN26" s="5">
        <f t="shared" si="37"/>
        <v>227039.82133648577</v>
      </c>
      <c r="HO26" s="5">
        <f t="shared" si="37"/>
        <v>223634.22401643847</v>
      </c>
      <c r="HP26" s="5">
        <f t="shared" si="37"/>
        <v>220279.71065619189</v>
      </c>
      <c r="HQ26" s="5">
        <f t="shared" si="37"/>
        <v>216975.514996349</v>
      </c>
      <c r="HR26" s="5">
        <f t="shared" si="37"/>
        <v>213720.88227140377</v>
      </c>
      <c r="HS26" s="5">
        <f t="shared" si="37"/>
        <v>210515.06903733269</v>
      </c>
      <c r="HT26" s="5">
        <f t="shared" si="37"/>
        <v>207357.34300177271</v>
      </c>
      <c r="HU26" s="5">
        <f t="shared" si="37"/>
        <v>204246.98285674612</v>
      </c>
      <c r="HV26" s="5">
        <f t="shared" si="37"/>
        <v>201183.27811389492</v>
      </c>
      <c r="HW26" s="5">
        <f t="shared" si="37"/>
        <v>198165.5289421865</v>
      </c>
      <c r="HX26" s="5">
        <f t="shared" si="37"/>
        <v>195193.0460080537</v>
      </c>
      <c r="HY26" s="5">
        <f t="shared" si="37"/>
        <v>192265.15031793289</v>
      </c>
      <c r="HZ26" s="5">
        <f t="shared" si="37"/>
        <v>189381.17306316388</v>
      </c>
      <c r="IA26" s="5">
        <f t="shared" si="37"/>
        <v>186540.45546721641</v>
      </c>
      <c r="IB26" s="5">
        <f t="shared" si="37"/>
        <v>183742.34863520815</v>
      </c>
      <c r="IC26" s="5">
        <f t="shared" si="37"/>
        <v>180986.21340568003</v>
      </c>
      <c r="ID26" s="5">
        <f t="shared" si="37"/>
        <v>178271.42020459482</v>
      </c>
      <c r="IE26" s="5">
        <f t="shared" si="37"/>
        <v>175597.3489015259</v>
      </c>
      <c r="IF26" s="5">
        <f t="shared" si="37"/>
        <v>172963.388668003</v>
      </c>
      <c r="IG26" s="5">
        <f t="shared" si="37"/>
        <v>170368.93783798296</v>
      </c>
      <c r="IH26" s="5">
        <f t="shared" si="37"/>
        <v>167813.40377041322</v>
      </c>
      <c r="II26" s="5">
        <f t="shared" ref="II26:KT26" si="38">+IH26*(1+$AP$32)</f>
        <v>165296.20271385703</v>
      </c>
      <c r="IJ26" s="5">
        <f t="shared" si="38"/>
        <v>162816.75967314918</v>
      </c>
      <c r="IK26" s="5">
        <f t="shared" si="38"/>
        <v>160374.50827805194</v>
      </c>
      <c r="IL26" s="5">
        <f t="shared" si="38"/>
        <v>157968.89065388116</v>
      </c>
      <c r="IM26" s="5">
        <f t="shared" si="38"/>
        <v>155599.35729407295</v>
      </c>
      <c r="IN26" s="5">
        <f t="shared" si="38"/>
        <v>153265.36693466184</v>
      </c>
      <c r="IO26" s="5">
        <f t="shared" si="38"/>
        <v>150966.3864306419</v>
      </c>
      <c r="IP26" s="5">
        <f t="shared" si="38"/>
        <v>148701.89063418226</v>
      </c>
      <c r="IQ26" s="5">
        <f t="shared" si="38"/>
        <v>146471.36227466952</v>
      </c>
      <c r="IR26" s="5">
        <f t="shared" si="38"/>
        <v>144274.29184054947</v>
      </c>
      <c r="IS26" s="5">
        <f t="shared" si="38"/>
        <v>142110.17746294124</v>
      </c>
      <c r="IT26" s="5">
        <f t="shared" si="38"/>
        <v>139978.52480099711</v>
      </c>
      <c r="IU26" s="5">
        <f t="shared" si="38"/>
        <v>137878.84692898215</v>
      </c>
      <c r="IV26" s="5">
        <f t="shared" si="38"/>
        <v>135810.66422504743</v>
      </c>
      <c r="IW26" s="5">
        <f t="shared" si="38"/>
        <v>133773.50426167171</v>
      </c>
      <c r="IX26" s="5">
        <f t="shared" si="38"/>
        <v>131766.90169774662</v>
      </c>
      <c r="IY26" s="5">
        <f t="shared" si="38"/>
        <v>129790.39817228042</v>
      </c>
      <c r="IZ26" s="5">
        <f t="shared" si="38"/>
        <v>127843.54219969621</v>
      </c>
      <c r="JA26" s="5">
        <f t="shared" si="38"/>
        <v>125925.88906670077</v>
      </c>
      <c r="JB26" s="5">
        <f t="shared" si="38"/>
        <v>124037.00073070025</v>
      </c>
      <c r="JC26" s="5">
        <f t="shared" si="38"/>
        <v>122176.44571973974</v>
      </c>
      <c r="JD26" s="5">
        <f t="shared" si="38"/>
        <v>120343.79903394365</v>
      </c>
      <c r="JE26" s="5">
        <f t="shared" si="38"/>
        <v>118538.6420484345</v>
      </c>
      <c r="JF26" s="5">
        <f t="shared" si="38"/>
        <v>116760.56241770799</v>
      </c>
      <c r="JG26" s="5">
        <f t="shared" si="38"/>
        <v>115009.15398144236</v>
      </c>
      <c r="JH26" s="5">
        <f t="shared" si="38"/>
        <v>113284.01667172072</v>
      </c>
      <c r="JI26" s="5">
        <f t="shared" si="38"/>
        <v>111584.75642164491</v>
      </c>
      <c r="JJ26" s="5">
        <f t="shared" si="38"/>
        <v>109910.98507532023</v>
      </c>
      <c r="JK26" s="5">
        <f t="shared" si="38"/>
        <v>108262.32029919043</v>
      </c>
      <c r="JL26" s="5">
        <f t="shared" si="38"/>
        <v>106638.38549470257</v>
      </c>
      <c r="JM26" s="5">
        <f t="shared" si="38"/>
        <v>105038.80971228203</v>
      </c>
      <c r="JN26" s="5">
        <f t="shared" si="38"/>
        <v>103463.22756659779</v>
      </c>
      <c r="JO26" s="5">
        <f t="shared" si="38"/>
        <v>101911.27915309883</v>
      </c>
      <c r="JP26" s="5">
        <f t="shared" si="38"/>
        <v>100382.60996580234</v>
      </c>
      <c r="JQ26" s="5">
        <f t="shared" si="38"/>
        <v>98876.870816315306</v>
      </c>
      <c r="JR26" s="5">
        <f t="shared" si="38"/>
        <v>97393.717754070574</v>
      </c>
      <c r="JS26" s="5">
        <f t="shared" si="38"/>
        <v>95932.811987759516</v>
      </c>
      <c r="JT26" s="5">
        <f t="shared" si="38"/>
        <v>94493.819807943117</v>
      </c>
      <c r="JU26" s="5">
        <f t="shared" si="38"/>
        <v>93076.412510823968</v>
      </c>
      <c r="JV26" s="5">
        <f t="shared" si="38"/>
        <v>91680.266323161602</v>
      </c>
      <c r="JW26" s="5">
        <f t="shared" si="38"/>
        <v>90305.062328314176</v>
      </c>
      <c r="JX26" s="5">
        <f t="shared" si="38"/>
        <v>88950.486393389467</v>
      </c>
      <c r="JY26" s="5">
        <f t="shared" si="38"/>
        <v>87616.229097488627</v>
      </c>
      <c r="JZ26" s="5">
        <f t="shared" si="38"/>
        <v>86301.985661026294</v>
      </c>
      <c r="KA26" s="5">
        <f t="shared" si="38"/>
        <v>85007.455876110893</v>
      </c>
      <c r="KB26" s="5">
        <f t="shared" si="38"/>
        <v>83732.344037969233</v>
      </c>
      <c r="KC26" s="5">
        <f t="shared" si="38"/>
        <v>82476.358877399689</v>
      </c>
      <c r="KD26" s="5">
        <f t="shared" si="38"/>
        <v>81239.213494238691</v>
      </c>
      <c r="KE26" s="5">
        <f t="shared" si="38"/>
        <v>80020.625291825112</v>
      </c>
      <c r="KF26" s="5">
        <f t="shared" si="38"/>
        <v>78820.315912447739</v>
      </c>
      <c r="KG26" s="5">
        <f t="shared" si="38"/>
        <v>77638.011173761028</v>
      </c>
      <c r="KH26" s="5">
        <f t="shared" si="38"/>
        <v>76473.441006154608</v>
      </c>
      <c r="KI26" s="5">
        <f t="shared" si="38"/>
        <v>75326.339391062284</v>
      </c>
      <c r="KJ26" s="5">
        <f t="shared" si="38"/>
        <v>74196.444300196352</v>
      </c>
      <c r="KK26" s="5">
        <f t="shared" si="38"/>
        <v>73083.497635693406</v>
      </c>
      <c r="KL26" s="5">
        <f t="shared" si="38"/>
        <v>71987.245171158007</v>
      </c>
      <c r="KM26" s="5">
        <f t="shared" si="38"/>
        <v>70907.436493590634</v>
      </c>
      <c r="KN26" s="5">
        <f t="shared" si="38"/>
        <v>69843.824946186767</v>
      </c>
      <c r="KO26" s="5">
        <f t="shared" si="38"/>
        <v>68796.167571993967</v>
      </c>
      <c r="KP26" s="5">
        <f t="shared" si="38"/>
        <v>67764.225058414057</v>
      </c>
      <c r="KQ26" s="5">
        <f t="shared" si="38"/>
        <v>66747.76168253785</v>
      </c>
      <c r="KR26" s="5">
        <f t="shared" si="38"/>
        <v>65746.545257299775</v>
      </c>
      <c r="KS26" s="5">
        <f t="shared" si="38"/>
        <v>64760.347078440274</v>
      </c>
      <c r="KT26" s="5">
        <f t="shared" si="38"/>
        <v>63788.941872263669</v>
      </c>
      <c r="KU26" s="5">
        <f t="shared" ref="KU26:NF26" si="39">+KT26*(1+$AP$32)</f>
        <v>62832.10774417971</v>
      </c>
      <c r="KV26" s="5">
        <f t="shared" si="39"/>
        <v>61889.626128017015</v>
      </c>
      <c r="KW26" s="5">
        <f t="shared" si="39"/>
        <v>60961.28173609676</v>
      </c>
      <c r="KX26" s="5">
        <f t="shared" si="39"/>
        <v>60046.862510055311</v>
      </c>
      <c r="KY26" s="5">
        <f t="shared" si="39"/>
        <v>59146.159572404482</v>
      </c>
      <c r="KZ26" s="5">
        <f t="shared" si="39"/>
        <v>58258.967178818413</v>
      </c>
      <c r="LA26" s="5">
        <f t="shared" si="39"/>
        <v>57385.082671136137</v>
      </c>
      <c r="LB26" s="5">
        <f t="shared" si="39"/>
        <v>56524.306431069097</v>
      </c>
      <c r="LC26" s="5">
        <f t="shared" si="39"/>
        <v>55676.441834603058</v>
      </c>
      <c r="LD26" s="5">
        <f t="shared" si="39"/>
        <v>54841.295207084011</v>
      </c>
      <c r="LE26" s="5">
        <f t="shared" si="39"/>
        <v>54018.675778977748</v>
      </c>
      <c r="LF26" s="5">
        <f t="shared" si="39"/>
        <v>53208.395642293079</v>
      </c>
      <c r="LG26" s="5">
        <f t="shared" si="39"/>
        <v>52410.269707658685</v>
      </c>
      <c r="LH26" s="5">
        <f t="shared" si="39"/>
        <v>51624.115662043805</v>
      </c>
      <c r="LI26" s="5">
        <f t="shared" si="39"/>
        <v>50849.753927113146</v>
      </c>
      <c r="LJ26" s="5">
        <f t="shared" si="39"/>
        <v>50087.007618206451</v>
      </c>
      <c r="LK26" s="5">
        <f t="shared" si="39"/>
        <v>49335.702503933353</v>
      </c>
      <c r="LL26" s="5">
        <f t="shared" si="39"/>
        <v>48595.666966374352</v>
      </c>
      <c r="LM26" s="5">
        <f t="shared" si="39"/>
        <v>47866.731961878737</v>
      </c>
      <c r="LN26" s="5">
        <f t="shared" si="39"/>
        <v>47148.730982450557</v>
      </c>
      <c r="LO26" s="5">
        <f t="shared" si="39"/>
        <v>46441.500017713799</v>
      </c>
      <c r="LP26" s="5">
        <f t="shared" si="39"/>
        <v>45744.877517448091</v>
      </c>
      <c r="LQ26" s="5">
        <f t="shared" si="39"/>
        <v>45058.704354686372</v>
      </c>
      <c r="LR26" s="5">
        <f t="shared" si="39"/>
        <v>44382.823789366077</v>
      </c>
      <c r="LS26" s="5">
        <f t="shared" si="39"/>
        <v>43717.081432525585</v>
      </c>
      <c r="LT26" s="5">
        <f t="shared" si="39"/>
        <v>43061.3252110377</v>
      </c>
      <c r="LU26" s="5">
        <f t="shared" si="39"/>
        <v>42415.405332872135</v>
      </c>
      <c r="LV26" s="5">
        <f t="shared" si="39"/>
        <v>41779.174252879049</v>
      </c>
      <c r="LW26" s="5">
        <f t="shared" si="39"/>
        <v>41152.486639085866</v>
      </c>
      <c r="LX26" s="5">
        <f t="shared" si="39"/>
        <v>40535.199339499581</v>
      </c>
      <c r="LY26" s="5">
        <f t="shared" si="39"/>
        <v>39927.171349407086</v>
      </c>
      <c r="LZ26" s="5">
        <f t="shared" si="39"/>
        <v>39328.26377916598</v>
      </c>
      <c r="MA26" s="5">
        <f t="shared" si="39"/>
        <v>38738.339822478491</v>
      </c>
      <c r="MB26" s="5">
        <f t="shared" si="39"/>
        <v>38157.264725141315</v>
      </c>
      <c r="MC26" s="5">
        <f t="shared" si="39"/>
        <v>37584.905754264197</v>
      </c>
      <c r="MD26" s="5">
        <f t="shared" si="39"/>
        <v>37021.132167950236</v>
      </c>
      <c r="ME26" s="5">
        <f t="shared" si="39"/>
        <v>36465.815185430984</v>
      </c>
      <c r="MF26" s="5">
        <f t="shared" si="39"/>
        <v>35918.827957649519</v>
      </c>
      <c r="MG26" s="5">
        <f t="shared" si="39"/>
        <v>35380.045538284772</v>
      </c>
      <c r="MH26" s="5">
        <f t="shared" si="39"/>
        <v>34849.344855210504</v>
      </c>
      <c r="MI26" s="5">
        <f t="shared" si="39"/>
        <v>34326.604682382349</v>
      </c>
      <c r="MJ26" s="5">
        <f t="shared" si="39"/>
        <v>33811.705612146616</v>
      </c>
      <c r="MK26" s="5">
        <f t="shared" si="39"/>
        <v>33304.530027964414</v>
      </c>
      <c r="ML26" s="5">
        <f t="shared" si="39"/>
        <v>32804.962077544951</v>
      </c>
      <c r="MM26" s="5">
        <f t="shared" si="39"/>
        <v>32312.887646381776</v>
      </c>
      <c r="MN26" s="5">
        <f t="shared" si="39"/>
        <v>31828.194331686049</v>
      </c>
      <c r="MO26" s="5">
        <f t="shared" si="39"/>
        <v>31350.771416710759</v>
      </c>
      <c r="MP26" s="5">
        <f t="shared" si="39"/>
        <v>30880.509845460096</v>
      </c>
      <c r="MQ26" s="5">
        <f t="shared" si="39"/>
        <v>30417.302197778194</v>
      </c>
      <c r="MR26" s="5">
        <f t="shared" si="39"/>
        <v>29961.042664811521</v>
      </c>
      <c r="MS26" s="5">
        <f t="shared" si="39"/>
        <v>29511.627024839348</v>
      </c>
      <c r="MT26" s="5">
        <f t="shared" si="39"/>
        <v>29068.95261946676</v>
      </c>
      <c r="MU26" s="5">
        <f t="shared" si="39"/>
        <v>28632.918330174758</v>
      </c>
      <c r="MV26" s="5">
        <f t="shared" si="39"/>
        <v>28203.424555222136</v>
      </c>
      <c r="MW26" s="5">
        <f t="shared" si="39"/>
        <v>27780.373186893805</v>
      </c>
      <c r="MX26" s="5">
        <f t="shared" si="39"/>
        <v>27363.667589090397</v>
      </c>
      <c r="MY26" s="5">
        <f t="shared" si="39"/>
        <v>26953.212575254041</v>
      </c>
      <c r="MZ26" s="5">
        <f t="shared" si="39"/>
        <v>26548.914386625231</v>
      </c>
      <c r="NA26" s="5">
        <f t="shared" si="39"/>
        <v>26150.680670825852</v>
      </c>
      <c r="NB26" s="5">
        <f t="shared" si="39"/>
        <v>25758.420460763464</v>
      </c>
      <c r="NC26" s="5">
        <f t="shared" si="39"/>
        <v>25372.04415385201</v>
      </c>
      <c r="ND26" s="5">
        <f t="shared" si="39"/>
        <v>24991.463491544229</v>
      </c>
      <c r="NE26" s="5">
        <f t="shared" si="39"/>
        <v>24616.591539171066</v>
      </c>
      <c r="NF26" s="5">
        <f t="shared" si="39"/>
        <v>24247.342666083499</v>
      </c>
      <c r="NG26" s="5">
        <f t="shared" ref="NG26:PR26" si="40">+NF26*(1+$AP$32)</f>
        <v>23883.632526092246</v>
      </c>
      <c r="NH26" s="5">
        <f t="shared" si="40"/>
        <v>23525.378038200863</v>
      </c>
      <c r="NI26" s="5">
        <f t="shared" si="40"/>
        <v>23172.49736762785</v>
      </c>
      <c r="NJ26" s="5">
        <f t="shared" si="40"/>
        <v>22824.909907113433</v>
      </c>
      <c r="NK26" s="5">
        <f t="shared" si="40"/>
        <v>22482.536258506731</v>
      </c>
      <c r="NL26" s="5">
        <f t="shared" si="40"/>
        <v>22145.298214629129</v>
      </c>
      <c r="NM26" s="5">
        <f t="shared" si="40"/>
        <v>21813.118741409693</v>
      </c>
      <c r="NN26" s="5">
        <f t="shared" si="40"/>
        <v>21485.921960288546</v>
      </c>
      <c r="NO26" s="5">
        <f t="shared" si="40"/>
        <v>21163.633130884216</v>
      </c>
      <c r="NP26" s="5">
        <f t="shared" si="40"/>
        <v>20846.178633920954</v>
      </c>
      <c r="NQ26" s="5">
        <f t="shared" si="40"/>
        <v>20533.485954412139</v>
      </c>
      <c r="NR26" s="5">
        <f t="shared" si="40"/>
        <v>20225.483665095955</v>
      </c>
      <c r="NS26" s="5">
        <f t="shared" si="40"/>
        <v>19922.101410119514</v>
      </c>
      <c r="NT26" s="5">
        <f t="shared" si="40"/>
        <v>19623.269888967719</v>
      </c>
      <c r="NU26" s="5">
        <f t="shared" si="40"/>
        <v>19328.920840633204</v>
      </c>
      <c r="NV26" s="5">
        <f t="shared" si="40"/>
        <v>19038.987028023705</v>
      </c>
      <c r="NW26" s="5">
        <f t="shared" si="40"/>
        <v>18753.402222603348</v>
      </c>
      <c r="NX26" s="5">
        <f t="shared" si="40"/>
        <v>18472.101189264296</v>
      </c>
      <c r="NY26" s="5">
        <f t="shared" si="40"/>
        <v>18195.019671425332</v>
      </c>
      <c r="NZ26" s="5">
        <f t="shared" si="40"/>
        <v>17922.094376353951</v>
      </c>
      <c r="OA26" s="5">
        <f t="shared" si="40"/>
        <v>17653.262960708642</v>
      </c>
      <c r="OB26" s="5">
        <f t="shared" si="40"/>
        <v>17388.46401629801</v>
      </c>
      <c r="OC26" s="5">
        <f t="shared" si="40"/>
        <v>17127.63705605354</v>
      </c>
      <c r="OD26" s="5">
        <f t="shared" si="40"/>
        <v>16870.722500212738</v>
      </c>
      <c r="OE26" s="5">
        <f t="shared" si="40"/>
        <v>16617.661662709546</v>
      </c>
      <c r="OF26" s="5">
        <f t="shared" si="40"/>
        <v>16368.396737768902</v>
      </c>
      <c r="OG26" s="5">
        <f t="shared" si="40"/>
        <v>16122.870786702368</v>
      </c>
      <c r="OH26" s="5">
        <f t="shared" si="40"/>
        <v>15881.027724901833</v>
      </c>
      <c r="OI26" s="5">
        <f t="shared" si="40"/>
        <v>15642.812309028304</v>
      </c>
      <c r="OJ26" s="5">
        <f t="shared" si="40"/>
        <v>15408.17012439288</v>
      </c>
      <c r="OK26" s="5">
        <f t="shared" si="40"/>
        <v>15177.047572526986</v>
      </c>
      <c r="OL26" s="5">
        <f t="shared" si="40"/>
        <v>14949.391858939081</v>
      </c>
      <c r="OM26" s="5">
        <f t="shared" si="40"/>
        <v>14725.150981054994</v>
      </c>
      <c r="ON26" s="5">
        <f t="shared" si="40"/>
        <v>14504.273716339168</v>
      </c>
      <c r="OO26" s="5">
        <f t="shared" si="40"/>
        <v>14286.70961059408</v>
      </c>
      <c r="OP26" s="5">
        <f t="shared" si="40"/>
        <v>14072.408966435169</v>
      </c>
      <c r="OQ26" s="5">
        <f t="shared" si="40"/>
        <v>13861.322831938642</v>
      </c>
      <c r="OR26" s="5">
        <f t="shared" si="40"/>
        <v>13653.402989459562</v>
      </c>
      <c r="OS26" s="5">
        <f t="shared" si="40"/>
        <v>13448.601944617669</v>
      </c>
      <c r="OT26" s="5">
        <f t="shared" si="40"/>
        <v>13246.872915448404</v>
      </c>
      <c r="OU26" s="5">
        <f t="shared" si="40"/>
        <v>13048.169821716678</v>
      </c>
      <c r="OV26" s="5">
        <f t="shared" si="40"/>
        <v>12852.447274390928</v>
      </c>
      <c r="OW26" s="5">
        <f t="shared" si="40"/>
        <v>12659.660565275064</v>
      </c>
      <c r="OX26" s="5">
        <f t="shared" si="40"/>
        <v>12469.765656795938</v>
      </c>
      <c r="OY26" s="5">
        <f t="shared" si="40"/>
        <v>12282.719171944</v>
      </c>
      <c r="OZ26" s="5">
        <f t="shared" si="40"/>
        <v>12098.47838436484</v>
      </c>
      <c r="PA26" s="5">
        <f t="shared" si="40"/>
        <v>11917.001208599368</v>
      </c>
      <c r="PB26" s="5">
        <f t="shared" si="40"/>
        <v>11738.246190470378</v>
      </c>
      <c r="PC26" s="5">
        <f t="shared" si="40"/>
        <v>11562.172497613323</v>
      </c>
      <c r="PD26" s="5">
        <f t="shared" si="40"/>
        <v>11388.739910149123</v>
      </c>
      <c r="PE26" s="5">
        <f t="shared" si="40"/>
        <v>11217.908811496885</v>
      </c>
      <c r="PF26" s="5">
        <f t="shared" si="40"/>
        <v>11049.640179324431</v>
      </c>
      <c r="PG26" s="5">
        <f t="shared" si="40"/>
        <v>10883.895576634564</v>
      </c>
      <c r="PH26" s="5">
        <f t="shared" si="40"/>
        <v>10720.637142985046</v>
      </c>
      <c r="PI26" s="5">
        <f t="shared" si="40"/>
        <v>10559.82758584027</v>
      </c>
      <c r="PJ26" s="5">
        <f t="shared" si="40"/>
        <v>10401.430172052666</v>
      </c>
      <c r="PK26" s="5">
        <f t="shared" si="40"/>
        <v>10245.408719471876</v>
      </c>
      <c r="PL26" s="5">
        <f t="shared" si="40"/>
        <v>10091.727588679798</v>
      </c>
      <c r="PM26" s="5">
        <f t="shared" si="40"/>
        <v>9940.3516748496004</v>
      </c>
      <c r="PN26" s="5">
        <f t="shared" si="40"/>
        <v>9791.2463997268569</v>
      </c>
      <c r="PO26" s="5">
        <f t="shared" si="40"/>
        <v>9644.3777037309537</v>
      </c>
      <c r="PP26" s="5">
        <f t="shared" si="40"/>
        <v>9499.7120381749901</v>
      </c>
      <c r="PQ26" s="5">
        <f t="shared" si="40"/>
        <v>9357.216357602365</v>
      </c>
      <c r="PR26" s="5">
        <f t="shared" si="40"/>
        <v>9216.8581122383293</v>
      </c>
      <c r="PS26" s="5">
        <f t="shared" ref="PS26:SD26" si="41">+PR26*(1+$AP$32)</f>
        <v>9078.6052405547543</v>
      </c>
      <c r="PT26" s="5">
        <f t="shared" si="41"/>
        <v>8942.4261619464323</v>
      </c>
      <c r="PU26" s="5">
        <f t="shared" si="41"/>
        <v>8808.289769517236</v>
      </c>
      <c r="PV26" s="5">
        <f t="shared" si="41"/>
        <v>8676.1654229744781</v>
      </c>
      <c r="PW26" s="5">
        <f t="shared" si="41"/>
        <v>8546.0229416298607</v>
      </c>
      <c r="PX26" s="5">
        <f t="shared" si="41"/>
        <v>8417.8325975054122</v>
      </c>
      <c r="PY26" s="5">
        <f t="shared" si="41"/>
        <v>8291.5651085428308</v>
      </c>
      <c r="PZ26" s="5">
        <f t="shared" si="41"/>
        <v>8167.1916319146885</v>
      </c>
      <c r="QA26" s="5">
        <f t="shared" si="41"/>
        <v>8044.6837574359679</v>
      </c>
      <c r="QB26" s="5">
        <f t="shared" si="41"/>
        <v>7924.0135010744279</v>
      </c>
      <c r="QC26" s="5">
        <f t="shared" si="41"/>
        <v>7805.1532985583117</v>
      </c>
      <c r="QD26" s="5">
        <f t="shared" si="41"/>
        <v>7688.075999079937</v>
      </c>
      <c r="QE26" s="5">
        <f t="shared" si="41"/>
        <v>7572.7548590937377</v>
      </c>
      <c r="QF26" s="5">
        <f t="shared" si="41"/>
        <v>7459.1635362073312</v>
      </c>
      <c r="QG26" s="5">
        <f t="shared" si="41"/>
        <v>7347.2760831642208</v>
      </c>
      <c r="QH26" s="5">
        <f t="shared" si="41"/>
        <v>7237.0669419167571</v>
      </c>
      <c r="QI26" s="5">
        <f t="shared" si="41"/>
        <v>7128.5109377880053</v>
      </c>
      <c r="QJ26" s="5">
        <f t="shared" si="41"/>
        <v>7021.5832737211849</v>
      </c>
      <c r="QK26" s="5">
        <f t="shared" si="41"/>
        <v>6916.2595246153669</v>
      </c>
      <c r="QL26" s="5">
        <f t="shared" si="41"/>
        <v>6812.515631746136</v>
      </c>
      <c r="QM26" s="5">
        <f t="shared" si="41"/>
        <v>6710.3278972699436</v>
      </c>
      <c r="QN26" s="5">
        <f t="shared" si="41"/>
        <v>6609.6729788108942</v>
      </c>
      <c r="QO26" s="5">
        <f t="shared" si="41"/>
        <v>6510.5278841287309</v>
      </c>
      <c r="QP26" s="5">
        <f t="shared" si="41"/>
        <v>6412.8699658668002</v>
      </c>
      <c r="QQ26" s="5">
        <f t="shared" si="41"/>
        <v>6316.6769163787985</v>
      </c>
      <c r="QR26" s="5">
        <f t="shared" si="41"/>
        <v>6221.9267626331166</v>
      </c>
      <c r="QS26" s="5">
        <f t="shared" si="41"/>
        <v>6128.5978611936198</v>
      </c>
      <c r="QT26" s="5">
        <f t="shared" si="41"/>
        <v>6036.6688932757152</v>
      </c>
      <c r="QU26" s="5">
        <f t="shared" si="41"/>
        <v>5946.1188598765793</v>
      </c>
      <c r="QV26" s="5">
        <f t="shared" si="41"/>
        <v>5856.9270769784307</v>
      </c>
      <c r="QW26" s="5">
        <f t="shared" si="41"/>
        <v>5769.0731708237545</v>
      </c>
      <c r="QX26" s="5">
        <f t="shared" si="41"/>
        <v>5682.5370732613983</v>
      </c>
      <c r="QY26" s="5">
        <f t="shared" si="41"/>
        <v>5597.299017162477</v>
      </c>
      <c r="QZ26" s="5">
        <f t="shared" si="41"/>
        <v>5513.3395319050396</v>
      </c>
      <c r="RA26" s="5">
        <f t="shared" si="41"/>
        <v>5430.6394389264642</v>
      </c>
      <c r="RB26" s="5">
        <f t="shared" si="41"/>
        <v>5349.179847342567</v>
      </c>
      <c r="RC26" s="5">
        <f t="shared" si="41"/>
        <v>5268.9421496324285</v>
      </c>
      <c r="RD26" s="5">
        <f t="shared" si="41"/>
        <v>5189.908017387942</v>
      </c>
      <c r="RE26" s="5">
        <f t="shared" si="41"/>
        <v>5112.0593971271228</v>
      </c>
      <c r="RF26" s="5">
        <f t="shared" si="41"/>
        <v>5035.3785061702156</v>
      </c>
      <c r="RG26" s="5">
        <f t="shared" si="41"/>
        <v>4959.8478285776619</v>
      </c>
      <c r="RH26" s="5">
        <f t="shared" si="41"/>
        <v>4885.4501111489972</v>
      </c>
      <c r="RI26" s="5">
        <f t="shared" si="41"/>
        <v>4812.1683594817623</v>
      </c>
      <c r="RJ26" s="5">
        <f t="shared" si="41"/>
        <v>4739.9858340895362</v>
      </c>
      <c r="RK26" s="5">
        <f t="shared" si="41"/>
        <v>4668.8860465781927</v>
      </c>
      <c r="RL26" s="5">
        <f t="shared" si="41"/>
        <v>4598.8527558795195</v>
      </c>
      <c r="RM26" s="5">
        <f t="shared" si="41"/>
        <v>4529.8699645413262</v>
      </c>
      <c r="RN26" s="5">
        <f t="shared" si="41"/>
        <v>4461.921915073206</v>
      </c>
      <c r="RO26" s="5">
        <f t="shared" si="41"/>
        <v>4394.9930863471081</v>
      </c>
      <c r="RP26" s="5">
        <f t="shared" si="41"/>
        <v>4329.0681900519012</v>
      </c>
      <c r="RQ26" s="5">
        <f t="shared" si="41"/>
        <v>4264.1321672011227</v>
      </c>
      <c r="RR26" s="5">
        <f t="shared" si="41"/>
        <v>4200.1701846931055</v>
      </c>
      <c r="RS26" s="5">
        <f t="shared" si="41"/>
        <v>4137.167631922709</v>
      </c>
      <c r="RT26" s="5">
        <f t="shared" si="41"/>
        <v>4075.1101174438681</v>
      </c>
      <c r="RU26" s="5">
        <f t="shared" si="41"/>
        <v>4013.98346568221</v>
      </c>
      <c r="RV26" s="5">
        <f t="shared" si="41"/>
        <v>3953.7737136969768</v>
      </c>
      <c r="RW26" s="5">
        <f t="shared" si="41"/>
        <v>3894.467107991522</v>
      </c>
      <c r="RX26" s="5">
        <f t="shared" si="41"/>
        <v>3836.0501013716489</v>
      </c>
      <c r="RY26" s="5">
        <f t="shared" si="41"/>
        <v>3778.5093498510741</v>
      </c>
      <c r="RZ26" s="5">
        <f t="shared" si="41"/>
        <v>3721.8317096033079</v>
      </c>
      <c r="SA26" s="5">
        <f t="shared" si="41"/>
        <v>3666.0042339592583</v>
      </c>
      <c r="SB26" s="5">
        <f t="shared" si="41"/>
        <v>3611.0141704498692</v>
      </c>
      <c r="SC26" s="5">
        <f t="shared" si="41"/>
        <v>3556.8489578931212</v>
      </c>
      <c r="SD26" s="5">
        <f t="shared" si="41"/>
        <v>3503.4962235247244</v>
      </c>
      <c r="SE26" s="5">
        <f t="shared" ref="SE26:UP26" si="42">+SD26*(1+$AP$32)</f>
        <v>3450.9437801718536</v>
      </c>
      <c r="SF26" s="5">
        <f t="shared" si="42"/>
        <v>3399.1796234692756</v>
      </c>
      <c r="SG26" s="5">
        <f t="shared" si="42"/>
        <v>3348.1919291172362</v>
      </c>
      <c r="SH26" s="5">
        <f t="shared" si="42"/>
        <v>3297.9690501804776</v>
      </c>
      <c r="SI26" s="5">
        <f t="shared" si="42"/>
        <v>3248.4995144277705</v>
      </c>
      <c r="SJ26" s="5">
        <f t="shared" si="42"/>
        <v>3199.7720217113538</v>
      </c>
      <c r="SK26" s="5">
        <f t="shared" si="42"/>
        <v>3151.7754413856833</v>
      </c>
      <c r="SL26" s="5">
        <f t="shared" si="42"/>
        <v>3104.4988097648979</v>
      </c>
      <c r="SM26" s="5">
        <f t="shared" si="42"/>
        <v>3057.9313276184243</v>
      </c>
      <c r="SN26" s="5">
        <f t="shared" si="42"/>
        <v>3012.0623577041479</v>
      </c>
      <c r="SO26" s="5">
        <f t="shared" si="42"/>
        <v>2966.8814223385857</v>
      </c>
      <c r="SP26" s="5">
        <f t="shared" si="42"/>
        <v>2922.378201003507</v>
      </c>
      <c r="SQ26" s="5">
        <f t="shared" si="42"/>
        <v>2878.5425279884544</v>
      </c>
      <c r="SR26" s="5">
        <f t="shared" si="42"/>
        <v>2835.3643900686275</v>
      </c>
      <c r="SS26" s="5">
        <f t="shared" si="42"/>
        <v>2792.833924217598</v>
      </c>
      <c r="ST26" s="5">
        <f t="shared" si="42"/>
        <v>2750.9414153543339</v>
      </c>
      <c r="SU26" s="5">
        <f t="shared" si="42"/>
        <v>2709.6772941240188</v>
      </c>
      <c r="SV26" s="5">
        <f t="shared" si="42"/>
        <v>2669.0321347121585</v>
      </c>
      <c r="SW26" s="5">
        <f t="shared" si="42"/>
        <v>2628.9966526914759</v>
      </c>
      <c r="SX26" s="5">
        <f t="shared" si="42"/>
        <v>2589.5617029011037</v>
      </c>
      <c r="SY26" s="5">
        <f t="shared" si="42"/>
        <v>2550.7182773575869</v>
      </c>
      <c r="SZ26" s="5">
        <f t="shared" si="42"/>
        <v>2512.4575031972231</v>
      </c>
      <c r="TA26" s="5">
        <f t="shared" si="42"/>
        <v>2474.7706406492648</v>
      </c>
      <c r="TB26" s="5">
        <f t="shared" si="42"/>
        <v>2437.6490810395258</v>
      </c>
      <c r="TC26" s="5">
        <f t="shared" si="42"/>
        <v>2401.084344823933</v>
      </c>
      <c r="TD26" s="5">
        <f t="shared" si="42"/>
        <v>2365.068079651574</v>
      </c>
      <c r="TE26" s="5">
        <f t="shared" si="42"/>
        <v>2329.5920584568003</v>
      </c>
      <c r="TF26" s="5">
        <f t="shared" si="42"/>
        <v>2294.6481775799484</v>
      </c>
      <c r="TG26" s="5">
        <f t="shared" si="42"/>
        <v>2260.2284549162491</v>
      </c>
      <c r="TH26" s="5">
        <f t="shared" si="42"/>
        <v>2226.3250280925054</v>
      </c>
      <c r="TI26" s="5">
        <f t="shared" si="42"/>
        <v>2192.9301526711179</v>
      </c>
      <c r="TJ26" s="5">
        <f t="shared" si="42"/>
        <v>2160.036200381051</v>
      </c>
      <c r="TK26" s="5">
        <f t="shared" si="42"/>
        <v>2127.6356573753351</v>
      </c>
      <c r="TL26" s="5">
        <f t="shared" si="42"/>
        <v>2095.7211225147053</v>
      </c>
      <c r="TM26" s="5">
        <f t="shared" si="42"/>
        <v>2064.2853056769845</v>
      </c>
      <c r="TN26" s="5">
        <f t="shared" si="42"/>
        <v>2033.3210260918297</v>
      </c>
      <c r="TO26" s="5">
        <f t="shared" si="42"/>
        <v>2002.8212107004522</v>
      </c>
      <c r="TP26" s="5">
        <f t="shared" si="42"/>
        <v>1972.7788925399454</v>
      </c>
      <c r="TQ26" s="5">
        <f t="shared" si="42"/>
        <v>1943.1872091518462</v>
      </c>
      <c r="TR26" s="5">
        <f t="shared" si="42"/>
        <v>1914.0394010145685</v>
      </c>
      <c r="TS26" s="5">
        <f t="shared" si="42"/>
        <v>1885.3288099993499</v>
      </c>
      <c r="TT26" s="5">
        <f t="shared" si="42"/>
        <v>1857.0488778493595</v>
      </c>
      <c r="TU26" s="5">
        <f t="shared" si="42"/>
        <v>1829.1931446816191</v>
      </c>
      <c r="TV26" s="5">
        <f t="shared" si="42"/>
        <v>1801.7552475113948</v>
      </c>
      <c r="TW26" s="5">
        <f t="shared" si="42"/>
        <v>1774.728918798724</v>
      </c>
      <c r="TX26" s="5">
        <f t="shared" si="42"/>
        <v>1748.107985016743</v>
      </c>
      <c r="TY26" s="5">
        <f t="shared" si="42"/>
        <v>1721.8863652414918</v>
      </c>
      <c r="TZ26" s="5">
        <f t="shared" si="42"/>
        <v>1696.0580697628695</v>
      </c>
      <c r="UA26" s="5">
        <f t="shared" si="42"/>
        <v>1670.6171987164264</v>
      </c>
      <c r="UB26" s="5">
        <f t="shared" si="42"/>
        <v>1645.5579407356799</v>
      </c>
      <c r="UC26" s="5">
        <f t="shared" si="42"/>
        <v>1620.8745716246447</v>
      </c>
      <c r="UD26" s="5">
        <f t="shared" si="42"/>
        <v>1596.5614530502751</v>
      </c>
      <c r="UE26" s="5">
        <f t="shared" si="42"/>
        <v>1572.6130312545208</v>
      </c>
      <c r="UF26" s="5">
        <f t="shared" si="42"/>
        <v>1549.0238357857029</v>
      </c>
      <c r="UG26" s="5">
        <f t="shared" si="42"/>
        <v>1525.7884782489173</v>
      </c>
      <c r="UH26" s="5">
        <f t="shared" si="42"/>
        <v>1502.9016510751835</v>
      </c>
      <c r="UI26" s="5">
        <f t="shared" si="42"/>
        <v>1480.3581263090557</v>
      </c>
      <c r="UJ26" s="5">
        <f t="shared" si="42"/>
        <v>1458.1527544144199</v>
      </c>
      <c r="UK26" s="5">
        <f t="shared" si="42"/>
        <v>1436.2804630982037</v>
      </c>
      <c r="UL26" s="5">
        <f t="shared" si="42"/>
        <v>1414.7362561517307</v>
      </c>
      <c r="UM26" s="5">
        <f t="shared" si="42"/>
        <v>1393.5152123094547</v>
      </c>
      <c r="UN26" s="5">
        <f t="shared" si="42"/>
        <v>1372.6124841248129</v>
      </c>
      <c r="UO26" s="5">
        <f t="shared" si="42"/>
        <v>1352.0232968629407</v>
      </c>
      <c r="UP26" s="5">
        <f t="shared" si="42"/>
        <v>1331.7429474099965</v>
      </c>
      <c r="UQ26" s="5">
        <f t="shared" ref="UQ26:XB26" si="43">+UP26*(1+$AP$32)</f>
        <v>1311.7668031988467</v>
      </c>
      <c r="UR26" s="5">
        <f t="shared" si="43"/>
        <v>1292.090301150864</v>
      </c>
      <c r="US26" s="5">
        <f t="shared" si="43"/>
        <v>1272.708946633601</v>
      </c>
      <c r="UT26" s="5">
        <f t="shared" si="43"/>
        <v>1253.6183124340971</v>
      </c>
      <c r="UU26" s="5">
        <f t="shared" si="43"/>
        <v>1234.8140377475856</v>
      </c>
      <c r="UV26" s="5">
        <f t="shared" si="43"/>
        <v>1216.2918271813719</v>
      </c>
      <c r="UW26" s="5">
        <f t="shared" si="43"/>
        <v>1198.0474497736514</v>
      </c>
      <c r="UX26" s="5">
        <f t="shared" si="43"/>
        <v>1180.0767380270465</v>
      </c>
      <c r="UY26" s="5">
        <f t="shared" si="43"/>
        <v>1162.3755869566407</v>
      </c>
      <c r="UZ26" s="5">
        <f t="shared" si="43"/>
        <v>1144.9399531522911</v>
      </c>
      <c r="VA26" s="5">
        <f t="shared" si="43"/>
        <v>1127.7658538550068</v>
      </c>
      <c r="VB26" s="5">
        <f t="shared" si="43"/>
        <v>1110.8493660471815</v>
      </c>
      <c r="VC26" s="5">
        <f t="shared" si="43"/>
        <v>1094.1866255564737</v>
      </c>
      <c r="VD26" s="5">
        <f t="shared" si="43"/>
        <v>1077.7738261731265</v>
      </c>
      <c r="VE26" s="5">
        <f t="shared" si="43"/>
        <v>1061.6072187805296</v>
      </c>
      <c r="VF26" s="5">
        <f t="shared" si="43"/>
        <v>1045.6831104988216</v>
      </c>
      <c r="VG26" s="5">
        <f t="shared" si="43"/>
        <v>1029.9978638413393</v>
      </c>
      <c r="VH26" s="5">
        <f t="shared" si="43"/>
        <v>1014.5478958837192</v>
      </c>
      <c r="VI26" s="5">
        <f t="shared" si="43"/>
        <v>999.3296774454634</v>
      </c>
      <c r="VJ26" s="5">
        <f t="shared" si="43"/>
        <v>984.33973228378147</v>
      </c>
      <c r="VK26" s="5">
        <f t="shared" si="43"/>
        <v>969.57463629952474</v>
      </c>
      <c r="VL26" s="5">
        <f t="shared" si="43"/>
        <v>955.03101675503183</v>
      </c>
      <c r="VM26" s="5">
        <f t="shared" si="43"/>
        <v>940.70555150370637</v>
      </c>
      <c r="VN26" s="5">
        <f t="shared" si="43"/>
        <v>926.5949682311508</v>
      </c>
      <c r="VO26" s="5">
        <f t="shared" si="43"/>
        <v>912.69604370768354</v>
      </c>
      <c r="VP26" s="5">
        <f t="shared" si="43"/>
        <v>899.0056030520683</v>
      </c>
      <c r="VQ26" s="5">
        <f t="shared" si="43"/>
        <v>885.52051900628726</v>
      </c>
      <c r="VR26" s="5">
        <f t="shared" si="43"/>
        <v>872.23771122119297</v>
      </c>
      <c r="VS26" s="5">
        <f t="shared" si="43"/>
        <v>859.15414555287509</v>
      </c>
      <c r="VT26" s="5">
        <f t="shared" si="43"/>
        <v>846.26683336958195</v>
      </c>
      <c r="VU26" s="5">
        <f t="shared" si="43"/>
        <v>833.57283086903817</v>
      </c>
      <c r="VV26" s="5">
        <f t="shared" si="43"/>
        <v>821.06923840600257</v>
      </c>
      <c r="VW26" s="5">
        <f t="shared" si="43"/>
        <v>808.75319982991255</v>
      </c>
      <c r="VX26" s="5">
        <f t="shared" si="43"/>
        <v>796.62190183246389</v>
      </c>
      <c r="VY26" s="5">
        <f t="shared" si="43"/>
        <v>784.67257330497694</v>
      </c>
      <c r="VZ26" s="5">
        <f t="shared" si="43"/>
        <v>772.90248470540223</v>
      </c>
      <c r="WA26" s="5">
        <f t="shared" si="43"/>
        <v>761.30894743482122</v>
      </c>
      <c r="WB26" s="5">
        <f t="shared" si="43"/>
        <v>749.88931322329893</v>
      </c>
      <c r="WC26" s="5">
        <f t="shared" si="43"/>
        <v>738.64097352494946</v>
      </c>
      <c r="WD26" s="5">
        <f t="shared" si="43"/>
        <v>727.56135892207521</v>
      </c>
      <c r="WE26" s="5">
        <f t="shared" si="43"/>
        <v>716.64793853824403</v>
      </c>
      <c r="WF26" s="5">
        <f t="shared" si="43"/>
        <v>705.89821946017037</v>
      </c>
      <c r="WG26" s="5">
        <f t="shared" si="43"/>
        <v>695.30974616826779</v>
      </c>
      <c r="WH26" s="5">
        <f t="shared" si="43"/>
        <v>684.88009997574375</v>
      </c>
      <c r="WI26" s="5">
        <f t="shared" si="43"/>
        <v>674.60689847610763</v>
      </c>
      <c r="WJ26" s="5">
        <f t="shared" si="43"/>
        <v>664.48779499896602</v>
      </c>
      <c r="WK26" s="5">
        <f t="shared" si="43"/>
        <v>654.52047807398151</v>
      </c>
      <c r="WL26" s="5">
        <f t="shared" si="43"/>
        <v>644.70267090287177</v>
      </c>
      <c r="WM26" s="5">
        <f t="shared" si="43"/>
        <v>635.03213083932872</v>
      </c>
      <c r="WN26" s="5">
        <f t="shared" si="43"/>
        <v>625.50664887673872</v>
      </c>
      <c r="WO26" s="5">
        <f t="shared" si="43"/>
        <v>616.12404914358763</v>
      </c>
      <c r="WP26" s="5">
        <f t="shared" si="43"/>
        <v>606.88218840643378</v>
      </c>
      <c r="WQ26" s="5">
        <f t="shared" si="43"/>
        <v>597.77895558033731</v>
      </c>
      <c r="WR26" s="5">
        <f t="shared" si="43"/>
        <v>588.81227124663224</v>
      </c>
      <c r="WS26" s="5">
        <f t="shared" si="43"/>
        <v>579.98008717793277</v>
      </c>
      <c r="WT26" s="5">
        <f t="shared" si="43"/>
        <v>571.28038587026379</v>
      </c>
      <c r="WU26" s="5">
        <f t="shared" si="43"/>
        <v>562.71118008220981</v>
      </c>
      <c r="WV26" s="5">
        <f t="shared" si="43"/>
        <v>554.2705123809767</v>
      </c>
      <c r="WW26" s="5">
        <f t="shared" si="43"/>
        <v>545.9564546952621</v>
      </c>
      <c r="WX26" s="5">
        <f t="shared" si="43"/>
        <v>537.76710787483319</v>
      </c>
      <c r="WY26" s="5">
        <f t="shared" si="43"/>
        <v>529.70060125671068</v>
      </c>
      <c r="WZ26" s="5">
        <f t="shared" si="43"/>
        <v>521.75509223786003</v>
      </c>
      <c r="XA26" s="5">
        <f t="shared" si="43"/>
        <v>513.92876585429212</v>
      </c>
      <c r="XB26" s="5">
        <f t="shared" si="43"/>
        <v>506.21983436647776</v>
      </c>
      <c r="XC26" s="5">
        <f t="shared" ref="XC26:ZN26" si="44">+XB26*(1+$AP$32)</f>
        <v>498.62653685098059</v>
      </c>
      <c r="XD26" s="5">
        <f t="shared" si="44"/>
        <v>491.14713879821585</v>
      </c>
      <c r="XE26" s="5">
        <f t="shared" si="44"/>
        <v>483.77993171624263</v>
      </c>
      <c r="XF26" s="5">
        <f t="shared" si="44"/>
        <v>476.523232740499</v>
      </c>
      <c r="XG26" s="5">
        <f t="shared" si="44"/>
        <v>469.37538424939152</v>
      </c>
      <c r="XH26" s="5">
        <f t="shared" si="44"/>
        <v>462.33475348565065</v>
      </c>
      <c r="XI26" s="5">
        <f t="shared" si="44"/>
        <v>455.39973218336587</v>
      </c>
      <c r="XJ26" s="5">
        <f t="shared" si="44"/>
        <v>448.56873620061538</v>
      </c>
      <c r="XK26" s="5">
        <f t="shared" si="44"/>
        <v>441.84020515760614</v>
      </c>
      <c r="XL26" s="5">
        <f t="shared" si="44"/>
        <v>435.21260208024205</v>
      </c>
      <c r="XM26" s="5">
        <f t="shared" si="44"/>
        <v>428.68441304903843</v>
      </c>
      <c r="XN26" s="5">
        <f t="shared" si="44"/>
        <v>422.25414685330287</v>
      </c>
      <c r="XO26" s="5">
        <f t="shared" si="44"/>
        <v>415.92033465050332</v>
      </c>
      <c r="XP26" s="5">
        <f t="shared" si="44"/>
        <v>409.68152963074579</v>
      </c>
      <c r="XQ26" s="5">
        <f t="shared" si="44"/>
        <v>403.5363066862846</v>
      </c>
      <c r="XR26" s="5">
        <f t="shared" si="44"/>
        <v>397.4832620859903</v>
      </c>
      <c r="XS26" s="5">
        <f t="shared" si="44"/>
        <v>391.52101315470043</v>
      </c>
      <c r="XT26" s="5">
        <f t="shared" si="44"/>
        <v>385.64819795737992</v>
      </c>
      <c r="XU26" s="5">
        <f t="shared" si="44"/>
        <v>379.86347498801922</v>
      </c>
      <c r="XV26" s="5">
        <f t="shared" si="44"/>
        <v>374.16552286319893</v>
      </c>
      <c r="XW26" s="5">
        <f t="shared" si="44"/>
        <v>368.55304002025093</v>
      </c>
      <c r="XX26" s="5">
        <f t="shared" si="44"/>
        <v>363.02474441994718</v>
      </c>
      <c r="XY26" s="5">
        <f t="shared" si="44"/>
        <v>357.57937325364799</v>
      </c>
      <c r="XZ26" s="5">
        <f t="shared" si="44"/>
        <v>352.21568265484325</v>
      </c>
      <c r="YA26" s="5">
        <f t="shared" si="44"/>
        <v>346.93244741502059</v>
      </c>
      <c r="YB26" s="5">
        <f t="shared" si="44"/>
        <v>341.72846070379529</v>
      </c>
      <c r="YC26" s="5">
        <f t="shared" si="44"/>
        <v>336.60253379323836</v>
      </c>
      <c r="YD26" s="5">
        <f t="shared" si="44"/>
        <v>331.55349578633979</v>
      </c>
      <c r="YE26" s="5">
        <f t="shared" si="44"/>
        <v>326.58019334954469</v>
      </c>
      <c r="YF26" s="5">
        <f t="shared" si="44"/>
        <v>321.68149044930152</v>
      </c>
      <c r="YG26" s="5">
        <f t="shared" si="44"/>
        <v>316.856268092562</v>
      </c>
      <c r="YH26" s="5">
        <f t="shared" si="44"/>
        <v>312.10342407117355</v>
      </c>
      <c r="YI26" s="5">
        <f t="shared" si="44"/>
        <v>307.42187271010596</v>
      </c>
      <c r="YJ26" s="5">
        <f t="shared" si="44"/>
        <v>302.81054461945439</v>
      </c>
      <c r="YK26" s="5">
        <f t="shared" si="44"/>
        <v>298.26838645016255</v>
      </c>
      <c r="YL26" s="5">
        <f t="shared" si="44"/>
        <v>293.79436065341014</v>
      </c>
      <c r="YM26" s="5">
        <f t="shared" si="44"/>
        <v>289.38744524360897</v>
      </c>
      <c r="YN26" s="5">
        <f t="shared" si="44"/>
        <v>285.04663356495485</v>
      </c>
      <c r="YO26" s="5">
        <f t="shared" si="44"/>
        <v>280.77093406148055</v>
      </c>
      <c r="YP26" s="5">
        <f t="shared" si="44"/>
        <v>276.55937005055836</v>
      </c>
      <c r="YQ26" s="5">
        <f t="shared" si="44"/>
        <v>272.41097949979996</v>
      </c>
      <c r="YR26" s="5">
        <f t="shared" si="44"/>
        <v>268.32481480730297</v>
      </c>
      <c r="YS26" s="5">
        <f t="shared" si="44"/>
        <v>264.29994258519343</v>
      </c>
      <c r="YT26" s="5">
        <f t="shared" si="44"/>
        <v>260.33544344641552</v>
      </c>
      <c r="YU26" s="5">
        <f t="shared" si="44"/>
        <v>256.4304117947193</v>
      </c>
      <c r="YV26" s="5">
        <f t="shared" si="44"/>
        <v>252.58395561779852</v>
      </c>
      <c r="YW26" s="5">
        <f t="shared" si="44"/>
        <v>248.79519628353154</v>
      </c>
      <c r="YX26" s="5">
        <f t="shared" si="44"/>
        <v>245.06326833927855</v>
      </c>
      <c r="YY26" s="5">
        <f t="shared" si="44"/>
        <v>241.38731931418937</v>
      </c>
      <c r="YZ26" s="5">
        <f t="shared" si="44"/>
        <v>237.76650952447653</v>
      </c>
      <c r="ZA26" s="5">
        <f t="shared" si="44"/>
        <v>234.20001188160938</v>
      </c>
      <c r="ZB26" s="5">
        <f t="shared" si="44"/>
        <v>230.68701170338525</v>
      </c>
      <c r="ZC26" s="5">
        <f t="shared" si="44"/>
        <v>227.22670652783447</v>
      </c>
      <c r="ZD26" s="5">
        <f t="shared" si="44"/>
        <v>223.81830592991696</v>
      </c>
      <c r="ZE26" s="5">
        <f t="shared" si="44"/>
        <v>220.46103134096819</v>
      </c>
      <c r="ZF26" s="5">
        <f t="shared" si="44"/>
        <v>217.15411587085367</v>
      </c>
      <c r="ZG26" s="5">
        <f t="shared" si="44"/>
        <v>213.89680413279086</v>
      </c>
      <c r="ZH26" s="5">
        <f t="shared" si="44"/>
        <v>210.688352070799</v>
      </c>
      <c r="ZI26" s="5">
        <f t="shared" si="44"/>
        <v>207.528026789737</v>
      </c>
      <c r="ZJ26" s="5">
        <f t="shared" si="44"/>
        <v>204.41510638789094</v>
      </c>
      <c r="ZK26" s="5">
        <f t="shared" si="44"/>
        <v>201.34887979207258</v>
      </c>
      <c r="ZL26" s="5">
        <f t="shared" si="44"/>
        <v>198.32864659519149</v>
      </c>
      <c r="ZM26" s="5">
        <f t="shared" si="44"/>
        <v>195.35371689626362</v>
      </c>
      <c r="ZN26" s="5">
        <f t="shared" si="44"/>
        <v>192.42341114281967</v>
      </c>
      <c r="ZO26" s="5">
        <f t="shared" ref="ZO26:ABU26" si="45">+ZN26*(1+$AP$32)</f>
        <v>189.53705997567738</v>
      </c>
      <c r="ZP26" s="5">
        <f t="shared" si="45"/>
        <v>186.69400407604221</v>
      </c>
      <c r="ZQ26" s="5">
        <f t="shared" si="45"/>
        <v>183.89359401490157</v>
      </c>
      <c r="ZR26" s="5">
        <f t="shared" si="45"/>
        <v>181.13519010467803</v>
      </c>
      <c r="ZS26" s="5">
        <f t="shared" si="45"/>
        <v>178.41816225310785</v>
      </c>
      <c r="ZT26" s="5">
        <f t="shared" si="45"/>
        <v>175.74188981931124</v>
      </c>
      <c r="ZU26" s="5">
        <f t="shared" si="45"/>
        <v>173.10576147202156</v>
      </c>
      <c r="ZV26" s="5">
        <f t="shared" si="45"/>
        <v>170.50917504994123</v>
      </c>
      <c r="ZW26" s="5">
        <f t="shared" si="45"/>
        <v>167.95153742419211</v>
      </c>
      <c r="ZX26" s="5">
        <f t="shared" si="45"/>
        <v>165.43226436282922</v>
      </c>
      <c r="ZY26" s="5">
        <f t="shared" si="45"/>
        <v>162.95078039738678</v>
      </c>
      <c r="ZZ26" s="5">
        <f t="shared" si="45"/>
        <v>160.50651869142598</v>
      </c>
      <c r="AAA26" s="5">
        <f t="shared" si="45"/>
        <v>158.09892091105459</v>
      </c>
      <c r="AAB26" s="5">
        <f t="shared" si="45"/>
        <v>155.72743709738876</v>
      </c>
      <c r="AAC26" s="5">
        <f t="shared" si="45"/>
        <v>153.39152554092792</v>
      </c>
      <c r="AAD26" s="5">
        <f t="shared" si="45"/>
        <v>151.09065265781399</v>
      </c>
      <c r="AAE26" s="5">
        <f t="shared" si="45"/>
        <v>148.82429286794678</v>
      </c>
      <c r="AAF26" s="5">
        <f t="shared" si="45"/>
        <v>146.59192847492758</v>
      </c>
      <c r="AAG26" s="5">
        <f t="shared" si="45"/>
        <v>144.39304954780366</v>
      </c>
      <c r="AAH26" s="5">
        <f t="shared" si="45"/>
        <v>142.22715380458661</v>
      </c>
      <c r="AAI26" s="5">
        <f t="shared" si="45"/>
        <v>140.0937464975178</v>
      </c>
      <c r="AAJ26" s="5">
        <f t="shared" si="45"/>
        <v>137.99234030005502</v>
      </c>
      <c r="AAK26" s="5">
        <f t="shared" si="45"/>
        <v>135.92245519555419</v>
      </c>
      <c r="AAL26" s="5">
        <f t="shared" si="45"/>
        <v>133.88361836762087</v>
      </c>
      <c r="AAM26" s="5">
        <f t="shared" si="45"/>
        <v>131.87536409210657</v>
      </c>
      <c r="AAN26" s="5">
        <f t="shared" si="45"/>
        <v>129.89723363072497</v>
      </c>
      <c r="AAO26" s="5">
        <f t="shared" si="45"/>
        <v>127.9487751262641</v>
      </c>
      <c r="AAP26" s="5">
        <f t="shared" si="45"/>
        <v>126.02954349937013</v>
      </c>
      <c r="AAQ26" s="5">
        <f t="shared" si="45"/>
        <v>124.13910034687959</v>
      </c>
      <c r="AAR26" s="5">
        <f t="shared" si="45"/>
        <v>122.27701384167639</v>
      </c>
      <c r="AAS26" s="5">
        <f t="shared" si="45"/>
        <v>120.44285863405125</v>
      </c>
      <c r="AAT26" s="5">
        <f t="shared" si="45"/>
        <v>118.63621575454047</v>
      </c>
      <c r="AAU26" s="5">
        <f t="shared" si="45"/>
        <v>116.85667251822237</v>
      </c>
      <c r="AAV26" s="5">
        <f t="shared" si="45"/>
        <v>115.10382243044903</v>
      </c>
      <c r="AAW26" s="5">
        <f t="shared" si="45"/>
        <v>113.37726509399229</v>
      </c>
      <c r="AAX26" s="5">
        <f t="shared" si="45"/>
        <v>111.67660611758241</v>
      </c>
      <c r="AAY26" s="5">
        <f t="shared" si="45"/>
        <v>110.00145702581867</v>
      </c>
      <c r="AAZ26" s="5">
        <f t="shared" si="45"/>
        <v>108.35143517043139</v>
      </c>
      <c r="ABA26" s="5">
        <f t="shared" si="45"/>
        <v>106.72616364287491</v>
      </c>
      <c r="ABB26" s="5">
        <f t="shared" si="45"/>
        <v>105.12527118823178</v>
      </c>
      <c r="ABC26" s="5">
        <f t="shared" si="45"/>
        <v>103.54839212040829</v>
      </c>
      <c r="ABD26" s="5">
        <f t="shared" si="45"/>
        <v>101.99516623860217</v>
      </c>
      <c r="ABE26" s="5">
        <f t="shared" si="45"/>
        <v>100.46523874502313</v>
      </c>
      <c r="ABF26" s="5">
        <f t="shared" si="45"/>
        <v>98.958260163847783</v>
      </c>
      <c r="ABG26" s="5">
        <f t="shared" si="45"/>
        <v>97.473886261390064</v>
      </c>
      <c r="ABH26" s="5">
        <f t="shared" si="45"/>
        <v>96.011777967469214</v>
      </c>
      <c r="ABI26" s="5">
        <f t="shared" si="45"/>
        <v>94.571601297957173</v>
      </c>
      <c r="ABJ26" s="5">
        <f t="shared" si="45"/>
        <v>93.153027278487812</v>
      </c>
      <c r="ABK26" s="5">
        <f t="shared" si="45"/>
        <v>91.755731869310495</v>
      </c>
      <c r="ABL26" s="5">
        <f t="shared" si="45"/>
        <v>90.379395891270832</v>
      </c>
      <c r="ABM26" s="5">
        <f t="shared" si="45"/>
        <v>89.023704952901767</v>
      </c>
      <c r="ABN26" s="5">
        <f t="shared" si="45"/>
        <v>87.688349378608237</v>
      </c>
      <c r="ABO26" s="5">
        <f t="shared" si="45"/>
        <v>86.373024137929107</v>
      </c>
      <c r="ABP26" s="5">
        <f t="shared" si="45"/>
        <v>85.07742877586017</v>
      </c>
      <c r="ABQ26" s="5">
        <f t="shared" si="45"/>
        <v>83.801267344222268</v>
      </c>
      <c r="ABR26" s="5">
        <f t="shared" si="45"/>
        <v>82.544248334058935</v>
      </c>
      <c r="ABS26" s="5">
        <f t="shared" si="45"/>
        <v>81.306084609048057</v>
      </c>
      <c r="ABT26" s="5">
        <f t="shared" si="45"/>
        <v>80.086493339912337</v>
      </c>
      <c r="ABU26" s="5">
        <f t="shared" si="45"/>
        <v>78.885195939813656</v>
      </c>
    </row>
    <row r="27" spans="2:749" s="3" customFormat="1" x14ac:dyDescent="0.25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Z27" s="5"/>
      <c r="AA27" s="5"/>
      <c r="AB27" s="5"/>
      <c r="AC27" s="5"/>
    </row>
    <row r="28" spans="2:749" s="3" customFormat="1" x14ac:dyDescent="0.25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Z28" s="5"/>
      <c r="AA28" s="5"/>
      <c r="AB28" s="5"/>
      <c r="AC28" s="5"/>
    </row>
    <row r="29" spans="2:749" s="9" customFormat="1" x14ac:dyDescent="0.25">
      <c r="B29" s="9" t="s">
        <v>9</v>
      </c>
      <c r="C29" s="9">
        <f t="shared" ref="C29:M29" si="46">C13/C11</f>
        <v>0.82735523760453411</v>
      </c>
      <c r="D29" s="9">
        <f t="shared" si="46"/>
        <v>0.82130825572015254</v>
      </c>
      <c r="E29" s="9">
        <f t="shared" si="46"/>
        <v>0.81577208223688158</v>
      </c>
      <c r="F29" s="9">
        <f t="shared" si="46"/>
        <v>0.81921375617880132</v>
      </c>
      <c r="G29" s="9">
        <f t="shared" si="46"/>
        <v>0.81792436910332134</v>
      </c>
      <c r="H29" s="9">
        <f t="shared" si="46"/>
        <v>0.81649451472017054</v>
      </c>
      <c r="I29" s="9">
        <f t="shared" si="46"/>
        <v>0.82051974219764401</v>
      </c>
      <c r="J29" s="9">
        <f t="shared" si="46"/>
        <v>0.8077881564877738</v>
      </c>
      <c r="K29" s="9">
        <f t="shared" si="46"/>
        <v>0.81678103960241832</v>
      </c>
      <c r="L29" s="9">
        <f t="shared" si="46"/>
        <v>0.82655777896449412</v>
      </c>
      <c r="M29" s="9">
        <f t="shared" si="46"/>
        <v>0.8380832834579971</v>
      </c>
      <c r="N29" s="9">
        <f>N13/N11</f>
        <v>0.83065986488907384</v>
      </c>
      <c r="Z29" s="9">
        <f t="shared" ref="Z29:AC29" si="47">Z13/Z11</f>
        <v>0.83841132091896842</v>
      </c>
      <c r="AA29" s="9">
        <f t="shared" si="47"/>
        <v>0.82069920985037548</v>
      </c>
      <c r="AB29" s="9">
        <f t="shared" si="47"/>
        <v>0.81565308884521026</v>
      </c>
      <c r="AC29" s="9">
        <f t="shared" si="47"/>
        <v>0.82841824752689397</v>
      </c>
    </row>
    <row r="30" spans="2:749" s="9" customFormat="1" x14ac:dyDescent="0.25">
      <c r="B30" s="9" t="s">
        <v>83</v>
      </c>
      <c r="C30" s="9">
        <f t="shared" ref="C30:N30" si="48">C14/C$13</f>
        <v>0.59731437125748499</v>
      </c>
      <c r="D30" s="9">
        <f t="shared" si="48"/>
        <v>0.66085811269896855</v>
      </c>
      <c r="E30" s="9">
        <f t="shared" si="48"/>
        <v>0.69944202002943223</v>
      </c>
      <c r="F30" s="9">
        <f t="shared" si="48"/>
        <v>0.61723829553814913</v>
      </c>
      <c r="G30" s="9">
        <f t="shared" si="48"/>
        <v>0.60236375049078084</v>
      </c>
      <c r="H30" s="9">
        <f t="shared" si="48"/>
        <v>0.62014224087137548</v>
      </c>
      <c r="I30" s="9">
        <f t="shared" si="48"/>
        <v>0.59084577991458465</v>
      </c>
      <c r="J30" s="9">
        <f t="shared" si="48"/>
        <v>0.64447398217890017</v>
      </c>
      <c r="K30" s="9">
        <f t="shared" si="48"/>
        <v>0.62165299018612452</v>
      </c>
      <c r="L30" s="9">
        <f t="shared" si="48"/>
        <v>0.63969714182534965</v>
      </c>
      <c r="M30" s="9">
        <f t="shared" si="48"/>
        <v>0.60272232927396641</v>
      </c>
      <c r="N30" s="9">
        <f t="shared" si="48"/>
        <v>0.60932813528605057</v>
      </c>
      <c r="Z30" s="9">
        <f t="shared" ref="Z30:AC31" si="49">Z14/Z$13</f>
        <v>0.54974237947069915</v>
      </c>
      <c r="AA30" s="9">
        <f t="shared" si="49"/>
        <v>0.64459050730088296</v>
      </c>
      <c r="AB30" s="9">
        <f t="shared" si="49"/>
        <v>0.61435855113262383</v>
      </c>
      <c r="AC30" s="9">
        <f t="shared" si="49"/>
        <v>0.61783150979769941</v>
      </c>
    </row>
    <row r="31" spans="2:749" s="9" customFormat="1" x14ac:dyDescent="0.25">
      <c r="B31" s="9" t="s">
        <v>84</v>
      </c>
      <c r="C31" s="9">
        <f t="shared" ref="C31:M31" si="50">C15/C$13</f>
        <v>0.2397125748502994</v>
      </c>
      <c r="D31" s="9">
        <f t="shared" si="50"/>
        <v>0.25976792757398232</v>
      </c>
      <c r="E31" s="9">
        <f t="shared" si="50"/>
        <v>0.29582311753733592</v>
      </c>
      <c r="F31" s="9">
        <f t="shared" si="50"/>
        <v>0.26337606359885718</v>
      </c>
      <c r="G31" s="9">
        <f t="shared" si="50"/>
        <v>0.24203559630182583</v>
      </c>
      <c r="H31" s="9">
        <f t="shared" si="50"/>
        <v>0.25475926957140582</v>
      </c>
      <c r="I31" s="9">
        <f t="shared" si="50"/>
        <v>0.2293874262967317</v>
      </c>
      <c r="J31" s="9">
        <f t="shared" si="50"/>
        <v>0.26212332551130363</v>
      </c>
      <c r="K31" s="9">
        <f t="shared" si="50"/>
        <v>0.26015686120906206</v>
      </c>
      <c r="L31" s="9">
        <f t="shared" si="50"/>
        <v>0.25569904526885201</v>
      </c>
      <c r="M31" s="9">
        <f t="shared" si="50"/>
        <v>0.26017707364993875</v>
      </c>
      <c r="N31" s="9">
        <f t="shared" ref="N31" si="51">N15/N$13</f>
        <v>0.27342447598483022</v>
      </c>
      <c r="Z31" s="9">
        <f t="shared" si="49"/>
        <v>0.22800948778876989</v>
      </c>
      <c r="AA31" s="9">
        <f t="shared" si="49"/>
        <v>0.26538859560643968</v>
      </c>
      <c r="AB31" s="9">
        <f t="shared" si="49"/>
        <v>0.24682710061128946</v>
      </c>
      <c r="AC31" s="9">
        <f t="shared" si="49"/>
        <v>0.26259630645212434</v>
      </c>
      <c r="AO31" s="11" t="s">
        <v>144</v>
      </c>
      <c r="AS31" s="11" t="s">
        <v>147</v>
      </c>
    </row>
    <row r="32" spans="2:749" s="9" customFormat="1" x14ac:dyDescent="0.25">
      <c r="B32" s="9" t="s">
        <v>85</v>
      </c>
      <c r="C32" s="9">
        <f t="shared" ref="C32:M32" si="52">C16/C$13</f>
        <v>0.2139116766467066</v>
      </c>
      <c r="D32" s="9">
        <f t="shared" si="52"/>
        <v>0.21782914480320442</v>
      </c>
      <c r="E32" s="9">
        <f t="shared" si="52"/>
        <v>0.22108031456840577</v>
      </c>
      <c r="F32" s="9">
        <f t="shared" si="52"/>
        <v>0.18488357280826495</v>
      </c>
      <c r="G32" s="9">
        <f t="shared" si="52"/>
        <v>0.17919439422016489</v>
      </c>
      <c r="H32" s="9">
        <f t="shared" si="52"/>
        <v>0.18177995180077036</v>
      </c>
      <c r="I32" s="9">
        <f t="shared" si="52"/>
        <v>0.16151943777973421</v>
      </c>
      <c r="J32" s="9">
        <f t="shared" si="52"/>
        <v>0.16664533385844862</v>
      </c>
      <c r="K32" s="9">
        <f t="shared" si="52"/>
        <v>0.15115182388005241</v>
      </c>
      <c r="L32" s="9">
        <f t="shared" si="52"/>
        <v>0.15865916323720819</v>
      </c>
      <c r="M32" s="9">
        <f t="shared" si="52"/>
        <v>0.1480553471686597</v>
      </c>
      <c r="N32" s="9">
        <f>N16/N$13</f>
        <v>0.14201348094952776</v>
      </c>
      <c r="Z32" s="9">
        <f t="shared" ref="Z32:AC32" si="53">Z16/Z$13</f>
        <v>0.19242517344917037</v>
      </c>
      <c r="AA32" s="9">
        <f t="shared" si="53"/>
        <v>0.20902677185766261</v>
      </c>
      <c r="AB32" s="9">
        <f t="shared" si="53"/>
        <v>0.17174639982807835</v>
      </c>
      <c r="AC32" s="9">
        <f t="shared" si="53"/>
        <v>0.14975235235749584</v>
      </c>
      <c r="AO32" s="9" t="s">
        <v>145</v>
      </c>
      <c r="AP32" s="9">
        <v>-1.4999999999999999E-2</v>
      </c>
      <c r="AS32" s="9" t="s">
        <v>145</v>
      </c>
      <c r="AT32" s="9">
        <v>-1.4999999999999999E-2</v>
      </c>
    </row>
    <row r="33" spans="2:46" s="9" customFormat="1" x14ac:dyDescent="0.25">
      <c r="B33" s="9" t="s">
        <v>86</v>
      </c>
      <c r="C33" s="9">
        <f t="shared" ref="C33:M33" si="54">C18/C11</f>
        <v>-4.2144336332289645E-2</v>
      </c>
      <c r="D33" s="9">
        <f t="shared" si="54"/>
        <v>-0.11371438655030801</v>
      </c>
      <c r="E33" s="9">
        <f t="shared" si="54"/>
        <v>-0.17648857997079043</v>
      </c>
      <c r="F33" s="9">
        <f t="shared" si="54"/>
        <v>-5.36568068508292E-2</v>
      </c>
      <c r="G33" s="9">
        <f t="shared" si="54"/>
        <v>-1.9297895732658332E-2</v>
      </c>
      <c r="H33" s="9">
        <f t="shared" si="54"/>
        <v>-4.6280103008178398E-2</v>
      </c>
      <c r="I33" s="9">
        <f t="shared" si="54"/>
        <v>1.4972315848251828E-2</v>
      </c>
      <c r="J33" s="9">
        <f t="shared" si="54"/>
        <v>-5.9164538392880814E-2</v>
      </c>
      <c r="K33" s="9">
        <f t="shared" si="54"/>
        <v>-2.6922471398347001E-2</v>
      </c>
      <c r="L33" s="9">
        <f t="shared" si="54"/>
        <v>-4.4679870311077736E-2</v>
      </c>
      <c r="M33" s="9">
        <f t="shared" si="54"/>
        <v>-9.1809929270385247E-3</v>
      </c>
      <c r="N33" s="9">
        <f>N18/N11</f>
        <v>-2.0572198817634921E-2</v>
      </c>
      <c r="Z33" s="9">
        <f t="shared" ref="Z33:AC33" si="55">Z18/Z11</f>
        <v>2.5003906693182233E-2</v>
      </c>
      <c r="AA33" s="9">
        <f t="shared" si="55"/>
        <v>-9.7668027387176143E-2</v>
      </c>
      <c r="AB33" s="9">
        <f t="shared" si="55"/>
        <v>-2.6861129586704731E-2</v>
      </c>
      <c r="AC33" s="9">
        <f t="shared" si="55"/>
        <v>-2.5001802387741922E-2</v>
      </c>
      <c r="AO33" s="9" t="s">
        <v>146</v>
      </c>
      <c r="AP33" s="9">
        <v>0.09</v>
      </c>
      <c r="AS33" s="9" t="s">
        <v>146</v>
      </c>
      <c r="AT33" s="9">
        <v>0.09</v>
      </c>
    </row>
    <row r="34" spans="2:46" s="9" customFormat="1" x14ac:dyDescent="0.25">
      <c r="B34" s="9" t="s">
        <v>87</v>
      </c>
      <c r="C34" s="9">
        <f t="shared" ref="C34:M34" si="56">C19/C18</f>
        <v>-0.83201575219678492</v>
      </c>
      <c r="D34" s="9">
        <f t="shared" si="56"/>
        <v>5.3345962776730919E-2</v>
      </c>
      <c r="E34" s="9">
        <f t="shared" si="56"/>
        <v>-3.7916158621500676E-2</v>
      </c>
      <c r="F34" s="9">
        <f t="shared" si="56"/>
        <v>-9.8096806842763298E-2</v>
      </c>
      <c r="G34" s="9">
        <f t="shared" si="56"/>
        <v>-0.41947109014786155</v>
      </c>
      <c r="H34" s="9">
        <f t="shared" si="56"/>
        <v>-0.18248338836574129</v>
      </c>
      <c r="I34" s="9">
        <f t="shared" si="56"/>
        <v>0.1107054594473152</v>
      </c>
      <c r="J34" s="9">
        <f t="shared" si="56"/>
        <v>-0.1916504854368932</v>
      </c>
      <c r="K34" s="9">
        <f t="shared" si="56"/>
        <v>-5.6726499468384511E-2</v>
      </c>
      <c r="L34" s="9">
        <f t="shared" si="56"/>
        <v>-0.17912628960141966</v>
      </c>
      <c r="M34" s="9">
        <f t="shared" si="56"/>
        <v>-0.409601798330122</v>
      </c>
      <c r="N34" s="9">
        <f>N19/N18</f>
        <v>-0.5015976684574599</v>
      </c>
      <c r="Z34" s="9">
        <f t="shared" ref="Z34:AC34" si="57">Z19/Z18</f>
        <v>-7.7197180485995176</v>
      </c>
      <c r="AA34" s="9">
        <f t="shared" si="57"/>
        <v>-9.8736465231068701E-2</v>
      </c>
      <c r="AB34" s="9">
        <f t="shared" si="57"/>
        <v>-0.27050573554156665</v>
      </c>
      <c r="AC34" s="9">
        <f t="shared" si="57"/>
        <v>-0.24155623044358548</v>
      </c>
      <c r="AO34" s="9" t="s">
        <v>148</v>
      </c>
      <c r="AP34" s="1">
        <f>NPV(AP33,AE26:ABU26)+AD26+AC60</f>
        <v>29079283.262607109</v>
      </c>
      <c r="AS34" s="9" t="s">
        <v>148</v>
      </c>
      <c r="AT34" s="1">
        <f>+NPV(AT33,AE90:ABA90)+AD90+AC60</f>
        <v>46801227.52638375</v>
      </c>
    </row>
    <row r="35" spans="2:46" s="9" customFormat="1" x14ac:dyDescent="0.25">
      <c r="B35" s="9" t="s">
        <v>138</v>
      </c>
      <c r="C35" s="9">
        <f>-C21/C20</f>
        <v>-1.4039538138558432</v>
      </c>
      <c r="D35" s="9">
        <f t="shared" ref="D35:N35" si="58">-D21/D20</f>
        <v>-0.96139974936144568</v>
      </c>
      <c r="E35" s="9">
        <f t="shared" si="58"/>
        <v>-0.34479963458804302</v>
      </c>
      <c r="F35" s="9">
        <f t="shared" si="58"/>
        <v>-0.29718787131980812</v>
      </c>
      <c r="G35" s="9">
        <f t="shared" si="58"/>
        <v>-1.9106262552492241</v>
      </c>
      <c r="H35" s="9">
        <f t="shared" si="58"/>
        <v>-1.1059861876386845</v>
      </c>
      <c r="I35" s="9">
        <f t="shared" si="58"/>
        <v>0.35514538558786346</v>
      </c>
      <c r="J35" s="9">
        <f t="shared" si="58"/>
        <v>-2.6386296864317522</v>
      </c>
      <c r="K35" s="9">
        <f t="shared" si="58"/>
        <v>-3.1032024930380584</v>
      </c>
      <c r="L35" s="9">
        <f t="shared" si="58"/>
        <v>0.1902168153784202</v>
      </c>
      <c r="M35" s="9">
        <f t="shared" si="58"/>
        <v>-8.6283655153657879</v>
      </c>
      <c r="N35" s="9">
        <f t="shared" si="58"/>
        <v>-0.68402141750035228</v>
      </c>
      <c r="Z35" s="9">
        <f t="shared" ref="Z35:AC35" si="59">-Z21/Z20</f>
        <v>-0.10313884205564214</v>
      </c>
      <c r="AA35" s="9">
        <f t="shared" si="59"/>
        <v>-0.56446377146971094</v>
      </c>
      <c r="AB35" s="9">
        <f t="shared" si="59"/>
        <v>-2.5186694299062138</v>
      </c>
      <c r="AC35" s="9">
        <f t="shared" si="59"/>
        <v>-1.5955508367460438</v>
      </c>
      <c r="AO35" s="9" t="s">
        <v>149</v>
      </c>
      <c r="AP35" s="6">
        <f>AP34/AC23</f>
        <v>111.07993621763919</v>
      </c>
      <c r="AS35" s="9" t="s">
        <v>149</v>
      </c>
      <c r="AT35" s="6">
        <f>AT34/AC23</f>
        <v>178.77598019146768</v>
      </c>
    </row>
    <row r="36" spans="2:46" s="9" customFormat="1" x14ac:dyDescent="0.25">
      <c r="B36" s="9" t="s">
        <v>88</v>
      </c>
      <c r="C36" s="9">
        <f t="shared" ref="C36:N36" si="60">C22/C11</f>
        <v>-1.7018994490904046E-2</v>
      </c>
      <c r="D36" s="9">
        <f t="shared" si="60"/>
        <v>-0.23493761916984454</v>
      </c>
      <c r="E36" s="9">
        <f t="shared" si="60"/>
        <v>-0.22834268935707239</v>
      </c>
      <c r="F36" s="9">
        <f t="shared" si="60"/>
        <v>-6.2775131029988357E-2</v>
      </c>
      <c r="G36" s="9">
        <f t="shared" si="60"/>
        <v>-3.2607706271892821E-2</v>
      </c>
      <c r="H36" s="9">
        <f t="shared" si="60"/>
        <v>-7.9679467225099276E-2</v>
      </c>
      <c r="I36" s="9">
        <f t="shared" si="60"/>
        <v>1.0723824516788773E-2</v>
      </c>
      <c r="J36" s="9">
        <f t="shared" si="60"/>
        <v>-0.17401974213275126</v>
      </c>
      <c r="K36" s="9">
        <f t="shared" si="60"/>
        <v>-0.10420186886303115</v>
      </c>
      <c r="L36" s="9">
        <f t="shared" si="60"/>
        <v>-2.9700038011198145E-2</v>
      </c>
      <c r="M36" s="9">
        <f t="shared" si="60"/>
        <v>-5.218999407392557E-2</v>
      </c>
      <c r="N36" s="9">
        <f t="shared" si="60"/>
        <v>-1.726666204353831E-2</v>
      </c>
      <c r="Z36" s="9">
        <f t="shared" ref="Z36:AB36" si="61">Z22/Z11</f>
        <v>-0.18534850914166204</v>
      </c>
      <c r="AA36" s="9">
        <f t="shared" si="61"/>
        <v>-0.13771134713027922</v>
      </c>
      <c r="AB36" s="9">
        <f t="shared" si="61"/>
        <v>-6.8948468121551795E-2</v>
      </c>
      <c r="AC36" s="9">
        <f>AC22/AC11</f>
        <v>-4.9218032160733102E-2</v>
      </c>
      <c r="AO36" s="9" t="s">
        <v>150</v>
      </c>
      <c r="AP36" s="6">
        <v>160.4</v>
      </c>
      <c r="AS36" s="9" t="s">
        <v>150</v>
      </c>
      <c r="AT36" s="6">
        <v>160.4</v>
      </c>
    </row>
    <row r="37" spans="2:46" s="9" customFormat="1" x14ac:dyDescent="0.25">
      <c r="B37" s="9" t="s">
        <v>137</v>
      </c>
      <c r="C37" s="9">
        <f t="shared" ref="C37:N37" si="62">C26/C11</f>
        <v>0.11462461852483057</v>
      </c>
      <c r="D37" s="9">
        <f t="shared" si="62"/>
        <v>0.13146840165737753</v>
      </c>
      <c r="E37" s="9">
        <f t="shared" si="62"/>
        <v>0.15069588498808786</v>
      </c>
      <c r="F37" s="9">
        <f t="shared" si="62"/>
        <v>0.15655448100198274</v>
      </c>
      <c r="G37" s="9">
        <f t="shared" si="62"/>
        <v>0.17282094551404975</v>
      </c>
      <c r="H37" s="9">
        <f t="shared" si="62"/>
        <v>0.17876069464489533</v>
      </c>
      <c r="I37" s="9">
        <f t="shared" si="62"/>
        <v>0.19551806029292051</v>
      </c>
      <c r="J37" s="9">
        <f t="shared" si="62"/>
        <v>0.15149214821622672</v>
      </c>
      <c r="K37" s="9">
        <f t="shared" si="62"/>
        <v>0.16812863650790844</v>
      </c>
      <c r="L37" s="9">
        <f t="shared" si="62"/>
        <v>0.19870528728770279</v>
      </c>
      <c r="M37" s="9">
        <f t="shared" si="62"/>
        <v>0.19274851921846575</v>
      </c>
      <c r="N37" s="9">
        <f t="shared" si="62"/>
        <v>0.18717385274180406</v>
      </c>
      <c r="Z37" s="9">
        <f t="shared" ref="Z37:AB37" si="63">Z26/Z11</f>
        <v>0.1368077571585247</v>
      </c>
      <c r="AA37" s="9">
        <f t="shared" si="63"/>
        <v>0.13926567490332131</v>
      </c>
      <c r="AB37" s="9">
        <f t="shared" si="63"/>
        <v>0.17492049631498899</v>
      </c>
      <c r="AC37" s="9">
        <f>AC26/AC11</f>
        <v>0.18713098987134785</v>
      </c>
      <c r="AD37" s="9">
        <v>0.19</v>
      </c>
      <c r="AE37" s="9">
        <v>0.2</v>
      </c>
      <c r="AF37" s="9">
        <v>0.2</v>
      </c>
      <c r="AG37" s="9">
        <v>0.2</v>
      </c>
      <c r="AH37" s="9">
        <v>0.2</v>
      </c>
      <c r="AI37" s="9">
        <v>0.2</v>
      </c>
      <c r="AJ37" s="9">
        <v>0.2</v>
      </c>
      <c r="AK37" s="9">
        <v>0.2</v>
      </c>
      <c r="AL37" s="9">
        <v>0.2</v>
      </c>
      <c r="AM37" s="9">
        <v>0.2</v>
      </c>
      <c r="AO37" s="11" t="s">
        <v>151</v>
      </c>
      <c r="AP37" s="11">
        <f>AP35/AP36-1</f>
        <v>-0.30748169440374573</v>
      </c>
      <c r="AQ37" s="11"/>
      <c r="AR37" s="11"/>
      <c r="AS37" s="11" t="s">
        <v>151</v>
      </c>
      <c r="AT37" s="11">
        <f>AT35/AT36-1</f>
        <v>0.11456346752785329</v>
      </c>
    </row>
    <row r="38" spans="2:46" s="11" customFormat="1" x14ac:dyDescent="0.25"/>
    <row r="39" spans="2:46" s="9" customFormat="1" x14ac:dyDescent="0.25">
      <c r="B39" s="9" t="s">
        <v>77</v>
      </c>
      <c r="G39" s="9">
        <f t="shared" ref="G39:N42" si="64">G3/C3-1</f>
        <v>0.2728258283986924</v>
      </c>
      <c r="H39" s="9">
        <f t="shared" si="64"/>
        <v>0.27496657460450691</v>
      </c>
      <c r="I39" s="9">
        <f t="shared" si="64"/>
        <v>0.31435376553353866</v>
      </c>
      <c r="J39" s="9">
        <f t="shared" si="64"/>
        <v>0.31031250166450941</v>
      </c>
      <c r="K39" s="9">
        <f t="shared" si="64"/>
        <v>0.31036125210246635</v>
      </c>
      <c r="L39" s="9">
        <f t="shared" si="64"/>
        <v>0.29661517735490883</v>
      </c>
      <c r="M39" s="9">
        <f t="shared" si="64"/>
        <v>0.25232420530385347</v>
      </c>
      <c r="N39" s="9">
        <f t="shared" si="64"/>
        <v>0.25707650073305643</v>
      </c>
      <c r="AA39" s="9">
        <f t="shared" ref="AA39:AC42" si="65">AA3/Z3-1</f>
        <v>0.37618118757522656</v>
      </c>
      <c r="AB39" s="9">
        <f t="shared" si="65"/>
        <v>0.29412687041656227</v>
      </c>
      <c r="AC39" s="9">
        <f t="shared" si="65"/>
        <v>0.27734568800092196</v>
      </c>
      <c r="AD39" s="9">
        <f t="shared" ref="AD39" si="66">AD3/AC3-1</f>
        <v>0.2099000000000002</v>
      </c>
      <c r="AE39" s="9">
        <f>AE3/AD3-1</f>
        <v>0.15500000000000003</v>
      </c>
      <c r="AF39" s="9">
        <f t="shared" ref="AF39:AM39" si="67">AF3/AE3-1</f>
        <v>0.12269999999999981</v>
      </c>
      <c r="AG39" s="9">
        <f t="shared" si="67"/>
        <v>0.10699999999999998</v>
      </c>
      <c r="AH39" s="9">
        <f t="shared" si="67"/>
        <v>8.0700000000000216E-2</v>
      </c>
      <c r="AI39" s="9">
        <f t="shared" si="67"/>
        <v>7.0600000000000218E-2</v>
      </c>
      <c r="AJ39" s="9">
        <f t="shared" si="67"/>
        <v>6.0499999999999998E-2</v>
      </c>
      <c r="AK39" s="9">
        <f t="shared" si="67"/>
        <v>5.04E-2</v>
      </c>
      <c r="AL39" s="9">
        <f t="shared" si="67"/>
        <v>4.0300000000000002E-2</v>
      </c>
      <c r="AM39" s="9">
        <f t="shared" si="67"/>
        <v>3.0200000000000227E-2</v>
      </c>
    </row>
    <row r="40" spans="2:46" s="9" customFormat="1" x14ac:dyDescent="0.25">
      <c r="B40" s="9" t="s">
        <v>78</v>
      </c>
      <c r="G40" s="9">
        <f t="shared" si="64"/>
        <v>0.4188275282080034</v>
      </c>
      <c r="H40" s="9">
        <f t="shared" si="64"/>
        <v>0.41435366305645926</v>
      </c>
      <c r="I40" s="9">
        <f t="shared" si="64"/>
        <v>0.64356739531755669</v>
      </c>
      <c r="J40" s="9">
        <f t="shared" si="64"/>
        <v>0.40676893130296965</v>
      </c>
      <c r="K40" s="9">
        <f t="shared" si="64"/>
        <v>0.38136929238545658</v>
      </c>
      <c r="L40" s="9">
        <f t="shared" si="64"/>
        <v>0.31854577482730262</v>
      </c>
      <c r="M40" s="9">
        <f t="shared" si="64"/>
        <v>6.6958866790796767E-2</v>
      </c>
      <c r="N40" s="9">
        <f t="shared" si="64"/>
        <v>0.1656539001968389</v>
      </c>
      <c r="AA40" s="9">
        <f t="shared" si="65"/>
        <v>0.46211533073124422</v>
      </c>
      <c r="AB40" s="9">
        <f t="shared" si="65"/>
        <v>0.47512544995367723</v>
      </c>
      <c r="AC40" s="9">
        <f t="shared" si="65"/>
        <v>0.21404172783074538</v>
      </c>
      <c r="AD40" s="9">
        <v>0.12540000000000001</v>
      </c>
      <c r="AE40" s="9">
        <v>0.27500000000000002</v>
      </c>
    </row>
    <row r="41" spans="2:46" s="9" customFormat="1" x14ac:dyDescent="0.25">
      <c r="B41" s="9" t="s">
        <v>79</v>
      </c>
      <c r="G41" s="9">
        <f t="shared" si="64"/>
        <v>-0.30805795471519071</v>
      </c>
      <c r="H41" s="9">
        <f t="shared" si="64"/>
        <v>-0.34845716223344136</v>
      </c>
      <c r="I41" s="9">
        <f t="shared" si="64"/>
        <v>-0.68513280149169931</v>
      </c>
      <c r="J41" s="9">
        <f t="shared" si="64"/>
        <v>-1</v>
      </c>
      <c r="K41" s="9">
        <f t="shared" si="64"/>
        <v>-1</v>
      </c>
      <c r="L41" s="9">
        <f t="shared" si="64"/>
        <v>-1</v>
      </c>
      <c r="M41" s="9">
        <f t="shared" si="64"/>
        <v>-1</v>
      </c>
      <c r="N41" s="9" t="e">
        <f t="shared" si="64"/>
        <v>#DIV/0!</v>
      </c>
      <c r="AA41" s="9">
        <f t="shared" si="65"/>
        <v>-0.23714735214121918</v>
      </c>
      <c r="AB41" s="9">
        <f t="shared" si="65"/>
        <v>-0.55646298927142035</v>
      </c>
      <c r="AC41" s="9">
        <f t="shared" si="65"/>
        <v>-1</v>
      </c>
    </row>
    <row r="42" spans="2:46" s="9" customFormat="1" x14ac:dyDescent="0.25">
      <c r="B42" s="9" t="s">
        <v>80</v>
      </c>
      <c r="G42" s="9">
        <f t="shared" si="64"/>
        <v>8.7194554832163762E-2</v>
      </c>
      <c r="H42" s="9">
        <f t="shared" si="64"/>
        <v>5.0586449104893516E-2</v>
      </c>
      <c r="I42" s="9">
        <f t="shared" si="64"/>
        <v>0.42734672402587348</v>
      </c>
      <c r="J42" s="9">
        <f t="shared" si="64"/>
        <v>0.16360063986646267</v>
      </c>
      <c r="K42" s="9">
        <f t="shared" si="64"/>
        <v>0.16425252269943424</v>
      </c>
      <c r="L42" s="9">
        <f t="shared" si="64"/>
        <v>0.22631771188997751</v>
      </c>
      <c r="M42" s="9">
        <f t="shared" si="64"/>
        <v>-4.8429063943277173E-2</v>
      </c>
      <c r="N42" s="9">
        <f t="shared" si="64"/>
        <v>0.13324666397692808</v>
      </c>
      <c r="AA42" s="9">
        <f t="shared" si="65"/>
        <v>0.13491596202086975</v>
      </c>
      <c r="AB42" s="9">
        <f t="shared" si="65"/>
        <v>0.19261571460334204</v>
      </c>
      <c r="AC42" s="9">
        <f t="shared" si="65"/>
        <v>9.9242947642390611E-2</v>
      </c>
      <c r="AD42" s="9">
        <v>0.104</v>
      </c>
      <c r="AE42" s="9">
        <v>0.1</v>
      </c>
    </row>
    <row r="43" spans="2:46" s="9" customFormat="1" x14ac:dyDescent="0.25"/>
    <row r="44" spans="2:46" s="9" customFormat="1" x14ac:dyDescent="0.25">
      <c r="B44" s="9" t="s">
        <v>81</v>
      </c>
      <c r="G44" s="9">
        <f t="shared" ref="G44:N44" si="68">G9/C9-1</f>
        <v>0.30876027675027351</v>
      </c>
      <c r="H44" s="9">
        <f t="shared" si="68"/>
        <v>0.31071753475468888</v>
      </c>
      <c r="I44" s="9">
        <f t="shared" si="68"/>
        <v>0.40841746858074357</v>
      </c>
      <c r="J44" s="9">
        <f t="shared" si="68"/>
        <v>0.33656824385748396</v>
      </c>
      <c r="K44" s="9">
        <f t="shared" si="68"/>
        <v>0.32860553391973069</v>
      </c>
      <c r="L44" s="9">
        <f t="shared" si="68"/>
        <v>0.30151547821721314</v>
      </c>
      <c r="M44" s="9">
        <f t="shared" si="68"/>
        <v>0.18809918281055293</v>
      </c>
      <c r="N44" s="9">
        <f t="shared" si="68"/>
        <v>0.22796109165652356</v>
      </c>
      <c r="AA44" s="9">
        <f>AA9/Z9-1</f>
        <v>0.39388927202955504</v>
      </c>
      <c r="AB44" s="9">
        <f>AB9/AA9-1</f>
        <v>0.34278424239438077</v>
      </c>
      <c r="AC44" s="9">
        <f>AC9/AB9-1</f>
        <v>0.25640042309771016</v>
      </c>
    </row>
    <row r="45" spans="2:46" s="9" customFormat="1" x14ac:dyDescent="0.25">
      <c r="B45" s="9" t="s">
        <v>82</v>
      </c>
      <c r="G45" s="9">
        <f t="shared" ref="G45:N45" si="69">G11/C11-1</f>
        <v>0.21102884348618756</v>
      </c>
      <c r="H45" s="9">
        <f t="shared" si="69"/>
        <v>0.2147417681138164</v>
      </c>
      <c r="I45" s="9">
        <f t="shared" si="69"/>
        <v>0.29895035572552597</v>
      </c>
      <c r="J45" s="9">
        <f t="shared" si="69"/>
        <v>0.20497541257674912</v>
      </c>
      <c r="K45" s="9">
        <f t="shared" si="69"/>
        <v>0.21477947380532325</v>
      </c>
      <c r="L45" s="9">
        <f t="shared" si="69"/>
        <v>0.21351840846704584</v>
      </c>
      <c r="M45" s="9">
        <f t="shared" si="69"/>
        <v>0.1409335243977099</v>
      </c>
      <c r="N45" s="9">
        <f t="shared" si="69"/>
        <v>0.22336181832642565</v>
      </c>
      <c r="AA45" s="9">
        <f>AA11/Z11-1</f>
        <v>0.26107592114116818</v>
      </c>
      <c r="AB45" s="9">
        <f>AB11/AA11-1</f>
        <v>0.23310842638600127</v>
      </c>
      <c r="AC45" s="9">
        <f>AC11/AB11-1</f>
        <v>0.19655403348274669</v>
      </c>
      <c r="AD45" s="9">
        <f>AD11/AC11-1</f>
        <v>0.18113920108971593</v>
      </c>
      <c r="AE45" s="9">
        <f>AE11/AD11-1</f>
        <v>0.18668831168831179</v>
      </c>
      <c r="AF45" s="9">
        <f t="shared" ref="AF45:AM45" si="70">AF11/AE11-1</f>
        <v>0.13830732008956437</v>
      </c>
      <c r="AG45" s="9">
        <f t="shared" si="70"/>
        <v>0.10699999999999998</v>
      </c>
      <c r="AH45" s="9">
        <f t="shared" si="70"/>
        <v>8.0700000000000216E-2</v>
      </c>
      <c r="AI45" s="9">
        <f t="shared" si="70"/>
        <v>7.0600000000000218E-2</v>
      </c>
      <c r="AJ45" s="9">
        <f t="shared" si="70"/>
        <v>6.0499999999999776E-2</v>
      </c>
      <c r="AK45" s="9">
        <f t="shared" si="70"/>
        <v>5.04E-2</v>
      </c>
      <c r="AL45" s="9">
        <f t="shared" si="70"/>
        <v>4.0300000000000002E-2</v>
      </c>
      <c r="AM45" s="9">
        <f t="shared" si="70"/>
        <v>3.0200000000000227E-2</v>
      </c>
    </row>
    <row r="46" spans="2:46" s="9" customFormat="1" x14ac:dyDescent="0.25"/>
    <row r="47" spans="2:46" s="9" customFormat="1" x14ac:dyDescent="0.25">
      <c r="B47" t="s">
        <v>89</v>
      </c>
      <c r="C47" s="9">
        <f t="shared" ref="C47:N47" si="71">C3/C$7</f>
        <v>0.58836723673259084</v>
      </c>
      <c r="D47" s="9">
        <f t="shared" si="71"/>
        <v>0.58706617593135813</v>
      </c>
      <c r="E47" s="9">
        <f t="shared" si="71"/>
        <v>0.58429105590347075</v>
      </c>
      <c r="F47" s="9">
        <f t="shared" si="71"/>
        <v>0.59975529710424258</v>
      </c>
      <c r="G47" s="9">
        <f t="shared" si="71"/>
        <v>0.61839073406458545</v>
      </c>
      <c r="H47" s="9">
        <f t="shared" si="71"/>
        <v>0.61617190668892852</v>
      </c>
      <c r="I47" s="9">
        <f t="shared" si="71"/>
        <v>0.59121978458164304</v>
      </c>
      <c r="J47" s="9">
        <f t="shared" si="71"/>
        <v>0.65218497865834801</v>
      </c>
      <c r="K47" s="9">
        <f t="shared" si="71"/>
        <v>0.66704720819747076</v>
      </c>
      <c r="L47" s="9">
        <f t="shared" si="71"/>
        <v>0.65836483443363703</v>
      </c>
      <c r="M47" s="9">
        <f t="shared" si="71"/>
        <v>0.64894126700061028</v>
      </c>
      <c r="N47" s="9">
        <f t="shared" si="71"/>
        <v>0.67015857330258954</v>
      </c>
      <c r="Z47" s="9">
        <f>Z3/Z11</f>
        <v>0.54066635698541721</v>
      </c>
      <c r="AA47" s="9">
        <f t="shared" ref="AA47:AM47" si="72">AA3/AA11</f>
        <v>0.59001591955292854</v>
      </c>
      <c r="AB47" s="9">
        <f t="shared" si="72"/>
        <v>0.61921193556742837</v>
      </c>
      <c r="AC47" s="9">
        <f t="shared" si="72"/>
        <v>0.66102129425245393</v>
      </c>
      <c r="AD47" s="9">
        <f t="shared" si="72"/>
        <v>0.67711719599025988</v>
      </c>
      <c r="AE47" s="9">
        <f t="shared" si="72"/>
        <v>0.65903603639281816</v>
      </c>
      <c r="AF47" s="9">
        <f t="shared" si="72"/>
        <v>0.65</v>
      </c>
      <c r="AG47" s="9">
        <f t="shared" si="72"/>
        <v>0.65</v>
      </c>
      <c r="AH47" s="9">
        <f t="shared" si="72"/>
        <v>0.65</v>
      </c>
      <c r="AI47" s="9">
        <f t="shared" si="72"/>
        <v>0.65</v>
      </c>
      <c r="AJ47" s="9">
        <f t="shared" si="72"/>
        <v>0.65</v>
      </c>
      <c r="AK47" s="9">
        <f t="shared" si="72"/>
        <v>0.65</v>
      </c>
      <c r="AL47" s="9">
        <f t="shared" si="72"/>
        <v>0.65</v>
      </c>
      <c r="AM47" s="9">
        <f t="shared" si="72"/>
        <v>0.65</v>
      </c>
    </row>
    <row r="48" spans="2:46" s="9" customFormat="1" x14ac:dyDescent="0.25">
      <c r="B48" t="s">
        <v>90</v>
      </c>
      <c r="C48" s="9">
        <f t="shared" ref="C48:N48" si="73">C4/C$7</f>
        <v>0.21207542309064245</v>
      </c>
      <c r="D48" s="9">
        <f t="shared" si="73"/>
        <v>0.22260010266940453</v>
      </c>
      <c r="E48" s="9">
        <f t="shared" si="73"/>
        <v>0.24201242444997176</v>
      </c>
      <c r="F48" s="9">
        <f t="shared" si="73"/>
        <v>0.24726705839007218</v>
      </c>
      <c r="G48" s="9">
        <f t="shared" si="73"/>
        <v>0.24846513768505024</v>
      </c>
      <c r="H48" s="9">
        <f t="shared" si="73"/>
        <v>0.25917876446783822</v>
      </c>
      <c r="I48" s="9">
        <f t="shared" si="73"/>
        <v>0.30621934728641492</v>
      </c>
      <c r="J48" s="9">
        <f t="shared" si="73"/>
        <v>0.2886761106054313</v>
      </c>
      <c r="K48" s="9">
        <f t="shared" si="73"/>
        <v>0.28253861612536318</v>
      </c>
      <c r="L48" s="9">
        <f t="shared" si="73"/>
        <v>0.28161012015114312</v>
      </c>
      <c r="M48" s="9">
        <f t="shared" si="73"/>
        <v>0.28636501670209535</v>
      </c>
      <c r="N48" s="9">
        <f t="shared" si="73"/>
        <v>0.27505880041377001</v>
      </c>
      <c r="Z48" s="9">
        <f t="shared" ref="Z48:AC50" si="74">Z4/Z$7</f>
        <v>0.19990816595204508</v>
      </c>
      <c r="AA48" s="9">
        <f t="shared" si="74"/>
        <v>0.2317773175086508</v>
      </c>
      <c r="AB48" s="9">
        <f t="shared" si="74"/>
        <v>0.2772672803648325</v>
      </c>
      <c r="AC48" s="9">
        <f t="shared" si="74"/>
        <v>0.28131955490993432</v>
      </c>
    </row>
    <row r="49" spans="2:39" s="9" customFormat="1" x14ac:dyDescent="0.25">
      <c r="B49" t="s">
        <v>91</v>
      </c>
      <c r="C49" s="9">
        <f t="shared" ref="C49:N49" si="75">C5/C$7</f>
        <v>0.14096374499623479</v>
      </c>
      <c r="D49" s="9">
        <f t="shared" si="75"/>
        <v>0.12165407744206512</v>
      </c>
      <c r="E49" s="9">
        <f t="shared" si="75"/>
        <v>0.10310633096401453</v>
      </c>
      <c r="F49" s="9">
        <f t="shared" si="75"/>
        <v>9.1735899767649384E-2</v>
      </c>
      <c r="G49" s="9">
        <f t="shared" si="75"/>
        <v>8.0542046994451694E-2</v>
      </c>
      <c r="H49" s="9">
        <f t="shared" si="75"/>
        <v>6.5250775862882152E-2</v>
      </c>
      <c r="I49" s="9">
        <f t="shared" si="75"/>
        <v>2.4993104190633809E-2</v>
      </c>
      <c r="J49" s="9">
        <f t="shared" si="75"/>
        <v>0</v>
      </c>
      <c r="K49" s="9">
        <f t="shared" si="75"/>
        <v>0</v>
      </c>
      <c r="L49" s="9">
        <f t="shared" si="75"/>
        <v>0</v>
      </c>
      <c r="M49" s="9">
        <f t="shared" si="75"/>
        <v>0</v>
      </c>
      <c r="N49" s="9">
        <f t="shared" si="75"/>
        <v>0</v>
      </c>
      <c r="Z49" s="9">
        <f t="shared" si="74"/>
        <v>0.18731719708500036</v>
      </c>
      <c r="AA49" s="9">
        <f t="shared" si="74"/>
        <v>0.11331230530233995</v>
      </c>
      <c r="AB49" s="9">
        <f t="shared" si="74"/>
        <v>4.0757325225536711E-2</v>
      </c>
      <c r="AC49" s="9">
        <f t="shared" si="74"/>
        <v>0</v>
      </c>
    </row>
    <row r="50" spans="2:39" s="9" customFormat="1" x14ac:dyDescent="0.25">
      <c r="B50" t="s">
        <v>92</v>
      </c>
      <c r="C50" s="9">
        <f t="shared" ref="C50:N50" si="76">C6/C$7</f>
        <v>5.8593595180531886E-2</v>
      </c>
      <c r="D50" s="9">
        <f t="shared" si="76"/>
        <v>6.8679643957172187E-2</v>
      </c>
      <c r="E50" s="9">
        <f t="shared" si="76"/>
        <v>7.0590188682542965E-2</v>
      </c>
      <c r="F50" s="9">
        <f t="shared" si="76"/>
        <v>6.1241744738035862E-2</v>
      </c>
      <c r="G50" s="9">
        <f t="shared" si="76"/>
        <v>5.2602081255912661E-2</v>
      </c>
      <c r="H50" s="9">
        <f t="shared" si="76"/>
        <v>5.9398552980351092E-2</v>
      </c>
      <c r="I50" s="9">
        <f t="shared" si="76"/>
        <v>7.7567763941308251E-2</v>
      </c>
      <c r="J50" s="9">
        <f t="shared" si="76"/>
        <v>5.9138910736220719E-2</v>
      </c>
      <c r="K50" s="9">
        <f t="shared" si="76"/>
        <v>5.0414175677166079E-2</v>
      </c>
      <c r="L50" s="9">
        <f t="shared" si="76"/>
        <v>6.0025045415219871E-2</v>
      </c>
      <c r="M50" s="9">
        <f t="shared" si="76"/>
        <v>6.4693716297294354E-2</v>
      </c>
      <c r="N50" s="9">
        <f t="shared" si="76"/>
        <v>5.478262628364048E-2</v>
      </c>
      <c r="Z50" s="9">
        <f t="shared" si="74"/>
        <v>7.2108279977537409E-2</v>
      </c>
      <c r="AA50" s="9">
        <f t="shared" si="74"/>
        <v>6.4894457636080774E-2</v>
      </c>
      <c r="AB50" s="9">
        <f t="shared" si="74"/>
        <v>6.2763458842202427E-2</v>
      </c>
      <c r="AC50" s="9">
        <f t="shared" si="74"/>
        <v>5.7659150837611764E-2</v>
      </c>
    </row>
    <row r="53" spans="2:39" s="1" customFormat="1" x14ac:dyDescent="0.25">
      <c r="B53" s="1" t="s">
        <v>76</v>
      </c>
      <c r="C53" s="1">
        <v>34011</v>
      </c>
      <c r="D53" s="1">
        <v>36191</v>
      </c>
      <c r="E53" s="1">
        <v>37336</v>
      </c>
      <c r="F53" s="1">
        <v>38726</v>
      </c>
      <c r="G53" s="1">
        <v>40103</v>
      </c>
      <c r="H53" s="1">
        <v>42864</v>
      </c>
      <c r="I53" s="1">
        <v>44336</v>
      </c>
      <c r="J53" s="1">
        <v>45842</v>
      </c>
      <c r="K53" s="1">
        <v>46844</v>
      </c>
      <c r="L53" s="1">
        <v>49449</v>
      </c>
      <c r="M53" s="1">
        <v>50715</v>
      </c>
      <c r="N53" s="1">
        <v>51978</v>
      </c>
      <c r="O53" s="1">
        <f>K53*(1+O55)</f>
        <v>52465.280000000006</v>
      </c>
      <c r="P53" s="1">
        <f t="shared" ref="P53:V53" si="77">L53*(1+P55)</f>
        <v>54888.390000000007</v>
      </c>
      <c r="Q53" s="1">
        <f t="shared" si="77"/>
        <v>55786.500000000007</v>
      </c>
      <c r="R53" s="1">
        <f t="shared" si="77"/>
        <v>56656.020000000004</v>
      </c>
      <c r="S53" s="1">
        <f t="shared" si="77"/>
        <v>56662.502400000012</v>
      </c>
      <c r="T53" s="1">
        <f t="shared" si="77"/>
        <v>58730.577300000012</v>
      </c>
      <c r="U53" s="1">
        <f t="shared" si="77"/>
        <v>59133.69000000001</v>
      </c>
      <c r="V53" s="1">
        <f t="shared" si="77"/>
        <v>59488.821000000004</v>
      </c>
      <c r="Z53" s="1">
        <v>32355</v>
      </c>
      <c r="AA53" s="1">
        <v>38726</v>
      </c>
      <c r="AB53" s="1">
        <v>45842</v>
      </c>
      <c r="AC53" s="1">
        <v>51978</v>
      </c>
      <c r="AD53" s="1">
        <f>R53</f>
        <v>56656.020000000004</v>
      </c>
      <c r="AE53" s="1">
        <f>V53</f>
        <v>59488.821000000004</v>
      </c>
      <c r="AF53" s="1">
        <f>AE53*(1+AF55)</f>
        <v>61273.485630000003</v>
      </c>
      <c r="AG53" s="1">
        <f t="shared" ref="AG53:AM53" si="78">AF53*(1+AG55)</f>
        <v>62805.322770749997</v>
      </c>
      <c r="AH53" s="1">
        <f t="shared" si="78"/>
        <v>63433.375998457501</v>
      </c>
      <c r="AI53" s="1">
        <f t="shared" si="78"/>
        <v>64067.709758442077</v>
      </c>
      <c r="AJ53" s="1">
        <f t="shared" si="78"/>
        <v>64708.386856026496</v>
      </c>
      <c r="AK53" s="1">
        <f t="shared" si="78"/>
        <v>65355.470724586761</v>
      </c>
      <c r="AL53" s="1">
        <f t="shared" si="78"/>
        <v>66009.025431832633</v>
      </c>
      <c r="AM53" s="1">
        <f t="shared" si="78"/>
        <v>66669.115686150966</v>
      </c>
    </row>
    <row r="54" spans="2:39" s="10" customFormat="1" x14ac:dyDescent="0.25">
      <c r="B54" s="10" t="s">
        <v>73</v>
      </c>
      <c r="C54" s="9"/>
      <c r="D54" s="9">
        <f t="shared" ref="D54:M54" si="79">D53/C53-1</f>
        <v>6.4096909823292414E-2</v>
      </c>
      <c r="E54" s="9">
        <f t="shared" si="79"/>
        <v>3.163769998065824E-2</v>
      </c>
      <c r="F54" s="9">
        <f t="shared" si="79"/>
        <v>3.7229483608313796E-2</v>
      </c>
      <c r="G54" s="9">
        <f t="shared" si="79"/>
        <v>3.5557506584723342E-2</v>
      </c>
      <c r="H54" s="9">
        <f t="shared" si="79"/>
        <v>6.8847717128394326E-2</v>
      </c>
      <c r="I54" s="9">
        <f t="shared" si="79"/>
        <v>3.4341172079134008E-2</v>
      </c>
      <c r="J54" s="9">
        <f t="shared" si="79"/>
        <v>3.3967881631180141E-2</v>
      </c>
      <c r="K54" s="9">
        <f t="shared" si="79"/>
        <v>2.1857685092273371E-2</v>
      </c>
      <c r="L54" s="9">
        <f t="shared" si="79"/>
        <v>5.5610110152847669E-2</v>
      </c>
      <c r="M54" s="9">
        <f t="shared" si="79"/>
        <v>2.5602135533580039E-2</v>
      </c>
      <c r="N54" s="9">
        <f>N53/M53-1</f>
        <v>2.4903874593315667E-2</v>
      </c>
      <c r="O54" s="9"/>
      <c r="P54" s="9"/>
      <c r="Q54" s="9"/>
      <c r="R54" s="9"/>
      <c r="S54" s="9"/>
      <c r="T54" s="9"/>
      <c r="U54" s="9"/>
      <c r="V54" s="9"/>
    </row>
    <row r="55" spans="2:39" s="9" customFormat="1" x14ac:dyDescent="0.25">
      <c r="B55" s="9" t="s">
        <v>74</v>
      </c>
      <c r="G55" s="9">
        <f t="shared" ref="G55:M55" si="80">G53/C53-1</f>
        <v>0.17911852047866872</v>
      </c>
      <c r="H55" s="9">
        <f t="shared" si="80"/>
        <v>0.1843828576165345</v>
      </c>
      <c r="I55" s="9">
        <f t="shared" si="80"/>
        <v>0.18748660809942153</v>
      </c>
      <c r="J55" s="9">
        <f t="shared" si="80"/>
        <v>0.18375251768837475</v>
      </c>
      <c r="K55" s="9">
        <f t="shared" si="80"/>
        <v>0.16809216268109628</v>
      </c>
      <c r="L55" s="9">
        <f t="shared" si="80"/>
        <v>0.15362541993281065</v>
      </c>
      <c r="M55" s="9">
        <f t="shared" si="80"/>
        <v>0.14387856369541674</v>
      </c>
      <c r="N55" s="9">
        <f>N53/J53-1</f>
        <v>0.13385105361895211</v>
      </c>
      <c r="O55" s="9">
        <v>0.12</v>
      </c>
      <c r="P55" s="9">
        <v>0.11</v>
      </c>
      <c r="Q55" s="9">
        <v>0.1</v>
      </c>
      <c r="R55" s="9">
        <v>0.09</v>
      </c>
      <c r="S55" s="9">
        <v>0.08</v>
      </c>
      <c r="T55" s="9">
        <v>7.0000000000000007E-2</v>
      </c>
      <c r="U55" s="9">
        <v>0.06</v>
      </c>
      <c r="V55" s="9">
        <v>0.05</v>
      </c>
      <c r="AA55" s="9">
        <f t="shared" ref="AA55:AB55" si="81">AA53/Z53-1</f>
        <v>0.19690928759078963</v>
      </c>
      <c r="AB55" s="9">
        <f t="shared" si="81"/>
        <v>0.18375251768837475</v>
      </c>
      <c r="AC55" s="9">
        <f>AC53/AB53-1</f>
        <v>0.13385105361895211</v>
      </c>
      <c r="AD55" s="9">
        <f t="shared" ref="AD55:AE55" si="82">AD53/AC53-1</f>
        <v>9.000000000000008E-2</v>
      </c>
      <c r="AE55" s="9">
        <f t="shared" si="82"/>
        <v>5.0000000000000044E-2</v>
      </c>
      <c r="AF55" s="9">
        <v>0.03</v>
      </c>
      <c r="AG55" s="9">
        <v>2.5000000000000001E-2</v>
      </c>
      <c r="AH55" s="9">
        <v>0.01</v>
      </c>
      <c r="AI55" s="9">
        <v>0.01</v>
      </c>
      <c r="AJ55" s="9">
        <v>0.01</v>
      </c>
      <c r="AK55" s="9">
        <v>0.01</v>
      </c>
      <c r="AL55" s="9">
        <v>0.01</v>
      </c>
      <c r="AM55" s="9">
        <v>0.01</v>
      </c>
    </row>
    <row r="56" spans="2:39" s="9" customFormat="1" x14ac:dyDescent="0.25"/>
    <row r="57" spans="2:39" s="6" customFormat="1" x14ac:dyDescent="0.25">
      <c r="B57" s="6" t="s">
        <v>142</v>
      </c>
      <c r="C57" s="6">
        <f>C3/C53</f>
        <v>13.967334097791891</v>
      </c>
      <c r="D57" s="6">
        <f t="shared" ref="D57:N57" si="83">D3/D53</f>
        <v>14.156420104445857</v>
      </c>
      <c r="E57" s="6">
        <f t="shared" si="83"/>
        <v>14.326414184701093</v>
      </c>
      <c r="F57" s="6">
        <f t="shared" si="83"/>
        <v>14.543949801167175</v>
      </c>
      <c r="G57" s="6">
        <f t="shared" si="83"/>
        <v>15.077350821634292</v>
      </c>
      <c r="H57" s="6">
        <f t="shared" si="83"/>
        <v>15.239128406121687</v>
      </c>
      <c r="I57" s="6">
        <f t="shared" si="83"/>
        <v>15.857001082641645</v>
      </c>
      <c r="J57" s="6">
        <f t="shared" si="83"/>
        <v>16.098904934339689</v>
      </c>
      <c r="K57" s="6">
        <f t="shared" si="83"/>
        <v>16.913713602595848</v>
      </c>
      <c r="L57" s="6">
        <f t="shared" si="83"/>
        <v>17.127990454812029</v>
      </c>
      <c r="M57" s="6">
        <f t="shared" si="83"/>
        <v>17.360327319333532</v>
      </c>
      <c r="N57" s="6">
        <f t="shared" si="83"/>
        <v>17.848512832352149</v>
      </c>
      <c r="Z57" s="6">
        <f t="shared" ref="Z57:AC57" si="84">Z3/Z53</f>
        <v>46.837397620151442</v>
      </c>
      <c r="AA57" s="6">
        <f t="shared" si="84"/>
        <v>53.852657129577025</v>
      </c>
      <c r="AB57" s="6">
        <f t="shared" si="84"/>
        <v>58.873936564722307</v>
      </c>
      <c r="AC57" s="6">
        <f t="shared" si="84"/>
        <v>66.324733541113545</v>
      </c>
      <c r="AD57" s="6">
        <f>AC57*(1+AD58)</f>
        <v>73.620454230636042</v>
      </c>
      <c r="AE57" s="6">
        <f t="shared" ref="AE57" si="85">AD57*(1+AE58)</f>
        <v>80.982499653699648</v>
      </c>
      <c r="AF57" s="6">
        <f t="shared" ref="AF57" si="86">AE57*(1+AF58)</f>
        <v>88.270924622532618</v>
      </c>
      <c r="AG57" s="6">
        <f t="shared" ref="AG57" si="87">AF57*(1+AG58)</f>
        <v>95.332598592335231</v>
      </c>
      <c r="AH57" s="6">
        <f t="shared" ref="AH57" si="88">AG57*(1+AH58)</f>
        <v>102.0058804937987</v>
      </c>
      <c r="AI57" s="6">
        <f t="shared" ref="AI57" si="89">AH57*(1+AI58)</f>
        <v>108.12623332342663</v>
      </c>
      <c r="AJ57" s="6">
        <f t="shared" ref="AJ57" si="90">AI57*(1+AJ58)</f>
        <v>113.53254498959797</v>
      </c>
      <c r="AK57" s="6">
        <f t="shared" ref="AK57" si="91">AJ57*(1+AK58)</f>
        <v>118.07384678918189</v>
      </c>
      <c r="AL57" s="6">
        <f t="shared" ref="AL57" si="92">AK57*(1+AL58)</f>
        <v>121.61606219285734</v>
      </c>
      <c r="AM57" s="6">
        <f t="shared" ref="AM57" si="93">AL57*(1+AM58)</f>
        <v>124.04838343671449</v>
      </c>
    </row>
    <row r="58" spans="2:39" s="9" customFormat="1" x14ac:dyDescent="0.25">
      <c r="B58" s="9" t="s">
        <v>143</v>
      </c>
      <c r="G58" s="9">
        <f>G57/C57-1</f>
        <v>7.9472339966284888E-2</v>
      </c>
      <c r="H58" s="9">
        <f t="shared" ref="H58:N58" si="94">H57/D57-1</f>
        <v>7.6481786616081182E-2</v>
      </c>
      <c r="I58" s="9">
        <f t="shared" si="94"/>
        <v>0.10683670583634508</v>
      </c>
      <c r="J58" s="9">
        <f t="shared" si="94"/>
        <v>0.10691422580733367</v>
      </c>
      <c r="K58" s="9">
        <f t="shared" si="94"/>
        <v>0.12179611675060209</v>
      </c>
      <c r="L58" s="9">
        <f t="shared" si="94"/>
        <v>0.12394816805478004</v>
      </c>
      <c r="M58" s="9">
        <f t="shared" si="94"/>
        <v>9.4805204897006057E-2</v>
      </c>
      <c r="N58" s="9">
        <f t="shared" si="94"/>
        <v>0.10867868995738128</v>
      </c>
      <c r="AA58" s="9">
        <f>AA57/Z57-1</f>
        <v>0.14977901988319098</v>
      </c>
      <c r="AB58" s="9">
        <f t="shared" ref="AB58:AC58" si="95">AB57/AA57-1</f>
        <v>9.3241071152039501E-2</v>
      </c>
      <c r="AC58" s="9">
        <f t="shared" si="95"/>
        <v>0.12655510079915078</v>
      </c>
      <c r="AD58" s="9">
        <v>0.11</v>
      </c>
      <c r="AE58" s="9">
        <v>0.1</v>
      </c>
      <c r="AF58" s="9">
        <v>0.09</v>
      </c>
      <c r="AG58" s="9">
        <v>0.08</v>
      </c>
      <c r="AH58" s="9">
        <v>7.0000000000000007E-2</v>
      </c>
      <c r="AI58" s="9">
        <v>0.06</v>
      </c>
      <c r="AJ58" s="9">
        <v>0.05</v>
      </c>
      <c r="AK58" s="9">
        <v>0.04</v>
      </c>
      <c r="AL58" s="9">
        <v>0.03</v>
      </c>
      <c r="AM58" s="9">
        <v>0.02</v>
      </c>
    </row>
    <row r="59" spans="2:39" s="9" customFormat="1" x14ac:dyDescent="0.25"/>
    <row r="60" spans="2:39" s="1" customFormat="1" x14ac:dyDescent="0.25">
      <c r="B60" s="1" t="s">
        <v>96</v>
      </c>
      <c r="N60" s="1">
        <f>+N61+N62-N79</f>
        <v>1949458</v>
      </c>
      <c r="AC60" s="1">
        <f>+AC61+AC62-AC79</f>
        <v>1949458</v>
      </c>
    </row>
    <row r="61" spans="2:39" s="1" customFormat="1" x14ac:dyDescent="0.25">
      <c r="B61" s="1" t="s">
        <v>3</v>
      </c>
      <c r="N61" s="1">
        <v>2512874</v>
      </c>
      <c r="AC61" s="1">
        <v>2512874</v>
      </c>
    </row>
    <row r="62" spans="2:39" s="1" customFormat="1" x14ac:dyDescent="0.25">
      <c r="B62" s="1" t="s">
        <v>97</v>
      </c>
      <c r="N62" s="1">
        <v>424268</v>
      </c>
      <c r="AC62" s="1">
        <v>424268</v>
      </c>
    </row>
    <row r="63" spans="2:39" s="1" customFormat="1" x14ac:dyDescent="0.25">
      <c r="B63" s="1" t="s">
        <v>98</v>
      </c>
      <c r="N63" s="1">
        <v>778302</v>
      </c>
      <c r="AC63" s="1">
        <v>778302</v>
      </c>
    </row>
    <row r="64" spans="2:39" s="1" customFormat="1" x14ac:dyDescent="0.25">
      <c r="B64" s="1" t="s">
        <v>28</v>
      </c>
      <c r="N64" s="1">
        <v>175793</v>
      </c>
      <c r="AC64" s="1">
        <v>175793</v>
      </c>
    </row>
    <row r="65" spans="2:29" s="1" customFormat="1" x14ac:dyDescent="0.25">
      <c r="B65" s="1" t="s">
        <v>99</v>
      </c>
      <c r="N65" s="1">
        <v>105118</v>
      </c>
      <c r="AC65" s="1">
        <v>105118</v>
      </c>
    </row>
    <row r="66" spans="2:29" s="1" customFormat="1" x14ac:dyDescent="0.25">
      <c r="B66" s="1" t="s">
        <v>100</v>
      </c>
      <c r="N66" s="1">
        <v>169127</v>
      </c>
      <c r="AC66" s="1">
        <v>169127</v>
      </c>
    </row>
    <row r="67" spans="2:29" s="1" customFormat="1" x14ac:dyDescent="0.25">
      <c r="B67" s="1" t="s">
        <v>101</v>
      </c>
      <c r="N67" s="1">
        <v>221942</v>
      </c>
      <c r="AC67" s="1">
        <v>221942</v>
      </c>
    </row>
    <row r="68" spans="2:29" s="1" customFormat="1" x14ac:dyDescent="0.25">
      <c r="B68" s="1" t="s">
        <v>102</v>
      </c>
      <c r="N68" s="1">
        <v>244840</v>
      </c>
      <c r="AC68" s="1">
        <v>244840</v>
      </c>
    </row>
    <row r="69" spans="2:29" s="1" customFormat="1" x14ac:dyDescent="0.25">
      <c r="B69" s="1" t="s">
        <v>29</v>
      </c>
      <c r="N69" s="1">
        <v>1304445</v>
      </c>
      <c r="AC69" s="1">
        <v>1304445</v>
      </c>
    </row>
    <row r="70" spans="2:29" s="1" customFormat="1" x14ac:dyDescent="0.25">
      <c r="B70" s="1" t="s">
        <v>30</v>
      </c>
      <c r="N70" s="1">
        <v>3762</v>
      </c>
      <c r="AC70" s="1">
        <v>3762</v>
      </c>
    </row>
    <row r="71" spans="2:29" s="1" customFormat="1" x14ac:dyDescent="0.25">
      <c r="B71" s="1" t="s">
        <v>31</v>
      </c>
      <c r="N71" s="1">
        <v>101499</v>
      </c>
      <c r="AC71" s="1">
        <v>101499</v>
      </c>
    </row>
    <row r="72" spans="2:29" s="5" customFormat="1" x14ac:dyDescent="0.25">
      <c r="B72" s="5" t="s">
        <v>103</v>
      </c>
      <c r="C72" s="5">
        <f t="shared" ref="C72:M72" si="96">SUM(C61:C71)</f>
        <v>0</v>
      </c>
      <c r="D72" s="5">
        <f t="shared" si="96"/>
        <v>0</v>
      </c>
      <c r="E72" s="5">
        <f t="shared" si="96"/>
        <v>0</v>
      </c>
      <c r="F72" s="5">
        <f t="shared" si="96"/>
        <v>0</v>
      </c>
      <c r="G72" s="5">
        <f t="shared" si="96"/>
        <v>0</v>
      </c>
      <c r="H72" s="5">
        <f t="shared" si="96"/>
        <v>0</v>
      </c>
      <c r="I72" s="5">
        <f t="shared" si="96"/>
        <v>0</v>
      </c>
      <c r="J72" s="5">
        <f t="shared" si="96"/>
        <v>0</v>
      </c>
      <c r="K72" s="5">
        <f t="shared" si="96"/>
        <v>0</v>
      </c>
      <c r="L72" s="5">
        <f t="shared" si="96"/>
        <v>0</v>
      </c>
      <c r="M72" s="5">
        <f t="shared" si="96"/>
        <v>0</v>
      </c>
      <c r="N72" s="5">
        <f>SUM(N61:N71)</f>
        <v>6041970</v>
      </c>
      <c r="O72" s="5">
        <f t="shared" ref="O72:V72" si="97">SUM(O61:O71)</f>
        <v>0</v>
      </c>
      <c r="P72" s="5">
        <f t="shared" si="97"/>
        <v>0</v>
      </c>
      <c r="Q72" s="5">
        <f t="shared" si="97"/>
        <v>0</v>
      </c>
      <c r="R72" s="5">
        <f t="shared" si="97"/>
        <v>0</v>
      </c>
      <c r="S72" s="5">
        <f t="shared" si="97"/>
        <v>0</v>
      </c>
      <c r="T72" s="5">
        <f t="shared" si="97"/>
        <v>0</v>
      </c>
      <c r="U72" s="5">
        <f t="shared" si="97"/>
        <v>0</v>
      </c>
      <c r="V72" s="5">
        <f t="shared" si="97"/>
        <v>0</v>
      </c>
      <c r="Z72" s="5">
        <f t="shared" ref="Z72:AB72" si="98">SUM(Z61:Z71)</f>
        <v>0</v>
      </c>
      <c r="AA72" s="5">
        <f t="shared" si="98"/>
        <v>0</v>
      </c>
      <c r="AB72" s="5">
        <f t="shared" si="98"/>
        <v>0</v>
      </c>
      <c r="AC72" s="5">
        <f>SUM(AC61:AC71)</f>
        <v>6041970</v>
      </c>
    </row>
    <row r="73" spans="2:29" s="1" customFormat="1" x14ac:dyDescent="0.25">
      <c r="B73" s="1" t="s">
        <v>104</v>
      </c>
      <c r="N73" s="1">
        <v>222092</v>
      </c>
      <c r="AC73" s="1">
        <v>222092</v>
      </c>
    </row>
    <row r="74" spans="2:29" s="1" customFormat="1" x14ac:dyDescent="0.25">
      <c r="B74" s="1" t="s">
        <v>105</v>
      </c>
      <c r="N74" s="1">
        <v>681601</v>
      </c>
      <c r="AC74" s="1">
        <v>681601</v>
      </c>
    </row>
    <row r="75" spans="2:29" s="1" customFormat="1" x14ac:dyDescent="0.25">
      <c r="B75" s="1" t="s">
        <v>106</v>
      </c>
      <c r="N75" s="1">
        <v>2227002</v>
      </c>
      <c r="AC75" s="1">
        <v>2227002</v>
      </c>
    </row>
    <row r="76" spans="2:29" s="1" customFormat="1" x14ac:dyDescent="0.25">
      <c r="B76" s="1" t="s">
        <v>107</v>
      </c>
      <c r="N76" s="1">
        <v>50164</v>
      </c>
      <c r="AC76" s="1">
        <v>50164</v>
      </c>
    </row>
    <row r="77" spans="2:29" s="1" customFormat="1" x14ac:dyDescent="0.25">
      <c r="B77" s="1" t="s">
        <v>108</v>
      </c>
      <c r="N77" s="1">
        <v>254252</v>
      </c>
      <c r="AC77" s="1">
        <v>254252</v>
      </c>
    </row>
    <row r="78" spans="2:29" s="1" customFormat="1" x14ac:dyDescent="0.25">
      <c r="B78" s="1" t="s">
        <v>109</v>
      </c>
      <c r="N78" s="1">
        <v>201483</v>
      </c>
      <c r="AC78" s="1">
        <v>201483</v>
      </c>
    </row>
    <row r="79" spans="2:29" s="1" customFormat="1" x14ac:dyDescent="0.25">
      <c r="B79" s="1" t="s">
        <v>110</v>
      </c>
      <c r="N79" s="1">
        <v>987684</v>
      </c>
      <c r="AC79" s="1">
        <v>987684</v>
      </c>
    </row>
    <row r="80" spans="2:29" s="1" customFormat="1" x14ac:dyDescent="0.25">
      <c r="B80" s="1" t="s">
        <v>111</v>
      </c>
      <c r="N80" s="1">
        <v>23881</v>
      </c>
      <c r="AC80" s="1">
        <v>23881</v>
      </c>
    </row>
    <row r="81" spans="2:729" s="1" customFormat="1" x14ac:dyDescent="0.25">
      <c r="B81" s="1" t="s">
        <v>33</v>
      </c>
      <c r="N81" s="1">
        <v>48157</v>
      </c>
      <c r="AC81" s="1">
        <v>48157</v>
      </c>
    </row>
    <row r="82" spans="2:729" s="5" customFormat="1" x14ac:dyDescent="0.25">
      <c r="B82" s="5" t="s">
        <v>112</v>
      </c>
      <c r="C82" s="5">
        <f t="shared" ref="C82:M82" si="99">SUM(C73:C81)</f>
        <v>0</v>
      </c>
      <c r="D82" s="5">
        <f t="shared" si="99"/>
        <v>0</v>
      </c>
      <c r="E82" s="5">
        <f t="shared" si="99"/>
        <v>0</v>
      </c>
      <c r="F82" s="5">
        <f t="shared" si="99"/>
        <v>0</v>
      </c>
      <c r="G82" s="5">
        <f t="shared" si="99"/>
        <v>0</v>
      </c>
      <c r="H82" s="5">
        <f t="shared" si="99"/>
        <v>0</v>
      </c>
      <c r="I82" s="5">
        <f t="shared" si="99"/>
        <v>0</v>
      </c>
      <c r="J82" s="5">
        <f t="shared" si="99"/>
        <v>0</v>
      </c>
      <c r="K82" s="5">
        <f t="shared" si="99"/>
        <v>0</v>
      </c>
      <c r="L82" s="5">
        <f t="shared" si="99"/>
        <v>0</v>
      </c>
      <c r="M82" s="5">
        <f t="shared" si="99"/>
        <v>0</v>
      </c>
      <c r="N82" s="5">
        <f>SUM(N73:N81)</f>
        <v>4696316</v>
      </c>
      <c r="O82" s="5">
        <f t="shared" ref="O82:U82" si="100">SUM(O73:O81)</f>
        <v>0</v>
      </c>
      <c r="P82" s="5">
        <f t="shared" si="100"/>
        <v>0</v>
      </c>
      <c r="Q82" s="5">
        <f t="shared" si="100"/>
        <v>0</v>
      </c>
      <c r="R82" s="5">
        <f t="shared" si="100"/>
        <v>0</v>
      </c>
      <c r="S82" s="5">
        <f t="shared" si="100"/>
        <v>0</v>
      </c>
      <c r="T82" s="5">
        <f t="shared" si="100"/>
        <v>0</v>
      </c>
      <c r="U82" s="5">
        <f t="shared" si="100"/>
        <v>0</v>
      </c>
      <c r="V82" s="5">
        <f>SUM(V73:V81)</f>
        <v>0</v>
      </c>
      <c r="Z82" s="5">
        <f t="shared" ref="Z82:AB82" si="101">SUM(Z73:Z81)</f>
        <v>0</v>
      </c>
      <c r="AA82" s="5">
        <f t="shared" si="101"/>
        <v>0</v>
      </c>
      <c r="AB82" s="5">
        <f t="shared" si="101"/>
        <v>0</v>
      </c>
      <c r="AC82" s="5">
        <f>SUM(AC73:AC81)</f>
        <v>4696316</v>
      </c>
    </row>
    <row r="83" spans="2:729" s="1" customFormat="1" x14ac:dyDescent="0.25">
      <c r="B83" s="1" t="s">
        <v>113</v>
      </c>
      <c r="N83" s="1">
        <v>1345654</v>
      </c>
      <c r="AC83" s="1">
        <v>1345654</v>
      </c>
    </row>
    <row r="84" spans="2:729" s="5" customFormat="1" x14ac:dyDescent="0.25">
      <c r="B84" s="5" t="s">
        <v>32</v>
      </c>
      <c r="C84" s="5">
        <f t="shared" ref="C84:M84" si="102">C82+C83</f>
        <v>0</v>
      </c>
      <c r="D84" s="5">
        <f t="shared" si="102"/>
        <v>0</v>
      </c>
      <c r="E84" s="5">
        <f t="shared" si="102"/>
        <v>0</v>
      </c>
      <c r="F84" s="5">
        <f t="shared" si="102"/>
        <v>0</v>
      </c>
      <c r="G84" s="5">
        <f t="shared" si="102"/>
        <v>0</v>
      </c>
      <c r="H84" s="5">
        <f t="shared" si="102"/>
        <v>0</v>
      </c>
      <c r="I84" s="5">
        <f t="shared" si="102"/>
        <v>0</v>
      </c>
      <c r="J84" s="5">
        <f t="shared" si="102"/>
        <v>0</v>
      </c>
      <c r="K84" s="5">
        <f t="shared" si="102"/>
        <v>0</v>
      </c>
      <c r="L84" s="5">
        <f t="shared" si="102"/>
        <v>0</v>
      </c>
      <c r="M84" s="5">
        <f t="shared" si="102"/>
        <v>0</v>
      </c>
      <c r="N84" s="5">
        <f>N82+N83</f>
        <v>6041970</v>
      </c>
      <c r="O84" s="5">
        <f t="shared" ref="O84:V84" si="103">O82+O83</f>
        <v>0</v>
      </c>
      <c r="P84" s="5">
        <f t="shared" si="103"/>
        <v>0</v>
      </c>
      <c r="Q84" s="5">
        <f t="shared" si="103"/>
        <v>0</v>
      </c>
      <c r="R84" s="5">
        <f t="shared" si="103"/>
        <v>0</v>
      </c>
      <c r="S84" s="5">
        <f t="shared" si="103"/>
        <v>0</v>
      </c>
      <c r="T84" s="5">
        <f t="shared" si="103"/>
        <v>0</v>
      </c>
      <c r="U84" s="5">
        <f t="shared" si="103"/>
        <v>0</v>
      </c>
      <c r="V84" s="5">
        <f t="shared" si="103"/>
        <v>0</v>
      </c>
      <c r="Z84" s="5">
        <f t="shared" ref="Z84:AB84" si="104">Z82+Z83</f>
        <v>0</v>
      </c>
      <c r="AA84" s="5">
        <f t="shared" si="104"/>
        <v>0</v>
      </c>
      <c r="AB84" s="5">
        <f t="shared" si="104"/>
        <v>0</v>
      </c>
      <c r="AC84" s="5">
        <f>AC82+AC83</f>
        <v>6041970</v>
      </c>
    </row>
    <row r="85" spans="2:729" s="1" customFormat="1" x14ac:dyDescent="0.25"/>
    <row r="86" spans="2:729" s="1" customFormat="1" x14ac:dyDescent="0.25"/>
    <row r="87" spans="2:729" s="1" customFormat="1" x14ac:dyDescent="0.25"/>
    <row r="88" spans="2:729" s="1" customFormat="1" x14ac:dyDescent="0.25">
      <c r="B88" s="5" t="s">
        <v>20</v>
      </c>
      <c r="C88" s="1">
        <v>92442</v>
      </c>
      <c r="D88" s="1">
        <v>150525</v>
      </c>
      <c r="E88" s="1">
        <v>352369</v>
      </c>
      <c r="F88" s="1">
        <v>272775</v>
      </c>
      <c r="G88" s="1">
        <v>166956</v>
      </c>
      <c r="H88" s="1">
        <v>289594</v>
      </c>
      <c r="I88" s="1">
        <v>565390</v>
      </c>
      <c r="J88" s="1">
        <v>426219</v>
      </c>
      <c r="K88" s="1">
        <v>80492</v>
      </c>
      <c r="L88" s="1">
        <v>351905</v>
      </c>
      <c r="M88" s="1">
        <v>652681</v>
      </c>
      <c r="N88" s="1">
        <v>375315</v>
      </c>
      <c r="O88" s="1">
        <v>192000</v>
      </c>
      <c r="P88" s="1">
        <v>459000</v>
      </c>
      <c r="Q88" s="1">
        <v>641000</v>
      </c>
      <c r="R88" s="1">
        <v>478000</v>
      </c>
      <c r="S88" s="1">
        <v>243000</v>
      </c>
      <c r="T88" s="1">
        <v>552000</v>
      </c>
      <c r="U88" s="1">
        <v>761000</v>
      </c>
      <c r="V88" s="1">
        <v>619000</v>
      </c>
      <c r="Z88" s="1">
        <v>821044</v>
      </c>
      <c r="AA88" s="1">
        <v>868111</v>
      </c>
      <c r="AB88" s="1">
        <v>1448159</v>
      </c>
      <c r="AC88" s="1">
        <v>1460393</v>
      </c>
      <c r="AD88" s="1">
        <f>SUM(O88:R88)</f>
        <v>1770000</v>
      </c>
      <c r="AE88" s="1">
        <f>SUM(S88:V88)</f>
        <v>2175000</v>
      </c>
      <c r="AF88" s="1">
        <f>AF91+AF89</f>
        <v>2579518.2180549619</v>
      </c>
      <c r="AG88" s="1">
        <f t="shared" ref="AG88:AM88" si="105">AG91+AG89</f>
        <v>2947640.4308509347</v>
      </c>
      <c r="AH88" s="1">
        <f t="shared" si="105"/>
        <v>3285062.3577962494</v>
      </c>
      <c r="AI88" s="1">
        <f t="shared" si="105"/>
        <v>3623563.1469311095</v>
      </c>
      <c r="AJ88" s="1">
        <f t="shared" si="105"/>
        <v>3955811.9148886898</v>
      </c>
      <c r="AK88" s="1">
        <f t="shared" si="105"/>
        <v>4273904.4021247672</v>
      </c>
      <c r="AL88" s="1">
        <f t="shared" si="105"/>
        <v>4322638.7842656625</v>
      </c>
      <c r="AM88" s="1">
        <f t="shared" si="105"/>
        <v>4453182.4755504867</v>
      </c>
    </row>
    <row r="89" spans="2:729" s="1" customFormat="1" x14ac:dyDescent="0.25">
      <c r="B89" s="1" t="s">
        <v>93</v>
      </c>
      <c r="C89" s="1">
        <v>16496</v>
      </c>
      <c r="D89" s="1">
        <v>4040</v>
      </c>
      <c r="E89" s="1">
        <v>2691</v>
      </c>
      <c r="F89" s="1">
        <v>2425</v>
      </c>
      <c r="G89" s="1">
        <v>3669</v>
      </c>
      <c r="H89" s="1">
        <v>5333</v>
      </c>
      <c r="I89" s="1">
        <v>10520</v>
      </c>
      <c r="J89" s="1">
        <v>13055</v>
      </c>
      <c r="K89" s="1">
        <v>6151</v>
      </c>
      <c r="L89" s="1">
        <v>9336</v>
      </c>
      <c r="M89" s="1">
        <v>14366</v>
      </c>
      <c r="N89" s="1">
        <v>14997</v>
      </c>
      <c r="Z89" s="1">
        <v>70583</v>
      </c>
      <c r="AA89" s="1">
        <v>25652</v>
      </c>
      <c r="AB89" s="1">
        <v>32577</v>
      </c>
      <c r="AC89" s="1">
        <v>44850</v>
      </c>
      <c r="AD89" s="1">
        <f>AD26*0.05</f>
        <v>58520</v>
      </c>
      <c r="AE89" s="1">
        <f t="shared" ref="AE89:AM89" si="106">AE26*0.05</f>
        <v>73100</v>
      </c>
      <c r="AF89" s="1">
        <f t="shared" si="106"/>
        <v>83210.26509854717</v>
      </c>
      <c r="AG89" s="1">
        <f t="shared" si="106"/>
        <v>92113.763464091709</v>
      </c>
      <c r="AH89" s="1">
        <f t="shared" si="106"/>
        <v>99547.344175643928</v>
      </c>
      <c r="AI89" s="1">
        <f t="shared" si="106"/>
        <v>106575.38667444441</v>
      </c>
      <c r="AJ89" s="1">
        <f t="shared" si="106"/>
        <v>113023.19756824829</v>
      </c>
      <c r="AK89" s="1">
        <f t="shared" si="106"/>
        <v>118719.566725688</v>
      </c>
      <c r="AL89" s="1">
        <f t="shared" si="106"/>
        <v>123503.96526473321</v>
      </c>
      <c r="AM89" s="1">
        <f t="shared" si="106"/>
        <v>127233.78501572819</v>
      </c>
    </row>
    <row r="90" spans="2:729" s="5" customFormat="1" x14ac:dyDescent="0.25">
      <c r="B90" s="5" t="s">
        <v>94</v>
      </c>
      <c r="C90" s="5">
        <f t="shared" ref="C90:M90" si="107">C88-C89</f>
        <v>75946</v>
      </c>
      <c r="D90" s="5">
        <f t="shared" si="107"/>
        <v>146485</v>
      </c>
      <c r="E90" s="5">
        <f t="shared" si="107"/>
        <v>349678</v>
      </c>
      <c r="F90" s="5">
        <f t="shared" si="107"/>
        <v>270350</v>
      </c>
      <c r="G90" s="5">
        <f t="shared" si="107"/>
        <v>163287</v>
      </c>
      <c r="H90" s="5">
        <f t="shared" si="107"/>
        <v>284261</v>
      </c>
      <c r="I90" s="5">
        <f t="shared" si="107"/>
        <v>554870</v>
      </c>
      <c r="J90" s="5">
        <f t="shared" si="107"/>
        <v>413164</v>
      </c>
      <c r="K90" s="5">
        <f t="shared" si="107"/>
        <v>74341</v>
      </c>
      <c r="L90" s="5">
        <f t="shared" si="107"/>
        <v>342569</v>
      </c>
      <c r="M90" s="5">
        <f t="shared" si="107"/>
        <v>638315</v>
      </c>
      <c r="N90" s="5">
        <f>N88-N89</f>
        <v>360318</v>
      </c>
      <c r="O90" s="5">
        <f t="shared" ref="O90:V90" si="108">O88-O89</f>
        <v>192000</v>
      </c>
      <c r="P90" s="5">
        <f t="shared" si="108"/>
        <v>459000</v>
      </c>
      <c r="Q90" s="5">
        <f t="shared" si="108"/>
        <v>641000</v>
      </c>
      <c r="R90" s="5">
        <f t="shared" si="108"/>
        <v>478000</v>
      </c>
      <c r="S90" s="5">
        <f t="shared" si="108"/>
        <v>243000</v>
      </c>
      <c r="T90" s="5">
        <f t="shared" si="108"/>
        <v>552000</v>
      </c>
      <c r="U90" s="5">
        <f t="shared" si="108"/>
        <v>761000</v>
      </c>
      <c r="V90" s="5">
        <f t="shared" si="108"/>
        <v>619000</v>
      </c>
      <c r="Z90" s="5">
        <f t="shared" ref="Z90:AC90" si="109">Z88-Z89</f>
        <v>750461</v>
      </c>
      <c r="AA90" s="5">
        <f t="shared" si="109"/>
        <v>842459</v>
      </c>
      <c r="AB90" s="5">
        <f t="shared" si="109"/>
        <v>1415582</v>
      </c>
      <c r="AC90" s="5">
        <f t="shared" si="109"/>
        <v>1415543</v>
      </c>
      <c r="AD90" s="5">
        <f t="shared" ref="AD90" si="110">AD88-AD89</f>
        <v>1711480</v>
      </c>
      <c r="AE90" s="5">
        <f t="shared" ref="AE90" si="111">AE88-AE89</f>
        <v>2101900</v>
      </c>
      <c r="AF90" s="5">
        <f t="shared" ref="AF90" si="112">AF88-AF89</f>
        <v>2496307.9529564148</v>
      </c>
      <c r="AG90" s="5">
        <f t="shared" ref="AG90" si="113">AG88-AG89</f>
        <v>2855526.6673868429</v>
      </c>
      <c r="AH90" s="5">
        <f t="shared" ref="AH90" si="114">AH88-AH89</f>
        <v>3185515.0136206057</v>
      </c>
      <c r="AI90" s="5">
        <f t="shared" ref="AI90" si="115">AI88-AI89</f>
        <v>3516987.7602566653</v>
      </c>
      <c r="AJ90" s="5">
        <f t="shared" ref="AJ90" si="116">AJ88-AJ89</f>
        <v>3842788.7173204413</v>
      </c>
      <c r="AK90" s="5">
        <f t="shared" ref="AK90" si="117">AK88-AK89</f>
        <v>4155184.8353990791</v>
      </c>
      <c r="AL90" s="5">
        <f t="shared" ref="AL90" si="118">AL88-AL89</f>
        <v>4199134.8190009296</v>
      </c>
      <c r="AM90" s="5">
        <f t="shared" ref="AM90" si="119">AM88-AM89</f>
        <v>4325948.6905347584</v>
      </c>
      <c r="AN90" s="5">
        <f>+AM90*1.02</f>
        <v>4412467.6643454535</v>
      </c>
      <c r="AO90" s="5">
        <f t="shared" ref="AO90:AW90" si="120">+AN90*1.02</f>
        <v>4500717.0176323624</v>
      </c>
      <c r="AP90" s="5">
        <f t="shared" si="120"/>
        <v>4590731.3579850094</v>
      </c>
      <c r="AQ90" s="5">
        <f t="shared" si="120"/>
        <v>4682545.9851447102</v>
      </c>
      <c r="AR90" s="5">
        <f t="shared" si="120"/>
        <v>4776196.9048476042</v>
      </c>
      <c r="AS90" s="5">
        <f t="shared" si="120"/>
        <v>4871720.8429445568</v>
      </c>
      <c r="AT90" s="5">
        <f t="shared" si="120"/>
        <v>4969155.2598034479</v>
      </c>
      <c r="AU90" s="5">
        <f t="shared" si="120"/>
        <v>5068538.3649995169</v>
      </c>
      <c r="AV90" s="5">
        <f t="shared" si="120"/>
        <v>5169909.132299507</v>
      </c>
      <c r="AW90" s="5">
        <f t="shared" si="120"/>
        <v>5273307.3149454976</v>
      </c>
      <c r="AX90" s="5">
        <f>+AW90*(1+$AT$32)</f>
        <v>5194207.7052213149</v>
      </c>
      <c r="AY90" s="5">
        <f t="shared" ref="AY90:DJ90" si="121">+AX90*(1+$AT$32)</f>
        <v>5116294.589642995</v>
      </c>
      <c r="AZ90" s="5">
        <f t="shared" si="121"/>
        <v>5039550.1707983501</v>
      </c>
      <c r="BA90" s="5">
        <f t="shared" si="121"/>
        <v>4963956.9182363749</v>
      </c>
      <c r="BB90" s="5">
        <f t="shared" si="121"/>
        <v>4889497.5644628294</v>
      </c>
      <c r="BC90" s="5">
        <f t="shared" si="121"/>
        <v>4816155.1009958871</v>
      </c>
      <c r="BD90" s="5">
        <f t="shared" si="121"/>
        <v>4743912.7744809492</v>
      </c>
      <c r="BE90" s="5">
        <f t="shared" si="121"/>
        <v>4672754.082863735</v>
      </c>
      <c r="BF90" s="5">
        <f t="shared" si="121"/>
        <v>4602662.7716207793</v>
      </c>
      <c r="BG90" s="5">
        <f t="shared" si="121"/>
        <v>4533622.8300464675</v>
      </c>
      <c r="BH90" s="5">
        <f t="shared" si="121"/>
        <v>4465618.4875957705</v>
      </c>
      <c r="BI90" s="5">
        <f t="shared" si="121"/>
        <v>4398634.210281834</v>
      </c>
      <c r="BJ90" s="5">
        <f t="shared" si="121"/>
        <v>4332654.6971276067</v>
      </c>
      <c r="BK90" s="5">
        <f t="shared" si="121"/>
        <v>4267664.8766706921</v>
      </c>
      <c r="BL90" s="5">
        <f t="shared" si="121"/>
        <v>4203649.9035206316</v>
      </c>
      <c r="BM90" s="5">
        <f t="shared" si="121"/>
        <v>4140595.1549678221</v>
      </c>
      <c r="BN90" s="5">
        <f t="shared" si="121"/>
        <v>4078486.227643305</v>
      </c>
      <c r="BO90" s="5">
        <f t="shared" si="121"/>
        <v>4017308.9342286554</v>
      </c>
      <c r="BP90" s="5">
        <f t="shared" si="121"/>
        <v>3957049.3002152257</v>
      </c>
      <c r="BQ90" s="5">
        <f t="shared" si="121"/>
        <v>3897693.5607119971</v>
      </c>
      <c r="BR90" s="5">
        <f t="shared" si="121"/>
        <v>3839228.157301317</v>
      </c>
      <c r="BS90" s="5">
        <f t="shared" si="121"/>
        <v>3781639.7349417973</v>
      </c>
      <c r="BT90" s="5">
        <f t="shared" si="121"/>
        <v>3724915.1389176701</v>
      </c>
      <c r="BU90" s="5">
        <f t="shared" si="121"/>
        <v>3669041.4118339051</v>
      </c>
      <c r="BV90" s="5">
        <f t="shared" si="121"/>
        <v>3614005.7906563967</v>
      </c>
      <c r="BW90" s="5">
        <f t="shared" si="121"/>
        <v>3559795.7037965506</v>
      </c>
      <c r="BX90" s="5">
        <f t="shared" si="121"/>
        <v>3506398.7682396024</v>
      </c>
      <c r="BY90" s="5">
        <f t="shared" si="121"/>
        <v>3453802.7867160086</v>
      </c>
      <c r="BZ90" s="5">
        <f t="shared" si="121"/>
        <v>3401995.7449152684</v>
      </c>
      <c r="CA90" s="5">
        <f t="shared" si="121"/>
        <v>3350965.8087415393</v>
      </c>
      <c r="CB90" s="5">
        <f t="shared" si="121"/>
        <v>3300701.3216104163</v>
      </c>
      <c r="CC90" s="5">
        <f t="shared" si="121"/>
        <v>3251190.8017862602</v>
      </c>
      <c r="CD90" s="5">
        <f t="shared" si="121"/>
        <v>3202422.9397594663</v>
      </c>
      <c r="CE90" s="5">
        <f t="shared" si="121"/>
        <v>3154386.5956630744</v>
      </c>
      <c r="CF90" s="5">
        <f t="shared" si="121"/>
        <v>3107070.7967281281</v>
      </c>
      <c r="CG90" s="5">
        <f t="shared" si="121"/>
        <v>3060464.7347772061</v>
      </c>
      <c r="CH90" s="5">
        <f t="shared" si="121"/>
        <v>3014557.7637555478</v>
      </c>
      <c r="CI90" s="5">
        <f t="shared" si="121"/>
        <v>2969339.3972992147</v>
      </c>
      <c r="CJ90" s="5">
        <f t="shared" si="121"/>
        <v>2924799.3063397263</v>
      </c>
      <c r="CK90" s="5">
        <f t="shared" si="121"/>
        <v>2880927.3167446302</v>
      </c>
      <c r="CL90" s="5">
        <f t="shared" si="121"/>
        <v>2837713.4069934608</v>
      </c>
      <c r="CM90" s="5">
        <f t="shared" si="121"/>
        <v>2795147.7058885591</v>
      </c>
      <c r="CN90" s="5">
        <f t="shared" si="121"/>
        <v>2753220.4903002307</v>
      </c>
      <c r="CO90" s="5">
        <f t="shared" si="121"/>
        <v>2711922.1829457274</v>
      </c>
      <c r="CP90" s="5">
        <f t="shared" si="121"/>
        <v>2671243.3502015416</v>
      </c>
      <c r="CQ90" s="5">
        <f t="shared" si="121"/>
        <v>2631174.6999485185</v>
      </c>
      <c r="CR90" s="5">
        <f t="shared" si="121"/>
        <v>2591707.0794492909</v>
      </c>
      <c r="CS90" s="5">
        <f t="shared" si="121"/>
        <v>2552831.4732575514</v>
      </c>
      <c r="CT90" s="5">
        <f t="shared" si="121"/>
        <v>2514539.0011586882</v>
      </c>
      <c r="CU90" s="5">
        <f t="shared" si="121"/>
        <v>2476820.9161413079</v>
      </c>
      <c r="CV90" s="5">
        <f t="shared" si="121"/>
        <v>2439668.6023991881</v>
      </c>
      <c r="CW90" s="5">
        <f t="shared" si="121"/>
        <v>2403073.5733632003</v>
      </c>
      <c r="CX90" s="5">
        <f t="shared" si="121"/>
        <v>2367027.4697627523</v>
      </c>
      <c r="CY90" s="5">
        <f t="shared" si="121"/>
        <v>2331522.057716311</v>
      </c>
      <c r="CZ90" s="5">
        <f t="shared" si="121"/>
        <v>2296549.2268505665</v>
      </c>
      <c r="DA90" s="5">
        <f t="shared" si="121"/>
        <v>2262100.9884478077</v>
      </c>
      <c r="DB90" s="5">
        <f t="shared" si="121"/>
        <v>2228169.4736210904</v>
      </c>
      <c r="DC90" s="5">
        <f t="shared" si="121"/>
        <v>2194746.931516774</v>
      </c>
      <c r="DD90" s="5">
        <f t="shared" si="121"/>
        <v>2161825.7275440223</v>
      </c>
      <c r="DE90" s="5">
        <f t="shared" si="121"/>
        <v>2129398.3416308621</v>
      </c>
      <c r="DF90" s="5">
        <f t="shared" si="121"/>
        <v>2097457.3665063991</v>
      </c>
      <c r="DG90" s="5">
        <f t="shared" si="121"/>
        <v>2065995.5060088031</v>
      </c>
      <c r="DH90" s="5">
        <f t="shared" si="121"/>
        <v>2035005.573418671</v>
      </c>
      <c r="DI90" s="5">
        <f t="shared" si="121"/>
        <v>2004480.4898173909</v>
      </c>
      <c r="DJ90" s="5">
        <f t="shared" si="121"/>
        <v>1974413.2824701301</v>
      </c>
      <c r="DK90" s="5">
        <f t="shared" ref="DK90:FV90" si="122">+DJ90*(1+$AT$32)</f>
        <v>1944797.0832330782</v>
      </c>
      <c r="DL90" s="5">
        <f t="shared" si="122"/>
        <v>1915625.126984582</v>
      </c>
      <c r="DM90" s="5">
        <f t="shared" si="122"/>
        <v>1886890.7500798132</v>
      </c>
      <c r="DN90" s="5">
        <f t="shared" si="122"/>
        <v>1858587.3888286159</v>
      </c>
      <c r="DO90" s="5">
        <f t="shared" si="122"/>
        <v>1830708.5779961867</v>
      </c>
      <c r="DP90" s="5">
        <f t="shared" si="122"/>
        <v>1803247.949326244</v>
      </c>
      <c r="DQ90" s="5">
        <f t="shared" si="122"/>
        <v>1776199.2300863503</v>
      </c>
      <c r="DR90" s="5">
        <f t="shared" si="122"/>
        <v>1749556.241635055</v>
      </c>
      <c r="DS90" s="5">
        <f t="shared" si="122"/>
        <v>1723312.8980105291</v>
      </c>
      <c r="DT90" s="5">
        <f t="shared" si="122"/>
        <v>1697463.2045403712</v>
      </c>
      <c r="DU90" s="5">
        <f t="shared" si="122"/>
        <v>1672001.2564722656</v>
      </c>
      <c r="DV90" s="5">
        <f t="shared" si="122"/>
        <v>1646921.2376251817</v>
      </c>
      <c r="DW90" s="5">
        <f t="shared" si="122"/>
        <v>1622217.4190608039</v>
      </c>
      <c r="DX90" s="5">
        <f t="shared" si="122"/>
        <v>1597884.1577748919</v>
      </c>
      <c r="DY90" s="5">
        <f t="shared" si="122"/>
        <v>1573915.8954082686</v>
      </c>
      <c r="DZ90" s="5">
        <f t="shared" si="122"/>
        <v>1550307.1569771445</v>
      </c>
      <c r="EA90" s="5">
        <f t="shared" si="122"/>
        <v>1527052.5496224873</v>
      </c>
      <c r="EB90" s="5">
        <f t="shared" si="122"/>
        <v>1504146.76137815</v>
      </c>
      <c r="EC90" s="5">
        <f t="shared" si="122"/>
        <v>1481584.5599574777</v>
      </c>
      <c r="ED90" s="5">
        <f t="shared" si="122"/>
        <v>1459360.7915581155</v>
      </c>
      <c r="EE90" s="5">
        <f t="shared" si="122"/>
        <v>1437470.3796847437</v>
      </c>
      <c r="EF90" s="5">
        <f t="shared" si="122"/>
        <v>1415908.3239894726</v>
      </c>
      <c r="EG90" s="5">
        <f t="shared" si="122"/>
        <v>1394669.6991296306</v>
      </c>
      <c r="EH90" s="5">
        <f t="shared" si="122"/>
        <v>1373749.6536426861</v>
      </c>
      <c r="EI90" s="5">
        <f t="shared" si="122"/>
        <v>1353143.4088380458</v>
      </c>
      <c r="EJ90" s="5">
        <f t="shared" si="122"/>
        <v>1332846.257705475</v>
      </c>
      <c r="EK90" s="5">
        <f t="shared" si="122"/>
        <v>1312853.5638398929</v>
      </c>
      <c r="EL90" s="5">
        <f t="shared" si="122"/>
        <v>1293160.7603822944</v>
      </c>
      <c r="EM90" s="5">
        <f t="shared" si="122"/>
        <v>1273763.3489765599</v>
      </c>
      <c r="EN90" s="5">
        <f t="shared" si="122"/>
        <v>1254656.8987419116</v>
      </c>
      <c r="EO90" s="5">
        <f t="shared" si="122"/>
        <v>1235837.0452607831</v>
      </c>
      <c r="EP90" s="5">
        <f t="shared" si="122"/>
        <v>1217299.4895818713</v>
      </c>
      <c r="EQ90" s="5">
        <f t="shared" si="122"/>
        <v>1199039.9972381431</v>
      </c>
      <c r="ER90" s="5">
        <f t="shared" si="122"/>
        <v>1181054.397279571</v>
      </c>
      <c r="ES90" s="5">
        <f t="shared" si="122"/>
        <v>1163338.5813203775</v>
      </c>
      <c r="ET90" s="5">
        <f t="shared" si="122"/>
        <v>1145888.5026005718</v>
      </c>
      <c r="EU90" s="5">
        <f t="shared" si="122"/>
        <v>1128700.1750615633</v>
      </c>
      <c r="EV90" s="5">
        <f t="shared" si="122"/>
        <v>1111769.6724356399</v>
      </c>
      <c r="EW90" s="5">
        <f t="shared" si="122"/>
        <v>1095093.1273491052</v>
      </c>
      <c r="EX90" s="5">
        <f t="shared" si="122"/>
        <v>1078666.7304388685</v>
      </c>
      <c r="EY90" s="5">
        <f t="shared" si="122"/>
        <v>1062486.7294822854</v>
      </c>
      <c r="EZ90" s="5">
        <f t="shared" si="122"/>
        <v>1046549.4285400511</v>
      </c>
      <c r="FA90" s="5">
        <f t="shared" si="122"/>
        <v>1030851.1871119504</v>
      </c>
      <c r="FB90" s="5">
        <f t="shared" si="122"/>
        <v>1015388.4193052711</v>
      </c>
      <c r="FC90" s="5">
        <f t="shared" si="122"/>
        <v>1000157.5930156921</v>
      </c>
      <c r="FD90" s="5">
        <f t="shared" si="122"/>
        <v>985155.22912045673</v>
      </c>
      <c r="FE90" s="5">
        <f t="shared" si="122"/>
        <v>970377.90068364982</v>
      </c>
      <c r="FF90" s="5">
        <f t="shared" si="122"/>
        <v>955822.23217339511</v>
      </c>
      <c r="FG90" s="5">
        <f t="shared" si="122"/>
        <v>941484.89869079413</v>
      </c>
      <c r="FH90" s="5">
        <f t="shared" si="122"/>
        <v>927362.62521043222</v>
      </c>
      <c r="FI90" s="5">
        <f t="shared" si="122"/>
        <v>913452.18583227578</v>
      </c>
      <c r="FJ90" s="5">
        <f t="shared" si="122"/>
        <v>899750.40304479166</v>
      </c>
      <c r="FK90" s="5">
        <f t="shared" si="122"/>
        <v>886254.14699911978</v>
      </c>
      <c r="FL90" s="5">
        <f t="shared" si="122"/>
        <v>872960.33479413297</v>
      </c>
      <c r="FM90" s="5">
        <f t="shared" si="122"/>
        <v>859865.92977222102</v>
      </c>
      <c r="FN90" s="5">
        <f t="shared" si="122"/>
        <v>846967.94082563766</v>
      </c>
      <c r="FO90" s="5">
        <f t="shared" si="122"/>
        <v>834263.42171325313</v>
      </c>
      <c r="FP90" s="5">
        <f t="shared" si="122"/>
        <v>821749.47038755438</v>
      </c>
      <c r="FQ90" s="5">
        <f t="shared" si="122"/>
        <v>809423.22833174106</v>
      </c>
      <c r="FR90" s="5">
        <f t="shared" si="122"/>
        <v>797281.87990676495</v>
      </c>
      <c r="FS90" s="5">
        <f t="shared" si="122"/>
        <v>785322.65170816344</v>
      </c>
      <c r="FT90" s="5">
        <f t="shared" si="122"/>
        <v>773542.81193254096</v>
      </c>
      <c r="FU90" s="5">
        <f t="shared" si="122"/>
        <v>761939.66975355288</v>
      </c>
      <c r="FV90" s="5">
        <f t="shared" si="122"/>
        <v>750510.57470724953</v>
      </c>
      <c r="FW90" s="5">
        <f t="shared" ref="FW90:IH90" si="123">+FV90*(1+$AT$32)</f>
        <v>739252.91608664079</v>
      </c>
      <c r="FX90" s="5">
        <f t="shared" si="123"/>
        <v>728164.12234534114</v>
      </c>
      <c r="FY90" s="5">
        <f t="shared" si="123"/>
        <v>717241.66051016096</v>
      </c>
      <c r="FZ90" s="5">
        <f t="shared" si="123"/>
        <v>706483.03560250858</v>
      </c>
      <c r="GA90" s="5">
        <f t="shared" si="123"/>
        <v>695885.79006847099</v>
      </c>
      <c r="GB90" s="5">
        <f t="shared" si="123"/>
        <v>685447.50321744394</v>
      </c>
      <c r="GC90" s="5">
        <f t="shared" si="123"/>
        <v>675165.79066918232</v>
      </c>
      <c r="GD90" s="5">
        <f t="shared" si="123"/>
        <v>665038.30380914453</v>
      </c>
      <c r="GE90" s="5">
        <f t="shared" si="123"/>
        <v>655062.72925200732</v>
      </c>
      <c r="GF90" s="5">
        <f t="shared" si="123"/>
        <v>645236.78831322724</v>
      </c>
      <c r="GG90" s="5">
        <f t="shared" si="123"/>
        <v>635558.23648852878</v>
      </c>
      <c r="GH90" s="5">
        <f t="shared" si="123"/>
        <v>626024.86294120084</v>
      </c>
      <c r="GI90" s="5">
        <f t="shared" si="123"/>
        <v>616634.48999708286</v>
      </c>
      <c r="GJ90" s="5">
        <f t="shared" si="123"/>
        <v>607384.97264712665</v>
      </c>
      <c r="GK90" s="5">
        <f t="shared" si="123"/>
        <v>598274.19805741974</v>
      </c>
      <c r="GL90" s="5">
        <f t="shared" si="123"/>
        <v>589300.08508655848</v>
      </c>
      <c r="GM90" s="5">
        <f t="shared" si="123"/>
        <v>580460.58381026005</v>
      </c>
      <c r="GN90" s="5">
        <f t="shared" si="123"/>
        <v>571753.67505310616</v>
      </c>
      <c r="GO90" s="5">
        <f t="shared" si="123"/>
        <v>563177.36992730957</v>
      </c>
      <c r="GP90" s="5">
        <f t="shared" si="123"/>
        <v>554729.70937839989</v>
      </c>
      <c r="GQ90" s="5">
        <f t="shared" si="123"/>
        <v>546408.76373772393</v>
      </c>
      <c r="GR90" s="5">
        <f t="shared" si="123"/>
        <v>538212.63228165801</v>
      </c>
      <c r="GS90" s="5">
        <f t="shared" si="123"/>
        <v>530139.44279743312</v>
      </c>
      <c r="GT90" s="5">
        <f t="shared" si="123"/>
        <v>522187.35115547164</v>
      </c>
      <c r="GU90" s="5">
        <f t="shared" si="123"/>
        <v>514354.54088813957</v>
      </c>
      <c r="GV90" s="5">
        <f t="shared" si="123"/>
        <v>506639.22277481749</v>
      </c>
      <c r="GW90" s="5">
        <f t="shared" si="123"/>
        <v>499039.63443319523</v>
      </c>
      <c r="GX90" s="5">
        <f t="shared" si="123"/>
        <v>491554.03991669731</v>
      </c>
      <c r="GY90" s="5">
        <f t="shared" si="123"/>
        <v>484180.72931794683</v>
      </c>
      <c r="GZ90" s="5">
        <f t="shared" si="123"/>
        <v>476918.0183781776</v>
      </c>
      <c r="HA90" s="5">
        <f t="shared" si="123"/>
        <v>469764.24810250493</v>
      </c>
      <c r="HB90" s="5">
        <f t="shared" si="123"/>
        <v>462717.78438096738</v>
      </c>
      <c r="HC90" s="5">
        <f t="shared" si="123"/>
        <v>455777.01761525287</v>
      </c>
      <c r="HD90" s="5">
        <f t="shared" si="123"/>
        <v>448940.36235102406</v>
      </c>
      <c r="HE90" s="5">
        <f t="shared" si="123"/>
        <v>442206.25691575871</v>
      </c>
      <c r="HF90" s="5">
        <f t="shared" si="123"/>
        <v>435573.1630620223</v>
      </c>
      <c r="HG90" s="5">
        <f t="shared" si="123"/>
        <v>429039.56561609195</v>
      </c>
      <c r="HH90" s="5">
        <f t="shared" si="123"/>
        <v>422603.97213185055</v>
      </c>
      <c r="HI90" s="5">
        <f t="shared" si="123"/>
        <v>416264.91254987277</v>
      </c>
      <c r="HJ90" s="5">
        <f t="shared" si="123"/>
        <v>410020.93886162469</v>
      </c>
      <c r="HK90" s="5">
        <f t="shared" si="123"/>
        <v>403870.62477870029</v>
      </c>
      <c r="HL90" s="5">
        <f t="shared" si="123"/>
        <v>397812.56540701981</v>
      </c>
      <c r="HM90" s="5">
        <f t="shared" si="123"/>
        <v>391845.37692591449</v>
      </c>
      <c r="HN90" s="5">
        <f t="shared" si="123"/>
        <v>385967.69627202576</v>
      </c>
      <c r="HO90" s="5">
        <f t="shared" si="123"/>
        <v>380178.18082794535</v>
      </c>
      <c r="HP90" s="5">
        <f t="shared" si="123"/>
        <v>374475.50811552617</v>
      </c>
      <c r="HQ90" s="5">
        <f t="shared" si="123"/>
        <v>368858.37549379328</v>
      </c>
      <c r="HR90" s="5">
        <f t="shared" si="123"/>
        <v>363325.49986138637</v>
      </c>
      <c r="HS90" s="5">
        <f t="shared" si="123"/>
        <v>357875.61736346554</v>
      </c>
      <c r="HT90" s="5">
        <f t="shared" si="123"/>
        <v>352507.48310301354</v>
      </c>
      <c r="HU90" s="5">
        <f t="shared" si="123"/>
        <v>347219.87085646833</v>
      </c>
      <c r="HV90" s="5">
        <f t="shared" si="123"/>
        <v>342011.57279362128</v>
      </c>
      <c r="HW90" s="5">
        <f t="shared" si="123"/>
        <v>336881.39920171694</v>
      </c>
      <c r="HX90" s="5">
        <f t="shared" si="123"/>
        <v>331828.17821369116</v>
      </c>
      <c r="HY90" s="5">
        <f t="shared" si="123"/>
        <v>326850.75554048578</v>
      </c>
      <c r="HZ90" s="5">
        <f t="shared" si="123"/>
        <v>321947.99420737848</v>
      </c>
      <c r="IA90" s="5">
        <f t="shared" si="123"/>
        <v>317118.77429426782</v>
      </c>
      <c r="IB90" s="5">
        <f t="shared" si="123"/>
        <v>312361.99267985381</v>
      </c>
      <c r="IC90" s="5">
        <f t="shared" si="123"/>
        <v>307676.56278965599</v>
      </c>
      <c r="ID90" s="5">
        <f t="shared" si="123"/>
        <v>303061.41434781114</v>
      </c>
      <c r="IE90" s="5">
        <f t="shared" si="123"/>
        <v>298515.49313259398</v>
      </c>
      <c r="IF90" s="5">
        <f t="shared" si="123"/>
        <v>294037.76073560509</v>
      </c>
      <c r="IG90" s="5">
        <f t="shared" si="123"/>
        <v>289627.194324571</v>
      </c>
      <c r="IH90" s="5">
        <f t="shared" si="123"/>
        <v>285282.78640970244</v>
      </c>
      <c r="II90" s="5">
        <f t="shared" ref="II90:KT90" si="124">+IH90*(1+$AT$32)</f>
        <v>281003.54461355688</v>
      </c>
      <c r="IJ90" s="5">
        <f t="shared" si="124"/>
        <v>276788.49144435354</v>
      </c>
      <c r="IK90" s="5">
        <f t="shared" si="124"/>
        <v>272636.6640726882</v>
      </c>
      <c r="IL90" s="5">
        <f t="shared" si="124"/>
        <v>268547.11411159788</v>
      </c>
      <c r="IM90" s="5">
        <f t="shared" si="124"/>
        <v>264518.90739992389</v>
      </c>
      <c r="IN90" s="5">
        <f t="shared" si="124"/>
        <v>260551.12378892503</v>
      </c>
      <c r="IO90" s="5">
        <f t="shared" si="124"/>
        <v>256642.85693209115</v>
      </c>
      <c r="IP90" s="5">
        <f t="shared" si="124"/>
        <v>252793.21407810977</v>
      </c>
      <c r="IQ90" s="5">
        <f t="shared" si="124"/>
        <v>249001.31586693812</v>
      </c>
      <c r="IR90" s="5">
        <f t="shared" si="124"/>
        <v>245266.29612893405</v>
      </c>
      <c r="IS90" s="5">
        <f t="shared" si="124"/>
        <v>241587.30168700003</v>
      </c>
      <c r="IT90" s="5">
        <f t="shared" si="124"/>
        <v>237963.49216169503</v>
      </c>
      <c r="IU90" s="5">
        <f t="shared" si="124"/>
        <v>234394.0397792696</v>
      </c>
      <c r="IV90" s="5">
        <f t="shared" si="124"/>
        <v>230878.12918258057</v>
      </c>
      <c r="IW90" s="5">
        <f t="shared" si="124"/>
        <v>227414.95724484185</v>
      </c>
      <c r="IX90" s="5">
        <f t="shared" si="124"/>
        <v>224003.73288616922</v>
      </c>
      <c r="IY90" s="5">
        <f t="shared" si="124"/>
        <v>220643.67689287668</v>
      </c>
      <c r="IZ90" s="5">
        <f t="shared" si="124"/>
        <v>217334.02173948352</v>
      </c>
      <c r="JA90" s="5">
        <f t="shared" si="124"/>
        <v>214074.01141339127</v>
      </c>
      <c r="JB90" s="5">
        <f t="shared" si="124"/>
        <v>210862.90124219039</v>
      </c>
      <c r="JC90" s="5">
        <f t="shared" si="124"/>
        <v>207699.95772355754</v>
      </c>
      <c r="JD90" s="5">
        <f t="shared" si="124"/>
        <v>204584.45835770416</v>
      </c>
      <c r="JE90" s="5">
        <f t="shared" si="124"/>
        <v>201515.69148233859</v>
      </c>
      <c r="JF90" s="5">
        <f t="shared" si="124"/>
        <v>198492.95611010352</v>
      </c>
      <c r="JG90" s="5">
        <f t="shared" si="124"/>
        <v>195515.56176845197</v>
      </c>
      <c r="JH90" s="5">
        <f t="shared" si="124"/>
        <v>192582.8283419252</v>
      </c>
      <c r="JI90" s="5">
        <f t="shared" si="124"/>
        <v>189694.08591679632</v>
      </c>
      <c r="JJ90" s="5">
        <f t="shared" si="124"/>
        <v>186848.67462804436</v>
      </c>
      <c r="JK90" s="5">
        <f t="shared" si="124"/>
        <v>184045.94450862368</v>
      </c>
      <c r="JL90" s="5">
        <f t="shared" si="124"/>
        <v>181285.25534099434</v>
      </c>
      <c r="JM90" s="5">
        <f t="shared" si="124"/>
        <v>178565.97651087941</v>
      </c>
      <c r="JN90" s="5">
        <f t="shared" si="124"/>
        <v>175887.48686321621</v>
      </c>
      <c r="JO90" s="5">
        <f t="shared" si="124"/>
        <v>173249.17456026797</v>
      </c>
      <c r="JP90" s="5">
        <f t="shared" si="124"/>
        <v>170650.43694186394</v>
      </c>
      <c r="JQ90" s="5">
        <f t="shared" si="124"/>
        <v>168090.68038773598</v>
      </c>
      <c r="JR90" s="5">
        <f t="shared" si="124"/>
        <v>165569.32018191993</v>
      </c>
      <c r="JS90" s="5">
        <f t="shared" si="124"/>
        <v>163085.78037919113</v>
      </c>
      <c r="JT90" s="5">
        <f t="shared" si="124"/>
        <v>160639.49367350325</v>
      </c>
      <c r="JU90" s="5">
        <f t="shared" si="124"/>
        <v>158229.90126840069</v>
      </c>
      <c r="JV90" s="5">
        <f t="shared" si="124"/>
        <v>155856.45274937467</v>
      </c>
      <c r="JW90" s="5">
        <f t="shared" si="124"/>
        <v>153518.60595813405</v>
      </c>
      <c r="JX90" s="5">
        <f t="shared" si="124"/>
        <v>151215.82686876203</v>
      </c>
      <c r="JY90" s="5">
        <f t="shared" si="124"/>
        <v>148947.58946573059</v>
      </c>
      <c r="JZ90" s="5">
        <f t="shared" si="124"/>
        <v>146713.37562374462</v>
      </c>
      <c r="KA90" s="5">
        <f t="shared" si="124"/>
        <v>144512.67498938844</v>
      </c>
      <c r="KB90" s="5">
        <f t="shared" si="124"/>
        <v>142344.98486454762</v>
      </c>
      <c r="KC90" s="5">
        <f t="shared" si="124"/>
        <v>140209.81009157939</v>
      </c>
      <c r="KD90" s="5">
        <f t="shared" si="124"/>
        <v>138106.66294020569</v>
      </c>
      <c r="KE90" s="5">
        <f t="shared" si="124"/>
        <v>136035.06299610261</v>
      </c>
      <c r="KF90" s="5">
        <f t="shared" si="124"/>
        <v>133994.53705116108</v>
      </c>
      <c r="KG90" s="5">
        <f t="shared" si="124"/>
        <v>131984.61899539366</v>
      </c>
      <c r="KH90" s="5">
        <f t="shared" si="124"/>
        <v>130004.84971046275</v>
      </c>
      <c r="KI90" s="5">
        <f t="shared" si="124"/>
        <v>128054.7769648058</v>
      </c>
      <c r="KJ90" s="5">
        <f t="shared" si="124"/>
        <v>126133.95531033371</v>
      </c>
      <c r="KK90" s="5">
        <f t="shared" si="124"/>
        <v>124241.94598067871</v>
      </c>
      <c r="KL90" s="5">
        <f t="shared" si="124"/>
        <v>122378.31679096853</v>
      </c>
      <c r="KM90" s="5">
        <f t="shared" si="124"/>
        <v>120542.642039104</v>
      </c>
      <c r="KN90" s="5">
        <f t="shared" si="124"/>
        <v>118734.50240851744</v>
      </c>
      <c r="KO90" s="5">
        <f t="shared" si="124"/>
        <v>116953.48487238967</v>
      </c>
      <c r="KP90" s="5">
        <f t="shared" si="124"/>
        <v>115199.18259930382</v>
      </c>
      <c r="KQ90" s="5">
        <f t="shared" si="124"/>
        <v>113471.19486031427</v>
      </c>
      <c r="KR90" s="5">
        <f t="shared" si="124"/>
        <v>111769.12693740956</v>
      </c>
      <c r="KS90" s="5">
        <f t="shared" si="124"/>
        <v>110092.59003334842</v>
      </c>
      <c r="KT90" s="5">
        <f t="shared" si="124"/>
        <v>108441.20118284819</v>
      </c>
      <c r="KU90" s="5">
        <f t="shared" ref="KU90:NF90" si="125">+KT90*(1+$AT$32)</f>
        <v>106814.58316510546</v>
      </c>
      <c r="KV90" s="5">
        <f t="shared" si="125"/>
        <v>105212.36441762888</v>
      </c>
      <c r="KW90" s="5">
        <f t="shared" si="125"/>
        <v>103634.17895136445</v>
      </c>
      <c r="KX90" s="5">
        <f t="shared" si="125"/>
        <v>102079.66626709398</v>
      </c>
      <c r="KY90" s="5">
        <f t="shared" si="125"/>
        <v>100548.47127308758</v>
      </c>
      <c r="KZ90" s="5">
        <f t="shared" si="125"/>
        <v>99040.244203991257</v>
      </c>
      <c r="LA90" s="5">
        <f t="shared" si="125"/>
        <v>97554.640540931388</v>
      </c>
      <c r="LB90" s="5">
        <f t="shared" si="125"/>
        <v>96091.320932817413</v>
      </c>
      <c r="LC90" s="5">
        <f t="shared" si="125"/>
        <v>94649.951118825149</v>
      </c>
      <c r="LD90" s="5">
        <f t="shared" si="125"/>
        <v>93230.201852042766</v>
      </c>
      <c r="LE90" s="5">
        <f t="shared" si="125"/>
        <v>91831.748824262118</v>
      </c>
      <c r="LF90" s="5">
        <f t="shared" si="125"/>
        <v>90454.272591898189</v>
      </c>
      <c r="LG90" s="5">
        <f t="shared" si="125"/>
        <v>89097.45850301972</v>
      </c>
      <c r="LH90" s="5">
        <f t="shared" si="125"/>
        <v>87760.996625474421</v>
      </c>
      <c r="LI90" s="5">
        <f t="shared" si="125"/>
        <v>86444.581676092304</v>
      </c>
      <c r="LJ90" s="5">
        <f t="shared" si="125"/>
        <v>85147.912950950922</v>
      </c>
      <c r="LK90" s="5">
        <f t="shared" si="125"/>
        <v>83870.694256686664</v>
      </c>
      <c r="LL90" s="5">
        <f t="shared" si="125"/>
        <v>82612.633842836367</v>
      </c>
      <c r="LM90" s="5">
        <f t="shared" si="125"/>
        <v>81373.444335193824</v>
      </c>
      <c r="LN90" s="5">
        <f t="shared" si="125"/>
        <v>80152.842670165919</v>
      </c>
      <c r="LO90" s="5">
        <f t="shared" si="125"/>
        <v>78950.550030113431</v>
      </c>
      <c r="LP90" s="5">
        <f t="shared" si="125"/>
        <v>77766.291779661726</v>
      </c>
      <c r="LQ90" s="5">
        <f t="shared" si="125"/>
        <v>76599.797402966797</v>
      </c>
      <c r="LR90" s="5">
        <f t="shared" si="125"/>
        <v>75450.8004419223</v>
      </c>
      <c r="LS90" s="5">
        <f t="shared" si="125"/>
        <v>74319.038435293463</v>
      </c>
      <c r="LT90" s="5">
        <f t="shared" si="125"/>
        <v>73204.252858764055</v>
      </c>
      <c r="LU90" s="5">
        <f t="shared" si="125"/>
        <v>72106.189065882587</v>
      </c>
      <c r="LV90" s="5">
        <f t="shared" si="125"/>
        <v>71024.596229894349</v>
      </c>
      <c r="LW90" s="5">
        <f t="shared" si="125"/>
        <v>69959.227286445937</v>
      </c>
      <c r="LX90" s="5">
        <f t="shared" si="125"/>
        <v>68909.838877149246</v>
      </c>
      <c r="LY90" s="5">
        <f t="shared" si="125"/>
        <v>67876.191293992</v>
      </c>
      <c r="LZ90" s="5">
        <f t="shared" si="125"/>
        <v>66858.048424582114</v>
      </c>
      <c r="MA90" s="5">
        <f t="shared" si="125"/>
        <v>65855.177698213374</v>
      </c>
      <c r="MB90" s="5">
        <f t="shared" si="125"/>
        <v>64867.350032740171</v>
      </c>
      <c r="MC90" s="5">
        <f t="shared" si="125"/>
        <v>63894.339782249066</v>
      </c>
      <c r="MD90" s="5">
        <f t="shared" si="125"/>
        <v>62935.924685515332</v>
      </c>
      <c r="ME90" s="5">
        <f t="shared" si="125"/>
        <v>61991.885815232599</v>
      </c>
      <c r="MF90" s="5">
        <f t="shared" si="125"/>
        <v>61062.007528004113</v>
      </c>
      <c r="MG90" s="5">
        <f t="shared" si="125"/>
        <v>60146.077415084052</v>
      </c>
      <c r="MH90" s="5">
        <f t="shared" si="125"/>
        <v>59243.886253857789</v>
      </c>
      <c r="MI90" s="5">
        <f t="shared" si="125"/>
        <v>58355.227960049924</v>
      </c>
      <c r="MJ90" s="5">
        <f t="shared" si="125"/>
        <v>57479.899540649174</v>
      </c>
      <c r="MK90" s="5">
        <f t="shared" si="125"/>
        <v>56617.701047539435</v>
      </c>
      <c r="ML90" s="5">
        <f t="shared" si="125"/>
        <v>55768.435531826341</v>
      </c>
      <c r="MM90" s="5">
        <f t="shared" si="125"/>
        <v>54931.908998848943</v>
      </c>
      <c r="MN90" s="5">
        <f t="shared" si="125"/>
        <v>54107.93036386621</v>
      </c>
      <c r="MO90" s="5">
        <f t="shared" si="125"/>
        <v>53296.311408408219</v>
      </c>
      <c r="MP90" s="5">
        <f t="shared" si="125"/>
        <v>52496.866737282093</v>
      </c>
      <c r="MQ90" s="5">
        <f t="shared" si="125"/>
        <v>51709.413736222858</v>
      </c>
      <c r="MR90" s="5">
        <f t="shared" si="125"/>
        <v>50933.772530179514</v>
      </c>
      <c r="MS90" s="5">
        <f t="shared" si="125"/>
        <v>50169.765942226819</v>
      </c>
      <c r="MT90" s="5">
        <f t="shared" si="125"/>
        <v>49417.219453093414</v>
      </c>
      <c r="MU90" s="5">
        <f t="shared" si="125"/>
        <v>48675.961161297011</v>
      </c>
      <c r="MV90" s="5">
        <f t="shared" si="125"/>
        <v>47945.821743877554</v>
      </c>
      <c r="MW90" s="5">
        <f t="shared" si="125"/>
        <v>47226.63441771939</v>
      </c>
      <c r="MX90" s="5">
        <f t="shared" si="125"/>
        <v>46518.234901453601</v>
      </c>
      <c r="MY90" s="5">
        <f t="shared" si="125"/>
        <v>45820.461377931795</v>
      </c>
      <c r="MZ90" s="5">
        <f t="shared" si="125"/>
        <v>45133.154457262819</v>
      </c>
      <c r="NA90" s="5">
        <f t="shared" si="125"/>
        <v>44456.157140403877</v>
      </c>
      <c r="NB90" s="5">
        <f t="shared" si="125"/>
        <v>43789.314783297821</v>
      </c>
      <c r="NC90" s="5">
        <f t="shared" si="125"/>
        <v>43132.47506154835</v>
      </c>
      <c r="ND90" s="5">
        <f t="shared" si="125"/>
        <v>42485.487935625126</v>
      </c>
      <c r="NE90" s="5">
        <f t="shared" si="125"/>
        <v>41848.205616590749</v>
      </c>
      <c r="NF90" s="5">
        <f t="shared" si="125"/>
        <v>41220.482532341885</v>
      </c>
      <c r="NG90" s="5">
        <f t="shared" ref="NG90:PR90" si="126">+NF90*(1+$AT$32)</f>
        <v>40602.175294356755</v>
      </c>
      <c r="NH90" s="5">
        <f t="shared" si="126"/>
        <v>39993.142664941406</v>
      </c>
      <c r="NI90" s="5">
        <f t="shared" si="126"/>
        <v>39393.245524967286</v>
      </c>
      <c r="NJ90" s="5">
        <f t="shared" si="126"/>
        <v>38802.346842092775</v>
      </c>
      <c r="NK90" s="5">
        <f t="shared" si="126"/>
        <v>38220.311639461383</v>
      </c>
      <c r="NL90" s="5">
        <f t="shared" si="126"/>
        <v>37647.006964869463</v>
      </c>
      <c r="NM90" s="5">
        <f t="shared" si="126"/>
        <v>37082.301860396423</v>
      </c>
      <c r="NN90" s="5">
        <f t="shared" si="126"/>
        <v>36526.067332490478</v>
      </c>
      <c r="NO90" s="5">
        <f t="shared" si="126"/>
        <v>35978.176322503117</v>
      </c>
      <c r="NP90" s="5">
        <f t="shared" si="126"/>
        <v>35438.503677665569</v>
      </c>
      <c r="NQ90" s="5">
        <f t="shared" si="126"/>
        <v>34906.926122500583</v>
      </c>
      <c r="NR90" s="5">
        <f t="shared" si="126"/>
        <v>34383.322230663071</v>
      </c>
      <c r="NS90" s="5">
        <f t="shared" si="126"/>
        <v>33867.572397203126</v>
      </c>
      <c r="NT90" s="5">
        <f t="shared" si="126"/>
        <v>33359.558811245079</v>
      </c>
      <c r="NU90" s="5">
        <f t="shared" si="126"/>
        <v>32859.165429076405</v>
      </c>
      <c r="NV90" s="5">
        <f t="shared" si="126"/>
        <v>32366.277947640257</v>
      </c>
      <c r="NW90" s="5">
        <f t="shared" si="126"/>
        <v>31880.783778425652</v>
      </c>
      <c r="NX90" s="5">
        <f t="shared" si="126"/>
        <v>31402.572021749267</v>
      </c>
      <c r="NY90" s="5">
        <f t="shared" si="126"/>
        <v>30931.533441423027</v>
      </c>
      <c r="NZ90" s="5">
        <f t="shared" si="126"/>
        <v>30467.56043980168</v>
      </c>
      <c r="OA90" s="5">
        <f t="shared" si="126"/>
        <v>30010.547033204653</v>
      </c>
      <c r="OB90" s="5">
        <f t="shared" si="126"/>
        <v>29560.388827706582</v>
      </c>
      <c r="OC90" s="5">
        <f t="shared" si="126"/>
        <v>29116.982995290982</v>
      </c>
      <c r="OD90" s="5">
        <f t="shared" si="126"/>
        <v>28680.228250361619</v>
      </c>
      <c r="OE90" s="5">
        <f t="shared" si="126"/>
        <v>28250.024826606194</v>
      </c>
      <c r="OF90" s="5">
        <f t="shared" si="126"/>
        <v>27826.274454207101</v>
      </c>
      <c r="OG90" s="5">
        <f t="shared" si="126"/>
        <v>27408.880337393995</v>
      </c>
      <c r="OH90" s="5">
        <f t="shared" si="126"/>
        <v>26997.747132333086</v>
      </c>
      <c r="OI90" s="5">
        <f t="shared" si="126"/>
        <v>26592.780925348088</v>
      </c>
      <c r="OJ90" s="5">
        <f t="shared" si="126"/>
        <v>26193.889211467867</v>
      </c>
      <c r="OK90" s="5">
        <f t="shared" si="126"/>
        <v>25800.980873295848</v>
      </c>
      <c r="OL90" s="5">
        <f t="shared" si="126"/>
        <v>25413.966160196411</v>
      </c>
      <c r="OM90" s="5">
        <f t="shared" si="126"/>
        <v>25032.756667793463</v>
      </c>
      <c r="ON90" s="5">
        <f t="shared" si="126"/>
        <v>24657.265317776561</v>
      </c>
      <c r="OO90" s="5">
        <f t="shared" si="126"/>
        <v>24287.406338009911</v>
      </c>
      <c r="OP90" s="5">
        <f t="shared" si="126"/>
        <v>23923.095242939762</v>
      </c>
      <c r="OQ90" s="5">
        <f t="shared" si="126"/>
        <v>23564.248814295664</v>
      </c>
      <c r="OR90" s="5">
        <f t="shared" si="126"/>
        <v>23210.785082081231</v>
      </c>
      <c r="OS90" s="5">
        <f t="shared" si="126"/>
        <v>22862.623305850011</v>
      </c>
      <c r="OT90" s="5">
        <f t="shared" si="126"/>
        <v>22519.683956262259</v>
      </c>
      <c r="OU90" s="5">
        <f t="shared" si="126"/>
        <v>22181.888696918326</v>
      </c>
      <c r="OV90" s="5">
        <f t="shared" si="126"/>
        <v>21849.160366464552</v>
      </c>
      <c r="OW90" s="5">
        <f t="shared" si="126"/>
        <v>21521.422960967582</v>
      </c>
      <c r="OX90" s="5">
        <f t="shared" si="126"/>
        <v>21198.601616553067</v>
      </c>
      <c r="OY90" s="5">
        <f t="shared" si="126"/>
        <v>20880.622592304771</v>
      </c>
      <c r="OZ90" s="5">
        <f t="shared" si="126"/>
        <v>20567.4132534202</v>
      </c>
      <c r="PA90" s="5">
        <f t="shared" si="126"/>
        <v>20258.902054618895</v>
      </c>
      <c r="PB90" s="5">
        <f t="shared" si="126"/>
        <v>19955.018523799612</v>
      </c>
      <c r="PC90" s="5">
        <f t="shared" si="126"/>
        <v>19655.693245942617</v>
      </c>
      <c r="PD90" s="5">
        <f t="shared" si="126"/>
        <v>19360.857847253479</v>
      </c>
      <c r="PE90" s="5">
        <f t="shared" si="126"/>
        <v>19070.444979544678</v>
      </c>
      <c r="PF90" s="5">
        <f t="shared" si="126"/>
        <v>18784.388304851509</v>
      </c>
      <c r="PG90" s="5">
        <f t="shared" si="126"/>
        <v>18502.622480278736</v>
      </c>
      <c r="PH90" s="5">
        <f t="shared" si="126"/>
        <v>18225.083143074557</v>
      </c>
      <c r="PI90" s="5">
        <f t="shared" si="126"/>
        <v>17951.706895928437</v>
      </c>
      <c r="PJ90" s="5">
        <f t="shared" si="126"/>
        <v>17682.431292489509</v>
      </c>
      <c r="PK90" s="5">
        <f t="shared" si="126"/>
        <v>17417.194823102167</v>
      </c>
      <c r="PL90" s="5">
        <f t="shared" si="126"/>
        <v>17155.936900755634</v>
      </c>
      <c r="PM90" s="5">
        <f t="shared" si="126"/>
        <v>16898.597847244298</v>
      </c>
      <c r="PN90" s="5">
        <f t="shared" si="126"/>
        <v>16645.118879535632</v>
      </c>
      <c r="PO90" s="5">
        <f t="shared" si="126"/>
        <v>16395.442096342598</v>
      </c>
      <c r="PP90" s="5">
        <f t="shared" si="126"/>
        <v>16149.510464897459</v>
      </c>
      <c r="PQ90" s="5">
        <f t="shared" si="126"/>
        <v>15907.267807923998</v>
      </c>
      <c r="PR90" s="5">
        <f t="shared" si="126"/>
        <v>15668.658790805137</v>
      </c>
      <c r="PS90" s="5">
        <f t="shared" ref="PS90:SD90" si="127">+PR90*(1+$AT$32)</f>
        <v>15433.628908943059</v>
      </c>
      <c r="PT90" s="5">
        <f t="shared" si="127"/>
        <v>15202.124475308914</v>
      </c>
      <c r="PU90" s="5">
        <f t="shared" si="127"/>
        <v>14974.09260817928</v>
      </c>
      <c r="PV90" s="5">
        <f t="shared" si="127"/>
        <v>14749.481219056592</v>
      </c>
      <c r="PW90" s="5">
        <f t="shared" si="127"/>
        <v>14528.239000770742</v>
      </c>
      <c r="PX90" s="5">
        <f t="shared" si="127"/>
        <v>14310.31541575918</v>
      </c>
      <c r="PY90" s="5">
        <f t="shared" si="127"/>
        <v>14095.660684522793</v>
      </c>
      <c r="PZ90" s="5">
        <f t="shared" si="127"/>
        <v>13884.22577425495</v>
      </c>
      <c r="QA90" s="5">
        <f t="shared" si="127"/>
        <v>13675.962387641126</v>
      </c>
      <c r="QB90" s="5">
        <f t="shared" si="127"/>
        <v>13470.822951826509</v>
      </c>
      <c r="QC90" s="5">
        <f t="shared" si="127"/>
        <v>13268.760607549111</v>
      </c>
      <c r="QD90" s="5">
        <f t="shared" si="127"/>
        <v>13069.729198435874</v>
      </c>
      <c r="QE90" s="5">
        <f t="shared" si="127"/>
        <v>12873.683260459336</v>
      </c>
      <c r="QF90" s="5">
        <f t="shared" si="127"/>
        <v>12680.578011552447</v>
      </c>
      <c r="QG90" s="5">
        <f t="shared" si="127"/>
        <v>12490.369341379161</v>
      </c>
      <c r="QH90" s="5">
        <f t="shared" si="127"/>
        <v>12303.013801258474</v>
      </c>
      <c r="QI90" s="5">
        <f t="shared" si="127"/>
        <v>12118.468594239597</v>
      </c>
      <c r="QJ90" s="5">
        <f t="shared" si="127"/>
        <v>11936.691565326004</v>
      </c>
      <c r="QK90" s="5">
        <f t="shared" si="127"/>
        <v>11757.641191846114</v>
      </c>
      <c r="QL90" s="5">
        <f t="shared" si="127"/>
        <v>11581.276573968422</v>
      </c>
      <c r="QM90" s="5">
        <f t="shared" si="127"/>
        <v>11407.557425358895</v>
      </c>
      <c r="QN90" s="5">
        <f t="shared" si="127"/>
        <v>11236.444063978512</v>
      </c>
      <c r="QO90" s="5">
        <f t="shared" si="127"/>
        <v>11067.897403018835</v>
      </c>
      <c r="QP90" s="5">
        <f t="shared" si="127"/>
        <v>10901.878941973551</v>
      </c>
      <c r="QQ90" s="5">
        <f t="shared" si="127"/>
        <v>10738.350757843948</v>
      </c>
      <c r="QR90" s="5">
        <f t="shared" si="127"/>
        <v>10577.275496476288</v>
      </c>
      <c r="QS90" s="5">
        <f t="shared" si="127"/>
        <v>10418.616364029143</v>
      </c>
      <c r="QT90" s="5">
        <f t="shared" si="127"/>
        <v>10262.337118568707</v>
      </c>
      <c r="QU90" s="5">
        <f t="shared" si="127"/>
        <v>10108.402061790175</v>
      </c>
      <c r="QV90" s="5">
        <f t="shared" si="127"/>
        <v>9956.7760308633224</v>
      </c>
      <c r="QW90" s="5">
        <f t="shared" si="127"/>
        <v>9807.4243904003724</v>
      </c>
      <c r="QX90" s="5">
        <f t="shared" si="127"/>
        <v>9660.3130245443663</v>
      </c>
      <c r="QY90" s="5">
        <f t="shared" si="127"/>
        <v>9515.4083291761999</v>
      </c>
      <c r="QZ90" s="5">
        <f t="shared" si="127"/>
        <v>9372.6772042385564</v>
      </c>
      <c r="RA90" s="5">
        <f t="shared" si="127"/>
        <v>9232.0870461749782</v>
      </c>
      <c r="RB90" s="5">
        <f t="shared" si="127"/>
        <v>9093.6057404823532</v>
      </c>
      <c r="RC90" s="5">
        <f t="shared" si="127"/>
        <v>8957.2016543751179</v>
      </c>
      <c r="RD90" s="5">
        <f t="shared" si="127"/>
        <v>8822.8436295594911</v>
      </c>
      <c r="RE90" s="5">
        <f t="shared" si="127"/>
        <v>8690.5009751160978</v>
      </c>
      <c r="RF90" s="5">
        <f t="shared" si="127"/>
        <v>8560.1434604893566</v>
      </c>
      <c r="RG90" s="5">
        <f t="shared" si="127"/>
        <v>8431.7413085820153</v>
      </c>
      <c r="RH90" s="5">
        <f t="shared" si="127"/>
        <v>8305.2651889532845</v>
      </c>
      <c r="RI90" s="5">
        <f t="shared" si="127"/>
        <v>8180.6862111189848</v>
      </c>
      <c r="RJ90" s="5">
        <f t="shared" si="127"/>
        <v>8057.9759179521998</v>
      </c>
      <c r="RK90" s="5">
        <f t="shared" si="127"/>
        <v>7937.1062791829163</v>
      </c>
      <c r="RL90" s="5">
        <f t="shared" si="127"/>
        <v>7818.0496849951724</v>
      </c>
      <c r="RM90" s="5">
        <f t="shared" si="127"/>
        <v>7700.778939720245</v>
      </c>
      <c r="RN90" s="5">
        <f t="shared" si="127"/>
        <v>7585.2672556244415</v>
      </c>
      <c r="RO90" s="5">
        <f t="shared" si="127"/>
        <v>7471.4882467900752</v>
      </c>
      <c r="RP90" s="5">
        <f t="shared" si="127"/>
        <v>7359.4159230882242</v>
      </c>
      <c r="RQ90" s="5">
        <f t="shared" si="127"/>
        <v>7249.024684241901</v>
      </c>
      <c r="RR90" s="5">
        <f t="shared" si="127"/>
        <v>7140.2893139782727</v>
      </c>
      <c r="RS90" s="5">
        <f t="shared" si="127"/>
        <v>7033.1849742685981</v>
      </c>
      <c r="RT90" s="5">
        <f t="shared" si="127"/>
        <v>6927.6871996545688</v>
      </c>
      <c r="RU90" s="5">
        <f t="shared" si="127"/>
        <v>6823.7718916597505</v>
      </c>
      <c r="RV90" s="5">
        <f t="shared" si="127"/>
        <v>6721.4153132848542</v>
      </c>
      <c r="RW90" s="5">
        <f t="shared" si="127"/>
        <v>6620.5940835855808</v>
      </c>
      <c r="RX90" s="5">
        <f t="shared" si="127"/>
        <v>6521.2851723317972</v>
      </c>
      <c r="RY90" s="5">
        <f t="shared" si="127"/>
        <v>6423.4658947468197</v>
      </c>
      <c r="RZ90" s="5">
        <f t="shared" si="127"/>
        <v>6327.1139063256169</v>
      </c>
      <c r="SA90" s="5">
        <f t="shared" si="127"/>
        <v>6232.2071977307323</v>
      </c>
      <c r="SB90" s="5">
        <f t="shared" si="127"/>
        <v>6138.7240897647716</v>
      </c>
      <c r="SC90" s="5">
        <f t="shared" si="127"/>
        <v>6046.6432284183002</v>
      </c>
      <c r="SD90" s="5">
        <f t="shared" si="127"/>
        <v>5955.9435799920257</v>
      </c>
      <c r="SE90" s="5">
        <f t="shared" ref="SE90:UP90" si="128">+SD90*(1+$AT$32)</f>
        <v>5866.604426292145</v>
      </c>
      <c r="SF90" s="5">
        <f t="shared" si="128"/>
        <v>5778.6053598977624</v>
      </c>
      <c r="SG90" s="5">
        <f t="shared" si="128"/>
        <v>5691.9262794992956</v>
      </c>
      <c r="SH90" s="5">
        <f t="shared" si="128"/>
        <v>5606.5473853068061</v>
      </c>
      <c r="SI90" s="5">
        <f t="shared" si="128"/>
        <v>5522.4491745272035</v>
      </c>
      <c r="SJ90" s="5">
        <f t="shared" si="128"/>
        <v>5439.612436909295</v>
      </c>
      <c r="SK90" s="5">
        <f t="shared" si="128"/>
        <v>5358.0182503556553</v>
      </c>
      <c r="SL90" s="5">
        <f t="shared" si="128"/>
        <v>5277.6479766003204</v>
      </c>
      <c r="SM90" s="5">
        <f t="shared" si="128"/>
        <v>5198.4832569513155</v>
      </c>
      <c r="SN90" s="5">
        <f t="shared" si="128"/>
        <v>5120.5060080970461</v>
      </c>
      <c r="SO90" s="5">
        <f t="shared" si="128"/>
        <v>5043.69841797559</v>
      </c>
      <c r="SP90" s="5">
        <f t="shared" si="128"/>
        <v>4968.0429417059559</v>
      </c>
      <c r="SQ90" s="5">
        <f t="shared" si="128"/>
        <v>4893.5222975803663</v>
      </c>
      <c r="SR90" s="5">
        <f t="shared" si="128"/>
        <v>4820.1194631166609</v>
      </c>
      <c r="SS90" s="5">
        <f t="shared" si="128"/>
        <v>4747.8176711699107</v>
      </c>
      <c r="ST90" s="5">
        <f t="shared" si="128"/>
        <v>4676.6004061023623</v>
      </c>
      <c r="SU90" s="5">
        <f t="shared" si="128"/>
        <v>4606.4514000108265</v>
      </c>
      <c r="SV90" s="5">
        <f t="shared" si="128"/>
        <v>4537.3546290106642</v>
      </c>
      <c r="SW90" s="5">
        <f t="shared" si="128"/>
        <v>4469.2943095755045</v>
      </c>
      <c r="SX90" s="5">
        <f t="shared" si="128"/>
        <v>4402.2548949318716</v>
      </c>
      <c r="SY90" s="5">
        <f t="shared" si="128"/>
        <v>4336.2210715078936</v>
      </c>
      <c r="SZ90" s="5">
        <f t="shared" si="128"/>
        <v>4271.1777554352748</v>
      </c>
      <c r="TA90" s="5">
        <f t="shared" si="128"/>
        <v>4207.1100891037458</v>
      </c>
      <c r="TB90" s="5">
        <f t="shared" si="128"/>
        <v>4144.00343776719</v>
      </c>
      <c r="TC90" s="5">
        <f t="shared" si="128"/>
        <v>4081.8433862006823</v>
      </c>
      <c r="TD90" s="5">
        <f t="shared" si="128"/>
        <v>4020.6157354076722</v>
      </c>
      <c r="TE90" s="5">
        <f t="shared" si="128"/>
        <v>3960.306499376557</v>
      </c>
      <c r="TF90" s="5">
        <f t="shared" si="128"/>
        <v>3900.9019018859085</v>
      </c>
      <c r="TG90" s="5">
        <f t="shared" si="128"/>
        <v>3842.3883733576199</v>
      </c>
      <c r="TH90" s="5">
        <f t="shared" si="128"/>
        <v>3784.7525477572553</v>
      </c>
      <c r="TI90" s="5">
        <f t="shared" si="128"/>
        <v>3727.9812595408966</v>
      </c>
      <c r="TJ90" s="5">
        <f t="shared" si="128"/>
        <v>3672.0615406477832</v>
      </c>
      <c r="TK90" s="5">
        <f t="shared" si="128"/>
        <v>3616.9806175380663</v>
      </c>
      <c r="TL90" s="5">
        <f t="shared" si="128"/>
        <v>3562.7259082749952</v>
      </c>
      <c r="TM90" s="5">
        <f t="shared" si="128"/>
        <v>3509.2850196508703</v>
      </c>
      <c r="TN90" s="5">
        <f t="shared" si="128"/>
        <v>3456.6457443561071</v>
      </c>
      <c r="TO90" s="5">
        <f t="shared" si="128"/>
        <v>3404.7960581907655</v>
      </c>
      <c r="TP90" s="5">
        <f t="shared" si="128"/>
        <v>3353.7241173179041</v>
      </c>
      <c r="TQ90" s="5">
        <f t="shared" si="128"/>
        <v>3303.4182555581356</v>
      </c>
      <c r="TR90" s="5">
        <f t="shared" si="128"/>
        <v>3253.8669817247637</v>
      </c>
      <c r="TS90" s="5">
        <f t="shared" si="128"/>
        <v>3205.0589769988924</v>
      </c>
      <c r="TT90" s="5">
        <f t="shared" si="128"/>
        <v>3156.983092343909</v>
      </c>
      <c r="TU90" s="5">
        <f t="shared" si="128"/>
        <v>3109.6283459587503</v>
      </c>
      <c r="TV90" s="5">
        <f t="shared" si="128"/>
        <v>3062.983920769369</v>
      </c>
      <c r="TW90" s="5">
        <f t="shared" si="128"/>
        <v>3017.0391619578286</v>
      </c>
      <c r="TX90" s="5">
        <f t="shared" si="128"/>
        <v>2971.783574528461</v>
      </c>
      <c r="TY90" s="5">
        <f t="shared" si="128"/>
        <v>2927.2068209105341</v>
      </c>
      <c r="TZ90" s="5">
        <f t="shared" si="128"/>
        <v>2883.2987185968759</v>
      </c>
      <c r="UA90" s="5">
        <f t="shared" si="128"/>
        <v>2840.0492378179229</v>
      </c>
      <c r="UB90" s="5">
        <f t="shared" si="128"/>
        <v>2797.4484992506541</v>
      </c>
      <c r="UC90" s="5">
        <f t="shared" si="128"/>
        <v>2755.486771761894</v>
      </c>
      <c r="UD90" s="5">
        <f t="shared" si="128"/>
        <v>2714.1544701854655</v>
      </c>
      <c r="UE90" s="5">
        <f t="shared" si="128"/>
        <v>2673.4421531326834</v>
      </c>
      <c r="UF90" s="5">
        <f t="shared" si="128"/>
        <v>2633.340520835693</v>
      </c>
      <c r="UG90" s="5">
        <f t="shared" si="128"/>
        <v>2593.8404130231575</v>
      </c>
      <c r="UH90" s="5">
        <f t="shared" si="128"/>
        <v>2554.9328068278101</v>
      </c>
      <c r="UI90" s="5">
        <f t="shared" si="128"/>
        <v>2516.6088147253927</v>
      </c>
      <c r="UJ90" s="5">
        <f t="shared" si="128"/>
        <v>2478.859682504512</v>
      </c>
      <c r="UK90" s="5">
        <f t="shared" si="128"/>
        <v>2441.6767872669443</v>
      </c>
      <c r="UL90" s="5">
        <f t="shared" si="128"/>
        <v>2405.0516354579399</v>
      </c>
      <c r="UM90" s="5">
        <f t="shared" si="128"/>
        <v>2368.9758609260707</v>
      </c>
      <c r="UN90" s="5">
        <f t="shared" si="128"/>
        <v>2333.4412230121798</v>
      </c>
      <c r="UO90" s="5">
        <f t="shared" si="128"/>
        <v>2298.4396046669972</v>
      </c>
      <c r="UP90" s="5">
        <f t="shared" si="128"/>
        <v>2263.9630105969923</v>
      </c>
      <c r="UQ90" s="5">
        <f t="shared" ref="UQ90:XB90" si="129">+UP90*(1+$AT$32)</f>
        <v>2230.0035654380372</v>
      </c>
      <c r="UR90" s="5">
        <f t="shared" si="129"/>
        <v>2196.5535119564665</v>
      </c>
      <c r="US90" s="5">
        <f t="shared" si="129"/>
        <v>2163.6052092771197</v>
      </c>
      <c r="UT90" s="5">
        <f t="shared" si="129"/>
        <v>2131.1511311379627</v>
      </c>
      <c r="UU90" s="5">
        <f t="shared" si="129"/>
        <v>2099.1838641708932</v>
      </c>
      <c r="UV90" s="5">
        <f t="shared" si="129"/>
        <v>2067.6961062083296</v>
      </c>
      <c r="UW90" s="5">
        <f t="shared" si="129"/>
        <v>2036.6806646152047</v>
      </c>
      <c r="UX90" s="5">
        <f t="shared" si="129"/>
        <v>2006.1304546459767</v>
      </c>
      <c r="UY90" s="5">
        <f t="shared" si="129"/>
        <v>1976.0384978262871</v>
      </c>
      <c r="UZ90" s="5">
        <f t="shared" si="129"/>
        <v>1946.3979203588929</v>
      </c>
      <c r="VA90" s="5">
        <f t="shared" si="129"/>
        <v>1917.2019515535094</v>
      </c>
      <c r="VB90" s="5">
        <f t="shared" si="129"/>
        <v>1888.4439222802068</v>
      </c>
      <c r="VC90" s="5">
        <f t="shared" si="129"/>
        <v>1860.1172634460038</v>
      </c>
      <c r="VD90" s="5">
        <f t="shared" si="129"/>
        <v>1832.2155044943138</v>
      </c>
      <c r="VE90" s="5">
        <f t="shared" si="129"/>
        <v>1804.7322719268991</v>
      </c>
      <c r="VF90" s="5">
        <f t="shared" si="129"/>
        <v>1777.6612878479955</v>
      </c>
      <c r="VG90" s="5">
        <f t="shared" si="129"/>
        <v>1750.9963685302755</v>
      </c>
      <c r="VH90" s="5">
        <f t="shared" si="129"/>
        <v>1724.7314230023214</v>
      </c>
      <c r="VI90" s="5">
        <f t="shared" si="129"/>
        <v>1698.8604516572866</v>
      </c>
      <c r="VJ90" s="5">
        <f t="shared" si="129"/>
        <v>1673.3775448824272</v>
      </c>
      <c r="VK90" s="5">
        <f t="shared" si="129"/>
        <v>1648.2768817091908</v>
      </c>
      <c r="VL90" s="5">
        <f t="shared" si="129"/>
        <v>1623.552728483553</v>
      </c>
      <c r="VM90" s="5">
        <f t="shared" si="129"/>
        <v>1599.1994375562997</v>
      </c>
      <c r="VN90" s="5">
        <f t="shared" si="129"/>
        <v>1575.2114459929551</v>
      </c>
      <c r="VO90" s="5">
        <f t="shared" si="129"/>
        <v>1551.5832743030608</v>
      </c>
      <c r="VP90" s="5">
        <f t="shared" si="129"/>
        <v>1528.3095251885147</v>
      </c>
      <c r="VQ90" s="5">
        <f t="shared" si="129"/>
        <v>1505.3848823106871</v>
      </c>
      <c r="VR90" s="5">
        <f t="shared" si="129"/>
        <v>1482.8041090760269</v>
      </c>
      <c r="VS90" s="5">
        <f t="shared" si="129"/>
        <v>1460.5620474398863</v>
      </c>
      <c r="VT90" s="5">
        <f t="shared" si="129"/>
        <v>1438.6536167282879</v>
      </c>
      <c r="VU90" s="5">
        <f t="shared" si="129"/>
        <v>1417.0738124773636</v>
      </c>
      <c r="VV90" s="5">
        <f t="shared" si="129"/>
        <v>1395.8177052902031</v>
      </c>
      <c r="VW90" s="5">
        <f t="shared" si="129"/>
        <v>1374.8804397108499</v>
      </c>
      <c r="VX90" s="5">
        <f t="shared" si="129"/>
        <v>1354.2572331151871</v>
      </c>
      <c r="VY90" s="5">
        <f t="shared" si="129"/>
        <v>1333.9433746184593</v>
      </c>
      <c r="VZ90" s="5">
        <f t="shared" si="129"/>
        <v>1313.9342239991824</v>
      </c>
      <c r="WA90" s="5">
        <f t="shared" si="129"/>
        <v>1294.2252106391948</v>
      </c>
      <c r="WB90" s="5">
        <f t="shared" si="129"/>
        <v>1274.8118324796069</v>
      </c>
      <c r="WC90" s="5">
        <f t="shared" si="129"/>
        <v>1255.6896549924127</v>
      </c>
      <c r="WD90" s="5">
        <f t="shared" si="129"/>
        <v>1236.8543101675264</v>
      </c>
      <c r="WE90" s="5">
        <f t="shared" si="129"/>
        <v>1218.3014955150134</v>
      </c>
      <c r="WF90" s="5">
        <f t="shared" si="129"/>
        <v>1200.0269730822881</v>
      </c>
      <c r="WG90" s="5">
        <f t="shared" si="129"/>
        <v>1182.0265684860537</v>
      </c>
      <c r="WH90" s="5">
        <f t="shared" si="129"/>
        <v>1164.2961699587629</v>
      </c>
      <c r="WI90" s="5">
        <f t="shared" si="129"/>
        <v>1146.8317274093815</v>
      </c>
      <c r="WJ90" s="5">
        <f t="shared" si="129"/>
        <v>1129.6292514982408</v>
      </c>
      <c r="WK90" s="5">
        <f t="shared" si="129"/>
        <v>1112.6848127257672</v>
      </c>
      <c r="WL90" s="5">
        <f t="shared" si="129"/>
        <v>1095.9945405348806</v>
      </c>
      <c r="WM90" s="5">
        <f t="shared" si="129"/>
        <v>1079.5546224268573</v>
      </c>
      <c r="WN90" s="5">
        <f t="shared" si="129"/>
        <v>1063.3613030904544</v>
      </c>
      <c r="WO90" s="5">
        <f t="shared" si="129"/>
        <v>1047.4108835440975</v>
      </c>
      <c r="WP90" s="5">
        <f t="shared" si="129"/>
        <v>1031.6997202909361</v>
      </c>
      <c r="WQ90" s="5">
        <f t="shared" si="129"/>
        <v>1016.224224486572</v>
      </c>
      <c r="WR90" s="5">
        <f t="shared" si="129"/>
        <v>1000.9808611192734</v>
      </c>
      <c r="WS90" s="5">
        <f t="shared" si="129"/>
        <v>985.96614820248431</v>
      </c>
      <c r="WT90" s="5">
        <f t="shared" si="129"/>
        <v>971.17665597944699</v>
      </c>
      <c r="WU90" s="5">
        <f t="shared" si="129"/>
        <v>956.60900613975525</v>
      </c>
      <c r="WV90" s="5">
        <f t="shared" si="129"/>
        <v>942.25987104765886</v>
      </c>
      <c r="WW90" s="5">
        <f t="shared" si="129"/>
        <v>928.12597298194396</v>
      </c>
      <c r="WX90" s="5">
        <f t="shared" si="129"/>
        <v>914.20408338721484</v>
      </c>
      <c r="WY90" s="5">
        <f t="shared" si="129"/>
        <v>900.49102213640663</v>
      </c>
      <c r="WZ90" s="5">
        <f t="shared" si="129"/>
        <v>886.98365680436052</v>
      </c>
      <c r="XA90" s="5">
        <f t="shared" si="129"/>
        <v>873.67890195229506</v>
      </c>
      <c r="XB90" s="5">
        <f t="shared" si="129"/>
        <v>860.57371842301063</v>
      </c>
      <c r="XC90" s="5">
        <f t="shared" ref="XC90:ZN90" si="130">+XB90*(1+$AT$32)</f>
        <v>847.66511264666542</v>
      </c>
      <c r="XD90" s="5">
        <f t="shared" si="130"/>
        <v>834.95013595696548</v>
      </c>
      <c r="XE90" s="5">
        <f t="shared" si="130"/>
        <v>822.42588391761103</v>
      </c>
      <c r="XF90" s="5">
        <f t="shared" si="130"/>
        <v>810.08949565884689</v>
      </c>
      <c r="XG90" s="5">
        <f t="shared" si="130"/>
        <v>797.93815322396415</v>
      </c>
      <c r="XH90" s="5">
        <f t="shared" si="130"/>
        <v>785.96908092560466</v>
      </c>
      <c r="XI90" s="5">
        <f t="shared" si="130"/>
        <v>774.17954471172061</v>
      </c>
      <c r="XJ90" s="5">
        <f t="shared" si="130"/>
        <v>762.5668515410448</v>
      </c>
      <c r="XK90" s="5">
        <f t="shared" si="130"/>
        <v>751.12834876792908</v>
      </c>
      <c r="XL90" s="5">
        <f t="shared" si="130"/>
        <v>739.86142353641014</v>
      </c>
      <c r="XM90" s="5">
        <f t="shared" si="130"/>
        <v>728.76350218336393</v>
      </c>
      <c r="XN90" s="5">
        <f t="shared" si="130"/>
        <v>717.8320496506135</v>
      </c>
      <c r="XO90" s="5">
        <f t="shared" si="130"/>
        <v>707.06456890585423</v>
      </c>
      <c r="XP90" s="5">
        <f t="shared" si="130"/>
        <v>696.45860037226646</v>
      </c>
      <c r="XQ90" s="5">
        <f t="shared" si="130"/>
        <v>686.01172136668242</v>
      </c>
      <c r="XR90" s="5">
        <f t="shared" si="130"/>
        <v>675.72154554618214</v>
      </c>
      <c r="XS90" s="5">
        <f t="shared" si="130"/>
        <v>665.58572236298937</v>
      </c>
      <c r="XT90" s="5">
        <f t="shared" si="130"/>
        <v>655.60193652754447</v>
      </c>
      <c r="XU90" s="5">
        <f t="shared" si="130"/>
        <v>645.76790747963128</v>
      </c>
      <c r="XV90" s="5">
        <f t="shared" si="130"/>
        <v>636.08138886743677</v>
      </c>
      <c r="XW90" s="5">
        <f t="shared" si="130"/>
        <v>626.54016803442516</v>
      </c>
      <c r="XX90" s="5">
        <f t="shared" si="130"/>
        <v>617.14206551390873</v>
      </c>
      <c r="XY90" s="5">
        <f t="shared" si="130"/>
        <v>607.88493453120009</v>
      </c>
      <c r="XZ90" s="5">
        <f t="shared" si="130"/>
        <v>598.76666051323207</v>
      </c>
      <c r="YA90" s="5">
        <f t="shared" si="130"/>
        <v>589.78516060553363</v>
      </c>
      <c r="YB90" s="5">
        <f t="shared" si="130"/>
        <v>580.93838319645067</v>
      </c>
      <c r="YC90" s="5">
        <f t="shared" si="130"/>
        <v>572.22430744850385</v>
      </c>
      <c r="YD90" s="5">
        <f t="shared" si="130"/>
        <v>563.64094283677628</v>
      </c>
      <c r="YE90" s="5">
        <f t="shared" si="130"/>
        <v>555.18632869422458</v>
      </c>
      <c r="YF90" s="5">
        <f t="shared" si="130"/>
        <v>546.85853376381124</v>
      </c>
      <c r="YG90" s="5">
        <f t="shared" si="130"/>
        <v>538.65565575735411</v>
      </c>
      <c r="YH90" s="5">
        <f t="shared" si="130"/>
        <v>530.57582092099381</v>
      </c>
      <c r="YI90" s="5">
        <f t="shared" si="130"/>
        <v>522.61718360717884</v>
      </c>
      <c r="YJ90" s="5">
        <f t="shared" si="130"/>
        <v>514.77792585307111</v>
      </c>
      <c r="YK90" s="5">
        <f t="shared" si="130"/>
        <v>507.05625696527505</v>
      </c>
      <c r="YL90" s="5">
        <f t="shared" si="130"/>
        <v>499.45041311079592</v>
      </c>
      <c r="YM90" s="5">
        <f t="shared" si="130"/>
        <v>491.958656914134</v>
      </c>
      <c r="YN90" s="5">
        <f t="shared" si="130"/>
        <v>484.57927706042199</v>
      </c>
      <c r="YO90" s="5">
        <f t="shared" si="130"/>
        <v>477.31058790451567</v>
      </c>
      <c r="YP90" s="5">
        <f t="shared" si="130"/>
        <v>470.15092908594795</v>
      </c>
      <c r="YQ90" s="5">
        <f t="shared" si="130"/>
        <v>463.0986651496587</v>
      </c>
      <c r="YR90" s="5">
        <f t="shared" si="130"/>
        <v>456.15218517241379</v>
      </c>
      <c r="YS90" s="5">
        <f t="shared" si="130"/>
        <v>449.30990239482759</v>
      </c>
      <c r="YT90" s="5">
        <f t="shared" si="130"/>
        <v>442.57025385890518</v>
      </c>
      <c r="YU90" s="5">
        <f t="shared" si="130"/>
        <v>435.93170005102161</v>
      </c>
      <c r="YV90" s="5">
        <f t="shared" si="130"/>
        <v>429.39272455025628</v>
      </c>
      <c r="YW90" s="5">
        <f t="shared" si="130"/>
        <v>422.95183368200242</v>
      </c>
      <c r="YX90" s="5">
        <f t="shared" si="130"/>
        <v>416.60755617677239</v>
      </c>
      <c r="YY90" s="5">
        <f t="shared" si="130"/>
        <v>410.35844283412081</v>
      </c>
      <c r="YZ90" s="5">
        <f t="shared" si="130"/>
        <v>404.20306619160897</v>
      </c>
      <c r="ZA90" s="5">
        <f t="shared" si="130"/>
        <v>398.14002019873482</v>
      </c>
      <c r="ZB90" s="5">
        <f t="shared" si="130"/>
        <v>392.16791989575381</v>
      </c>
      <c r="ZC90" s="5">
        <f t="shared" si="130"/>
        <v>386.2854010973175</v>
      </c>
      <c r="ZD90" s="5">
        <f t="shared" si="130"/>
        <v>380.49112008085774</v>
      </c>
      <c r="ZE90" s="5">
        <f t="shared" si="130"/>
        <v>374.78375327964488</v>
      </c>
      <c r="ZF90" s="5">
        <f t="shared" si="130"/>
        <v>369.16199698045023</v>
      </c>
      <c r="ZG90" s="5">
        <f t="shared" si="130"/>
        <v>363.62456702574349</v>
      </c>
      <c r="ZH90" s="5">
        <f t="shared" si="130"/>
        <v>358.1701985203573</v>
      </c>
      <c r="ZI90" s="5">
        <f t="shared" si="130"/>
        <v>352.79764554255195</v>
      </c>
      <c r="ZJ90" s="5">
        <f t="shared" si="130"/>
        <v>347.50568085941364</v>
      </c>
      <c r="ZK90" s="5">
        <f t="shared" si="130"/>
        <v>342.29309564652243</v>
      </c>
      <c r="ZL90" s="5">
        <f t="shared" si="130"/>
        <v>337.15869921182457</v>
      </c>
      <c r="ZM90" s="5">
        <f t="shared" si="130"/>
        <v>332.10131872364718</v>
      </c>
      <c r="ZN90" s="5">
        <f t="shared" si="130"/>
        <v>327.11979894279244</v>
      </c>
      <c r="ZO90" s="5">
        <f t="shared" ref="ZO90:ABA90" si="131">+ZN90*(1+$AT$32)</f>
        <v>322.21300195865058</v>
      </c>
      <c r="ZP90" s="5">
        <f t="shared" si="131"/>
        <v>317.37980692927084</v>
      </c>
      <c r="ZQ90" s="5">
        <f t="shared" si="131"/>
        <v>312.61910982533175</v>
      </c>
      <c r="ZR90" s="5">
        <f t="shared" si="131"/>
        <v>307.92982317795179</v>
      </c>
      <c r="ZS90" s="5">
        <f t="shared" si="131"/>
        <v>303.3108758302825</v>
      </c>
      <c r="ZT90" s="5">
        <f t="shared" si="131"/>
        <v>298.76121269282828</v>
      </c>
      <c r="ZU90" s="5">
        <f t="shared" si="131"/>
        <v>294.27979450243583</v>
      </c>
      <c r="ZV90" s="5">
        <f t="shared" si="131"/>
        <v>289.86559758489932</v>
      </c>
      <c r="ZW90" s="5">
        <f t="shared" si="131"/>
        <v>285.5176136211258</v>
      </c>
      <c r="ZX90" s="5">
        <f t="shared" si="131"/>
        <v>281.23484941680891</v>
      </c>
      <c r="ZY90" s="5">
        <f t="shared" si="131"/>
        <v>277.0163266755568</v>
      </c>
      <c r="ZZ90" s="5">
        <f t="shared" si="131"/>
        <v>272.86108177542343</v>
      </c>
      <c r="AAA90" s="5">
        <f t="shared" si="131"/>
        <v>268.76816554879207</v>
      </c>
      <c r="AAB90" s="5">
        <f t="shared" si="131"/>
        <v>264.7366430655602</v>
      </c>
      <c r="AAC90" s="5">
        <f t="shared" si="131"/>
        <v>260.76559341957682</v>
      </c>
      <c r="AAD90" s="5">
        <f t="shared" si="131"/>
        <v>256.85410951828317</v>
      </c>
      <c r="AAE90" s="5">
        <f t="shared" si="131"/>
        <v>253.00129787550893</v>
      </c>
      <c r="AAF90" s="5">
        <f t="shared" si="131"/>
        <v>249.20627840737629</v>
      </c>
      <c r="AAG90" s="5">
        <f t="shared" si="131"/>
        <v>245.46818423126564</v>
      </c>
      <c r="AAH90" s="5">
        <f t="shared" si="131"/>
        <v>241.78616146779666</v>
      </c>
      <c r="AAI90" s="5">
        <f t="shared" si="131"/>
        <v>238.1593690457797</v>
      </c>
      <c r="AAJ90" s="5">
        <f t="shared" si="131"/>
        <v>234.58697851009299</v>
      </c>
      <c r="AAK90" s="5">
        <f t="shared" si="131"/>
        <v>231.0681738324416</v>
      </c>
      <c r="AAL90" s="5">
        <f t="shared" si="131"/>
        <v>227.60215122495498</v>
      </c>
      <c r="AAM90" s="5">
        <f t="shared" si="131"/>
        <v>224.18811895658067</v>
      </c>
      <c r="AAN90" s="5">
        <f t="shared" si="131"/>
        <v>220.82529717223196</v>
      </c>
      <c r="AAO90" s="5">
        <f t="shared" si="131"/>
        <v>217.51291771464847</v>
      </c>
      <c r="AAP90" s="5">
        <f t="shared" si="131"/>
        <v>214.25022394892875</v>
      </c>
      <c r="AAQ90" s="5">
        <f t="shared" si="131"/>
        <v>211.0364705896948</v>
      </c>
      <c r="AAR90" s="5">
        <f t="shared" si="131"/>
        <v>207.87092353084938</v>
      </c>
      <c r="AAS90" s="5">
        <f t="shared" si="131"/>
        <v>204.75285967788665</v>
      </c>
      <c r="AAT90" s="5">
        <f t="shared" si="131"/>
        <v>201.68156678271833</v>
      </c>
      <c r="AAU90" s="5">
        <f t="shared" si="131"/>
        <v>198.65634328097755</v>
      </c>
      <c r="AAV90" s="5">
        <f t="shared" si="131"/>
        <v>195.67649813176288</v>
      </c>
      <c r="AAW90" s="5">
        <f t="shared" si="131"/>
        <v>192.74135065978643</v>
      </c>
      <c r="AAX90" s="5">
        <f t="shared" si="131"/>
        <v>189.85023039988963</v>
      </c>
      <c r="AAY90" s="5">
        <f t="shared" si="131"/>
        <v>187.00247694389128</v>
      </c>
      <c r="AAZ90" s="5">
        <f t="shared" si="131"/>
        <v>184.1974397897329</v>
      </c>
      <c r="ABA90" s="5">
        <f t="shared" si="131"/>
        <v>181.4344781928869</v>
      </c>
    </row>
    <row r="91" spans="2:729" s="11" customFormat="1" x14ac:dyDescent="0.25">
      <c r="AD91" s="5">
        <f>AD11*AD92</f>
        <v>1724800.0000000002</v>
      </c>
      <c r="AE91" s="5">
        <f t="shared" ref="AE91" si="132">AE11*AE92</f>
        <v>2119900</v>
      </c>
      <c r="AF91" s="5">
        <f t="shared" ref="AF91" si="133">AF11*AF92</f>
        <v>2496307.9529564148</v>
      </c>
      <c r="AG91" s="5">
        <f t="shared" ref="AG91" si="134">AG11*AG92</f>
        <v>2855526.6673868429</v>
      </c>
      <c r="AH91" s="5">
        <f t="shared" ref="AH91" si="135">AH11*AH92</f>
        <v>3185515.0136206057</v>
      </c>
      <c r="AI91" s="5">
        <f t="shared" ref="AI91" si="136">AI11*AI92</f>
        <v>3516987.7602566653</v>
      </c>
      <c r="AJ91" s="5">
        <f t="shared" ref="AJ91" si="137">AJ11*AJ92</f>
        <v>3842788.7173204413</v>
      </c>
      <c r="AK91" s="5">
        <f t="shared" ref="AK91" si="138">AK11*AK92</f>
        <v>4155184.8353990791</v>
      </c>
      <c r="AL91" s="5">
        <f t="shared" ref="AL91" si="139">AL11*AL92</f>
        <v>4199134.8190009296</v>
      </c>
      <c r="AM91" s="5">
        <f t="shared" ref="AM91" si="140">AM11*AM92</f>
        <v>4325948.6905347584</v>
      </c>
    </row>
    <row r="92" spans="2:729" s="9" customFormat="1" x14ac:dyDescent="0.25">
      <c r="B92" s="9" t="s">
        <v>95</v>
      </c>
      <c r="C92" s="9">
        <f t="shared" ref="C92:N92" si="141">C90/C11</f>
        <v>9.4063354603463989E-2</v>
      </c>
      <c r="D92" s="9">
        <f t="shared" si="141"/>
        <v>0.16785187188325021</v>
      </c>
      <c r="E92" s="9">
        <f t="shared" si="141"/>
        <v>0.38197264086741756</v>
      </c>
      <c r="F92" s="9">
        <f t="shared" si="141"/>
        <v>0.28788262779816376</v>
      </c>
      <c r="G92" s="9">
        <f t="shared" si="141"/>
        <v>0.16699854260949604</v>
      </c>
      <c r="H92" s="9">
        <f t="shared" si="141"/>
        <v>0.26814292856401695</v>
      </c>
      <c r="I92" s="9">
        <f t="shared" si="141"/>
        <v>0.46661923695346508</v>
      </c>
      <c r="J92" s="9">
        <f t="shared" si="141"/>
        <v>0.3651181081487111</v>
      </c>
      <c r="K92" s="9">
        <f t="shared" si="141"/>
        <v>6.2588137038730202E-2</v>
      </c>
      <c r="L92" s="9">
        <f t="shared" si="141"/>
        <v>0.26628748747534908</v>
      </c>
      <c r="M92" s="9">
        <f t="shared" si="141"/>
        <v>0.47048534844433176</v>
      </c>
      <c r="N92" s="9">
        <f t="shared" si="141"/>
        <v>0.26028068168027602</v>
      </c>
      <c r="Z92" s="9">
        <f>Z90/Z11</f>
        <v>0.26774619837724173</v>
      </c>
      <c r="AA92" s="9">
        <f>AA90/AA11</f>
        <v>0.23834317825797033</v>
      </c>
      <c r="AB92" s="9">
        <f>AB90/AB11</f>
        <v>0.32477883395207136</v>
      </c>
      <c r="AC92" s="9">
        <f>AC90/AC11</f>
        <v>0.27142099482599674</v>
      </c>
      <c r="AD92" s="9">
        <v>0.28000000000000003</v>
      </c>
      <c r="AE92" s="9">
        <v>0.28999999999999998</v>
      </c>
      <c r="AF92" s="9">
        <v>0.3</v>
      </c>
      <c r="AG92" s="9">
        <v>0.31</v>
      </c>
      <c r="AH92" s="9">
        <v>0.32</v>
      </c>
      <c r="AI92" s="9">
        <v>0.33</v>
      </c>
      <c r="AJ92" s="9">
        <v>0.34</v>
      </c>
      <c r="AK92" s="9">
        <v>0.35</v>
      </c>
      <c r="AL92" s="9">
        <v>0.34</v>
      </c>
      <c r="AM92" s="9">
        <v>0.34</v>
      </c>
    </row>
    <row r="93" spans="2:729" s="9" customFormat="1" x14ac:dyDescent="0.25">
      <c r="B93" s="9" t="s">
        <v>141</v>
      </c>
      <c r="C93" s="9">
        <f t="shared" ref="C93:M93" si="142">C89/C26</f>
        <v>0.1782445676250986</v>
      </c>
      <c r="D93" s="9">
        <f t="shared" si="142"/>
        <v>3.5212188298048515E-2</v>
      </c>
      <c r="E93" s="9">
        <f t="shared" si="142"/>
        <v>1.9506360769816246E-2</v>
      </c>
      <c r="F93" s="9">
        <f t="shared" si="142"/>
        <v>1.6494354509590532E-2</v>
      </c>
      <c r="G93" s="9">
        <f t="shared" si="142"/>
        <v>2.1712628713457215E-2</v>
      </c>
      <c r="H93" s="9">
        <f t="shared" si="142"/>
        <v>2.8141589184511307E-2</v>
      </c>
      <c r="I93" s="9">
        <f t="shared" si="142"/>
        <v>4.5248090289725415E-2</v>
      </c>
      <c r="J93" s="9">
        <f t="shared" si="142"/>
        <v>7.6154864752926904E-2</v>
      </c>
      <c r="K93" s="9">
        <f t="shared" si="142"/>
        <v>3.0801201802704056E-2</v>
      </c>
      <c r="L93" s="9">
        <f t="shared" si="142"/>
        <v>3.652196364233825E-2</v>
      </c>
      <c r="M93" s="9">
        <f t="shared" si="142"/>
        <v>5.4935852086958184E-2</v>
      </c>
      <c r="N93" s="9">
        <f>N89/N26</f>
        <v>5.7878223014669272E-2</v>
      </c>
      <c r="Z93" s="9">
        <f t="shared" ref="Z93:AE93" si="143">Z89/Z26</f>
        <v>0.18407066260535759</v>
      </c>
      <c r="AA93" s="9">
        <f t="shared" si="143"/>
        <v>5.2111202527145482E-2</v>
      </c>
      <c r="AB93" s="9">
        <f t="shared" si="143"/>
        <v>4.2729033891257845E-2</v>
      </c>
      <c r="AC93" s="9">
        <f t="shared" si="143"/>
        <v>4.5955458555553851E-2</v>
      </c>
      <c r="AD93" s="9">
        <f t="shared" si="143"/>
        <v>0.05</v>
      </c>
      <c r="AE93" s="9">
        <f t="shared" si="143"/>
        <v>0.05</v>
      </c>
      <c r="AF93" s="9">
        <v>0.05</v>
      </c>
      <c r="AG93" s="9">
        <v>0.05</v>
      </c>
      <c r="AH93" s="9">
        <v>0.05</v>
      </c>
      <c r="AI93" s="9">
        <v>0.05</v>
      </c>
      <c r="AJ93" s="9">
        <v>0.05</v>
      </c>
      <c r="AK93" s="9">
        <v>0.05</v>
      </c>
      <c r="AL93" s="9">
        <v>0.05</v>
      </c>
      <c r="AM93" s="9">
        <v>0.05</v>
      </c>
    </row>
    <row r="94" spans="2:729" s="9" customFormat="1" x14ac:dyDescent="0.25">
      <c r="B94" s="9" t="s">
        <v>139</v>
      </c>
      <c r="G94" s="9">
        <f t="shared" ref="G94:U94" si="144">G90/C90-1</f>
        <v>1.1500408184762856</v>
      </c>
      <c r="H94" s="9">
        <f t="shared" si="144"/>
        <v>0.94054681366692838</v>
      </c>
      <c r="I94" s="9">
        <f t="shared" si="144"/>
        <v>0.5868027156412472</v>
      </c>
      <c r="J94" s="9">
        <f t="shared" si="144"/>
        <v>0.5282559644904754</v>
      </c>
      <c r="K94" s="9">
        <f t="shared" si="144"/>
        <v>-0.54472187008151285</v>
      </c>
      <c r="L94" s="9">
        <f t="shared" si="144"/>
        <v>0.20512134974548046</v>
      </c>
      <c r="M94" s="9">
        <f t="shared" si="144"/>
        <v>0.1503865770360624</v>
      </c>
      <c r="N94" s="9">
        <f t="shared" si="144"/>
        <v>-0.12790562585317211</v>
      </c>
      <c r="O94" s="9">
        <f t="shared" si="144"/>
        <v>1.5826932648202203</v>
      </c>
      <c r="P94" s="9">
        <f t="shared" si="144"/>
        <v>0.33987605416718969</v>
      </c>
      <c r="Q94" s="9">
        <f t="shared" si="144"/>
        <v>4.206387128611988E-3</v>
      </c>
      <c r="R94" s="9">
        <f t="shared" si="144"/>
        <v>0.32660594252854414</v>
      </c>
      <c r="S94" s="9">
        <f t="shared" si="144"/>
        <v>0.265625</v>
      </c>
      <c r="T94" s="9">
        <f t="shared" si="144"/>
        <v>0.20261437908496727</v>
      </c>
      <c r="U94" s="9">
        <f t="shared" si="144"/>
        <v>0.18720748829953204</v>
      </c>
      <c r="V94" s="9">
        <f>V90/R90-1</f>
        <v>0.29497907949790791</v>
      </c>
      <c r="AA94" s="9">
        <f t="shared" ref="AA94:AD94" si="145">AA90/Z90-1</f>
        <v>0.12258864884384391</v>
      </c>
      <c r="AB94" s="9">
        <f t="shared" si="145"/>
        <v>0.68029779490752662</v>
      </c>
      <c r="AC94" s="9">
        <f t="shared" si="145"/>
        <v>-2.7550505728335395E-5</v>
      </c>
      <c r="AD94" s="9">
        <f t="shared" si="145"/>
        <v>0.20906252936152425</v>
      </c>
      <c r="AE94" s="9">
        <f>AE90/AD90-1</f>
        <v>0.22811835370556488</v>
      </c>
      <c r="AF94" s="9">
        <v>0.18</v>
      </c>
      <c r="AG94" s="9">
        <v>0.15</v>
      </c>
      <c r="AH94" s="9">
        <v>0.13</v>
      </c>
      <c r="AI94" s="9">
        <v>0.1</v>
      </c>
      <c r="AJ94" s="9">
        <v>8.5000000000000006E-2</v>
      </c>
      <c r="AK94" s="9">
        <v>0.05</v>
      </c>
      <c r="AL94" s="9">
        <v>0.03</v>
      </c>
      <c r="AM94" s="9">
        <v>0.01</v>
      </c>
    </row>
    <row r="95" spans="2:729" s="9" customFormat="1" x14ac:dyDescent="0.25">
      <c r="B95" s="9" t="s">
        <v>140</v>
      </c>
      <c r="G95" s="9">
        <f t="shared" ref="G95" si="146">G89/C89-1</f>
        <v>-0.77758244422890399</v>
      </c>
      <c r="H95" s="9">
        <f t="shared" ref="H95" si="147">H89/D89-1</f>
        <v>0.320049504950495</v>
      </c>
      <c r="I95" s="9">
        <f t="shared" ref="I95" si="148">I89/E89-1</f>
        <v>2.9093273875882573</v>
      </c>
      <c r="J95" s="9">
        <f>J89/F89-1</f>
        <v>4.3835051546391757</v>
      </c>
      <c r="K95" s="9">
        <f t="shared" ref="K95" si="149">K89/G89-1</f>
        <v>0.67647860452439357</v>
      </c>
      <c r="L95" s="9">
        <f t="shared" ref="L95" si="150">L89/H89-1</f>
        <v>0.75060941308831808</v>
      </c>
      <c r="M95" s="9">
        <f t="shared" ref="M95" si="151">M89/I89-1</f>
        <v>0.36558935361216727</v>
      </c>
      <c r="N95" s="9">
        <f t="shared" ref="N95" si="152">N89/J89-1</f>
        <v>0.14875526618153967</v>
      </c>
      <c r="AA95" s="9">
        <f>AA89/Z89-1</f>
        <v>-0.63656971225365888</v>
      </c>
      <c r="AB95" s="9">
        <f t="shared" ref="AB95:AM95" si="153">AB89/AA89-1</f>
        <v>0.26995945735225324</v>
      </c>
      <c r="AC95" s="9">
        <f t="shared" si="153"/>
        <v>0.37673818952021354</v>
      </c>
      <c r="AD95" s="9">
        <f t="shared" si="153"/>
        <v>0.30479375696766997</v>
      </c>
      <c r="AE95" s="9">
        <f t="shared" si="153"/>
        <v>0.24914559125085445</v>
      </c>
      <c r="AF95" s="9">
        <f t="shared" si="153"/>
        <v>0.13830732008956459</v>
      </c>
      <c r="AG95" s="9">
        <f t="shared" si="153"/>
        <v>0.10699999999999998</v>
      </c>
      <c r="AH95" s="9">
        <f t="shared" si="153"/>
        <v>8.0700000000000216E-2</v>
      </c>
      <c r="AI95" s="9">
        <f t="shared" si="153"/>
        <v>7.0600000000000218E-2</v>
      </c>
      <c r="AJ95" s="9">
        <f t="shared" si="153"/>
        <v>6.0499999999999998E-2</v>
      </c>
      <c r="AK95" s="9">
        <f t="shared" si="153"/>
        <v>5.04E-2</v>
      </c>
      <c r="AL95" s="9">
        <f t="shared" si="153"/>
        <v>4.0300000000000002E-2</v>
      </c>
      <c r="AM95" s="9">
        <f t="shared" si="153"/>
        <v>3.0200000000000227E-2</v>
      </c>
    </row>
    <row r="96" spans="2:729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Z96" s="1"/>
      <c r="AA96" s="1"/>
      <c r="AB96" s="1"/>
      <c r="AC96" s="1"/>
    </row>
    <row r="98" spans="2:29" x14ac:dyDescent="0.25">
      <c r="B98" t="s">
        <v>63</v>
      </c>
      <c r="C98" s="1">
        <v>409921</v>
      </c>
      <c r="D98" s="1">
        <v>429709</v>
      </c>
      <c r="E98" s="1">
        <v>455044</v>
      </c>
      <c r="F98" s="1">
        <v>470492</v>
      </c>
      <c r="G98" s="1">
        <v>489528</v>
      </c>
      <c r="H98" s="1">
        <v>514434</v>
      </c>
      <c r="I98" s="1">
        <v>564387</v>
      </c>
      <c r="J98" s="1">
        <v>557085</v>
      </c>
      <c r="K98" s="1">
        <v>584499</v>
      </c>
      <c r="L98" s="1">
        <v>619165</v>
      </c>
      <c r="M98" s="1">
        <v>637316</v>
      </c>
      <c r="N98" s="1">
        <v>675921</v>
      </c>
      <c r="O98" s="1"/>
      <c r="P98" s="1"/>
      <c r="Q98" s="1"/>
      <c r="Z98" s="1">
        <v>1408868</v>
      </c>
      <c r="AA98" s="1">
        <v>1765166</v>
      </c>
      <c r="AB98" s="1">
        <v>2125434</v>
      </c>
      <c r="AC98" s="1">
        <v>2516901</v>
      </c>
    </row>
    <row r="99" spans="2:29" x14ac:dyDescent="0.25">
      <c r="B99" t="s">
        <v>64</v>
      </c>
      <c r="C99" s="1">
        <v>304278</v>
      </c>
      <c r="D99" s="1">
        <v>343770</v>
      </c>
      <c r="E99" s="1">
        <v>356243</v>
      </c>
      <c r="F99" s="1">
        <v>362448</v>
      </c>
      <c r="G99" s="1">
        <v>378006</v>
      </c>
      <c r="H99" s="1">
        <v>425292</v>
      </c>
      <c r="I99" s="1">
        <v>500005</v>
      </c>
      <c r="J99" s="1">
        <v>447607</v>
      </c>
      <c r="K99" s="1">
        <v>469269</v>
      </c>
      <c r="L99" s="1">
        <v>525482</v>
      </c>
      <c r="M99" s="1">
        <v>571553</v>
      </c>
      <c r="N99" s="1">
        <v>557667</v>
      </c>
      <c r="O99" s="1"/>
      <c r="P99" s="1"/>
      <c r="Q99" s="1"/>
      <c r="Z99" s="1">
        <v>1077338</v>
      </c>
      <c r="AA99" s="1">
        <v>1366739</v>
      </c>
      <c r="AB99" s="1">
        <v>1750910</v>
      </c>
      <c r="AC99" s="1">
        <v>2123971</v>
      </c>
    </row>
    <row r="100" spans="2:29" x14ac:dyDescent="0.25">
      <c r="B100" t="s">
        <v>65</v>
      </c>
      <c r="C100" s="1">
        <v>93193</v>
      </c>
      <c r="D100" s="1">
        <v>99225</v>
      </c>
      <c r="E100" s="1">
        <v>104166</v>
      </c>
      <c r="F100" s="1">
        <v>106158</v>
      </c>
      <c r="G100" s="1">
        <v>110241</v>
      </c>
      <c r="H100" s="1">
        <v>120384</v>
      </c>
      <c r="I100" s="1">
        <v>124736</v>
      </c>
      <c r="J100" s="1">
        <v>126898</v>
      </c>
      <c r="K100" s="1">
        <v>134013</v>
      </c>
      <c r="L100" s="1">
        <v>141816</v>
      </c>
      <c r="M100" s="1">
        <v>147847</v>
      </c>
      <c r="N100" s="1">
        <v>150756</v>
      </c>
      <c r="O100" s="1"/>
      <c r="P100" s="1"/>
      <c r="Q100" s="1"/>
      <c r="Z100" s="1">
        <v>316676</v>
      </c>
      <c r="AA100" s="1">
        <v>402742</v>
      </c>
      <c r="AB100" s="1">
        <v>482259</v>
      </c>
      <c r="AC100" s="1">
        <v>574432</v>
      </c>
    </row>
    <row r="101" spans="2:29" s="3" customFormat="1" x14ac:dyDescent="0.25">
      <c r="B101" s="7" t="s">
        <v>55</v>
      </c>
      <c r="C101" s="5">
        <f>SUM(C98:C100)</f>
        <v>807392</v>
      </c>
      <c r="D101" s="5">
        <f t="shared" ref="D101:V101" si="154">SUM(D98:D100)</f>
        <v>872704</v>
      </c>
      <c r="E101" s="5">
        <f t="shared" si="154"/>
        <v>915453</v>
      </c>
      <c r="F101" s="5">
        <f t="shared" si="154"/>
        <v>939098</v>
      </c>
      <c r="G101" s="5">
        <f t="shared" si="154"/>
        <v>977775</v>
      </c>
      <c r="H101" s="5">
        <f t="shared" si="154"/>
        <v>1060110</v>
      </c>
      <c r="I101" s="5">
        <f t="shared" si="154"/>
        <v>1189128</v>
      </c>
      <c r="J101" s="5">
        <f t="shared" si="154"/>
        <v>1131590</v>
      </c>
      <c r="K101" s="5">
        <f t="shared" si="154"/>
        <v>1187781</v>
      </c>
      <c r="L101" s="5">
        <f t="shared" si="154"/>
        <v>1286463</v>
      </c>
      <c r="M101" s="5">
        <f t="shared" si="154"/>
        <v>1356716</v>
      </c>
      <c r="N101" s="5">
        <f t="shared" si="154"/>
        <v>1384344</v>
      </c>
      <c r="O101" s="5">
        <f t="shared" si="154"/>
        <v>0</v>
      </c>
      <c r="P101" s="5">
        <f t="shared" si="154"/>
        <v>0</v>
      </c>
      <c r="Q101" s="5">
        <f t="shared" si="154"/>
        <v>0</v>
      </c>
      <c r="R101" s="5">
        <f t="shared" si="154"/>
        <v>0</v>
      </c>
      <c r="S101" s="5">
        <f t="shared" si="154"/>
        <v>0</v>
      </c>
      <c r="T101" s="5">
        <f t="shared" si="154"/>
        <v>0</v>
      </c>
      <c r="U101" s="5">
        <f t="shared" si="154"/>
        <v>0</v>
      </c>
      <c r="V101" s="5">
        <f t="shared" si="154"/>
        <v>0</v>
      </c>
      <c r="Z101" s="5">
        <f t="shared" ref="Z101:AC101" si="155">SUM(Z98:Z100)</f>
        <v>2802882</v>
      </c>
      <c r="AA101" s="5">
        <f t="shared" si="155"/>
        <v>3534647</v>
      </c>
      <c r="AB101" s="5">
        <f t="shared" si="155"/>
        <v>4358603</v>
      </c>
      <c r="AC101" s="5">
        <f t="shared" si="155"/>
        <v>5215304</v>
      </c>
    </row>
    <row r="103" spans="2:29" s="9" customFormat="1" x14ac:dyDescent="0.25">
      <c r="B103" s="9" t="s">
        <v>70</v>
      </c>
      <c r="G103" s="9">
        <f t="shared" ref="G103:M103" si="156">G98/C98-1</f>
        <v>0.19420083381919939</v>
      </c>
      <c r="H103" s="9">
        <f t="shared" si="156"/>
        <v>0.19716831623261322</v>
      </c>
      <c r="I103" s="9">
        <f t="shared" si="156"/>
        <v>0.24029104877770058</v>
      </c>
      <c r="J103" s="9">
        <f t="shared" si="156"/>
        <v>0.18404776276748591</v>
      </c>
      <c r="K103" s="9">
        <f t="shared" si="156"/>
        <v>0.19400524586949053</v>
      </c>
      <c r="L103" s="9">
        <f t="shared" si="156"/>
        <v>0.20358491079516527</v>
      </c>
      <c r="M103" s="9">
        <f t="shared" si="156"/>
        <v>0.12921807199669733</v>
      </c>
      <c r="N103" s="9">
        <f>N98/J98-1</f>
        <v>0.21331753682113153</v>
      </c>
      <c r="AA103" s="9">
        <f t="shared" ref="AA103:AC103" si="157">AA98/Z98-1</f>
        <v>0.25289665178001064</v>
      </c>
      <c r="AB103" s="9">
        <f t="shared" si="157"/>
        <v>0.20409865134497274</v>
      </c>
      <c r="AC103" s="9">
        <f t="shared" si="157"/>
        <v>0.18418214821067136</v>
      </c>
    </row>
    <row r="104" spans="2:29" s="9" customFormat="1" x14ac:dyDescent="0.25">
      <c r="B104" s="9" t="s">
        <v>69</v>
      </c>
      <c r="G104" s="9">
        <f t="shared" ref="G104:N104" si="158">G99/C99-1</f>
        <v>0.24230473448622636</v>
      </c>
      <c r="H104" s="9">
        <f t="shared" si="158"/>
        <v>0.23714111178985942</v>
      </c>
      <c r="I104" s="9">
        <f t="shared" si="158"/>
        <v>0.4035503855514353</v>
      </c>
      <c r="J104" s="9">
        <f t="shared" si="158"/>
        <v>0.2349550832119367</v>
      </c>
      <c r="K104" s="9">
        <f t="shared" si="158"/>
        <v>0.24143267567181481</v>
      </c>
      <c r="L104" s="9">
        <f t="shared" si="158"/>
        <v>0.23557931962040191</v>
      </c>
      <c r="M104" s="9">
        <f t="shared" si="158"/>
        <v>0.14309456905430951</v>
      </c>
      <c r="N104" s="9">
        <f t="shared" si="158"/>
        <v>0.24588534138206053</v>
      </c>
      <c r="AA104" s="9">
        <f t="shared" ref="AA104:AC104" si="159">AA99/Z99-1</f>
        <v>0.26862600223885158</v>
      </c>
      <c r="AB104" s="9">
        <f t="shared" si="159"/>
        <v>0.28108585472427428</v>
      </c>
      <c r="AC104" s="9">
        <f t="shared" si="159"/>
        <v>0.21306691948758072</v>
      </c>
    </row>
    <row r="105" spans="2:29" s="9" customFormat="1" x14ac:dyDescent="0.25">
      <c r="B105" s="9" t="s">
        <v>67</v>
      </c>
      <c r="G105" s="9">
        <f t="shared" ref="G105:N105" si="160">G100/C100-1</f>
        <v>0.18293219447812614</v>
      </c>
      <c r="H105" s="9">
        <f t="shared" si="160"/>
        <v>0.21324263038548752</v>
      </c>
      <c r="I105" s="9">
        <f t="shared" si="160"/>
        <v>0.19747326382888852</v>
      </c>
      <c r="J105" s="9">
        <f t="shared" si="160"/>
        <v>0.19536916671376625</v>
      </c>
      <c r="K105" s="9">
        <f t="shared" si="160"/>
        <v>0.21563665061093418</v>
      </c>
      <c r="L105" s="9">
        <f t="shared" si="160"/>
        <v>0.17803030303030298</v>
      </c>
      <c r="M105" s="9">
        <f t="shared" si="160"/>
        <v>0.18527930990251407</v>
      </c>
      <c r="N105" s="9">
        <f t="shared" si="160"/>
        <v>0.18800926728553646</v>
      </c>
      <c r="AA105" s="9">
        <f t="shared" ref="AA105:AB105" si="161">AA100/Z100-1</f>
        <v>0.27177935808207754</v>
      </c>
      <c r="AB105" s="9">
        <f t="shared" si="161"/>
        <v>0.19743905527608252</v>
      </c>
      <c r="AC105" s="9">
        <f>AC100/AB100-1</f>
        <v>0.19112758911705119</v>
      </c>
    </row>
    <row r="106" spans="2:29" s="9" customFormat="1" x14ac:dyDescent="0.25"/>
    <row r="107" spans="2:29" s="9" customFormat="1" x14ac:dyDescent="0.25">
      <c r="B107" s="9" t="s">
        <v>71</v>
      </c>
      <c r="C107" s="9">
        <f t="shared" ref="C107:N107" si="162">C98/C$101</f>
        <v>0.5077100095121081</v>
      </c>
      <c r="D107" s="9">
        <f t="shared" si="162"/>
        <v>0.49238802618069816</v>
      </c>
      <c r="E107" s="9">
        <f t="shared" si="162"/>
        <v>0.49706975672153569</v>
      </c>
      <c r="F107" s="9">
        <f t="shared" si="162"/>
        <v>0.50100415505091056</v>
      </c>
      <c r="G107" s="9">
        <f t="shared" si="162"/>
        <v>0.50065505867914395</v>
      </c>
      <c r="H107" s="9">
        <f t="shared" si="162"/>
        <v>0.48526473667826925</v>
      </c>
      <c r="I107" s="9">
        <f t="shared" si="162"/>
        <v>0.4746225805800553</v>
      </c>
      <c r="J107" s="9">
        <f t="shared" si="162"/>
        <v>0.49230286587898442</v>
      </c>
      <c r="K107" s="9">
        <f t="shared" si="162"/>
        <v>0.49209323941029531</v>
      </c>
      <c r="L107" s="9">
        <f t="shared" si="162"/>
        <v>0.48129250510896932</v>
      </c>
      <c r="M107" s="9">
        <f t="shared" si="162"/>
        <v>0.46974901158385396</v>
      </c>
      <c r="N107" s="9">
        <f t="shared" si="162"/>
        <v>0.48826086579636274</v>
      </c>
      <c r="Z107" s="9">
        <f t="shared" ref="Z107:AC107" si="163">Z98/Z$101</f>
        <v>0.50264977262688904</v>
      </c>
      <c r="AA107" s="9">
        <f t="shared" si="163"/>
        <v>0.4993896137294615</v>
      </c>
      <c r="AB107" s="9">
        <f t="shared" si="163"/>
        <v>0.4876411088598801</v>
      </c>
      <c r="AC107" s="9">
        <f t="shared" si="163"/>
        <v>0.48259909681199792</v>
      </c>
    </row>
    <row r="108" spans="2:29" s="9" customFormat="1" x14ac:dyDescent="0.25">
      <c r="B108" s="9" t="s">
        <v>72</v>
      </c>
      <c r="C108" s="9">
        <f t="shared" ref="C108:M108" si="164">C99/C$101</f>
        <v>0.37686526495184497</v>
      </c>
      <c r="D108" s="9">
        <f t="shared" si="164"/>
        <v>0.3939136293634497</v>
      </c>
      <c r="E108" s="9">
        <f t="shared" si="164"/>
        <v>0.38914395386764805</v>
      </c>
      <c r="F108" s="9">
        <f t="shared" si="164"/>
        <v>0.3859533296844419</v>
      </c>
      <c r="G108" s="9">
        <f t="shared" si="164"/>
        <v>0.38659814374472656</v>
      </c>
      <c r="H108" s="9">
        <f t="shared" si="164"/>
        <v>0.40117723632453234</v>
      </c>
      <c r="I108" s="9">
        <f t="shared" si="164"/>
        <v>0.42048038562711498</v>
      </c>
      <c r="J108" s="9">
        <f t="shared" si="164"/>
        <v>0.39555581085021962</v>
      </c>
      <c r="K108" s="9">
        <f t="shared" si="164"/>
        <v>0.3950804062365032</v>
      </c>
      <c r="L108" s="9">
        <f t="shared" si="164"/>
        <v>0.40847035631805967</v>
      </c>
      <c r="M108" s="9">
        <f t="shared" si="164"/>
        <v>0.42127681843510356</v>
      </c>
      <c r="N108" s="9">
        <f t="shared" ref="N108:N109" si="165">N99/N$101</f>
        <v>0.40283845633744214</v>
      </c>
      <c r="Z108" s="9">
        <f t="shared" ref="Z108:AC108" si="166">Z99/Z$101</f>
        <v>0.38436794699170351</v>
      </c>
      <c r="AA108" s="9">
        <f t="shared" si="166"/>
        <v>0.38666916385143973</v>
      </c>
      <c r="AB108" s="9">
        <f t="shared" si="166"/>
        <v>0.40171357657487961</v>
      </c>
      <c r="AC108" s="9">
        <f t="shared" si="166"/>
        <v>0.40725737176586446</v>
      </c>
    </row>
    <row r="109" spans="2:29" s="9" customFormat="1" x14ac:dyDescent="0.25">
      <c r="B109" s="9" t="s">
        <v>68</v>
      </c>
      <c r="C109" s="9">
        <f t="shared" ref="C109:M109" si="167">C100/C$101</f>
        <v>0.11542472553604692</v>
      </c>
      <c r="D109" s="9">
        <f t="shared" si="167"/>
        <v>0.11369834445585215</v>
      </c>
      <c r="E109" s="9">
        <f t="shared" si="167"/>
        <v>0.11378628941081628</v>
      </c>
      <c r="F109" s="9">
        <f t="shared" si="167"/>
        <v>0.11304251526464756</v>
      </c>
      <c r="G109" s="9">
        <f t="shared" si="167"/>
        <v>0.11274679757612947</v>
      </c>
      <c r="H109" s="9">
        <f t="shared" si="167"/>
        <v>0.1135580269971984</v>
      </c>
      <c r="I109" s="9">
        <f t="shared" si="167"/>
        <v>0.10489703379282971</v>
      </c>
      <c r="J109" s="9">
        <f t="shared" si="167"/>
        <v>0.11214132327079596</v>
      </c>
      <c r="K109" s="9">
        <f t="shared" si="167"/>
        <v>0.11282635435320147</v>
      </c>
      <c r="L109" s="9">
        <f t="shared" si="167"/>
        <v>0.110237138572971</v>
      </c>
      <c r="M109" s="9">
        <f t="shared" si="167"/>
        <v>0.10897416998104247</v>
      </c>
      <c r="N109" s="9">
        <f t="shared" si="165"/>
        <v>0.1089006778661951</v>
      </c>
      <c r="Z109" s="9">
        <f t="shared" ref="Z109:AC109" si="168">Z100/Z$101</f>
        <v>0.11298228038140742</v>
      </c>
      <c r="AA109" s="9">
        <f t="shared" si="168"/>
        <v>0.11394122241909871</v>
      </c>
      <c r="AB109" s="9">
        <f t="shared" si="168"/>
        <v>0.11064531456524028</v>
      </c>
      <c r="AC109" s="9">
        <f t="shared" si="168"/>
        <v>0.11014353142213762</v>
      </c>
    </row>
    <row r="112" spans="2:29" x14ac:dyDescent="0.25">
      <c r="B112" s="9" t="s">
        <v>66</v>
      </c>
      <c r="C112" s="1">
        <v>9802</v>
      </c>
      <c r="D112" s="1">
        <v>10787</v>
      </c>
      <c r="E112" s="1">
        <v>11067</v>
      </c>
      <c r="F112" s="1">
        <v>10726</v>
      </c>
      <c r="G112" s="1">
        <v>11151</v>
      </c>
      <c r="H112" s="1">
        <v>11423</v>
      </c>
      <c r="I112" s="1">
        <v>11902</v>
      </c>
      <c r="J112" s="1">
        <v>12157</v>
      </c>
      <c r="K112" s="1">
        <v>12501</v>
      </c>
      <c r="L112" s="1">
        <v>12750</v>
      </c>
      <c r="M112" s="1">
        <v>13370</v>
      </c>
      <c r="N112" s="1">
        <v>13813</v>
      </c>
      <c r="O112" s="1"/>
      <c r="P112" s="1"/>
      <c r="Q112" s="1"/>
      <c r="Z112" s="1">
        <v>8813</v>
      </c>
      <c r="AA112" s="1">
        <v>10726</v>
      </c>
      <c r="AB112" s="1">
        <v>12157</v>
      </c>
      <c r="AC112" s="1">
        <v>13813</v>
      </c>
    </row>
    <row r="113" spans="2:29" s="9" customFormat="1" x14ac:dyDescent="0.25">
      <c r="B113" s="9" t="s">
        <v>73</v>
      </c>
      <c r="D113" s="9">
        <f t="shared" ref="D113:M113" si="169">D112/C112-1</f>
        <v>0.10048969598041224</v>
      </c>
      <c r="E113" s="9">
        <f t="shared" si="169"/>
        <v>2.59571706683972E-2</v>
      </c>
      <c r="F113" s="9">
        <f t="shared" si="169"/>
        <v>-3.081232492997199E-2</v>
      </c>
      <c r="G113" s="9">
        <f t="shared" si="169"/>
        <v>3.9623345142643984E-2</v>
      </c>
      <c r="H113" s="9">
        <f t="shared" si="169"/>
        <v>2.4392431172092222E-2</v>
      </c>
      <c r="I113" s="9">
        <f t="shared" si="169"/>
        <v>4.193294230937572E-2</v>
      </c>
      <c r="J113" s="9">
        <f t="shared" si="169"/>
        <v>2.1424970593177717E-2</v>
      </c>
      <c r="K113" s="9">
        <f t="shared" si="169"/>
        <v>2.8296454717446684E-2</v>
      </c>
      <c r="L113" s="9">
        <f t="shared" si="169"/>
        <v>1.9918406527477783E-2</v>
      </c>
      <c r="M113" s="9">
        <f t="shared" si="169"/>
        <v>4.8627450980392117E-2</v>
      </c>
      <c r="N113" s="9">
        <f>N112/M112-1</f>
        <v>3.3133881824981337E-2</v>
      </c>
    </row>
    <row r="114" spans="2:29" s="9" customFormat="1" x14ac:dyDescent="0.25">
      <c r="B114" s="9" t="s">
        <v>74</v>
      </c>
      <c r="G114" s="9">
        <f t="shared" ref="G114:M114" si="170">G112/C112-1</f>
        <v>0.13762497449500111</v>
      </c>
      <c r="H114" s="9">
        <f t="shared" si="170"/>
        <v>5.8959859089644961E-2</v>
      </c>
      <c r="I114" s="9">
        <f t="shared" si="170"/>
        <v>7.544953465257076E-2</v>
      </c>
      <c r="J114" s="9">
        <f t="shared" si="170"/>
        <v>0.13341413388029078</v>
      </c>
      <c r="K114" s="9">
        <f t="shared" si="170"/>
        <v>0.12106537530266337</v>
      </c>
      <c r="L114" s="9">
        <f t="shared" si="170"/>
        <v>0.11616913245207039</v>
      </c>
      <c r="M114" s="9">
        <f t="shared" si="170"/>
        <v>0.12334061502268523</v>
      </c>
      <c r="N114" s="9">
        <f>N112/J112-1</f>
        <v>0.13621781689561563</v>
      </c>
      <c r="AA114" s="9">
        <f t="shared" ref="AA114:AB114" si="171">AA112/Z112-1</f>
        <v>0.21706569840009071</v>
      </c>
      <c r="AB114" s="9">
        <f t="shared" si="171"/>
        <v>0.13341413388029078</v>
      </c>
      <c r="AC114" s="9">
        <f>AC112/AB112-1</f>
        <v>0.13621781689561563</v>
      </c>
    </row>
    <row r="115" spans="2:29" x14ac:dyDescent="0.25">
      <c r="B115" s="9" t="s">
        <v>75</v>
      </c>
      <c r="C115" s="1">
        <f t="shared" ref="C115:N115" si="172">C11/C112*1000</f>
        <v>82370.128545194864</v>
      </c>
      <c r="D115" s="1">
        <f t="shared" si="172"/>
        <v>80903.309539260226</v>
      </c>
      <c r="E115" s="1">
        <f t="shared" si="172"/>
        <v>82719.165085388988</v>
      </c>
      <c r="F115" s="1">
        <f t="shared" si="172"/>
        <v>87553.421592392318</v>
      </c>
      <c r="G115" s="1">
        <f t="shared" si="172"/>
        <v>87684.960990045744</v>
      </c>
      <c r="H115" s="1">
        <f t="shared" si="172"/>
        <v>92804.867372844252</v>
      </c>
      <c r="I115" s="1">
        <f t="shared" si="172"/>
        <v>99909.931104016141</v>
      </c>
      <c r="J115" s="1">
        <f t="shared" si="172"/>
        <v>93081.352307312656</v>
      </c>
      <c r="K115" s="1">
        <f t="shared" si="172"/>
        <v>95014.878809695219</v>
      </c>
      <c r="L115" s="1">
        <f t="shared" si="172"/>
        <v>100899.05882352941</v>
      </c>
      <c r="M115" s="1">
        <f t="shared" si="172"/>
        <v>101474.64472700075</v>
      </c>
      <c r="N115" s="1">
        <f t="shared" si="172"/>
        <v>100220.37211322668</v>
      </c>
      <c r="Z115" s="1">
        <f>Z11/Z112*1000</f>
        <v>318039.48712129809</v>
      </c>
      <c r="AA115" s="1">
        <f>AA11/AA112*1000</f>
        <v>329540.08950214431</v>
      </c>
      <c r="AB115" s="1">
        <f>AB11/AB112*1000</f>
        <v>358526.19889775442</v>
      </c>
      <c r="AC115" s="1">
        <f>AC11/AC112*1000</f>
        <v>377564.90262795915</v>
      </c>
    </row>
    <row r="116" spans="2:29" s="10" customFormat="1" x14ac:dyDescent="0.25">
      <c r="B116" s="10" t="s">
        <v>74</v>
      </c>
      <c r="G116" s="10">
        <f t="shared" ref="G116:M116" si="173">G115/C115-1</f>
        <v>6.4523784759358938E-2</v>
      </c>
      <c r="H116" s="10">
        <f t="shared" si="173"/>
        <v>0.14710841745983849</v>
      </c>
      <c r="I116" s="10">
        <f t="shared" si="173"/>
        <v>0.20782083572629806</v>
      </c>
      <c r="J116" s="10">
        <f t="shared" si="173"/>
        <v>6.3137803347718346E-2</v>
      </c>
      <c r="K116" s="10">
        <f t="shared" si="173"/>
        <v>8.3593785489413541E-2</v>
      </c>
      <c r="L116" s="10">
        <f t="shared" si="173"/>
        <v>8.7217316072083717E-2</v>
      </c>
      <c r="M116" s="10">
        <f t="shared" si="173"/>
        <v>1.5661242137736897E-2</v>
      </c>
      <c r="N116" s="10">
        <f>N115/J115-1</f>
        <v>7.6696563048892941E-2</v>
      </c>
      <c r="AA116" s="10">
        <f t="shared" ref="AA116:AB116" si="174">AA115/Z115-1</f>
        <v>3.6160926069095156E-2</v>
      </c>
      <c r="AB116" s="10">
        <f t="shared" si="174"/>
        <v>8.7959281189129879E-2</v>
      </c>
      <c r="AC116" s="10">
        <f>AC115/AB115-1</f>
        <v>5.3102684793292498E-2</v>
      </c>
    </row>
  </sheetData>
  <phoneticPr fontId="3" type="noConversion"/>
  <hyperlinks>
    <hyperlink ref="A1" location="Main!A1" display="Main" xr:uid="{2EA83E70-86B7-4636-958C-61DAF0F12B6A}"/>
  </hyperlinks>
  <pageMargins left="0.7" right="0.7" top="0.75" bottom="0.75" header="0.3" footer="0.3"/>
  <ignoredErrors>
    <ignoredError sqref="AD11:AE11 AD88:AE88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Gega Mukhigulashvili</cp:lastModifiedBy>
  <dcterms:created xsi:type="dcterms:W3CDTF">2022-07-27T14:25:12Z</dcterms:created>
  <dcterms:modified xsi:type="dcterms:W3CDTF">2025-08-13T15:30:59Z</dcterms:modified>
</cp:coreProperties>
</file>