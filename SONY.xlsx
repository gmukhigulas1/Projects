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CEF372F2-C850-4FF0-A85A-A91308FE016C}" xr6:coauthVersionLast="47" xr6:coauthVersionMax="47" xr10:uidLastSave="{00000000-0000-0000-0000-000000000000}"/>
  <bookViews>
    <workbookView xWindow="-108" yWindow="-108" windowWidth="23256" windowHeight="12456" activeTab="1" xr2:uid="{B7E54A14-9D51-4E8C-97F1-9DFF0517FEB8}"/>
  </bookViews>
  <sheets>
    <sheet name="Main" sheetId="2" r:id="rId1"/>
    <sheet name="Model" sheetId="1" r:id="rId2"/>
  </sheets>
  <calcPr calcId="191029"/>
</workbook>
</file>

<file path=xl/calcChain.xml><?xml version="1.0" encoding="utf-8"?>
<calcChain xmlns="http://schemas.openxmlformats.org/spreadsheetml/2006/main">
  <c r="C8" i="1" l="1"/>
  <c r="L12" i="2"/>
  <c r="L11" i="2"/>
  <c r="L9" i="2"/>
  <c r="L10" i="2" s="1"/>
  <c r="L14" i="2" s="1"/>
  <c r="U9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U5" i="1"/>
  <c r="T5" i="1"/>
  <c r="T9" i="1" s="1"/>
  <c r="S5" i="1"/>
  <c r="S9" i="1" s="1"/>
  <c r="R5" i="1"/>
  <c r="R9" i="1" s="1"/>
  <c r="Q5" i="1"/>
  <c r="Q9" i="1" s="1"/>
  <c r="P5" i="1"/>
  <c r="P9" i="1" s="1"/>
  <c r="O5" i="1"/>
  <c r="O9" i="1" s="1"/>
  <c r="N5" i="1"/>
  <c r="N9" i="1" s="1"/>
  <c r="M5" i="1"/>
  <c r="M9" i="1" s="1"/>
  <c r="L5" i="1"/>
  <c r="L9" i="1" s="1"/>
  <c r="K5" i="1"/>
  <c r="K9" i="1" s="1"/>
  <c r="J5" i="1"/>
  <c r="J9" i="1" s="1"/>
  <c r="I5" i="1"/>
  <c r="I9" i="1" s="1"/>
  <c r="H5" i="1"/>
  <c r="H9" i="1" s="1"/>
  <c r="G5" i="1"/>
  <c r="G9" i="1" s="1"/>
  <c r="F5" i="1"/>
  <c r="F9" i="1" s="1"/>
  <c r="E5" i="1"/>
  <c r="E9" i="1" s="1"/>
  <c r="D5" i="1"/>
  <c r="D9" i="1" s="1"/>
  <c r="C5" i="1"/>
  <c r="C9" i="1" s="1"/>
</calcChain>
</file>

<file path=xl/sharedStrings.xml><?xml version="1.0" encoding="utf-8"?>
<sst xmlns="http://schemas.openxmlformats.org/spreadsheetml/2006/main" count="2661" uniqueCount="317">
  <si>
    <t>SONY_income-statement_Quarterly_As_Originally_Reported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</si>
  <si>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</si>
  <si>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</si>
  <si>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</si>
  <si>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</si>
  <si>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</si>
  <si>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</si>
  <si>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</si>
  <si>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</si>
  <si>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</si>
  <si>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</si>
  <si>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</si>
  <si>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</si>
  <si>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</si>
  <si>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</si>
  <si>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</si>
  <si>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</si>
  <si>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</si>
  <si>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</si>
  <si>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TTM</t>
  </si>
  <si>
    <t>Gross Profit</t>
  </si>
  <si>
    <t/>
  </si>
  <si>
    <t>Non-Operating Income/Expense, Total</t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</si>
  <si>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</si>
  <si>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</si>
  <si>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</si>
  <si>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 xml:space="preserve">    Net Investment Income</t>
  </si>
  <si>
    <t xml:space="preserve">        Income from Associates, JointVentures and Other Participating Interests</t>
  </si>
  <si>
    <t xml:space="preserve">        Gain/Loss on Investments and Other Financial Instruments</t>
  </si>
  <si>
    <t xml:space="preserve">        Gain/Loss on Foreign Currency Exchange</t>
  </si>
  <si>
    <t xml:space="preserve">    Irregular Income/Expense</t>
  </si>
  <si>
    <t xml:space="preserve">        Disposal of Businesses</t>
  </si>
  <si>
    <t xml:space="preserve">        Fixed Asset Disposals</t>
  </si>
  <si>
    <t xml:space="preserve">        Merger and Acquisition Income/Expense</t>
  </si>
  <si>
    <t xml:space="preserve">        Other Irregular Income/Expense</t>
  </si>
  <si>
    <t xml:space="preserve">    Other Income/Expense, Non-Operating</t>
  </si>
  <si>
    <t>Pretax Income</t>
  </si>
  <si>
    <t>Provision for Income Tax</t>
  </si>
  <si>
    <t xml:space="preserve">    Current Tax</t>
  </si>
  <si>
    <t xml:space="preserve">    Deferred Tax</t>
  </si>
  <si>
    <t>Net Income before Extraordinary Items and Discontinued Operations</t>
  </si>
  <si>
    <t>Discontinued Operations</t>
  </si>
  <si>
    <t>Net Income after Extraordinary Items and Discontinued Operations</t>
  </si>
  <si>
    <t>Non-Controlling/Minority Interests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</si>
  <si>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</si>
  <si>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</si>
  <si>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</si>
  <si>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</si>
  <si>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</si>
  <si>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</si>
  <si>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Reported Total Operating Profit/Loss</t>
  </si>
  <si>
    <t xml:space="preserve">        Reported Normalized Income</t>
  </si>
  <si>
    <t xml:space="preserve">        Reported Effective Tax Rate</t>
  </si>
  <si>
    <t xml:space="preserve">        Reported Normalized Operating Profit</t>
  </si>
  <si>
    <t xml:space="preserve">        Reported Normalized EBITDA</t>
  </si>
  <si>
    <t>Dilution to Earnings</t>
  </si>
  <si>
    <t>Basic EPS</t>
  </si>
  <si>
    <t xml:space="preserve">    Basic EPS from Continuing Operations</t>
  </si>
  <si>
    <t xml:space="preserve">    Basic EPS from Discontinued Operations</t>
  </si>
  <si>
    <t>Diluted EPS</t>
  </si>
  <si>
    <t xml:space="preserve">    Diluted EPS from Continuing Operations</t>
  </si>
  <si>
    <t xml:space="preserve">    Diluted EPS from Discontinued Operations</t>
  </si>
  <si>
    <t>Basic Weighted Average Shares Outstanding</t>
  </si>
  <si>
    <t>Diluted Weighted Average Shares Outstanding</t>
  </si>
  <si>
    <t>Total Dividend Per Share</t>
  </si>
  <si>
    <t xml:space="preserve">    Regular Dividend Per Share Calc</t>
  </si>
  <si>
    <t>Basic WASO</t>
  </si>
  <si>
    <t>Diluted WASO</t>
  </si>
  <si>
    <t>Fiscal year ends in Mar 31 | JPY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</si>
  <si>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</si>
  <si>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</si>
  <si>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</si>
  <si>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</si>
  <si>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    Cash</t>
  </si>
  <si>
    <t xml:space="preserve">                Cash Equivalents</t>
  </si>
  <si>
    <t xml:space="preserve">            Short Term Investments</t>
  </si>
  <si>
    <t xml:space="preserve">                Other Short Term Investments</t>
  </si>
  <si>
    <t xml:space="preserve">                Trading/ Listed Investments, Current</t>
  </si>
  <si>
    <t xml:space="preserve">        Inventories</t>
  </si>
  <si>
    <t xml:space="preserve">            Raw Materials, Consumables and Supplies</t>
  </si>
  <si>
    <t xml:space="preserve">            Work-in-Process</t>
  </si>
  <si>
    <t xml:space="preserve">            Finished Goods and Merchandise</t>
  </si>
  <si>
    <t xml:space="preserve">        Trade and Other Receivables, Current</t>
  </si>
  <si>
    <t xml:space="preserve">            Trade/Accounts Receivable, Current</t>
  </si>
  <si>
    <t xml:space="preserve">            Notes Receivable, Current</t>
  </si>
  <si>
    <t xml:space="preserve">                Gross Notes Receivable, Current</t>
  </si>
  <si>
    <t xml:space="preserve">                Allowance/Adjustments for Notes Receivable, Current</t>
  </si>
  <si>
    <t xml:space="preserve">            Other Receivables, Current</t>
  </si>
  <si>
    <t xml:space="preserve">        Other Current Assets</t>
  </si>
  <si>
    <t xml:space="preserve">        Assets Held for Sale/Discontinued Operations, Current</t>
  </si>
  <si>
    <t xml:space="preserve">        Cash Restricted or Pledged,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</si>
  <si>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</si>
  <si>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</si>
  <si>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</si>
  <si>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Leased Property, Plant and Equipment</t>
  </si>
  <si>
    <t xml:space="preserve">                Other Property, Plant and Equipment</t>
  </si>
  <si>
    <t xml:space="preserve">                Properties</t>
  </si>
  <si>
    <t xml:space="preserve">                    Land and Improvements</t>
  </si>
  <si>
    <t xml:space="preserve">                    Buildings and Improvements</t>
  </si>
  <si>
    <t xml:space="preserve">                Machinery, Furniture and Equipment</t>
  </si>
  <si>
    <t xml:space="preserve">                    Plant and Machinery</t>
  </si>
  <si>
    <t xml:space="preserve">                Construction in Progress and Advance Payments</t>
  </si>
  <si>
    <t xml:space="preserve">            Accumulated Depreciation and Impairment</t>
  </si>
  <si>
    <t xml:space="preserve">                Accumulated Depreciation</t>
  </si>
  <si>
    <t xml:space="preserve">                    Accumulated Depreciation of Properties</t>
  </si>
  <si>
    <t xml:space="preserve">                        Accumulated Depreciation of Land and Improvements</t>
  </si>
  <si>
    <t xml:space="preserve">                        Accumulated Depreciation of Buildings</t>
  </si>
  <si>
    <t xml:space="preserve">                    Accumulated Depreciation of Machinery, Furniture and Equipment</t>
  </si>
  <si>
    <t xml:space="preserve">                        Accumulated Depreciation of Plant and Machinery</t>
  </si>
  <si>
    <t xml:space="preserve">                    Accumulated Depreciation of Construction in Progress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</si>
  <si>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</si>
  <si>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</si>
  <si>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</si>
  <si>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</si>
  <si>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Other Intangible Assets</t>
  </si>
  <si>
    <t xml:space="preserve">                    Trademarks and Patents</t>
  </si>
  <si>
    <t xml:space="preserve">                    Software and Technology</t>
  </si>
  <si>
    <t xml:space="preserve">                    Licenses and Rights</t>
  </si>
  <si>
    <t xml:space="preserve">                    Customer Relationships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</si>
  <si>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</si>
  <si>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</si>
  <si>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</si>
  <si>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Trademarks and Patents</t>
  </si>
  <si>
    <t xml:space="preserve">                        Accumulated Amortization of Software and Technology</t>
  </si>
  <si>
    <t xml:space="preserve">                        Accumulated Amortization of Licences and Rights</t>
  </si>
  <si>
    <t xml:space="preserve">                        Accumulated Amortization of Customer Relationships</t>
  </si>
  <si>
    <t xml:space="preserve">                        Accumulated Amortization of Other Intangible Assets</t>
  </si>
  <si>
    <t xml:space="preserve">                Accumulated Impairment of Intangible Assets</t>
  </si>
  <si>
    <t xml:space="preserve">                    Accumulated Impairment of Goodwill</t>
  </si>
  <si>
    <t xml:space="preserve">        Total Long Term Investments</t>
  </si>
  <si>
    <t xml:space="preserve">            Long Term Equity Investments</t>
  </si>
  <si>
    <t xml:space="preserve">            Investment in Financial Assets, Non-Current</t>
  </si>
  <si>
    <t xml:space="preserve">                Other Financial Assets, Non-Current</t>
  </si>
  <si>
    <t xml:space="preserve">            Other Investments, Non-Current</t>
  </si>
  <si>
    <t xml:space="preserve">        Deferred Tax Assets, Non-Current</t>
  </si>
  <si>
    <t xml:space="preserve">        Other Non-Current Assets</t>
  </si>
  <si>
    <t xml:space="preserve">        Cash Restricted or Pledged, Non-Current</t>
  </si>
  <si>
    <t xml:space="preserve">        Deferred Costs/Assets, Non-Current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</si>
  <si>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</si>
  <si>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</si>
  <si>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</si>
  <si>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</si>
  <si>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</si>
  <si>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Taxes Payable, Current</t>
  </si>
  <si>
    <t xml:space="preserve">                Dividends Payable, Current</t>
  </si>
  <si>
    <t xml:space="preserve">                Other Payable, Current</t>
  </si>
  <si>
    <t xml:space="preserve">        Financial Liabilities, Current</t>
  </si>
  <si>
    <t xml:space="preserve">            Current Debt and Capital Lease Obligation</t>
  </si>
  <si>
    <t xml:space="preserve">                Current Debt</t>
  </si>
  <si>
    <t xml:space="preserve">                    Other Loans, Current Debt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</si>
  <si>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</si>
  <si>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</si>
  <si>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Capital Lease Obligations, Current</t>
  </si>
  <si>
    <t xml:space="preserve">            Other Financial Liabilities, Current</t>
  </si>
  <si>
    <t xml:space="preserve">        Deferred Liabilities, Current</t>
  </si>
  <si>
    <t xml:space="preserve">            Deferred Income/Customer Advances/Billings in Excess of Cost, Current</t>
  </si>
  <si>
    <t xml:space="preserve">        Other Current Liabilities</t>
  </si>
  <si>
    <t xml:space="preserve">        Discontinued Operations Liabilities, Current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</si>
  <si>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</si>
  <si>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</si>
  <si>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</si>
  <si>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</si>
  <si>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Capital Lease Obligations, Non-Current</t>
  </si>
  <si>
    <t xml:space="preserve">            Other Financial Liabilities, Non-Current</t>
  </si>
  <si>
    <t xml:space="preserve">        Provisions, Non-Current</t>
  </si>
  <si>
    <t xml:space="preserve">            Provision for Employee Entitlements, Non-Current</t>
  </si>
  <si>
    <t xml:space="preserve">                Pension and Other Post-Retirement Benefit Plans, Non-Current</t>
  </si>
  <si>
    <t xml:space="preserve">        Tax Liabilities, Non-Current</t>
  </si>
  <si>
    <t xml:space="preserve">            Deferred Tax Liabilities, Non-Current</t>
  </si>
  <si>
    <t xml:space="preserve">        Deferred Liabilities, Non-Current</t>
  </si>
  <si>
    <t xml:space="preserve">            Deferred Income/Customer Advances/Billings in Excess of Cost,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</si>
  <si>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</si>
  <si>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</si>
  <si>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</si>
  <si>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</si>
  <si>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</si>
  <si>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</si>
  <si>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Additional Paid in Capital/Share Premium</t>
  </si>
  <si>
    <t xml:space="preserve">            Treasury Stock</t>
  </si>
  <si>
    <t xml:space="preserve">                Treasury Stock for Common Stock</t>
  </si>
  <si>
    <t xml:space="preserve">        Retained Earnings/Accumulated Deficit</t>
  </si>
  <si>
    <t xml:space="preserve">        Reserves/Accumulated Comprehensive Income/Losses</t>
  </si>
  <si>
    <t xml:space="preserve">            Other Reserves/Accum.Comp.Inc</t>
  </si>
  <si>
    <t xml:space="preserve">            Cumulative Foreign Exchange Translation Reserves/Accum.Comp.Inc</t>
  </si>
  <si>
    <t xml:space="preserve">             Available for Sale Financial Investments Reserves/Accum.Comp.Inc</t>
  </si>
  <si>
    <t xml:space="preserve">            Gain/Loss from Cash Flow Hedges Reserves/Accum.Comp.Inc</t>
  </si>
  <si>
    <t xml:space="preserve">            Pension and Other PostRetirement Benefit Plans Reserves/Accum.Comp.Inc</t>
  </si>
  <si>
    <t xml:space="preserve">    Non-Controlling/Minority Interests in Equity</t>
  </si>
  <si>
    <t>Debt Maturity Schedule Total</t>
  </si>
  <si>
    <t xml:space="preserve">    Debt due in Year 1</t>
  </si>
  <si>
    <t xml:space="preserve">    Debt due in Year 2</t>
  </si>
  <si>
    <t xml:space="preserve">    Debt due in Year 3</t>
  </si>
  <si>
    <t xml:space="preserve">    Debt due in Year 4</t>
  </si>
  <si>
    <t xml:space="preserve">    Debt due in Year 5</t>
  </si>
  <si>
    <t xml:space="preserve">    Debt due Beyond</t>
  </si>
  <si>
    <t xml:space="preserve">    Debt - Interests Charges and Other Adjustments</t>
  </si>
  <si>
    <t>Capital Lease Obligation Maturity Schedule Total</t>
  </si>
  <si>
    <t xml:space="preserve">    Capital Lease due in Year 1</t>
  </si>
  <si>
    <t xml:space="preserve">    Capital Lease due in Year 2</t>
  </si>
  <si>
    <t xml:space="preserve">    Capital Lease due in Year 3</t>
  </si>
  <si>
    <t xml:space="preserve">    Capital Lease due in Year 4</t>
  </si>
  <si>
    <t xml:space="preserve">    Capital Lease due in Year 5</t>
  </si>
  <si>
    <t xml:space="preserve">    Capital Lease due Beyond</t>
  </si>
  <si>
    <t xml:space="preserve">    Capital Lease - Interests Charges and Other Adjustments</t>
  </si>
  <si>
    <t>Other Contractual Obligations Maturity Schedule Total</t>
  </si>
  <si>
    <t xml:space="preserve">    Other Contractual Obligations due in Year 1</t>
  </si>
  <si>
    <t xml:space="preserve">    Other Contractual Obligations due in Year 2</t>
  </si>
  <si>
    <t xml:space="preserve">    Other Contractual Obligations due in Year 3</t>
  </si>
  <si>
    <t xml:space="preserve">    Other Contractual Obligations due in Year 4</t>
  </si>
  <si>
    <t xml:space="preserve">    Other Contractual Obligations due in Year 5</t>
  </si>
  <si>
    <t xml:space="preserve">    Other Contractual Obligations due Beyond</t>
  </si>
  <si>
    <t>Total Lease Liability</t>
  </si>
  <si>
    <t xml:space="preserve">    Total Lease Liability - Due in year 1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</si>
  <si>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</si>
  <si>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</si>
  <si>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</si>
  <si>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</si>
  <si>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</si>
  <si>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</si>
  <si>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</si>
  <si>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</si>
  <si>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</si>
  <si>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</si>
  <si>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</si>
  <si>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</si>
  <si>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</si>
  <si>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</si>
  <si>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Operating Lease Obligation Maturity Schedule Total</t>
  </si>
  <si>
    <t xml:space="preserve">    Operating Lease due in Year 1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</si>
  <si>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</si>
  <si>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</si>
  <si>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</si>
  <si>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Operating Lease due Beyond</t>
  </si>
  <si>
    <t xml:space="preserve">    Operating Lease - Interests Charges and Other Adjustments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</si>
  <si>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</si>
  <si>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</si>
  <si>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</si>
  <si>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</si>
  <si>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</si>
  <si>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</si>
  <si>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</si>
  <si>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        Depreciation, Non-Cash Adjustment</t>
  </si>
  <si>
    <t xml:space="preserve">                        Amortization, Non-Cash Adjustment</t>
  </si>
  <si>
    <t xml:space="preserve">                Net Investment Income/Loss, Non-Cash Adjustment</t>
  </si>
  <si>
    <t xml:space="preserve">                    Realized Gain/Loss on Disposal/Sale of Financial Instruments, Non-Cash Adjustment</t>
  </si>
  <si>
    <t xml:space="preserve">                    Share of Profit/Loss from Associates, Joint Ventures and other Equity Investments, Non-Cash Adjustment</t>
  </si>
  <si>
    <t xml:space="preserve">                    Unrealized Gain/Loss on Financial Assets/Liabilities, Non-Cash Adjustment</t>
  </si>
  <si>
    <t xml:space="preserve">                Other Non-Cash Items</t>
  </si>
  <si>
    <t xml:space="preserve">                Pension and Employee Benefit Expense, Non-Cash Adjustment</t>
  </si>
  <si>
    <t xml:space="preserve">                Deferred Taxes, Non-Cash Adjustment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</si>
  <si>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</si>
  <si>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</si>
  <si>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</si>
  <si>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    Change in Trade/Accounts Receivable</t>
  </si>
  <si>
    <t xml:space="preserve">                Change in Other Current Assets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</si>
  <si>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</si>
  <si>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</si>
  <si>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</si>
  <si>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                Change in Taxes Payable</t>
  </si>
  <si>
    <t xml:space="preserve">                Change in Other Current Liabilities</t>
  </si>
  <si>
    <t xml:space="preserve">                Change in Deferred Assets/Liabilities</t>
  </si>
  <si>
    <t xml:space="preserve">        Taxes Refund/Paid, Indirect</t>
  </si>
  <si>
    <t xml:space="preserve">        Other Operating Cash Flow</t>
  </si>
  <si>
    <t xml:space="preserve">    Net Cash Flow from Discontinuing Operating Activities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</si>
  <si>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</si>
  <si>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</si>
  <si>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</si>
  <si>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</si>
  <si>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    Sale and Disposal of Property, Plant and Equipment</t>
  </si>
  <si>
    <t xml:space="preserve">        Purchase/Sale of Business, Net</t>
  </si>
  <si>
    <t xml:space="preserve">            Purchase/Acquisition of Business</t>
  </si>
  <si>
    <t xml:space="preserve">            Sale of Business</t>
  </si>
  <si>
    <t xml:space="preserve">        Purchase/Sale of Investments, Net</t>
  </si>
  <si>
    <t xml:space="preserve">            Purchase of Investments</t>
  </si>
  <si>
    <t xml:space="preserve">            Sale of Investments</t>
  </si>
  <si>
    <t xml:space="preserve">        Other Investing Cash Flow</t>
  </si>
  <si>
    <t xml:space="preserve">    Net Cash Flow from Discontinuing Investing Activities</t>
  </si>
  <si>
    <t>Cash Flow from Financing Activities</t>
  </si>
  <si>
    <t xml:space="preserve">    Cash Flow from Continuing Financing Activities</t>
  </si>
  <si>
    <t xml:space="preserve">        Issuance of/Payments for Common Stock, Net</t>
  </si>
  <si>
    <t xml:space="preserve">            Payments for Common Stock</t>
  </si>
  <si>
    <t xml:space="preserve">        Issuance of/Repayments for Debt, Net</t>
  </si>
  <si>
    <t xml:space="preserve">            Issuance of/Repayments for Short Term Debt, Net</t>
  </si>
  <si>
    <t xml:space="preserve">                Proceeds from Issuance of Short Term Debt</t>
  </si>
  <si>
    <t xml:space="preserve">                Repayments for Short Term Debt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</si>
  <si>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</si>
  <si>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</si>
  <si>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</si>
  <si>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Net Movement in Non-Controlling/Minority Interest</t>
  </si>
  <si>
    <t xml:space="preserve">        Cash Dividends and Interest Paid</t>
  </si>
  <si>
    <t xml:space="preserve">            Cash Dividends Paid</t>
  </si>
  <si>
    <t xml:space="preserve">                Common Stock Dividends Paid</t>
  </si>
  <si>
    <t xml:space="preserve">        Other Financing Cash Flow</t>
  </si>
  <si>
    <t xml:space="preserve">    Net Cash Flow from Discontinuing Financing Activities</t>
  </si>
  <si>
    <t>Cash and Cash Equivalents, End of Period</t>
  </si>
  <si>
    <t xml:space="preserve">    Change in Cash</t>
  </si>
  <si>
    <t xml:space="preserve">    Effect of Exchange Rate Changes</t>
  </si>
  <si>
    <t xml:space="preserve">    Cash and Cash Equivalents, Beginning of Period</t>
  </si>
  <si>
    <t xml:space="preserve">    Other Changes</t>
  </si>
  <si>
    <t>Cash Flow Supplemental Section</t>
  </si>
  <si>
    <t xml:space="preserve">    Change in Cash as Reported, Supplemental</t>
  </si>
  <si>
    <t xml:space="preserve">    Interest Paid, Supplemental</t>
  </si>
  <si>
    <t xml:space="preserve">    Interest Received, Supplemental</t>
  </si>
  <si>
    <t xml:space="preserve">    Income Tax Paid, Supplemental</t>
  </si>
  <si>
    <t>SG&amp;A</t>
  </si>
  <si>
    <t>COGS</t>
  </si>
  <si>
    <t>Revenue</t>
  </si>
  <si>
    <t>OpEx</t>
  </si>
  <si>
    <t>Other Income/Expense, Operating</t>
  </si>
  <si>
    <t>Price</t>
  </si>
  <si>
    <t>MC</t>
  </si>
  <si>
    <t>Cash</t>
  </si>
  <si>
    <t>Debt</t>
  </si>
  <si>
    <t>EV</t>
  </si>
  <si>
    <t>S/O</t>
  </si>
  <si>
    <t>(in￥)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</si>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</sst>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,,;* \(#,##0,,\);* &quot;—&quot;;_(@_)"/>
  </numFmts>
  <fonts count="5" x14ac:knownFonts="1">
    <font>
      <sz val="10"/>
      <name val="Arial"/>
    </font>
    <font>
      <b/>
      <sz val="10"/>
      <name val="Arial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164" fontId="1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0275-15B0-4520-9043-E3E683814C1D}">
  <dimension ref="K7:L14"/>
  <sheetViews>
    <sheetView workbookViewId="0">
      <selection activeCell="Q18" sqref="Q18"/>
    </sheetView>
  </sheetViews>
  <sheetFormatPr defaultRowHeight="13.2" x14ac:dyDescent="0.25"/>
  <cols>
    <col min="1" max="11" width="8.88671875" style="7"/>
    <col min="12" max="12" width="12.33203125" style="7" bestFit="1" customWidth="1"/>
    <col min="13" max="16384" width="8.88671875" style="7"/>
  </cols>
  <sheetData>
    <row r="7" spans="11:12" x14ac:dyDescent="0.25">
      <c r="K7" s="8" t="s">
        <v>315</v>
      </c>
      <c r="L7" s="8"/>
    </row>
    <row r="8" spans="11:12" x14ac:dyDescent="0.25">
      <c r="K8" s="7" t="s">
        <v>309</v>
      </c>
      <c r="L8" s="7">
        <v>138.4</v>
      </c>
    </row>
    <row r="9" spans="11:12" x14ac:dyDescent="0.25">
      <c r="K9" s="7" t="s">
        <v>314</v>
      </c>
      <c r="L9" s="6">
        <f>Model!T56</f>
        <v>5966945000</v>
      </c>
    </row>
    <row r="10" spans="11:12" x14ac:dyDescent="0.25">
      <c r="K10" s="7" t="s">
        <v>310</v>
      </c>
      <c r="L10" s="6">
        <f>L8*L9</f>
        <v>825825188000</v>
      </c>
    </row>
    <row r="11" spans="11:12" x14ac:dyDescent="0.25">
      <c r="K11" s="7" t="s">
        <v>311</v>
      </c>
      <c r="L11" s="6">
        <f>+Model!T71</f>
        <v>2115265000000</v>
      </c>
    </row>
    <row r="12" spans="11:12" x14ac:dyDescent="0.25">
      <c r="K12" s="7" t="s">
        <v>312</v>
      </c>
      <c r="L12" s="6">
        <f>+Model!T148+Model!T160</f>
        <v>1477689000000</v>
      </c>
    </row>
    <row r="14" spans="11:12" x14ac:dyDescent="0.25">
      <c r="K14" s="7" t="s">
        <v>313</v>
      </c>
      <c r="L14" s="6">
        <f>L10+L12-L11</f>
        <v>188249188000</v>
      </c>
    </row>
  </sheetData>
  <mergeCells count="1">
    <mergeCell ref="K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D4AF-79F7-4FCE-8D23-8FD1CE8A71D2}">
  <dimension ref="B2:U313"/>
  <sheetViews>
    <sheetView tabSelected="1" zoomScale="78" zoomScaleNormal="100" workbookViewId="0">
      <pane xSplit="2" ySplit="2" topLeftCell="C16" activePane="bottomRight" state="frozen"/>
      <selection pane="topRight" activeCell="B1" sqref="B1"/>
      <selection pane="bottomLeft" activeCell="A2" sqref="A2"/>
      <selection pane="bottomRight" activeCell="C47" sqref="C47"/>
    </sheetView>
  </sheetViews>
  <sheetFormatPr defaultRowHeight="13.2" x14ac:dyDescent="0.25"/>
  <cols>
    <col min="1" max="1" width="8.88671875" style="2"/>
    <col min="2" max="2" width="79" style="2" bestFit="1" customWidth="1"/>
    <col min="3" max="21" width="14" style="2" bestFit="1" customWidth="1"/>
    <col min="22" max="16384" width="8.88671875" style="2"/>
  </cols>
  <sheetData>
    <row r="2" spans="2:2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</row>
    <row r="3" spans="2:21" x14ac:dyDescent="0.25">
      <c r="B3" s="6" t="s">
        <v>306</v>
      </c>
      <c r="C3" s="3">
        <v>2369365000000</v>
      </c>
      <c r="D3" s="3">
        <v>3031319000000</v>
      </c>
      <c r="E3" s="3">
        <v>2263986000000</v>
      </c>
      <c r="F3" s="3">
        <v>2311494000000</v>
      </c>
      <c r="G3" s="3">
        <v>2751879000000</v>
      </c>
      <c r="H3" s="3">
        <v>3412914000000</v>
      </c>
      <c r="I3" s="3">
        <v>3063550000000</v>
      </c>
      <c r="J3" s="3">
        <v>2963652000000</v>
      </c>
      <c r="K3" s="3">
        <v>2828623000000</v>
      </c>
      <c r="L3" s="3">
        <v>3747527000000</v>
      </c>
      <c r="M3" s="3">
        <v>3480966000000</v>
      </c>
      <c r="N3" s="3">
        <v>3011649000000</v>
      </c>
      <c r="O3" s="3">
        <v>2905597000000</v>
      </c>
      <c r="P3" s="3">
        <v>4409574000000</v>
      </c>
      <c r="Q3" s="3">
        <v>2630244000000</v>
      </c>
      <c r="R3" s="3">
        <v>2621615000000</v>
      </c>
      <c r="S3" s="3">
        <v>3107907000000</v>
      </c>
      <c r="T3" s="3">
        <v>3713681000000</v>
      </c>
      <c r="U3" s="3">
        <v>12073447000000</v>
      </c>
    </row>
    <row r="4" spans="2:21" x14ac:dyDescent="0.25">
      <c r="B4" s="6" t="s">
        <v>305</v>
      </c>
      <c r="C4" s="3">
        <v>-1688105000000</v>
      </c>
      <c r="D4" s="3">
        <v>-2221062000000</v>
      </c>
      <c r="E4" s="3">
        <v>-1673832000000</v>
      </c>
      <c r="F4" s="3">
        <v>-1605767000000</v>
      </c>
      <c r="G4" s="3">
        <v>-1939379000000</v>
      </c>
      <c r="H4" s="3">
        <v>-2463828000000</v>
      </c>
      <c r="I4" s="3">
        <v>-2389957000000</v>
      </c>
      <c r="J4" s="3">
        <v>-2249053000000</v>
      </c>
      <c r="K4" s="3">
        <v>-2053208000000</v>
      </c>
      <c r="L4" s="3">
        <v>-2736489000000</v>
      </c>
      <c r="M4" s="3">
        <v>-2656937000000</v>
      </c>
      <c r="N4" s="3">
        <v>-2200643000000</v>
      </c>
      <c r="O4" s="3">
        <v>-1913262000000</v>
      </c>
      <c r="P4" s="3">
        <v>-3365302000000</v>
      </c>
      <c r="Q4" s="3">
        <v>-1815305000000</v>
      </c>
      <c r="R4" s="3">
        <v>-1775067000000</v>
      </c>
      <c r="S4" s="3">
        <v>-2100373000000</v>
      </c>
      <c r="T4" s="3">
        <v>-2657637000000</v>
      </c>
      <c r="U4" s="3">
        <v>-8348382000000</v>
      </c>
    </row>
    <row r="5" spans="2:21" s="4" customFormat="1" x14ac:dyDescent="0.25">
      <c r="B5" s="4" t="s">
        <v>20</v>
      </c>
      <c r="C5" s="5">
        <f>C3+C4</f>
        <v>681260000000</v>
      </c>
      <c r="D5" s="5">
        <f t="shared" ref="D5:U5" si="0">D3+D4</f>
        <v>810257000000</v>
      </c>
      <c r="E5" s="5">
        <f t="shared" si="0"/>
        <v>590154000000</v>
      </c>
      <c r="F5" s="5">
        <f t="shared" si="0"/>
        <v>705727000000</v>
      </c>
      <c r="G5" s="5">
        <f t="shared" si="0"/>
        <v>812500000000</v>
      </c>
      <c r="H5" s="5">
        <f t="shared" si="0"/>
        <v>949086000000</v>
      </c>
      <c r="I5" s="5">
        <f t="shared" si="0"/>
        <v>673593000000</v>
      </c>
      <c r="J5" s="5">
        <f t="shared" si="0"/>
        <v>714599000000</v>
      </c>
      <c r="K5" s="5">
        <f t="shared" si="0"/>
        <v>775415000000</v>
      </c>
      <c r="L5" s="5">
        <f t="shared" si="0"/>
        <v>1011038000000</v>
      </c>
      <c r="M5" s="5">
        <f t="shared" si="0"/>
        <v>824029000000</v>
      </c>
      <c r="N5" s="5">
        <f t="shared" si="0"/>
        <v>811006000000</v>
      </c>
      <c r="O5" s="5">
        <f t="shared" si="0"/>
        <v>992335000000</v>
      </c>
      <c r="P5" s="5">
        <f t="shared" si="0"/>
        <v>1044272000000</v>
      </c>
      <c r="Q5" s="5">
        <f t="shared" si="0"/>
        <v>814939000000</v>
      </c>
      <c r="R5" s="5">
        <f t="shared" si="0"/>
        <v>846548000000</v>
      </c>
      <c r="S5" s="5">
        <f t="shared" si="0"/>
        <v>1007534000000</v>
      </c>
      <c r="T5" s="5">
        <f t="shared" si="0"/>
        <v>1056044000000</v>
      </c>
      <c r="U5" s="5">
        <f t="shared" si="0"/>
        <v>3725065000000</v>
      </c>
    </row>
    <row r="6" spans="2:21" x14ac:dyDescent="0.25">
      <c r="B6" s="6" t="s">
        <v>304</v>
      </c>
      <c r="C6" s="3">
        <v>-369908000000</v>
      </c>
      <c r="D6" s="3">
        <v>-423509000000</v>
      </c>
      <c r="E6" s="3">
        <v>-449754000000</v>
      </c>
      <c r="F6" s="3">
        <v>-406766000000</v>
      </c>
      <c r="G6" s="3">
        <v>-482457000000</v>
      </c>
      <c r="H6" s="3">
        <v>-529188000000</v>
      </c>
      <c r="I6" s="3">
        <v>-550759000000</v>
      </c>
      <c r="J6" s="3">
        <v>-474939000000</v>
      </c>
      <c r="K6" s="3">
        <v>-518729000000</v>
      </c>
      <c r="L6" s="3">
        <v>-554712000000</v>
      </c>
      <c r="M6" s="3">
        <v>-607776000000</v>
      </c>
      <c r="N6" s="3">
        <v>-543414000000</v>
      </c>
      <c r="O6" s="3">
        <v>-537437000000</v>
      </c>
      <c r="P6" s="3">
        <v>-576754000000</v>
      </c>
      <c r="Q6" s="3">
        <v>-599224000000</v>
      </c>
      <c r="R6" s="3">
        <v>-514802000000</v>
      </c>
      <c r="S6" s="3">
        <v>-552949000000</v>
      </c>
      <c r="T6" s="3">
        <v>-583666000000</v>
      </c>
      <c r="U6" s="3">
        <v>-2250641000000</v>
      </c>
    </row>
    <row r="7" spans="2:21" x14ac:dyDescent="0.25">
      <c r="B7" s="6" t="s">
        <v>308</v>
      </c>
      <c r="C7" s="3">
        <v>-1214000000</v>
      </c>
      <c r="D7" s="3">
        <v>70960000000</v>
      </c>
      <c r="E7" s="3">
        <v>-71650000000</v>
      </c>
      <c r="F7" s="3">
        <v>2725000000</v>
      </c>
      <c r="G7" s="3">
        <v>8069000000</v>
      </c>
      <c r="H7" s="3">
        <v>1484000000</v>
      </c>
      <c r="I7" s="3">
        <v>-4992000000</v>
      </c>
      <c r="J7" s="3">
        <v>8742000000</v>
      </c>
      <c r="K7" s="3">
        <v>3380000000</v>
      </c>
      <c r="L7" s="3">
        <v>3691000000</v>
      </c>
      <c r="M7" s="3">
        <v>-17752000000</v>
      </c>
      <c r="N7" s="3">
        <v>9820000000</v>
      </c>
      <c r="O7" s="3">
        <v>2824000000</v>
      </c>
      <c r="P7" s="3">
        <v>5934000000</v>
      </c>
      <c r="Q7" s="3">
        <v>-11661000000</v>
      </c>
      <c r="R7" s="3">
        <v>9920000000</v>
      </c>
      <c r="S7" s="3">
        <v>-23964000000</v>
      </c>
      <c r="T7" s="3">
        <v>37726000000</v>
      </c>
      <c r="U7" s="3">
        <v>12021000000</v>
      </c>
    </row>
    <row r="8" spans="2:21" s="4" customFormat="1" x14ac:dyDescent="0.25">
      <c r="B8" s="4" t="s">
        <v>307</v>
      </c>
      <c r="C8" s="4">
        <f>C6+C7</f>
        <v>-371122000000</v>
      </c>
      <c r="D8" s="4">
        <f t="shared" ref="D8:U8" si="1">D6+D7</f>
        <v>-352549000000</v>
      </c>
      <c r="E8" s="4">
        <f t="shared" si="1"/>
        <v>-521404000000</v>
      </c>
      <c r="F8" s="4">
        <f t="shared" si="1"/>
        <v>-404041000000</v>
      </c>
      <c r="G8" s="4">
        <f t="shared" si="1"/>
        <v>-474388000000</v>
      </c>
      <c r="H8" s="4">
        <f t="shared" si="1"/>
        <v>-527704000000</v>
      </c>
      <c r="I8" s="4">
        <f t="shared" si="1"/>
        <v>-555751000000</v>
      </c>
      <c r="J8" s="4">
        <f t="shared" si="1"/>
        <v>-466197000000</v>
      </c>
      <c r="K8" s="4">
        <f t="shared" si="1"/>
        <v>-515349000000</v>
      </c>
      <c r="L8" s="4">
        <f t="shared" si="1"/>
        <v>-551021000000</v>
      </c>
      <c r="M8" s="4">
        <f t="shared" si="1"/>
        <v>-625528000000</v>
      </c>
      <c r="N8" s="4">
        <f t="shared" si="1"/>
        <v>-533594000000</v>
      </c>
      <c r="O8" s="4">
        <f t="shared" si="1"/>
        <v>-534613000000</v>
      </c>
      <c r="P8" s="4">
        <f t="shared" si="1"/>
        <v>-570820000000</v>
      </c>
      <c r="Q8" s="4">
        <f t="shared" si="1"/>
        <v>-610885000000</v>
      </c>
      <c r="R8" s="4">
        <f t="shared" si="1"/>
        <v>-504882000000</v>
      </c>
      <c r="S8" s="4">
        <f t="shared" si="1"/>
        <v>-576913000000</v>
      </c>
      <c r="T8" s="4">
        <f t="shared" si="1"/>
        <v>-545940000000</v>
      </c>
      <c r="U8" s="4">
        <f t="shared" si="1"/>
        <v>-2238620000000</v>
      </c>
    </row>
    <row r="9" spans="2:21" s="4" customFormat="1" x14ac:dyDescent="0.25">
      <c r="B9" s="4" t="s">
        <v>316</v>
      </c>
      <c r="C9" s="5">
        <f>C5+C8</f>
        <v>310138000000</v>
      </c>
      <c r="D9" s="5">
        <f t="shared" ref="D9:U9" si="2">D5+D8</f>
        <v>457708000000</v>
      </c>
      <c r="E9" s="5">
        <f t="shared" si="2"/>
        <v>68750000000</v>
      </c>
      <c r="F9" s="5">
        <f t="shared" si="2"/>
        <v>301686000000</v>
      </c>
      <c r="G9" s="5">
        <f t="shared" si="2"/>
        <v>338112000000</v>
      </c>
      <c r="H9" s="5">
        <f t="shared" si="2"/>
        <v>421382000000</v>
      </c>
      <c r="I9" s="5">
        <f t="shared" si="2"/>
        <v>117842000000</v>
      </c>
      <c r="J9" s="5">
        <f t="shared" si="2"/>
        <v>248402000000</v>
      </c>
      <c r="K9" s="5">
        <f t="shared" si="2"/>
        <v>260066000000</v>
      </c>
      <c r="L9" s="5">
        <f t="shared" si="2"/>
        <v>460017000000</v>
      </c>
      <c r="M9" s="5">
        <f t="shared" si="2"/>
        <v>198501000000</v>
      </c>
      <c r="N9" s="5">
        <f t="shared" si="2"/>
        <v>277412000000</v>
      </c>
      <c r="O9" s="5">
        <f t="shared" si="2"/>
        <v>457722000000</v>
      </c>
      <c r="P9" s="5">
        <f t="shared" si="2"/>
        <v>473452000000</v>
      </c>
      <c r="Q9" s="5">
        <f t="shared" si="2"/>
        <v>204054000000</v>
      </c>
      <c r="R9" s="5">
        <f t="shared" si="2"/>
        <v>341666000000</v>
      </c>
      <c r="S9" s="5">
        <f t="shared" si="2"/>
        <v>430621000000</v>
      </c>
      <c r="T9" s="5">
        <f t="shared" si="2"/>
        <v>510104000000</v>
      </c>
      <c r="U9" s="5">
        <f t="shared" si="2"/>
        <v>1486445000000</v>
      </c>
    </row>
    <row r="10" spans="2:21" x14ac:dyDescent="0.25">
      <c r="B10" s="2" t="s">
        <v>22</v>
      </c>
      <c r="C10" s="3">
        <v>-27039000000</v>
      </c>
      <c r="D10" s="3">
        <v>3861000000</v>
      </c>
      <c r="E10" s="3">
        <v>20875000000</v>
      </c>
      <c r="F10" s="3">
        <v>-10310000000</v>
      </c>
      <c r="G10" s="3">
        <v>7644000000</v>
      </c>
      <c r="H10" s="3">
        <v>-22803000000</v>
      </c>
      <c r="I10" s="3">
        <v>26760000000</v>
      </c>
      <c r="J10" s="3">
        <v>27632000000</v>
      </c>
      <c r="K10" s="3">
        <v>-2471000000</v>
      </c>
      <c r="L10" s="3">
        <v>-1462000000</v>
      </c>
      <c r="M10" s="3">
        <v>77977000000</v>
      </c>
      <c r="N10" s="3">
        <v>39455000000</v>
      </c>
      <c r="O10" s="3">
        <v>-7475000000</v>
      </c>
      <c r="P10" s="3">
        <v>20601000000</v>
      </c>
      <c r="Q10" s="3">
        <v>8505000000</v>
      </c>
      <c r="R10" s="3">
        <v>14935000000</v>
      </c>
      <c r="S10" s="3">
        <v>11140000000</v>
      </c>
      <c r="T10" s="3">
        <v>-9895000000</v>
      </c>
      <c r="U10" s="3">
        <v>24685000000</v>
      </c>
    </row>
    <row r="11" spans="2:21" x14ac:dyDescent="0.25">
      <c r="B11" s="2" t="s">
        <v>23</v>
      </c>
      <c r="C11" s="3">
        <v>-35360000000</v>
      </c>
      <c r="D11" s="3">
        <v>-3614000000</v>
      </c>
      <c r="E11" s="3">
        <v>28228000000</v>
      </c>
      <c r="F11" s="3">
        <v>-15587000000</v>
      </c>
      <c r="G11" s="3">
        <v>1714000000</v>
      </c>
      <c r="H11" s="3">
        <v>-30158000000</v>
      </c>
      <c r="I11" s="3">
        <v>40032000000</v>
      </c>
      <c r="J11" s="3">
        <v>22992000000</v>
      </c>
      <c r="K11" s="3">
        <v>-5414000000</v>
      </c>
      <c r="L11" s="3">
        <v>-4783000000</v>
      </c>
      <c r="M11" s="3">
        <v>-16211000000</v>
      </c>
      <c r="N11" s="3">
        <v>37761000000</v>
      </c>
      <c r="O11" s="3">
        <v>-4830000000</v>
      </c>
      <c r="P11" s="3">
        <v>24722000000</v>
      </c>
      <c r="Q11" s="3">
        <v>-47604000000</v>
      </c>
      <c r="R11" s="3">
        <v>16646000000</v>
      </c>
      <c r="S11" s="3">
        <v>12787000000</v>
      </c>
      <c r="T11" s="3">
        <v>-14832000000</v>
      </c>
      <c r="U11" s="3">
        <v>-33003000000</v>
      </c>
    </row>
    <row r="12" spans="2:21" x14ac:dyDescent="0.25">
      <c r="B12" s="2" t="s">
        <v>24</v>
      </c>
      <c r="C12" s="3">
        <v>-40172000000</v>
      </c>
      <c r="D12" s="3">
        <v>-8576000000</v>
      </c>
      <c r="E12" s="3">
        <v>36221000000</v>
      </c>
      <c r="F12" s="3">
        <v>-29969000000</v>
      </c>
      <c r="G12" s="3">
        <v>-16880000000</v>
      </c>
      <c r="H12" s="3">
        <v>-37101000000</v>
      </c>
      <c r="I12" s="3">
        <v>37495000000</v>
      </c>
      <c r="J12" s="3">
        <v>-8920000000</v>
      </c>
      <c r="K12" s="3">
        <v>-18031000000</v>
      </c>
      <c r="L12" s="3">
        <v>-38742000000</v>
      </c>
      <c r="M12" s="3">
        <v>11946000000</v>
      </c>
      <c r="N12" s="3">
        <v>-15469000000</v>
      </c>
      <c r="O12" s="3">
        <v>-35483000000</v>
      </c>
      <c r="P12" s="3">
        <v>-17220000000</v>
      </c>
      <c r="Q12" s="3">
        <v>9329000000</v>
      </c>
      <c r="R12" s="3">
        <v>-35008000000</v>
      </c>
      <c r="S12" s="3">
        <v>-18666000000</v>
      </c>
      <c r="T12" s="3">
        <v>-31434000000</v>
      </c>
      <c r="U12" s="3">
        <v>-57706000000</v>
      </c>
    </row>
    <row r="13" spans="2:21" x14ac:dyDescent="0.25">
      <c r="B13" s="2" t="s">
        <v>25</v>
      </c>
      <c r="C13" s="3">
        <v>4812000000</v>
      </c>
      <c r="D13" s="3">
        <v>4962000000</v>
      </c>
      <c r="E13" s="3">
        <v>-7993000000</v>
      </c>
      <c r="F13" s="3">
        <v>14382000000</v>
      </c>
      <c r="G13" s="3">
        <v>18594000000</v>
      </c>
      <c r="H13" s="3">
        <v>6943000000</v>
      </c>
      <c r="I13" s="3">
        <v>2537000000</v>
      </c>
      <c r="J13" s="3">
        <v>31912000000</v>
      </c>
      <c r="K13" s="3">
        <v>12617000000</v>
      </c>
      <c r="L13" s="3">
        <v>33959000000</v>
      </c>
      <c r="M13" s="3">
        <v>-28157000000</v>
      </c>
      <c r="N13" s="3">
        <v>53230000000</v>
      </c>
      <c r="O13" s="3">
        <v>30653000000</v>
      </c>
      <c r="P13" s="3">
        <v>41942000000</v>
      </c>
      <c r="Q13" s="3">
        <v>-56933000000</v>
      </c>
      <c r="R13" s="3">
        <v>51654000000</v>
      </c>
      <c r="S13" s="3">
        <v>31453000000</v>
      </c>
      <c r="T13" s="3">
        <v>16602000000</v>
      </c>
      <c r="U13" s="3">
        <v>24703000000</v>
      </c>
    </row>
    <row r="14" spans="2:21" x14ac:dyDescent="0.25">
      <c r="B14" s="2" t="s">
        <v>26</v>
      </c>
      <c r="C14" s="3">
        <v>8321000000</v>
      </c>
      <c r="D14" s="3">
        <v>7475000000</v>
      </c>
      <c r="E14" s="3">
        <v>-61415000000</v>
      </c>
      <c r="F14" s="3">
        <v>5277000000</v>
      </c>
      <c r="G14" s="3">
        <v>5930000000</v>
      </c>
      <c r="H14" s="3">
        <v>7355000000</v>
      </c>
      <c r="I14" s="3">
        <v>-9737000000</v>
      </c>
      <c r="J14" s="3">
        <v>4640000000</v>
      </c>
      <c r="K14" s="3">
        <v>2943000000</v>
      </c>
      <c r="L14" s="3">
        <v>3321000000</v>
      </c>
      <c r="M14" s="3">
        <v>65132000000</v>
      </c>
      <c r="N14" s="3">
        <v>1694000000</v>
      </c>
      <c r="O14" s="3">
        <v>-2645000000</v>
      </c>
      <c r="P14" s="3">
        <v>-4121000000</v>
      </c>
      <c r="Q14" s="3">
        <v>74514000000</v>
      </c>
      <c r="R14" s="3">
        <v>-1711000000</v>
      </c>
      <c r="S14" s="3">
        <v>-1647000000</v>
      </c>
      <c r="T14" s="3">
        <v>4937000000</v>
      </c>
      <c r="U14" s="3">
        <v>76093000000</v>
      </c>
    </row>
    <row r="15" spans="2:21" x14ac:dyDescent="0.25">
      <c r="B15" s="2" t="s">
        <v>27</v>
      </c>
      <c r="C15" s="3">
        <v>8321000000</v>
      </c>
      <c r="D15" s="3">
        <v>7475000000</v>
      </c>
      <c r="E15" s="3">
        <v>3582000000</v>
      </c>
      <c r="F15" s="3">
        <v>5277000000</v>
      </c>
      <c r="G15" s="3">
        <v>5930000000</v>
      </c>
      <c r="H15" s="3">
        <v>7355000000</v>
      </c>
      <c r="I15" s="3">
        <v>5887000000</v>
      </c>
      <c r="J15" s="3">
        <v>4640000000</v>
      </c>
      <c r="K15" s="3">
        <v>2943000000</v>
      </c>
      <c r="L15" s="3">
        <v>3321000000</v>
      </c>
      <c r="M15" s="3">
        <v>-402000000</v>
      </c>
      <c r="N15" s="3">
        <v>1694000000</v>
      </c>
      <c r="O15" s="3">
        <v>-2645000000</v>
      </c>
      <c r="P15" s="3">
        <v>-4121000000</v>
      </c>
      <c r="Q15" s="3">
        <v>-2729000000</v>
      </c>
      <c r="R15" s="3">
        <v>-1711000000</v>
      </c>
      <c r="S15" s="3">
        <v>-1647000000</v>
      </c>
      <c r="T15" s="3">
        <v>4937000000</v>
      </c>
      <c r="U15" s="3">
        <v>-1150000000</v>
      </c>
    </row>
    <row r="16" spans="2:21" x14ac:dyDescent="0.25">
      <c r="B16" s="2" t="s">
        <v>28</v>
      </c>
      <c r="C16" s="2" t="s">
        <v>21</v>
      </c>
      <c r="D16" s="2" t="s">
        <v>21</v>
      </c>
      <c r="E16" s="2" t="s">
        <v>21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  <c r="R16" s="2" t="s">
        <v>21</v>
      </c>
      <c r="S16" s="2" t="s">
        <v>21</v>
      </c>
      <c r="T16" s="2" t="s">
        <v>21</v>
      </c>
      <c r="U16" s="2" t="s">
        <v>21</v>
      </c>
    </row>
    <row r="17" spans="2:21" x14ac:dyDescent="0.25">
      <c r="B17" s="2" t="s">
        <v>29</v>
      </c>
      <c r="C17" s="2" t="s">
        <v>21</v>
      </c>
      <c r="D17" s="2" t="s">
        <v>21</v>
      </c>
      <c r="E17" s="2" t="s">
        <v>21</v>
      </c>
      <c r="F17" s="2" t="s">
        <v>21</v>
      </c>
      <c r="G17" s="2" t="s">
        <v>21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  <c r="R17" s="2" t="s">
        <v>21</v>
      </c>
      <c r="S17" s="2" t="s">
        <v>21</v>
      </c>
      <c r="T17" s="2" t="s">
        <v>21</v>
      </c>
      <c r="U17" s="2" t="s">
        <v>21</v>
      </c>
    </row>
    <row r="18" spans="2:21" x14ac:dyDescent="0.25">
      <c r="B18" s="2" t="s">
        <v>30</v>
      </c>
      <c r="C18" s="2" t="s">
        <v>21</v>
      </c>
      <c r="D18" s="2" t="s">
        <v>21</v>
      </c>
      <c r="E18" s="3">
        <v>66297000000</v>
      </c>
      <c r="F18" s="2" t="s">
        <v>21</v>
      </c>
      <c r="G18" s="2" t="s">
        <v>21</v>
      </c>
      <c r="H18" s="2" t="s">
        <v>21</v>
      </c>
      <c r="I18" s="3">
        <v>4735000000</v>
      </c>
      <c r="J18" s="2" t="s">
        <v>21</v>
      </c>
      <c r="K18" s="2" t="s">
        <v>21</v>
      </c>
      <c r="L18" s="2" t="s">
        <v>21</v>
      </c>
      <c r="M18" s="3">
        <v>31343000000</v>
      </c>
      <c r="N18" s="2" t="s">
        <v>21</v>
      </c>
      <c r="O18" s="2" t="s">
        <v>21</v>
      </c>
      <c r="P18" s="2" t="s">
        <v>21</v>
      </c>
      <c r="Q18" s="3">
        <v>2324000000</v>
      </c>
      <c r="R18" s="2" t="s">
        <v>21</v>
      </c>
      <c r="S18" s="2" t="s">
        <v>21</v>
      </c>
      <c r="T18" s="2" t="s">
        <v>21</v>
      </c>
      <c r="U18" s="3">
        <v>2324000000</v>
      </c>
    </row>
    <row r="19" spans="2:21" x14ac:dyDescent="0.25">
      <c r="B19" s="2" t="s">
        <v>31</v>
      </c>
      <c r="C19" s="2" t="s">
        <v>21</v>
      </c>
      <c r="D19" s="2" t="s">
        <v>21</v>
      </c>
      <c r="E19" s="3">
        <v>74613000000</v>
      </c>
      <c r="F19" s="2" t="s">
        <v>21</v>
      </c>
      <c r="G19" s="2" t="s">
        <v>21</v>
      </c>
      <c r="H19" s="2" t="s">
        <v>21</v>
      </c>
      <c r="I19" s="3">
        <v>4318000000</v>
      </c>
      <c r="J19" s="2" t="s">
        <v>21</v>
      </c>
      <c r="K19" s="2" t="s">
        <v>21</v>
      </c>
      <c r="L19" s="2" t="s">
        <v>21</v>
      </c>
      <c r="M19" s="3">
        <v>26668000000</v>
      </c>
      <c r="N19" s="2" t="s">
        <v>21</v>
      </c>
      <c r="O19" s="2" t="s">
        <v>21</v>
      </c>
      <c r="P19" s="2" t="s">
        <v>21</v>
      </c>
      <c r="Q19" s="3">
        <v>18426000000</v>
      </c>
      <c r="R19" s="2" t="s">
        <v>21</v>
      </c>
      <c r="S19" s="2" t="s">
        <v>21</v>
      </c>
      <c r="T19" s="2" t="s">
        <v>21</v>
      </c>
      <c r="U19" s="3">
        <v>18426000000</v>
      </c>
    </row>
    <row r="20" spans="2:21" x14ac:dyDescent="0.25">
      <c r="B20" s="2" t="s">
        <v>32</v>
      </c>
      <c r="C20" s="2" t="s">
        <v>21</v>
      </c>
      <c r="D20" s="2" t="s">
        <v>21</v>
      </c>
      <c r="E20" s="3">
        <v>-8316000000</v>
      </c>
      <c r="F20" s="2" t="s">
        <v>21</v>
      </c>
      <c r="G20" s="2" t="s">
        <v>21</v>
      </c>
      <c r="H20" s="2" t="s">
        <v>21</v>
      </c>
      <c r="I20" s="3">
        <v>417000000</v>
      </c>
      <c r="J20" s="2" t="s">
        <v>21</v>
      </c>
      <c r="K20" s="2" t="s">
        <v>21</v>
      </c>
      <c r="L20" s="2" t="s">
        <v>21</v>
      </c>
      <c r="M20" s="3">
        <v>4675000000</v>
      </c>
      <c r="N20" s="2" t="s">
        <v>21</v>
      </c>
      <c r="O20" s="2" t="s">
        <v>21</v>
      </c>
      <c r="P20" s="2" t="s">
        <v>21</v>
      </c>
      <c r="Q20" s="3">
        <v>-16102000000</v>
      </c>
      <c r="R20" s="2" t="s">
        <v>21</v>
      </c>
      <c r="S20" s="2" t="s">
        <v>21</v>
      </c>
      <c r="T20" s="2" t="s">
        <v>21</v>
      </c>
      <c r="U20" s="3">
        <v>-16102000000</v>
      </c>
    </row>
    <row r="21" spans="2:21" x14ac:dyDescent="0.25">
      <c r="B21" s="2" t="s">
        <v>33</v>
      </c>
      <c r="C21" s="2" t="s">
        <v>21</v>
      </c>
      <c r="D21" s="2" t="s">
        <v>21</v>
      </c>
      <c r="E21" s="2" t="s">
        <v>21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  <c r="R21" s="2" t="s">
        <v>21</v>
      </c>
      <c r="S21" s="2" t="s">
        <v>21</v>
      </c>
      <c r="T21" s="2" t="s">
        <v>21</v>
      </c>
      <c r="U21" s="2" t="s">
        <v>21</v>
      </c>
    </row>
    <row r="22" spans="2:21" x14ac:dyDescent="0.25">
      <c r="B22" s="2" t="s">
        <v>34</v>
      </c>
      <c r="C22" s="2" t="s">
        <v>21</v>
      </c>
      <c r="D22" s="2" t="s">
        <v>21</v>
      </c>
      <c r="E22" s="2" t="s">
        <v>21</v>
      </c>
      <c r="F22" s="2" t="s">
        <v>21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  <c r="R22" s="2" t="s">
        <v>21</v>
      </c>
      <c r="S22" s="2" t="s">
        <v>21</v>
      </c>
      <c r="T22" s="2" t="s">
        <v>21</v>
      </c>
      <c r="U22" s="2" t="s">
        <v>21</v>
      </c>
    </row>
    <row r="23" spans="2:21" x14ac:dyDescent="0.25">
      <c r="B23" s="2" t="s">
        <v>35</v>
      </c>
      <c r="D23" s="2" t="s">
        <v>21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2" t="s">
        <v>21</v>
      </c>
      <c r="O23" s="2" t="s">
        <v>21</v>
      </c>
      <c r="P23" s="2" t="s">
        <v>21</v>
      </c>
      <c r="Q23" s="2" t="s">
        <v>21</v>
      </c>
      <c r="R23" s="2" t="s">
        <v>21</v>
      </c>
      <c r="S23" s="2" t="s">
        <v>21</v>
      </c>
      <c r="T23" s="2" t="s">
        <v>21</v>
      </c>
      <c r="U23" s="2" t="s">
        <v>21</v>
      </c>
    </row>
    <row r="24" spans="2:21" s="4" customFormat="1" x14ac:dyDescent="0.25">
      <c r="B24" s="4" t="s">
        <v>36</v>
      </c>
      <c r="C24" s="5">
        <v>283099000000</v>
      </c>
      <c r="D24" s="5">
        <v>461569000000</v>
      </c>
      <c r="E24" s="5">
        <v>89625000000</v>
      </c>
      <c r="F24" s="5">
        <v>291376000000</v>
      </c>
      <c r="G24" s="5">
        <v>345756000000</v>
      </c>
      <c r="H24" s="5">
        <v>398579000000</v>
      </c>
      <c r="I24" s="5">
        <v>144602000000</v>
      </c>
      <c r="J24" s="5">
        <v>276034000000</v>
      </c>
      <c r="K24" s="5">
        <v>257595000000</v>
      </c>
      <c r="L24" s="5">
        <v>458555000000</v>
      </c>
      <c r="M24" s="5">
        <v>276478000000</v>
      </c>
      <c r="N24" s="5">
        <v>316867000000</v>
      </c>
      <c r="O24" s="5">
        <v>450247000000</v>
      </c>
      <c r="P24" s="5">
        <v>494053000000</v>
      </c>
      <c r="Q24" s="5">
        <v>212559000000</v>
      </c>
      <c r="R24" s="5">
        <v>356601000000</v>
      </c>
      <c r="S24" s="5">
        <v>441761000000</v>
      </c>
      <c r="T24" s="5">
        <v>500209000000</v>
      </c>
      <c r="U24" s="5">
        <v>1511130000000</v>
      </c>
    </row>
    <row r="25" spans="2:21" x14ac:dyDescent="0.25">
      <c r="B25" s="2" t="s">
        <v>37</v>
      </c>
      <c r="C25" s="3">
        <v>-68703000000</v>
      </c>
      <c r="D25" s="3">
        <v>-113645000000</v>
      </c>
      <c r="E25" s="3">
        <v>23346000000</v>
      </c>
      <c r="F25" s="3">
        <v>-73070000000</v>
      </c>
      <c r="G25" s="3">
        <v>-78085000000</v>
      </c>
      <c r="H25" s="3">
        <v>-70073000000</v>
      </c>
      <c r="I25" s="3">
        <v>-15463000000</v>
      </c>
      <c r="J25" s="3">
        <v>-58092000000</v>
      </c>
      <c r="K25" s="3">
        <v>-56439000000</v>
      </c>
      <c r="L25" s="3">
        <v>-91184000000</v>
      </c>
      <c r="M25" s="3">
        <v>-82453000000</v>
      </c>
      <c r="N25" s="3">
        <v>-81039000000</v>
      </c>
      <c r="O25" s="3">
        <v>-110422000000</v>
      </c>
      <c r="P25" s="3">
        <v>-118481000000</v>
      </c>
      <c r="Q25" s="3">
        <v>-3897000000</v>
      </c>
      <c r="R25" s="3">
        <v>-93781000000</v>
      </c>
      <c r="S25" s="3">
        <v>-123354000000</v>
      </c>
      <c r="T25" s="3">
        <v>-119755000000</v>
      </c>
      <c r="U25" s="3">
        <v>-340787000000</v>
      </c>
    </row>
    <row r="26" spans="2:21" x14ac:dyDescent="0.25">
      <c r="B26" s="2" t="s">
        <v>38</v>
      </c>
      <c r="C26" s="2" t="s">
        <v>21</v>
      </c>
      <c r="D26" s="2" t="s">
        <v>21</v>
      </c>
      <c r="E26" s="2" t="s">
        <v>21</v>
      </c>
      <c r="F26" s="2" t="s">
        <v>21</v>
      </c>
      <c r="G26" s="2" t="s">
        <v>21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21</v>
      </c>
      <c r="M26" s="2" t="s">
        <v>21</v>
      </c>
      <c r="N26" s="2" t="s">
        <v>21</v>
      </c>
      <c r="O26" s="2" t="s">
        <v>21</v>
      </c>
      <c r="P26" s="2" t="s">
        <v>21</v>
      </c>
      <c r="Q26" s="2" t="s">
        <v>21</v>
      </c>
      <c r="R26" s="2" t="s">
        <v>21</v>
      </c>
      <c r="S26" s="2" t="s">
        <v>21</v>
      </c>
      <c r="T26" s="2" t="s">
        <v>21</v>
      </c>
      <c r="U26" s="2" t="s">
        <v>21</v>
      </c>
    </row>
    <row r="27" spans="2:21" x14ac:dyDescent="0.25">
      <c r="B27" s="2" t="s">
        <v>39</v>
      </c>
      <c r="C27" s="2" t="s">
        <v>21</v>
      </c>
      <c r="D27" s="2" t="s">
        <v>21</v>
      </c>
      <c r="E27" s="2" t="s">
        <v>21</v>
      </c>
      <c r="F27" s="2" t="s">
        <v>21</v>
      </c>
      <c r="G27" s="2" t="s">
        <v>21</v>
      </c>
      <c r="H27" s="2" t="s">
        <v>21</v>
      </c>
      <c r="I27" s="2" t="s">
        <v>21</v>
      </c>
      <c r="J27" s="2" t="s">
        <v>21</v>
      </c>
      <c r="K27" s="2" t="s">
        <v>21</v>
      </c>
      <c r="L27" s="2" t="s">
        <v>21</v>
      </c>
      <c r="M27" s="2" t="s">
        <v>21</v>
      </c>
      <c r="N27" s="2" t="s">
        <v>21</v>
      </c>
      <c r="O27" s="2" t="s">
        <v>21</v>
      </c>
      <c r="P27" s="2" t="s">
        <v>21</v>
      </c>
      <c r="Q27" s="2" t="s">
        <v>21</v>
      </c>
      <c r="R27" s="2" t="s">
        <v>21</v>
      </c>
      <c r="S27" s="2" t="s">
        <v>21</v>
      </c>
      <c r="T27" s="2" t="s">
        <v>21</v>
      </c>
      <c r="U27" s="2" t="s">
        <v>21</v>
      </c>
    </row>
    <row r="28" spans="2:21" s="4" customFormat="1" x14ac:dyDescent="0.25">
      <c r="B28" s="4" t="s">
        <v>40</v>
      </c>
      <c r="C28" s="5">
        <v>214396000000</v>
      </c>
      <c r="D28" s="5">
        <v>347924000000</v>
      </c>
      <c r="E28" s="5">
        <v>112971000000</v>
      </c>
      <c r="F28" s="5">
        <v>218306000000</v>
      </c>
      <c r="G28" s="5">
        <v>267671000000</v>
      </c>
      <c r="H28" s="5">
        <v>328506000000</v>
      </c>
      <c r="I28" s="5">
        <v>129139000000</v>
      </c>
      <c r="J28" s="5">
        <v>217942000000</v>
      </c>
      <c r="K28" s="5">
        <v>201156000000</v>
      </c>
      <c r="L28" s="5">
        <v>367371000000</v>
      </c>
      <c r="M28" s="5">
        <v>194025000000</v>
      </c>
      <c r="N28" s="5">
        <v>235828000000</v>
      </c>
      <c r="O28" s="5">
        <v>339825000000</v>
      </c>
      <c r="P28" s="5">
        <v>375572000000</v>
      </c>
      <c r="Q28" s="5">
        <v>208662000000</v>
      </c>
      <c r="R28" s="5">
        <v>262820000000</v>
      </c>
      <c r="S28" s="5">
        <v>318407000000</v>
      </c>
      <c r="T28" s="5">
        <v>380454000000</v>
      </c>
      <c r="U28" s="5">
        <v>1170343000000</v>
      </c>
    </row>
    <row r="29" spans="2:21" x14ac:dyDescent="0.25">
      <c r="B29" s="2" t="s">
        <v>41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21</v>
      </c>
      <c r="H29" s="2" t="s">
        <v>21</v>
      </c>
      <c r="I29" s="2" t="s">
        <v>21</v>
      </c>
      <c r="J29" s="2" t="s">
        <v>21</v>
      </c>
      <c r="K29" s="2" t="s">
        <v>21</v>
      </c>
      <c r="L29" s="2" t="s">
        <v>21</v>
      </c>
      <c r="M29" s="2" t="s">
        <v>21</v>
      </c>
      <c r="N29" s="2" t="s">
        <v>21</v>
      </c>
      <c r="O29" s="2" t="s">
        <v>21</v>
      </c>
      <c r="P29" s="2" t="s">
        <v>21</v>
      </c>
      <c r="Q29" s="2" t="s">
        <v>21</v>
      </c>
      <c r="R29" s="3">
        <v>-22118000000</v>
      </c>
      <c r="S29" s="3">
        <v>50543000000</v>
      </c>
      <c r="T29" s="3">
        <v>-1385936000000</v>
      </c>
      <c r="U29" s="3">
        <v>-1357511000000</v>
      </c>
    </row>
    <row r="30" spans="2:21" x14ac:dyDescent="0.25">
      <c r="B30" s="2" t="s">
        <v>42</v>
      </c>
      <c r="C30" s="3">
        <v>214396000000</v>
      </c>
      <c r="D30" s="3">
        <v>347924000000</v>
      </c>
      <c r="E30" s="3">
        <v>112971000000</v>
      </c>
      <c r="F30" s="3">
        <v>218306000000</v>
      </c>
      <c r="G30" s="3">
        <v>267671000000</v>
      </c>
      <c r="H30" s="3">
        <v>328506000000</v>
      </c>
      <c r="I30" s="3">
        <v>129139000000</v>
      </c>
      <c r="J30" s="3">
        <v>217942000000</v>
      </c>
      <c r="K30" s="3">
        <v>201156000000</v>
      </c>
      <c r="L30" s="3">
        <v>367371000000</v>
      </c>
      <c r="M30" s="3">
        <v>194025000000</v>
      </c>
      <c r="N30" s="3">
        <v>235828000000</v>
      </c>
      <c r="O30" s="3">
        <v>339825000000</v>
      </c>
      <c r="P30" s="3">
        <v>375572000000</v>
      </c>
      <c r="Q30" s="3">
        <v>208662000000</v>
      </c>
      <c r="R30" s="3">
        <v>240702000000</v>
      </c>
      <c r="S30" s="3">
        <v>368950000000</v>
      </c>
      <c r="T30" s="3">
        <v>-1005482000000</v>
      </c>
      <c r="U30" s="3">
        <v>-187168000000</v>
      </c>
    </row>
    <row r="31" spans="2:21" x14ac:dyDescent="0.25">
      <c r="B31" s="2" t="s">
        <v>43</v>
      </c>
      <c r="C31" s="3">
        <v>-1290000000</v>
      </c>
      <c r="D31" s="3">
        <v>-1763000000</v>
      </c>
      <c r="E31" s="3">
        <v>-1889000000</v>
      </c>
      <c r="F31" s="3">
        <v>-110000000</v>
      </c>
      <c r="G31" s="3">
        <v>-3708000000</v>
      </c>
      <c r="H31" s="3">
        <v>-1697000000</v>
      </c>
      <c r="I31" s="3">
        <v>-981000000</v>
      </c>
      <c r="J31" s="3">
        <v>-397000000</v>
      </c>
      <c r="K31" s="3">
        <v>-1051000000</v>
      </c>
      <c r="L31" s="3">
        <v>-3453000000</v>
      </c>
      <c r="M31" s="3">
        <v>-5020000000</v>
      </c>
      <c r="N31" s="3">
        <v>-4190000000</v>
      </c>
      <c r="O31" s="3">
        <v>-1329000000</v>
      </c>
      <c r="P31" s="3">
        <v>-1833000000</v>
      </c>
      <c r="Q31" s="3">
        <v>-10935000000</v>
      </c>
      <c r="R31" s="3">
        <v>-3793000000</v>
      </c>
      <c r="S31" s="3">
        <v>-6982000000</v>
      </c>
      <c r="T31" s="3">
        <v>-3130000000</v>
      </c>
      <c r="U31" s="3">
        <v>-24840000000</v>
      </c>
    </row>
    <row r="32" spans="2:21" x14ac:dyDescent="0.25">
      <c r="B32" s="2" t="s">
        <v>44</v>
      </c>
      <c r="C32" s="3">
        <v>213106000000</v>
      </c>
      <c r="D32" s="3">
        <v>346161000000</v>
      </c>
      <c r="E32" s="3">
        <v>111082000000</v>
      </c>
      <c r="F32" s="3">
        <v>218196000000</v>
      </c>
      <c r="G32" s="3">
        <v>263963000000</v>
      </c>
      <c r="H32" s="3">
        <v>326809000000</v>
      </c>
      <c r="I32" s="3">
        <v>128158000000</v>
      </c>
      <c r="J32" s="3">
        <v>217545000000</v>
      </c>
      <c r="K32" s="3">
        <v>200105000000</v>
      </c>
      <c r="L32" s="3">
        <v>363918000000</v>
      </c>
      <c r="M32" s="3">
        <v>189005000000</v>
      </c>
      <c r="N32" s="3">
        <v>231638000000</v>
      </c>
      <c r="O32" s="3">
        <v>338496000000</v>
      </c>
      <c r="P32" s="3">
        <v>373739000000</v>
      </c>
      <c r="Q32" s="3">
        <v>197727000000</v>
      </c>
      <c r="R32" s="3">
        <v>236909000000</v>
      </c>
      <c r="S32" s="3">
        <v>361968000000</v>
      </c>
      <c r="T32" s="3">
        <v>-1008612000000</v>
      </c>
      <c r="U32" s="3">
        <v>-212008000000</v>
      </c>
    </row>
    <row r="33" spans="2:21" x14ac:dyDescent="0.25">
      <c r="B33" s="2" t="s">
        <v>45</v>
      </c>
      <c r="C33" s="3">
        <v>213106000000</v>
      </c>
      <c r="D33" s="3">
        <v>346161000000</v>
      </c>
      <c r="E33" s="3">
        <v>111082000000</v>
      </c>
      <c r="F33" s="3">
        <v>218196000000</v>
      </c>
      <c r="G33" s="3">
        <v>263963000000</v>
      </c>
      <c r="H33" s="3">
        <v>326809000000</v>
      </c>
      <c r="I33" s="3">
        <v>128158000000</v>
      </c>
      <c r="J33" s="3">
        <v>217545000000</v>
      </c>
      <c r="K33" s="3">
        <v>200105000000</v>
      </c>
      <c r="L33" s="3">
        <v>363918000000</v>
      </c>
      <c r="M33" s="3">
        <v>189005000000</v>
      </c>
      <c r="N33" s="3">
        <v>231638000000</v>
      </c>
      <c r="O33" s="3">
        <v>338496000000</v>
      </c>
      <c r="P33" s="3">
        <v>373739000000</v>
      </c>
      <c r="Q33" s="3">
        <v>197727000000</v>
      </c>
      <c r="R33" s="3">
        <v>236909000000</v>
      </c>
      <c r="S33" s="3">
        <v>361968000000</v>
      </c>
      <c r="T33" s="3">
        <v>-1008612000000</v>
      </c>
      <c r="U33" s="3">
        <v>-212008000000</v>
      </c>
    </row>
    <row r="34" spans="2:21" x14ac:dyDescent="0.25">
      <c r="B34" s="2" t="s">
        <v>46</v>
      </c>
      <c r="C34" s="3">
        <v>213148000000</v>
      </c>
      <c r="D34" s="3">
        <v>346197000000</v>
      </c>
      <c r="E34" s="3">
        <v>111116000000</v>
      </c>
      <c r="F34" s="3">
        <v>218227000000</v>
      </c>
      <c r="G34" s="3">
        <v>263983000000</v>
      </c>
      <c r="H34" s="3">
        <v>326809000000</v>
      </c>
      <c r="I34" s="3">
        <v>128158000000</v>
      </c>
      <c r="J34" s="3">
        <v>217545000000</v>
      </c>
      <c r="K34" s="3">
        <v>200105000000</v>
      </c>
      <c r="L34" s="3">
        <v>363918000000</v>
      </c>
      <c r="M34" s="3">
        <v>189005000000</v>
      </c>
      <c r="N34" s="3">
        <v>231638000000</v>
      </c>
      <c r="O34" s="3">
        <v>338496000000</v>
      </c>
      <c r="P34" s="3">
        <v>373739000000</v>
      </c>
      <c r="Q34" s="3">
        <v>197727000000</v>
      </c>
      <c r="R34" s="3">
        <v>236909000000</v>
      </c>
      <c r="S34" s="3">
        <v>361968000000</v>
      </c>
      <c r="T34" s="3">
        <v>-1008612000000</v>
      </c>
      <c r="U34" s="3">
        <v>-212008000000</v>
      </c>
    </row>
    <row r="35" spans="2:21" x14ac:dyDescent="0.25">
      <c r="B35" s="2" t="s">
        <v>47</v>
      </c>
      <c r="C35" s="2" t="s">
        <v>21</v>
      </c>
      <c r="D35" s="2" t="s">
        <v>21</v>
      </c>
      <c r="E35" s="2" t="s">
        <v>21</v>
      </c>
      <c r="F35" s="2" t="s">
        <v>21</v>
      </c>
      <c r="G35" s="2" t="s">
        <v>21</v>
      </c>
      <c r="H35" s="2" t="s">
        <v>21</v>
      </c>
      <c r="I35" s="2" t="s">
        <v>21</v>
      </c>
      <c r="J35" s="2" t="s">
        <v>21</v>
      </c>
      <c r="K35" s="2" t="s">
        <v>21</v>
      </c>
      <c r="L35" s="2" t="s">
        <v>21</v>
      </c>
      <c r="M35" s="2" t="s">
        <v>21</v>
      </c>
      <c r="N35" s="2" t="s">
        <v>21</v>
      </c>
      <c r="O35" s="2" t="s">
        <v>21</v>
      </c>
      <c r="P35" s="2" t="s">
        <v>21</v>
      </c>
      <c r="Q35" s="2" t="s">
        <v>21</v>
      </c>
      <c r="R35" s="2" t="s">
        <v>21</v>
      </c>
      <c r="S35" s="2" t="s">
        <v>21</v>
      </c>
      <c r="T35" s="2" t="s">
        <v>21</v>
      </c>
      <c r="U35" s="2" t="s">
        <v>21</v>
      </c>
    </row>
    <row r="36" spans="2:21" x14ac:dyDescent="0.25">
      <c r="B36" s="2" t="s">
        <v>48</v>
      </c>
      <c r="C36" s="2" t="s">
        <v>21</v>
      </c>
      <c r="D36" s="2" t="s">
        <v>21</v>
      </c>
      <c r="E36" s="2" t="s">
        <v>21</v>
      </c>
      <c r="F36" s="2" t="s">
        <v>21</v>
      </c>
      <c r="G36" s="2" t="s">
        <v>21</v>
      </c>
      <c r="H36" s="2" t="s">
        <v>21</v>
      </c>
      <c r="I36" s="2" t="s">
        <v>21</v>
      </c>
      <c r="J36" s="2" t="s">
        <v>21</v>
      </c>
      <c r="K36" s="2" t="s">
        <v>21</v>
      </c>
      <c r="L36" s="2" t="s">
        <v>21</v>
      </c>
      <c r="M36" s="2" t="s">
        <v>21</v>
      </c>
      <c r="N36" s="2" t="s">
        <v>21</v>
      </c>
      <c r="O36" s="2" t="s">
        <v>21</v>
      </c>
      <c r="P36" s="2" t="s">
        <v>21</v>
      </c>
      <c r="Q36" s="2" t="s">
        <v>21</v>
      </c>
      <c r="R36" s="2" t="s">
        <v>21</v>
      </c>
      <c r="S36" s="2" t="s">
        <v>21</v>
      </c>
      <c r="T36" s="2" t="s">
        <v>21</v>
      </c>
      <c r="U36" s="2" t="s">
        <v>21</v>
      </c>
    </row>
    <row r="37" spans="2:21" x14ac:dyDescent="0.25">
      <c r="B37" s="2" t="s">
        <v>49</v>
      </c>
      <c r="C37" s="3">
        <v>2369365000000</v>
      </c>
      <c r="D37" s="3">
        <v>3031319000000</v>
      </c>
      <c r="E37" s="3">
        <v>2263986000000</v>
      </c>
      <c r="F37" s="3">
        <v>2311494000000</v>
      </c>
      <c r="G37" s="3">
        <v>2751879000000</v>
      </c>
      <c r="H37" s="3">
        <v>3412914000000</v>
      </c>
      <c r="I37" s="3">
        <v>3063550000000</v>
      </c>
      <c r="J37" s="3">
        <v>2963652000000</v>
      </c>
      <c r="K37" s="3">
        <v>2828623000000</v>
      </c>
      <c r="L37" s="3">
        <v>3747527000000</v>
      </c>
      <c r="M37" s="3">
        <v>3480966000000</v>
      </c>
      <c r="N37" s="3">
        <v>3011649000000</v>
      </c>
      <c r="O37" s="3">
        <v>2905597000000</v>
      </c>
      <c r="P37" s="3">
        <v>4409574000000</v>
      </c>
      <c r="Q37" s="3">
        <v>2630244000000</v>
      </c>
      <c r="R37" s="3">
        <v>2621615000000</v>
      </c>
      <c r="S37" s="3">
        <v>3107907000000</v>
      </c>
      <c r="T37" s="3">
        <v>3713681000000</v>
      </c>
      <c r="U37" s="3">
        <v>12073447000000</v>
      </c>
    </row>
    <row r="38" spans="2:21" x14ac:dyDescent="0.25">
      <c r="B38" s="2" t="s">
        <v>50</v>
      </c>
      <c r="C38" s="3">
        <v>318459000000</v>
      </c>
      <c r="D38" s="3">
        <v>465183000000</v>
      </c>
      <c r="E38" s="3">
        <v>138629000000</v>
      </c>
      <c r="F38" s="3">
        <v>306963000000</v>
      </c>
      <c r="G38" s="3">
        <v>344042000000</v>
      </c>
      <c r="H38" s="3">
        <v>428737000000</v>
      </c>
      <c r="I38" s="3">
        <v>128464000000</v>
      </c>
      <c r="J38" s="3">
        <v>253042000000</v>
      </c>
      <c r="K38" s="3">
        <v>263009000000</v>
      </c>
      <c r="L38" s="3">
        <v>463338000000</v>
      </c>
      <c r="M38" s="3">
        <v>229442000000</v>
      </c>
      <c r="N38" s="3">
        <v>279106000000</v>
      </c>
      <c r="O38" s="3">
        <v>455077000000</v>
      </c>
      <c r="P38" s="3">
        <v>469331000000</v>
      </c>
      <c r="Q38" s="3">
        <v>203649000000</v>
      </c>
      <c r="R38" s="3">
        <v>339955000000</v>
      </c>
      <c r="S38" s="3">
        <v>428974000000</v>
      </c>
      <c r="T38" s="3">
        <v>515041000000</v>
      </c>
      <c r="U38" s="3">
        <v>1487619000000</v>
      </c>
    </row>
    <row r="39" spans="2:21" x14ac:dyDescent="0.25">
      <c r="B39" s="2" t="s">
        <v>51</v>
      </c>
      <c r="C39" s="2" t="s">
        <v>21</v>
      </c>
      <c r="D39" s="2" t="s">
        <v>21</v>
      </c>
      <c r="E39" s="2" t="s">
        <v>21</v>
      </c>
      <c r="F39" s="2" t="s">
        <v>21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2" t="s">
        <v>21</v>
      </c>
      <c r="N39" s="2" t="s">
        <v>21</v>
      </c>
      <c r="O39" s="2" t="s">
        <v>21</v>
      </c>
      <c r="P39" s="3">
        <v>373700000000</v>
      </c>
      <c r="Q39" s="2" t="s">
        <v>21</v>
      </c>
      <c r="R39" s="2" t="s">
        <v>21</v>
      </c>
      <c r="S39" s="2" t="s">
        <v>21</v>
      </c>
      <c r="T39" s="2" t="s">
        <v>21</v>
      </c>
      <c r="U39" s="2" t="s">
        <v>21</v>
      </c>
    </row>
    <row r="40" spans="2:21" x14ac:dyDescent="0.25">
      <c r="B40" s="2" t="s">
        <v>52</v>
      </c>
      <c r="C40" s="2" t="s">
        <v>21</v>
      </c>
      <c r="D40" s="2" t="s">
        <v>21</v>
      </c>
      <c r="E40" s="2" t="s">
        <v>21</v>
      </c>
      <c r="F40" s="3">
        <v>0.251</v>
      </c>
      <c r="G40" s="2" t="s">
        <v>21</v>
      </c>
      <c r="H40" s="2" t="s">
        <v>21</v>
      </c>
      <c r="I40" s="2" t="s">
        <v>21</v>
      </c>
      <c r="J40" s="3">
        <v>0.21099999999999999</v>
      </c>
      <c r="K40" s="2" t="s">
        <v>21</v>
      </c>
      <c r="L40" s="2" t="s">
        <v>21</v>
      </c>
      <c r="M40" s="2" t="s">
        <v>21</v>
      </c>
      <c r="N40" s="2" t="s">
        <v>21</v>
      </c>
      <c r="O40" s="2" t="s">
        <v>21</v>
      </c>
      <c r="P40" s="3">
        <v>0.24</v>
      </c>
      <c r="Q40" s="2" t="s">
        <v>21</v>
      </c>
      <c r="R40" s="2" t="s">
        <v>21</v>
      </c>
      <c r="S40" s="2" t="s">
        <v>21</v>
      </c>
      <c r="T40" s="2" t="s">
        <v>21</v>
      </c>
      <c r="U40" s="2" t="s">
        <v>21</v>
      </c>
    </row>
    <row r="41" spans="2:21" x14ac:dyDescent="0.25">
      <c r="B41" s="2" t="s">
        <v>53</v>
      </c>
      <c r="C41" s="2" t="s">
        <v>21</v>
      </c>
      <c r="D41" s="2" t="s">
        <v>21</v>
      </c>
      <c r="E41" s="2" t="s">
        <v>21</v>
      </c>
      <c r="F41" s="2" t="s">
        <v>21</v>
      </c>
      <c r="G41" s="2" t="s">
        <v>21</v>
      </c>
      <c r="H41" s="2" t="s">
        <v>21</v>
      </c>
      <c r="I41" s="2" t="s">
        <v>21</v>
      </c>
      <c r="J41" s="2" t="s">
        <v>21</v>
      </c>
      <c r="K41" s="2" t="s">
        <v>21</v>
      </c>
      <c r="L41" s="2" t="s">
        <v>21</v>
      </c>
      <c r="M41" s="2" t="s">
        <v>21</v>
      </c>
      <c r="N41" s="2" t="s">
        <v>21</v>
      </c>
      <c r="O41" s="2" t="s">
        <v>21</v>
      </c>
      <c r="P41" s="3">
        <v>469300000000</v>
      </c>
      <c r="Q41" s="2" t="s">
        <v>21</v>
      </c>
      <c r="R41" s="2" t="s">
        <v>21</v>
      </c>
      <c r="S41" s="2" t="s">
        <v>21</v>
      </c>
      <c r="T41" s="2" t="s">
        <v>21</v>
      </c>
      <c r="U41" s="2" t="s">
        <v>21</v>
      </c>
    </row>
    <row r="42" spans="2:21" x14ac:dyDescent="0.25">
      <c r="B42" s="2" t="s">
        <v>54</v>
      </c>
      <c r="C42" s="2" t="s">
        <v>21</v>
      </c>
      <c r="D42" s="2" t="s">
        <v>21</v>
      </c>
      <c r="E42" s="2" t="s">
        <v>21</v>
      </c>
      <c r="F42" s="2" t="s">
        <v>21</v>
      </c>
      <c r="G42" s="3">
        <v>487200000000</v>
      </c>
      <c r="H42" s="2" t="s">
        <v>21</v>
      </c>
      <c r="I42" s="3">
        <v>189900000000</v>
      </c>
      <c r="J42" s="3">
        <v>406200000000</v>
      </c>
      <c r="K42" s="3">
        <v>426400000000</v>
      </c>
      <c r="L42" s="3">
        <v>605000000000</v>
      </c>
      <c r="M42" s="3">
        <v>380400000000</v>
      </c>
      <c r="N42" s="3">
        <v>406221000000</v>
      </c>
      <c r="O42" s="3">
        <v>1068457000000</v>
      </c>
      <c r="P42" s="3">
        <v>649100000000</v>
      </c>
      <c r="Q42" s="2" t="s">
        <v>21</v>
      </c>
      <c r="R42" s="2" t="s">
        <v>21</v>
      </c>
      <c r="S42" s="2" t="s">
        <v>21</v>
      </c>
      <c r="T42" s="2" t="s">
        <v>21</v>
      </c>
      <c r="U42" s="2" t="s">
        <v>21</v>
      </c>
    </row>
    <row r="43" spans="2:21" x14ac:dyDescent="0.25">
      <c r="B43" s="2" t="s">
        <v>55</v>
      </c>
      <c r="C43" s="3">
        <v>42000000</v>
      </c>
      <c r="D43" s="3">
        <v>36000000</v>
      </c>
      <c r="E43" s="3">
        <v>34000000</v>
      </c>
      <c r="F43" s="3">
        <v>31000000</v>
      </c>
      <c r="G43" s="3">
        <v>20000000</v>
      </c>
      <c r="H43" s="3">
        <v>0</v>
      </c>
      <c r="I43" s="3">
        <v>0</v>
      </c>
      <c r="J43" s="3">
        <v>0</v>
      </c>
      <c r="K43" s="3">
        <v>0</v>
      </c>
      <c r="L43" s="2" t="s">
        <v>21</v>
      </c>
      <c r="M43" s="3">
        <v>0</v>
      </c>
      <c r="N43" s="2" t="s">
        <v>21</v>
      </c>
      <c r="O43" s="2" t="s">
        <v>21</v>
      </c>
      <c r="P43" s="2" t="s">
        <v>21</v>
      </c>
      <c r="Q43" s="3">
        <v>0</v>
      </c>
      <c r="R43" s="2" t="s">
        <v>21</v>
      </c>
      <c r="S43" s="2" t="s">
        <v>21</v>
      </c>
      <c r="T43" s="2" t="s">
        <v>21</v>
      </c>
      <c r="U43" s="3">
        <v>0</v>
      </c>
    </row>
    <row r="44" spans="2:21" x14ac:dyDescent="0.25">
      <c r="B44" s="2" t="s">
        <v>56</v>
      </c>
      <c r="C44" s="3">
        <v>34.369999999999997</v>
      </c>
      <c r="D44" s="2" t="s">
        <v>21</v>
      </c>
      <c r="E44" s="2" t="s">
        <v>21</v>
      </c>
      <c r="F44" s="2" t="s">
        <v>21</v>
      </c>
      <c r="G44" s="2" t="s">
        <v>21</v>
      </c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21</v>
      </c>
      <c r="M44" s="2" t="s">
        <v>21</v>
      </c>
      <c r="N44" s="2" t="s">
        <v>21</v>
      </c>
      <c r="O44" s="2" t="s">
        <v>21</v>
      </c>
      <c r="P44" s="2" t="s">
        <v>21</v>
      </c>
      <c r="Q44" s="2" t="s">
        <v>21</v>
      </c>
      <c r="R44" s="2" t="s">
        <v>21</v>
      </c>
      <c r="S44" s="2" t="s">
        <v>21</v>
      </c>
      <c r="T44" s="3">
        <v>-169.03</v>
      </c>
      <c r="U44" s="3">
        <v>-35.61</v>
      </c>
    </row>
    <row r="45" spans="2:21" x14ac:dyDescent="0.25">
      <c r="B45" s="2" t="s">
        <v>57</v>
      </c>
      <c r="C45" s="3">
        <v>34.369999999999997</v>
      </c>
      <c r="D45" s="2" t="s">
        <v>21</v>
      </c>
      <c r="E45" s="2" t="s">
        <v>21</v>
      </c>
      <c r="F45" s="2" t="s">
        <v>21</v>
      </c>
      <c r="G45" s="2" t="s">
        <v>21</v>
      </c>
      <c r="H45" s="2" t="s">
        <v>21</v>
      </c>
      <c r="I45" s="2" t="s">
        <v>21</v>
      </c>
      <c r="J45" s="2" t="s">
        <v>21</v>
      </c>
      <c r="K45" s="2" t="s">
        <v>21</v>
      </c>
      <c r="L45" s="2" t="s">
        <v>21</v>
      </c>
      <c r="M45" s="2" t="s">
        <v>21</v>
      </c>
      <c r="N45" s="2" t="s">
        <v>21</v>
      </c>
      <c r="O45" s="2" t="s">
        <v>21</v>
      </c>
      <c r="P45" s="2" t="s">
        <v>21</v>
      </c>
      <c r="Q45" s="2" t="s">
        <v>21</v>
      </c>
      <c r="R45" s="2" t="s">
        <v>21</v>
      </c>
      <c r="S45" s="2" t="s">
        <v>21</v>
      </c>
      <c r="T45" s="3">
        <v>63.24</v>
      </c>
      <c r="U45" s="3">
        <v>191.15</v>
      </c>
    </row>
    <row r="46" spans="2:21" x14ac:dyDescent="0.25">
      <c r="B46" s="2" t="s">
        <v>58</v>
      </c>
      <c r="C46" s="2" t="s">
        <v>21</v>
      </c>
      <c r="D46" s="2" t="s">
        <v>21</v>
      </c>
      <c r="E46" s="2" t="s">
        <v>21</v>
      </c>
      <c r="F46" s="2" t="s">
        <v>21</v>
      </c>
      <c r="G46" s="2" t="s">
        <v>21</v>
      </c>
      <c r="H46" s="2" t="s">
        <v>21</v>
      </c>
      <c r="I46" s="2" t="s">
        <v>21</v>
      </c>
      <c r="J46" s="2" t="s">
        <v>21</v>
      </c>
      <c r="K46" s="2" t="s">
        <v>21</v>
      </c>
      <c r="L46" s="2" t="s">
        <v>21</v>
      </c>
      <c r="M46" s="2" t="s">
        <v>21</v>
      </c>
      <c r="N46" s="2" t="s">
        <v>21</v>
      </c>
      <c r="O46" s="2" t="s">
        <v>21</v>
      </c>
      <c r="P46" s="2" t="s">
        <v>21</v>
      </c>
      <c r="Q46" s="2" t="s">
        <v>21</v>
      </c>
      <c r="R46" s="2" t="s">
        <v>21</v>
      </c>
      <c r="S46" s="2" t="s">
        <v>21</v>
      </c>
      <c r="T46" s="3">
        <v>-232.27</v>
      </c>
      <c r="U46" s="3">
        <v>-226.33</v>
      </c>
    </row>
    <row r="47" spans="2:21" x14ac:dyDescent="0.25">
      <c r="B47" s="2" t="s">
        <v>59</v>
      </c>
      <c r="C47" s="3">
        <v>34.049999999999997</v>
      </c>
      <c r="D47" s="2" t="s">
        <v>21</v>
      </c>
      <c r="E47" s="2" t="s">
        <v>21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21</v>
      </c>
      <c r="R47" s="2" t="s">
        <v>21</v>
      </c>
      <c r="S47" s="2" t="s">
        <v>21</v>
      </c>
      <c r="T47" s="3">
        <v>-169.03</v>
      </c>
      <c r="U47" s="3">
        <v>-35.79</v>
      </c>
    </row>
    <row r="48" spans="2:21" x14ac:dyDescent="0.25">
      <c r="B48" s="2" t="s">
        <v>60</v>
      </c>
      <c r="C48" s="3">
        <v>34.049999999999997</v>
      </c>
      <c r="D48" s="2" t="s">
        <v>21</v>
      </c>
      <c r="E48" s="2" t="s">
        <v>21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  <c r="Q48" s="2" t="s">
        <v>21</v>
      </c>
      <c r="R48" s="2" t="s">
        <v>21</v>
      </c>
      <c r="S48" s="2" t="s">
        <v>21</v>
      </c>
      <c r="T48" s="3">
        <v>62.82</v>
      </c>
      <c r="U48" s="3">
        <v>189.9</v>
      </c>
    </row>
    <row r="49" spans="2:21" x14ac:dyDescent="0.25">
      <c r="B49" s="2" t="s">
        <v>61</v>
      </c>
      <c r="C49" s="2" t="s">
        <v>21</v>
      </c>
      <c r="D49" s="2" t="s">
        <v>21</v>
      </c>
      <c r="E49" s="2" t="s">
        <v>21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21</v>
      </c>
      <c r="Q49" s="2" t="s">
        <v>21</v>
      </c>
      <c r="R49" s="2" t="s">
        <v>21</v>
      </c>
      <c r="S49" s="2" t="s">
        <v>21</v>
      </c>
      <c r="T49" s="3">
        <v>-232.27</v>
      </c>
      <c r="U49" s="3">
        <v>-226.33</v>
      </c>
    </row>
    <row r="50" spans="2:21" x14ac:dyDescent="0.25">
      <c r="B50" s="2" t="s">
        <v>62</v>
      </c>
      <c r="C50" s="3">
        <v>6200250000</v>
      </c>
      <c r="D50" s="2" t="s">
        <v>21</v>
      </c>
      <c r="E50" s="2" t="s">
        <v>21</v>
      </c>
      <c r="F50" s="2" t="s">
        <v>21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2" t="s">
        <v>21</v>
      </c>
      <c r="M50" s="2" t="s">
        <v>21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21</v>
      </c>
      <c r="S50" s="2" t="s">
        <v>21</v>
      </c>
      <c r="T50" s="3">
        <v>5966945000</v>
      </c>
      <c r="U50" s="3">
        <v>5998001000</v>
      </c>
    </row>
    <row r="51" spans="2:21" x14ac:dyDescent="0.25">
      <c r="B51" s="2" t="s">
        <v>63</v>
      </c>
      <c r="C51" s="3">
        <v>6259635000</v>
      </c>
      <c r="D51" s="2" t="s">
        <v>21</v>
      </c>
      <c r="E51" s="2" t="s">
        <v>21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21</v>
      </c>
      <c r="N51" s="2" t="s">
        <v>21</v>
      </c>
      <c r="O51" s="2" t="s">
        <v>21</v>
      </c>
      <c r="P51" s="2" t="s">
        <v>21</v>
      </c>
      <c r="Q51" s="2" t="s">
        <v>21</v>
      </c>
      <c r="R51" s="2" t="s">
        <v>21</v>
      </c>
      <c r="S51" s="2" t="s">
        <v>21</v>
      </c>
      <c r="T51" s="3">
        <v>6006497000</v>
      </c>
      <c r="U51" s="3">
        <v>6036242500</v>
      </c>
    </row>
    <row r="52" spans="2:21" x14ac:dyDescent="0.25">
      <c r="B52" s="2" t="s">
        <v>64</v>
      </c>
      <c r="C52" s="3">
        <v>6</v>
      </c>
      <c r="D52" s="2" t="s">
        <v>21</v>
      </c>
      <c r="E52" s="2" t="s">
        <v>21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21</v>
      </c>
      <c r="M52" s="2" t="s">
        <v>21</v>
      </c>
      <c r="N52" s="2" t="s">
        <v>21</v>
      </c>
      <c r="O52" s="2" t="s">
        <v>21</v>
      </c>
      <c r="P52" s="2" t="s">
        <v>21</v>
      </c>
      <c r="Q52" s="2" t="s">
        <v>21</v>
      </c>
      <c r="R52" s="2" t="s">
        <v>21</v>
      </c>
      <c r="S52" s="2" t="s">
        <v>21</v>
      </c>
      <c r="T52" s="2" t="s">
        <v>21</v>
      </c>
      <c r="U52" s="3">
        <v>22.5</v>
      </c>
    </row>
    <row r="53" spans="2:21" x14ac:dyDescent="0.25">
      <c r="B53" s="2" t="s">
        <v>65</v>
      </c>
      <c r="C53" s="3">
        <v>6</v>
      </c>
      <c r="D53" s="2" t="s">
        <v>21</v>
      </c>
      <c r="E53" s="2" t="s">
        <v>21</v>
      </c>
      <c r="F53" s="2" t="s">
        <v>21</v>
      </c>
      <c r="G53" s="2" t="s">
        <v>21</v>
      </c>
      <c r="H53" s="2" t="s">
        <v>21</v>
      </c>
      <c r="I53" s="2" t="s">
        <v>21</v>
      </c>
      <c r="J53" s="2" t="s">
        <v>21</v>
      </c>
      <c r="K53" s="2" t="s">
        <v>21</v>
      </c>
      <c r="L53" s="2" t="s">
        <v>21</v>
      </c>
      <c r="M53" s="2" t="s">
        <v>21</v>
      </c>
      <c r="N53" s="2" t="s">
        <v>21</v>
      </c>
      <c r="O53" s="2" t="s">
        <v>21</v>
      </c>
      <c r="P53" s="2" t="s">
        <v>21</v>
      </c>
      <c r="Q53" s="2" t="s">
        <v>21</v>
      </c>
      <c r="R53" s="2" t="s">
        <v>21</v>
      </c>
      <c r="S53" s="2" t="s">
        <v>21</v>
      </c>
      <c r="T53" s="2" t="s">
        <v>21</v>
      </c>
      <c r="U53" s="3">
        <v>22.5</v>
      </c>
    </row>
    <row r="54" spans="2:21" x14ac:dyDescent="0.25">
      <c r="B54" s="2" t="s">
        <v>56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3">
        <v>32.44</v>
      </c>
      <c r="L54" s="3">
        <v>59.13</v>
      </c>
      <c r="M54" s="3">
        <v>30.82</v>
      </c>
      <c r="N54" s="3">
        <v>37.979999999999997</v>
      </c>
      <c r="O54" s="3">
        <v>55.93</v>
      </c>
      <c r="P54" s="3">
        <v>62.07</v>
      </c>
      <c r="Q54" s="3">
        <v>32.81</v>
      </c>
      <c r="R54" s="3">
        <v>39.4</v>
      </c>
      <c r="S54" s="3">
        <v>60.48</v>
      </c>
      <c r="T54" s="3">
        <v>-169.03</v>
      </c>
      <c r="U54" s="3">
        <v>-35.54</v>
      </c>
    </row>
    <row r="55" spans="2:21" x14ac:dyDescent="0.25">
      <c r="B55" s="2" t="s">
        <v>59</v>
      </c>
      <c r="C55" s="2" t="s">
        <v>21</v>
      </c>
      <c r="D55" s="2" t="s">
        <v>21</v>
      </c>
      <c r="E55" s="2" t="s">
        <v>21</v>
      </c>
      <c r="F55" s="2" t="s">
        <v>21</v>
      </c>
      <c r="G55" s="2" t="s">
        <v>21</v>
      </c>
      <c r="H55" s="2" t="s">
        <v>21</v>
      </c>
      <c r="I55" s="2" t="s">
        <v>21</v>
      </c>
      <c r="J55" s="2" t="s">
        <v>21</v>
      </c>
      <c r="K55" s="3">
        <v>32.35</v>
      </c>
      <c r="L55" s="3">
        <v>58.96</v>
      </c>
      <c r="M55" s="3">
        <v>30.72</v>
      </c>
      <c r="N55" s="3">
        <v>37.89</v>
      </c>
      <c r="O55" s="3">
        <v>55.74</v>
      </c>
      <c r="P55" s="3">
        <v>61.82</v>
      </c>
      <c r="Q55" s="3">
        <v>32.630000000000003</v>
      </c>
      <c r="R55" s="3">
        <v>39.18</v>
      </c>
      <c r="S55" s="3">
        <v>60.1</v>
      </c>
      <c r="T55" s="3">
        <v>-169.03</v>
      </c>
      <c r="U55" s="3">
        <v>-35.75</v>
      </c>
    </row>
    <row r="56" spans="2:21" x14ac:dyDescent="0.25">
      <c r="B56" s="2" t="s">
        <v>66</v>
      </c>
      <c r="C56" s="2" t="s">
        <v>21</v>
      </c>
      <c r="D56" s="2" t="s">
        <v>21</v>
      </c>
      <c r="E56" s="2" t="s">
        <v>21</v>
      </c>
      <c r="F56" s="2" t="s">
        <v>21</v>
      </c>
      <c r="G56" s="2" t="s">
        <v>21</v>
      </c>
      <c r="H56" s="2" t="s">
        <v>21</v>
      </c>
      <c r="I56" s="2" t="s">
        <v>21</v>
      </c>
      <c r="J56" s="2" t="s">
        <v>21</v>
      </c>
      <c r="K56" s="3">
        <v>6167940000</v>
      </c>
      <c r="L56" s="3">
        <v>6154025000</v>
      </c>
      <c r="M56" s="3">
        <v>6131655000</v>
      </c>
      <c r="N56" s="3">
        <v>6098848415</v>
      </c>
      <c r="O56" s="3">
        <v>6051720000</v>
      </c>
      <c r="P56" s="3">
        <v>6021151000</v>
      </c>
      <c r="Q56" s="3">
        <v>6026888000</v>
      </c>
      <c r="R56" s="3">
        <v>6013191000</v>
      </c>
      <c r="S56" s="3">
        <v>5984979000</v>
      </c>
      <c r="T56" s="3">
        <v>5966945000</v>
      </c>
      <c r="U56" s="3">
        <v>5998001000</v>
      </c>
    </row>
    <row r="57" spans="2:21" x14ac:dyDescent="0.25">
      <c r="B57" s="2" t="s">
        <v>67</v>
      </c>
      <c r="C57" s="2" t="s">
        <v>21</v>
      </c>
      <c r="D57" s="2" t="s">
        <v>21</v>
      </c>
      <c r="E57" s="2" t="s">
        <v>21</v>
      </c>
      <c r="F57" s="2" t="s">
        <v>21</v>
      </c>
      <c r="G57" s="2" t="s">
        <v>21</v>
      </c>
      <c r="H57" s="2" t="s">
        <v>21</v>
      </c>
      <c r="I57" s="2" t="s">
        <v>21</v>
      </c>
      <c r="J57" s="2" t="s">
        <v>21</v>
      </c>
      <c r="K57" s="3">
        <v>6186115000</v>
      </c>
      <c r="L57" s="3">
        <v>6171790000</v>
      </c>
      <c r="M57" s="3">
        <v>6154605000</v>
      </c>
      <c r="N57" s="3">
        <v>6114030000</v>
      </c>
      <c r="O57" s="3">
        <v>6073205000</v>
      </c>
      <c r="P57" s="3">
        <v>6045926000</v>
      </c>
      <c r="Q57" s="3">
        <v>6061474000</v>
      </c>
      <c r="R57" s="3">
        <v>6046910000</v>
      </c>
      <c r="S57" s="3">
        <v>6022680000</v>
      </c>
      <c r="T57" s="3">
        <v>6006497000</v>
      </c>
      <c r="U57" s="3">
        <v>6036242500</v>
      </c>
    </row>
    <row r="58" spans="2:21" x14ac:dyDescent="0.25">
      <c r="B58" s="2" t="s">
        <v>68</v>
      </c>
    </row>
    <row r="69" spans="2:20" x14ac:dyDescent="0.25">
      <c r="B69" s="2" t="s">
        <v>69</v>
      </c>
      <c r="C69" s="3">
        <v>28666866000000</v>
      </c>
      <c r="D69" s="3">
        <v>29995137000000</v>
      </c>
      <c r="E69" s="3">
        <v>30480967000000</v>
      </c>
      <c r="F69" s="3">
        <v>30374896000000</v>
      </c>
      <c r="G69" s="3">
        <v>31376002000000</v>
      </c>
      <c r="H69" s="3">
        <v>30872490000000</v>
      </c>
      <c r="I69" s="3">
        <v>32041222000000</v>
      </c>
      <c r="J69" s="3">
        <v>32860017000000</v>
      </c>
      <c r="K69" s="3">
        <v>32968793000000</v>
      </c>
      <c r="L69" s="3">
        <v>33643625000000</v>
      </c>
      <c r="M69" s="3">
        <v>34107490000000</v>
      </c>
      <c r="N69" s="3">
        <v>34677809000000</v>
      </c>
      <c r="O69" s="3">
        <v>34280701000000</v>
      </c>
      <c r="P69" s="3">
        <v>35991547000000</v>
      </c>
      <c r="Q69" s="3">
        <v>35293173000000</v>
      </c>
      <c r="R69" s="3">
        <v>35134517000000</v>
      </c>
      <c r="S69" s="3">
        <v>36127949000000</v>
      </c>
      <c r="T69" s="3">
        <v>15884971000000</v>
      </c>
    </row>
    <row r="70" spans="2:20" x14ac:dyDescent="0.25">
      <c r="B70" s="2" t="s">
        <v>70</v>
      </c>
      <c r="C70" s="3">
        <v>4719646000000</v>
      </c>
      <c r="D70" s="3">
        <v>5341269000000</v>
      </c>
      <c r="E70" s="3">
        <v>5535208000000</v>
      </c>
      <c r="F70" s="3">
        <v>5284521000000</v>
      </c>
      <c r="G70" s="3">
        <v>5633033000000</v>
      </c>
      <c r="H70" s="3">
        <v>5766315000000</v>
      </c>
      <c r="I70" s="3">
        <v>5776518000000</v>
      </c>
      <c r="J70" s="3">
        <v>6475652000000</v>
      </c>
      <c r="K70" s="3">
        <v>7026975000000</v>
      </c>
      <c r="L70" s="3">
        <v>7368914000000</v>
      </c>
      <c r="M70" s="3">
        <v>6776806000000</v>
      </c>
      <c r="N70" s="3">
        <v>6555737000000</v>
      </c>
      <c r="O70" s="3">
        <v>6767554000000</v>
      </c>
      <c r="P70" s="3">
        <v>7557474000000</v>
      </c>
      <c r="Q70" s="3">
        <v>7454988000000</v>
      </c>
      <c r="R70" s="3">
        <v>26346792000000</v>
      </c>
      <c r="S70" s="3">
        <v>27237201000000</v>
      </c>
      <c r="T70" s="3">
        <v>6286847000000</v>
      </c>
    </row>
    <row r="71" spans="2:20" x14ac:dyDescent="0.25">
      <c r="B71" s="2" t="s">
        <v>71</v>
      </c>
      <c r="C71" s="3">
        <v>1951881000000</v>
      </c>
      <c r="D71" s="3">
        <v>2284070000000</v>
      </c>
      <c r="E71" s="3">
        <v>2465463000000</v>
      </c>
      <c r="F71" s="3">
        <v>1851359000000</v>
      </c>
      <c r="G71" s="3">
        <v>1709379000000</v>
      </c>
      <c r="H71" s="3">
        <v>1755996000000</v>
      </c>
      <c r="I71" s="3">
        <v>1834713000000</v>
      </c>
      <c r="J71" s="3">
        <v>2085624000000</v>
      </c>
      <c r="K71" s="3">
        <v>2147409000000</v>
      </c>
      <c r="L71" s="3">
        <v>2606774000000</v>
      </c>
      <c r="M71" s="3">
        <v>2330080000000</v>
      </c>
      <c r="N71" s="3">
        <v>2017029000000</v>
      </c>
      <c r="O71" s="3">
        <v>2235270000000</v>
      </c>
      <c r="P71" s="3">
        <v>3075706000000</v>
      </c>
      <c r="Q71" s="3">
        <v>3448281000000</v>
      </c>
      <c r="R71" s="3">
        <v>1627270000000</v>
      </c>
      <c r="S71" s="3">
        <v>1522331000000</v>
      </c>
      <c r="T71" s="3">
        <v>2115265000000</v>
      </c>
    </row>
    <row r="72" spans="2:20" x14ac:dyDescent="0.25">
      <c r="B72" s="2" t="s">
        <v>72</v>
      </c>
      <c r="C72" s="3">
        <v>1473783000000</v>
      </c>
      <c r="D72" s="3">
        <v>1822578000000</v>
      </c>
      <c r="E72" s="3">
        <v>2049636000000</v>
      </c>
      <c r="F72" s="3">
        <v>1371867000000</v>
      </c>
      <c r="G72" s="3">
        <v>1209752000000</v>
      </c>
      <c r="H72" s="3">
        <v>1287980000000</v>
      </c>
      <c r="I72" s="3">
        <v>1480900000000</v>
      </c>
      <c r="J72" s="3">
        <v>1532099000000</v>
      </c>
      <c r="K72" s="3">
        <v>1626514000000</v>
      </c>
      <c r="L72" s="3">
        <v>2019112000000</v>
      </c>
      <c r="M72" s="3">
        <v>1907113000000</v>
      </c>
      <c r="N72" s="3">
        <v>1477098000000</v>
      </c>
      <c r="O72" s="3">
        <v>1728710000000</v>
      </c>
      <c r="P72" s="3">
        <v>2491949000000</v>
      </c>
      <c r="Q72" s="3">
        <v>2980956000000</v>
      </c>
      <c r="R72" s="3">
        <v>1600109000000</v>
      </c>
      <c r="S72" s="3">
        <v>1497897000000</v>
      </c>
      <c r="T72" s="3">
        <v>2086500000000</v>
      </c>
    </row>
    <row r="73" spans="2:20" x14ac:dyDescent="0.25">
      <c r="B73" s="2" t="s">
        <v>73</v>
      </c>
      <c r="C73" s="2" t="s">
        <v>21</v>
      </c>
      <c r="D73" s="2" t="s">
        <v>21</v>
      </c>
      <c r="E73" s="2" t="s">
        <v>21</v>
      </c>
      <c r="F73" s="2" t="s">
        <v>21</v>
      </c>
      <c r="G73" s="2" t="s">
        <v>21</v>
      </c>
      <c r="H73" s="2" t="s">
        <v>21</v>
      </c>
      <c r="I73" s="2" t="s">
        <v>21</v>
      </c>
      <c r="J73" s="2" t="s">
        <v>21</v>
      </c>
      <c r="K73" s="2" t="s">
        <v>21</v>
      </c>
      <c r="L73" s="2" t="s">
        <v>21</v>
      </c>
      <c r="M73" s="2" t="s">
        <v>21</v>
      </c>
      <c r="N73" s="2" t="s">
        <v>21</v>
      </c>
      <c r="O73" s="2" t="s">
        <v>21</v>
      </c>
      <c r="P73" s="2" t="s">
        <v>21</v>
      </c>
      <c r="Q73" s="3">
        <v>1885112000000</v>
      </c>
      <c r="R73" s="2" t="s">
        <v>21</v>
      </c>
      <c r="S73" s="2" t="s">
        <v>21</v>
      </c>
      <c r="T73" s="2" t="s">
        <v>21</v>
      </c>
    </row>
    <row r="74" spans="2:20" x14ac:dyDescent="0.25">
      <c r="B74" s="2" t="s">
        <v>74</v>
      </c>
      <c r="C74" s="2" t="s">
        <v>21</v>
      </c>
      <c r="D74" s="2" t="s">
        <v>21</v>
      </c>
      <c r="E74" s="2" t="s">
        <v>21</v>
      </c>
      <c r="F74" s="2" t="s">
        <v>21</v>
      </c>
      <c r="G74" s="2" t="s">
        <v>21</v>
      </c>
      <c r="H74" s="2" t="s">
        <v>21</v>
      </c>
      <c r="I74" s="2" t="s">
        <v>21</v>
      </c>
      <c r="J74" s="2" t="s">
        <v>21</v>
      </c>
      <c r="K74" s="2" t="s">
        <v>21</v>
      </c>
      <c r="L74" s="2" t="s">
        <v>21</v>
      </c>
      <c r="M74" s="2" t="s">
        <v>21</v>
      </c>
      <c r="N74" s="2" t="s">
        <v>21</v>
      </c>
      <c r="O74" s="2" t="s">
        <v>21</v>
      </c>
      <c r="P74" s="2" t="s">
        <v>21</v>
      </c>
      <c r="Q74" s="3">
        <v>1095844000000</v>
      </c>
      <c r="R74" s="2" t="s">
        <v>21</v>
      </c>
      <c r="S74" s="2" t="s">
        <v>21</v>
      </c>
      <c r="T74" s="2" t="s">
        <v>21</v>
      </c>
    </row>
    <row r="75" spans="2:20" x14ac:dyDescent="0.25">
      <c r="B75" s="2" t="s">
        <v>75</v>
      </c>
      <c r="C75" s="3">
        <v>478098000000</v>
      </c>
      <c r="D75" s="3">
        <v>461492000000</v>
      </c>
      <c r="E75" s="3">
        <v>415827000000</v>
      </c>
      <c r="F75" s="3">
        <v>479492000000</v>
      </c>
      <c r="G75" s="3">
        <v>499627000000</v>
      </c>
      <c r="H75" s="3">
        <v>468016000000</v>
      </c>
      <c r="I75" s="3">
        <v>353813000000</v>
      </c>
      <c r="J75" s="3">
        <v>553525000000</v>
      </c>
      <c r="K75" s="3">
        <v>520895000000</v>
      </c>
      <c r="L75" s="3">
        <v>587662000000</v>
      </c>
      <c r="M75" s="3">
        <v>422967000000</v>
      </c>
      <c r="N75" s="3">
        <v>539931000000</v>
      </c>
      <c r="O75" s="3">
        <v>506560000000</v>
      </c>
      <c r="P75" s="3">
        <v>583757000000</v>
      </c>
      <c r="Q75" s="3">
        <v>467325000000</v>
      </c>
      <c r="R75" s="3">
        <v>27161000000</v>
      </c>
      <c r="S75" s="3">
        <v>24434000000</v>
      </c>
      <c r="T75" s="3">
        <v>28765000000</v>
      </c>
    </row>
    <row r="76" spans="2:20" x14ac:dyDescent="0.25">
      <c r="B76" s="2" t="s">
        <v>76</v>
      </c>
      <c r="C76" s="3">
        <v>478098000000</v>
      </c>
      <c r="D76" s="3">
        <v>461492000000</v>
      </c>
      <c r="E76" s="3">
        <v>415827000000</v>
      </c>
      <c r="F76" s="3">
        <v>479492000000</v>
      </c>
      <c r="G76" s="3">
        <v>499627000000</v>
      </c>
      <c r="H76" s="3">
        <v>468016000000</v>
      </c>
      <c r="I76" s="3">
        <v>353813000000</v>
      </c>
      <c r="J76" s="3">
        <v>553525000000</v>
      </c>
      <c r="K76" s="3">
        <v>520895000000</v>
      </c>
      <c r="L76" s="3">
        <v>587662000000</v>
      </c>
      <c r="M76" s="3">
        <v>422967000000</v>
      </c>
      <c r="N76" s="3">
        <v>539931000000</v>
      </c>
      <c r="O76" s="3">
        <v>506560000000</v>
      </c>
      <c r="P76" s="3">
        <v>583757000000</v>
      </c>
      <c r="Q76" s="3">
        <v>467325000000</v>
      </c>
      <c r="R76" s="3">
        <v>27161000000</v>
      </c>
      <c r="S76" s="3">
        <v>24434000000</v>
      </c>
      <c r="T76" s="3">
        <v>28765000000</v>
      </c>
    </row>
    <row r="77" spans="2:20" x14ac:dyDescent="0.25">
      <c r="B77" s="2" t="s">
        <v>77</v>
      </c>
      <c r="C77" s="2" t="s">
        <v>21</v>
      </c>
      <c r="D77" s="2" t="s">
        <v>21</v>
      </c>
      <c r="E77" s="2" t="s">
        <v>21</v>
      </c>
      <c r="F77" s="2" t="s">
        <v>21</v>
      </c>
      <c r="G77" s="2" t="s">
        <v>21</v>
      </c>
      <c r="H77" s="2" t="s">
        <v>21</v>
      </c>
      <c r="I77" s="2" t="s">
        <v>21</v>
      </c>
      <c r="J77" s="2" t="s">
        <v>21</v>
      </c>
      <c r="K77" s="2" t="s">
        <v>21</v>
      </c>
      <c r="L77" s="2" t="s">
        <v>21</v>
      </c>
      <c r="M77" s="2" t="s">
        <v>21</v>
      </c>
      <c r="N77" s="2" t="s">
        <v>21</v>
      </c>
      <c r="O77" s="2" t="s">
        <v>21</v>
      </c>
      <c r="P77" s="2" t="s">
        <v>21</v>
      </c>
      <c r="Q77" s="2" t="s">
        <v>21</v>
      </c>
      <c r="R77" s="2" t="s">
        <v>21</v>
      </c>
      <c r="S77" s="2" t="s">
        <v>21</v>
      </c>
      <c r="T77" s="2" t="s">
        <v>21</v>
      </c>
    </row>
    <row r="78" spans="2:20" x14ac:dyDescent="0.25">
      <c r="B78" s="2" t="s">
        <v>78</v>
      </c>
      <c r="C78" s="3">
        <v>847963000000</v>
      </c>
      <c r="D78" s="3">
        <v>788398000000</v>
      </c>
      <c r="E78" s="3">
        <v>874007000000</v>
      </c>
      <c r="F78" s="3">
        <v>1093667000000</v>
      </c>
      <c r="G78" s="3">
        <v>1416367000000</v>
      </c>
      <c r="H78" s="3">
        <v>1464515000000</v>
      </c>
      <c r="I78" s="3">
        <v>1468042000000</v>
      </c>
      <c r="J78" s="3">
        <v>1829510000000</v>
      </c>
      <c r="K78" s="3">
        <v>2067624000000</v>
      </c>
      <c r="L78" s="3">
        <v>1629886000000</v>
      </c>
      <c r="M78" s="3">
        <v>1518644000000</v>
      </c>
      <c r="N78" s="3">
        <v>1692709000000</v>
      </c>
      <c r="O78" s="3">
        <v>1736206000000</v>
      </c>
      <c r="P78" s="3">
        <v>1389047000000</v>
      </c>
      <c r="Q78" s="3">
        <v>1310770000000</v>
      </c>
      <c r="R78" s="3">
        <v>1464832000000</v>
      </c>
      <c r="S78" s="3">
        <v>1676231000000</v>
      </c>
      <c r="T78" s="3">
        <v>1263689000000</v>
      </c>
    </row>
    <row r="79" spans="2:20" x14ac:dyDescent="0.25">
      <c r="B79" s="2" t="s">
        <v>79</v>
      </c>
      <c r="C79" s="2" t="s">
        <v>21</v>
      </c>
      <c r="D79" s="2" t="s">
        <v>21</v>
      </c>
      <c r="E79" s="3">
        <v>177189000000</v>
      </c>
      <c r="F79" s="2" t="s">
        <v>21</v>
      </c>
      <c r="G79" s="2" t="s">
        <v>21</v>
      </c>
      <c r="H79" s="2" t="s">
        <v>21</v>
      </c>
      <c r="I79" s="3">
        <v>195288000000</v>
      </c>
      <c r="J79" s="2" t="s">
        <v>21</v>
      </c>
      <c r="K79" s="2" t="s">
        <v>21</v>
      </c>
      <c r="L79" s="2" t="s">
        <v>21</v>
      </c>
      <c r="M79" s="3">
        <v>176265000000</v>
      </c>
      <c r="N79" s="2" t="s">
        <v>21</v>
      </c>
      <c r="O79" s="2" t="s">
        <v>21</v>
      </c>
      <c r="P79" s="2" t="s">
        <v>21</v>
      </c>
      <c r="Q79" s="3">
        <v>159000000000</v>
      </c>
      <c r="R79" s="2" t="s">
        <v>21</v>
      </c>
      <c r="S79" s="2" t="s">
        <v>21</v>
      </c>
      <c r="T79" s="2" t="s">
        <v>21</v>
      </c>
    </row>
    <row r="80" spans="2:20" x14ac:dyDescent="0.25">
      <c r="B80" s="2" t="s">
        <v>80</v>
      </c>
      <c r="C80" s="2" t="s">
        <v>21</v>
      </c>
      <c r="D80" s="2" t="s">
        <v>21</v>
      </c>
      <c r="E80" s="3">
        <v>163206000000</v>
      </c>
      <c r="F80" s="2" t="s">
        <v>21</v>
      </c>
      <c r="G80" s="2" t="s">
        <v>21</v>
      </c>
      <c r="H80" s="2" t="s">
        <v>21</v>
      </c>
      <c r="I80" s="3">
        <v>244140000000</v>
      </c>
      <c r="J80" s="2" t="s">
        <v>21</v>
      </c>
      <c r="K80" s="2" t="s">
        <v>21</v>
      </c>
      <c r="L80" s="2" t="s">
        <v>21</v>
      </c>
      <c r="M80" s="3">
        <v>314020000000</v>
      </c>
      <c r="N80" s="2" t="s">
        <v>21</v>
      </c>
      <c r="O80" s="2" t="s">
        <v>21</v>
      </c>
      <c r="P80" s="2" t="s">
        <v>21</v>
      </c>
      <c r="Q80" s="3">
        <v>314011000000</v>
      </c>
      <c r="R80" s="2" t="s">
        <v>21</v>
      </c>
      <c r="S80" s="2" t="s">
        <v>21</v>
      </c>
      <c r="T80" s="2" t="s">
        <v>21</v>
      </c>
    </row>
    <row r="81" spans="2:20" x14ac:dyDescent="0.25">
      <c r="B81" s="2" t="s">
        <v>81</v>
      </c>
      <c r="C81" s="2" t="s">
        <v>21</v>
      </c>
      <c r="D81" s="2" t="s">
        <v>21</v>
      </c>
      <c r="E81" s="3">
        <v>533612000000</v>
      </c>
      <c r="F81" s="2" t="s">
        <v>21</v>
      </c>
      <c r="G81" s="2" t="s">
        <v>21</v>
      </c>
      <c r="H81" s="2" t="s">
        <v>21</v>
      </c>
      <c r="I81" s="3">
        <v>1028614000000</v>
      </c>
      <c r="J81" s="2" t="s">
        <v>21</v>
      </c>
      <c r="K81" s="2" t="s">
        <v>21</v>
      </c>
      <c r="L81" s="2" t="s">
        <v>21</v>
      </c>
      <c r="M81" s="3">
        <v>1028359000000</v>
      </c>
      <c r="N81" s="2" t="s">
        <v>21</v>
      </c>
      <c r="O81" s="2" t="s">
        <v>21</v>
      </c>
      <c r="P81" s="2" t="s">
        <v>21</v>
      </c>
      <c r="Q81" s="3">
        <v>837759000000</v>
      </c>
      <c r="R81" s="2" t="s">
        <v>21</v>
      </c>
      <c r="S81" s="2" t="s">
        <v>21</v>
      </c>
      <c r="T81" s="2" t="s">
        <v>21</v>
      </c>
    </row>
    <row r="82" spans="2:20" x14ac:dyDescent="0.25">
      <c r="B82" s="2" t="s">
        <v>82</v>
      </c>
      <c r="C82" s="3">
        <v>1499999000000</v>
      </c>
      <c r="D82" s="3">
        <v>1820533000000</v>
      </c>
      <c r="E82" s="3">
        <v>1628521000000</v>
      </c>
      <c r="F82" s="3">
        <v>1775516000000</v>
      </c>
      <c r="G82" s="3">
        <v>1940402000000</v>
      </c>
      <c r="H82" s="3">
        <v>1978985000000</v>
      </c>
      <c r="I82" s="3">
        <v>1777939000000</v>
      </c>
      <c r="J82" s="3">
        <v>1891298000000</v>
      </c>
      <c r="K82" s="3">
        <v>2168756000000</v>
      </c>
      <c r="L82" s="3">
        <v>2410040000000</v>
      </c>
      <c r="M82" s="3">
        <v>2158196000000</v>
      </c>
      <c r="N82" s="3">
        <v>2080143000000</v>
      </c>
      <c r="O82" s="3">
        <v>2151146000000</v>
      </c>
      <c r="P82" s="3">
        <v>2457067000000</v>
      </c>
      <c r="Q82" s="3">
        <v>1943184000000</v>
      </c>
      <c r="R82" s="3">
        <v>1687462000000</v>
      </c>
      <c r="S82" s="3">
        <v>2039581000000</v>
      </c>
      <c r="T82" s="3">
        <v>2213801000000</v>
      </c>
    </row>
    <row r="83" spans="2:20" x14ac:dyDescent="0.25">
      <c r="B83" s="2" t="s">
        <v>83</v>
      </c>
      <c r="C83" s="3">
        <v>1499999000000</v>
      </c>
      <c r="D83" s="3">
        <v>1820533000000</v>
      </c>
      <c r="E83" s="3">
        <v>1628521000000</v>
      </c>
      <c r="F83" s="3">
        <v>1775516000000</v>
      </c>
      <c r="G83" s="3">
        <v>1940402000000</v>
      </c>
      <c r="H83" s="3">
        <v>1978985000000</v>
      </c>
      <c r="I83" s="3">
        <v>1777939000000</v>
      </c>
      <c r="J83" s="3">
        <v>1891298000000</v>
      </c>
      <c r="K83" s="3">
        <v>2168756000000</v>
      </c>
      <c r="L83" s="3">
        <v>2410040000000</v>
      </c>
      <c r="M83" s="3">
        <v>2158196000000</v>
      </c>
      <c r="N83" s="3">
        <v>2080143000000</v>
      </c>
      <c r="O83" s="3">
        <v>2151146000000</v>
      </c>
      <c r="P83" s="3">
        <v>2457067000000</v>
      </c>
      <c r="Q83" s="3">
        <v>1943184000000</v>
      </c>
      <c r="R83" s="3">
        <v>1687462000000</v>
      </c>
      <c r="S83" s="3">
        <v>2039581000000</v>
      </c>
      <c r="T83" s="3">
        <v>2213801000000</v>
      </c>
    </row>
    <row r="84" spans="2:20" x14ac:dyDescent="0.25">
      <c r="B84" s="2" t="s">
        <v>84</v>
      </c>
      <c r="C84" s="2" t="s">
        <v>21</v>
      </c>
      <c r="D84" s="2" t="s">
        <v>21</v>
      </c>
      <c r="E84" s="2" t="s">
        <v>21</v>
      </c>
      <c r="F84" s="2" t="s">
        <v>21</v>
      </c>
      <c r="G84" s="2" t="s">
        <v>21</v>
      </c>
      <c r="H84" s="2" t="s">
        <v>21</v>
      </c>
      <c r="I84" s="2" t="s">
        <v>21</v>
      </c>
      <c r="J84" s="2" t="s">
        <v>21</v>
      </c>
      <c r="K84" s="2" t="s">
        <v>21</v>
      </c>
      <c r="L84" s="2" t="s">
        <v>21</v>
      </c>
      <c r="M84" s="2" t="s">
        <v>21</v>
      </c>
      <c r="N84" s="2" t="s">
        <v>21</v>
      </c>
      <c r="O84" s="2" t="s">
        <v>21</v>
      </c>
      <c r="P84" s="2" t="s">
        <v>21</v>
      </c>
      <c r="Q84" s="2" t="s">
        <v>21</v>
      </c>
      <c r="R84" s="2" t="s">
        <v>21</v>
      </c>
      <c r="S84" s="2" t="s">
        <v>21</v>
      </c>
      <c r="T84" s="2" t="s">
        <v>21</v>
      </c>
    </row>
    <row r="85" spans="2:20" x14ac:dyDescent="0.25">
      <c r="B85" s="2" t="s">
        <v>85</v>
      </c>
      <c r="C85" s="2" t="s">
        <v>21</v>
      </c>
      <c r="D85" s="2" t="s">
        <v>21</v>
      </c>
      <c r="E85" s="2" t="s">
        <v>21</v>
      </c>
      <c r="F85" s="2" t="s">
        <v>21</v>
      </c>
      <c r="G85" s="2" t="s">
        <v>21</v>
      </c>
      <c r="H85" s="2" t="s">
        <v>21</v>
      </c>
      <c r="I85" s="2" t="s">
        <v>21</v>
      </c>
      <c r="J85" s="2" t="s">
        <v>21</v>
      </c>
      <c r="K85" s="2" t="s">
        <v>21</v>
      </c>
      <c r="L85" s="2" t="s">
        <v>21</v>
      </c>
      <c r="M85" s="2" t="s">
        <v>21</v>
      </c>
      <c r="N85" s="2" t="s">
        <v>21</v>
      </c>
      <c r="O85" s="2" t="s">
        <v>21</v>
      </c>
      <c r="P85" s="2" t="s">
        <v>21</v>
      </c>
      <c r="Q85" s="2" t="s">
        <v>21</v>
      </c>
      <c r="R85" s="2" t="s">
        <v>21</v>
      </c>
      <c r="S85" s="2" t="s">
        <v>21</v>
      </c>
      <c r="T85" s="2" t="s">
        <v>21</v>
      </c>
    </row>
    <row r="86" spans="2:20" x14ac:dyDescent="0.25">
      <c r="B86" s="2" t="s">
        <v>86</v>
      </c>
      <c r="C86" s="2" t="s">
        <v>21</v>
      </c>
      <c r="D86" s="2" t="s">
        <v>21</v>
      </c>
      <c r="E86" s="2" t="s">
        <v>21</v>
      </c>
      <c r="F86" s="2" t="s">
        <v>21</v>
      </c>
      <c r="G86" s="2" t="s">
        <v>21</v>
      </c>
      <c r="H86" s="2" t="s">
        <v>21</v>
      </c>
      <c r="I86" s="2" t="s">
        <v>21</v>
      </c>
      <c r="J86" s="2" t="s">
        <v>21</v>
      </c>
      <c r="K86" s="2" t="s">
        <v>21</v>
      </c>
      <c r="L86" s="2" t="s">
        <v>21</v>
      </c>
      <c r="M86" s="2" t="s">
        <v>21</v>
      </c>
      <c r="N86" s="2" t="s">
        <v>21</v>
      </c>
      <c r="O86" s="2" t="s">
        <v>21</v>
      </c>
      <c r="P86" s="2" t="s">
        <v>21</v>
      </c>
      <c r="Q86" s="2" t="s">
        <v>21</v>
      </c>
      <c r="R86" s="2" t="s">
        <v>21</v>
      </c>
      <c r="S86" s="2" t="s">
        <v>21</v>
      </c>
      <c r="T86" s="2" t="s">
        <v>21</v>
      </c>
    </row>
    <row r="87" spans="2:20" x14ac:dyDescent="0.25">
      <c r="B87" s="2" t="s">
        <v>87</v>
      </c>
      <c r="C87" s="2" t="s">
        <v>21</v>
      </c>
      <c r="D87" s="2" t="s">
        <v>21</v>
      </c>
      <c r="E87" s="2" t="s">
        <v>21</v>
      </c>
      <c r="F87" s="2" t="s">
        <v>21</v>
      </c>
      <c r="G87" s="2" t="s">
        <v>21</v>
      </c>
      <c r="H87" s="2" t="s">
        <v>21</v>
      </c>
      <c r="I87" s="2" t="s">
        <v>21</v>
      </c>
      <c r="J87" s="2" t="s">
        <v>21</v>
      </c>
      <c r="K87" s="2" t="s">
        <v>21</v>
      </c>
      <c r="L87" s="2" t="s">
        <v>21</v>
      </c>
      <c r="M87" s="2" t="s">
        <v>21</v>
      </c>
      <c r="N87" s="2" t="s">
        <v>21</v>
      </c>
      <c r="O87" s="2" t="s">
        <v>21</v>
      </c>
      <c r="P87" s="2" t="s">
        <v>21</v>
      </c>
      <c r="Q87" s="2" t="s">
        <v>21</v>
      </c>
      <c r="R87" s="2" t="s">
        <v>21</v>
      </c>
      <c r="S87" s="2" t="s">
        <v>21</v>
      </c>
      <c r="T87" s="2" t="s">
        <v>21</v>
      </c>
    </row>
    <row r="88" spans="2:20" x14ac:dyDescent="0.25">
      <c r="B88" s="2" t="s">
        <v>88</v>
      </c>
      <c r="C88" s="3">
        <v>419803000000</v>
      </c>
      <c r="D88" s="3">
        <v>448268000000</v>
      </c>
      <c r="E88" s="3">
        <v>473070000000</v>
      </c>
      <c r="F88" s="3">
        <v>563979000000</v>
      </c>
      <c r="G88" s="3">
        <v>566885000000</v>
      </c>
      <c r="H88" s="3">
        <v>566819000000</v>
      </c>
      <c r="I88" s="3">
        <v>610330000000</v>
      </c>
      <c r="J88" s="3">
        <v>669220000000</v>
      </c>
      <c r="K88" s="3">
        <v>643186000000</v>
      </c>
      <c r="L88" s="3">
        <v>722214000000</v>
      </c>
      <c r="M88" s="3">
        <v>669335000000</v>
      </c>
      <c r="N88" s="3">
        <v>765856000000</v>
      </c>
      <c r="O88" s="3">
        <v>644932000000</v>
      </c>
      <c r="P88" s="3">
        <v>635654000000</v>
      </c>
      <c r="Q88" s="3">
        <v>621209000000</v>
      </c>
      <c r="R88" s="3">
        <v>673138000000</v>
      </c>
      <c r="S88" s="3">
        <v>712588000000</v>
      </c>
      <c r="T88" s="3">
        <v>694092000000</v>
      </c>
    </row>
    <row r="89" spans="2:20" x14ac:dyDescent="0.25">
      <c r="B89" s="2" t="s">
        <v>89</v>
      </c>
      <c r="C89" s="2" t="s">
        <v>21</v>
      </c>
      <c r="D89" s="2" t="s">
        <v>21</v>
      </c>
      <c r="E89" s="2" t="s">
        <v>21</v>
      </c>
      <c r="F89" s="2" t="s">
        <v>21</v>
      </c>
      <c r="G89" s="2" t="s">
        <v>21</v>
      </c>
      <c r="H89" s="2" t="s">
        <v>21</v>
      </c>
      <c r="I89" s="2" t="s">
        <v>21</v>
      </c>
      <c r="J89" s="2" t="s">
        <v>21</v>
      </c>
      <c r="K89" s="2" t="s">
        <v>21</v>
      </c>
      <c r="L89" s="2" t="s">
        <v>21</v>
      </c>
      <c r="M89" s="2" t="s">
        <v>21</v>
      </c>
      <c r="N89" s="2" t="s">
        <v>21</v>
      </c>
      <c r="O89" s="2" t="s">
        <v>21</v>
      </c>
      <c r="P89" s="2" t="s">
        <v>21</v>
      </c>
      <c r="Q89" s="2" t="s">
        <v>21</v>
      </c>
      <c r="R89" s="3">
        <v>20894090000000</v>
      </c>
      <c r="S89" s="3">
        <v>21286470000000</v>
      </c>
      <c r="T89" s="2" t="s">
        <v>21</v>
      </c>
    </row>
    <row r="90" spans="2:20" x14ac:dyDescent="0.25">
      <c r="B90" s="2" t="s">
        <v>90</v>
      </c>
      <c r="C90" s="2" t="s">
        <v>21</v>
      </c>
      <c r="D90" s="2" t="s">
        <v>21</v>
      </c>
      <c r="E90" s="3">
        <v>94147000000</v>
      </c>
      <c r="F90" s="2" t="s">
        <v>21</v>
      </c>
      <c r="G90" s="2" t="s">
        <v>21</v>
      </c>
      <c r="H90" s="2" t="s">
        <v>21</v>
      </c>
      <c r="I90" s="3">
        <v>85494000000</v>
      </c>
      <c r="J90" s="2" t="s">
        <v>21</v>
      </c>
      <c r="K90" s="2" t="s">
        <v>21</v>
      </c>
      <c r="L90" s="2" t="s">
        <v>21</v>
      </c>
      <c r="M90" s="3">
        <v>100551000000</v>
      </c>
      <c r="N90" s="2" t="s">
        <v>21</v>
      </c>
      <c r="O90" s="2" t="s">
        <v>21</v>
      </c>
      <c r="P90" s="2" t="s">
        <v>21</v>
      </c>
      <c r="Q90" s="3">
        <v>131544000000</v>
      </c>
      <c r="R90" s="2" t="s">
        <v>21</v>
      </c>
      <c r="S90" s="2" t="s">
        <v>21</v>
      </c>
      <c r="T90" s="2" t="s">
        <v>21</v>
      </c>
    </row>
    <row r="91" spans="2:20" x14ac:dyDescent="0.25">
      <c r="B91" s="2" t="s">
        <v>91</v>
      </c>
      <c r="C91" s="3">
        <v>23947220000000</v>
      </c>
      <c r="D91" s="3">
        <v>24653868000000</v>
      </c>
      <c r="E91" s="3">
        <v>24945759000000</v>
      </c>
      <c r="F91" s="3">
        <v>25090375000000</v>
      </c>
      <c r="G91" s="3">
        <v>25742969000000</v>
      </c>
      <c r="H91" s="3">
        <v>25106175000000</v>
      </c>
      <c r="I91" s="3">
        <v>26264704000000</v>
      </c>
      <c r="J91" s="3">
        <v>26384365000000</v>
      </c>
      <c r="K91" s="3">
        <v>25941818000000</v>
      </c>
      <c r="L91" s="3">
        <v>26274711000000</v>
      </c>
      <c r="M91" s="3">
        <v>27330684000000</v>
      </c>
      <c r="N91" s="3">
        <v>28122072000000</v>
      </c>
      <c r="O91" s="3">
        <v>27513147000000</v>
      </c>
      <c r="P91" s="3">
        <v>28434073000000</v>
      </c>
      <c r="Q91" s="3">
        <v>27838185000000</v>
      </c>
      <c r="R91" s="3">
        <v>8787725000000</v>
      </c>
      <c r="S91" s="3">
        <v>8890748000000</v>
      </c>
      <c r="T91" s="3">
        <v>9598124000000</v>
      </c>
    </row>
    <row r="92" spans="2:20" x14ac:dyDescent="0.25">
      <c r="B92" s="2" t="s">
        <v>92</v>
      </c>
      <c r="C92" s="3">
        <v>1441259000000</v>
      </c>
      <c r="D92" s="3">
        <v>1458037000000</v>
      </c>
      <c r="E92" s="3">
        <v>1526643000000</v>
      </c>
      <c r="F92" s="3">
        <v>1586644000000</v>
      </c>
      <c r="G92" s="3">
        <v>1709498000000</v>
      </c>
      <c r="H92" s="3">
        <v>1709764000000</v>
      </c>
      <c r="I92" s="3">
        <v>1822927000000</v>
      </c>
      <c r="J92" s="3">
        <v>1862123000000</v>
      </c>
      <c r="K92" s="3">
        <v>1929080000000</v>
      </c>
      <c r="L92" s="3">
        <v>1962150000000</v>
      </c>
      <c r="M92" s="3">
        <v>2026035000000</v>
      </c>
      <c r="N92" s="3">
        <v>2173400000000</v>
      </c>
      <c r="O92" s="3">
        <v>2053460000000</v>
      </c>
      <c r="P92" s="3">
        <v>2068228000000</v>
      </c>
      <c r="Q92" s="3">
        <v>2035345000000</v>
      </c>
      <c r="R92" s="3">
        <v>1873035000000</v>
      </c>
      <c r="S92" s="3">
        <v>1837110000000</v>
      </c>
      <c r="T92" s="3">
        <v>2015135000000</v>
      </c>
    </row>
    <row r="93" spans="2:20" x14ac:dyDescent="0.25">
      <c r="B93" s="2" t="s">
        <v>93</v>
      </c>
      <c r="C93" s="3">
        <v>1441259000000</v>
      </c>
      <c r="D93" s="3">
        <v>1458037000000</v>
      </c>
      <c r="E93" s="3">
        <v>3424300000000</v>
      </c>
      <c r="F93" s="3">
        <v>1586644000000</v>
      </c>
      <c r="G93" s="3">
        <v>1709498000000</v>
      </c>
      <c r="H93" s="3">
        <v>1709764000000</v>
      </c>
      <c r="I93" s="3">
        <v>3881819000000</v>
      </c>
      <c r="J93" s="3">
        <v>1862123000000</v>
      </c>
      <c r="K93" s="3">
        <v>1929080000000</v>
      </c>
      <c r="L93" s="3">
        <v>1962150000000</v>
      </c>
      <c r="M93" s="3">
        <v>4359597000000</v>
      </c>
      <c r="N93" s="3">
        <v>2173400000000</v>
      </c>
      <c r="O93" s="3">
        <v>2053460000000</v>
      </c>
      <c r="P93" s="3">
        <v>2068228000000</v>
      </c>
      <c r="Q93" s="3">
        <v>4583053000000</v>
      </c>
      <c r="R93" s="3">
        <v>1873035000000</v>
      </c>
      <c r="S93" s="3">
        <v>1837110000000</v>
      </c>
      <c r="T93" s="3">
        <v>2015135000000</v>
      </c>
    </row>
    <row r="94" spans="2:20" x14ac:dyDescent="0.25">
      <c r="B94" s="2" t="s">
        <v>94</v>
      </c>
      <c r="C94" s="3">
        <v>377721000000</v>
      </c>
      <c r="D94" s="3">
        <v>384288000000</v>
      </c>
      <c r="E94" s="3">
        <v>20362000000</v>
      </c>
      <c r="F94" s="3">
        <v>431243000000</v>
      </c>
      <c r="G94" s="3">
        <v>450793000000</v>
      </c>
      <c r="H94" s="3">
        <v>429392000000</v>
      </c>
      <c r="I94" s="3">
        <v>49762000000</v>
      </c>
      <c r="J94" s="3">
        <v>483823000000</v>
      </c>
      <c r="K94" s="3">
        <v>498320000000</v>
      </c>
      <c r="L94" s="3">
        <v>470230000000</v>
      </c>
      <c r="M94" s="3">
        <v>64072000000</v>
      </c>
      <c r="N94" s="3">
        <v>576710000000</v>
      </c>
      <c r="O94" s="3">
        <v>520320000000</v>
      </c>
      <c r="P94" s="3">
        <v>541451000000</v>
      </c>
      <c r="Q94" s="3">
        <v>56147000000</v>
      </c>
      <c r="R94" s="3">
        <v>428416000000</v>
      </c>
      <c r="S94" s="3">
        <v>433185000000</v>
      </c>
      <c r="T94" s="3">
        <v>534605000000</v>
      </c>
    </row>
    <row r="95" spans="2:20" x14ac:dyDescent="0.25">
      <c r="B95" s="2" t="s">
        <v>95</v>
      </c>
      <c r="C95" s="3">
        <v>1063538000000</v>
      </c>
      <c r="D95" s="3">
        <v>1073749000000</v>
      </c>
      <c r="E95" s="2" t="s">
        <v>21</v>
      </c>
      <c r="F95" s="3">
        <v>1155401000000</v>
      </c>
      <c r="G95" s="3">
        <v>1258705000000</v>
      </c>
      <c r="H95" s="3">
        <v>1280372000000</v>
      </c>
      <c r="I95" s="2" t="s">
        <v>21</v>
      </c>
      <c r="J95" s="3">
        <v>1378300000000</v>
      </c>
      <c r="K95" s="3">
        <v>1430760000000</v>
      </c>
      <c r="L95" s="3">
        <v>1491920000000</v>
      </c>
      <c r="M95" s="2" t="s">
        <v>21</v>
      </c>
      <c r="N95" s="3">
        <v>1596690000000</v>
      </c>
      <c r="O95" s="3">
        <v>1533140000000</v>
      </c>
      <c r="P95" s="3">
        <v>1526777000000</v>
      </c>
      <c r="Q95" s="2" t="s">
        <v>21</v>
      </c>
      <c r="R95" s="3">
        <v>1444619000000</v>
      </c>
      <c r="S95" s="3">
        <v>1403925000000</v>
      </c>
      <c r="T95" s="3">
        <v>1480530000000</v>
      </c>
    </row>
    <row r="96" spans="2:20" x14ac:dyDescent="0.25">
      <c r="B96" s="2" t="s">
        <v>96</v>
      </c>
      <c r="C96" s="2" t="s">
        <v>21</v>
      </c>
      <c r="D96" s="2" t="s">
        <v>21</v>
      </c>
      <c r="E96" s="3">
        <v>1304013000000</v>
      </c>
      <c r="F96" s="2" t="s">
        <v>21</v>
      </c>
      <c r="G96" s="2" t="s">
        <v>21</v>
      </c>
      <c r="H96" s="2" t="s">
        <v>21</v>
      </c>
      <c r="I96" s="3">
        <v>1428748000000</v>
      </c>
      <c r="J96" s="2" t="s">
        <v>21</v>
      </c>
      <c r="K96" s="2" t="s">
        <v>21</v>
      </c>
      <c r="L96" s="2" t="s">
        <v>21</v>
      </c>
      <c r="M96" s="3">
        <v>1559064000000</v>
      </c>
      <c r="N96" s="2" t="s">
        <v>21</v>
      </c>
      <c r="O96" s="2" t="s">
        <v>21</v>
      </c>
      <c r="P96" s="2" t="s">
        <v>21</v>
      </c>
      <c r="Q96" s="3">
        <v>1647660000000</v>
      </c>
      <c r="R96" s="2" t="s">
        <v>21</v>
      </c>
      <c r="S96" s="2" t="s">
        <v>21</v>
      </c>
      <c r="T96" s="2" t="s">
        <v>21</v>
      </c>
    </row>
    <row r="97" spans="2:20" x14ac:dyDescent="0.25">
      <c r="B97" s="2" t="s">
        <v>97</v>
      </c>
      <c r="C97" s="2" t="s">
        <v>21</v>
      </c>
      <c r="D97" s="2" t="s">
        <v>21</v>
      </c>
      <c r="E97" s="3">
        <v>95960000000</v>
      </c>
      <c r="F97" s="2" t="s">
        <v>21</v>
      </c>
      <c r="G97" s="2" t="s">
        <v>21</v>
      </c>
      <c r="H97" s="2" t="s">
        <v>21</v>
      </c>
      <c r="I97" s="3">
        <v>94529000000</v>
      </c>
      <c r="J97" s="2" t="s">
        <v>21</v>
      </c>
      <c r="K97" s="2" t="s">
        <v>21</v>
      </c>
      <c r="L97" s="2" t="s">
        <v>21</v>
      </c>
      <c r="M97" s="3">
        <v>100798000000</v>
      </c>
      <c r="N97" s="2" t="s">
        <v>21</v>
      </c>
      <c r="O97" s="2" t="s">
        <v>21</v>
      </c>
      <c r="P97" s="2" t="s">
        <v>21</v>
      </c>
      <c r="Q97" s="3">
        <v>107947000000</v>
      </c>
      <c r="R97" s="2" t="s">
        <v>21</v>
      </c>
      <c r="S97" s="2" t="s">
        <v>21</v>
      </c>
      <c r="T97" s="2" t="s">
        <v>21</v>
      </c>
    </row>
    <row r="98" spans="2:20" x14ac:dyDescent="0.25">
      <c r="B98" s="2" t="s">
        <v>98</v>
      </c>
      <c r="C98" s="2" t="s">
        <v>21</v>
      </c>
      <c r="D98" s="2" t="s">
        <v>21</v>
      </c>
      <c r="E98" s="3">
        <v>1208053000000</v>
      </c>
      <c r="F98" s="2" t="s">
        <v>21</v>
      </c>
      <c r="G98" s="2" t="s">
        <v>21</v>
      </c>
      <c r="H98" s="2" t="s">
        <v>21</v>
      </c>
      <c r="I98" s="3">
        <v>1334219000000</v>
      </c>
      <c r="J98" s="2" t="s">
        <v>21</v>
      </c>
      <c r="K98" s="2" t="s">
        <v>21</v>
      </c>
      <c r="L98" s="2" t="s">
        <v>21</v>
      </c>
      <c r="M98" s="3">
        <v>1458266000000</v>
      </c>
      <c r="N98" s="2" t="s">
        <v>21</v>
      </c>
      <c r="O98" s="2" t="s">
        <v>21</v>
      </c>
      <c r="P98" s="2" t="s">
        <v>21</v>
      </c>
      <c r="Q98" s="3">
        <v>1539713000000</v>
      </c>
      <c r="R98" s="2" t="s">
        <v>21</v>
      </c>
      <c r="S98" s="2" t="s">
        <v>21</v>
      </c>
      <c r="T98" s="2" t="s">
        <v>21</v>
      </c>
    </row>
    <row r="99" spans="2:20" x14ac:dyDescent="0.25">
      <c r="B99" s="2" t="s">
        <v>99</v>
      </c>
      <c r="C99" s="2" t="s">
        <v>21</v>
      </c>
      <c r="D99" s="2" t="s">
        <v>21</v>
      </c>
      <c r="E99" s="3">
        <v>1953985000000</v>
      </c>
      <c r="F99" s="2" t="s">
        <v>21</v>
      </c>
      <c r="G99" s="2" t="s">
        <v>21</v>
      </c>
      <c r="H99" s="2" t="s">
        <v>21</v>
      </c>
      <c r="I99" s="3">
        <v>2202010000000</v>
      </c>
      <c r="J99" s="2" t="s">
        <v>21</v>
      </c>
      <c r="K99" s="2" t="s">
        <v>21</v>
      </c>
      <c r="L99" s="2" t="s">
        <v>21</v>
      </c>
      <c r="M99" s="3">
        <v>2551174000000</v>
      </c>
      <c r="N99" s="2" t="s">
        <v>21</v>
      </c>
      <c r="O99" s="2" t="s">
        <v>21</v>
      </c>
      <c r="P99" s="2" t="s">
        <v>21</v>
      </c>
      <c r="Q99" s="3">
        <v>2719283000000</v>
      </c>
      <c r="R99" s="2" t="s">
        <v>21</v>
      </c>
      <c r="S99" s="2" t="s">
        <v>21</v>
      </c>
      <c r="T99" s="2" t="s">
        <v>21</v>
      </c>
    </row>
    <row r="100" spans="2:20" x14ac:dyDescent="0.25">
      <c r="B100" s="2" t="s">
        <v>100</v>
      </c>
      <c r="C100" s="2" t="s">
        <v>21</v>
      </c>
      <c r="D100" s="2" t="s">
        <v>21</v>
      </c>
      <c r="E100" s="3">
        <v>1953985000000</v>
      </c>
      <c r="F100" s="2" t="s">
        <v>21</v>
      </c>
      <c r="G100" s="2" t="s">
        <v>21</v>
      </c>
      <c r="H100" s="2" t="s">
        <v>21</v>
      </c>
      <c r="I100" s="3">
        <v>2202010000000</v>
      </c>
      <c r="J100" s="2" t="s">
        <v>21</v>
      </c>
      <c r="K100" s="2" t="s">
        <v>21</v>
      </c>
      <c r="L100" s="2" t="s">
        <v>21</v>
      </c>
      <c r="M100" s="3">
        <v>2551174000000</v>
      </c>
      <c r="N100" s="2" t="s">
        <v>21</v>
      </c>
      <c r="O100" s="2" t="s">
        <v>21</v>
      </c>
      <c r="P100" s="2" t="s">
        <v>21</v>
      </c>
      <c r="Q100" s="3">
        <v>2719283000000</v>
      </c>
      <c r="R100" s="2" t="s">
        <v>21</v>
      </c>
      <c r="S100" s="2" t="s">
        <v>21</v>
      </c>
      <c r="T100" s="2" t="s">
        <v>21</v>
      </c>
    </row>
    <row r="101" spans="2:20" x14ac:dyDescent="0.25">
      <c r="B101" s="2" t="s">
        <v>101</v>
      </c>
      <c r="C101" s="2" t="s">
        <v>21</v>
      </c>
      <c r="D101" s="2" t="s">
        <v>21</v>
      </c>
      <c r="E101" s="3">
        <v>145940000000</v>
      </c>
      <c r="F101" s="2" t="s">
        <v>21</v>
      </c>
      <c r="G101" s="2" t="s">
        <v>21</v>
      </c>
      <c r="H101" s="2" t="s">
        <v>21</v>
      </c>
      <c r="I101" s="3">
        <v>201299000000</v>
      </c>
      <c r="J101" s="2" t="s">
        <v>21</v>
      </c>
      <c r="K101" s="2" t="s">
        <v>21</v>
      </c>
      <c r="L101" s="2" t="s">
        <v>21</v>
      </c>
      <c r="M101" s="3">
        <v>185287000000</v>
      </c>
      <c r="N101" s="2" t="s">
        <v>21</v>
      </c>
      <c r="O101" s="2" t="s">
        <v>21</v>
      </c>
      <c r="P101" s="2" t="s">
        <v>21</v>
      </c>
      <c r="Q101" s="3">
        <v>159963000000</v>
      </c>
      <c r="R101" s="2" t="s">
        <v>21</v>
      </c>
      <c r="S101" s="2" t="s">
        <v>21</v>
      </c>
      <c r="T101" s="2" t="s">
        <v>21</v>
      </c>
    </row>
    <row r="102" spans="2:20" x14ac:dyDescent="0.25">
      <c r="B102" s="2" t="s">
        <v>102</v>
      </c>
      <c r="C102" s="2" t="s">
        <v>21</v>
      </c>
      <c r="D102" s="2" t="s">
        <v>21</v>
      </c>
      <c r="E102" s="3">
        <v>-1897657000000</v>
      </c>
      <c r="F102" s="2" t="s">
        <v>21</v>
      </c>
      <c r="G102" s="2" t="s">
        <v>21</v>
      </c>
      <c r="H102" s="2" t="s">
        <v>21</v>
      </c>
      <c r="I102" s="3">
        <v>-2058892000000</v>
      </c>
      <c r="J102" s="2" t="s">
        <v>21</v>
      </c>
      <c r="K102" s="2" t="s">
        <v>21</v>
      </c>
      <c r="L102" s="2" t="s">
        <v>21</v>
      </c>
      <c r="M102" s="3">
        <v>-2333562000000</v>
      </c>
      <c r="N102" s="2" t="s">
        <v>21</v>
      </c>
      <c r="O102" s="2" t="s">
        <v>21</v>
      </c>
      <c r="P102" s="2" t="s">
        <v>21</v>
      </c>
      <c r="Q102" s="3">
        <v>-2547708000000</v>
      </c>
      <c r="R102" s="2" t="s">
        <v>21</v>
      </c>
      <c r="S102" s="2" t="s">
        <v>21</v>
      </c>
      <c r="T102" s="2" t="s">
        <v>21</v>
      </c>
    </row>
    <row r="103" spans="2:20" x14ac:dyDescent="0.25">
      <c r="B103" s="2" t="s">
        <v>103</v>
      </c>
      <c r="C103" s="2" t="s">
        <v>21</v>
      </c>
      <c r="D103" s="2" t="s">
        <v>21</v>
      </c>
      <c r="E103" s="3">
        <v>-1897657000000</v>
      </c>
      <c r="F103" s="2" t="s">
        <v>21</v>
      </c>
      <c r="G103" s="2" t="s">
        <v>21</v>
      </c>
      <c r="H103" s="2" t="s">
        <v>21</v>
      </c>
      <c r="I103" s="3">
        <v>-2058892000000</v>
      </c>
      <c r="J103" s="2" t="s">
        <v>21</v>
      </c>
      <c r="K103" s="2" t="s">
        <v>21</v>
      </c>
      <c r="L103" s="2" t="s">
        <v>21</v>
      </c>
      <c r="M103" s="3">
        <v>-2333562000000</v>
      </c>
      <c r="N103" s="2" t="s">
        <v>21</v>
      </c>
      <c r="O103" s="2" t="s">
        <v>21</v>
      </c>
      <c r="P103" s="2" t="s">
        <v>21</v>
      </c>
      <c r="Q103" s="3">
        <v>-2547708000000</v>
      </c>
      <c r="R103" s="2" t="s">
        <v>21</v>
      </c>
      <c r="S103" s="2" t="s">
        <v>21</v>
      </c>
      <c r="T103" s="2" t="s">
        <v>21</v>
      </c>
    </row>
    <row r="104" spans="2:20" x14ac:dyDescent="0.25">
      <c r="B104" s="2" t="s">
        <v>104</v>
      </c>
      <c r="C104" s="2" t="s">
        <v>21</v>
      </c>
      <c r="D104" s="2" t="s">
        <v>21</v>
      </c>
      <c r="E104" s="3">
        <v>-515350000000</v>
      </c>
      <c r="F104" s="2" t="s">
        <v>21</v>
      </c>
      <c r="G104" s="2" t="s">
        <v>21</v>
      </c>
      <c r="H104" s="2" t="s">
        <v>21</v>
      </c>
      <c r="I104" s="3">
        <v>-541890000000</v>
      </c>
      <c r="J104" s="2" t="s">
        <v>21</v>
      </c>
      <c r="K104" s="2" t="s">
        <v>21</v>
      </c>
      <c r="L104" s="2" t="s">
        <v>21</v>
      </c>
      <c r="M104" s="3">
        <v>-590012000000</v>
      </c>
      <c r="N104" s="2" t="s">
        <v>21</v>
      </c>
      <c r="O104" s="2" t="s">
        <v>21</v>
      </c>
      <c r="P104" s="2" t="s">
        <v>21</v>
      </c>
      <c r="Q104" s="3">
        <v>-612042000000</v>
      </c>
      <c r="R104" s="2" t="s">
        <v>21</v>
      </c>
      <c r="S104" s="2" t="s">
        <v>21</v>
      </c>
      <c r="T104" s="2" t="s">
        <v>21</v>
      </c>
    </row>
    <row r="105" spans="2:20" x14ac:dyDescent="0.25">
      <c r="B105" s="2" t="s">
        <v>105</v>
      </c>
      <c r="C105" s="2" t="s">
        <v>21</v>
      </c>
      <c r="D105" s="2" t="s">
        <v>21</v>
      </c>
      <c r="E105" s="3">
        <v>-37000000</v>
      </c>
      <c r="F105" s="2" t="s">
        <v>21</v>
      </c>
      <c r="G105" s="2" t="s">
        <v>21</v>
      </c>
      <c r="H105" s="2" t="s">
        <v>21</v>
      </c>
      <c r="I105" s="3">
        <v>-37000000</v>
      </c>
      <c r="J105" s="2" t="s">
        <v>21</v>
      </c>
      <c r="K105" s="2" t="s">
        <v>21</v>
      </c>
      <c r="L105" s="2" t="s">
        <v>21</v>
      </c>
      <c r="M105" s="3">
        <v>-37000000</v>
      </c>
      <c r="N105" s="2" t="s">
        <v>21</v>
      </c>
      <c r="O105" s="2" t="s">
        <v>21</v>
      </c>
      <c r="P105" s="2" t="s">
        <v>21</v>
      </c>
      <c r="Q105" s="3">
        <v>-37000000</v>
      </c>
      <c r="R105" s="2" t="s">
        <v>21</v>
      </c>
      <c r="S105" s="2" t="s">
        <v>21</v>
      </c>
      <c r="T105" s="2" t="s">
        <v>21</v>
      </c>
    </row>
    <row r="106" spans="2:20" x14ac:dyDescent="0.25">
      <c r="B106" s="2" t="s">
        <v>106</v>
      </c>
      <c r="C106" s="2" t="s">
        <v>21</v>
      </c>
      <c r="D106" s="2" t="s">
        <v>21</v>
      </c>
      <c r="E106" s="3">
        <v>-515313000000</v>
      </c>
      <c r="F106" s="2" t="s">
        <v>21</v>
      </c>
      <c r="G106" s="2" t="s">
        <v>21</v>
      </c>
      <c r="H106" s="2" t="s">
        <v>21</v>
      </c>
      <c r="I106" s="3">
        <v>-541853000000</v>
      </c>
      <c r="J106" s="2" t="s">
        <v>21</v>
      </c>
      <c r="K106" s="2" t="s">
        <v>21</v>
      </c>
      <c r="L106" s="2" t="s">
        <v>21</v>
      </c>
      <c r="M106" s="3">
        <v>-589975000000</v>
      </c>
      <c r="N106" s="2" t="s">
        <v>21</v>
      </c>
      <c r="O106" s="2" t="s">
        <v>21</v>
      </c>
      <c r="P106" s="2" t="s">
        <v>21</v>
      </c>
      <c r="Q106" s="3">
        <v>-612005000000</v>
      </c>
      <c r="R106" s="2" t="s">
        <v>21</v>
      </c>
      <c r="S106" s="2" t="s">
        <v>21</v>
      </c>
      <c r="T106" s="2" t="s">
        <v>21</v>
      </c>
    </row>
    <row r="107" spans="2:20" x14ac:dyDescent="0.25">
      <c r="B107" s="2" t="s">
        <v>107</v>
      </c>
      <c r="C107" s="2" t="s">
        <v>21</v>
      </c>
      <c r="D107" s="2" t="s">
        <v>21</v>
      </c>
      <c r="E107" s="3">
        <v>-1381020000000</v>
      </c>
      <c r="F107" s="2" t="s">
        <v>21</v>
      </c>
      <c r="G107" s="2" t="s">
        <v>21</v>
      </c>
      <c r="H107" s="2" t="s">
        <v>21</v>
      </c>
      <c r="I107" s="3">
        <v>-1515838000000</v>
      </c>
      <c r="J107" s="2" t="s">
        <v>21</v>
      </c>
      <c r="K107" s="2" t="s">
        <v>21</v>
      </c>
      <c r="L107" s="2" t="s">
        <v>21</v>
      </c>
      <c r="M107" s="3">
        <v>-1742511000000</v>
      </c>
      <c r="N107" s="2" t="s">
        <v>21</v>
      </c>
      <c r="O107" s="2" t="s">
        <v>21</v>
      </c>
      <c r="P107" s="2" t="s">
        <v>21</v>
      </c>
      <c r="Q107" s="3">
        <v>-1934785000000</v>
      </c>
      <c r="R107" s="2" t="s">
        <v>21</v>
      </c>
      <c r="S107" s="2" t="s">
        <v>21</v>
      </c>
      <c r="T107" s="2" t="s">
        <v>21</v>
      </c>
    </row>
    <row r="108" spans="2:20" x14ac:dyDescent="0.25">
      <c r="B108" s="2" t="s">
        <v>108</v>
      </c>
      <c r="C108" s="2" t="s">
        <v>21</v>
      </c>
      <c r="D108" s="2" t="s">
        <v>21</v>
      </c>
      <c r="E108" s="3">
        <v>-1381020000000</v>
      </c>
      <c r="F108" s="2" t="s">
        <v>21</v>
      </c>
      <c r="G108" s="2" t="s">
        <v>21</v>
      </c>
      <c r="H108" s="2" t="s">
        <v>21</v>
      </c>
      <c r="I108" s="3">
        <v>-1515838000000</v>
      </c>
      <c r="J108" s="2" t="s">
        <v>21</v>
      </c>
      <c r="K108" s="2" t="s">
        <v>21</v>
      </c>
      <c r="L108" s="2" t="s">
        <v>21</v>
      </c>
      <c r="M108" s="3">
        <v>-1742511000000</v>
      </c>
      <c r="N108" s="2" t="s">
        <v>21</v>
      </c>
      <c r="O108" s="2" t="s">
        <v>21</v>
      </c>
      <c r="P108" s="2" t="s">
        <v>21</v>
      </c>
      <c r="Q108" s="3">
        <v>-1934785000000</v>
      </c>
      <c r="R108" s="2" t="s">
        <v>21</v>
      </c>
      <c r="S108" s="2" t="s">
        <v>21</v>
      </c>
      <c r="T108" s="2" t="s">
        <v>21</v>
      </c>
    </row>
    <row r="109" spans="2:20" x14ac:dyDescent="0.25">
      <c r="B109" s="2" t="s">
        <v>109</v>
      </c>
      <c r="C109" s="2" t="s">
        <v>21</v>
      </c>
      <c r="D109" s="2" t="s">
        <v>21</v>
      </c>
      <c r="E109" s="3">
        <v>-1287000000</v>
      </c>
      <c r="F109" s="2" t="s">
        <v>21</v>
      </c>
      <c r="G109" s="2" t="s">
        <v>21</v>
      </c>
      <c r="H109" s="2" t="s">
        <v>21</v>
      </c>
      <c r="I109" s="3">
        <v>-1164000000</v>
      </c>
      <c r="J109" s="2" t="s">
        <v>21</v>
      </c>
      <c r="K109" s="2" t="s">
        <v>21</v>
      </c>
      <c r="L109" s="2" t="s">
        <v>21</v>
      </c>
      <c r="M109" s="3">
        <v>-1039000000</v>
      </c>
      <c r="N109" s="2" t="s">
        <v>21</v>
      </c>
      <c r="O109" s="2" t="s">
        <v>21</v>
      </c>
      <c r="P109" s="2" t="s">
        <v>21</v>
      </c>
      <c r="Q109" s="3">
        <v>-881000000</v>
      </c>
      <c r="R109" s="2" t="s">
        <v>21</v>
      </c>
      <c r="S109" s="2" t="s">
        <v>21</v>
      </c>
      <c r="T109" s="2" t="s">
        <v>21</v>
      </c>
    </row>
    <row r="110" spans="2:20" x14ac:dyDescent="0.25">
      <c r="B110" s="2" t="s">
        <v>110</v>
      </c>
      <c r="C110" s="3">
        <v>1264403000000</v>
      </c>
      <c r="D110" s="3">
        <v>1275997000000</v>
      </c>
      <c r="E110" s="3">
        <v>2745044000000</v>
      </c>
      <c r="F110" s="3">
        <v>1550182000000</v>
      </c>
      <c r="G110" s="3">
        <v>1897137000000</v>
      </c>
      <c r="H110" s="3">
        <v>1823310000000</v>
      </c>
      <c r="I110" s="3">
        <v>3400836000000</v>
      </c>
      <c r="J110" s="3">
        <v>1980208000000</v>
      </c>
      <c r="K110" s="3">
        <v>2036168000000</v>
      </c>
      <c r="L110" s="3">
        <v>1981677000000</v>
      </c>
      <c r="M110" s="3">
        <v>4030815000000</v>
      </c>
      <c r="N110" s="3">
        <v>2246819000000</v>
      </c>
      <c r="O110" s="3">
        <v>2097338000000</v>
      </c>
      <c r="P110" s="3">
        <v>2242191000000</v>
      </c>
      <c r="Q110" s="3">
        <v>4428981000000</v>
      </c>
      <c r="R110" s="3">
        <v>2071927000000</v>
      </c>
      <c r="S110" s="3">
        <v>2077014000000</v>
      </c>
      <c r="T110" s="3">
        <v>2179253000000</v>
      </c>
    </row>
    <row r="111" spans="2:20" x14ac:dyDescent="0.25">
      <c r="B111" s="2" t="s">
        <v>111</v>
      </c>
      <c r="C111" s="3">
        <v>1264403000000</v>
      </c>
      <c r="D111" s="3">
        <v>1275997000000</v>
      </c>
      <c r="E111" s="3">
        <v>7765925000000</v>
      </c>
      <c r="F111" s="3">
        <v>1550182000000</v>
      </c>
      <c r="G111" s="3">
        <v>1897137000000</v>
      </c>
      <c r="H111" s="3">
        <v>1823310000000</v>
      </c>
      <c r="I111" s="3">
        <v>9204108000000</v>
      </c>
      <c r="J111" s="3">
        <v>1980208000000</v>
      </c>
      <c r="K111" s="3">
        <v>2036168000000</v>
      </c>
      <c r="L111" s="3">
        <v>1981677000000</v>
      </c>
      <c r="M111" s="3">
        <v>11134268000000</v>
      </c>
      <c r="N111" s="3">
        <v>2246819000000</v>
      </c>
      <c r="O111" s="3">
        <v>2097338000000</v>
      </c>
      <c r="P111" s="3">
        <v>2242191000000</v>
      </c>
      <c r="Q111" s="3">
        <v>12056736000000</v>
      </c>
      <c r="R111" s="3">
        <v>2071927000000</v>
      </c>
      <c r="S111" s="3">
        <v>2077014000000</v>
      </c>
      <c r="T111" s="3">
        <v>2179253000000</v>
      </c>
    </row>
    <row r="112" spans="2:20" x14ac:dyDescent="0.25">
      <c r="B112" s="2" t="s">
        <v>112</v>
      </c>
      <c r="C112" s="3">
        <v>835826000000</v>
      </c>
      <c r="D112" s="3">
        <v>842945000000</v>
      </c>
      <c r="E112" s="3">
        <v>1312615000000</v>
      </c>
      <c r="F112" s="3">
        <v>1074013000000</v>
      </c>
      <c r="G112" s="3">
        <v>1335429000000</v>
      </c>
      <c r="H112" s="3">
        <v>1267100000000</v>
      </c>
      <c r="I112" s="3">
        <v>1649041000000</v>
      </c>
      <c r="J112" s="3">
        <v>1400107000000</v>
      </c>
      <c r="K112" s="3">
        <v>1443365000000</v>
      </c>
      <c r="L112" s="3">
        <v>1394865000000</v>
      </c>
      <c r="M112" s="3">
        <v>1884627000000</v>
      </c>
      <c r="N112" s="3">
        <v>1583088000000</v>
      </c>
      <c r="O112" s="3">
        <v>1439635000000</v>
      </c>
      <c r="P112" s="3">
        <v>1562400000000</v>
      </c>
      <c r="Q112" s="3">
        <v>1903617000000</v>
      </c>
      <c r="R112" s="3">
        <v>1476505000000</v>
      </c>
      <c r="S112" s="3">
        <v>1514177000000</v>
      </c>
      <c r="T112" s="3">
        <v>1601679000000</v>
      </c>
    </row>
    <row r="113" spans="2:20" x14ac:dyDescent="0.25">
      <c r="B113" s="2" t="s">
        <v>113</v>
      </c>
      <c r="C113" s="3">
        <v>428577000000</v>
      </c>
      <c r="D113" s="3">
        <v>433052000000</v>
      </c>
      <c r="E113" s="3">
        <v>6453310000000</v>
      </c>
      <c r="F113" s="3">
        <v>476169000000</v>
      </c>
      <c r="G113" s="3">
        <v>561708000000</v>
      </c>
      <c r="H113" s="3">
        <v>556210000000</v>
      </c>
      <c r="I113" s="3">
        <v>7555067000000</v>
      </c>
      <c r="J113" s="3">
        <v>580101000000</v>
      </c>
      <c r="K113" s="3">
        <v>592803000000</v>
      </c>
      <c r="L113" s="3">
        <v>586812000000</v>
      </c>
      <c r="M113" s="3">
        <v>9249641000000</v>
      </c>
      <c r="N113" s="3">
        <v>663731000000</v>
      </c>
      <c r="O113" s="3">
        <v>657703000000</v>
      </c>
      <c r="P113" s="3">
        <v>679791000000</v>
      </c>
      <c r="Q113" s="3">
        <v>10153119000000</v>
      </c>
      <c r="R113" s="3">
        <v>595422000000</v>
      </c>
      <c r="S113" s="3">
        <v>562837000000</v>
      </c>
      <c r="T113" s="3">
        <v>577574000000</v>
      </c>
    </row>
    <row r="114" spans="2:20" x14ac:dyDescent="0.25">
      <c r="B114" s="2" t="s">
        <v>114</v>
      </c>
      <c r="C114" s="3">
        <v>428577000000</v>
      </c>
      <c r="D114" s="3">
        <v>433052000000</v>
      </c>
      <c r="E114" s="3">
        <v>4758134000000</v>
      </c>
      <c r="F114" s="3">
        <v>476169000000</v>
      </c>
      <c r="G114" s="3">
        <v>561708000000</v>
      </c>
      <c r="H114" s="3">
        <v>556210000000</v>
      </c>
      <c r="I114" s="3">
        <v>5724728000000</v>
      </c>
      <c r="J114" s="3">
        <v>580101000000</v>
      </c>
      <c r="K114" s="3">
        <v>592803000000</v>
      </c>
      <c r="L114" s="3">
        <v>586812000000</v>
      </c>
      <c r="M114" s="3">
        <v>7129970000000</v>
      </c>
      <c r="N114" s="3">
        <v>663731000000</v>
      </c>
      <c r="O114" s="3">
        <v>657703000000</v>
      </c>
      <c r="P114" s="3">
        <v>679791000000</v>
      </c>
      <c r="Q114" s="3">
        <v>7829285000000</v>
      </c>
      <c r="R114" s="3">
        <v>595422000000</v>
      </c>
      <c r="S114" s="3">
        <v>562837000000</v>
      </c>
      <c r="T114" s="3">
        <v>577574000000</v>
      </c>
    </row>
    <row r="115" spans="2:20" x14ac:dyDescent="0.25">
      <c r="B115" s="2" t="s">
        <v>115</v>
      </c>
      <c r="C115" s="2" t="s">
        <v>21</v>
      </c>
      <c r="D115" s="2" t="s">
        <v>21</v>
      </c>
      <c r="E115" s="3">
        <v>32683000000</v>
      </c>
      <c r="F115" s="2" t="s">
        <v>21</v>
      </c>
      <c r="G115" s="2" t="s">
        <v>21</v>
      </c>
      <c r="H115" s="2" t="s">
        <v>21</v>
      </c>
      <c r="I115" s="3">
        <v>51747000000</v>
      </c>
      <c r="J115" s="2" t="s">
        <v>21</v>
      </c>
      <c r="K115" s="2" t="s">
        <v>21</v>
      </c>
      <c r="L115" s="2" t="s">
        <v>21</v>
      </c>
      <c r="M115" s="3">
        <v>59377000000</v>
      </c>
      <c r="N115" s="2" t="s">
        <v>21</v>
      </c>
      <c r="O115" s="2" t="s">
        <v>21</v>
      </c>
      <c r="P115" s="2" t="s">
        <v>21</v>
      </c>
      <c r="Q115" s="3">
        <v>65643000000</v>
      </c>
      <c r="R115" s="2" t="s">
        <v>21</v>
      </c>
      <c r="S115" s="2" t="s">
        <v>21</v>
      </c>
      <c r="T115" s="2" t="s">
        <v>21</v>
      </c>
    </row>
    <row r="116" spans="2:20" x14ac:dyDescent="0.25">
      <c r="B116" s="2" t="s">
        <v>116</v>
      </c>
      <c r="C116" s="2" t="s">
        <v>21</v>
      </c>
      <c r="D116" s="2" t="s">
        <v>21</v>
      </c>
      <c r="E116" s="3">
        <v>952153000000</v>
      </c>
      <c r="F116" s="2" t="s">
        <v>21</v>
      </c>
      <c r="G116" s="2" t="s">
        <v>21</v>
      </c>
      <c r="H116" s="2" t="s">
        <v>21</v>
      </c>
      <c r="I116" s="3">
        <v>1045743000000</v>
      </c>
      <c r="J116" s="2" t="s">
        <v>21</v>
      </c>
      <c r="K116" s="2" t="s">
        <v>21</v>
      </c>
      <c r="L116" s="2" t="s">
        <v>21</v>
      </c>
      <c r="M116" s="3">
        <v>1196266000000</v>
      </c>
      <c r="N116" s="2" t="s">
        <v>21</v>
      </c>
      <c r="O116" s="2" t="s">
        <v>21</v>
      </c>
      <c r="P116" s="2" t="s">
        <v>21</v>
      </c>
      <c r="Q116" s="3">
        <v>1353946000000</v>
      </c>
      <c r="R116" s="2" t="s">
        <v>21</v>
      </c>
      <c r="S116" s="2" t="s">
        <v>21</v>
      </c>
      <c r="T116" s="2" t="s">
        <v>21</v>
      </c>
    </row>
    <row r="117" spans="2:20" x14ac:dyDescent="0.25">
      <c r="B117" s="2" t="s">
        <v>117</v>
      </c>
      <c r="C117" s="2" t="s">
        <v>21</v>
      </c>
      <c r="D117" s="2" t="s">
        <v>21</v>
      </c>
      <c r="E117" s="3">
        <v>651913000000</v>
      </c>
      <c r="F117" s="2" t="s">
        <v>21</v>
      </c>
      <c r="G117" s="2" t="s">
        <v>21</v>
      </c>
      <c r="H117" s="2" t="s">
        <v>21</v>
      </c>
      <c r="I117" s="3">
        <v>666256000000</v>
      </c>
      <c r="J117" s="2" t="s">
        <v>21</v>
      </c>
      <c r="K117" s="2" t="s">
        <v>21</v>
      </c>
      <c r="L117" s="2" t="s">
        <v>21</v>
      </c>
      <c r="M117" s="3">
        <v>793468000000</v>
      </c>
      <c r="N117" s="2" t="s">
        <v>21</v>
      </c>
      <c r="O117" s="2" t="s">
        <v>21</v>
      </c>
      <c r="P117" s="2" t="s">
        <v>21</v>
      </c>
      <c r="Q117" s="3">
        <v>830591000000</v>
      </c>
      <c r="R117" s="2" t="s">
        <v>21</v>
      </c>
      <c r="S117" s="2" t="s">
        <v>21</v>
      </c>
      <c r="T117" s="2" t="s">
        <v>21</v>
      </c>
    </row>
    <row r="118" spans="2:20" x14ac:dyDescent="0.25">
      <c r="B118" s="2" t="s">
        <v>118</v>
      </c>
      <c r="C118" s="2" t="s">
        <v>21</v>
      </c>
      <c r="D118" s="2" t="s">
        <v>21</v>
      </c>
      <c r="E118" s="3">
        <v>58427000000</v>
      </c>
      <c r="F118" s="2" t="s">
        <v>21</v>
      </c>
      <c r="G118" s="2" t="s">
        <v>21</v>
      </c>
      <c r="H118" s="2" t="s">
        <v>21</v>
      </c>
      <c r="I118" s="3">
        <v>66593000000</v>
      </c>
      <c r="J118" s="2" t="s">
        <v>21</v>
      </c>
      <c r="K118" s="2" t="s">
        <v>21</v>
      </c>
      <c r="L118" s="2" t="s">
        <v>21</v>
      </c>
      <c r="M118" s="3">
        <v>70560000000</v>
      </c>
      <c r="N118" s="2" t="s">
        <v>21</v>
      </c>
      <c r="O118" s="2" t="s">
        <v>21</v>
      </c>
      <c r="P118" s="2" t="s">
        <v>21</v>
      </c>
      <c r="Q118" s="3">
        <v>73654000000</v>
      </c>
      <c r="R118" s="2" t="s">
        <v>21</v>
      </c>
      <c r="S118" s="2" t="s">
        <v>21</v>
      </c>
      <c r="T118" s="2" t="s">
        <v>21</v>
      </c>
    </row>
    <row r="119" spans="2:20" x14ac:dyDescent="0.25">
      <c r="B119" s="2" t="s">
        <v>119</v>
      </c>
      <c r="C119" s="2" t="s">
        <v>21</v>
      </c>
      <c r="D119" s="2" t="s">
        <v>21</v>
      </c>
      <c r="E119" s="3">
        <v>-5020881000000</v>
      </c>
      <c r="F119" s="2" t="s">
        <v>21</v>
      </c>
      <c r="G119" s="2" t="s">
        <v>21</v>
      </c>
      <c r="H119" s="2" t="s">
        <v>21</v>
      </c>
      <c r="I119" s="3">
        <v>-5803272000000</v>
      </c>
      <c r="J119" s="2" t="s">
        <v>21</v>
      </c>
      <c r="K119" s="2" t="s">
        <v>21</v>
      </c>
      <c r="L119" s="2" t="s">
        <v>21</v>
      </c>
      <c r="M119" s="3">
        <v>-7103453000000</v>
      </c>
      <c r="N119" s="2" t="s">
        <v>21</v>
      </c>
      <c r="O119" s="2" t="s">
        <v>21</v>
      </c>
      <c r="P119" s="2" t="s">
        <v>21</v>
      </c>
      <c r="Q119" s="3">
        <v>-7627755000000</v>
      </c>
      <c r="R119" s="2" t="s">
        <v>21</v>
      </c>
      <c r="S119" s="2" t="s">
        <v>21</v>
      </c>
      <c r="T119" s="2" t="s">
        <v>21</v>
      </c>
    </row>
    <row r="120" spans="2:20" x14ac:dyDescent="0.25">
      <c r="B120" s="2" t="s">
        <v>120</v>
      </c>
      <c r="C120" s="2" t="s">
        <v>21</v>
      </c>
      <c r="D120" s="2" t="s">
        <v>21</v>
      </c>
      <c r="E120" s="3">
        <v>-4661161000000</v>
      </c>
      <c r="F120" s="2" t="s">
        <v>21</v>
      </c>
      <c r="G120" s="2" t="s">
        <v>21</v>
      </c>
      <c r="H120" s="2" t="s">
        <v>21</v>
      </c>
      <c r="I120" s="3">
        <v>-5429343000000</v>
      </c>
      <c r="J120" s="2" t="s">
        <v>21</v>
      </c>
      <c r="K120" s="2" t="s">
        <v>21</v>
      </c>
      <c r="L120" s="2" t="s">
        <v>21</v>
      </c>
      <c r="M120" s="3">
        <v>-6705926000000</v>
      </c>
      <c r="N120" s="2" t="s">
        <v>21</v>
      </c>
      <c r="O120" s="2" t="s">
        <v>21</v>
      </c>
      <c r="P120" s="2" t="s">
        <v>21</v>
      </c>
      <c r="Q120" s="3">
        <v>-7232859000000</v>
      </c>
      <c r="R120" s="2" t="s">
        <v>21</v>
      </c>
      <c r="S120" s="2" t="s">
        <v>21</v>
      </c>
      <c r="T120" s="2" t="s">
        <v>21</v>
      </c>
    </row>
    <row r="121" spans="2:20" x14ac:dyDescent="0.25">
      <c r="B121" s="2" t="s">
        <v>121</v>
      </c>
      <c r="C121" s="2" t="s">
        <v>21</v>
      </c>
      <c r="D121" s="2" t="s">
        <v>21</v>
      </c>
      <c r="E121" s="3">
        <v>-4661161000000</v>
      </c>
      <c r="F121" s="2" t="s">
        <v>21</v>
      </c>
      <c r="G121" s="2" t="s">
        <v>21</v>
      </c>
      <c r="H121" s="2" t="s">
        <v>21</v>
      </c>
      <c r="I121" s="3">
        <v>-5429343000000</v>
      </c>
      <c r="J121" s="2" t="s">
        <v>21</v>
      </c>
      <c r="K121" s="2" t="s">
        <v>21</v>
      </c>
      <c r="L121" s="2" t="s">
        <v>21</v>
      </c>
      <c r="M121" s="3">
        <v>-6705926000000</v>
      </c>
      <c r="N121" s="2" t="s">
        <v>21</v>
      </c>
      <c r="O121" s="2" t="s">
        <v>21</v>
      </c>
      <c r="P121" s="2" t="s">
        <v>21</v>
      </c>
      <c r="Q121" s="3">
        <v>-7232859000000</v>
      </c>
      <c r="R121" s="2" t="s">
        <v>21</v>
      </c>
      <c r="S121" s="2" t="s">
        <v>21</v>
      </c>
      <c r="T121" s="2" t="s">
        <v>21</v>
      </c>
    </row>
    <row r="122" spans="2:20" x14ac:dyDescent="0.25">
      <c r="B122" s="2" t="s">
        <v>122</v>
      </c>
      <c r="C122" s="2" t="s">
        <v>21</v>
      </c>
      <c r="D122" s="2" t="s">
        <v>21</v>
      </c>
      <c r="E122" s="3">
        <v>-8053000000</v>
      </c>
      <c r="F122" s="2" t="s">
        <v>21</v>
      </c>
      <c r="G122" s="2" t="s">
        <v>21</v>
      </c>
      <c r="H122" s="2" t="s">
        <v>21</v>
      </c>
      <c r="I122" s="3">
        <v>-12534000000</v>
      </c>
      <c r="J122" s="2" t="s">
        <v>21</v>
      </c>
      <c r="K122" s="2" t="s">
        <v>21</v>
      </c>
      <c r="L122" s="2" t="s">
        <v>21</v>
      </c>
      <c r="M122" s="3">
        <v>-19757000000</v>
      </c>
      <c r="N122" s="2" t="s">
        <v>21</v>
      </c>
      <c r="O122" s="2" t="s">
        <v>21</v>
      </c>
      <c r="P122" s="2" t="s">
        <v>21</v>
      </c>
      <c r="Q122" s="3">
        <v>-24913000000</v>
      </c>
      <c r="R122" s="2" t="s">
        <v>21</v>
      </c>
      <c r="S122" s="2" t="s">
        <v>21</v>
      </c>
      <c r="T122" s="2" t="s">
        <v>21</v>
      </c>
    </row>
    <row r="123" spans="2:20" x14ac:dyDescent="0.25">
      <c r="B123" s="2" t="s">
        <v>123</v>
      </c>
      <c r="C123" s="2" t="s">
        <v>21</v>
      </c>
      <c r="D123" s="2" t="s">
        <v>21</v>
      </c>
      <c r="E123" s="3">
        <v>-678177000000</v>
      </c>
      <c r="F123" s="2" t="s">
        <v>21</v>
      </c>
      <c r="G123" s="2" t="s">
        <v>21</v>
      </c>
      <c r="H123" s="2" t="s">
        <v>21</v>
      </c>
      <c r="I123" s="3">
        <v>-698671000000</v>
      </c>
      <c r="J123" s="2" t="s">
        <v>21</v>
      </c>
      <c r="K123" s="2" t="s">
        <v>21</v>
      </c>
      <c r="L123" s="2" t="s">
        <v>21</v>
      </c>
      <c r="M123" s="3">
        <v>-786276000000</v>
      </c>
      <c r="N123" s="2" t="s">
        <v>21</v>
      </c>
      <c r="O123" s="2" t="s">
        <v>21</v>
      </c>
      <c r="P123" s="2" t="s">
        <v>21</v>
      </c>
      <c r="Q123" s="3">
        <v>-896228000000</v>
      </c>
      <c r="R123" s="2" t="s">
        <v>21</v>
      </c>
      <c r="S123" s="2" t="s">
        <v>21</v>
      </c>
      <c r="T123" s="2" t="s">
        <v>21</v>
      </c>
    </row>
    <row r="124" spans="2:20" x14ac:dyDescent="0.25">
      <c r="B124" s="2" t="s">
        <v>124</v>
      </c>
      <c r="C124" s="2" t="s">
        <v>21</v>
      </c>
      <c r="D124" s="2" t="s">
        <v>21</v>
      </c>
      <c r="E124" s="3">
        <v>-496967000000</v>
      </c>
      <c r="F124" s="2" t="s">
        <v>21</v>
      </c>
      <c r="G124" s="2" t="s">
        <v>21</v>
      </c>
      <c r="H124" s="2" t="s">
        <v>21</v>
      </c>
      <c r="I124" s="3">
        <v>-501228000000</v>
      </c>
      <c r="J124" s="2" t="s">
        <v>21</v>
      </c>
      <c r="K124" s="2" t="s">
        <v>21</v>
      </c>
      <c r="L124" s="2" t="s">
        <v>21</v>
      </c>
      <c r="M124" s="3">
        <v>-614188000000</v>
      </c>
      <c r="N124" s="2" t="s">
        <v>21</v>
      </c>
      <c r="O124" s="2" t="s">
        <v>21</v>
      </c>
      <c r="P124" s="2" t="s">
        <v>21</v>
      </c>
      <c r="Q124" s="3">
        <v>-1005449000000</v>
      </c>
      <c r="R124" s="2" t="s">
        <v>21</v>
      </c>
      <c r="S124" s="2" t="s">
        <v>21</v>
      </c>
      <c r="T124" s="2" t="s">
        <v>21</v>
      </c>
    </row>
    <row r="125" spans="2:20" x14ac:dyDescent="0.25">
      <c r="B125" s="2" t="s">
        <v>125</v>
      </c>
      <c r="C125" s="2" t="s">
        <v>21</v>
      </c>
      <c r="D125" s="2" t="s">
        <v>21</v>
      </c>
      <c r="E125" s="3">
        <v>-37342000000</v>
      </c>
      <c r="F125" s="2" t="s">
        <v>21</v>
      </c>
      <c r="G125" s="2" t="s">
        <v>21</v>
      </c>
      <c r="H125" s="2" t="s">
        <v>21</v>
      </c>
      <c r="I125" s="3">
        <v>-44272000000</v>
      </c>
      <c r="J125" s="2" t="s">
        <v>21</v>
      </c>
      <c r="K125" s="2" t="s">
        <v>21</v>
      </c>
      <c r="L125" s="2" t="s">
        <v>21</v>
      </c>
      <c r="M125" s="3">
        <v>-55627000000</v>
      </c>
      <c r="N125" s="2" t="s">
        <v>21</v>
      </c>
      <c r="O125" s="2" t="s">
        <v>21</v>
      </c>
      <c r="P125" s="2" t="s">
        <v>21</v>
      </c>
      <c r="Q125" s="3">
        <v>-61126000000</v>
      </c>
      <c r="R125" s="2" t="s">
        <v>21</v>
      </c>
      <c r="S125" s="2" t="s">
        <v>21</v>
      </c>
      <c r="T125" s="2" t="s">
        <v>21</v>
      </c>
    </row>
    <row r="126" spans="2:20" x14ac:dyDescent="0.25">
      <c r="B126" s="2" t="s">
        <v>126</v>
      </c>
      <c r="C126" s="2" t="s">
        <v>21</v>
      </c>
      <c r="D126" s="2" t="s">
        <v>21</v>
      </c>
      <c r="E126" s="3">
        <v>-3440622000000</v>
      </c>
      <c r="F126" s="2" t="s">
        <v>21</v>
      </c>
      <c r="G126" s="2" t="s">
        <v>21</v>
      </c>
      <c r="H126" s="2" t="s">
        <v>21</v>
      </c>
      <c r="I126" s="3">
        <v>-4172638000000</v>
      </c>
      <c r="J126" s="2" t="s">
        <v>21</v>
      </c>
      <c r="K126" s="2" t="s">
        <v>21</v>
      </c>
      <c r="L126" s="2" t="s">
        <v>21</v>
      </c>
      <c r="M126" s="3">
        <v>-5230078000000</v>
      </c>
      <c r="N126" s="2" t="s">
        <v>21</v>
      </c>
      <c r="O126" s="2" t="s">
        <v>21</v>
      </c>
      <c r="P126" s="2" t="s">
        <v>21</v>
      </c>
      <c r="Q126" s="3">
        <v>-5245143000000</v>
      </c>
      <c r="R126" s="2" t="s">
        <v>21</v>
      </c>
      <c r="S126" s="2" t="s">
        <v>21</v>
      </c>
      <c r="T126" s="2" t="s">
        <v>21</v>
      </c>
    </row>
    <row r="127" spans="2:20" x14ac:dyDescent="0.25">
      <c r="B127" s="2" t="s">
        <v>127</v>
      </c>
      <c r="C127" s="2" t="s">
        <v>21</v>
      </c>
      <c r="D127" s="2" t="s">
        <v>21</v>
      </c>
      <c r="E127" s="3">
        <v>-359720000000</v>
      </c>
      <c r="F127" s="2" t="s">
        <v>21</v>
      </c>
      <c r="G127" s="2" t="s">
        <v>21</v>
      </c>
      <c r="H127" s="2" t="s">
        <v>21</v>
      </c>
      <c r="I127" s="3">
        <v>-373929000000</v>
      </c>
      <c r="J127" s="2" t="s">
        <v>21</v>
      </c>
      <c r="K127" s="2" t="s">
        <v>21</v>
      </c>
      <c r="L127" s="2" t="s">
        <v>21</v>
      </c>
      <c r="M127" s="3">
        <v>-397527000000</v>
      </c>
      <c r="N127" s="2" t="s">
        <v>21</v>
      </c>
      <c r="O127" s="2" t="s">
        <v>21</v>
      </c>
      <c r="P127" s="2" t="s">
        <v>21</v>
      </c>
      <c r="Q127" s="3">
        <v>-394896000000</v>
      </c>
      <c r="R127" s="2" t="s">
        <v>21</v>
      </c>
      <c r="S127" s="2" t="s">
        <v>21</v>
      </c>
      <c r="T127" s="2" t="s">
        <v>21</v>
      </c>
    </row>
    <row r="128" spans="2:20" x14ac:dyDescent="0.25">
      <c r="B128" s="2" t="s">
        <v>128</v>
      </c>
      <c r="C128" s="2" t="s">
        <v>21</v>
      </c>
      <c r="D128" s="2" t="s">
        <v>21</v>
      </c>
      <c r="E128" s="3">
        <v>-359720000000</v>
      </c>
      <c r="F128" s="2" t="s">
        <v>21</v>
      </c>
      <c r="G128" s="2" t="s">
        <v>21</v>
      </c>
      <c r="H128" s="2" t="s">
        <v>21</v>
      </c>
      <c r="I128" s="3">
        <v>-373929000000</v>
      </c>
      <c r="J128" s="2" t="s">
        <v>21</v>
      </c>
      <c r="K128" s="2" t="s">
        <v>21</v>
      </c>
      <c r="L128" s="2" t="s">
        <v>21</v>
      </c>
      <c r="M128" s="3">
        <v>-397527000000</v>
      </c>
      <c r="N128" s="2" t="s">
        <v>21</v>
      </c>
      <c r="O128" s="2" t="s">
        <v>21</v>
      </c>
      <c r="P128" s="2" t="s">
        <v>21</v>
      </c>
      <c r="Q128" s="3">
        <v>-394896000000</v>
      </c>
      <c r="R128" s="2" t="s">
        <v>21</v>
      </c>
      <c r="S128" s="2" t="s">
        <v>21</v>
      </c>
      <c r="T128" s="2" t="s">
        <v>21</v>
      </c>
    </row>
    <row r="129" spans="2:20" x14ac:dyDescent="0.25">
      <c r="B129" s="2" t="s">
        <v>129</v>
      </c>
      <c r="C129" s="3">
        <v>19013339000000</v>
      </c>
      <c r="D129" s="3">
        <v>19610981000000</v>
      </c>
      <c r="E129" s="3">
        <v>16709304000000</v>
      </c>
      <c r="F129" s="3">
        <v>19189301000000</v>
      </c>
      <c r="G129" s="3">
        <v>19148235000000</v>
      </c>
      <c r="H129" s="3">
        <v>18670661000000</v>
      </c>
      <c r="I129" s="3">
        <v>17175846000000</v>
      </c>
      <c r="J129" s="3">
        <v>19893392000000</v>
      </c>
      <c r="K129" s="3">
        <v>19238279000000</v>
      </c>
      <c r="L129" s="3">
        <v>19601921000000</v>
      </c>
      <c r="M129" s="3">
        <v>17880514000000</v>
      </c>
      <c r="N129" s="3">
        <v>20333987000000</v>
      </c>
      <c r="O129" s="3">
        <v>20196017000000</v>
      </c>
      <c r="P129" s="3">
        <v>20687378000000</v>
      </c>
      <c r="Q129" s="3">
        <v>17451452000000</v>
      </c>
      <c r="R129" s="3">
        <v>1613179000000</v>
      </c>
      <c r="S129" s="3">
        <v>1660773000000</v>
      </c>
      <c r="T129" s="3">
        <v>1799564000000</v>
      </c>
    </row>
    <row r="130" spans="2:20" x14ac:dyDescent="0.25">
      <c r="B130" s="2" t="s">
        <v>130</v>
      </c>
      <c r="C130" s="3">
        <v>234719000000</v>
      </c>
      <c r="D130" s="3">
        <v>240597000000</v>
      </c>
      <c r="E130" s="3">
        <v>268513000000</v>
      </c>
      <c r="F130" s="3">
        <v>281927000000</v>
      </c>
      <c r="G130" s="3">
        <v>316518000000</v>
      </c>
      <c r="H130" s="3">
        <v>317405000000</v>
      </c>
      <c r="I130" s="3">
        <v>325220000000</v>
      </c>
      <c r="J130" s="3">
        <v>359223000000</v>
      </c>
      <c r="K130" s="3">
        <v>387845000000</v>
      </c>
      <c r="L130" s="3">
        <v>406024000000</v>
      </c>
      <c r="M130" s="3">
        <v>423744000000</v>
      </c>
      <c r="N130" s="3">
        <v>429128000000</v>
      </c>
      <c r="O130" s="3">
        <v>363296000000</v>
      </c>
      <c r="P130" s="3">
        <v>364988000000</v>
      </c>
      <c r="Q130" s="3">
        <v>347718000000</v>
      </c>
      <c r="R130" s="3">
        <v>365907000000</v>
      </c>
      <c r="S130" s="3">
        <v>366780000000</v>
      </c>
      <c r="T130" s="3">
        <v>559083000000</v>
      </c>
    </row>
    <row r="131" spans="2:20" x14ac:dyDescent="0.25">
      <c r="B131" s="2" t="s">
        <v>131</v>
      </c>
      <c r="C131" s="3">
        <v>18778620000000</v>
      </c>
      <c r="D131" s="3">
        <v>19370384000000</v>
      </c>
      <c r="E131" s="3">
        <v>16440791000000</v>
      </c>
      <c r="F131" s="3">
        <v>18907374000000</v>
      </c>
      <c r="G131" s="3">
        <v>18831717000000</v>
      </c>
      <c r="H131" s="3">
        <v>18353256000000</v>
      </c>
      <c r="I131" s="3">
        <v>16850626000000</v>
      </c>
      <c r="J131" s="3">
        <v>19534169000000</v>
      </c>
      <c r="K131" s="3">
        <v>18850434000000</v>
      </c>
      <c r="L131" s="3">
        <v>19195897000000</v>
      </c>
      <c r="M131" s="3">
        <v>17456770000000</v>
      </c>
      <c r="N131" s="3">
        <v>19904859000000</v>
      </c>
      <c r="O131" s="3">
        <v>19832721000000</v>
      </c>
      <c r="P131" s="3">
        <v>20322390000000</v>
      </c>
      <c r="Q131" s="3">
        <v>17103734000000</v>
      </c>
      <c r="R131" s="3">
        <v>1247272000000</v>
      </c>
      <c r="S131" s="3">
        <v>1293993000000</v>
      </c>
      <c r="T131" s="3">
        <v>1240481000000</v>
      </c>
    </row>
    <row r="132" spans="2:20" x14ac:dyDescent="0.25">
      <c r="B132" s="2" t="s">
        <v>132</v>
      </c>
      <c r="C132" s="3">
        <v>18778620000000</v>
      </c>
      <c r="D132" s="3">
        <v>19370384000000</v>
      </c>
      <c r="E132" s="3">
        <v>16440791000000</v>
      </c>
      <c r="F132" s="3">
        <v>18907374000000</v>
      </c>
      <c r="G132" s="3">
        <v>18831717000000</v>
      </c>
      <c r="H132" s="3">
        <v>18353256000000</v>
      </c>
      <c r="I132" s="3">
        <v>16850626000000</v>
      </c>
      <c r="J132" s="3">
        <v>19534169000000</v>
      </c>
      <c r="K132" s="3">
        <v>18850434000000</v>
      </c>
      <c r="L132" s="3">
        <v>19195897000000</v>
      </c>
      <c r="M132" s="3">
        <v>17456770000000</v>
      </c>
      <c r="N132" s="3">
        <v>19904859000000</v>
      </c>
      <c r="O132" s="3">
        <v>19832721000000</v>
      </c>
      <c r="P132" s="3">
        <v>20322390000000</v>
      </c>
      <c r="Q132" s="3">
        <v>17103734000000</v>
      </c>
      <c r="R132" s="3">
        <v>1247272000000</v>
      </c>
      <c r="S132" s="3">
        <v>1293993000000</v>
      </c>
      <c r="T132" s="3">
        <v>1240481000000</v>
      </c>
    </row>
    <row r="133" spans="2:20" x14ac:dyDescent="0.25">
      <c r="B133" s="2" t="s">
        <v>133</v>
      </c>
      <c r="C133" s="2" t="s">
        <v>21</v>
      </c>
      <c r="D133" s="2" t="s">
        <v>21</v>
      </c>
      <c r="E133" s="2" t="s">
        <v>21</v>
      </c>
      <c r="F133" s="2" t="s">
        <v>21</v>
      </c>
      <c r="G133" s="2" t="s">
        <v>21</v>
      </c>
      <c r="H133" s="2" t="s">
        <v>21</v>
      </c>
      <c r="I133" s="2" t="s">
        <v>21</v>
      </c>
      <c r="J133" s="2" t="s">
        <v>21</v>
      </c>
      <c r="K133" s="2" t="s">
        <v>21</v>
      </c>
      <c r="L133" s="2" t="s">
        <v>21</v>
      </c>
      <c r="M133" s="2" t="s">
        <v>21</v>
      </c>
      <c r="N133" s="2" t="s">
        <v>21</v>
      </c>
      <c r="O133" s="2" t="s">
        <v>21</v>
      </c>
      <c r="P133" s="2" t="s">
        <v>21</v>
      </c>
      <c r="Q133" s="2" t="s">
        <v>21</v>
      </c>
      <c r="R133" s="2" t="s">
        <v>21</v>
      </c>
      <c r="S133" s="2" t="s">
        <v>21</v>
      </c>
      <c r="T133" s="2" t="s">
        <v>21</v>
      </c>
    </row>
    <row r="134" spans="2:20" x14ac:dyDescent="0.25">
      <c r="B134" s="2" t="s">
        <v>134</v>
      </c>
      <c r="C134" s="3">
        <v>203077000000</v>
      </c>
      <c r="D134" s="3">
        <v>220840000000</v>
      </c>
      <c r="E134" s="3">
        <v>298589000000</v>
      </c>
      <c r="F134" s="3">
        <v>321064000000</v>
      </c>
      <c r="G134" s="3">
        <v>352481000000</v>
      </c>
      <c r="H134" s="3">
        <v>338882000000</v>
      </c>
      <c r="I134" s="3">
        <v>384839000000</v>
      </c>
      <c r="J134" s="3">
        <v>439790000000</v>
      </c>
      <c r="K134" s="3">
        <v>525917000000</v>
      </c>
      <c r="L134" s="3">
        <v>462062000000</v>
      </c>
      <c r="M134" s="3">
        <v>499550000000</v>
      </c>
      <c r="N134" s="3">
        <v>507971000000</v>
      </c>
      <c r="O134" s="3">
        <v>450066000000</v>
      </c>
      <c r="P134" s="3">
        <v>504949000000</v>
      </c>
      <c r="Q134" s="3">
        <v>559284000000</v>
      </c>
      <c r="R134" s="3">
        <v>487498000000</v>
      </c>
      <c r="S134" s="3">
        <v>480970000000</v>
      </c>
      <c r="T134" s="3">
        <v>494404000000</v>
      </c>
    </row>
    <row r="135" spans="2:20" x14ac:dyDescent="0.25">
      <c r="B135" s="2" t="s">
        <v>135</v>
      </c>
      <c r="C135" s="3">
        <v>1378366000000</v>
      </c>
      <c r="D135" s="3">
        <v>1448843000000</v>
      </c>
      <c r="E135" s="3">
        <v>289050000000</v>
      </c>
      <c r="F135" s="3">
        <v>1754404000000</v>
      </c>
      <c r="G135" s="3">
        <v>1939380000000</v>
      </c>
      <c r="H135" s="3">
        <v>1873184000000</v>
      </c>
      <c r="I135" s="3">
        <v>321946000000</v>
      </c>
      <c r="J135" s="3">
        <v>2208852000000</v>
      </c>
      <c r="K135" s="3">
        <v>2212374000000</v>
      </c>
      <c r="L135" s="3">
        <v>2266901000000</v>
      </c>
      <c r="M135" s="3">
        <v>513405000000</v>
      </c>
      <c r="N135" s="3">
        <v>2859895000000</v>
      </c>
      <c r="O135" s="3">
        <v>2716266000000</v>
      </c>
      <c r="P135" s="3">
        <v>2931327000000</v>
      </c>
      <c r="Q135" s="3">
        <v>565929000000</v>
      </c>
      <c r="R135" s="3">
        <v>2742086000000</v>
      </c>
      <c r="S135" s="3">
        <v>2834881000000</v>
      </c>
      <c r="T135" s="3">
        <v>3109768000000</v>
      </c>
    </row>
    <row r="136" spans="2:20" x14ac:dyDescent="0.25">
      <c r="B136" s="2" t="s">
        <v>136</v>
      </c>
      <c r="C136" s="2" t="s">
        <v>21</v>
      </c>
      <c r="D136" s="2" t="s">
        <v>21</v>
      </c>
      <c r="E136" s="3">
        <v>2700603000000</v>
      </c>
      <c r="F136" s="2" t="s">
        <v>21</v>
      </c>
      <c r="G136" s="2" t="s">
        <v>21</v>
      </c>
      <c r="H136" s="2" t="s">
        <v>21</v>
      </c>
      <c r="I136" s="3">
        <v>2427446000000</v>
      </c>
      <c r="J136" s="2" t="s">
        <v>21</v>
      </c>
      <c r="K136" s="2" t="s">
        <v>21</v>
      </c>
      <c r="L136" s="2" t="s">
        <v>21</v>
      </c>
      <c r="M136" s="3">
        <v>2380365000000</v>
      </c>
      <c r="N136" s="2" t="s">
        <v>21</v>
      </c>
      <c r="O136" s="2" t="s">
        <v>21</v>
      </c>
      <c r="P136" s="2" t="s">
        <v>21</v>
      </c>
      <c r="Q136" s="3">
        <v>2797194000000</v>
      </c>
      <c r="R136" s="2" t="s">
        <v>21</v>
      </c>
      <c r="S136" s="2" t="s">
        <v>21</v>
      </c>
      <c r="T136" s="2" t="s">
        <v>21</v>
      </c>
    </row>
    <row r="137" spans="2:20" x14ac:dyDescent="0.25">
      <c r="B137" s="2" t="s">
        <v>137</v>
      </c>
      <c r="C137" s="3">
        <v>646776000000</v>
      </c>
      <c r="D137" s="3">
        <v>639170000000</v>
      </c>
      <c r="E137" s="3">
        <v>676526000000</v>
      </c>
      <c r="F137" s="3">
        <v>688780000000</v>
      </c>
      <c r="G137" s="3">
        <v>696238000000</v>
      </c>
      <c r="H137" s="3">
        <v>690374000000</v>
      </c>
      <c r="I137" s="3">
        <v>730864000000</v>
      </c>
      <c r="J137" s="2" t="s">
        <v>21</v>
      </c>
      <c r="K137" s="2" t="s">
        <v>21</v>
      </c>
      <c r="L137" s="2" t="s">
        <v>21</v>
      </c>
      <c r="M137" s="2" t="s">
        <v>21</v>
      </c>
      <c r="N137" s="2" t="s">
        <v>21</v>
      </c>
      <c r="O137" s="2" t="s">
        <v>21</v>
      </c>
      <c r="P137" s="2" t="s">
        <v>21</v>
      </c>
      <c r="Q137" s="2" t="s">
        <v>21</v>
      </c>
      <c r="R137" s="2" t="s">
        <v>21</v>
      </c>
      <c r="S137" s="2" t="s">
        <v>21</v>
      </c>
      <c r="T137" s="2" t="s">
        <v>21</v>
      </c>
    </row>
    <row r="138" spans="2:20" x14ac:dyDescent="0.25">
      <c r="B138" s="2" t="s">
        <v>138</v>
      </c>
      <c r="C138" s="3">
        <v>21545378000000</v>
      </c>
      <c r="D138" s="3">
        <v>22558188000000</v>
      </c>
      <c r="E138" s="3">
        <v>23283718000000</v>
      </c>
      <c r="F138" s="3">
        <v>23402668000000</v>
      </c>
      <c r="G138" s="3">
        <v>24425633000000</v>
      </c>
      <c r="H138" s="3">
        <v>24198715000000</v>
      </c>
      <c r="I138" s="3">
        <v>24752900000000</v>
      </c>
      <c r="J138" s="3">
        <v>25781439000000</v>
      </c>
      <c r="K138" s="3">
        <v>25768173000000</v>
      </c>
      <c r="L138" s="3">
        <v>26174912000000</v>
      </c>
      <c r="M138" s="3">
        <v>26351385000000</v>
      </c>
      <c r="N138" s="3">
        <v>26528850000000</v>
      </c>
      <c r="O138" s="3">
        <v>26264881000000</v>
      </c>
      <c r="P138" s="3">
        <v>27466625000000</v>
      </c>
      <c r="Q138" s="3">
        <v>26783022000000</v>
      </c>
      <c r="R138" s="3">
        <v>26546840000000</v>
      </c>
      <c r="S138" s="3">
        <v>28133888000000</v>
      </c>
      <c r="T138" s="3">
        <v>7365876000000</v>
      </c>
    </row>
    <row r="139" spans="2:20" x14ac:dyDescent="0.25">
      <c r="B139" s="2" t="s">
        <v>139</v>
      </c>
      <c r="C139" s="3">
        <v>7675450000000</v>
      </c>
      <c r="D139" s="3">
        <v>8275801000000</v>
      </c>
      <c r="E139" s="3">
        <v>8760150000000</v>
      </c>
      <c r="F139" s="3">
        <v>8868357000000</v>
      </c>
      <c r="G139" s="3">
        <v>9705757000000</v>
      </c>
      <c r="H139" s="3">
        <v>9496835000000</v>
      </c>
      <c r="I139" s="3">
        <v>9308936000000</v>
      </c>
      <c r="J139" s="3">
        <v>9954419000000</v>
      </c>
      <c r="K139" s="3">
        <v>10603054000000</v>
      </c>
      <c r="L139" s="3">
        <v>10686745000000</v>
      </c>
      <c r="M139" s="3">
        <v>10192045000000</v>
      </c>
      <c r="N139" s="3">
        <v>10366908000000</v>
      </c>
      <c r="O139" s="3">
        <v>10271037000000</v>
      </c>
      <c r="P139" s="3">
        <v>11086082000000</v>
      </c>
      <c r="Q139" s="3">
        <v>10688788000000</v>
      </c>
      <c r="R139" s="3">
        <v>24107583000000</v>
      </c>
      <c r="S139" s="3">
        <v>26028330000000</v>
      </c>
      <c r="T139" s="3">
        <v>5158882000000</v>
      </c>
    </row>
    <row r="140" spans="2:20" x14ac:dyDescent="0.25">
      <c r="B140" s="2" t="s">
        <v>140</v>
      </c>
      <c r="C140" s="3">
        <v>1783274000000</v>
      </c>
      <c r="D140" s="3">
        <v>1884282000000</v>
      </c>
      <c r="E140" s="3">
        <v>1949334000000</v>
      </c>
      <c r="F140" s="3">
        <v>2090061000000</v>
      </c>
      <c r="G140" s="3">
        <v>2428860000000</v>
      </c>
      <c r="H140" s="3">
        <v>2201021000000</v>
      </c>
      <c r="I140" s="3">
        <v>2018693000000</v>
      </c>
      <c r="J140" s="3">
        <v>2264567000000</v>
      </c>
      <c r="K140" s="3">
        <v>2442489000000</v>
      </c>
      <c r="L140" s="3">
        <v>2379353000000</v>
      </c>
      <c r="M140" s="3">
        <v>2216979000000</v>
      </c>
      <c r="N140" s="3">
        <v>2344103000000</v>
      </c>
      <c r="O140" s="3">
        <v>2406720000000</v>
      </c>
      <c r="P140" s="3">
        <v>2427656000000</v>
      </c>
      <c r="Q140" s="3">
        <v>2189629000000</v>
      </c>
      <c r="R140" s="3">
        <v>2138979000000</v>
      </c>
      <c r="S140" s="3">
        <v>3415259000000</v>
      </c>
      <c r="T140" s="3">
        <v>2460855000000</v>
      </c>
    </row>
    <row r="141" spans="2:20" x14ac:dyDescent="0.25">
      <c r="B141" s="2" t="s">
        <v>141</v>
      </c>
      <c r="C141" s="3">
        <v>1783274000000</v>
      </c>
      <c r="D141" s="3">
        <v>1884282000000</v>
      </c>
      <c r="E141" s="3">
        <v>1949334000000</v>
      </c>
      <c r="F141" s="3">
        <v>2090061000000</v>
      </c>
      <c r="G141" s="3">
        <v>2428860000000</v>
      </c>
      <c r="H141" s="3">
        <v>2201021000000</v>
      </c>
      <c r="I141" s="3">
        <v>2018693000000</v>
      </c>
      <c r="J141" s="3">
        <v>2264567000000</v>
      </c>
      <c r="K141" s="3">
        <v>2442489000000</v>
      </c>
      <c r="L141" s="3">
        <v>2379353000000</v>
      </c>
      <c r="M141" s="3">
        <v>2216979000000</v>
      </c>
      <c r="N141" s="3">
        <v>2344103000000</v>
      </c>
      <c r="O141" s="3">
        <v>2406720000000</v>
      </c>
      <c r="P141" s="3">
        <v>2427656000000</v>
      </c>
      <c r="Q141" s="3">
        <v>2189629000000</v>
      </c>
      <c r="R141" s="3">
        <v>2138979000000</v>
      </c>
      <c r="S141" s="3">
        <v>3415259000000</v>
      </c>
      <c r="T141" s="3">
        <v>2460855000000</v>
      </c>
    </row>
    <row r="142" spans="2:20" x14ac:dyDescent="0.25">
      <c r="B142" s="2" t="s">
        <v>142</v>
      </c>
      <c r="C142" s="3">
        <v>1677359000000</v>
      </c>
      <c r="D142" s="3">
        <v>1738923000000</v>
      </c>
      <c r="E142" s="3">
        <v>1843242000000</v>
      </c>
      <c r="F142" s="3">
        <v>1961784000000</v>
      </c>
      <c r="G142" s="3">
        <v>2238168000000</v>
      </c>
      <c r="H142" s="3">
        <v>2024291000000</v>
      </c>
      <c r="I142" s="3">
        <v>1865993000000</v>
      </c>
      <c r="J142" s="3">
        <v>2122057000000</v>
      </c>
      <c r="K142" s="3">
        <v>2314691000000</v>
      </c>
      <c r="L142" s="3">
        <v>2244832000000</v>
      </c>
      <c r="M142" s="3">
        <v>2064905000000</v>
      </c>
      <c r="N142" s="3">
        <v>2252860000000</v>
      </c>
      <c r="O142" s="3">
        <v>2280138000000</v>
      </c>
      <c r="P142" s="3">
        <v>2297806000000</v>
      </c>
      <c r="Q142" s="3">
        <v>2100144000000</v>
      </c>
      <c r="R142" s="3">
        <v>2050255000000</v>
      </c>
      <c r="S142" s="3">
        <v>2303392000000</v>
      </c>
      <c r="T142" s="3">
        <v>2297486000000</v>
      </c>
    </row>
    <row r="143" spans="2:20" x14ac:dyDescent="0.25">
      <c r="B143" s="2" t="s">
        <v>143</v>
      </c>
      <c r="C143" s="3">
        <v>105915000000</v>
      </c>
      <c r="D143" s="3">
        <v>145359000000</v>
      </c>
      <c r="E143" s="3">
        <v>106092000000</v>
      </c>
      <c r="F143" s="3">
        <v>128277000000</v>
      </c>
      <c r="G143" s="3">
        <v>190692000000</v>
      </c>
      <c r="H143" s="3">
        <v>176730000000</v>
      </c>
      <c r="I143" s="3">
        <v>152700000000</v>
      </c>
      <c r="J143" s="3">
        <v>142510000000</v>
      </c>
      <c r="K143" s="3">
        <v>127798000000</v>
      </c>
      <c r="L143" s="3">
        <v>134521000000</v>
      </c>
      <c r="M143" s="3">
        <v>152074000000</v>
      </c>
      <c r="N143" s="3">
        <v>91243000000</v>
      </c>
      <c r="O143" s="3">
        <v>126582000000</v>
      </c>
      <c r="P143" s="3">
        <v>129850000000</v>
      </c>
      <c r="Q143" s="3">
        <v>89485000000</v>
      </c>
      <c r="R143" s="3">
        <v>88724000000</v>
      </c>
      <c r="S143" s="3">
        <v>156167000000</v>
      </c>
      <c r="T143" s="3">
        <v>163369000000</v>
      </c>
    </row>
    <row r="144" spans="2:20" x14ac:dyDescent="0.25">
      <c r="B144" s="2" t="s">
        <v>144</v>
      </c>
      <c r="C144" s="2" t="s">
        <v>21</v>
      </c>
      <c r="D144" s="2" t="s">
        <v>21</v>
      </c>
      <c r="E144" s="2" t="s">
        <v>21</v>
      </c>
      <c r="F144" s="2" t="s">
        <v>21</v>
      </c>
      <c r="G144" s="2" t="s">
        <v>21</v>
      </c>
      <c r="H144" s="2" t="s">
        <v>21</v>
      </c>
      <c r="I144" s="2" t="s">
        <v>21</v>
      </c>
      <c r="J144" s="2" t="s">
        <v>21</v>
      </c>
      <c r="K144" s="2" t="s">
        <v>21</v>
      </c>
      <c r="L144" s="2" t="s">
        <v>21</v>
      </c>
      <c r="M144" s="2" t="s">
        <v>21</v>
      </c>
      <c r="N144" s="2" t="s">
        <v>21</v>
      </c>
      <c r="O144" s="2" t="s">
        <v>21</v>
      </c>
      <c r="P144" s="2" t="s">
        <v>21</v>
      </c>
      <c r="Q144" s="2" t="s">
        <v>21</v>
      </c>
      <c r="R144" s="2" t="s">
        <v>21</v>
      </c>
      <c r="S144" s="3">
        <v>955700000000</v>
      </c>
      <c r="T144" s="2" t="s">
        <v>21</v>
      </c>
    </row>
    <row r="145" spans="2:20" x14ac:dyDescent="0.25">
      <c r="B145" s="2" t="s">
        <v>145</v>
      </c>
      <c r="C145" s="2" t="s">
        <v>21</v>
      </c>
      <c r="D145" s="2" t="s">
        <v>21</v>
      </c>
      <c r="E145" s="2" t="s">
        <v>21</v>
      </c>
      <c r="F145" s="2" t="s">
        <v>21</v>
      </c>
      <c r="G145" s="2" t="s">
        <v>21</v>
      </c>
      <c r="H145" s="2" t="s">
        <v>21</v>
      </c>
      <c r="I145" s="2" t="s">
        <v>21</v>
      </c>
      <c r="J145" s="2" t="s">
        <v>21</v>
      </c>
      <c r="K145" s="2" t="s">
        <v>21</v>
      </c>
      <c r="L145" s="2" t="s">
        <v>21</v>
      </c>
      <c r="M145" s="2" t="s">
        <v>21</v>
      </c>
      <c r="N145" s="2" t="s">
        <v>21</v>
      </c>
      <c r="O145" s="2" t="s">
        <v>21</v>
      </c>
      <c r="P145" s="2" t="s">
        <v>21</v>
      </c>
      <c r="Q145" s="2" t="s">
        <v>21</v>
      </c>
      <c r="R145" s="2" t="s">
        <v>21</v>
      </c>
      <c r="S145" s="2" t="s">
        <v>21</v>
      </c>
      <c r="T145" s="2" t="s">
        <v>21</v>
      </c>
    </row>
    <row r="146" spans="2:20" x14ac:dyDescent="0.25">
      <c r="B146" s="2" t="s">
        <v>146</v>
      </c>
      <c r="C146" s="3">
        <v>1688816000000</v>
      </c>
      <c r="D146" s="3">
        <v>1955571000000</v>
      </c>
      <c r="E146" s="3">
        <v>2245805000000</v>
      </c>
      <c r="F146" s="3">
        <v>2220515000000</v>
      </c>
      <c r="G146" s="3">
        <v>2470824000000</v>
      </c>
      <c r="H146" s="3">
        <v>2368535000000</v>
      </c>
      <c r="I146" s="3">
        <v>2176448000000</v>
      </c>
      <c r="J146" s="3">
        <v>2492139000000</v>
      </c>
      <c r="K146" s="3">
        <v>2790148000000</v>
      </c>
      <c r="L146" s="3">
        <v>2677958000000</v>
      </c>
      <c r="M146" s="3">
        <v>2146360000000</v>
      </c>
      <c r="N146" s="3">
        <v>2168587000000</v>
      </c>
      <c r="O146" s="3">
        <v>2182739000000</v>
      </c>
      <c r="P146" s="3">
        <v>2508651000000</v>
      </c>
      <c r="Q146" s="3">
        <v>2242093000000</v>
      </c>
      <c r="R146" s="3">
        <v>296197000000</v>
      </c>
      <c r="S146" s="3">
        <v>513587000000</v>
      </c>
      <c r="T146" s="3">
        <v>410447000000</v>
      </c>
    </row>
    <row r="147" spans="2:20" x14ac:dyDescent="0.25">
      <c r="B147" s="2" t="s">
        <v>147</v>
      </c>
      <c r="C147" s="3">
        <v>1649999000000</v>
      </c>
      <c r="D147" s="3">
        <v>1907927000000</v>
      </c>
      <c r="E147" s="3">
        <v>2147962000000</v>
      </c>
      <c r="F147" s="3">
        <v>2134223000000</v>
      </c>
      <c r="G147" s="3">
        <v>2349806000000</v>
      </c>
      <c r="H147" s="3">
        <v>2286038000000</v>
      </c>
      <c r="I147" s="3">
        <v>2102876000000</v>
      </c>
      <c r="J147" s="3">
        <v>2345741000000</v>
      </c>
      <c r="K147" s="3">
        <v>2644713000000</v>
      </c>
      <c r="L147" s="3">
        <v>2565529000000</v>
      </c>
      <c r="M147" s="3">
        <v>2030316000000</v>
      </c>
      <c r="N147" s="3">
        <v>2038266000000</v>
      </c>
      <c r="O147" s="3">
        <v>2080222000000</v>
      </c>
      <c r="P147" s="3">
        <v>2385140000000</v>
      </c>
      <c r="Q147" s="3">
        <v>2131404000000</v>
      </c>
      <c r="R147" s="3">
        <v>261709000000</v>
      </c>
      <c r="S147" s="3">
        <v>259093000000</v>
      </c>
      <c r="T147" s="3">
        <v>233686000000</v>
      </c>
    </row>
    <row r="148" spans="2:20" x14ac:dyDescent="0.25">
      <c r="B148" s="2" t="s">
        <v>148</v>
      </c>
      <c r="C148" s="3">
        <v>1478915000000</v>
      </c>
      <c r="D148" s="3">
        <v>1731978000000</v>
      </c>
      <c r="E148" s="3">
        <v>1976553000000</v>
      </c>
      <c r="F148" s="3">
        <v>1917701000000</v>
      </c>
      <c r="G148" s="3">
        <v>2144206000000</v>
      </c>
      <c r="H148" s="3">
        <v>2092624000000</v>
      </c>
      <c r="I148" s="3">
        <v>1914934000000</v>
      </c>
      <c r="J148" s="3">
        <v>2166112000000</v>
      </c>
      <c r="K148" s="3">
        <v>2480578000000</v>
      </c>
      <c r="L148" s="3">
        <v>2374858000000</v>
      </c>
      <c r="M148" s="3">
        <v>1812605000000</v>
      </c>
      <c r="N148" s="3">
        <v>1823419000000</v>
      </c>
      <c r="O148" s="3">
        <v>1820735000000</v>
      </c>
      <c r="P148" s="3">
        <v>2088195000000</v>
      </c>
      <c r="Q148" s="3">
        <v>1843959000000</v>
      </c>
      <c r="R148" s="3">
        <v>47099000000</v>
      </c>
      <c r="S148" s="3">
        <v>50467000000</v>
      </c>
      <c r="T148" s="3">
        <v>54519000000</v>
      </c>
    </row>
    <row r="149" spans="2:20" x14ac:dyDescent="0.25">
      <c r="B149" s="2" t="s">
        <v>149</v>
      </c>
      <c r="C149" s="2" t="s">
        <v>21</v>
      </c>
      <c r="D149" s="2" t="s">
        <v>21</v>
      </c>
      <c r="E149" s="2" t="s">
        <v>21</v>
      </c>
      <c r="F149" s="2" t="s">
        <v>21</v>
      </c>
      <c r="G149" s="2" t="s">
        <v>21</v>
      </c>
      <c r="H149" s="2" t="s">
        <v>21</v>
      </c>
      <c r="I149" s="2" t="s">
        <v>21</v>
      </c>
      <c r="J149" s="2" t="s">
        <v>21</v>
      </c>
      <c r="K149" s="2" t="s">
        <v>21</v>
      </c>
      <c r="L149" s="2" t="s">
        <v>21</v>
      </c>
      <c r="M149" s="2" t="s">
        <v>21</v>
      </c>
      <c r="N149" s="2" t="s">
        <v>21</v>
      </c>
      <c r="O149" s="2" t="s">
        <v>21</v>
      </c>
      <c r="P149" s="2" t="s">
        <v>21</v>
      </c>
      <c r="Q149" s="2" t="s">
        <v>21</v>
      </c>
      <c r="R149" s="2" t="s">
        <v>21</v>
      </c>
      <c r="S149" s="2" t="s">
        <v>21</v>
      </c>
      <c r="T149" s="2" t="s">
        <v>21</v>
      </c>
    </row>
    <row r="150" spans="2:20" x14ac:dyDescent="0.25">
      <c r="B150" s="2" t="s">
        <v>150</v>
      </c>
      <c r="C150" s="3">
        <v>171084000000</v>
      </c>
      <c r="D150" s="3">
        <v>175949000000</v>
      </c>
      <c r="E150" s="3">
        <v>171409000000</v>
      </c>
      <c r="F150" s="3">
        <v>216522000000</v>
      </c>
      <c r="G150" s="3">
        <v>205600000000</v>
      </c>
      <c r="H150" s="3">
        <v>193414000000</v>
      </c>
      <c r="I150" s="3">
        <v>187942000000</v>
      </c>
      <c r="J150" s="3">
        <v>179629000000</v>
      </c>
      <c r="K150" s="3">
        <v>164135000000</v>
      </c>
      <c r="L150" s="3">
        <v>190671000000</v>
      </c>
      <c r="M150" s="3">
        <v>217711000000</v>
      </c>
      <c r="N150" s="3">
        <v>214847000000</v>
      </c>
      <c r="O150" s="3">
        <v>259487000000</v>
      </c>
      <c r="P150" s="3">
        <v>296945000000</v>
      </c>
      <c r="Q150" s="3">
        <v>287445000000</v>
      </c>
      <c r="R150" s="3">
        <v>214610000000</v>
      </c>
      <c r="S150" s="3">
        <v>208626000000</v>
      </c>
      <c r="T150" s="3">
        <v>179167000000</v>
      </c>
    </row>
    <row r="151" spans="2:20" x14ac:dyDescent="0.25">
      <c r="B151" s="2" t="s">
        <v>151</v>
      </c>
      <c r="C151" s="3">
        <v>171084000000</v>
      </c>
      <c r="D151" s="3">
        <v>175949000000</v>
      </c>
      <c r="E151" s="3">
        <v>171409000000</v>
      </c>
      <c r="F151" s="3">
        <v>216522000000</v>
      </c>
      <c r="G151" s="3">
        <v>205600000000</v>
      </c>
      <c r="H151" s="3">
        <v>193414000000</v>
      </c>
      <c r="I151" s="3">
        <v>187942000000</v>
      </c>
      <c r="J151" s="3">
        <v>179629000000</v>
      </c>
      <c r="K151" s="3">
        <v>164135000000</v>
      </c>
      <c r="L151" s="3">
        <v>190671000000</v>
      </c>
      <c r="M151" s="3">
        <v>217711000000</v>
      </c>
      <c r="N151" s="3">
        <v>214847000000</v>
      </c>
      <c r="O151" s="3">
        <v>259487000000</v>
      </c>
      <c r="P151" s="3">
        <v>296945000000</v>
      </c>
      <c r="Q151" s="3">
        <v>287445000000</v>
      </c>
      <c r="R151" s="3">
        <v>214610000000</v>
      </c>
      <c r="S151" s="3">
        <v>208626000000</v>
      </c>
      <c r="T151" s="3">
        <v>86816000000</v>
      </c>
    </row>
    <row r="152" spans="2:20" x14ac:dyDescent="0.25">
      <c r="B152" s="2" t="s">
        <v>152</v>
      </c>
      <c r="C152" s="2" t="s">
        <v>21</v>
      </c>
      <c r="D152" s="2" t="s">
        <v>21</v>
      </c>
      <c r="E152" s="2" t="s">
        <v>21</v>
      </c>
      <c r="F152" s="2" t="s">
        <v>21</v>
      </c>
      <c r="G152" s="2" t="s">
        <v>21</v>
      </c>
      <c r="H152" s="2" t="s">
        <v>21</v>
      </c>
      <c r="I152" s="2" t="s">
        <v>21</v>
      </c>
      <c r="J152" s="2" t="s">
        <v>21</v>
      </c>
      <c r="K152" s="2" t="s">
        <v>21</v>
      </c>
      <c r="L152" s="2" t="s">
        <v>21</v>
      </c>
      <c r="M152" s="2" t="s">
        <v>21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21</v>
      </c>
      <c r="S152" s="2" t="s">
        <v>21</v>
      </c>
      <c r="T152" s="3">
        <v>92351000000</v>
      </c>
    </row>
    <row r="153" spans="2:20" x14ac:dyDescent="0.25">
      <c r="B153" s="2" t="s">
        <v>153</v>
      </c>
      <c r="C153" s="3">
        <v>38817000000</v>
      </c>
      <c r="D153" s="3">
        <v>47644000000</v>
      </c>
      <c r="E153" s="3">
        <v>97843000000</v>
      </c>
      <c r="F153" s="3">
        <v>86292000000</v>
      </c>
      <c r="G153" s="3">
        <v>121018000000</v>
      </c>
      <c r="H153" s="3">
        <v>82497000000</v>
      </c>
      <c r="I153" s="3">
        <v>73572000000</v>
      </c>
      <c r="J153" s="3">
        <v>146398000000</v>
      </c>
      <c r="K153" s="3">
        <v>145435000000</v>
      </c>
      <c r="L153" s="3">
        <v>112429000000</v>
      </c>
      <c r="M153" s="3">
        <v>116044000000</v>
      </c>
      <c r="N153" s="3">
        <v>130321000000</v>
      </c>
      <c r="O153" s="3">
        <v>102517000000</v>
      </c>
      <c r="P153" s="3">
        <v>123511000000</v>
      </c>
      <c r="Q153" s="3">
        <v>110689000000</v>
      </c>
      <c r="R153" s="3">
        <v>34488000000</v>
      </c>
      <c r="S153" s="3">
        <v>254494000000</v>
      </c>
      <c r="T153" s="3">
        <v>176761000000</v>
      </c>
    </row>
    <row r="154" spans="2:20" x14ac:dyDescent="0.25">
      <c r="B154" s="2" t="s">
        <v>154</v>
      </c>
      <c r="C154" s="3">
        <v>2796103000000</v>
      </c>
      <c r="D154" s="3">
        <v>2837725000000</v>
      </c>
      <c r="E154" s="3">
        <v>2886361000000</v>
      </c>
      <c r="F154" s="3">
        <v>2955103000000</v>
      </c>
      <c r="G154" s="3">
        <v>3015117000000</v>
      </c>
      <c r="H154" s="3">
        <v>3071144000000</v>
      </c>
      <c r="I154" s="3">
        <v>3163237000000</v>
      </c>
      <c r="J154" s="3">
        <v>3297378000000</v>
      </c>
      <c r="K154" s="3">
        <v>3429123000000</v>
      </c>
      <c r="L154" s="3">
        <v>3561499000000</v>
      </c>
      <c r="M154" s="3">
        <v>3670567000000</v>
      </c>
      <c r="N154" s="3">
        <v>3690958000000</v>
      </c>
      <c r="O154" s="3">
        <v>3586639000000</v>
      </c>
      <c r="P154" s="3">
        <v>3709477000000</v>
      </c>
      <c r="Q154" s="3">
        <v>3981193000000</v>
      </c>
      <c r="R154" s="3">
        <v>0</v>
      </c>
      <c r="S154" s="3">
        <v>0</v>
      </c>
      <c r="T154" s="3">
        <v>606141000000</v>
      </c>
    </row>
    <row r="155" spans="2:20" x14ac:dyDescent="0.25">
      <c r="B155" s="2" t="s">
        <v>155</v>
      </c>
      <c r="C155" s="3">
        <v>2796103000000</v>
      </c>
      <c r="D155" s="3">
        <v>2837725000000</v>
      </c>
      <c r="E155" s="3">
        <v>2886361000000</v>
      </c>
      <c r="F155" s="3">
        <v>2955103000000</v>
      </c>
      <c r="G155" s="3">
        <v>3015117000000</v>
      </c>
      <c r="H155" s="3">
        <v>3071144000000</v>
      </c>
      <c r="I155" s="3">
        <v>3163237000000</v>
      </c>
      <c r="J155" s="3">
        <v>3297378000000</v>
      </c>
      <c r="K155" s="3">
        <v>3429123000000</v>
      </c>
      <c r="L155" s="3">
        <v>3561499000000</v>
      </c>
      <c r="M155" s="3">
        <v>3670567000000</v>
      </c>
      <c r="N155" s="3">
        <v>3690958000000</v>
      </c>
      <c r="O155" s="3">
        <v>3586639000000</v>
      </c>
      <c r="P155" s="3">
        <v>3709477000000</v>
      </c>
      <c r="Q155" s="3">
        <v>3981193000000</v>
      </c>
      <c r="R155" s="3">
        <v>0</v>
      </c>
      <c r="S155" s="3">
        <v>0</v>
      </c>
      <c r="T155" s="3">
        <v>606141000000</v>
      </c>
    </row>
    <row r="156" spans="2:20" x14ac:dyDescent="0.25">
      <c r="B156" s="2" t="s">
        <v>156</v>
      </c>
      <c r="C156" s="3">
        <v>1407257000000</v>
      </c>
      <c r="D156" s="3">
        <v>1598223000000</v>
      </c>
      <c r="E156" s="3">
        <v>1678650000000</v>
      </c>
      <c r="F156" s="3">
        <v>1602678000000</v>
      </c>
      <c r="G156" s="3">
        <v>1790956000000</v>
      </c>
      <c r="H156" s="3">
        <v>1856135000000</v>
      </c>
      <c r="I156" s="3">
        <v>1950558000000</v>
      </c>
      <c r="J156" s="3">
        <v>1900335000000</v>
      </c>
      <c r="K156" s="3">
        <v>1941294000000</v>
      </c>
      <c r="L156" s="3">
        <v>2067935000000</v>
      </c>
      <c r="M156" s="3">
        <v>2158139000000</v>
      </c>
      <c r="N156" s="3">
        <v>2163260000000</v>
      </c>
      <c r="O156" s="3">
        <v>2094939000000</v>
      </c>
      <c r="P156" s="3">
        <v>2440298000000</v>
      </c>
      <c r="Q156" s="3">
        <v>2275873000000</v>
      </c>
      <c r="R156" s="3">
        <v>1859287000000</v>
      </c>
      <c r="S156" s="3">
        <v>1914262000000</v>
      </c>
      <c r="T156" s="3">
        <v>1681439000000</v>
      </c>
    </row>
    <row r="157" spans="2:20" x14ac:dyDescent="0.25">
      <c r="B157" s="2" t="s">
        <v>157</v>
      </c>
      <c r="C157" s="2" t="s">
        <v>21</v>
      </c>
      <c r="D157" s="2" t="s">
        <v>21</v>
      </c>
      <c r="E157" s="2" t="s">
        <v>21</v>
      </c>
      <c r="F157" s="2" t="s">
        <v>21</v>
      </c>
      <c r="G157" s="2" t="s">
        <v>21</v>
      </c>
      <c r="H157" s="2" t="s">
        <v>21</v>
      </c>
      <c r="I157" s="2" t="s">
        <v>21</v>
      </c>
      <c r="J157" s="2" t="s">
        <v>21</v>
      </c>
      <c r="K157" s="2" t="s">
        <v>21</v>
      </c>
      <c r="L157" s="2" t="s">
        <v>21</v>
      </c>
      <c r="M157" s="2" t="s">
        <v>21</v>
      </c>
      <c r="N157" s="2" t="s">
        <v>21</v>
      </c>
      <c r="O157" s="2" t="s">
        <v>21</v>
      </c>
      <c r="P157" s="2" t="s">
        <v>21</v>
      </c>
      <c r="Q157" s="2" t="s">
        <v>21</v>
      </c>
      <c r="R157" s="3">
        <v>19813120000000</v>
      </c>
      <c r="S157" s="3">
        <v>20185222000000</v>
      </c>
      <c r="T157" s="2" t="s">
        <v>21</v>
      </c>
    </row>
    <row r="158" spans="2:20" x14ac:dyDescent="0.25">
      <c r="B158" s="2" t="s">
        <v>158</v>
      </c>
      <c r="C158" s="3">
        <v>13869928000000</v>
      </c>
      <c r="D158" s="3">
        <v>14282387000000</v>
      </c>
      <c r="E158" s="3">
        <v>14523568000000</v>
      </c>
      <c r="F158" s="3">
        <v>14534311000000</v>
      </c>
      <c r="G158" s="3">
        <v>14719876000000</v>
      </c>
      <c r="H158" s="3">
        <v>14701880000000</v>
      </c>
      <c r="I158" s="3">
        <v>15443964000000</v>
      </c>
      <c r="J158" s="3">
        <v>15827020000000</v>
      </c>
      <c r="K158" s="3">
        <v>15165119000000</v>
      </c>
      <c r="L158" s="3">
        <v>15488167000000</v>
      </c>
      <c r="M158" s="3">
        <v>16159340000000</v>
      </c>
      <c r="N158" s="3">
        <v>16161942000000</v>
      </c>
      <c r="O158" s="3">
        <v>15993844000000</v>
      </c>
      <c r="P158" s="3">
        <v>16380543000000</v>
      </c>
      <c r="Q158" s="3">
        <v>16094234000000</v>
      </c>
      <c r="R158" s="3">
        <v>2439257000000</v>
      </c>
      <c r="S158" s="3">
        <v>2105558000000</v>
      </c>
      <c r="T158" s="3">
        <v>2206994000000</v>
      </c>
    </row>
    <row r="159" spans="2:20" x14ac:dyDescent="0.25">
      <c r="B159" s="2" t="s">
        <v>159</v>
      </c>
      <c r="C159" s="3">
        <v>1162347000000</v>
      </c>
      <c r="D159" s="3">
        <v>1158915000000</v>
      </c>
      <c r="E159" s="3">
        <v>1415605000000</v>
      </c>
      <c r="F159" s="3">
        <v>1442483000000</v>
      </c>
      <c r="G159" s="3">
        <v>1643401000000</v>
      </c>
      <c r="H159" s="3">
        <v>1854007000000</v>
      </c>
      <c r="I159" s="3">
        <v>2117974000000</v>
      </c>
      <c r="J159" s="3">
        <v>2204589000000</v>
      </c>
      <c r="K159" s="3">
        <v>2216814000000</v>
      </c>
      <c r="L159" s="3">
        <v>2211825000000</v>
      </c>
      <c r="M159" s="3">
        <v>2444878000000</v>
      </c>
      <c r="N159" s="3">
        <v>2550052000000</v>
      </c>
      <c r="O159" s="3">
        <v>2439660000000</v>
      </c>
      <c r="P159" s="3">
        <v>2553276000000</v>
      </c>
      <c r="Q159" s="3">
        <v>2641193000000</v>
      </c>
      <c r="R159" s="3">
        <v>1741230000000</v>
      </c>
      <c r="S159" s="3">
        <v>1431558000000</v>
      </c>
      <c r="T159" s="3">
        <v>1529281000000</v>
      </c>
    </row>
    <row r="160" spans="2:20" x14ac:dyDescent="0.25">
      <c r="B160" s="2" t="s">
        <v>160</v>
      </c>
      <c r="C160" s="3">
        <v>995794000000</v>
      </c>
      <c r="D160" s="3">
        <v>971562000000</v>
      </c>
      <c r="E160" s="3">
        <v>1203646000000</v>
      </c>
      <c r="F160" s="3">
        <v>1198083000000</v>
      </c>
      <c r="G160" s="3">
        <v>1291603000000</v>
      </c>
      <c r="H160" s="3">
        <v>1514355000000</v>
      </c>
      <c r="I160" s="3">
        <v>1767696000000</v>
      </c>
      <c r="J160" s="3">
        <v>1807171000000</v>
      </c>
      <c r="K160" s="3">
        <v>1838034000000</v>
      </c>
      <c r="L160" s="3">
        <v>1840067000000</v>
      </c>
      <c r="M160" s="3">
        <v>2058117000000</v>
      </c>
      <c r="N160" s="3">
        <v>2134844000000</v>
      </c>
      <c r="O160" s="3">
        <v>1988609000000</v>
      </c>
      <c r="P160" s="3">
        <v>1992953000000</v>
      </c>
      <c r="Q160" s="3">
        <v>2066842000000</v>
      </c>
      <c r="R160" s="3">
        <v>1349673000000</v>
      </c>
      <c r="S160" s="3">
        <v>1344452000000</v>
      </c>
      <c r="T160" s="3">
        <v>1423170000000</v>
      </c>
    </row>
    <row r="161" spans="2:20" x14ac:dyDescent="0.25">
      <c r="B161" s="2" t="s">
        <v>161</v>
      </c>
      <c r="C161" s="2" t="s">
        <v>21</v>
      </c>
      <c r="D161" s="2" t="s">
        <v>21</v>
      </c>
      <c r="E161" s="2" t="s">
        <v>21</v>
      </c>
      <c r="F161" s="2" t="s">
        <v>21</v>
      </c>
      <c r="G161" s="2" t="s">
        <v>21</v>
      </c>
      <c r="H161" s="2" t="s">
        <v>21</v>
      </c>
      <c r="I161" s="2" t="s">
        <v>21</v>
      </c>
      <c r="J161" s="2" t="s">
        <v>21</v>
      </c>
      <c r="K161" s="2" t="s">
        <v>21</v>
      </c>
      <c r="L161" s="2" t="s">
        <v>21</v>
      </c>
      <c r="M161" s="2" t="s">
        <v>21</v>
      </c>
      <c r="N161" s="2" t="s">
        <v>21</v>
      </c>
      <c r="O161" s="2" t="s">
        <v>21</v>
      </c>
      <c r="P161" s="2" t="s">
        <v>21</v>
      </c>
      <c r="Q161" s="2" t="s">
        <v>21</v>
      </c>
      <c r="R161" s="2" t="s">
        <v>21</v>
      </c>
      <c r="S161" s="2" t="s">
        <v>21</v>
      </c>
      <c r="T161" s="3">
        <v>889535000000</v>
      </c>
    </row>
    <row r="162" spans="2:20" x14ac:dyDescent="0.25">
      <c r="B162" s="2" t="s">
        <v>162</v>
      </c>
      <c r="C162" s="2" t="s">
        <v>21</v>
      </c>
      <c r="D162" s="2" t="s">
        <v>21</v>
      </c>
      <c r="E162" s="2" t="s">
        <v>21</v>
      </c>
      <c r="F162" s="2" t="s">
        <v>21</v>
      </c>
      <c r="G162" s="2" t="s">
        <v>21</v>
      </c>
      <c r="H162" s="2" t="s">
        <v>21</v>
      </c>
      <c r="I162" s="2" t="s">
        <v>21</v>
      </c>
      <c r="J162" s="2" t="s">
        <v>21</v>
      </c>
      <c r="K162" s="2" t="s">
        <v>21</v>
      </c>
      <c r="L162" s="2" t="s">
        <v>21</v>
      </c>
      <c r="M162" s="2" t="s">
        <v>21</v>
      </c>
      <c r="N162" s="2" t="s">
        <v>21</v>
      </c>
      <c r="O162" s="2" t="s">
        <v>21</v>
      </c>
      <c r="P162" s="2" t="s">
        <v>21</v>
      </c>
      <c r="Q162" s="2" t="s">
        <v>21</v>
      </c>
      <c r="R162" s="2" t="s">
        <v>21</v>
      </c>
      <c r="S162" s="2" t="s">
        <v>21</v>
      </c>
      <c r="T162" s="3">
        <v>533635000000</v>
      </c>
    </row>
    <row r="163" spans="2:20" x14ac:dyDescent="0.25">
      <c r="B163" s="2" t="s">
        <v>163</v>
      </c>
      <c r="C163" s="3">
        <v>166553000000</v>
      </c>
      <c r="D163" s="3">
        <v>187353000000</v>
      </c>
      <c r="E163" s="3">
        <v>211959000000</v>
      </c>
      <c r="F163" s="3">
        <v>244400000000</v>
      </c>
      <c r="G163" s="3">
        <v>351798000000</v>
      </c>
      <c r="H163" s="3">
        <v>339652000000</v>
      </c>
      <c r="I163" s="3">
        <v>350278000000</v>
      </c>
      <c r="J163" s="3">
        <v>397418000000</v>
      </c>
      <c r="K163" s="3">
        <v>378780000000</v>
      </c>
      <c r="L163" s="3">
        <v>371758000000</v>
      </c>
      <c r="M163" s="3">
        <v>386761000000</v>
      </c>
      <c r="N163" s="3">
        <v>415208000000</v>
      </c>
      <c r="O163" s="3">
        <v>451051000000</v>
      </c>
      <c r="P163" s="3">
        <v>560323000000</v>
      </c>
      <c r="Q163" s="3">
        <v>574351000000</v>
      </c>
      <c r="R163" s="3">
        <v>391557000000</v>
      </c>
      <c r="S163" s="3">
        <v>87106000000</v>
      </c>
      <c r="T163" s="3">
        <v>106111000000</v>
      </c>
    </row>
    <row r="164" spans="2:20" x14ac:dyDescent="0.25">
      <c r="B164" s="2" t="s">
        <v>164</v>
      </c>
      <c r="C164" s="3">
        <v>260864000000</v>
      </c>
      <c r="D164" s="3">
        <v>260123000000</v>
      </c>
      <c r="E164" s="3">
        <v>254548000000</v>
      </c>
      <c r="F164" s="3">
        <v>255533000000</v>
      </c>
      <c r="G164" s="3">
        <v>253402000000</v>
      </c>
      <c r="H164" s="3">
        <v>249437000000</v>
      </c>
      <c r="I164" s="3">
        <v>236121000000</v>
      </c>
      <c r="J164" s="3">
        <v>242620000000</v>
      </c>
      <c r="K164" s="3">
        <v>243500000000</v>
      </c>
      <c r="L164" s="3">
        <v>243108000000</v>
      </c>
      <c r="M164" s="3">
        <v>247583000000</v>
      </c>
      <c r="N164" s="3">
        <v>252354000000</v>
      </c>
      <c r="O164" s="3">
        <v>244155000000</v>
      </c>
      <c r="P164" s="3">
        <v>246499000000</v>
      </c>
      <c r="Q164" s="3">
        <v>236941000000</v>
      </c>
      <c r="R164" s="3">
        <v>198392000000</v>
      </c>
      <c r="S164" s="3">
        <v>200430000000</v>
      </c>
      <c r="T164" s="3">
        <v>204715000000</v>
      </c>
    </row>
    <row r="165" spans="2:20" x14ac:dyDescent="0.25">
      <c r="B165" s="2" t="s">
        <v>165</v>
      </c>
      <c r="C165" s="3">
        <v>260864000000</v>
      </c>
      <c r="D165" s="3">
        <v>260123000000</v>
      </c>
      <c r="E165" s="3">
        <v>254548000000</v>
      </c>
      <c r="F165" s="3">
        <v>255533000000</v>
      </c>
      <c r="G165" s="3">
        <v>253402000000</v>
      </c>
      <c r="H165" s="3">
        <v>249437000000</v>
      </c>
      <c r="I165" s="3">
        <v>236121000000</v>
      </c>
      <c r="J165" s="3">
        <v>242620000000</v>
      </c>
      <c r="K165" s="3">
        <v>243500000000</v>
      </c>
      <c r="L165" s="3">
        <v>243108000000</v>
      </c>
      <c r="M165" s="3">
        <v>247583000000</v>
      </c>
      <c r="N165" s="3">
        <v>252354000000</v>
      </c>
      <c r="O165" s="3">
        <v>244155000000</v>
      </c>
      <c r="P165" s="3">
        <v>246499000000</v>
      </c>
      <c r="Q165" s="3">
        <v>236941000000</v>
      </c>
      <c r="R165" s="3">
        <v>198392000000</v>
      </c>
      <c r="S165" s="3">
        <v>200430000000</v>
      </c>
      <c r="T165" s="3">
        <v>204715000000</v>
      </c>
    </row>
    <row r="166" spans="2:20" x14ac:dyDescent="0.25">
      <c r="B166" s="2" t="s">
        <v>166</v>
      </c>
      <c r="C166" s="3">
        <v>260864000000</v>
      </c>
      <c r="D166" s="3">
        <v>260123000000</v>
      </c>
      <c r="E166" s="3">
        <v>254548000000</v>
      </c>
      <c r="F166" s="3">
        <v>255533000000</v>
      </c>
      <c r="G166" s="3">
        <v>253402000000</v>
      </c>
      <c r="H166" s="3">
        <v>249437000000</v>
      </c>
      <c r="I166" s="3">
        <v>236121000000</v>
      </c>
      <c r="J166" s="3">
        <v>242620000000</v>
      </c>
      <c r="K166" s="3">
        <v>243500000000</v>
      </c>
      <c r="L166" s="3">
        <v>243108000000</v>
      </c>
      <c r="M166" s="3">
        <v>247583000000</v>
      </c>
      <c r="N166" s="3">
        <v>252354000000</v>
      </c>
      <c r="O166" s="3">
        <v>244155000000</v>
      </c>
      <c r="P166" s="3">
        <v>246499000000</v>
      </c>
      <c r="Q166" s="3">
        <v>236941000000</v>
      </c>
      <c r="R166" s="3">
        <v>198392000000</v>
      </c>
      <c r="S166" s="3">
        <v>200430000000</v>
      </c>
      <c r="T166" s="3">
        <v>204715000000</v>
      </c>
    </row>
    <row r="167" spans="2:20" x14ac:dyDescent="0.25">
      <c r="B167" s="2" t="s">
        <v>167</v>
      </c>
      <c r="C167" s="3">
        <v>859874000000</v>
      </c>
      <c r="D167" s="3">
        <v>893876000000</v>
      </c>
      <c r="E167" s="3">
        <v>696492000000</v>
      </c>
      <c r="F167" s="3">
        <v>475923000000</v>
      </c>
      <c r="G167" s="3">
        <v>328829000000</v>
      </c>
      <c r="H167" s="3">
        <v>170680000000</v>
      </c>
      <c r="I167" s="3">
        <v>356324000000</v>
      </c>
      <c r="J167" s="3">
        <v>138210000000</v>
      </c>
      <c r="K167" s="3">
        <v>134130000000</v>
      </c>
      <c r="L167" s="3">
        <v>133762000000</v>
      </c>
      <c r="M167" s="3">
        <v>166424000000</v>
      </c>
      <c r="N167" s="3">
        <v>179817000000</v>
      </c>
      <c r="O167" s="3">
        <v>195681000000</v>
      </c>
      <c r="P167" s="3">
        <v>184648000000</v>
      </c>
      <c r="Q167" s="3">
        <v>175228000000</v>
      </c>
      <c r="R167" s="3">
        <v>180293000000</v>
      </c>
      <c r="S167" s="3">
        <v>182588000000</v>
      </c>
      <c r="T167" s="3">
        <v>186052000000</v>
      </c>
    </row>
    <row r="168" spans="2:20" x14ac:dyDescent="0.25">
      <c r="B168" s="2" t="s">
        <v>168</v>
      </c>
      <c r="C168" s="3">
        <v>859874000000</v>
      </c>
      <c r="D168" s="3">
        <v>893876000000</v>
      </c>
      <c r="E168" s="3">
        <v>696492000000</v>
      </c>
      <c r="F168" s="3">
        <v>475923000000</v>
      </c>
      <c r="G168" s="3">
        <v>328829000000</v>
      </c>
      <c r="H168" s="3">
        <v>170680000000</v>
      </c>
      <c r="I168" s="3">
        <v>356324000000</v>
      </c>
      <c r="J168" s="3">
        <v>138210000000</v>
      </c>
      <c r="K168" s="3">
        <v>134130000000</v>
      </c>
      <c r="L168" s="3">
        <v>133762000000</v>
      </c>
      <c r="M168" s="3">
        <v>166424000000</v>
      </c>
      <c r="N168" s="3">
        <v>179817000000</v>
      </c>
      <c r="O168" s="3">
        <v>195681000000</v>
      </c>
      <c r="P168" s="3">
        <v>184648000000</v>
      </c>
      <c r="Q168" s="3">
        <v>175228000000</v>
      </c>
      <c r="R168" s="3">
        <v>180293000000</v>
      </c>
      <c r="S168" s="3">
        <v>182588000000</v>
      </c>
      <c r="T168" s="3">
        <v>186052000000</v>
      </c>
    </row>
    <row r="169" spans="2:20" x14ac:dyDescent="0.25">
      <c r="B169" s="2" t="s">
        <v>169</v>
      </c>
      <c r="C169" s="2" t="s">
        <v>21</v>
      </c>
      <c r="D169" s="2" t="s">
        <v>21</v>
      </c>
      <c r="E169" s="2" t="s">
        <v>21</v>
      </c>
      <c r="F169" s="2" t="s">
        <v>21</v>
      </c>
      <c r="G169" s="2" t="s">
        <v>21</v>
      </c>
      <c r="H169" s="2" t="s">
        <v>21</v>
      </c>
      <c r="I169" s="2" t="s">
        <v>21</v>
      </c>
      <c r="J169" s="3">
        <v>12888235000000</v>
      </c>
      <c r="K169" s="3">
        <v>12226559000000</v>
      </c>
      <c r="L169" s="3">
        <v>12571220000000</v>
      </c>
      <c r="M169" s="3">
        <v>12931995000000</v>
      </c>
      <c r="N169" s="3">
        <v>12776766000000</v>
      </c>
      <c r="O169" s="3">
        <v>12782773000000</v>
      </c>
      <c r="P169" s="3">
        <v>13042135000000</v>
      </c>
      <c r="Q169" s="3">
        <v>12689306000000</v>
      </c>
      <c r="R169" s="3">
        <v>0</v>
      </c>
      <c r="S169" s="3">
        <v>0</v>
      </c>
      <c r="T169" s="3">
        <v>0</v>
      </c>
    </row>
    <row r="170" spans="2:20" x14ac:dyDescent="0.25">
      <c r="B170" s="2" t="s">
        <v>170</v>
      </c>
      <c r="C170" s="2" t="s">
        <v>21</v>
      </c>
      <c r="D170" s="2" t="s">
        <v>21</v>
      </c>
      <c r="E170" s="2" t="s">
        <v>21</v>
      </c>
      <c r="F170" s="2" t="s">
        <v>21</v>
      </c>
      <c r="G170" s="2" t="s">
        <v>21</v>
      </c>
      <c r="H170" s="2" t="s">
        <v>21</v>
      </c>
      <c r="I170" s="2" t="s">
        <v>21</v>
      </c>
      <c r="J170" s="3">
        <v>12888235000000</v>
      </c>
      <c r="K170" s="3">
        <v>12226559000000</v>
      </c>
      <c r="L170" s="3">
        <v>12571220000000</v>
      </c>
      <c r="M170" s="3">
        <v>12931995000000</v>
      </c>
      <c r="N170" s="3">
        <v>12776766000000</v>
      </c>
      <c r="O170" s="3">
        <v>12782773000000</v>
      </c>
      <c r="P170" s="3">
        <v>13042135000000</v>
      </c>
      <c r="Q170" s="3">
        <v>12689306000000</v>
      </c>
      <c r="R170" s="3">
        <v>0</v>
      </c>
      <c r="S170" s="3">
        <v>0</v>
      </c>
      <c r="T170" s="3">
        <v>0</v>
      </c>
    </row>
    <row r="171" spans="2:20" x14ac:dyDescent="0.25">
      <c r="B171" s="2" t="s">
        <v>171</v>
      </c>
      <c r="C171" s="3">
        <v>11586843000000</v>
      </c>
      <c r="D171" s="3">
        <v>11969473000000</v>
      </c>
      <c r="E171" s="3">
        <v>12156923000000</v>
      </c>
      <c r="F171" s="3">
        <v>12360372000000</v>
      </c>
      <c r="G171" s="3">
        <v>12494244000000</v>
      </c>
      <c r="H171" s="3">
        <v>12427756000000</v>
      </c>
      <c r="I171" s="3">
        <v>12733545000000</v>
      </c>
      <c r="J171" s="3">
        <v>353366000000</v>
      </c>
      <c r="K171" s="3">
        <v>344116000000</v>
      </c>
      <c r="L171" s="3">
        <v>328252000000</v>
      </c>
      <c r="M171" s="3">
        <v>368460000000</v>
      </c>
      <c r="N171" s="3">
        <v>402953000000</v>
      </c>
      <c r="O171" s="3">
        <v>331575000000</v>
      </c>
      <c r="P171" s="3">
        <v>353985000000</v>
      </c>
      <c r="Q171" s="3">
        <v>351566000000</v>
      </c>
      <c r="R171" s="3">
        <v>319342000000</v>
      </c>
      <c r="S171" s="3">
        <v>290982000000</v>
      </c>
      <c r="T171" s="3">
        <v>286946000000</v>
      </c>
    </row>
    <row r="172" spans="2:20" x14ac:dyDescent="0.25">
      <c r="B172" s="2" t="s">
        <v>172</v>
      </c>
      <c r="C172" s="3">
        <v>7121488000000</v>
      </c>
      <c r="D172" s="3">
        <v>7436949000000</v>
      </c>
      <c r="E172" s="3">
        <v>7197249000000</v>
      </c>
      <c r="F172" s="3">
        <v>6972228000000</v>
      </c>
      <c r="G172" s="3">
        <v>6950369000000</v>
      </c>
      <c r="H172" s="3">
        <v>6673775000000</v>
      </c>
      <c r="I172" s="3">
        <v>7288322000000</v>
      </c>
      <c r="J172" s="3">
        <v>7078578000000</v>
      </c>
      <c r="K172" s="3">
        <v>7200620000000</v>
      </c>
      <c r="L172" s="3">
        <v>7468713000000</v>
      </c>
      <c r="M172" s="3">
        <v>7756105000000</v>
      </c>
      <c r="N172" s="3">
        <v>8148959000000</v>
      </c>
      <c r="O172" s="3">
        <v>8015820000000</v>
      </c>
      <c r="P172" s="3">
        <v>8524922000000</v>
      </c>
      <c r="Q172" s="3">
        <v>8510151000000</v>
      </c>
      <c r="R172" s="3">
        <v>8587677000000</v>
      </c>
      <c r="S172" s="3">
        <v>7994061000000</v>
      </c>
      <c r="T172" s="3">
        <v>8519095000000</v>
      </c>
    </row>
    <row r="173" spans="2:20" x14ac:dyDescent="0.25">
      <c r="B173" s="2" t="s">
        <v>173</v>
      </c>
      <c r="C173" s="3">
        <v>7074006000000</v>
      </c>
      <c r="D173" s="3">
        <v>7386169000000</v>
      </c>
      <c r="E173" s="3">
        <v>7144471000000</v>
      </c>
      <c r="F173" s="3">
        <v>6917863000000</v>
      </c>
      <c r="G173" s="3">
        <v>6890002000000</v>
      </c>
      <c r="H173" s="3">
        <v>6616718000000</v>
      </c>
      <c r="I173" s="3">
        <v>7229709000000</v>
      </c>
      <c r="J173" s="3">
        <v>7002988000000</v>
      </c>
      <c r="K173" s="3">
        <v>7122456000000</v>
      </c>
      <c r="L173" s="3">
        <v>7308165000000</v>
      </c>
      <c r="M173" s="3">
        <v>7587177000000</v>
      </c>
      <c r="N173" s="3">
        <v>7857452000000</v>
      </c>
      <c r="O173" s="3">
        <v>7708972000000</v>
      </c>
      <c r="P173" s="3">
        <v>8185199000000</v>
      </c>
      <c r="Q173" s="3">
        <v>8179745000000</v>
      </c>
      <c r="R173" s="3">
        <v>8295612000000</v>
      </c>
      <c r="S173" s="3">
        <v>7687602000000</v>
      </c>
      <c r="T173" s="3">
        <v>8163101000000</v>
      </c>
    </row>
    <row r="174" spans="2:20" x14ac:dyDescent="0.25">
      <c r="B174" s="2" t="s">
        <v>174</v>
      </c>
      <c r="C174" s="3">
        <v>2225745000000</v>
      </c>
      <c r="D174" s="3">
        <v>2189545000000</v>
      </c>
      <c r="E174" s="3">
        <v>2161376000000</v>
      </c>
      <c r="F174" s="3">
        <v>2151376000000</v>
      </c>
      <c r="G174" s="3">
        <v>2152826000000</v>
      </c>
      <c r="H174" s="3">
        <v>2118313000000</v>
      </c>
      <c r="I174" s="3">
        <v>2120665000000</v>
      </c>
      <c r="J174" s="3">
        <v>2131212000000</v>
      </c>
      <c r="K174" s="3">
        <v>2109504000000</v>
      </c>
      <c r="L174" s="3">
        <v>2081753000000</v>
      </c>
      <c r="M174" s="3">
        <v>1960833000000</v>
      </c>
      <c r="N174" s="3">
        <v>2041614000000</v>
      </c>
      <c r="O174" s="3">
        <v>1901279000000</v>
      </c>
      <c r="P174" s="3">
        <v>2077891000000</v>
      </c>
      <c r="Q174" s="3">
        <v>2068024000000</v>
      </c>
      <c r="R174" s="3">
        <v>1972044000000</v>
      </c>
      <c r="S174" s="3">
        <v>1866326000000</v>
      </c>
      <c r="T174" s="3">
        <v>1804236000000</v>
      </c>
    </row>
    <row r="175" spans="2:20" x14ac:dyDescent="0.25">
      <c r="B175" s="2" t="s">
        <v>175</v>
      </c>
      <c r="C175" s="3">
        <v>2353336000000</v>
      </c>
      <c r="D175" s="3">
        <v>2336944000000</v>
      </c>
      <c r="E175" s="3">
        <v>2341418000000</v>
      </c>
      <c r="F175" s="3">
        <v>2339503000000</v>
      </c>
      <c r="G175" s="3">
        <v>2336802000000</v>
      </c>
      <c r="H175" s="3">
        <v>2338573000000</v>
      </c>
      <c r="I175" s="3">
        <v>2344172000000</v>
      </c>
      <c r="J175" s="3">
        <v>2360267000000</v>
      </c>
      <c r="K175" s="3">
        <v>2360785000000</v>
      </c>
      <c r="L175" s="3">
        <v>2363817000000</v>
      </c>
      <c r="M175" s="3">
        <v>2364767000000</v>
      </c>
      <c r="N175" s="3">
        <v>2365806000000</v>
      </c>
      <c r="O175" s="3">
        <v>2370736000000</v>
      </c>
      <c r="P175" s="3">
        <v>2364361000000</v>
      </c>
      <c r="Q175" s="3">
        <v>2364884000000</v>
      </c>
      <c r="R175" s="3">
        <v>2349777000000</v>
      </c>
      <c r="S175" s="3">
        <v>2355654000000</v>
      </c>
      <c r="T175" s="3">
        <v>2346662000000</v>
      </c>
    </row>
    <row r="176" spans="2:20" x14ac:dyDescent="0.25">
      <c r="B176" s="2" t="s">
        <v>176</v>
      </c>
      <c r="C176" s="3">
        <v>880214000000</v>
      </c>
      <c r="D176" s="3">
        <v>880365000000</v>
      </c>
      <c r="E176" s="3">
        <v>880365000000</v>
      </c>
      <c r="F176" s="3">
        <v>880365000000</v>
      </c>
      <c r="G176" s="3">
        <v>880365000000</v>
      </c>
      <c r="H176" s="3">
        <v>880365000000</v>
      </c>
      <c r="I176" s="3">
        <v>880365000000</v>
      </c>
      <c r="J176" s="3">
        <v>880365000000</v>
      </c>
      <c r="K176" s="3">
        <v>880365000000</v>
      </c>
      <c r="L176" s="3">
        <v>881357000000</v>
      </c>
      <c r="M176" s="3">
        <v>881357000000</v>
      </c>
      <c r="N176" s="3">
        <v>881357000000</v>
      </c>
      <c r="O176" s="3">
        <v>881357000000</v>
      </c>
      <c r="P176" s="3">
        <v>881357000000</v>
      </c>
      <c r="Q176" s="3">
        <v>881357000000</v>
      </c>
      <c r="R176" s="3">
        <v>881357000000</v>
      </c>
      <c r="S176" s="3">
        <v>881357000000</v>
      </c>
      <c r="T176" s="3">
        <v>881357000000</v>
      </c>
    </row>
    <row r="177" spans="2:20" x14ac:dyDescent="0.25">
      <c r="B177" s="2" t="s">
        <v>177</v>
      </c>
      <c r="C177" s="3">
        <v>1473122000000</v>
      </c>
      <c r="D177" s="3">
        <v>1456579000000</v>
      </c>
      <c r="E177" s="3">
        <v>1461053000000</v>
      </c>
      <c r="F177" s="3">
        <v>1459138000000</v>
      </c>
      <c r="G177" s="3">
        <v>1456437000000</v>
      </c>
      <c r="H177" s="3">
        <v>1458208000000</v>
      </c>
      <c r="I177" s="3">
        <v>1463807000000</v>
      </c>
      <c r="J177" s="3">
        <v>1479902000000</v>
      </c>
      <c r="K177" s="3">
        <v>1480420000000</v>
      </c>
      <c r="L177" s="3">
        <v>1482460000000</v>
      </c>
      <c r="M177" s="3">
        <v>1483410000000</v>
      </c>
      <c r="N177" s="3">
        <v>1484449000000</v>
      </c>
      <c r="O177" s="3">
        <v>1489379000000</v>
      </c>
      <c r="P177" s="3">
        <v>1483004000000</v>
      </c>
      <c r="Q177" s="3">
        <v>1483527000000</v>
      </c>
      <c r="R177" s="3">
        <v>1468420000000</v>
      </c>
      <c r="S177" s="3">
        <v>1474297000000</v>
      </c>
      <c r="T177" s="3">
        <v>1465305000000</v>
      </c>
    </row>
    <row r="178" spans="2:20" x14ac:dyDescent="0.25">
      <c r="B178" s="2" t="s">
        <v>178</v>
      </c>
      <c r="C178" s="3">
        <v>-127591000000</v>
      </c>
      <c r="D178" s="3">
        <v>-147399000000</v>
      </c>
      <c r="E178" s="3">
        <v>-180042000000</v>
      </c>
      <c r="F178" s="3">
        <v>-188127000000</v>
      </c>
      <c r="G178" s="3">
        <v>-183976000000</v>
      </c>
      <c r="H178" s="3">
        <v>-220260000000</v>
      </c>
      <c r="I178" s="3">
        <v>-223507000000</v>
      </c>
      <c r="J178" s="3">
        <v>-229055000000</v>
      </c>
      <c r="K178" s="3">
        <v>-251281000000</v>
      </c>
      <c r="L178" s="3">
        <v>-282064000000</v>
      </c>
      <c r="M178" s="3">
        <v>-403934000000</v>
      </c>
      <c r="N178" s="3">
        <v>-324192000000</v>
      </c>
      <c r="O178" s="3">
        <v>-469457000000</v>
      </c>
      <c r="P178" s="3">
        <v>-286470000000</v>
      </c>
      <c r="Q178" s="3">
        <v>-296860000000</v>
      </c>
      <c r="R178" s="3">
        <v>-377733000000</v>
      </c>
      <c r="S178" s="3">
        <v>-489328000000</v>
      </c>
      <c r="T178" s="3">
        <v>-542426000000</v>
      </c>
    </row>
    <row r="179" spans="2:20" x14ac:dyDescent="0.25">
      <c r="B179" s="2" t="s">
        <v>179</v>
      </c>
      <c r="C179" s="2" t="s">
        <v>21</v>
      </c>
      <c r="D179" s="2" t="s">
        <v>21</v>
      </c>
      <c r="E179" s="2" t="s">
        <v>21</v>
      </c>
      <c r="F179" s="2" t="s">
        <v>21</v>
      </c>
      <c r="G179" s="2" t="s">
        <v>21</v>
      </c>
      <c r="H179" s="2" t="s">
        <v>21</v>
      </c>
      <c r="I179" s="2" t="s">
        <v>21</v>
      </c>
      <c r="J179" s="2" t="s">
        <v>21</v>
      </c>
      <c r="K179" s="2" t="s">
        <v>21</v>
      </c>
      <c r="L179" s="2" t="s">
        <v>21</v>
      </c>
      <c r="M179" s="2" t="s">
        <v>21</v>
      </c>
      <c r="N179" s="2" t="s">
        <v>21</v>
      </c>
      <c r="O179" s="2" t="s">
        <v>21</v>
      </c>
      <c r="P179" s="2" t="s">
        <v>21</v>
      </c>
      <c r="Q179" s="2" t="s">
        <v>21</v>
      </c>
      <c r="R179" s="2" t="s">
        <v>21</v>
      </c>
      <c r="S179" s="2" t="s">
        <v>21</v>
      </c>
      <c r="T179" s="2" t="s">
        <v>21</v>
      </c>
    </row>
    <row r="180" spans="2:20" x14ac:dyDescent="0.25">
      <c r="B180" s="2" t="s">
        <v>180</v>
      </c>
      <c r="C180" s="3">
        <v>3308747000000</v>
      </c>
      <c r="D180" s="3">
        <v>3616880000000</v>
      </c>
      <c r="E180" s="3">
        <v>3760763000000</v>
      </c>
      <c r="F180" s="3">
        <v>3934581000000</v>
      </c>
      <c r="G180" s="3">
        <v>4185731000000</v>
      </c>
      <c r="H180" s="3">
        <v>4468327000000</v>
      </c>
      <c r="I180" s="3">
        <v>4614637000000</v>
      </c>
      <c r="J180" s="3">
        <v>5261615000000</v>
      </c>
      <c r="K180" s="3">
        <v>5461664000000</v>
      </c>
      <c r="L180" s="3">
        <v>5775372000000</v>
      </c>
      <c r="M180" s="3">
        <v>6002407000000</v>
      </c>
      <c r="N180" s="3">
        <v>6025362000000</v>
      </c>
      <c r="O180" s="3">
        <v>6366550000000</v>
      </c>
      <c r="P180" s="3">
        <v>6469060000000</v>
      </c>
      <c r="Q180" s="3">
        <v>6678168000000</v>
      </c>
      <c r="R180" s="3">
        <v>6855431000000</v>
      </c>
      <c r="S180" s="3">
        <v>6261849000000</v>
      </c>
      <c r="T180" s="3">
        <v>5174889000000</v>
      </c>
    </row>
    <row r="181" spans="2:20" x14ac:dyDescent="0.25">
      <c r="B181" s="2" t="s">
        <v>181</v>
      </c>
      <c r="C181" s="3">
        <v>1539514000000</v>
      </c>
      <c r="D181" s="3">
        <v>1579744000000</v>
      </c>
      <c r="E181" s="3">
        <v>1222332000000</v>
      </c>
      <c r="F181" s="3">
        <v>831906000000</v>
      </c>
      <c r="G181" s="3">
        <v>551445000000</v>
      </c>
      <c r="H181" s="3">
        <v>30078000000</v>
      </c>
      <c r="I181" s="3">
        <v>494407000000</v>
      </c>
      <c r="J181" s="3">
        <v>-389839000000</v>
      </c>
      <c r="K181" s="3">
        <v>-448712000000</v>
      </c>
      <c r="L181" s="3">
        <v>-548960000000</v>
      </c>
      <c r="M181" s="3">
        <v>-376063000000</v>
      </c>
      <c r="N181" s="3">
        <v>-209524000000</v>
      </c>
      <c r="O181" s="3">
        <v>-558857000000</v>
      </c>
      <c r="P181" s="3">
        <v>-361752000000</v>
      </c>
      <c r="Q181" s="3">
        <v>-566447000000</v>
      </c>
      <c r="R181" s="3">
        <v>-531863000000</v>
      </c>
      <c r="S181" s="3">
        <v>-440573000000</v>
      </c>
      <c r="T181" s="3">
        <v>1183976000000</v>
      </c>
    </row>
    <row r="182" spans="2:20" x14ac:dyDescent="0.25">
      <c r="B182" s="2" t="s">
        <v>182</v>
      </c>
      <c r="C182" s="3">
        <v>1539514000000</v>
      </c>
      <c r="D182" s="3">
        <v>1579744000000</v>
      </c>
      <c r="E182" s="3">
        <v>1222332000000</v>
      </c>
      <c r="F182" s="3">
        <v>831906000000</v>
      </c>
      <c r="G182" s="3">
        <v>551445000000</v>
      </c>
      <c r="H182" s="3">
        <v>30078000000</v>
      </c>
      <c r="I182" s="3">
        <v>494407000000</v>
      </c>
      <c r="J182" s="3">
        <v>-389839000000</v>
      </c>
      <c r="K182" s="3">
        <v>-448712000000</v>
      </c>
      <c r="L182" s="3">
        <v>-548960000000</v>
      </c>
      <c r="M182" s="3">
        <v>-376063000000</v>
      </c>
      <c r="N182" s="3">
        <v>-209524000000</v>
      </c>
      <c r="O182" s="3">
        <v>-558857000000</v>
      </c>
      <c r="P182" s="3">
        <v>-361752000000</v>
      </c>
      <c r="Q182" s="3">
        <v>-566447000000</v>
      </c>
      <c r="R182" s="3">
        <v>-531863000000</v>
      </c>
      <c r="S182" s="3">
        <v>-440573000000</v>
      </c>
      <c r="T182" s="3">
        <v>1183976000000</v>
      </c>
    </row>
    <row r="183" spans="2:20" x14ac:dyDescent="0.25">
      <c r="B183" s="2" t="s">
        <v>183</v>
      </c>
      <c r="C183" s="2" t="s">
        <v>21</v>
      </c>
      <c r="D183" s="2" t="s">
        <v>21</v>
      </c>
      <c r="E183" s="2" t="s">
        <v>21</v>
      </c>
      <c r="F183" s="2" t="s">
        <v>21</v>
      </c>
      <c r="G183" s="2" t="s">
        <v>21</v>
      </c>
      <c r="H183" s="2" t="s">
        <v>21</v>
      </c>
      <c r="I183" s="2" t="s">
        <v>21</v>
      </c>
      <c r="J183" s="2" t="s">
        <v>21</v>
      </c>
      <c r="K183" s="2" t="s">
        <v>21</v>
      </c>
      <c r="L183" s="2" t="s">
        <v>21</v>
      </c>
      <c r="M183" s="2" t="s">
        <v>21</v>
      </c>
      <c r="N183" s="2" t="s">
        <v>21</v>
      </c>
      <c r="O183" s="2" t="s">
        <v>21</v>
      </c>
      <c r="P183" s="2" t="s">
        <v>21</v>
      </c>
      <c r="Q183" s="2" t="s">
        <v>21</v>
      </c>
      <c r="R183" s="2" t="s">
        <v>21</v>
      </c>
      <c r="S183" s="2" t="s">
        <v>21</v>
      </c>
      <c r="T183" s="2" t="s">
        <v>21</v>
      </c>
    </row>
    <row r="184" spans="2:20" x14ac:dyDescent="0.25">
      <c r="B184" s="2" t="s">
        <v>184</v>
      </c>
      <c r="C184" s="2" t="s">
        <v>21</v>
      </c>
      <c r="D184" s="2" t="s">
        <v>21</v>
      </c>
      <c r="E184" s="2" t="s">
        <v>21</v>
      </c>
      <c r="F184" s="2" t="s">
        <v>21</v>
      </c>
      <c r="G184" s="2" t="s">
        <v>21</v>
      </c>
      <c r="H184" s="2" t="s">
        <v>21</v>
      </c>
      <c r="I184" s="2" t="s">
        <v>21</v>
      </c>
      <c r="J184" s="2" t="s">
        <v>21</v>
      </c>
      <c r="K184" s="2" t="s">
        <v>21</v>
      </c>
      <c r="L184" s="2" t="s">
        <v>21</v>
      </c>
      <c r="M184" s="2" t="s">
        <v>21</v>
      </c>
      <c r="N184" s="2" t="s">
        <v>21</v>
      </c>
      <c r="O184" s="2" t="s">
        <v>21</v>
      </c>
      <c r="P184" s="2" t="s">
        <v>21</v>
      </c>
      <c r="Q184" s="2" t="s">
        <v>21</v>
      </c>
      <c r="R184" s="2" t="s">
        <v>21</v>
      </c>
      <c r="S184" s="2" t="s">
        <v>21</v>
      </c>
      <c r="T184" s="2" t="s">
        <v>21</v>
      </c>
    </row>
    <row r="185" spans="2:20" x14ac:dyDescent="0.25">
      <c r="B185" s="2" t="s">
        <v>185</v>
      </c>
      <c r="C185" s="2" t="s">
        <v>21</v>
      </c>
      <c r="D185" s="2" t="s">
        <v>21</v>
      </c>
      <c r="E185" s="2" t="s">
        <v>21</v>
      </c>
      <c r="F185" s="2" t="s">
        <v>21</v>
      </c>
      <c r="G185" s="2" t="s">
        <v>21</v>
      </c>
      <c r="H185" s="2" t="s">
        <v>21</v>
      </c>
      <c r="I185" s="2" t="s">
        <v>21</v>
      </c>
      <c r="J185" s="2" t="s">
        <v>21</v>
      </c>
      <c r="K185" s="2" t="s">
        <v>21</v>
      </c>
      <c r="L185" s="2" t="s">
        <v>21</v>
      </c>
      <c r="M185" s="2" t="s">
        <v>21</v>
      </c>
      <c r="N185" s="2" t="s">
        <v>21</v>
      </c>
      <c r="O185" s="2" t="s">
        <v>21</v>
      </c>
      <c r="P185" s="2" t="s">
        <v>21</v>
      </c>
      <c r="Q185" s="2" t="s">
        <v>21</v>
      </c>
      <c r="R185" s="2" t="s">
        <v>21</v>
      </c>
      <c r="S185" s="2" t="s">
        <v>21</v>
      </c>
      <c r="T185" s="2" t="s">
        <v>21</v>
      </c>
    </row>
    <row r="186" spans="2:20" x14ac:dyDescent="0.25">
      <c r="B186" s="2" t="s">
        <v>186</v>
      </c>
      <c r="C186" s="2" t="s">
        <v>21</v>
      </c>
      <c r="D186" s="2" t="s">
        <v>21</v>
      </c>
      <c r="E186" s="2" t="s">
        <v>21</v>
      </c>
      <c r="F186" s="2" t="s">
        <v>21</v>
      </c>
      <c r="G186" s="2" t="s">
        <v>21</v>
      </c>
      <c r="H186" s="2" t="s">
        <v>21</v>
      </c>
      <c r="I186" s="2" t="s">
        <v>21</v>
      </c>
      <c r="J186" s="2" t="s">
        <v>21</v>
      </c>
      <c r="K186" s="2" t="s">
        <v>21</v>
      </c>
      <c r="L186" s="2" t="s">
        <v>21</v>
      </c>
      <c r="M186" s="2" t="s">
        <v>21</v>
      </c>
      <c r="N186" s="2" t="s">
        <v>21</v>
      </c>
      <c r="O186" s="2" t="s">
        <v>21</v>
      </c>
      <c r="P186" s="2" t="s">
        <v>21</v>
      </c>
      <c r="Q186" s="2" t="s">
        <v>21</v>
      </c>
      <c r="R186" s="2" t="s">
        <v>21</v>
      </c>
      <c r="S186" s="2" t="s">
        <v>21</v>
      </c>
      <c r="T186" s="2" t="s">
        <v>21</v>
      </c>
    </row>
    <row r="187" spans="2:20" x14ac:dyDescent="0.25">
      <c r="B187" s="2" t="s">
        <v>187</v>
      </c>
      <c r="C187" s="3">
        <v>47482000000</v>
      </c>
      <c r="D187" s="3">
        <v>50780000000</v>
      </c>
      <c r="E187" s="3">
        <v>52778000000</v>
      </c>
      <c r="F187" s="3">
        <v>54365000000</v>
      </c>
      <c r="G187" s="3">
        <v>60367000000</v>
      </c>
      <c r="H187" s="3">
        <v>57057000000</v>
      </c>
      <c r="I187" s="3">
        <v>58613000000</v>
      </c>
      <c r="J187" s="3">
        <v>75590000000</v>
      </c>
      <c r="K187" s="3">
        <v>78164000000</v>
      </c>
      <c r="L187" s="3">
        <v>160548000000</v>
      </c>
      <c r="M187" s="3">
        <v>168928000000</v>
      </c>
      <c r="N187" s="3">
        <v>291507000000</v>
      </c>
      <c r="O187" s="3">
        <v>306848000000</v>
      </c>
      <c r="P187" s="3">
        <v>339723000000</v>
      </c>
      <c r="Q187" s="3">
        <v>330406000000</v>
      </c>
      <c r="R187" s="3">
        <v>292065000000</v>
      </c>
      <c r="S187" s="3">
        <v>306459000000</v>
      </c>
      <c r="T187" s="3">
        <v>355994000000</v>
      </c>
    </row>
    <row r="188" spans="2:20" x14ac:dyDescent="0.25">
      <c r="B188" s="2" t="s">
        <v>188</v>
      </c>
      <c r="C188" s="2" t="s">
        <v>21</v>
      </c>
      <c r="D188" s="2" t="s">
        <v>21</v>
      </c>
      <c r="E188" s="3">
        <v>2905811000000</v>
      </c>
      <c r="F188" s="2" t="s">
        <v>21</v>
      </c>
      <c r="G188" s="2" t="s">
        <v>21</v>
      </c>
      <c r="H188" s="2" t="s">
        <v>21</v>
      </c>
      <c r="I188" s="3">
        <v>3374157000000</v>
      </c>
      <c r="J188" s="2" t="s">
        <v>21</v>
      </c>
      <c r="K188" s="2" t="s">
        <v>21</v>
      </c>
      <c r="L188" s="2" t="s">
        <v>21</v>
      </c>
      <c r="M188" s="3">
        <v>3516707000000</v>
      </c>
      <c r="N188" s="2" t="s">
        <v>21</v>
      </c>
      <c r="O188" s="2" t="s">
        <v>21</v>
      </c>
      <c r="P188" s="2" t="s">
        <v>21</v>
      </c>
      <c r="Q188" s="3">
        <v>3598776000000</v>
      </c>
      <c r="R188" s="2" t="s">
        <v>21</v>
      </c>
      <c r="S188" s="2" t="s">
        <v>21</v>
      </c>
      <c r="T188" s="2" t="s">
        <v>21</v>
      </c>
    </row>
    <row r="189" spans="2:20" x14ac:dyDescent="0.25">
      <c r="B189" s="2" t="s">
        <v>189</v>
      </c>
      <c r="C189" s="2" t="s">
        <v>21</v>
      </c>
      <c r="D189" s="2" t="s">
        <v>21</v>
      </c>
      <c r="E189" s="3">
        <v>2090316000000</v>
      </c>
      <c r="F189" s="2" t="s">
        <v>21</v>
      </c>
      <c r="G189" s="2" t="s">
        <v>21</v>
      </c>
      <c r="H189" s="2" t="s">
        <v>21</v>
      </c>
      <c r="I189" s="3">
        <v>2060185000000</v>
      </c>
      <c r="J189" s="2" t="s">
        <v>21</v>
      </c>
      <c r="K189" s="2" t="s">
        <v>21</v>
      </c>
      <c r="L189" s="2" t="s">
        <v>21</v>
      </c>
      <c r="M189" s="3">
        <v>1951333000000</v>
      </c>
      <c r="N189" s="2" t="s">
        <v>21</v>
      </c>
      <c r="O189" s="2" t="s">
        <v>21</v>
      </c>
      <c r="P189" s="2" t="s">
        <v>21</v>
      </c>
      <c r="Q189" s="3">
        <v>2049185000000</v>
      </c>
      <c r="R189" s="2" t="s">
        <v>21</v>
      </c>
      <c r="S189" s="2" t="s">
        <v>21</v>
      </c>
      <c r="T189" s="2" t="s">
        <v>21</v>
      </c>
    </row>
    <row r="190" spans="2:20" x14ac:dyDescent="0.25">
      <c r="B190" s="2" t="s">
        <v>190</v>
      </c>
      <c r="C190" s="2" t="s">
        <v>21</v>
      </c>
      <c r="D190" s="2" t="s">
        <v>21</v>
      </c>
      <c r="E190" s="3">
        <v>84130000000</v>
      </c>
      <c r="F190" s="2" t="s">
        <v>21</v>
      </c>
      <c r="G190" s="2" t="s">
        <v>21</v>
      </c>
      <c r="H190" s="2" t="s">
        <v>21</v>
      </c>
      <c r="I190" s="3">
        <v>111676000000</v>
      </c>
      <c r="J190" s="2" t="s">
        <v>21</v>
      </c>
      <c r="K190" s="2" t="s">
        <v>21</v>
      </c>
      <c r="L190" s="2" t="s">
        <v>21</v>
      </c>
      <c r="M190" s="3">
        <v>196637000000</v>
      </c>
      <c r="N190" s="2" t="s">
        <v>21</v>
      </c>
      <c r="O190" s="2" t="s">
        <v>21</v>
      </c>
      <c r="P190" s="2" t="s">
        <v>21</v>
      </c>
      <c r="Q190" s="3">
        <v>393819000000</v>
      </c>
      <c r="R190" s="2" t="s">
        <v>21</v>
      </c>
      <c r="S190" s="2" t="s">
        <v>21</v>
      </c>
      <c r="T190" s="2" t="s">
        <v>21</v>
      </c>
    </row>
    <row r="191" spans="2:20" x14ac:dyDescent="0.25">
      <c r="B191" s="2" t="s">
        <v>191</v>
      </c>
      <c r="C191" s="2" t="s">
        <v>21</v>
      </c>
      <c r="D191" s="2" t="s">
        <v>21</v>
      </c>
      <c r="E191" s="3">
        <v>116760000000</v>
      </c>
      <c r="F191" s="2" t="s">
        <v>21</v>
      </c>
      <c r="G191" s="2" t="s">
        <v>21</v>
      </c>
      <c r="H191" s="2" t="s">
        <v>21</v>
      </c>
      <c r="I191" s="3">
        <v>258309000000</v>
      </c>
      <c r="J191" s="2" t="s">
        <v>21</v>
      </c>
      <c r="K191" s="2" t="s">
        <v>21</v>
      </c>
      <c r="L191" s="2" t="s">
        <v>21</v>
      </c>
      <c r="M191" s="3">
        <v>386297000000</v>
      </c>
      <c r="N191" s="2" t="s">
        <v>21</v>
      </c>
      <c r="O191" s="2" t="s">
        <v>21</v>
      </c>
      <c r="P191" s="2" t="s">
        <v>21</v>
      </c>
      <c r="Q191" s="3">
        <v>337243000000</v>
      </c>
      <c r="R191" s="2" t="s">
        <v>21</v>
      </c>
      <c r="S191" s="2" t="s">
        <v>21</v>
      </c>
      <c r="T191" s="2" t="s">
        <v>21</v>
      </c>
    </row>
    <row r="192" spans="2:20" x14ac:dyDescent="0.25">
      <c r="B192" s="2" t="s">
        <v>192</v>
      </c>
      <c r="C192" s="2" t="s">
        <v>21</v>
      </c>
      <c r="D192" s="2" t="s">
        <v>21</v>
      </c>
      <c r="E192" s="3">
        <v>135763000000</v>
      </c>
      <c r="F192" s="2" t="s">
        <v>21</v>
      </c>
      <c r="G192" s="2" t="s">
        <v>21</v>
      </c>
      <c r="H192" s="2" t="s">
        <v>21</v>
      </c>
      <c r="I192" s="3">
        <v>305859000000</v>
      </c>
      <c r="J192" s="2" t="s">
        <v>21</v>
      </c>
      <c r="K192" s="2" t="s">
        <v>21</v>
      </c>
      <c r="L192" s="2" t="s">
        <v>21</v>
      </c>
      <c r="M192" s="3">
        <v>333131000000</v>
      </c>
      <c r="N192" s="2" t="s">
        <v>21</v>
      </c>
      <c r="O192" s="2" t="s">
        <v>21</v>
      </c>
      <c r="P192" s="2" t="s">
        <v>21</v>
      </c>
      <c r="Q192" s="3">
        <v>250789000000</v>
      </c>
      <c r="R192" s="2" t="s">
        <v>21</v>
      </c>
      <c r="S192" s="2" t="s">
        <v>21</v>
      </c>
      <c r="T192" s="2" t="s">
        <v>21</v>
      </c>
    </row>
    <row r="193" spans="2:20" x14ac:dyDescent="0.25">
      <c r="B193" s="2" t="s">
        <v>193</v>
      </c>
      <c r="C193" s="2" t="s">
        <v>21</v>
      </c>
      <c r="D193" s="2" t="s">
        <v>21</v>
      </c>
      <c r="E193" s="3">
        <v>59056000000</v>
      </c>
      <c r="F193" s="2" t="s">
        <v>21</v>
      </c>
      <c r="G193" s="2" t="s">
        <v>21</v>
      </c>
      <c r="H193" s="2" t="s">
        <v>21</v>
      </c>
      <c r="I193" s="3">
        <v>142987000000</v>
      </c>
      <c r="J193" s="2" t="s">
        <v>21</v>
      </c>
      <c r="K193" s="2" t="s">
        <v>21</v>
      </c>
      <c r="L193" s="2" t="s">
        <v>21</v>
      </c>
      <c r="M193" s="3">
        <v>237919000000</v>
      </c>
      <c r="N193" s="2" t="s">
        <v>21</v>
      </c>
      <c r="O193" s="2" t="s">
        <v>21</v>
      </c>
      <c r="P193" s="2" t="s">
        <v>21</v>
      </c>
      <c r="Q193" s="3">
        <v>184448000000</v>
      </c>
      <c r="R193" s="2" t="s">
        <v>21</v>
      </c>
      <c r="S193" s="2" t="s">
        <v>21</v>
      </c>
      <c r="T193" s="2" t="s">
        <v>21</v>
      </c>
    </row>
    <row r="194" spans="2:20" x14ac:dyDescent="0.25">
      <c r="B194" s="2" t="s">
        <v>194</v>
      </c>
      <c r="C194" s="2" t="s">
        <v>21</v>
      </c>
      <c r="D194" s="2" t="s">
        <v>21</v>
      </c>
      <c r="E194" s="3">
        <v>419786000000</v>
      </c>
      <c r="F194" s="2" t="s">
        <v>21</v>
      </c>
      <c r="G194" s="2" t="s">
        <v>21</v>
      </c>
      <c r="H194" s="2" t="s">
        <v>21</v>
      </c>
      <c r="I194" s="3">
        <v>536464000000</v>
      </c>
      <c r="J194" s="2" t="s">
        <v>21</v>
      </c>
      <c r="K194" s="2" t="s">
        <v>21</v>
      </c>
      <c r="L194" s="2" t="s">
        <v>21</v>
      </c>
      <c r="M194" s="3">
        <v>463472000000</v>
      </c>
      <c r="N194" s="2" t="s">
        <v>21</v>
      </c>
      <c r="O194" s="2" t="s">
        <v>21</v>
      </c>
      <c r="P194" s="2" t="s">
        <v>21</v>
      </c>
      <c r="Q194" s="3">
        <v>444011000000</v>
      </c>
      <c r="R194" s="2" t="s">
        <v>21</v>
      </c>
      <c r="S194" s="2" t="s">
        <v>21</v>
      </c>
      <c r="T194" s="2" t="s">
        <v>21</v>
      </c>
    </row>
    <row r="195" spans="2:20" x14ac:dyDescent="0.25">
      <c r="B195" s="2" t="s">
        <v>195</v>
      </c>
      <c r="C195" s="2" t="s">
        <v>21</v>
      </c>
      <c r="D195" s="2" t="s">
        <v>21</v>
      </c>
      <c r="E195" s="2" t="s">
        <v>21</v>
      </c>
      <c r="F195" s="2" t="s">
        <v>21</v>
      </c>
      <c r="G195" s="2" t="s">
        <v>21</v>
      </c>
      <c r="H195" s="2" t="s">
        <v>21</v>
      </c>
      <c r="I195" s="3">
        <v>-41323000000</v>
      </c>
      <c r="J195" s="2" t="s">
        <v>21</v>
      </c>
      <c r="K195" s="2" t="s">
        <v>21</v>
      </c>
      <c r="L195" s="2" t="s">
        <v>21</v>
      </c>
      <c r="M195" s="3">
        <v>-52082000000</v>
      </c>
      <c r="N195" s="2" t="s">
        <v>21</v>
      </c>
      <c r="O195" s="2" t="s">
        <v>21</v>
      </c>
      <c r="P195" s="2" t="s">
        <v>21</v>
      </c>
      <c r="Q195" s="3">
        <v>-60719000000</v>
      </c>
      <c r="R195" s="2" t="s">
        <v>21</v>
      </c>
      <c r="S195" s="2" t="s">
        <v>21</v>
      </c>
      <c r="T195" s="2" t="s">
        <v>21</v>
      </c>
    </row>
    <row r="196" spans="2:20" x14ac:dyDescent="0.25">
      <c r="B196" s="2" t="s">
        <v>196</v>
      </c>
      <c r="C196" s="2" t="s">
        <v>21</v>
      </c>
      <c r="D196" s="2" t="s">
        <v>21</v>
      </c>
      <c r="E196" s="3">
        <v>511883000000</v>
      </c>
      <c r="F196" s="2" t="s">
        <v>21</v>
      </c>
      <c r="G196" s="2" t="s">
        <v>21</v>
      </c>
      <c r="H196" s="2" t="s">
        <v>21</v>
      </c>
      <c r="I196" s="3">
        <v>532246000000</v>
      </c>
      <c r="J196" s="2" t="s">
        <v>21</v>
      </c>
      <c r="K196" s="2" t="s">
        <v>21</v>
      </c>
      <c r="L196" s="2" t="s">
        <v>21</v>
      </c>
      <c r="M196" s="3">
        <v>571726000000</v>
      </c>
      <c r="N196" s="2" t="s">
        <v>21</v>
      </c>
      <c r="O196" s="2" t="s">
        <v>21</v>
      </c>
      <c r="P196" s="2" t="s">
        <v>21</v>
      </c>
      <c r="Q196" s="3">
        <v>599470000000</v>
      </c>
      <c r="R196" s="2" t="s">
        <v>21</v>
      </c>
      <c r="S196" s="2" t="s">
        <v>21</v>
      </c>
      <c r="T196" s="2" t="s">
        <v>21</v>
      </c>
    </row>
    <row r="197" spans="2:20" x14ac:dyDescent="0.25">
      <c r="B197" s="2" t="s">
        <v>197</v>
      </c>
      <c r="C197" s="2" t="s">
        <v>21</v>
      </c>
      <c r="D197" s="2" t="s">
        <v>21</v>
      </c>
      <c r="E197" s="3">
        <v>81421000000</v>
      </c>
      <c r="F197" s="2" t="s">
        <v>21</v>
      </c>
      <c r="G197" s="2" t="s">
        <v>21</v>
      </c>
      <c r="H197" s="2" t="s">
        <v>21</v>
      </c>
      <c r="I197" s="3">
        <v>90244000000</v>
      </c>
      <c r="J197" s="2" t="s">
        <v>21</v>
      </c>
      <c r="K197" s="2" t="s">
        <v>21</v>
      </c>
      <c r="L197" s="2" t="s">
        <v>21</v>
      </c>
      <c r="M197" s="3">
        <v>106505000000</v>
      </c>
      <c r="N197" s="2" t="s">
        <v>21</v>
      </c>
      <c r="O197" s="2" t="s">
        <v>21</v>
      </c>
      <c r="P197" s="2" t="s">
        <v>21</v>
      </c>
      <c r="Q197" s="3">
        <v>115608000000</v>
      </c>
      <c r="R197" s="2" t="s">
        <v>21</v>
      </c>
      <c r="S197" s="2" t="s">
        <v>21</v>
      </c>
      <c r="T197" s="2" t="s">
        <v>21</v>
      </c>
    </row>
    <row r="198" spans="2:20" x14ac:dyDescent="0.25">
      <c r="B198" s="2" t="s">
        <v>198</v>
      </c>
      <c r="C198" s="2" t="s">
        <v>21</v>
      </c>
      <c r="D198" s="2" t="s">
        <v>21</v>
      </c>
      <c r="E198" s="3">
        <v>69791000000</v>
      </c>
      <c r="F198" s="2" t="s">
        <v>21</v>
      </c>
      <c r="G198" s="2" t="s">
        <v>21</v>
      </c>
      <c r="H198" s="2" t="s">
        <v>21</v>
      </c>
      <c r="I198" s="3">
        <v>80476000000</v>
      </c>
      <c r="J198" s="2" t="s">
        <v>21</v>
      </c>
      <c r="K198" s="2" t="s">
        <v>21</v>
      </c>
      <c r="L198" s="2" t="s">
        <v>21</v>
      </c>
      <c r="M198" s="3">
        <v>96090000000</v>
      </c>
      <c r="N198" s="2" t="s">
        <v>21</v>
      </c>
      <c r="O198" s="2" t="s">
        <v>21</v>
      </c>
      <c r="P198" s="2" t="s">
        <v>21</v>
      </c>
      <c r="Q198" s="3">
        <v>107197000000</v>
      </c>
      <c r="R198" s="2" t="s">
        <v>21</v>
      </c>
      <c r="S198" s="2" t="s">
        <v>21</v>
      </c>
      <c r="T198" s="2" t="s">
        <v>21</v>
      </c>
    </row>
    <row r="199" spans="2:20" x14ac:dyDescent="0.25">
      <c r="B199" s="2" t="s">
        <v>199</v>
      </c>
      <c r="C199" s="2" t="s">
        <v>21</v>
      </c>
      <c r="D199" s="2" t="s">
        <v>21</v>
      </c>
      <c r="E199" s="3">
        <v>59214000000</v>
      </c>
      <c r="F199" s="2" t="s">
        <v>21</v>
      </c>
      <c r="G199" s="2" t="s">
        <v>21</v>
      </c>
      <c r="H199" s="2" t="s">
        <v>21</v>
      </c>
      <c r="I199" s="3">
        <v>68143000000</v>
      </c>
      <c r="J199" s="2" t="s">
        <v>21</v>
      </c>
      <c r="K199" s="2" t="s">
        <v>21</v>
      </c>
      <c r="L199" s="2" t="s">
        <v>21</v>
      </c>
      <c r="M199" s="3">
        <v>85917000000</v>
      </c>
      <c r="N199" s="2" t="s">
        <v>21</v>
      </c>
      <c r="O199" s="2" t="s">
        <v>21</v>
      </c>
      <c r="P199" s="2" t="s">
        <v>21</v>
      </c>
      <c r="Q199" s="3">
        <v>94233000000</v>
      </c>
      <c r="R199" s="2" t="s">
        <v>21</v>
      </c>
      <c r="S199" s="2" t="s">
        <v>21</v>
      </c>
      <c r="T199" s="2" t="s">
        <v>21</v>
      </c>
    </row>
    <row r="200" spans="2:20" x14ac:dyDescent="0.25">
      <c r="B200" s="2" t="s">
        <v>200</v>
      </c>
      <c r="C200" s="2" t="s">
        <v>21</v>
      </c>
      <c r="D200" s="2" t="s">
        <v>21</v>
      </c>
      <c r="E200" s="3">
        <v>45063000000</v>
      </c>
      <c r="F200" s="2" t="s">
        <v>21</v>
      </c>
      <c r="G200" s="2" t="s">
        <v>21</v>
      </c>
      <c r="H200" s="2" t="s">
        <v>21</v>
      </c>
      <c r="I200" s="3">
        <v>55189000000</v>
      </c>
      <c r="J200" s="2" t="s">
        <v>21</v>
      </c>
      <c r="K200" s="2" t="s">
        <v>21</v>
      </c>
      <c r="L200" s="2" t="s">
        <v>21</v>
      </c>
      <c r="M200" s="3">
        <v>68624000000</v>
      </c>
      <c r="N200" s="2" t="s">
        <v>21</v>
      </c>
      <c r="O200" s="2" t="s">
        <v>21</v>
      </c>
      <c r="P200" s="2" t="s">
        <v>21</v>
      </c>
      <c r="Q200" s="3">
        <v>75125000000</v>
      </c>
      <c r="R200" s="2" t="s">
        <v>21</v>
      </c>
      <c r="S200" s="2" t="s">
        <v>21</v>
      </c>
      <c r="T200" s="2" t="s">
        <v>21</v>
      </c>
    </row>
    <row r="201" spans="2:20" x14ac:dyDescent="0.25">
      <c r="B201" s="2" t="s">
        <v>201</v>
      </c>
      <c r="C201" s="2" t="s">
        <v>21</v>
      </c>
      <c r="D201" s="2" t="s">
        <v>21</v>
      </c>
      <c r="E201" s="3">
        <v>37363000000</v>
      </c>
      <c r="F201" s="2" t="s">
        <v>21</v>
      </c>
      <c r="G201" s="2" t="s">
        <v>21</v>
      </c>
      <c r="H201" s="2" t="s">
        <v>21</v>
      </c>
      <c r="I201" s="3">
        <v>47665000000</v>
      </c>
      <c r="J201" s="2" t="s">
        <v>21</v>
      </c>
      <c r="K201" s="2" t="s">
        <v>21</v>
      </c>
      <c r="L201" s="2" t="s">
        <v>21</v>
      </c>
      <c r="M201" s="3">
        <v>57850000000</v>
      </c>
      <c r="N201" s="2" t="s">
        <v>21</v>
      </c>
      <c r="O201" s="2" t="s">
        <v>21</v>
      </c>
      <c r="P201" s="2" t="s">
        <v>21</v>
      </c>
      <c r="Q201" s="3">
        <v>67715000000</v>
      </c>
      <c r="R201" s="2" t="s">
        <v>21</v>
      </c>
      <c r="S201" s="2" t="s">
        <v>21</v>
      </c>
      <c r="T201" s="2" t="s">
        <v>21</v>
      </c>
    </row>
    <row r="202" spans="2:20" x14ac:dyDescent="0.25">
      <c r="B202" s="2" t="s">
        <v>202</v>
      </c>
      <c r="C202" s="2" t="s">
        <v>21</v>
      </c>
      <c r="D202" s="2" t="s">
        <v>21</v>
      </c>
      <c r="E202" s="3">
        <v>219031000000</v>
      </c>
      <c r="F202" s="2" t="s">
        <v>21</v>
      </c>
      <c r="G202" s="2" t="s">
        <v>21</v>
      </c>
      <c r="H202" s="2" t="s">
        <v>21</v>
      </c>
      <c r="I202" s="3">
        <v>252250000000</v>
      </c>
      <c r="J202" s="2" t="s">
        <v>21</v>
      </c>
      <c r="K202" s="2" t="s">
        <v>21</v>
      </c>
      <c r="L202" s="2" t="s">
        <v>21</v>
      </c>
      <c r="M202" s="3">
        <v>256913000000</v>
      </c>
      <c r="N202" s="2" t="s">
        <v>21</v>
      </c>
      <c r="O202" s="2" t="s">
        <v>21</v>
      </c>
      <c r="P202" s="2" t="s">
        <v>21</v>
      </c>
      <c r="Q202" s="3">
        <v>252220000000</v>
      </c>
      <c r="R202" s="2" t="s">
        <v>21</v>
      </c>
      <c r="S202" s="2" t="s">
        <v>21</v>
      </c>
      <c r="T202" s="2" t="s">
        <v>21</v>
      </c>
    </row>
    <row r="203" spans="2:20" x14ac:dyDescent="0.25">
      <c r="B203" s="2" t="s">
        <v>203</v>
      </c>
      <c r="C203" s="2" t="s">
        <v>21</v>
      </c>
      <c r="D203" s="2" t="s">
        <v>21</v>
      </c>
      <c r="E203" s="2" t="s">
        <v>21</v>
      </c>
      <c r="F203" s="2" t="s">
        <v>21</v>
      </c>
      <c r="G203" s="2" t="s">
        <v>21</v>
      </c>
      <c r="H203" s="2" t="s">
        <v>21</v>
      </c>
      <c r="I203" s="3">
        <v>-61721000000</v>
      </c>
      <c r="J203" s="2" t="s">
        <v>21</v>
      </c>
      <c r="K203" s="2" t="s">
        <v>21</v>
      </c>
      <c r="L203" s="2" t="s">
        <v>21</v>
      </c>
      <c r="M203" s="3">
        <v>-100173000000</v>
      </c>
      <c r="N203" s="2" t="s">
        <v>21</v>
      </c>
      <c r="O203" s="2" t="s">
        <v>21</v>
      </c>
      <c r="P203" s="2" t="s">
        <v>21</v>
      </c>
      <c r="Q203" s="3">
        <v>-112628000000</v>
      </c>
      <c r="R203" s="2" t="s">
        <v>21</v>
      </c>
      <c r="S203" s="2" t="s">
        <v>21</v>
      </c>
      <c r="T203" s="2" t="s">
        <v>21</v>
      </c>
    </row>
    <row r="204" spans="2:20" x14ac:dyDescent="0.25">
      <c r="B204" s="2" t="s">
        <v>204</v>
      </c>
      <c r="C204" s="2" t="s">
        <v>21</v>
      </c>
      <c r="D204" s="2" t="s">
        <v>21</v>
      </c>
      <c r="E204" s="3">
        <v>3186262000000</v>
      </c>
      <c r="F204" s="2" t="s">
        <v>21</v>
      </c>
      <c r="G204" s="2" t="s">
        <v>21</v>
      </c>
      <c r="H204" s="2" t="s">
        <v>21</v>
      </c>
      <c r="I204" s="3">
        <v>3439506000000</v>
      </c>
      <c r="J204" s="2" t="s">
        <v>21</v>
      </c>
      <c r="K204" s="2" t="s">
        <v>21</v>
      </c>
      <c r="L204" s="2" t="s">
        <v>21</v>
      </c>
      <c r="M204" s="3">
        <v>3999159000000</v>
      </c>
      <c r="N204" s="2" t="s">
        <v>21</v>
      </c>
      <c r="O204" s="2" t="s">
        <v>21</v>
      </c>
      <c r="P204" s="2" t="s">
        <v>21</v>
      </c>
      <c r="Q204" s="3">
        <v>4563341000000</v>
      </c>
      <c r="R204" s="2" t="s">
        <v>21</v>
      </c>
      <c r="S204" s="2" t="s">
        <v>21</v>
      </c>
      <c r="T204" s="2" t="s">
        <v>21</v>
      </c>
    </row>
    <row r="205" spans="2:20" x14ac:dyDescent="0.25">
      <c r="B205" s="2" t="s">
        <v>205</v>
      </c>
      <c r="C205" s="2" t="s">
        <v>21</v>
      </c>
      <c r="D205" s="2" t="s">
        <v>21</v>
      </c>
      <c r="E205" s="3">
        <v>3017272000000</v>
      </c>
      <c r="F205" s="2" t="s">
        <v>21</v>
      </c>
      <c r="G205" s="2" t="s">
        <v>21</v>
      </c>
      <c r="H205" s="2" t="s">
        <v>21</v>
      </c>
      <c r="I205" s="3">
        <v>3231348000000</v>
      </c>
      <c r="J205" s="2" t="s">
        <v>21</v>
      </c>
      <c r="K205" s="2" t="s">
        <v>21</v>
      </c>
      <c r="L205" s="2" t="s">
        <v>21</v>
      </c>
      <c r="M205" s="3">
        <v>3741995000000</v>
      </c>
      <c r="N205" s="2" t="s">
        <v>21</v>
      </c>
      <c r="O205" s="2" t="s">
        <v>21</v>
      </c>
      <c r="P205" s="2" t="s">
        <v>21</v>
      </c>
      <c r="Q205" s="3">
        <v>4098421000000</v>
      </c>
      <c r="R205" s="2" t="s">
        <v>21</v>
      </c>
      <c r="S205" s="2" t="s">
        <v>21</v>
      </c>
      <c r="T205" s="2" t="s">
        <v>21</v>
      </c>
    </row>
    <row r="206" spans="2:20" x14ac:dyDescent="0.25">
      <c r="B206" s="2" t="s">
        <v>206</v>
      </c>
      <c r="C206" s="2" t="s">
        <v>21</v>
      </c>
      <c r="D206" s="2" t="s">
        <v>21</v>
      </c>
      <c r="E206" s="3">
        <v>69636000000</v>
      </c>
      <c r="F206" s="2" t="s">
        <v>21</v>
      </c>
      <c r="G206" s="2" t="s">
        <v>21</v>
      </c>
      <c r="H206" s="2" t="s">
        <v>21</v>
      </c>
      <c r="I206" s="3">
        <v>55954000000</v>
      </c>
      <c r="J206" s="2" t="s">
        <v>21</v>
      </c>
      <c r="K206" s="2" t="s">
        <v>21</v>
      </c>
      <c r="L206" s="2" t="s">
        <v>21</v>
      </c>
      <c r="M206" s="3">
        <v>38151000000</v>
      </c>
      <c r="N206" s="2" t="s">
        <v>21</v>
      </c>
      <c r="O206" s="2" t="s">
        <v>21</v>
      </c>
      <c r="P206" s="2" t="s">
        <v>21</v>
      </c>
      <c r="Q206" s="3">
        <v>240133000000</v>
      </c>
      <c r="R206" s="2" t="s">
        <v>21</v>
      </c>
      <c r="S206" s="2" t="s">
        <v>21</v>
      </c>
      <c r="T206" s="2" t="s">
        <v>21</v>
      </c>
    </row>
    <row r="207" spans="2:20" x14ac:dyDescent="0.25">
      <c r="B207" s="2" t="s">
        <v>207</v>
      </c>
      <c r="C207" s="2" t="s">
        <v>21</v>
      </c>
      <c r="D207" s="2" t="s">
        <v>21</v>
      </c>
      <c r="E207" s="3">
        <v>25651000000</v>
      </c>
      <c r="F207" s="2" t="s">
        <v>21</v>
      </c>
      <c r="G207" s="2" t="s">
        <v>21</v>
      </c>
      <c r="H207" s="2" t="s">
        <v>21</v>
      </c>
      <c r="I207" s="3">
        <v>26390000000</v>
      </c>
      <c r="J207" s="2" t="s">
        <v>21</v>
      </c>
      <c r="K207" s="2" t="s">
        <v>21</v>
      </c>
      <c r="L207" s="2" t="s">
        <v>21</v>
      </c>
      <c r="M207" s="3">
        <v>38349000000</v>
      </c>
      <c r="N207" s="2" t="s">
        <v>21</v>
      </c>
      <c r="O207" s="2" t="s">
        <v>21</v>
      </c>
      <c r="P207" s="2" t="s">
        <v>21</v>
      </c>
      <c r="Q207" s="3">
        <v>18782000000</v>
      </c>
      <c r="R207" s="2" t="s">
        <v>21</v>
      </c>
      <c r="S207" s="2" t="s">
        <v>21</v>
      </c>
      <c r="T207" s="2" t="s">
        <v>21</v>
      </c>
    </row>
    <row r="208" spans="2:20" x14ac:dyDescent="0.25">
      <c r="B208" s="2" t="s">
        <v>208</v>
      </c>
      <c r="C208" s="2" t="s">
        <v>21</v>
      </c>
      <c r="D208" s="2" t="s">
        <v>21</v>
      </c>
      <c r="E208" s="3">
        <v>6180000000</v>
      </c>
      <c r="F208" s="2" t="s">
        <v>21</v>
      </c>
      <c r="G208" s="2" t="s">
        <v>21</v>
      </c>
      <c r="H208" s="2" t="s">
        <v>21</v>
      </c>
      <c r="I208" s="3">
        <v>6602000000</v>
      </c>
      <c r="J208" s="2" t="s">
        <v>21</v>
      </c>
      <c r="K208" s="2" t="s">
        <v>21</v>
      </c>
      <c r="L208" s="2" t="s">
        <v>21</v>
      </c>
      <c r="M208" s="3">
        <v>3996000000</v>
      </c>
      <c r="N208" s="2" t="s">
        <v>21</v>
      </c>
      <c r="O208" s="2" t="s">
        <v>21</v>
      </c>
      <c r="P208" s="2" t="s">
        <v>21</v>
      </c>
      <c r="Q208" s="3">
        <v>8797000000</v>
      </c>
      <c r="R208" s="2" t="s">
        <v>21</v>
      </c>
      <c r="S208" s="2" t="s">
        <v>21</v>
      </c>
      <c r="T208" s="2" t="s">
        <v>21</v>
      </c>
    </row>
    <row r="209" spans="2:20" x14ac:dyDescent="0.25">
      <c r="B209" s="2" t="s">
        <v>209</v>
      </c>
      <c r="C209" s="2" t="s">
        <v>21</v>
      </c>
      <c r="D209" s="2" t="s">
        <v>21</v>
      </c>
      <c r="E209" s="3">
        <v>1915000000</v>
      </c>
      <c r="F209" s="2" t="s">
        <v>21</v>
      </c>
      <c r="G209" s="2" t="s">
        <v>21</v>
      </c>
      <c r="H209" s="2" t="s">
        <v>21</v>
      </c>
      <c r="I209" s="3">
        <v>3539000000</v>
      </c>
      <c r="J209" s="2" t="s">
        <v>21</v>
      </c>
      <c r="K209" s="2" t="s">
        <v>21</v>
      </c>
      <c r="L209" s="2" t="s">
        <v>21</v>
      </c>
      <c r="M209" s="3">
        <v>9324000000</v>
      </c>
      <c r="N209" s="2" t="s">
        <v>21</v>
      </c>
      <c r="O209" s="2" t="s">
        <v>21</v>
      </c>
      <c r="P209" s="2" t="s">
        <v>21</v>
      </c>
      <c r="Q209" s="3">
        <v>15229000000</v>
      </c>
      <c r="R209" s="2" t="s">
        <v>21</v>
      </c>
      <c r="S209" s="2" t="s">
        <v>21</v>
      </c>
      <c r="T209" s="2" t="s">
        <v>21</v>
      </c>
    </row>
    <row r="210" spans="2:20" x14ac:dyDescent="0.25">
      <c r="B210" s="2" t="s">
        <v>210</v>
      </c>
      <c r="C210" s="2" t="s">
        <v>21</v>
      </c>
      <c r="D210" s="2" t="s">
        <v>21</v>
      </c>
      <c r="E210" s="3">
        <v>65608000000</v>
      </c>
      <c r="F210" s="2" t="s">
        <v>21</v>
      </c>
      <c r="G210" s="2" t="s">
        <v>21</v>
      </c>
      <c r="H210" s="2" t="s">
        <v>21</v>
      </c>
      <c r="I210" s="3">
        <v>115673000000</v>
      </c>
      <c r="J210" s="2" t="s">
        <v>21</v>
      </c>
      <c r="K210" s="2" t="s">
        <v>21</v>
      </c>
      <c r="L210" s="2" t="s">
        <v>21</v>
      </c>
      <c r="M210" s="3">
        <v>167344000000</v>
      </c>
      <c r="N210" s="2" t="s">
        <v>21</v>
      </c>
      <c r="O210" s="2" t="s">
        <v>21</v>
      </c>
      <c r="P210" s="2" t="s">
        <v>21</v>
      </c>
      <c r="Q210" s="3">
        <v>181979000000</v>
      </c>
      <c r="R210" s="2" t="s">
        <v>21</v>
      </c>
      <c r="S210" s="2" t="s">
        <v>21</v>
      </c>
      <c r="T210" s="2" t="s">
        <v>21</v>
      </c>
    </row>
    <row r="211" spans="2:20" x14ac:dyDescent="0.25">
      <c r="B211" s="2" t="s">
        <v>211</v>
      </c>
      <c r="C211" s="2" t="s">
        <v>21</v>
      </c>
      <c r="D211" s="2" t="s">
        <v>21</v>
      </c>
      <c r="E211" s="3">
        <v>511883000000</v>
      </c>
      <c r="F211" s="2" t="s">
        <v>21</v>
      </c>
      <c r="G211" s="2" t="s">
        <v>21</v>
      </c>
      <c r="H211" s="2" t="s">
        <v>21</v>
      </c>
      <c r="I211" s="3">
        <v>532246000000</v>
      </c>
      <c r="J211" s="2" t="s">
        <v>21</v>
      </c>
      <c r="K211" s="2" t="s">
        <v>21</v>
      </c>
      <c r="L211" s="2" t="s">
        <v>21</v>
      </c>
      <c r="M211" s="3">
        <v>571726000000</v>
      </c>
      <c r="N211" s="2" t="s">
        <v>21</v>
      </c>
      <c r="O211" s="2" t="s">
        <v>21</v>
      </c>
      <c r="P211" s="2" t="s">
        <v>21</v>
      </c>
      <c r="Q211" s="3">
        <v>599470000000</v>
      </c>
      <c r="R211" s="2" t="s">
        <v>21</v>
      </c>
      <c r="S211" s="2" t="s">
        <v>21</v>
      </c>
      <c r="T211" s="2" t="s">
        <v>21</v>
      </c>
    </row>
    <row r="212" spans="2:20" x14ac:dyDescent="0.25">
      <c r="B212" s="2" t="s">
        <v>212</v>
      </c>
      <c r="C212" s="2" t="s">
        <v>21</v>
      </c>
      <c r="D212" s="2" t="s">
        <v>21</v>
      </c>
      <c r="E212" s="3">
        <v>81421000000</v>
      </c>
      <c r="F212" s="2" t="s">
        <v>21</v>
      </c>
      <c r="G212" s="2" t="s">
        <v>21</v>
      </c>
      <c r="H212" s="2" t="s">
        <v>21</v>
      </c>
      <c r="I212" s="3">
        <v>90244000000</v>
      </c>
      <c r="J212" s="2" t="s">
        <v>21</v>
      </c>
      <c r="K212" s="2" t="s">
        <v>21</v>
      </c>
      <c r="L212" s="2" t="s">
        <v>21</v>
      </c>
      <c r="M212" s="3">
        <v>106505000000</v>
      </c>
      <c r="N212" s="2" t="s">
        <v>21</v>
      </c>
      <c r="O212" s="2" t="s">
        <v>21</v>
      </c>
      <c r="P212" s="2" t="s">
        <v>21</v>
      </c>
      <c r="Q212" s="3">
        <v>115608000000</v>
      </c>
      <c r="R212" s="2" t="s">
        <v>21</v>
      </c>
      <c r="S212" s="2" t="s">
        <v>21</v>
      </c>
      <c r="T212" s="2" t="s">
        <v>21</v>
      </c>
    </row>
    <row r="213" spans="2:20" x14ac:dyDescent="0.25">
      <c r="B213" s="2" t="s">
        <v>213</v>
      </c>
      <c r="C213" s="2" t="s">
        <v>21</v>
      </c>
      <c r="D213" s="2" t="s">
        <v>21</v>
      </c>
      <c r="E213" s="3">
        <v>69791000000</v>
      </c>
      <c r="F213" s="2" t="s">
        <v>21</v>
      </c>
      <c r="G213" s="2" t="s">
        <v>21</v>
      </c>
      <c r="H213" s="2" t="s">
        <v>21</v>
      </c>
      <c r="I213" s="3">
        <v>80476000000</v>
      </c>
      <c r="J213" s="2" t="s">
        <v>21</v>
      </c>
      <c r="K213" s="2" t="s">
        <v>21</v>
      </c>
      <c r="L213" s="2" t="s">
        <v>21</v>
      </c>
      <c r="M213" s="3">
        <v>96090000000</v>
      </c>
      <c r="N213" s="2" t="s">
        <v>21</v>
      </c>
      <c r="O213" s="2" t="s">
        <v>21</v>
      </c>
      <c r="P213" s="2" t="s">
        <v>21</v>
      </c>
      <c r="Q213" s="3">
        <v>107197000000</v>
      </c>
      <c r="R213" s="2" t="s">
        <v>21</v>
      </c>
      <c r="S213" s="2" t="s">
        <v>21</v>
      </c>
      <c r="T213" s="2" t="s">
        <v>21</v>
      </c>
    </row>
    <row r="214" spans="2:20" x14ac:dyDescent="0.25">
      <c r="B214" s="2" t="s">
        <v>214</v>
      </c>
      <c r="C214" s="2" t="s">
        <v>21</v>
      </c>
      <c r="D214" s="2" t="s">
        <v>21</v>
      </c>
      <c r="E214" s="3">
        <v>59214000000</v>
      </c>
      <c r="F214" s="2" t="s">
        <v>21</v>
      </c>
      <c r="G214" s="2" t="s">
        <v>21</v>
      </c>
      <c r="H214" s="2" t="s">
        <v>21</v>
      </c>
      <c r="I214" s="3">
        <v>68143000000</v>
      </c>
      <c r="J214" s="2" t="s">
        <v>21</v>
      </c>
      <c r="K214" s="2" t="s">
        <v>21</v>
      </c>
      <c r="L214" s="2" t="s">
        <v>21</v>
      </c>
      <c r="M214" s="3">
        <v>85917000000</v>
      </c>
      <c r="N214" s="2" t="s">
        <v>21</v>
      </c>
      <c r="O214" s="2" t="s">
        <v>21</v>
      </c>
      <c r="P214" s="2" t="s">
        <v>21</v>
      </c>
      <c r="Q214" s="3">
        <v>94233000000</v>
      </c>
      <c r="R214" s="2" t="s">
        <v>21</v>
      </c>
      <c r="S214" s="2" t="s">
        <v>21</v>
      </c>
      <c r="T214" s="2" t="s">
        <v>21</v>
      </c>
    </row>
    <row r="215" spans="2:20" x14ac:dyDescent="0.25">
      <c r="B215" s="2" t="s">
        <v>215</v>
      </c>
      <c r="C215" s="2" t="s">
        <v>21</v>
      </c>
      <c r="D215" s="2" t="s">
        <v>21</v>
      </c>
      <c r="E215" s="3">
        <v>45063000000</v>
      </c>
      <c r="F215" s="2" t="s">
        <v>21</v>
      </c>
      <c r="G215" s="2" t="s">
        <v>21</v>
      </c>
      <c r="H215" s="2" t="s">
        <v>21</v>
      </c>
      <c r="I215" s="3">
        <v>55189000000</v>
      </c>
      <c r="J215" s="2" t="s">
        <v>21</v>
      </c>
      <c r="K215" s="2" t="s">
        <v>21</v>
      </c>
      <c r="L215" s="2" t="s">
        <v>21</v>
      </c>
      <c r="M215" s="3">
        <v>68624000000</v>
      </c>
      <c r="N215" s="2" t="s">
        <v>21</v>
      </c>
      <c r="O215" s="2" t="s">
        <v>21</v>
      </c>
      <c r="P215" s="2" t="s">
        <v>21</v>
      </c>
      <c r="Q215" s="3">
        <v>75125000000</v>
      </c>
      <c r="R215" s="2" t="s">
        <v>21</v>
      </c>
      <c r="S215" s="2" t="s">
        <v>21</v>
      </c>
      <c r="T215" s="2" t="s">
        <v>21</v>
      </c>
    </row>
    <row r="216" spans="2:20" x14ac:dyDescent="0.25">
      <c r="B216" s="2" t="s">
        <v>216</v>
      </c>
      <c r="C216" s="2" t="s">
        <v>21</v>
      </c>
      <c r="D216" s="2" t="s">
        <v>21</v>
      </c>
      <c r="E216" s="3">
        <v>37363000000</v>
      </c>
      <c r="F216" s="2" t="s">
        <v>21</v>
      </c>
      <c r="G216" s="2" t="s">
        <v>21</v>
      </c>
      <c r="H216" s="2" t="s">
        <v>21</v>
      </c>
      <c r="I216" s="3">
        <v>47665000000</v>
      </c>
      <c r="J216" s="2" t="s">
        <v>21</v>
      </c>
      <c r="K216" s="2" t="s">
        <v>21</v>
      </c>
      <c r="L216" s="2" t="s">
        <v>21</v>
      </c>
      <c r="M216" s="3">
        <v>57850000000</v>
      </c>
      <c r="N216" s="2" t="s">
        <v>21</v>
      </c>
      <c r="O216" s="2" t="s">
        <v>21</v>
      </c>
      <c r="P216" s="2" t="s">
        <v>21</v>
      </c>
      <c r="Q216" s="3">
        <v>67715000000</v>
      </c>
      <c r="R216" s="2" t="s">
        <v>21</v>
      </c>
      <c r="S216" s="2" t="s">
        <v>21</v>
      </c>
      <c r="T216" s="2" t="s">
        <v>21</v>
      </c>
    </row>
    <row r="217" spans="2:20" x14ac:dyDescent="0.25">
      <c r="B217" s="2" t="s">
        <v>217</v>
      </c>
      <c r="C217" s="2" t="s">
        <v>21</v>
      </c>
      <c r="D217" s="2" t="s">
        <v>21</v>
      </c>
      <c r="E217" s="3">
        <v>219031000000</v>
      </c>
      <c r="F217" s="2" t="s">
        <v>21</v>
      </c>
      <c r="G217" s="2" t="s">
        <v>21</v>
      </c>
      <c r="H217" s="2" t="s">
        <v>21</v>
      </c>
      <c r="I217" s="3">
        <v>252250000000</v>
      </c>
      <c r="J217" s="2" t="s">
        <v>21</v>
      </c>
      <c r="K217" s="2" t="s">
        <v>21</v>
      </c>
      <c r="L217" s="2" t="s">
        <v>21</v>
      </c>
      <c r="M217" s="3">
        <v>256913000000</v>
      </c>
      <c r="N217" s="2" t="s">
        <v>21</v>
      </c>
      <c r="O217" s="2" t="s">
        <v>21</v>
      </c>
      <c r="P217" s="2" t="s">
        <v>21</v>
      </c>
      <c r="Q217" s="3">
        <v>252220000000</v>
      </c>
      <c r="R217" s="2" t="s">
        <v>21</v>
      </c>
      <c r="S217" s="2" t="s">
        <v>21</v>
      </c>
      <c r="T217" s="2" t="s">
        <v>21</v>
      </c>
    </row>
    <row r="218" spans="2:20" x14ac:dyDescent="0.25">
      <c r="B218" s="2" t="s">
        <v>218</v>
      </c>
      <c r="C218" s="2" t="s">
        <v>21</v>
      </c>
      <c r="D218" s="2" t="s">
        <v>21</v>
      </c>
      <c r="E218" s="2" t="s">
        <v>21</v>
      </c>
      <c r="F218" s="2" t="s">
        <v>21</v>
      </c>
      <c r="G218" s="2" t="s">
        <v>21</v>
      </c>
      <c r="H218" s="2" t="s">
        <v>21</v>
      </c>
      <c r="I218" s="3">
        <v>-61721000000</v>
      </c>
      <c r="J218" s="2" t="s">
        <v>21</v>
      </c>
      <c r="K218" s="2" t="s">
        <v>21</v>
      </c>
      <c r="L218" s="2" t="s">
        <v>21</v>
      </c>
      <c r="M218" s="3">
        <v>-100173000000</v>
      </c>
      <c r="N218" s="2" t="s">
        <v>21</v>
      </c>
      <c r="O218" s="2" t="s">
        <v>21</v>
      </c>
      <c r="P218" s="2" t="s">
        <v>21</v>
      </c>
      <c r="Q218" s="3">
        <v>-112628000000</v>
      </c>
      <c r="R218" s="2" t="s">
        <v>21</v>
      </c>
      <c r="S218" s="2" t="s">
        <v>21</v>
      </c>
      <c r="T218" s="2" t="s">
        <v>21</v>
      </c>
    </row>
    <row r="219" spans="2:20" x14ac:dyDescent="0.25">
      <c r="B219" s="2" t="s">
        <v>219</v>
      </c>
      <c r="C219" s="2" t="s">
        <v>21</v>
      </c>
      <c r="D219" s="2" t="s">
        <v>21</v>
      </c>
      <c r="E219" s="3">
        <v>6603956000000</v>
      </c>
      <c r="F219" s="2" t="s">
        <v>21</v>
      </c>
      <c r="G219" s="2" t="s">
        <v>21</v>
      </c>
      <c r="H219" s="2" t="s">
        <v>21</v>
      </c>
      <c r="I219" s="3">
        <v>7345909000000</v>
      </c>
      <c r="J219" s="2" t="s">
        <v>21</v>
      </c>
      <c r="K219" s="2" t="s">
        <v>21</v>
      </c>
      <c r="L219" s="2" t="s">
        <v>21</v>
      </c>
      <c r="M219" s="3">
        <v>8087592000000</v>
      </c>
      <c r="N219" s="2" t="s">
        <v>21</v>
      </c>
      <c r="O219" s="2" t="s">
        <v>21</v>
      </c>
      <c r="P219" s="2" t="s">
        <v>21</v>
      </c>
      <c r="Q219" s="3">
        <v>8761587000000</v>
      </c>
      <c r="R219" s="2" t="s">
        <v>21</v>
      </c>
      <c r="S219" s="2" t="s">
        <v>21</v>
      </c>
      <c r="T219" s="2" t="s">
        <v>21</v>
      </c>
    </row>
    <row r="220" spans="2:20" x14ac:dyDescent="0.25">
      <c r="B220" s="2" t="s">
        <v>220</v>
      </c>
      <c r="C220" s="2" t="s">
        <v>21</v>
      </c>
      <c r="D220" s="2" t="s">
        <v>21</v>
      </c>
      <c r="E220" s="3">
        <v>5189009000000</v>
      </c>
      <c r="F220" s="2" t="s">
        <v>21</v>
      </c>
      <c r="G220" s="2" t="s">
        <v>21</v>
      </c>
      <c r="H220" s="2" t="s">
        <v>21</v>
      </c>
      <c r="I220" s="3">
        <v>5381777000000</v>
      </c>
      <c r="J220" s="2" t="s">
        <v>21</v>
      </c>
      <c r="K220" s="2" t="s">
        <v>21</v>
      </c>
      <c r="L220" s="2" t="s">
        <v>21</v>
      </c>
      <c r="M220" s="3">
        <v>5799833000000</v>
      </c>
      <c r="N220" s="2" t="s">
        <v>21</v>
      </c>
      <c r="O220" s="2" t="s">
        <v>21</v>
      </c>
      <c r="P220" s="2" t="s">
        <v>21</v>
      </c>
      <c r="Q220" s="3">
        <v>6263214000000</v>
      </c>
      <c r="R220" s="2" t="s">
        <v>21</v>
      </c>
      <c r="S220" s="2" t="s">
        <v>21</v>
      </c>
      <c r="T220" s="2" t="s">
        <v>21</v>
      </c>
    </row>
    <row r="221" spans="2:20" x14ac:dyDescent="0.25">
      <c r="B221" s="2" t="s">
        <v>221</v>
      </c>
      <c r="C221" s="2" t="s">
        <v>21</v>
      </c>
      <c r="D221" s="2" t="s">
        <v>21</v>
      </c>
      <c r="E221" s="3">
        <v>223557000000</v>
      </c>
      <c r="F221" s="2" t="s">
        <v>21</v>
      </c>
      <c r="G221" s="2" t="s">
        <v>21</v>
      </c>
      <c r="H221" s="2" t="s">
        <v>21</v>
      </c>
      <c r="I221" s="3">
        <v>248106000000</v>
      </c>
      <c r="J221" s="2" t="s">
        <v>21</v>
      </c>
      <c r="K221" s="2" t="s">
        <v>21</v>
      </c>
      <c r="L221" s="2" t="s">
        <v>21</v>
      </c>
      <c r="M221" s="3">
        <v>330878000000</v>
      </c>
      <c r="N221" s="2" t="s">
        <v>21</v>
      </c>
      <c r="O221" s="2" t="s">
        <v>21</v>
      </c>
      <c r="P221" s="2" t="s">
        <v>21</v>
      </c>
      <c r="Q221" s="3">
        <v>741149000000</v>
      </c>
      <c r="R221" s="2" t="s">
        <v>21</v>
      </c>
      <c r="S221" s="2" t="s">
        <v>21</v>
      </c>
      <c r="T221" s="2" t="s">
        <v>21</v>
      </c>
    </row>
    <row r="222" spans="2:20" x14ac:dyDescent="0.25">
      <c r="B222" s="2" t="s">
        <v>222</v>
      </c>
      <c r="C222" s="2" t="s">
        <v>21</v>
      </c>
      <c r="D222" s="2" t="s">
        <v>21</v>
      </c>
      <c r="E222" s="3">
        <v>201625000000</v>
      </c>
      <c r="F222" s="2" t="s">
        <v>21</v>
      </c>
      <c r="G222" s="2" t="s">
        <v>21</v>
      </c>
      <c r="H222" s="2" t="s">
        <v>21</v>
      </c>
      <c r="I222" s="3">
        <v>352842000000</v>
      </c>
      <c r="J222" s="2" t="s">
        <v>21</v>
      </c>
      <c r="K222" s="2" t="s">
        <v>21</v>
      </c>
      <c r="L222" s="2" t="s">
        <v>21</v>
      </c>
      <c r="M222" s="3">
        <v>510563000000</v>
      </c>
      <c r="N222" s="2" t="s">
        <v>21</v>
      </c>
      <c r="O222" s="2" t="s">
        <v>21</v>
      </c>
      <c r="P222" s="2" t="s">
        <v>21</v>
      </c>
      <c r="Q222" s="3">
        <v>450258000000</v>
      </c>
      <c r="R222" s="2" t="s">
        <v>21</v>
      </c>
      <c r="S222" s="2" t="s">
        <v>21</v>
      </c>
      <c r="T222" s="2" t="s">
        <v>21</v>
      </c>
    </row>
    <row r="223" spans="2:20" x14ac:dyDescent="0.25">
      <c r="B223" s="2" t="s">
        <v>223</v>
      </c>
      <c r="C223" s="2" t="s">
        <v>21</v>
      </c>
      <c r="D223" s="2" t="s">
        <v>21</v>
      </c>
      <c r="E223" s="3">
        <v>187006000000</v>
      </c>
      <c r="F223" s="2" t="s">
        <v>21</v>
      </c>
      <c r="G223" s="2" t="s">
        <v>21</v>
      </c>
      <c r="H223" s="2" t="s">
        <v>21</v>
      </c>
      <c r="I223" s="3">
        <v>367650000000</v>
      </c>
      <c r="J223" s="2" t="s">
        <v>21</v>
      </c>
      <c r="K223" s="2" t="s">
        <v>21</v>
      </c>
      <c r="L223" s="2" t="s">
        <v>21</v>
      </c>
      <c r="M223" s="3">
        <v>405751000000</v>
      </c>
      <c r="N223" s="2" t="s">
        <v>21</v>
      </c>
      <c r="O223" s="2" t="s">
        <v>21</v>
      </c>
      <c r="P223" s="2" t="s">
        <v>21</v>
      </c>
      <c r="Q223" s="3">
        <v>334711000000</v>
      </c>
      <c r="R223" s="2" t="s">
        <v>21</v>
      </c>
      <c r="S223" s="2" t="s">
        <v>21</v>
      </c>
      <c r="T223" s="2" t="s">
        <v>21</v>
      </c>
    </row>
    <row r="224" spans="2:20" x14ac:dyDescent="0.25">
      <c r="B224" s="2" t="s">
        <v>224</v>
      </c>
      <c r="C224" s="2" t="s">
        <v>21</v>
      </c>
      <c r="D224" s="2" t="s">
        <v>21</v>
      </c>
      <c r="E224" s="3">
        <v>98334000000</v>
      </c>
      <c r="F224" s="2" t="s">
        <v>21</v>
      </c>
      <c r="G224" s="2" t="s">
        <v>21</v>
      </c>
      <c r="H224" s="2" t="s">
        <v>21</v>
      </c>
      <c r="I224" s="3">
        <v>194191000000</v>
      </c>
      <c r="J224" s="2" t="s">
        <v>21</v>
      </c>
      <c r="K224" s="2" t="s">
        <v>21</v>
      </c>
      <c r="L224" s="2" t="s">
        <v>21</v>
      </c>
      <c r="M224" s="3">
        <v>305093000000</v>
      </c>
      <c r="N224" s="2" t="s">
        <v>21</v>
      </c>
      <c r="O224" s="2" t="s">
        <v>21</v>
      </c>
      <c r="P224" s="2" t="s">
        <v>21</v>
      </c>
      <c r="Q224" s="3">
        <v>267392000000</v>
      </c>
      <c r="R224" s="2" t="s">
        <v>21</v>
      </c>
      <c r="S224" s="2" t="s">
        <v>21</v>
      </c>
      <c r="T224" s="2" t="s">
        <v>21</v>
      </c>
    </row>
    <row r="225" spans="2:20" x14ac:dyDescent="0.25">
      <c r="B225" s="2" t="s">
        <v>225</v>
      </c>
      <c r="C225" s="2" t="s">
        <v>21</v>
      </c>
      <c r="D225" s="2" t="s">
        <v>21</v>
      </c>
      <c r="E225" s="3">
        <v>704425000000</v>
      </c>
      <c r="F225" s="2" t="s">
        <v>21</v>
      </c>
      <c r="G225" s="2" t="s">
        <v>21</v>
      </c>
      <c r="H225" s="2" t="s">
        <v>21</v>
      </c>
      <c r="I225" s="3">
        <v>904387000000</v>
      </c>
      <c r="J225" s="2" t="s">
        <v>21</v>
      </c>
      <c r="K225" s="2" t="s">
        <v>21</v>
      </c>
      <c r="L225" s="2" t="s">
        <v>21</v>
      </c>
      <c r="M225" s="3">
        <v>887729000000</v>
      </c>
      <c r="N225" s="2" t="s">
        <v>21</v>
      </c>
      <c r="O225" s="2" t="s">
        <v>21</v>
      </c>
      <c r="P225" s="2" t="s">
        <v>21</v>
      </c>
      <c r="Q225" s="3">
        <v>878210000000</v>
      </c>
      <c r="R225" s="2" t="s">
        <v>21</v>
      </c>
      <c r="S225" s="2" t="s">
        <v>21</v>
      </c>
      <c r="T225" s="2" t="s">
        <v>21</v>
      </c>
    </row>
    <row r="226" spans="2:20" x14ac:dyDescent="0.25">
      <c r="B226" s="2" t="s">
        <v>226</v>
      </c>
      <c r="C226" s="2" t="s">
        <v>21</v>
      </c>
      <c r="D226" s="2" t="s">
        <v>21</v>
      </c>
      <c r="E226" s="2" t="s">
        <v>21</v>
      </c>
      <c r="F226" s="2" t="s">
        <v>21</v>
      </c>
      <c r="G226" s="2" t="s">
        <v>21</v>
      </c>
      <c r="H226" s="2" t="s">
        <v>21</v>
      </c>
      <c r="I226" s="3">
        <v>-103044000000</v>
      </c>
      <c r="J226" s="2" t="s">
        <v>21</v>
      </c>
      <c r="K226" s="2" t="s">
        <v>21</v>
      </c>
      <c r="L226" s="2" t="s">
        <v>21</v>
      </c>
      <c r="M226" s="3">
        <v>-152255000000</v>
      </c>
      <c r="N226" s="2" t="s">
        <v>21</v>
      </c>
      <c r="O226" s="2" t="s">
        <v>21</v>
      </c>
      <c r="P226" s="2" t="s">
        <v>21</v>
      </c>
      <c r="Q226" s="3">
        <v>-173347000000</v>
      </c>
      <c r="R226" s="2" t="s">
        <v>21</v>
      </c>
      <c r="S226" s="2" t="s">
        <v>21</v>
      </c>
      <c r="T226" s="2" t="s">
        <v>21</v>
      </c>
    </row>
    <row r="227" spans="2:20" x14ac:dyDescent="0.25">
      <c r="B227" s="2" t="s">
        <v>227</v>
      </c>
      <c r="C227" s="2" t="s">
        <v>21</v>
      </c>
      <c r="D227" s="2" t="s">
        <v>21</v>
      </c>
      <c r="E227" s="2" t="s">
        <v>21</v>
      </c>
      <c r="F227" s="2" t="s">
        <v>21</v>
      </c>
      <c r="G227" s="2" t="s">
        <v>21</v>
      </c>
      <c r="H227" s="2" t="s">
        <v>21</v>
      </c>
      <c r="I227" s="2" t="s">
        <v>21</v>
      </c>
      <c r="J227" s="2" t="s">
        <v>21</v>
      </c>
      <c r="K227" s="2" t="s">
        <v>21</v>
      </c>
      <c r="L227" s="2" t="s">
        <v>21</v>
      </c>
      <c r="M227" s="2" t="s">
        <v>21</v>
      </c>
      <c r="N227" s="2" t="s">
        <v>21</v>
      </c>
      <c r="O227" s="2" t="s">
        <v>21</v>
      </c>
      <c r="P227" s="2" t="s">
        <v>21</v>
      </c>
      <c r="Q227" s="2" t="s">
        <v>21</v>
      </c>
      <c r="R227" s="2" t="s">
        <v>21</v>
      </c>
      <c r="S227" s="2" t="s">
        <v>21</v>
      </c>
      <c r="T227" s="2" t="s">
        <v>21</v>
      </c>
    </row>
    <row r="228" spans="2:20" x14ac:dyDescent="0.25">
      <c r="B228" s="2" t="s">
        <v>228</v>
      </c>
      <c r="C228" s="2" t="s">
        <v>21</v>
      </c>
      <c r="D228" s="2" t="s">
        <v>21</v>
      </c>
      <c r="E228" s="2" t="s">
        <v>21</v>
      </c>
      <c r="F228" s="2" t="s">
        <v>21</v>
      </c>
      <c r="G228" s="2" t="s">
        <v>21</v>
      </c>
      <c r="H228" s="2" t="s">
        <v>21</v>
      </c>
      <c r="I228" s="2" t="s">
        <v>21</v>
      </c>
      <c r="J228" s="2" t="s">
        <v>21</v>
      </c>
      <c r="K228" s="2" t="s">
        <v>21</v>
      </c>
      <c r="L228" s="2" t="s">
        <v>21</v>
      </c>
      <c r="M228" s="2" t="s">
        <v>21</v>
      </c>
      <c r="N228" s="2" t="s">
        <v>21</v>
      </c>
      <c r="O228" s="2" t="s">
        <v>21</v>
      </c>
      <c r="P228" s="2" t="s">
        <v>21</v>
      </c>
      <c r="Q228" s="2" t="s">
        <v>21</v>
      </c>
      <c r="R228" s="2" t="s">
        <v>21</v>
      </c>
      <c r="S228" s="2" t="s">
        <v>21</v>
      </c>
      <c r="T228" s="2" t="s">
        <v>21</v>
      </c>
    </row>
    <row r="229" spans="2:20" x14ac:dyDescent="0.25">
      <c r="B229" s="2" t="s">
        <v>229</v>
      </c>
      <c r="C229" s="2" t="s">
        <v>21</v>
      </c>
      <c r="D229" s="2" t="s">
        <v>21</v>
      </c>
      <c r="E229" s="2" t="s">
        <v>21</v>
      </c>
      <c r="F229" s="2" t="s">
        <v>21</v>
      </c>
      <c r="G229" s="2" t="s">
        <v>21</v>
      </c>
      <c r="H229" s="2" t="s">
        <v>21</v>
      </c>
      <c r="I229" s="2" t="s">
        <v>21</v>
      </c>
      <c r="J229" s="2" t="s">
        <v>21</v>
      </c>
      <c r="K229" s="2" t="s">
        <v>21</v>
      </c>
      <c r="L229" s="2" t="s">
        <v>21</v>
      </c>
      <c r="M229" s="2" t="s">
        <v>21</v>
      </c>
      <c r="N229" s="2" t="s">
        <v>21</v>
      </c>
      <c r="O229" s="2" t="s">
        <v>21</v>
      </c>
      <c r="P229" s="2" t="s">
        <v>21</v>
      </c>
      <c r="Q229" s="2" t="s">
        <v>21</v>
      </c>
      <c r="R229" s="2" t="s">
        <v>21</v>
      </c>
      <c r="S229" s="2" t="s">
        <v>21</v>
      </c>
      <c r="T229" s="2" t="s">
        <v>21</v>
      </c>
    </row>
    <row r="230" spans="2:20" x14ac:dyDescent="0.25">
      <c r="B230" s="2" t="s">
        <v>230</v>
      </c>
      <c r="C230" s="2" t="s">
        <v>21</v>
      </c>
      <c r="D230" s="2" t="s">
        <v>21</v>
      </c>
      <c r="E230" s="2" t="s">
        <v>21</v>
      </c>
      <c r="F230" s="2" t="s">
        <v>21</v>
      </c>
      <c r="G230" s="2" t="s">
        <v>21</v>
      </c>
      <c r="H230" s="2" t="s">
        <v>21</v>
      </c>
      <c r="I230" s="2" t="s">
        <v>21</v>
      </c>
      <c r="J230" s="2" t="s">
        <v>21</v>
      </c>
      <c r="K230" s="2" t="s">
        <v>21</v>
      </c>
      <c r="L230" s="2" t="s">
        <v>21</v>
      </c>
      <c r="M230" s="2" t="s">
        <v>21</v>
      </c>
      <c r="N230" s="2" t="s">
        <v>21</v>
      </c>
      <c r="O230" s="2" t="s">
        <v>21</v>
      </c>
      <c r="P230" s="2" t="s">
        <v>21</v>
      </c>
      <c r="Q230" s="2" t="s">
        <v>21</v>
      </c>
      <c r="R230" s="2" t="s">
        <v>21</v>
      </c>
      <c r="S230" s="2" t="s">
        <v>21</v>
      </c>
      <c r="T230" s="2" t="s">
        <v>21</v>
      </c>
    </row>
    <row r="231" spans="2:20" x14ac:dyDescent="0.25">
      <c r="B231" s="2" t="s">
        <v>231</v>
      </c>
      <c r="C231" s="2" t="s">
        <v>21</v>
      </c>
      <c r="D231" s="2" t="s">
        <v>21</v>
      </c>
      <c r="E231" s="2" t="s">
        <v>21</v>
      </c>
      <c r="F231" s="2" t="s">
        <v>21</v>
      </c>
      <c r="G231" s="2" t="s">
        <v>21</v>
      </c>
      <c r="H231" s="2" t="s">
        <v>21</v>
      </c>
      <c r="I231" s="2" t="s">
        <v>21</v>
      </c>
      <c r="J231" s="2" t="s">
        <v>21</v>
      </c>
      <c r="K231" s="2" t="s">
        <v>21</v>
      </c>
      <c r="L231" s="2" t="s">
        <v>21</v>
      </c>
      <c r="M231" s="2" t="s">
        <v>21</v>
      </c>
      <c r="N231" s="2" t="s">
        <v>21</v>
      </c>
      <c r="O231" s="2" t="s">
        <v>21</v>
      </c>
      <c r="P231" s="2" t="s">
        <v>21</v>
      </c>
      <c r="Q231" s="2" t="s">
        <v>21</v>
      </c>
      <c r="R231" s="2" t="s">
        <v>21</v>
      </c>
      <c r="S231" s="2" t="s">
        <v>21</v>
      </c>
      <c r="T231" s="2" t="s">
        <v>21</v>
      </c>
    </row>
    <row r="232" spans="2:20" x14ac:dyDescent="0.25">
      <c r="B232" s="2" t="s">
        <v>232</v>
      </c>
      <c r="C232" s="2" t="s">
        <v>21</v>
      </c>
      <c r="D232" s="2" t="s">
        <v>21</v>
      </c>
      <c r="E232" s="2" t="s">
        <v>21</v>
      </c>
      <c r="F232" s="2" t="s">
        <v>21</v>
      </c>
      <c r="G232" s="2" t="s">
        <v>21</v>
      </c>
      <c r="H232" s="2" t="s">
        <v>21</v>
      </c>
      <c r="I232" s="2" t="s">
        <v>21</v>
      </c>
      <c r="J232" s="2" t="s">
        <v>21</v>
      </c>
      <c r="K232" s="2" t="s">
        <v>21</v>
      </c>
      <c r="L232" s="2" t="s">
        <v>21</v>
      </c>
      <c r="M232" s="2" t="s">
        <v>21</v>
      </c>
      <c r="N232" s="2" t="s">
        <v>21</v>
      </c>
      <c r="O232" s="2" t="s">
        <v>21</v>
      </c>
      <c r="P232" s="2" t="s">
        <v>21</v>
      </c>
      <c r="Q232" s="2" t="s">
        <v>21</v>
      </c>
      <c r="R232" s="2" t="s">
        <v>21</v>
      </c>
      <c r="S232" s="2" t="s">
        <v>21</v>
      </c>
      <c r="T232" s="2" t="s">
        <v>21</v>
      </c>
    </row>
    <row r="233" spans="2:20" x14ac:dyDescent="0.25">
      <c r="B233" s="2" t="s">
        <v>233</v>
      </c>
      <c r="C233" s="2" t="s">
        <v>21</v>
      </c>
      <c r="D233" s="2" t="s">
        <v>21</v>
      </c>
      <c r="E233" s="2" t="s">
        <v>21</v>
      </c>
      <c r="F233" s="2" t="s">
        <v>21</v>
      </c>
      <c r="G233" s="2" t="s">
        <v>21</v>
      </c>
      <c r="H233" s="2" t="s">
        <v>21</v>
      </c>
      <c r="I233" s="2" t="s">
        <v>21</v>
      </c>
      <c r="J233" s="2" t="s">
        <v>21</v>
      </c>
      <c r="K233" s="2" t="s">
        <v>21</v>
      </c>
      <c r="L233" s="2" t="s">
        <v>21</v>
      </c>
      <c r="M233" s="2" t="s">
        <v>21</v>
      </c>
      <c r="N233" s="2" t="s">
        <v>21</v>
      </c>
      <c r="O233" s="2" t="s">
        <v>21</v>
      </c>
      <c r="P233" s="2" t="s">
        <v>21</v>
      </c>
      <c r="Q233" s="2" t="s">
        <v>21</v>
      </c>
      <c r="R233" s="2" t="s">
        <v>21</v>
      </c>
      <c r="S233" s="2" t="s">
        <v>21</v>
      </c>
      <c r="T233" s="2" t="s">
        <v>21</v>
      </c>
    </row>
    <row r="234" spans="2:20" x14ac:dyDescent="0.25">
      <c r="B234" s="2" t="s">
        <v>233</v>
      </c>
      <c r="C234" s="2" t="s">
        <v>21</v>
      </c>
      <c r="D234" s="2" t="s">
        <v>21</v>
      </c>
      <c r="E234" s="2" t="s">
        <v>21</v>
      </c>
      <c r="F234" s="2" t="s">
        <v>21</v>
      </c>
      <c r="G234" s="2" t="s">
        <v>21</v>
      </c>
      <c r="H234" s="2" t="s">
        <v>21</v>
      </c>
      <c r="I234" s="2" t="s">
        <v>21</v>
      </c>
      <c r="J234" s="2" t="s">
        <v>21</v>
      </c>
      <c r="K234" s="2" t="s">
        <v>21</v>
      </c>
      <c r="L234" s="2" t="s">
        <v>21</v>
      </c>
      <c r="M234" s="2" t="s">
        <v>21</v>
      </c>
      <c r="N234" s="2" t="s">
        <v>21</v>
      </c>
      <c r="O234" s="2" t="s">
        <v>21</v>
      </c>
      <c r="P234" s="2" t="s">
        <v>21</v>
      </c>
      <c r="Q234" s="2" t="s">
        <v>21</v>
      </c>
      <c r="R234" s="2" t="s">
        <v>21</v>
      </c>
      <c r="S234" s="2" t="s">
        <v>21</v>
      </c>
      <c r="T234" s="2" t="s">
        <v>21</v>
      </c>
    </row>
    <row r="235" spans="2:20" x14ac:dyDescent="0.25">
      <c r="B235" s="2" t="s">
        <v>68</v>
      </c>
    </row>
    <row r="243" spans="2:21" x14ac:dyDescent="0.25">
      <c r="B243" s="2" t="s">
        <v>234</v>
      </c>
      <c r="C243" s="3">
        <v>118224000000</v>
      </c>
      <c r="D243" s="3">
        <v>491643000000</v>
      </c>
      <c r="E243" s="3">
        <v>425042000000</v>
      </c>
      <c r="F243" s="3">
        <v>-430018000000</v>
      </c>
      <c r="G243" s="3">
        <v>46762000000</v>
      </c>
      <c r="H243" s="3">
        <v>301633000000</v>
      </c>
      <c r="I243" s="3">
        <v>396314000000</v>
      </c>
      <c r="J243" s="3">
        <v>-12669000000</v>
      </c>
      <c r="K243" s="3">
        <v>127700000000</v>
      </c>
      <c r="L243" s="3">
        <v>816927000000</v>
      </c>
      <c r="M243" s="3">
        <v>441255000000</v>
      </c>
      <c r="N243" s="3">
        <v>-126285000000</v>
      </c>
      <c r="O243" s="3">
        <v>742574000000</v>
      </c>
      <c r="P243" s="3">
        <v>1007711000000</v>
      </c>
      <c r="Q243" s="3">
        <v>697675000000</v>
      </c>
      <c r="R243" s="3">
        <v>77329000000</v>
      </c>
      <c r="S243" s="3">
        <v>394287000000</v>
      </c>
      <c r="T243" s="3">
        <v>881678000000</v>
      </c>
      <c r="U243" s="3">
        <v>2050969000000</v>
      </c>
    </row>
    <row r="244" spans="2:21" x14ac:dyDescent="0.25">
      <c r="B244" s="2" t="s">
        <v>235</v>
      </c>
      <c r="C244" s="3">
        <v>118224000000</v>
      </c>
      <c r="D244" s="3">
        <v>491643000000</v>
      </c>
      <c r="E244" s="3">
        <v>425042000000</v>
      </c>
      <c r="F244" s="3">
        <v>-430018000000</v>
      </c>
      <c r="G244" s="3">
        <v>46762000000</v>
      </c>
      <c r="H244" s="3">
        <v>301633000000</v>
      </c>
      <c r="I244" s="3">
        <v>396314000000</v>
      </c>
      <c r="J244" s="3">
        <v>-12669000000</v>
      </c>
      <c r="K244" s="3">
        <v>127700000000</v>
      </c>
      <c r="L244" s="3">
        <v>816927000000</v>
      </c>
      <c r="M244" s="3">
        <v>441255000000</v>
      </c>
      <c r="N244" s="3">
        <v>-126285000000</v>
      </c>
      <c r="O244" s="3">
        <v>742574000000</v>
      </c>
      <c r="P244" s="3">
        <v>1007711000000</v>
      </c>
      <c r="Q244" s="3">
        <v>697675000000</v>
      </c>
      <c r="R244" s="3">
        <v>253881000000</v>
      </c>
      <c r="S244" s="3">
        <v>238410000000</v>
      </c>
      <c r="T244" s="3">
        <v>881678000000</v>
      </c>
      <c r="U244" s="3">
        <v>2071644000000</v>
      </c>
    </row>
    <row r="245" spans="2:21" x14ac:dyDescent="0.25">
      <c r="B245" s="2" t="s">
        <v>236</v>
      </c>
      <c r="C245" s="3">
        <v>215268000000</v>
      </c>
      <c r="D245" s="3">
        <v>600000000000</v>
      </c>
      <c r="E245" s="3">
        <v>672888000000</v>
      </c>
      <c r="F245" s="3">
        <v>-229180000000</v>
      </c>
      <c r="G245" s="3">
        <v>68970000000</v>
      </c>
      <c r="H245" s="3">
        <v>331876000000</v>
      </c>
      <c r="I245" s="3">
        <v>501479000000</v>
      </c>
      <c r="J245" s="3">
        <v>196248000000</v>
      </c>
      <c r="K245" s="3">
        <v>185905000000</v>
      </c>
      <c r="L245" s="3">
        <v>848199000000</v>
      </c>
      <c r="M245" s="3">
        <v>517095000000</v>
      </c>
      <c r="N245" s="3">
        <v>10649000000</v>
      </c>
      <c r="O245" s="3">
        <v>658263000000</v>
      </c>
      <c r="P245" s="3">
        <v>1199252000000</v>
      </c>
      <c r="Q245" s="3">
        <v>729739000000</v>
      </c>
      <c r="R245" s="3">
        <v>255435000000</v>
      </c>
      <c r="S245" s="3">
        <v>447090000000</v>
      </c>
      <c r="T245" s="3">
        <v>980838000000</v>
      </c>
      <c r="U245" s="3">
        <v>2413102000000</v>
      </c>
    </row>
    <row r="246" spans="2:21" x14ac:dyDescent="0.25">
      <c r="B246" s="2" t="s">
        <v>237</v>
      </c>
      <c r="C246" s="3">
        <v>283099000000</v>
      </c>
      <c r="D246" s="3">
        <v>461569000000</v>
      </c>
      <c r="E246" s="3">
        <v>89625000000</v>
      </c>
      <c r="F246" s="3">
        <v>291376000000</v>
      </c>
      <c r="G246" s="3">
        <v>345756000000</v>
      </c>
      <c r="H246" s="3">
        <v>398579000000</v>
      </c>
      <c r="I246" s="3">
        <v>144602000000</v>
      </c>
      <c r="J246" s="3">
        <v>276034000000</v>
      </c>
      <c r="K246" s="3">
        <v>257595000000</v>
      </c>
      <c r="L246" s="3">
        <v>458555000000</v>
      </c>
      <c r="M246" s="3">
        <v>276478000000</v>
      </c>
      <c r="N246" s="3">
        <v>316867000000</v>
      </c>
      <c r="O246" s="3">
        <v>450247000000</v>
      </c>
      <c r="P246" s="3">
        <v>494053000000</v>
      </c>
      <c r="Q246" s="3">
        <v>212559000000</v>
      </c>
      <c r="R246" s="3">
        <v>356601000000</v>
      </c>
      <c r="S246" s="3">
        <v>441761000000</v>
      </c>
      <c r="T246" s="3">
        <v>500209000000</v>
      </c>
      <c r="U246" s="3">
        <v>1511130000000</v>
      </c>
    </row>
    <row r="247" spans="2:21" x14ac:dyDescent="0.25">
      <c r="B247" s="2" t="s">
        <v>238</v>
      </c>
      <c r="C247" s="3">
        <v>435725000000</v>
      </c>
      <c r="D247" s="3">
        <v>488790000000</v>
      </c>
      <c r="E247" s="3">
        <v>456580000000</v>
      </c>
      <c r="F247" s="3">
        <v>466489000000</v>
      </c>
      <c r="G247" s="3">
        <v>415777000000</v>
      </c>
      <c r="H247" s="3">
        <v>210126000000</v>
      </c>
      <c r="I247" s="3">
        <v>567553000000</v>
      </c>
      <c r="J247" s="3">
        <v>231111000000</v>
      </c>
      <c r="K247" s="3">
        <v>316084000000</v>
      </c>
      <c r="L247" s="3">
        <v>254650000000</v>
      </c>
      <c r="M247" s="3">
        <v>239851000000</v>
      </c>
      <c r="N247" s="3">
        <v>232400000000</v>
      </c>
      <c r="O247" s="3">
        <v>266726000000</v>
      </c>
      <c r="P247" s="3">
        <v>288934000000</v>
      </c>
      <c r="Q247" s="3">
        <v>300685000000</v>
      </c>
      <c r="R247" s="3">
        <v>242076000000</v>
      </c>
      <c r="S247" s="3">
        <v>299840000000</v>
      </c>
      <c r="T247" s="3">
        <v>255162000000</v>
      </c>
      <c r="U247" s="3">
        <v>1097763000000</v>
      </c>
    </row>
    <row r="248" spans="2:21" x14ac:dyDescent="0.25">
      <c r="B248" s="2" t="s">
        <v>239</v>
      </c>
      <c r="C248" s="3">
        <v>205992000000</v>
      </c>
      <c r="D248" s="3">
        <v>236201000000</v>
      </c>
      <c r="E248" s="3">
        <v>215118000000</v>
      </c>
      <c r="F248" s="3">
        <v>245471000000</v>
      </c>
      <c r="G248" s="3">
        <v>242142000000</v>
      </c>
      <c r="H248" s="3">
        <v>248029000000</v>
      </c>
      <c r="I248" s="3">
        <v>268948000000</v>
      </c>
      <c r="J248" s="3">
        <v>251767000000</v>
      </c>
      <c r="K248" s="3">
        <v>318699000000</v>
      </c>
      <c r="L248" s="3">
        <v>281564000000</v>
      </c>
      <c r="M248" s="3">
        <v>292951000000</v>
      </c>
      <c r="N248" s="3">
        <v>268504000000</v>
      </c>
      <c r="O248" s="3">
        <v>280679000000</v>
      </c>
      <c r="P248" s="3">
        <v>298663000000</v>
      </c>
      <c r="Q248" s="3">
        <v>305141000000</v>
      </c>
      <c r="R248" s="3">
        <v>274399000000</v>
      </c>
      <c r="S248" s="3">
        <v>282180000000</v>
      </c>
      <c r="T248" s="3">
        <v>277932000000</v>
      </c>
      <c r="U248" s="3">
        <v>1139652000000</v>
      </c>
    </row>
    <row r="249" spans="2:21" x14ac:dyDescent="0.25">
      <c r="B249" s="2" t="s">
        <v>240</v>
      </c>
      <c r="C249" s="3">
        <v>205992000000</v>
      </c>
      <c r="D249" s="3">
        <v>236201000000</v>
      </c>
      <c r="E249" s="3">
        <v>215118000000</v>
      </c>
      <c r="F249" s="3">
        <v>245471000000</v>
      </c>
      <c r="G249" s="3">
        <v>242142000000</v>
      </c>
      <c r="H249" s="3">
        <v>248029000000</v>
      </c>
      <c r="I249" s="3">
        <v>268948000000</v>
      </c>
      <c r="J249" s="3">
        <v>251767000000</v>
      </c>
      <c r="K249" s="3">
        <v>318699000000</v>
      </c>
      <c r="L249" s="3">
        <v>281564000000</v>
      </c>
      <c r="M249" s="3">
        <v>292951000000</v>
      </c>
      <c r="N249" s="3">
        <v>268504000000</v>
      </c>
      <c r="O249" s="3">
        <v>280679000000</v>
      </c>
      <c r="P249" s="3">
        <v>298663000000</v>
      </c>
      <c r="Q249" s="3">
        <v>305141000000</v>
      </c>
      <c r="R249" s="3">
        <v>274399000000</v>
      </c>
      <c r="S249" s="3">
        <v>282180000000</v>
      </c>
      <c r="T249" s="3">
        <v>277932000000</v>
      </c>
      <c r="U249" s="3">
        <v>1139652000000</v>
      </c>
    </row>
    <row r="250" spans="2:21" x14ac:dyDescent="0.25">
      <c r="B250" s="2" t="s">
        <v>241</v>
      </c>
      <c r="C250" s="2" t="s">
        <v>21</v>
      </c>
      <c r="D250" s="2" t="s">
        <v>21</v>
      </c>
      <c r="E250" s="2" t="s">
        <v>21</v>
      </c>
      <c r="F250" s="2" t="s">
        <v>21</v>
      </c>
      <c r="G250" s="2" t="s">
        <v>21</v>
      </c>
      <c r="H250" s="2" t="s">
        <v>21</v>
      </c>
      <c r="I250" s="2" t="s">
        <v>21</v>
      </c>
      <c r="J250" s="2" t="s">
        <v>21</v>
      </c>
      <c r="K250" s="2" t="s">
        <v>21</v>
      </c>
      <c r="L250" s="2" t="s">
        <v>21</v>
      </c>
      <c r="M250" s="2" t="s">
        <v>21</v>
      </c>
      <c r="N250" s="2" t="s">
        <v>21</v>
      </c>
      <c r="O250" s="2" t="s">
        <v>21</v>
      </c>
      <c r="P250" s="2" t="s">
        <v>21</v>
      </c>
      <c r="Q250" s="2" t="s">
        <v>21</v>
      </c>
      <c r="R250" s="2" t="s">
        <v>21</v>
      </c>
      <c r="S250" s="2" t="s">
        <v>21</v>
      </c>
      <c r="T250" s="2" t="s">
        <v>21</v>
      </c>
      <c r="U250" s="2" t="s">
        <v>21</v>
      </c>
    </row>
    <row r="251" spans="2:21" x14ac:dyDescent="0.25">
      <c r="B251" s="2" t="s">
        <v>242</v>
      </c>
      <c r="C251" s="2" t="s">
        <v>21</v>
      </c>
      <c r="D251" s="2" t="s">
        <v>21</v>
      </c>
      <c r="E251" s="2" t="s">
        <v>21</v>
      </c>
      <c r="F251" s="2" t="s">
        <v>21</v>
      </c>
      <c r="G251" s="2" t="s">
        <v>21</v>
      </c>
      <c r="H251" s="2" t="s">
        <v>21</v>
      </c>
      <c r="I251" s="2" t="s">
        <v>21</v>
      </c>
      <c r="J251" s="2" t="s">
        <v>21</v>
      </c>
      <c r="K251" s="2" t="s">
        <v>21</v>
      </c>
      <c r="L251" s="2" t="s">
        <v>21</v>
      </c>
      <c r="M251" s="2" t="s">
        <v>21</v>
      </c>
      <c r="N251" s="2" t="s">
        <v>21</v>
      </c>
      <c r="O251" s="2" t="s">
        <v>21</v>
      </c>
      <c r="P251" s="2" t="s">
        <v>21</v>
      </c>
      <c r="Q251" s="2" t="s">
        <v>21</v>
      </c>
      <c r="R251" s="2" t="s">
        <v>21</v>
      </c>
      <c r="S251" s="2" t="s">
        <v>21</v>
      </c>
      <c r="T251" s="2" t="s">
        <v>21</v>
      </c>
      <c r="U251" s="2" t="s">
        <v>21</v>
      </c>
    </row>
    <row r="252" spans="2:21" x14ac:dyDescent="0.25">
      <c r="B252" s="2" t="s">
        <v>243</v>
      </c>
      <c r="C252" s="3">
        <v>16764000000</v>
      </c>
      <c r="D252" s="3">
        <v>-6254000000</v>
      </c>
      <c r="E252" s="3">
        <v>34450000000</v>
      </c>
      <c r="F252" s="3">
        <v>21052000000</v>
      </c>
      <c r="G252" s="3">
        <v>1737000000</v>
      </c>
      <c r="H252" s="3">
        <v>-7801000000</v>
      </c>
      <c r="I252" s="3">
        <v>-28215000000</v>
      </c>
      <c r="J252" s="3">
        <v>-11914000000</v>
      </c>
      <c r="K252" s="3">
        <v>765000000</v>
      </c>
      <c r="L252" s="3">
        <v>-23223000000</v>
      </c>
      <c r="M252" s="3">
        <v>-39509000000</v>
      </c>
      <c r="N252" s="3">
        <v>-26284000000</v>
      </c>
      <c r="O252" s="3">
        <v>-11129000000</v>
      </c>
      <c r="P252" s="3">
        <v>-3795000000</v>
      </c>
      <c r="Q252" s="3">
        <v>-13793000000</v>
      </c>
      <c r="R252" s="3">
        <v>-22403000000</v>
      </c>
      <c r="S252" s="3">
        <v>-6304000000</v>
      </c>
      <c r="T252" s="3">
        <v>14956000000</v>
      </c>
      <c r="U252" s="3">
        <v>-27544000000</v>
      </c>
    </row>
    <row r="253" spans="2:21" x14ac:dyDescent="0.25">
      <c r="B253" s="2" t="s">
        <v>244</v>
      </c>
      <c r="C253" s="3">
        <v>24297000000</v>
      </c>
      <c r="D253" s="3">
        <v>51000000</v>
      </c>
      <c r="E253" s="3">
        <v>36796000000</v>
      </c>
      <c r="F253" s="3">
        <v>21197000000</v>
      </c>
      <c r="G253" s="3">
        <v>6797000000</v>
      </c>
      <c r="H253" s="3">
        <v>-840000000</v>
      </c>
      <c r="I253" s="3">
        <v>-22685000000</v>
      </c>
      <c r="J253" s="3">
        <v>-14189000000</v>
      </c>
      <c r="K253" s="3">
        <v>3373000000</v>
      </c>
      <c r="L253" s="3">
        <v>-20524000000</v>
      </c>
      <c r="M253" s="3">
        <v>-41826000000</v>
      </c>
      <c r="N253" s="3">
        <v>-31406000000</v>
      </c>
      <c r="O253" s="3">
        <v>-14368000000</v>
      </c>
      <c r="P253" s="3">
        <v>-11738000000</v>
      </c>
      <c r="Q253" s="3">
        <v>-18230000000</v>
      </c>
      <c r="R253" s="3">
        <v>-30092000000</v>
      </c>
      <c r="S253" s="3">
        <v>-8815000000</v>
      </c>
      <c r="T253" s="3">
        <v>14943000000</v>
      </c>
      <c r="U253" s="3">
        <v>-42194000000</v>
      </c>
    </row>
    <row r="254" spans="2:21" x14ac:dyDescent="0.25">
      <c r="B254" s="2" t="s">
        <v>245</v>
      </c>
      <c r="C254" s="3">
        <v>-7533000000</v>
      </c>
      <c r="D254" s="3">
        <v>-6305000000</v>
      </c>
      <c r="E254" s="3">
        <v>-2346000000</v>
      </c>
      <c r="F254" s="3">
        <v>-145000000</v>
      </c>
      <c r="G254" s="3">
        <v>-5060000000</v>
      </c>
      <c r="H254" s="3">
        <v>-6961000000</v>
      </c>
      <c r="I254" s="3">
        <v>-5530000000</v>
      </c>
      <c r="J254" s="3">
        <v>2275000000</v>
      </c>
      <c r="K254" s="3">
        <v>-2608000000</v>
      </c>
      <c r="L254" s="3">
        <v>-2699000000</v>
      </c>
      <c r="M254" s="3">
        <v>2317000000</v>
      </c>
      <c r="N254" s="3">
        <v>5122000000</v>
      </c>
      <c r="O254" s="3">
        <v>3239000000</v>
      </c>
      <c r="P254" s="3">
        <v>7943000000</v>
      </c>
      <c r="Q254" s="3">
        <v>4437000000</v>
      </c>
      <c r="R254" s="3">
        <v>7689000000</v>
      </c>
      <c r="S254" s="3">
        <v>2511000000</v>
      </c>
      <c r="T254" s="3">
        <v>13000000</v>
      </c>
      <c r="U254" s="3">
        <v>14650000000</v>
      </c>
    </row>
    <row r="255" spans="2:21" x14ac:dyDescent="0.25">
      <c r="B255" s="2" t="s">
        <v>246</v>
      </c>
      <c r="C255" s="2" t="s">
        <v>21</v>
      </c>
      <c r="D255" s="2" t="s">
        <v>21</v>
      </c>
      <c r="E255" s="2" t="s">
        <v>21</v>
      </c>
      <c r="F255" s="2" t="s">
        <v>21</v>
      </c>
      <c r="G255" s="2" t="s">
        <v>21</v>
      </c>
      <c r="H255" s="2" t="s">
        <v>21</v>
      </c>
      <c r="I255" s="2" t="s">
        <v>21</v>
      </c>
      <c r="J255" s="2" t="s">
        <v>21</v>
      </c>
      <c r="K255" s="2" t="s">
        <v>21</v>
      </c>
      <c r="L255" s="2" t="s">
        <v>21</v>
      </c>
      <c r="M255" s="2" t="s">
        <v>21</v>
      </c>
      <c r="N255" s="2" t="s">
        <v>21</v>
      </c>
      <c r="O255" s="2" t="s">
        <v>21</v>
      </c>
      <c r="P255" s="2" t="s">
        <v>21</v>
      </c>
      <c r="Q255" s="2" t="s">
        <v>21</v>
      </c>
      <c r="R255" s="2" t="s">
        <v>21</v>
      </c>
      <c r="S255" s="2" t="s">
        <v>21</v>
      </c>
      <c r="T255" s="2" t="s">
        <v>21</v>
      </c>
      <c r="U255" s="2" t="s">
        <v>21</v>
      </c>
    </row>
    <row r="256" spans="2:21" x14ac:dyDescent="0.25">
      <c r="B256" s="2" t="s">
        <v>247</v>
      </c>
      <c r="C256" s="3">
        <v>212969000000</v>
      </c>
      <c r="D256" s="3">
        <v>258843000000</v>
      </c>
      <c r="E256" s="3">
        <v>273309000000</v>
      </c>
      <c r="F256" s="3">
        <v>199966000000</v>
      </c>
      <c r="G256" s="3">
        <v>171898000000</v>
      </c>
      <c r="H256" s="3">
        <v>-30102000000</v>
      </c>
      <c r="I256" s="3">
        <v>331555000000</v>
      </c>
      <c r="J256" s="3">
        <v>-8742000000</v>
      </c>
      <c r="K256" s="3">
        <v>-3380000000</v>
      </c>
      <c r="L256" s="3">
        <v>-3691000000</v>
      </c>
      <c r="M256" s="3">
        <v>17752000000</v>
      </c>
      <c r="N256" s="3">
        <v>-9820000000</v>
      </c>
      <c r="O256" s="3">
        <v>-2824000000</v>
      </c>
      <c r="P256" s="3">
        <v>-5934000000</v>
      </c>
      <c r="Q256" s="3">
        <v>11661000000</v>
      </c>
      <c r="R256" s="3">
        <v>-9920000000</v>
      </c>
      <c r="S256" s="3">
        <v>23964000000</v>
      </c>
      <c r="T256" s="3">
        <v>-37726000000</v>
      </c>
      <c r="U256" s="3">
        <v>-12021000000</v>
      </c>
    </row>
    <row r="257" spans="2:21" x14ac:dyDescent="0.25">
      <c r="B257" s="2" t="s">
        <v>248</v>
      </c>
      <c r="C257" s="2" t="s">
        <v>21</v>
      </c>
      <c r="D257" s="2" t="s">
        <v>21</v>
      </c>
      <c r="E257" s="2" t="s">
        <v>21</v>
      </c>
      <c r="F257" s="2" t="s">
        <v>21</v>
      </c>
      <c r="G257" s="2" t="s">
        <v>21</v>
      </c>
      <c r="H257" s="2" t="s">
        <v>21</v>
      </c>
      <c r="I257" s="2" t="s">
        <v>21</v>
      </c>
      <c r="J257" s="2" t="s">
        <v>21</v>
      </c>
      <c r="K257" s="2" t="s">
        <v>21</v>
      </c>
      <c r="L257" s="2" t="s">
        <v>21</v>
      </c>
      <c r="M257" s="2" t="s">
        <v>21</v>
      </c>
      <c r="N257" s="2" t="s">
        <v>21</v>
      </c>
      <c r="O257" s="2" t="s">
        <v>21</v>
      </c>
      <c r="P257" s="2" t="s">
        <v>21</v>
      </c>
      <c r="Q257" s="2" t="s">
        <v>21</v>
      </c>
      <c r="R257" s="2" t="s">
        <v>21</v>
      </c>
      <c r="S257" s="2" t="s">
        <v>21</v>
      </c>
      <c r="T257" s="2" t="s">
        <v>21</v>
      </c>
      <c r="U257" s="2" t="s">
        <v>21</v>
      </c>
    </row>
    <row r="258" spans="2:21" x14ac:dyDescent="0.25">
      <c r="B258" s="2" t="s">
        <v>249</v>
      </c>
      <c r="C258" s="2" t="s">
        <v>21</v>
      </c>
      <c r="D258" s="2" t="s">
        <v>21</v>
      </c>
      <c r="E258" s="2" t="s">
        <v>21</v>
      </c>
      <c r="F258" s="2" t="s">
        <v>21</v>
      </c>
      <c r="G258" s="2" t="s">
        <v>21</v>
      </c>
      <c r="H258" s="2" t="s">
        <v>21</v>
      </c>
      <c r="I258" s="2" t="s">
        <v>21</v>
      </c>
      <c r="J258" s="2" t="s">
        <v>21</v>
      </c>
      <c r="K258" s="2" t="s">
        <v>21</v>
      </c>
      <c r="L258" s="2" t="s">
        <v>21</v>
      </c>
      <c r="M258" s="2" t="s">
        <v>21</v>
      </c>
      <c r="N258" s="2" t="s">
        <v>21</v>
      </c>
      <c r="O258" s="2" t="s">
        <v>21</v>
      </c>
      <c r="P258" s="2" t="s">
        <v>21</v>
      </c>
      <c r="Q258" s="2" t="s">
        <v>21</v>
      </c>
      <c r="R258" s="2" t="s">
        <v>21</v>
      </c>
      <c r="S258" s="2" t="s">
        <v>21</v>
      </c>
      <c r="T258" s="2" t="s">
        <v>21</v>
      </c>
      <c r="U258" s="2" t="s">
        <v>21</v>
      </c>
    </row>
    <row r="259" spans="2:21" x14ac:dyDescent="0.25">
      <c r="B259" s="2" t="s">
        <v>250</v>
      </c>
      <c r="C259" s="3">
        <v>-503556000000</v>
      </c>
      <c r="D259" s="3">
        <v>-350359000000</v>
      </c>
      <c r="E259" s="3">
        <v>126683000000</v>
      </c>
      <c r="F259" s="3">
        <v>-987045000000</v>
      </c>
      <c r="G259" s="3">
        <v>-692563000000</v>
      </c>
      <c r="H259" s="3">
        <v>-276829000000</v>
      </c>
      <c r="I259" s="3">
        <v>-210676000000</v>
      </c>
      <c r="J259" s="3">
        <v>-310897000000</v>
      </c>
      <c r="K259" s="3">
        <v>-387774000000</v>
      </c>
      <c r="L259" s="3">
        <v>134994000000</v>
      </c>
      <c r="M259" s="3">
        <v>766000000</v>
      </c>
      <c r="N259" s="3">
        <v>-538618000000</v>
      </c>
      <c r="O259" s="3">
        <v>-58710000000</v>
      </c>
      <c r="P259" s="3">
        <v>416265000000</v>
      </c>
      <c r="Q259" s="3">
        <v>216495000000</v>
      </c>
      <c r="R259" s="3">
        <v>-343242000000</v>
      </c>
      <c r="S259" s="3">
        <v>-294511000000</v>
      </c>
      <c r="T259" s="3">
        <v>225467000000</v>
      </c>
      <c r="U259" s="3">
        <v>-195791000000</v>
      </c>
    </row>
    <row r="260" spans="2:21" x14ac:dyDescent="0.25">
      <c r="B260" s="2" t="s">
        <v>251</v>
      </c>
      <c r="C260" s="3">
        <v>-86562000000</v>
      </c>
      <c r="D260" s="3">
        <v>72107000000</v>
      </c>
      <c r="E260" s="3">
        <v>-59627000000</v>
      </c>
      <c r="F260" s="3">
        <v>-176257000000</v>
      </c>
      <c r="G260" s="3">
        <v>-294183000000</v>
      </c>
      <c r="H260" s="3">
        <v>-102101000000</v>
      </c>
      <c r="I260" s="3">
        <v>12159000000</v>
      </c>
      <c r="J260" s="3">
        <v>-283152000000</v>
      </c>
      <c r="K260" s="3">
        <v>-211311000000</v>
      </c>
      <c r="L260" s="3">
        <v>405946000000</v>
      </c>
      <c r="M260" s="3">
        <v>164158000000</v>
      </c>
      <c r="N260" s="3">
        <v>-123840000000</v>
      </c>
      <c r="O260" s="3">
        <v>-137110000000</v>
      </c>
      <c r="P260" s="3">
        <v>408049000000</v>
      </c>
      <c r="Q260" s="3">
        <v>52817000000</v>
      </c>
      <c r="R260" s="3">
        <v>-156435000000</v>
      </c>
      <c r="S260" s="3">
        <v>-187741000000</v>
      </c>
      <c r="T260" s="3">
        <v>458322000000</v>
      </c>
      <c r="U260" s="3">
        <v>166963000000</v>
      </c>
    </row>
    <row r="261" spans="2:21" x14ac:dyDescent="0.25">
      <c r="B261" s="2" t="s">
        <v>252</v>
      </c>
      <c r="C261" s="3">
        <v>-55853000000</v>
      </c>
      <c r="D261" s="3">
        <v>-298096000000</v>
      </c>
      <c r="E261" s="3">
        <v>257059000000</v>
      </c>
      <c r="F261" s="3">
        <v>-37200000000</v>
      </c>
      <c r="G261" s="3">
        <v>-104811000000</v>
      </c>
      <c r="H261" s="3">
        <v>-141420000000</v>
      </c>
      <c r="I261" s="3">
        <v>212983000000</v>
      </c>
      <c r="J261" s="3">
        <v>-11342000000</v>
      </c>
      <c r="K261" s="3">
        <v>-242641000000</v>
      </c>
      <c r="L261" s="3">
        <v>-338223000000</v>
      </c>
      <c r="M261" s="3">
        <v>348560000000</v>
      </c>
      <c r="N261" s="3">
        <v>165792000000</v>
      </c>
      <c r="O261" s="3">
        <v>-211729000000</v>
      </c>
      <c r="P261" s="3">
        <v>-182170000000</v>
      </c>
      <c r="Q261" s="3">
        <v>456730000000</v>
      </c>
      <c r="R261" s="3">
        <v>105820000000</v>
      </c>
      <c r="S261" s="3">
        <v>-317884000000</v>
      </c>
      <c r="T261" s="3">
        <v>-81320000000</v>
      </c>
      <c r="U261" s="3">
        <v>163346000000</v>
      </c>
    </row>
    <row r="262" spans="2:21" x14ac:dyDescent="0.25">
      <c r="B262" s="2" t="s">
        <v>253</v>
      </c>
      <c r="C262" s="2" t="s">
        <v>21</v>
      </c>
      <c r="D262" s="2" t="s">
        <v>21</v>
      </c>
      <c r="E262" s="2" t="s">
        <v>21</v>
      </c>
      <c r="F262" s="2" t="s">
        <v>21</v>
      </c>
      <c r="G262" s="2" t="s">
        <v>21</v>
      </c>
      <c r="H262" s="2" t="s">
        <v>21</v>
      </c>
      <c r="I262" s="2" t="s">
        <v>21</v>
      </c>
      <c r="J262" s="2" t="s">
        <v>21</v>
      </c>
      <c r="K262" s="2" t="s">
        <v>21</v>
      </c>
      <c r="L262" s="2" t="s">
        <v>21</v>
      </c>
      <c r="M262" s="2" t="s">
        <v>21</v>
      </c>
      <c r="N262" s="2" t="s">
        <v>21</v>
      </c>
      <c r="O262" s="2" t="s">
        <v>21</v>
      </c>
      <c r="P262" s="2" t="s">
        <v>21</v>
      </c>
      <c r="Q262" s="2" t="s">
        <v>21</v>
      </c>
      <c r="R262" s="3">
        <v>105820000000</v>
      </c>
      <c r="S262" s="2" t="s">
        <v>21</v>
      </c>
      <c r="T262" s="2" t="s">
        <v>21</v>
      </c>
      <c r="U262" s="2" t="s">
        <v>21</v>
      </c>
    </row>
    <row r="263" spans="2:21" x14ac:dyDescent="0.25">
      <c r="B263" s="2" t="s">
        <v>254</v>
      </c>
      <c r="C263" s="3">
        <v>-483358000000</v>
      </c>
      <c r="D263" s="3">
        <v>-537067000000</v>
      </c>
      <c r="E263" s="3">
        <v>-572451000000</v>
      </c>
      <c r="F263" s="3">
        <v>-548319000000</v>
      </c>
      <c r="G263" s="3">
        <v>-674472000000</v>
      </c>
      <c r="H263" s="3">
        <v>-207045000000</v>
      </c>
      <c r="I263" s="3">
        <v>-417591000000</v>
      </c>
      <c r="J263" s="3">
        <v>-731786000000</v>
      </c>
      <c r="K263" s="3">
        <v>-379918000000</v>
      </c>
      <c r="L263" s="3">
        <v>-302531000000</v>
      </c>
      <c r="M263" s="3">
        <v>-852682000000</v>
      </c>
      <c r="N263" s="3">
        <v>-931639000000</v>
      </c>
      <c r="O263" s="3">
        <v>209225000000</v>
      </c>
      <c r="P263" s="3">
        <v>-1037264000000</v>
      </c>
      <c r="Q263" s="3">
        <v>170766000000</v>
      </c>
      <c r="R263" s="3">
        <v>-203443000000</v>
      </c>
      <c r="S263" s="3">
        <v>-156775000000</v>
      </c>
      <c r="T263" s="3">
        <v>-218808000000</v>
      </c>
      <c r="U263" s="3">
        <v>-408260000000</v>
      </c>
    </row>
    <row r="264" spans="2:21" x14ac:dyDescent="0.25">
      <c r="B264" s="2" t="s">
        <v>255</v>
      </c>
      <c r="C264" s="3">
        <v>36037000000</v>
      </c>
      <c r="D264" s="3">
        <v>49620000000</v>
      </c>
      <c r="E264" s="3">
        <v>-13863000000</v>
      </c>
      <c r="F264" s="3">
        <v>3467000000</v>
      </c>
      <c r="G264" s="3">
        <v>61711000000</v>
      </c>
      <c r="H264" s="3">
        <v>-37662000000</v>
      </c>
      <c r="I264" s="3">
        <v>-132669000000</v>
      </c>
      <c r="J264" s="3">
        <v>194526000000</v>
      </c>
      <c r="K264" s="3">
        <v>66931000000</v>
      </c>
      <c r="L264" s="3">
        <v>-25083000000</v>
      </c>
      <c r="M264" s="3">
        <v>-249677000000</v>
      </c>
      <c r="N264" s="3">
        <v>128887000000</v>
      </c>
      <c r="O264" s="3">
        <v>236507000000</v>
      </c>
      <c r="P264" s="3">
        <v>-33608000000</v>
      </c>
      <c r="Q264" s="3">
        <v>-210295000000</v>
      </c>
      <c r="R264" s="3">
        <v>98398000000</v>
      </c>
      <c r="S264" s="3">
        <v>224491000000</v>
      </c>
      <c r="T264" s="3">
        <v>-176596000000</v>
      </c>
      <c r="U264" s="3">
        <v>-64002000000</v>
      </c>
    </row>
    <row r="265" spans="2:21" x14ac:dyDescent="0.25">
      <c r="B265" s="2" t="s">
        <v>256</v>
      </c>
      <c r="C265" s="3">
        <v>36037000000</v>
      </c>
      <c r="D265" s="3">
        <v>49620000000</v>
      </c>
      <c r="E265" s="3">
        <v>-13863000000</v>
      </c>
      <c r="F265" s="3">
        <v>3467000000</v>
      </c>
      <c r="G265" s="3">
        <v>61711000000</v>
      </c>
      <c r="H265" s="3">
        <v>-37662000000</v>
      </c>
      <c r="I265" s="3">
        <v>-132669000000</v>
      </c>
      <c r="J265" s="3">
        <v>194526000000</v>
      </c>
      <c r="K265" s="3">
        <v>66931000000</v>
      </c>
      <c r="L265" s="3">
        <v>-25083000000</v>
      </c>
      <c r="M265" s="3">
        <v>-249677000000</v>
      </c>
      <c r="N265" s="3">
        <v>128887000000</v>
      </c>
      <c r="O265" s="3">
        <v>236507000000</v>
      </c>
      <c r="P265" s="3">
        <v>-33608000000</v>
      </c>
      <c r="Q265" s="3">
        <v>-210295000000</v>
      </c>
      <c r="R265" s="3">
        <v>98398000000</v>
      </c>
      <c r="S265" s="3">
        <v>224491000000</v>
      </c>
      <c r="T265" s="3">
        <v>-176596000000</v>
      </c>
      <c r="U265" s="3">
        <v>-64002000000</v>
      </c>
    </row>
    <row r="266" spans="2:21" x14ac:dyDescent="0.25">
      <c r="B266" s="2" t="s">
        <v>257</v>
      </c>
      <c r="C266" s="3">
        <v>36037000000</v>
      </c>
      <c r="D266" s="3">
        <v>49620000000</v>
      </c>
      <c r="E266" s="3">
        <v>-13863000000</v>
      </c>
      <c r="F266" s="3">
        <v>3467000000</v>
      </c>
      <c r="G266" s="3">
        <v>130522000000</v>
      </c>
      <c r="H266" s="3">
        <v>-71561000000</v>
      </c>
      <c r="I266" s="3">
        <v>-171764000000</v>
      </c>
      <c r="J266" s="3">
        <v>174512000000</v>
      </c>
      <c r="K266" s="3">
        <v>129987000000</v>
      </c>
      <c r="L266" s="3">
        <v>-51532000000</v>
      </c>
      <c r="M266" s="3">
        <v>-243779000000</v>
      </c>
      <c r="N266" s="3">
        <v>132780000000</v>
      </c>
      <c r="O266" s="3">
        <v>232614000000</v>
      </c>
      <c r="P266" s="3">
        <v>-56566000000</v>
      </c>
      <c r="Q266" s="3">
        <v>-171876000000</v>
      </c>
      <c r="R266" s="3">
        <v>90138000000</v>
      </c>
      <c r="S266" s="3">
        <v>238103000000</v>
      </c>
      <c r="T266" s="3">
        <v>-194213000000</v>
      </c>
      <c r="U266" s="3">
        <v>-37848000000</v>
      </c>
    </row>
    <row r="267" spans="2:21" x14ac:dyDescent="0.25">
      <c r="B267" s="2" t="s">
        <v>258</v>
      </c>
      <c r="C267" s="2" t="s">
        <v>21</v>
      </c>
      <c r="D267" s="2" t="s">
        <v>21</v>
      </c>
      <c r="E267" s="2" t="s">
        <v>21</v>
      </c>
      <c r="F267" s="2" t="s">
        <v>21</v>
      </c>
      <c r="G267" s="2" t="s">
        <v>21</v>
      </c>
      <c r="H267" s="3">
        <v>33899000000</v>
      </c>
      <c r="I267" s="3">
        <v>39095000000</v>
      </c>
      <c r="J267" s="3">
        <v>20014000000</v>
      </c>
      <c r="K267" s="3">
        <v>-63056000000</v>
      </c>
      <c r="L267" s="3">
        <v>26449000000</v>
      </c>
      <c r="M267" s="3">
        <v>-5898000000</v>
      </c>
      <c r="N267" s="3">
        <v>-3893000000</v>
      </c>
      <c r="O267" s="2" t="s">
        <v>21</v>
      </c>
      <c r="P267" s="2" t="s">
        <v>21</v>
      </c>
      <c r="Q267" s="3">
        <v>-38419000000</v>
      </c>
      <c r="R267" s="3">
        <v>8260000000</v>
      </c>
      <c r="S267" s="3">
        <v>-13612000000</v>
      </c>
      <c r="T267" s="3">
        <v>17617000000</v>
      </c>
      <c r="U267" s="3">
        <v>-26154000000</v>
      </c>
    </row>
    <row r="268" spans="2:21" x14ac:dyDescent="0.25">
      <c r="B268" s="2" t="s">
        <v>259</v>
      </c>
      <c r="C268" s="3">
        <v>33531000000</v>
      </c>
      <c r="D268" s="3">
        <v>346558000000</v>
      </c>
      <c r="E268" s="3">
        <v>483670000000</v>
      </c>
      <c r="F268" s="3">
        <v>-276049000000</v>
      </c>
      <c r="G268" s="3">
        <v>295573000000</v>
      </c>
      <c r="H268" s="3">
        <v>176331000000</v>
      </c>
      <c r="I268" s="3">
        <v>38337000000</v>
      </c>
      <c r="J268" s="3">
        <v>-184994000000</v>
      </c>
      <c r="K268" s="3">
        <v>212815000000</v>
      </c>
      <c r="L268" s="3">
        <v>57980000000</v>
      </c>
      <c r="M268" s="3">
        <v>-107755000000</v>
      </c>
      <c r="N268" s="3">
        <v>-155110000000</v>
      </c>
      <c r="O268" s="3">
        <v>27075000000</v>
      </c>
      <c r="P268" s="3">
        <v>524670000000</v>
      </c>
      <c r="Q268" s="3">
        <v>-297084000000</v>
      </c>
      <c r="R268" s="3">
        <v>-187582000000</v>
      </c>
      <c r="S268" s="3">
        <v>143398000000</v>
      </c>
      <c r="T268" s="3">
        <v>243869000000</v>
      </c>
      <c r="U268" s="3">
        <v>-97399000000</v>
      </c>
    </row>
    <row r="269" spans="2:21" x14ac:dyDescent="0.25">
      <c r="B269" s="2" t="s">
        <v>260</v>
      </c>
      <c r="C269" s="3">
        <v>52649000000</v>
      </c>
      <c r="D269" s="3">
        <v>16519000000</v>
      </c>
      <c r="E269" s="3">
        <v>31895000000</v>
      </c>
      <c r="F269" s="3">
        <v>47313000000</v>
      </c>
      <c r="G269" s="3">
        <v>23619000000</v>
      </c>
      <c r="H269" s="3">
        <v>35068000000</v>
      </c>
      <c r="I269" s="3">
        <v>76105000000</v>
      </c>
      <c r="J269" s="3">
        <v>705851000000</v>
      </c>
      <c r="K269" s="3">
        <v>166350000000</v>
      </c>
      <c r="L269" s="3">
        <v>336905000000</v>
      </c>
      <c r="M269" s="3">
        <v>698162000000</v>
      </c>
      <c r="N269" s="3">
        <v>377292000000</v>
      </c>
      <c r="O269" s="3">
        <v>-182678000000</v>
      </c>
      <c r="P269" s="3">
        <v>736588000000</v>
      </c>
      <c r="Q269" s="3">
        <v>43561000000</v>
      </c>
      <c r="R269" s="2" t="s">
        <v>21</v>
      </c>
      <c r="S269" s="2" t="s">
        <v>21</v>
      </c>
      <c r="T269" s="2" t="s">
        <v>21</v>
      </c>
      <c r="U269" s="2" t="s">
        <v>21</v>
      </c>
    </row>
    <row r="270" spans="2:21" x14ac:dyDescent="0.25">
      <c r="B270" s="2" t="s">
        <v>261</v>
      </c>
      <c r="C270" s="3">
        <v>-29618000000</v>
      </c>
      <c r="D270" s="3">
        <v>-59120000000</v>
      </c>
      <c r="E270" s="3">
        <v>-115394000000</v>
      </c>
      <c r="F270" s="3">
        <v>-65398000000</v>
      </c>
      <c r="G270" s="3">
        <v>-3894000000</v>
      </c>
      <c r="H270" s="3">
        <v>-113805000000</v>
      </c>
      <c r="I270" s="3">
        <v>-114784000000</v>
      </c>
      <c r="J270" s="3">
        <v>-121147000000</v>
      </c>
      <c r="K270" s="3">
        <v>-33683000000</v>
      </c>
      <c r="L270" s="3">
        <v>-96601000000</v>
      </c>
      <c r="M270" s="3">
        <v>-42566000000</v>
      </c>
      <c r="N270" s="3">
        <v>-109918000000</v>
      </c>
      <c r="O270" s="3">
        <v>6974000000</v>
      </c>
      <c r="P270" s="3">
        <v>-105836000000</v>
      </c>
      <c r="Q270" s="3">
        <v>-91749000000</v>
      </c>
      <c r="R270" s="3">
        <v>-53374000000</v>
      </c>
      <c r="S270" s="3">
        <v>-36521000000</v>
      </c>
      <c r="T270" s="3">
        <v>-64757000000</v>
      </c>
      <c r="U270" s="3">
        <v>-246401000000</v>
      </c>
    </row>
    <row r="271" spans="2:21" x14ac:dyDescent="0.25">
      <c r="B271" s="2" t="s">
        <v>262</v>
      </c>
      <c r="C271" s="3">
        <v>-67426000000</v>
      </c>
      <c r="D271" s="3">
        <v>-49237000000</v>
      </c>
      <c r="E271" s="3">
        <v>-132452000000</v>
      </c>
      <c r="F271" s="3">
        <v>-135440000000</v>
      </c>
      <c r="G271" s="3">
        <v>-18314000000</v>
      </c>
      <c r="H271" s="3">
        <v>83562000000</v>
      </c>
      <c r="I271" s="3">
        <v>9619000000</v>
      </c>
      <c r="J271" s="3">
        <v>-87770000000</v>
      </c>
      <c r="K271" s="3">
        <v>-24522000000</v>
      </c>
      <c r="L271" s="3">
        <v>65329000000</v>
      </c>
      <c r="M271" s="3">
        <v>-33274000000</v>
      </c>
      <c r="N271" s="3">
        <v>-27016000000</v>
      </c>
      <c r="O271" s="3">
        <v>77337000000</v>
      </c>
      <c r="P271" s="3">
        <v>-85705000000</v>
      </c>
      <c r="Q271" s="3">
        <v>59685000000</v>
      </c>
      <c r="R271" s="3">
        <v>51820000000</v>
      </c>
      <c r="S271" s="3">
        <v>-172159000000</v>
      </c>
      <c r="T271" s="3">
        <v>-34403000000</v>
      </c>
      <c r="U271" s="3">
        <v>-95057000000</v>
      </c>
    </row>
    <row r="272" spans="2:21" x14ac:dyDescent="0.25">
      <c r="B272" s="2" t="s">
        <v>263</v>
      </c>
      <c r="C272" s="2" t="s">
        <v>21</v>
      </c>
      <c r="D272" s="2" t="s">
        <v>21</v>
      </c>
      <c r="E272" s="2" t="s">
        <v>21</v>
      </c>
      <c r="F272" s="2" t="s">
        <v>21</v>
      </c>
      <c r="G272" s="2" t="s">
        <v>21</v>
      </c>
      <c r="H272" s="2" t="s">
        <v>21</v>
      </c>
      <c r="I272" s="2" t="s">
        <v>21</v>
      </c>
      <c r="J272" s="2" t="s">
        <v>21</v>
      </c>
      <c r="K272" s="2" t="s">
        <v>21</v>
      </c>
      <c r="L272" s="2" t="s">
        <v>21</v>
      </c>
      <c r="M272" s="2" t="s">
        <v>21</v>
      </c>
      <c r="N272" s="2" t="s">
        <v>21</v>
      </c>
      <c r="O272" s="2" t="s">
        <v>21</v>
      </c>
      <c r="P272" s="2" t="s">
        <v>21</v>
      </c>
      <c r="Q272" s="2" t="s">
        <v>21</v>
      </c>
      <c r="R272" s="3">
        <v>-176552000000</v>
      </c>
      <c r="S272" s="3">
        <v>155877000000</v>
      </c>
      <c r="T272" s="3">
        <v>0</v>
      </c>
      <c r="U272" s="2" t="s">
        <v>21</v>
      </c>
    </row>
    <row r="273" spans="2:21" x14ac:dyDescent="0.25">
      <c r="B273" s="2" t="s">
        <v>264</v>
      </c>
      <c r="C273" s="3">
        <v>-256315000000</v>
      </c>
      <c r="D273" s="3">
        <v>-75672000000</v>
      </c>
      <c r="E273" s="3">
        <v>-205556000000</v>
      </c>
      <c r="F273" s="3">
        <v>-315057000000</v>
      </c>
      <c r="G273" s="3">
        <v>-324615000000</v>
      </c>
      <c r="H273" s="3">
        <v>-217851000000</v>
      </c>
      <c r="I273" s="3">
        <v>-195141000000</v>
      </c>
      <c r="J273" s="3">
        <v>-198647000000</v>
      </c>
      <c r="K273" s="3">
        <v>-136421000000</v>
      </c>
      <c r="L273" s="3">
        <v>-284885000000</v>
      </c>
      <c r="M273" s="3">
        <v>-198933000000</v>
      </c>
      <c r="N273" s="3">
        <v>-359122000000</v>
      </c>
      <c r="O273" s="3">
        <v>-285808000000</v>
      </c>
      <c r="P273" s="3">
        <v>-133238000000</v>
      </c>
      <c r="Q273" s="3">
        <v>-151952000000</v>
      </c>
      <c r="R273" s="3">
        <v>-173318000000</v>
      </c>
      <c r="S273" s="3">
        <v>-220653000000</v>
      </c>
      <c r="T273" s="3">
        <v>-1303783000000</v>
      </c>
      <c r="U273" s="3">
        <v>-1849706000000</v>
      </c>
    </row>
    <row r="274" spans="2:21" x14ac:dyDescent="0.25">
      <c r="B274" s="2" t="s">
        <v>265</v>
      </c>
      <c r="C274" s="3">
        <v>-256315000000</v>
      </c>
      <c r="D274" s="3">
        <v>-75672000000</v>
      </c>
      <c r="E274" s="3">
        <v>-205556000000</v>
      </c>
      <c r="F274" s="3">
        <v>-315057000000</v>
      </c>
      <c r="G274" s="3">
        <v>-324615000000</v>
      </c>
      <c r="H274" s="3">
        <v>-217851000000</v>
      </c>
      <c r="I274" s="3">
        <v>-195141000000</v>
      </c>
      <c r="J274" s="3">
        <v>-198647000000</v>
      </c>
      <c r="K274" s="3">
        <v>-136421000000</v>
      </c>
      <c r="L274" s="3">
        <v>-284885000000</v>
      </c>
      <c r="M274" s="3">
        <v>-198933000000</v>
      </c>
      <c r="N274" s="3">
        <v>-359122000000</v>
      </c>
      <c r="O274" s="3">
        <v>-285808000000</v>
      </c>
      <c r="P274" s="3">
        <v>-133238000000</v>
      </c>
      <c r="Q274" s="3">
        <v>-151952000000</v>
      </c>
      <c r="R274" s="3">
        <v>-162696000000</v>
      </c>
      <c r="S274" s="3">
        <v>-214994000000</v>
      </c>
      <c r="T274" s="3">
        <v>-133715000000</v>
      </c>
      <c r="U274" s="3">
        <v>-663357000000</v>
      </c>
    </row>
    <row r="275" spans="2:21" x14ac:dyDescent="0.25">
      <c r="B275" s="2" t="s">
        <v>266</v>
      </c>
      <c r="C275" s="3">
        <v>-135145000000</v>
      </c>
      <c r="D275" s="3">
        <v>-103205000000</v>
      </c>
      <c r="E275" s="3">
        <v>-99172000000</v>
      </c>
      <c r="F275" s="3">
        <v>-104596000000</v>
      </c>
      <c r="G275" s="3">
        <v>-118108000000</v>
      </c>
      <c r="H275" s="3">
        <v>-202570000000</v>
      </c>
      <c r="I275" s="3">
        <v>-176766000000</v>
      </c>
      <c r="J275" s="3">
        <v>-124266000000</v>
      </c>
      <c r="K275" s="3">
        <v>-174396000000</v>
      </c>
      <c r="L275" s="3">
        <v>-140517000000</v>
      </c>
      <c r="M275" s="3">
        <v>-173196000000</v>
      </c>
      <c r="N275" s="3">
        <v>-206161000000</v>
      </c>
      <c r="O275" s="3">
        <v>-192757000000</v>
      </c>
      <c r="P275" s="3">
        <v>-123710000000</v>
      </c>
      <c r="Q275" s="3">
        <v>-109413000000</v>
      </c>
      <c r="R275" s="3">
        <v>-118285000000</v>
      </c>
      <c r="S275" s="3">
        <v>-99078000000</v>
      </c>
      <c r="T275" s="3">
        <v>-63531000000</v>
      </c>
      <c r="U275" s="3">
        <v>-390307000000</v>
      </c>
    </row>
    <row r="276" spans="2:21" x14ac:dyDescent="0.25">
      <c r="B276" s="2" t="s">
        <v>267</v>
      </c>
      <c r="C276" s="3">
        <v>-136796000000</v>
      </c>
      <c r="D276" s="3">
        <v>-108236000000</v>
      </c>
      <c r="E276" s="3">
        <v>-102543000000</v>
      </c>
      <c r="F276" s="3">
        <v>-106968000000</v>
      </c>
      <c r="G276" s="3">
        <v>-122137000000</v>
      </c>
      <c r="H276" s="3">
        <v>-205643000000</v>
      </c>
      <c r="I276" s="3">
        <v>-178887000000</v>
      </c>
      <c r="J276" s="3">
        <v>-130501000000</v>
      </c>
      <c r="K276" s="3">
        <v>-175573000000</v>
      </c>
      <c r="L276" s="3">
        <v>-143943000000</v>
      </c>
      <c r="M276" s="3">
        <v>-173929000000</v>
      </c>
      <c r="N276" s="3">
        <v>-211780000000</v>
      </c>
      <c r="O276" s="3">
        <v>-193788000000</v>
      </c>
      <c r="P276" s="3">
        <v>-130745000000</v>
      </c>
      <c r="Q276" s="3">
        <v>-111214000000</v>
      </c>
      <c r="R276" s="3">
        <v>-120094000000</v>
      </c>
      <c r="S276" s="3">
        <v>-99785000000</v>
      </c>
      <c r="T276" s="3">
        <v>-75280000000</v>
      </c>
      <c r="U276" s="3">
        <v>-406373000000</v>
      </c>
    </row>
    <row r="277" spans="2:21" x14ac:dyDescent="0.25">
      <c r="B277" s="2" t="s">
        <v>268</v>
      </c>
      <c r="C277" s="3">
        <v>1651000000</v>
      </c>
      <c r="D277" s="3">
        <v>5031000000</v>
      </c>
      <c r="E277" s="3">
        <v>3371000000</v>
      </c>
      <c r="F277" s="3">
        <v>2372000000</v>
      </c>
      <c r="G277" s="3">
        <v>4029000000</v>
      </c>
      <c r="H277" s="3">
        <v>3073000000</v>
      </c>
      <c r="I277" s="3">
        <v>2121000000</v>
      </c>
      <c r="J277" s="3">
        <v>6235000000</v>
      </c>
      <c r="K277" s="3">
        <v>1177000000</v>
      </c>
      <c r="L277" s="3">
        <v>3426000000</v>
      </c>
      <c r="M277" s="3">
        <v>733000000</v>
      </c>
      <c r="N277" s="3">
        <v>5619000000</v>
      </c>
      <c r="O277" s="3">
        <v>1031000000</v>
      </c>
      <c r="P277" s="3">
        <v>7035000000</v>
      </c>
      <c r="Q277" s="3">
        <v>1801000000</v>
      </c>
      <c r="R277" s="3">
        <v>1809000000</v>
      </c>
      <c r="S277" s="3">
        <v>707000000</v>
      </c>
      <c r="T277" s="3">
        <v>11749000000</v>
      </c>
      <c r="U277" s="3">
        <v>16066000000</v>
      </c>
    </row>
    <row r="278" spans="2:21" x14ac:dyDescent="0.25">
      <c r="B278" s="2" t="s">
        <v>269</v>
      </c>
      <c r="C278" s="3">
        <v>-138192000000</v>
      </c>
      <c r="D278" s="3">
        <v>47974000000</v>
      </c>
      <c r="E278" s="3">
        <v>-52648000000</v>
      </c>
      <c r="F278" s="3">
        <v>-44605000000</v>
      </c>
      <c r="G278" s="3">
        <v>-197874000000</v>
      </c>
      <c r="H278" s="3">
        <v>-36747000000</v>
      </c>
      <c r="I278" s="3">
        <v>-2955000000</v>
      </c>
      <c r="J278" s="3">
        <v>-59480000000</v>
      </c>
      <c r="K278" s="3">
        <v>-7793000000</v>
      </c>
      <c r="L278" s="3">
        <v>-103652000000</v>
      </c>
      <c r="M278" s="3">
        <v>-28330000000</v>
      </c>
      <c r="N278" s="3">
        <v>-168185000000</v>
      </c>
      <c r="O278" s="3">
        <v>-96907000000</v>
      </c>
      <c r="P278" s="3">
        <v>-26467000000</v>
      </c>
      <c r="Q278" s="3">
        <v>-2858000000</v>
      </c>
      <c r="R278" s="3">
        <v>-12217000000</v>
      </c>
      <c r="S278" s="3">
        <v>-47813000000</v>
      </c>
      <c r="T278" s="3">
        <v>-32876000000</v>
      </c>
      <c r="U278" s="3">
        <v>-95764000000</v>
      </c>
    </row>
    <row r="279" spans="2:21" x14ac:dyDescent="0.25">
      <c r="B279" s="2" t="s">
        <v>270</v>
      </c>
      <c r="C279" s="3">
        <v>-138571000000</v>
      </c>
      <c r="D279" s="3">
        <v>-10244000000</v>
      </c>
      <c r="E279" s="3">
        <v>-52648000000</v>
      </c>
      <c r="F279" s="3">
        <v>-44605000000</v>
      </c>
      <c r="G279" s="3">
        <v>-197874000000</v>
      </c>
      <c r="H279" s="3">
        <v>-37968000000</v>
      </c>
      <c r="I279" s="3">
        <v>-2955000000</v>
      </c>
      <c r="J279" s="3">
        <v>-59480000000</v>
      </c>
      <c r="K279" s="3">
        <v>-7793000000</v>
      </c>
      <c r="L279" s="3">
        <v>-103652000000</v>
      </c>
      <c r="M279" s="3">
        <v>-28330000000</v>
      </c>
      <c r="N279" s="3">
        <v>-169794000000</v>
      </c>
      <c r="O279" s="3">
        <v>-96702000000</v>
      </c>
      <c r="P279" s="3">
        <v>-25063000000</v>
      </c>
      <c r="Q279" s="3">
        <v>-2858000000</v>
      </c>
      <c r="R279" s="3">
        <v>-12217000000</v>
      </c>
      <c r="S279" s="3">
        <v>-51277000000</v>
      </c>
      <c r="T279" s="3">
        <v>-37327000000</v>
      </c>
      <c r="U279" s="3">
        <v>-103679000000</v>
      </c>
    </row>
    <row r="280" spans="2:21" x14ac:dyDescent="0.25">
      <c r="B280" s="2" t="s">
        <v>271</v>
      </c>
      <c r="C280" s="3">
        <v>379000000</v>
      </c>
      <c r="D280" s="3">
        <v>58218000000</v>
      </c>
      <c r="E280" s="3">
        <v>0</v>
      </c>
      <c r="F280" s="3">
        <v>0</v>
      </c>
      <c r="G280" s="3">
        <v>0</v>
      </c>
      <c r="H280" s="3">
        <v>1221000000</v>
      </c>
      <c r="I280" s="3">
        <v>0</v>
      </c>
      <c r="J280" s="2" t="s">
        <v>21</v>
      </c>
      <c r="K280" s="2" t="s">
        <v>21</v>
      </c>
      <c r="L280" s="2" t="s">
        <v>21</v>
      </c>
      <c r="M280" s="3">
        <v>0</v>
      </c>
      <c r="N280" s="3">
        <v>1609000000</v>
      </c>
      <c r="O280" s="3">
        <v>-205000000</v>
      </c>
      <c r="P280" s="2" t="s">
        <v>21</v>
      </c>
      <c r="Q280" s="2" t="s">
        <v>21</v>
      </c>
      <c r="R280" s="3">
        <v>0</v>
      </c>
      <c r="S280" s="3">
        <v>3464000000</v>
      </c>
      <c r="T280" s="3">
        <v>4451000000</v>
      </c>
      <c r="U280" s="2" t="s">
        <v>21</v>
      </c>
    </row>
    <row r="281" spans="2:21" x14ac:dyDescent="0.25">
      <c r="B281" s="2" t="s">
        <v>272</v>
      </c>
      <c r="C281" s="3">
        <v>5680000000</v>
      </c>
      <c r="D281" s="3">
        <v>-23131000000</v>
      </c>
      <c r="E281" s="3">
        <v>-34833000000</v>
      </c>
      <c r="F281" s="3">
        <v>-143193000000</v>
      </c>
      <c r="G281" s="3">
        <v>-18088000000</v>
      </c>
      <c r="H281" s="3">
        <v>-12556000000</v>
      </c>
      <c r="I281" s="3">
        <v>-3744000000</v>
      </c>
      <c r="J281" s="3">
        <v>-16909000000</v>
      </c>
      <c r="K281" s="3">
        <v>44392000000</v>
      </c>
      <c r="L281" s="3">
        <v>-22079000000</v>
      </c>
      <c r="M281" s="3">
        <v>-8231000000</v>
      </c>
      <c r="N281" s="3">
        <v>15149000000</v>
      </c>
      <c r="O281" s="3">
        <v>-22879000000</v>
      </c>
      <c r="P281" s="3">
        <v>-1101000000</v>
      </c>
      <c r="Q281" s="3">
        <v>-43165000000</v>
      </c>
      <c r="R281" s="3">
        <v>-32268000000</v>
      </c>
      <c r="S281" s="3">
        <v>-70210000000</v>
      </c>
      <c r="T281" s="3">
        <v>-35711000000</v>
      </c>
      <c r="U281" s="3">
        <v>-181354000000</v>
      </c>
    </row>
    <row r="282" spans="2:21" x14ac:dyDescent="0.25">
      <c r="B282" s="2" t="s">
        <v>273</v>
      </c>
      <c r="C282" s="3">
        <v>-5340000000</v>
      </c>
      <c r="D282" s="3">
        <v>-25816000000</v>
      </c>
      <c r="E282" s="3">
        <v>-27881000000</v>
      </c>
      <c r="F282" s="3">
        <v>-146838000000</v>
      </c>
      <c r="G282" s="3">
        <v>-22744000000</v>
      </c>
      <c r="H282" s="3">
        <v>-15995000000</v>
      </c>
      <c r="I282" s="3">
        <v>-5552000000</v>
      </c>
      <c r="J282" s="3">
        <v>-21319000000</v>
      </c>
      <c r="K282" s="3">
        <v>-27572000000</v>
      </c>
      <c r="L282" s="3">
        <v>-26181000000</v>
      </c>
      <c r="M282" s="3">
        <v>-20434000000</v>
      </c>
      <c r="N282" s="3">
        <v>-15747000000</v>
      </c>
      <c r="O282" s="3">
        <v>-25276000000</v>
      </c>
      <c r="P282" s="3">
        <v>-4366000000</v>
      </c>
      <c r="Q282" s="3">
        <v>-53147000000</v>
      </c>
      <c r="R282" s="3">
        <v>-36683000000</v>
      </c>
      <c r="S282" s="3">
        <v>-74260000000</v>
      </c>
      <c r="T282" s="3">
        <v>-38791000000</v>
      </c>
      <c r="U282" s="3">
        <v>-202881000000</v>
      </c>
    </row>
    <row r="283" spans="2:21" x14ac:dyDescent="0.25">
      <c r="B283" s="2" t="s">
        <v>274</v>
      </c>
      <c r="C283" s="3">
        <v>11020000000</v>
      </c>
      <c r="D283" s="3">
        <v>2685000000</v>
      </c>
      <c r="E283" s="3">
        <v>-6952000000</v>
      </c>
      <c r="F283" s="3">
        <v>3645000000</v>
      </c>
      <c r="G283" s="3">
        <v>4656000000</v>
      </c>
      <c r="H283" s="3">
        <v>3439000000</v>
      </c>
      <c r="I283" s="3">
        <v>1808000000</v>
      </c>
      <c r="J283" s="3">
        <v>4410000000</v>
      </c>
      <c r="K283" s="3">
        <v>71964000000</v>
      </c>
      <c r="L283" s="3">
        <v>4102000000</v>
      </c>
      <c r="M283" s="3">
        <v>12203000000</v>
      </c>
      <c r="N283" s="3">
        <v>30896000000</v>
      </c>
      <c r="O283" s="3">
        <v>2397000000</v>
      </c>
      <c r="P283" s="3">
        <v>3265000000</v>
      </c>
      <c r="Q283" s="3">
        <v>9982000000</v>
      </c>
      <c r="R283" s="3">
        <v>4415000000</v>
      </c>
      <c r="S283" s="3">
        <v>4050000000</v>
      </c>
      <c r="T283" s="3">
        <v>3080000000</v>
      </c>
      <c r="U283" s="3">
        <v>21527000000</v>
      </c>
    </row>
    <row r="284" spans="2:21" x14ac:dyDescent="0.25">
      <c r="B284" s="2" t="s">
        <v>275</v>
      </c>
      <c r="C284" s="3">
        <v>11342000000</v>
      </c>
      <c r="D284" s="3">
        <v>2690000000</v>
      </c>
      <c r="E284" s="3">
        <v>-18903000000</v>
      </c>
      <c r="F284" s="3">
        <v>-22663000000</v>
      </c>
      <c r="G284" s="3">
        <v>9455000000</v>
      </c>
      <c r="H284" s="3">
        <v>34022000000</v>
      </c>
      <c r="I284" s="3">
        <v>-11676000000</v>
      </c>
      <c r="J284" s="3">
        <v>2008000000</v>
      </c>
      <c r="K284" s="3">
        <v>1376000000</v>
      </c>
      <c r="L284" s="3">
        <v>-18637000000</v>
      </c>
      <c r="M284" s="3">
        <v>10824000000</v>
      </c>
      <c r="N284" s="3">
        <v>75000000</v>
      </c>
      <c r="O284" s="3">
        <v>26735000000</v>
      </c>
      <c r="P284" s="3">
        <v>18040000000</v>
      </c>
      <c r="Q284" s="3">
        <v>3484000000</v>
      </c>
      <c r="R284" s="3">
        <v>74000000</v>
      </c>
      <c r="S284" s="3">
        <v>2107000000</v>
      </c>
      <c r="T284" s="3">
        <v>-1597000000</v>
      </c>
      <c r="U284" s="3">
        <v>4068000000</v>
      </c>
    </row>
    <row r="285" spans="2:21" x14ac:dyDescent="0.25">
      <c r="B285" s="2" t="s">
        <v>276</v>
      </c>
      <c r="C285" s="2" t="s">
        <v>21</v>
      </c>
      <c r="D285" s="2" t="s">
        <v>21</v>
      </c>
      <c r="E285" s="2" t="s">
        <v>21</v>
      </c>
      <c r="F285" s="2" t="s">
        <v>21</v>
      </c>
      <c r="G285" s="2" t="s">
        <v>21</v>
      </c>
      <c r="H285" s="2" t="s">
        <v>21</v>
      </c>
      <c r="I285" s="2" t="s">
        <v>21</v>
      </c>
      <c r="J285" s="2" t="s">
        <v>21</v>
      </c>
      <c r="K285" s="2" t="s">
        <v>21</v>
      </c>
      <c r="L285" s="2" t="s">
        <v>21</v>
      </c>
      <c r="M285" s="2" t="s">
        <v>21</v>
      </c>
      <c r="N285" s="2" t="s">
        <v>21</v>
      </c>
      <c r="O285" s="2" t="s">
        <v>21</v>
      </c>
      <c r="P285" s="2" t="s">
        <v>21</v>
      </c>
      <c r="Q285" s="2" t="s">
        <v>21</v>
      </c>
      <c r="R285" s="3">
        <v>-10622000000</v>
      </c>
      <c r="S285" s="3">
        <v>-5659000000</v>
      </c>
      <c r="T285" s="3">
        <v>-1170068000000</v>
      </c>
      <c r="U285" s="2" t="s">
        <v>21</v>
      </c>
    </row>
    <row r="286" spans="2:21" x14ac:dyDescent="0.25">
      <c r="B286" s="2" t="s">
        <v>277</v>
      </c>
      <c r="C286" s="3">
        <v>-119683000000</v>
      </c>
      <c r="D286" s="3">
        <v>-91570000000</v>
      </c>
      <c r="E286" s="3">
        <v>-57883000000</v>
      </c>
      <c r="F286" s="3">
        <v>-29977000000</v>
      </c>
      <c r="G286" s="3">
        <v>86334000000</v>
      </c>
      <c r="H286" s="3">
        <v>42991000000</v>
      </c>
      <c r="I286" s="3">
        <v>-15048000000</v>
      </c>
      <c r="J286" s="3">
        <v>213867000000</v>
      </c>
      <c r="K286" s="3">
        <v>87953000000</v>
      </c>
      <c r="L286" s="3">
        <v>-99627000000</v>
      </c>
      <c r="M286" s="3">
        <v>-412902000000</v>
      </c>
      <c r="N286" s="3">
        <v>1532000000</v>
      </c>
      <c r="O286" s="3">
        <v>-128506000000</v>
      </c>
      <c r="P286" s="3">
        <v>-182609000000</v>
      </c>
      <c r="Q286" s="3">
        <v>11340000000</v>
      </c>
      <c r="R286" s="3">
        <v>-212619000000</v>
      </c>
      <c r="S286" s="3">
        <v>-170752000000</v>
      </c>
      <c r="T286" s="3">
        <v>-226537000000</v>
      </c>
      <c r="U286" s="3">
        <v>-598568000000</v>
      </c>
    </row>
    <row r="287" spans="2:21" x14ac:dyDescent="0.25">
      <c r="B287" s="2" t="s">
        <v>278</v>
      </c>
      <c r="C287" s="3">
        <v>-119683000000</v>
      </c>
      <c r="D287" s="3">
        <v>-91570000000</v>
      </c>
      <c r="E287" s="3">
        <v>-57883000000</v>
      </c>
      <c r="F287" s="3">
        <v>-29977000000</v>
      </c>
      <c r="G287" s="3">
        <v>86334000000</v>
      </c>
      <c r="H287" s="3">
        <v>42991000000</v>
      </c>
      <c r="I287" s="3">
        <v>-15048000000</v>
      </c>
      <c r="J287" s="3">
        <v>213867000000</v>
      </c>
      <c r="K287" s="3">
        <v>87953000000</v>
      </c>
      <c r="L287" s="3">
        <v>-99627000000</v>
      </c>
      <c r="M287" s="3">
        <v>-412902000000</v>
      </c>
      <c r="N287" s="3">
        <v>1532000000</v>
      </c>
      <c r="O287" s="3">
        <v>-128506000000</v>
      </c>
      <c r="P287" s="3">
        <v>-182609000000</v>
      </c>
      <c r="Q287" s="3">
        <v>11340000000</v>
      </c>
      <c r="R287" s="3">
        <v>-209901000000</v>
      </c>
      <c r="S287" s="3">
        <v>-164217000000</v>
      </c>
      <c r="T287" s="3">
        <v>-226537000000</v>
      </c>
      <c r="U287" s="3">
        <v>-589315000000</v>
      </c>
    </row>
    <row r="288" spans="2:21" x14ac:dyDescent="0.25">
      <c r="B288" s="2" t="s">
        <v>279</v>
      </c>
      <c r="C288" s="3">
        <v>-13948000000</v>
      </c>
      <c r="D288" s="3">
        <v>-29002000000</v>
      </c>
      <c r="E288" s="3">
        <v>-38126000000</v>
      </c>
      <c r="F288" s="3">
        <v>-12805000000</v>
      </c>
      <c r="G288" s="3">
        <v>-39275000000</v>
      </c>
      <c r="H288" s="3">
        <v>-39227000000</v>
      </c>
      <c r="I288" s="3">
        <v>-7941000000</v>
      </c>
      <c r="J288" s="3">
        <v>-10150000000</v>
      </c>
      <c r="K288" s="3">
        <v>-28514000000</v>
      </c>
      <c r="L288" s="3">
        <v>-36041000000</v>
      </c>
      <c r="M288" s="3">
        <v>-128269000000</v>
      </c>
      <c r="N288" s="3">
        <v>-51255000000</v>
      </c>
      <c r="O288" s="3">
        <v>-150852000000</v>
      </c>
      <c r="P288" s="3">
        <v>-55502000000</v>
      </c>
      <c r="Q288" s="3">
        <v>-27939000000</v>
      </c>
      <c r="R288" s="3">
        <v>-93339000000</v>
      </c>
      <c r="S288" s="3">
        <v>-126026000000</v>
      </c>
      <c r="T288" s="3">
        <v>-83065000000</v>
      </c>
      <c r="U288" s="3">
        <v>-330369000000</v>
      </c>
    </row>
    <row r="289" spans="2:21" x14ac:dyDescent="0.25">
      <c r="B289" s="2" t="s">
        <v>280</v>
      </c>
      <c r="C289" s="3">
        <v>-13948000000</v>
      </c>
      <c r="D289" s="3">
        <v>-29002000000</v>
      </c>
      <c r="E289" s="3">
        <v>-38126000000</v>
      </c>
      <c r="F289" s="3">
        <v>-12805000000</v>
      </c>
      <c r="G289" s="3">
        <v>-39275000000</v>
      </c>
      <c r="H289" s="3">
        <v>-39227000000</v>
      </c>
      <c r="I289" s="3">
        <v>-7941000000</v>
      </c>
      <c r="J289" s="3">
        <v>-10150000000</v>
      </c>
      <c r="K289" s="3">
        <v>-28514000000</v>
      </c>
      <c r="L289" s="3">
        <v>-36041000000</v>
      </c>
      <c r="M289" s="3">
        <v>-128269000000</v>
      </c>
      <c r="N289" s="3">
        <v>-51255000000</v>
      </c>
      <c r="O289" s="3">
        <v>-150852000000</v>
      </c>
      <c r="P289" s="3">
        <v>-55502000000</v>
      </c>
      <c r="Q289" s="3">
        <v>-27939000000</v>
      </c>
      <c r="R289" s="3">
        <v>-93339000000</v>
      </c>
      <c r="S289" s="3">
        <v>-126026000000</v>
      </c>
      <c r="T289" s="3">
        <v>-83065000000</v>
      </c>
      <c r="U289" s="3">
        <v>-330369000000</v>
      </c>
    </row>
    <row r="290" spans="2:21" x14ac:dyDescent="0.25">
      <c r="B290" s="2" t="s">
        <v>281</v>
      </c>
      <c r="C290" s="3">
        <v>-102325000000</v>
      </c>
      <c r="D290" s="3">
        <v>-17629000000</v>
      </c>
      <c r="E290" s="3">
        <v>-20726000000</v>
      </c>
      <c r="F290" s="3">
        <v>28586000000</v>
      </c>
      <c r="G290" s="3">
        <v>123705000000</v>
      </c>
      <c r="H290" s="3">
        <v>117711000000</v>
      </c>
      <c r="I290" s="3">
        <v>-8033000000</v>
      </c>
      <c r="J290" s="3">
        <v>271224000000</v>
      </c>
      <c r="K290" s="3">
        <v>115550000000</v>
      </c>
      <c r="L290" s="3">
        <v>-20273000000</v>
      </c>
      <c r="M290" s="3">
        <v>-287845000000</v>
      </c>
      <c r="N290" s="3">
        <v>1168000000</v>
      </c>
      <c r="O290" s="3">
        <v>-11074000000</v>
      </c>
      <c r="P290" s="3">
        <v>-92268000000</v>
      </c>
      <c r="Q290" s="3">
        <v>31802000000</v>
      </c>
      <c r="R290" s="3">
        <v>-19321000000</v>
      </c>
      <c r="S290" s="3">
        <v>-50232000000</v>
      </c>
      <c r="T290" s="3">
        <v>-32152000000</v>
      </c>
      <c r="U290" s="3">
        <v>-69903000000</v>
      </c>
    </row>
    <row r="291" spans="2:21" x14ac:dyDescent="0.25">
      <c r="B291" s="2" t="s">
        <v>282</v>
      </c>
      <c r="C291" s="3">
        <v>4170000000</v>
      </c>
      <c r="D291" s="3">
        <v>1626000000</v>
      </c>
      <c r="E291" s="3">
        <v>-973000000</v>
      </c>
      <c r="F291" s="3">
        <v>48013000000</v>
      </c>
      <c r="G291" s="3">
        <v>83177000000</v>
      </c>
      <c r="H291" s="3">
        <v>-103425000000</v>
      </c>
      <c r="I291" s="3">
        <v>4626000000</v>
      </c>
      <c r="J291" s="3">
        <v>294039000000</v>
      </c>
      <c r="K291" s="3">
        <v>153800000000</v>
      </c>
      <c r="L291" s="3">
        <v>-45687000000</v>
      </c>
      <c r="M291" s="3">
        <v>-420522000000</v>
      </c>
      <c r="N291" s="3">
        <v>24983000000</v>
      </c>
      <c r="O291" s="3">
        <v>15666000000</v>
      </c>
      <c r="P291" s="3">
        <v>-19757000000</v>
      </c>
      <c r="Q291" s="3">
        <v>-49477000000</v>
      </c>
      <c r="R291" s="3">
        <v>-46000000</v>
      </c>
      <c r="S291" s="3">
        <v>3178000000</v>
      </c>
      <c r="T291" s="3">
        <v>3093000000</v>
      </c>
      <c r="U291" s="3">
        <v>-43252000000</v>
      </c>
    </row>
    <row r="292" spans="2:21" x14ac:dyDescent="0.25">
      <c r="B292" s="2" t="s">
        <v>283</v>
      </c>
      <c r="C292" s="2" t="s">
        <v>21</v>
      </c>
      <c r="D292" s="3">
        <v>1381000000</v>
      </c>
      <c r="E292" s="3">
        <v>-973000000</v>
      </c>
      <c r="F292" s="2" t="s">
        <v>21</v>
      </c>
      <c r="G292" s="2" t="s">
        <v>21</v>
      </c>
      <c r="H292" s="2" t="s">
        <v>21</v>
      </c>
      <c r="I292" s="3">
        <v>4626000000</v>
      </c>
      <c r="J292" s="3">
        <v>294039000000</v>
      </c>
      <c r="K292" s="3">
        <v>153800000000</v>
      </c>
      <c r="L292" s="3">
        <v>-45687000000</v>
      </c>
      <c r="M292" s="2" t="s">
        <v>21</v>
      </c>
      <c r="N292" s="3">
        <v>24983000000</v>
      </c>
      <c r="O292" s="3">
        <v>15666000000</v>
      </c>
      <c r="P292" s="3">
        <v>-19757000000</v>
      </c>
      <c r="Q292" s="2" t="s">
        <v>21</v>
      </c>
      <c r="R292" s="2" t="s">
        <v>21</v>
      </c>
      <c r="S292" s="2" t="s">
        <v>21</v>
      </c>
      <c r="T292" s="3">
        <v>3093000000</v>
      </c>
      <c r="U292" s="2" t="s">
        <v>21</v>
      </c>
    </row>
    <row r="293" spans="2:21" x14ac:dyDescent="0.25">
      <c r="B293" s="2" t="s">
        <v>284</v>
      </c>
      <c r="C293" s="3">
        <v>4170000000</v>
      </c>
      <c r="D293" s="3">
        <v>245000000</v>
      </c>
      <c r="E293" s="3">
        <v>0</v>
      </c>
      <c r="F293" s="2" t="s">
        <v>21</v>
      </c>
      <c r="G293" s="2" t="s">
        <v>21</v>
      </c>
      <c r="H293" s="2" t="s">
        <v>21</v>
      </c>
      <c r="I293" s="2" t="s">
        <v>21</v>
      </c>
      <c r="J293" s="2" t="s">
        <v>21</v>
      </c>
      <c r="K293" s="2" t="s">
        <v>21</v>
      </c>
      <c r="L293" s="2" t="s">
        <v>21</v>
      </c>
      <c r="M293" s="2" t="s">
        <v>21</v>
      </c>
      <c r="N293" s="2" t="s">
        <v>21</v>
      </c>
      <c r="O293" s="2" t="s">
        <v>21</v>
      </c>
      <c r="P293" s="2" t="s">
        <v>21</v>
      </c>
      <c r="Q293" s="2" t="s">
        <v>21</v>
      </c>
      <c r="R293" s="2" t="s">
        <v>21</v>
      </c>
      <c r="S293" s="2" t="s">
        <v>21</v>
      </c>
      <c r="T293" s="2" t="s">
        <v>21</v>
      </c>
      <c r="U293" s="2" t="s">
        <v>21</v>
      </c>
    </row>
    <row r="294" spans="2:21" x14ac:dyDescent="0.25">
      <c r="B294" s="2" t="s">
        <v>285</v>
      </c>
      <c r="C294" s="3">
        <v>-106495000000</v>
      </c>
      <c r="D294" s="3">
        <v>-19255000000</v>
      </c>
      <c r="E294" s="3">
        <v>-19753000000</v>
      </c>
      <c r="F294" s="3">
        <v>-19427000000</v>
      </c>
      <c r="G294" s="3">
        <v>40528000000</v>
      </c>
      <c r="H294" s="3">
        <v>221136000000</v>
      </c>
      <c r="I294" s="3">
        <v>-12659000000</v>
      </c>
      <c r="J294" s="3">
        <v>-22815000000</v>
      </c>
      <c r="K294" s="3">
        <v>-38250000000</v>
      </c>
      <c r="L294" s="3">
        <v>25414000000</v>
      </c>
      <c r="M294" s="3">
        <v>132677000000</v>
      </c>
      <c r="N294" s="3">
        <v>-23815000000</v>
      </c>
      <c r="O294" s="3">
        <v>-26740000000</v>
      </c>
      <c r="P294" s="3">
        <v>-72511000000</v>
      </c>
      <c r="Q294" s="3">
        <v>81279000000</v>
      </c>
      <c r="R294" s="3">
        <v>-19275000000</v>
      </c>
      <c r="S294" s="3">
        <v>-53410000000</v>
      </c>
      <c r="T294" s="3">
        <v>-35245000000</v>
      </c>
      <c r="U294" s="3">
        <v>-26651000000</v>
      </c>
    </row>
    <row r="295" spans="2:21" x14ac:dyDescent="0.25">
      <c r="B295" s="2" t="s">
        <v>286</v>
      </c>
      <c r="C295" s="3">
        <v>7204000000</v>
      </c>
      <c r="D295" s="3">
        <v>5064000000</v>
      </c>
      <c r="E295" s="3">
        <v>13088000000</v>
      </c>
      <c r="F295" s="3">
        <v>5955000000</v>
      </c>
      <c r="G295" s="3">
        <v>84535000000</v>
      </c>
      <c r="H295" s="3">
        <v>258075000000</v>
      </c>
      <c r="I295" s="3">
        <v>13211000000</v>
      </c>
      <c r="J295" s="3">
        <v>5599000000</v>
      </c>
      <c r="K295" s="3">
        <v>4170000000</v>
      </c>
      <c r="L295" s="3">
        <v>53891000000</v>
      </c>
      <c r="M295" s="3">
        <v>161516000000</v>
      </c>
      <c r="N295" s="3">
        <v>6276000000</v>
      </c>
      <c r="O295" s="3">
        <v>4809000000</v>
      </c>
      <c r="P295" s="3">
        <v>4053000000</v>
      </c>
      <c r="Q295" s="3">
        <v>124160000000</v>
      </c>
      <c r="R295" s="3">
        <v>5792000000</v>
      </c>
      <c r="S295" s="3">
        <v>4688000000</v>
      </c>
      <c r="T295" s="3">
        <v>4718000000</v>
      </c>
      <c r="U295" s="3">
        <v>139358000000</v>
      </c>
    </row>
    <row r="296" spans="2:21" x14ac:dyDescent="0.25">
      <c r="B296" s="2" t="s">
        <v>287</v>
      </c>
      <c r="C296" s="3">
        <v>-113699000000</v>
      </c>
      <c r="D296" s="3">
        <v>-24319000000</v>
      </c>
      <c r="E296" s="3">
        <v>-32841000000</v>
      </c>
      <c r="F296" s="3">
        <v>-25382000000</v>
      </c>
      <c r="G296" s="3">
        <v>-44007000000</v>
      </c>
      <c r="H296" s="3">
        <v>-36939000000</v>
      </c>
      <c r="I296" s="3">
        <v>-25870000000</v>
      </c>
      <c r="J296" s="3">
        <v>-28414000000</v>
      </c>
      <c r="K296" s="3">
        <v>-42420000000</v>
      </c>
      <c r="L296" s="3">
        <v>-28477000000</v>
      </c>
      <c r="M296" s="3">
        <v>-28839000000</v>
      </c>
      <c r="N296" s="3">
        <v>-30091000000</v>
      </c>
      <c r="O296" s="3">
        <v>-31549000000</v>
      </c>
      <c r="P296" s="3">
        <v>-76564000000</v>
      </c>
      <c r="Q296" s="3">
        <v>-42881000000</v>
      </c>
      <c r="R296" s="3">
        <v>-25067000000</v>
      </c>
      <c r="S296" s="3">
        <v>-58098000000</v>
      </c>
      <c r="T296" s="3">
        <v>-39963000000</v>
      </c>
      <c r="U296" s="3">
        <v>-166009000000</v>
      </c>
    </row>
    <row r="297" spans="2:21" x14ac:dyDescent="0.25">
      <c r="B297" s="2" t="s">
        <v>288</v>
      </c>
      <c r="C297" s="2" t="s">
        <v>21</v>
      </c>
      <c r="D297" s="3">
        <v>0</v>
      </c>
      <c r="E297" s="3">
        <v>0</v>
      </c>
      <c r="F297" s="2" t="s">
        <v>21</v>
      </c>
      <c r="G297" s="2" t="s">
        <v>21</v>
      </c>
      <c r="H297" s="2" t="s">
        <v>21</v>
      </c>
      <c r="I297" s="2" t="s">
        <v>21</v>
      </c>
      <c r="J297" s="2" t="s">
        <v>21</v>
      </c>
      <c r="K297" s="2" t="s">
        <v>21</v>
      </c>
      <c r="L297" s="2" t="s">
        <v>21</v>
      </c>
      <c r="M297" s="2" t="s">
        <v>21</v>
      </c>
      <c r="N297" s="3">
        <v>109527000000</v>
      </c>
      <c r="O297" s="3">
        <v>41277000000</v>
      </c>
      <c r="P297" s="3">
        <v>0</v>
      </c>
      <c r="Q297" s="3">
        <v>0</v>
      </c>
      <c r="R297" s="3">
        <v>0</v>
      </c>
      <c r="S297" s="3">
        <v>0</v>
      </c>
      <c r="T297" s="3">
        <v>17730000000</v>
      </c>
      <c r="U297" s="3">
        <v>17730000000</v>
      </c>
    </row>
    <row r="298" spans="2:21" x14ac:dyDescent="0.25">
      <c r="B298" s="2" t="s">
        <v>289</v>
      </c>
      <c r="C298" s="3">
        <v>-299000000</v>
      </c>
      <c r="D298" s="3">
        <v>-37060000000</v>
      </c>
      <c r="E298" s="3">
        <v>-134000000</v>
      </c>
      <c r="F298" s="3">
        <v>-42932000000</v>
      </c>
      <c r="G298" s="3">
        <v>-304000000</v>
      </c>
      <c r="H298" s="3">
        <v>-43147000000</v>
      </c>
      <c r="I298" s="3">
        <v>-185000000</v>
      </c>
      <c r="J298" s="3">
        <v>-48955000000</v>
      </c>
      <c r="K298" s="3">
        <v>-378000000</v>
      </c>
      <c r="L298" s="3">
        <v>-49091000000</v>
      </c>
      <c r="M298" s="3">
        <v>-196000000</v>
      </c>
      <c r="N298" s="3">
        <v>-54451000000</v>
      </c>
      <c r="O298" s="3">
        <v>-480000000</v>
      </c>
      <c r="P298" s="3">
        <v>-60096000000</v>
      </c>
      <c r="Q298" s="3">
        <v>-226000000</v>
      </c>
      <c r="R298" s="3">
        <v>-59870000000</v>
      </c>
      <c r="S298" s="3">
        <v>-339000000</v>
      </c>
      <c r="T298" s="3">
        <v>-74434000000</v>
      </c>
      <c r="U298" s="3">
        <v>-134869000000</v>
      </c>
    </row>
    <row r="299" spans="2:21" x14ac:dyDescent="0.25">
      <c r="B299" s="2" t="s">
        <v>290</v>
      </c>
      <c r="C299" s="3">
        <v>-299000000</v>
      </c>
      <c r="D299" s="3">
        <v>-37060000000</v>
      </c>
      <c r="E299" s="3">
        <v>-134000000</v>
      </c>
      <c r="F299" s="3">
        <v>-42932000000</v>
      </c>
      <c r="G299" s="3">
        <v>-304000000</v>
      </c>
      <c r="H299" s="3">
        <v>-43147000000</v>
      </c>
      <c r="I299" s="3">
        <v>-185000000</v>
      </c>
      <c r="J299" s="3">
        <v>-48955000000</v>
      </c>
      <c r="K299" s="3">
        <v>-378000000</v>
      </c>
      <c r="L299" s="3">
        <v>-49091000000</v>
      </c>
      <c r="M299" s="3">
        <v>-196000000</v>
      </c>
      <c r="N299" s="3">
        <v>-54451000000</v>
      </c>
      <c r="O299" s="3">
        <v>-480000000</v>
      </c>
      <c r="P299" s="3">
        <v>-60096000000</v>
      </c>
      <c r="Q299" s="3">
        <v>-226000000</v>
      </c>
      <c r="R299" s="3">
        <v>-59870000000</v>
      </c>
      <c r="S299" s="3">
        <v>-339000000</v>
      </c>
      <c r="T299" s="3">
        <v>-74434000000</v>
      </c>
      <c r="U299" s="3">
        <v>-134869000000</v>
      </c>
    </row>
    <row r="300" spans="2:21" x14ac:dyDescent="0.25">
      <c r="B300" s="2" t="s">
        <v>291</v>
      </c>
      <c r="C300" s="3">
        <v>-299000000</v>
      </c>
      <c r="D300" s="3">
        <v>-37060000000</v>
      </c>
      <c r="E300" s="3">
        <v>-134000000</v>
      </c>
      <c r="F300" s="3">
        <v>-42932000000</v>
      </c>
      <c r="G300" s="3">
        <v>-304000000</v>
      </c>
      <c r="H300" s="3">
        <v>-43147000000</v>
      </c>
      <c r="I300" s="3">
        <v>-185000000</v>
      </c>
      <c r="J300" s="3">
        <v>-48955000000</v>
      </c>
      <c r="K300" s="3">
        <v>-378000000</v>
      </c>
      <c r="L300" s="3">
        <v>-49091000000</v>
      </c>
      <c r="M300" s="3">
        <v>-196000000</v>
      </c>
      <c r="N300" s="3">
        <v>-54451000000</v>
      </c>
      <c r="O300" s="3">
        <v>-480000000</v>
      </c>
      <c r="P300" s="3">
        <v>-60096000000</v>
      </c>
      <c r="Q300" s="3">
        <v>-226000000</v>
      </c>
      <c r="R300" s="3">
        <v>-59870000000</v>
      </c>
      <c r="S300" s="3">
        <v>-339000000</v>
      </c>
      <c r="T300" s="3">
        <v>-74434000000</v>
      </c>
      <c r="U300" s="3">
        <v>-134869000000</v>
      </c>
    </row>
    <row r="301" spans="2:21" x14ac:dyDescent="0.25">
      <c r="B301" s="2" t="s">
        <v>292</v>
      </c>
      <c r="C301" s="3">
        <v>-3111000000</v>
      </c>
      <c r="D301" s="3">
        <v>-7879000000</v>
      </c>
      <c r="E301" s="3">
        <v>1103000000</v>
      </c>
      <c r="F301" s="3">
        <v>-2826000000</v>
      </c>
      <c r="G301" s="3">
        <v>2208000000</v>
      </c>
      <c r="H301" s="3">
        <v>7654000000</v>
      </c>
      <c r="I301" s="3">
        <v>1111000000</v>
      </c>
      <c r="J301" s="3">
        <v>1748000000</v>
      </c>
      <c r="K301" s="3">
        <v>1295000000</v>
      </c>
      <c r="L301" s="3">
        <v>5778000000</v>
      </c>
      <c r="M301" s="3">
        <v>3408000000</v>
      </c>
      <c r="N301" s="3">
        <v>-3457000000</v>
      </c>
      <c r="O301" s="3">
        <v>-7377000000</v>
      </c>
      <c r="P301" s="3">
        <v>25257000000</v>
      </c>
      <c r="Q301" s="3">
        <v>7703000000</v>
      </c>
      <c r="R301" s="3">
        <v>-37371000000</v>
      </c>
      <c r="S301" s="3">
        <v>12380000000</v>
      </c>
      <c r="T301" s="3">
        <v>12270000000</v>
      </c>
      <c r="U301" s="3">
        <v>-5018000000</v>
      </c>
    </row>
    <row r="302" spans="2:21" x14ac:dyDescent="0.25">
      <c r="B302" s="2" t="s">
        <v>293</v>
      </c>
      <c r="C302" s="2" t="s">
        <v>21</v>
      </c>
      <c r="D302" s="2" t="s">
        <v>21</v>
      </c>
      <c r="E302" s="2" t="s">
        <v>21</v>
      </c>
      <c r="F302" s="2" t="s">
        <v>21</v>
      </c>
      <c r="G302" s="2" t="s">
        <v>21</v>
      </c>
      <c r="H302" s="2" t="s">
        <v>21</v>
      </c>
      <c r="I302" s="2" t="s">
        <v>21</v>
      </c>
      <c r="J302" s="2" t="s">
        <v>21</v>
      </c>
      <c r="K302" s="2" t="s">
        <v>21</v>
      </c>
      <c r="L302" s="2" t="s">
        <v>21</v>
      </c>
      <c r="M302" s="2" t="s">
        <v>21</v>
      </c>
      <c r="N302" s="2" t="s">
        <v>21</v>
      </c>
      <c r="O302" s="2" t="s">
        <v>21</v>
      </c>
      <c r="P302" s="2" t="s">
        <v>21</v>
      </c>
      <c r="Q302" s="2" t="s">
        <v>21</v>
      </c>
      <c r="R302" s="3">
        <v>-2718000000</v>
      </c>
      <c r="S302" s="3">
        <v>-6535000000</v>
      </c>
      <c r="T302" s="3">
        <v>0</v>
      </c>
      <c r="U302" s="2" t="s">
        <v>21</v>
      </c>
    </row>
    <row r="303" spans="2:21" x14ac:dyDescent="0.25">
      <c r="B303" s="2" t="s">
        <v>294</v>
      </c>
      <c r="C303" s="3">
        <v>1473783000000</v>
      </c>
      <c r="D303" s="3">
        <v>1822578000000</v>
      </c>
      <c r="E303" s="3">
        <v>2049636000000</v>
      </c>
      <c r="F303" s="3">
        <v>1371867000000</v>
      </c>
      <c r="G303" s="3">
        <v>1209752000000</v>
      </c>
      <c r="H303" s="3">
        <v>1287980000000</v>
      </c>
      <c r="I303" s="3">
        <v>1480900000000</v>
      </c>
      <c r="J303" s="3">
        <v>1532099000000</v>
      </c>
      <c r="K303" s="3">
        <v>1626514000000</v>
      </c>
      <c r="L303" s="3">
        <v>2019112000000</v>
      </c>
      <c r="M303" s="3">
        <v>1907113000000</v>
      </c>
      <c r="N303" s="3">
        <v>1477098000000</v>
      </c>
      <c r="O303" s="3">
        <v>1728710000000</v>
      </c>
      <c r="P303" s="3">
        <v>2491949000000</v>
      </c>
      <c r="Q303" s="3">
        <v>2980956000000</v>
      </c>
      <c r="R303" s="3">
        <v>2626494000000</v>
      </c>
      <c r="S303" s="3">
        <v>2667965000000</v>
      </c>
      <c r="T303" s="3">
        <v>2086500000000</v>
      </c>
      <c r="U303" s="3">
        <v>2086500000000</v>
      </c>
    </row>
    <row r="304" spans="2:21" x14ac:dyDescent="0.25">
      <c r="B304" s="2" t="s">
        <v>295</v>
      </c>
      <c r="C304" s="3">
        <v>-257774000000</v>
      </c>
      <c r="D304" s="3">
        <v>324401000000</v>
      </c>
      <c r="E304" s="3">
        <v>161603000000</v>
      </c>
      <c r="F304" s="3">
        <v>-775052000000</v>
      </c>
      <c r="G304" s="3">
        <v>-191519000000</v>
      </c>
      <c r="H304" s="3">
        <v>126773000000</v>
      </c>
      <c r="I304" s="3">
        <v>186125000000</v>
      </c>
      <c r="J304" s="3">
        <v>2551000000</v>
      </c>
      <c r="K304" s="3">
        <v>79232000000</v>
      </c>
      <c r="L304" s="3">
        <v>432415000000</v>
      </c>
      <c r="M304" s="3">
        <v>-170580000000</v>
      </c>
      <c r="N304" s="3">
        <v>-483875000000</v>
      </c>
      <c r="O304" s="3">
        <v>328260000000</v>
      </c>
      <c r="P304" s="3">
        <v>691864000000</v>
      </c>
      <c r="Q304" s="3">
        <v>557063000000</v>
      </c>
      <c r="R304" s="3">
        <v>-308608000000</v>
      </c>
      <c r="S304" s="3">
        <v>2882000000</v>
      </c>
      <c r="T304" s="3">
        <v>-648642000000</v>
      </c>
      <c r="U304" s="3">
        <v>-397305000000</v>
      </c>
    </row>
    <row r="305" spans="2:21" x14ac:dyDescent="0.25">
      <c r="B305" s="2" t="s">
        <v>296</v>
      </c>
      <c r="C305" s="3">
        <v>6339000000</v>
      </c>
      <c r="D305" s="3">
        <v>24394000000</v>
      </c>
      <c r="E305" s="3">
        <v>65455000000</v>
      </c>
      <c r="F305" s="3">
        <v>97283000000</v>
      </c>
      <c r="G305" s="3">
        <v>29404000000</v>
      </c>
      <c r="H305" s="3">
        <v>-48545000000</v>
      </c>
      <c r="I305" s="3">
        <v>6795000000</v>
      </c>
      <c r="J305" s="3">
        <v>48648000000</v>
      </c>
      <c r="K305" s="3">
        <v>15183000000</v>
      </c>
      <c r="L305" s="3">
        <v>-39817000000</v>
      </c>
      <c r="M305" s="3">
        <v>58581000000</v>
      </c>
      <c r="N305" s="3">
        <v>53860000000</v>
      </c>
      <c r="O305" s="3">
        <v>-76648000000</v>
      </c>
      <c r="P305" s="3">
        <v>71375000000</v>
      </c>
      <c r="Q305" s="3">
        <v>-68056000000</v>
      </c>
      <c r="R305" s="3">
        <v>-45854000000</v>
      </c>
      <c r="S305" s="3">
        <v>38589000000</v>
      </c>
      <c r="T305" s="3">
        <v>67177000000</v>
      </c>
      <c r="U305" s="3">
        <v>-8144000000</v>
      </c>
    </row>
    <row r="306" spans="2:21" x14ac:dyDescent="0.25">
      <c r="B306" s="2" t="s">
        <v>297</v>
      </c>
      <c r="C306" s="3">
        <v>1725218000000</v>
      </c>
      <c r="D306" s="3">
        <v>1473783000000</v>
      </c>
      <c r="E306" s="3">
        <v>1822578000000</v>
      </c>
      <c r="F306" s="3">
        <v>2049636000000</v>
      </c>
      <c r="G306" s="3">
        <v>1371867000000</v>
      </c>
      <c r="H306" s="3">
        <v>1209752000000</v>
      </c>
      <c r="I306" s="3">
        <v>1287980000000</v>
      </c>
      <c r="J306" s="3">
        <v>1480900000000</v>
      </c>
      <c r="K306" s="3">
        <v>1532099000000</v>
      </c>
      <c r="L306" s="3">
        <v>1626514000000</v>
      </c>
      <c r="M306" s="3">
        <v>2019112000000</v>
      </c>
      <c r="N306" s="3">
        <v>1907113000000</v>
      </c>
      <c r="O306" s="3">
        <v>1477098000000</v>
      </c>
      <c r="P306" s="3">
        <v>1728710000000</v>
      </c>
      <c r="Q306" s="3">
        <v>2491949000000</v>
      </c>
      <c r="R306" s="3">
        <v>2980956000000</v>
      </c>
      <c r="S306" s="3">
        <v>2626494000000</v>
      </c>
      <c r="T306" s="3">
        <v>2667965000000</v>
      </c>
      <c r="U306" s="3">
        <v>2491949000000</v>
      </c>
    </row>
    <row r="307" spans="2:21" x14ac:dyDescent="0.25">
      <c r="B307" s="2" t="s">
        <v>298</v>
      </c>
      <c r="C307" s="2" t="s">
        <v>21</v>
      </c>
      <c r="D307" s="2" t="s">
        <v>21</v>
      </c>
      <c r="E307" s="2" t="s">
        <v>21</v>
      </c>
      <c r="F307" s="2" t="s">
        <v>21</v>
      </c>
      <c r="G307" s="2" t="s">
        <v>21</v>
      </c>
      <c r="H307" s="2" t="s">
        <v>21</v>
      </c>
      <c r="I307" s="2" t="s">
        <v>21</v>
      </c>
      <c r="J307" s="2" t="s">
        <v>21</v>
      </c>
      <c r="K307" s="2" t="s">
        <v>21</v>
      </c>
      <c r="L307" s="2" t="s">
        <v>21</v>
      </c>
      <c r="M307" s="2" t="s">
        <v>21</v>
      </c>
      <c r="N307" s="2" t="s">
        <v>21</v>
      </c>
      <c r="O307" s="2" t="s">
        <v>21</v>
      </c>
      <c r="P307" s="2" t="s">
        <v>21</v>
      </c>
      <c r="Q307" s="2" t="s">
        <v>21</v>
      </c>
      <c r="R307" s="2" t="s">
        <v>21</v>
      </c>
      <c r="S307" s="2" t="s">
        <v>21</v>
      </c>
      <c r="T307" s="2" t="s">
        <v>21</v>
      </c>
      <c r="U307" s="2" t="s">
        <v>21</v>
      </c>
    </row>
    <row r="308" spans="2:21" x14ac:dyDescent="0.25">
      <c r="B308" s="2" t="s">
        <v>299</v>
      </c>
      <c r="C308" s="2" t="s">
        <v>21</v>
      </c>
      <c r="D308" s="2" t="s">
        <v>21</v>
      </c>
      <c r="E308" s="2" t="s">
        <v>21</v>
      </c>
      <c r="F308" s="2" t="s">
        <v>21</v>
      </c>
      <c r="G308" s="2" t="s">
        <v>21</v>
      </c>
      <c r="H308" s="2" t="s">
        <v>21</v>
      </c>
      <c r="I308" s="2" t="s">
        <v>21</v>
      </c>
      <c r="J308" s="2" t="s">
        <v>21</v>
      </c>
      <c r="K308" s="2" t="s">
        <v>21</v>
      </c>
      <c r="L308" s="2" t="s">
        <v>21</v>
      </c>
      <c r="M308" s="2" t="s">
        <v>21</v>
      </c>
      <c r="N308" s="2" t="s">
        <v>21</v>
      </c>
      <c r="O308" s="2" t="s">
        <v>21</v>
      </c>
      <c r="P308" s="2" t="s">
        <v>21</v>
      </c>
      <c r="Q308" s="2" t="s">
        <v>21</v>
      </c>
      <c r="R308" s="2" t="s">
        <v>21</v>
      </c>
      <c r="S308" s="2" t="s">
        <v>21</v>
      </c>
      <c r="T308" s="2" t="s">
        <v>21</v>
      </c>
      <c r="U308" s="2" t="s">
        <v>21</v>
      </c>
    </row>
    <row r="309" spans="2:21" x14ac:dyDescent="0.25">
      <c r="B309" s="2" t="s">
        <v>300</v>
      </c>
      <c r="C309" s="3">
        <v>-251435000000</v>
      </c>
      <c r="D309" s="3">
        <v>348795000000</v>
      </c>
      <c r="E309" s="3">
        <v>227058000000</v>
      </c>
      <c r="F309" s="3">
        <v>-677769000000</v>
      </c>
      <c r="G309" s="3">
        <v>-162115000000</v>
      </c>
      <c r="H309" s="3">
        <v>78228000000</v>
      </c>
      <c r="I309" s="3">
        <v>192920000000</v>
      </c>
      <c r="J309" s="3">
        <v>51199000000</v>
      </c>
      <c r="K309" s="3">
        <v>94415000000</v>
      </c>
      <c r="L309" s="3">
        <v>392598000000</v>
      </c>
      <c r="M309" s="3">
        <v>-111999000000</v>
      </c>
      <c r="N309" s="3">
        <v>-430015000000</v>
      </c>
      <c r="O309" s="3">
        <v>251612000000</v>
      </c>
      <c r="P309" s="3">
        <v>763239000000</v>
      </c>
      <c r="Q309" s="3">
        <v>489007000000</v>
      </c>
      <c r="R309" s="3">
        <v>-354462000000</v>
      </c>
      <c r="S309" s="3">
        <v>41471000000</v>
      </c>
      <c r="T309" s="3">
        <v>-581465000000</v>
      </c>
      <c r="U309" s="3">
        <v>-405449000000</v>
      </c>
    </row>
    <row r="310" spans="2:21" x14ac:dyDescent="0.25">
      <c r="B310" s="2" t="s">
        <v>301</v>
      </c>
      <c r="C310" s="2" t="s">
        <v>21</v>
      </c>
      <c r="D310" s="2" t="s">
        <v>21</v>
      </c>
      <c r="E310" s="3">
        <v>-15450000000</v>
      </c>
      <c r="F310" s="2" t="s">
        <v>21</v>
      </c>
      <c r="G310" s="2" t="s">
        <v>21</v>
      </c>
      <c r="H310" s="2" t="s">
        <v>21</v>
      </c>
      <c r="I310" s="3">
        <v>-39015000000</v>
      </c>
      <c r="J310" s="2" t="s">
        <v>21</v>
      </c>
      <c r="K310" s="2" t="s">
        <v>21</v>
      </c>
      <c r="L310" s="2" t="s">
        <v>21</v>
      </c>
      <c r="M310" s="3">
        <v>-97524000000</v>
      </c>
      <c r="N310" s="2" t="s">
        <v>21</v>
      </c>
      <c r="O310" s="2" t="s">
        <v>21</v>
      </c>
      <c r="P310" s="2" t="s">
        <v>21</v>
      </c>
      <c r="Q310" s="3">
        <v>-113260000000</v>
      </c>
      <c r="R310" s="2" t="s">
        <v>21</v>
      </c>
      <c r="S310" s="2" t="s">
        <v>21</v>
      </c>
      <c r="T310" s="2" t="s">
        <v>21</v>
      </c>
      <c r="U310" s="3">
        <v>-113260000000</v>
      </c>
    </row>
    <row r="311" spans="2:21" x14ac:dyDescent="0.25">
      <c r="B311" s="2" t="s">
        <v>302</v>
      </c>
      <c r="C311" s="2" t="s">
        <v>21</v>
      </c>
      <c r="D311" s="2" t="s">
        <v>21</v>
      </c>
      <c r="E311" s="3">
        <v>215158000000</v>
      </c>
      <c r="F311" s="2" t="s">
        <v>21</v>
      </c>
      <c r="G311" s="2" t="s">
        <v>21</v>
      </c>
      <c r="H311" s="2" t="s">
        <v>21</v>
      </c>
      <c r="I311" s="3">
        <v>245009000000</v>
      </c>
      <c r="J311" s="2" t="s">
        <v>21</v>
      </c>
      <c r="K311" s="2" t="s">
        <v>21</v>
      </c>
      <c r="L311" s="2" t="s">
        <v>21</v>
      </c>
      <c r="M311" s="3">
        <v>280587000000</v>
      </c>
      <c r="N311" s="2" t="s">
        <v>21</v>
      </c>
      <c r="O311" s="2" t="s">
        <v>21</v>
      </c>
      <c r="P311" s="2" t="s">
        <v>21</v>
      </c>
      <c r="Q311" s="3">
        <v>310307000000</v>
      </c>
      <c r="R311" s="2" t="s">
        <v>21</v>
      </c>
      <c r="S311" s="2" t="s">
        <v>21</v>
      </c>
      <c r="T311" s="2" t="s">
        <v>21</v>
      </c>
      <c r="U311" s="3">
        <v>310307000000</v>
      </c>
    </row>
    <row r="312" spans="2:21" x14ac:dyDescent="0.25">
      <c r="B312" s="2" t="s">
        <v>303</v>
      </c>
      <c r="C312" s="2" t="s">
        <v>21</v>
      </c>
      <c r="D312" s="2" t="s">
        <v>21</v>
      </c>
      <c r="E312" s="2" t="s">
        <v>21</v>
      </c>
      <c r="F312" s="2" t="s">
        <v>21</v>
      </c>
      <c r="G312" s="2" t="s">
        <v>21</v>
      </c>
      <c r="H312" s="2" t="s">
        <v>21</v>
      </c>
      <c r="I312" s="2" t="s">
        <v>21</v>
      </c>
      <c r="J312" s="2" t="s">
        <v>21</v>
      </c>
      <c r="K312" s="2" t="s">
        <v>21</v>
      </c>
      <c r="L312" s="2" t="s">
        <v>21</v>
      </c>
      <c r="M312" s="2" t="s">
        <v>21</v>
      </c>
      <c r="N312" s="2" t="s">
        <v>21</v>
      </c>
      <c r="O312" s="2" t="s">
        <v>21</v>
      </c>
      <c r="P312" s="2" t="s">
        <v>21</v>
      </c>
      <c r="Q312" s="2" t="s">
        <v>21</v>
      </c>
      <c r="R312" s="2" t="s">
        <v>21</v>
      </c>
      <c r="S312" s="2" t="s">
        <v>21</v>
      </c>
      <c r="T312" s="2" t="s">
        <v>21</v>
      </c>
      <c r="U312" s="2" t="s">
        <v>21</v>
      </c>
    </row>
    <row r="313" spans="2:21" x14ac:dyDescent="0.25">
      <c r="B313" s="2" t="s">
        <v>68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2026-02-27T13:09:33Z</dcterms:created>
  <dcterms:modified xsi:type="dcterms:W3CDTF">2026-02-28T12:33:49Z</dcterms:modified>
</cp:coreProperties>
</file>