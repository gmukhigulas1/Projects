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8EF769F0-29E8-453D-B99D-ADCCB33A5A15}" xr6:coauthVersionLast="47" xr6:coauthVersionMax="47" xr10:uidLastSave="{00000000-0000-0000-0000-000000000000}"/>
  <bookViews>
    <workbookView xWindow="-672" yWindow="0" windowWidth="13992" windowHeight="12336" xr2:uid="{00000000-000D-0000-FFFF-FFFF00000000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84" i="1" l="1"/>
  <c r="P83" i="1"/>
  <c r="P81" i="1"/>
  <c r="P75" i="1"/>
  <c r="P74" i="1"/>
  <c r="P80" i="1"/>
  <c r="P79" i="1"/>
  <c r="P77" i="1"/>
  <c r="P76" i="1"/>
  <c r="P73" i="1"/>
  <c r="P72" i="1"/>
  <c r="P67" i="1"/>
  <c r="P66" i="1"/>
  <c r="P61" i="1"/>
  <c r="P55" i="1"/>
  <c r="R84" i="1"/>
  <c r="Q83" i="1"/>
  <c r="Q80" i="1"/>
  <c r="Q81" i="1" s="1"/>
  <c r="Q73" i="1"/>
  <c r="Q67" i="1"/>
  <c r="Q79" i="1"/>
  <c r="Q78" i="1"/>
  <c r="Q77" i="1"/>
  <c r="Q76" i="1"/>
  <c r="Q75" i="1"/>
  <c r="Q74" i="1"/>
  <c r="Q72" i="1"/>
  <c r="Q71" i="1"/>
  <c r="Q70" i="1"/>
  <c r="Q69" i="1"/>
  <c r="Q68" i="1"/>
  <c r="Q66" i="1"/>
  <c r="Q65" i="1"/>
  <c r="Q64" i="1"/>
  <c r="Q63" i="1"/>
  <c r="Q62" i="1"/>
  <c r="Q61" i="1"/>
  <c r="Q60" i="1"/>
  <c r="Q59" i="1"/>
  <c r="Q58" i="1"/>
  <c r="Q57" i="1"/>
  <c r="Q56" i="1"/>
  <c r="Q55" i="1"/>
  <c r="R83" i="1"/>
  <c r="J72" i="1"/>
  <c r="R72" i="1"/>
  <c r="R79" i="1"/>
  <c r="R78" i="1"/>
  <c r="R77" i="1"/>
  <c r="R76" i="1"/>
  <c r="R75" i="1"/>
  <c r="R74" i="1"/>
  <c r="R80" i="1" s="1"/>
  <c r="R71" i="1"/>
  <c r="R70" i="1"/>
  <c r="R69" i="1"/>
  <c r="R68" i="1"/>
  <c r="R73" i="1"/>
  <c r="R67" i="1"/>
  <c r="R57" i="1"/>
  <c r="R58" i="1"/>
  <c r="R59" i="1"/>
  <c r="R60" i="1"/>
  <c r="R61" i="1"/>
  <c r="R62" i="1"/>
  <c r="R63" i="1"/>
  <c r="R64" i="1"/>
  <c r="R65" i="1"/>
  <c r="R66" i="1"/>
  <c r="R56" i="1"/>
  <c r="R55" i="1"/>
  <c r="F62" i="1"/>
  <c r="D79" i="1"/>
  <c r="E79" i="1" s="1"/>
  <c r="F79" i="1" s="1"/>
  <c r="D78" i="1"/>
  <c r="E78" i="1" s="1"/>
  <c r="F78" i="1" s="1"/>
  <c r="D72" i="1"/>
  <c r="E72" i="1" s="1"/>
  <c r="F72" i="1" s="1"/>
  <c r="D71" i="1"/>
  <c r="E71" i="1" s="1"/>
  <c r="F71" i="1" s="1"/>
  <c r="D70" i="1"/>
  <c r="E70" i="1" s="1"/>
  <c r="F70" i="1" s="1"/>
  <c r="D69" i="1"/>
  <c r="E69" i="1" s="1"/>
  <c r="F69" i="1" s="1"/>
  <c r="D68" i="1"/>
  <c r="E68" i="1" s="1"/>
  <c r="F68" i="1" s="1"/>
  <c r="D65" i="1"/>
  <c r="E65" i="1" s="1"/>
  <c r="F65" i="1" s="1"/>
  <c r="D64" i="1"/>
  <c r="E64" i="1" s="1"/>
  <c r="F64" i="1" s="1"/>
  <c r="D63" i="1"/>
  <c r="E63" i="1" s="1"/>
  <c r="F63" i="1" s="1"/>
  <c r="D61" i="1"/>
  <c r="E61" i="1" s="1"/>
  <c r="F61" i="1" s="1"/>
  <c r="H59" i="1"/>
  <c r="I59" i="1" s="1"/>
  <c r="J59" i="1" s="1"/>
  <c r="H60" i="1"/>
  <c r="I60" i="1" s="1"/>
  <c r="J60" i="1" s="1"/>
  <c r="D60" i="1"/>
  <c r="E60" i="1" s="1"/>
  <c r="F60" i="1" s="1"/>
  <c r="D59" i="1"/>
  <c r="E59" i="1" s="1"/>
  <c r="F59" i="1" s="1"/>
  <c r="D58" i="1"/>
  <c r="E58" i="1" s="1"/>
  <c r="F58" i="1" s="1"/>
  <c r="D57" i="1"/>
  <c r="E57" i="1" s="1"/>
  <c r="F57" i="1" s="1"/>
  <c r="D56" i="1"/>
  <c r="E56" i="1" s="1"/>
  <c r="F56" i="1" s="1"/>
  <c r="H79" i="1"/>
  <c r="I79" i="1" s="1"/>
  <c r="J79" i="1" s="1"/>
  <c r="H78" i="1"/>
  <c r="I78" i="1" s="1"/>
  <c r="J78" i="1" s="1"/>
  <c r="H77" i="1"/>
  <c r="I77" i="1" s="1"/>
  <c r="J77" i="1" s="1"/>
  <c r="H76" i="1"/>
  <c r="I76" i="1" s="1"/>
  <c r="J76" i="1" s="1"/>
  <c r="H75" i="1"/>
  <c r="I75" i="1" s="1"/>
  <c r="J75" i="1" s="1"/>
  <c r="H71" i="1"/>
  <c r="I71" i="1" s="1"/>
  <c r="J71" i="1" s="1"/>
  <c r="H70" i="1"/>
  <c r="I70" i="1" s="1"/>
  <c r="H69" i="1"/>
  <c r="I69" i="1" s="1"/>
  <c r="J69" i="1" s="1"/>
  <c r="H68" i="1"/>
  <c r="I68" i="1" s="1"/>
  <c r="J68" i="1" s="1"/>
  <c r="H65" i="1"/>
  <c r="I65" i="1" s="1"/>
  <c r="J65" i="1" s="1"/>
  <c r="H64" i="1"/>
  <c r="I64" i="1" s="1"/>
  <c r="J64" i="1" s="1"/>
  <c r="H63" i="1"/>
  <c r="I63" i="1" s="1"/>
  <c r="J63" i="1" s="1"/>
  <c r="H62" i="1"/>
  <c r="I62" i="1" s="1"/>
  <c r="J62" i="1" s="1"/>
  <c r="H61" i="1"/>
  <c r="I61" i="1" s="1"/>
  <c r="J61" i="1" s="1"/>
  <c r="H58" i="1"/>
  <c r="I58" i="1" s="1"/>
  <c r="J58" i="1" s="1"/>
  <c r="H57" i="1"/>
  <c r="I57" i="1" s="1"/>
  <c r="J57" i="1" s="1"/>
  <c r="H56" i="1"/>
  <c r="I56" i="1" s="1"/>
  <c r="C77" i="1"/>
  <c r="D77" i="1" s="1"/>
  <c r="E77" i="1" s="1"/>
  <c r="F77" i="1" s="1"/>
  <c r="C76" i="1"/>
  <c r="D76" i="1" s="1"/>
  <c r="E76" i="1" s="1"/>
  <c r="F76" i="1" s="1"/>
  <c r="C75" i="1"/>
  <c r="D75" i="1" s="1"/>
  <c r="E75" i="1" s="1"/>
  <c r="F75" i="1" s="1"/>
  <c r="C74" i="1"/>
  <c r="C80" i="1" s="1"/>
  <c r="G74" i="1"/>
  <c r="G80" i="1" s="1"/>
  <c r="C73" i="1"/>
  <c r="G72" i="1"/>
  <c r="G73" i="1" s="1"/>
  <c r="C66" i="1"/>
  <c r="C67" i="1" s="1"/>
  <c r="C83" i="1" s="1"/>
  <c r="G66" i="1"/>
  <c r="G67" i="1" s="1"/>
  <c r="G83" i="1" s="1"/>
  <c r="C41" i="1"/>
  <c r="C49" i="1" s="1"/>
  <c r="C51" i="1" s="1"/>
  <c r="C30" i="1"/>
  <c r="C40" i="1" s="1"/>
  <c r="D50" i="1"/>
  <c r="D41" i="1"/>
  <c r="D49" i="1" s="1"/>
  <c r="D51" i="1" s="1"/>
  <c r="D30" i="1"/>
  <c r="D40" i="1" s="1"/>
  <c r="E50" i="1"/>
  <c r="E41" i="1"/>
  <c r="E49" i="1" s="1"/>
  <c r="E30" i="1"/>
  <c r="E40" i="1" s="1"/>
  <c r="J50" i="1"/>
  <c r="J41" i="1"/>
  <c r="J49" i="1" s="1"/>
  <c r="G34" i="1"/>
  <c r="F34" i="1"/>
  <c r="H34" i="1"/>
  <c r="I34" i="1"/>
  <c r="J30" i="1"/>
  <c r="J40" i="1"/>
  <c r="I50" i="1"/>
  <c r="I41" i="1"/>
  <c r="I49" i="1" s="1"/>
  <c r="I30" i="1"/>
  <c r="H50" i="1"/>
  <c r="H41" i="1"/>
  <c r="H49" i="1" s="1"/>
  <c r="H30" i="1"/>
  <c r="F50" i="1"/>
  <c r="F41" i="1"/>
  <c r="F49" i="1" s="1"/>
  <c r="F30" i="1"/>
  <c r="G50" i="1"/>
  <c r="G41" i="1"/>
  <c r="G49" i="1" s="1"/>
  <c r="G30" i="1"/>
  <c r="R15" i="1"/>
  <c r="R13" i="1"/>
  <c r="R11" i="1"/>
  <c r="R5" i="1"/>
  <c r="Q15" i="1"/>
  <c r="Q13" i="1"/>
  <c r="Q11" i="1"/>
  <c r="Q5" i="1"/>
  <c r="P15" i="1"/>
  <c r="P13" i="1"/>
  <c r="P11" i="1"/>
  <c r="P5" i="1"/>
  <c r="C15" i="1"/>
  <c r="C13" i="1"/>
  <c r="C11" i="1"/>
  <c r="C5" i="1"/>
  <c r="G15" i="1"/>
  <c r="G13" i="1"/>
  <c r="G11" i="1"/>
  <c r="G5" i="1"/>
  <c r="D15" i="1"/>
  <c r="D13" i="1"/>
  <c r="D11" i="1"/>
  <c r="D5" i="1"/>
  <c r="H15" i="1"/>
  <c r="H13" i="1"/>
  <c r="H11" i="1"/>
  <c r="H5" i="1"/>
  <c r="E15" i="1"/>
  <c r="E13" i="1"/>
  <c r="E11" i="1"/>
  <c r="E5" i="1"/>
  <c r="I15" i="1"/>
  <c r="I13" i="1"/>
  <c r="I11" i="1"/>
  <c r="I5" i="1"/>
  <c r="F15" i="1"/>
  <c r="F13" i="1"/>
  <c r="F11" i="1"/>
  <c r="F5" i="1"/>
  <c r="J15" i="1"/>
  <c r="J13" i="1"/>
  <c r="J11" i="1"/>
  <c r="J5" i="1"/>
  <c r="R81" i="1" l="1"/>
  <c r="D66" i="1"/>
  <c r="E66" i="1" s="1"/>
  <c r="F66" i="1" s="1"/>
  <c r="F67" i="1" s="1"/>
  <c r="F83" i="1" s="1"/>
  <c r="C81" i="1"/>
  <c r="H66" i="1"/>
  <c r="I66" i="1" s="1"/>
  <c r="J66" i="1" s="1"/>
  <c r="H72" i="1"/>
  <c r="I72" i="1" s="1"/>
  <c r="G84" i="1"/>
  <c r="H74" i="1"/>
  <c r="I74" i="1" s="1"/>
  <c r="J74" i="1" s="1"/>
  <c r="J80" i="1" s="1"/>
  <c r="G81" i="1"/>
  <c r="G51" i="1"/>
  <c r="D74" i="1"/>
  <c r="E74" i="1" s="1"/>
  <c r="F74" i="1" s="1"/>
  <c r="F80" i="1" s="1"/>
  <c r="J56" i="1"/>
  <c r="J67" i="1" s="1"/>
  <c r="J83" i="1" s="1"/>
  <c r="I67" i="1"/>
  <c r="I83" i="1" s="1"/>
  <c r="J70" i="1"/>
  <c r="J73" i="1" s="1"/>
  <c r="I73" i="1"/>
  <c r="F73" i="1"/>
  <c r="E73" i="1"/>
  <c r="D73" i="1"/>
  <c r="H73" i="1"/>
  <c r="H67" i="1"/>
  <c r="H83" i="1" s="1"/>
  <c r="J51" i="1"/>
  <c r="E51" i="1"/>
  <c r="I51" i="1"/>
  <c r="H40" i="1"/>
  <c r="F40" i="1"/>
  <c r="G40" i="1"/>
  <c r="C12" i="1"/>
  <c r="C14" i="1" s="1"/>
  <c r="C24" i="1" s="1"/>
  <c r="I40" i="1"/>
  <c r="H51" i="1"/>
  <c r="F51" i="1"/>
  <c r="Q20" i="1"/>
  <c r="H20" i="1"/>
  <c r="R20" i="1"/>
  <c r="P12" i="1"/>
  <c r="P26" i="1" s="1"/>
  <c r="J20" i="1"/>
  <c r="I20" i="1"/>
  <c r="R12" i="1"/>
  <c r="Q12" i="1"/>
  <c r="G20" i="1"/>
  <c r="J12" i="1"/>
  <c r="J26" i="1" s="1"/>
  <c r="E12" i="1"/>
  <c r="G12" i="1"/>
  <c r="D12" i="1"/>
  <c r="H12" i="1"/>
  <c r="I12" i="1"/>
  <c r="F12" i="1"/>
  <c r="H80" i="1" l="1"/>
  <c r="D67" i="1"/>
  <c r="D83" i="1" s="1"/>
  <c r="D80" i="1"/>
  <c r="J84" i="1"/>
  <c r="E67" i="1"/>
  <c r="E83" i="1" s="1"/>
  <c r="I80" i="1"/>
  <c r="I81" i="1" s="1"/>
  <c r="E80" i="1"/>
  <c r="E81" i="1" s="1"/>
  <c r="H84" i="1"/>
  <c r="J81" i="1"/>
  <c r="D81" i="1"/>
  <c r="I84" i="1"/>
  <c r="F81" i="1"/>
  <c r="H81" i="1"/>
  <c r="C22" i="1"/>
  <c r="C16" i="1"/>
  <c r="C55" i="1" s="1"/>
  <c r="C26" i="1"/>
  <c r="P14" i="1"/>
  <c r="P22" i="1"/>
  <c r="Q14" i="1"/>
  <c r="Q26" i="1"/>
  <c r="Q22" i="1"/>
  <c r="R14" i="1"/>
  <c r="R22" i="1"/>
  <c r="R26" i="1"/>
  <c r="E14" i="1"/>
  <c r="E26" i="1"/>
  <c r="E22" i="1"/>
  <c r="J14" i="1"/>
  <c r="J24" i="1" s="1"/>
  <c r="J22" i="1"/>
  <c r="G14" i="1"/>
  <c r="G26" i="1"/>
  <c r="G22" i="1"/>
  <c r="F14" i="1"/>
  <c r="F26" i="1"/>
  <c r="F22" i="1"/>
  <c r="I14" i="1"/>
  <c r="I26" i="1"/>
  <c r="I22" i="1"/>
  <c r="H14" i="1"/>
  <c r="H26" i="1"/>
  <c r="H22" i="1"/>
  <c r="D14" i="1"/>
  <c r="D22" i="1"/>
  <c r="D26" i="1"/>
  <c r="C23" i="1" l="1"/>
  <c r="C18" i="1"/>
  <c r="P16" i="1"/>
  <c r="P24" i="1"/>
  <c r="J16" i="1"/>
  <c r="R16" i="1"/>
  <c r="R24" i="1"/>
  <c r="Q16" i="1"/>
  <c r="Q24" i="1"/>
  <c r="E16" i="1"/>
  <c r="E55" i="1" s="1"/>
  <c r="E24" i="1"/>
  <c r="H16" i="1"/>
  <c r="H55" i="1" s="1"/>
  <c r="H24" i="1"/>
  <c r="I16" i="1"/>
  <c r="I55" i="1" s="1"/>
  <c r="I24" i="1"/>
  <c r="F16" i="1"/>
  <c r="F55" i="1" s="1"/>
  <c r="F24" i="1"/>
  <c r="D16" i="1"/>
  <c r="D55" i="1" s="1"/>
  <c r="D24" i="1"/>
  <c r="G16" i="1"/>
  <c r="G55" i="1" s="1"/>
  <c r="G24" i="1"/>
  <c r="J18" i="1" l="1"/>
  <c r="J55" i="1"/>
  <c r="P17" i="1"/>
  <c r="P23" i="1"/>
  <c r="J23" i="1"/>
  <c r="Q18" i="1"/>
  <c r="Q23" i="1"/>
  <c r="R18" i="1"/>
  <c r="R23" i="1"/>
  <c r="E18" i="1"/>
  <c r="E23" i="1"/>
  <c r="G18" i="1"/>
  <c r="G23" i="1"/>
  <c r="D18" i="1"/>
  <c r="D23" i="1"/>
  <c r="F18" i="1"/>
  <c r="F23" i="1"/>
  <c r="I18" i="1"/>
  <c r="I23" i="1"/>
  <c r="H18" i="1"/>
  <c r="H23" i="1"/>
</calcChain>
</file>

<file path=xl/sharedStrings.xml><?xml version="1.0" encoding="utf-8"?>
<sst xmlns="http://schemas.openxmlformats.org/spreadsheetml/2006/main" count="91" uniqueCount="83">
  <si>
    <t>Main</t>
  </si>
  <si>
    <t>Revenue</t>
  </si>
  <si>
    <t>Q423</t>
  </si>
  <si>
    <t>Q124</t>
  </si>
  <si>
    <t>Q224</t>
  </si>
  <si>
    <t>Q324</t>
  </si>
  <si>
    <t>Q424</t>
  </si>
  <si>
    <t>Q125</t>
  </si>
  <si>
    <t>Q123</t>
  </si>
  <si>
    <t>Q223</t>
  </si>
  <si>
    <t>Q323</t>
  </si>
  <si>
    <t>Service</t>
  </si>
  <si>
    <t>Equipment</t>
  </si>
  <si>
    <t>Operating Expenses</t>
  </si>
  <si>
    <t>Opertaing Profit</t>
  </si>
  <si>
    <t>D&amp;A</t>
  </si>
  <si>
    <t>SG&amp;A</t>
  </si>
  <si>
    <t>Other costs of revenues</t>
  </si>
  <si>
    <t>Impairments</t>
  </si>
  <si>
    <t>Interest Income</t>
  </si>
  <si>
    <t>Pre-Tax Income</t>
  </si>
  <si>
    <t>Net Income</t>
  </si>
  <si>
    <t>S/O</t>
  </si>
  <si>
    <t>EPS</t>
  </si>
  <si>
    <t>Taxes+NI+D</t>
  </si>
  <si>
    <t>EBITDA</t>
  </si>
  <si>
    <t>Operating Margin</t>
  </si>
  <si>
    <t>Net Margin</t>
  </si>
  <si>
    <t>Tax rate</t>
  </si>
  <si>
    <t>Revenue Y/Y</t>
  </si>
  <si>
    <t>Cash</t>
  </si>
  <si>
    <t>A/R</t>
  </si>
  <si>
    <t>Invetories</t>
  </si>
  <si>
    <t>Prepaids</t>
  </si>
  <si>
    <t>PP&amp;E</t>
  </si>
  <si>
    <t>Goodwill</t>
  </si>
  <si>
    <t>Licenses</t>
  </si>
  <si>
    <t>OIA</t>
  </si>
  <si>
    <t>Other Assets</t>
  </si>
  <si>
    <t>Lease ROU</t>
  </si>
  <si>
    <t>Total Assets</t>
  </si>
  <si>
    <t>Debt</t>
  </si>
  <si>
    <t>A/P</t>
  </si>
  <si>
    <t>Deposits</t>
  </si>
  <si>
    <t>D/P</t>
  </si>
  <si>
    <t>Deferred taxes</t>
  </si>
  <si>
    <t>Pension</t>
  </si>
  <si>
    <t>Lease</t>
  </si>
  <si>
    <t>ONL</t>
  </si>
  <si>
    <t>Total Liabilities</t>
  </si>
  <si>
    <t>S/E</t>
  </si>
  <si>
    <t>L+S/E</t>
  </si>
  <si>
    <t xml:space="preserve"> </t>
  </si>
  <si>
    <t>Model NI</t>
  </si>
  <si>
    <t>Reported GAAP NI</t>
  </si>
  <si>
    <t>Uncollectable Accounts</t>
  </si>
  <si>
    <t>D/T</t>
  </si>
  <si>
    <t>Investments</t>
  </si>
  <si>
    <t>Pension expense</t>
  </si>
  <si>
    <t>OCA</t>
  </si>
  <si>
    <t>Other</t>
  </si>
  <si>
    <t>CFFO</t>
  </si>
  <si>
    <t>Cash Flow from Operations</t>
  </si>
  <si>
    <t>CapEx</t>
  </si>
  <si>
    <t>Capital Expenditure</t>
  </si>
  <si>
    <t>Acquisitions</t>
  </si>
  <si>
    <t>Dispositions</t>
  </si>
  <si>
    <t>CFFI</t>
  </si>
  <si>
    <t>FCF</t>
  </si>
  <si>
    <t>Free Cash Flow</t>
  </si>
  <si>
    <t>Sale of Securities</t>
  </si>
  <si>
    <t>Cash Flow from Investment</t>
  </si>
  <si>
    <t>Borrowings</t>
  </si>
  <si>
    <t>Vendor payments</t>
  </si>
  <si>
    <t>Treasury stock</t>
  </si>
  <si>
    <t>Dividends paid</t>
  </si>
  <si>
    <t>CFFF</t>
  </si>
  <si>
    <t>Cash Flow from Financing</t>
  </si>
  <si>
    <t>CF</t>
  </si>
  <si>
    <t>FCF Y/Y</t>
  </si>
  <si>
    <t>INCOME STATEMENT</t>
  </si>
  <si>
    <t>BALANCE SHEET</t>
  </si>
  <si>
    <t>CASH FLOW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</si>
</sst>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1"/>
    <xf numFmtId="0" fontId="0" fillId="0" borderId="0" xfId="0" applyAlignment="1">
      <alignment horizontal="right"/>
    </xf>
    <xf numFmtId="0" fontId="1" fillId="0" borderId="0" xfId="0" applyFont="1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0" fontId="0" fillId="0" borderId="0" xfId="0" applyFont="1"/>
    <xf numFmtId="3" fontId="0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3" fontId="0" fillId="0" borderId="0" xfId="0" applyNumberFormat="1" applyFont="1"/>
    <xf numFmtId="3" fontId="0" fillId="0" borderId="0" xfId="0" applyNumberFormat="1"/>
    <xf numFmtId="10" fontId="0" fillId="0" borderId="0" xfId="0" applyNumberFormat="1"/>
    <xf numFmtId="3" fontId="1" fillId="0" borderId="0" xfId="0" applyNumberFormat="1" applyFont="1"/>
    <xf numFmtId="0" fontId="0" fillId="2" borderId="0" xfId="0" applyFill="1"/>
    <xf numFmtId="0" fontId="0" fillId="0" borderId="0" xfId="0" applyFill="1"/>
    <xf numFmtId="0" fontId="1" fillId="0" borderId="0" xfId="0" applyFont="1" applyFill="1"/>
    <xf numFmtId="3" fontId="1" fillId="0" borderId="0" xfId="0" applyNumberFormat="1" applyFont="1" applyFill="1"/>
    <xf numFmtId="3" fontId="0" fillId="0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600364</xdr:colOff>
      <xdr:row>0</xdr:row>
      <xdr:rowOff>0</xdr:rowOff>
    </xdr:from>
    <xdr:to>
      <xdr:col>17</xdr:col>
      <xdr:colOff>600364</xdr:colOff>
      <xdr:row>111</xdr:row>
      <xdr:rowOff>161637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465D46A-6455-449D-BEB0-7BEBB228DA68}"/>
            </a:ext>
          </a:extLst>
        </xdr:cNvPr>
        <xdr:cNvCxnSpPr/>
      </xdr:nvCxnSpPr>
      <xdr:spPr>
        <a:xfrm>
          <a:off x="11626273" y="0"/>
          <a:ext cx="0" cy="206663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0</xdr:row>
      <xdr:rowOff>0</xdr:rowOff>
    </xdr:from>
    <xdr:to>
      <xdr:col>10</xdr:col>
      <xdr:colOff>0</xdr:colOff>
      <xdr:row>95</xdr:row>
      <xdr:rowOff>86591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4FE861D-32C1-4D8E-B08F-059D165B0C01}"/>
            </a:ext>
          </a:extLst>
        </xdr:cNvPr>
        <xdr:cNvCxnSpPr/>
      </xdr:nvCxnSpPr>
      <xdr:spPr>
        <a:xfrm>
          <a:off x="6719455" y="0"/>
          <a:ext cx="0" cy="1736147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Inv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4"/>
  <sheetViews>
    <sheetView tabSelected="1" zoomScale="75" zoomScaleNormal="40" workbookViewId="0">
      <pane xSplit="2" ySplit="2" topLeftCell="C49" activePane="bottomRight" state="frozen"/>
      <selection pane="topRight" activeCell="C1" sqref="C1"/>
      <selection pane="bottomLeft" activeCell="A3" sqref="A3"/>
      <selection pane="bottomRight" activeCell="P78" sqref="P78"/>
    </sheetView>
  </sheetViews>
  <sheetFormatPr defaultRowHeight="14.4" x14ac:dyDescent="0.3"/>
  <cols>
    <col min="1" max="1" width="4.77734375" customWidth="1"/>
    <col min="2" max="2" width="21.5546875" bestFit="1" customWidth="1"/>
    <col min="3" max="3" width="9.6640625" customWidth="1"/>
  </cols>
  <sheetData>
    <row r="1" spans="1:22" x14ac:dyDescent="0.3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1:22" x14ac:dyDescent="0.3">
      <c r="B2" t="s">
        <v>80</v>
      </c>
      <c r="C2" s="2" t="s">
        <v>8</v>
      </c>
      <c r="D2" s="2" t="s">
        <v>9</v>
      </c>
      <c r="E2" s="2" t="s">
        <v>10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P2">
        <v>2022</v>
      </c>
      <c r="Q2">
        <v>2023</v>
      </c>
      <c r="R2">
        <v>2024</v>
      </c>
      <c r="S2">
        <v>2025</v>
      </c>
      <c r="T2">
        <v>2026</v>
      </c>
      <c r="U2">
        <v>2027</v>
      </c>
      <c r="V2">
        <v>2028</v>
      </c>
    </row>
    <row r="3" spans="1:22" x14ac:dyDescent="0.3">
      <c r="B3" t="s">
        <v>11</v>
      </c>
      <c r="C3" s="4">
        <v>24617</v>
      </c>
      <c r="D3" s="4">
        <v>24850</v>
      </c>
      <c r="E3" s="4">
        <v>25112</v>
      </c>
      <c r="F3" s="4">
        <v>25070</v>
      </c>
      <c r="G3" s="4">
        <v>24842</v>
      </c>
      <c r="H3" s="4">
        <v>25006</v>
      </c>
      <c r="I3" s="4">
        <v>25134</v>
      </c>
      <c r="J3" s="4">
        <v>25153</v>
      </c>
      <c r="K3" s="2"/>
      <c r="P3" s="4">
        <v>97831</v>
      </c>
      <c r="Q3" s="4">
        <v>99649</v>
      </c>
      <c r="R3" s="4">
        <v>100135</v>
      </c>
    </row>
    <row r="4" spans="1:22" x14ac:dyDescent="0.3">
      <c r="B4" t="s">
        <v>12</v>
      </c>
      <c r="C4" s="4">
        <v>5522</v>
      </c>
      <c r="D4" s="4">
        <v>5067</v>
      </c>
      <c r="E4" s="4">
        <v>5238</v>
      </c>
      <c r="F4" s="4">
        <v>6952</v>
      </c>
      <c r="G4" s="4">
        <v>5186</v>
      </c>
      <c r="H4" s="4">
        <v>4791</v>
      </c>
      <c r="I4" s="4">
        <v>5079</v>
      </c>
      <c r="J4" s="4">
        <v>7145</v>
      </c>
      <c r="K4" s="2"/>
      <c r="P4" s="4">
        <v>22910</v>
      </c>
      <c r="Q4" s="4">
        <v>22779</v>
      </c>
      <c r="R4" s="4">
        <v>22201</v>
      </c>
    </row>
    <row r="5" spans="1:22" x14ac:dyDescent="0.3">
      <c r="B5" s="3" t="s">
        <v>1</v>
      </c>
      <c r="C5" s="5">
        <f>C4+C3</f>
        <v>30139</v>
      </c>
      <c r="D5" s="5">
        <f>D4+D3</f>
        <v>29917</v>
      </c>
      <c r="E5" s="5">
        <f>E4+E3</f>
        <v>30350</v>
      </c>
      <c r="F5" s="5">
        <f>F4+F3</f>
        <v>32022</v>
      </c>
      <c r="G5" s="5">
        <f>G4+G3</f>
        <v>30028</v>
      </c>
      <c r="H5" s="5">
        <f>H4+H3</f>
        <v>29797</v>
      </c>
      <c r="I5" s="5">
        <f>I4+I3</f>
        <v>30213</v>
      </c>
      <c r="J5" s="5">
        <f>J4+J3</f>
        <v>32298</v>
      </c>
      <c r="K5" s="2"/>
      <c r="P5" s="5">
        <f>P4+P3</f>
        <v>120741</v>
      </c>
      <c r="Q5" s="5">
        <f>Q4+Q3</f>
        <v>122428</v>
      </c>
      <c r="R5" s="5">
        <f>R4+R3</f>
        <v>122336</v>
      </c>
    </row>
    <row r="6" spans="1:22" x14ac:dyDescent="0.3">
      <c r="B6" t="s">
        <v>12</v>
      </c>
      <c r="C6" s="4">
        <v>5658</v>
      </c>
      <c r="D6" s="4">
        <v>5056</v>
      </c>
      <c r="E6" s="4">
        <v>5219</v>
      </c>
      <c r="F6" s="4">
        <v>7203</v>
      </c>
      <c r="G6" s="4">
        <v>5143</v>
      </c>
      <c r="H6" s="4">
        <v>4815</v>
      </c>
      <c r="I6" s="4">
        <v>4933</v>
      </c>
      <c r="J6" s="4">
        <v>7358</v>
      </c>
      <c r="K6" s="2"/>
      <c r="P6" s="4">
        <v>24009</v>
      </c>
      <c r="Q6" s="4">
        <v>23136</v>
      </c>
      <c r="R6" s="4">
        <v>22249</v>
      </c>
    </row>
    <row r="7" spans="1:22" x14ac:dyDescent="0.3">
      <c r="B7" t="s">
        <v>17</v>
      </c>
      <c r="C7" s="4">
        <v>6673</v>
      </c>
      <c r="D7" s="4">
        <v>6771</v>
      </c>
      <c r="E7" s="4">
        <v>6835</v>
      </c>
      <c r="F7" s="4">
        <v>6708</v>
      </c>
      <c r="G7" s="4">
        <v>6811</v>
      </c>
      <c r="H7" s="4">
        <v>6627</v>
      </c>
      <c r="I7" s="4">
        <v>6697</v>
      </c>
      <c r="J7" s="4">
        <v>6837</v>
      </c>
      <c r="K7" s="2"/>
      <c r="P7" s="4">
        <v>26839</v>
      </c>
      <c r="Q7" s="4">
        <v>26987</v>
      </c>
      <c r="R7" s="4">
        <v>26972</v>
      </c>
    </row>
    <row r="8" spans="1:22" x14ac:dyDescent="0.3">
      <c r="B8" t="s">
        <v>16</v>
      </c>
      <c r="C8" s="4">
        <v>7175</v>
      </c>
      <c r="D8" s="4">
        <v>7009</v>
      </c>
      <c r="E8" s="4">
        <v>7205</v>
      </c>
      <c r="F8" s="4">
        <v>7485</v>
      </c>
      <c r="G8" s="4">
        <v>7021</v>
      </c>
      <c r="H8" s="4">
        <v>7043</v>
      </c>
      <c r="I8" s="4">
        <v>6958</v>
      </c>
      <c r="J8" s="4">
        <v>7389</v>
      </c>
      <c r="K8" s="2"/>
      <c r="P8" s="4">
        <v>28961</v>
      </c>
      <c r="Q8" s="4">
        <v>28874</v>
      </c>
      <c r="R8" s="4">
        <v>28411</v>
      </c>
    </row>
    <row r="9" spans="1:22" x14ac:dyDescent="0.3">
      <c r="B9" t="s">
        <v>18</v>
      </c>
      <c r="C9" s="4"/>
      <c r="D9" s="4"/>
      <c r="E9" s="4">
        <v>604</v>
      </c>
      <c r="F9" s="4">
        <v>589</v>
      </c>
      <c r="G9" s="4">
        <v>159</v>
      </c>
      <c r="H9" s="4">
        <v>480</v>
      </c>
      <c r="I9" s="4">
        <v>4422</v>
      </c>
      <c r="J9" s="4">
        <v>14</v>
      </c>
      <c r="K9" s="2"/>
      <c r="P9" s="4">
        <v>27498</v>
      </c>
      <c r="Q9" s="4">
        <v>1193</v>
      </c>
      <c r="R9" s="4">
        <v>5075</v>
      </c>
    </row>
    <row r="10" spans="1:22" x14ac:dyDescent="0.3">
      <c r="B10" t="s">
        <v>15</v>
      </c>
      <c r="C10" s="4">
        <v>4631</v>
      </c>
      <c r="D10" s="4">
        <v>4675</v>
      </c>
      <c r="E10" s="4">
        <v>4705</v>
      </c>
      <c r="F10" s="4">
        <v>4766</v>
      </c>
      <c r="G10" s="4">
        <v>5047</v>
      </c>
      <c r="H10" s="4">
        <v>5072</v>
      </c>
      <c r="I10" s="4">
        <v>5087</v>
      </c>
      <c r="J10" s="4">
        <v>5374</v>
      </c>
      <c r="K10" s="2"/>
      <c r="P10" s="4">
        <v>18021</v>
      </c>
      <c r="Q10" s="4">
        <v>18777</v>
      </c>
      <c r="R10" s="4">
        <v>20580</v>
      </c>
    </row>
    <row r="11" spans="1:22" x14ac:dyDescent="0.3">
      <c r="B11" s="3" t="s">
        <v>13</v>
      </c>
      <c r="C11" s="5">
        <f>SUM(C6:C10)</f>
        <v>24137</v>
      </c>
      <c r="D11" s="5">
        <f>SUM(D6:D10)</f>
        <v>23511</v>
      </c>
      <c r="E11" s="5">
        <f>SUM(E6:E10)</f>
        <v>24568</v>
      </c>
      <c r="F11" s="5">
        <f>SUM(F6:F10)</f>
        <v>26751</v>
      </c>
      <c r="G11" s="5">
        <f>SUM(G6:G10)</f>
        <v>24181</v>
      </c>
      <c r="H11" s="5">
        <f>SUM(H6:H10)</f>
        <v>24037</v>
      </c>
      <c r="I11" s="5">
        <f>SUM(I6:I10)</f>
        <v>28097</v>
      </c>
      <c r="J11" s="5">
        <f>SUM(J6:J10)</f>
        <v>26972</v>
      </c>
      <c r="K11" s="2"/>
      <c r="P11" s="5">
        <f>SUM(P6:P10)</f>
        <v>125328</v>
      </c>
      <c r="Q11" s="5">
        <f>SUM(Q6:Q10)</f>
        <v>98967</v>
      </c>
      <c r="R11" s="5">
        <f>SUM(R6:R10)</f>
        <v>103287</v>
      </c>
    </row>
    <row r="12" spans="1:22" x14ac:dyDescent="0.3">
      <c r="B12" s="3" t="s">
        <v>14</v>
      </c>
      <c r="C12" s="5">
        <f>C5-C11</f>
        <v>6002</v>
      </c>
      <c r="D12" s="5">
        <f>D5-D11</f>
        <v>6406</v>
      </c>
      <c r="E12" s="5">
        <f>E5-E11</f>
        <v>5782</v>
      </c>
      <c r="F12" s="5">
        <f>F5-F11</f>
        <v>5271</v>
      </c>
      <c r="G12" s="5">
        <f>G5-G11</f>
        <v>5847</v>
      </c>
      <c r="H12" s="5">
        <f>H5-H11</f>
        <v>5760</v>
      </c>
      <c r="I12" s="5">
        <f>I5-I11</f>
        <v>2116</v>
      </c>
      <c r="J12" s="5">
        <f>J5-J11</f>
        <v>5326</v>
      </c>
      <c r="K12" s="2"/>
      <c r="P12" s="5">
        <f>P5-P11</f>
        <v>-4587</v>
      </c>
      <c r="Q12" s="5">
        <f>Q5-Q11</f>
        <v>23461</v>
      </c>
      <c r="R12" s="5">
        <f>R5-R11</f>
        <v>19049</v>
      </c>
    </row>
    <row r="13" spans="1:22" x14ac:dyDescent="0.3">
      <c r="B13" t="s">
        <v>19</v>
      </c>
      <c r="C13" s="4">
        <f>-1708+538+935</f>
        <v>-235</v>
      </c>
      <c r="D13" s="4">
        <f>-1608+380+987</f>
        <v>-241</v>
      </c>
      <c r="E13" s="4">
        <f>-1662+420+440</f>
        <v>-802</v>
      </c>
      <c r="F13" s="4">
        <f>-1726+337-946</f>
        <v>-2335</v>
      </c>
      <c r="G13" s="4">
        <f>-1724+295+451</f>
        <v>-978</v>
      </c>
      <c r="H13" s="4">
        <f>-1699+348+682</f>
        <v>-669</v>
      </c>
      <c r="I13" s="4">
        <f>-1675+272+717</f>
        <v>-686</v>
      </c>
      <c r="J13" s="4">
        <f>-1661+1074+569</f>
        <v>-18</v>
      </c>
      <c r="K13" s="2"/>
      <c r="P13" s="4">
        <f>-6108+1791+5810</f>
        <v>1493</v>
      </c>
      <c r="Q13" s="4">
        <f>-6704+1675+1416</f>
        <v>-3613</v>
      </c>
      <c r="R13" s="4">
        <f>-6759+1989+2419</f>
        <v>-2351</v>
      </c>
    </row>
    <row r="14" spans="1:22" x14ac:dyDescent="0.3">
      <c r="B14" s="3" t="s">
        <v>20</v>
      </c>
      <c r="C14" s="5">
        <f>C12+C13</f>
        <v>5767</v>
      </c>
      <c r="D14" s="5">
        <f>D12+D13</f>
        <v>6165</v>
      </c>
      <c r="E14" s="5">
        <f>E12+E13</f>
        <v>4980</v>
      </c>
      <c r="F14" s="5">
        <f>F12+F13</f>
        <v>2936</v>
      </c>
      <c r="G14" s="5">
        <f>G12+G13</f>
        <v>4869</v>
      </c>
      <c r="H14" s="5">
        <f>H12+H13</f>
        <v>5091</v>
      </c>
      <c r="I14" s="5">
        <f>I12+I13</f>
        <v>1430</v>
      </c>
      <c r="J14" s="5">
        <f>J12+J13</f>
        <v>5308</v>
      </c>
      <c r="K14" s="2"/>
      <c r="P14" s="5">
        <f>P12+P13</f>
        <v>-3094</v>
      </c>
      <c r="Q14" s="5">
        <f>Q12+Q13</f>
        <v>19848</v>
      </c>
      <c r="R14" s="5">
        <f>R12+R13</f>
        <v>16698</v>
      </c>
    </row>
    <row r="15" spans="1:22" x14ac:dyDescent="0.3">
      <c r="B15" s="6" t="s">
        <v>24</v>
      </c>
      <c r="C15" s="4">
        <f>1314+225+52</f>
        <v>1591</v>
      </c>
      <c r="D15" s="4">
        <f>1403+273+52</f>
        <v>1728</v>
      </c>
      <c r="E15" s="4">
        <f>1154+331+51</f>
        <v>1536</v>
      </c>
      <c r="F15" s="4">
        <f>354+394+53</f>
        <v>801</v>
      </c>
      <c r="G15" s="4">
        <f>1118+306+50</f>
        <v>1474</v>
      </c>
      <c r="H15" s="4">
        <f>1142+352+51</f>
        <v>1545</v>
      </c>
      <c r="I15" s="4">
        <f>1285+319+52</f>
        <v>1656</v>
      </c>
      <c r="J15" s="4">
        <f>900+328+49</f>
        <v>1277</v>
      </c>
      <c r="K15" s="2"/>
      <c r="P15" s="4">
        <f>3780+181+1469+203</f>
        <v>5633</v>
      </c>
      <c r="Q15" s="4">
        <f>4225+1223+208</f>
        <v>5656</v>
      </c>
      <c r="R15" s="4">
        <f>4445+1305+202</f>
        <v>5952</v>
      </c>
    </row>
    <row r="16" spans="1:22" x14ac:dyDescent="0.3">
      <c r="B16" s="3" t="s">
        <v>21</v>
      </c>
      <c r="C16" s="5">
        <f>C14-C15</f>
        <v>4176</v>
      </c>
      <c r="D16" s="5">
        <f>D14-D15</f>
        <v>4437</v>
      </c>
      <c r="E16" s="5">
        <f>E14-E15</f>
        <v>3444</v>
      </c>
      <c r="F16" s="5">
        <f>F14-F15</f>
        <v>2135</v>
      </c>
      <c r="G16" s="5">
        <f>G14-G15</f>
        <v>3395</v>
      </c>
      <c r="H16" s="5">
        <f>H14-H15</f>
        <v>3546</v>
      </c>
      <c r="I16" s="5">
        <f>I14-I15</f>
        <v>-226</v>
      </c>
      <c r="J16" s="5">
        <f>J14-J15</f>
        <v>4031</v>
      </c>
      <c r="K16" s="2"/>
      <c r="P16" s="5">
        <f>P14-P15</f>
        <v>-8727</v>
      </c>
      <c r="Q16" s="5">
        <f>Q14-Q15</f>
        <v>14192</v>
      </c>
      <c r="R16" s="5">
        <f>R14-R15</f>
        <v>10746</v>
      </c>
    </row>
    <row r="17" spans="2:18" x14ac:dyDescent="0.3">
      <c r="B17" s="11" t="s">
        <v>22</v>
      </c>
      <c r="C17" s="4">
        <v>7168</v>
      </c>
      <c r="D17" s="4">
        <v>7180</v>
      </c>
      <c r="E17" s="4">
        <v>7185</v>
      </c>
      <c r="F17" s="4">
        <v>7190</v>
      </c>
      <c r="G17" s="4">
        <v>7192</v>
      </c>
      <c r="H17" s="4">
        <v>7196</v>
      </c>
      <c r="I17" s="4">
        <v>7202</v>
      </c>
      <c r="J17" s="4">
        <v>7207</v>
      </c>
      <c r="K17" s="4"/>
      <c r="L17" s="12"/>
      <c r="M17" s="12"/>
      <c r="N17" s="12"/>
      <c r="O17" s="12"/>
      <c r="P17" s="4">
        <f>P16/P18</f>
        <v>7933.6363636363631</v>
      </c>
      <c r="Q17" s="4">
        <v>7190</v>
      </c>
      <c r="R17" s="4">
        <v>7207</v>
      </c>
    </row>
    <row r="18" spans="2:18" x14ac:dyDescent="0.3">
      <c r="B18" s="3" t="s">
        <v>23</v>
      </c>
      <c r="C18" s="8">
        <f>C16/C17</f>
        <v>0.5825892857142857</v>
      </c>
      <c r="D18" s="8">
        <f>D16/D17</f>
        <v>0.61796657381615594</v>
      </c>
      <c r="E18" s="8">
        <f>E16/E17</f>
        <v>0.47933194154488518</v>
      </c>
      <c r="F18" s="8">
        <f>F16/F17</f>
        <v>0.29694019471488176</v>
      </c>
      <c r="G18" s="8">
        <f>G16/G17</f>
        <v>0.47205228031145718</v>
      </c>
      <c r="H18" s="8">
        <f>H16/H17</f>
        <v>0.49277376320177879</v>
      </c>
      <c r="I18" s="8">
        <f>I16/I17</f>
        <v>-3.1380172174396002E-2</v>
      </c>
      <c r="J18" s="8">
        <f>J16/J17</f>
        <v>0.55931733037324827</v>
      </c>
      <c r="K18" s="2"/>
      <c r="P18" s="8">
        <v>-1.1000000000000001</v>
      </c>
      <c r="Q18" s="8">
        <f>Q16/Q17</f>
        <v>1.9738525730180807</v>
      </c>
      <c r="R18" s="8">
        <f>R16/R17</f>
        <v>1.4910503676980713</v>
      </c>
    </row>
    <row r="19" spans="2:18" x14ac:dyDescent="0.3">
      <c r="C19" s="2"/>
      <c r="D19" s="2"/>
      <c r="E19" s="2"/>
      <c r="F19" s="2"/>
      <c r="G19" s="2"/>
      <c r="H19" s="2"/>
      <c r="I19" s="2"/>
      <c r="J19" s="2"/>
      <c r="K19" s="2"/>
    </row>
    <row r="20" spans="2:18" x14ac:dyDescent="0.3">
      <c r="B20" s="3" t="s">
        <v>29</v>
      </c>
      <c r="C20" s="2"/>
      <c r="D20" s="2"/>
      <c r="E20" s="2"/>
      <c r="F20" s="2"/>
      <c r="G20" s="10">
        <f t="shared" ref="G20:I20" si="0">G5/C5-1</f>
        <v>-3.6829357311125577E-3</v>
      </c>
      <c r="H20" s="10">
        <f t="shared" si="0"/>
        <v>-4.0110973693886498E-3</v>
      </c>
      <c r="I20" s="10">
        <f t="shared" si="0"/>
        <v>-4.5140032948929321E-3</v>
      </c>
      <c r="J20" s="10">
        <f>J5/F5-1</f>
        <v>8.6190743863594488E-3</v>
      </c>
      <c r="K20" s="2"/>
      <c r="Q20" s="13">
        <f t="shared" ref="Q20" si="1">Q5/P5-1</f>
        <v>1.3972055888223478E-2</v>
      </c>
      <c r="R20" s="13">
        <f>R5/Q5-1</f>
        <v>-7.5146208383702895E-4</v>
      </c>
    </row>
    <row r="21" spans="2:18" x14ac:dyDescent="0.3">
      <c r="C21" s="4"/>
      <c r="D21" s="4"/>
      <c r="E21" s="4"/>
      <c r="F21" s="4"/>
      <c r="G21" s="4"/>
      <c r="H21" s="4"/>
      <c r="I21" s="4"/>
      <c r="J21" s="4"/>
      <c r="K21" s="2"/>
    </row>
    <row r="22" spans="2:18" x14ac:dyDescent="0.3">
      <c r="B22" t="s">
        <v>26</v>
      </c>
      <c r="C22" s="9">
        <f t="shared" ref="C22:J22" si="2">C12/C5</f>
        <v>0.19914396628952519</v>
      </c>
      <c r="D22" s="9">
        <f t="shared" si="2"/>
        <v>0.21412574790253033</v>
      </c>
      <c r="E22" s="9">
        <f t="shared" si="2"/>
        <v>0.19051070840197692</v>
      </c>
      <c r="F22" s="9">
        <f t="shared" si="2"/>
        <v>0.1646055836612329</v>
      </c>
      <c r="G22" s="9">
        <f t="shared" si="2"/>
        <v>0.19471826295457573</v>
      </c>
      <c r="H22" s="9">
        <f t="shared" si="2"/>
        <v>0.19330805114608854</v>
      </c>
      <c r="I22" s="9">
        <f t="shared" si="2"/>
        <v>7.0036077185317583E-2</v>
      </c>
      <c r="J22" s="9">
        <f>J12/J5</f>
        <v>0.16490185150783329</v>
      </c>
      <c r="K22" s="2"/>
      <c r="P22" s="9">
        <f t="shared" ref="P22:R22" si="3">P12/P5</f>
        <v>-3.799040922304768E-2</v>
      </c>
      <c r="Q22" s="9">
        <f t="shared" si="3"/>
        <v>0.19163099944457151</v>
      </c>
      <c r="R22" s="9">
        <f t="shared" si="3"/>
        <v>0.15571050222338478</v>
      </c>
    </row>
    <row r="23" spans="2:18" x14ac:dyDescent="0.3">
      <c r="B23" t="s">
        <v>27</v>
      </c>
      <c r="C23" s="9">
        <f>C16/C5</f>
        <v>0.13855801453266531</v>
      </c>
      <c r="D23" s="9">
        <f t="shared" ref="D23:J23" si="4">D16/D5</f>
        <v>0.14831032523314502</v>
      </c>
      <c r="E23" s="9">
        <f t="shared" si="4"/>
        <v>0.11347611202635914</v>
      </c>
      <c r="F23" s="9">
        <f t="shared" si="4"/>
        <v>6.6672912372743739E-2</v>
      </c>
      <c r="G23" s="9">
        <f t="shared" si="4"/>
        <v>0.11306114293326229</v>
      </c>
      <c r="H23" s="9">
        <f t="shared" si="4"/>
        <v>0.11900526898681076</v>
      </c>
      <c r="I23" s="9">
        <f t="shared" si="4"/>
        <v>-7.4802237447456395E-3</v>
      </c>
      <c r="J23" s="9">
        <f t="shared" si="4"/>
        <v>0.12480648956591739</v>
      </c>
      <c r="K23" s="2"/>
      <c r="P23" s="9">
        <f t="shared" ref="P23:R23" si="5">P16/P5</f>
        <v>-7.2278679156210404E-2</v>
      </c>
      <c r="Q23" s="9">
        <f t="shared" si="5"/>
        <v>0.11592119449799065</v>
      </c>
      <c r="R23" s="9">
        <f t="shared" si="5"/>
        <v>8.7840047083442327E-2</v>
      </c>
    </row>
    <row r="24" spans="2:18" x14ac:dyDescent="0.3">
      <c r="B24" t="s">
        <v>28</v>
      </c>
      <c r="C24" s="9">
        <f t="shared" ref="C24:J24" si="6">C15/C14</f>
        <v>0.27588000693601528</v>
      </c>
      <c r="D24" s="9">
        <f t="shared" si="6"/>
        <v>0.28029197080291973</v>
      </c>
      <c r="E24" s="9">
        <f t="shared" si="6"/>
        <v>0.30843373493975906</v>
      </c>
      <c r="F24" s="9">
        <f t="shared" si="6"/>
        <v>0.27282016348773841</v>
      </c>
      <c r="G24" s="9">
        <f t="shared" si="6"/>
        <v>0.30273156705689053</v>
      </c>
      <c r="H24" s="9">
        <f t="shared" si="6"/>
        <v>0.30347672362993516</v>
      </c>
      <c r="I24" s="9">
        <f t="shared" si="6"/>
        <v>1.1580419580419581</v>
      </c>
      <c r="J24" s="9">
        <f>J15/J14</f>
        <v>0.24058025621703089</v>
      </c>
      <c r="K24" s="2"/>
      <c r="P24" s="9">
        <f t="shared" ref="P24:R24" si="7">P15/P14</f>
        <v>-1.8206205559146735</v>
      </c>
      <c r="Q24" s="9">
        <f t="shared" si="7"/>
        <v>0.28496573962112054</v>
      </c>
      <c r="R24" s="9">
        <f t="shared" si="7"/>
        <v>0.35644987423643548</v>
      </c>
    </row>
    <row r="25" spans="2:18" x14ac:dyDescent="0.3">
      <c r="C25" s="2"/>
      <c r="D25" s="2"/>
      <c r="E25" s="2"/>
      <c r="F25" s="2"/>
      <c r="G25" s="2"/>
      <c r="H25" s="2"/>
      <c r="I25" s="2"/>
      <c r="J25" s="2"/>
      <c r="K25" s="2"/>
    </row>
    <row r="26" spans="2:18" x14ac:dyDescent="0.3">
      <c r="B26" t="s">
        <v>25</v>
      </c>
      <c r="C26" s="4">
        <f>C12+C10</f>
        <v>10633</v>
      </c>
      <c r="D26" s="4">
        <f>D12+D10</f>
        <v>11081</v>
      </c>
      <c r="E26" s="4">
        <f>E12+E10</f>
        <v>10487</v>
      </c>
      <c r="F26" s="4">
        <f>F12+F10</f>
        <v>10037</v>
      </c>
      <c r="G26" s="4">
        <f>G12+G10</f>
        <v>10894</v>
      </c>
      <c r="H26" s="4">
        <f>H12+H10</f>
        <v>10832</v>
      </c>
      <c r="I26" s="4">
        <f>I12+I10</f>
        <v>7203</v>
      </c>
      <c r="J26" s="4">
        <f>J12+J10</f>
        <v>10700</v>
      </c>
      <c r="K26" s="2"/>
      <c r="P26" s="4">
        <f>P12+P10</f>
        <v>13434</v>
      </c>
      <c r="Q26" s="4">
        <f>Q12+Q10</f>
        <v>42238</v>
      </c>
      <c r="R26" s="4">
        <f>R12+R10</f>
        <v>39629</v>
      </c>
    </row>
    <row r="27" spans="2:18" x14ac:dyDescent="0.3">
      <c r="C27" s="2"/>
      <c r="D27" s="2"/>
      <c r="E27" s="2"/>
      <c r="F27" s="2"/>
      <c r="G27" s="2"/>
      <c r="H27" s="2"/>
      <c r="I27" s="2"/>
      <c r="J27" s="2"/>
      <c r="K27" s="2"/>
    </row>
    <row r="28" spans="2:18" x14ac:dyDescent="0.3">
      <c r="C28" s="2"/>
      <c r="D28" s="2"/>
      <c r="E28" s="2"/>
      <c r="F28" s="2"/>
      <c r="G28" s="2"/>
      <c r="H28" s="2"/>
      <c r="I28" s="2"/>
      <c r="J28" s="2"/>
      <c r="K28" s="2"/>
    </row>
    <row r="29" spans="2:18" x14ac:dyDescent="0.3">
      <c r="B29" t="s">
        <v>81</v>
      </c>
      <c r="C29" s="2"/>
      <c r="D29" s="2"/>
      <c r="E29" s="2"/>
      <c r="F29" s="2"/>
      <c r="G29" s="2"/>
      <c r="H29" s="2"/>
      <c r="I29" s="2"/>
      <c r="J29" s="2"/>
      <c r="K29" s="2"/>
    </row>
    <row r="30" spans="2:18" x14ac:dyDescent="0.3">
      <c r="B30" t="s">
        <v>30</v>
      </c>
      <c r="C30" s="4">
        <f>2821+2810</f>
        <v>5631</v>
      </c>
      <c r="D30" s="4">
        <f>9528+2779</f>
        <v>12307</v>
      </c>
      <c r="E30" s="4">
        <f>7540+1847</f>
        <v>9387</v>
      </c>
      <c r="F30" s="4">
        <f>6722+1251</f>
        <v>7973</v>
      </c>
      <c r="G30" s="4">
        <f>3520+891</f>
        <v>4411</v>
      </c>
      <c r="H30" s="4">
        <f>3093+584</f>
        <v>3677</v>
      </c>
      <c r="I30" s="4">
        <f>2586+281</f>
        <v>2867</v>
      </c>
      <c r="J30" s="4">
        <f>3298+295</f>
        <v>3593</v>
      </c>
      <c r="K30" s="4"/>
      <c r="L30" s="12"/>
      <c r="M30" s="12"/>
      <c r="N30" s="12"/>
      <c r="O30" s="12"/>
      <c r="P30" s="12"/>
      <c r="Q30" s="12"/>
      <c r="R30" s="12"/>
    </row>
    <row r="31" spans="2:18" x14ac:dyDescent="0.3">
      <c r="B31" t="s">
        <v>31</v>
      </c>
      <c r="C31" s="4">
        <v>10214</v>
      </c>
      <c r="D31" s="4">
        <v>9304</v>
      </c>
      <c r="E31" s="4">
        <v>8962</v>
      </c>
      <c r="F31" s="4">
        <v>10289</v>
      </c>
      <c r="G31" s="4">
        <v>9577</v>
      </c>
      <c r="H31" s="4">
        <v>9686</v>
      </c>
      <c r="I31" s="4">
        <v>9068</v>
      </c>
      <c r="J31" s="4">
        <v>9638</v>
      </c>
      <c r="K31" s="4"/>
      <c r="L31" s="12"/>
      <c r="M31" s="12"/>
      <c r="N31" s="12"/>
      <c r="O31" s="12"/>
      <c r="P31" s="12"/>
      <c r="Q31" s="12"/>
      <c r="R31" s="12"/>
    </row>
    <row r="32" spans="2:18" x14ac:dyDescent="0.3">
      <c r="B32" t="s">
        <v>32</v>
      </c>
      <c r="C32" s="4">
        <v>2791</v>
      </c>
      <c r="D32" s="4">
        <v>2348</v>
      </c>
      <c r="E32" s="4">
        <v>2520</v>
      </c>
      <c r="F32" s="4">
        <v>2177</v>
      </c>
      <c r="G32" s="4">
        <v>2127</v>
      </c>
      <c r="H32" s="4">
        <v>1816</v>
      </c>
      <c r="I32" s="4">
        <v>2529</v>
      </c>
      <c r="J32" s="4">
        <v>2270</v>
      </c>
      <c r="K32" s="4"/>
      <c r="L32" s="12"/>
      <c r="M32" s="12"/>
      <c r="N32" s="12"/>
      <c r="O32" s="12"/>
      <c r="P32" s="12"/>
      <c r="Q32" s="12"/>
      <c r="R32" s="12"/>
    </row>
    <row r="33" spans="2:18" x14ac:dyDescent="0.3">
      <c r="B33" t="s">
        <v>33</v>
      </c>
      <c r="C33" s="4">
        <v>14077</v>
      </c>
      <c r="D33" s="4">
        <v>15492</v>
      </c>
      <c r="E33" s="4">
        <v>16598</v>
      </c>
      <c r="F33" s="4">
        <v>17270</v>
      </c>
      <c r="G33" s="4">
        <v>15221</v>
      </c>
      <c r="H33" s="4">
        <v>15273</v>
      </c>
      <c r="I33" s="4">
        <v>15616</v>
      </c>
      <c r="J33" s="4">
        <v>15962</v>
      </c>
      <c r="K33" s="4"/>
      <c r="L33" s="12"/>
      <c r="M33" s="12"/>
      <c r="N33" s="12"/>
      <c r="O33" s="12"/>
      <c r="P33" s="12"/>
      <c r="Q33" s="12"/>
      <c r="R33" s="12"/>
    </row>
    <row r="34" spans="2:18" x14ac:dyDescent="0.3">
      <c r="B34" t="s">
        <v>34</v>
      </c>
      <c r="C34" s="4">
        <v>128458</v>
      </c>
      <c r="D34" s="4">
        <v>128783</v>
      </c>
      <c r="E34" s="4">
        <v>128496</v>
      </c>
      <c r="F34" s="4">
        <f>339891-211402</f>
        <v>128489</v>
      </c>
      <c r="G34" s="4">
        <f>339115-211264</f>
        <v>127851</v>
      </c>
      <c r="H34" s="4">
        <f>342607-214835</f>
        <v>127772</v>
      </c>
      <c r="I34" s="4">
        <f>346030-218066</f>
        <v>127964</v>
      </c>
      <c r="J34" s="4">
        <v>128871</v>
      </c>
      <c r="K34" s="4"/>
      <c r="L34" s="12"/>
      <c r="M34" s="12"/>
      <c r="N34" s="12"/>
      <c r="O34" s="12"/>
      <c r="P34" s="12"/>
      <c r="Q34" s="12"/>
      <c r="R34" s="12"/>
    </row>
    <row r="35" spans="2:18" x14ac:dyDescent="0.3">
      <c r="B35" t="s">
        <v>35</v>
      </c>
      <c r="C35" s="4">
        <v>67895</v>
      </c>
      <c r="D35" s="4">
        <v>67854</v>
      </c>
      <c r="E35" s="4">
        <v>67854</v>
      </c>
      <c r="F35" s="4">
        <v>67854</v>
      </c>
      <c r="G35" s="4">
        <v>67854</v>
      </c>
      <c r="H35" s="4">
        <v>67854</v>
      </c>
      <c r="I35" s="4">
        <v>63432</v>
      </c>
      <c r="J35" s="4">
        <v>63432</v>
      </c>
      <c r="K35" s="4"/>
      <c r="L35" s="12"/>
      <c r="M35" s="12"/>
      <c r="N35" s="12"/>
      <c r="O35" s="12"/>
      <c r="P35" s="12"/>
      <c r="Q35" s="12"/>
      <c r="R35" s="12"/>
    </row>
    <row r="36" spans="2:18" x14ac:dyDescent="0.3">
      <c r="B36" t="s">
        <v>36</v>
      </c>
      <c r="C36" s="12">
        <v>124502</v>
      </c>
      <c r="D36" s="12">
        <v>125049</v>
      </c>
      <c r="E36" s="12">
        <v>127113</v>
      </c>
      <c r="F36" s="4">
        <v>127219</v>
      </c>
      <c r="G36" s="4">
        <v>127423</v>
      </c>
      <c r="H36" s="12">
        <v>127279</v>
      </c>
      <c r="I36" s="12">
        <v>127134</v>
      </c>
      <c r="J36" s="4">
        <v>127035</v>
      </c>
      <c r="K36" s="12"/>
      <c r="L36" s="12"/>
      <c r="M36" s="12"/>
      <c r="N36" s="12"/>
      <c r="O36" s="12"/>
      <c r="P36" s="12"/>
      <c r="Q36" s="12"/>
      <c r="R36" s="12"/>
    </row>
    <row r="37" spans="2:18" x14ac:dyDescent="0.3">
      <c r="B37" t="s">
        <v>37</v>
      </c>
      <c r="C37" s="12">
        <v>5346</v>
      </c>
      <c r="D37" s="12">
        <v>5339</v>
      </c>
      <c r="E37" s="12">
        <v>5332</v>
      </c>
      <c r="F37" s="4">
        <v>5283</v>
      </c>
      <c r="G37" s="4">
        <v>5281</v>
      </c>
      <c r="H37" s="12">
        <v>5277</v>
      </c>
      <c r="I37" s="12">
        <v>5256</v>
      </c>
      <c r="J37" s="12">
        <v>5255</v>
      </c>
      <c r="K37" s="12"/>
      <c r="L37" s="12"/>
      <c r="M37" s="12"/>
      <c r="N37" s="12"/>
      <c r="O37" s="12"/>
      <c r="P37" s="12"/>
      <c r="Q37" s="12"/>
      <c r="R37" s="12"/>
    </row>
    <row r="38" spans="2:18" x14ac:dyDescent="0.3">
      <c r="B38" t="s">
        <v>39</v>
      </c>
      <c r="C38" s="12">
        <v>21619</v>
      </c>
      <c r="D38" s="12">
        <v>21581</v>
      </c>
      <c r="E38" s="12">
        <v>21001</v>
      </c>
      <c r="F38" s="4">
        <v>20905</v>
      </c>
      <c r="G38" s="4">
        <v>20668</v>
      </c>
      <c r="H38" s="12">
        <v>20582</v>
      </c>
      <c r="I38" s="12">
        <v>20779</v>
      </c>
      <c r="J38" s="12">
        <v>20909</v>
      </c>
      <c r="K38" s="12"/>
      <c r="L38" s="12"/>
      <c r="M38" s="12"/>
      <c r="N38" s="12"/>
      <c r="O38" s="12"/>
      <c r="P38" s="12"/>
      <c r="Q38" s="12"/>
      <c r="R38" s="12"/>
    </row>
    <row r="39" spans="2:18" x14ac:dyDescent="0.3">
      <c r="B39" t="s">
        <v>38</v>
      </c>
      <c r="C39" s="12">
        <v>20340</v>
      </c>
      <c r="D39" s="12">
        <v>20396</v>
      </c>
      <c r="E39" s="12">
        <v>19435</v>
      </c>
      <c r="F39" s="4">
        <v>19601</v>
      </c>
      <c r="G39" s="4">
        <v>19015</v>
      </c>
      <c r="H39" s="12">
        <v>18810</v>
      </c>
      <c r="I39" s="12">
        <v>19074</v>
      </c>
      <c r="J39" s="12">
        <v>17830</v>
      </c>
      <c r="K39" s="12"/>
      <c r="L39" s="12"/>
      <c r="M39" s="12"/>
      <c r="N39" s="12"/>
      <c r="O39" s="12"/>
      <c r="P39" s="12"/>
      <c r="Q39" s="12"/>
      <c r="R39" s="12"/>
    </row>
    <row r="40" spans="2:18" x14ac:dyDescent="0.3">
      <c r="B40" s="3" t="s">
        <v>40</v>
      </c>
      <c r="C40" s="14">
        <f>SUM(C30:C39)</f>
        <v>400873</v>
      </c>
      <c r="D40" s="14">
        <f>SUM(D30:D39)</f>
        <v>408453</v>
      </c>
      <c r="E40" s="14">
        <f>SUM(E30:E39)</f>
        <v>406698</v>
      </c>
      <c r="F40" s="14">
        <f>SUM(F30:F39)</f>
        <v>407060</v>
      </c>
      <c r="G40" s="14">
        <f>SUM(G30:G39)</f>
        <v>399428</v>
      </c>
      <c r="H40" s="14">
        <f>SUM(H30:H39)</f>
        <v>398026</v>
      </c>
      <c r="I40" s="14">
        <f>SUM(I30:I39)</f>
        <v>393719</v>
      </c>
      <c r="J40" s="14">
        <f>SUM(J30:J39)</f>
        <v>394795</v>
      </c>
      <c r="K40" s="12"/>
      <c r="L40" s="12"/>
      <c r="M40" s="12"/>
      <c r="N40" s="12"/>
      <c r="O40" s="12"/>
      <c r="P40" s="12"/>
      <c r="Q40" s="12"/>
      <c r="R40" s="12"/>
    </row>
    <row r="41" spans="2:18" x14ac:dyDescent="0.3">
      <c r="B41" t="s">
        <v>41</v>
      </c>
      <c r="C41" s="12">
        <f>13757+123727</f>
        <v>137484</v>
      </c>
      <c r="D41" s="12">
        <f>15268+128012</f>
        <v>143280</v>
      </c>
      <c r="E41" s="12">
        <f>11302+126701</f>
        <v>138003</v>
      </c>
      <c r="F41" s="12">
        <f>9477+127854</f>
        <v>137331</v>
      </c>
      <c r="G41" s="12">
        <f>7060+125704</f>
        <v>132764</v>
      </c>
      <c r="H41" s="12">
        <f>5249+125355</f>
        <v>130604</v>
      </c>
      <c r="I41" s="12">
        <f>2637+126375</f>
        <v>129012</v>
      </c>
      <c r="J41" s="12">
        <f>5089+118443</f>
        <v>123532</v>
      </c>
      <c r="K41" s="12"/>
      <c r="L41" s="12"/>
      <c r="M41" s="12"/>
      <c r="N41" s="12"/>
      <c r="O41" s="12"/>
      <c r="P41" s="12"/>
      <c r="Q41" s="12"/>
      <c r="R41" s="12"/>
    </row>
    <row r="42" spans="2:18" x14ac:dyDescent="0.3">
      <c r="B42" t="s">
        <v>42</v>
      </c>
      <c r="C42" s="12">
        <v>38389</v>
      </c>
      <c r="D42" s="12">
        <v>33038</v>
      </c>
      <c r="E42" s="12">
        <v>34659</v>
      </c>
      <c r="F42" s="4">
        <v>35852</v>
      </c>
      <c r="G42" s="4">
        <v>31973</v>
      </c>
      <c r="H42" s="4">
        <v>31173</v>
      </c>
      <c r="I42" s="4">
        <v>31935</v>
      </c>
      <c r="J42" s="4">
        <v>35657</v>
      </c>
      <c r="K42" s="12"/>
      <c r="L42" s="12"/>
      <c r="M42" s="12"/>
      <c r="N42" s="12"/>
      <c r="O42" s="12"/>
      <c r="P42" s="12"/>
      <c r="Q42" s="12"/>
      <c r="R42" s="12"/>
    </row>
    <row r="43" spans="2:18" x14ac:dyDescent="0.3">
      <c r="B43" t="s">
        <v>43</v>
      </c>
      <c r="C43" s="12">
        <v>3922</v>
      </c>
      <c r="D43" s="12">
        <v>3833</v>
      </c>
      <c r="E43" s="12">
        <v>3703</v>
      </c>
      <c r="F43" s="4">
        <v>3778</v>
      </c>
      <c r="G43" s="4">
        <v>3713</v>
      </c>
      <c r="H43" s="4">
        <v>3981</v>
      </c>
      <c r="I43" s="4">
        <v>4059</v>
      </c>
      <c r="J43" s="4">
        <v>4099</v>
      </c>
      <c r="K43" s="12"/>
      <c r="L43" s="12"/>
      <c r="M43" s="12"/>
      <c r="N43" s="12"/>
      <c r="O43" s="12"/>
      <c r="P43" s="12"/>
      <c r="Q43" s="12"/>
      <c r="R43" s="12"/>
    </row>
    <row r="44" spans="2:18" x14ac:dyDescent="0.3">
      <c r="B44" t="s">
        <v>44</v>
      </c>
      <c r="C44" s="12">
        <v>2082</v>
      </c>
      <c r="D44" s="12">
        <v>2020</v>
      </c>
      <c r="E44" s="12">
        <v>2020</v>
      </c>
      <c r="F44" s="4">
        <v>2020</v>
      </c>
      <c r="G44" s="4">
        <v>2088</v>
      </c>
      <c r="H44" s="4">
        <v>2026</v>
      </c>
      <c r="I44" s="4">
        <v>2027</v>
      </c>
      <c r="J44" s="4">
        <v>2027</v>
      </c>
      <c r="K44" s="12"/>
      <c r="L44" s="12"/>
      <c r="M44" s="12"/>
      <c r="N44" s="12"/>
      <c r="O44" s="12"/>
      <c r="P44" s="12"/>
      <c r="Q44" s="12"/>
      <c r="R44" s="12"/>
    </row>
    <row r="45" spans="2:18" x14ac:dyDescent="0.3">
      <c r="B45" t="s">
        <v>45</v>
      </c>
      <c r="C45" s="12">
        <v>57294</v>
      </c>
      <c r="D45" s="12">
        <v>57972</v>
      </c>
      <c r="E45" s="12">
        <v>58671</v>
      </c>
      <c r="F45" s="4">
        <v>58666</v>
      </c>
      <c r="G45" s="4">
        <v>58820</v>
      </c>
      <c r="H45" s="4">
        <v>58918</v>
      </c>
      <c r="I45" s="4">
        <v>58461</v>
      </c>
      <c r="J45" s="4">
        <v>58939</v>
      </c>
      <c r="K45" s="12"/>
      <c r="L45" s="12"/>
      <c r="M45" s="12"/>
      <c r="N45" s="12"/>
      <c r="O45" s="12"/>
      <c r="P45" s="12"/>
      <c r="Q45" s="12"/>
      <c r="R45" s="12"/>
    </row>
    <row r="46" spans="2:18" x14ac:dyDescent="0.3">
      <c r="B46" t="s">
        <v>46</v>
      </c>
      <c r="C46" s="12">
        <v>7060</v>
      </c>
      <c r="D46" s="12">
        <v>6696</v>
      </c>
      <c r="E46" s="12">
        <v>6494</v>
      </c>
      <c r="F46" s="4">
        <v>8734</v>
      </c>
      <c r="G46" s="4">
        <v>8743</v>
      </c>
      <c r="H46" s="4">
        <v>8744</v>
      </c>
      <c r="I46" s="4">
        <v>8750</v>
      </c>
      <c r="J46" s="4">
        <v>9025</v>
      </c>
      <c r="K46" s="12"/>
      <c r="L46" s="12"/>
      <c r="M46" s="12"/>
      <c r="N46" s="12"/>
      <c r="O46" s="12"/>
      <c r="P46" s="12"/>
      <c r="Q46" s="12"/>
      <c r="R46" s="12"/>
    </row>
    <row r="47" spans="2:18" x14ac:dyDescent="0.3">
      <c r="B47" t="s">
        <v>47</v>
      </c>
      <c r="C47" s="12">
        <v>18413</v>
      </c>
      <c r="D47" s="12">
        <v>18311</v>
      </c>
      <c r="E47" s="12">
        <v>17730</v>
      </c>
      <c r="F47" s="4">
        <v>17568</v>
      </c>
      <c r="G47" s="4">
        <v>17291</v>
      </c>
      <c r="H47" s="4">
        <v>17174</v>
      </c>
      <c r="I47" s="4">
        <v>17331</v>
      </c>
      <c r="J47" s="4">
        <v>17391</v>
      </c>
      <c r="K47" s="12"/>
      <c r="L47" s="12"/>
      <c r="M47" s="12"/>
      <c r="N47" s="12"/>
      <c r="O47" s="12"/>
      <c r="P47" s="12"/>
      <c r="Q47" s="12"/>
      <c r="R47" s="12"/>
    </row>
    <row r="48" spans="2:18" x14ac:dyDescent="0.3">
      <c r="B48" s="6" t="s">
        <v>48</v>
      </c>
      <c r="C48" s="11">
        <v>27883</v>
      </c>
      <c r="D48" s="11">
        <v>25258</v>
      </c>
      <c r="E48" s="11">
        <v>25591</v>
      </c>
      <c r="F48" s="11">
        <v>23696</v>
      </c>
      <c r="G48" s="11">
        <v>23441</v>
      </c>
      <c r="H48" s="11">
        <v>24082</v>
      </c>
      <c r="I48" s="11">
        <v>23884</v>
      </c>
      <c r="J48" s="11">
        <v>23900</v>
      </c>
      <c r="K48" s="12"/>
      <c r="L48" s="12"/>
      <c r="M48" s="12"/>
      <c r="N48" s="12"/>
      <c r="O48" s="12"/>
      <c r="P48" s="12"/>
      <c r="Q48" s="12"/>
      <c r="R48" s="12"/>
    </row>
    <row r="49" spans="2:18" x14ac:dyDescent="0.3">
      <c r="B49" s="3" t="s">
        <v>49</v>
      </c>
      <c r="C49" s="14">
        <f>SUM(C41:C48)</f>
        <v>292527</v>
      </c>
      <c r="D49" s="14">
        <f>SUM(D41:D48)</f>
        <v>290408</v>
      </c>
      <c r="E49" s="14">
        <f>SUM(E41:E48)</f>
        <v>286871</v>
      </c>
      <c r="F49" s="14">
        <f>SUM(F41:F48)</f>
        <v>287645</v>
      </c>
      <c r="G49" s="14">
        <f>SUM(G41:G48)</f>
        <v>278833</v>
      </c>
      <c r="H49" s="14">
        <f>SUM(H41:H48)</f>
        <v>276702</v>
      </c>
      <c r="I49" s="14">
        <f>SUM(I41:I48)</f>
        <v>275459</v>
      </c>
      <c r="J49" s="14">
        <f>SUM(J41:J48)</f>
        <v>274570</v>
      </c>
      <c r="K49" s="12"/>
      <c r="L49" s="12"/>
      <c r="M49" s="12"/>
      <c r="N49" s="12"/>
      <c r="O49" s="12"/>
      <c r="P49" s="12"/>
      <c r="Q49" s="12"/>
      <c r="R49" s="12"/>
    </row>
    <row r="50" spans="2:18" x14ac:dyDescent="0.3">
      <c r="B50" s="6" t="s">
        <v>50</v>
      </c>
      <c r="C50" s="12">
        <v>108346</v>
      </c>
      <c r="D50" s="12">
        <f>1970+116075</f>
        <v>118045</v>
      </c>
      <c r="E50" s="12">
        <f>1972+117855</f>
        <v>119827</v>
      </c>
      <c r="F50" s="4">
        <f>1973+117442</f>
        <v>119415</v>
      </c>
      <c r="G50" s="4">
        <f>118620+1975</f>
        <v>120595</v>
      </c>
      <c r="H50" s="4">
        <f>1977+119347</f>
        <v>121324</v>
      </c>
      <c r="I50" s="4">
        <f>1978+116282</f>
        <v>118260</v>
      </c>
      <c r="J50" s="4">
        <f>1980+118245</f>
        <v>120225</v>
      </c>
      <c r="K50" s="12"/>
      <c r="L50" s="12"/>
      <c r="M50" s="12"/>
      <c r="N50" s="12"/>
      <c r="O50" s="12"/>
      <c r="P50" s="12"/>
      <c r="Q50" s="12"/>
      <c r="R50" s="12"/>
    </row>
    <row r="51" spans="2:18" x14ac:dyDescent="0.3">
      <c r="B51" s="3" t="s">
        <v>51</v>
      </c>
      <c r="C51" s="14">
        <f>+C50+C49</f>
        <v>400873</v>
      </c>
      <c r="D51" s="14">
        <f>+D50+D49</f>
        <v>408453</v>
      </c>
      <c r="E51" s="14">
        <f>+E50+E49</f>
        <v>406698</v>
      </c>
      <c r="F51" s="14">
        <f>+F50+F49</f>
        <v>407060</v>
      </c>
      <c r="G51" s="14">
        <f>+G50+G49</f>
        <v>399428</v>
      </c>
      <c r="H51" s="14">
        <f>+H50+H49</f>
        <v>398026</v>
      </c>
      <c r="I51" s="14">
        <f>+I50+I49</f>
        <v>393719</v>
      </c>
      <c r="J51" s="14">
        <f>+J50+J49</f>
        <v>394795</v>
      </c>
      <c r="K51" s="12"/>
      <c r="L51" s="12"/>
      <c r="M51" s="12"/>
      <c r="N51" s="12"/>
      <c r="O51" s="12"/>
      <c r="P51" s="12"/>
      <c r="Q51" s="12"/>
      <c r="R51" s="12"/>
    </row>
    <row r="52" spans="2:18" x14ac:dyDescent="0.3">
      <c r="B52" s="6" t="s">
        <v>52</v>
      </c>
      <c r="J52" s="12"/>
      <c r="K52" s="12"/>
      <c r="L52" s="12"/>
      <c r="M52" s="12"/>
      <c r="N52" s="12"/>
      <c r="O52" s="12"/>
      <c r="P52" s="12"/>
      <c r="Q52" s="12"/>
      <c r="R52" s="12"/>
    </row>
    <row r="53" spans="2:18" x14ac:dyDescent="0.3">
      <c r="B53" s="6"/>
      <c r="J53" s="12"/>
      <c r="K53" s="12"/>
      <c r="L53" s="12"/>
      <c r="M53" s="12"/>
      <c r="N53" s="12"/>
      <c r="O53" s="12"/>
      <c r="P53" s="12"/>
      <c r="Q53" s="12"/>
      <c r="R53" s="12"/>
    </row>
    <row r="54" spans="2:18" x14ac:dyDescent="0.3">
      <c r="B54" s="6" t="s">
        <v>82</v>
      </c>
      <c r="J54" s="12"/>
      <c r="K54" s="12"/>
      <c r="L54" s="12"/>
      <c r="M54" s="12"/>
      <c r="N54" s="12"/>
      <c r="O54" s="12"/>
      <c r="P54" s="12"/>
      <c r="Q54" s="12"/>
      <c r="R54" s="12"/>
    </row>
    <row r="55" spans="2:18" x14ac:dyDescent="0.3">
      <c r="B55" t="s">
        <v>53</v>
      </c>
      <c r="C55" s="12">
        <f t="shared" ref="C55:J55" si="8">C16</f>
        <v>4176</v>
      </c>
      <c r="D55" s="12">
        <f t="shared" si="8"/>
        <v>4437</v>
      </c>
      <c r="E55" s="12">
        <f t="shared" si="8"/>
        <v>3444</v>
      </c>
      <c r="F55" s="12">
        <f t="shared" si="8"/>
        <v>2135</v>
      </c>
      <c r="G55" s="12">
        <f t="shared" si="8"/>
        <v>3395</v>
      </c>
      <c r="H55" s="12">
        <f t="shared" si="8"/>
        <v>3546</v>
      </c>
      <c r="I55" s="12">
        <f t="shared" si="8"/>
        <v>-226</v>
      </c>
      <c r="J55" s="12">
        <f>J16</f>
        <v>4031</v>
      </c>
      <c r="K55" s="12"/>
      <c r="L55" s="12"/>
      <c r="M55" s="12"/>
      <c r="N55" s="12"/>
      <c r="O55" s="12"/>
      <c r="P55" s="7">
        <f>P16</f>
        <v>-8727</v>
      </c>
      <c r="Q55" s="12">
        <f>SUM(C55:F55)</f>
        <v>14192</v>
      </c>
      <c r="R55" s="12">
        <f>SUM(G55:J55)</f>
        <v>10746</v>
      </c>
    </row>
    <row r="56" spans="2:18" x14ac:dyDescent="0.3">
      <c r="B56" t="s">
        <v>54</v>
      </c>
      <c r="C56" s="12">
        <v>4453</v>
      </c>
      <c r="D56" s="12">
        <f>9215-C56</f>
        <v>4762</v>
      </c>
      <c r="E56" s="12">
        <f>13041-C56-D56</f>
        <v>3826</v>
      </c>
      <c r="F56" s="12">
        <f>15623-E56-D56-C56</f>
        <v>2582</v>
      </c>
      <c r="G56" s="12">
        <v>3751</v>
      </c>
      <c r="H56" s="12">
        <f>7700-G56</f>
        <v>3949</v>
      </c>
      <c r="I56" s="12">
        <f>7845-H56-G56</f>
        <v>145</v>
      </c>
      <c r="J56" s="12">
        <f>12253-I56-H56-G56</f>
        <v>4408</v>
      </c>
      <c r="K56" s="12"/>
      <c r="L56" s="12"/>
      <c r="M56" s="12"/>
      <c r="N56" s="12"/>
      <c r="O56" s="12"/>
      <c r="P56" s="12">
        <v>-6874</v>
      </c>
      <c r="Q56" s="12">
        <f t="shared" ref="Q56:Q66" si="9">SUM(C56:F56)</f>
        <v>15623</v>
      </c>
      <c r="R56" s="12">
        <f>SUM(G56:J56)</f>
        <v>12253</v>
      </c>
    </row>
    <row r="57" spans="2:18" x14ac:dyDescent="0.3">
      <c r="B57" t="s">
        <v>15</v>
      </c>
      <c r="C57" s="12">
        <v>4631</v>
      </c>
      <c r="D57" s="12">
        <f>9306-C57</f>
        <v>4675</v>
      </c>
      <c r="E57" s="12">
        <f>14011-D57-C57</f>
        <v>4705</v>
      </c>
      <c r="F57" s="12">
        <f>18777-E57-D57-C57</f>
        <v>4766</v>
      </c>
      <c r="G57" s="12">
        <v>5047</v>
      </c>
      <c r="H57" s="12">
        <f>10119-G57</f>
        <v>5072</v>
      </c>
      <c r="I57" s="12">
        <f>15206-H57-G57</f>
        <v>5087</v>
      </c>
      <c r="J57" s="12">
        <f>20580-I57-H57-G57</f>
        <v>5374</v>
      </c>
      <c r="K57" s="12"/>
      <c r="L57" s="12"/>
      <c r="M57" s="12"/>
      <c r="N57" s="12"/>
      <c r="O57" s="12"/>
      <c r="P57" s="12">
        <v>18021</v>
      </c>
      <c r="Q57" s="12">
        <f t="shared" si="9"/>
        <v>18777</v>
      </c>
      <c r="R57" s="12">
        <f t="shared" ref="R57:R79" si="10">SUM(G57:J57)</f>
        <v>20580</v>
      </c>
    </row>
    <row r="58" spans="2:18" x14ac:dyDescent="0.3">
      <c r="B58" t="s">
        <v>55</v>
      </c>
      <c r="C58" s="12">
        <v>477</v>
      </c>
      <c r="D58" s="12">
        <f>929-C58</f>
        <v>452</v>
      </c>
      <c r="E58" s="12">
        <f>1409-D58-C58</f>
        <v>480</v>
      </c>
      <c r="F58" s="12">
        <f>1969-E58-D58-C58</f>
        <v>560</v>
      </c>
      <c r="G58" s="12">
        <v>472</v>
      </c>
      <c r="H58" s="12">
        <f>942-G58</f>
        <v>470</v>
      </c>
      <c r="I58" s="12">
        <f>1431-H58-G58</f>
        <v>489</v>
      </c>
      <c r="J58" s="12">
        <f>1969-I58-H58-G58</f>
        <v>538</v>
      </c>
      <c r="K58" s="12"/>
      <c r="L58" s="12"/>
      <c r="M58" s="12"/>
      <c r="N58" s="12"/>
      <c r="O58" s="12"/>
      <c r="P58" s="12">
        <v>1865</v>
      </c>
      <c r="Q58" s="12">
        <f t="shared" si="9"/>
        <v>1969</v>
      </c>
      <c r="R58" s="12">
        <f t="shared" si="10"/>
        <v>1969</v>
      </c>
    </row>
    <row r="59" spans="2:18" x14ac:dyDescent="0.3">
      <c r="B59" t="s">
        <v>56</v>
      </c>
      <c r="C59" s="12">
        <v>529</v>
      </c>
      <c r="D59" s="12">
        <f>1836-C59</f>
        <v>1307</v>
      </c>
      <c r="E59" s="12">
        <f>3163-D59-C59</f>
        <v>1327</v>
      </c>
      <c r="F59" s="12">
        <f>3037-E59-D59-C59</f>
        <v>-126</v>
      </c>
      <c r="G59" s="12">
        <v>479</v>
      </c>
      <c r="H59" s="12">
        <f>1203-G59</f>
        <v>724</v>
      </c>
      <c r="I59" s="12">
        <f>1811-H59-G59</f>
        <v>608</v>
      </c>
      <c r="J59" s="12">
        <f>1570-I59-H59-G59</f>
        <v>-241</v>
      </c>
      <c r="K59" s="12"/>
      <c r="L59" s="12"/>
      <c r="M59" s="12"/>
      <c r="N59" s="12"/>
      <c r="O59" s="12"/>
      <c r="P59" s="12">
        <v>2975</v>
      </c>
      <c r="Q59" s="12">
        <f t="shared" si="9"/>
        <v>3037</v>
      </c>
      <c r="R59" s="12">
        <f t="shared" si="10"/>
        <v>1570</v>
      </c>
    </row>
    <row r="60" spans="2:18" x14ac:dyDescent="0.3">
      <c r="B60" t="s">
        <v>57</v>
      </c>
      <c r="C60" s="12">
        <v>-93</v>
      </c>
      <c r="D60" s="12">
        <f>-160-C60</f>
        <v>-67</v>
      </c>
      <c r="E60" s="12">
        <f>335-D60-C60</f>
        <v>495</v>
      </c>
      <c r="F60" s="12">
        <f>441-E60-D60-C60</f>
        <v>106</v>
      </c>
      <c r="G60" s="12">
        <v>201</v>
      </c>
      <c r="H60" s="12">
        <f>185-G60</f>
        <v>-16</v>
      </c>
      <c r="I60" s="12">
        <f>88-H60-G60</f>
        <v>-97</v>
      </c>
      <c r="J60" s="12">
        <f>80-I60-H60-G60</f>
        <v>-8</v>
      </c>
      <c r="K60" s="12"/>
      <c r="L60" s="12"/>
      <c r="M60" s="12"/>
      <c r="N60" s="12"/>
      <c r="O60" s="12"/>
      <c r="P60" s="12">
        <v>381</v>
      </c>
      <c r="Q60" s="12">
        <f t="shared" si="9"/>
        <v>441</v>
      </c>
      <c r="R60" s="12">
        <f t="shared" si="10"/>
        <v>80</v>
      </c>
    </row>
    <row r="61" spans="2:18" x14ac:dyDescent="0.3">
      <c r="B61" t="s">
        <v>58</v>
      </c>
      <c r="C61" s="12">
        <v>-670</v>
      </c>
      <c r="D61" s="12">
        <f>-1341-74-C61</f>
        <v>-745</v>
      </c>
      <c r="E61" s="12">
        <f>-1966-145-D61-C61</f>
        <v>-696</v>
      </c>
      <c r="F61" s="12">
        <f>-2552+1594-E61-D61-C61</f>
        <v>1153</v>
      </c>
      <c r="G61" s="12">
        <v>-471</v>
      </c>
      <c r="H61" s="12">
        <f>-941-G61</f>
        <v>-470</v>
      </c>
      <c r="I61" s="12">
        <f>-1412-H61-G61</f>
        <v>-471</v>
      </c>
      <c r="J61" s="12">
        <f>-1883+56-I61-H61-G61</f>
        <v>-415</v>
      </c>
      <c r="K61" s="12"/>
      <c r="L61" s="12"/>
      <c r="M61" s="12"/>
      <c r="N61" s="12"/>
      <c r="O61" s="12"/>
      <c r="P61" s="12">
        <f>-3237-1999</f>
        <v>-5236</v>
      </c>
      <c r="Q61" s="12">
        <f t="shared" si="9"/>
        <v>-958</v>
      </c>
      <c r="R61" s="12">
        <f t="shared" si="10"/>
        <v>-1827</v>
      </c>
    </row>
    <row r="62" spans="2:18" x14ac:dyDescent="0.3">
      <c r="B62" t="s">
        <v>18</v>
      </c>
      <c r="C62" s="12"/>
      <c r="D62" s="12"/>
      <c r="E62" s="12">
        <v>604</v>
      </c>
      <c r="F62" s="12">
        <f>1193-E62</f>
        <v>589</v>
      </c>
      <c r="G62" s="12">
        <v>159</v>
      </c>
      <c r="H62" s="12">
        <f>639-G62</f>
        <v>480</v>
      </c>
      <c r="I62" s="12">
        <f>5061-H62-G62</f>
        <v>4422</v>
      </c>
      <c r="J62" s="12">
        <f>5075-I62-H62-G62</f>
        <v>14</v>
      </c>
      <c r="K62" s="12"/>
      <c r="L62" s="12"/>
      <c r="M62" s="12"/>
      <c r="N62" s="12"/>
      <c r="O62" s="12"/>
      <c r="P62" s="12">
        <v>27498</v>
      </c>
      <c r="Q62" s="12">
        <f t="shared" si="9"/>
        <v>1193</v>
      </c>
      <c r="R62" s="12">
        <f t="shared" si="10"/>
        <v>5075</v>
      </c>
    </row>
    <row r="63" spans="2:18" x14ac:dyDescent="0.3">
      <c r="B63" t="s">
        <v>31</v>
      </c>
      <c r="C63" s="12">
        <v>620</v>
      </c>
      <c r="D63" s="12">
        <f>1342-C63</f>
        <v>722</v>
      </c>
      <c r="E63" s="12">
        <f>1173-D63-C63</f>
        <v>-169</v>
      </c>
      <c r="F63" s="12">
        <f>82-E63-D63-C63</f>
        <v>-1091</v>
      </c>
      <c r="G63" s="12">
        <v>512</v>
      </c>
      <c r="H63" s="12">
        <f>130-G63</f>
        <v>-382</v>
      </c>
      <c r="I63" s="12">
        <f>574-H63-G63</f>
        <v>444</v>
      </c>
      <c r="J63" s="12">
        <f>123-I63-H63-G63</f>
        <v>-451</v>
      </c>
      <c r="K63" s="12"/>
      <c r="L63" s="12"/>
      <c r="M63" s="12"/>
      <c r="N63" s="12"/>
      <c r="O63" s="12"/>
      <c r="P63" s="12">
        <v>727</v>
      </c>
      <c r="Q63" s="12">
        <f t="shared" si="9"/>
        <v>82</v>
      </c>
      <c r="R63" s="12">
        <f t="shared" si="10"/>
        <v>123</v>
      </c>
    </row>
    <row r="64" spans="2:18" x14ac:dyDescent="0.3">
      <c r="B64" t="s">
        <v>59</v>
      </c>
      <c r="C64" s="12">
        <v>364</v>
      </c>
      <c r="D64" s="12">
        <f>1106-C64</f>
        <v>742</v>
      </c>
      <c r="E64" s="12">
        <f>57-D64-C64</f>
        <v>-1049</v>
      </c>
      <c r="F64" s="12">
        <f>-642-E64-D64-C64</f>
        <v>-699</v>
      </c>
      <c r="G64" s="12">
        <v>629</v>
      </c>
      <c r="H64" s="12">
        <f>1149-G64</f>
        <v>520</v>
      </c>
      <c r="I64" s="12">
        <f>147-H64-G64</f>
        <v>-1002</v>
      </c>
      <c r="J64" s="12">
        <f>-383-I64-H64-G64</f>
        <v>-530</v>
      </c>
      <c r="K64" s="12"/>
      <c r="L64" s="12"/>
      <c r="M64" s="12"/>
      <c r="N64" s="12"/>
      <c r="O64" s="12"/>
      <c r="P64" s="12">
        <v>-674</v>
      </c>
      <c r="Q64" s="12">
        <f t="shared" si="9"/>
        <v>-642</v>
      </c>
      <c r="R64" s="12">
        <f t="shared" si="10"/>
        <v>-383</v>
      </c>
    </row>
    <row r="65" spans="1:18" x14ac:dyDescent="0.3">
      <c r="B65" t="s">
        <v>42</v>
      </c>
      <c r="C65" s="12">
        <v>-3409</v>
      </c>
      <c r="D65" s="12">
        <f>-5769-C65</f>
        <v>-2360</v>
      </c>
      <c r="E65" s="12">
        <f>-5062-D65-C65</f>
        <v>707</v>
      </c>
      <c r="F65" s="12">
        <f>-1764-E65-D65-C65</f>
        <v>3298</v>
      </c>
      <c r="G65" s="12">
        <v>-3497</v>
      </c>
      <c r="H65" s="12">
        <f>-4831-G65</f>
        <v>-1334</v>
      </c>
      <c r="I65" s="12">
        <f>-4503-H65-G65</f>
        <v>328</v>
      </c>
      <c r="J65" s="12">
        <f>-810-I65-H65-G65</f>
        <v>3693</v>
      </c>
      <c r="K65" s="12"/>
      <c r="L65" s="12"/>
      <c r="M65" s="12"/>
      <c r="N65" s="12"/>
      <c r="O65" s="12"/>
      <c r="P65" s="12">
        <v>-1109</v>
      </c>
      <c r="Q65" s="12">
        <f t="shared" si="9"/>
        <v>-1764</v>
      </c>
      <c r="R65" s="12">
        <f t="shared" si="10"/>
        <v>-810</v>
      </c>
    </row>
    <row r="66" spans="1:18" x14ac:dyDescent="0.3">
      <c r="B66" t="s">
        <v>60</v>
      </c>
      <c r="C66" s="12">
        <f>-243-22-89+130</f>
        <v>-224</v>
      </c>
      <c r="D66" s="12">
        <f>-302+34-556+1034-C66</f>
        <v>434</v>
      </c>
      <c r="E66" s="12">
        <f>-56+47-715+1040-D66-C66</f>
        <v>106</v>
      </c>
      <c r="F66" s="12">
        <f>-133+1-735+1423-E66-D66-C66</f>
        <v>240</v>
      </c>
      <c r="G66" s="12">
        <f>24+103-54+192</f>
        <v>265</v>
      </c>
      <c r="H66" s="12">
        <f>-320+294-93+464-G66</f>
        <v>80</v>
      </c>
      <c r="I66" s="12">
        <f>-899+490-129+1165-H66-G66</f>
        <v>282</v>
      </c>
      <c r="J66" s="12">
        <f>-1846+497-166+1656-I66-H66-G66</f>
        <v>-486</v>
      </c>
      <c r="K66" s="12"/>
      <c r="L66" s="12"/>
      <c r="M66" s="12"/>
      <c r="N66" s="12"/>
      <c r="O66" s="12"/>
      <c r="P66" s="12">
        <f>154-947-823-146</f>
        <v>-1762</v>
      </c>
      <c r="Q66" s="12">
        <f t="shared" si="9"/>
        <v>556</v>
      </c>
      <c r="R66" s="12">
        <f t="shared" si="10"/>
        <v>141</v>
      </c>
    </row>
    <row r="67" spans="1:18" x14ac:dyDescent="0.3">
      <c r="A67" s="15" t="s">
        <v>62</v>
      </c>
      <c r="B67" s="3" t="s">
        <v>61</v>
      </c>
      <c r="C67" s="14">
        <f>SUM(C56:C66)</f>
        <v>6678</v>
      </c>
      <c r="D67" s="14">
        <f>SUM(D56:D66)</f>
        <v>9922</v>
      </c>
      <c r="E67" s="14">
        <f>SUM(E56:E66)</f>
        <v>10336</v>
      </c>
      <c r="F67" s="14">
        <f>SUM(F56:F66)</f>
        <v>11378</v>
      </c>
      <c r="G67" s="14">
        <f>SUM(G56:G66)</f>
        <v>7547</v>
      </c>
      <c r="H67" s="14">
        <f>SUM(H56:H66)</f>
        <v>9093</v>
      </c>
      <c r="I67" s="14">
        <f>SUM(I56:I66)</f>
        <v>10235</v>
      </c>
      <c r="J67" s="14">
        <f>SUM(J56:J66)</f>
        <v>11896</v>
      </c>
      <c r="K67" s="12"/>
      <c r="L67" s="12"/>
      <c r="M67" s="12"/>
      <c r="N67" s="12"/>
      <c r="O67" s="12"/>
      <c r="P67" s="14">
        <f>SUM(P56:P66)</f>
        <v>35812</v>
      </c>
      <c r="Q67" s="14">
        <f>SUM(Q56:Q66)</f>
        <v>38314</v>
      </c>
      <c r="R67" s="14">
        <f>SUM(R56:R66)</f>
        <v>38771</v>
      </c>
    </row>
    <row r="68" spans="1:18" x14ac:dyDescent="0.3">
      <c r="A68" s="15" t="s">
        <v>64</v>
      </c>
      <c r="B68" t="s">
        <v>63</v>
      </c>
      <c r="C68" s="12">
        <v>-4335</v>
      </c>
      <c r="D68" s="12">
        <f>-8605-C68</f>
        <v>-4270</v>
      </c>
      <c r="E68" s="12">
        <f>-13252-D68-C68</f>
        <v>-4647</v>
      </c>
      <c r="F68" s="12">
        <f>-17853-E68-D68-C68</f>
        <v>-4601</v>
      </c>
      <c r="G68" s="12">
        <v>-3758</v>
      </c>
      <c r="H68" s="12">
        <f>-8118-G68</f>
        <v>-4360</v>
      </c>
      <c r="I68" s="12">
        <f>-13420-H68-G68</f>
        <v>-5302</v>
      </c>
      <c r="J68" s="12">
        <f>-20263-I68-H68-G68</f>
        <v>-6843</v>
      </c>
      <c r="K68" s="12"/>
      <c r="L68" s="12"/>
      <c r="M68" s="12"/>
      <c r="N68" s="12"/>
      <c r="O68" s="12"/>
      <c r="P68" s="12">
        <v>-19626</v>
      </c>
      <c r="Q68" s="12">
        <f t="shared" ref="Q68:Q72" si="11">SUM(C68:F68)</f>
        <v>-17853</v>
      </c>
      <c r="R68" s="12">
        <f t="shared" si="10"/>
        <v>-20263</v>
      </c>
    </row>
    <row r="69" spans="1:18" x14ac:dyDescent="0.3">
      <c r="B69" t="s">
        <v>65</v>
      </c>
      <c r="C69" s="12">
        <v>-291</v>
      </c>
      <c r="D69" s="12">
        <f>-515-C69</f>
        <v>-224</v>
      </c>
      <c r="E69" s="12">
        <f>-923-D69-C69</f>
        <v>-408</v>
      </c>
      <c r="F69" s="12">
        <f>-2942-E69-D69-C69</f>
        <v>-2019</v>
      </c>
      <c r="G69" s="12">
        <v>-211</v>
      </c>
      <c r="H69" s="12">
        <f>-270-G69</f>
        <v>-59</v>
      </c>
      <c r="I69" s="12">
        <f>-322-H69-G69</f>
        <v>-52</v>
      </c>
      <c r="J69" s="12">
        <f>-380-I69-H69-G69</f>
        <v>-58</v>
      </c>
      <c r="K69" s="12"/>
      <c r="L69" s="12"/>
      <c r="M69" s="12"/>
      <c r="N69" s="12"/>
      <c r="O69" s="12"/>
      <c r="P69" s="12">
        <v>-10200</v>
      </c>
      <c r="Q69" s="12">
        <f t="shared" si="11"/>
        <v>-2942</v>
      </c>
      <c r="R69" s="12">
        <f t="shared" si="10"/>
        <v>-380</v>
      </c>
    </row>
    <row r="70" spans="1:18" x14ac:dyDescent="0.3">
      <c r="B70" t="s">
        <v>66</v>
      </c>
      <c r="C70" s="12">
        <v>15</v>
      </c>
      <c r="D70" s="12">
        <f>16-C70</f>
        <v>1</v>
      </c>
      <c r="E70" s="12">
        <f>66-D70-C70</f>
        <v>50</v>
      </c>
      <c r="F70" s="12">
        <f>72-E70-D70-C70</f>
        <v>6</v>
      </c>
      <c r="G70" s="12">
        <v>8</v>
      </c>
      <c r="H70" s="12">
        <f>14-G70</f>
        <v>6</v>
      </c>
      <c r="I70" s="12">
        <f>66-H70-G70</f>
        <v>52</v>
      </c>
      <c r="J70" s="12">
        <f>75-I70-H70-G70</f>
        <v>9</v>
      </c>
      <c r="K70" s="12"/>
      <c r="L70" s="12"/>
      <c r="M70" s="12"/>
      <c r="N70" s="12"/>
      <c r="O70" s="12"/>
      <c r="P70" s="12">
        <v>199</v>
      </c>
      <c r="Q70" s="12">
        <f t="shared" si="11"/>
        <v>72</v>
      </c>
      <c r="R70" s="12">
        <f t="shared" si="10"/>
        <v>75</v>
      </c>
    </row>
    <row r="71" spans="1:18" x14ac:dyDescent="0.3">
      <c r="B71" t="s">
        <v>70</v>
      </c>
      <c r="C71" s="12">
        <v>19</v>
      </c>
      <c r="D71" s="12">
        <f>-1056-C71</f>
        <v>-1075</v>
      </c>
      <c r="E71" s="12">
        <f>-1043-D71-C71</f>
        <v>13</v>
      </c>
      <c r="F71" s="12">
        <f>-902-E71-D71-C71</f>
        <v>141</v>
      </c>
      <c r="G71" s="12">
        <v>1079</v>
      </c>
      <c r="H71" s="12">
        <f>1147-G71</f>
        <v>68</v>
      </c>
      <c r="I71" s="12">
        <f>1153-H71-G71</f>
        <v>6</v>
      </c>
      <c r="J71" s="12">
        <f>2575-I71-H71-G71</f>
        <v>1422</v>
      </c>
      <c r="K71" s="12"/>
      <c r="L71" s="12"/>
      <c r="M71" s="12"/>
      <c r="N71" s="12"/>
      <c r="O71" s="12"/>
      <c r="P71" s="12">
        <v>82</v>
      </c>
      <c r="Q71" s="12">
        <f t="shared" si="11"/>
        <v>-902</v>
      </c>
      <c r="R71" s="12">
        <f t="shared" si="10"/>
        <v>2575</v>
      </c>
    </row>
    <row r="72" spans="1:18" x14ac:dyDescent="0.3">
      <c r="B72" t="s">
        <v>60</v>
      </c>
      <c r="C72" s="12">
        <v>774</v>
      </c>
      <c r="D72" s="12">
        <f>974-55-C72</f>
        <v>145</v>
      </c>
      <c r="E72" s="12">
        <f>1447-81-D72-C72</f>
        <v>447</v>
      </c>
      <c r="F72" s="12">
        <f>2049-E72-D72-C72-84</f>
        <v>599</v>
      </c>
      <c r="G72" s="12">
        <f>194-273</f>
        <v>-79</v>
      </c>
      <c r="H72" s="12">
        <f>586-336-G72</f>
        <v>329</v>
      </c>
      <c r="I72" s="12">
        <f>928-532-H72-G72</f>
        <v>146</v>
      </c>
      <c r="J72" s="12">
        <f>928-425-I72-H72-G72</f>
        <v>107</v>
      </c>
      <c r="K72" s="12"/>
      <c r="L72" s="12"/>
      <c r="M72" s="12"/>
      <c r="N72" s="12"/>
      <c r="O72" s="12"/>
      <c r="P72" s="12">
        <f>2649-3</f>
        <v>2646</v>
      </c>
      <c r="Q72" s="12">
        <f t="shared" si="11"/>
        <v>1965</v>
      </c>
      <c r="R72" s="12">
        <f>SUM(G72:J72)</f>
        <v>503</v>
      </c>
    </row>
    <row r="73" spans="1:18" x14ac:dyDescent="0.3">
      <c r="A73" s="15" t="s">
        <v>71</v>
      </c>
      <c r="B73" s="3" t="s">
        <v>67</v>
      </c>
      <c r="C73" s="14">
        <f>SUM(C68:C72)</f>
        <v>-3818</v>
      </c>
      <c r="D73" s="14">
        <f>SUM(D68:D72)</f>
        <v>-5423</v>
      </c>
      <c r="E73" s="14">
        <f>SUM(E68:E72)</f>
        <v>-4545</v>
      </c>
      <c r="F73" s="14">
        <f>SUM(F68:F72)</f>
        <v>-5874</v>
      </c>
      <c r="G73" s="14">
        <f>SUM(G68:G72)</f>
        <v>-2961</v>
      </c>
      <c r="H73" s="14">
        <f>SUM(H68:H72)</f>
        <v>-4016</v>
      </c>
      <c r="I73" s="14">
        <f>SUM(I68:I72)</f>
        <v>-5150</v>
      </c>
      <c r="J73" s="14">
        <f>SUM(J68:J72)</f>
        <v>-5363</v>
      </c>
      <c r="K73" s="12"/>
      <c r="L73" s="12"/>
      <c r="M73" s="12"/>
      <c r="N73" s="12"/>
      <c r="O73" s="12"/>
      <c r="P73" s="14">
        <f>SUM(P68:P72)</f>
        <v>-26899</v>
      </c>
      <c r="Q73" s="14">
        <f>SUM(Q68:Q72)</f>
        <v>-19660</v>
      </c>
      <c r="R73" s="14">
        <f>SUM(R68:R72)</f>
        <v>-17490</v>
      </c>
    </row>
    <row r="74" spans="1:18" x14ac:dyDescent="0.3">
      <c r="B74" t="s">
        <v>72</v>
      </c>
      <c r="C74" s="12">
        <f>-536+3627</f>
        <v>3091</v>
      </c>
      <c r="D74" s="12">
        <f>-914+5406-867-C74</f>
        <v>534</v>
      </c>
      <c r="E74" s="12">
        <f>-914+5406-979-D74-C74</f>
        <v>-112</v>
      </c>
      <c r="F74" s="12">
        <f>-914+5406-3415-E74-D74-C74</f>
        <v>-2436</v>
      </c>
      <c r="G74" s="12">
        <f>1933+491-1996</f>
        <v>428</v>
      </c>
      <c r="H74" s="12">
        <f>2686+491-2487-G74</f>
        <v>262</v>
      </c>
      <c r="I74" s="12">
        <f>491-2487-H74-G74</f>
        <v>-2686</v>
      </c>
      <c r="J74" s="12">
        <f>491-2487-I74-H74-G74</f>
        <v>0</v>
      </c>
      <c r="K74" s="12"/>
      <c r="L74" s="12"/>
      <c r="M74" s="12"/>
      <c r="N74" s="12"/>
      <c r="O74" s="12"/>
      <c r="P74" s="12">
        <f>-519+3955-18345</f>
        <v>-14909</v>
      </c>
      <c r="Q74" s="12">
        <f t="shared" ref="Q74:Q79" si="12">SUM(C74:F74)</f>
        <v>1077</v>
      </c>
      <c r="R74" s="12">
        <f t="shared" si="10"/>
        <v>-1996</v>
      </c>
    </row>
    <row r="75" spans="1:18" x14ac:dyDescent="0.3">
      <c r="B75" t="s">
        <v>41</v>
      </c>
      <c r="C75" s="12">
        <f>3366-5945</f>
        <v>-2579</v>
      </c>
      <c r="D75" s="12">
        <f>9633-7609-C75</f>
        <v>4603</v>
      </c>
      <c r="E75" s="12">
        <f>9633-11889-D75-C75</f>
        <v>-4280</v>
      </c>
      <c r="F75" s="12">
        <f>10004-12044-E75-D75-C75</f>
        <v>216</v>
      </c>
      <c r="G75" s="12">
        <v>-4685</v>
      </c>
      <c r="H75" s="12">
        <f>2-6910-G75</f>
        <v>-2223</v>
      </c>
      <c r="I75" s="12">
        <f>4-7113-H75-G75</f>
        <v>-201</v>
      </c>
      <c r="J75" s="12">
        <f>19-10297-I75-H75-G75</f>
        <v>-3169</v>
      </c>
      <c r="K75" s="12"/>
      <c r="L75" s="12"/>
      <c r="M75" s="12"/>
      <c r="N75" s="12"/>
      <c r="O75" s="12"/>
      <c r="P75" s="12">
        <f>2979-25118</f>
        <v>-22139</v>
      </c>
      <c r="Q75" s="12">
        <f t="shared" si="12"/>
        <v>-2040</v>
      </c>
      <c r="R75" s="12">
        <f t="shared" si="10"/>
        <v>-10278</v>
      </c>
    </row>
    <row r="76" spans="1:18" x14ac:dyDescent="0.3">
      <c r="B76" t="s">
        <v>73</v>
      </c>
      <c r="C76" s="12">
        <f>-130-2113</f>
        <v>-2243</v>
      </c>
      <c r="D76" s="12">
        <f>-130-3756-C76</f>
        <v>-1643</v>
      </c>
      <c r="E76" s="12">
        <f>-130-4736-D76-C76</f>
        <v>-980</v>
      </c>
      <c r="F76" s="12">
        <f>-130-5742-E76-D76-C76</f>
        <v>-1006</v>
      </c>
      <c r="G76" s="12">
        <v>-841</v>
      </c>
      <c r="H76" s="12">
        <f>-1391-G76</f>
        <v>-550</v>
      </c>
      <c r="I76" s="12">
        <f>-1571-H76-G76</f>
        <v>-180</v>
      </c>
      <c r="J76" s="12">
        <f>-1792-I76-H76-G76</f>
        <v>-221</v>
      </c>
      <c r="K76" s="12"/>
      <c r="L76" s="12"/>
      <c r="M76" s="12"/>
      <c r="N76" s="12"/>
      <c r="O76" s="12"/>
      <c r="P76" s="12">
        <f>-1211-4697</f>
        <v>-5908</v>
      </c>
      <c r="Q76" s="12">
        <f t="shared" si="12"/>
        <v>-5872</v>
      </c>
      <c r="R76" s="12">
        <f t="shared" si="10"/>
        <v>-1792</v>
      </c>
    </row>
    <row r="77" spans="1:18" x14ac:dyDescent="0.3">
      <c r="B77" t="s">
        <v>74</v>
      </c>
      <c r="C77" s="12">
        <f>-188+3</f>
        <v>-185</v>
      </c>
      <c r="D77" s="12">
        <f>-189+3-C77</f>
        <v>-1</v>
      </c>
      <c r="E77" s="12">
        <f>-190+3-D77-C77</f>
        <v>-1</v>
      </c>
      <c r="F77" s="12">
        <f>-194+3-E77-D77-C77</f>
        <v>-4</v>
      </c>
      <c r="G77" s="12">
        <v>-157</v>
      </c>
      <c r="H77" s="12">
        <f>-159-G77</f>
        <v>-2</v>
      </c>
      <c r="I77" s="12">
        <f>-202+2-H77-G77</f>
        <v>-41</v>
      </c>
      <c r="J77" s="12">
        <f>-215+15-I77-H77-G77</f>
        <v>0</v>
      </c>
      <c r="K77" s="12"/>
      <c r="L77" s="12"/>
      <c r="M77" s="12"/>
      <c r="N77" s="12"/>
      <c r="O77" s="12"/>
      <c r="P77" s="12">
        <f>-890+28</f>
        <v>-862</v>
      </c>
      <c r="Q77" s="12">
        <f t="shared" si="12"/>
        <v>-191</v>
      </c>
      <c r="R77" s="12">
        <f t="shared" si="10"/>
        <v>-200</v>
      </c>
    </row>
    <row r="78" spans="1:18" x14ac:dyDescent="0.3">
      <c r="B78" t="s">
        <v>75</v>
      </c>
      <c r="C78" s="12">
        <v>-2014</v>
      </c>
      <c r="D78" s="12">
        <f>-4097-C78</f>
        <v>-2083</v>
      </c>
      <c r="E78" s="12">
        <f>-6116-D78-C78</f>
        <v>-2019</v>
      </c>
      <c r="F78" s="12">
        <f>-8136-E78-D78-C78</f>
        <v>-2020</v>
      </c>
      <c r="G78" s="12">
        <v>-2034</v>
      </c>
      <c r="H78" s="12">
        <f>-4133-G78</f>
        <v>-2099</v>
      </c>
      <c r="I78" s="12">
        <f>-6171-H78-G78</f>
        <v>-2038</v>
      </c>
      <c r="J78" s="12">
        <f>-8208-I78-H78-G78</f>
        <v>-2037</v>
      </c>
      <c r="K78" s="12"/>
      <c r="L78" s="12"/>
      <c r="M78" s="12"/>
      <c r="N78" s="12"/>
      <c r="O78" s="12"/>
      <c r="P78" s="12">
        <v>-9859</v>
      </c>
      <c r="Q78" s="12">
        <f t="shared" si="12"/>
        <v>-8136</v>
      </c>
      <c r="R78" s="12">
        <f t="shared" si="10"/>
        <v>-8208</v>
      </c>
    </row>
    <row r="79" spans="1:18" x14ac:dyDescent="0.3">
      <c r="B79" t="s">
        <v>60</v>
      </c>
      <c r="C79" s="12">
        <v>219</v>
      </c>
      <c r="D79" s="12">
        <f>7151-5333-828-C79</f>
        <v>771</v>
      </c>
      <c r="E79" s="12">
        <f>-1190+7151-5333-D79-C79</f>
        <v>-362</v>
      </c>
      <c r="F79" s="12">
        <f>7151-5333-2270-E79-D79-C79</f>
        <v>-1080</v>
      </c>
      <c r="G79" s="12">
        <v>-526</v>
      </c>
      <c r="H79" s="12">
        <f>-1392-G79</f>
        <v>-866</v>
      </c>
      <c r="I79" s="12">
        <f>-1808-H79-G79</f>
        <v>-416</v>
      </c>
      <c r="J79" s="12">
        <f>-2234-I79-H79-G79</f>
        <v>-426</v>
      </c>
      <c r="K79" s="12"/>
      <c r="L79" s="12"/>
      <c r="M79" s="12"/>
      <c r="N79" s="12"/>
      <c r="O79" s="12"/>
      <c r="P79" s="12">
        <f>-2665-3222</f>
        <v>-5887</v>
      </c>
      <c r="Q79" s="12">
        <f t="shared" si="12"/>
        <v>-452</v>
      </c>
      <c r="R79" s="12">
        <f t="shared" si="10"/>
        <v>-2234</v>
      </c>
    </row>
    <row r="80" spans="1:18" x14ac:dyDescent="0.3">
      <c r="A80" s="15" t="s">
        <v>77</v>
      </c>
      <c r="B80" s="3" t="s">
        <v>76</v>
      </c>
      <c r="C80" s="14">
        <f>SUM(C74:C79)</f>
        <v>-3711</v>
      </c>
      <c r="D80" s="14">
        <f>SUM(D74:D79)</f>
        <v>2181</v>
      </c>
      <c r="E80" s="14">
        <f>SUM(E74:E79)</f>
        <v>-7754</v>
      </c>
      <c r="F80" s="14">
        <f>SUM(F74:F79)</f>
        <v>-6330</v>
      </c>
      <c r="G80" s="14">
        <f>SUM(G74:G79)</f>
        <v>-7815</v>
      </c>
      <c r="H80" s="14">
        <f>SUM(H74:H79)</f>
        <v>-5478</v>
      </c>
      <c r="I80" s="14">
        <f>SUM(I74:I79)</f>
        <v>-5562</v>
      </c>
      <c r="J80" s="14">
        <f>SUM(J74:J79)</f>
        <v>-5853</v>
      </c>
      <c r="K80" s="12"/>
      <c r="L80" s="12"/>
      <c r="M80" s="12"/>
      <c r="N80" s="12"/>
      <c r="O80" s="12"/>
      <c r="P80" s="14">
        <f>SUM(P74:P79)</f>
        <v>-59564</v>
      </c>
      <c r="Q80" s="14">
        <f>SUM(Q74:Q79)</f>
        <v>-15614</v>
      </c>
      <c r="R80" s="14">
        <f>SUM(R74:R79)</f>
        <v>-24708</v>
      </c>
    </row>
    <row r="81" spans="1:18" s="16" customFormat="1" x14ac:dyDescent="0.3">
      <c r="B81" s="17" t="s">
        <v>78</v>
      </c>
      <c r="C81" s="18">
        <f>C80+C73+C67</f>
        <v>-851</v>
      </c>
      <c r="D81" s="18">
        <f>D80+D73+D67</f>
        <v>6680</v>
      </c>
      <c r="E81" s="18">
        <f>E80+E73+E67</f>
        <v>-1963</v>
      </c>
      <c r="F81" s="18">
        <f>F80+F73+F67</f>
        <v>-826</v>
      </c>
      <c r="G81" s="18">
        <f>G80+G73+G67</f>
        <v>-3229</v>
      </c>
      <c r="H81" s="18">
        <f>H80+H73+H67</f>
        <v>-401</v>
      </c>
      <c r="I81" s="18">
        <f>I80+I73+I67</f>
        <v>-477</v>
      </c>
      <c r="J81" s="18">
        <f>J80+J73+J67</f>
        <v>680</v>
      </c>
      <c r="K81" s="19"/>
      <c r="L81" s="19"/>
      <c r="M81" s="19"/>
      <c r="N81" s="19"/>
      <c r="O81" s="19"/>
      <c r="P81" s="18">
        <f>P80+P73+P67</f>
        <v>-50651</v>
      </c>
      <c r="Q81" s="18">
        <f>Q80+Q73+Q67</f>
        <v>3040</v>
      </c>
      <c r="R81" s="18">
        <f>R80+R73+R67</f>
        <v>-3427</v>
      </c>
    </row>
    <row r="82" spans="1:18" s="16" customFormat="1" x14ac:dyDescent="0.3">
      <c r="B82" s="17"/>
      <c r="C82" s="18"/>
      <c r="D82" s="18"/>
      <c r="E82" s="18"/>
      <c r="F82" s="18"/>
      <c r="G82" s="18"/>
      <c r="H82" s="18"/>
      <c r="I82" s="18"/>
      <c r="J82" s="19"/>
      <c r="K82" s="19"/>
      <c r="L82" s="19"/>
      <c r="M82" s="19"/>
      <c r="N82" s="19"/>
      <c r="O82" s="19"/>
      <c r="P82" s="19"/>
      <c r="Q82" s="19"/>
      <c r="R82" s="19"/>
    </row>
    <row r="83" spans="1:18" x14ac:dyDescent="0.3">
      <c r="A83" s="15" t="s">
        <v>69</v>
      </c>
      <c r="B83" s="3" t="s">
        <v>68</v>
      </c>
      <c r="C83" s="14">
        <f>C67+C68</f>
        <v>2343</v>
      </c>
      <c r="D83" s="14">
        <f>D67+D68</f>
        <v>5652</v>
      </c>
      <c r="E83" s="14">
        <f>E67+E68</f>
        <v>5689</v>
      </c>
      <c r="F83" s="14">
        <f>F67+F68</f>
        <v>6777</v>
      </c>
      <c r="G83" s="14">
        <f>G67+G68</f>
        <v>3789</v>
      </c>
      <c r="H83" s="14">
        <f>H67+H68</f>
        <v>4733</v>
      </c>
      <c r="I83" s="14">
        <f>I67+I68</f>
        <v>4933</v>
      </c>
      <c r="J83" s="14">
        <f>J67+J68</f>
        <v>5053</v>
      </c>
      <c r="K83" s="12"/>
      <c r="L83" s="12"/>
      <c r="M83" s="12"/>
      <c r="N83" s="12"/>
      <c r="O83" s="12"/>
      <c r="P83" s="14">
        <f>P67+P68</f>
        <v>16186</v>
      </c>
      <c r="Q83" s="14">
        <f>Q67+Q68</f>
        <v>20461</v>
      </c>
      <c r="R83" s="14">
        <f>R67+R68</f>
        <v>18508</v>
      </c>
    </row>
    <row r="84" spans="1:18" x14ac:dyDescent="0.3">
      <c r="B84" s="3" t="s">
        <v>79</v>
      </c>
      <c r="C84" s="12"/>
      <c r="D84" s="12"/>
      <c r="E84" s="12"/>
      <c r="F84" s="12"/>
      <c r="G84" s="13">
        <f t="shared" ref="G84:I84" si="13">G83/C83-1</f>
        <v>0.61715749039692702</v>
      </c>
      <c r="H84" s="13">
        <f t="shared" si="13"/>
        <v>-0.16259731068648264</v>
      </c>
      <c r="I84" s="13">
        <f t="shared" si="13"/>
        <v>-0.13288802953067325</v>
      </c>
      <c r="J84" s="13">
        <f>J83/F83-1</f>
        <v>-0.25438984801534603</v>
      </c>
      <c r="Q84" s="13">
        <f>Q83/P83-1</f>
        <v>0.26411713826763861</v>
      </c>
      <c r="R84" s="13">
        <f>R83/Q83-1</f>
        <v>-9.5449880260006892E-2</v>
      </c>
    </row>
  </sheetData>
  <phoneticPr fontId="3" type="noConversion"/>
  <hyperlinks>
    <hyperlink ref="A1" r:id="rId1" xr:uid="{F6C43E71-55C8-4059-A355-8BDD7CF060CA}"/>
  </hyperlinks>
  <pageMargins left="0.7" right="0.7" top="0.75" bottom="0.75" header="0.3" footer="0.3"/>
  <ignoredErrors>
    <ignoredError sqref="Q73:R73 Q67:R67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2025-03-22T16:29:45Z</dcterms:modified>
</cp:coreProperties>
</file>