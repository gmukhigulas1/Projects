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egaMukhigulashvili\Desktop\Excel\"/>
    </mc:Choice>
  </mc:AlternateContent>
  <xr:revisionPtr revIDLastSave="0" documentId="13_ncr:1_{DAEE0EDC-4F50-47E6-B9E6-183DCDF4B02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75" i="2" l="1"/>
  <c r="P175" i="2"/>
  <c r="O175" i="2"/>
  <c r="N175" i="2"/>
  <c r="Q176" i="2"/>
  <c r="P176" i="2"/>
  <c r="O176" i="2"/>
  <c r="N176" i="2"/>
  <c r="L176" i="2"/>
  <c r="K176" i="2"/>
  <c r="J176" i="2"/>
  <c r="I176" i="2"/>
  <c r="M176" i="2"/>
  <c r="I175" i="2"/>
  <c r="L175" i="2"/>
  <c r="K175" i="2"/>
  <c r="J175" i="2"/>
  <c r="M175" i="2"/>
  <c r="L173" i="2"/>
  <c r="K173" i="2"/>
  <c r="J173" i="2"/>
  <c r="I173" i="2"/>
  <c r="M173" i="2"/>
  <c r="K15" i="1"/>
  <c r="L172" i="2"/>
  <c r="K172" i="2"/>
  <c r="J172" i="2"/>
  <c r="I172" i="2"/>
  <c r="H172" i="2"/>
  <c r="G172" i="2"/>
  <c r="F172" i="2"/>
  <c r="M172" i="2"/>
  <c r="Z123" i="2"/>
  <c r="Y123" i="2"/>
  <c r="X123" i="2"/>
  <c r="W123" i="2"/>
  <c r="V123" i="2"/>
  <c r="Z122" i="2"/>
  <c r="Y122" i="2"/>
  <c r="X122" i="2"/>
  <c r="W122" i="2"/>
  <c r="V122" i="2"/>
  <c r="Q123" i="2"/>
  <c r="P123" i="2"/>
  <c r="O123" i="2"/>
  <c r="N123" i="2"/>
  <c r="L123" i="2"/>
  <c r="K123" i="2"/>
  <c r="J123" i="2"/>
  <c r="I123" i="2"/>
  <c r="H123" i="2"/>
  <c r="G123" i="2"/>
  <c r="M123" i="2"/>
  <c r="Q122" i="2"/>
  <c r="P122" i="2"/>
  <c r="O122" i="2"/>
  <c r="N122" i="2"/>
  <c r="L122" i="2"/>
  <c r="K122" i="2"/>
  <c r="J122" i="2"/>
  <c r="I122" i="2"/>
  <c r="H122" i="2"/>
  <c r="G122" i="2"/>
  <c r="M122" i="2"/>
  <c r="J102" i="2"/>
  <c r="J164" i="2"/>
  <c r="J90" i="2"/>
  <c r="F138" i="2"/>
  <c r="F141" i="2" s="1"/>
  <c r="J138" i="2"/>
  <c r="J141" i="2" s="1"/>
  <c r="F12" i="2"/>
  <c r="J12" i="2"/>
  <c r="X138" i="2"/>
  <c r="X141" i="2" s="1"/>
  <c r="W138" i="2"/>
  <c r="V138" i="2"/>
  <c r="V141" i="2" s="1"/>
  <c r="Z141" i="2"/>
  <c r="Y141" i="2"/>
  <c r="W141" i="2"/>
  <c r="Z136" i="2"/>
  <c r="Y136" i="2"/>
  <c r="X136" i="2"/>
  <c r="W136" i="2"/>
  <c r="V136" i="2"/>
  <c r="Z132" i="2"/>
  <c r="Z142" i="2" s="1"/>
  <c r="Y132" i="2"/>
  <c r="Y142" i="2" s="1"/>
  <c r="X132" i="2"/>
  <c r="W132" i="2"/>
  <c r="V132" i="2"/>
  <c r="W101" i="2"/>
  <c r="W83" i="2"/>
  <c r="Z118" i="2"/>
  <c r="Y118" i="2"/>
  <c r="X118" i="2"/>
  <c r="W118" i="2"/>
  <c r="V118" i="2"/>
  <c r="Z102" i="2"/>
  <c r="Y102" i="2"/>
  <c r="X102" i="2"/>
  <c r="W102" i="2"/>
  <c r="V102" i="2"/>
  <c r="Z90" i="2"/>
  <c r="Z120" i="2" s="1"/>
  <c r="Y90" i="2"/>
  <c r="Y120" i="2" s="1"/>
  <c r="X90" i="2"/>
  <c r="W90" i="2"/>
  <c r="V90" i="2"/>
  <c r="Z73" i="2"/>
  <c r="Y73" i="2"/>
  <c r="X73" i="2"/>
  <c r="W73" i="2"/>
  <c r="Z69" i="2"/>
  <c r="Y69" i="2"/>
  <c r="X69" i="2"/>
  <c r="W69" i="2"/>
  <c r="Z67" i="2"/>
  <c r="Y67" i="2"/>
  <c r="X67" i="2"/>
  <c r="W67" i="2"/>
  <c r="Z65" i="2"/>
  <c r="Y65" i="2"/>
  <c r="X65" i="2"/>
  <c r="W65" i="2"/>
  <c r="Z64" i="2"/>
  <c r="Y64" i="2"/>
  <c r="X64" i="2"/>
  <c r="W64" i="2"/>
  <c r="W38" i="2"/>
  <c r="W37" i="2"/>
  <c r="Z38" i="2"/>
  <c r="Y38" i="2"/>
  <c r="Z37" i="2"/>
  <c r="Y37" i="2"/>
  <c r="X38" i="2"/>
  <c r="X37" i="2"/>
  <c r="W21" i="2"/>
  <c r="V12" i="2"/>
  <c r="V16" i="2" s="1"/>
  <c r="W12" i="2"/>
  <c r="X12" i="2"/>
  <c r="W45" i="2"/>
  <c r="X61" i="2"/>
  <c r="X59" i="2"/>
  <c r="X45" i="2"/>
  <c r="X52" i="2" s="1"/>
  <c r="X41" i="2"/>
  <c r="Z59" i="2"/>
  <c r="Z61" i="2" s="1"/>
  <c r="Y59" i="2"/>
  <c r="Y61" i="2" s="1"/>
  <c r="W59" i="2"/>
  <c r="W61" i="2" s="1"/>
  <c r="Z52" i="2"/>
  <c r="Y52" i="2"/>
  <c r="W52" i="2"/>
  <c r="Z41" i="2"/>
  <c r="Y41" i="2"/>
  <c r="W41" i="2"/>
  <c r="Y24" i="2"/>
  <c r="Y35" i="2" s="1"/>
  <c r="Z23" i="2"/>
  <c r="Y23" i="2"/>
  <c r="X23" i="2"/>
  <c r="W23" i="2"/>
  <c r="V23" i="2"/>
  <c r="Y17" i="2"/>
  <c r="Z16" i="2"/>
  <c r="Y16" i="2"/>
  <c r="X16" i="2"/>
  <c r="W16" i="2"/>
  <c r="Y11" i="2"/>
  <c r="Z10" i="2"/>
  <c r="Z11" i="2" s="1"/>
  <c r="Z17" i="2" s="1"/>
  <c r="Y10" i="2"/>
  <c r="X10" i="2"/>
  <c r="W10" i="2"/>
  <c r="V10" i="2"/>
  <c r="Z5" i="2"/>
  <c r="Y5" i="2"/>
  <c r="X5" i="2"/>
  <c r="W5" i="2"/>
  <c r="V5" i="2"/>
  <c r="L169" i="2"/>
  <c r="K169" i="2"/>
  <c r="I169" i="2"/>
  <c r="H169" i="2"/>
  <c r="G169" i="2"/>
  <c r="Q169" i="2"/>
  <c r="P169" i="2"/>
  <c r="O169" i="2"/>
  <c r="M169" i="2"/>
  <c r="P157" i="2"/>
  <c r="O157" i="2"/>
  <c r="N157" i="2"/>
  <c r="M157" i="2"/>
  <c r="Q157" i="2"/>
  <c r="G138" i="2"/>
  <c r="G141" i="2" s="1"/>
  <c r="K138" i="2"/>
  <c r="K141" i="2" s="1"/>
  <c r="H118" i="2"/>
  <c r="L118" i="2"/>
  <c r="H102" i="2"/>
  <c r="L90" i="2"/>
  <c r="G77" i="2"/>
  <c r="G90" i="2" s="1"/>
  <c r="K77" i="2"/>
  <c r="L31" i="2"/>
  <c r="K31" i="2"/>
  <c r="I31" i="2"/>
  <c r="H31" i="2"/>
  <c r="G31" i="2"/>
  <c r="E31" i="2"/>
  <c r="D31" i="2"/>
  <c r="C31" i="2"/>
  <c r="Q31" i="2"/>
  <c r="P31" i="2"/>
  <c r="O31" i="2"/>
  <c r="N31" i="2"/>
  <c r="M31" i="2"/>
  <c r="G12" i="2"/>
  <c r="K12" i="2"/>
  <c r="K45" i="2"/>
  <c r="K52" i="2" s="1"/>
  <c r="K67" i="2" s="1"/>
  <c r="I118" i="2"/>
  <c r="M118" i="2"/>
  <c r="I102" i="2"/>
  <c r="M102" i="2"/>
  <c r="I90" i="2"/>
  <c r="M90" i="2"/>
  <c r="L73" i="2"/>
  <c r="I73" i="2"/>
  <c r="H73" i="2"/>
  <c r="E73" i="2"/>
  <c r="D73" i="2"/>
  <c r="C73" i="2"/>
  <c r="Q73" i="2"/>
  <c r="P73" i="2"/>
  <c r="O73" i="2"/>
  <c r="N73" i="2"/>
  <c r="M73" i="2"/>
  <c r="L45" i="2"/>
  <c r="K11" i="1"/>
  <c r="K13" i="1"/>
  <c r="K12" i="1"/>
  <c r="K10" i="1"/>
  <c r="L165" i="2"/>
  <c r="K165" i="2"/>
  <c r="J165" i="2"/>
  <c r="I165" i="2"/>
  <c r="H165" i="2"/>
  <c r="G165" i="2"/>
  <c r="E165" i="2"/>
  <c r="D165" i="2"/>
  <c r="C165" i="2"/>
  <c r="L164" i="2"/>
  <c r="K164" i="2"/>
  <c r="I164" i="2"/>
  <c r="H164" i="2"/>
  <c r="G164" i="2"/>
  <c r="E164" i="2"/>
  <c r="D164" i="2"/>
  <c r="C164" i="2"/>
  <c r="L163" i="2"/>
  <c r="K163" i="2"/>
  <c r="J163" i="2"/>
  <c r="I163" i="2"/>
  <c r="H163" i="2"/>
  <c r="G163" i="2"/>
  <c r="F163" i="2"/>
  <c r="E163" i="2"/>
  <c r="D163" i="2"/>
  <c r="C163" i="2"/>
  <c r="L162" i="2"/>
  <c r="K162" i="2"/>
  <c r="J162" i="2"/>
  <c r="I162" i="2"/>
  <c r="H162" i="2"/>
  <c r="G162" i="2"/>
  <c r="F162" i="2"/>
  <c r="E162" i="2"/>
  <c r="D162" i="2"/>
  <c r="C162" i="2"/>
  <c r="I161" i="2"/>
  <c r="E161" i="2"/>
  <c r="E166" i="2" s="1"/>
  <c r="E168" i="2" s="1"/>
  <c r="D161" i="2"/>
  <c r="D166" i="2" s="1"/>
  <c r="D168" i="2" s="1"/>
  <c r="C161" i="2"/>
  <c r="C166" i="2" s="1"/>
  <c r="C168" i="2" s="1"/>
  <c r="Q165" i="2"/>
  <c r="P165" i="2"/>
  <c r="O165" i="2"/>
  <c r="N165" i="2"/>
  <c r="Q164" i="2"/>
  <c r="P164" i="2"/>
  <c r="O164" i="2"/>
  <c r="N164" i="2"/>
  <c r="Q163" i="2"/>
  <c r="P163" i="2"/>
  <c r="O163" i="2"/>
  <c r="N163" i="2"/>
  <c r="Q162" i="2"/>
  <c r="Q166" i="2" s="1"/>
  <c r="Q168" i="2" s="1"/>
  <c r="P162" i="2"/>
  <c r="P166" i="2" s="1"/>
  <c r="P168" i="2" s="1"/>
  <c r="O162" i="2"/>
  <c r="O166" i="2" s="1"/>
  <c r="O168" i="2" s="1"/>
  <c r="N162" i="2"/>
  <c r="N166" i="2" s="1"/>
  <c r="N168" i="2" s="1"/>
  <c r="Q161" i="2"/>
  <c r="P161" i="2"/>
  <c r="O161" i="2"/>
  <c r="N161" i="2"/>
  <c r="M165" i="2"/>
  <c r="M164" i="2"/>
  <c r="M166" i="2" s="1"/>
  <c r="M168" i="2" s="1"/>
  <c r="M163" i="2"/>
  <c r="M162" i="2"/>
  <c r="L155" i="2"/>
  <c r="K155" i="2"/>
  <c r="K157" i="2" s="1"/>
  <c r="J155" i="2"/>
  <c r="Q155" i="2"/>
  <c r="P155" i="2"/>
  <c r="O155" i="2"/>
  <c r="N155" i="2"/>
  <c r="M155" i="2"/>
  <c r="L141" i="2"/>
  <c r="I141" i="2"/>
  <c r="H141" i="2"/>
  <c r="E141" i="2"/>
  <c r="D141" i="2"/>
  <c r="C141" i="2"/>
  <c r="Q141" i="2"/>
  <c r="P141" i="2"/>
  <c r="O141" i="2"/>
  <c r="N141" i="2"/>
  <c r="M141" i="2"/>
  <c r="L136" i="2"/>
  <c r="K136" i="2"/>
  <c r="J136" i="2"/>
  <c r="I136" i="2"/>
  <c r="H136" i="2"/>
  <c r="G136" i="2"/>
  <c r="F136" i="2"/>
  <c r="E136" i="2"/>
  <c r="D136" i="2"/>
  <c r="C136" i="2"/>
  <c r="Q136" i="2"/>
  <c r="P136" i="2"/>
  <c r="O136" i="2"/>
  <c r="N136" i="2"/>
  <c r="M136" i="2"/>
  <c r="L132" i="2"/>
  <c r="K132" i="2"/>
  <c r="J132" i="2"/>
  <c r="I132" i="2"/>
  <c r="H132" i="2"/>
  <c r="G132" i="2"/>
  <c r="F132" i="2"/>
  <c r="E132" i="2"/>
  <c r="D132" i="2"/>
  <c r="C132" i="2"/>
  <c r="Q132" i="2"/>
  <c r="P132" i="2"/>
  <c r="O132" i="2"/>
  <c r="N132" i="2"/>
  <c r="M132" i="2"/>
  <c r="Q65" i="2"/>
  <c r="P65" i="2"/>
  <c r="O65" i="2"/>
  <c r="N65" i="2"/>
  <c r="Q64" i="2"/>
  <c r="P64" i="2"/>
  <c r="O64" i="2"/>
  <c r="N64" i="2"/>
  <c r="L65" i="2"/>
  <c r="K65" i="2"/>
  <c r="J65" i="2"/>
  <c r="L64" i="2"/>
  <c r="K64" i="2"/>
  <c r="J64" i="2"/>
  <c r="M64" i="2"/>
  <c r="M65" i="2"/>
  <c r="Q118" i="2"/>
  <c r="P118" i="2"/>
  <c r="O118" i="2"/>
  <c r="N118" i="2"/>
  <c r="K118" i="2"/>
  <c r="J118" i="2"/>
  <c r="G118" i="2"/>
  <c r="F118" i="2"/>
  <c r="E118" i="2"/>
  <c r="D118" i="2"/>
  <c r="C118" i="2"/>
  <c r="Q102" i="2"/>
  <c r="P102" i="2"/>
  <c r="O102" i="2"/>
  <c r="N102" i="2"/>
  <c r="L102" i="2"/>
  <c r="K102" i="2"/>
  <c r="G102" i="2"/>
  <c r="F102" i="2"/>
  <c r="E102" i="2"/>
  <c r="D102" i="2"/>
  <c r="C102" i="2"/>
  <c r="Q90" i="2"/>
  <c r="P90" i="2"/>
  <c r="O90" i="2"/>
  <c r="N90" i="2"/>
  <c r="K90" i="2"/>
  <c r="H90" i="2"/>
  <c r="F90" i="2"/>
  <c r="E90" i="2"/>
  <c r="D90" i="2"/>
  <c r="C90" i="2"/>
  <c r="J45" i="2"/>
  <c r="J52" i="2" s="1"/>
  <c r="L41" i="2"/>
  <c r="K41" i="2"/>
  <c r="J41" i="2"/>
  <c r="Q41" i="2"/>
  <c r="P41" i="2"/>
  <c r="O41" i="2"/>
  <c r="N41" i="2"/>
  <c r="M41" i="2"/>
  <c r="Q59" i="2"/>
  <c r="Q61" i="2" s="1"/>
  <c r="P59" i="2"/>
  <c r="P61" i="2" s="1"/>
  <c r="O59" i="2"/>
  <c r="O61" i="2" s="1"/>
  <c r="N59" i="2"/>
  <c r="N61" i="2" s="1"/>
  <c r="L59" i="2"/>
  <c r="L61" i="2" s="1"/>
  <c r="K59" i="2"/>
  <c r="K61" i="2" s="1"/>
  <c r="J59" i="2"/>
  <c r="J61" i="2" s="1"/>
  <c r="M59" i="2"/>
  <c r="M61" i="2" s="1"/>
  <c r="L52" i="2"/>
  <c r="L67" i="2" s="1"/>
  <c r="Q52" i="2"/>
  <c r="Q67" i="2" s="1"/>
  <c r="P52" i="2"/>
  <c r="P67" i="2" s="1"/>
  <c r="O52" i="2"/>
  <c r="O67" i="2" s="1"/>
  <c r="N52" i="2"/>
  <c r="N67" i="2" s="1"/>
  <c r="M45" i="2"/>
  <c r="M52" i="2" s="1"/>
  <c r="L23" i="2"/>
  <c r="K23" i="2"/>
  <c r="J23" i="2"/>
  <c r="I23" i="2"/>
  <c r="H23" i="2"/>
  <c r="G23" i="2"/>
  <c r="F23" i="2"/>
  <c r="E23" i="2"/>
  <c r="D23" i="2"/>
  <c r="C23" i="2"/>
  <c r="Q23" i="2"/>
  <c r="P23" i="2"/>
  <c r="O23" i="2"/>
  <c r="N23" i="2"/>
  <c r="M23" i="2"/>
  <c r="L16" i="2"/>
  <c r="K16" i="2"/>
  <c r="J16" i="2"/>
  <c r="I16" i="2"/>
  <c r="H16" i="2"/>
  <c r="G16" i="2"/>
  <c r="F16" i="2"/>
  <c r="E16" i="2"/>
  <c r="D16" i="2"/>
  <c r="C16" i="2"/>
  <c r="Q16" i="2"/>
  <c r="P16" i="2"/>
  <c r="O16" i="2"/>
  <c r="N16" i="2"/>
  <c r="M16" i="2"/>
  <c r="L10" i="2"/>
  <c r="K10" i="2"/>
  <c r="J10" i="2"/>
  <c r="I10" i="2"/>
  <c r="H10" i="2"/>
  <c r="G10" i="2"/>
  <c r="F10" i="2"/>
  <c r="E10" i="2"/>
  <c r="D10" i="2"/>
  <c r="C10" i="2"/>
  <c r="Q10" i="2"/>
  <c r="P10" i="2"/>
  <c r="O10" i="2"/>
  <c r="N10" i="2"/>
  <c r="M10" i="2"/>
  <c r="L5" i="2"/>
  <c r="K5" i="2"/>
  <c r="J5" i="2"/>
  <c r="I5" i="2"/>
  <c r="H5" i="2"/>
  <c r="G5" i="2"/>
  <c r="F5" i="2"/>
  <c r="E5" i="2"/>
  <c r="D5" i="2"/>
  <c r="C5" i="2"/>
  <c r="Q5" i="2"/>
  <c r="P5" i="2"/>
  <c r="O5" i="2"/>
  <c r="N5" i="2"/>
  <c r="M5" i="2"/>
  <c r="V142" i="2" l="1"/>
  <c r="W142" i="2"/>
  <c r="X142" i="2"/>
  <c r="V120" i="2"/>
  <c r="W120" i="2"/>
  <c r="X120" i="2"/>
  <c r="V11" i="2"/>
  <c r="V17" i="2" s="1"/>
  <c r="W11" i="2"/>
  <c r="W17" i="2" s="1"/>
  <c r="W24" i="2" s="1"/>
  <c r="W26" i="2" s="1"/>
  <c r="X11" i="2"/>
  <c r="X17" i="2" s="1"/>
  <c r="X24" i="2" s="1"/>
  <c r="X35" i="2" s="1"/>
  <c r="Z24" i="2"/>
  <c r="Y26" i="2"/>
  <c r="L157" i="2"/>
  <c r="I166" i="2"/>
  <c r="I168" i="2" s="1"/>
  <c r="M69" i="2"/>
  <c r="J142" i="2"/>
  <c r="M142" i="2"/>
  <c r="D142" i="2"/>
  <c r="N142" i="2"/>
  <c r="K142" i="2"/>
  <c r="E142" i="2"/>
  <c r="O142" i="2"/>
  <c r="L142" i="2"/>
  <c r="F142" i="2"/>
  <c r="P142" i="2"/>
  <c r="Q142" i="2"/>
  <c r="H142" i="2"/>
  <c r="J67" i="2"/>
  <c r="G142" i="2"/>
  <c r="G38" i="2"/>
  <c r="Q69" i="2"/>
  <c r="I142" i="2"/>
  <c r="C142" i="2"/>
  <c r="L69" i="2"/>
  <c r="E11" i="2"/>
  <c r="E17" i="2" s="1"/>
  <c r="E24" i="2" s="1"/>
  <c r="N69" i="2"/>
  <c r="J69" i="2"/>
  <c r="F11" i="2"/>
  <c r="F17" i="2" s="1"/>
  <c r="F24" i="2" s="1"/>
  <c r="O69" i="2"/>
  <c r="K69" i="2"/>
  <c r="H38" i="2"/>
  <c r="P69" i="2"/>
  <c r="M38" i="2"/>
  <c r="K38" i="2"/>
  <c r="H11" i="2"/>
  <c r="H17" i="2" s="1"/>
  <c r="M67" i="2"/>
  <c r="L38" i="2"/>
  <c r="N38" i="2"/>
  <c r="O38" i="2"/>
  <c r="P38" i="2"/>
  <c r="Q38" i="2"/>
  <c r="I38" i="2"/>
  <c r="J38" i="2"/>
  <c r="G11" i="2"/>
  <c r="G17" i="2" s="1"/>
  <c r="F120" i="2"/>
  <c r="G120" i="2"/>
  <c r="H120" i="2"/>
  <c r="I120" i="2"/>
  <c r="J120" i="2"/>
  <c r="K120" i="2"/>
  <c r="M120" i="2"/>
  <c r="C120" i="2"/>
  <c r="O11" i="2"/>
  <c r="O17" i="2" s="1"/>
  <c r="D120" i="2"/>
  <c r="P120" i="2"/>
  <c r="L120" i="2"/>
  <c r="N120" i="2"/>
  <c r="O120" i="2"/>
  <c r="C11" i="2"/>
  <c r="C17" i="2" s="1"/>
  <c r="C24" i="2" s="1"/>
  <c r="L11" i="2"/>
  <c r="L17" i="2" s="1"/>
  <c r="D11" i="2"/>
  <c r="D17" i="2" s="1"/>
  <c r="D24" i="2" s="1"/>
  <c r="E120" i="2"/>
  <c r="Q120" i="2"/>
  <c r="P11" i="2"/>
  <c r="P17" i="2" s="1"/>
  <c r="M11" i="2"/>
  <c r="M17" i="2" s="1"/>
  <c r="J11" i="2"/>
  <c r="J17" i="2" s="1"/>
  <c r="Q11" i="2"/>
  <c r="Q17" i="2" s="1"/>
  <c r="N11" i="2"/>
  <c r="N17" i="2" s="1"/>
  <c r="K11" i="2"/>
  <c r="K17" i="2" s="1"/>
  <c r="I11" i="2"/>
  <c r="I17" i="2" s="1"/>
  <c r="V24" i="2" l="1"/>
  <c r="V35" i="2" s="1"/>
  <c r="W35" i="2"/>
  <c r="X26" i="2"/>
  <c r="X29" i="2" s="1"/>
  <c r="Y29" i="2"/>
  <c r="Y34" i="2"/>
  <c r="Y31" i="2"/>
  <c r="Z35" i="2"/>
  <c r="Z26" i="2"/>
  <c r="W29" i="2"/>
  <c r="W34" i="2"/>
  <c r="W31" i="2"/>
  <c r="I24" i="2"/>
  <c r="I37" i="2"/>
  <c r="Q24" i="2"/>
  <c r="Q37" i="2"/>
  <c r="D26" i="2"/>
  <c r="D35" i="2"/>
  <c r="L24" i="2"/>
  <c r="L37" i="2"/>
  <c r="E26" i="2"/>
  <c r="E35" i="2"/>
  <c r="C26" i="2"/>
  <c r="C35" i="2"/>
  <c r="K24" i="2"/>
  <c r="K37" i="2"/>
  <c r="N24" i="2"/>
  <c r="N37" i="2"/>
  <c r="F26" i="2"/>
  <c r="F35" i="2"/>
  <c r="J24" i="2"/>
  <c r="J37" i="2"/>
  <c r="P24" i="2"/>
  <c r="P37" i="2"/>
  <c r="G24" i="2"/>
  <c r="G37" i="2"/>
  <c r="H24" i="2"/>
  <c r="H37" i="2"/>
  <c r="O24" i="2"/>
  <c r="O37" i="2"/>
  <c r="M24" i="2"/>
  <c r="M37" i="2"/>
  <c r="F73" i="2" l="1"/>
  <c r="F31" i="2"/>
  <c r="X31" i="2"/>
  <c r="X34" i="2"/>
  <c r="V26" i="2"/>
  <c r="Z29" i="2"/>
  <c r="Z34" i="2"/>
  <c r="Z31" i="2"/>
  <c r="G26" i="2"/>
  <c r="G73" i="2" s="1"/>
  <c r="G35" i="2"/>
  <c r="C29" i="2"/>
  <c r="C34" i="2"/>
  <c r="P26" i="2"/>
  <c r="P35" i="2"/>
  <c r="E29" i="2"/>
  <c r="E34" i="2"/>
  <c r="J26" i="2"/>
  <c r="J35" i="2"/>
  <c r="L26" i="2"/>
  <c r="L35" i="2"/>
  <c r="F29" i="2"/>
  <c r="F161" i="2" s="1"/>
  <c r="F166" i="2" s="1"/>
  <c r="F168" i="2" s="1"/>
  <c r="F34" i="2"/>
  <c r="D29" i="2"/>
  <c r="D34" i="2"/>
  <c r="O26" i="2"/>
  <c r="O35" i="2"/>
  <c r="N26" i="2"/>
  <c r="N35" i="2"/>
  <c r="Q26" i="2"/>
  <c r="Q35" i="2"/>
  <c r="H26" i="2"/>
  <c r="H35" i="2"/>
  <c r="K26" i="2"/>
  <c r="K73" i="2" s="1"/>
  <c r="K35" i="2"/>
  <c r="I26" i="2"/>
  <c r="I35" i="2"/>
  <c r="M26" i="2"/>
  <c r="M35" i="2"/>
  <c r="J31" i="2" l="1"/>
  <c r="J73" i="2"/>
  <c r="V31" i="2"/>
  <c r="V73" i="2"/>
  <c r="V34" i="2"/>
  <c r="V29" i="2"/>
  <c r="H29" i="2"/>
  <c r="H161" i="2" s="1"/>
  <c r="H166" i="2" s="1"/>
  <c r="H168" i="2" s="1"/>
  <c r="H34" i="2"/>
  <c r="L29" i="2"/>
  <c r="L161" i="2" s="1"/>
  <c r="L166" i="2" s="1"/>
  <c r="L168" i="2" s="1"/>
  <c r="L34" i="2"/>
  <c r="Q29" i="2"/>
  <c r="Q34" i="2"/>
  <c r="J29" i="2"/>
  <c r="J161" i="2" s="1"/>
  <c r="J166" i="2" s="1"/>
  <c r="J34" i="2"/>
  <c r="N29" i="2"/>
  <c r="N34" i="2"/>
  <c r="O29" i="2"/>
  <c r="O34" i="2"/>
  <c r="P29" i="2"/>
  <c r="P34" i="2"/>
  <c r="I29" i="2"/>
  <c r="I34" i="2"/>
  <c r="K29" i="2"/>
  <c r="K161" i="2" s="1"/>
  <c r="K166" i="2" s="1"/>
  <c r="K168" i="2" s="1"/>
  <c r="K34" i="2"/>
  <c r="G29" i="2"/>
  <c r="G161" i="2" s="1"/>
  <c r="G166" i="2" s="1"/>
  <c r="G168" i="2" s="1"/>
  <c r="G34" i="2"/>
  <c r="M29" i="2"/>
  <c r="M161" i="2" s="1"/>
  <c r="M34" i="2"/>
  <c r="J168" i="2" l="1"/>
  <c r="N169" i="2"/>
  <c r="J169" i="2"/>
</calcChain>
</file>

<file path=xl/sharedStrings.xml><?xml version="1.0" encoding="utf-8"?>
<sst xmlns="http://schemas.openxmlformats.org/spreadsheetml/2006/main" count="171" uniqueCount="153">
  <si>
    <t>P</t>
  </si>
  <si>
    <t>MC</t>
  </si>
  <si>
    <t>C</t>
  </si>
  <si>
    <t>D</t>
  </si>
  <si>
    <t>EV</t>
  </si>
  <si>
    <t>Main</t>
  </si>
  <si>
    <t>Loans and securizations</t>
  </si>
  <si>
    <t>Other</t>
  </si>
  <si>
    <t>Total interest income</t>
  </si>
  <si>
    <t>Securizations and warehouses</t>
  </si>
  <si>
    <t>Deposits</t>
  </si>
  <si>
    <t>Corporate borrowings</t>
  </si>
  <si>
    <t>Total Interest expense</t>
  </si>
  <si>
    <t>Net Int income</t>
  </si>
  <si>
    <t>Loans, sales, securizations and servicing</t>
  </si>
  <si>
    <t>Tech products and solutions</t>
  </si>
  <si>
    <t>Loan platform fees</t>
  </si>
  <si>
    <t>Total noninterest revenue</t>
  </si>
  <si>
    <t>Total net revenue</t>
  </si>
  <si>
    <t>Provision for credit losses</t>
  </si>
  <si>
    <t>R&amp;D</t>
  </si>
  <si>
    <t>S&amp;M</t>
  </si>
  <si>
    <t>Cost of operations</t>
  </si>
  <si>
    <t>G&amp;A</t>
  </si>
  <si>
    <t>Total noninterest expense</t>
  </si>
  <si>
    <t>Pretax income</t>
  </si>
  <si>
    <t>Taxes</t>
  </si>
  <si>
    <t>Net income</t>
  </si>
  <si>
    <t>Unrealized gains</t>
  </si>
  <si>
    <t>FX Adj.</t>
  </si>
  <si>
    <t>Comperensive income</t>
  </si>
  <si>
    <t>S/O</t>
  </si>
  <si>
    <t>EPS</t>
  </si>
  <si>
    <t>Q325</t>
  </si>
  <si>
    <t>Q425</t>
  </si>
  <si>
    <t>Q126</t>
  </si>
  <si>
    <t>Q226</t>
  </si>
  <si>
    <t>Q326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</si>
  <si>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</si>
  <si>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</si>
  <si>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</si>
  <si>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</si>
  <si>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</si>
  <si>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</si>
  <si>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</si>
  <si>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</si>
  <si>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</si>
  <si>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</si>
  <si>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Cash</t>
  </si>
  <si>
    <t>Net cash</t>
  </si>
  <si>
    <t>Restricted cash</t>
  </si>
  <si>
    <t>Investment securities</t>
  </si>
  <si>
    <t>Loans held for sale</t>
  </si>
  <si>
    <t>Servicing rights</t>
  </si>
  <si>
    <t>PP&amp;A</t>
  </si>
  <si>
    <t>Goodwill</t>
  </si>
  <si>
    <t>Intangible assets</t>
  </si>
  <si>
    <t>Operating lease ROU</t>
  </si>
  <si>
    <t>Other assets</t>
  </si>
  <si>
    <t>Total assets</t>
  </si>
  <si>
    <t>Interest-bearing deposits</t>
  </si>
  <si>
    <t>Noninterest-bearing deposits</t>
  </si>
  <si>
    <t>A/P, accrued and other liabilities</t>
  </si>
  <si>
    <t>Debt</t>
  </si>
  <si>
    <t>Residual interest as debt</t>
  </si>
  <si>
    <t>Total liabilities</t>
  </si>
  <si>
    <t xml:space="preserve">SE </t>
  </si>
  <si>
    <t>L+SE</t>
  </si>
  <si>
    <t>Op lease liabilities</t>
  </si>
  <si>
    <t>Model NI</t>
  </si>
  <si>
    <t>GAAP NI</t>
  </si>
  <si>
    <t>Share-based</t>
  </si>
  <si>
    <t>D&amp;A</t>
  </si>
  <si>
    <t>Deferred debt</t>
  </si>
  <si>
    <t>Gain on extinguishment of convertible debt</t>
  </si>
  <si>
    <t>Deferred income taxes</t>
  </si>
  <si>
    <t>Fair value changes in loans held for investment</t>
  </si>
  <si>
    <t>Fair value changes in securization investment</t>
  </si>
  <si>
    <t>Changes in loans held for sale, net</t>
  </si>
  <si>
    <t>Changes in accured interest on loans</t>
  </si>
  <si>
    <t>Changes in loans previously classified as held for sale, net</t>
  </si>
  <si>
    <t>Changes in servicing assets</t>
  </si>
  <si>
    <t>Changes in other assets</t>
  </si>
  <si>
    <t>Chnages in other liabilities</t>
  </si>
  <si>
    <t>CFFO</t>
  </si>
  <si>
    <t>CapEx</t>
  </si>
  <si>
    <t>CapSoftware</t>
  </si>
  <si>
    <t>Prcds. From investments</t>
  </si>
  <si>
    <t>Purch. Of investments</t>
  </si>
  <si>
    <t>Prcds. From maturities</t>
  </si>
  <si>
    <t>Purch. Of loans</t>
  </si>
  <si>
    <t>Prcds. From loan sales</t>
  </si>
  <si>
    <t>Other changes in loans</t>
  </si>
  <si>
    <t>Prcds. From securization</t>
  </si>
  <si>
    <t>Prcds. From non-securization</t>
  </si>
  <si>
    <t>CFFF</t>
  </si>
  <si>
    <t>CFFI</t>
  </si>
  <si>
    <t>Net change in deposits</t>
  </si>
  <si>
    <t>Common stock issuance costs</t>
  </si>
  <si>
    <t>Issuance of common stock</t>
  </si>
  <si>
    <t>Prcds. From other debt issuances</t>
  </si>
  <si>
    <t>Net change in debt</t>
  </si>
  <si>
    <t>Repayment of other debt</t>
  </si>
  <si>
    <t>Debt issuance costs</t>
  </si>
  <si>
    <t>Purch. Of capped calls</t>
  </si>
  <si>
    <t>Unwind of capped calls</t>
  </si>
  <si>
    <t>Taxes paid related to share-based awards</t>
  </si>
  <si>
    <t>Stock options exercises</t>
  </si>
  <si>
    <t>Issuance of stock under ESPP</t>
  </si>
  <si>
    <t xml:space="preserve">Preferred stock dividends </t>
  </si>
  <si>
    <t>Redemption of Series 1 preferred stock</t>
  </si>
  <si>
    <t>Finance lease principal pmnt</t>
  </si>
  <si>
    <t>FX adj.</t>
  </si>
  <si>
    <t>CF</t>
  </si>
  <si>
    <t>Net margin</t>
  </si>
  <si>
    <t>Tax margin</t>
  </si>
  <si>
    <t>Revenue y/y</t>
  </si>
  <si>
    <t>Int income y/y</t>
  </si>
  <si>
    <t>Current ratio</t>
  </si>
  <si>
    <t>Cash ratio</t>
  </si>
  <si>
    <t>Debt-to-Equity</t>
  </si>
  <si>
    <t>Loan/Assets</t>
  </si>
  <si>
    <t>Financial Services</t>
  </si>
  <si>
    <t>Referrals, loan platform</t>
  </si>
  <si>
    <t>Referrals, other</t>
  </si>
  <si>
    <t>Interchange</t>
  </si>
  <si>
    <t>Brokerage</t>
  </si>
  <si>
    <t>Total</t>
  </si>
  <si>
    <t>Technology Platform</t>
  </si>
  <si>
    <t>Technology services</t>
  </si>
  <si>
    <t>Other sources of revenue</t>
  </si>
  <si>
    <t>Loans origination, sales, securitizations and servicing</t>
  </si>
  <si>
    <t>Loan platform business, other</t>
  </si>
  <si>
    <t>Total revenue</t>
  </si>
  <si>
    <t>Personal loans</t>
  </si>
  <si>
    <t>Home loans</t>
  </si>
  <si>
    <t>Student loans</t>
  </si>
  <si>
    <t>Secured loans</t>
  </si>
  <si>
    <t>Credit card</t>
  </si>
  <si>
    <t>Commercial real estate</t>
  </si>
  <si>
    <t>Commercial and industrial</t>
  </si>
  <si>
    <t>Residential real estate and other consumer</t>
  </si>
  <si>
    <t>IntExp</t>
  </si>
  <si>
    <t>EBITDA</t>
  </si>
  <si>
    <t>EBITDA Margin</t>
  </si>
  <si>
    <t>Purch. Of non-securization</t>
  </si>
  <si>
    <t>Loans q/q</t>
  </si>
  <si>
    <t>EBITDA y/y</t>
  </si>
  <si>
    <t>FCF</t>
  </si>
  <si>
    <t>CapEx margin</t>
  </si>
  <si>
    <t>Stock price</t>
  </si>
  <si>
    <t>EV/EBITDA</t>
  </si>
  <si>
    <t>EV/Sales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</si>
</sst>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3" fillId="0" borderId="0" xfId="1"/>
    <xf numFmtId="0" fontId="2" fillId="0" borderId="0" xfId="0" applyFont="1"/>
    <xf numFmtId="3" fontId="1" fillId="0" borderId="0" xfId="0" applyNumberFormat="1" applyFont="1"/>
    <xf numFmtId="4" fontId="2" fillId="0" borderId="0" xfId="0" applyNumberFormat="1" applyFont="1"/>
    <xf numFmtId="164" fontId="1" fillId="0" borderId="0" xfId="0" applyNumberFormat="1" applyFont="1"/>
    <xf numFmtId="164" fontId="2" fillId="0" borderId="0" xfId="0" applyNumberFormat="1" applyFont="1"/>
    <xf numFmtId="10" fontId="1" fillId="0" borderId="0" xfId="0" applyNumberFormat="1" applyFont="1"/>
    <xf numFmtId="4" fontId="1" fillId="0" borderId="0" xfId="0" applyNumberFormat="1" applyFont="1"/>
    <xf numFmtId="0" fontId="5" fillId="0" borderId="0" xfId="0" applyFont="1" applyAlignment="1">
      <alignment horizontal="left" indent="1"/>
    </xf>
    <xf numFmtId="164" fontId="1" fillId="0" borderId="0" xfId="0" applyNumberFormat="1" applyFont="1" applyAlignment="1">
      <alignment horizontal="left" indent="1"/>
    </xf>
    <xf numFmtId="164" fontId="5" fillId="0" borderId="0" xfId="0" applyNumberFormat="1" applyFont="1" applyAlignment="1">
      <alignment horizontal="left" indent="1"/>
    </xf>
    <xf numFmtId="164" fontId="1" fillId="2" borderId="0" xfId="0" applyNumberFormat="1" applyFont="1" applyFill="1"/>
    <xf numFmtId="164" fontId="2" fillId="2" borderId="0" xfId="0" applyNumberFormat="1" applyFont="1" applyFill="1"/>
    <xf numFmtId="0" fontId="1" fillId="2" borderId="0" xfId="0" applyFont="1" applyFill="1"/>
    <xf numFmtId="4" fontId="1" fillId="2" borderId="0" xfId="0" applyNumberFormat="1" applyFont="1" applyFill="1"/>
    <xf numFmtId="10" fontId="1" fillId="2" borderId="0" xfId="0" applyNumberFormat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J9:K15"/>
  <sheetViews>
    <sheetView topLeftCell="A5" workbookViewId="0">
      <selection activeCell="K16" sqref="K16"/>
    </sheetView>
  </sheetViews>
  <sheetFormatPr defaultRowHeight="13.2" x14ac:dyDescent="0.25"/>
  <cols>
    <col min="1" max="16384" width="8.88671875" style="1"/>
  </cols>
  <sheetData>
    <row r="9" spans="10:11" x14ac:dyDescent="0.25">
      <c r="J9" s="1" t="s">
        <v>0</v>
      </c>
      <c r="K9" s="1">
        <v>29.16</v>
      </c>
    </row>
    <row r="10" spans="10:11" x14ac:dyDescent="0.25">
      <c r="J10" s="1" t="s">
        <v>31</v>
      </c>
      <c r="K10" s="4">
        <f>Model!M30</f>
        <v>1171.2049999999999</v>
      </c>
    </row>
    <row r="11" spans="10:11" x14ac:dyDescent="0.25">
      <c r="J11" s="1" t="s">
        <v>1</v>
      </c>
      <c r="K11" s="4">
        <f>+K9*K10</f>
        <v>34152.337800000001</v>
      </c>
    </row>
    <row r="12" spans="10:11" x14ac:dyDescent="0.25">
      <c r="J12" s="1" t="s">
        <v>2</v>
      </c>
      <c r="K12" s="4">
        <f>Model!M42+Model!M44</f>
        <v>5758.7880000000005</v>
      </c>
    </row>
    <row r="13" spans="10:11" x14ac:dyDescent="0.25">
      <c r="J13" s="1" t="s">
        <v>3</v>
      </c>
      <c r="K13" s="4">
        <f>+Model!M57</f>
        <v>2713.942</v>
      </c>
    </row>
    <row r="14" spans="10:11" x14ac:dyDescent="0.25">
      <c r="K14" s="4"/>
    </row>
    <row r="15" spans="10:11" x14ac:dyDescent="0.25">
      <c r="J15" s="1" t="s">
        <v>4</v>
      </c>
      <c r="K15" s="4">
        <f>K11-K12+K13</f>
        <v>31107.4918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9D097-1373-45B8-9644-F50AB988FC65}">
  <dimension ref="A1:Z176"/>
  <sheetViews>
    <sheetView tabSelected="1" zoomScale="92" workbookViewId="0">
      <pane xSplit="2" ySplit="2" topLeftCell="C153" activePane="bottomRight" state="frozen"/>
      <selection pane="topRight" activeCell="C1" sqref="C1"/>
      <selection pane="bottomLeft" activeCell="A3" sqref="A3"/>
      <selection pane="bottomRight" activeCell="N181" sqref="N181"/>
    </sheetView>
  </sheetViews>
  <sheetFormatPr defaultRowHeight="13.2" x14ac:dyDescent="0.25"/>
  <cols>
    <col min="1" max="1" width="8.88671875" style="1"/>
    <col min="2" max="2" width="26.5546875" style="1" customWidth="1"/>
    <col min="3" max="9" width="8.88671875" style="1"/>
    <col min="10" max="10" width="9.21875" style="1" bestFit="1" customWidth="1"/>
    <col min="11" max="16384" width="8.88671875" style="1"/>
  </cols>
  <sheetData>
    <row r="1" spans="1:26" ht="14.4" x14ac:dyDescent="0.3">
      <c r="A1" s="2" t="s">
        <v>5</v>
      </c>
    </row>
    <row r="2" spans="1:26" x14ac:dyDescent="0.25"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45</v>
      </c>
      <c r="K2" s="1" t="s">
        <v>46</v>
      </c>
      <c r="L2" s="1" t="s">
        <v>47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V2" s="1">
        <v>2022</v>
      </c>
      <c r="W2" s="1">
        <v>2023</v>
      </c>
      <c r="X2" s="1">
        <v>2024</v>
      </c>
      <c r="Y2" s="1">
        <v>2025</v>
      </c>
      <c r="Z2" s="1">
        <v>2026</v>
      </c>
    </row>
    <row r="3" spans="1:26" s="6" customFormat="1" x14ac:dyDescent="0.25">
      <c r="B3" s="6" t="s">
        <v>6</v>
      </c>
      <c r="F3" s="6">
        <v>598.95899999999995</v>
      </c>
      <c r="G3" s="6">
        <v>620.22799999999995</v>
      </c>
      <c r="H3" s="6">
        <v>621.06100000000004</v>
      </c>
      <c r="I3" s="6">
        <v>671.976</v>
      </c>
      <c r="J3" s="6">
        <v>688.72299999999996</v>
      </c>
      <c r="K3" s="6">
        <v>712.87599999999998</v>
      </c>
      <c r="L3" s="6">
        <v>738.86199999999997</v>
      </c>
      <c r="M3" s="6">
        <v>830.15599999999995</v>
      </c>
      <c r="V3" s="6">
        <v>759.5</v>
      </c>
      <c r="W3" s="6">
        <v>1944.1279999999999</v>
      </c>
      <c r="X3" s="6">
        <v>2602</v>
      </c>
    </row>
    <row r="4" spans="1:26" s="6" customFormat="1" x14ac:dyDescent="0.25">
      <c r="B4" s="6" t="s">
        <v>7</v>
      </c>
      <c r="F4" s="6">
        <v>46.277999999999999</v>
      </c>
      <c r="G4" s="6">
        <v>45.683</v>
      </c>
      <c r="H4" s="6">
        <v>53.533999999999999</v>
      </c>
      <c r="I4" s="6">
        <v>51.4</v>
      </c>
      <c r="J4" s="6">
        <v>55.213999999999999</v>
      </c>
      <c r="K4" s="6">
        <v>50.936</v>
      </c>
      <c r="L4" s="6">
        <v>53.542999999999999</v>
      </c>
      <c r="M4" s="6">
        <v>61.405000000000001</v>
      </c>
      <c r="V4" s="6">
        <v>13.867000000000001</v>
      </c>
      <c r="W4" s="6">
        <v>106.93899999999999</v>
      </c>
      <c r="X4" s="6">
        <v>205.82900000000001</v>
      </c>
    </row>
    <row r="5" spans="1:26" s="7" customFormat="1" x14ac:dyDescent="0.25">
      <c r="B5" s="7" t="s">
        <v>8</v>
      </c>
      <c r="C5" s="7">
        <f t="shared" ref="C5:L5" si="0">SUM(C3:C4)</f>
        <v>0</v>
      </c>
      <c r="D5" s="7">
        <f t="shared" si="0"/>
        <v>0</v>
      </c>
      <c r="E5" s="7">
        <f t="shared" si="0"/>
        <v>0</v>
      </c>
      <c r="F5" s="7">
        <f t="shared" si="0"/>
        <v>645.23699999999997</v>
      </c>
      <c r="G5" s="7">
        <f t="shared" si="0"/>
        <v>665.91099999999994</v>
      </c>
      <c r="H5" s="7">
        <f t="shared" si="0"/>
        <v>674.59500000000003</v>
      </c>
      <c r="I5" s="7">
        <f t="shared" si="0"/>
        <v>723.37599999999998</v>
      </c>
      <c r="J5" s="7">
        <f t="shared" si="0"/>
        <v>743.9369999999999</v>
      </c>
      <c r="K5" s="7">
        <f t="shared" si="0"/>
        <v>763.81200000000001</v>
      </c>
      <c r="L5" s="7">
        <f t="shared" si="0"/>
        <v>792.40499999999997</v>
      </c>
      <c r="M5" s="7">
        <f>SUM(M3:M4)</f>
        <v>891.56099999999992</v>
      </c>
      <c r="N5" s="7">
        <f t="shared" ref="N5:Q5" si="1">SUM(N3:N4)</f>
        <v>0</v>
      </c>
      <c r="O5" s="7">
        <f t="shared" si="1"/>
        <v>0</v>
      </c>
      <c r="P5" s="7">
        <f t="shared" si="1"/>
        <v>0</v>
      </c>
      <c r="Q5" s="7">
        <f t="shared" si="1"/>
        <v>0</v>
      </c>
      <c r="V5" s="7">
        <f t="shared" ref="V5" si="2">SUM(V3:V4)</f>
        <v>773.36699999999996</v>
      </c>
      <c r="W5" s="7">
        <f t="shared" ref="W5" si="3">SUM(W3:W4)</f>
        <v>2051.067</v>
      </c>
      <c r="X5" s="7">
        <f t="shared" ref="X5" si="4">SUM(X3:X4)</f>
        <v>2807.8290000000002</v>
      </c>
      <c r="Y5" s="7">
        <f t="shared" ref="Y5" si="5">SUM(Y3:Y4)</f>
        <v>0</v>
      </c>
      <c r="Z5" s="7">
        <f t="shared" ref="Z5" si="6">SUM(Z3:Z4)</f>
        <v>0</v>
      </c>
    </row>
    <row r="6" spans="1:26" s="6" customFormat="1" x14ac:dyDescent="0.25">
      <c r="B6" s="6" t="s">
        <v>9</v>
      </c>
      <c r="F6" s="6">
        <v>62.988999999999997</v>
      </c>
      <c r="G6" s="6">
        <v>40.920999999999999</v>
      </c>
      <c r="H6" s="6">
        <v>17.361999999999998</v>
      </c>
      <c r="I6" s="6">
        <v>31.093</v>
      </c>
      <c r="J6" s="6">
        <v>23.021999999999998</v>
      </c>
      <c r="K6" s="6">
        <v>28.143999999999998</v>
      </c>
      <c r="L6" s="6">
        <v>29.65</v>
      </c>
      <c r="M6" s="6">
        <v>29.849</v>
      </c>
      <c r="V6" s="6">
        <v>110.127</v>
      </c>
      <c r="W6" s="6">
        <v>244.22</v>
      </c>
      <c r="X6" s="6">
        <v>112.4</v>
      </c>
    </row>
    <row r="7" spans="1:26" s="6" customFormat="1" x14ac:dyDescent="0.25">
      <c r="B7" s="6" t="s">
        <v>10</v>
      </c>
      <c r="F7" s="6">
        <v>182.61199999999999</v>
      </c>
      <c r="G7" s="6">
        <v>211.45099999999999</v>
      </c>
      <c r="H7" s="6">
        <v>231.815</v>
      </c>
      <c r="I7" s="6">
        <v>248.292</v>
      </c>
      <c r="J7" s="6">
        <v>238.596</v>
      </c>
      <c r="K7" s="6">
        <v>225.4</v>
      </c>
      <c r="L7" s="6">
        <v>233.232</v>
      </c>
      <c r="M7" s="6">
        <v>264.90100000000001</v>
      </c>
      <c r="V7" s="6">
        <v>59.792999999999999</v>
      </c>
      <c r="W7" s="6">
        <v>507.82</v>
      </c>
      <c r="X7" s="6">
        <v>930.154</v>
      </c>
    </row>
    <row r="8" spans="1:26" s="6" customFormat="1" x14ac:dyDescent="0.25">
      <c r="B8" s="6" t="s">
        <v>11</v>
      </c>
      <c r="F8" s="6">
        <v>9.8819999999999997</v>
      </c>
      <c r="G8" s="6">
        <v>10.711</v>
      </c>
      <c r="H8" s="6">
        <v>12.725</v>
      </c>
      <c r="I8" s="6">
        <v>12.871</v>
      </c>
      <c r="J8" s="6">
        <v>12.039</v>
      </c>
      <c r="K8" s="6">
        <v>11.428000000000001</v>
      </c>
      <c r="L8" s="6">
        <v>11.504</v>
      </c>
      <c r="M8" s="6">
        <v>11.595000000000001</v>
      </c>
      <c r="V8" s="6">
        <v>18.437999999999999</v>
      </c>
      <c r="W8" s="6">
        <v>36.832999999999998</v>
      </c>
      <c r="X8" s="6">
        <v>48.345999999999997</v>
      </c>
    </row>
    <row r="9" spans="1:26" s="6" customFormat="1" x14ac:dyDescent="0.25">
      <c r="B9" s="6" t="s">
        <v>7</v>
      </c>
      <c r="F9" s="6">
        <v>0.113</v>
      </c>
      <c r="G9" s="6">
        <v>0.11</v>
      </c>
      <c r="H9" s="6">
        <v>0.109</v>
      </c>
      <c r="I9" s="6">
        <v>0.108</v>
      </c>
      <c r="J9" s="6">
        <v>0.111</v>
      </c>
      <c r="K9" s="6">
        <v>0.115</v>
      </c>
      <c r="L9" s="6">
        <v>0.182</v>
      </c>
      <c r="M9" s="6">
        <v>0.10199999999999999</v>
      </c>
      <c r="V9" s="6">
        <v>0.91700000000000004</v>
      </c>
      <c r="W9" s="6">
        <v>0.45400000000000001</v>
      </c>
      <c r="X9" s="6">
        <v>0.438</v>
      </c>
    </row>
    <row r="10" spans="1:26" s="7" customFormat="1" x14ac:dyDescent="0.25">
      <c r="B10" s="7" t="s">
        <v>12</v>
      </c>
      <c r="C10" s="7">
        <f t="shared" ref="C10:L10" si="7">SUM(C6:C9)</f>
        <v>0</v>
      </c>
      <c r="D10" s="7">
        <f t="shared" si="7"/>
        <v>0</v>
      </c>
      <c r="E10" s="7">
        <f t="shared" si="7"/>
        <v>0</v>
      </c>
      <c r="F10" s="7">
        <f t="shared" si="7"/>
        <v>255.596</v>
      </c>
      <c r="G10" s="7">
        <f t="shared" si="7"/>
        <v>263.19299999999998</v>
      </c>
      <c r="H10" s="7">
        <f t="shared" si="7"/>
        <v>262.01099999999997</v>
      </c>
      <c r="I10" s="7">
        <f t="shared" si="7"/>
        <v>292.36399999999998</v>
      </c>
      <c r="J10" s="7">
        <f t="shared" si="7"/>
        <v>273.76799999999997</v>
      </c>
      <c r="K10" s="7">
        <f t="shared" si="7"/>
        <v>265.08700000000005</v>
      </c>
      <c r="L10" s="7">
        <f t="shared" si="7"/>
        <v>274.56800000000004</v>
      </c>
      <c r="M10" s="7">
        <f>SUM(M6:M9)</f>
        <v>306.447</v>
      </c>
      <c r="N10" s="7">
        <f t="shared" ref="N10:Q10" si="8">SUM(N6:N9)</f>
        <v>0</v>
      </c>
      <c r="O10" s="7">
        <f t="shared" si="8"/>
        <v>0</v>
      </c>
      <c r="P10" s="7">
        <f t="shared" si="8"/>
        <v>0</v>
      </c>
      <c r="Q10" s="7">
        <f t="shared" si="8"/>
        <v>0</v>
      </c>
      <c r="V10" s="7">
        <f t="shared" ref="V10" si="9">SUM(V6:V9)</f>
        <v>189.27499999999998</v>
      </c>
      <c r="W10" s="7">
        <f t="shared" ref="W10" si="10">SUM(W6:W9)</f>
        <v>789.32699999999988</v>
      </c>
      <c r="X10" s="7">
        <f t="shared" ref="X10" si="11">SUM(X6:X9)</f>
        <v>1091.3380000000002</v>
      </c>
      <c r="Y10" s="7">
        <f t="shared" ref="Y10" si="12">SUM(Y6:Y9)</f>
        <v>0</v>
      </c>
      <c r="Z10" s="7">
        <f t="shared" ref="Z10" si="13">SUM(Z6:Z9)</f>
        <v>0</v>
      </c>
    </row>
    <row r="11" spans="1:26" s="7" customFormat="1" x14ac:dyDescent="0.25">
      <c r="B11" s="7" t="s">
        <v>13</v>
      </c>
      <c r="C11" s="7">
        <f t="shared" ref="C11:L11" si="14">C5-C10</f>
        <v>0</v>
      </c>
      <c r="D11" s="7">
        <f t="shared" si="14"/>
        <v>0</v>
      </c>
      <c r="E11" s="7">
        <f t="shared" si="14"/>
        <v>0</v>
      </c>
      <c r="F11" s="7">
        <f t="shared" si="14"/>
        <v>389.64099999999996</v>
      </c>
      <c r="G11" s="7">
        <f t="shared" si="14"/>
        <v>402.71799999999996</v>
      </c>
      <c r="H11" s="7">
        <f t="shared" si="14"/>
        <v>412.58400000000006</v>
      </c>
      <c r="I11" s="7">
        <f t="shared" si="14"/>
        <v>431.012</v>
      </c>
      <c r="J11" s="7">
        <f t="shared" si="14"/>
        <v>470.16899999999993</v>
      </c>
      <c r="K11" s="7">
        <f t="shared" si="14"/>
        <v>498.72499999999997</v>
      </c>
      <c r="L11" s="7">
        <f t="shared" si="14"/>
        <v>517.83699999999999</v>
      </c>
      <c r="M11" s="7">
        <f>M5-M10</f>
        <v>585.11399999999992</v>
      </c>
      <c r="N11" s="7">
        <f t="shared" ref="N11:Q11" si="15">N5-N10</f>
        <v>0</v>
      </c>
      <c r="O11" s="7">
        <f t="shared" si="15"/>
        <v>0</v>
      </c>
      <c r="P11" s="7">
        <f t="shared" si="15"/>
        <v>0</v>
      </c>
      <c r="Q11" s="7">
        <f t="shared" si="15"/>
        <v>0</v>
      </c>
      <c r="V11" s="7">
        <f t="shared" ref="V11" si="16">V5-V10</f>
        <v>584.09199999999998</v>
      </c>
      <c r="W11" s="7">
        <f t="shared" ref="W11" si="17">W5-W10</f>
        <v>1261.7400000000002</v>
      </c>
      <c r="X11" s="7">
        <f t="shared" ref="X11" si="18">X5-X10</f>
        <v>1716.491</v>
      </c>
      <c r="Y11" s="7">
        <f t="shared" ref="Y11" si="19">Y5-Y10</f>
        <v>0</v>
      </c>
      <c r="Z11" s="7">
        <f t="shared" ref="Z11" si="20">Z5-Z10</f>
        <v>0</v>
      </c>
    </row>
    <row r="12" spans="1:26" s="6" customFormat="1" x14ac:dyDescent="0.25">
      <c r="B12" s="6" t="s">
        <v>14</v>
      </c>
      <c r="F12" s="6">
        <f>82.929+7.525</f>
        <v>90.454000000000008</v>
      </c>
      <c r="G12" s="6">
        <f>57+6.974</f>
        <v>63.974000000000004</v>
      </c>
      <c r="H12" s="6">
        <v>61.530999999999999</v>
      </c>
      <c r="I12" s="6">
        <v>80</v>
      </c>
      <c r="J12" s="6">
        <f>73.913-1.316</f>
        <v>72.596999999999994</v>
      </c>
      <c r="K12" s="6">
        <f>48.358+4.447</f>
        <v>52.805</v>
      </c>
      <c r="L12" s="6">
        <v>70.855000000000004</v>
      </c>
      <c r="M12" s="6">
        <v>65.430999999999997</v>
      </c>
      <c r="V12" s="6">
        <f>565.372+43.547</f>
        <v>608.91899999999998</v>
      </c>
      <c r="W12" s="6">
        <f>371.812+37.328</f>
        <v>409.14</v>
      </c>
      <c r="X12" s="6">
        <f>255.87+22.244</f>
        <v>278.11400000000003</v>
      </c>
    </row>
    <row r="13" spans="1:26" s="6" customFormat="1" x14ac:dyDescent="0.25">
      <c r="B13" s="6" t="s">
        <v>15</v>
      </c>
      <c r="F13" s="6">
        <v>87</v>
      </c>
      <c r="G13" s="6">
        <v>85.671999999999997</v>
      </c>
      <c r="H13" s="6">
        <v>85.866</v>
      </c>
      <c r="I13" s="6">
        <v>90.896000000000001</v>
      </c>
      <c r="J13" s="6">
        <v>88.376000000000005</v>
      </c>
      <c r="K13" s="6">
        <v>86.436999999999998</v>
      </c>
      <c r="L13" s="6">
        <v>90.796000000000006</v>
      </c>
      <c r="M13" s="6">
        <v>89.7</v>
      </c>
      <c r="V13" s="6">
        <v>304.89999999999998</v>
      </c>
      <c r="W13" s="6">
        <v>323.97199999999998</v>
      </c>
      <c r="X13" s="6">
        <v>350.81</v>
      </c>
    </row>
    <row r="14" spans="1:26" s="6" customFormat="1" x14ac:dyDescent="0.25">
      <c r="B14" s="6" t="s">
        <v>16</v>
      </c>
      <c r="F14" s="6">
        <v>9.3409999999999993</v>
      </c>
      <c r="G14" s="6">
        <v>10.714</v>
      </c>
      <c r="H14" s="6">
        <v>12.018000000000001</v>
      </c>
      <c r="I14" s="6">
        <v>55.640999999999998</v>
      </c>
      <c r="J14" s="6">
        <v>63.234999999999999</v>
      </c>
      <c r="K14" s="6">
        <v>92.75</v>
      </c>
      <c r="L14" s="6">
        <v>127.405</v>
      </c>
      <c r="M14" s="6">
        <v>164.89699999999999</v>
      </c>
      <c r="V14" s="6">
        <v>31.54</v>
      </c>
      <c r="W14" s="6">
        <v>33.6</v>
      </c>
      <c r="X14" s="6">
        <v>141.6</v>
      </c>
    </row>
    <row r="15" spans="1:26" s="6" customFormat="1" x14ac:dyDescent="0.25">
      <c r="B15" s="6" t="s">
        <v>7</v>
      </c>
      <c r="F15" s="6">
        <v>38.942</v>
      </c>
      <c r="G15" s="6">
        <v>81.917000000000002</v>
      </c>
      <c r="H15" s="6">
        <v>26.619</v>
      </c>
      <c r="I15" s="6">
        <v>39.561999999999998</v>
      </c>
      <c r="J15" s="6">
        <v>39.747999999999998</v>
      </c>
      <c r="K15" s="6">
        <v>41.040999999999997</v>
      </c>
      <c r="L15" s="6">
        <v>48.051000000000002</v>
      </c>
      <c r="M15" s="6">
        <v>56.451000000000001</v>
      </c>
      <c r="V15" s="6">
        <v>44.079000000000001</v>
      </c>
      <c r="W15" s="6">
        <v>94.334999999999994</v>
      </c>
      <c r="X15" s="6">
        <v>187.846</v>
      </c>
    </row>
    <row r="16" spans="1:26" s="7" customFormat="1" x14ac:dyDescent="0.25">
      <c r="B16" s="7" t="s">
        <v>17</v>
      </c>
      <c r="C16" s="7">
        <f t="shared" ref="C16:L16" si="21">SUM(C12:C15)</f>
        <v>0</v>
      </c>
      <c r="D16" s="7">
        <f t="shared" si="21"/>
        <v>0</v>
      </c>
      <c r="E16" s="7">
        <f t="shared" si="21"/>
        <v>0</v>
      </c>
      <c r="F16" s="7">
        <f t="shared" si="21"/>
        <v>225.73700000000002</v>
      </c>
      <c r="G16" s="7">
        <f t="shared" si="21"/>
        <v>242.27700000000002</v>
      </c>
      <c r="H16" s="7">
        <f t="shared" si="21"/>
        <v>186.03399999999999</v>
      </c>
      <c r="I16" s="7">
        <f t="shared" si="21"/>
        <v>266.09899999999999</v>
      </c>
      <c r="J16" s="7">
        <f t="shared" si="21"/>
        <v>263.95600000000002</v>
      </c>
      <c r="K16" s="7">
        <f t="shared" si="21"/>
        <v>273.03300000000002</v>
      </c>
      <c r="L16" s="7">
        <f t="shared" si="21"/>
        <v>337.10700000000003</v>
      </c>
      <c r="M16" s="7">
        <f>SUM(M12:M15)</f>
        <v>376.47900000000004</v>
      </c>
      <c r="N16" s="7">
        <f t="shared" ref="N16:Q16" si="22">SUM(N12:N15)</f>
        <v>0</v>
      </c>
      <c r="O16" s="7">
        <f t="shared" si="22"/>
        <v>0</v>
      </c>
      <c r="P16" s="7">
        <f t="shared" si="22"/>
        <v>0</v>
      </c>
      <c r="Q16" s="7">
        <f t="shared" si="22"/>
        <v>0</v>
      </c>
      <c r="V16" s="7">
        <f t="shared" ref="V16" si="23">SUM(V12:V15)</f>
        <v>989.43799999999987</v>
      </c>
      <c r="W16" s="7">
        <f t="shared" ref="W16" si="24">SUM(W12:W15)</f>
        <v>861.04700000000003</v>
      </c>
      <c r="X16" s="7">
        <f t="shared" ref="X16" si="25">SUM(X12:X15)</f>
        <v>958.37</v>
      </c>
      <c r="Y16" s="7">
        <f t="shared" ref="Y16" si="26">SUM(Y12:Y15)</f>
        <v>0</v>
      </c>
      <c r="Z16" s="7">
        <f t="shared" ref="Z16" si="27">SUM(Z12:Z15)</f>
        <v>0</v>
      </c>
    </row>
    <row r="17" spans="2:26" s="7" customFormat="1" x14ac:dyDescent="0.25">
      <c r="B17" s="7" t="s">
        <v>18</v>
      </c>
      <c r="C17" s="7">
        <f t="shared" ref="C17:L17" si="28">C16+C11</f>
        <v>0</v>
      </c>
      <c r="D17" s="7">
        <f t="shared" si="28"/>
        <v>0</v>
      </c>
      <c r="E17" s="7">
        <f t="shared" si="28"/>
        <v>0</v>
      </c>
      <c r="F17" s="7">
        <f t="shared" si="28"/>
        <v>615.37799999999993</v>
      </c>
      <c r="G17" s="7">
        <f t="shared" si="28"/>
        <v>644.995</v>
      </c>
      <c r="H17" s="7">
        <f t="shared" si="28"/>
        <v>598.61800000000005</v>
      </c>
      <c r="I17" s="7">
        <f t="shared" si="28"/>
        <v>697.11099999999999</v>
      </c>
      <c r="J17" s="7">
        <f t="shared" si="28"/>
        <v>734.125</v>
      </c>
      <c r="K17" s="7">
        <f t="shared" si="28"/>
        <v>771.75800000000004</v>
      </c>
      <c r="L17" s="7">
        <f t="shared" si="28"/>
        <v>854.94399999999996</v>
      </c>
      <c r="M17" s="7">
        <f>M16+M11</f>
        <v>961.59299999999996</v>
      </c>
      <c r="N17" s="7">
        <f t="shared" ref="N17:Q17" si="29">N16+N11</f>
        <v>0</v>
      </c>
      <c r="O17" s="7">
        <f t="shared" si="29"/>
        <v>0</v>
      </c>
      <c r="P17" s="7">
        <f t="shared" si="29"/>
        <v>0</v>
      </c>
      <c r="Q17" s="7">
        <f t="shared" si="29"/>
        <v>0</v>
      </c>
      <c r="V17" s="7">
        <f t="shared" ref="V17" si="30">V16+V11</f>
        <v>1573.5299999999997</v>
      </c>
      <c r="W17" s="7">
        <f t="shared" ref="W17" si="31">W16+W11</f>
        <v>2122.7870000000003</v>
      </c>
      <c r="X17" s="7">
        <f t="shared" ref="X17" si="32">X16+X11</f>
        <v>2674.8609999999999</v>
      </c>
      <c r="Y17" s="7">
        <f t="shared" ref="Y17" si="33">Y16+Y11</f>
        <v>0</v>
      </c>
      <c r="Z17" s="7">
        <f t="shared" ref="Z17" si="34">Z16+Z11</f>
        <v>0</v>
      </c>
    </row>
    <row r="18" spans="2:26" s="6" customFormat="1" x14ac:dyDescent="0.25">
      <c r="B18" s="6" t="s">
        <v>19</v>
      </c>
      <c r="F18" s="6">
        <v>12.092000000000001</v>
      </c>
      <c r="G18" s="6">
        <v>7.1820000000000004</v>
      </c>
      <c r="H18" s="6">
        <v>11.64</v>
      </c>
      <c r="I18" s="6">
        <v>6</v>
      </c>
      <c r="J18" s="6">
        <v>6.8769999999999998</v>
      </c>
      <c r="K18" s="6">
        <v>5.6779999999999999</v>
      </c>
      <c r="L18" s="6">
        <v>10.035</v>
      </c>
      <c r="M18" s="6">
        <v>9.1999999999999993</v>
      </c>
      <c r="V18" s="6">
        <v>54.332000000000001</v>
      </c>
      <c r="W18" s="6">
        <v>54.945</v>
      </c>
      <c r="X18" s="6">
        <v>31.712</v>
      </c>
    </row>
    <row r="19" spans="2:26" s="6" customFormat="1" x14ac:dyDescent="0.25">
      <c r="B19" s="6" t="s">
        <v>20</v>
      </c>
      <c r="F19" s="6">
        <v>141.81700000000001</v>
      </c>
      <c r="G19" s="6">
        <v>130.91999999999999</v>
      </c>
      <c r="H19" s="6">
        <v>132.167</v>
      </c>
      <c r="I19" s="6">
        <v>139.714</v>
      </c>
      <c r="J19" s="6">
        <v>148.98599999999999</v>
      </c>
      <c r="K19" s="6">
        <v>156.20599999999999</v>
      </c>
      <c r="L19" s="6">
        <v>152.14599999999999</v>
      </c>
      <c r="M19" s="6">
        <v>167.14400000000001</v>
      </c>
      <c r="V19" s="6">
        <v>405.25700000000001</v>
      </c>
      <c r="W19" s="6">
        <v>511.41899999999998</v>
      </c>
      <c r="X19" s="6">
        <v>551.78700000000003</v>
      </c>
    </row>
    <row r="20" spans="2:26" s="6" customFormat="1" x14ac:dyDescent="0.25">
      <c r="B20" s="6" t="s">
        <v>21</v>
      </c>
      <c r="F20" s="6">
        <v>174.70500000000001</v>
      </c>
      <c r="G20" s="6">
        <v>167.36600000000001</v>
      </c>
      <c r="H20" s="6">
        <v>184.762</v>
      </c>
      <c r="I20" s="6">
        <v>214.9</v>
      </c>
      <c r="J20" s="6">
        <v>229.261</v>
      </c>
      <c r="K20" s="6">
        <v>238.17599999999999</v>
      </c>
      <c r="L20" s="6">
        <v>264.74400000000003</v>
      </c>
      <c r="M20" s="6">
        <v>286.87799999999999</v>
      </c>
      <c r="V20" s="6">
        <v>617.82299999999998</v>
      </c>
      <c r="W20" s="6">
        <v>719.4</v>
      </c>
      <c r="X20" s="6">
        <v>796.29300000000001</v>
      </c>
    </row>
    <row r="21" spans="2:26" s="6" customFormat="1" x14ac:dyDescent="0.25">
      <c r="B21" s="6" t="s">
        <v>22</v>
      </c>
      <c r="F21" s="6">
        <v>103.947</v>
      </c>
      <c r="G21" s="6">
        <v>100</v>
      </c>
      <c r="H21" s="6">
        <v>109.703</v>
      </c>
      <c r="I21" s="6">
        <v>123.714</v>
      </c>
      <c r="J21" s="6">
        <v>128.155</v>
      </c>
      <c r="K21" s="6">
        <v>135.52000000000001</v>
      </c>
      <c r="L21" s="6">
        <v>150.43700000000001</v>
      </c>
      <c r="M21" s="6">
        <v>161.423</v>
      </c>
      <c r="V21" s="6">
        <v>313.226</v>
      </c>
      <c r="W21" s="6">
        <f>378+247.174</f>
        <v>625.17399999999998</v>
      </c>
      <c r="X21" s="6">
        <v>461.63299999999998</v>
      </c>
    </row>
    <row r="22" spans="2:26" s="6" customFormat="1" x14ac:dyDescent="0.25">
      <c r="B22" s="6" t="s">
        <v>23</v>
      </c>
      <c r="F22" s="6">
        <v>131.685</v>
      </c>
      <c r="G22" s="6">
        <v>145.24</v>
      </c>
      <c r="H22" s="6">
        <v>145.006</v>
      </c>
      <c r="I22" s="6">
        <v>148.92099999999999</v>
      </c>
      <c r="J22" s="6">
        <v>160.922</v>
      </c>
      <c r="K22" s="6">
        <v>156.4</v>
      </c>
      <c r="L22" s="6">
        <v>165.39</v>
      </c>
      <c r="M22" s="6">
        <v>188.405</v>
      </c>
      <c r="V22" s="6">
        <v>501.61799999999999</v>
      </c>
      <c r="W22" s="6">
        <v>511.01100000000002</v>
      </c>
      <c r="X22" s="6">
        <v>600.08900000000006</v>
      </c>
    </row>
    <row r="23" spans="2:26" s="7" customFormat="1" x14ac:dyDescent="0.25">
      <c r="B23" s="7" t="s">
        <v>24</v>
      </c>
      <c r="C23" s="7">
        <f t="shared" ref="C23:L23" si="35">SUM(C18:C22)</f>
        <v>0</v>
      </c>
      <c r="D23" s="7">
        <f t="shared" si="35"/>
        <v>0</v>
      </c>
      <c r="E23" s="7">
        <f t="shared" si="35"/>
        <v>0</v>
      </c>
      <c r="F23" s="7">
        <f t="shared" si="35"/>
        <v>564.24600000000009</v>
      </c>
      <c r="G23" s="7">
        <f t="shared" si="35"/>
        <v>550.70799999999997</v>
      </c>
      <c r="H23" s="7">
        <f t="shared" si="35"/>
        <v>583.27800000000002</v>
      </c>
      <c r="I23" s="7">
        <f t="shared" si="35"/>
        <v>633.24900000000002</v>
      </c>
      <c r="J23" s="7">
        <f t="shared" si="35"/>
        <v>674.20100000000002</v>
      </c>
      <c r="K23" s="7">
        <f t="shared" si="35"/>
        <v>691.9799999999999</v>
      </c>
      <c r="L23" s="7">
        <f t="shared" si="35"/>
        <v>742.75200000000007</v>
      </c>
      <c r="M23" s="7">
        <f>SUM(M18:M22)</f>
        <v>813.05</v>
      </c>
      <c r="N23" s="7">
        <f t="shared" ref="N23:Q23" si="36">SUM(N18:N22)</f>
        <v>0</v>
      </c>
      <c r="O23" s="7">
        <f t="shared" si="36"/>
        <v>0</v>
      </c>
      <c r="P23" s="7">
        <f t="shared" si="36"/>
        <v>0</v>
      </c>
      <c r="Q23" s="7">
        <f t="shared" si="36"/>
        <v>0</v>
      </c>
      <c r="V23" s="7">
        <f t="shared" ref="V23" si="37">SUM(V18:V22)</f>
        <v>1892.2559999999999</v>
      </c>
      <c r="W23" s="7">
        <f t="shared" ref="W23" si="38">SUM(W18:W22)</f>
        <v>2421.9490000000001</v>
      </c>
      <c r="X23" s="7">
        <f t="shared" ref="X23" si="39">SUM(X18:X22)</f>
        <v>2441.5140000000001</v>
      </c>
      <c r="Y23" s="7">
        <f t="shared" ref="Y23" si="40">SUM(Y18:Y22)</f>
        <v>0</v>
      </c>
      <c r="Z23" s="7">
        <f t="shared" ref="Z23" si="41">SUM(Z18:Z22)</f>
        <v>0</v>
      </c>
    </row>
    <row r="24" spans="2:26" s="7" customFormat="1" x14ac:dyDescent="0.25">
      <c r="B24" s="7" t="s">
        <v>25</v>
      </c>
      <c r="C24" s="7">
        <f t="shared" ref="C24:L24" si="42">C17-C23</f>
        <v>0</v>
      </c>
      <c r="D24" s="7">
        <f t="shared" si="42"/>
        <v>0</v>
      </c>
      <c r="E24" s="7">
        <f t="shared" si="42"/>
        <v>0</v>
      </c>
      <c r="F24" s="7">
        <f t="shared" si="42"/>
        <v>51.131999999999834</v>
      </c>
      <c r="G24" s="7">
        <f t="shared" si="42"/>
        <v>94.287000000000035</v>
      </c>
      <c r="H24" s="7">
        <f t="shared" si="42"/>
        <v>15.340000000000032</v>
      </c>
      <c r="I24" s="7">
        <f t="shared" si="42"/>
        <v>63.861999999999966</v>
      </c>
      <c r="J24" s="7">
        <f t="shared" si="42"/>
        <v>59.923999999999978</v>
      </c>
      <c r="K24" s="7">
        <f t="shared" si="42"/>
        <v>79.778000000000134</v>
      </c>
      <c r="L24" s="7">
        <f t="shared" si="42"/>
        <v>112.19199999999989</v>
      </c>
      <c r="M24" s="7">
        <f>M17-M23</f>
        <v>148.54300000000001</v>
      </c>
      <c r="N24" s="7">
        <f t="shared" ref="N24:Q24" si="43">N17-N23</f>
        <v>0</v>
      </c>
      <c r="O24" s="7">
        <f t="shared" si="43"/>
        <v>0</v>
      </c>
      <c r="P24" s="7">
        <f t="shared" si="43"/>
        <v>0</v>
      </c>
      <c r="Q24" s="7">
        <f t="shared" si="43"/>
        <v>0</v>
      </c>
      <c r="V24" s="7">
        <f t="shared" ref="V24" si="44">V17-V23</f>
        <v>-318.72600000000011</v>
      </c>
      <c r="W24" s="7">
        <f t="shared" ref="W24" si="45">W17-W23</f>
        <v>-299.16199999999981</v>
      </c>
      <c r="X24" s="7">
        <f t="shared" ref="X24" si="46">X17-X23</f>
        <v>233.34699999999975</v>
      </c>
      <c r="Y24" s="7">
        <f t="shared" ref="Y24" si="47">Y17-Y23</f>
        <v>0</v>
      </c>
      <c r="Z24" s="7">
        <f t="shared" ref="Z24" si="48">Z17-Z23</f>
        <v>0</v>
      </c>
    </row>
    <row r="25" spans="2:26" s="6" customFormat="1" x14ac:dyDescent="0.25">
      <c r="B25" s="6" t="s">
        <v>26</v>
      </c>
      <c r="F25" s="6">
        <v>-3.2450000000000001</v>
      </c>
      <c r="G25" s="6">
        <v>-6.1829999999999998</v>
      </c>
      <c r="H25" s="6">
        <v>2.0640000000000001</v>
      </c>
      <c r="I25" s="6">
        <v>-3.11</v>
      </c>
      <c r="J25" s="6">
        <v>272.54899999999998</v>
      </c>
      <c r="K25" s="6">
        <v>-8.6660000000000004</v>
      </c>
      <c r="L25" s="6">
        <v>-14.929</v>
      </c>
      <c r="M25" s="6">
        <v>-9.1590000000000007</v>
      </c>
      <c r="V25" s="6">
        <v>-1.6859999999999999</v>
      </c>
      <c r="W25" s="6">
        <v>0.41599999999999998</v>
      </c>
      <c r="X25" s="6">
        <v>265.32</v>
      </c>
    </row>
    <row r="26" spans="2:26" s="7" customFormat="1" x14ac:dyDescent="0.25">
      <c r="B26" s="7" t="s">
        <v>27</v>
      </c>
      <c r="C26" s="7">
        <f t="shared" ref="C26:L26" si="49">C24+C25</f>
        <v>0</v>
      </c>
      <c r="D26" s="7">
        <f t="shared" si="49"/>
        <v>0</v>
      </c>
      <c r="E26" s="7">
        <f t="shared" si="49"/>
        <v>0</v>
      </c>
      <c r="F26" s="7">
        <f t="shared" si="49"/>
        <v>47.886999999999837</v>
      </c>
      <c r="G26" s="7">
        <f t="shared" si="49"/>
        <v>88.104000000000042</v>
      </c>
      <c r="H26" s="7">
        <f t="shared" si="49"/>
        <v>17.404000000000032</v>
      </c>
      <c r="I26" s="7">
        <f t="shared" si="49"/>
        <v>60.751999999999967</v>
      </c>
      <c r="J26" s="7">
        <f t="shared" si="49"/>
        <v>332.47299999999996</v>
      </c>
      <c r="K26" s="7">
        <f t="shared" si="49"/>
        <v>71.112000000000137</v>
      </c>
      <c r="L26" s="7">
        <f t="shared" si="49"/>
        <v>97.262999999999892</v>
      </c>
      <c r="M26" s="7">
        <f>M24+M25</f>
        <v>139.38400000000001</v>
      </c>
      <c r="N26" s="7">
        <f t="shared" ref="N26:Q26" si="50">N24+N25</f>
        <v>0</v>
      </c>
      <c r="O26" s="7">
        <f t="shared" si="50"/>
        <v>0</v>
      </c>
      <c r="P26" s="7">
        <f t="shared" si="50"/>
        <v>0</v>
      </c>
      <c r="Q26" s="7">
        <f t="shared" si="50"/>
        <v>0</v>
      </c>
      <c r="V26" s="7">
        <f t="shared" ref="V26" si="51">V24+V25</f>
        <v>-320.41200000000009</v>
      </c>
      <c r="W26" s="7">
        <f t="shared" ref="W26" si="52">W24+W25</f>
        <v>-298.74599999999981</v>
      </c>
      <c r="X26" s="7">
        <f t="shared" ref="X26" si="53">X24+X25</f>
        <v>498.66699999999975</v>
      </c>
      <c r="Y26" s="7">
        <f t="shared" ref="Y26" si="54">Y24+Y25</f>
        <v>0</v>
      </c>
      <c r="Z26" s="7">
        <f t="shared" ref="Z26" si="55">Z24+Z25</f>
        <v>0</v>
      </c>
    </row>
    <row r="27" spans="2:26" s="6" customFormat="1" x14ac:dyDescent="0.25">
      <c r="B27" s="6" t="s">
        <v>28</v>
      </c>
      <c r="G27" s="6">
        <v>-0.7</v>
      </c>
      <c r="H27" s="6">
        <v>0.74099999999999999</v>
      </c>
      <c r="I27" s="6">
        <v>9.0289999999999999</v>
      </c>
      <c r="K27" s="6">
        <v>11.462</v>
      </c>
      <c r="L27" s="6">
        <v>1.3280000000000001</v>
      </c>
      <c r="M27" s="6">
        <v>6.1829999999999998</v>
      </c>
      <c r="V27" s="6">
        <v>-7.26</v>
      </c>
      <c r="W27" s="6">
        <v>6.41</v>
      </c>
      <c r="X27" s="6">
        <v>-7.1580000000000004</v>
      </c>
    </row>
    <row r="28" spans="2:26" s="6" customFormat="1" x14ac:dyDescent="0.25">
      <c r="B28" s="6" t="s">
        <v>29</v>
      </c>
      <c r="G28" s="6">
        <v>-0.17899999999999999</v>
      </c>
      <c r="H28" s="6">
        <v>-0.13600000000000001</v>
      </c>
      <c r="I28" s="6">
        <v>0.56000000000000005</v>
      </c>
      <c r="K28" s="6">
        <v>-0.26900000000000002</v>
      </c>
      <c r="L28" s="6">
        <v>-0.56299999999999994</v>
      </c>
      <c r="M28" s="6">
        <v>-0.22800000000000001</v>
      </c>
      <c r="V28" s="6">
        <v>0.435</v>
      </c>
      <c r="W28" s="6">
        <v>0.67700000000000005</v>
      </c>
      <c r="X28" s="6">
        <v>0</v>
      </c>
    </row>
    <row r="29" spans="2:26" s="7" customFormat="1" x14ac:dyDescent="0.25">
      <c r="B29" s="7" t="s">
        <v>30</v>
      </c>
      <c r="C29" s="7">
        <f t="shared" ref="C29:L29" si="56">C26+C27+C28</f>
        <v>0</v>
      </c>
      <c r="D29" s="7">
        <f t="shared" si="56"/>
        <v>0</v>
      </c>
      <c r="E29" s="7">
        <f t="shared" si="56"/>
        <v>0</v>
      </c>
      <c r="F29" s="7">
        <f t="shared" si="56"/>
        <v>47.886999999999837</v>
      </c>
      <c r="G29" s="7">
        <f t="shared" si="56"/>
        <v>87.225000000000037</v>
      </c>
      <c r="H29" s="7">
        <f t="shared" si="56"/>
        <v>18.009000000000032</v>
      </c>
      <c r="I29" s="7">
        <f t="shared" si="56"/>
        <v>70.340999999999966</v>
      </c>
      <c r="J29" s="7">
        <f t="shared" si="56"/>
        <v>332.47299999999996</v>
      </c>
      <c r="K29" s="7">
        <f t="shared" si="56"/>
        <v>82.305000000000135</v>
      </c>
      <c r="L29" s="7">
        <f t="shared" si="56"/>
        <v>98.027999999999892</v>
      </c>
      <c r="M29" s="7">
        <f>M26+M27+M28</f>
        <v>145.339</v>
      </c>
      <c r="N29" s="7">
        <f t="shared" ref="N29:Q29" si="57">N26+N27+N28</f>
        <v>0</v>
      </c>
      <c r="O29" s="7">
        <f t="shared" si="57"/>
        <v>0</v>
      </c>
      <c r="P29" s="7">
        <f t="shared" si="57"/>
        <v>0</v>
      </c>
      <c r="Q29" s="7">
        <f t="shared" si="57"/>
        <v>0</v>
      </c>
      <c r="V29" s="7">
        <f t="shared" ref="V29" si="58">V26+V27+V28</f>
        <v>-327.23700000000008</v>
      </c>
      <c r="W29" s="7">
        <f t="shared" ref="W29" si="59">W26+W27+W28</f>
        <v>-291.65899999999976</v>
      </c>
      <c r="X29" s="7">
        <f t="shared" ref="X29" si="60">X26+X27+X28</f>
        <v>491.50899999999973</v>
      </c>
      <c r="Y29" s="7">
        <f t="shared" ref="Y29" si="61">Y26+Y27+Y28</f>
        <v>0</v>
      </c>
      <c r="Z29" s="7">
        <f t="shared" ref="Z29" si="62">Z26+Z27+Z28</f>
        <v>0</v>
      </c>
    </row>
    <row r="30" spans="2:26" s="6" customFormat="1" x14ac:dyDescent="0.25">
      <c r="B30" s="6" t="s">
        <v>31</v>
      </c>
      <c r="F30" s="6">
        <v>962.69200000000001</v>
      </c>
      <c r="G30" s="6">
        <v>982.61699999999996</v>
      </c>
      <c r="H30" s="6">
        <v>1058.5920000000001</v>
      </c>
      <c r="I30" s="6">
        <v>1071.1600000000001</v>
      </c>
      <c r="J30" s="6">
        <v>1087.8630000000001</v>
      </c>
      <c r="K30" s="6">
        <v>1097.9939999999999</v>
      </c>
      <c r="L30" s="6">
        <v>1107.0060000000001</v>
      </c>
      <c r="M30" s="6">
        <v>1171.2049999999999</v>
      </c>
      <c r="V30" s="6">
        <v>900.88599999999997</v>
      </c>
      <c r="W30" s="6">
        <v>945</v>
      </c>
      <c r="X30" s="6">
        <v>1050.2190000000001</v>
      </c>
    </row>
    <row r="31" spans="2:26" s="3" customFormat="1" x14ac:dyDescent="0.25">
      <c r="B31" s="3" t="s">
        <v>32</v>
      </c>
      <c r="C31" s="5" t="e">
        <f t="shared" ref="C31:L31" si="63">C26/C30</f>
        <v>#DIV/0!</v>
      </c>
      <c r="D31" s="5" t="e">
        <f t="shared" si="63"/>
        <v>#DIV/0!</v>
      </c>
      <c r="E31" s="5" t="e">
        <f t="shared" si="63"/>
        <v>#DIV/0!</v>
      </c>
      <c r="F31" s="5">
        <f t="shared" si="63"/>
        <v>4.9742804552234607E-2</v>
      </c>
      <c r="G31" s="5">
        <f t="shared" si="63"/>
        <v>8.9662605063824508E-2</v>
      </c>
      <c r="H31" s="5">
        <f t="shared" si="63"/>
        <v>1.6440706145521625E-2</v>
      </c>
      <c r="I31" s="5">
        <f t="shared" si="63"/>
        <v>5.6716083498263528E-2</v>
      </c>
      <c r="J31" s="5">
        <f t="shared" si="63"/>
        <v>0.30562028490719872</v>
      </c>
      <c r="K31" s="5">
        <f t="shared" si="63"/>
        <v>6.4765381231591562E-2</v>
      </c>
      <c r="L31" s="5">
        <f t="shared" si="63"/>
        <v>8.786131240481071E-2</v>
      </c>
      <c r="M31" s="5">
        <f>M26/M30</f>
        <v>0.11900905477691781</v>
      </c>
      <c r="N31" s="5" t="e">
        <f t="shared" ref="N31:Q31" si="64">N26/N30</f>
        <v>#DIV/0!</v>
      </c>
      <c r="O31" s="5" t="e">
        <f t="shared" si="64"/>
        <v>#DIV/0!</v>
      </c>
      <c r="P31" s="5" t="e">
        <f t="shared" si="64"/>
        <v>#DIV/0!</v>
      </c>
      <c r="Q31" s="5" t="e">
        <f t="shared" si="64"/>
        <v>#DIV/0!</v>
      </c>
      <c r="V31" s="5">
        <f t="shared" ref="V31" si="65">V26/V30</f>
        <v>-0.35566320266937229</v>
      </c>
      <c r="W31" s="5">
        <f t="shared" ref="W31" si="66">W26/W30</f>
        <v>-0.31613333333333316</v>
      </c>
      <c r="X31" s="5">
        <f t="shared" ref="X31" si="67">X26/X30</f>
        <v>0.47482191809517799</v>
      </c>
      <c r="Y31" s="5" t="e">
        <f t="shared" ref="Y31" si="68">Y26/Y30</f>
        <v>#DIV/0!</v>
      </c>
      <c r="Z31" s="5" t="e">
        <f t="shared" ref="Z31" si="69">Z26/Z30</f>
        <v>#DIV/0!</v>
      </c>
    </row>
    <row r="34" spans="2:26" s="8" customFormat="1" x14ac:dyDescent="0.25">
      <c r="B34" s="8" t="s">
        <v>114</v>
      </c>
      <c r="C34" s="8" t="e">
        <f t="shared" ref="C34:M34" si="70">C26/C17</f>
        <v>#DIV/0!</v>
      </c>
      <c r="D34" s="8" t="e">
        <f t="shared" si="70"/>
        <v>#DIV/0!</v>
      </c>
      <c r="E34" s="8" t="e">
        <f t="shared" si="70"/>
        <v>#DIV/0!</v>
      </c>
      <c r="F34" s="8">
        <f t="shared" si="70"/>
        <v>7.7817211535023745E-2</v>
      </c>
      <c r="G34" s="8">
        <f t="shared" si="70"/>
        <v>0.13659640772409096</v>
      </c>
      <c r="H34" s="8">
        <f t="shared" si="70"/>
        <v>2.907363293452591E-2</v>
      </c>
      <c r="I34" s="8">
        <f t="shared" si="70"/>
        <v>8.7148244684132042E-2</v>
      </c>
      <c r="J34" s="8">
        <f t="shared" si="70"/>
        <v>0.45288336454963385</v>
      </c>
      <c r="K34" s="8">
        <f t="shared" si="70"/>
        <v>9.2142873802409736E-2</v>
      </c>
      <c r="L34" s="8">
        <f t="shared" si="70"/>
        <v>0.11376534603436002</v>
      </c>
      <c r="M34" s="8">
        <f>M26/M17</f>
        <v>0.14495113837143159</v>
      </c>
      <c r="N34" s="8" t="e">
        <f t="shared" ref="N34:Q34" si="71">N26/N17</f>
        <v>#DIV/0!</v>
      </c>
      <c r="O34" s="8" t="e">
        <f t="shared" si="71"/>
        <v>#DIV/0!</v>
      </c>
      <c r="P34" s="8" t="e">
        <f t="shared" si="71"/>
        <v>#DIV/0!</v>
      </c>
      <c r="Q34" s="8" t="e">
        <f t="shared" si="71"/>
        <v>#DIV/0!</v>
      </c>
      <c r="V34" s="8">
        <f t="shared" ref="V34:Z34" si="72">V26/V17</f>
        <v>-0.20362624163504994</v>
      </c>
      <c r="W34" s="8">
        <f t="shared" si="72"/>
        <v>-0.14073291385334458</v>
      </c>
      <c r="X34" s="8">
        <f t="shared" si="72"/>
        <v>0.18642725734159635</v>
      </c>
      <c r="Y34" s="8" t="e">
        <f t="shared" si="72"/>
        <v>#DIV/0!</v>
      </c>
      <c r="Z34" s="8" t="e">
        <f t="shared" si="72"/>
        <v>#DIV/0!</v>
      </c>
    </row>
    <row r="35" spans="2:26" s="8" customFormat="1" x14ac:dyDescent="0.25">
      <c r="B35" s="8" t="s">
        <v>115</v>
      </c>
      <c r="C35" s="8" t="e">
        <f t="shared" ref="C35:M35" si="73">-C25/C24</f>
        <v>#DIV/0!</v>
      </c>
      <c r="D35" s="8" t="e">
        <f t="shared" si="73"/>
        <v>#DIV/0!</v>
      </c>
      <c r="E35" s="8" t="e">
        <f t="shared" si="73"/>
        <v>#DIV/0!</v>
      </c>
      <c r="F35" s="8">
        <f t="shared" si="73"/>
        <v>6.3463193303606558E-2</v>
      </c>
      <c r="G35" s="8">
        <f t="shared" si="73"/>
        <v>6.5576378503929472E-2</v>
      </c>
      <c r="H35" s="8">
        <f t="shared" si="73"/>
        <v>-0.13455019556714445</v>
      </c>
      <c r="I35" s="8">
        <f t="shared" si="73"/>
        <v>4.8698756694121721E-2</v>
      </c>
      <c r="J35" s="8">
        <f t="shared" si="73"/>
        <v>-4.5482444429610851</v>
      </c>
      <c r="K35" s="8">
        <f t="shared" si="73"/>
        <v>0.10862643836646677</v>
      </c>
      <c r="L35" s="8">
        <f t="shared" si="73"/>
        <v>0.13306652880775827</v>
      </c>
      <c r="M35" s="8">
        <f>-M25/M24</f>
        <v>6.1658913580579365E-2</v>
      </c>
      <c r="N35" s="8" t="e">
        <f t="shared" ref="N35:Q35" si="74">-N25/N24</f>
        <v>#DIV/0!</v>
      </c>
      <c r="O35" s="8" t="e">
        <f t="shared" si="74"/>
        <v>#DIV/0!</v>
      </c>
      <c r="P35" s="8" t="e">
        <f t="shared" si="74"/>
        <v>#DIV/0!</v>
      </c>
      <c r="Q35" s="8" t="e">
        <f t="shared" si="74"/>
        <v>#DIV/0!</v>
      </c>
      <c r="V35" s="8">
        <f t="shared" ref="V35:Z35" si="75">-V25/V24</f>
        <v>-5.2898100562865889E-3</v>
      </c>
      <c r="W35" s="8">
        <f t="shared" si="75"/>
        <v>1.3905509389561517E-3</v>
      </c>
      <c r="X35" s="8">
        <f t="shared" si="75"/>
        <v>-1.1370191174516933</v>
      </c>
      <c r="Y35" s="8" t="e">
        <f t="shared" si="75"/>
        <v>#DIV/0!</v>
      </c>
      <c r="Z35" s="8" t="e">
        <f t="shared" si="75"/>
        <v>#DIV/0!</v>
      </c>
    </row>
    <row r="36" spans="2:26" s="8" customFormat="1" x14ac:dyDescent="0.25"/>
    <row r="37" spans="2:26" s="8" customFormat="1" x14ac:dyDescent="0.25">
      <c r="B37" s="8" t="s">
        <v>116</v>
      </c>
      <c r="G37" s="8" t="e">
        <f t="shared" ref="G37:L37" si="76">G17/C17-1</f>
        <v>#DIV/0!</v>
      </c>
      <c r="H37" s="8" t="e">
        <f t="shared" si="76"/>
        <v>#DIV/0!</v>
      </c>
      <c r="I37" s="8" t="e">
        <f t="shared" si="76"/>
        <v>#DIV/0!</v>
      </c>
      <c r="J37" s="8">
        <f t="shared" si="76"/>
        <v>0.19296594938395595</v>
      </c>
      <c r="K37" s="8">
        <f t="shared" si="76"/>
        <v>0.1965333064597401</v>
      </c>
      <c r="L37" s="8">
        <f t="shared" si="76"/>
        <v>0.42819627876208188</v>
      </c>
      <c r="M37" s="8">
        <f>M17/I17-1</f>
        <v>0.37939725524342616</v>
      </c>
      <c r="N37" s="8">
        <f t="shared" ref="N37:Q37" si="77">N17/J17-1</f>
        <v>-1</v>
      </c>
      <c r="O37" s="8">
        <f t="shared" si="77"/>
        <v>-1</v>
      </c>
      <c r="P37" s="8">
        <f t="shared" si="77"/>
        <v>-1</v>
      </c>
      <c r="Q37" s="8">
        <f t="shared" si="77"/>
        <v>-1</v>
      </c>
      <c r="W37" s="8">
        <f t="shared" ref="W37:X37" si="78">W17/V17-1</f>
        <v>0.34906039287461987</v>
      </c>
      <c r="X37" s="8">
        <f>X17/W17-1</f>
        <v>0.26007036975447817</v>
      </c>
      <c r="Y37" s="8">
        <f t="shared" ref="Y37:Z37" si="79">Y17/X17-1</f>
        <v>-1</v>
      </c>
      <c r="Z37" s="8" t="e">
        <f t="shared" si="79"/>
        <v>#DIV/0!</v>
      </c>
    </row>
    <row r="38" spans="2:26" s="8" customFormat="1" x14ac:dyDescent="0.25">
      <c r="B38" s="8" t="s">
        <v>117</v>
      </c>
      <c r="G38" s="8" t="e">
        <f t="shared" ref="G38:L38" si="80">G5/C5-1</f>
        <v>#DIV/0!</v>
      </c>
      <c r="H38" s="8" t="e">
        <f t="shared" si="80"/>
        <v>#DIV/0!</v>
      </c>
      <c r="I38" s="8" t="e">
        <f t="shared" si="80"/>
        <v>#DIV/0!</v>
      </c>
      <c r="J38" s="8">
        <f t="shared" si="80"/>
        <v>0.15296704931676253</v>
      </c>
      <c r="K38" s="8">
        <f t="shared" si="80"/>
        <v>0.14701814506743416</v>
      </c>
      <c r="L38" s="8">
        <f t="shared" si="80"/>
        <v>0.17463811620305503</v>
      </c>
      <c r="M38" s="8">
        <f>M5/I5-1</f>
        <v>0.23250011059255482</v>
      </c>
      <c r="N38" s="8">
        <f t="shared" ref="N38:Q38" si="81">N5/J5-1</f>
        <v>-1</v>
      </c>
      <c r="O38" s="8">
        <f t="shared" si="81"/>
        <v>-1</v>
      </c>
      <c r="P38" s="8">
        <f t="shared" si="81"/>
        <v>-1</v>
      </c>
      <c r="Q38" s="8">
        <f t="shared" si="81"/>
        <v>-1</v>
      </c>
      <c r="W38" s="8">
        <f t="shared" ref="W38:X38" si="82">W11/V11-1</f>
        <v>1.1601733973415151</v>
      </c>
      <c r="X38" s="8">
        <f>X11/W11-1</f>
        <v>0.36041577504081634</v>
      </c>
      <c r="Y38" s="8">
        <f t="shared" ref="Y38:Z38" si="83">Y11/X11-1</f>
        <v>-1</v>
      </c>
      <c r="Z38" s="8" t="e">
        <f t="shared" si="83"/>
        <v>#DIV/0!</v>
      </c>
    </row>
    <row r="41" spans="2:26" s="6" customFormat="1" x14ac:dyDescent="0.25">
      <c r="B41" s="6" t="s">
        <v>49</v>
      </c>
      <c r="C41" s="13"/>
      <c r="D41" s="13"/>
      <c r="E41" s="13"/>
      <c r="F41" s="13"/>
      <c r="G41" s="13"/>
      <c r="H41" s="13"/>
      <c r="I41" s="13"/>
      <c r="J41" s="6">
        <f t="shared" ref="C41:L41" si="84">+J42+J44-J57</f>
        <v>1341.29</v>
      </c>
      <c r="K41" s="6">
        <f t="shared" si="84"/>
        <v>1193.0080000000003</v>
      </c>
      <c r="L41" s="6">
        <f t="shared" si="84"/>
        <v>554.67399999999952</v>
      </c>
      <c r="M41" s="6">
        <f>+M42+M44-M57</f>
        <v>3044.8460000000005</v>
      </c>
      <c r="N41" s="6">
        <f t="shared" ref="N41:Q41" si="85">+N42+N44-N57</f>
        <v>0</v>
      </c>
      <c r="O41" s="6">
        <f t="shared" si="85"/>
        <v>0</v>
      </c>
      <c r="P41" s="6">
        <f t="shared" si="85"/>
        <v>0</v>
      </c>
      <c r="Q41" s="6">
        <f t="shared" si="85"/>
        <v>0</v>
      </c>
      <c r="W41" s="6">
        <f t="shared" ref="W41:X41" si="86">+W42+W44-W57</f>
        <v>-1446.4610000000002</v>
      </c>
      <c r="X41" s="6">
        <f t="shared" si="86"/>
        <v>1341.29</v>
      </c>
      <c r="Y41" s="6">
        <f t="shared" ref="Y41" si="87">+Y42+Y44-Y57</f>
        <v>0</v>
      </c>
      <c r="Z41" s="6">
        <f t="shared" ref="Z41" si="88">+Z42+Z44-Z57</f>
        <v>0</v>
      </c>
    </row>
    <row r="42" spans="2:26" s="6" customFormat="1" x14ac:dyDescent="0.25">
      <c r="B42" s="6" t="s">
        <v>48</v>
      </c>
      <c r="C42" s="13"/>
      <c r="D42" s="13"/>
      <c r="E42" s="13"/>
      <c r="F42" s="13"/>
      <c r="G42" s="13"/>
      <c r="H42" s="13"/>
      <c r="I42" s="13"/>
      <c r="J42" s="6">
        <v>2538.2930000000001</v>
      </c>
      <c r="K42" s="6">
        <v>2085.6970000000001</v>
      </c>
      <c r="L42" s="6">
        <v>2122.5</v>
      </c>
      <c r="M42" s="6">
        <v>3246.3510000000001</v>
      </c>
      <c r="W42" s="6">
        <v>3085.02</v>
      </c>
      <c r="X42" s="6">
        <v>2538.2930000000001</v>
      </c>
    </row>
    <row r="43" spans="2:26" s="6" customFormat="1" x14ac:dyDescent="0.25">
      <c r="B43" s="6" t="s">
        <v>50</v>
      </c>
      <c r="C43" s="13"/>
      <c r="D43" s="13"/>
      <c r="E43" s="13"/>
      <c r="F43" s="13"/>
      <c r="G43" s="13"/>
      <c r="H43" s="13"/>
      <c r="I43" s="13"/>
      <c r="J43" s="6">
        <v>171.06700000000001</v>
      </c>
      <c r="K43" s="6">
        <v>630.43899999999996</v>
      </c>
      <c r="L43" s="6">
        <v>592.1</v>
      </c>
      <c r="M43" s="6">
        <v>500.096</v>
      </c>
      <c r="W43" s="6">
        <v>530.55799999999999</v>
      </c>
      <c r="X43" s="6">
        <v>171.06700000000001</v>
      </c>
    </row>
    <row r="44" spans="2:26" s="6" customFormat="1" x14ac:dyDescent="0.25">
      <c r="B44" s="6" t="s">
        <v>51</v>
      </c>
      <c r="C44" s="13"/>
      <c r="D44" s="13"/>
      <c r="E44" s="13"/>
      <c r="F44" s="13"/>
      <c r="G44" s="13"/>
      <c r="H44" s="13"/>
      <c r="I44" s="13"/>
      <c r="J44" s="6">
        <v>1895.6890000000001</v>
      </c>
      <c r="K44" s="6">
        <v>2153.4560000000001</v>
      </c>
      <c r="L44" s="6">
        <v>2374.81</v>
      </c>
      <c r="M44" s="6">
        <v>2512.4369999999999</v>
      </c>
      <c r="W44" s="6">
        <v>701.93499999999995</v>
      </c>
      <c r="X44" s="6">
        <v>1895.6890000000001</v>
      </c>
    </row>
    <row r="45" spans="2:26" s="6" customFormat="1" x14ac:dyDescent="0.25">
      <c r="B45" s="6" t="s">
        <v>52</v>
      </c>
      <c r="C45" s="13"/>
      <c r="D45" s="13"/>
      <c r="E45" s="13"/>
      <c r="F45" s="13"/>
      <c r="G45" s="13"/>
      <c r="H45" s="13"/>
      <c r="I45" s="13"/>
      <c r="J45" s="6">
        <f>17684.892+8597.368+1246.458</f>
        <v>27528.718000000001</v>
      </c>
      <c r="K45" s="6">
        <f>18226.063+9571.457+1296.413</f>
        <v>29093.932999999997</v>
      </c>
      <c r="L45" s="6">
        <f>20063.089+10741.641+1413.385</f>
        <v>32218.114999999998</v>
      </c>
      <c r="M45" s="6">
        <f>21587.35+11827.987+1483.95</f>
        <v>34899.286999999997</v>
      </c>
      <c r="W45" s="6">
        <f>15396.771+6725.484+836.159</f>
        <v>22958.414000000001</v>
      </c>
      <c r="X45" s="6">
        <f>17684.892+8597.368+1246.458</f>
        <v>27528.718000000001</v>
      </c>
    </row>
    <row r="46" spans="2:26" s="6" customFormat="1" x14ac:dyDescent="0.25">
      <c r="B46" s="6" t="s">
        <v>53</v>
      </c>
      <c r="C46" s="13"/>
      <c r="D46" s="13"/>
      <c r="E46" s="13"/>
      <c r="F46" s="13"/>
      <c r="G46" s="13"/>
      <c r="H46" s="13"/>
      <c r="I46" s="13"/>
      <c r="J46" s="6">
        <v>342.12799999999999</v>
      </c>
      <c r="K46" s="6">
        <v>389.78</v>
      </c>
      <c r="L46" s="6">
        <v>375</v>
      </c>
      <c r="M46" s="6">
        <v>383.52600000000001</v>
      </c>
      <c r="W46" s="6">
        <v>180.46899999999999</v>
      </c>
      <c r="X46" s="6">
        <v>342.12799999999999</v>
      </c>
    </row>
    <row r="47" spans="2:26" s="6" customFormat="1" x14ac:dyDescent="0.25">
      <c r="B47" s="6" t="s">
        <v>54</v>
      </c>
      <c r="C47" s="13"/>
      <c r="D47" s="13"/>
      <c r="E47" s="13"/>
      <c r="F47" s="13"/>
      <c r="G47" s="13"/>
      <c r="H47" s="13"/>
      <c r="I47" s="13"/>
      <c r="J47" s="6">
        <v>287.86900000000003</v>
      </c>
      <c r="K47" s="6">
        <v>316.60000000000002</v>
      </c>
      <c r="L47" s="6">
        <v>354.755</v>
      </c>
      <c r="M47" s="6">
        <v>386.62900000000002</v>
      </c>
      <c r="W47" s="6">
        <v>219.9</v>
      </c>
      <c r="X47" s="6">
        <v>287.86900000000003</v>
      </c>
    </row>
    <row r="48" spans="2:26" s="6" customFormat="1" x14ac:dyDescent="0.25">
      <c r="B48" s="6" t="s">
        <v>55</v>
      </c>
      <c r="C48" s="13"/>
      <c r="D48" s="13"/>
      <c r="E48" s="13"/>
      <c r="F48" s="13"/>
      <c r="G48" s="13"/>
      <c r="H48" s="13"/>
      <c r="I48" s="13"/>
      <c r="J48" s="6">
        <v>1393.5050000000001</v>
      </c>
      <c r="K48" s="6">
        <v>1393.5</v>
      </c>
      <c r="L48" s="6">
        <v>1393.5</v>
      </c>
      <c r="M48" s="6">
        <v>1393.5050000000001</v>
      </c>
      <c r="W48" s="6">
        <v>1393.5</v>
      </c>
      <c r="X48" s="6">
        <v>1393.5050000000001</v>
      </c>
    </row>
    <row r="49" spans="2:26" s="6" customFormat="1" x14ac:dyDescent="0.25">
      <c r="B49" s="6" t="s">
        <v>56</v>
      </c>
      <c r="C49" s="13"/>
      <c r="D49" s="13"/>
      <c r="E49" s="13"/>
      <c r="F49" s="13"/>
      <c r="G49" s="13"/>
      <c r="H49" s="13"/>
      <c r="I49" s="13"/>
      <c r="J49" s="6">
        <v>297.79399999999998</v>
      </c>
      <c r="K49" s="6">
        <v>279.75700000000001</v>
      </c>
      <c r="L49" s="6">
        <v>263.52199999999999</v>
      </c>
      <c r="M49" s="6">
        <v>247.845</v>
      </c>
      <c r="W49" s="6">
        <v>394.05</v>
      </c>
      <c r="X49" s="6">
        <v>297.79399999999998</v>
      </c>
    </row>
    <row r="50" spans="2:26" s="6" customFormat="1" x14ac:dyDescent="0.25">
      <c r="B50" s="6" t="s">
        <v>57</v>
      </c>
      <c r="C50" s="13"/>
      <c r="D50" s="13"/>
      <c r="E50" s="13"/>
      <c r="F50" s="13"/>
      <c r="G50" s="13"/>
      <c r="H50" s="13"/>
      <c r="I50" s="13"/>
      <c r="J50" s="6">
        <v>81.218999999999994</v>
      </c>
      <c r="K50" s="6">
        <v>77.840999999999994</v>
      </c>
      <c r="L50" s="6">
        <v>77.212999999999994</v>
      </c>
      <c r="M50" s="6">
        <v>79.418999999999997</v>
      </c>
      <c r="W50" s="6">
        <v>89.635000000000005</v>
      </c>
      <c r="X50" s="6">
        <v>81.218999999999994</v>
      </c>
    </row>
    <row r="51" spans="2:26" s="6" customFormat="1" x14ac:dyDescent="0.25">
      <c r="B51" s="6" t="s">
        <v>58</v>
      </c>
      <c r="C51" s="13"/>
      <c r="D51" s="13"/>
      <c r="E51" s="13"/>
      <c r="F51" s="13"/>
      <c r="G51" s="13"/>
      <c r="H51" s="13"/>
      <c r="I51" s="13"/>
      <c r="J51" s="6">
        <v>1714.6690000000001</v>
      </c>
      <c r="K51" s="6">
        <v>1328.279</v>
      </c>
      <c r="L51" s="6">
        <v>1340.6420000000001</v>
      </c>
      <c r="M51" s="6">
        <v>1644.355</v>
      </c>
      <c r="W51" s="6">
        <v>554.36599999999999</v>
      </c>
      <c r="X51" s="6">
        <v>1714.6690000000001</v>
      </c>
    </row>
    <row r="52" spans="2:26" s="7" customFormat="1" x14ac:dyDescent="0.25">
      <c r="B52" s="7" t="s">
        <v>59</v>
      </c>
      <c r="C52" s="14"/>
      <c r="D52" s="14"/>
      <c r="E52" s="14"/>
      <c r="F52" s="14"/>
      <c r="G52" s="14"/>
      <c r="H52" s="14"/>
      <c r="I52" s="14"/>
      <c r="J52" s="7">
        <f t="shared" ref="C52:L52" si="89">SUM(J42:J51)</f>
        <v>36250.951000000001</v>
      </c>
      <c r="K52" s="7">
        <f t="shared" si="89"/>
        <v>37749.281999999992</v>
      </c>
      <c r="L52" s="7">
        <f t="shared" si="89"/>
        <v>41112.156999999992</v>
      </c>
      <c r="M52" s="7">
        <f>SUM(M42:M51)</f>
        <v>45293.45</v>
      </c>
      <c r="N52" s="7">
        <f t="shared" ref="N52:Q52" si="90">SUM(N42:N51)</f>
        <v>0</v>
      </c>
      <c r="O52" s="7">
        <f t="shared" si="90"/>
        <v>0</v>
      </c>
      <c r="P52" s="7">
        <f t="shared" si="90"/>
        <v>0</v>
      </c>
      <c r="Q52" s="7">
        <f t="shared" si="90"/>
        <v>0</v>
      </c>
      <c r="W52" s="7">
        <f t="shared" ref="W52:X52" si="91">SUM(W42:W51)</f>
        <v>30107.847000000002</v>
      </c>
      <c r="X52" s="7">
        <f t="shared" si="91"/>
        <v>36250.951000000001</v>
      </c>
      <c r="Y52" s="7">
        <f t="shared" ref="Y52" si="92">SUM(Y42:Y51)</f>
        <v>0</v>
      </c>
      <c r="Z52" s="7">
        <f t="shared" ref="Z52" si="93">SUM(Z42:Z51)</f>
        <v>0</v>
      </c>
    </row>
    <row r="53" spans="2:26" s="6" customFormat="1" x14ac:dyDescent="0.25">
      <c r="B53" s="6" t="s">
        <v>60</v>
      </c>
      <c r="C53" s="13"/>
      <c r="D53" s="13"/>
      <c r="E53" s="13"/>
      <c r="F53" s="13"/>
      <c r="G53" s="13"/>
      <c r="H53" s="13"/>
      <c r="I53" s="13"/>
      <c r="J53" s="6">
        <v>25861.4</v>
      </c>
      <c r="K53" s="6">
        <v>27136.167000000001</v>
      </c>
      <c r="L53" s="6">
        <v>29411.1</v>
      </c>
      <c r="M53" s="6">
        <v>32805.663</v>
      </c>
      <c r="W53" s="6">
        <v>18568.992999999999</v>
      </c>
      <c r="X53" s="6">
        <v>25861.4</v>
      </c>
    </row>
    <row r="54" spans="2:26" s="6" customFormat="1" x14ac:dyDescent="0.25">
      <c r="B54" s="6" t="s">
        <v>61</v>
      </c>
      <c r="C54" s="13"/>
      <c r="D54" s="13"/>
      <c r="E54" s="13"/>
      <c r="F54" s="13"/>
      <c r="G54" s="13"/>
      <c r="H54" s="13"/>
      <c r="I54" s="13"/>
      <c r="J54" s="6">
        <v>116.8</v>
      </c>
      <c r="K54" s="6">
        <v>120.361</v>
      </c>
      <c r="L54" s="6">
        <v>129.57</v>
      </c>
      <c r="M54" s="6">
        <v>140.73599999999999</v>
      </c>
      <c r="W54" s="6">
        <v>51.67</v>
      </c>
      <c r="X54" s="6">
        <v>116.8</v>
      </c>
    </row>
    <row r="55" spans="2:26" s="6" customFormat="1" x14ac:dyDescent="0.25">
      <c r="B55" s="6" t="s">
        <v>62</v>
      </c>
      <c r="C55" s="13"/>
      <c r="D55" s="13"/>
      <c r="E55" s="13"/>
      <c r="F55" s="13"/>
      <c r="G55" s="13"/>
      <c r="H55" s="13"/>
      <c r="I55" s="13"/>
      <c r="J55" s="6">
        <v>556.923</v>
      </c>
      <c r="K55" s="6">
        <v>674.38499999999999</v>
      </c>
      <c r="L55" s="6">
        <v>676.29300000000001</v>
      </c>
      <c r="M55" s="6">
        <v>759.61199999999997</v>
      </c>
      <c r="W55" s="6">
        <v>549.74800000000005</v>
      </c>
      <c r="X55" s="6">
        <v>556.923</v>
      </c>
    </row>
    <row r="56" spans="2:26" s="6" customFormat="1" x14ac:dyDescent="0.25">
      <c r="B56" s="6" t="s">
        <v>68</v>
      </c>
      <c r="C56" s="13"/>
      <c r="D56" s="13"/>
      <c r="E56" s="13"/>
      <c r="F56" s="13"/>
      <c r="G56" s="13"/>
      <c r="H56" s="13"/>
      <c r="I56" s="13"/>
      <c r="J56" s="6">
        <v>97.388999999999996</v>
      </c>
      <c r="K56" s="6">
        <v>93.135000000000005</v>
      </c>
      <c r="L56" s="6">
        <v>91.433999999999997</v>
      </c>
      <c r="M56" s="6">
        <v>93</v>
      </c>
      <c r="W56" s="6">
        <v>108.649</v>
      </c>
      <c r="X56" s="6">
        <v>97.388999999999996</v>
      </c>
    </row>
    <row r="57" spans="2:26" s="6" customFormat="1" x14ac:dyDescent="0.25">
      <c r="B57" s="6" t="s">
        <v>63</v>
      </c>
      <c r="C57" s="13"/>
      <c r="D57" s="13"/>
      <c r="E57" s="13"/>
      <c r="F57" s="13"/>
      <c r="G57" s="13"/>
      <c r="H57" s="13"/>
      <c r="I57" s="13"/>
      <c r="J57" s="6">
        <v>3092.692</v>
      </c>
      <c r="K57" s="6">
        <v>3046.145</v>
      </c>
      <c r="L57" s="6">
        <v>3942.636</v>
      </c>
      <c r="M57" s="6">
        <v>2713.942</v>
      </c>
      <c r="W57" s="6">
        <v>5233.4160000000002</v>
      </c>
      <c r="X57" s="6">
        <v>3092.692</v>
      </c>
    </row>
    <row r="58" spans="2:26" s="6" customFormat="1" x14ac:dyDescent="0.25">
      <c r="B58" s="6" t="s">
        <v>64</v>
      </c>
      <c r="C58" s="13"/>
      <c r="D58" s="13"/>
      <c r="E58" s="13"/>
      <c r="F58" s="13"/>
      <c r="G58" s="13"/>
      <c r="H58" s="13"/>
      <c r="I58" s="13"/>
      <c r="J58" s="6">
        <v>0.60899999999999999</v>
      </c>
      <c r="K58" s="6">
        <v>0.57899999999999996</v>
      </c>
      <c r="L58" s="6">
        <v>0.55400000000000005</v>
      </c>
      <c r="M58" s="6">
        <v>0.53</v>
      </c>
      <c r="W58" s="6">
        <v>7.3959999999999999</v>
      </c>
      <c r="X58" s="6">
        <v>0.60899999999999999</v>
      </c>
    </row>
    <row r="59" spans="2:26" s="7" customFormat="1" x14ac:dyDescent="0.25">
      <c r="B59" s="7" t="s">
        <v>65</v>
      </c>
      <c r="C59" s="14"/>
      <c r="D59" s="14"/>
      <c r="E59" s="14"/>
      <c r="F59" s="14"/>
      <c r="G59" s="14"/>
      <c r="H59" s="14"/>
      <c r="I59" s="14"/>
      <c r="J59" s="7">
        <f t="shared" ref="C59:L59" si="94">SUM(J53:J58)</f>
        <v>29725.812999999998</v>
      </c>
      <c r="K59" s="7">
        <f t="shared" si="94"/>
        <v>31070.772000000001</v>
      </c>
      <c r="L59" s="7">
        <f t="shared" si="94"/>
        <v>34251.587</v>
      </c>
      <c r="M59" s="7">
        <f>SUM(M53:M58)</f>
        <v>36513.483</v>
      </c>
      <c r="N59" s="7">
        <f t="shared" ref="N59:Q59" si="95">SUM(N53:N58)</f>
        <v>0</v>
      </c>
      <c r="O59" s="7">
        <f t="shared" si="95"/>
        <v>0</v>
      </c>
      <c r="P59" s="7">
        <f t="shared" si="95"/>
        <v>0</v>
      </c>
      <c r="Q59" s="7">
        <f t="shared" si="95"/>
        <v>0</v>
      </c>
      <c r="W59" s="7">
        <f t="shared" ref="W59:X59" si="96">SUM(W53:W58)</f>
        <v>24519.871999999999</v>
      </c>
      <c r="X59" s="7">
        <f t="shared" si="96"/>
        <v>29725.812999999998</v>
      </c>
      <c r="Y59" s="7">
        <f t="shared" ref="Y59" si="97">SUM(Y53:Y58)</f>
        <v>0</v>
      </c>
      <c r="Z59" s="7">
        <f t="shared" ref="Z59" si="98">SUM(Z53:Z58)</f>
        <v>0</v>
      </c>
    </row>
    <row r="60" spans="2:26" s="6" customFormat="1" x14ac:dyDescent="0.25">
      <c r="B60" s="6" t="s">
        <v>66</v>
      </c>
      <c r="C60" s="13"/>
      <c r="D60" s="13"/>
      <c r="E60" s="13"/>
      <c r="F60" s="13"/>
      <c r="G60" s="13"/>
      <c r="H60" s="13"/>
      <c r="I60" s="13"/>
      <c r="J60" s="6">
        <v>6525.134</v>
      </c>
      <c r="K60" s="6">
        <v>6678.5140000000001</v>
      </c>
      <c r="L60" s="6">
        <v>6860.58</v>
      </c>
      <c r="M60" s="6">
        <v>8779.9629999999997</v>
      </c>
      <c r="W60" s="6">
        <v>5234.6120000000001</v>
      </c>
      <c r="X60" s="6">
        <v>6525.134</v>
      </c>
    </row>
    <row r="61" spans="2:26" s="7" customFormat="1" x14ac:dyDescent="0.25">
      <c r="B61" s="7" t="s">
        <v>67</v>
      </c>
      <c r="C61" s="14"/>
      <c r="D61" s="14"/>
      <c r="E61" s="14"/>
      <c r="F61" s="14"/>
      <c r="G61" s="14"/>
      <c r="H61" s="14"/>
      <c r="I61" s="14"/>
      <c r="J61" s="7">
        <f t="shared" ref="C61:L61" si="99">+J59+J60</f>
        <v>36250.947</v>
      </c>
      <c r="K61" s="7">
        <f t="shared" si="99"/>
        <v>37749.286</v>
      </c>
      <c r="L61" s="7">
        <f t="shared" si="99"/>
        <v>41112.167000000001</v>
      </c>
      <c r="M61" s="7">
        <f>+M59+M60</f>
        <v>45293.445999999996</v>
      </c>
      <c r="N61" s="7">
        <f t="shared" ref="N61:Q61" si="100">+N59+N60</f>
        <v>0</v>
      </c>
      <c r="O61" s="7">
        <f t="shared" si="100"/>
        <v>0</v>
      </c>
      <c r="P61" s="7">
        <f t="shared" si="100"/>
        <v>0</v>
      </c>
      <c r="Q61" s="7">
        <f t="shared" si="100"/>
        <v>0</v>
      </c>
      <c r="W61" s="7">
        <f t="shared" ref="W61:X61" si="101">+W59+W60</f>
        <v>29754.484</v>
      </c>
      <c r="X61" s="7">
        <f t="shared" si="101"/>
        <v>36250.947</v>
      </c>
      <c r="Y61" s="7">
        <f t="shared" ref="Y61" si="102">+Y59+Y60</f>
        <v>0</v>
      </c>
      <c r="Z61" s="7">
        <f t="shared" ref="Z61" si="103">+Z59+Z60</f>
        <v>0</v>
      </c>
    </row>
    <row r="62" spans="2:26" x14ac:dyDescent="0.25">
      <c r="C62" s="15"/>
      <c r="D62" s="15"/>
      <c r="E62" s="15"/>
      <c r="F62" s="15"/>
      <c r="G62" s="15"/>
      <c r="H62" s="15"/>
      <c r="I62" s="15"/>
    </row>
    <row r="63" spans="2:26" x14ac:dyDescent="0.25">
      <c r="C63" s="15"/>
      <c r="D63" s="15"/>
      <c r="E63" s="15"/>
      <c r="F63" s="15"/>
      <c r="G63" s="15"/>
      <c r="H63" s="15"/>
      <c r="I63" s="15"/>
    </row>
    <row r="64" spans="2:26" s="9" customFormat="1" x14ac:dyDescent="0.25">
      <c r="B64" s="9" t="s">
        <v>118</v>
      </c>
      <c r="C64" s="16"/>
      <c r="D64" s="16"/>
      <c r="E64" s="16"/>
      <c r="F64" s="16"/>
      <c r="G64" s="16"/>
      <c r="H64" s="16"/>
      <c r="I64" s="16"/>
      <c r="J64" s="9">
        <f t="shared" ref="C64:L64" si="104">(J42+J43+J44)/(J55+J56+J57+J58)</f>
        <v>1.2287952357940908</v>
      </c>
      <c r="K64" s="9">
        <f t="shared" si="104"/>
        <v>1.2766860221842127</v>
      </c>
      <c r="L64" s="9">
        <f t="shared" si="104"/>
        <v>1.0803438056752006</v>
      </c>
      <c r="M64" s="9">
        <f>(M42+M43+M44)/(M55+M56+M57+M58)</f>
        <v>1.7546219825493314</v>
      </c>
      <c r="N64" s="9" t="e">
        <f t="shared" ref="N64:Q64" si="105">(N42+N43+N44)/(N55+N56+N57+N58)</f>
        <v>#DIV/0!</v>
      </c>
      <c r="O64" s="9" t="e">
        <f t="shared" si="105"/>
        <v>#DIV/0!</v>
      </c>
      <c r="P64" s="9" t="e">
        <f t="shared" si="105"/>
        <v>#DIV/0!</v>
      </c>
      <c r="Q64" s="9" t="e">
        <f t="shared" si="105"/>
        <v>#DIV/0!</v>
      </c>
      <c r="W64" s="9">
        <f t="shared" ref="W64:Z64" si="106">(W42+W43+W44)/(W55+W56+W57+W58)</f>
        <v>0.73187998594387826</v>
      </c>
      <c r="X64" s="9">
        <f t="shared" si="106"/>
        <v>1.2287952357940908</v>
      </c>
      <c r="Y64" s="9" t="e">
        <f t="shared" si="106"/>
        <v>#DIV/0!</v>
      </c>
      <c r="Z64" s="9" t="e">
        <f t="shared" si="106"/>
        <v>#DIV/0!</v>
      </c>
    </row>
    <row r="65" spans="2:26" s="9" customFormat="1" x14ac:dyDescent="0.25">
      <c r="B65" s="9" t="s">
        <v>119</v>
      </c>
      <c r="C65" s="16"/>
      <c r="D65" s="16"/>
      <c r="E65" s="16"/>
      <c r="F65" s="16"/>
      <c r="G65" s="16"/>
      <c r="H65" s="16"/>
      <c r="I65" s="16"/>
      <c r="J65" s="9">
        <f t="shared" ref="C65:L65" si="107">J42/(J55+J56+J57+J58)</f>
        <v>0.67730926325637153</v>
      </c>
      <c r="K65" s="9">
        <f t="shared" si="107"/>
        <v>0.54681792774662552</v>
      </c>
      <c r="L65" s="9">
        <f t="shared" si="107"/>
        <v>0.45054922428053812</v>
      </c>
      <c r="M65" s="9">
        <f>M42/(M55+M56+M57+M58)</f>
        <v>0.9100853806638699</v>
      </c>
      <c r="N65" s="9" t="e">
        <f t="shared" ref="N65:Q65" si="108">N42/(N55+N56+N57+N58)</f>
        <v>#DIV/0!</v>
      </c>
      <c r="O65" s="9" t="e">
        <f t="shared" si="108"/>
        <v>#DIV/0!</v>
      </c>
      <c r="P65" s="9" t="e">
        <f t="shared" si="108"/>
        <v>#DIV/0!</v>
      </c>
      <c r="Q65" s="9" t="e">
        <f t="shared" si="108"/>
        <v>#DIV/0!</v>
      </c>
      <c r="W65" s="9">
        <f t="shared" ref="W65:Z65" si="109">W42/(W55+W56+W57+W58)</f>
        <v>0.52295485716813894</v>
      </c>
      <c r="X65" s="9">
        <f t="shared" si="109"/>
        <v>0.67730926325637153</v>
      </c>
      <c r="Y65" s="9" t="e">
        <f t="shared" si="109"/>
        <v>#DIV/0!</v>
      </c>
      <c r="Z65" s="9" t="e">
        <f t="shared" si="109"/>
        <v>#DIV/0!</v>
      </c>
    </row>
    <row r="66" spans="2:26" x14ac:dyDescent="0.25">
      <c r="C66" s="15"/>
      <c r="D66" s="15"/>
      <c r="E66" s="15"/>
      <c r="F66" s="15"/>
      <c r="G66" s="15"/>
      <c r="H66" s="15"/>
      <c r="I66" s="15"/>
    </row>
    <row r="67" spans="2:26" s="8" customFormat="1" x14ac:dyDescent="0.25">
      <c r="B67" s="8" t="s">
        <v>121</v>
      </c>
      <c r="C67" s="17"/>
      <c r="D67" s="17"/>
      <c r="E67" s="17"/>
      <c r="F67" s="17"/>
      <c r="G67" s="17"/>
      <c r="H67" s="17"/>
      <c r="I67" s="17"/>
      <c r="J67" s="8">
        <f t="shared" ref="C67:M67" si="110">J45/J52</f>
        <v>0.75939298806257527</v>
      </c>
      <c r="K67" s="8">
        <f t="shared" si="110"/>
        <v>0.77071487081529133</v>
      </c>
      <c r="L67" s="8">
        <f t="shared" si="110"/>
        <v>0.78366394154410346</v>
      </c>
      <c r="M67" s="8">
        <f>M45/M52</f>
        <v>0.77051509655369588</v>
      </c>
      <c r="N67" s="8" t="e">
        <f t="shared" ref="N67:Q67" si="111">N45/N52</f>
        <v>#DIV/0!</v>
      </c>
      <c r="O67" s="8" t="e">
        <f t="shared" si="111"/>
        <v>#DIV/0!</v>
      </c>
      <c r="P67" s="8" t="e">
        <f t="shared" si="111"/>
        <v>#DIV/0!</v>
      </c>
      <c r="Q67" s="8" t="e">
        <f t="shared" si="111"/>
        <v>#DIV/0!</v>
      </c>
      <c r="W67" s="8">
        <f t="shared" ref="W67:Z67" si="112">W45/W52</f>
        <v>0.76253921444465955</v>
      </c>
      <c r="X67" s="8">
        <f t="shared" si="112"/>
        <v>0.75939298806257527</v>
      </c>
      <c r="Y67" s="8" t="e">
        <f t="shared" si="112"/>
        <v>#DIV/0!</v>
      </c>
      <c r="Z67" s="8" t="e">
        <f t="shared" si="112"/>
        <v>#DIV/0!</v>
      </c>
    </row>
    <row r="68" spans="2:26" x14ac:dyDescent="0.25">
      <c r="C68" s="15"/>
      <c r="D68" s="15"/>
      <c r="E68" s="15"/>
      <c r="F68" s="15"/>
      <c r="G68" s="15"/>
      <c r="H68" s="15"/>
      <c r="I68" s="15"/>
    </row>
    <row r="69" spans="2:26" s="9" customFormat="1" x14ac:dyDescent="0.25">
      <c r="B69" s="9" t="s">
        <v>120</v>
      </c>
      <c r="C69" s="16"/>
      <c r="D69" s="16"/>
      <c r="E69" s="16"/>
      <c r="F69" s="16"/>
      <c r="G69" s="16"/>
      <c r="H69" s="16"/>
      <c r="I69" s="16"/>
      <c r="J69" s="9">
        <f t="shared" ref="C69:M69" si="113">J59/J60</f>
        <v>4.5555865979150774</v>
      </c>
      <c r="K69" s="9">
        <f t="shared" si="113"/>
        <v>4.6523481121698627</v>
      </c>
      <c r="L69" s="9">
        <f t="shared" si="113"/>
        <v>4.9925206032143059</v>
      </c>
      <c r="M69" s="9">
        <f>M59/M60</f>
        <v>4.1587285732297508</v>
      </c>
      <c r="N69" s="9" t="e">
        <f t="shared" ref="N69:Q69" si="114">N59/N60</f>
        <v>#DIV/0!</v>
      </c>
      <c r="O69" s="9" t="e">
        <f t="shared" si="114"/>
        <v>#DIV/0!</v>
      </c>
      <c r="P69" s="9" t="e">
        <f t="shared" si="114"/>
        <v>#DIV/0!</v>
      </c>
      <c r="Q69" s="9" t="e">
        <f t="shared" si="114"/>
        <v>#DIV/0!</v>
      </c>
      <c r="W69" s="9">
        <f t="shared" ref="W69:Z69" si="115">W59/W60</f>
        <v>4.6841813681701714</v>
      </c>
      <c r="X69" s="9">
        <f t="shared" si="115"/>
        <v>4.5555865979150774</v>
      </c>
      <c r="Y69" s="9" t="e">
        <f t="shared" si="115"/>
        <v>#DIV/0!</v>
      </c>
      <c r="Z69" s="9" t="e">
        <f t="shared" si="115"/>
        <v>#DIV/0!</v>
      </c>
    </row>
    <row r="73" spans="2:26" s="6" customFormat="1" x14ac:dyDescent="0.25">
      <c r="B73" s="6" t="s">
        <v>69</v>
      </c>
      <c r="C73" s="6">
        <f t="shared" ref="C73:M73" si="116">+C26</f>
        <v>0</v>
      </c>
      <c r="D73" s="6">
        <f t="shared" si="116"/>
        <v>0</v>
      </c>
      <c r="E73" s="6">
        <f t="shared" si="116"/>
        <v>0</v>
      </c>
      <c r="F73" s="6">
        <f t="shared" si="116"/>
        <v>47.886999999999837</v>
      </c>
      <c r="G73" s="6">
        <f t="shared" si="116"/>
        <v>88.104000000000042</v>
      </c>
      <c r="H73" s="6">
        <f t="shared" si="116"/>
        <v>17.404000000000032</v>
      </c>
      <c r="I73" s="6">
        <f t="shared" si="116"/>
        <v>60.751999999999967</v>
      </c>
      <c r="J73" s="6">
        <f t="shared" si="116"/>
        <v>332.47299999999996</v>
      </c>
      <c r="K73" s="6">
        <f t="shared" si="116"/>
        <v>71.112000000000137</v>
      </c>
      <c r="L73" s="6">
        <f t="shared" si="116"/>
        <v>97.262999999999892</v>
      </c>
      <c r="M73" s="6">
        <f>+M26</f>
        <v>139.38400000000001</v>
      </c>
      <c r="N73" s="6">
        <f t="shared" ref="N73:Q73" si="117">+N26</f>
        <v>0</v>
      </c>
      <c r="O73" s="6">
        <f t="shared" si="117"/>
        <v>0</v>
      </c>
      <c r="P73" s="6">
        <f t="shared" si="117"/>
        <v>0</v>
      </c>
      <c r="Q73" s="6">
        <f t="shared" si="117"/>
        <v>0</v>
      </c>
      <c r="V73" s="6">
        <f t="shared" ref="V73:Z73" si="118">+V26</f>
        <v>-320.41200000000009</v>
      </c>
      <c r="W73" s="6">
        <f t="shared" si="118"/>
        <v>-298.74599999999981</v>
      </c>
      <c r="X73" s="6">
        <f t="shared" si="118"/>
        <v>498.66699999999975</v>
      </c>
      <c r="Y73" s="6">
        <f t="shared" si="118"/>
        <v>0</v>
      </c>
      <c r="Z73" s="6">
        <f t="shared" si="118"/>
        <v>0</v>
      </c>
    </row>
    <row r="74" spans="2:26" s="6" customFormat="1" x14ac:dyDescent="0.25">
      <c r="B74" s="6" t="s">
        <v>70</v>
      </c>
      <c r="G74" s="6">
        <v>88.043000000000006</v>
      </c>
      <c r="H74" s="6">
        <v>17.403999999999996</v>
      </c>
      <c r="I74" s="6">
        <v>60.744</v>
      </c>
      <c r="J74" s="6">
        <v>332.47400000000005</v>
      </c>
      <c r="K74" s="6">
        <v>71.116</v>
      </c>
      <c r="L74" s="6">
        <v>97.262999999999991</v>
      </c>
      <c r="M74" s="6">
        <v>139.39200000000002</v>
      </c>
      <c r="V74" s="6">
        <v>-320.40699999999998</v>
      </c>
      <c r="W74" s="6">
        <v>-300.74200000000002</v>
      </c>
      <c r="X74" s="6">
        <v>498.66500000000002</v>
      </c>
    </row>
    <row r="75" spans="2:26" s="6" customFormat="1" x14ac:dyDescent="0.25">
      <c r="B75" s="6" t="s">
        <v>71</v>
      </c>
      <c r="G75" s="6">
        <v>55.082000000000001</v>
      </c>
      <c r="H75" s="6">
        <v>61.056999999999995</v>
      </c>
      <c r="I75" s="6">
        <v>63.646000000000001</v>
      </c>
      <c r="J75" s="6">
        <v>66.36699999999999</v>
      </c>
      <c r="K75" s="6">
        <v>63.756</v>
      </c>
      <c r="L75" s="6">
        <v>63.256</v>
      </c>
      <c r="M75" s="6">
        <v>66.468999999999994</v>
      </c>
      <c r="V75" s="6">
        <v>305.99400000000003</v>
      </c>
      <c r="W75" s="6">
        <v>271.21600000000001</v>
      </c>
      <c r="X75" s="6">
        <v>246.15199999999999</v>
      </c>
    </row>
    <row r="76" spans="2:26" s="6" customFormat="1" x14ac:dyDescent="0.25">
      <c r="B76" s="6" t="s">
        <v>72</v>
      </c>
      <c r="G76" s="6">
        <v>48.539000000000001</v>
      </c>
      <c r="H76" s="6">
        <v>49.623000000000005</v>
      </c>
      <c r="I76" s="6">
        <v>51.790999999999997</v>
      </c>
      <c r="J76" s="6">
        <v>53.546999999999997</v>
      </c>
      <c r="K76" s="6">
        <v>55.283000000000001</v>
      </c>
      <c r="L76" s="6">
        <v>56.742999999999995</v>
      </c>
      <c r="M76" s="6">
        <v>59.24499999999999</v>
      </c>
      <c r="V76" s="6">
        <v>151.36000000000001</v>
      </c>
      <c r="W76" s="6">
        <v>201.416</v>
      </c>
      <c r="X76" s="6">
        <v>203.5</v>
      </c>
    </row>
    <row r="77" spans="2:26" s="6" customFormat="1" x14ac:dyDescent="0.25">
      <c r="B77" s="6" t="s">
        <v>73</v>
      </c>
      <c r="G77" s="6">
        <f>4.232+3.015</f>
        <v>7.2469999999999999</v>
      </c>
      <c r="H77" s="6">
        <v>0.96000000000000085</v>
      </c>
      <c r="I77" s="6">
        <v>2.613999999999999</v>
      </c>
      <c r="J77" s="6">
        <v>2.657</v>
      </c>
      <c r="K77" s="6">
        <f>2.443+10.451</f>
        <v>12.894</v>
      </c>
      <c r="L77" s="6">
        <v>-7.5270000000000001</v>
      </c>
      <c r="M77" s="6">
        <v>3.0000000000000009</v>
      </c>
      <c r="V77" s="6">
        <v>18.292000000000002</v>
      </c>
      <c r="W77" s="6">
        <v>20.103999999999999</v>
      </c>
      <c r="X77" s="6">
        <v>13.478</v>
      </c>
    </row>
    <row r="78" spans="2:26" s="6" customFormat="1" x14ac:dyDescent="0.25">
      <c r="B78" s="6" t="s">
        <v>74</v>
      </c>
      <c r="G78" s="6">
        <v>-59.194000000000003</v>
      </c>
      <c r="I78" s="6">
        <v>-3.3230000000000004</v>
      </c>
      <c r="W78" s="6">
        <v>-14.574</v>
      </c>
      <c r="X78" s="6">
        <v>-62.517000000000003</v>
      </c>
    </row>
    <row r="79" spans="2:26" s="6" customFormat="1" x14ac:dyDescent="0.25">
      <c r="B79" s="6" t="s">
        <v>19</v>
      </c>
      <c r="G79" s="6">
        <v>7.1820000000000004</v>
      </c>
      <c r="H79" s="6">
        <v>11.639999999999999</v>
      </c>
      <c r="I79" s="6">
        <v>6.0130000000000017</v>
      </c>
      <c r="J79" s="6">
        <v>6.8769999999999989</v>
      </c>
      <c r="K79" s="6">
        <v>5.6779999999999999</v>
      </c>
      <c r="L79" s="6">
        <v>10.035</v>
      </c>
      <c r="M79" s="6">
        <v>9.1989999999999998</v>
      </c>
      <c r="V79" s="6">
        <v>54.332000000000001</v>
      </c>
      <c r="W79" s="6">
        <v>54.945</v>
      </c>
      <c r="X79" s="6">
        <v>31.712</v>
      </c>
    </row>
    <row r="80" spans="2:26" s="6" customFormat="1" x14ac:dyDescent="0.25">
      <c r="B80" s="6" t="s">
        <v>75</v>
      </c>
      <c r="G80" s="6">
        <v>-0.96699999999999997</v>
      </c>
      <c r="H80" s="6">
        <v>-2.1429999999999998</v>
      </c>
      <c r="I80" s="6">
        <v>0.17599999999999971</v>
      </c>
      <c r="J80" s="6">
        <v>-283.98299999999995</v>
      </c>
      <c r="K80" s="6">
        <v>8.7940000000000005</v>
      </c>
      <c r="L80" s="6">
        <v>10.375</v>
      </c>
      <c r="M80" s="6">
        <v>7.3889999999999993</v>
      </c>
      <c r="V80" s="6">
        <v>-3.5</v>
      </c>
      <c r="W80" s="6">
        <v>-15.827999999999999</v>
      </c>
      <c r="X80" s="6">
        <v>-286.91699999999997</v>
      </c>
    </row>
    <row r="81" spans="2:26" s="6" customFormat="1" x14ac:dyDescent="0.25">
      <c r="B81" s="6" t="s">
        <v>76</v>
      </c>
      <c r="G81" s="6">
        <v>-33.256999999999998</v>
      </c>
      <c r="H81" s="6">
        <v>-25.643000000000001</v>
      </c>
      <c r="I81" s="6">
        <v>-90.573999999999984</v>
      </c>
      <c r="J81" s="6">
        <v>-8.7410000000000139</v>
      </c>
      <c r="K81" s="6">
        <v>-98.986999999999995</v>
      </c>
      <c r="L81" s="6">
        <v>-119.84300000000002</v>
      </c>
      <c r="M81" s="6">
        <v>-51.869999999999976</v>
      </c>
      <c r="W81" s="6">
        <v>-44</v>
      </c>
      <c r="X81" s="6">
        <v>-158.215</v>
      </c>
    </row>
    <row r="82" spans="2:26" s="6" customFormat="1" x14ac:dyDescent="0.25">
      <c r="B82" s="6" t="s">
        <v>77</v>
      </c>
      <c r="G82" s="6">
        <v>-1.7110000000000001</v>
      </c>
      <c r="H82" s="6">
        <v>-0.4890000000000001</v>
      </c>
      <c r="I82" s="6">
        <v>-1.1109999999999998</v>
      </c>
      <c r="J82" s="6">
        <v>0.46899999999999986</v>
      </c>
      <c r="K82" s="6">
        <v>-0.88400000000000001</v>
      </c>
      <c r="L82" s="6">
        <v>-0.253</v>
      </c>
      <c r="M82" s="6">
        <v>-0.44500000000000006</v>
      </c>
      <c r="V82" s="6">
        <v>13.6</v>
      </c>
      <c r="W82" s="6">
        <v>-4.8000000000000001E-2</v>
      </c>
      <c r="X82" s="6">
        <v>-2.8420000000000001</v>
      </c>
    </row>
    <row r="83" spans="2:26" s="6" customFormat="1" x14ac:dyDescent="0.25">
      <c r="B83" s="6" t="s">
        <v>7</v>
      </c>
      <c r="G83" s="6">
        <v>-1.7130000000000001</v>
      </c>
      <c r="H83" s="6">
        <v>0.16200000000000014</v>
      </c>
      <c r="I83" s="6">
        <v>3.278</v>
      </c>
      <c r="J83" s="6">
        <v>8.3119999999999994</v>
      </c>
      <c r="K83" s="6">
        <v>3.9470000000000001</v>
      </c>
      <c r="L83" s="6">
        <v>-2.1720000000000002</v>
      </c>
      <c r="M83" s="6">
        <v>7.6210000000000004</v>
      </c>
      <c r="V83" s="6">
        <v>20.033999999999999</v>
      </c>
      <c r="W83" s="6">
        <f>-13.621+247.174</f>
        <v>233.553</v>
      </c>
      <c r="X83" s="6">
        <v>10.039</v>
      </c>
    </row>
    <row r="84" spans="2:26" s="6" customFormat="1" x14ac:dyDescent="0.25">
      <c r="B84" s="6" t="s">
        <v>78</v>
      </c>
      <c r="G84" s="6">
        <v>244.672</v>
      </c>
      <c r="H84" s="6">
        <v>-780.46400000000006</v>
      </c>
      <c r="I84" s="6">
        <v>-1423.989</v>
      </c>
      <c r="J84" s="6">
        <v>-429.61900000000014</v>
      </c>
      <c r="K84" s="6">
        <v>-599.24800000000005</v>
      </c>
      <c r="L84" s="6">
        <v>-1844.4650000000001</v>
      </c>
      <c r="M84" s="6">
        <v>-1538.3809999999999</v>
      </c>
      <c r="V84" s="6">
        <v>-7463.4740000000002</v>
      </c>
      <c r="W84" s="6">
        <v>-7779.0079999999998</v>
      </c>
      <c r="X84" s="6">
        <v>-2389.4</v>
      </c>
    </row>
    <row r="85" spans="2:26" s="6" customFormat="1" x14ac:dyDescent="0.25">
      <c r="B85" s="6" t="s">
        <v>79</v>
      </c>
      <c r="H85" s="6">
        <v>7.2450000000000001</v>
      </c>
      <c r="I85" s="6">
        <v>-13.408999999999999</v>
      </c>
      <c r="J85" s="6">
        <v>6.1639999999999988</v>
      </c>
      <c r="L85" s="6">
        <v>-17.376999999999999</v>
      </c>
      <c r="M85" s="6">
        <v>-3.4610000000000021</v>
      </c>
    </row>
    <row r="86" spans="2:26" s="6" customFormat="1" x14ac:dyDescent="0.25">
      <c r="B86" s="6" t="s">
        <v>80</v>
      </c>
      <c r="G86" s="6">
        <v>492.226</v>
      </c>
      <c r="H86" s="6">
        <v>290.71799999999996</v>
      </c>
      <c r="I86" s="6">
        <v>200.83900000000006</v>
      </c>
      <c r="J86" s="6">
        <v>389.31699999999989</v>
      </c>
      <c r="K86" s="6">
        <v>243.17099999999999</v>
      </c>
      <c r="L86" s="6">
        <v>271.25600000000003</v>
      </c>
      <c r="M86" s="6">
        <v>159.56999999999994</v>
      </c>
      <c r="W86" s="6">
        <v>140.85599999999999</v>
      </c>
      <c r="X86" s="6">
        <v>1373.1</v>
      </c>
    </row>
    <row r="87" spans="2:26" s="6" customFormat="1" x14ac:dyDescent="0.25">
      <c r="B87" s="6" t="s">
        <v>81</v>
      </c>
      <c r="G87" s="6">
        <v>-60.283000000000001</v>
      </c>
      <c r="H87" s="6">
        <v>-50.576999999999998</v>
      </c>
      <c r="I87" s="6">
        <v>-4.7980000000000018</v>
      </c>
      <c r="J87" s="6">
        <v>-46.000999999999991</v>
      </c>
      <c r="K87" s="6">
        <v>-47.652000000000001</v>
      </c>
      <c r="L87" s="6">
        <v>14.774000000000001</v>
      </c>
      <c r="M87" s="6">
        <v>-8.5189999999999984</v>
      </c>
      <c r="V87" s="6">
        <v>18.405000000000001</v>
      </c>
      <c r="W87" s="6">
        <v>-31.6</v>
      </c>
      <c r="X87" s="6">
        <v>-161.65899999999999</v>
      </c>
    </row>
    <row r="88" spans="2:26" s="6" customFormat="1" x14ac:dyDescent="0.25">
      <c r="B88" s="6" t="s">
        <v>82</v>
      </c>
      <c r="G88" s="6">
        <v>-40.207000000000001</v>
      </c>
      <c r="H88" s="6">
        <v>-56.999999999999993</v>
      </c>
      <c r="I88" s="6">
        <v>-69.348000000000013</v>
      </c>
      <c r="J88" s="6">
        <v>-291.89499999999998</v>
      </c>
      <c r="K88" s="6">
        <v>202.61500000000001</v>
      </c>
      <c r="L88" s="6">
        <v>3.4699999999999989</v>
      </c>
      <c r="M88" s="6">
        <v>-227.3</v>
      </c>
      <c r="V88" s="6">
        <v>-56.860999999999997</v>
      </c>
      <c r="W88" s="6">
        <v>-5.5</v>
      </c>
      <c r="X88" s="6">
        <v>-458.45</v>
      </c>
    </row>
    <row r="89" spans="2:26" s="6" customFormat="1" x14ac:dyDescent="0.25">
      <c r="B89" s="6" t="s">
        <v>83</v>
      </c>
      <c r="G89" s="6">
        <v>-7.4109999999999996</v>
      </c>
      <c r="H89" s="6">
        <v>-6.8620000000000001</v>
      </c>
      <c r="I89" s="6">
        <v>43.867000000000004</v>
      </c>
      <c r="J89" s="6">
        <v>-6.0420000000000051</v>
      </c>
      <c r="K89" s="6">
        <v>101.01900000000001</v>
      </c>
      <c r="L89" s="6">
        <v>-2.4430000000000121</v>
      </c>
      <c r="M89" s="6">
        <v>72.215000000000003</v>
      </c>
      <c r="V89" s="6">
        <v>6.3650000000000002</v>
      </c>
      <c r="W89" s="6">
        <v>42.088000000000001</v>
      </c>
      <c r="X89" s="6">
        <v>23.552</v>
      </c>
    </row>
    <row r="90" spans="2:26" s="7" customFormat="1" x14ac:dyDescent="0.25">
      <c r="B90" s="7" t="s">
        <v>84</v>
      </c>
      <c r="C90" s="7">
        <f t="shared" ref="C90:R90" si="119">SUM(C74:C89)</f>
        <v>0</v>
      </c>
      <c r="D90" s="7">
        <f t="shared" si="119"/>
        <v>0</v>
      </c>
      <c r="E90" s="7">
        <f t="shared" si="119"/>
        <v>0</v>
      </c>
      <c r="F90" s="7">
        <f t="shared" si="119"/>
        <v>0</v>
      </c>
      <c r="G90" s="7">
        <f t="shared" si="119"/>
        <v>738.24799999999993</v>
      </c>
      <c r="H90" s="7">
        <f t="shared" si="119"/>
        <v>-484.36900000000009</v>
      </c>
      <c r="I90" s="7">
        <f t="shared" si="119"/>
        <v>-1173.5840000000003</v>
      </c>
      <c r="J90" s="7">
        <f t="shared" si="119"/>
        <v>-200.09700000000018</v>
      </c>
      <c r="K90" s="7">
        <f t="shared" si="119"/>
        <v>21.50200000000001</v>
      </c>
      <c r="L90" s="7">
        <f t="shared" si="119"/>
        <v>-1466.9079999999999</v>
      </c>
      <c r="M90" s="7">
        <f t="shared" si="119"/>
        <v>-1305.876</v>
      </c>
      <c r="N90" s="7">
        <f t="shared" si="119"/>
        <v>0</v>
      </c>
      <c r="O90" s="7">
        <f t="shared" si="119"/>
        <v>0</v>
      </c>
      <c r="P90" s="7">
        <f t="shared" si="119"/>
        <v>0</v>
      </c>
      <c r="Q90" s="7">
        <f t="shared" si="119"/>
        <v>0</v>
      </c>
      <c r="R90" s="6"/>
      <c r="S90" s="6"/>
      <c r="V90" s="7">
        <f t="shared" ref="V90" si="120">SUM(V74:V89)</f>
        <v>-7255.8600000000006</v>
      </c>
      <c r="W90" s="7">
        <f t="shared" ref="W90" si="121">SUM(W74:W89)</f>
        <v>-7227.1220000000012</v>
      </c>
      <c r="X90" s="7">
        <f t="shared" ref="X90" si="122">SUM(X74:X89)</f>
        <v>-1119.8020000000004</v>
      </c>
      <c r="Y90" s="7">
        <f t="shared" ref="Y90" si="123">SUM(Y74:Y89)</f>
        <v>0</v>
      </c>
      <c r="Z90" s="7">
        <f t="shared" ref="Z90" si="124">SUM(Z74:Z89)</f>
        <v>0</v>
      </c>
    </row>
    <row r="91" spans="2:26" s="6" customFormat="1" x14ac:dyDescent="0.25">
      <c r="B91" s="6" t="s">
        <v>85</v>
      </c>
      <c r="G91" s="6">
        <v>-31.984000000000002</v>
      </c>
      <c r="H91" s="6">
        <v>-36.711999999999996</v>
      </c>
      <c r="I91" s="6">
        <v>-43.304000000000002</v>
      </c>
      <c r="J91" s="6">
        <v>-42.264999999999986</v>
      </c>
      <c r="K91" s="6">
        <v>-52.603999999999999</v>
      </c>
      <c r="L91" s="6">
        <v>-63.465000000000003</v>
      </c>
      <c r="M91" s="6">
        <v>-59.977999999999994</v>
      </c>
      <c r="V91" s="6">
        <v>-93.2</v>
      </c>
      <c r="W91" s="6">
        <v>-111.40900000000001</v>
      </c>
      <c r="X91" s="6">
        <v>-154.26499999999999</v>
      </c>
    </row>
    <row r="92" spans="2:26" s="6" customFormat="1" x14ac:dyDescent="0.25">
      <c r="B92" s="6" t="s">
        <v>86</v>
      </c>
      <c r="G92" s="6">
        <v>-2.1280000000000001</v>
      </c>
      <c r="H92" s="6">
        <v>-2.7610000000000001</v>
      </c>
      <c r="I92" s="6">
        <v>-2.4950000000000001</v>
      </c>
      <c r="J92" s="6">
        <v>-1.968</v>
      </c>
      <c r="K92" s="6">
        <v>-1.6439999999999999</v>
      </c>
      <c r="L92" s="6">
        <v>-2.5270000000000001</v>
      </c>
      <c r="M92" s="6">
        <v>-3.1799999999999997</v>
      </c>
      <c r="V92" s="6">
        <v>-10.532</v>
      </c>
      <c r="W92" s="6">
        <v>-9.7829999999999995</v>
      </c>
      <c r="X92" s="6">
        <v>-9.3520000000000003</v>
      </c>
    </row>
    <row r="93" spans="2:26" s="6" customFormat="1" x14ac:dyDescent="0.25">
      <c r="B93" s="6" t="s">
        <v>88</v>
      </c>
      <c r="G93" s="6">
        <v>-368.56900000000002</v>
      </c>
      <c r="H93" s="6">
        <v>-940.06</v>
      </c>
      <c r="I93" s="6">
        <v>-350.66700000000014</v>
      </c>
      <c r="J93" s="6">
        <v>-531.24900000000002</v>
      </c>
      <c r="K93" s="6">
        <v>-338.79500000000002</v>
      </c>
      <c r="L93" s="6">
        <v>-514.7639999999999</v>
      </c>
      <c r="M93" s="6">
        <v>-270.86200000000008</v>
      </c>
      <c r="V93" s="6">
        <v>-44.973999999999997</v>
      </c>
      <c r="W93" s="6">
        <v>-800.5</v>
      </c>
      <c r="X93" s="6">
        <v>-2190.5450000000001</v>
      </c>
    </row>
    <row r="94" spans="2:26" s="6" customFormat="1" x14ac:dyDescent="0.25">
      <c r="B94" s="6" t="s">
        <v>87</v>
      </c>
      <c r="G94" s="6">
        <v>131.31700000000001</v>
      </c>
      <c r="H94" s="6">
        <v>-131.31700000000001</v>
      </c>
      <c r="I94" s="6">
        <v>164.62299999999999</v>
      </c>
      <c r="J94" s="6">
        <v>20.914000000000016</v>
      </c>
      <c r="K94" s="6">
        <v>120.123</v>
      </c>
      <c r="L94" s="6">
        <v>84.653999999999982</v>
      </c>
      <c r="M94" s="6">
        <v>44.711000000000013</v>
      </c>
      <c r="V94" s="6">
        <v>23.497</v>
      </c>
      <c r="W94" s="6">
        <v>265.63400000000001</v>
      </c>
      <c r="X94" s="6">
        <v>185.53700000000001</v>
      </c>
    </row>
    <row r="95" spans="2:26" s="6" customFormat="1" x14ac:dyDescent="0.25">
      <c r="B95" s="6" t="s">
        <v>89</v>
      </c>
      <c r="H95" s="6">
        <v>471</v>
      </c>
      <c r="I95" s="6">
        <v>145.45100000000002</v>
      </c>
      <c r="J95" s="6">
        <v>191.34899999999993</v>
      </c>
      <c r="L95" s="6">
        <v>237.72</v>
      </c>
      <c r="M95" s="6">
        <v>101.29299999999998</v>
      </c>
      <c r="V95" s="6">
        <v>15.24</v>
      </c>
      <c r="W95" s="6">
        <v>153.828</v>
      </c>
      <c r="X95" s="6">
        <v>807.8</v>
      </c>
    </row>
    <row r="96" spans="2:26" s="6" customFormat="1" x14ac:dyDescent="0.25">
      <c r="B96" s="6" t="s">
        <v>90</v>
      </c>
      <c r="L96" s="6">
        <v>0</v>
      </c>
      <c r="M96" s="6">
        <v>-1439.681</v>
      </c>
    </row>
    <row r="97" spans="2:26" s="6" customFormat="1" x14ac:dyDescent="0.25">
      <c r="B97" s="6" t="s">
        <v>91</v>
      </c>
      <c r="I97" s="6">
        <v>434.483</v>
      </c>
      <c r="J97" s="6">
        <v>243.10399999999998</v>
      </c>
      <c r="L97" s="6">
        <v>0</v>
      </c>
      <c r="M97" s="6">
        <v>392.60700000000003</v>
      </c>
      <c r="X97" s="6">
        <v>677.58699999999999</v>
      </c>
    </row>
    <row r="98" spans="2:26" s="6" customFormat="1" x14ac:dyDescent="0.25">
      <c r="B98" s="6" t="s">
        <v>92</v>
      </c>
      <c r="G98" s="6">
        <v>-990.60500000000002</v>
      </c>
      <c r="H98" s="6">
        <v>-1565.6559999999999</v>
      </c>
      <c r="I98" s="6">
        <v>-473.13400000000001</v>
      </c>
      <c r="J98" s="6">
        <v>-1153.9839999999999</v>
      </c>
      <c r="K98" s="6">
        <v>-1161.4570000000001</v>
      </c>
      <c r="L98" s="6">
        <v>-1456.492</v>
      </c>
      <c r="M98" s="6">
        <v>-241.38699999999972</v>
      </c>
      <c r="V98" s="6">
        <v>-173.72800000000001</v>
      </c>
      <c r="W98" s="6">
        <v>-1362.4179999999999</v>
      </c>
      <c r="X98" s="6">
        <v>-4183.3789999999999</v>
      </c>
    </row>
    <row r="99" spans="2:26" s="6" customFormat="1" x14ac:dyDescent="0.25">
      <c r="B99" s="6" t="s">
        <v>93</v>
      </c>
      <c r="G99" s="6">
        <v>9.4830000000000005</v>
      </c>
      <c r="H99" s="6">
        <v>13.21</v>
      </c>
      <c r="I99" s="6">
        <v>46.762</v>
      </c>
      <c r="J99" s="6">
        <v>10.344999999999999</v>
      </c>
      <c r="K99" s="6">
        <v>11.525</v>
      </c>
      <c r="L99" s="6">
        <v>17.292000000000002</v>
      </c>
      <c r="M99" s="6">
        <v>20.588999999999999</v>
      </c>
      <c r="V99" s="6">
        <v>118.825</v>
      </c>
      <c r="W99" s="6">
        <v>108.291</v>
      </c>
      <c r="X99" s="6">
        <v>79.8</v>
      </c>
    </row>
    <row r="100" spans="2:26" s="6" customFormat="1" x14ac:dyDescent="0.25">
      <c r="B100" s="6" t="s">
        <v>94</v>
      </c>
      <c r="G100" s="6">
        <v>2.5169999999999999</v>
      </c>
      <c r="H100" s="6">
        <v>-1.9999999999997797E-3</v>
      </c>
      <c r="I100" s="6">
        <v>1.0640000000000001</v>
      </c>
      <c r="J100" s="6">
        <v>-3.0000000000001137E-3</v>
      </c>
      <c r="K100" s="6">
        <v>2.294</v>
      </c>
      <c r="L100" s="6">
        <v>7.2910000000000004</v>
      </c>
      <c r="M100" s="6">
        <v>6.7489999999999988</v>
      </c>
      <c r="W100" s="6">
        <v>5.3540000000000001</v>
      </c>
      <c r="X100" s="6">
        <v>3.5760000000000001</v>
      </c>
    </row>
    <row r="101" spans="2:26" s="6" customFormat="1" x14ac:dyDescent="0.25">
      <c r="B101" s="6" t="s">
        <v>145</v>
      </c>
      <c r="G101" s="6">
        <v>-11.215</v>
      </c>
      <c r="H101" s="6">
        <v>-2.6259999999999994</v>
      </c>
      <c r="I101" s="6">
        <v>-6.7790000000000017</v>
      </c>
      <c r="J101" s="6">
        <v>-17.132000000000001</v>
      </c>
      <c r="K101" s="6">
        <v>-19.661999999999999</v>
      </c>
      <c r="L101" s="6">
        <v>-32.18</v>
      </c>
      <c r="M101" s="6">
        <v>-10.325000000000003</v>
      </c>
      <c r="V101" s="6">
        <v>58.54</v>
      </c>
      <c r="W101" s="6">
        <f>-66.553-72.301</f>
        <v>-138.85399999999998</v>
      </c>
      <c r="X101" s="6">
        <v>-37.752000000000002</v>
      </c>
    </row>
    <row r="102" spans="2:26" s="7" customFormat="1" x14ac:dyDescent="0.25">
      <c r="B102" s="7" t="s">
        <v>96</v>
      </c>
      <c r="C102" s="7">
        <f t="shared" ref="C102:Q102" si="125">SUM(C91:C101)</f>
        <v>0</v>
      </c>
      <c r="D102" s="7">
        <f t="shared" si="125"/>
        <v>0</v>
      </c>
      <c r="E102" s="7">
        <f t="shared" si="125"/>
        <v>0</v>
      </c>
      <c r="F102" s="7">
        <f t="shared" si="125"/>
        <v>0</v>
      </c>
      <c r="G102" s="7">
        <f t="shared" si="125"/>
        <v>-1261.184</v>
      </c>
      <c r="H102" s="7">
        <f t="shared" si="125"/>
        <v>-2194.924</v>
      </c>
      <c r="I102" s="7">
        <f t="shared" si="125"/>
        <v>-83.996000000000123</v>
      </c>
      <c r="J102" s="7">
        <f t="shared" si="125"/>
        <v>-1280.8889999999999</v>
      </c>
      <c r="K102" s="7">
        <f t="shared" si="125"/>
        <v>-1440.22</v>
      </c>
      <c r="L102" s="7">
        <f t="shared" si="125"/>
        <v>-1722.471</v>
      </c>
      <c r="M102" s="7">
        <f t="shared" si="125"/>
        <v>-1459.4639999999999</v>
      </c>
      <c r="N102" s="7">
        <f t="shared" si="125"/>
        <v>0</v>
      </c>
      <c r="O102" s="7">
        <f t="shared" si="125"/>
        <v>0</v>
      </c>
      <c r="P102" s="7">
        <f t="shared" si="125"/>
        <v>0</v>
      </c>
      <c r="Q102" s="7">
        <f t="shared" si="125"/>
        <v>0</v>
      </c>
      <c r="R102" s="6"/>
      <c r="S102" s="6"/>
      <c r="V102" s="7">
        <f t="shared" ref="V102" si="126">SUM(V91:V101)</f>
        <v>-106.33200000000002</v>
      </c>
      <c r="W102" s="7">
        <f t="shared" ref="W102" si="127">SUM(W91:W101)</f>
        <v>-1889.857</v>
      </c>
      <c r="X102" s="7">
        <f t="shared" ref="X102" si="128">SUM(X91:X101)</f>
        <v>-4820.9930000000004</v>
      </c>
      <c r="Y102" s="7">
        <f t="shared" ref="Y102" si="129">SUM(Y91:Y101)</f>
        <v>0</v>
      </c>
      <c r="Z102" s="7">
        <f t="shared" ref="Z102" si="130">SUM(Z91:Z101)</f>
        <v>0</v>
      </c>
    </row>
    <row r="103" spans="2:26" s="6" customFormat="1" x14ac:dyDescent="0.25">
      <c r="B103" s="6" t="s">
        <v>97</v>
      </c>
      <c r="G103" s="6">
        <v>2896.8939999999998</v>
      </c>
      <c r="H103" s="6">
        <v>1400.4420000000005</v>
      </c>
      <c r="I103" s="6">
        <v>1356.683</v>
      </c>
      <c r="J103" s="6">
        <v>1300.4650000000001</v>
      </c>
      <c r="K103" s="6">
        <v>1480.5740000000001</v>
      </c>
      <c r="L103" s="6">
        <v>2285.84</v>
      </c>
      <c r="M103" s="6">
        <v>3334.8799999999997</v>
      </c>
      <c r="V103" s="6">
        <v>7152.9750000000004</v>
      </c>
      <c r="W103" s="6">
        <v>11231.9</v>
      </c>
      <c r="X103" s="6">
        <v>6954.4840000000004</v>
      </c>
    </row>
    <row r="104" spans="2:26" s="6" customFormat="1" x14ac:dyDescent="0.25">
      <c r="B104" s="6" t="s">
        <v>99</v>
      </c>
      <c r="M104" s="6">
        <v>1700.345</v>
      </c>
    </row>
    <row r="105" spans="2:26" s="6" customFormat="1" x14ac:dyDescent="0.25">
      <c r="B105" s="6" t="s">
        <v>98</v>
      </c>
      <c r="M105" s="6">
        <v>-1.62</v>
      </c>
    </row>
    <row r="106" spans="2:26" s="6" customFormat="1" x14ac:dyDescent="0.25">
      <c r="B106" s="6" t="s">
        <v>101</v>
      </c>
      <c r="G106" s="6">
        <v>-2427.3389999999999</v>
      </c>
      <c r="H106" s="6">
        <v>334.13400000000001</v>
      </c>
      <c r="I106" s="6">
        <v>186.31700000000001</v>
      </c>
      <c r="J106" s="6">
        <v>-75.756000000000085</v>
      </c>
      <c r="K106" s="6">
        <v>-30.952000000000002</v>
      </c>
      <c r="L106" s="6">
        <v>898.96799999999996</v>
      </c>
      <c r="M106" s="6">
        <v>-1227.384</v>
      </c>
      <c r="V106" s="6">
        <v>1418.4559999999999</v>
      </c>
      <c r="W106" s="6">
        <v>180.554</v>
      </c>
      <c r="X106" s="6">
        <v>-1982.644</v>
      </c>
    </row>
    <row r="107" spans="2:26" s="6" customFormat="1" x14ac:dyDescent="0.25">
      <c r="B107" s="6" t="s">
        <v>100</v>
      </c>
      <c r="G107" s="6">
        <v>845.25</v>
      </c>
      <c r="V107" s="6">
        <v>439.99</v>
      </c>
      <c r="W107" s="6">
        <v>339.995</v>
      </c>
      <c r="X107" s="6">
        <v>845.25</v>
      </c>
    </row>
    <row r="108" spans="2:26" s="6" customFormat="1" x14ac:dyDescent="0.25">
      <c r="B108" s="6" t="s">
        <v>102</v>
      </c>
      <c r="G108" s="6">
        <v>-170.447</v>
      </c>
      <c r="H108" s="6">
        <v>-126.73599999999999</v>
      </c>
      <c r="I108" s="6">
        <v>-42.920999999999992</v>
      </c>
      <c r="J108" s="6">
        <v>-12.696000000000026</v>
      </c>
      <c r="K108" s="6">
        <v>-17.986999999999998</v>
      </c>
      <c r="L108" s="6">
        <v>-4.1750000000000007</v>
      </c>
      <c r="M108" s="6">
        <v>-2.8960000000000008</v>
      </c>
      <c r="V108" s="6">
        <v>-516.36300000000006</v>
      </c>
      <c r="W108" s="6">
        <v>-799.85900000000004</v>
      </c>
      <c r="X108" s="6">
        <v>-352.8</v>
      </c>
    </row>
    <row r="109" spans="2:26" s="6" customFormat="1" x14ac:dyDescent="0.25">
      <c r="B109" s="6" t="s">
        <v>103</v>
      </c>
      <c r="G109" s="6">
        <v>-5.0199999999999996</v>
      </c>
      <c r="H109" s="6">
        <v>-0.82500000000000018</v>
      </c>
      <c r="I109" s="6">
        <v>-4.9999999999999822E-2</v>
      </c>
      <c r="J109" s="6">
        <v>-1.7250000000000005</v>
      </c>
      <c r="K109" s="6">
        <v>-0.3</v>
      </c>
      <c r="L109" s="6">
        <v>-9.4000000000000028E-2</v>
      </c>
      <c r="M109" s="6">
        <v>-1.6059999999999999</v>
      </c>
      <c r="V109" s="6">
        <v>-8.2870000000000008</v>
      </c>
      <c r="W109" s="6">
        <v>-11.903</v>
      </c>
      <c r="X109" s="6">
        <v>-7.62</v>
      </c>
    </row>
    <row r="110" spans="2:26" s="6" customFormat="1" x14ac:dyDescent="0.25">
      <c r="B110" s="6" t="s">
        <v>104</v>
      </c>
      <c r="G110" s="6">
        <v>-90.649000000000001</v>
      </c>
      <c r="X110" s="6">
        <v>-90.649000000000001</v>
      </c>
    </row>
    <row r="111" spans="2:26" s="6" customFormat="1" x14ac:dyDescent="0.25">
      <c r="B111" s="6" t="s">
        <v>105</v>
      </c>
      <c r="G111" s="6">
        <v>10.18</v>
      </c>
      <c r="X111" s="6">
        <v>10.18</v>
      </c>
    </row>
    <row r="112" spans="2:26" s="6" customFormat="1" x14ac:dyDescent="0.25">
      <c r="B112" s="6" t="s">
        <v>106</v>
      </c>
      <c r="G112" s="6">
        <v>-3.76</v>
      </c>
      <c r="H112" s="6">
        <v>-3.9980000000000002</v>
      </c>
      <c r="I112" s="6">
        <v>-4.883</v>
      </c>
      <c r="J112" s="6">
        <v>-9.9599999999999991</v>
      </c>
      <c r="K112" s="6">
        <v>-5.5919999999999996</v>
      </c>
      <c r="L112" s="6">
        <v>-4.2990000000000004</v>
      </c>
      <c r="M112" s="6">
        <v>-9.9580000000000002</v>
      </c>
      <c r="V112" s="6">
        <v>-8.9830000000000005</v>
      </c>
      <c r="W112" s="6">
        <v>-15.3</v>
      </c>
      <c r="X112" s="6">
        <v>-22.600999999999999</v>
      </c>
    </row>
    <row r="113" spans="2:26" s="6" customFormat="1" x14ac:dyDescent="0.25">
      <c r="B113" s="6" t="s">
        <v>107</v>
      </c>
      <c r="G113" s="6">
        <v>0.46600000000000003</v>
      </c>
      <c r="H113" s="6">
        <v>0.16599999999999998</v>
      </c>
      <c r="I113" s="6">
        <v>0.13800000000000001</v>
      </c>
      <c r="J113" s="6">
        <v>20.637</v>
      </c>
      <c r="K113" s="6">
        <v>0.19500000000000001</v>
      </c>
      <c r="L113" s="6">
        <v>0.60000000000000009</v>
      </c>
      <c r="M113" s="6">
        <v>5.8520000000000003</v>
      </c>
      <c r="V113" s="6">
        <v>2.61</v>
      </c>
      <c r="W113" s="6">
        <v>1.145</v>
      </c>
      <c r="X113" s="6">
        <v>21.407</v>
      </c>
    </row>
    <row r="114" spans="2:26" s="6" customFormat="1" x14ac:dyDescent="0.25">
      <c r="B114" s="6" t="s">
        <v>108</v>
      </c>
      <c r="L114" s="6">
        <v>11.763999999999999</v>
      </c>
    </row>
    <row r="115" spans="2:26" s="6" customFormat="1" x14ac:dyDescent="0.25">
      <c r="B115" s="6" t="s">
        <v>109</v>
      </c>
      <c r="H115" s="6">
        <v>-16.5</v>
      </c>
      <c r="J115" s="6">
        <v>-3.0000000000001137E-3</v>
      </c>
      <c r="V115" s="6">
        <v>-40.424999999999997</v>
      </c>
      <c r="W115" s="6">
        <v>-40.424999999999997</v>
      </c>
      <c r="X115" s="6">
        <v>-16.503</v>
      </c>
    </row>
    <row r="116" spans="2:26" s="6" customFormat="1" x14ac:dyDescent="0.25">
      <c r="B116" s="6" t="s">
        <v>110</v>
      </c>
      <c r="H116" s="6">
        <v>-323.39999999999998</v>
      </c>
      <c r="X116" s="6">
        <v>-323.39999999999998</v>
      </c>
    </row>
    <row r="117" spans="2:26" s="6" customFormat="1" x14ac:dyDescent="0.25">
      <c r="B117" s="6" t="s">
        <v>111</v>
      </c>
      <c r="G117" s="6">
        <v>-0.13</v>
      </c>
      <c r="H117" s="6">
        <v>-0.13200000000000001</v>
      </c>
      <c r="I117" s="6">
        <v>-0.13400000000000001</v>
      </c>
      <c r="J117" s="6">
        <v>-0.13400000000000001</v>
      </c>
      <c r="K117" s="6">
        <v>-0.17499999999999999</v>
      </c>
      <c r="L117" s="6">
        <v>-0.19500000000000001</v>
      </c>
      <c r="M117" s="6">
        <v>-0.19699999999999995</v>
      </c>
      <c r="V117" s="6">
        <v>-0.48799999999999999</v>
      </c>
      <c r="W117" s="6">
        <v>-0.50900000000000001</v>
      </c>
      <c r="X117" s="6">
        <v>-0.53</v>
      </c>
    </row>
    <row r="118" spans="2:26" s="7" customFormat="1" x14ac:dyDescent="0.25">
      <c r="B118" s="7" t="s">
        <v>95</v>
      </c>
      <c r="C118" s="7">
        <f t="shared" ref="C118:R118" si="131">SUM(C103:C117)</f>
        <v>0</v>
      </c>
      <c r="D118" s="7">
        <f t="shared" si="131"/>
        <v>0</v>
      </c>
      <c r="E118" s="7">
        <f t="shared" si="131"/>
        <v>0</v>
      </c>
      <c r="F118" s="7">
        <f t="shared" si="131"/>
        <v>0</v>
      </c>
      <c r="G118" s="7">
        <f t="shared" si="131"/>
        <v>1055.4449999999997</v>
      </c>
      <c r="H118" s="7">
        <f t="shared" si="131"/>
        <v>1263.1510000000003</v>
      </c>
      <c r="I118" s="7">
        <f t="shared" si="131"/>
        <v>1495.1499999999999</v>
      </c>
      <c r="J118" s="7">
        <f t="shared" si="131"/>
        <v>1220.828</v>
      </c>
      <c r="K118" s="7">
        <f t="shared" si="131"/>
        <v>1425.7629999999999</v>
      </c>
      <c r="L118" s="7">
        <f t="shared" si="131"/>
        <v>3188.4089999999997</v>
      </c>
      <c r="M118" s="7">
        <f t="shared" si="131"/>
        <v>3797.4159999999988</v>
      </c>
      <c r="N118" s="7">
        <f t="shared" si="131"/>
        <v>0</v>
      </c>
      <c r="O118" s="7">
        <f t="shared" si="131"/>
        <v>0</v>
      </c>
      <c r="P118" s="7">
        <f t="shared" si="131"/>
        <v>0</v>
      </c>
      <c r="Q118" s="7">
        <f t="shared" si="131"/>
        <v>0</v>
      </c>
      <c r="R118" s="6"/>
      <c r="S118" s="6"/>
      <c r="V118" s="7">
        <f t="shared" ref="V118" si="132">SUM(V103:V117)</f>
        <v>8439.4850000000024</v>
      </c>
      <c r="W118" s="7">
        <f t="shared" ref="W118" si="133">SUM(W103:W117)</f>
        <v>10885.598000000002</v>
      </c>
      <c r="X118" s="7">
        <f t="shared" ref="X118" si="134">SUM(X103:X117)</f>
        <v>5034.5740000000014</v>
      </c>
      <c r="Y118" s="7">
        <f t="shared" ref="Y118" si="135">SUM(Y103:Y117)</f>
        <v>0</v>
      </c>
      <c r="Z118" s="7">
        <f t="shared" ref="Z118" si="136">SUM(Z103:Z117)</f>
        <v>0</v>
      </c>
    </row>
    <row r="119" spans="2:26" s="6" customFormat="1" x14ac:dyDescent="0.25">
      <c r="B119" s="6" t="s">
        <v>112</v>
      </c>
      <c r="G119" s="6">
        <v>-0.17899999999999999</v>
      </c>
      <c r="I119" s="6">
        <v>0.56299999999999994</v>
      </c>
      <c r="J119" s="6">
        <v>-0.38399999999999995</v>
      </c>
      <c r="K119" s="6">
        <v>-0.26900000000000002</v>
      </c>
      <c r="M119" s="6">
        <v>-0.22800000000000009</v>
      </c>
      <c r="V119" s="6">
        <v>0.57099999999999995</v>
      </c>
      <c r="W119" s="6">
        <v>0.67700000000000005</v>
      </c>
      <c r="X119" s="6">
        <v>0</v>
      </c>
    </row>
    <row r="120" spans="2:26" s="7" customFormat="1" x14ac:dyDescent="0.25">
      <c r="B120" s="7" t="s">
        <v>113</v>
      </c>
      <c r="C120" s="7">
        <f t="shared" ref="C120:Q120" si="137">C90+C102+C118+C119</f>
        <v>0</v>
      </c>
      <c r="D120" s="7">
        <f t="shared" si="137"/>
        <v>0</v>
      </c>
      <c r="E120" s="7">
        <f t="shared" si="137"/>
        <v>0</v>
      </c>
      <c r="F120" s="7">
        <f t="shared" si="137"/>
        <v>0</v>
      </c>
      <c r="G120" s="7">
        <f t="shared" si="137"/>
        <v>532.3299999999997</v>
      </c>
      <c r="H120" s="7">
        <f t="shared" si="137"/>
        <v>-1416.1419999999998</v>
      </c>
      <c r="I120" s="7">
        <f t="shared" si="137"/>
        <v>238.13299999999947</v>
      </c>
      <c r="J120" s="7">
        <f t="shared" si="137"/>
        <v>-260.54200000000014</v>
      </c>
      <c r="K120" s="7">
        <f t="shared" si="137"/>
        <v>6.7759999999998453</v>
      </c>
      <c r="L120" s="7">
        <f t="shared" si="137"/>
        <v>-0.97000000000025466</v>
      </c>
      <c r="M120" s="7">
        <f t="shared" si="137"/>
        <v>1031.8479999999986</v>
      </c>
      <c r="N120" s="7">
        <f t="shared" si="137"/>
        <v>0</v>
      </c>
      <c r="O120" s="7">
        <f t="shared" si="137"/>
        <v>0</v>
      </c>
      <c r="P120" s="7">
        <f t="shared" si="137"/>
        <v>0</v>
      </c>
      <c r="Q120" s="7">
        <f t="shared" si="137"/>
        <v>0</v>
      </c>
      <c r="R120" s="6"/>
      <c r="S120" s="6"/>
      <c r="V120" s="7">
        <f t="shared" ref="V120" si="138">V90+V102+V118+V119</f>
        <v>1077.8640000000014</v>
      </c>
      <c r="W120" s="7">
        <f t="shared" ref="W120" si="139">W90+W102+W118+W119</f>
        <v>1769.2960000000005</v>
      </c>
      <c r="X120" s="7">
        <f t="shared" ref="X120" si="140">X90+X102+X118+X119</f>
        <v>-906.22099999999955</v>
      </c>
      <c r="Y120" s="7">
        <f t="shared" ref="Y120" si="141">Y90+Y102+Y118+Y119</f>
        <v>0</v>
      </c>
      <c r="Z120" s="7">
        <f t="shared" ref="Z120" si="142">Z90+Z102+Z118+Z119</f>
        <v>0</v>
      </c>
    </row>
    <row r="121" spans="2:26" s="6" customFormat="1" x14ac:dyDescent="0.25"/>
    <row r="122" spans="2:26" s="6" customFormat="1" x14ac:dyDescent="0.25">
      <c r="B122" s="6" t="s">
        <v>148</v>
      </c>
      <c r="G122" s="6">
        <f t="shared" ref="G122:M122" si="143">G90+G91+G92</f>
        <v>704.13599999999985</v>
      </c>
      <c r="H122" s="6">
        <f t="shared" si="143"/>
        <v>-523.8420000000001</v>
      </c>
      <c r="I122" s="6">
        <f t="shared" si="143"/>
        <v>-1219.3830000000003</v>
      </c>
      <c r="J122" s="6">
        <f t="shared" si="143"/>
        <v>-244.33000000000015</v>
      </c>
      <c r="K122" s="6">
        <f t="shared" si="143"/>
        <v>-32.745999999999988</v>
      </c>
      <c r="L122" s="6">
        <f t="shared" si="143"/>
        <v>-1532.8999999999999</v>
      </c>
      <c r="M122" s="6">
        <f>M90+M91+M92</f>
        <v>-1369.0340000000001</v>
      </c>
      <c r="N122" s="6">
        <f t="shared" ref="N122:Q122" si="144">N90+N91+N92</f>
        <v>0</v>
      </c>
      <c r="O122" s="6">
        <f t="shared" si="144"/>
        <v>0</v>
      </c>
      <c r="P122" s="6">
        <f t="shared" si="144"/>
        <v>0</v>
      </c>
      <c r="Q122" s="6">
        <f t="shared" si="144"/>
        <v>0</v>
      </c>
      <c r="V122" s="6">
        <f t="shared" ref="V122:Z122" si="145">V90+V91+V92</f>
        <v>-7359.5920000000006</v>
      </c>
      <c r="W122" s="6">
        <f t="shared" si="145"/>
        <v>-7348.3140000000012</v>
      </c>
      <c r="X122" s="6">
        <f t="shared" si="145"/>
        <v>-1283.4190000000006</v>
      </c>
      <c r="Y122" s="6">
        <f t="shared" si="145"/>
        <v>0</v>
      </c>
      <c r="Z122" s="6">
        <f t="shared" si="145"/>
        <v>0</v>
      </c>
    </row>
    <row r="123" spans="2:26" s="8" customFormat="1" x14ac:dyDescent="0.25">
      <c r="B123" s="8" t="s">
        <v>149</v>
      </c>
      <c r="G123" s="8">
        <f t="shared" ref="G123:M123" si="146">-(G91+G92)/G74</f>
        <v>0.38744704292220844</v>
      </c>
      <c r="H123" s="8">
        <f t="shared" si="146"/>
        <v>2.2680418294644915</v>
      </c>
      <c r="I123" s="8">
        <f t="shared" si="146"/>
        <v>0.75396747003819309</v>
      </c>
      <c r="J123" s="8">
        <f t="shared" si="146"/>
        <v>0.13304198223018937</v>
      </c>
      <c r="K123" s="8">
        <f t="shared" si="146"/>
        <v>0.76281005680859437</v>
      </c>
      <c r="L123" s="8">
        <f t="shared" si="146"/>
        <v>0.67849027893443559</v>
      </c>
      <c r="M123" s="8">
        <f>-(M91+M92)/M74</f>
        <v>0.45309630394857653</v>
      </c>
      <c r="N123" s="8" t="e">
        <f t="shared" ref="N123:Q123" si="147">-(N91+N92)/N74</f>
        <v>#DIV/0!</v>
      </c>
      <c r="O123" s="8" t="e">
        <f t="shared" si="147"/>
        <v>#DIV/0!</v>
      </c>
      <c r="P123" s="8" t="e">
        <f t="shared" si="147"/>
        <v>#DIV/0!</v>
      </c>
      <c r="Q123" s="8" t="e">
        <f t="shared" si="147"/>
        <v>#DIV/0!</v>
      </c>
      <c r="V123" s="8">
        <f t="shared" ref="V123:Z123" si="148">-(V91+V92)/V74</f>
        <v>-0.3237507295408652</v>
      </c>
      <c r="W123" s="8">
        <f t="shared" si="148"/>
        <v>-0.40297663778255116</v>
      </c>
      <c r="X123" s="8">
        <f t="shared" si="148"/>
        <v>0.32811005384376279</v>
      </c>
      <c r="Y123" s="8" t="e">
        <f t="shared" si="148"/>
        <v>#DIV/0!</v>
      </c>
      <c r="Z123" s="8" t="e">
        <f t="shared" si="148"/>
        <v>#DIV/0!</v>
      </c>
    </row>
    <row r="126" spans="2:26" x14ac:dyDescent="0.25">
      <c r="B126" s="10" t="s">
        <v>122</v>
      </c>
    </row>
    <row r="127" spans="2:26" s="6" customFormat="1" x14ac:dyDescent="0.25">
      <c r="B127" s="6" t="s">
        <v>123</v>
      </c>
      <c r="F127" s="6">
        <v>9.3409999999999993</v>
      </c>
      <c r="G127" s="6">
        <v>10.702</v>
      </c>
      <c r="H127" s="6">
        <v>11.88</v>
      </c>
      <c r="I127" s="6">
        <v>13.282999999999999</v>
      </c>
      <c r="J127" s="6">
        <v>16.263999999999999</v>
      </c>
      <c r="K127" s="6">
        <v>19.7</v>
      </c>
      <c r="L127" s="6">
        <v>22.547999999999998</v>
      </c>
      <c r="M127" s="6">
        <v>18</v>
      </c>
      <c r="V127" s="6">
        <v>31.54</v>
      </c>
      <c r="W127" s="6">
        <v>33.6</v>
      </c>
      <c r="X127" s="6">
        <v>52.128999999999998</v>
      </c>
    </row>
    <row r="128" spans="2:26" s="6" customFormat="1" x14ac:dyDescent="0.25">
      <c r="B128" s="6" t="s">
        <v>124</v>
      </c>
      <c r="F128" s="6">
        <v>1.27</v>
      </c>
      <c r="G128" s="6">
        <v>2.0339999999999998</v>
      </c>
      <c r="H128" s="6">
        <v>1.738</v>
      </c>
      <c r="I128" s="6">
        <v>1.96</v>
      </c>
      <c r="J128" s="6">
        <v>2.4649999999999999</v>
      </c>
      <c r="K128" s="6">
        <v>2.5299999999999998</v>
      </c>
      <c r="L128" s="6">
        <v>2.5880000000000001</v>
      </c>
      <c r="M128" s="6">
        <v>3.6949999999999998</v>
      </c>
      <c r="V128" s="6">
        <v>4.5119999999999996</v>
      </c>
      <c r="W128" s="6">
        <v>4.8410000000000002</v>
      </c>
      <c r="X128" s="6">
        <v>8.1999999999999993</v>
      </c>
    </row>
    <row r="129" spans="2:26" s="6" customFormat="1" x14ac:dyDescent="0.25">
      <c r="B129" s="6" t="s">
        <v>125</v>
      </c>
      <c r="F129" s="6">
        <v>13.286</v>
      </c>
      <c r="G129" s="6">
        <v>12</v>
      </c>
      <c r="H129" s="6">
        <v>14.457000000000001</v>
      </c>
      <c r="I129" s="6">
        <v>18.77</v>
      </c>
      <c r="J129" s="6">
        <v>21.6</v>
      </c>
      <c r="K129" s="6">
        <v>22.812000000000001</v>
      </c>
      <c r="L129" s="6">
        <v>26.501999999999999</v>
      </c>
      <c r="M129" s="6">
        <v>29.088999999999999</v>
      </c>
      <c r="V129" s="6">
        <v>17.390999999999998</v>
      </c>
      <c r="W129" s="6">
        <v>35.247</v>
      </c>
      <c r="X129" s="6">
        <v>66.828999999999994</v>
      </c>
    </row>
    <row r="130" spans="2:26" s="6" customFormat="1" x14ac:dyDescent="0.25">
      <c r="B130" s="6" t="s">
        <v>126</v>
      </c>
      <c r="F130" s="6">
        <v>4.9400000000000004</v>
      </c>
      <c r="G130" s="6">
        <v>4.0339999999999998</v>
      </c>
      <c r="H130" s="6">
        <v>5.96</v>
      </c>
      <c r="I130" s="6">
        <v>5.5609999999999999</v>
      </c>
      <c r="J130" s="6">
        <v>5.8490000000000002</v>
      </c>
      <c r="K130" s="6">
        <v>6.9850000000000003</v>
      </c>
      <c r="L130" s="6">
        <v>7.5419999999999998</v>
      </c>
      <c r="M130" s="6">
        <v>12.257</v>
      </c>
      <c r="V130" s="6">
        <v>15.446</v>
      </c>
      <c r="W130" s="6">
        <v>21.126999999999999</v>
      </c>
      <c r="X130" s="6">
        <v>21.494</v>
      </c>
    </row>
    <row r="131" spans="2:26" s="6" customFormat="1" x14ac:dyDescent="0.25">
      <c r="B131" s="6" t="s">
        <v>7</v>
      </c>
      <c r="F131" s="6">
        <v>0.41699999999999998</v>
      </c>
      <c r="G131" s="6">
        <v>0.92700000000000005</v>
      </c>
      <c r="H131" s="6">
        <v>0.65400000000000003</v>
      </c>
      <c r="I131" s="6">
        <v>0.56499999999999995</v>
      </c>
      <c r="J131" s="6">
        <v>0.65100000000000002</v>
      </c>
      <c r="K131" s="6">
        <v>1.7310000000000001</v>
      </c>
      <c r="L131" s="6">
        <v>2.1659999999999999</v>
      </c>
      <c r="M131" s="6">
        <v>4.0999999999999996</v>
      </c>
      <c r="V131" s="6">
        <v>2.2450000000000001</v>
      </c>
      <c r="W131" s="6">
        <v>2.6469999999999998</v>
      </c>
      <c r="X131" s="6">
        <v>2.8</v>
      </c>
    </row>
    <row r="132" spans="2:26" s="7" customFormat="1" x14ac:dyDescent="0.25">
      <c r="B132" s="11" t="s">
        <v>127</v>
      </c>
      <c r="C132" s="7">
        <f t="shared" ref="C132:L132" si="149">SUM(C127:C131)</f>
        <v>0</v>
      </c>
      <c r="D132" s="7">
        <f t="shared" si="149"/>
        <v>0</v>
      </c>
      <c r="E132" s="7">
        <f t="shared" si="149"/>
        <v>0</v>
      </c>
      <c r="F132" s="7">
        <f t="shared" si="149"/>
        <v>29.254000000000001</v>
      </c>
      <c r="G132" s="7">
        <f t="shared" si="149"/>
        <v>29.696999999999999</v>
      </c>
      <c r="H132" s="7">
        <f t="shared" si="149"/>
        <v>34.689000000000007</v>
      </c>
      <c r="I132" s="7">
        <f t="shared" si="149"/>
        <v>40.138999999999996</v>
      </c>
      <c r="J132" s="7">
        <f t="shared" si="149"/>
        <v>46.829000000000001</v>
      </c>
      <c r="K132" s="7">
        <f t="shared" si="149"/>
        <v>53.758000000000003</v>
      </c>
      <c r="L132" s="7">
        <f t="shared" si="149"/>
        <v>61.345999999999997</v>
      </c>
      <c r="M132" s="7">
        <f>SUM(M127:M131)</f>
        <v>67.140999999999991</v>
      </c>
      <c r="N132" s="7">
        <f t="shared" ref="N132:Q132" si="150">SUM(N127:N131)</f>
        <v>0</v>
      </c>
      <c r="O132" s="7">
        <f t="shared" si="150"/>
        <v>0</v>
      </c>
      <c r="P132" s="7">
        <f t="shared" si="150"/>
        <v>0</v>
      </c>
      <c r="Q132" s="7">
        <f t="shared" si="150"/>
        <v>0</v>
      </c>
      <c r="V132" s="7">
        <f t="shared" ref="V132" si="151">SUM(V127:V131)</f>
        <v>71.134</v>
      </c>
      <c r="W132" s="7">
        <f t="shared" ref="W132" si="152">SUM(W127:W131)</f>
        <v>97.462000000000003</v>
      </c>
      <c r="X132" s="7">
        <f t="shared" ref="X132" si="153">SUM(X127:X131)</f>
        <v>151.452</v>
      </c>
      <c r="Y132" s="7">
        <f t="shared" ref="Y132" si="154">SUM(Y127:Y131)</f>
        <v>0</v>
      </c>
      <c r="Z132" s="7">
        <f t="shared" ref="Z132" si="155">SUM(Z127:Z131)</f>
        <v>0</v>
      </c>
    </row>
    <row r="133" spans="2:26" s="6" customFormat="1" x14ac:dyDescent="0.25">
      <c r="B133" s="12" t="s">
        <v>128</v>
      </c>
    </row>
    <row r="134" spans="2:26" s="6" customFormat="1" x14ac:dyDescent="0.25">
      <c r="B134" s="6" t="s">
        <v>129</v>
      </c>
      <c r="F134" s="6">
        <v>85.968999999999994</v>
      </c>
      <c r="G134" s="6">
        <v>84.65</v>
      </c>
      <c r="H134" s="6">
        <v>85.468999999999994</v>
      </c>
      <c r="I134" s="6">
        <v>89.432000000000002</v>
      </c>
      <c r="J134" s="6">
        <v>86.634</v>
      </c>
      <c r="K134" s="6">
        <v>85.988</v>
      </c>
      <c r="L134" s="6">
        <v>89.573999999999998</v>
      </c>
      <c r="M134" s="6">
        <v>88.022999999999996</v>
      </c>
      <c r="V134" s="6">
        <v>26.838000000000001</v>
      </c>
      <c r="W134" s="6">
        <v>323.97199999999998</v>
      </c>
      <c r="X134" s="6">
        <v>350.81</v>
      </c>
    </row>
    <row r="135" spans="2:26" s="6" customFormat="1" x14ac:dyDescent="0.25">
      <c r="B135" s="6" t="s">
        <v>7</v>
      </c>
      <c r="F135" s="6">
        <v>1.1120000000000001</v>
      </c>
      <c r="G135" s="6">
        <v>1.26</v>
      </c>
      <c r="H135" s="6">
        <v>0.624</v>
      </c>
      <c r="I135" s="6">
        <v>1.5629999999999999</v>
      </c>
      <c r="J135" s="6">
        <v>2.0449999999999999</v>
      </c>
      <c r="K135" s="6">
        <v>0.63600000000000001</v>
      </c>
      <c r="L135" s="6">
        <v>0.97</v>
      </c>
      <c r="M135" s="6">
        <v>1.613</v>
      </c>
    </row>
    <row r="136" spans="2:26" s="6" customFormat="1" x14ac:dyDescent="0.25">
      <c r="B136" s="11" t="s">
        <v>127</v>
      </c>
      <c r="C136" s="7">
        <f t="shared" ref="C136:L136" si="156">SUM(C134:C135)</f>
        <v>0</v>
      </c>
      <c r="D136" s="7">
        <f t="shared" si="156"/>
        <v>0</v>
      </c>
      <c r="E136" s="7">
        <f t="shared" si="156"/>
        <v>0</v>
      </c>
      <c r="F136" s="7">
        <f t="shared" si="156"/>
        <v>87.080999999999989</v>
      </c>
      <c r="G136" s="7">
        <f t="shared" si="156"/>
        <v>85.910000000000011</v>
      </c>
      <c r="H136" s="7">
        <f t="shared" si="156"/>
        <v>86.092999999999989</v>
      </c>
      <c r="I136" s="7">
        <f t="shared" si="156"/>
        <v>90.995000000000005</v>
      </c>
      <c r="J136" s="7">
        <f t="shared" si="156"/>
        <v>88.679000000000002</v>
      </c>
      <c r="K136" s="7">
        <f t="shared" si="156"/>
        <v>86.623999999999995</v>
      </c>
      <c r="L136" s="7">
        <f t="shared" si="156"/>
        <v>90.543999999999997</v>
      </c>
      <c r="M136" s="7">
        <f>SUM(M134:M135)</f>
        <v>89.635999999999996</v>
      </c>
      <c r="N136" s="7">
        <f t="shared" ref="N136:Q136" si="157">SUM(N134:N135)</f>
        <v>0</v>
      </c>
      <c r="O136" s="7">
        <f t="shared" si="157"/>
        <v>0</v>
      </c>
      <c r="P136" s="7">
        <f t="shared" si="157"/>
        <v>0</v>
      </c>
      <c r="Q136" s="7">
        <f t="shared" si="157"/>
        <v>0</v>
      </c>
      <c r="V136" s="7">
        <f t="shared" ref="V136" si="158">SUM(V134:V135)</f>
        <v>26.838000000000001</v>
      </c>
      <c r="W136" s="7">
        <f t="shared" ref="W136" si="159">SUM(W134:W135)</f>
        <v>323.97199999999998</v>
      </c>
      <c r="X136" s="7">
        <f t="shared" ref="X136" si="160">SUM(X134:X135)</f>
        <v>350.81</v>
      </c>
      <c r="Y136" s="7">
        <f t="shared" ref="Y136" si="161">SUM(Y134:Y135)</f>
        <v>0</v>
      </c>
      <c r="Z136" s="7">
        <f t="shared" ref="Z136" si="162">SUM(Z134:Z135)</f>
        <v>0</v>
      </c>
    </row>
    <row r="137" spans="2:26" s="6" customFormat="1" x14ac:dyDescent="0.25">
      <c r="B137" s="12" t="s">
        <v>130</v>
      </c>
    </row>
    <row r="138" spans="2:26" s="6" customFormat="1" x14ac:dyDescent="0.25">
      <c r="B138" s="6" t="s">
        <v>131</v>
      </c>
      <c r="F138" s="6">
        <f>82.929+7.525</f>
        <v>90.454000000000008</v>
      </c>
      <c r="G138" s="6">
        <f>57+6.974</f>
        <v>63.974000000000004</v>
      </c>
      <c r="H138" s="6">
        <v>61.530999999999999</v>
      </c>
      <c r="I138" s="6">
        <v>80.012</v>
      </c>
      <c r="J138" s="6">
        <f>73.913-1.316</f>
        <v>72.596999999999994</v>
      </c>
      <c r="K138" s="6">
        <f>48.358+4.447</f>
        <v>52.805</v>
      </c>
      <c r="L138" s="6">
        <v>70.855000000000004</v>
      </c>
      <c r="M138" s="6">
        <v>65.430999999999997</v>
      </c>
      <c r="V138" s="6">
        <f>565.372+43.547</f>
        <v>608.91899999999998</v>
      </c>
      <c r="W138" s="6">
        <f>371.812+37.328</f>
        <v>409.14</v>
      </c>
      <c r="X138" s="6">
        <f>255.87+22.244</f>
        <v>278.11400000000003</v>
      </c>
    </row>
    <row r="139" spans="2:26" s="6" customFormat="1" x14ac:dyDescent="0.25">
      <c r="B139" s="6" t="s">
        <v>132</v>
      </c>
      <c r="G139" s="6">
        <v>1.2E-2</v>
      </c>
      <c r="H139" s="6">
        <v>0.13800000000000001</v>
      </c>
      <c r="I139" s="6">
        <v>42.357999999999997</v>
      </c>
      <c r="J139" s="6">
        <v>46.970999999999997</v>
      </c>
      <c r="K139" s="6">
        <v>73.05</v>
      </c>
      <c r="L139" s="6">
        <v>104.857</v>
      </c>
      <c r="M139" s="6">
        <v>146.88999999999999</v>
      </c>
      <c r="V139" s="6">
        <v>108.006</v>
      </c>
      <c r="W139" s="6">
        <v>33.601999999999997</v>
      </c>
      <c r="X139" s="6">
        <v>141.608</v>
      </c>
    </row>
    <row r="140" spans="2:26" s="6" customFormat="1" x14ac:dyDescent="0.25">
      <c r="B140" s="6" t="s">
        <v>7</v>
      </c>
      <c r="F140" s="6">
        <v>18.974</v>
      </c>
      <c r="G140" s="6">
        <v>62.682000000000002</v>
      </c>
      <c r="H140" s="6">
        <v>3.5830000000000002</v>
      </c>
      <c r="I140" s="6">
        <v>12.516</v>
      </c>
      <c r="J140" s="6">
        <v>8.8810000000000002</v>
      </c>
      <c r="K140" s="6">
        <v>6.7960000000000003</v>
      </c>
      <c r="L140" s="6">
        <v>9.5050000000000008</v>
      </c>
      <c r="M140" s="6">
        <v>7.3739999999999997</v>
      </c>
      <c r="V140" s="6">
        <v>44.079000000000001</v>
      </c>
      <c r="W140" s="6">
        <v>94.334999999999994</v>
      </c>
      <c r="X140" s="6">
        <v>187.846</v>
      </c>
    </row>
    <row r="141" spans="2:26" s="6" customFormat="1" x14ac:dyDescent="0.25">
      <c r="B141" s="11" t="s">
        <v>127</v>
      </c>
      <c r="C141" s="7">
        <f t="shared" ref="C141:L141" si="163">SUM(C138:C140)</f>
        <v>0</v>
      </c>
      <c r="D141" s="7">
        <f t="shared" si="163"/>
        <v>0</v>
      </c>
      <c r="E141" s="7">
        <f t="shared" si="163"/>
        <v>0</v>
      </c>
      <c r="F141" s="7">
        <f t="shared" si="163"/>
        <v>109.42800000000001</v>
      </c>
      <c r="G141" s="7">
        <f t="shared" si="163"/>
        <v>126.66800000000001</v>
      </c>
      <c r="H141" s="7">
        <f t="shared" si="163"/>
        <v>65.251999999999995</v>
      </c>
      <c r="I141" s="7">
        <f t="shared" si="163"/>
        <v>134.886</v>
      </c>
      <c r="J141" s="7">
        <f t="shared" si="163"/>
        <v>128.44899999999998</v>
      </c>
      <c r="K141" s="7">
        <f t="shared" si="163"/>
        <v>132.65099999999998</v>
      </c>
      <c r="L141" s="7">
        <f t="shared" si="163"/>
        <v>185.21699999999998</v>
      </c>
      <c r="M141" s="7">
        <f>SUM(M138:M140)</f>
        <v>219.69499999999996</v>
      </c>
      <c r="N141" s="7">
        <f t="shared" ref="N141:Q141" si="164">SUM(N138:N140)</f>
        <v>0</v>
      </c>
      <c r="O141" s="7">
        <f t="shared" si="164"/>
        <v>0</v>
      </c>
      <c r="P141" s="7">
        <f t="shared" si="164"/>
        <v>0</v>
      </c>
      <c r="Q141" s="7">
        <f t="shared" si="164"/>
        <v>0</v>
      </c>
      <c r="V141" s="7">
        <f t="shared" ref="V141" si="165">SUM(V138:V140)</f>
        <v>761.00399999999991</v>
      </c>
      <c r="W141" s="7">
        <f t="shared" ref="W141" si="166">SUM(W138:W140)</f>
        <v>537.077</v>
      </c>
      <c r="X141" s="7">
        <f>SUM(X138:X140)</f>
        <v>607.56799999999998</v>
      </c>
      <c r="Y141" s="7">
        <f t="shared" ref="Y141" si="167">SUM(Y138:Y140)</f>
        <v>0</v>
      </c>
      <c r="Z141" s="7">
        <f t="shared" ref="Z141" si="168">SUM(Z138:Z140)</f>
        <v>0</v>
      </c>
    </row>
    <row r="142" spans="2:26" s="7" customFormat="1" x14ac:dyDescent="0.25">
      <c r="B142" s="7" t="s">
        <v>133</v>
      </c>
      <c r="C142" s="7">
        <f t="shared" ref="C142:L142" si="169">C132+C141+C136</f>
        <v>0</v>
      </c>
      <c r="D142" s="7">
        <f t="shared" si="169"/>
        <v>0</v>
      </c>
      <c r="E142" s="7">
        <f t="shared" si="169"/>
        <v>0</v>
      </c>
      <c r="F142" s="7">
        <f t="shared" si="169"/>
        <v>225.76300000000001</v>
      </c>
      <c r="G142" s="7">
        <f t="shared" si="169"/>
        <v>242.27500000000003</v>
      </c>
      <c r="H142" s="7">
        <f t="shared" si="169"/>
        <v>186.03399999999999</v>
      </c>
      <c r="I142" s="7">
        <f t="shared" si="169"/>
        <v>266.02</v>
      </c>
      <c r="J142" s="7">
        <f t="shared" si="169"/>
        <v>263.95699999999999</v>
      </c>
      <c r="K142" s="7">
        <f t="shared" si="169"/>
        <v>273.03300000000002</v>
      </c>
      <c r="L142" s="7">
        <f t="shared" si="169"/>
        <v>337.10699999999997</v>
      </c>
      <c r="M142" s="7">
        <f>M132+M141+M136</f>
        <v>376.47199999999998</v>
      </c>
      <c r="N142" s="7">
        <f t="shared" ref="N142:Q142" si="170">N132+N141+N136</f>
        <v>0</v>
      </c>
      <c r="O142" s="7">
        <f t="shared" si="170"/>
        <v>0</v>
      </c>
      <c r="P142" s="7">
        <f t="shared" si="170"/>
        <v>0</v>
      </c>
      <c r="Q142" s="7">
        <f t="shared" si="170"/>
        <v>0</v>
      </c>
      <c r="V142" s="7">
        <f t="shared" ref="V142" si="171">V132+V141+V136</f>
        <v>858.97599999999989</v>
      </c>
      <c r="W142" s="7">
        <f t="shared" ref="W142" si="172">W132+W141+W136</f>
        <v>958.51099999999997</v>
      </c>
      <c r="X142" s="7">
        <f t="shared" ref="X142" si="173">X132+X141+X136</f>
        <v>1109.83</v>
      </c>
      <c r="Y142" s="7">
        <f t="shared" ref="Y142" si="174">Y132+Y141+Y136</f>
        <v>0</v>
      </c>
      <c r="Z142" s="7">
        <f t="shared" ref="Z142" si="175">Z132+Z141+Z136</f>
        <v>0</v>
      </c>
    </row>
    <row r="146" spans="2:17" s="6" customFormat="1" x14ac:dyDescent="0.25">
      <c r="B146" s="6" t="s">
        <v>134</v>
      </c>
      <c r="C146" s="15"/>
      <c r="D146" s="15"/>
      <c r="E146" s="15"/>
      <c r="F146" s="15"/>
      <c r="G146" s="15"/>
      <c r="H146" s="15"/>
      <c r="I146" s="15"/>
      <c r="J146" s="6">
        <v>17532.396000000001</v>
      </c>
      <c r="K146" s="6">
        <v>17869.23</v>
      </c>
      <c r="L146" s="6">
        <v>19603.937000000002</v>
      </c>
      <c r="M146" s="6">
        <v>20715.616999999998</v>
      </c>
    </row>
    <row r="147" spans="2:17" s="6" customFormat="1" x14ac:dyDescent="0.25">
      <c r="B147" s="6" t="s">
        <v>135</v>
      </c>
      <c r="C147" s="16"/>
      <c r="D147" s="16"/>
      <c r="E147" s="16"/>
      <c r="F147" s="16"/>
      <c r="G147" s="16"/>
      <c r="H147" s="16"/>
      <c r="I147" s="16"/>
      <c r="J147" s="6">
        <v>152.49600000000001</v>
      </c>
      <c r="K147" s="6">
        <v>356.83300000000003</v>
      </c>
      <c r="L147" s="6">
        <v>377.392</v>
      </c>
      <c r="M147" s="6">
        <v>756.71699999999998</v>
      </c>
    </row>
    <row r="148" spans="2:17" s="6" customFormat="1" x14ac:dyDescent="0.25">
      <c r="B148" s="6" t="s">
        <v>134</v>
      </c>
      <c r="C148" s="16"/>
      <c r="D148" s="16"/>
      <c r="E148" s="16"/>
      <c r="F148" s="16"/>
      <c r="G148" s="16"/>
      <c r="H148" s="16"/>
      <c r="I148" s="16"/>
      <c r="L148" s="6">
        <v>81.760000000000005</v>
      </c>
      <c r="M148" s="6">
        <v>115.01600000000001</v>
      </c>
    </row>
    <row r="149" spans="2:17" s="6" customFormat="1" x14ac:dyDescent="0.25">
      <c r="B149" s="6" t="s">
        <v>136</v>
      </c>
      <c r="C149" s="15"/>
      <c r="D149" s="15"/>
      <c r="E149" s="15"/>
      <c r="F149" s="15"/>
      <c r="G149" s="15"/>
      <c r="H149" s="15"/>
      <c r="I149" s="15"/>
      <c r="J149" s="6">
        <v>8597.3680000000004</v>
      </c>
      <c r="K149" s="6">
        <v>9571.4570000000003</v>
      </c>
      <c r="L149" s="6">
        <v>10741.641</v>
      </c>
      <c r="M149" s="6">
        <v>11827.986999999999</v>
      </c>
    </row>
    <row r="150" spans="2:17" s="6" customFormat="1" x14ac:dyDescent="0.25">
      <c r="B150" s="6" t="s">
        <v>137</v>
      </c>
      <c r="C150" s="17"/>
      <c r="D150" s="17"/>
      <c r="E150" s="17"/>
      <c r="F150" s="17"/>
      <c r="G150" s="17"/>
      <c r="H150" s="17"/>
      <c r="I150" s="17"/>
      <c r="J150" s="6">
        <v>806.44100000000003</v>
      </c>
      <c r="K150" s="6">
        <v>831.52</v>
      </c>
      <c r="L150" s="6">
        <v>888.42100000000005</v>
      </c>
      <c r="M150" s="6">
        <v>913.41</v>
      </c>
    </row>
    <row r="151" spans="2:17" s="6" customFormat="1" x14ac:dyDescent="0.25">
      <c r="B151" s="6" t="s">
        <v>138</v>
      </c>
      <c r="C151" s="15"/>
      <c r="D151" s="15"/>
      <c r="E151" s="15"/>
      <c r="F151" s="15"/>
      <c r="G151" s="15"/>
      <c r="H151" s="15"/>
      <c r="I151" s="15"/>
      <c r="J151" s="6">
        <v>289.15899999999999</v>
      </c>
      <c r="K151" s="6">
        <v>317.161</v>
      </c>
      <c r="L151" s="6">
        <v>364.99700000000001</v>
      </c>
      <c r="M151" s="6">
        <v>407.3</v>
      </c>
    </row>
    <row r="152" spans="2:17" s="6" customFormat="1" x14ac:dyDescent="0.25">
      <c r="B152" s="6" t="s">
        <v>139</v>
      </c>
      <c r="C152" s="16"/>
      <c r="D152" s="16"/>
      <c r="E152" s="16"/>
      <c r="F152" s="16"/>
      <c r="G152" s="16"/>
      <c r="H152" s="16"/>
      <c r="I152" s="16"/>
      <c r="J152" s="6">
        <v>136.47399999999999</v>
      </c>
      <c r="K152" s="6">
        <v>133.386</v>
      </c>
      <c r="L152" s="6">
        <v>145.57400000000001</v>
      </c>
      <c r="M152" s="6">
        <v>148.816</v>
      </c>
    </row>
    <row r="153" spans="2:17" s="6" customFormat="1" x14ac:dyDescent="0.25">
      <c r="B153" s="6" t="s">
        <v>140</v>
      </c>
      <c r="C153" s="16"/>
      <c r="D153" s="16"/>
      <c r="E153" s="16"/>
      <c r="F153" s="16"/>
      <c r="G153" s="16"/>
      <c r="H153" s="16"/>
      <c r="I153" s="16"/>
      <c r="J153" s="6">
        <v>4.9859999999999998</v>
      </c>
      <c r="K153" s="6">
        <v>4.8289999999999997</v>
      </c>
      <c r="L153" s="6">
        <v>4.3209999999999997</v>
      </c>
      <c r="M153" s="6">
        <v>4.1559999999999997</v>
      </c>
    </row>
    <row r="154" spans="2:17" s="6" customFormat="1" x14ac:dyDescent="0.25">
      <c r="B154" s="6" t="s">
        <v>141</v>
      </c>
      <c r="C154" s="16"/>
      <c r="D154" s="16"/>
      <c r="E154" s="16"/>
      <c r="F154" s="16"/>
      <c r="G154" s="16"/>
      <c r="H154" s="16"/>
      <c r="I154" s="16"/>
      <c r="J154" s="6">
        <v>9.3979999999999997</v>
      </c>
      <c r="K154" s="6">
        <v>9.5169999999999995</v>
      </c>
      <c r="L154" s="6">
        <v>10.071999999999999</v>
      </c>
      <c r="M154" s="6">
        <v>10.259</v>
      </c>
    </row>
    <row r="155" spans="2:17" s="7" customFormat="1" x14ac:dyDescent="0.25">
      <c r="B155" s="7" t="s">
        <v>127</v>
      </c>
      <c r="C155" s="16"/>
      <c r="D155" s="16"/>
      <c r="E155" s="16"/>
      <c r="F155" s="16"/>
      <c r="G155" s="16"/>
      <c r="H155" s="16"/>
      <c r="I155" s="16"/>
      <c r="J155" s="7">
        <f t="shared" ref="C155:L155" si="176">SUM(J146:J154)</f>
        <v>27528.718000000001</v>
      </c>
      <c r="K155" s="7">
        <f t="shared" si="176"/>
        <v>29093.932999999997</v>
      </c>
      <c r="L155" s="7">
        <f t="shared" si="176"/>
        <v>32218.114999999998</v>
      </c>
      <c r="M155" s="7">
        <f>SUM(M146:M154)</f>
        <v>34899.278000000006</v>
      </c>
      <c r="N155" s="7">
        <f t="shared" ref="N155:Q155" si="177">SUM(N146:N154)</f>
        <v>0</v>
      </c>
      <c r="O155" s="7">
        <f t="shared" si="177"/>
        <v>0</v>
      </c>
      <c r="P155" s="7">
        <f t="shared" si="177"/>
        <v>0</v>
      </c>
      <c r="Q155" s="7">
        <f t="shared" si="177"/>
        <v>0</v>
      </c>
    </row>
    <row r="156" spans="2:17" x14ac:dyDescent="0.25">
      <c r="C156" s="16"/>
      <c r="D156" s="16"/>
      <c r="E156" s="16"/>
      <c r="F156" s="16"/>
      <c r="G156" s="16"/>
      <c r="H156" s="16"/>
      <c r="I156" s="16"/>
    </row>
    <row r="157" spans="2:17" s="8" customFormat="1" x14ac:dyDescent="0.25">
      <c r="B157" s="8" t="s">
        <v>146</v>
      </c>
      <c r="C157" s="16"/>
      <c r="D157" s="16"/>
      <c r="E157" s="16"/>
      <c r="F157" s="16"/>
      <c r="G157" s="16"/>
      <c r="H157" s="16"/>
      <c r="I157" s="16"/>
      <c r="K157" s="8">
        <f t="shared" ref="G157:Q157" si="178">K155/J155-1</f>
        <v>5.6857533285785244E-2</v>
      </c>
      <c r="L157" s="8">
        <f t="shared" si="178"/>
        <v>0.10738259416490714</v>
      </c>
      <c r="M157" s="8">
        <f t="shared" si="178"/>
        <v>8.3219114464021526E-2</v>
      </c>
      <c r="N157" s="8">
        <f t="shared" si="178"/>
        <v>-1</v>
      </c>
      <c r="O157" s="8" t="e">
        <f t="shared" si="178"/>
        <v>#DIV/0!</v>
      </c>
      <c r="P157" s="8" t="e">
        <f t="shared" si="178"/>
        <v>#DIV/0!</v>
      </c>
      <c r="Q157" s="8" t="e">
        <f>Q155/P155-1</f>
        <v>#DIV/0!</v>
      </c>
    </row>
    <row r="158" spans="2:17" x14ac:dyDescent="0.25">
      <c r="J158" s="8"/>
    </row>
    <row r="161" spans="2:17" x14ac:dyDescent="0.25">
      <c r="B161" s="1" t="s">
        <v>70</v>
      </c>
      <c r="C161" s="6">
        <f t="shared" ref="C161:M161" si="179">C29</f>
        <v>0</v>
      </c>
      <c r="D161" s="6">
        <f t="shared" si="179"/>
        <v>0</v>
      </c>
      <c r="E161" s="6">
        <f t="shared" si="179"/>
        <v>0</v>
      </c>
      <c r="F161" s="6">
        <f t="shared" si="179"/>
        <v>47.886999999999837</v>
      </c>
      <c r="G161" s="6">
        <f t="shared" si="179"/>
        <v>87.225000000000037</v>
      </c>
      <c r="H161" s="6">
        <f t="shared" si="179"/>
        <v>18.009000000000032</v>
      </c>
      <c r="I161" s="6">
        <f t="shared" si="179"/>
        <v>70.340999999999966</v>
      </c>
      <c r="J161" s="6">
        <f t="shared" si="179"/>
        <v>332.47299999999996</v>
      </c>
      <c r="K161" s="6">
        <f t="shared" si="179"/>
        <v>82.305000000000135</v>
      </c>
      <c r="L161" s="6">
        <f t="shared" si="179"/>
        <v>98.027999999999892</v>
      </c>
      <c r="M161" s="6">
        <f>M29</f>
        <v>145.339</v>
      </c>
      <c r="N161" s="6">
        <f t="shared" ref="N161:Q161" si="180">N29</f>
        <v>0</v>
      </c>
      <c r="O161" s="6">
        <f t="shared" si="180"/>
        <v>0</v>
      </c>
      <c r="P161" s="6">
        <f t="shared" si="180"/>
        <v>0</v>
      </c>
      <c r="Q161" s="6">
        <f t="shared" si="180"/>
        <v>0</v>
      </c>
    </row>
    <row r="162" spans="2:17" x14ac:dyDescent="0.25">
      <c r="B162" s="1" t="s">
        <v>142</v>
      </c>
      <c r="C162" s="6">
        <f t="shared" ref="C162:M162" si="181">C8</f>
        <v>0</v>
      </c>
      <c r="D162" s="6">
        <f t="shared" si="181"/>
        <v>0</v>
      </c>
      <c r="E162" s="6">
        <f t="shared" si="181"/>
        <v>0</v>
      </c>
      <c r="F162" s="6">
        <f t="shared" si="181"/>
        <v>9.8819999999999997</v>
      </c>
      <c r="G162" s="6">
        <f t="shared" si="181"/>
        <v>10.711</v>
      </c>
      <c r="H162" s="6">
        <f t="shared" si="181"/>
        <v>12.725</v>
      </c>
      <c r="I162" s="6">
        <f t="shared" si="181"/>
        <v>12.871</v>
      </c>
      <c r="J162" s="6">
        <f t="shared" si="181"/>
        <v>12.039</v>
      </c>
      <c r="K162" s="6">
        <f t="shared" si="181"/>
        <v>11.428000000000001</v>
      </c>
      <c r="L162" s="6">
        <f t="shared" si="181"/>
        <v>11.504</v>
      </c>
      <c r="M162" s="6">
        <f>M8</f>
        <v>11.595000000000001</v>
      </c>
      <c r="N162" s="6">
        <f t="shared" ref="N162:Q162" si="182">N8</f>
        <v>0</v>
      </c>
      <c r="O162" s="6">
        <f t="shared" si="182"/>
        <v>0</v>
      </c>
      <c r="P162" s="6">
        <f t="shared" si="182"/>
        <v>0</v>
      </c>
      <c r="Q162" s="6">
        <f t="shared" si="182"/>
        <v>0</v>
      </c>
    </row>
    <row r="163" spans="2:17" x14ac:dyDescent="0.25">
      <c r="B163" s="1" t="s">
        <v>26</v>
      </c>
      <c r="C163" s="6">
        <f t="shared" ref="C163:M163" si="183">-C25</f>
        <v>0</v>
      </c>
      <c r="D163" s="6">
        <f t="shared" si="183"/>
        <v>0</v>
      </c>
      <c r="E163" s="6">
        <f t="shared" si="183"/>
        <v>0</v>
      </c>
      <c r="F163" s="6">
        <f t="shared" si="183"/>
        <v>3.2450000000000001</v>
      </c>
      <c r="G163" s="6">
        <f t="shared" si="183"/>
        <v>6.1829999999999998</v>
      </c>
      <c r="H163" s="6">
        <f t="shared" si="183"/>
        <v>-2.0640000000000001</v>
      </c>
      <c r="I163" s="6">
        <f t="shared" si="183"/>
        <v>3.11</v>
      </c>
      <c r="J163" s="6">
        <f t="shared" si="183"/>
        <v>-272.54899999999998</v>
      </c>
      <c r="K163" s="6">
        <f t="shared" si="183"/>
        <v>8.6660000000000004</v>
      </c>
      <c r="L163" s="6">
        <f t="shared" si="183"/>
        <v>14.929</v>
      </c>
      <c r="M163" s="6">
        <f>-M25</f>
        <v>9.1590000000000007</v>
      </c>
      <c r="N163" s="6">
        <f t="shared" ref="N163:Q163" si="184">-N25</f>
        <v>0</v>
      </c>
      <c r="O163" s="6">
        <f t="shared" si="184"/>
        <v>0</v>
      </c>
      <c r="P163" s="6">
        <f t="shared" si="184"/>
        <v>0</v>
      </c>
      <c r="Q163" s="6">
        <f t="shared" si="184"/>
        <v>0</v>
      </c>
    </row>
    <row r="164" spans="2:17" x14ac:dyDescent="0.25">
      <c r="B164" s="1" t="s">
        <v>72</v>
      </c>
      <c r="C164" s="6">
        <f t="shared" ref="C164:M164" si="185">C76</f>
        <v>0</v>
      </c>
      <c r="D164" s="6">
        <f t="shared" si="185"/>
        <v>0</v>
      </c>
      <c r="E164" s="6">
        <f t="shared" si="185"/>
        <v>0</v>
      </c>
      <c r="F164" s="6">
        <v>53.448999999999998</v>
      </c>
      <c r="G164" s="6">
        <f t="shared" si="185"/>
        <v>48.539000000000001</v>
      </c>
      <c r="H164" s="6">
        <f t="shared" si="185"/>
        <v>49.623000000000005</v>
      </c>
      <c r="I164" s="6">
        <f t="shared" si="185"/>
        <v>51.790999999999997</v>
      </c>
      <c r="J164" s="6">
        <f t="shared" si="185"/>
        <v>53.546999999999997</v>
      </c>
      <c r="K164" s="6">
        <f t="shared" si="185"/>
        <v>55.283000000000001</v>
      </c>
      <c r="L164" s="6">
        <f t="shared" si="185"/>
        <v>56.742999999999995</v>
      </c>
      <c r="M164" s="6">
        <f>M76</f>
        <v>59.24499999999999</v>
      </c>
      <c r="N164" s="6">
        <f t="shared" ref="N164:Q164" si="186">N76</f>
        <v>0</v>
      </c>
      <c r="O164" s="6">
        <f t="shared" si="186"/>
        <v>0</v>
      </c>
      <c r="P164" s="6">
        <f t="shared" si="186"/>
        <v>0</v>
      </c>
      <c r="Q164" s="6">
        <f t="shared" si="186"/>
        <v>0</v>
      </c>
    </row>
    <row r="165" spans="2:17" x14ac:dyDescent="0.25">
      <c r="B165" s="1" t="s">
        <v>71</v>
      </c>
      <c r="C165" s="6">
        <f t="shared" ref="C165:M165" si="187">C75</f>
        <v>0</v>
      </c>
      <c r="D165" s="6">
        <f t="shared" si="187"/>
        <v>0</v>
      </c>
      <c r="E165" s="6">
        <f t="shared" si="187"/>
        <v>0</v>
      </c>
      <c r="F165" s="6">
        <v>69.106999999999999</v>
      </c>
      <c r="G165" s="6">
        <f t="shared" si="187"/>
        <v>55.082000000000001</v>
      </c>
      <c r="H165" s="6">
        <f t="shared" si="187"/>
        <v>61.056999999999995</v>
      </c>
      <c r="I165" s="6">
        <f t="shared" si="187"/>
        <v>63.646000000000001</v>
      </c>
      <c r="J165" s="6">
        <f t="shared" si="187"/>
        <v>66.36699999999999</v>
      </c>
      <c r="K165" s="6">
        <f t="shared" si="187"/>
        <v>63.756</v>
      </c>
      <c r="L165" s="6">
        <f t="shared" si="187"/>
        <v>63.256</v>
      </c>
      <c r="M165" s="6">
        <f>M75</f>
        <v>66.468999999999994</v>
      </c>
      <c r="N165" s="6">
        <f t="shared" ref="N165:Q165" si="188">N75</f>
        <v>0</v>
      </c>
      <c r="O165" s="6">
        <f t="shared" si="188"/>
        <v>0</v>
      </c>
      <c r="P165" s="6">
        <f t="shared" si="188"/>
        <v>0</v>
      </c>
      <c r="Q165" s="6">
        <f t="shared" si="188"/>
        <v>0</v>
      </c>
    </row>
    <row r="166" spans="2:17" s="3" customFormat="1" x14ac:dyDescent="0.25">
      <c r="B166" s="3" t="s">
        <v>143</v>
      </c>
      <c r="C166" s="7">
        <f t="shared" ref="C166:L166" si="189">SUM(C161:C165)</f>
        <v>0</v>
      </c>
      <c r="D166" s="7">
        <f t="shared" si="189"/>
        <v>0</v>
      </c>
      <c r="E166" s="7">
        <f t="shared" si="189"/>
        <v>0</v>
      </c>
      <c r="F166" s="7">
        <f t="shared" si="189"/>
        <v>183.56999999999982</v>
      </c>
      <c r="G166" s="7">
        <f t="shared" si="189"/>
        <v>207.74</v>
      </c>
      <c r="H166" s="7">
        <f t="shared" si="189"/>
        <v>139.35000000000002</v>
      </c>
      <c r="I166" s="7">
        <f t="shared" si="189"/>
        <v>201.75899999999996</v>
      </c>
      <c r="J166" s="7">
        <f t="shared" si="189"/>
        <v>191.87699999999995</v>
      </c>
      <c r="K166" s="7">
        <f t="shared" si="189"/>
        <v>221.43800000000013</v>
      </c>
      <c r="L166" s="7">
        <f t="shared" si="189"/>
        <v>244.45999999999989</v>
      </c>
      <c r="M166" s="7">
        <f>SUM(M161:M165)</f>
        <v>291.80699999999996</v>
      </c>
      <c r="N166" s="7">
        <f t="shared" ref="N166:Q166" si="190">SUM(N161:N165)</f>
        <v>0</v>
      </c>
      <c r="O166" s="7">
        <f t="shared" si="190"/>
        <v>0</v>
      </c>
      <c r="P166" s="7">
        <f t="shared" si="190"/>
        <v>0</v>
      </c>
      <c r="Q166" s="7">
        <f t="shared" si="190"/>
        <v>0</v>
      </c>
    </row>
    <row r="168" spans="2:17" s="8" customFormat="1" x14ac:dyDescent="0.25">
      <c r="B168" s="8" t="s">
        <v>144</v>
      </c>
      <c r="C168" s="8" t="e">
        <f t="shared" ref="C168:M168" si="191">C166/C17</f>
        <v>#DIV/0!</v>
      </c>
      <c r="D168" s="8" t="e">
        <f t="shared" si="191"/>
        <v>#DIV/0!</v>
      </c>
      <c r="E168" s="8" t="e">
        <f t="shared" si="191"/>
        <v>#DIV/0!</v>
      </c>
      <c r="F168" s="8">
        <f t="shared" si="191"/>
        <v>0.29830445677291006</v>
      </c>
      <c r="G168" s="8">
        <f t="shared" si="191"/>
        <v>0.32208001612415599</v>
      </c>
      <c r="H168" s="8">
        <f t="shared" si="191"/>
        <v>0.23278618417755564</v>
      </c>
      <c r="I168" s="8">
        <f t="shared" si="191"/>
        <v>0.28942162725878656</v>
      </c>
      <c r="J168" s="8">
        <f t="shared" si="191"/>
        <v>0.26136829558998803</v>
      </c>
      <c r="K168" s="8">
        <f t="shared" si="191"/>
        <v>0.28692673091824139</v>
      </c>
      <c r="L168" s="8">
        <f t="shared" si="191"/>
        <v>0.28593685668301072</v>
      </c>
      <c r="M168" s="8">
        <f>M166/M17</f>
        <v>0.30346206763152389</v>
      </c>
      <c r="N168" s="8" t="e">
        <f t="shared" ref="N168:Q168" si="192">N166/N17</f>
        <v>#DIV/0!</v>
      </c>
      <c r="O168" s="8" t="e">
        <f t="shared" si="192"/>
        <v>#DIV/0!</v>
      </c>
      <c r="P168" s="8" t="e">
        <f t="shared" si="192"/>
        <v>#DIV/0!</v>
      </c>
      <c r="Q168" s="8" t="e">
        <f t="shared" si="192"/>
        <v>#DIV/0!</v>
      </c>
    </row>
    <row r="169" spans="2:17" s="8" customFormat="1" x14ac:dyDescent="0.25">
      <c r="B169" s="8" t="s">
        <v>147</v>
      </c>
      <c r="G169" s="8" t="e">
        <f t="shared" ref="G169:L169" si="193">G166/C166-1</f>
        <v>#DIV/0!</v>
      </c>
      <c r="H169" s="8" t="e">
        <f t="shared" si="193"/>
        <v>#DIV/0!</v>
      </c>
      <c r="I169" s="8" t="e">
        <f t="shared" si="193"/>
        <v>#DIV/0!</v>
      </c>
      <c r="J169" s="8">
        <f t="shared" si="193"/>
        <v>4.5252492237294328E-2</v>
      </c>
      <c r="K169" s="8">
        <f t="shared" si="193"/>
        <v>6.593819197073314E-2</v>
      </c>
      <c r="L169" s="8">
        <f t="shared" si="193"/>
        <v>0.75428776462145564</v>
      </c>
      <c r="M169" s="8">
        <f>M166/I166-1</f>
        <v>0.44631466254293506</v>
      </c>
      <c r="N169" s="8">
        <f t="shared" ref="N169:Q169" si="194">N166/J166-1</f>
        <v>-1</v>
      </c>
      <c r="O169" s="8">
        <f t="shared" si="194"/>
        <v>-1</v>
      </c>
      <c r="P169" s="8">
        <f t="shared" si="194"/>
        <v>-1</v>
      </c>
      <c r="Q169" s="8">
        <f t="shared" si="194"/>
        <v>-1</v>
      </c>
    </row>
    <row r="171" spans="2:17" s="9" customFormat="1" x14ac:dyDescent="0.25">
      <c r="B171" s="9" t="s">
        <v>150</v>
      </c>
      <c r="F171" s="9">
        <v>9.16</v>
      </c>
      <c r="G171" s="9">
        <v>7.05</v>
      </c>
      <c r="H171" s="9">
        <v>7.33</v>
      </c>
      <c r="I171" s="9">
        <v>10.47</v>
      </c>
      <c r="J171" s="9">
        <v>16.079999999999998</v>
      </c>
      <c r="K171" s="9">
        <v>13.27</v>
      </c>
      <c r="L171" s="9">
        <v>22.4</v>
      </c>
      <c r="M171" s="9">
        <v>31.66</v>
      </c>
    </row>
    <row r="172" spans="2:17" s="4" customFormat="1" x14ac:dyDescent="0.25">
      <c r="B172" s="4" t="s">
        <v>1</v>
      </c>
      <c r="F172" s="4">
        <f t="shared" ref="F172:L172" si="195">F171*F30</f>
        <v>8818.2587199999998</v>
      </c>
      <c r="G172" s="4">
        <f t="shared" si="195"/>
        <v>6927.44985</v>
      </c>
      <c r="H172" s="4">
        <f t="shared" si="195"/>
        <v>7759.4793600000012</v>
      </c>
      <c r="I172" s="4">
        <f t="shared" si="195"/>
        <v>11215.045200000002</v>
      </c>
      <c r="J172" s="4">
        <f t="shared" si="195"/>
        <v>17492.837039999999</v>
      </c>
      <c r="K172" s="4">
        <f t="shared" si="195"/>
        <v>14570.380379999999</v>
      </c>
      <c r="L172" s="4">
        <f t="shared" si="195"/>
        <v>24796.934400000002</v>
      </c>
      <c r="M172" s="4">
        <f>M171*M30</f>
        <v>37080.350299999998</v>
      </c>
    </row>
    <row r="173" spans="2:17" s="4" customFormat="1" x14ac:dyDescent="0.25">
      <c r="B173" s="4" t="s">
        <v>4</v>
      </c>
      <c r="I173" s="4">
        <f t="shared" ref="F173:L173" si="196">I172-I41</f>
        <v>11215.045200000002</v>
      </c>
      <c r="J173" s="4">
        <f t="shared" si="196"/>
        <v>16151.547039999998</v>
      </c>
      <c r="K173" s="4">
        <f t="shared" si="196"/>
        <v>13377.372379999999</v>
      </c>
      <c r="L173" s="4">
        <f t="shared" si="196"/>
        <v>24242.260400000003</v>
      </c>
      <c r="M173" s="4">
        <f>M172-M41</f>
        <v>34035.504300000001</v>
      </c>
    </row>
    <row r="175" spans="2:17" s="9" customFormat="1" x14ac:dyDescent="0.25">
      <c r="B175" s="9" t="s">
        <v>151</v>
      </c>
      <c r="I175" s="9">
        <f>I173/(I166+H166+G166+F166)</f>
        <v>15.312335152419593</v>
      </c>
      <c r="J175" s="9">
        <f t="shared" ref="I175:L175" si="197">J173/(J166+I166+H166+G166)</f>
        <v>21.805022423946237</v>
      </c>
      <c r="K175" s="9">
        <f t="shared" si="197"/>
        <v>17.731901927828378</v>
      </c>
      <c r="L175" s="9">
        <f t="shared" si="197"/>
        <v>28.203957493246349</v>
      </c>
      <c r="M175" s="9">
        <f>M173/(M166+L166+K166+J166)</f>
        <v>35.842617383227569</v>
      </c>
      <c r="N175" s="9">
        <f t="shared" ref="N175:Q175" si="198">N173/(N166+M166+L166+K166)</f>
        <v>0</v>
      </c>
      <c r="O175" s="9">
        <f t="shared" si="198"/>
        <v>0</v>
      </c>
      <c r="P175" s="9">
        <f t="shared" si="198"/>
        <v>0</v>
      </c>
      <c r="Q175" s="9" t="e">
        <f t="shared" si="198"/>
        <v>#DIV/0!</v>
      </c>
    </row>
    <row r="176" spans="2:17" s="9" customFormat="1" x14ac:dyDescent="0.25">
      <c r="B176" s="9" t="s">
        <v>152</v>
      </c>
      <c r="I176" s="9">
        <f t="shared" ref="I176:L176" si="199">I173/(I17+H17+G17+F17)</f>
        <v>4.3875577735160816</v>
      </c>
      <c r="J176" s="9">
        <f t="shared" si="199"/>
        <v>6.0383023639839104</v>
      </c>
      <c r="K176" s="9">
        <f t="shared" si="199"/>
        <v>4.7748840239119472</v>
      </c>
      <c r="L176" s="9">
        <f t="shared" si="199"/>
        <v>7.9276494160444066</v>
      </c>
      <c r="M176" s="9">
        <f>M173/(M17+L17+K17+J17)</f>
        <v>10.244190770582888</v>
      </c>
      <c r="N176" s="9">
        <f t="shared" ref="N176:Q176" si="200">N173/(N17+M17+L17+K17)</f>
        <v>0</v>
      </c>
      <c r="O176" s="9">
        <f t="shared" si="200"/>
        <v>0</v>
      </c>
      <c r="P176" s="9">
        <f t="shared" si="200"/>
        <v>0</v>
      </c>
      <c r="Q176" s="9" t="e">
        <f t="shared" si="200"/>
        <v>#DIV/0!</v>
      </c>
    </row>
  </sheetData>
  <phoneticPr fontId="4" type="noConversion"/>
  <hyperlinks>
    <hyperlink ref="A1" location="Main!A1" display="Main" xr:uid="{8D3BE388-BB9D-4AFE-8667-211B18A9C2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Gega Mukhigulashvili</dc:creator>
  <cp:lastModifiedBy>Gega Mukhigulashvili</cp:lastModifiedBy>
  <dcterms:created xsi:type="dcterms:W3CDTF">2015-06-05T18:17:20Z</dcterms:created>
  <dcterms:modified xsi:type="dcterms:W3CDTF">2025-12-04T19:38:11Z</dcterms:modified>
</cp:coreProperties>
</file>