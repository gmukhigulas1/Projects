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B32A6E0B-CE6F-457B-A521-36A4EE1BB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Model" sheetId="2" r:id="rId2"/>
    <sheet name="Teads Acq.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 s="1"/>
  <c r="R127" i="2"/>
  <c r="R128" i="2" s="1"/>
  <c r="R138" i="2"/>
  <c r="Q138" i="2"/>
  <c r="P138" i="2"/>
  <c r="O138" i="2"/>
  <c r="N138" i="2"/>
  <c r="M138" i="2"/>
  <c r="L138" i="2"/>
  <c r="R137" i="2"/>
  <c r="Q137" i="2"/>
  <c r="P137" i="2"/>
  <c r="O137" i="2"/>
  <c r="N137" i="2"/>
  <c r="M137" i="2"/>
  <c r="L137" i="2"/>
  <c r="R136" i="2"/>
  <c r="Q136" i="2"/>
  <c r="P136" i="2"/>
  <c r="O136" i="2"/>
  <c r="N136" i="2"/>
  <c r="M136" i="2"/>
  <c r="K138" i="2"/>
  <c r="J138" i="2"/>
  <c r="I138" i="2"/>
  <c r="H138" i="2"/>
  <c r="G138" i="2"/>
  <c r="K137" i="2"/>
  <c r="J137" i="2"/>
  <c r="I137" i="2"/>
  <c r="H137" i="2"/>
  <c r="G137" i="2"/>
  <c r="K136" i="2"/>
  <c r="J136" i="2"/>
  <c r="I136" i="2"/>
  <c r="H136" i="2"/>
  <c r="G136" i="2"/>
  <c r="L136" i="2"/>
  <c r="R142" i="2"/>
  <c r="Q142" i="2"/>
  <c r="P142" i="2"/>
  <c r="O142" i="2"/>
  <c r="N142" i="2"/>
  <c r="M142" i="2"/>
  <c r="R141" i="2"/>
  <c r="Q141" i="2"/>
  <c r="P141" i="2"/>
  <c r="O141" i="2"/>
  <c r="N141" i="2"/>
  <c r="M141" i="2"/>
  <c r="R140" i="2"/>
  <c r="Q140" i="2"/>
  <c r="P140" i="2"/>
  <c r="O140" i="2"/>
  <c r="N140" i="2"/>
  <c r="M140" i="2"/>
  <c r="K142" i="2"/>
  <c r="J142" i="2"/>
  <c r="I142" i="2"/>
  <c r="H142" i="2"/>
  <c r="G142" i="2"/>
  <c r="F142" i="2"/>
  <c r="E142" i="2"/>
  <c r="D142" i="2"/>
  <c r="C142" i="2"/>
  <c r="K141" i="2"/>
  <c r="J141" i="2"/>
  <c r="I141" i="2"/>
  <c r="H141" i="2"/>
  <c r="G141" i="2"/>
  <c r="F141" i="2"/>
  <c r="E141" i="2"/>
  <c r="D141" i="2"/>
  <c r="C141" i="2"/>
  <c r="K140" i="2"/>
  <c r="J140" i="2"/>
  <c r="I140" i="2"/>
  <c r="H140" i="2"/>
  <c r="G140" i="2"/>
  <c r="F140" i="2"/>
  <c r="E140" i="2"/>
  <c r="D140" i="2"/>
  <c r="C140" i="2"/>
  <c r="L142" i="2"/>
  <c r="L141" i="2"/>
  <c r="L140" i="2"/>
  <c r="R134" i="2"/>
  <c r="Q134" i="2"/>
  <c r="P134" i="2"/>
  <c r="O134" i="2"/>
  <c r="N134" i="2"/>
  <c r="M134" i="2"/>
  <c r="K134" i="2"/>
  <c r="J134" i="2"/>
  <c r="I134" i="2"/>
  <c r="H134" i="2"/>
  <c r="G134" i="2"/>
  <c r="F134" i="2"/>
  <c r="E134" i="2"/>
  <c r="D134" i="2"/>
  <c r="C134" i="2"/>
  <c r="L134" i="2"/>
  <c r="P29" i="3"/>
  <c r="P19" i="3"/>
  <c r="P9" i="3"/>
  <c r="P10" i="3" s="1"/>
  <c r="P20" i="3" s="1"/>
  <c r="P22" i="3" s="1"/>
  <c r="K149" i="2"/>
  <c r="O89" i="2"/>
  <c r="O110" i="2" s="1"/>
  <c r="N89" i="2"/>
  <c r="N94" i="2" s="1"/>
  <c r="K120" i="2"/>
  <c r="J120" i="2"/>
  <c r="I120" i="2"/>
  <c r="H120" i="2"/>
  <c r="G120" i="2"/>
  <c r="F120" i="2"/>
  <c r="E120" i="2"/>
  <c r="D120" i="2"/>
  <c r="C120" i="2"/>
  <c r="R120" i="2"/>
  <c r="Q120" i="2"/>
  <c r="P120" i="2"/>
  <c r="O120" i="2"/>
  <c r="N120" i="2"/>
  <c r="M120" i="2"/>
  <c r="L120" i="2"/>
  <c r="Q118" i="2"/>
  <c r="P118" i="2"/>
  <c r="O118" i="2"/>
  <c r="N118" i="2"/>
  <c r="M118" i="2"/>
  <c r="K118" i="2"/>
  <c r="J118" i="2"/>
  <c r="I118" i="2"/>
  <c r="H118" i="2"/>
  <c r="G118" i="2"/>
  <c r="F118" i="2"/>
  <c r="E118" i="2"/>
  <c r="D118" i="2"/>
  <c r="C118" i="2"/>
  <c r="R118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R117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R124" i="2"/>
  <c r="R123" i="2"/>
  <c r="R121" i="2"/>
  <c r="R119" i="2"/>
  <c r="R110" i="2"/>
  <c r="Q110" i="2"/>
  <c r="P110" i="2"/>
  <c r="M110" i="2"/>
  <c r="K110" i="2"/>
  <c r="J110" i="2"/>
  <c r="I110" i="2"/>
  <c r="H110" i="2"/>
  <c r="G110" i="2"/>
  <c r="F110" i="2"/>
  <c r="E110" i="2"/>
  <c r="D110" i="2"/>
  <c r="C110" i="2"/>
  <c r="L110" i="2"/>
  <c r="R102" i="2"/>
  <c r="Q102" i="2"/>
  <c r="P102" i="2"/>
  <c r="O102" i="2"/>
  <c r="N102" i="2"/>
  <c r="M102" i="2"/>
  <c r="K102" i="2"/>
  <c r="J102" i="2"/>
  <c r="I102" i="2"/>
  <c r="H102" i="2"/>
  <c r="G102" i="2"/>
  <c r="F102" i="2"/>
  <c r="E102" i="2"/>
  <c r="D102" i="2"/>
  <c r="C102" i="2"/>
  <c r="L102" i="2"/>
  <c r="R94" i="2"/>
  <c r="Q94" i="2"/>
  <c r="P94" i="2"/>
  <c r="M94" i="2"/>
  <c r="K94" i="2"/>
  <c r="J94" i="2"/>
  <c r="I94" i="2"/>
  <c r="H94" i="2"/>
  <c r="G94" i="2"/>
  <c r="F94" i="2"/>
  <c r="E94" i="2"/>
  <c r="D94" i="2"/>
  <c r="C94" i="2"/>
  <c r="L94" i="2"/>
  <c r="R87" i="2"/>
  <c r="R109" i="2" s="1"/>
  <c r="R111" i="2" s="1"/>
  <c r="Q87" i="2"/>
  <c r="P87" i="2"/>
  <c r="O87" i="2"/>
  <c r="N87" i="2"/>
  <c r="M87" i="2"/>
  <c r="M109" i="2" s="1"/>
  <c r="K87" i="2"/>
  <c r="K109" i="2" s="1"/>
  <c r="J87" i="2"/>
  <c r="J109" i="2" s="1"/>
  <c r="I87" i="2"/>
  <c r="I109" i="2" s="1"/>
  <c r="H87" i="2"/>
  <c r="H109" i="2" s="1"/>
  <c r="H111" i="2" s="1"/>
  <c r="G87" i="2"/>
  <c r="G109" i="2" s="1"/>
  <c r="G111" i="2" s="1"/>
  <c r="F87" i="2"/>
  <c r="F109" i="2" s="1"/>
  <c r="F111" i="2" s="1"/>
  <c r="E87" i="2"/>
  <c r="D87" i="2"/>
  <c r="D109" i="2" s="1"/>
  <c r="D111" i="2" s="1"/>
  <c r="C87" i="2"/>
  <c r="L87" i="2"/>
  <c r="L109" i="2" s="1"/>
  <c r="R49" i="2"/>
  <c r="Q49" i="2"/>
  <c r="P49" i="2"/>
  <c r="O49" i="2"/>
  <c r="N49" i="2"/>
  <c r="M49" i="2"/>
  <c r="K49" i="2"/>
  <c r="J49" i="2"/>
  <c r="I49" i="2"/>
  <c r="H49" i="2"/>
  <c r="G49" i="2"/>
  <c r="F49" i="2"/>
  <c r="E49" i="2"/>
  <c r="D49" i="2"/>
  <c r="C49" i="2"/>
  <c r="I9" i="1"/>
  <c r="I8" i="1"/>
  <c r="R38" i="2"/>
  <c r="Q38" i="2"/>
  <c r="P38" i="2"/>
  <c r="O38" i="2"/>
  <c r="N38" i="2"/>
  <c r="M38" i="2"/>
  <c r="K38" i="2"/>
  <c r="J38" i="2"/>
  <c r="I38" i="2"/>
  <c r="H38" i="2"/>
  <c r="G38" i="2"/>
  <c r="F38" i="2"/>
  <c r="E38" i="2"/>
  <c r="D38" i="2"/>
  <c r="C38" i="2"/>
  <c r="L38" i="2"/>
  <c r="R60" i="2"/>
  <c r="R62" i="2" s="1"/>
  <c r="Q60" i="2"/>
  <c r="Q62" i="2" s="1"/>
  <c r="P60" i="2"/>
  <c r="P62" i="2" s="1"/>
  <c r="O60" i="2"/>
  <c r="O62" i="2" s="1"/>
  <c r="N60" i="2"/>
  <c r="N62" i="2" s="1"/>
  <c r="M60" i="2"/>
  <c r="M62" i="2" s="1"/>
  <c r="K60" i="2"/>
  <c r="K62" i="2" s="1"/>
  <c r="J60" i="2"/>
  <c r="J62" i="2" s="1"/>
  <c r="I60" i="2"/>
  <c r="I62" i="2" s="1"/>
  <c r="H60" i="2"/>
  <c r="H62" i="2" s="1"/>
  <c r="G60" i="2"/>
  <c r="G62" i="2" s="1"/>
  <c r="F60" i="2"/>
  <c r="F62" i="2" s="1"/>
  <c r="E60" i="2"/>
  <c r="E62" i="2" s="1"/>
  <c r="D60" i="2"/>
  <c r="D62" i="2" s="1"/>
  <c r="C60" i="2"/>
  <c r="C62" i="2" s="1"/>
  <c r="L60" i="2"/>
  <c r="L62" i="2" s="1"/>
  <c r="L48" i="2"/>
  <c r="L49" i="2" s="1"/>
  <c r="T31" i="2"/>
  <c r="S31" i="2"/>
  <c r="R31" i="2"/>
  <c r="Q31" i="2"/>
  <c r="P31" i="2"/>
  <c r="O31" i="2"/>
  <c r="N31" i="2"/>
  <c r="M31" i="2"/>
  <c r="K31" i="2"/>
  <c r="J31" i="2"/>
  <c r="I31" i="2"/>
  <c r="H31" i="2"/>
  <c r="G31" i="2"/>
  <c r="F31" i="2"/>
  <c r="E31" i="2"/>
  <c r="D31" i="2"/>
  <c r="C31" i="2"/>
  <c r="T34" i="2"/>
  <c r="S34" i="2"/>
  <c r="R34" i="2"/>
  <c r="Q34" i="2"/>
  <c r="P34" i="2"/>
  <c r="O34" i="2"/>
  <c r="N34" i="2"/>
  <c r="M34" i="2"/>
  <c r="K34" i="2"/>
  <c r="J34" i="2"/>
  <c r="I34" i="2"/>
  <c r="H34" i="2"/>
  <c r="G34" i="2"/>
  <c r="L34" i="2"/>
  <c r="L31" i="2"/>
  <c r="L16" i="2"/>
  <c r="L118" i="2" s="1"/>
  <c r="T13" i="2"/>
  <c r="S13" i="2"/>
  <c r="R13" i="2"/>
  <c r="Q13" i="2"/>
  <c r="P13" i="2"/>
  <c r="O13" i="2"/>
  <c r="N13" i="2"/>
  <c r="M13" i="2"/>
  <c r="K13" i="2"/>
  <c r="J13" i="2"/>
  <c r="I13" i="2"/>
  <c r="H13" i="2"/>
  <c r="G13" i="2"/>
  <c r="F13" i="2"/>
  <c r="E13" i="2"/>
  <c r="D13" i="2"/>
  <c r="C13" i="2"/>
  <c r="L13" i="2"/>
  <c r="T6" i="2"/>
  <c r="T7" i="2" s="1"/>
  <c r="T28" i="2" s="1"/>
  <c r="S6" i="2"/>
  <c r="S7" i="2" s="1"/>
  <c r="R6" i="2"/>
  <c r="R7" i="2" s="1"/>
  <c r="R27" i="2" s="1"/>
  <c r="Q6" i="2"/>
  <c r="Q7" i="2" s="1"/>
  <c r="P6" i="2"/>
  <c r="P7" i="2" s="1"/>
  <c r="O6" i="2"/>
  <c r="O7" i="2" s="1"/>
  <c r="N6" i="2"/>
  <c r="N7" i="2" s="1"/>
  <c r="M6" i="2"/>
  <c r="M7" i="2" s="1"/>
  <c r="K6" i="2"/>
  <c r="K7" i="2" s="1"/>
  <c r="K24" i="2" s="1"/>
  <c r="J6" i="2"/>
  <c r="J7" i="2" s="1"/>
  <c r="J28" i="2" s="1"/>
  <c r="I6" i="2"/>
  <c r="I7" i="2" s="1"/>
  <c r="I27" i="2" s="1"/>
  <c r="H6" i="2"/>
  <c r="H7" i="2" s="1"/>
  <c r="H27" i="2" s="1"/>
  <c r="G6" i="2"/>
  <c r="G7" i="2" s="1"/>
  <c r="G27" i="2" s="1"/>
  <c r="F6" i="2"/>
  <c r="F7" i="2" s="1"/>
  <c r="E6" i="2"/>
  <c r="E7" i="2" s="1"/>
  <c r="E26" i="2" s="1"/>
  <c r="D6" i="2"/>
  <c r="D7" i="2" s="1"/>
  <c r="D28" i="2" s="1"/>
  <c r="C6" i="2"/>
  <c r="C7" i="2" s="1"/>
  <c r="C24" i="2" s="1"/>
  <c r="L6" i="2"/>
  <c r="L7" i="2" s="1"/>
  <c r="L27" i="2" s="1"/>
  <c r="Q104" i="2" l="1"/>
  <c r="E104" i="2"/>
  <c r="E109" i="2"/>
  <c r="E111" i="2" s="1"/>
  <c r="P14" i="2"/>
  <c r="P17" i="2" s="1"/>
  <c r="P19" i="2" s="1"/>
  <c r="P21" i="2" s="1"/>
  <c r="L112" i="2"/>
  <c r="Q14" i="2"/>
  <c r="Q17" i="2" s="1"/>
  <c r="Q19" i="2" s="1"/>
  <c r="Q21" i="2" s="1"/>
  <c r="C104" i="2"/>
  <c r="C106" i="2" s="1"/>
  <c r="D105" i="2" s="1"/>
  <c r="P104" i="2"/>
  <c r="F104" i="2"/>
  <c r="M14" i="2"/>
  <c r="M17" i="2" s="1"/>
  <c r="M19" i="2" s="1"/>
  <c r="M21" i="2" s="1"/>
  <c r="N14" i="2"/>
  <c r="N17" i="2" s="1"/>
  <c r="N19" i="2" s="1"/>
  <c r="N21" i="2" s="1"/>
  <c r="H104" i="2"/>
  <c r="K104" i="2"/>
  <c r="P109" i="2"/>
  <c r="L104" i="2"/>
  <c r="Q109" i="2"/>
  <c r="Q111" i="2" s="1"/>
  <c r="D104" i="2"/>
  <c r="G104" i="2"/>
  <c r="M104" i="2"/>
  <c r="H112" i="2"/>
  <c r="I111" i="2"/>
  <c r="I112" i="2"/>
  <c r="J111" i="2"/>
  <c r="J112" i="2"/>
  <c r="K112" i="2"/>
  <c r="K111" i="2"/>
  <c r="M112" i="2"/>
  <c r="M111" i="2"/>
  <c r="R104" i="2"/>
  <c r="O94" i="2"/>
  <c r="O104" i="2" s="1"/>
  <c r="O109" i="2"/>
  <c r="O111" i="2" s="1"/>
  <c r="P116" i="2"/>
  <c r="P125" i="2" s="1"/>
  <c r="P127" i="2" s="1"/>
  <c r="I104" i="2"/>
  <c r="C109" i="2"/>
  <c r="C111" i="2" s="1"/>
  <c r="Q116" i="2"/>
  <c r="Q125" i="2" s="1"/>
  <c r="Q127" i="2" s="1"/>
  <c r="J104" i="2"/>
  <c r="N104" i="2"/>
  <c r="L111" i="2"/>
  <c r="N110" i="2"/>
  <c r="N109" i="2"/>
  <c r="C27" i="2"/>
  <c r="E24" i="2"/>
  <c r="D27" i="2"/>
  <c r="E27" i="2"/>
  <c r="P66" i="2"/>
  <c r="I11" i="1"/>
  <c r="J27" i="2"/>
  <c r="L28" i="2"/>
  <c r="D24" i="2"/>
  <c r="O14" i="2"/>
  <c r="O26" i="2"/>
  <c r="K26" i="2"/>
  <c r="P29" i="2"/>
  <c r="K27" i="2"/>
  <c r="C26" i="2"/>
  <c r="C28" i="2"/>
  <c r="S14" i="2"/>
  <c r="S17" i="2" s="1"/>
  <c r="S19" i="2" s="1"/>
  <c r="S21" i="2" s="1"/>
  <c r="D26" i="2"/>
  <c r="G26" i="2"/>
  <c r="R24" i="2"/>
  <c r="F14" i="2"/>
  <c r="F17" i="2" s="1"/>
  <c r="F19" i="2" s="1"/>
  <c r="F116" i="2" s="1"/>
  <c r="F125" i="2" s="1"/>
  <c r="F127" i="2" s="1"/>
  <c r="E28" i="2"/>
  <c r="P26" i="2"/>
  <c r="L24" i="2"/>
  <c r="H26" i="2"/>
  <c r="Q26" i="2"/>
  <c r="L26" i="2"/>
  <c r="I26" i="2"/>
  <c r="R26" i="2"/>
  <c r="J26" i="2"/>
  <c r="R28" i="2"/>
  <c r="T27" i="2"/>
  <c r="F24" i="2"/>
  <c r="N28" i="2"/>
  <c r="H24" i="2"/>
  <c r="S28" i="2"/>
  <c r="N24" i="2"/>
  <c r="O24" i="2"/>
  <c r="S26" i="2"/>
  <c r="O28" i="2"/>
  <c r="I24" i="2"/>
  <c r="J24" i="2"/>
  <c r="G28" i="2"/>
  <c r="Q24" i="2"/>
  <c r="Q28" i="2"/>
  <c r="H28" i="2"/>
  <c r="N27" i="2"/>
  <c r="I28" i="2"/>
  <c r="S24" i="2"/>
  <c r="P27" i="2"/>
  <c r="K28" i="2"/>
  <c r="M26" i="2"/>
  <c r="Q27" i="2"/>
  <c r="S27" i="2"/>
  <c r="M24" i="2"/>
  <c r="M28" i="2"/>
  <c r="G24" i="2"/>
  <c r="F28" i="2"/>
  <c r="P24" i="2"/>
  <c r="T26" i="2"/>
  <c r="P28" i="2"/>
  <c r="P32" i="2"/>
  <c r="M27" i="2"/>
  <c r="F27" i="2"/>
  <c r="O27" i="2"/>
  <c r="T24" i="2"/>
  <c r="F26" i="2"/>
  <c r="N26" i="2"/>
  <c r="C14" i="2"/>
  <c r="L14" i="2"/>
  <c r="D14" i="2"/>
  <c r="K14" i="2"/>
  <c r="G14" i="2"/>
  <c r="I14" i="2"/>
  <c r="J14" i="2"/>
  <c r="T14" i="2"/>
  <c r="E14" i="2"/>
  <c r="R14" i="2"/>
  <c r="H14" i="2"/>
  <c r="Q66" i="2" l="1"/>
  <c r="N32" i="2"/>
  <c r="N29" i="2"/>
  <c r="Q32" i="2"/>
  <c r="M32" i="2"/>
  <c r="M29" i="2"/>
  <c r="D106" i="2"/>
  <c r="E105" i="2" s="1"/>
  <c r="E106" i="2" s="1"/>
  <c r="F105" i="2" s="1"/>
  <c r="F106" i="2" s="1"/>
  <c r="G105" i="2" s="1"/>
  <c r="G106" i="2" s="1"/>
  <c r="H105" i="2" s="1"/>
  <c r="H106" i="2" s="1"/>
  <c r="I105" i="2" s="1"/>
  <c r="I106" i="2" s="1"/>
  <c r="J105" i="2" s="1"/>
  <c r="J106" i="2" s="1"/>
  <c r="K105" i="2" s="1"/>
  <c r="K106" i="2" s="1"/>
  <c r="L105" i="2" s="1"/>
  <c r="L106" i="2" s="1"/>
  <c r="M105" i="2" s="1"/>
  <c r="M106" i="2" s="1"/>
  <c r="N105" i="2" s="1"/>
  <c r="N106" i="2" s="1"/>
  <c r="O105" i="2" s="1"/>
  <c r="O106" i="2" s="1"/>
  <c r="P105" i="2" s="1"/>
  <c r="P106" i="2" s="1"/>
  <c r="Q105" i="2" s="1"/>
  <c r="Q106" i="2" s="1"/>
  <c r="R105" i="2" s="1"/>
  <c r="R106" i="2" s="1"/>
  <c r="N66" i="2"/>
  <c r="M66" i="2"/>
  <c r="M116" i="2"/>
  <c r="M125" i="2" s="1"/>
  <c r="M127" i="2" s="1"/>
  <c r="Q128" i="2" s="1"/>
  <c r="Q29" i="2"/>
  <c r="Q112" i="2"/>
  <c r="P111" i="2"/>
  <c r="P112" i="2"/>
  <c r="N116" i="2"/>
  <c r="N125" i="2" s="1"/>
  <c r="N127" i="2" s="1"/>
  <c r="O112" i="2"/>
  <c r="G112" i="2"/>
  <c r="N112" i="2"/>
  <c r="N111" i="2"/>
  <c r="R112" i="2"/>
  <c r="F21" i="2"/>
  <c r="F66" i="2"/>
  <c r="O17" i="2"/>
  <c r="O19" i="2" s="1"/>
  <c r="O29" i="2"/>
  <c r="S32" i="2"/>
  <c r="S29" i="2"/>
  <c r="F32" i="2"/>
  <c r="F29" i="2"/>
  <c r="C17" i="2"/>
  <c r="C19" i="2" s="1"/>
  <c r="C29" i="2"/>
  <c r="H17" i="2"/>
  <c r="H19" i="2" s="1"/>
  <c r="H29" i="2"/>
  <c r="R17" i="2"/>
  <c r="R19" i="2" s="1"/>
  <c r="R29" i="2"/>
  <c r="E17" i="2"/>
  <c r="E19" i="2" s="1"/>
  <c r="E29" i="2"/>
  <c r="T17" i="2"/>
  <c r="T19" i="2" s="1"/>
  <c r="T29" i="2"/>
  <c r="J17" i="2"/>
  <c r="J19" i="2" s="1"/>
  <c r="J29" i="2"/>
  <c r="I17" i="2"/>
  <c r="I19" i="2" s="1"/>
  <c r="I29" i="2"/>
  <c r="G17" i="2"/>
  <c r="G19" i="2" s="1"/>
  <c r="G29" i="2"/>
  <c r="K17" i="2"/>
  <c r="K19" i="2" s="1"/>
  <c r="K29" i="2"/>
  <c r="D17" i="2"/>
  <c r="D19" i="2" s="1"/>
  <c r="D29" i="2"/>
  <c r="L17" i="2"/>
  <c r="L19" i="2" s="1"/>
  <c r="L29" i="2"/>
  <c r="R66" i="2" l="1"/>
  <c r="R116" i="2"/>
  <c r="R125" i="2" s="1"/>
  <c r="G66" i="2"/>
  <c r="G116" i="2"/>
  <c r="G125" i="2" s="1"/>
  <c r="G127" i="2" s="1"/>
  <c r="H66" i="2"/>
  <c r="H116" i="2"/>
  <c r="H125" i="2" s="1"/>
  <c r="H127" i="2" s="1"/>
  <c r="H128" i="2" s="1"/>
  <c r="I66" i="2"/>
  <c r="I116" i="2"/>
  <c r="I125" i="2" s="1"/>
  <c r="I127" i="2" s="1"/>
  <c r="C66" i="2"/>
  <c r="C116" i="2"/>
  <c r="C125" i="2" s="1"/>
  <c r="C127" i="2" s="1"/>
  <c r="J66" i="2"/>
  <c r="J116" i="2"/>
  <c r="J125" i="2" s="1"/>
  <c r="J127" i="2" s="1"/>
  <c r="L66" i="2"/>
  <c r="L116" i="2"/>
  <c r="L125" i="2" s="1"/>
  <c r="L127" i="2" s="1"/>
  <c r="D66" i="2"/>
  <c r="D116" i="2"/>
  <c r="D125" i="2" s="1"/>
  <c r="D127" i="2" s="1"/>
  <c r="E66" i="2"/>
  <c r="E116" i="2"/>
  <c r="E125" i="2" s="1"/>
  <c r="E127" i="2" s="1"/>
  <c r="O66" i="2"/>
  <c r="O116" i="2"/>
  <c r="O125" i="2" s="1"/>
  <c r="O127" i="2" s="1"/>
  <c r="K66" i="2"/>
  <c r="K116" i="2"/>
  <c r="K125" i="2" s="1"/>
  <c r="K127" i="2" s="1"/>
  <c r="K128" i="2" s="1"/>
  <c r="O21" i="2"/>
  <c r="O32" i="2"/>
  <c r="I21" i="2"/>
  <c r="I32" i="2"/>
  <c r="C21" i="2"/>
  <c r="C32" i="2"/>
  <c r="J21" i="2"/>
  <c r="J32" i="2"/>
  <c r="L21" i="2"/>
  <c r="L32" i="2"/>
  <c r="T21" i="2"/>
  <c r="T32" i="2"/>
  <c r="D21" i="2"/>
  <c r="D32" i="2"/>
  <c r="E21" i="2"/>
  <c r="E32" i="2"/>
  <c r="K21" i="2"/>
  <c r="K32" i="2"/>
  <c r="R21" i="2"/>
  <c r="R32" i="2"/>
  <c r="G21" i="2"/>
  <c r="G32" i="2"/>
  <c r="H21" i="2"/>
  <c r="H32" i="2"/>
  <c r="I128" i="2" l="1"/>
  <c r="M128" i="2"/>
  <c r="J128" i="2"/>
  <c r="N128" i="2"/>
  <c r="O128" i="2"/>
  <c r="G128" i="2"/>
  <c r="L128" i="2"/>
  <c r="P128" i="2"/>
</calcChain>
</file>

<file path=xl/sharedStrings.xml><?xml version="1.0" encoding="utf-8"?>
<sst xmlns="http://schemas.openxmlformats.org/spreadsheetml/2006/main" count="209" uniqueCount="178">
  <si>
    <t>SaaS</t>
  </si>
  <si>
    <t>Price</t>
  </si>
  <si>
    <t>S/O</t>
  </si>
  <si>
    <t>MC</t>
  </si>
  <si>
    <t>Cash</t>
  </si>
  <si>
    <t>Debt</t>
  </si>
  <si>
    <t>EV</t>
  </si>
  <si>
    <t>Main</t>
  </si>
  <si>
    <t>Q225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</si>
  <si>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</si>
  <si>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</si>
  <si>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</si>
  <si>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</si>
  <si>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</si>
  <si>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</si>
  <si>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</si>
  <si>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</si>
  <si>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</si>
  <si>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Revenue</t>
  </si>
  <si>
    <t>Traffic acquisition costs</t>
  </si>
  <si>
    <t>Other costs</t>
  </si>
  <si>
    <t>Total costs</t>
  </si>
  <si>
    <t>Gross profit</t>
  </si>
  <si>
    <t>R&amp;D</t>
  </si>
  <si>
    <t>S&amp;M</t>
  </si>
  <si>
    <t>G&amp;A</t>
  </si>
  <si>
    <t>Impairments</t>
  </si>
  <si>
    <t>Restructuring</t>
  </si>
  <si>
    <t>OpEx</t>
  </si>
  <si>
    <t>OpInc</t>
  </si>
  <si>
    <t>Interest expense</t>
  </si>
  <si>
    <t>Other income</t>
  </si>
  <si>
    <t>Pretax income</t>
  </si>
  <si>
    <t>Taxes</t>
  </si>
  <si>
    <t>Net Income</t>
  </si>
  <si>
    <t>EPS</t>
  </si>
  <si>
    <t>Gross margin</t>
  </si>
  <si>
    <t>R&amp;D margin</t>
  </si>
  <si>
    <t>S&amp;M margin</t>
  </si>
  <si>
    <t>G&amp;A margin</t>
  </si>
  <si>
    <t>OpInc margin</t>
  </si>
  <si>
    <t>Tax margin</t>
  </si>
  <si>
    <t>Net margin</t>
  </si>
  <si>
    <t>YoY Revenue</t>
  </si>
  <si>
    <t>Net Cash</t>
  </si>
  <si>
    <t>Sec.</t>
  </si>
  <si>
    <t>A/R</t>
  </si>
  <si>
    <t>Prepaids</t>
  </si>
  <si>
    <t>PP&amp;A</t>
  </si>
  <si>
    <t>Operating lease ROU</t>
  </si>
  <si>
    <t>Intangibles</t>
  </si>
  <si>
    <t>Goodwill</t>
  </si>
  <si>
    <t>DTA</t>
  </si>
  <si>
    <t>Other assets</t>
  </si>
  <si>
    <t>Total assets</t>
  </si>
  <si>
    <t>A/P</t>
  </si>
  <si>
    <t>Accrued comp. and other</t>
  </si>
  <si>
    <t>Deferred revenue</t>
  </si>
  <si>
    <t>Short-term debt</t>
  </si>
  <si>
    <t xml:space="preserve">Accrued and other liabilities, current </t>
  </si>
  <si>
    <t>Long-term debt</t>
  </si>
  <si>
    <t>Operating lease, non-current</t>
  </si>
  <si>
    <t>Deferred tax liabiliteis</t>
  </si>
  <si>
    <t>Contingent tax liabilities</t>
  </si>
  <si>
    <t>Other liabilities</t>
  </si>
  <si>
    <t>Total Liabilities</t>
  </si>
  <si>
    <t>SE</t>
  </si>
  <si>
    <t>L+SE</t>
  </si>
  <si>
    <t>Q325</t>
  </si>
  <si>
    <t>Q425</t>
  </si>
  <si>
    <t>Q126</t>
  </si>
  <si>
    <t>Q226</t>
  </si>
  <si>
    <t>Q326</t>
  </si>
  <si>
    <t>Q426</t>
  </si>
  <si>
    <t>Q127</t>
  </si>
  <si>
    <t>Q227</t>
  </si>
  <si>
    <t>Q327</t>
  </si>
  <si>
    <t>Q427</t>
  </si>
  <si>
    <t>Model NI</t>
  </si>
  <si>
    <t>GAAP NI</t>
  </si>
  <si>
    <t>Gain on repurchase of long-term debt</t>
  </si>
  <si>
    <t>D&amp;A</t>
  </si>
  <si>
    <t>Amort. of cap-ed soft</t>
  </si>
  <si>
    <t>Amort. of intangibles</t>
  </si>
  <si>
    <t>Amort. of sec.</t>
  </si>
  <si>
    <t>Stock-based comp.</t>
  </si>
  <si>
    <t>Non-cash operating lease</t>
  </si>
  <si>
    <t>Credit loses</t>
  </si>
  <si>
    <t xml:space="preserve">Amort. of debt </t>
  </si>
  <si>
    <t>Deferred income taxes</t>
  </si>
  <si>
    <t>FX</t>
  </si>
  <si>
    <t>Other</t>
  </si>
  <si>
    <t>A/P and other current liabilities</t>
  </si>
  <si>
    <t>Operating lease</t>
  </si>
  <si>
    <t>ONA&amp;L</t>
  </si>
  <si>
    <t>CFFO</t>
  </si>
  <si>
    <t>Acquisitions</t>
  </si>
  <si>
    <t>CapEx</t>
  </si>
  <si>
    <t>Cap-ed soft</t>
  </si>
  <si>
    <t>Purchase of sec-s</t>
  </si>
  <si>
    <t>Sales of sec-s</t>
  </si>
  <si>
    <t>CFFI</t>
  </si>
  <si>
    <t>Proceeds from senior notes</t>
  </si>
  <si>
    <t>Partial payment of senior notes</t>
  </si>
  <si>
    <t>Payment of deferred financing costs</t>
  </si>
  <si>
    <t>Payment of stock issuance costs</t>
  </si>
  <si>
    <t>Stock repurchases</t>
  </si>
  <si>
    <t>Principal</t>
  </si>
  <si>
    <t>CFFF</t>
  </si>
  <si>
    <t>FX adj.</t>
  </si>
  <si>
    <t xml:space="preserve">CF </t>
  </si>
  <si>
    <t>BOP Cash</t>
  </si>
  <si>
    <t>EOP Cash</t>
  </si>
  <si>
    <t>FCF</t>
  </si>
  <si>
    <t>CapEx margin</t>
  </si>
  <si>
    <t>FCF margin</t>
  </si>
  <si>
    <t>YoY FCF</t>
  </si>
  <si>
    <t>Adj. EBITDA margin</t>
  </si>
  <si>
    <t>Adj. EBITDA</t>
  </si>
  <si>
    <t>YoY</t>
  </si>
  <si>
    <t>Acquisition</t>
  </si>
  <si>
    <t>Cash paid on acquisition date</t>
  </si>
  <si>
    <t>Fair value of stock</t>
  </si>
  <si>
    <t>Total</t>
  </si>
  <si>
    <t>Teads</t>
  </si>
  <si>
    <t>Model</t>
  </si>
  <si>
    <t>Other intangibles</t>
  </si>
  <si>
    <t>Total Assets</t>
  </si>
  <si>
    <t>Accrued comp. and benefits</t>
  </si>
  <si>
    <t>Accrued and other liabilities</t>
  </si>
  <si>
    <t>Deferred tax liabilities</t>
  </si>
  <si>
    <t>ONCL</t>
  </si>
  <si>
    <t>Total liabilities assumed</t>
  </si>
  <si>
    <t>Net assets acquired</t>
  </si>
  <si>
    <t>Total consideration</t>
  </si>
  <si>
    <t>Operating lease liabilities, NC</t>
  </si>
  <si>
    <t>Customer Relationships</t>
  </si>
  <si>
    <t>Publisher relationships</t>
  </si>
  <si>
    <t>Technology intangibles</t>
  </si>
  <si>
    <t>Tradenames</t>
  </si>
  <si>
    <t>Total other intangibles</t>
  </si>
  <si>
    <t>Weighted-Average Amortization Period</t>
  </si>
  <si>
    <t>11.0 y</t>
  </si>
  <si>
    <t>5.0 y</t>
  </si>
  <si>
    <t>8.0 y</t>
  </si>
  <si>
    <t>10.3 y</t>
  </si>
  <si>
    <t>As a result, the seller, Altice Teads S.A., now holds a 46.6% stake in the company and has two new seats on the Board of Directors.</t>
  </si>
  <si>
    <r>
      <t xml:space="preserve">paid with </t>
    </r>
    <r>
      <rPr>
        <b/>
        <sz val="10"/>
        <color theme="1"/>
        <rFont val="Arial"/>
        <family val="2"/>
      </rPr>
      <t>$625 million in cash</t>
    </r>
    <r>
      <rPr>
        <sz val="10"/>
        <color theme="1"/>
        <rFont val="Arial"/>
        <family val="2"/>
      </rPr>
      <t xml:space="preserve"> and </t>
    </r>
    <r>
      <rPr>
        <b/>
        <sz val="10"/>
        <color theme="1"/>
        <rFont val="Arial"/>
        <family val="2"/>
      </rPr>
      <t>43.75 million shares</t>
    </r>
    <r>
      <rPr>
        <sz val="10"/>
        <color theme="1"/>
        <rFont val="Arial"/>
        <family val="2"/>
      </rPr>
      <t xml:space="preserve"> of the company's Common Stock.</t>
    </r>
  </si>
  <si>
    <t>The acquisition's purpose was to create a larger platform for advertisers.</t>
  </si>
  <si>
    <t>Feb 3 - Apr 30, 2025</t>
  </si>
  <si>
    <t>The Americas</t>
  </si>
  <si>
    <t>EMEA</t>
  </si>
  <si>
    <t>Asia</t>
  </si>
  <si>
    <t>YoY The Americas</t>
  </si>
  <si>
    <t>YoY EMEA</t>
  </si>
  <si>
    <t>YoY Asia</t>
  </si>
  <si>
    <t>Asia %</t>
  </si>
  <si>
    <t>EMEA %</t>
  </si>
  <si>
    <t>The Americas %</t>
  </si>
  <si>
    <t>Teads runs a two-sided marketplace for digital advertising.</t>
  </si>
  <si>
    <t>What Teads Does</t>
  </si>
  <si>
    <r>
      <t xml:space="preserve">It works with </t>
    </r>
    <r>
      <rPr>
        <b/>
        <sz val="10"/>
        <color theme="1"/>
        <rFont val="Arial"/>
        <family val="2"/>
      </rPr>
      <t>advertisers</t>
    </r>
    <r>
      <rPr>
        <sz val="10"/>
        <color theme="1"/>
        <rFont val="Arial"/>
        <family val="2"/>
      </rPr>
      <t xml:space="preserve"> (like big brands and agencies) who want to promote their products.</t>
    </r>
  </si>
  <si>
    <r>
      <t xml:space="preserve">Teads' platform uses </t>
    </r>
    <r>
      <rPr>
        <b/>
        <sz val="10"/>
        <color rgb="FF1B1C1D"/>
        <rFont val="Arial"/>
        <family val="2"/>
      </rPr>
      <t>AI</t>
    </r>
    <r>
      <rPr>
        <sz val="10"/>
        <color rgb="FF1B1C1D"/>
        <rFont val="Arial"/>
        <family val="2"/>
      </rPr>
      <t xml:space="preserve"> to connect advertisers with the right audience in a way that gets the best results, </t>
    </r>
  </si>
  <si>
    <t xml:space="preserve">whether that's a new customer sale or just getting people to see a brand. </t>
  </si>
  <si>
    <t>Their goal is to drive "outcomes" for their clients by placing ads in premium, trusted online spaces.</t>
  </si>
  <si>
    <r>
      <t xml:space="preserve">It works with </t>
    </r>
    <r>
      <rPr>
        <b/>
        <sz val="10"/>
        <color theme="1"/>
        <rFont val="Arial"/>
        <family val="2"/>
      </rPr>
      <t>media owners</t>
    </r>
    <r>
      <rPr>
        <sz val="10"/>
        <color theme="1"/>
        <rFont val="Arial"/>
        <family val="2"/>
      </rPr>
      <t xml:space="preserve"> (like publishers and connected TV platforms) who have ad space to sell.</t>
    </r>
  </si>
  <si>
    <t>Restructuring:</t>
  </si>
  <si>
    <t>To streamline operations after the merger, the company is undergoing a restructuring plan and is cutting some jobs.</t>
  </si>
  <si>
    <t>This is expected to cost between $14 million and $20 million.</t>
  </si>
  <si>
    <r>
      <t xml:space="preserve">On February 3, 2025, the company acquired </t>
    </r>
    <r>
      <rPr>
        <b/>
        <sz val="10"/>
        <color theme="1"/>
        <rFont val="Arial"/>
        <family val="2"/>
      </rPr>
      <t>Teads</t>
    </r>
    <r>
      <rPr>
        <sz val="10"/>
        <color theme="1"/>
        <rFont val="Arial"/>
        <family val="2"/>
      </rPr>
      <t xml:space="preserve"> for approximately $900 million</t>
    </r>
  </si>
  <si>
    <r>
      <t xml:space="preserve">A key focus is expanding into high-growth areas like </t>
    </r>
    <r>
      <rPr>
        <b/>
        <sz val="10"/>
        <color theme="1"/>
        <rFont val="Arial"/>
        <family val="2"/>
      </rPr>
      <t>Connected TV (CTV)</t>
    </r>
    <r>
      <rPr>
        <sz val="10"/>
        <color theme="1"/>
        <rFont val="Arial"/>
        <family val="2"/>
      </rPr>
      <t xml:space="preserve"> to capture more advertiser spending.</t>
    </r>
  </si>
  <si>
    <t>Debt and Financing:</t>
  </si>
  <si>
    <r>
      <t xml:space="preserve">which was then repaid with the proceeds from a private offering of </t>
    </r>
    <r>
      <rPr>
        <b/>
        <sz val="11"/>
        <color theme="1"/>
        <rFont val="Calibri"/>
        <family val="2"/>
        <scheme val="minor"/>
      </rPr>
      <t>senior secured notes</t>
    </r>
    <r>
      <rPr>
        <sz val="11"/>
        <color theme="1"/>
        <rFont val="Calibri"/>
        <family val="2"/>
        <scheme val="minor"/>
      </rPr>
      <t>.</t>
    </r>
  </si>
  <si>
    <r>
      <t xml:space="preserve">To fund the acquisition, the company initially secured a $625 million </t>
    </r>
    <r>
      <rPr>
        <b/>
        <sz val="10"/>
        <color theme="1"/>
        <rFont val="Arial"/>
        <family val="2"/>
      </rPr>
      <t>bridge loan,</t>
    </r>
  </si>
  <si>
    <t>Business Risks:</t>
  </si>
  <si>
    <r>
      <t>Geopolitical Instability:</t>
    </r>
    <r>
      <rPr>
        <sz val="11"/>
        <color theme="1"/>
        <rFont val="Calibri"/>
        <family val="2"/>
        <scheme val="minor"/>
      </rPr>
      <t xml:space="preserve"> Operations in Israel are vulnerable to ongoing military conflicts, which can impact employees and business activities.</t>
    </r>
  </si>
  <si>
    <r>
      <rPr>
        <b/>
        <sz val="10"/>
        <color theme="1"/>
        <rFont val="Arial"/>
        <family val="2"/>
      </rPr>
      <t>Macroeconomic</t>
    </r>
    <r>
      <rPr>
        <sz val="10"/>
        <color theme="1"/>
        <rFont val="Arial"/>
        <family val="2"/>
      </rPr>
      <t xml:space="preserve"> Headwinds: Inflation, high interest rates, and economic uncertainty could cause advertisers to reduce spending.</t>
    </r>
  </si>
  <si>
    <r>
      <t xml:space="preserve">Industry Dynamics: </t>
    </r>
    <r>
      <rPr>
        <sz val="10"/>
        <color theme="1"/>
        <rFont val="Arial"/>
        <family val="2"/>
      </rPr>
      <t>The rise of generative AI tools (which reduce user clicks on publisher sites) and changes to privacy rules (like the phasing out of third-party cookies) pose significant threats to the business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model.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</si>
</sst>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B1C1D"/>
      <name val="Arial"/>
      <family val="2"/>
    </font>
    <font>
      <b/>
      <sz val="10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1"/>
    <xf numFmtId="0" fontId="5" fillId="0" borderId="0" xfId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4" fontId="3" fillId="0" borderId="0" xfId="0" applyNumberFormat="1" applyFont="1"/>
    <xf numFmtId="164" fontId="2" fillId="0" borderId="0" xfId="0" applyNumberFormat="1" applyFont="1"/>
    <xf numFmtId="0" fontId="3" fillId="0" borderId="0" xfId="0" applyFont="1" applyAlignment="1">
      <alignment horizontal="left" indent="1"/>
    </xf>
    <xf numFmtId="0" fontId="1" fillId="0" borderId="0" xfId="0" applyFont="1"/>
    <xf numFmtId="3" fontId="1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left" indent="1"/>
    </xf>
    <xf numFmtId="0" fontId="8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aa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K1" workbookViewId="0">
      <selection activeCell="P15" sqref="P15"/>
    </sheetView>
  </sheetViews>
  <sheetFormatPr defaultRowHeight="13.2" x14ac:dyDescent="0.25"/>
  <cols>
    <col min="1" max="16384" width="8.88671875" style="3"/>
  </cols>
  <sheetData>
    <row r="1" spans="1:13" x14ac:dyDescent="0.25">
      <c r="A1" s="2" t="s">
        <v>0</v>
      </c>
    </row>
    <row r="4" spans="1:13" x14ac:dyDescent="0.25">
      <c r="M4" s="11" t="s">
        <v>8</v>
      </c>
    </row>
    <row r="5" spans="1:13" x14ac:dyDescent="0.25">
      <c r="H5" s="3" t="s">
        <v>1</v>
      </c>
      <c r="I5" s="4">
        <v>1.86</v>
      </c>
      <c r="M5" s="6" t="s">
        <v>166</v>
      </c>
    </row>
    <row r="6" spans="1:13" x14ac:dyDescent="0.25">
      <c r="H6" s="3" t="s">
        <v>2</v>
      </c>
      <c r="I6" s="5">
        <f>+Model!L20/1000</f>
        <v>94.492930999999999</v>
      </c>
      <c r="M6" s="11" t="s">
        <v>167</v>
      </c>
    </row>
    <row r="7" spans="1:13" x14ac:dyDescent="0.25">
      <c r="H7" s="3" t="s">
        <v>3</v>
      </c>
      <c r="I7" s="5">
        <f>+I5*I6</f>
        <v>175.75685166</v>
      </c>
      <c r="M7" s="11" t="s">
        <v>168</v>
      </c>
    </row>
    <row r="8" spans="1:13" x14ac:dyDescent="0.25">
      <c r="H8" s="3" t="s">
        <v>4</v>
      </c>
      <c r="I8" s="5">
        <f>(+Model!L39+Model!L40)/1000</f>
        <v>166.142</v>
      </c>
    </row>
    <row r="9" spans="1:13" x14ac:dyDescent="0.25">
      <c r="H9" s="3" t="s">
        <v>5</v>
      </c>
      <c r="I9" s="5">
        <f>(Model!L53+Model!L55)/1000</f>
        <v>620.524</v>
      </c>
      <c r="M9" s="6" t="s">
        <v>171</v>
      </c>
    </row>
    <row r="10" spans="1:13" x14ac:dyDescent="0.25">
      <c r="I10" s="5"/>
      <c r="M10" s="11" t="s">
        <v>173</v>
      </c>
    </row>
    <row r="11" spans="1:13" ht="14.4" x14ac:dyDescent="0.3">
      <c r="H11" s="3" t="s">
        <v>6</v>
      </c>
      <c r="I11" s="5">
        <f>+I7+I9-I8</f>
        <v>630.13885166</v>
      </c>
      <c r="M11" t="s">
        <v>172</v>
      </c>
    </row>
    <row r="13" spans="1:13" x14ac:dyDescent="0.25">
      <c r="M13" s="6" t="s">
        <v>174</v>
      </c>
    </row>
    <row r="14" spans="1:13" ht="14.4" x14ac:dyDescent="0.3">
      <c r="M14" s="21" t="s">
        <v>175</v>
      </c>
    </row>
    <row r="15" spans="1:13" x14ac:dyDescent="0.25">
      <c r="M15" s="11" t="s">
        <v>176</v>
      </c>
    </row>
    <row r="16" spans="1:13" x14ac:dyDescent="0.25">
      <c r="M16" s="6" t="s">
        <v>177</v>
      </c>
    </row>
  </sheetData>
  <hyperlinks>
    <hyperlink ref="A1" r:id="rId1" xr:uid="{AF9C925B-FEBA-40B2-9B69-81D513E6C4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4F9F-C702-4F22-AD44-78453F348C2D}">
  <dimension ref="A1:V149"/>
  <sheetViews>
    <sheetView zoomScale="84" zoomScaleNormal="130" workbookViewId="0">
      <pane xSplit="2" ySplit="2" topLeftCell="C112" activePane="bottomRight" state="frozen"/>
      <selection pane="topRight" activeCell="C1" sqref="C1"/>
      <selection pane="bottomLeft" activeCell="A3" sqref="A3"/>
      <selection pane="bottomRight" activeCell="W137" sqref="W137"/>
    </sheetView>
  </sheetViews>
  <sheetFormatPr defaultRowHeight="13.2" x14ac:dyDescent="0.25"/>
  <cols>
    <col min="1" max="11" width="8.88671875" style="3"/>
    <col min="12" max="12" width="9" style="3" customWidth="1"/>
    <col min="13" max="16384" width="8.88671875" style="3"/>
  </cols>
  <sheetData>
    <row r="1" spans="1:22" x14ac:dyDescent="0.25">
      <c r="A1" s="2" t="s">
        <v>7</v>
      </c>
    </row>
    <row r="2" spans="1:22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8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</row>
    <row r="3" spans="1:22" s="5" customFormat="1" x14ac:dyDescent="0.25">
      <c r="B3" s="5" t="s">
        <v>18</v>
      </c>
      <c r="H3" s="5">
        <v>214148</v>
      </c>
      <c r="L3" s="5">
        <v>343096</v>
      </c>
    </row>
    <row r="4" spans="1:22" s="5" customFormat="1" x14ac:dyDescent="0.25">
      <c r="B4" s="5" t="s">
        <v>19</v>
      </c>
      <c r="H4" s="5">
        <v>158191</v>
      </c>
      <c r="L4" s="5">
        <v>198927</v>
      </c>
    </row>
    <row r="5" spans="1:22" s="5" customFormat="1" x14ac:dyDescent="0.25">
      <c r="B5" s="5" t="s">
        <v>20</v>
      </c>
      <c r="H5" s="5">
        <v>10381</v>
      </c>
      <c r="L5" s="5">
        <v>23905</v>
      </c>
    </row>
    <row r="6" spans="1:22" s="7" customFormat="1" x14ac:dyDescent="0.25">
      <c r="B6" s="7" t="s">
        <v>21</v>
      </c>
      <c r="C6" s="7">
        <f t="shared" ref="C6:K6" si="0">C4+C5</f>
        <v>0</v>
      </c>
      <c r="D6" s="7">
        <f t="shared" si="0"/>
        <v>0</v>
      </c>
      <c r="E6" s="7">
        <f t="shared" si="0"/>
        <v>0</v>
      </c>
      <c r="F6" s="7">
        <f t="shared" si="0"/>
        <v>0</v>
      </c>
      <c r="G6" s="7">
        <f t="shared" si="0"/>
        <v>0</v>
      </c>
      <c r="H6" s="7">
        <f t="shared" si="0"/>
        <v>168572</v>
      </c>
      <c r="I6" s="7">
        <f t="shared" si="0"/>
        <v>0</v>
      </c>
      <c r="J6" s="7">
        <f t="shared" si="0"/>
        <v>0</v>
      </c>
      <c r="K6" s="7">
        <f t="shared" si="0"/>
        <v>0</v>
      </c>
      <c r="L6" s="7">
        <f>L4+L5</f>
        <v>222832</v>
      </c>
      <c r="M6" s="7">
        <f t="shared" ref="M6:T6" si="1">M4+M5</f>
        <v>0</v>
      </c>
      <c r="N6" s="7">
        <f t="shared" si="1"/>
        <v>0</v>
      </c>
      <c r="O6" s="7">
        <f t="shared" si="1"/>
        <v>0</v>
      </c>
      <c r="P6" s="7">
        <f t="shared" si="1"/>
        <v>0</v>
      </c>
      <c r="Q6" s="7">
        <f t="shared" si="1"/>
        <v>0</v>
      </c>
      <c r="R6" s="7">
        <f t="shared" si="1"/>
        <v>0</v>
      </c>
      <c r="S6" s="7">
        <f t="shared" si="1"/>
        <v>0</v>
      </c>
      <c r="T6" s="7">
        <f t="shared" si="1"/>
        <v>0</v>
      </c>
    </row>
    <row r="7" spans="1:22" s="7" customFormat="1" x14ac:dyDescent="0.25">
      <c r="B7" s="7" t="s">
        <v>22</v>
      </c>
      <c r="C7" s="7">
        <f t="shared" ref="C7:K7" si="2">C3-C6</f>
        <v>0</v>
      </c>
      <c r="D7" s="7">
        <f t="shared" si="2"/>
        <v>0</v>
      </c>
      <c r="E7" s="7">
        <f t="shared" si="2"/>
        <v>0</v>
      </c>
      <c r="F7" s="7">
        <f t="shared" si="2"/>
        <v>0</v>
      </c>
      <c r="G7" s="7">
        <f t="shared" si="2"/>
        <v>0</v>
      </c>
      <c r="H7" s="7">
        <f t="shared" si="2"/>
        <v>45576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>L3-L6</f>
        <v>120264</v>
      </c>
      <c r="M7" s="7">
        <f t="shared" ref="M7:T7" si="3">M3-M6</f>
        <v>0</v>
      </c>
      <c r="N7" s="7">
        <f t="shared" si="3"/>
        <v>0</v>
      </c>
      <c r="O7" s="7">
        <f t="shared" si="3"/>
        <v>0</v>
      </c>
      <c r="P7" s="7">
        <f t="shared" si="3"/>
        <v>0</v>
      </c>
      <c r="Q7" s="7">
        <f t="shared" si="3"/>
        <v>0</v>
      </c>
      <c r="R7" s="7">
        <f t="shared" si="3"/>
        <v>0</v>
      </c>
      <c r="S7" s="7">
        <f t="shared" si="3"/>
        <v>0</v>
      </c>
      <c r="T7" s="7">
        <f t="shared" si="3"/>
        <v>0</v>
      </c>
    </row>
    <row r="8" spans="1:22" s="5" customFormat="1" x14ac:dyDescent="0.25">
      <c r="B8" s="5" t="s">
        <v>23</v>
      </c>
      <c r="H8" s="5">
        <v>9330</v>
      </c>
      <c r="L8" s="5">
        <v>13285</v>
      </c>
    </row>
    <row r="9" spans="1:22" s="5" customFormat="1" x14ac:dyDescent="0.25">
      <c r="B9" s="5" t="s">
        <v>24</v>
      </c>
      <c r="H9" s="5">
        <v>24377</v>
      </c>
      <c r="L9" s="5">
        <v>79676</v>
      </c>
    </row>
    <row r="10" spans="1:22" s="5" customFormat="1" x14ac:dyDescent="0.25">
      <c r="B10" s="5" t="s">
        <v>25</v>
      </c>
      <c r="H10" s="5">
        <v>16921</v>
      </c>
      <c r="L10" s="5">
        <v>27888</v>
      </c>
    </row>
    <row r="11" spans="1:22" s="5" customFormat="1" x14ac:dyDescent="0.25">
      <c r="B11" s="5" t="s">
        <v>26</v>
      </c>
    </row>
    <row r="12" spans="1:22" s="5" customFormat="1" x14ac:dyDescent="0.25">
      <c r="B12" s="5" t="s">
        <v>27</v>
      </c>
      <c r="H12" s="5">
        <v>575</v>
      </c>
      <c r="L12" s="5">
        <v>1674</v>
      </c>
    </row>
    <row r="13" spans="1:22" s="7" customFormat="1" x14ac:dyDescent="0.25">
      <c r="B13" s="7" t="s">
        <v>28</v>
      </c>
      <c r="C13" s="7">
        <f t="shared" ref="C13:K13" si="4">SUM(C8:C12)</f>
        <v>0</v>
      </c>
      <c r="D13" s="7">
        <f t="shared" si="4"/>
        <v>0</v>
      </c>
      <c r="E13" s="7">
        <f t="shared" si="4"/>
        <v>0</v>
      </c>
      <c r="F13" s="7">
        <f t="shared" si="4"/>
        <v>0</v>
      </c>
      <c r="G13" s="7">
        <f t="shared" si="4"/>
        <v>0</v>
      </c>
      <c r="H13" s="7">
        <f t="shared" si="4"/>
        <v>51203</v>
      </c>
      <c r="I13" s="7">
        <f t="shared" si="4"/>
        <v>0</v>
      </c>
      <c r="J13" s="7">
        <f t="shared" si="4"/>
        <v>0</v>
      </c>
      <c r="K13" s="7">
        <f t="shared" si="4"/>
        <v>0</v>
      </c>
      <c r="L13" s="7">
        <f>SUM(L8:L12)</f>
        <v>122523</v>
      </c>
      <c r="M13" s="7">
        <f t="shared" ref="M13:T13" si="5">SUM(M8:M12)</f>
        <v>0</v>
      </c>
      <c r="N13" s="7">
        <f t="shared" si="5"/>
        <v>0</v>
      </c>
      <c r="O13" s="7">
        <f t="shared" si="5"/>
        <v>0</v>
      </c>
      <c r="P13" s="7">
        <f t="shared" si="5"/>
        <v>0</v>
      </c>
      <c r="Q13" s="7">
        <f t="shared" si="5"/>
        <v>0</v>
      </c>
      <c r="R13" s="7">
        <f t="shared" si="5"/>
        <v>0</v>
      </c>
      <c r="S13" s="7">
        <f t="shared" si="5"/>
        <v>0</v>
      </c>
      <c r="T13" s="7">
        <f t="shared" si="5"/>
        <v>0</v>
      </c>
    </row>
    <row r="14" spans="1:22" s="7" customFormat="1" x14ac:dyDescent="0.25">
      <c r="B14" s="7" t="s">
        <v>29</v>
      </c>
      <c r="C14" s="7">
        <f t="shared" ref="C14:K14" si="6">C7-C13</f>
        <v>0</v>
      </c>
      <c r="D14" s="7">
        <f t="shared" si="6"/>
        <v>0</v>
      </c>
      <c r="E14" s="7">
        <f t="shared" si="6"/>
        <v>0</v>
      </c>
      <c r="F14" s="7">
        <f t="shared" si="6"/>
        <v>0</v>
      </c>
      <c r="G14" s="7">
        <f t="shared" si="6"/>
        <v>0</v>
      </c>
      <c r="H14" s="7">
        <f t="shared" si="6"/>
        <v>-5627</v>
      </c>
      <c r="I14" s="7">
        <f t="shared" si="6"/>
        <v>0</v>
      </c>
      <c r="J14" s="7">
        <f t="shared" si="6"/>
        <v>0</v>
      </c>
      <c r="K14" s="7">
        <f t="shared" si="6"/>
        <v>0</v>
      </c>
      <c r="L14" s="7">
        <f>L7-L13</f>
        <v>-2259</v>
      </c>
      <c r="M14" s="7">
        <f t="shared" ref="M14:T14" si="7">M7-M13</f>
        <v>0</v>
      </c>
      <c r="N14" s="7">
        <f t="shared" si="7"/>
        <v>0</v>
      </c>
      <c r="O14" s="7">
        <f t="shared" si="7"/>
        <v>0</v>
      </c>
      <c r="P14" s="7">
        <f t="shared" si="7"/>
        <v>0</v>
      </c>
      <c r="Q14" s="7">
        <f t="shared" si="7"/>
        <v>0</v>
      </c>
      <c r="R14" s="7">
        <f t="shared" si="7"/>
        <v>0</v>
      </c>
      <c r="S14" s="7">
        <f t="shared" si="7"/>
        <v>0</v>
      </c>
      <c r="T14" s="7">
        <f t="shared" si="7"/>
        <v>0</v>
      </c>
    </row>
    <row r="15" spans="1:22" s="5" customFormat="1" x14ac:dyDescent="0.25">
      <c r="B15" s="5" t="s">
        <v>30</v>
      </c>
      <c r="H15" s="5">
        <v>-569</v>
      </c>
      <c r="L15" s="5">
        <v>-17524</v>
      </c>
    </row>
    <row r="16" spans="1:22" s="5" customFormat="1" x14ac:dyDescent="0.25">
      <c r="B16" s="5" t="s">
        <v>31</v>
      </c>
      <c r="H16" s="5">
        <v>2746</v>
      </c>
      <c r="L16" s="5">
        <f>1225-1506</f>
        <v>-281</v>
      </c>
    </row>
    <row r="17" spans="2:20" s="7" customFormat="1" x14ac:dyDescent="0.25">
      <c r="B17" s="7" t="s">
        <v>32</v>
      </c>
      <c r="C17" s="7">
        <f t="shared" ref="C17:K17" si="8">C14+C15+C16</f>
        <v>0</v>
      </c>
      <c r="D17" s="7">
        <f t="shared" si="8"/>
        <v>0</v>
      </c>
      <c r="E17" s="7">
        <f t="shared" si="8"/>
        <v>0</v>
      </c>
      <c r="F17" s="7">
        <f t="shared" si="8"/>
        <v>0</v>
      </c>
      <c r="G17" s="7">
        <f t="shared" si="8"/>
        <v>0</v>
      </c>
      <c r="H17" s="7">
        <f t="shared" si="8"/>
        <v>-3450</v>
      </c>
      <c r="I17" s="7">
        <f t="shared" si="8"/>
        <v>0</v>
      </c>
      <c r="J17" s="7">
        <f t="shared" si="8"/>
        <v>0</v>
      </c>
      <c r="K17" s="7">
        <f t="shared" si="8"/>
        <v>0</v>
      </c>
      <c r="L17" s="7">
        <f>L14+L15+L16</f>
        <v>-20064</v>
      </c>
      <c r="M17" s="7">
        <f t="shared" ref="M17:T17" si="9">M14+M15+M16</f>
        <v>0</v>
      </c>
      <c r="N17" s="7">
        <f t="shared" si="9"/>
        <v>0</v>
      </c>
      <c r="O17" s="7">
        <f t="shared" si="9"/>
        <v>0</v>
      </c>
      <c r="P17" s="7">
        <f t="shared" si="9"/>
        <v>0</v>
      </c>
      <c r="Q17" s="7">
        <f t="shared" si="9"/>
        <v>0</v>
      </c>
      <c r="R17" s="7">
        <f t="shared" si="9"/>
        <v>0</v>
      </c>
      <c r="S17" s="7">
        <f t="shared" si="9"/>
        <v>0</v>
      </c>
      <c r="T17" s="7">
        <f t="shared" si="9"/>
        <v>0</v>
      </c>
    </row>
    <row r="18" spans="2:20" s="5" customFormat="1" x14ac:dyDescent="0.25">
      <c r="B18" s="5" t="s">
        <v>33</v>
      </c>
      <c r="H18" s="5">
        <v>-1251</v>
      </c>
      <c r="L18" s="5">
        <v>-5751</v>
      </c>
    </row>
    <row r="19" spans="2:20" s="7" customFormat="1" x14ac:dyDescent="0.25">
      <c r="B19" s="7" t="s">
        <v>34</v>
      </c>
      <c r="C19" s="7">
        <f t="shared" ref="C19:K19" si="10">C17-C18</f>
        <v>0</v>
      </c>
      <c r="D19" s="7">
        <f t="shared" si="10"/>
        <v>0</v>
      </c>
      <c r="E19" s="7">
        <f t="shared" si="10"/>
        <v>0</v>
      </c>
      <c r="F19" s="7">
        <f t="shared" si="10"/>
        <v>0</v>
      </c>
      <c r="G19" s="7">
        <f t="shared" si="10"/>
        <v>0</v>
      </c>
      <c r="H19" s="7">
        <f t="shared" si="10"/>
        <v>-2199</v>
      </c>
      <c r="I19" s="7">
        <f t="shared" si="10"/>
        <v>0</v>
      </c>
      <c r="J19" s="7">
        <f t="shared" si="10"/>
        <v>0</v>
      </c>
      <c r="K19" s="7">
        <f t="shared" si="10"/>
        <v>0</v>
      </c>
      <c r="L19" s="7">
        <f>L17-L18</f>
        <v>-14313</v>
      </c>
      <c r="M19" s="7">
        <f t="shared" ref="M19:T19" si="11">M17-M18</f>
        <v>0</v>
      </c>
      <c r="N19" s="7">
        <f t="shared" si="11"/>
        <v>0</v>
      </c>
      <c r="O19" s="7">
        <f t="shared" si="11"/>
        <v>0</v>
      </c>
      <c r="P19" s="7">
        <f t="shared" si="11"/>
        <v>0</v>
      </c>
      <c r="Q19" s="7">
        <f t="shared" si="11"/>
        <v>0</v>
      </c>
      <c r="R19" s="7">
        <f t="shared" si="11"/>
        <v>0</v>
      </c>
      <c r="S19" s="7">
        <f t="shared" si="11"/>
        <v>0</v>
      </c>
      <c r="T19" s="7">
        <f t="shared" si="11"/>
        <v>0</v>
      </c>
    </row>
    <row r="20" spans="2:20" s="5" customFormat="1" x14ac:dyDescent="0.25">
      <c r="B20" s="5" t="s">
        <v>2</v>
      </c>
      <c r="H20" s="5">
        <v>48922.017</v>
      </c>
      <c r="L20" s="5">
        <v>94492.930999999997</v>
      </c>
    </row>
    <row r="21" spans="2:20" s="8" customFormat="1" x14ac:dyDescent="0.25">
      <c r="B21" s="8" t="s">
        <v>35</v>
      </c>
      <c r="C21" s="8" t="e">
        <f t="shared" ref="C21:K21" si="12">C19/C20</f>
        <v>#DIV/0!</v>
      </c>
      <c r="D21" s="8" t="e">
        <f t="shared" si="12"/>
        <v>#DIV/0!</v>
      </c>
      <c r="E21" s="8" t="e">
        <f t="shared" si="12"/>
        <v>#DIV/0!</v>
      </c>
      <c r="F21" s="8" t="e">
        <f t="shared" si="12"/>
        <v>#DIV/0!</v>
      </c>
      <c r="G21" s="8" t="e">
        <f t="shared" si="12"/>
        <v>#DIV/0!</v>
      </c>
      <c r="H21" s="8">
        <f t="shared" si="12"/>
        <v>-4.4949087033758238E-2</v>
      </c>
      <c r="I21" s="8" t="e">
        <f t="shared" si="12"/>
        <v>#DIV/0!</v>
      </c>
      <c r="J21" s="8" t="e">
        <f t="shared" si="12"/>
        <v>#DIV/0!</v>
      </c>
      <c r="K21" s="8" t="e">
        <f t="shared" si="12"/>
        <v>#DIV/0!</v>
      </c>
      <c r="L21" s="8">
        <f>L19/L20</f>
        <v>-0.15147164818075121</v>
      </c>
      <c r="M21" s="8" t="e">
        <f t="shared" ref="M21:T21" si="13">M19/M20</f>
        <v>#DIV/0!</v>
      </c>
      <c r="N21" s="8" t="e">
        <f t="shared" si="13"/>
        <v>#DIV/0!</v>
      </c>
      <c r="O21" s="8" t="e">
        <f t="shared" si="13"/>
        <v>#DIV/0!</v>
      </c>
      <c r="P21" s="8" t="e">
        <f t="shared" si="13"/>
        <v>#DIV/0!</v>
      </c>
      <c r="Q21" s="8" t="e">
        <f t="shared" si="13"/>
        <v>#DIV/0!</v>
      </c>
      <c r="R21" s="8" t="e">
        <f t="shared" si="13"/>
        <v>#DIV/0!</v>
      </c>
      <c r="S21" s="8" t="e">
        <f t="shared" si="13"/>
        <v>#DIV/0!</v>
      </c>
      <c r="T21" s="8" t="e">
        <f t="shared" si="13"/>
        <v>#DIV/0!</v>
      </c>
    </row>
    <row r="24" spans="2:20" s="9" customFormat="1" x14ac:dyDescent="0.25">
      <c r="B24" s="9" t="s">
        <v>36</v>
      </c>
      <c r="C24" s="9" t="e">
        <f t="shared" ref="C24:K24" si="14">C7/C3</f>
        <v>#DIV/0!</v>
      </c>
      <c r="D24" s="9" t="e">
        <f t="shared" si="14"/>
        <v>#DIV/0!</v>
      </c>
      <c r="E24" s="9" t="e">
        <f t="shared" si="14"/>
        <v>#DIV/0!</v>
      </c>
      <c r="F24" s="9" t="e">
        <f t="shared" si="14"/>
        <v>#DIV/0!</v>
      </c>
      <c r="G24" s="9" t="e">
        <f t="shared" si="14"/>
        <v>#DIV/0!</v>
      </c>
      <c r="H24" s="9">
        <f t="shared" si="14"/>
        <v>0.21282477538898331</v>
      </c>
      <c r="I24" s="9" t="e">
        <f t="shared" si="14"/>
        <v>#DIV/0!</v>
      </c>
      <c r="J24" s="9" t="e">
        <f t="shared" si="14"/>
        <v>#DIV/0!</v>
      </c>
      <c r="K24" s="9" t="e">
        <f t="shared" si="14"/>
        <v>#DIV/0!</v>
      </c>
      <c r="L24" s="9">
        <f>L7/L3</f>
        <v>0.35052580035908315</v>
      </c>
      <c r="M24" s="9" t="e">
        <f t="shared" ref="M24:T24" si="15">M7/M3</f>
        <v>#DIV/0!</v>
      </c>
      <c r="N24" s="9" t="e">
        <f t="shared" si="15"/>
        <v>#DIV/0!</v>
      </c>
      <c r="O24" s="9" t="e">
        <f t="shared" si="15"/>
        <v>#DIV/0!</v>
      </c>
      <c r="P24" s="9" t="e">
        <f t="shared" si="15"/>
        <v>#DIV/0!</v>
      </c>
      <c r="Q24" s="9" t="e">
        <f t="shared" si="15"/>
        <v>#DIV/0!</v>
      </c>
      <c r="R24" s="9" t="e">
        <f t="shared" si="15"/>
        <v>#DIV/0!</v>
      </c>
      <c r="S24" s="9" t="e">
        <f t="shared" si="15"/>
        <v>#DIV/0!</v>
      </c>
      <c r="T24" s="9" t="e">
        <f t="shared" si="15"/>
        <v>#DIV/0!</v>
      </c>
    </row>
    <row r="25" spans="2:20" s="9" customFormat="1" x14ac:dyDescent="0.25"/>
    <row r="26" spans="2:20" s="9" customFormat="1" x14ac:dyDescent="0.25">
      <c r="B26" s="9" t="s">
        <v>37</v>
      </c>
      <c r="C26" s="9" t="e">
        <f t="shared" ref="C26:K28" si="16">+C8/C$7</f>
        <v>#DIV/0!</v>
      </c>
      <c r="D26" s="9" t="e">
        <f t="shared" si="16"/>
        <v>#DIV/0!</v>
      </c>
      <c r="E26" s="9" t="e">
        <f t="shared" si="16"/>
        <v>#DIV/0!</v>
      </c>
      <c r="F26" s="9" t="e">
        <f t="shared" si="16"/>
        <v>#DIV/0!</v>
      </c>
      <c r="G26" s="9" t="e">
        <f t="shared" si="16"/>
        <v>#DIV/0!</v>
      </c>
      <c r="H26" s="9">
        <f t="shared" si="16"/>
        <v>0.20471300684570826</v>
      </c>
      <c r="I26" s="9" t="e">
        <f t="shared" si="16"/>
        <v>#DIV/0!</v>
      </c>
      <c r="J26" s="9" t="e">
        <f t="shared" si="16"/>
        <v>#DIV/0!</v>
      </c>
      <c r="K26" s="9" t="e">
        <f t="shared" si="16"/>
        <v>#DIV/0!</v>
      </c>
      <c r="L26" s="9">
        <f>+L8/L$7</f>
        <v>0.11046530965209872</v>
      </c>
      <c r="M26" s="9" t="e">
        <f t="shared" ref="M26:T26" si="17">+M8/M$7</f>
        <v>#DIV/0!</v>
      </c>
      <c r="N26" s="9" t="e">
        <f t="shared" si="17"/>
        <v>#DIV/0!</v>
      </c>
      <c r="O26" s="9" t="e">
        <f t="shared" si="17"/>
        <v>#DIV/0!</v>
      </c>
      <c r="P26" s="9" t="e">
        <f t="shared" si="17"/>
        <v>#DIV/0!</v>
      </c>
      <c r="Q26" s="9" t="e">
        <f t="shared" si="17"/>
        <v>#DIV/0!</v>
      </c>
      <c r="R26" s="9" t="e">
        <f t="shared" si="17"/>
        <v>#DIV/0!</v>
      </c>
      <c r="S26" s="9" t="e">
        <f t="shared" si="17"/>
        <v>#DIV/0!</v>
      </c>
      <c r="T26" s="9" t="e">
        <f t="shared" si="17"/>
        <v>#DIV/0!</v>
      </c>
    </row>
    <row r="27" spans="2:20" s="9" customFormat="1" x14ac:dyDescent="0.25">
      <c r="B27" s="9" t="s">
        <v>38</v>
      </c>
      <c r="C27" s="9" t="e">
        <f t="shared" si="16"/>
        <v>#DIV/0!</v>
      </c>
      <c r="D27" s="9" t="e">
        <f t="shared" si="16"/>
        <v>#DIV/0!</v>
      </c>
      <c r="E27" s="9" t="e">
        <f t="shared" si="16"/>
        <v>#DIV/0!</v>
      </c>
      <c r="F27" s="9" t="e">
        <f t="shared" si="16"/>
        <v>#DIV/0!</v>
      </c>
      <c r="G27" s="9" t="e">
        <f t="shared" si="16"/>
        <v>#DIV/0!</v>
      </c>
      <c r="H27" s="9">
        <f t="shared" si="16"/>
        <v>0.53486484114446198</v>
      </c>
      <c r="I27" s="9" t="e">
        <f t="shared" si="16"/>
        <v>#DIV/0!</v>
      </c>
      <c r="J27" s="9" t="e">
        <f t="shared" si="16"/>
        <v>#DIV/0!</v>
      </c>
      <c r="K27" s="9" t="e">
        <f t="shared" si="16"/>
        <v>#DIV/0!</v>
      </c>
      <c r="L27" s="9">
        <f t="shared" ref="L27:T28" si="18">+L9/L$7</f>
        <v>0.66250914654426929</v>
      </c>
      <c r="M27" s="9" t="e">
        <f t="shared" si="18"/>
        <v>#DIV/0!</v>
      </c>
      <c r="N27" s="9" t="e">
        <f t="shared" si="18"/>
        <v>#DIV/0!</v>
      </c>
      <c r="O27" s="9" t="e">
        <f t="shared" si="18"/>
        <v>#DIV/0!</v>
      </c>
      <c r="P27" s="9" t="e">
        <f t="shared" si="18"/>
        <v>#DIV/0!</v>
      </c>
      <c r="Q27" s="9" t="e">
        <f t="shared" si="18"/>
        <v>#DIV/0!</v>
      </c>
      <c r="R27" s="9" t="e">
        <f t="shared" si="18"/>
        <v>#DIV/0!</v>
      </c>
      <c r="S27" s="9" t="e">
        <f t="shared" si="18"/>
        <v>#DIV/0!</v>
      </c>
      <c r="T27" s="9" t="e">
        <f t="shared" si="18"/>
        <v>#DIV/0!</v>
      </c>
    </row>
    <row r="28" spans="2:20" s="9" customFormat="1" x14ac:dyDescent="0.25">
      <c r="B28" s="9" t="s">
        <v>39</v>
      </c>
      <c r="C28" s="9" t="e">
        <f t="shared" si="16"/>
        <v>#DIV/0!</v>
      </c>
      <c r="D28" s="9" t="e">
        <f t="shared" si="16"/>
        <v>#DIV/0!</v>
      </c>
      <c r="E28" s="9" t="e">
        <f t="shared" si="16"/>
        <v>#DIV/0!</v>
      </c>
      <c r="F28" s="9" t="e">
        <f t="shared" si="16"/>
        <v>#DIV/0!</v>
      </c>
      <c r="G28" s="9" t="e">
        <f t="shared" si="16"/>
        <v>#DIV/0!</v>
      </c>
      <c r="H28" s="9">
        <f t="shared" si="16"/>
        <v>0.37126996664911355</v>
      </c>
      <c r="I28" s="9" t="e">
        <f t="shared" si="16"/>
        <v>#DIV/0!</v>
      </c>
      <c r="J28" s="9" t="e">
        <f t="shared" si="16"/>
        <v>#DIV/0!</v>
      </c>
      <c r="K28" s="9" t="e">
        <f t="shared" si="16"/>
        <v>#DIV/0!</v>
      </c>
      <c r="L28" s="9">
        <f t="shared" si="18"/>
        <v>0.23188984234683696</v>
      </c>
      <c r="M28" s="9" t="e">
        <f t="shared" si="18"/>
        <v>#DIV/0!</v>
      </c>
      <c r="N28" s="9" t="e">
        <f t="shared" si="18"/>
        <v>#DIV/0!</v>
      </c>
      <c r="O28" s="9" t="e">
        <f t="shared" si="18"/>
        <v>#DIV/0!</v>
      </c>
      <c r="P28" s="9" t="e">
        <f t="shared" si="18"/>
        <v>#DIV/0!</v>
      </c>
      <c r="Q28" s="9" t="e">
        <f t="shared" si="18"/>
        <v>#DIV/0!</v>
      </c>
      <c r="R28" s="9" t="e">
        <f t="shared" si="18"/>
        <v>#DIV/0!</v>
      </c>
      <c r="S28" s="9" t="e">
        <f t="shared" si="18"/>
        <v>#DIV/0!</v>
      </c>
      <c r="T28" s="9" t="e">
        <f t="shared" si="18"/>
        <v>#DIV/0!</v>
      </c>
    </row>
    <row r="29" spans="2:20" s="9" customFormat="1" x14ac:dyDescent="0.25">
      <c r="B29" s="9" t="s">
        <v>40</v>
      </c>
      <c r="C29" s="9" t="e">
        <f t="shared" ref="C29:K29" si="19">C14/C3</f>
        <v>#DIV/0!</v>
      </c>
      <c r="D29" s="9" t="e">
        <f t="shared" si="19"/>
        <v>#DIV/0!</v>
      </c>
      <c r="E29" s="9" t="e">
        <f t="shared" si="19"/>
        <v>#DIV/0!</v>
      </c>
      <c r="F29" s="9" t="e">
        <f t="shared" si="19"/>
        <v>#DIV/0!</v>
      </c>
      <c r="G29" s="9" t="e">
        <f t="shared" si="19"/>
        <v>#DIV/0!</v>
      </c>
      <c r="H29" s="9">
        <f t="shared" si="19"/>
        <v>-2.6276220184171695E-2</v>
      </c>
      <c r="I29" s="9" t="e">
        <f t="shared" si="19"/>
        <v>#DIV/0!</v>
      </c>
      <c r="J29" s="9" t="e">
        <f t="shared" si="19"/>
        <v>#DIV/0!</v>
      </c>
      <c r="K29" s="9" t="e">
        <f t="shared" si="19"/>
        <v>#DIV/0!</v>
      </c>
      <c r="L29" s="9">
        <f>L14/L3</f>
        <v>-6.5841630330869495E-3</v>
      </c>
      <c r="M29" s="9" t="e">
        <f t="shared" ref="M29:T29" si="20">M14/M3</f>
        <v>#DIV/0!</v>
      </c>
      <c r="N29" s="9" t="e">
        <f t="shared" si="20"/>
        <v>#DIV/0!</v>
      </c>
      <c r="O29" s="9" t="e">
        <f t="shared" si="20"/>
        <v>#DIV/0!</v>
      </c>
      <c r="P29" s="9" t="e">
        <f t="shared" si="20"/>
        <v>#DIV/0!</v>
      </c>
      <c r="Q29" s="9" t="e">
        <f t="shared" si="20"/>
        <v>#DIV/0!</v>
      </c>
      <c r="R29" s="9" t="e">
        <f t="shared" si="20"/>
        <v>#DIV/0!</v>
      </c>
      <c r="S29" s="9" t="e">
        <f t="shared" si="20"/>
        <v>#DIV/0!</v>
      </c>
      <c r="T29" s="9" t="e">
        <f t="shared" si="20"/>
        <v>#DIV/0!</v>
      </c>
    </row>
    <row r="30" spans="2:20" s="9" customFormat="1" x14ac:dyDescent="0.25"/>
    <row r="31" spans="2:20" s="9" customFormat="1" x14ac:dyDescent="0.25">
      <c r="B31" s="9" t="s">
        <v>41</v>
      </c>
      <c r="C31" s="9" t="e">
        <f t="shared" ref="C31:K31" si="21">C18/C3</f>
        <v>#DIV/0!</v>
      </c>
      <c r="D31" s="9" t="e">
        <f t="shared" si="21"/>
        <v>#DIV/0!</v>
      </c>
      <c r="E31" s="9" t="e">
        <f t="shared" si="21"/>
        <v>#DIV/0!</v>
      </c>
      <c r="F31" s="9" t="e">
        <f t="shared" si="21"/>
        <v>#DIV/0!</v>
      </c>
      <c r="G31" s="9" t="e">
        <f t="shared" si="21"/>
        <v>#DIV/0!</v>
      </c>
      <c r="H31" s="9">
        <f t="shared" si="21"/>
        <v>-5.8417543007639574E-3</v>
      </c>
      <c r="I31" s="9" t="e">
        <f t="shared" si="21"/>
        <v>#DIV/0!</v>
      </c>
      <c r="J31" s="9" t="e">
        <f t="shared" si="21"/>
        <v>#DIV/0!</v>
      </c>
      <c r="K31" s="9" t="e">
        <f t="shared" si="21"/>
        <v>#DIV/0!</v>
      </c>
      <c r="L31" s="9">
        <f>L18/L3</f>
        <v>-1.6762072422878728E-2</v>
      </c>
      <c r="M31" s="9" t="e">
        <f t="shared" ref="M31:T31" si="22">M18/M3</f>
        <v>#DIV/0!</v>
      </c>
      <c r="N31" s="9" t="e">
        <f t="shared" si="22"/>
        <v>#DIV/0!</v>
      </c>
      <c r="O31" s="9" t="e">
        <f t="shared" si="22"/>
        <v>#DIV/0!</v>
      </c>
      <c r="P31" s="9" t="e">
        <f t="shared" si="22"/>
        <v>#DIV/0!</v>
      </c>
      <c r="Q31" s="9" t="e">
        <f t="shared" si="22"/>
        <v>#DIV/0!</v>
      </c>
      <c r="R31" s="9" t="e">
        <f t="shared" si="22"/>
        <v>#DIV/0!</v>
      </c>
      <c r="S31" s="9" t="e">
        <f t="shared" si="22"/>
        <v>#DIV/0!</v>
      </c>
      <c r="T31" s="9" t="e">
        <f t="shared" si="22"/>
        <v>#DIV/0!</v>
      </c>
    </row>
    <row r="32" spans="2:20" s="9" customFormat="1" x14ac:dyDescent="0.25">
      <c r="B32" s="9" t="s">
        <v>42</v>
      </c>
      <c r="C32" s="9" t="e">
        <f t="shared" ref="C32:K32" si="23">C19/C3</f>
        <v>#DIV/0!</v>
      </c>
      <c r="D32" s="9" t="e">
        <f t="shared" si="23"/>
        <v>#DIV/0!</v>
      </c>
      <c r="E32" s="9" t="e">
        <f t="shared" si="23"/>
        <v>#DIV/0!</v>
      </c>
      <c r="F32" s="9" t="e">
        <f t="shared" si="23"/>
        <v>#DIV/0!</v>
      </c>
      <c r="G32" s="9" t="e">
        <f t="shared" si="23"/>
        <v>#DIV/0!</v>
      </c>
      <c r="H32" s="9">
        <f t="shared" si="23"/>
        <v>-1.0268599286474774E-2</v>
      </c>
      <c r="I32" s="9" t="e">
        <f t="shared" si="23"/>
        <v>#DIV/0!</v>
      </c>
      <c r="J32" s="9" t="e">
        <f t="shared" si="23"/>
        <v>#DIV/0!</v>
      </c>
      <c r="K32" s="9" t="e">
        <f t="shared" si="23"/>
        <v>#DIV/0!</v>
      </c>
      <c r="L32" s="9">
        <f>L19/L3</f>
        <v>-4.171718702637163E-2</v>
      </c>
      <c r="M32" s="9" t="e">
        <f t="shared" ref="M32:T32" si="24">M19/M3</f>
        <v>#DIV/0!</v>
      </c>
      <c r="N32" s="9" t="e">
        <f t="shared" si="24"/>
        <v>#DIV/0!</v>
      </c>
      <c r="O32" s="9" t="e">
        <f t="shared" si="24"/>
        <v>#DIV/0!</v>
      </c>
      <c r="P32" s="9" t="e">
        <f t="shared" si="24"/>
        <v>#DIV/0!</v>
      </c>
      <c r="Q32" s="9" t="e">
        <f t="shared" si="24"/>
        <v>#DIV/0!</v>
      </c>
      <c r="R32" s="9" t="e">
        <f t="shared" si="24"/>
        <v>#DIV/0!</v>
      </c>
      <c r="S32" s="9" t="e">
        <f t="shared" si="24"/>
        <v>#DIV/0!</v>
      </c>
      <c r="T32" s="9" t="e">
        <f t="shared" si="24"/>
        <v>#DIV/0!</v>
      </c>
    </row>
    <row r="33" spans="2:20" s="9" customFormat="1" x14ac:dyDescent="0.25"/>
    <row r="34" spans="2:20" s="9" customFormat="1" x14ac:dyDescent="0.25">
      <c r="B34" s="9" t="s">
        <v>43</v>
      </c>
      <c r="G34" s="9" t="e">
        <f t="shared" ref="G34:K34" si="25">G3/C3-1</f>
        <v>#DIV/0!</v>
      </c>
      <c r="H34" s="9" t="e">
        <f t="shared" si="25"/>
        <v>#DIV/0!</v>
      </c>
      <c r="I34" s="9" t="e">
        <f t="shared" si="25"/>
        <v>#DIV/0!</v>
      </c>
      <c r="J34" s="9" t="e">
        <f t="shared" si="25"/>
        <v>#DIV/0!</v>
      </c>
      <c r="K34" s="9" t="e">
        <f t="shared" si="25"/>
        <v>#DIV/0!</v>
      </c>
      <c r="L34" s="9">
        <f>L3/H3-1</f>
        <v>0.60214431141080005</v>
      </c>
      <c r="M34" s="9" t="e">
        <f t="shared" ref="M34:T34" si="26">M3/I3-1</f>
        <v>#DIV/0!</v>
      </c>
      <c r="N34" s="9" t="e">
        <f t="shared" si="26"/>
        <v>#DIV/0!</v>
      </c>
      <c r="O34" s="9" t="e">
        <f t="shared" si="26"/>
        <v>#DIV/0!</v>
      </c>
      <c r="P34" s="9">
        <f t="shared" si="26"/>
        <v>-1</v>
      </c>
      <c r="Q34" s="9" t="e">
        <f t="shared" si="26"/>
        <v>#DIV/0!</v>
      </c>
      <c r="R34" s="9" t="e">
        <f t="shared" si="26"/>
        <v>#DIV/0!</v>
      </c>
      <c r="S34" s="9" t="e">
        <f t="shared" si="26"/>
        <v>#DIV/0!</v>
      </c>
      <c r="T34" s="9" t="e">
        <f t="shared" si="26"/>
        <v>#DIV/0!</v>
      </c>
    </row>
    <row r="38" spans="2:20" s="5" customFormat="1" x14ac:dyDescent="0.25">
      <c r="B38" s="5" t="s">
        <v>44</v>
      </c>
      <c r="C38" s="5">
        <f t="shared" ref="C38:K38" si="27">+C39+C40-C53-C55</f>
        <v>0</v>
      </c>
      <c r="D38" s="5">
        <f t="shared" si="27"/>
        <v>0</v>
      </c>
      <c r="E38" s="5">
        <f t="shared" si="27"/>
        <v>0</v>
      </c>
      <c r="F38" s="5">
        <f t="shared" si="27"/>
        <v>0</v>
      </c>
      <c r="G38" s="5">
        <f t="shared" si="27"/>
        <v>0</v>
      </c>
      <c r="H38" s="5">
        <f t="shared" si="27"/>
        <v>0</v>
      </c>
      <c r="I38" s="5">
        <f t="shared" si="27"/>
        <v>0</v>
      </c>
      <c r="J38" s="5">
        <f t="shared" si="27"/>
        <v>166129</v>
      </c>
      <c r="K38" s="5">
        <f t="shared" si="27"/>
        <v>0</v>
      </c>
      <c r="L38" s="5">
        <f>+L39+L40-L53-L55</f>
        <v>-454382</v>
      </c>
      <c r="M38" s="5">
        <f t="shared" ref="M38:R38" si="28">+M39+M40-M53-M55</f>
        <v>0</v>
      </c>
      <c r="N38" s="5">
        <f t="shared" si="28"/>
        <v>0</v>
      </c>
      <c r="O38" s="5">
        <f t="shared" si="28"/>
        <v>0</v>
      </c>
      <c r="P38" s="5">
        <f t="shared" si="28"/>
        <v>0</v>
      </c>
      <c r="Q38" s="5">
        <f t="shared" si="28"/>
        <v>0</v>
      </c>
      <c r="R38" s="5">
        <f t="shared" si="28"/>
        <v>0</v>
      </c>
    </row>
    <row r="39" spans="2:20" s="5" customFormat="1" x14ac:dyDescent="0.25">
      <c r="B39" s="5" t="s">
        <v>4</v>
      </c>
      <c r="J39" s="5">
        <v>89094</v>
      </c>
      <c r="L39" s="5">
        <v>149449</v>
      </c>
    </row>
    <row r="40" spans="2:20" s="5" customFormat="1" x14ac:dyDescent="0.25">
      <c r="B40" s="5" t="s">
        <v>45</v>
      </c>
      <c r="J40" s="5">
        <v>77035</v>
      </c>
      <c r="L40" s="5">
        <v>16693</v>
      </c>
    </row>
    <row r="41" spans="2:20" s="5" customFormat="1" x14ac:dyDescent="0.25">
      <c r="B41" s="5" t="s">
        <v>46</v>
      </c>
      <c r="J41" s="5">
        <v>149167</v>
      </c>
      <c r="L41" s="5">
        <v>337682</v>
      </c>
    </row>
    <row r="42" spans="2:20" s="5" customFormat="1" x14ac:dyDescent="0.25">
      <c r="B42" s="5" t="s">
        <v>47</v>
      </c>
      <c r="J42" s="5">
        <v>27835</v>
      </c>
      <c r="L42" s="5">
        <v>47486</v>
      </c>
    </row>
    <row r="43" spans="2:20" s="5" customFormat="1" x14ac:dyDescent="0.25">
      <c r="B43" s="5" t="s">
        <v>48</v>
      </c>
      <c r="J43" s="5">
        <v>45250</v>
      </c>
      <c r="L43" s="5">
        <v>48265</v>
      </c>
    </row>
    <row r="44" spans="2:20" s="5" customFormat="1" x14ac:dyDescent="0.25">
      <c r="B44" s="5" t="s">
        <v>49</v>
      </c>
      <c r="J44" s="5">
        <v>15047</v>
      </c>
      <c r="L44" s="5">
        <v>26315</v>
      </c>
    </row>
    <row r="45" spans="2:20" s="5" customFormat="1" x14ac:dyDescent="0.25">
      <c r="B45" s="5" t="s">
        <v>50</v>
      </c>
      <c r="J45" s="5">
        <v>16928</v>
      </c>
      <c r="L45" s="5">
        <v>403438</v>
      </c>
    </row>
    <row r="46" spans="2:20" s="5" customFormat="1" x14ac:dyDescent="0.25">
      <c r="B46" s="5" t="s">
        <v>51</v>
      </c>
      <c r="J46" s="5">
        <v>63063</v>
      </c>
      <c r="L46" s="5">
        <v>633247</v>
      </c>
    </row>
    <row r="47" spans="2:20" s="5" customFormat="1" x14ac:dyDescent="0.25">
      <c r="B47" s="5" t="s">
        <v>52</v>
      </c>
      <c r="J47" s="5">
        <v>40825</v>
      </c>
      <c r="L47" s="5">
        <v>62364</v>
      </c>
    </row>
    <row r="48" spans="2:20" s="5" customFormat="1" x14ac:dyDescent="0.25">
      <c r="B48" s="5" t="s">
        <v>53</v>
      </c>
      <c r="J48" s="5">
        <v>24969</v>
      </c>
      <c r="L48" s="5">
        <f>26406+23568</f>
        <v>49974</v>
      </c>
    </row>
    <row r="49" spans="2:18" s="7" customFormat="1" x14ac:dyDescent="0.25">
      <c r="B49" s="7" t="s">
        <v>54</v>
      </c>
      <c r="C49" s="7">
        <f t="shared" ref="C49:K49" si="29">SUM(C39:C48)</f>
        <v>0</v>
      </c>
      <c r="D49" s="7">
        <f t="shared" si="29"/>
        <v>0</v>
      </c>
      <c r="E49" s="7">
        <f t="shared" si="29"/>
        <v>0</v>
      </c>
      <c r="F49" s="7">
        <f t="shared" si="29"/>
        <v>0</v>
      </c>
      <c r="G49" s="7">
        <f t="shared" si="29"/>
        <v>0</v>
      </c>
      <c r="H49" s="7">
        <f t="shared" si="29"/>
        <v>0</v>
      </c>
      <c r="I49" s="7">
        <f t="shared" si="29"/>
        <v>0</v>
      </c>
      <c r="J49" s="7">
        <f t="shared" si="29"/>
        <v>549213</v>
      </c>
      <c r="K49" s="7">
        <f t="shared" si="29"/>
        <v>0</v>
      </c>
      <c r="L49" s="7">
        <f>SUM(L39:L48)</f>
        <v>1774913</v>
      </c>
      <c r="M49" s="7">
        <f t="shared" ref="M49:R49" si="30">SUM(M39:M48)</f>
        <v>0</v>
      </c>
      <c r="N49" s="7">
        <f t="shared" si="30"/>
        <v>0</v>
      </c>
      <c r="O49" s="7">
        <f t="shared" si="30"/>
        <v>0</v>
      </c>
      <c r="P49" s="7">
        <f t="shared" si="30"/>
        <v>0</v>
      </c>
      <c r="Q49" s="7">
        <f t="shared" si="30"/>
        <v>0</v>
      </c>
      <c r="R49" s="7">
        <f t="shared" si="30"/>
        <v>0</v>
      </c>
    </row>
    <row r="50" spans="2:18" s="5" customFormat="1" x14ac:dyDescent="0.25">
      <c r="B50" s="5" t="s">
        <v>55</v>
      </c>
      <c r="J50" s="5">
        <v>206920</v>
      </c>
      <c r="L50" s="5">
        <v>290475</v>
      </c>
    </row>
    <row r="51" spans="2:18" s="5" customFormat="1" x14ac:dyDescent="0.25">
      <c r="B51" s="5" t="s">
        <v>56</v>
      </c>
      <c r="J51" s="5">
        <v>19430</v>
      </c>
      <c r="L51" s="5">
        <v>42462</v>
      </c>
    </row>
    <row r="52" spans="2:18" s="5" customFormat="1" x14ac:dyDescent="0.25">
      <c r="B52" s="5" t="s">
        <v>57</v>
      </c>
      <c r="J52" s="5">
        <v>6932</v>
      </c>
      <c r="L52" s="5">
        <v>11517</v>
      </c>
    </row>
    <row r="53" spans="2:18" s="5" customFormat="1" x14ac:dyDescent="0.25">
      <c r="B53" s="5" t="s">
        <v>58</v>
      </c>
      <c r="L53" s="5">
        <v>17562</v>
      </c>
    </row>
    <row r="54" spans="2:18" s="5" customFormat="1" x14ac:dyDescent="0.25">
      <c r="B54" s="5" t="s">
        <v>59</v>
      </c>
      <c r="J54" s="5">
        <v>56189</v>
      </c>
      <c r="L54" s="5">
        <v>140597</v>
      </c>
    </row>
    <row r="55" spans="2:18" s="5" customFormat="1" x14ac:dyDescent="0.25">
      <c r="B55" s="5" t="s">
        <v>60</v>
      </c>
      <c r="L55" s="5">
        <v>602962</v>
      </c>
    </row>
    <row r="56" spans="2:18" s="5" customFormat="1" x14ac:dyDescent="0.25">
      <c r="B56" s="5" t="s">
        <v>61</v>
      </c>
      <c r="J56" s="5">
        <v>11783</v>
      </c>
      <c r="L56" s="5">
        <v>19619</v>
      </c>
    </row>
    <row r="57" spans="2:18" s="5" customFormat="1" x14ac:dyDescent="0.25">
      <c r="B57" s="5" t="s">
        <v>62</v>
      </c>
      <c r="J57" s="5">
        <v>1554</v>
      </c>
      <c r="L57" s="5">
        <v>67218</v>
      </c>
    </row>
    <row r="58" spans="2:18" s="5" customFormat="1" x14ac:dyDescent="0.25">
      <c r="B58" s="5" t="s">
        <v>63</v>
      </c>
      <c r="J58" s="5">
        <v>9343</v>
      </c>
      <c r="L58" s="5">
        <v>38395</v>
      </c>
    </row>
    <row r="59" spans="2:18" s="5" customFormat="1" x14ac:dyDescent="0.25">
      <c r="B59" s="5" t="s">
        <v>64</v>
      </c>
      <c r="J59" s="5">
        <v>5719</v>
      </c>
      <c r="L59" s="5">
        <v>12144</v>
      </c>
    </row>
    <row r="60" spans="2:18" s="7" customFormat="1" x14ac:dyDescent="0.25">
      <c r="B60" s="7" t="s">
        <v>65</v>
      </c>
      <c r="C60" s="7">
        <f t="shared" ref="C60:K60" si="31">SUM(C50:C59)</f>
        <v>0</v>
      </c>
      <c r="D60" s="7">
        <f t="shared" si="31"/>
        <v>0</v>
      </c>
      <c r="E60" s="7">
        <f t="shared" si="31"/>
        <v>0</v>
      </c>
      <c r="F60" s="7">
        <f t="shared" si="31"/>
        <v>0</v>
      </c>
      <c r="G60" s="7">
        <f t="shared" si="31"/>
        <v>0</v>
      </c>
      <c r="H60" s="7">
        <f t="shared" si="31"/>
        <v>0</v>
      </c>
      <c r="I60" s="7">
        <f t="shared" si="31"/>
        <v>0</v>
      </c>
      <c r="J60" s="7">
        <f t="shared" si="31"/>
        <v>317870</v>
      </c>
      <c r="K60" s="7">
        <f t="shared" si="31"/>
        <v>0</v>
      </c>
      <c r="L60" s="7">
        <f>SUM(L50:L59)</f>
        <v>1242951</v>
      </c>
      <c r="M60" s="7">
        <f t="shared" ref="M60:R60" si="32">SUM(M50:M59)</f>
        <v>0</v>
      </c>
      <c r="N60" s="7">
        <f t="shared" si="32"/>
        <v>0</v>
      </c>
      <c r="O60" s="7">
        <f t="shared" si="32"/>
        <v>0</v>
      </c>
      <c r="P60" s="7">
        <f t="shared" si="32"/>
        <v>0</v>
      </c>
      <c r="Q60" s="7">
        <f t="shared" si="32"/>
        <v>0</v>
      </c>
      <c r="R60" s="7">
        <f t="shared" si="32"/>
        <v>0</v>
      </c>
    </row>
    <row r="61" spans="2:18" s="5" customFormat="1" x14ac:dyDescent="0.25">
      <c r="B61" s="5" t="s">
        <v>66</v>
      </c>
      <c r="J61" s="5">
        <v>231343</v>
      </c>
      <c r="L61" s="5">
        <v>531962</v>
      </c>
    </row>
    <row r="62" spans="2:18" s="7" customFormat="1" x14ac:dyDescent="0.25">
      <c r="B62" s="7" t="s">
        <v>67</v>
      </c>
      <c r="C62" s="7">
        <f t="shared" ref="C62:K62" si="33">+C60+C61</f>
        <v>0</v>
      </c>
      <c r="D62" s="7">
        <f t="shared" si="33"/>
        <v>0</v>
      </c>
      <c r="E62" s="7">
        <f t="shared" si="33"/>
        <v>0</v>
      </c>
      <c r="F62" s="7">
        <f t="shared" si="33"/>
        <v>0</v>
      </c>
      <c r="G62" s="7">
        <f t="shared" si="33"/>
        <v>0</v>
      </c>
      <c r="H62" s="7">
        <f t="shared" si="33"/>
        <v>0</v>
      </c>
      <c r="I62" s="7">
        <f t="shared" si="33"/>
        <v>0</v>
      </c>
      <c r="J62" s="7">
        <f t="shared" si="33"/>
        <v>549213</v>
      </c>
      <c r="K62" s="7">
        <f t="shared" si="33"/>
        <v>0</v>
      </c>
      <c r="L62" s="7">
        <f>+L60+L61</f>
        <v>1774913</v>
      </c>
      <c r="M62" s="7">
        <f t="shared" ref="M62:R62" si="34">+M60+M61</f>
        <v>0</v>
      </c>
      <c r="N62" s="7">
        <f t="shared" si="34"/>
        <v>0</v>
      </c>
      <c r="O62" s="7">
        <f t="shared" si="34"/>
        <v>0</v>
      </c>
      <c r="P62" s="7">
        <f t="shared" si="34"/>
        <v>0</v>
      </c>
      <c r="Q62" s="7">
        <f t="shared" si="34"/>
        <v>0</v>
      </c>
      <c r="R62" s="7">
        <f t="shared" si="34"/>
        <v>0</v>
      </c>
    </row>
    <row r="63" spans="2:18" x14ac:dyDescent="0.25">
      <c r="L63" s="7"/>
    </row>
    <row r="66" spans="2:18" x14ac:dyDescent="0.25">
      <c r="B66" s="3" t="s">
        <v>78</v>
      </c>
      <c r="C66" s="5">
        <f>C19</f>
        <v>0</v>
      </c>
      <c r="D66" s="5">
        <f t="shared" ref="D66:R66" si="35">D19</f>
        <v>0</v>
      </c>
      <c r="E66" s="5">
        <f t="shared" si="35"/>
        <v>0</v>
      </c>
      <c r="F66" s="5">
        <f t="shared" si="35"/>
        <v>0</v>
      </c>
      <c r="G66" s="5">
        <f t="shared" si="35"/>
        <v>0</v>
      </c>
      <c r="H66" s="5">
        <f t="shared" si="35"/>
        <v>-2199</v>
      </c>
      <c r="I66" s="5">
        <f t="shared" si="35"/>
        <v>0</v>
      </c>
      <c r="J66" s="5">
        <f t="shared" si="35"/>
        <v>0</v>
      </c>
      <c r="K66" s="5">
        <f t="shared" si="35"/>
        <v>0</v>
      </c>
      <c r="L66" s="5">
        <f t="shared" si="35"/>
        <v>-14313</v>
      </c>
      <c r="M66" s="5">
        <f t="shared" si="35"/>
        <v>0</v>
      </c>
      <c r="N66" s="5">
        <f t="shared" si="35"/>
        <v>0</v>
      </c>
      <c r="O66" s="5">
        <f t="shared" si="35"/>
        <v>0</v>
      </c>
      <c r="P66" s="5">
        <f t="shared" si="35"/>
        <v>0</v>
      </c>
      <c r="Q66" s="5">
        <f t="shared" si="35"/>
        <v>0</v>
      </c>
      <c r="R66" s="5">
        <f t="shared" si="35"/>
        <v>0</v>
      </c>
    </row>
    <row r="67" spans="2:18" s="5" customFormat="1" x14ac:dyDescent="0.25">
      <c r="B67" s="5" t="s">
        <v>79</v>
      </c>
      <c r="H67" s="5">
        <v>-2199</v>
      </c>
      <c r="L67" s="5">
        <v>-14313</v>
      </c>
    </row>
    <row r="68" spans="2:18" s="5" customFormat="1" x14ac:dyDescent="0.25">
      <c r="B68" s="5" t="s">
        <v>80</v>
      </c>
      <c r="L68" s="5">
        <v>-1225</v>
      </c>
    </row>
    <row r="69" spans="2:18" s="5" customFormat="1" x14ac:dyDescent="0.25">
      <c r="B69" s="5" t="s">
        <v>81</v>
      </c>
      <c r="H69" s="5">
        <v>1478</v>
      </c>
      <c r="L69" s="5">
        <v>2961</v>
      </c>
    </row>
    <row r="70" spans="2:18" s="5" customFormat="1" x14ac:dyDescent="0.25">
      <c r="B70" s="5" t="s">
        <v>82</v>
      </c>
      <c r="H70" s="5">
        <v>2421</v>
      </c>
      <c r="L70" s="5">
        <v>2303</v>
      </c>
    </row>
    <row r="71" spans="2:18" s="5" customFormat="1" x14ac:dyDescent="0.25">
      <c r="B71" s="5" t="s">
        <v>83</v>
      </c>
      <c r="H71" s="5">
        <v>852</v>
      </c>
      <c r="L71" s="5">
        <v>13073</v>
      </c>
    </row>
    <row r="72" spans="2:18" s="5" customFormat="1" x14ac:dyDescent="0.25">
      <c r="B72" s="5" t="s">
        <v>84</v>
      </c>
      <c r="H72" s="5">
        <v>-638</v>
      </c>
      <c r="L72" s="5">
        <v>-296</v>
      </c>
    </row>
    <row r="73" spans="2:18" s="5" customFormat="1" x14ac:dyDescent="0.25">
      <c r="B73" s="5" t="s">
        <v>85</v>
      </c>
      <c r="H73" s="5">
        <v>4508</v>
      </c>
      <c r="L73" s="5">
        <v>3790</v>
      </c>
    </row>
    <row r="74" spans="2:18" s="5" customFormat="1" x14ac:dyDescent="0.25">
      <c r="B74" s="5" t="s">
        <v>86</v>
      </c>
      <c r="H74" s="5">
        <v>1291</v>
      </c>
      <c r="L74" s="5">
        <v>2891</v>
      </c>
    </row>
    <row r="75" spans="2:18" s="5" customFormat="1" x14ac:dyDescent="0.25">
      <c r="B75" s="5" t="s">
        <v>87</v>
      </c>
      <c r="H75" s="5">
        <v>740</v>
      </c>
      <c r="L75" s="5">
        <v>1166</v>
      </c>
    </row>
    <row r="76" spans="2:18" s="5" customFormat="1" x14ac:dyDescent="0.25">
      <c r="B76" s="5" t="s">
        <v>88</v>
      </c>
      <c r="L76" s="5">
        <v>1244</v>
      </c>
    </row>
    <row r="77" spans="2:18" s="5" customFormat="1" x14ac:dyDescent="0.25">
      <c r="B77" s="5" t="s">
        <v>89</v>
      </c>
      <c r="H77" s="5">
        <v>-4568</v>
      </c>
      <c r="L77" s="5">
        <v>-14061</v>
      </c>
    </row>
    <row r="78" spans="2:18" s="5" customFormat="1" x14ac:dyDescent="0.25">
      <c r="B78" s="5" t="s">
        <v>26</v>
      </c>
    </row>
    <row r="79" spans="2:18" s="5" customFormat="1" x14ac:dyDescent="0.25">
      <c r="B79" s="5" t="s">
        <v>90</v>
      </c>
      <c r="H79" s="5">
        <v>-78</v>
      </c>
      <c r="L79" s="5">
        <v>2457</v>
      </c>
    </row>
    <row r="80" spans="2:18" s="5" customFormat="1" x14ac:dyDescent="0.25">
      <c r="B80" s="5" t="s">
        <v>91</v>
      </c>
      <c r="H80" s="5">
        <v>26</v>
      </c>
      <c r="L80" s="5">
        <v>-5</v>
      </c>
    </row>
    <row r="81" spans="2:18" s="5" customFormat="1" x14ac:dyDescent="0.25">
      <c r="B81" s="5" t="s">
        <v>46</v>
      </c>
      <c r="H81" s="5">
        <v>1683</v>
      </c>
      <c r="L81" s="5">
        <v>967</v>
      </c>
    </row>
    <row r="82" spans="2:18" s="5" customFormat="1" x14ac:dyDescent="0.25">
      <c r="B82" s="5" t="s">
        <v>47</v>
      </c>
      <c r="H82" s="5">
        <v>-1652</v>
      </c>
      <c r="L82" s="5">
        <v>7443</v>
      </c>
    </row>
    <row r="83" spans="2:18" s="5" customFormat="1" x14ac:dyDescent="0.25">
      <c r="B83" s="5" t="s">
        <v>92</v>
      </c>
      <c r="H83" s="5">
        <v>-1481</v>
      </c>
      <c r="L83" s="5">
        <v>20224</v>
      </c>
    </row>
    <row r="84" spans="2:18" s="5" customFormat="1" x14ac:dyDescent="0.25">
      <c r="B84" s="5" t="s">
        <v>93</v>
      </c>
      <c r="H84" s="5">
        <v>-1218</v>
      </c>
      <c r="L84" s="5">
        <v>-2812</v>
      </c>
    </row>
    <row r="85" spans="2:18" s="5" customFormat="1" x14ac:dyDescent="0.25">
      <c r="B85" s="5" t="s">
        <v>57</v>
      </c>
      <c r="H85" s="5">
        <v>-345</v>
      </c>
      <c r="L85" s="5">
        <v>-2020</v>
      </c>
    </row>
    <row r="86" spans="2:18" s="5" customFormat="1" x14ac:dyDescent="0.25">
      <c r="B86" s="5" t="s">
        <v>94</v>
      </c>
      <c r="H86" s="5">
        <v>2811</v>
      </c>
      <c r="L86" s="5">
        <v>1257</v>
      </c>
    </row>
    <row r="87" spans="2:18" s="7" customFormat="1" x14ac:dyDescent="0.25">
      <c r="B87" s="7" t="s">
        <v>95</v>
      </c>
      <c r="C87" s="7">
        <f t="shared" ref="C87:K87" si="36">SUM(C67:C86)</f>
        <v>0</v>
      </c>
      <c r="D87" s="7">
        <f t="shared" si="36"/>
        <v>0</v>
      </c>
      <c r="E87" s="7">
        <f t="shared" si="36"/>
        <v>0</v>
      </c>
      <c r="F87" s="7">
        <f t="shared" si="36"/>
        <v>0</v>
      </c>
      <c r="G87" s="7">
        <f t="shared" si="36"/>
        <v>0</v>
      </c>
      <c r="H87" s="7">
        <f t="shared" si="36"/>
        <v>3631</v>
      </c>
      <c r="I87" s="7">
        <f t="shared" si="36"/>
        <v>0</v>
      </c>
      <c r="J87" s="7">
        <f t="shared" si="36"/>
        <v>0</v>
      </c>
      <c r="K87" s="7">
        <f t="shared" si="36"/>
        <v>0</v>
      </c>
      <c r="L87" s="7">
        <f>SUM(L67:L86)</f>
        <v>25044</v>
      </c>
      <c r="M87" s="7">
        <f t="shared" ref="M87:R87" si="37">SUM(M67:M86)</f>
        <v>0</v>
      </c>
      <c r="N87" s="7">
        <f t="shared" si="37"/>
        <v>0</v>
      </c>
      <c r="O87" s="7">
        <f t="shared" si="37"/>
        <v>0</v>
      </c>
      <c r="P87" s="7">
        <f t="shared" si="37"/>
        <v>0</v>
      </c>
      <c r="Q87" s="7">
        <f t="shared" si="37"/>
        <v>0</v>
      </c>
      <c r="R87" s="7">
        <f t="shared" si="37"/>
        <v>0</v>
      </c>
    </row>
    <row r="88" spans="2:18" s="5" customFormat="1" x14ac:dyDescent="0.25">
      <c r="B88" s="5" t="s">
        <v>96</v>
      </c>
    </row>
    <row r="89" spans="2:18" s="5" customFormat="1" x14ac:dyDescent="0.25">
      <c r="B89" s="5" t="s">
        <v>97</v>
      </c>
      <c r="H89" s="5">
        <v>-805</v>
      </c>
      <c r="L89" s="5">
        <v>-1143</v>
      </c>
      <c r="N89" s="5">
        <f>-L89-L90</f>
        <v>5549</v>
      </c>
      <c r="O89" s="5">
        <f>-H89-H90</f>
        <v>3308</v>
      </c>
    </row>
    <row r="90" spans="2:18" s="5" customFormat="1" x14ac:dyDescent="0.25">
      <c r="B90" s="5" t="s">
        <v>98</v>
      </c>
      <c r="H90" s="5">
        <v>-2503</v>
      </c>
      <c r="L90" s="5">
        <v>-4406</v>
      </c>
    </row>
    <row r="91" spans="2:18" s="5" customFormat="1" x14ac:dyDescent="0.25">
      <c r="B91" s="5" t="s">
        <v>99</v>
      </c>
      <c r="H91" s="5">
        <v>-20434</v>
      </c>
      <c r="L91" s="5">
        <v>-1</v>
      </c>
    </row>
    <row r="92" spans="2:18" s="5" customFormat="1" x14ac:dyDescent="0.25">
      <c r="B92" s="5" t="s">
        <v>100</v>
      </c>
      <c r="H92" s="5">
        <v>27275</v>
      </c>
      <c r="L92" s="5">
        <v>3000</v>
      </c>
    </row>
    <row r="93" spans="2:18" s="5" customFormat="1" x14ac:dyDescent="0.25">
      <c r="B93" s="5" t="s">
        <v>91</v>
      </c>
      <c r="H93" s="5">
        <v>-63</v>
      </c>
      <c r="L93" s="5">
        <v>1</v>
      </c>
    </row>
    <row r="94" spans="2:18" s="7" customFormat="1" x14ac:dyDescent="0.25">
      <c r="B94" s="7" t="s">
        <v>101</v>
      </c>
      <c r="C94" s="7">
        <f t="shared" ref="C94:K94" si="38">SUM(C88:C93)</f>
        <v>0</v>
      </c>
      <c r="D94" s="7">
        <f t="shared" si="38"/>
        <v>0</v>
      </c>
      <c r="E94" s="7">
        <f t="shared" si="38"/>
        <v>0</v>
      </c>
      <c r="F94" s="7">
        <f t="shared" si="38"/>
        <v>0</v>
      </c>
      <c r="G94" s="7">
        <f t="shared" si="38"/>
        <v>0</v>
      </c>
      <c r="H94" s="7">
        <f t="shared" si="38"/>
        <v>3470</v>
      </c>
      <c r="I94" s="7">
        <f t="shared" si="38"/>
        <v>0</v>
      </c>
      <c r="J94" s="7">
        <f t="shared" si="38"/>
        <v>0</v>
      </c>
      <c r="K94" s="7">
        <f t="shared" si="38"/>
        <v>0</v>
      </c>
      <c r="L94" s="7">
        <f>SUM(L88:L93)</f>
        <v>-2549</v>
      </c>
      <c r="M94" s="7">
        <f t="shared" ref="M94:R94" si="39">SUM(M88:M93)</f>
        <v>0</v>
      </c>
      <c r="N94" s="7">
        <f t="shared" si="39"/>
        <v>5549</v>
      </c>
      <c r="O94" s="7">
        <f t="shared" si="39"/>
        <v>3308</v>
      </c>
      <c r="P94" s="7">
        <f t="shared" si="39"/>
        <v>0</v>
      </c>
      <c r="Q94" s="7">
        <f t="shared" si="39"/>
        <v>0</v>
      </c>
      <c r="R94" s="7">
        <f t="shared" si="39"/>
        <v>0</v>
      </c>
    </row>
    <row r="95" spans="2:18" s="5" customFormat="1" x14ac:dyDescent="0.25">
      <c r="B95" s="5" t="s">
        <v>102</v>
      </c>
    </row>
    <row r="96" spans="2:18" s="5" customFormat="1" x14ac:dyDescent="0.25">
      <c r="B96" s="5" t="s">
        <v>103</v>
      </c>
      <c r="L96" s="5">
        <v>-7674</v>
      </c>
    </row>
    <row r="97" spans="2:18" s="5" customFormat="1" x14ac:dyDescent="0.25">
      <c r="B97" s="5" t="s">
        <v>104</v>
      </c>
      <c r="L97" s="5">
        <v>-2646</v>
      </c>
    </row>
    <row r="98" spans="2:18" s="5" customFormat="1" x14ac:dyDescent="0.25">
      <c r="B98" s="5" t="s">
        <v>105</v>
      </c>
    </row>
    <row r="99" spans="2:18" s="5" customFormat="1" x14ac:dyDescent="0.25">
      <c r="B99" s="5" t="s">
        <v>106</v>
      </c>
      <c r="H99" s="5">
        <v>-2207</v>
      </c>
      <c r="L99" s="5">
        <v>-198</v>
      </c>
    </row>
    <row r="100" spans="2:18" s="5" customFormat="1" x14ac:dyDescent="0.25">
      <c r="B100" s="5" t="s">
        <v>107</v>
      </c>
      <c r="H100" s="5">
        <v>-8</v>
      </c>
    </row>
    <row r="101" spans="2:18" s="5" customFormat="1" x14ac:dyDescent="0.25">
      <c r="B101" s="5" t="s">
        <v>91</v>
      </c>
      <c r="L101" s="5">
        <v>-23</v>
      </c>
    </row>
    <row r="102" spans="2:18" s="7" customFormat="1" x14ac:dyDescent="0.25">
      <c r="B102" s="7" t="s">
        <v>108</v>
      </c>
      <c r="C102" s="7">
        <f t="shared" ref="C102:K102" si="40">SUM(C95:C101)</f>
        <v>0</v>
      </c>
      <c r="D102" s="7">
        <f t="shared" si="40"/>
        <v>0</v>
      </c>
      <c r="E102" s="7">
        <f t="shared" si="40"/>
        <v>0</v>
      </c>
      <c r="F102" s="7">
        <f t="shared" si="40"/>
        <v>0</v>
      </c>
      <c r="G102" s="7">
        <f t="shared" si="40"/>
        <v>0</v>
      </c>
      <c r="H102" s="7">
        <f t="shared" si="40"/>
        <v>-2215</v>
      </c>
      <c r="I102" s="7">
        <f t="shared" si="40"/>
        <v>0</v>
      </c>
      <c r="J102" s="7">
        <f t="shared" si="40"/>
        <v>0</v>
      </c>
      <c r="K102" s="7">
        <f t="shared" si="40"/>
        <v>0</v>
      </c>
      <c r="L102" s="7">
        <f>SUM(L95:L101)</f>
        <v>-10541</v>
      </c>
      <c r="M102" s="7">
        <f t="shared" ref="M102:R102" si="41">SUM(M95:M101)</f>
        <v>0</v>
      </c>
      <c r="N102" s="7">
        <f t="shared" si="41"/>
        <v>0</v>
      </c>
      <c r="O102" s="7">
        <f t="shared" si="41"/>
        <v>0</v>
      </c>
      <c r="P102" s="7">
        <f t="shared" si="41"/>
        <v>0</v>
      </c>
      <c r="Q102" s="7">
        <f t="shared" si="41"/>
        <v>0</v>
      </c>
      <c r="R102" s="7">
        <f t="shared" si="41"/>
        <v>0</v>
      </c>
    </row>
    <row r="103" spans="2:18" s="5" customFormat="1" x14ac:dyDescent="0.25">
      <c r="B103" s="5" t="s">
        <v>109</v>
      </c>
      <c r="H103" s="5">
        <v>-755</v>
      </c>
      <c r="L103" s="5">
        <v>204</v>
      </c>
    </row>
    <row r="104" spans="2:18" s="7" customFormat="1" x14ac:dyDescent="0.25">
      <c r="B104" s="7" t="s">
        <v>110</v>
      </c>
      <c r="C104" s="7">
        <f t="shared" ref="C104:G104" si="42">C87+C94+C102+C103</f>
        <v>0</v>
      </c>
      <c r="D104" s="7">
        <f t="shared" si="42"/>
        <v>0</v>
      </c>
      <c r="E104" s="7">
        <f t="shared" si="42"/>
        <v>0</v>
      </c>
      <c r="F104" s="7">
        <f t="shared" si="42"/>
        <v>0</v>
      </c>
      <c r="G104" s="7">
        <f t="shared" si="42"/>
        <v>0</v>
      </c>
      <c r="H104" s="7">
        <f>H87+H94+H102+H103</f>
        <v>4131</v>
      </c>
      <c r="I104" s="7">
        <f t="shared" ref="I104:R104" si="43">I87+I94+I102+I103</f>
        <v>0</v>
      </c>
      <c r="J104" s="7">
        <f t="shared" si="43"/>
        <v>0</v>
      </c>
      <c r="K104" s="7">
        <f t="shared" si="43"/>
        <v>0</v>
      </c>
      <c r="L104" s="7">
        <f t="shared" si="43"/>
        <v>12158</v>
      </c>
      <c r="M104" s="7">
        <f t="shared" si="43"/>
        <v>0</v>
      </c>
      <c r="N104" s="7">
        <f t="shared" si="43"/>
        <v>5549</v>
      </c>
      <c r="O104" s="7">
        <f t="shared" si="43"/>
        <v>3308</v>
      </c>
      <c r="P104" s="7">
        <f t="shared" si="43"/>
        <v>0</v>
      </c>
      <c r="Q104" s="7">
        <f t="shared" si="43"/>
        <v>0</v>
      </c>
      <c r="R104" s="7">
        <f t="shared" si="43"/>
        <v>0</v>
      </c>
    </row>
    <row r="105" spans="2:18" s="5" customFormat="1" x14ac:dyDescent="0.25">
      <c r="B105" s="5" t="s">
        <v>111</v>
      </c>
      <c r="D105" s="5">
        <f>+C106</f>
        <v>0</v>
      </c>
      <c r="E105" s="5">
        <f t="shared" ref="E105:R105" si="44">+D106</f>
        <v>0</v>
      </c>
      <c r="F105" s="5">
        <f t="shared" si="44"/>
        <v>0</v>
      </c>
      <c r="G105" s="5">
        <f t="shared" si="44"/>
        <v>0</v>
      </c>
      <c r="H105" s="5">
        <f t="shared" si="44"/>
        <v>0</v>
      </c>
      <c r="I105" s="5">
        <f t="shared" si="44"/>
        <v>4131</v>
      </c>
      <c r="J105" s="5">
        <f t="shared" si="44"/>
        <v>4131</v>
      </c>
      <c r="K105" s="5">
        <f t="shared" si="44"/>
        <v>4131</v>
      </c>
      <c r="L105" s="5">
        <f t="shared" si="44"/>
        <v>4131</v>
      </c>
      <c r="M105" s="5">
        <f t="shared" si="44"/>
        <v>16289</v>
      </c>
      <c r="N105" s="5">
        <f t="shared" si="44"/>
        <v>16289</v>
      </c>
      <c r="O105" s="5">
        <f t="shared" si="44"/>
        <v>21838</v>
      </c>
      <c r="P105" s="5">
        <f t="shared" si="44"/>
        <v>25146</v>
      </c>
      <c r="Q105" s="5">
        <f t="shared" si="44"/>
        <v>25146</v>
      </c>
      <c r="R105" s="5">
        <f t="shared" si="44"/>
        <v>25146</v>
      </c>
    </row>
    <row r="106" spans="2:18" s="5" customFormat="1" x14ac:dyDescent="0.25">
      <c r="B106" s="5" t="s">
        <v>112</v>
      </c>
      <c r="C106" s="5">
        <f>+C104+C105</f>
        <v>0</v>
      </c>
      <c r="D106" s="5">
        <f>+D104+D105</f>
        <v>0</v>
      </c>
      <c r="E106" s="5">
        <f t="shared" ref="E106:R106" si="45">+E104+E105</f>
        <v>0</v>
      </c>
      <c r="F106" s="5">
        <f t="shared" si="45"/>
        <v>0</v>
      </c>
      <c r="G106" s="5">
        <f t="shared" si="45"/>
        <v>0</v>
      </c>
      <c r="H106" s="5">
        <f t="shared" si="45"/>
        <v>4131</v>
      </c>
      <c r="I106" s="5">
        <f t="shared" si="45"/>
        <v>4131</v>
      </c>
      <c r="J106" s="5">
        <f t="shared" si="45"/>
        <v>4131</v>
      </c>
      <c r="K106" s="5">
        <f t="shared" si="45"/>
        <v>4131</v>
      </c>
      <c r="L106" s="5">
        <f t="shared" si="45"/>
        <v>16289</v>
      </c>
      <c r="M106" s="5">
        <f t="shared" si="45"/>
        <v>16289</v>
      </c>
      <c r="N106" s="5">
        <f t="shared" si="45"/>
        <v>21838</v>
      </c>
      <c r="O106" s="5">
        <f t="shared" si="45"/>
        <v>25146</v>
      </c>
      <c r="P106" s="5">
        <f t="shared" si="45"/>
        <v>25146</v>
      </c>
      <c r="Q106" s="5">
        <f t="shared" si="45"/>
        <v>25146</v>
      </c>
      <c r="R106" s="5">
        <f t="shared" si="45"/>
        <v>25146</v>
      </c>
    </row>
    <row r="107" spans="2:18" s="5" customFormat="1" x14ac:dyDescent="0.25"/>
    <row r="108" spans="2:18" s="5" customFormat="1" x14ac:dyDescent="0.25"/>
    <row r="109" spans="2:18" s="5" customFormat="1" x14ac:dyDescent="0.25">
      <c r="B109" s="5" t="s">
        <v>113</v>
      </c>
      <c r="C109" s="5">
        <f t="shared" ref="C109:K109" si="46">C87+C89+C90</f>
        <v>0</v>
      </c>
      <c r="D109" s="5">
        <f t="shared" si="46"/>
        <v>0</v>
      </c>
      <c r="E109" s="5">
        <f t="shared" si="46"/>
        <v>0</v>
      </c>
      <c r="F109" s="5">
        <f t="shared" si="46"/>
        <v>0</v>
      </c>
      <c r="G109" s="5">
        <f t="shared" si="46"/>
        <v>0</v>
      </c>
      <c r="H109" s="5">
        <f t="shared" si="46"/>
        <v>323</v>
      </c>
      <c r="I109" s="5">
        <f t="shared" si="46"/>
        <v>0</v>
      </c>
      <c r="J109" s="5">
        <f t="shared" si="46"/>
        <v>0</v>
      </c>
      <c r="K109" s="5">
        <f t="shared" si="46"/>
        <v>0</v>
      </c>
      <c r="L109" s="5">
        <f>L87+L89+L90</f>
        <v>19495</v>
      </c>
      <c r="M109" s="5">
        <f t="shared" ref="M109:R109" si="47">M87+M89+M90</f>
        <v>0</v>
      </c>
      <c r="N109" s="5">
        <f t="shared" si="47"/>
        <v>5549</v>
      </c>
      <c r="O109" s="5">
        <f t="shared" si="47"/>
        <v>3308</v>
      </c>
      <c r="P109" s="5">
        <f t="shared" si="47"/>
        <v>0</v>
      </c>
      <c r="Q109" s="5">
        <f t="shared" si="47"/>
        <v>0</v>
      </c>
      <c r="R109" s="5">
        <f t="shared" si="47"/>
        <v>0</v>
      </c>
    </row>
    <row r="110" spans="2:18" s="9" customFormat="1" x14ac:dyDescent="0.25">
      <c r="B110" s="9" t="s">
        <v>114</v>
      </c>
      <c r="C110" s="9" t="e">
        <f t="shared" ref="C110:K110" si="48">+(-C89-C90)/C67</f>
        <v>#DIV/0!</v>
      </c>
      <c r="D110" s="9" t="e">
        <f t="shared" si="48"/>
        <v>#DIV/0!</v>
      </c>
      <c r="E110" s="9" t="e">
        <f t="shared" si="48"/>
        <v>#DIV/0!</v>
      </c>
      <c r="F110" s="9" t="e">
        <f t="shared" si="48"/>
        <v>#DIV/0!</v>
      </c>
      <c r="G110" s="9" t="e">
        <f t="shared" si="48"/>
        <v>#DIV/0!</v>
      </c>
      <c r="H110" s="9">
        <f t="shared" si="48"/>
        <v>-1.5043201455206912</v>
      </c>
      <c r="I110" s="9" t="e">
        <f t="shared" si="48"/>
        <v>#DIV/0!</v>
      </c>
      <c r="J110" s="9" t="e">
        <f t="shared" si="48"/>
        <v>#DIV/0!</v>
      </c>
      <c r="K110" s="9" t="e">
        <f t="shared" si="48"/>
        <v>#DIV/0!</v>
      </c>
      <c r="L110" s="9">
        <f>+(-L89-L90)/L67</f>
        <v>-0.38768951303011251</v>
      </c>
      <c r="M110" s="9" t="e">
        <f t="shared" ref="M110:R110" si="49">+(-M89-M90)/M67</f>
        <v>#DIV/0!</v>
      </c>
      <c r="N110" s="9" t="e">
        <f t="shared" si="49"/>
        <v>#DIV/0!</v>
      </c>
      <c r="O110" s="9" t="e">
        <f t="shared" si="49"/>
        <v>#DIV/0!</v>
      </c>
      <c r="P110" s="9" t="e">
        <f t="shared" si="49"/>
        <v>#DIV/0!</v>
      </c>
      <c r="Q110" s="9" t="e">
        <f t="shared" si="49"/>
        <v>#DIV/0!</v>
      </c>
      <c r="R110" s="9" t="e">
        <f t="shared" si="49"/>
        <v>#DIV/0!</v>
      </c>
    </row>
    <row r="111" spans="2:18" s="9" customFormat="1" x14ac:dyDescent="0.25">
      <c r="B111" s="9" t="s">
        <v>115</v>
      </c>
      <c r="C111" s="9" t="e">
        <f t="shared" ref="C111:K111" si="50">C109/C3</f>
        <v>#DIV/0!</v>
      </c>
      <c r="D111" s="9" t="e">
        <f t="shared" si="50"/>
        <v>#DIV/0!</v>
      </c>
      <c r="E111" s="9" t="e">
        <f t="shared" si="50"/>
        <v>#DIV/0!</v>
      </c>
      <c r="F111" s="9" t="e">
        <f t="shared" si="50"/>
        <v>#DIV/0!</v>
      </c>
      <c r="G111" s="9" t="e">
        <f t="shared" si="50"/>
        <v>#DIV/0!</v>
      </c>
      <c r="H111" s="9">
        <f t="shared" si="50"/>
        <v>1.5083026691820611E-3</v>
      </c>
      <c r="I111" s="9" t="e">
        <f t="shared" si="50"/>
        <v>#DIV/0!</v>
      </c>
      <c r="J111" s="9" t="e">
        <f t="shared" si="50"/>
        <v>#DIV/0!</v>
      </c>
      <c r="K111" s="9" t="e">
        <f t="shared" si="50"/>
        <v>#DIV/0!</v>
      </c>
      <c r="L111" s="9">
        <f>L109/L3</f>
        <v>5.6820831487397111E-2</v>
      </c>
      <c r="M111" s="9" t="e">
        <f t="shared" ref="M111:R111" si="51">M109/M3</f>
        <v>#DIV/0!</v>
      </c>
      <c r="N111" s="9" t="e">
        <f t="shared" si="51"/>
        <v>#DIV/0!</v>
      </c>
      <c r="O111" s="9" t="e">
        <f t="shared" si="51"/>
        <v>#DIV/0!</v>
      </c>
      <c r="P111" s="9" t="e">
        <f t="shared" si="51"/>
        <v>#DIV/0!</v>
      </c>
      <c r="Q111" s="9" t="e">
        <f t="shared" si="51"/>
        <v>#DIV/0!</v>
      </c>
      <c r="R111" s="9" t="e">
        <f t="shared" si="51"/>
        <v>#DIV/0!</v>
      </c>
    </row>
    <row r="112" spans="2:18" s="9" customFormat="1" x14ac:dyDescent="0.25">
      <c r="B112" s="9" t="s">
        <v>116</v>
      </c>
      <c r="G112" s="9" t="e">
        <f t="shared" ref="G112:K112" si="52">G109/C109-1</f>
        <v>#DIV/0!</v>
      </c>
      <c r="H112" s="9" t="e">
        <f t="shared" si="52"/>
        <v>#DIV/0!</v>
      </c>
      <c r="I112" s="9" t="e">
        <f t="shared" si="52"/>
        <v>#DIV/0!</v>
      </c>
      <c r="J112" s="9" t="e">
        <f t="shared" si="52"/>
        <v>#DIV/0!</v>
      </c>
      <c r="K112" s="9" t="e">
        <f t="shared" si="52"/>
        <v>#DIV/0!</v>
      </c>
      <c r="L112" s="9">
        <f>L109/H109-1</f>
        <v>59.356037151702786</v>
      </c>
      <c r="M112" s="9" t="e">
        <f t="shared" ref="M112:R112" si="53">M109/I109-1</f>
        <v>#DIV/0!</v>
      </c>
      <c r="N112" s="9" t="e">
        <f t="shared" si="53"/>
        <v>#DIV/0!</v>
      </c>
      <c r="O112" s="9" t="e">
        <f t="shared" si="53"/>
        <v>#DIV/0!</v>
      </c>
      <c r="P112" s="9">
        <f t="shared" si="53"/>
        <v>-1</v>
      </c>
      <c r="Q112" s="9" t="e">
        <f t="shared" si="53"/>
        <v>#DIV/0!</v>
      </c>
      <c r="R112" s="9">
        <f t="shared" si="53"/>
        <v>-1</v>
      </c>
    </row>
    <row r="116" spans="2:18" s="5" customFormat="1" x14ac:dyDescent="0.25">
      <c r="B116" s="5" t="s">
        <v>79</v>
      </c>
      <c r="C116" s="5">
        <f t="shared" ref="C116:Q116" si="54">C19</f>
        <v>0</v>
      </c>
      <c r="D116" s="5">
        <f t="shared" si="54"/>
        <v>0</v>
      </c>
      <c r="E116" s="5">
        <f t="shared" si="54"/>
        <v>0</v>
      </c>
      <c r="F116" s="5">
        <f t="shared" si="54"/>
        <v>0</v>
      </c>
      <c r="G116" s="5">
        <f t="shared" si="54"/>
        <v>0</v>
      </c>
      <c r="H116" s="5">
        <f t="shared" si="54"/>
        <v>-2199</v>
      </c>
      <c r="I116" s="5">
        <f t="shared" si="54"/>
        <v>0</v>
      </c>
      <c r="J116" s="5">
        <f t="shared" si="54"/>
        <v>0</v>
      </c>
      <c r="K116" s="5">
        <f t="shared" si="54"/>
        <v>0</v>
      </c>
      <c r="L116" s="5">
        <f t="shared" si="54"/>
        <v>-14313</v>
      </c>
      <c r="M116" s="5">
        <f t="shared" si="54"/>
        <v>0</v>
      </c>
      <c r="N116" s="5">
        <f t="shared" si="54"/>
        <v>0</v>
      </c>
      <c r="O116" s="5">
        <f t="shared" si="54"/>
        <v>0</v>
      </c>
      <c r="P116" s="5">
        <f t="shared" si="54"/>
        <v>0</v>
      </c>
      <c r="Q116" s="5">
        <f t="shared" si="54"/>
        <v>0</v>
      </c>
      <c r="R116" s="5">
        <f>R19</f>
        <v>0</v>
      </c>
    </row>
    <row r="117" spans="2:18" s="5" customFormat="1" x14ac:dyDescent="0.25">
      <c r="B117" s="5" t="s">
        <v>30</v>
      </c>
      <c r="C117" s="5">
        <f t="shared" ref="C117:Q117" si="55">-C15</f>
        <v>0</v>
      </c>
      <c r="D117" s="5">
        <f t="shared" si="55"/>
        <v>0</v>
      </c>
      <c r="E117" s="5">
        <f t="shared" si="55"/>
        <v>0</v>
      </c>
      <c r="F117" s="5">
        <f t="shared" si="55"/>
        <v>0</v>
      </c>
      <c r="G117" s="5">
        <f t="shared" si="55"/>
        <v>0</v>
      </c>
      <c r="H117" s="5">
        <f t="shared" si="55"/>
        <v>569</v>
      </c>
      <c r="I117" s="5">
        <f t="shared" si="55"/>
        <v>0</v>
      </c>
      <c r="J117" s="5">
        <f t="shared" si="55"/>
        <v>0</v>
      </c>
      <c r="K117" s="5">
        <f t="shared" si="55"/>
        <v>0</v>
      </c>
      <c r="L117" s="5">
        <f t="shared" si="55"/>
        <v>17524</v>
      </c>
      <c r="M117" s="5">
        <f t="shared" si="55"/>
        <v>0</v>
      </c>
      <c r="N117" s="5">
        <f t="shared" si="55"/>
        <v>0</v>
      </c>
      <c r="O117" s="5">
        <f t="shared" si="55"/>
        <v>0</v>
      </c>
      <c r="P117" s="5">
        <f t="shared" si="55"/>
        <v>0</v>
      </c>
      <c r="Q117" s="5">
        <f t="shared" si="55"/>
        <v>0</v>
      </c>
      <c r="R117" s="5">
        <f>-R15</f>
        <v>0</v>
      </c>
    </row>
    <row r="118" spans="2:18" s="5" customFormat="1" x14ac:dyDescent="0.25">
      <c r="B118" s="5" t="s">
        <v>31</v>
      </c>
      <c r="C118" s="5">
        <f t="shared" ref="C118:Q118" si="56">-C16</f>
        <v>0</v>
      </c>
      <c r="D118" s="5">
        <f t="shared" si="56"/>
        <v>0</v>
      </c>
      <c r="E118" s="5">
        <f t="shared" si="56"/>
        <v>0</v>
      </c>
      <c r="F118" s="5">
        <f t="shared" si="56"/>
        <v>0</v>
      </c>
      <c r="G118" s="5">
        <f t="shared" si="56"/>
        <v>0</v>
      </c>
      <c r="H118" s="5">
        <f t="shared" si="56"/>
        <v>-2746</v>
      </c>
      <c r="I118" s="5">
        <f t="shared" si="56"/>
        <v>0</v>
      </c>
      <c r="J118" s="5">
        <f t="shared" si="56"/>
        <v>0</v>
      </c>
      <c r="K118" s="5">
        <f t="shared" si="56"/>
        <v>0</v>
      </c>
      <c r="L118" s="5">
        <f t="shared" si="56"/>
        <v>281</v>
      </c>
      <c r="M118" s="5">
        <f t="shared" si="56"/>
        <v>0</v>
      </c>
      <c r="N118" s="5">
        <f t="shared" si="56"/>
        <v>0</v>
      </c>
      <c r="O118" s="5">
        <f t="shared" si="56"/>
        <v>0</v>
      </c>
      <c r="P118" s="5">
        <f t="shared" si="56"/>
        <v>0</v>
      </c>
      <c r="Q118" s="5">
        <f t="shared" si="56"/>
        <v>0</v>
      </c>
      <c r="R118" s="5">
        <f>-R16</f>
        <v>0</v>
      </c>
    </row>
    <row r="119" spans="2:18" s="5" customFormat="1" x14ac:dyDescent="0.25">
      <c r="B119" s="5" t="s">
        <v>33</v>
      </c>
      <c r="C119" s="5">
        <f t="shared" ref="C119:Q119" si="57">C18</f>
        <v>0</v>
      </c>
      <c r="D119" s="5">
        <f t="shared" si="57"/>
        <v>0</v>
      </c>
      <c r="E119" s="5">
        <f t="shared" si="57"/>
        <v>0</v>
      </c>
      <c r="F119" s="5">
        <f t="shared" si="57"/>
        <v>0</v>
      </c>
      <c r="G119" s="5">
        <f t="shared" si="57"/>
        <v>0</v>
      </c>
      <c r="H119" s="5">
        <f t="shared" si="57"/>
        <v>-1251</v>
      </c>
      <c r="I119" s="5">
        <f t="shared" si="57"/>
        <v>0</v>
      </c>
      <c r="J119" s="5">
        <f t="shared" si="57"/>
        <v>0</v>
      </c>
      <c r="K119" s="5">
        <f t="shared" si="57"/>
        <v>0</v>
      </c>
      <c r="L119" s="5">
        <f t="shared" si="57"/>
        <v>-5751</v>
      </c>
      <c r="M119" s="5">
        <f t="shared" si="57"/>
        <v>0</v>
      </c>
      <c r="N119" s="5">
        <f t="shared" si="57"/>
        <v>0</v>
      </c>
      <c r="O119" s="5">
        <f t="shared" si="57"/>
        <v>0</v>
      </c>
      <c r="P119" s="5">
        <f t="shared" si="57"/>
        <v>0</v>
      </c>
      <c r="Q119" s="5">
        <f t="shared" si="57"/>
        <v>0</v>
      </c>
      <c r="R119" s="5">
        <f>R18</f>
        <v>0</v>
      </c>
    </row>
    <row r="120" spans="2:18" s="5" customFormat="1" x14ac:dyDescent="0.25">
      <c r="B120" s="5" t="s">
        <v>81</v>
      </c>
      <c r="C120" s="5">
        <f t="shared" ref="C120:K120" si="58">C69+C70+C71</f>
        <v>0</v>
      </c>
      <c r="D120" s="5">
        <f t="shared" si="58"/>
        <v>0</v>
      </c>
      <c r="E120" s="5">
        <f t="shared" si="58"/>
        <v>0</v>
      </c>
      <c r="F120" s="5">
        <f t="shared" si="58"/>
        <v>0</v>
      </c>
      <c r="G120" s="5">
        <f t="shared" si="58"/>
        <v>0</v>
      </c>
      <c r="H120" s="5">
        <f t="shared" si="58"/>
        <v>4751</v>
      </c>
      <c r="I120" s="5">
        <f t="shared" si="58"/>
        <v>0</v>
      </c>
      <c r="J120" s="5">
        <f t="shared" si="58"/>
        <v>0</v>
      </c>
      <c r="K120" s="5">
        <f t="shared" si="58"/>
        <v>0</v>
      </c>
      <c r="L120" s="5">
        <f>L69+L70+L71</f>
        <v>18337</v>
      </c>
      <c r="M120" s="5">
        <f t="shared" ref="M120:R120" si="59">M69+M70+M71</f>
        <v>0</v>
      </c>
      <c r="N120" s="5">
        <f t="shared" si="59"/>
        <v>0</v>
      </c>
      <c r="O120" s="5">
        <f t="shared" si="59"/>
        <v>0</v>
      </c>
      <c r="P120" s="5">
        <f t="shared" si="59"/>
        <v>0</v>
      </c>
      <c r="Q120" s="5">
        <f t="shared" si="59"/>
        <v>0</v>
      </c>
      <c r="R120" s="5">
        <f t="shared" si="59"/>
        <v>0</v>
      </c>
    </row>
    <row r="121" spans="2:18" s="5" customFormat="1" x14ac:dyDescent="0.25">
      <c r="B121" s="5" t="s">
        <v>85</v>
      </c>
      <c r="C121" s="5">
        <f t="shared" ref="C121:Q121" si="60">C73</f>
        <v>0</v>
      </c>
      <c r="D121" s="5">
        <f t="shared" si="60"/>
        <v>0</v>
      </c>
      <c r="E121" s="5">
        <f t="shared" si="60"/>
        <v>0</v>
      </c>
      <c r="F121" s="5">
        <f t="shared" si="60"/>
        <v>0</v>
      </c>
      <c r="G121" s="5">
        <f t="shared" si="60"/>
        <v>0</v>
      </c>
      <c r="H121" s="5">
        <f t="shared" si="60"/>
        <v>4508</v>
      </c>
      <c r="I121" s="5">
        <f t="shared" si="60"/>
        <v>0</v>
      </c>
      <c r="J121" s="5">
        <f t="shared" si="60"/>
        <v>0</v>
      </c>
      <c r="K121" s="5">
        <f t="shared" si="60"/>
        <v>0</v>
      </c>
      <c r="L121" s="5">
        <f t="shared" si="60"/>
        <v>3790</v>
      </c>
      <c r="M121" s="5">
        <f t="shared" si="60"/>
        <v>0</v>
      </c>
      <c r="N121" s="5">
        <f t="shared" si="60"/>
        <v>0</v>
      </c>
      <c r="O121" s="5">
        <f t="shared" si="60"/>
        <v>0</v>
      </c>
      <c r="P121" s="5">
        <f t="shared" si="60"/>
        <v>0</v>
      </c>
      <c r="Q121" s="5">
        <f t="shared" si="60"/>
        <v>0</v>
      </c>
      <c r="R121" s="5">
        <f>R73</f>
        <v>0</v>
      </c>
    </row>
    <row r="122" spans="2:18" s="5" customFormat="1" x14ac:dyDescent="0.25">
      <c r="B122" s="5" t="s">
        <v>96</v>
      </c>
      <c r="H122" s="5">
        <v>3202</v>
      </c>
      <c r="L122" s="5">
        <v>5434</v>
      </c>
    </row>
    <row r="123" spans="2:18" s="5" customFormat="1" x14ac:dyDescent="0.25">
      <c r="B123" s="5" t="s">
        <v>27</v>
      </c>
      <c r="C123" s="5">
        <f t="shared" ref="C123:Q123" si="61">C12</f>
        <v>0</v>
      </c>
      <c r="D123" s="5">
        <f t="shared" si="61"/>
        <v>0</v>
      </c>
      <c r="E123" s="5">
        <f t="shared" si="61"/>
        <v>0</v>
      </c>
      <c r="F123" s="5">
        <f t="shared" si="61"/>
        <v>0</v>
      </c>
      <c r="G123" s="5">
        <f t="shared" si="61"/>
        <v>0</v>
      </c>
      <c r="H123" s="5">
        <f t="shared" si="61"/>
        <v>575</v>
      </c>
      <c r="I123" s="5">
        <f t="shared" si="61"/>
        <v>0</v>
      </c>
      <c r="J123" s="5">
        <f t="shared" si="61"/>
        <v>0</v>
      </c>
      <c r="K123" s="5">
        <f t="shared" si="61"/>
        <v>0</v>
      </c>
      <c r="L123" s="5">
        <f t="shared" si="61"/>
        <v>1674</v>
      </c>
      <c r="M123" s="5">
        <f t="shared" si="61"/>
        <v>0</v>
      </c>
      <c r="N123" s="5">
        <f t="shared" si="61"/>
        <v>0</v>
      </c>
      <c r="O123" s="5">
        <f t="shared" si="61"/>
        <v>0</v>
      </c>
      <c r="P123" s="5">
        <f t="shared" si="61"/>
        <v>0</v>
      </c>
      <c r="Q123" s="5">
        <f t="shared" si="61"/>
        <v>0</v>
      </c>
      <c r="R123" s="5">
        <f>R12</f>
        <v>0</v>
      </c>
    </row>
    <row r="124" spans="2:18" s="5" customFormat="1" x14ac:dyDescent="0.25">
      <c r="B124" s="5" t="s">
        <v>26</v>
      </c>
      <c r="C124" s="5">
        <f t="shared" ref="C124:Q124" si="62">C11</f>
        <v>0</v>
      </c>
      <c r="D124" s="5">
        <f t="shared" si="62"/>
        <v>0</v>
      </c>
      <c r="E124" s="5">
        <f t="shared" si="62"/>
        <v>0</v>
      </c>
      <c r="F124" s="5">
        <f t="shared" si="62"/>
        <v>0</v>
      </c>
      <c r="G124" s="5">
        <f t="shared" si="62"/>
        <v>0</v>
      </c>
      <c r="H124" s="5">
        <f t="shared" si="62"/>
        <v>0</v>
      </c>
      <c r="I124" s="5">
        <f t="shared" si="62"/>
        <v>0</v>
      </c>
      <c r="J124" s="5">
        <f t="shared" si="62"/>
        <v>0</v>
      </c>
      <c r="K124" s="5">
        <f t="shared" si="62"/>
        <v>0</v>
      </c>
      <c r="L124" s="5">
        <f t="shared" si="62"/>
        <v>0</v>
      </c>
      <c r="M124" s="5">
        <f t="shared" si="62"/>
        <v>0</v>
      </c>
      <c r="N124" s="5">
        <f t="shared" si="62"/>
        <v>0</v>
      </c>
      <c r="O124" s="5">
        <f t="shared" si="62"/>
        <v>0</v>
      </c>
      <c r="P124" s="5">
        <f t="shared" si="62"/>
        <v>0</v>
      </c>
      <c r="Q124" s="5">
        <f t="shared" si="62"/>
        <v>0</v>
      </c>
      <c r="R124" s="5">
        <f>R11</f>
        <v>0</v>
      </c>
    </row>
    <row r="125" spans="2:18" s="7" customFormat="1" x14ac:dyDescent="0.25">
      <c r="B125" s="7" t="s">
        <v>118</v>
      </c>
      <c r="C125" s="7">
        <f t="shared" ref="C125:Q125" si="63">SUM(C116:C124)</f>
        <v>0</v>
      </c>
      <c r="D125" s="7">
        <f t="shared" si="63"/>
        <v>0</v>
      </c>
      <c r="E125" s="7">
        <f t="shared" si="63"/>
        <v>0</v>
      </c>
      <c r="F125" s="7">
        <f t="shared" si="63"/>
        <v>0</v>
      </c>
      <c r="G125" s="7">
        <f t="shared" si="63"/>
        <v>0</v>
      </c>
      <c r="H125" s="7">
        <f t="shared" si="63"/>
        <v>7409</v>
      </c>
      <c r="I125" s="7">
        <f t="shared" si="63"/>
        <v>0</v>
      </c>
      <c r="J125" s="7">
        <f t="shared" si="63"/>
        <v>0</v>
      </c>
      <c r="K125" s="7">
        <f t="shared" si="63"/>
        <v>0</v>
      </c>
      <c r="L125" s="7">
        <f t="shared" si="63"/>
        <v>26976</v>
      </c>
      <c r="M125" s="7">
        <f t="shared" si="63"/>
        <v>0</v>
      </c>
      <c r="N125" s="7">
        <f t="shared" si="63"/>
        <v>0</v>
      </c>
      <c r="O125" s="7">
        <f t="shared" si="63"/>
        <v>0</v>
      </c>
      <c r="P125" s="7">
        <f t="shared" si="63"/>
        <v>0</v>
      </c>
      <c r="Q125" s="7">
        <f t="shared" si="63"/>
        <v>0</v>
      </c>
      <c r="R125" s="7">
        <f>SUM(R116:R124)</f>
        <v>0</v>
      </c>
    </row>
    <row r="127" spans="2:18" s="9" customFormat="1" x14ac:dyDescent="0.25">
      <c r="B127" s="9" t="s">
        <v>117</v>
      </c>
      <c r="C127" s="9" t="e">
        <f t="shared" ref="C127:K127" si="64">C125/C3</f>
        <v>#DIV/0!</v>
      </c>
      <c r="D127" s="9" t="e">
        <f t="shared" si="64"/>
        <v>#DIV/0!</v>
      </c>
      <c r="E127" s="9" t="e">
        <f t="shared" si="64"/>
        <v>#DIV/0!</v>
      </c>
      <c r="F127" s="9" t="e">
        <f t="shared" si="64"/>
        <v>#DIV/0!</v>
      </c>
      <c r="G127" s="9" t="e">
        <f t="shared" si="64"/>
        <v>#DIV/0!</v>
      </c>
      <c r="H127" s="9">
        <f t="shared" si="64"/>
        <v>3.4597568037058483E-2</v>
      </c>
      <c r="I127" s="9" t="e">
        <f t="shared" si="64"/>
        <v>#DIV/0!</v>
      </c>
      <c r="J127" s="9" t="e">
        <f t="shared" si="64"/>
        <v>#DIV/0!</v>
      </c>
      <c r="K127" s="9" t="e">
        <f t="shared" si="64"/>
        <v>#DIV/0!</v>
      </c>
      <c r="L127" s="9">
        <f>L125/L3</f>
        <v>7.862522442698254E-2</v>
      </c>
      <c r="M127" s="9" t="e">
        <f t="shared" ref="M127:Q127" si="65">M125/M3</f>
        <v>#DIV/0!</v>
      </c>
      <c r="N127" s="9" t="e">
        <f t="shared" si="65"/>
        <v>#DIV/0!</v>
      </c>
      <c r="O127" s="9" t="e">
        <f t="shared" si="65"/>
        <v>#DIV/0!</v>
      </c>
      <c r="P127" s="9" t="e">
        <f t="shared" si="65"/>
        <v>#DIV/0!</v>
      </c>
      <c r="Q127" s="9" t="e">
        <f t="shared" si="65"/>
        <v>#DIV/0!</v>
      </c>
      <c r="R127" s="9" t="e">
        <f t="shared" ref="R127" si="66">R125/R3</f>
        <v>#DIV/0!</v>
      </c>
    </row>
    <row r="128" spans="2:18" s="9" customFormat="1" x14ac:dyDescent="0.25">
      <c r="B128" s="9" t="s">
        <v>119</v>
      </c>
      <c r="G128" s="9" t="e">
        <f t="shared" ref="G128:K128" si="67">G127/C127-1</f>
        <v>#DIV/0!</v>
      </c>
      <c r="H128" s="9" t="e">
        <f t="shared" si="67"/>
        <v>#DIV/0!</v>
      </c>
      <c r="I128" s="9" t="e">
        <f t="shared" si="67"/>
        <v>#DIV/0!</v>
      </c>
      <c r="J128" s="9" t="e">
        <f t="shared" si="67"/>
        <v>#DIV/0!</v>
      </c>
      <c r="K128" s="9" t="e">
        <f t="shared" si="67"/>
        <v>#DIV/0!</v>
      </c>
      <c r="L128" s="9">
        <f>L127/H127-1</f>
        <v>1.2725650641907755</v>
      </c>
      <c r="M128" s="9" t="e">
        <f t="shared" ref="M128:Q128" si="68">M127/I127-1</f>
        <v>#DIV/0!</v>
      </c>
      <c r="N128" s="9" t="e">
        <f t="shared" si="68"/>
        <v>#DIV/0!</v>
      </c>
      <c r="O128" s="9" t="e">
        <f t="shared" si="68"/>
        <v>#DIV/0!</v>
      </c>
      <c r="P128" s="9" t="e">
        <f t="shared" si="68"/>
        <v>#DIV/0!</v>
      </c>
      <c r="Q128" s="9" t="e">
        <f t="shared" si="68"/>
        <v>#DIV/0!</v>
      </c>
      <c r="R128" s="9" t="e">
        <f t="shared" ref="R128" si="69">R127/N127-1</f>
        <v>#DIV/0!</v>
      </c>
    </row>
    <row r="131" spans="2:18" s="5" customFormat="1" x14ac:dyDescent="0.25">
      <c r="B131" s="12" t="s">
        <v>150</v>
      </c>
      <c r="H131" s="5">
        <v>64102</v>
      </c>
      <c r="L131" s="5">
        <v>104099</v>
      </c>
    </row>
    <row r="132" spans="2:18" s="5" customFormat="1" x14ac:dyDescent="0.25">
      <c r="B132" s="12" t="s">
        <v>151</v>
      </c>
      <c r="H132" s="5">
        <v>130724</v>
      </c>
      <c r="L132" s="5">
        <v>202988</v>
      </c>
    </row>
    <row r="133" spans="2:18" s="5" customFormat="1" x14ac:dyDescent="0.25">
      <c r="B133" s="12" t="s">
        <v>152</v>
      </c>
      <c r="H133" s="5">
        <v>19322</v>
      </c>
      <c r="L133" s="5">
        <v>36009</v>
      </c>
    </row>
    <row r="134" spans="2:18" s="7" customFormat="1" x14ac:dyDescent="0.25">
      <c r="B134" s="7" t="s">
        <v>123</v>
      </c>
      <c r="C134" s="7">
        <f t="shared" ref="C134:K134" si="70">SUM(C131:C133)</f>
        <v>0</v>
      </c>
      <c r="D134" s="7">
        <f t="shared" si="70"/>
        <v>0</v>
      </c>
      <c r="E134" s="7">
        <f t="shared" si="70"/>
        <v>0</v>
      </c>
      <c r="F134" s="7">
        <f t="shared" si="70"/>
        <v>0</v>
      </c>
      <c r="G134" s="7">
        <f t="shared" si="70"/>
        <v>0</v>
      </c>
      <c r="H134" s="7">
        <f t="shared" si="70"/>
        <v>214148</v>
      </c>
      <c r="I134" s="7">
        <f t="shared" si="70"/>
        <v>0</v>
      </c>
      <c r="J134" s="7">
        <f t="shared" si="70"/>
        <v>0</v>
      </c>
      <c r="K134" s="7">
        <f t="shared" si="70"/>
        <v>0</v>
      </c>
      <c r="L134" s="7">
        <f>SUM(L131:L133)</f>
        <v>343096</v>
      </c>
      <c r="M134" s="7">
        <f t="shared" ref="M134:R134" si="71">SUM(M131:M133)</f>
        <v>0</v>
      </c>
      <c r="N134" s="7">
        <f t="shared" si="71"/>
        <v>0</v>
      </c>
      <c r="O134" s="7">
        <f t="shared" si="71"/>
        <v>0</v>
      </c>
      <c r="P134" s="7">
        <f t="shared" si="71"/>
        <v>0</v>
      </c>
      <c r="Q134" s="7">
        <f t="shared" si="71"/>
        <v>0</v>
      </c>
      <c r="R134" s="7">
        <f t="shared" si="71"/>
        <v>0</v>
      </c>
    </row>
    <row r="136" spans="2:18" s="9" customFormat="1" x14ac:dyDescent="0.25">
      <c r="B136" s="13" t="s">
        <v>153</v>
      </c>
      <c r="G136" s="9" t="e">
        <f t="shared" ref="G136:K136" si="72">G131/C131-1</f>
        <v>#DIV/0!</v>
      </c>
      <c r="H136" s="9" t="e">
        <f t="shared" si="72"/>
        <v>#DIV/0!</v>
      </c>
      <c r="I136" s="9" t="e">
        <f t="shared" si="72"/>
        <v>#DIV/0!</v>
      </c>
      <c r="J136" s="9" t="e">
        <f t="shared" si="72"/>
        <v>#DIV/0!</v>
      </c>
      <c r="K136" s="9" t="e">
        <f t="shared" si="72"/>
        <v>#DIV/0!</v>
      </c>
      <c r="L136" s="9">
        <f>L131/H131-1</f>
        <v>0.62395869083647937</v>
      </c>
      <c r="M136" s="9" t="e">
        <f t="shared" ref="M136:R136" si="73">M131/I131-1</f>
        <v>#DIV/0!</v>
      </c>
      <c r="N136" s="9" t="e">
        <f t="shared" si="73"/>
        <v>#DIV/0!</v>
      </c>
      <c r="O136" s="9" t="e">
        <f t="shared" si="73"/>
        <v>#DIV/0!</v>
      </c>
      <c r="P136" s="9">
        <f t="shared" si="73"/>
        <v>-1</v>
      </c>
      <c r="Q136" s="9" t="e">
        <f t="shared" si="73"/>
        <v>#DIV/0!</v>
      </c>
      <c r="R136" s="9" t="e">
        <f t="shared" si="73"/>
        <v>#DIV/0!</v>
      </c>
    </row>
    <row r="137" spans="2:18" s="9" customFormat="1" x14ac:dyDescent="0.25">
      <c r="B137" s="13" t="s">
        <v>154</v>
      </c>
      <c r="G137" s="9" t="e">
        <f t="shared" ref="G137:R137" si="74">G132/C132-1</f>
        <v>#DIV/0!</v>
      </c>
      <c r="H137" s="9" t="e">
        <f t="shared" si="74"/>
        <v>#DIV/0!</v>
      </c>
      <c r="I137" s="9" t="e">
        <f t="shared" si="74"/>
        <v>#DIV/0!</v>
      </c>
      <c r="J137" s="9" t="e">
        <f t="shared" si="74"/>
        <v>#DIV/0!</v>
      </c>
      <c r="K137" s="9" t="e">
        <f t="shared" si="74"/>
        <v>#DIV/0!</v>
      </c>
      <c r="L137" s="9">
        <f t="shared" si="74"/>
        <v>0.55279826198708726</v>
      </c>
      <c r="M137" s="9" t="e">
        <f t="shared" si="74"/>
        <v>#DIV/0!</v>
      </c>
      <c r="N137" s="9" t="e">
        <f t="shared" si="74"/>
        <v>#DIV/0!</v>
      </c>
      <c r="O137" s="9" t="e">
        <f t="shared" si="74"/>
        <v>#DIV/0!</v>
      </c>
      <c r="P137" s="9">
        <f t="shared" si="74"/>
        <v>-1</v>
      </c>
      <c r="Q137" s="9" t="e">
        <f t="shared" si="74"/>
        <v>#DIV/0!</v>
      </c>
      <c r="R137" s="9" t="e">
        <f t="shared" si="74"/>
        <v>#DIV/0!</v>
      </c>
    </row>
    <row r="138" spans="2:18" s="9" customFormat="1" x14ac:dyDescent="0.25">
      <c r="B138" s="13" t="s">
        <v>155</v>
      </c>
      <c r="G138" s="9" t="e">
        <f t="shared" ref="G138:R138" si="75">G133/C133-1</f>
        <v>#DIV/0!</v>
      </c>
      <c r="H138" s="9" t="e">
        <f t="shared" si="75"/>
        <v>#DIV/0!</v>
      </c>
      <c r="I138" s="9" t="e">
        <f t="shared" si="75"/>
        <v>#DIV/0!</v>
      </c>
      <c r="J138" s="9" t="e">
        <f t="shared" si="75"/>
        <v>#DIV/0!</v>
      </c>
      <c r="K138" s="9" t="e">
        <f t="shared" si="75"/>
        <v>#DIV/0!</v>
      </c>
      <c r="L138" s="9">
        <f t="shared" si="75"/>
        <v>0.86362695373149778</v>
      </c>
      <c r="M138" s="9" t="e">
        <f t="shared" si="75"/>
        <v>#DIV/0!</v>
      </c>
      <c r="N138" s="9" t="e">
        <f t="shared" si="75"/>
        <v>#DIV/0!</v>
      </c>
      <c r="O138" s="9" t="e">
        <f t="shared" si="75"/>
        <v>#DIV/0!</v>
      </c>
      <c r="P138" s="9">
        <f t="shared" si="75"/>
        <v>-1</v>
      </c>
      <c r="Q138" s="9" t="e">
        <f t="shared" si="75"/>
        <v>#DIV/0!</v>
      </c>
      <c r="R138" s="9" t="e">
        <f t="shared" si="75"/>
        <v>#DIV/0!</v>
      </c>
    </row>
    <row r="139" spans="2:18" s="9" customFormat="1" x14ac:dyDescent="0.25"/>
    <row r="140" spans="2:18" s="9" customFormat="1" x14ac:dyDescent="0.25">
      <c r="B140" s="13" t="s">
        <v>158</v>
      </c>
      <c r="C140" s="9" t="e">
        <f t="shared" ref="C140:L142" si="76">C131/C$134</f>
        <v>#DIV/0!</v>
      </c>
      <c r="D140" s="9" t="e">
        <f t="shared" si="76"/>
        <v>#DIV/0!</v>
      </c>
      <c r="E140" s="9" t="e">
        <f t="shared" si="76"/>
        <v>#DIV/0!</v>
      </c>
      <c r="F140" s="9" t="e">
        <f t="shared" si="76"/>
        <v>#DIV/0!</v>
      </c>
      <c r="G140" s="9" t="e">
        <f t="shared" si="76"/>
        <v>#DIV/0!</v>
      </c>
      <c r="H140" s="9">
        <f t="shared" si="76"/>
        <v>0.29933503931860211</v>
      </c>
      <c r="I140" s="9" t="e">
        <f t="shared" si="76"/>
        <v>#DIV/0!</v>
      </c>
      <c r="J140" s="9" t="e">
        <f t="shared" si="76"/>
        <v>#DIV/0!</v>
      </c>
      <c r="K140" s="9" t="e">
        <f t="shared" si="76"/>
        <v>#DIV/0!</v>
      </c>
      <c r="L140" s="9">
        <f>L131/L$134</f>
        <v>0.30341070720731222</v>
      </c>
      <c r="M140" s="9" t="e">
        <f t="shared" ref="M140:R140" si="77">M131/M$134</f>
        <v>#DIV/0!</v>
      </c>
      <c r="N140" s="9" t="e">
        <f t="shared" si="77"/>
        <v>#DIV/0!</v>
      </c>
      <c r="O140" s="9" t="e">
        <f t="shared" si="77"/>
        <v>#DIV/0!</v>
      </c>
      <c r="P140" s="9" t="e">
        <f t="shared" si="77"/>
        <v>#DIV/0!</v>
      </c>
      <c r="Q140" s="9" t="e">
        <f t="shared" si="77"/>
        <v>#DIV/0!</v>
      </c>
      <c r="R140" s="9" t="e">
        <f t="shared" si="77"/>
        <v>#DIV/0!</v>
      </c>
    </row>
    <row r="141" spans="2:18" s="9" customFormat="1" x14ac:dyDescent="0.25">
      <c r="B141" s="13" t="s">
        <v>157</v>
      </c>
      <c r="C141" s="9" t="e">
        <f t="shared" si="76"/>
        <v>#DIV/0!</v>
      </c>
      <c r="D141" s="9" t="e">
        <f t="shared" si="76"/>
        <v>#DIV/0!</v>
      </c>
      <c r="E141" s="9" t="e">
        <f t="shared" si="76"/>
        <v>#DIV/0!</v>
      </c>
      <c r="F141" s="9" t="e">
        <f t="shared" si="76"/>
        <v>#DIV/0!</v>
      </c>
      <c r="G141" s="9" t="e">
        <f t="shared" si="76"/>
        <v>#DIV/0!</v>
      </c>
      <c r="H141" s="9">
        <f t="shared" si="76"/>
        <v>0.61043764125744815</v>
      </c>
      <c r="I141" s="9" t="e">
        <f t="shared" si="76"/>
        <v>#DIV/0!</v>
      </c>
      <c r="J141" s="9" t="e">
        <f t="shared" si="76"/>
        <v>#DIV/0!</v>
      </c>
      <c r="K141" s="9" t="e">
        <f t="shared" si="76"/>
        <v>#DIV/0!</v>
      </c>
      <c r="L141" s="9">
        <f t="shared" ref="L141:R142" si="78">L132/L$134</f>
        <v>0.5916361601417679</v>
      </c>
      <c r="M141" s="9" t="e">
        <f t="shared" si="78"/>
        <v>#DIV/0!</v>
      </c>
      <c r="N141" s="9" t="e">
        <f t="shared" si="78"/>
        <v>#DIV/0!</v>
      </c>
      <c r="O141" s="9" t="e">
        <f t="shared" si="78"/>
        <v>#DIV/0!</v>
      </c>
      <c r="P141" s="9" t="e">
        <f t="shared" si="78"/>
        <v>#DIV/0!</v>
      </c>
      <c r="Q141" s="9" t="e">
        <f t="shared" si="78"/>
        <v>#DIV/0!</v>
      </c>
      <c r="R141" s="9" t="e">
        <f t="shared" si="78"/>
        <v>#DIV/0!</v>
      </c>
    </row>
    <row r="142" spans="2:18" s="9" customFormat="1" x14ac:dyDescent="0.25">
      <c r="B142" s="13" t="s">
        <v>156</v>
      </c>
      <c r="C142" s="9" t="e">
        <f t="shared" si="76"/>
        <v>#DIV/0!</v>
      </c>
      <c r="D142" s="9" t="e">
        <f t="shared" si="76"/>
        <v>#DIV/0!</v>
      </c>
      <c r="E142" s="9" t="e">
        <f t="shared" si="76"/>
        <v>#DIV/0!</v>
      </c>
      <c r="F142" s="9" t="e">
        <f t="shared" si="76"/>
        <v>#DIV/0!</v>
      </c>
      <c r="G142" s="9" t="e">
        <f t="shared" si="76"/>
        <v>#DIV/0!</v>
      </c>
      <c r="H142" s="9">
        <f t="shared" si="76"/>
        <v>9.0227319423949792E-2</v>
      </c>
      <c r="I142" s="9" t="e">
        <f t="shared" si="76"/>
        <v>#DIV/0!</v>
      </c>
      <c r="J142" s="9" t="e">
        <f t="shared" si="76"/>
        <v>#DIV/0!</v>
      </c>
      <c r="K142" s="9" t="e">
        <f t="shared" si="76"/>
        <v>#DIV/0!</v>
      </c>
      <c r="L142" s="9">
        <f t="shared" si="78"/>
        <v>0.10495313265091986</v>
      </c>
      <c r="M142" s="9" t="e">
        <f t="shared" si="78"/>
        <v>#DIV/0!</v>
      </c>
      <c r="N142" s="9" t="e">
        <f t="shared" si="78"/>
        <v>#DIV/0!</v>
      </c>
      <c r="O142" s="9" t="e">
        <f t="shared" si="78"/>
        <v>#DIV/0!</v>
      </c>
      <c r="P142" s="9" t="e">
        <f t="shared" si="78"/>
        <v>#DIV/0!</v>
      </c>
      <c r="Q142" s="9" t="e">
        <f t="shared" si="78"/>
        <v>#DIV/0!</v>
      </c>
      <c r="R142" s="9" t="e">
        <f t="shared" si="78"/>
        <v>#DIV/0!</v>
      </c>
    </row>
    <row r="143" spans="2:18" x14ac:dyDescent="0.25">
      <c r="B143" s="12"/>
    </row>
    <row r="144" spans="2:18" x14ac:dyDescent="0.25">
      <c r="B144" s="12"/>
    </row>
    <row r="145" spans="2:11" x14ac:dyDescent="0.25">
      <c r="B145" s="12"/>
    </row>
    <row r="146" spans="2:11" ht="14.4" x14ac:dyDescent="0.3">
      <c r="B146" s="3" t="s">
        <v>120</v>
      </c>
      <c r="K146" s="1" t="s">
        <v>124</v>
      </c>
    </row>
    <row r="147" spans="2:11" s="5" customFormat="1" x14ac:dyDescent="0.25">
      <c r="B147" s="5" t="s">
        <v>121</v>
      </c>
      <c r="K147" s="5">
        <v>621948</v>
      </c>
    </row>
    <row r="148" spans="2:11" s="5" customFormat="1" x14ac:dyDescent="0.25">
      <c r="B148" s="5" t="s">
        <v>122</v>
      </c>
      <c r="K148" s="5">
        <v>262938</v>
      </c>
    </row>
    <row r="149" spans="2:11" s="5" customFormat="1" x14ac:dyDescent="0.25">
      <c r="B149" s="5" t="s">
        <v>123</v>
      </c>
      <c r="K149" s="7">
        <f>SUM(K147:K148)</f>
        <v>884886</v>
      </c>
    </row>
  </sheetData>
  <phoneticPr fontId="6" type="noConversion"/>
  <hyperlinks>
    <hyperlink ref="A1" location="Main!A1" display="Main" xr:uid="{F1CC53AF-31F1-49E3-A4DF-3A84E51DC60B}"/>
    <hyperlink ref="K146" location="'Teads Acq.'!A1" display="Teads" xr:uid="{3B3D347B-A221-475F-A89F-850263E206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9347-58F7-4BC0-8E59-9FFDDBDB24D5}">
  <dimension ref="A1:U33"/>
  <sheetViews>
    <sheetView zoomScaleNormal="100" workbookViewId="0">
      <pane xSplit="15" ySplit="2" topLeftCell="P3" activePane="bottomRight" state="frozen"/>
      <selection pane="topRight" activeCell="C1" sqref="C1"/>
      <selection pane="bottomLeft" activeCell="A3" sqref="A3"/>
      <selection pane="bottomRight" activeCell="H28" sqref="H28"/>
    </sheetView>
  </sheetViews>
  <sheetFormatPr defaultRowHeight="13.2" x14ac:dyDescent="0.25"/>
  <cols>
    <col min="1" max="14" width="8.88671875" style="11"/>
    <col min="15" max="15" width="24.33203125" style="11" customWidth="1"/>
    <col min="16" max="16" width="10" style="11" bestFit="1" customWidth="1"/>
    <col min="17" max="17" width="8.5546875" style="11" customWidth="1"/>
    <col min="18" max="19" width="10" style="11" customWidth="1"/>
    <col min="20" max="20" width="9.33203125" style="11" bestFit="1" customWidth="1"/>
    <col min="21" max="21" width="9.21875" style="11" bestFit="1" customWidth="1"/>
    <col min="22" max="16384" width="8.88671875" style="11"/>
  </cols>
  <sheetData>
    <row r="1" spans="1:16" x14ac:dyDescent="0.25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6" x14ac:dyDescent="0.25">
      <c r="P2" s="16">
        <v>45691</v>
      </c>
    </row>
    <row r="3" spans="1:16" x14ac:dyDescent="0.25">
      <c r="O3" s="11" t="s">
        <v>4</v>
      </c>
      <c r="P3" s="12">
        <v>23619</v>
      </c>
    </row>
    <row r="4" spans="1:16" x14ac:dyDescent="0.25">
      <c r="B4" s="11" t="s">
        <v>169</v>
      </c>
      <c r="O4" s="11" t="s">
        <v>46</v>
      </c>
      <c r="P4" s="12">
        <v>208597</v>
      </c>
    </row>
    <row r="5" spans="1:16" x14ac:dyDescent="0.25">
      <c r="B5" s="11" t="s">
        <v>147</v>
      </c>
      <c r="O5" s="11" t="s">
        <v>47</v>
      </c>
      <c r="P5" s="12">
        <v>26581</v>
      </c>
    </row>
    <row r="6" spans="1:16" x14ac:dyDescent="0.25">
      <c r="B6" s="11" t="s">
        <v>146</v>
      </c>
      <c r="O6" s="11" t="s">
        <v>48</v>
      </c>
      <c r="P6" s="12">
        <v>3581</v>
      </c>
    </row>
    <row r="7" spans="1:16" x14ac:dyDescent="0.25">
      <c r="B7" s="11" t="s">
        <v>148</v>
      </c>
      <c r="O7" s="11" t="s">
        <v>49</v>
      </c>
      <c r="P7" s="12">
        <v>13218</v>
      </c>
    </row>
    <row r="8" spans="1:16" x14ac:dyDescent="0.25">
      <c r="O8" s="11" t="s">
        <v>126</v>
      </c>
      <c r="P8" s="12">
        <v>384400</v>
      </c>
    </row>
    <row r="9" spans="1:16" x14ac:dyDescent="0.25">
      <c r="O9" s="11" t="s">
        <v>91</v>
      </c>
      <c r="P9" s="12">
        <f>25383+2076</f>
        <v>27459</v>
      </c>
    </row>
    <row r="10" spans="1:16" s="6" customFormat="1" x14ac:dyDescent="0.25">
      <c r="B10" s="6" t="s">
        <v>160</v>
      </c>
      <c r="O10" s="6" t="s">
        <v>127</v>
      </c>
      <c r="P10" s="7">
        <f>SUM(P3:P9)</f>
        <v>687455</v>
      </c>
    </row>
    <row r="11" spans="1:16" x14ac:dyDescent="0.25">
      <c r="B11" s="11" t="s">
        <v>159</v>
      </c>
      <c r="O11" s="11" t="s">
        <v>55</v>
      </c>
      <c r="P11" s="12">
        <v>69687</v>
      </c>
    </row>
    <row r="12" spans="1:16" x14ac:dyDescent="0.25">
      <c r="B12" s="14" t="s">
        <v>161</v>
      </c>
      <c r="O12" s="11" t="s">
        <v>128</v>
      </c>
      <c r="P12" s="12">
        <v>34341</v>
      </c>
    </row>
    <row r="13" spans="1:16" x14ac:dyDescent="0.25">
      <c r="B13" s="14" t="s">
        <v>165</v>
      </c>
      <c r="O13" s="11" t="s">
        <v>129</v>
      </c>
      <c r="P13" s="12">
        <v>78903</v>
      </c>
    </row>
    <row r="14" spans="1:16" x14ac:dyDescent="0.25">
      <c r="B14" s="15" t="s">
        <v>162</v>
      </c>
      <c r="O14" s="11" t="s">
        <v>58</v>
      </c>
      <c r="P14" s="12">
        <v>15424</v>
      </c>
    </row>
    <row r="15" spans="1:16" x14ac:dyDescent="0.25">
      <c r="B15" s="11" t="s">
        <v>163</v>
      </c>
      <c r="O15" s="11" t="s">
        <v>130</v>
      </c>
      <c r="P15" s="12">
        <v>66617</v>
      </c>
    </row>
    <row r="16" spans="1:16" x14ac:dyDescent="0.25">
      <c r="B16" s="11" t="s">
        <v>164</v>
      </c>
      <c r="O16" s="11" t="s">
        <v>63</v>
      </c>
      <c r="P16" s="12">
        <v>25383</v>
      </c>
    </row>
    <row r="17" spans="2:21" x14ac:dyDescent="0.25">
      <c r="O17" s="11" t="s">
        <v>135</v>
      </c>
      <c r="P17" s="12">
        <v>9830</v>
      </c>
    </row>
    <row r="18" spans="2:21" x14ac:dyDescent="0.25">
      <c r="B18" s="11" t="s">
        <v>170</v>
      </c>
      <c r="O18" s="11" t="s">
        <v>131</v>
      </c>
      <c r="P18" s="12">
        <v>4966</v>
      </c>
    </row>
    <row r="19" spans="2:21" s="6" customFormat="1" x14ac:dyDescent="0.25">
      <c r="O19" s="6" t="s">
        <v>132</v>
      </c>
      <c r="P19" s="7">
        <f>SUM(P11:P18)</f>
        <v>305151</v>
      </c>
    </row>
    <row r="20" spans="2:21" x14ac:dyDescent="0.25">
      <c r="O20" s="14" t="s">
        <v>133</v>
      </c>
      <c r="P20" s="12">
        <f>P10-P19</f>
        <v>382304</v>
      </c>
    </row>
    <row r="21" spans="2:21" x14ac:dyDescent="0.25">
      <c r="O21" s="14" t="s">
        <v>51</v>
      </c>
      <c r="P21" s="12">
        <v>502582</v>
      </c>
    </row>
    <row r="22" spans="2:21" x14ac:dyDescent="0.25">
      <c r="O22" s="6" t="s">
        <v>134</v>
      </c>
      <c r="P22" s="7">
        <f>P20+P21</f>
        <v>884886</v>
      </c>
    </row>
    <row r="24" spans="2:21" x14ac:dyDescent="0.25">
      <c r="Q24" s="11" t="s">
        <v>141</v>
      </c>
    </row>
    <row r="25" spans="2:21" x14ac:dyDescent="0.25">
      <c r="O25" s="11" t="s">
        <v>136</v>
      </c>
      <c r="P25" s="12">
        <v>237100</v>
      </c>
      <c r="Q25" s="17" t="s">
        <v>145</v>
      </c>
      <c r="R25" s="17"/>
      <c r="S25" s="17"/>
    </row>
    <row r="26" spans="2:21" x14ac:dyDescent="0.25">
      <c r="O26" s="11" t="s">
        <v>137</v>
      </c>
      <c r="P26" s="12">
        <v>51200</v>
      </c>
      <c r="Q26" s="17" t="s">
        <v>144</v>
      </c>
      <c r="R26" s="17"/>
      <c r="S26" s="17"/>
    </row>
    <row r="27" spans="2:21" x14ac:dyDescent="0.25">
      <c r="O27" s="11" t="s">
        <v>138</v>
      </c>
      <c r="P27" s="12">
        <v>73400</v>
      </c>
      <c r="Q27" s="17" t="s">
        <v>143</v>
      </c>
      <c r="R27" s="17"/>
      <c r="S27" s="17"/>
    </row>
    <row r="28" spans="2:21" x14ac:dyDescent="0.25">
      <c r="O28" s="11" t="s">
        <v>139</v>
      </c>
      <c r="P28" s="12">
        <v>22700</v>
      </c>
      <c r="Q28" s="17" t="s">
        <v>142</v>
      </c>
      <c r="R28" s="17"/>
      <c r="S28" s="17"/>
    </row>
    <row r="29" spans="2:21" x14ac:dyDescent="0.25">
      <c r="O29" s="10" t="s">
        <v>140</v>
      </c>
      <c r="P29" s="7">
        <f>SUM(P25:P28)</f>
        <v>384400</v>
      </c>
    </row>
    <row r="31" spans="2:21" x14ac:dyDescent="0.25">
      <c r="P31" s="18" t="s">
        <v>149</v>
      </c>
      <c r="Q31" s="18"/>
      <c r="R31" s="16">
        <v>45838</v>
      </c>
      <c r="S31" s="16"/>
      <c r="T31" s="16"/>
      <c r="U31" s="16"/>
    </row>
    <row r="32" spans="2:21" ht="14.4" customHeight="1" x14ac:dyDescent="0.25">
      <c r="O32" s="11" t="s">
        <v>18</v>
      </c>
      <c r="P32" s="19">
        <v>80300</v>
      </c>
      <c r="Q32" s="19"/>
      <c r="R32" s="20">
        <v>139100</v>
      </c>
      <c r="S32" s="12"/>
      <c r="T32" s="12"/>
      <c r="U32" s="12"/>
    </row>
    <row r="33" spans="15:21" ht="14.4" customHeight="1" x14ac:dyDescent="0.25">
      <c r="O33" s="11" t="s">
        <v>34</v>
      </c>
      <c r="P33" s="19">
        <v>-22400</v>
      </c>
      <c r="Q33" s="19"/>
      <c r="R33" s="20">
        <v>-14500</v>
      </c>
      <c r="S33" s="12"/>
      <c r="T33" s="12"/>
      <c r="U33" s="12"/>
    </row>
  </sheetData>
  <mergeCells count="3">
    <mergeCell ref="P31:Q31"/>
    <mergeCell ref="P32:Q32"/>
    <mergeCell ref="P33:Q33"/>
  </mergeCells>
  <hyperlinks>
    <hyperlink ref="A1" location="Model!A1" display="Model" xr:uid="{42AABBB5-9641-4C4E-8F4D-F9566070E4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Teads Acq.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2025-08-14T19:10:51Z</dcterms:modified>
</cp:coreProperties>
</file>