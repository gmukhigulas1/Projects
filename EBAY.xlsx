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2FEB354F-0552-4DBC-B4B5-84693259C7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" i="2" l="1"/>
  <c r="AG3" i="2" s="1"/>
  <c r="AH3" i="2" s="1"/>
  <c r="AI3" i="2" s="1"/>
  <c r="AJ3" i="2" s="1"/>
  <c r="AK3" i="2" s="1"/>
  <c r="AL3" i="2" s="1"/>
  <c r="AE3" i="2"/>
  <c r="AC3" i="2"/>
  <c r="AY23" i="2"/>
  <c r="AE16" i="2" l="1"/>
  <c r="AD16" i="2"/>
  <c r="V3" i="2"/>
  <c r="U3" i="2"/>
  <c r="U26" i="2"/>
  <c r="V26" i="2"/>
  <c r="V16" i="2"/>
  <c r="V24" i="2" s="1"/>
  <c r="AC16" i="2"/>
  <c r="AB24" i="2"/>
  <c r="AC26" i="2"/>
  <c r="AB93" i="2"/>
  <c r="AA93" i="2"/>
  <c r="Z93" i="2"/>
  <c r="AB92" i="2"/>
  <c r="AA92" i="2"/>
  <c r="Z92" i="2"/>
  <c r="AB91" i="2"/>
  <c r="AA91" i="2"/>
  <c r="Z91" i="2"/>
  <c r="AB96" i="2"/>
  <c r="AA96" i="2"/>
  <c r="Z96" i="2"/>
  <c r="AB95" i="2"/>
  <c r="AA95" i="2"/>
  <c r="Z95" i="2"/>
  <c r="AB86" i="2"/>
  <c r="AA86" i="2"/>
  <c r="Z86" i="2"/>
  <c r="AB85" i="2"/>
  <c r="AA85" i="2"/>
  <c r="Z85" i="2"/>
  <c r="AA82" i="2"/>
  <c r="AA83" i="2" s="1"/>
  <c r="AB82" i="2" s="1"/>
  <c r="AB83" i="2" s="1"/>
  <c r="Z83" i="2"/>
  <c r="Z82" i="2"/>
  <c r="AB67" i="2"/>
  <c r="AA67" i="2"/>
  <c r="Z67" i="2"/>
  <c r="AB71" i="2"/>
  <c r="AA71" i="2"/>
  <c r="Z71" i="2"/>
  <c r="AB79" i="2"/>
  <c r="AA79" i="2"/>
  <c r="Z79" i="2"/>
  <c r="AA81" i="2"/>
  <c r="Z81" i="2"/>
  <c r="AB80" i="2"/>
  <c r="AA80" i="2"/>
  <c r="Z80" i="2"/>
  <c r="AB78" i="2"/>
  <c r="AA78" i="2"/>
  <c r="Z78" i="2"/>
  <c r="AB77" i="2"/>
  <c r="AA77" i="2"/>
  <c r="Z77" i="2"/>
  <c r="AB76" i="2"/>
  <c r="AA76" i="2"/>
  <c r="Z76" i="2"/>
  <c r="AB75" i="2"/>
  <c r="AA75" i="2"/>
  <c r="Z75" i="2"/>
  <c r="AB74" i="2"/>
  <c r="AA74" i="2"/>
  <c r="Z74" i="2"/>
  <c r="AB73" i="2"/>
  <c r="AA73" i="2"/>
  <c r="Z73" i="2"/>
  <c r="AB72" i="2"/>
  <c r="AA72" i="2"/>
  <c r="Z72" i="2"/>
  <c r="AB70" i="2"/>
  <c r="AA70" i="2"/>
  <c r="Z70" i="2"/>
  <c r="AB69" i="2"/>
  <c r="AA69" i="2"/>
  <c r="Z69" i="2"/>
  <c r="AB68" i="2"/>
  <c r="AA68" i="2"/>
  <c r="Z68" i="2"/>
  <c r="AB66" i="2"/>
  <c r="AA66" i="2"/>
  <c r="Z66" i="2"/>
  <c r="AB65" i="2"/>
  <c r="AA65" i="2"/>
  <c r="Z65" i="2"/>
  <c r="AB64" i="2"/>
  <c r="AA64" i="2"/>
  <c r="Z64" i="2"/>
  <c r="AB63" i="2"/>
  <c r="AA63" i="2"/>
  <c r="Z63" i="2"/>
  <c r="AB62" i="2"/>
  <c r="AA62" i="2"/>
  <c r="Z62" i="2"/>
  <c r="AB61" i="2"/>
  <c r="AA61" i="2"/>
  <c r="Z61" i="2"/>
  <c r="AB60" i="2"/>
  <c r="AA60" i="2"/>
  <c r="Z60" i="2"/>
  <c r="AB59" i="2"/>
  <c r="AA59" i="2"/>
  <c r="Z59" i="2"/>
  <c r="AB58" i="2"/>
  <c r="AA58" i="2"/>
  <c r="Z58" i="2"/>
  <c r="AB57" i="2"/>
  <c r="AA57" i="2"/>
  <c r="Z57" i="2"/>
  <c r="Z51" i="2"/>
  <c r="Z53" i="2" s="1"/>
  <c r="Z32" i="2"/>
  <c r="Z41" i="2" s="1"/>
  <c r="Z30" i="2"/>
  <c r="AA53" i="2"/>
  <c r="AA51" i="2"/>
  <c r="AA41" i="2"/>
  <c r="AA30" i="2"/>
  <c r="AB51" i="2"/>
  <c r="AB53" i="2" s="1"/>
  <c r="AB41" i="2"/>
  <c r="AB30" i="2"/>
  <c r="AA24" i="2"/>
  <c r="Z24" i="2"/>
  <c r="AA23" i="2"/>
  <c r="Z23" i="2"/>
  <c r="AA22" i="2"/>
  <c r="Z22" i="2"/>
  <c r="AA21" i="2"/>
  <c r="Z21" i="2"/>
  <c r="AA20" i="2"/>
  <c r="Z20" i="2"/>
  <c r="AA26" i="2"/>
  <c r="AB26" i="2"/>
  <c r="AB16" i="2"/>
  <c r="AB5" i="2"/>
  <c r="AA5" i="2"/>
  <c r="Z5" i="2"/>
  <c r="AB11" i="2"/>
  <c r="AB12" i="2" s="1"/>
  <c r="AB14" i="2" s="1"/>
  <c r="AB18" i="2" s="1"/>
  <c r="AA11" i="2"/>
  <c r="AA12" i="2" s="1"/>
  <c r="AA14" i="2" s="1"/>
  <c r="AA16" i="2" s="1"/>
  <c r="Z11" i="2"/>
  <c r="Z12" i="2" s="1"/>
  <c r="Z14" i="2" s="1"/>
  <c r="Z16" i="2" s="1"/>
  <c r="Z17" i="2"/>
  <c r="AA17" i="2"/>
  <c r="AB17" i="2"/>
  <c r="N17" i="2"/>
  <c r="O17" i="2" s="1"/>
  <c r="P17" i="2" s="1"/>
  <c r="Q17" i="2" s="1"/>
  <c r="R17" i="2" s="1"/>
  <c r="S17" i="2" s="1"/>
  <c r="T17" i="2" s="1"/>
  <c r="M17" i="2"/>
  <c r="M18" i="2" s="1"/>
  <c r="AB15" i="2"/>
  <c r="AA15" i="2"/>
  <c r="Z15" i="2"/>
  <c r="AB13" i="2"/>
  <c r="AA13" i="2"/>
  <c r="Z13" i="2"/>
  <c r="AB10" i="2"/>
  <c r="AA10" i="2"/>
  <c r="Z10" i="2"/>
  <c r="AB9" i="2"/>
  <c r="AA9" i="2"/>
  <c r="Z9" i="2"/>
  <c r="AB8" i="2"/>
  <c r="AA8" i="2"/>
  <c r="Z8" i="2"/>
  <c r="AB7" i="2"/>
  <c r="AA7" i="2"/>
  <c r="Z7" i="2"/>
  <c r="AB6" i="2"/>
  <c r="AA6" i="2"/>
  <c r="Z6" i="2"/>
  <c r="AB4" i="2"/>
  <c r="AA4" i="2"/>
  <c r="Z4" i="2"/>
  <c r="AB3" i="2"/>
  <c r="AA3" i="2"/>
  <c r="Z3" i="2"/>
  <c r="T26" i="2"/>
  <c r="S26" i="2"/>
  <c r="R26" i="2"/>
  <c r="Q26" i="2"/>
  <c r="P26" i="2"/>
  <c r="O26" i="2"/>
  <c r="N26" i="2"/>
  <c r="M26" i="2"/>
  <c r="T24" i="2"/>
  <c r="S24" i="2"/>
  <c r="R24" i="2"/>
  <c r="Q24" i="2"/>
  <c r="P24" i="2"/>
  <c r="O24" i="2"/>
  <c r="N24" i="2"/>
  <c r="M24" i="2"/>
  <c r="I24" i="2"/>
  <c r="H24" i="2"/>
  <c r="G24" i="2"/>
  <c r="F24" i="2"/>
  <c r="E24" i="2"/>
  <c r="D24" i="2"/>
  <c r="C24" i="2"/>
  <c r="I23" i="2"/>
  <c r="H23" i="2"/>
  <c r="G23" i="2"/>
  <c r="F23" i="2"/>
  <c r="E23" i="2"/>
  <c r="D23" i="2"/>
  <c r="C23" i="2"/>
  <c r="I22" i="2"/>
  <c r="H22" i="2"/>
  <c r="G22" i="2"/>
  <c r="F22" i="2"/>
  <c r="E22" i="2"/>
  <c r="D22" i="2"/>
  <c r="C22" i="2"/>
  <c r="I21" i="2"/>
  <c r="H21" i="2"/>
  <c r="G21" i="2"/>
  <c r="F21" i="2"/>
  <c r="E21" i="2"/>
  <c r="D21" i="2"/>
  <c r="C21" i="2"/>
  <c r="I20" i="2"/>
  <c r="H20" i="2"/>
  <c r="G20" i="2"/>
  <c r="F20" i="2"/>
  <c r="E20" i="2"/>
  <c r="D20" i="2"/>
  <c r="C20" i="2"/>
  <c r="K26" i="2"/>
  <c r="J26" i="2"/>
  <c r="I26" i="2"/>
  <c r="H26" i="2"/>
  <c r="G26" i="2"/>
  <c r="K24" i="2"/>
  <c r="J24" i="2"/>
  <c r="K23" i="2"/>
  <c r="J23" i="2"/>
  <c r="K22" i="2"/>
  <c r="J22" i="2"/>
  <c r="K21" i="2"/>
  <c r="J21" i="2"/>
  <c r="K20" i="2"/>
  <c r="J20" i="2"/>
  <c r="L26" i="2"/>
  <c r="L24" i="2"/>
  <c r="C69" i="2"/>
  <c r="C71" i="2" s="1"/>
  <c r="C64" i="2"/>
  <c r="C67" i="2" s="1"/>
  <c r="C85" i="2" s="1"/>
  <c r="C15" i="2"/>
  <c r="C13" i="2"/>
  <c r="D69" i="2"/>
  <c r="D71" i="2" s="1"/>
  <c r="D66" i="2"/>
  <c r="D64" i="2"/>
  <c r="D67" i="2" s="1"/>
  <c r="D15" i="2"/>
  <c r="D13" i="2"/>
  <c r="I76" i="2"/>
  <c r="I79" i="2" s="1"/>
  <c r="I69" i="2"/>
  <c r="I71" i="2" s="1"/>
  <c r="E69" i="2"/>
  <c r="E71" i="2" s="1"/>
  <c r="E65" i="2"/>
  <c r="E67" i="2" s="1"/>
  <c r="E85" i="2" s="1"/>
  <c r="E15" i="2"/>
  <c r="E13" i="2"/>
  <c r="I15" i="2"/>
  <c r="I13" i="2"/>
  <c r="I35" i="2"/>
  <c r="I41" i="2" s="1"/>
  <c r="H79" i="2"/>
  <c r="G79" i="2"/>
  <c r="F79" i="2"/>
  <c r="E79" i="2"/>
  <c r="D79" i="2"/>
  <c r="C79" i="2"/>
  <c r="J79" i="2"/>
  <c r="J69" i="2"/>
  <c r="J71" i="2" s="1"/>
  <c r="F69" i="2"/>
  <c r="F71" i="2" s="1"/>
  <c r="F66" i="2"/>
  <c r="F64" i="2"/>
  <c r="F67" i="2" s="1"/>
  <c r="F85" i="2" s="1"/>
  <c r="J64" i="2"/>
  <c r="J67" i="2"/>
  <c r="J85" i="2" s="1"/>
  <c r="F15" i="2"/>
  <c r="F13" i="2"/>
  <c r="J15" i="2"/>
  <c r="J13" i="2"/>
  <c r="F32" i="2"/>
  <c r="F41" i="2" s="1"/>
  <c r="F93" i="2"/>
  <c r="E93" i="2"/>
  <c r="D93" i="2"/>
  <c r="C93" i="2"/>
  <c r="G93" i="2"/>
  <c r="K76" i="2"/>
  <c r="K79" i="2" s="1"/>
  <c r="G69" i="2"/>
  <c r="G71" i="2" s="1"/>
  <c r="K69" i="2"/>
  <c r="K71" i="2" s="1"/>
  <c r="G64" i="2"/>
  <c r="G67" i="2" s="1"/>
  <c r="G85" i="2" s="1"/>
  <c r="G15" i="2"/>
  <c r="G13" i="2"/>
  <c r="K15" i="2"/>
  <c r="K13" i="2"/>
  <c r="K96" i="2"/>
  <c r="J96" i="2"/>
  <c r="I96" i="2"/>
  <c r="H96" i="2"/>
  <c r="G96" i="2"/>
  <c r="F96" i="2"/>
  <c r="E96" i="2"/>
  <c r="D96" i="2"/>
  <c r="C96" i="2"/>
  <c r="L96" i="2"/>
  <c r="K93" i="2"/>
  <c r="J93" i="2"/>
  <c r="I93" i="2"/>
  <c r="H93" i="2"/>
  <c r="L93" i="2"/>
  <c r="K86" i="2"/>
  <c r="J86" i="2"/>
  <c r="I86" i="2"/>
  <c r="H86" i="2"/>
  <c r="G86" i="2"/>
  <c r="F86" i="2"/>
  <c r="E86" i="2"/>
  <c r="D86" i="2"/>
  <c r="C86" i="2"/>
  <c r="L86" i="2"/>
  <c r="H69" i="2"/>
  <c r="H71" i="2" s="1"/>
  <c r="H64" i="2"/>
  <c r="H67" i="2" s="1"/>
  <c r="H85" i="2" s="1"/>
  <c r="L76" i="2"/>
  <c r="L79" i="2" s="1"/>
  <c r="L69" i="2"/>
  <c r="L71" i="2" s="1"/>
  <c r="K67" i="2"/>
  <c r="I67" i="2"/>
  <c r="L67" i="2"/>
  <c r="L85" i="2" s="1"/>
  <c r="K30" i="2"/>
  <c r="J30" i="2"/>
  <c r="H30" i="2"/>
  <c r="G30" i="2"/>
  <c r="E30" i="2"/>
  <c r="D30" i="2"/>
  <c r="C30" i="2"/>
  <c r="L30" i="2"/>
  <c r="K51" i="2"/>
  <c r="K53" i="2" s="1"/>
  <c r="J51" i="2"/>
  <c r="J53" i="2" s="1"/>
  <c r="I51" i="2"/>
  <c r="I53" i="2" s="1"/>
  <c r="H51" i="2"/>
  <c r="H53" i="2" s="1"/>
  <c r="G51" i="2"/>
  <c r="G53" i="2" s="1"/>
  <c r="F51" i="2"/>
  <c r="F53" i="2" s="1"/>
  <c r="E51" i="2"/>
  <c r="E53" i="2" s="1"/>
  <c r="D51" i="2"/>
  <c r="D53" i="2" s="1"/>
  <c r="C51" i="2"/>
  <c r="C53" i="2" s="1"/>
  <c r="L51" i="2"/>
  <c r="L53" i="2" s="1"/>
  <c r="K41" i="2"/>
  <c r="J41" i="2"/>
  <c r="H41" i="2"/>
  <c r="G41" i="2"/>
  <c r="E41" i="2"/>
  <c r="D41" i="2"/>
  <c r="C41" i="2"/>
  <c r="L41" i="2"/>
  <c r="H15" i="2"/>
  <c r="H13" i="2"/>
  <c r="L15" i="2"/>
  <c r="L13" i="2"/>
  <c r="K11" i="2"/>
  <c r="J11" i="2"/>
  <c r="I11" i="2"/>
  <c r="H11" i="2"/>
  <c r="G11" i="2"/>
  <c r="F11" i="2"/>
  <c r="E11" i="2"/>
  <c r="D11" i="2"/>
  <c r="C11" i="2"/>
  <c r="L11" i="2"/>
  <c r="K5" i="2"/>
  <c r="J5" i="2"/>
  <c r="I5" i="2"/>
  <c r="H5" i="2"/>
  <c r="G5" i="2"/>
  <c r="F5" i="2"/>
  <c r="E5" i="2"/>
  <c r="D5" i="2"/>
  <c r="C5" i="2"/>
  <c r="L5" i="2"/>
  <c r="L20" i="2" s="1"/>
  <c r="J9" i="1"/>
  <c r="J8" i="1"/>
  <c r="J7" i="1"/>
  <c r="U16" i="2" l="1"/>
  <c r="U24" i="2" s="1"/>
  <c r="AD3" i="2"/>
  <c r="AB81" i="2"/>
  <c r="AA18" i="2"/>
  <c r="Z18" i="2"/>
  <c r="F30" i="2"/>
  <c r="L81" i="2"/>
  <c r="C81" i="2"/>
  <c r="C83" i="2" s="1"/>
  <c r="D82" i="2" s="1"/>
  <c r="D81" i="2"/>
  <c r="D85" i="2"/>
  <c r="I81" i="2"/>
  <c r="E81" i="2"/>
  <c r="I85" i="2"/>
  <c r="I30" i="2"/>
  <c r="F81" i="2"/>
  <c r="J81" i="2"/>
  <c r="K81" i="2"/>
  <c r="G81" i="2"/>
  <c r="K85" i="2"/>
  <c r="H81" i="2"/>
  <c r="C12" i="2"/>
  <c r="C14" i="2" s="1"/>
  <c r="C16" i="2" s="1"/>
  <c r="C57" i="2" s="1"/>
  <c r="D12" i="2"/>
  <c r="D14" i="2" s="1"/>
  <c r="D16" i="2" s="1"/>
  <c r="D18" i="2" s="1"/>
  <c r="J12" i="2"/>
  <c r="J14" i="2" s="1"/>
  <c r="J16" i="2" s="1"/>
  <c r="J18" i="2" s="1"/>
  <c r="E12" i="2"/>
  <c r="E14" i="2" s="1"/>
  <c r="E16" i="2" s="1"/>
  <c r="F12" i="2"/>
  <c r="F14" i="2" s="1"/>
  <c r="F16" i="2" s="1"/>
  <c r="G12" i="2"/>
  <c r="G14" i="2" s="1"/>
  <c r="G16" i="2" s="1"/>
  <c r="K12" i="2"/>
  <c r="K14" i="2" s="1"/>
  <c r="K16" i="2" s="1"/>
  <c r="L12" i="2"/>
  <c r="I12" i="2"/>
  <c r="I14" i="2" s="1"/>
  <c r="I16" i="2" s="1"/>
  <c r="H12" i="2"/>
  <c r="H14" i="2" s="1"/>
  <c r="H16" i="2" s="1"/>
  <c r="J11" i="1"/>
  <c r="AD26" i="2" l="1"/>
  <c r="L14" i="2"/>
  <c r="L21" i="2"/>
  <c r="L22" i="2"/>
  <c r="D83" i="2"/>
  <c r="E82" i="2" s="1"/>
  <c r="E83" i="2" s="1"/>
  <c r="F82" i="2" s="1"/>
  <c r="F83" i="2" s="1"/>
  <c r="G82" i="2" s="1"/>
  <c r="G83" i="2" s="1"/>
  <c r="H82" i="2" s="1"/>
  <c r="H83" i="2" s="1"/>
  <c r="I82" i="2" s="1"/>
  <c r="I83" i="2" s="1"/>
  <c r="J82" i="2" s="1"/>
  <c r="J83" i="2" s="1"/>
  <c r="K82" i="2" s="1"/>
  <c r="K83" i="2" s="1"/>
  <c r="L82" i="2" s="1"/>
  <c r="L83" i="2" s="1"/>
  <c r="N18" i="2"/>
  <c r="C18" i="2"/>
  <c r="D57" i="2"/>
  <c r="J57" i="2"/>
  <c r="G18" i="2"/>
  <c r="G57" i="2"/>
  <c r="F18" i="2"/>
  <c r="F57" i="2"/>
  <c r="E18" i="2"/>
  <c r="E57" i="2"/>
  <c r="H18" i="2"/>
  <c r="H57" i="2"/>
  <c r="I18" i="2"/>
  <c r="I57" i="2"/>
  <c r="K18" i="2"/>
  <c r="K57" i="2"/>
  <c r="AF16" i="2" l="1"/>
  <c r="L16" i="2"/>
  <c r="L23" i="2"/>
  <c r="O18" i="2"/>
  <c r="AG16" i="2" l="1"/>
  <c r="L18" i="2"/>
  <c r="L57" i="2"/>
  <c r="P18" i="2"/>
  <c r="AH16" i="2" l="1"/>
  <c r="Q18" i="2"/>
  <c r="AI16" i="2" l="1"/>
  <c r="R18" i="2"/>
  <c r="AJ16" i="2" l="1"/>
  <c r="T18" i="2"/>
  <c r="S18" i="2"/>
  <c r="AK16" i="2" l="1"/>
  <c r="AL16" i="2" l="1"/>
  <c r="AM3" i="2"/>
  <c r="AM16" i="2" l="1"/>
  <c r="AN3" i="2"/>
  <c r="AO3" i="2" l="1"/>
  <c r="AN16" i="2"/>
  <c r="AP3" i="2" l="1"/>
  <c r="AO16" i="2"/>
  <c r="AQ3" i="2" l="1"/>
  <c r="AP16" i="2"/>
  <c r="AR3" i="2" l="1"/>
  <c r="AQ16" i="2"/>
  <c r="AS3" i="2" l="1"/>
  <c r="AR16" i="2"/>
  <c r="AT3" i="2" l="1"/>
  <c r="AS16" i="2"/>
  <c r="AU3" i="2" l="1"/>
  <c r="AT16" i="2"/>
  <c r="AV3" i="2" l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EH16" i="2" s="1"/>
  <c r="EI16" i="2" s="1"/>
  <c r="EJ16" i="2" s="1"/>
  <c r="EK16" i="2" s="1"/>
  <c r="EL16" i="2" s="1"/>
  <c r="EM16" i="2" s="1"/>
  <c r="EN16" i="2" s="1"/>
  <c r="EO16" i="2" s="1"/>
  <c r="EP16" i="2" s="1"/>
  <c r="EQ16" i="2" s="1"/>
  <c r="ER16" i="2" s="1"/>
  <c r="ES16" i="2" s="1"/>
  <c r="ET16" i="2" s="1"/>
  <c r="EU16" i="2" s="1"/>
  <c r="EV16" i="2" s="1"/>
  <c r="EW16" i="2" s="1"/>
  <c r="EX16" i="2" s="1"/>
  <c r="EY16" i="2" s="1"/>
  <c r="EZ16" i="2" s="1"/>
  <c r="FA16" i="2" s="1"/>
  <c r="FB16" i="2" s="1"/>
  <c r="FC16" i="2" s="1"/>
  <c r="FD16" i="2" s="1"/>
  <c r="FE16" i="2" s="1"/>
  <c r="FF16" i="2" s="1"/>
  <c r="FG16" i="2" s="1"/>
  <c r="FH16" i="2" s="1"/>
  <c r="FI16" i="2" s="1"/>
  <c r="FJ16" i="2" s="1"/>
  <c r="FK16" i="2" s="1"/>
  <c r="FL16" i="2" s="1"/>
  <c r="FM16" i="2" s="1"/>
  <c r="FN16" i="2" s="1"/>
  <c r="FO16" i="2" s="1"/>
  <c r="FP16" i="2" s="1"/>
  <c r="FQ16" i="2" s="1"/>
  <c r="FR16" i="2" s="1"/>
  <c r="FS16" i="2" s="1"/>
  <c r="FT16" i="2" s="1"/>
  <c r="FU16" i="2" s="1"/>
  <c r="FV16" i="2" s="1"/>
  <c r="FW16" i="2" s="1"/>
  <c r="FX16" i="2" s="1"/>
  <c r="FY16" i="2" s="1"/>
  <c r="FZ16" i="2" s="1"/>
  <c r="GA16" i="2" s="1"/>
  <c r="GB16" i="2" s="1"/>
  <c r="GC16" i="2" s="1"/>
  <c r="GD16" i="2" s="1"/>
  <c r="GE16" i="2" s="1"/>
  <c r="GF16" i="2" s="1"/>
  <c r="GG16" i="2" s="1"/>
  <c r="GH16" i="2" s="1"/>
  <c r="GI16" i="2" s="1"/>
  <c r="GJ16" i="2" s="1"/>
  <c r="GK16" i="2" s="1"/>
  <c r="GL16" i="2" s="1"/>
  <c r="GM16" i="2" s="1"/>
  <c r="GN16" i="2" s="1"/>
  <c r="GO16" i="2" s="1"/>
  <c r="GP16" i="2" s="1"/>
  <c r="GQ16" i="2" s="1"/>
  <c r="GR16" i="2" s="1"/>
  <c r="GS16" i="2" s="1"/>
  <c r="GT16" i="2" s="1"/>
  <c r="GU16" i="2" s="1"/>
  <c r="GV16" i="2" s="1"/>
  <c r="GW16" i="2" s="1"/>
  <c r="GX16" i="2" s="1"/>
  <c r="GY16" i="2" s="1"/>
  <c r="GZ16" i="2" s="1"/>
  <c r="HA16" i="2" s="1"/>
  <c r="HB16" i="2" s="1"/>
  <c r="HC16" i="2" s="1"/>
  <c r="HD16" i="2" s="1"/>
  <c r="HE16" i="2" s="1"/>
  <c r="HF16" i="2" s="1"/>
  <c r="HG16" i="2" s="1"/>
  <c r="HH16" i="2" s="1"/>
  <c r="HI16" i="2" s="1"/>
  <c r="HJ16" i="2" s="1"/>
  <c r="HK16" i="2" s="1"/>
  <c r="HL16" i="2" s="1"/>
  <c r="HM16" i="2" s="1"/>
  <c r="HN16" i="2" s="1"/>
  <c r="HO16" i="2" s="1"/>
  <c r="HP16" i="2" s="1"/>
  <c r="HQ16" i="2" s="1"/>
  <c r="HR16" i="2" s="1"/>
  <c r="HS16" i="2" s="1"/>
  <c r="HT16" i="2" s="1"/>
  <c r="HU16" i="2" s="1"/>
  <c r="HV16" i="2" s="1"/>
  <c r="HW16" i="2" s="1"/>
  <c r="HX16" i="2" s="1"/>
  <c r="HY16" i="2" s="1"/>
  <c r="HZ16" i="2" s="1"/>
  <c r="IA16" i="2" s="1"/>
  <c r="IB16" i="2" s="1"/>
  <c r="IC16" i="2" s="1"/>
  <c r="ID16" i="2" s="1"/>
  <c r="IE16" i="2" s="1"/>
  <c r="IF16" i="2" s="1"/>
  <c r="IG16" i="2" s="1"/>
  <c r="IH16" i="2" s="1"/>
  <c r="II16" i="2" s="1"/>
  <c r="IJ16" i="2" s="1"/>
  <c r="IK16" i="2" s="1"/>
  <c r="IL16" i="2" s="1"/>
  <c r="IM16" i="2" s="1"/>
  <c r="IN16" i="2" s="1"/>
  <c r="IO16" i="2" s="1"/>
  <c r="IP16" i="2" s="1"/>
  <c r="IQ16" i="2" s="1"/>
  <c r="IR16" i="2" s="1"/>
  <c r="IS16" i="2" s="1"/>
  <c r="IT16" i="2" s="1"/>
  <c r="IU16" i="2" s="1"/>
  <c r="IV16" i="2" s="1"/>
  <c r="IW16" i="2" s="1"/>
  <c r="IX16" i="2" s="1"/>
  <c r="IY16" i="2" s="1"/>
  <c r="IZ16" i="2" s="1"/>
  <c r="JA16" i="2" s="1"/>
  <c r="JB16" i="2" s="1"/>
  <c r="JC16" i="2" s="1"/>
  <c r="JD16" i="2" s="1"/>
  <c r="JE16" i="2" s="1"/>
  <c r="JF16" i="2" s="1"/>
  <c r="JG16" i="2" s="1"/>
  <c r="JH16" i="2" s="1"/>
  <c r="JI16" i="2" s="1"/>
  <c r="JJ16" i="2" s="1"/>
  <c r="JK16" i="2" s="1"/>
  <c r="JL16" i="2" s="1"/>
  <c r="JM16" i="2" s="1"/>
  <c r="JN16" i="2" s="1"/>
  <c r="JO16" i="2" s="1"/>
  <c r="JP16" i="2" s="1"/>
  <c r="JQ16" i="2" s="1"/>
  <c r="JR16" i="2" s="1"/>
  <c r="JS16" i="2" s="1"/>
  <c r="JT16" i="2" s="1"/>
  <c r="JU16" i="2" s="1"/>
  <c r="JV16" i="2" s="1"/>
  <c r="JW16" i="2" s="1"/>
  <c r="JX16" i="2" s="1"/>
  <c r="JY16" i="2" s="1"/>
  <c r="JZ16" i="2" s="1"/>
  <c r="KA16" i="2" s="1"/>
  <c r="KB16" i="2" s="1"/>
  <c r="KC16" i="2" s="1"/>
  <c r="KD16" i="2" s="1"/>
  <c r="KE16" i="2" s="1"/>
  <c r="KF16" i="2" s="1"/>
  <c r="KG16" i="2" s="1"/>
  <c r="KH16" i="2" s="1"/>
  <c r="KI16" i="2" s="1"/>
  <c r="KJ16" i="2" s="1"/>
  <c r="KK16" i="2" s="1"/>
  <c r="KL16" i="2" s="1"/>
  <c r="KM16" i="2" s="1"/>
  <c r="KN16" i="2" s="1"/>
  <c r="KO16" i="2" s="1"/>
  <c r="KP16" i="2" s="1"/>
  <c r="KQ16" i="2" s="1"/>
  <c r="KR16" i="2" s="1"/>
  <c r="KS16" i="2" s="1"/>
  <c r="KT16" i="2" s="1"/>
  <c r="KU16" i="2" s="1"/>
  <c r="KV16" i="2" s="1"/>
  <c r="KW16" i="2" s="1"/>
  <c r="KX16" i="2" s="1"/>
  <c r="KY16" i="2" s="1"/>
  <c r="KZ16" i="2" s="1"/>
  <c r="LA16" i="2" s="1"/>
  <c r="LB16" i="2" s="1"/>
  <c r="LC16" i="2" s="1"/>
  <c r="LD16" i="2" s="1"/>
  <c r="LE16" i="2" s="1"/>
  <c r="LF16" i="2" s="1"/>
  <c r="LG16" i="2" s="1"/>
  <c r="LH16" i="2" s="1"/>
  <c r="LI16" i="2" s="1"/>
  <c r="LJ16" i="2" s="1"/>
  <c r="LK16" i="2" s="1"/>
  <c r="LL16" i="2" s="1"/>
  <c r="LM16" i="2" s="1"/>
  <c r="LN16" i="2" s="1"/>
  <c r="LO16" i="2" s="1"/>
  <c r="LP16" i="2" s="1"/>
  <c r="LQ16" i="2" s="1"/>
  <c r="LR16" i="2" s="1"/>
  <c r="LS16" i="2" s="1"/>
  <c r="LT16" i="2" s="1"/>
  <c r="LU16" i="2" s="1"/>
  <c r="LV16" i="2" s="1"/>
  <c r="LW16" i="2" s="1"/>
  <c r="LX16" i="2" s="1"/>
  <c r="LY16" i="2" s="1"/>
  <c r="LZ16" i="2" s="1"/>
  <c r="MA16" i="2" s="1"/>
  <c r="MB16" i="2" s="1"/>
  <c r="MC16" i="2" s="1"/>
  <c r="MD16" i="2" s="1"/>
  <c r="ME16" i="2" s="1"/>
  <c r="MF16" i="2" s="1"/>
  <c r="MG16" i="2" s="1"/>
  <c r="MH16" i="2" s="1"/>
  <c r="MI16" i="2" s="1"/>
  <c r="MJ16" i="2" s="1"/>
  <c r="MK16" i="2" s="1"/>
  <c r="ML16" i="2" s="1"/>
  <c r="MM16" i="2" s="1"/>
  <c r="MN16" i="2" s="1"/>
  <c r="MO16" i="2" s="1"/>
  <c r="MP16" i="2" s="1"/>
  <c r="MQ16" i="2" s="1"/>
  <c r="MR16" i="2" s="1"/>
  <c r="MS16" i="2" s="1"/>
  <c r="MT16" i="2" s="1"/>
  <c r="MU16" i="2" s="1"/>
  <c r="MV16" i="2" s="1"/>
  <c r="MW16" i="2" s="1"/>
  <c r="MX16" i="2" s="1"/>
  <c r="MY16" i="2" s="1"/>
  <c r="MZ16" i="2" s="1"/>
  <c r="NA16" i="2" s="1"/>
  <c r="NB16" i="2" s="1"/>
  <c r="NC16" i="2" s="1"/>
  <c r="ND16" i="2" s="1"/>
  <c r="NE16" i="2" s="1"/>
  <c r="NF16" i="2" s="1"/>
  <c r="NG16" i="2" s="1"/>
  <c r="NH16" i="2" s="1"/>
  <c r="NI16" i="2" s="1"/>
  <c r="NJ16" i="2" s="1"/>
  <c r="NK16" i="2" s="1"/>
  <c r="NL16" i="2" s="1"/>
  <c r="NM16" i="2" s="1"/>
  <c r="NN16" i="2" s="1"/>
  <c r="NO16" i="2" s="1"/>
  <c r="NP16" i="2" s="1"/>
  <c r="NQ16" i="2" s="1"/>
  <c r="NR16" i="2" s="1"/>
  <c r="NS16" i="2" s="1"/>
  <c r="NT16" i="2" s="1"/>
  <c r="NU16" i="2" s="1"/>
  <c r="NV16" i="2" s="1"/>
  <c r="NW16" i="2" s="1"/>
  <c r="NX16" i="2" s="1"/>
  <c r="NY16" i="2" s="1"/>
  <c r="NZ16" i="2" s="1"/>
  <c r="OA16" i="2" s="1"/>
  <c r="OB16" i="2" s="1"/>
  <c r="OC16" i="2" s="1"/>
  <c r="OD16" i="2" s="1"/>
  <c r="OE16" i="2" s="1"/>
  <c r="OF16" i="2" s="1"/>
  <c r="OG16" i="2" s="1"/>
  <c r="OH16" i="2" s="1"/>
  <c r="OI16" i="2" s="1"/>
  <c r="OJ16" i="2" s="1"/>
  <c r="OK16" i="2" s="1"/>
  <c r="OL16" i="2" s="1"/>
  <c r="OM16" i="2" s="1"/>
  <c r="ON16" i="2" s="1"/>
  <c r="OO16" i="2" s="1"/>
  <c r="OP16" i="2" s="1"/>
  <c r="OQ16" i="2" s="1"/>
  <c r="OR16" i="2" s="1"/>
  <c r="OS16" i="2" s="1"/>
  <c r="OT16" i="2" s="1"/>
  <c r="OU16" i="2" s="1"/>
  <c r="OV16" i="2" s="1"/>
  <c r="OW16" i="2" s="1"/>
  <c r="OX16" i="2" s="1"/>
  <c r="OY16" i="2" s="1"/>
  <c r="OZ16" i="2" s="1"/>
  <c r="PA16" i="2" s="1"/>
  <c r="PB16" i="2" s="1"/>
  <c r="PC16" i="2" s="1"/>
  <c r="PD16" i="2" s="1"/>
  <c r="PE16" i="2" s="1"/>
  <c r="PF16" i="2" s="1"/>
  <c r="PG16" i="2" s="1"/>
  <c r="PH16" i="2" s="1"/>
  <c r="PI16" i="2" s="1"/>
  <c r="PJ16" i="2" s="1"/>
  <c r="PK16" i="2" s="1"/>
  <c r="PL16" i="2" s="1"/>
  <c r="PM16" i="2" s="1"/>
  <c r="PN16" i="2" s="1"/>
  <c r="PO16" i="2" s="1"/>
  <c r="PP16" i="2" s="1"/>
  <c r="PQ16" i="2" s="1"/>
  <c r="PR16" i="2" s="1"/>
  <c r="PS16" i="2" s="1"/>
  <c r="PT16" i="2" s="1"/>
  <c r="PU16" i="2" s="1"/>
  <c r="PV16" i="2" s="1"/>
  <c r="PW16" i="2" s="1"/>
  <c r="PX16" i="2" s="1"/>
  <c r="PY16" i="2" s="1"/>
  <c r="PZ16" i="2" s="1"/>
  <c r="QA16" i="2" s="1"/>
  <c r="QB16" i="2" s="1"/>
  <c r="QC16" i="2" s="1"/>
  <c r="QD16" i="2" s="1"/>
  <c r="QE16" i="2" s="1"/>
  <c r="QF16" i="2" s="1"/>
  <c r="AU16" i="2"/>
  <c r="AY21" i="2" l="1"/>
  <c r="AY22" i="2" s="1"/>
  <c r="AY2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Gega Mukhigulashvili</author>
  </authors>
  <commentList>
    <comment ref="B91" authorId="0" shapeId="0" xr:uid="{5B94492E-B54A-4074-B8F5-9CB4A9CF5CE5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Gross Merchandise Volume consists of the total value of all paid transactions between users on our Marketplace platforms during the
applicable period inclusive of shipping fees and taxes</t>
        </r>
      </text>
    </comment>
  </commentList>
</comments>
</file>

<file path=xl/sharedStrings.xml><?xml version="1.0" encoding="utf-8"?>
<sst xmlns="http://schemas.openxmlformats.org/spreadsheetml/2006/main" count="115" uniqueCount="112">
  <si>
    <t>Tech</t>
  </si>
  <si>
    <t>Price</t>
  </si>
  <si>
    <t>S/O</t>
  </si>
  <si>
    <t>MC</t>
  </si>
  <si>
    <t>Cash</t>
  </si>
  <si>
    <t>Debt</t>
  </si>
  <si>
    <t>EV</t>
  </si>
  <si>
    <t>Main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</si>
  <si>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</si>
  <si>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</si>
  <si>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</si>
  <si>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</si>
  <si>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</si>
  <si>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</si>
  <si>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</si>
  <si>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</si>
  <si>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</si>
  <si>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</si>
  <si>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</si>
  <si>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</si>
  <si>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</si>
  <si>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</si>
  <si>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</si>
  <si>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</si>
  <si>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Q127</t>
  </si>
  <si>
    <t>Q227</t>
  </si>
  <si>
    <t>Q327</t>
  </si>
  <si>
    <t>Q427</t>
  </si>
  <si>
    <t>Revenue</t>
  </si>
  <si>
    <t>COGS</t>
  </si>
  <si>
    <t>Gross Profit</t>
  </si>
  <si>
    <t>S&amp;M</t>
  </si>
  <si>
    <t>R&amp;D</t>
  </si>
  <si>
    <t>G&amp;A</t>
  </si>
  <si>
    <t>Transaction losses</t>
  </si>
  <si>
    <t>Amortization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</si>
  <si>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</si>
  <si>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</si>
  <si>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</si>
  <si>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</si>
  <si>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</si>
  <si>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</si>
  <si>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</si>
  <si>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Cash and equivalents</t>
  </si>
  <si>
    <t>Net Cash</t>
  </si>
  <si>
    <t>Short-term inv.</t>
  </si>
  <si>
    <t>A/R</t>
  </si>
  <si>
    <t>OCA</t>
  </si>
  <si>
    <t>Long-term inv.</t>
  </si>
  <si>
    <t>PP&amp;A</t>
  </si>
  <si>
    <t>Goodwill</t>
  </si>
  <si>
    <t>Operating lease ROU</t>
  </si>
  <si>
    <t>Deferred tax assets</t>
  </si>
  <si>
    <t>ONCA</t>
  </si>
  <si>
    <t>Total assets</t>
  </si>
  <si>
    <t>Short-term debt</t>
  </si>
  <si>
    <t>A/P</t>
  </si>
  <si>
    <t>Customer payable</t>
  </si>
  <si>
    <t>Accrued expenses</t>
  </si>
  <si>
    <t>Income taxes payable</t>
  </si>
  <si>
    <t>Operating lease</t>
  </si>
  <si>
    <t>Long-term debt</t>
  </si>
  <si>
    <t>Other liabilities</t>
  </si>
  <si>
    <t>Total Liabilities</t>
  </si>
  <si>
    <t>SE</t>
  </si>
  <si>
    <t>L+SE</t>
  </si>
  <si>
    <t>Model NI</t>
  </si>
  <si>
    <t>GAAP NI</t>
  </si>
  <si>
    <t>Discounted operations</t>
  </si>
  <si>
    <t>Provision for transaction losses</t>
  </si>
  <si>
    <t>D&amp;A</t>
  </si>
  <si>
    <t>Stock-based compensation</t>
  </si>
  <si>
    <t>Deferred income taxes</t>
  </si>
  <si>
    <t>Change in fair values</t>
  </si>
  <si>
    <t>Gains on investments</t>
  </si>
  <si>
    <t>Changes in assets and liabilities</t>
  </si>
  <si>
    <t>CFFO</t>
  </si>
  <si>
    <t>CapEx</t>
  </si>
  <si>
    <t>Investments</t>
  </si>
  <si>
    <t>Acquisitions and other</t>
  </si>
  <si>
    <t>CFFI</t>
  </si>
  <si>
    <t>Issuance of stock</t>
  </si>
  <si>
    <t>Repurchases of common stock</t>
  </si>
  <si>
    <t>Dividends</t>
  </si>
  <si>
    <t>Taxes for restricted stock</t>
  </si>
  <si>
    <t xml:space="preserve">Net funds receivable and payable activity </t>
  </si>
  <si>
    <t>Other</t>
  </si>
  <si>
    <t>CFFF</t>
  </si>
  <si>
    <t>FX adj</t>
  </si>
  <si>
    <t>CF</t>
  </si>
  <si>
    <t>FCF</t>
  </si>
  <si>
    <t>CapEx Margin</t>
  </si>
  <si>
    <t>BOP Cash</t>
  </si>
  <si>
    <t>EOP Cash</t>
  </si>
  <si>
    <t>Active Buyers</t>
  </si>
  <si>
    <t>Gross Merchendise Volume US</t>
  </si>
  <si>
    <t>Gross Merchendise Volume International</t>
  </si>
  <si>
    <t xml:space="preserve">Total Gross Merchendise Volume </t>
  </si>
  <si>
    <t>Non-GAAP net income</t>
  </si>
  <si>
    <t>Non-GAAP EPS</t>
  </si>
  <si>
    <t>Gross margin</t>
  </si>
  <si>
    <t>Operating margin</t>
  </si>
  <si>
    <t>Interest margin</t>
  </si>
  <si>
    <t>Net margin</t>
  </si>
  <si>
    <t>Revenue Y/Y</t>
  </si>
  <si>
    <t>Tax margin</t>
  </si>
  <si>
    <t>Maturity</t>
  </si>
  <si>
    <t>Discount</t>
  </si>
  <si>
    <t>NPV</t>
  </si>
  <si>
    <t>Share</t>
  </si>
  <si>
    <t>Current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</si>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</sst>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/>
    <xf numFmtId="3" fontId="0" fillId="0" borderId="0" xfId="0" applyNumberFormat="1"/>
    <xf numFmtId="0" fontId="1" fillId="0" borderId="0" xfId="0" applyFont="1"/>
    <xf numFmtId="0" fontId="0" fillId="0" borderId="0" xfId="0" applyFont="1"/>
    <xf numFmtId="3" fontId="1" fillId="0" borderId="0" xfId="0" applyNumberFormat="1" applyFont="1"/>
    <xf numFmtId="3" fontId="0" fillId="0" borderId="0" xfId="0" applyNumberFormat="1" applyFont="1"/>
    <xf numFmtId="4" fontId="0" fillId="0" borderId="0" xfId="0" applyNumberFormat="1"/>
    <xf numFmtId="4" fontId="1" fillId="0" borderId="0" xfId="0" applyNumberFormat="1" applyFont="1"/>
    <xf numFmtId="166" fontId="0" fillId="0" borderId="0" xfId="0" applyNumberFormat="1"/>
    <xf numFmtId="10" fontId="0" fillId="0" borderId="0" xfId="0" applyNumberFormat="1"/>
    <xf numFmtId="9" fontId="0" fillId="0" borderId="0" xfId="0" applyNumberFormat="1"/>
    <xf numFmtId="166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38100</xdr:rowOff>
    </xdr:from>
    <xdr:to>
      <xdr:col>12</xdr:col>
      <xdr:colOff>15240</xdr:colOff>
      <xdr:row>37</xdr:row>
      <xdr:rowOff>60960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E8A04CB-5592-B580-F0AD-3968A9210C6B}"/>
            </a:ext>
          </a:extLst>
        </xdr:cNvPr>
        <xdr:cNvCxnSpPr/>
      </xdr:nvCxnSpPr>
      <xdr:spPr>
        <a:xfrm flipH="1">
          <a:off x="7315200" y="38100"/>
          <a:ext cx="15240" cy="5326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601980</xdr:colOff>
      <xdr:row>0</xdr:row>
      <xdr:rowOff>167640</xdr:rowOff>
    </xdr:from>
    <xdr:to>
      <xdr:col>27</xdr:col>
      <xdr:colOff>7620</xdr:colOff>
      <xdr:row>38</xdr:row>
      <xdr:rowOff>7620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482083A-E5E7-4325-92B3-8D06A65A004E}"/>
            </a:ext>
          </a:extLst>
        </xdr:cNvPr>
        <xdr:cNvCxnSpPr/>
      </xdr:nvCxnSpPr>
      <xdr:spPr>
        <a:xfrm flipH="1">
          <a:off x="16451580" y="167640"/>
          <a:ext cx="15240" cy="67894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ch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J5" sqref="J5"/>
    </sheetView>
  </sheetViews>
  <sheetFormatPr defaultRowHeight="14.4" x14ac:dyDescent="0.3"/>
  <sheetData>
    <row r="1" spans="1:10" x14ac:dyDescent="0.3">
      <c r="A1" s="1" t="s">
        <v>0</v>
      </c>
    </row>
    <row r="5" spans="1:10" x14ac:dyDescent="0.3">
      <c r="I5" t="s">
        <v>1</v>
      </c>
      <c r="J5">
        <v>91.74</v>
      </c>
    </row>
    <row r="6" spans="1:10" x14ac:dyDescent="0.3">
      <c r="I6" t="s">
        <v>2</v>
      </c>
      <c r="J6" s="2">
        <v>461</v>
      </c>
    </row>
    <row r="7" spans="1:10" x14ac:dyDescent="0.3">
      <c r="I7" t="s">
        <v>3</v>
      </c>
      <c r="J7" s="2">
        <f>+J5*J6</f>
        <v>42292.14</v>
      </c>
    </row>
    <row r="8" spans="1:10" x14ac:dyDescent="0.3">
      <c r="I8" t="s">
        <v>4</v>
      </c>
      <c r="J8" s="2">
        <f>2070+1680+2520</f>
        <v>6270</v>
      </c>
    </row>
    <row r="9" spans="1:10" x14ac:dyDescent="0.3">
      <c r="I9" t="s">
        <v>5</v>
      </c>
      <c r="J9" s="2">
        <f>1746+287+5002</f>
        <v>7035</v>
      </c>
    </row>
    <row r="10" spans="1:10" x14ac:dyDescent="0.3">
      <c r="J10" s="2"/>
    </row>
    <row r="11" spans="1:10" x14ac:dyDescent="0.3">
      <c r="I11" t="s">
        <v>6</v>
      </c>
      <c r="J11" s="2">
        <f>J7-J8+J9</f>
        <v>43057.14</v>
      </c>
    </row>
  </sheetData>
  <hyperlinks>
    <hyperlink ref="A1" r:id="rId1" xr:uid="{081B339D-8E00-4280-9A8A-F674A017C87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F5F5-9A84-47CE-9DCB-E7565F602677}">
  <dimension ref="A1:QF96"/>
  <sheetViews>
    <sheetView tabSelected="1" zoomScale="65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AB15" sqref="AB15"/>
    </sheetView>
  </sheetViews>
  <sheetFormatPr defaultRowHeight="14.4" x14ac:dyDescent="0.3"/>
  <cols>
    <col min="51" max="51" width="11" bestFit="1" customWidth="1"/>
  </cols>
  <sheetData>
    <row r="1" spans="1:448" x14ac:dyDescent="0.3">
      <c r="A1" s="1" t="s">
        <v>7</v>
      </c>
    </row>
    <row r="2" spans="1:448" x14ac:dyDescent="0.3"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Z2">
        <v>2023</v>
      </c>
      <c r="AA2">
        <v>2024</v>
      </c>
      <c r="AB2">
        <v>2025</v>
      </c>
      <c r="AC2">
        <v>2026</v>
      </c>
      <c r="AD2">
        <v>2027</v>
      </c>
      <c r="AE2">
        <v>2028</v>
      </c>
      <c r="AF2">
        <v>2029</v>
      </c>
      <c r="AG2">
        <v>2030</v>
      </c>
      <c r="AH2">
        <v>2031</v>
      </c>
      <c r="AI2">
        <v>2032</v>
      </c>
      <c r="AJ2">
        <v>2033</v>
      </c>
      <c r="AK2">
        <v>2034</v>
      </c>
      <c r="AL2">
        <v>2035</v>
      </c>
      <c r="AM2">
        <v>2036</v>
      </c>
      <c r="AN2">
        <v>2037</v>
      </c>
      <c r="AO2">
        <v>2038</v>
      </c>
      <c r="AP2">
        <v>2039</v>
      </c>
      <c r="AQ2">
        <v>2040</v>
      </c>
      <c r="AR2">
        <v>2041</v>
      </c>
      <c r="AS2">
        <v>2042</v>
      </c>
      <c r="AT2">
        <v>2043</v>
      </c>
      <c r="AU2">
        <v>2044</v>
      </c>
      <c r="AV2">
        <v>2045</v>
      </c>
    </row>
    <row r="3" spans="1:448" s="2" customFormat="1" x14ac:dyDescent="0.3">
      <c r="A3"/>
      <c r="B3" t="s">
        <v>28</v>
      </c>
      <c r="C3" s="2">
        <v>2510</v>
      </c>
      <c r="D3" s="2">
        <v>2540</v>
      </c>
      <c r="E3" s="2">
        <v>2500</v>
      </c>
      <c r="F3" s="2">
        <v>2562</v>
      </c>
      <c r="G3" s="2">
        <v>2556</v>
      </c>
      <c r="H3" s="2">
        <v>2572</v>
      </c>
      <c r="I3" s="2">
        <v>2576</v>
      </c>
      <c r="J3" s="2">
        <v>2579</v>
      </c>
      <c r="K3" s="2">
        <v>2585</v>
      </c>
      <c r="L3" s="2">
        <v>2730</v>
      </c>
      <c r="M3" s="2">
        <v>2720</v>
      </c>
      <c r="N3" s="2">
        <v>2790</v>
      </c>
      <c r="O3" s="2">
        <v>2750</v>
      </c>
      <c r="P3" s="2">
        <v>2830</v>
      </c>
      <c r="Q3" s="2">
        <v>2820</v>
      </c>
      <c r="R3" s="2">
        <v>2900</v>
      </c>
      <c r="S3" s="2">
        <v>2780</v>
      </c>
      <c r="T3" s="2">
        <v>2840</v>
      </c>
      <c r="U3" s="2">
        <f>Q3*1.035</f>
        <v>2918.7</v>
      </c>
      <c r="V3" s="2">
        <f t="shared" ref="V3" si="0">R3*1.035</f>
        <v>3001.4999999999995</v>
      </c>
      <c r="Z3" s="2">
        <f>C3+D3+E3+F3</f>
        <v>10112</v>
      </c>
      <c r="AA3" s="2">
        <f>G3+H3+I3+J3</f>
        <v>10283</v>
      </c>
      <c r="AB3" s="2">
        <f>+K3+L3+M3+N3</f>
        <v>10825</v>
      </c>
      <c r="AC3" s="2">
        <f>+O3+P3+Q3+R3</f>
        <v>11300</v>
      </c>
      <c r="AD3" s="2">
        <f>+S3+T3+U3+V3</f>
        <v>11540.2</v>
      </c>
      <c r="AE3" s="2">
        <f>+AD3*1.02</f>
        <v>11771.004000000001</v>
      </c>
      <c r="AF3" s="2">
        <f t="shared" ref="AF3:AL3" si="1">+AE3*1.02</f>
        <v>12006.424080000001</v>
      </c>
      <c r="AG3" s="2">
        <f t="shared" si="1"/>
        <v>12246.552561600001</v>
      </c>
      <c r="AH3" s="2">
        <f t="shared" si="1"/>
        <v>12491.483612832002</v>
      </c>
      <c r="AI3" s="2">
        <f t="shared" si="1"/>
        <v>12741.313285088643</v>
      </c>
      <c r="AJ3" s="2">
        <f t="shared" si="1"/>
        <v>12996.139550790416</v>
      </c>
      <c r="AK3" s="2">
        <f t="shared" si="1"/>
        <v>13256.062341806224</v>
      </c>
      <c r="AL3" s="2">
        <f t="shared" si="1"/>
        <v>13521.183588642349</v>
      </c>
      <c r="AM3" s="2">
        <f>+AL3*1.01</f>
        <v>13656.395424528771</v>
      </c>
      <c r="AN3" s="2">
        <f t="shared" ref="AN3:AV3" si="2">+AM3*1.01</f>
        <v>13792.95937877406</v>
      </c>
      <c r="AO3" s="2">
        <f t="shared" si="2"/>
        <v>13930.888972561801</v>
      </c>
      <c r="AP3" s="2">
        <f t="shared" si="2"/>
        <v>14070.197862287419</v>
      </c>
      <c r="AQ3" s="2">
        <f t="shared" si="2"/>
        <v>14210.899840910293</v>
      </c>
      <c r="AR3" s="2">
        <f t="shared" si="2"/>
        <v>14353.008839319396</v>
      </c>
      <c r="AS3" s="2">
        <f t="shared" si="2"/>
        <v>14496.538927712591</v>
      </c>
      <c r="AT3" s="2">
        <f t="shared" si="2"/>
        <v>14641.504316989716</v>
      </c>
      <c r="AU3" s="2">
        <f t="shared" si="2"/>
        <v>14787.919360159614</v>
      </c>
      <c r="AV3" s="2">
        <f t="shared" si="2"/>
        <v>14935.798553761211</v>
      </c>
    </row>
    <row r="4" spans="1:448" s="2" customFormat="1" x14ac:dyDescent="0.3">
      <c r="A4"/>
      <c r="B4" t="s">
        <v>29</v>
      </c>
      <c r="C4" s="2">
        <v>700</v>
      </c>
      <c r="D4" s="2">
        <v>718</v>
      </c>
      <c r="E4" s="2">
        <v>705</v>
      </c>
      <c r="F4" s="2">
        <v>710</v>
      </c>
      <c r="G4" s="2">
        <v>700</v>
      </c>
      <c r="H4" s="2">
        <v>735</v>
      </c>
      <c r="I4" s="2">
        <v>727</v>
      </c>
      <c r="J4" s="2">
        <v>718</v>
      </c>
      <c r="K4" s="2">
        <v>723</v>
      </c>
      <c r="L4" s="2">
        <v>776</v>
      </c>
      <c r="Z4" s="2">
        <f t="shared" ref="Z4" si="3">C4+D4+E4+F4</f>
        <v>2833</v>
      </c>
      <c r="AA4" s="2">
        <f t="shared" ref="AA4" si="4">G4+H4+I4+J4</f>
        <v>2880</v>
      </c>
      <c r="AB4" s="2">
        <f t="shared" ref="AB4" si="5">+K4+L4+M4+N4</f>
        <v>1499</v>
      </c>
    </row>
    <row r="5" spans="1:448" s="5" customFormat="1" x14ac:dyDescent="0.3">
      <c r="A5" s="3"/>
      <c r="B5" s="3" t="s">
        <v>30</v>
      </c>
      <c r="C5" s="5">
        <f t="shared" ref="C5:K5" si="6">C3-C4</f>
        <v>1810</v>
      </c>
      <c r="D5" s="5">
        <f t="shared" si="6"/>
        <v>1822</v>
      </c>
      <c r="E5" s="5">
        <f t="shared" si="6"/>
        <v>1795</v>
      </c>
      <c r="F5" s="5">
        <f t="shared" si="6"/>
        <v>1852</v>
      </c>
      <c r="G5" s="5">
        <f t="shared" si="6"/>
        <v>1856</v>
      </c>
      <c r="H5" s="5">
        <f t="shared" si="6"/>
        <v>1837</v>
      </c>
      <c r="I5" s="5">
        <f t="shared" si="6"/>
        <v>1849</v>
      </c>
      <c r="J5" s="5">
        <f t="shared" si="6"/>
        <v>1861</v>
      </c>
      <c r="K5" s="5">
        <f t="shared" si="6"/>
        <v>1862</v>
      </c>
      <c r="L5" s="5">
        <f>L3-L4</f>
        <v>1954</v>
      </c>
      <c r="Z5" s="5">
        <f t="shared" ref="Z5:AB5" si="7">Z3-Z4</f>
        <v>7279</v>
      </c>
      <c r="AA5" s="5">
        <f t="shared" si="7"/>
        <v>7403</v>
      </c>
      <c r="AB5" s="5">
        <f t="shared" si="7"/>
        <v>9326</v>
      </c>
    </row>
    <row r="6" spans="1:448" s="2" customFormat="1" x14ac:dyDescent="0.3">
      <c r="A6"/>
      <c r="B6" t="s">
        <v>31</v>
      </c>
      <c r="C6" s="2">
        <v>511</v>
      </c>
      <c r="D6" s="2">
        <v>566</v>
      </c>
      <c r="E6" s="2">
        <v>567</v>
      </c>
      <c r="F6" s="2">
        <v>573</v>
      </c>
      <c r="G6" s="2">
        <v>541</v>
      </c>
      <c r="H6" s="2">
        <v>577</v>
      </c>
      <c r="I6" s="2">
        <v>592</v>
      </c>
      <c r="J6" s="2">
        <v>609</v>
      </c>
      <c r="K6" s="2">
        <v>536</v>
      </c>
      <c r="L6" s="2">
        <v>586</v>
      </c>
      <c r="Z6" s="2">
        <f t="shared" ref="Z6:Z10" si="8">C6+D6+E6+F6</f>
        <v>2217</v>
      </c>
      <c r="AA6" s="2">
        <f t="shared" ref="AA6:AA10" si="9">G6+H6+I6+J6</f>
        <v>2319</v>
      </c>
      <c r="AB6" s="2">
        <f t="shared" ref="AB6:AB10" si="10">+K6+L6+M6+N6</f>
        <v>1122</v>
      </c>
    </row>
    <row r="7" spans="1:448" s="2" customFormat="1" x14ac:dyDescent="0.3">
      <c r="A7"/>
      <c r="B7" t="s">
        <v>32</v>
      </c>
      <c r="C7" s="2">
        <v>352</v>
      </c>
      <c r="D7" s="2">
        <v>392</v>
      </c>
      <c r="E7" s="2">
        <v>401</v>
      </c>
      <c r="F7" s="2">
        <v>399</v>
      </c>
      <c r="G7" s="2">
        <v>351</v>
      </c>
      <c r="H7" s="2">
        <v>379</v>
      </c>
      <c r="I7" s="2">
        <v>374</v>
      </c>
      <c r="J7" s="2">
        <v>375</v>
      </c>
      <c r="K7" s="2">
        <v>362</v>
      </c>
      <c r="L7" s="2">
        <v>421</v>
      </c>
      <c r="Z7" s="2">
        <f t="shared" si="8"/>
        <v>1544</v>
      </c>
      <c r="AA7" s="2">
        <f t="shared" si="9"/>
        <v>1479</v>
      </c>
      <c r="AB7" s="2">
        <f t="shared" si="10"/>
        <v>783</v>
      </c>
    </row>
    <row r="8" spans="1:448" s="2" customFormat="1" x14ac:dyDescent="0.3">
      <c r="A8"/>
      <c r="B8" t="s">
        <v>33</v>
      </c>
      <c r="C8" s="2">
        <v>297</v>
      </c>
      <c r="D8" s="2">
        <v>251</v>
      </c>
      <c r="E8" s="2">
        <v>283</v>
      </c>
      <c r="F8" s="2">
        <v>365</v>
      </c>
      <c r="G8" s="2">
        <v>238</v>
      </c>
      <c r="H8" s="2">
        <v>241</v>
      </c>
      <c r="I8" s="2">
        <v>194</v>
      </c>
      <c r="J8" s="2">
        <v>241</v>
      </c>
      <c r="K8" s="2">
        <v>261</v>
      </c>
      <c r="L8" s="2">
        <v>371</v>
      </c>
      <c r="Z8" s="2">
        <f t="shared" si="8"/>
        <v>1196</v>
      </c>
      <c r="AA8" s="2">
        <f t="shared" si="9"/>
        <v>914</v>
      </c>
      <c r="AB8" s="2">
        <f t="shared" si="10"/>
        <v>632</v>
      </c>
    </row>
    <row r="9" spans="1:448" s="2" customFormat="1" x14ac:dyDescent="0.3">
      <c r="A9"/>
      <c r="B9" t="s">
        <v>34</v>
      </c>
      <c r="C9" s="2">
        <v>84</v>
      </c>
      <c r="D9" s="2">
        <v>90</v>
      </c>
      <c r="E9" s="2">
        <v>85</v>
      </c>
      <c r="F9" s="2">
        <v>101</v>
      </c>
      <c r="G9" s="2">
        <v>91</v>
      </c>
      <c r="H9" s="2">
        <v>86</v>
      </c>
      <c r="I9" s="2">
        <v>89</v>
      </c>
      <c r="J9" s="2">
        <v>87</v>
      </c>
      <c r="K9" s="2">
        <v>81</v>
      </c>
      <c r="L9" s="2">
        <v>86</v>
      </c>
      <c r="Z9" s="2">
        <f t="shared" si="8"/>
        <v>360</v>
      </c>
      <c r="AA9" s="2">
        <f t="shared" si="9"/>
        <v>353</v>
      </c>
      <c r="AB9" s="2">
        <f t="shared" si="10"/>
        <v>167</v>
      </c>
    </row>
    <row r="10" spans="1:448" s="2" customFormat="1" x14ac:dyDescent="0.3">
      <c r="A10"/>
      <c r="B10" t="s">
        <v>35</v>
      </c>
      <c r="C10" s="2">
        <v>8</v>
      </c>
      <c r="D10" s="2">
        <v>5</v>
      </c>
      <c r="E10" s="2">
        <v>4</v>
      </c>
      <c r="F10" s="2">
        <v>4</v>
      </c>
      <c r="G10" s="2">
        <v>4</v>
      </c>
      <c r="H10" s="2">
        <v>5</v>
      </c>
      <c r="I10" s="2">
        <v>5</v>
      </c>
      <c r="J10" s="2">
        <v>6</v>
      </c>
      <c r="K10" s="2">
        <v>6</v>
      </c>
      <c r="L10" s="2">
        <v>6</v>
      </c>
      <c r="Z10" s="2">
        <f t="shared" si="8"/>
        <v>21</v>
      </c>
      <c r="AA10" s="2">
        <f t="shared" si="9"/>
        <v>20</v>
      </c>
      <c r="AB10" s="2">
        <f t="shared" si="10"/>
        <v>12</v>
      </c>
    </row>
    <row r="11" spans="1:448" s="5" customFormat="1" x14ac:dyDescent="0.3">
      <c r="A11" s="3"/>
      <c r="B11" s="3" t="s">
        <v>36</v>
      </c>
      <c r="C11" s="5">
        <f t="shared" ref="C11:K11" si="11">SUM(C6:C10)</f>
        <v>1252</v>
      </c>
      <c r="D11" s="5">
        <f t="shared" si="11"/>
        <v>1304</v>
      </c>
      <c r="E11" s="5">
        <f t="shared" si="11"/>
        <v>1340</v>
      </c>
      <c r="F11" s="5">
        <f t="shared" si="11"/>
        <v>1442</v>
      </c>
      <c r="G11" s="5">
        <f t="shared" si="11"/>
        <v>1225</v>
      </c>
      <c r="H11" s="5">
        <f t="shared" si="11"/>
        <v>1288</v>
      </c>
      <c r="I11" s="5">
        <f t="shared" si="11"/>
        <v>1254</v>
      </c>
      <c r="J11" s="5">
        <f t="shared" si="11"/>
        <v>1318</v>
      </c>
      <c r="K11" s="5">
        <f t="shared" si="11"/>
        <v>1246</v>
      </c>
      <c r="L11" s="5">
        <f>SUM(L6:L10)</f>
        <v>1470</v>
      </c>
      <c r="Z11" s="5">
        <f t="shared" ref="Z11:AB11" si="12">SUM(Z6:Z10)</f>
        <v>5338</v>
      </c>
      <c r="AA11" s="5">
        <f t="shared" si="12"/>
        <v>5085</v>
      </c>
      <c r="AB11" s="5">
        <f t="shared" si="12"/>
        <v>2716</v>
      </c>
    </row>
    <row r="12" spans="1:448" s="5" customFormat="1" x14ac:dyDescent="0.3">
      <c r="A12" s="3"/>
      <c r="B12" s="3" t="s">
        <v>37</v>
      </c>
      <c r="C12" s="5">
        <f t="shared" ref="C12:K12" si="13">C5-C11</f>
        <v>558</v>
      </c>
      <c r="D12" s="5">
        <f t="shared" si="13"/>
        <v>518</v>
      </c>
      <c r="E12" s="5">
        <f t="shared" si="13"/>
        <v>455</v>
      </c>
      <c r="F12" s="5">
        <f t="shared" si="13"/>
        <v>410</v>
      </c>
      <c r="G12" s="5">
        <f t="shared" si="13"/>
        <v>631</v>
      </c>
      <c r="H12" s="5">
        <f t="shared" si="13"/>
        <v>549</v>
      </c>
      <c r="I12" s="5">
        <f t="shared" si="13"/>
        <v>595</v>
      </c>
      <c r="J12" s="5">
        <f t="shared" si="13"/>
        <v>543</v>
      </c>
      <c r="K12" s="5">
        <f t="shared" si="13"/>
        <v>616</v>
      </c>
      <c r="L12" s="5">
        <f>L5-L11</f>
        <v>484</v>
      </c>
      <c r="Z12" s="5">
        <f t="shared" ref="Z12:AB12" si="14">Z5-Z11</f>
        <v>1941</v>
      </c>
      <c r="AA12" s="5">
        <f t="shared" si="14"/>
        <v>2318</v>
      </c>
      <c r="AB12" s="5">
        <f t="shared" si="14"/>
        <v>6610</v>
      </c>
    </row>
    <row r="13" spans="1:448" s="2" customFormat="1" x14ac:dyDescent="0.3">
      <c r="A13"/>
      <c r="B13" t="s">
        <v>38</v>
      </c>
      <c r="C13" s="2">
        <f>198-68+42</f>
        <v>172</v>
      </c>
      <c r="D13" s="2">
        <f>-214-65+46</f>
        <v>-233</v>
      </c>
      <c r="E13" s="2">
        <f>1212-65+59</f>
        <v>1206</v>
      </c>
      <c r="F13" s="2">
        <f>636-65+50</f>
        <v>621</v>
      </c>
      <c r="G13" s="2">
        <f>-97-66+68</f>
        <v>-95</v>
      </c>
      <c r="H13" s="2">
        <f>-222-65+66</f>
        <v>-221</v>
      </c>
      <c r="I13" s="2">
        <f>199-63+66</f>
        <v>202</v>
      </c>
      <c r="J13" s="2">
        <f>44-65+95</f>
        <v>74</v>
      </c>
      <c r="K13" s="2">
        <f>-2-61+81</f>
        <v>18</v>
      </c>
      <c r="L13" s="2">
        <f>-4-62+59</f>
        <v>-7</v>
      </c>
      <c r="Z13" s="2">
        <f>C13+D13+E13+F13</f>
        <v>1766</v>
      </c>
      <c r="AA13" s="2">
        <f>G13+H13+I13+J13</f>
        <v>-40</v>
      </c>
      <c r="AB13" s="2">
        <f>+K13+L13+M13+N13</f>
        <v>11</v>
      </c>
    </row>
    <row r="14" spans="1:448" s="5" customFormat="1" x14ac:dyDescent="0.3">
      <c r="A14" s="3"/>
      <c r="B14" s="3" t="s">
        <v>39</v>
      </c>
      <c r="C14" s="5">
        <f t="shared" ref="C14:K14" si="15">+C12+C13</f>
        <v>730</v>
      </c>
      <c r="D14" s="5">
        <f t="shared" si="15"/>
        <v>285</v>
      </c>
      <c r="E14" s="5">
        <f t="shared" si="15"/>
        <v>1661</v>
      </c>
      <c r="F14" s="5">
        <f t="shared" si="15"/>
        <v>1031</v>
      </c>
      <c r="G14" s="5">
        <f t="shared" si="15"/>
        <v>536</v>
      </c>
      <c r="H14" s="5">
        <f t="shared" si="15"/>
        <v>328</v>
      </c>
      <c r="I14" s="5">
        <f t="shared" si="15"/>
        <v>797</v>
      </c>
      <c r="J14" s="5">
        <f t="shared" si="15"/>
        <v>617</v>
      </c>
      <c r="K14" s="5">
        <f t="shared" si="15"/>
        <v>634</v>
      </c>
      <c r="L14" s="5">
        <f>+L12+L13</f>
        <v>477</v>
      </c>
      <c r="Z14" s="5">
        <f t="shared" ref="Z14:AB14" si="16">+Z12+Z13</f>
        <v>3707</v>
      </c>
      <c r="AA14" s="5">
        <f t="shared" si="16"/>
        <v>2278</v>
      </c>
      <c r="AB14" s="5">
        <f t="shared" si="16"/>
        <v>6621</v>
      </c>
    </row>
    <row r="15" spans="1:448" s="6" customFormat="1" x14ac:dyDescent="0.3">
      <c r="A15" s="4"/>
      <c r="B15" s="4" t="s">
        <v>40</v>
      </c>
      <c r="C15" s="6">
        <f>-161-2</f>
        <v>-163</v>
      </c>
      <c r="D15" s="6">
        <f>-113-1</f>
        <v>-114</v>
      </c>
      <c r="E15" s="6">
        <f>-355-1</f>
        <v>-356</v>
      </c>
      <c r="F15" s="6">
        <f>-303-4</f>
        <v>-307</v>
      </c>
      <c r="G15" s="6">
        <f>-97-1</f>
        <v>-98</v>
      </c>
      <c r="H15" s="6">
        <f>-102-2</f>
        <v>-104</v>
      </c>
      <c r="I15" s="6">
        <f>-161-2</f>
        <v>-163</v>
      </c>
      <c r="J15" s="6">
        <f>63-1</f>
        <v>62</v>
      </c>
      <c r="K15" s="6">
        <f>-129-2</f>
        <v>-131</v>
      </c>
      <c r="L15" s="6">
        <f>-108-1</f>
        <v>-109</v>
      </c>
      <c r="Z15" s="2">
        <f>C15+D15+E15+F15</f>
        <v>-940</v>
      </c>
      <c r="AA15" s="2">
        <f>G15+H15+I15+J15</f>
        <v>-303</v>
      </c>
      <c r="AB15" s="2">
        <f>+K15+L15+M15+N15</f>
        <v>-240</v>
      </c>
    </row>
    <row r="16" spans="1:448" s="5" customFormat="1" x14ac:dyDescent="0.3">
      <c r="A16" s="3"/>
      <c r="B16" s="3" t="s">
        <v>41</v>
      </c>
      <c r="C16" s="5">
        <f t="shared" ref="C16:K16" si="17">C14+C15</f>
        <v>567</v>
      </c>
      <c r="D16" s="5">
        <f t="shared" si="17"/>
        <v>171</v>
      </c>
      <c r="E16" s="5">
        <f t="shared" si="17"/>
        <v>1305</v>
      </c>
      <c r="F16" s="5">
        <f t="shared" si="17"/>
        <v>724</v>
      </c>
      <c r="G16" s="5">
        <f t="shared" si="17"/>
        <v>438</v>
      </c>
      <c r="H16" s="5">
        <f t="shared" si="17"/>
        <v>224</v>
      </c>
      <c r="I16" s="5">
        <f t="shared" si="17"/>
        <v>634</v>
      </c>
      <c r="J16" s="5">
        <f t="shared" si="17"/>
        <v>679</v>
      </c>
      <c r="K16" s="5">
        <f t="shared" si="17"/>
        <v>503</v>
      </c>
      <c r="L16" s="5">
        <f>L14+L15</f>
        <v>368</v>
      </c>
      <c r="M16" s="5">
        <v>458</v>
      </c>
      <c r="N16" s="5">
        <v>496</v>
      </c>
      <c r="O16" s="5">
        <v>515</v>
      </c>
      <c r="P16" s="5">
        <v>485</v>
      </c>
      <c r="Q16" s="5">
        <v>486</v>
      </c>
      <c r="R16" s="5">
        <v>529</v>
      </c>
      <c r="S16" s="5">
        <v>543</v>
      </c>
      <c r="T16" s="5">
        <v>539</v>
      </c>
      <c r="U16" s="5">
        <f>U3*0.2</f>
        <v>583.74</v>
      </c>
      <c r="V16" s="5">
        <f t="shared" ref="V16" si="18">V3*0.2</f>
        <v>600.29999999999995</v>
      </c>
      <c r="Z16" s="5">
        <f t="shared" ref="Z16:AB16" si="19">Z14+Z15</f>
        <v>2767</v>
      </c>
      <c r="AA16" s="5">
        <f t="shared" si="19"/>
        <v>1975</v>
      </c>
      <c r="AB16" s="5">
        <f>+K16+L16+M16+N16</f>
        <v>1825</v>
      </c>
      <c r="AC16" s="2">
        <f>+O16+P16+Q16+R16</f>
        <v>2015</v>
      </c>
      <c r="AD16" s="5">
        <f t="shared" ref="AD16:AV16" si="20">AD3*0.2</f>
        <v>2308.0400000000004</v>
      </c>
      <c r="AE16" s="5">
        <f t="shared" si="20"/>
        <v>2354.2008000000001</v>
      </c>
      <c r="AF16" s="5">
        <f t="shared" si="20"/>
        <v>2401.2848160000003</v>
      </c>
      <c r="AG16" s="5">
        <f t="shared" si="20"/>
        <v>2449.3105123200003</v>
      </c>
      <c r="AH16" s="5">
        <f t="shared" si="20"/>
        <v>2498.2967225664006</v>
      </c>
      <c r="AI16" s="5">
        <f t="shared" si="20"/>
        <v>2548.262657017729</v>
      </c>
      <c r="AJ16" s="5">
        <f t="shared" si="20"/>
        <v>2599.2279101580834</v>
      </c>
      <c r="AK16" s="5">
        <f t="shared" si="20"/>
        <v>2651.2124683612451</v>
      </c>
      <c r="AL16" s="5">
        <f t="shared" si="20"/>
        <v>2704.23671772847</v>
      </c>
      <c r="AM16" s="5">
        <f t="shared" si="20"/>
        <v>2731.2790849057546</v>
      </c>
      <c r="AN16" s="5">
        <f t="shared" si="20"/>
        <v>2758.591875754812</v>
      </c>
      <c r="AO16" s="5">
        <f t="shared" si="20"/>
        <v>2786.1777945123604</v>
      </c>
      <c r="AP16" s="5">
        <f t="shared" si="20"/>
        <v>2814.0395724574842</v>
      </c>
      <c r="AQ16" s="5">
        <f t="shared" si="20"/>
        <v>2842.1799681820589</v>
      </c>
      <c r="AR16" s="5">
        <f t="shared" si="20"/>
        <v>2870.6017678638796</v>
      </c>
      <c r="AS16" s="5">
        <f t="shared" si="20"/>
        <v>2899.3077855425181</v>
      </c>
      <c r="AT16" s="5">
        <f t="shared" si="20"/>
        <v>2928.3008633979434</v>
      </c>
      <c r="AU16" s="5">
        <f t="shared" si="20"/>
        <v>2957.583872031923</v>
      </c>
      <c r="AV16" s="5">
        <f t="shared" si="20"/>
        <v>2987.1597107522425</v>
      </c>
      <c r="AW16" s="5">
        <f>+AV16*(1+$AY$19)</f>
        <v>2942.3523150909587</v>
      </c>
      <c r="AX16" s="5">
        <f t="shared" ref="AX16:DI16" si="21">+AW16*(1+$AY$19)</f>
        <v>2898.2170303645944</v>
      </c>
      <c r="AY16" s="5">
        <f t="shared" si="21"/>
        <v>2854.7437749091255</v>
      </c>
      <c r="AZ16" s="5">
        <f t="shared" si="21"/>
        <v>2811.9226182854886</v>
      </c>
      <c r="BA16" s="5">
        <f t="shared" si="21"/>
        <v>2769.7437790112062</v>
      </c>
      <c r="BB16" s="5">
        <f t="shared" si="21"/>
        <v>2728.1976223260381</v>
      </c>
      <c r="BC16" s="5">
        <f t="shared" si="21"/>
        <v>2687.2746579911473</v>
      </c>
      <c r="BD16" s="5">
        <f t="shared" si="21"/>
        <v>2646.9655381212801</v>
      </c>
      <c r="BE16" s="5">
        <f t="shared" si="21"/>
        <v>2607.261055049461</v>
      </c>
      <c r="BF16" s="5">
        <f t="shared" si="21"/>
        <v>2568.1521392237191</v>
      </c>
      <c r="BG16" s="5">
        <f t="shared" si="21"/>
        <v>2529.6298571353632</v>
      </c>
      <c r="BH16" s="5">
        <f t="shared" si="21"/>
        <v>2491.6854092783328</v>
      </c>
      <c r="BI16" s="5">
        <f t="shared" si="21"/>
        <v>2454.3101281391578</v>
      </c>
      <c r="BJ16" s="5">
        <f t="shared" si="21"/>
        <v>2417.4954762170705</v>
      </c>
      <c r="BK16" s="5">
        <f t="shared" si="21"/>
        <v>2381.2330440738147</v>
      </c>
      <c r="BL16" s="5">
        <f t="shared" si="21"/>
        <v>2345.5145484127074</v>
      </c>
      <c r="BM16" s="5">
        <f t="shared" si="21"/>
        <v>2310.331830186517</v>
      </c>
      <c r="BN16" s="5">
        <f t="shared" si="21"/>
        <v>2275.676852733719</v>
      </c>
      <c r="BO16" s="5">
        <f t="shared" si="21"/>
        <v>2241.541699942713</v>
      </c>
      <c r="BP16" s="5">
        <f t="shared" si="21"/>
        <v>2207.9185744435722</v>
      </c>
      <c r="BQ16" s="5">
        <f t="shared" si="21"/>
        <v>2174.7997958269184</v>
      </c>
      <c r="BR16" s="5">
        <f t="shared" si="21"/>
        <v>2142.1777988895146</v>
      </c>
      <c r="BS16" s="5">
        <f t="shared" si="21"/>
        <v>2110.0451319061717</v>
      </c>
      <c r="BT16" s="5">
        <f t="shared" si="21"/>
        <v>2078.3944549275793</v>
      </c>
      <c r="BU16" s="5">
        <f t="shared" si="21"/>
        <v>2047.2185381036657</v>
      </c>
      <c r="BV16" s="5">
        <f t="shared" si="21"/>
        <v>2016.5102600321106</v>
      </c>
      <c r="BW16" s="5">
        <f t="shared" si="21"/>
        <v>1986.2626061316289</v>
      </c>
      <c r="BX16" s="5">
        <f t="shared" si="21"/>
        <v>1956.4686670396545</v>
      </c>
      <c r="BY16" s="5">
        <f t="shared" si="21"/>
        <v>1927.1216370340596</v>
      </c>
      <c r="BZ16" s="5">
        <f t="shared" si="21"/>
        <v>1898.2148124785488</v>
      </c>
      <c r="CA16" s="5">
        <f t="shared" si="21"/>
        <v>1869.7415902913706</v>
      </c>
      <c r="CB16" s="5">
        <f t="shared" si="21"/>
        <v>1841.6954664370001</v>
      </c>
      <c r="CC16" s="5">
        <f t="shared" si="21"/>
        <v>1814.0700344404449</v>
      </c>
      <c r="CD16" s="5">
        <f t="shared" si="21"/>
        <v>1786.8589839238382</v>
      </c>
      <c r="CE16" s="5">
        <f t="shared" si="21"/>
        <v>1760.0560991649807</v>
      </c>
      <c r="CF16" s="5">
        <f t="shared" si="21"/>
        <v>1733.6552576775059</v>
      </c>
      <c r="CG16" s="5">
        <f t="shared" si="21"/>
        <v>1707.6504288123433</v>
      </c>
      <c r="CH16" s="5">
        <f t="shared" si="21"/>
        <v>1682.0356723801581</v>
      </c>
      <c r="CI16" s="5">
        <f t="shared" si="21"/>
        <v>1656.8051372944558</v>
      </c>
      <c r="CJ16" s="5">
        <f t="shared" si="21"/>
        <v>1631.9530602350389</v>
      </c>
      <c r="CK16" s="5">
        <f t="shared" si="21"/>
        <v>1607.4737643315134</v>
      </c>
      <c r="CL16" s="5">
        <f t="shared" si="21"/>
        <v>1583.3616578665408</v>
      </c>
      <c r="CM16" s="5">
        <f t="shared" si="21"/>
        <v>1559.6112329985426</v>
      </c>
      <c r="CN16" s="5">
        <f t="shared" si="21"/>
        <v>1536.2170645035644</v>
      </c>
      <c r="CO16" s="5">
        <f t="shared" si="21"/>
        <v>1513.1738085360109</v>
      </c>
      <c r="CP16" s="5">
        <f t="shared" si="21"/>
        <v>1490.4762014079708</v>
      </c>
      <c r="CQ16" s="5">
        <f t="shared" si="21"/>
        <v>1468.1190583868513</v>
      </c>
      <c r="CR16" s="5">
        <f t="shared" si="21"/>
        <v>1446.0972725110485</v>
      </c>
      <c r="CS16" s="5">
        <f t="shared" si="21"/>
        <v>1424.4058134233828</v>
      </c>
      <c r="CT16" s="5">
        <f t="shared" si="21"/>
        <v>1403.039726222032</v>
      </c>
      <c r="CU16" s="5">
        <f t="shared" si="21"/>
        <v>1381.9941303287014</v>
      </c>
      <c r="CV16" s="5">
        <f t="shared" si="21"/>
        <v>1361.264218373771</v>
      </c>
      <c r="CW16" s="5">
        <f t="shared" si="21"/>
        <v>1340.8452550981644</v>
      </c>
      <c r="CX16" s="5">
        <f t="shared" si="21"/>
        <v>1320.7325762716919</v>
      </c>
      <c r="CY16" s="5">
        <f t="shared" si="21"/>
        <v>1300.9215876276164</v>
      </c>
      <c r="CZ16" s="5">
        <f t="shared" si="21"/>
        <v>1281.4077638132021</v>
      </c>
      <c r="DA16" s="5">
        <f t="shared" si="21"/>
        <v>1262.186647356004</v>
      </c>
      <c r="DB16" s="5">
        <f t="shared" si="21"/>
        <v>1243.2538476456639</v>
      </c>
      <c r="DC16" s="5">
        <f t="shared" si="21"/>
        <v>1224.6050399309788</v>
      </c>
      <c r="DD16" s="5">
        <f t="shared" si="21"/>
        <v>1206.2359643320142</v>
      </c>
      <c r="DE16" s="5">
        <f t="shared" si="21"/>
        <v>1188.1424248670339</v>
      </c>
      <c r="DF16" s="5">
        <f t="shared" si="21"/>
        <v>1170.3202884940283</v>
      </c>
      <c r="DG16" s="5">
        <f t="shared" si="21"/>
        <v>1152.7654841666179</v>
      </c>
      <c r="DH16" s="5">
        <f t="shared" si="21"/>
        <v>1135.4740019041185</v>
      </c>
      <c r="DI16" s="5">
        <f t="shared" si="21"/>
        <v>1118.4418918755566</v>
      </c>
      <c r="DJ16" s="5">
        <f t="shared" ref="DJ16:FU16" si="22">+DI16*(1+$AY$19)</f>
        <v>1101.6652634974232</v>
      </c>
      <c r="DK16" s="5">
        <f t="shared" si="22"/>
        <v>1085.1402845449618</v>
      </c>
      <c r="DL16" s="5">
        <f t="shared" si="22"/>
        <v>1068.8631802767873</v>
      </c>
      <c r="DM16" s="5">
        <f t="shared" si="22"/>
        <v>1052.8302325726354</v>
      </c>
      <c r="DN16" s="5">
        <f t="shared" si="22"/>
        <v>1037.037779084046</v>
      </c>
      <c r="DO16" s="5">
        <f t="shared" si="22"/>
        <v>1021.4822123977852</v>
      </c>
      <c r="DP16" s="5">
        <f t="shared" si="22"/>
        <v>1006.1599792118185</v>
      </c>
      <c r="DQ16" s="5">
        <f t="shared" si="22"/>
        <v>991.06757952364126</v>
      </c>
      <c r="DR16" s="5">
        <f t="shared" si="22"/>
        <v>976.20156583078665</v>
      </c>
      <c r="DS16" s="5">
        <f t="shared" si="22"/>
        <v>961.5585423433248</v>
      </c>
      <c r="DT16" s="5">
        <f t="shared" si="22"/>
        <v>947.13516420817496</v>
      </c>
      <c r="DU16" s="5">
        <f t="shared" si="22"/>
        <v>932.92813674505237</v>
      </c>
      <c r="DV16" s="5">
        <f t="shared" si="22"/>
        <v>918.93421469387658</v>
      </c>
      <c r="DW16" s="5">
        <f t="shared" si="22"/>
        <v>905.15020147346843</v>
      </c>
      <c r="DX16" s="5">
        <f t="shared" si="22"/>
        <v>891.57294845136641</v>
      </c>
      <c r="DY16" s="5">
        <f t="shared" si="22"/>
        <v>878.19935422459594</v>
      </c>
      <c r="DZ16" s="5">
        <f t="shared" si="22"/>
        <v>865.02636391122701</v>
      </c>
      <c r="EA16" s="5">
        <f t="shared" si="22"/>
        <v>852.05096845255855</v>
      </c>
      <c r="EB16" s="5">
        <f t="shared" si="22"/>
        <v>839.27020392577015</v>
      </c>
      <c r="EC16" s="5">
        <f t="shared" si="22"/>
        <v>826.68115086688363</v>
      </c>
      <c r="ED16" s="5">
        <f t="shared" si="22"/>
        <v>814.28093360388038</v>
      </c>
      <c r="EE16" s="5">
        <f t="shared" si="22"/>
        <v>802.06671959982214</v>
      </c>
      <c r="EF16" s="5">
        <f t="shared" si="22"/>
        <v>790.03571880582479</v>
      </c>
      <c r="EG16" s="5">
        <f t="shared" si="22"/>
        <v>778.18518302373741</v>
      </c>
      <c r="EH16" s="5">
        <f t="shared" si="22"/>
        <v>766.51240527838138</v>
      </c>
      <c r="EI16" s="5">
        <f t="shared" si="22"/>
        <v>755.01471919920562</v>
      </c>
      <c r="EJ16" s="5">
        <f t="shared" si="22"/>
        <v>743.68949841121753</v>
      </c>
      <c r="EK16" s="5">
        <f t="shared" si="22"/>
        <v>732.53415593504928</v>
      </c>
      <c r="EL16" s="5">
        <f t="shared" si="22"/>
        <v>721.54614359602351</v>
      </c>
      <c r="EM16" s="5">
        <f t="shared" si="22"/>
        <v>710.72295144208317</v>
      </c>
      <c r="EN16" s="5">
        <f t="shared" si="22"/>
        <v>700.0621071704519</v>
      </c>
      <c r="EO16" s="5">
        <f t="shared" si="22"/>
        <v>689.56117556289507</v>
      </c>
      <c r="EP16" s="5">
        <f t="shared" si="22"/>
        <v>679.21775792945164</v>
      </c>
      <c r="EQ16" s="5">
        <f t="shared" si="22"/>
        <v>669.02949156050988</v>
      </c>
      <c r="ER16" s="5">
        <f t="shared" si="22"/>
        <v>658.99404918710218</v>
      </c>
      <c r="ES16" s="5">
        <f t="shared" si="22"/>
        <v>649.10913844929564</v>
      </c>
      <c r="ET16" s="5">
        <f t="shared" si="22"/>
        <v>639.37250137255614</v>
      </c>
      <c r="EU16" s="5">
        <f t="shared" si="22"/>
        <v>629.78191385196783</v>
      </c>
      <c r="EV16" s="5">
        <f t="shared" si="22"/>
        <v>620.33518514418836</v>
      </c>
      <c r="EW16" s="5">
        <f t="shared" si="22"/>
        <v>611.03015736702548</v>
      </c>
      <c r="EX16" s="5">
        <f t="shared" si="22"/>
        <v>601.86470500652013</v>
      </c>
      <c r="EY16" s="5">
        <f t="shared" si="22"/>
        <v>592.83673443142231</v>
      </c>
      <c r="EZ16" s="5">
        <f t="shared" si="22"/>
        <v>583.944183414951</v>
      </c>
      <c r="FA16" s="5">
        <f t="shared" si="22"/>
        <v>575.18502066372673</v>
      </c>
      <c r="FB16" s="5">
        <f t="shared" si="22"/>
        <v>566.55724535377078</v>
      </c>
      <c r="FC16" s="5">
        <f t="shared" si="22"/>
        <v>558.05888667346426</v>
      </c>
      <c r="FD16" s="5">
        <f t="shared" si="22"/>
        <v>549.68800337336233</v>
      </c>
      <c r="FE16" s="5">
        <f t="shared" si="22"/>
        <v>541.44268332276192</v>
      </c>
      <c r="FF16" s="5">
        <f t="shared" si="22"/>
        <v>533.32104307292047</v>
      </c>
      <c r="FG16" s="5">
        <f t="shared" si="22"/>
        <v>525.32122742682668</v>
      </c>
      <c r="FH16" s="5">
        <f t="shared" si="22"/>
        <v>517.44140901542426</v>
      </c>
      <c r="FI16" s="5">
        <f t="shared" si="22"/>
        <v>509.67978788019286</v>
      </c>
      <c r="FJ16" s="5">
        <f t="shared" si="22"/>
        <v>502.03459106198994</v>
      </c>
      <c r="FK16" s="5">
        <f t="shared" si="22"/>
        <v>494.50407219606006</v>
      </c>
      <c r="FL16" s="5">
        <f t="shared" si="22"/>
        <v>487.08651111311917</v>
      </c>
      <c r="FM16" s="5">
        <f t="shared" si="22"/>
        <v>479.78021344642235</v>
      </c>
      <c r="FN16" s="5">
        <f t="shared" si="22"/>
        <v>472.58351024472603</v>
      </c>
      <c r="FO16" s="5">
        <f t="shared" si="22"/>
        <v>465.49475759105513</v>
      </c>
      <c r="FP16" s="5">
        <f t="shared" si="22"/>
        <v>458.51233622718928</v>
      </c>
      <c r="FQ16" s="5">
        <f t="shared" si="22"/>
        <v>451.63465118378144</v>
      </c>
      <c r="FR16" s="5">
        <f t="shared" si="22"/>
        <v>444.86013141602473</v>
      </c>
      <c r="FS16" s="5">
        <f t="shared" si="22"/>
        <v>438.18722944478435</v>
      </c>
      <c r="FT16" s="5">
        <f t="shared" si="22"/>
        <v>431.61442100311257</v>
      </c>
      <c r="FU16" s="5">
        <f t="shared" si="22"/>
        <v>425.14020468806586</v>
      </c>
      <c r="FV16" s="5">
        <f t="shared" ref="FV16:IG16" si="23">+FU16*(1+$AY$19)</f>
        <v>418.76310161774489</v>
      </c>
      <c r="FW16" s="5">
        <f t="shared" si="23"/>
        <v>412.48165509347871</v>
      </c>
      <c r="FX16" s="5">
        <f t="shared" si="23"/>
        <v>406.29443026707651</v>
      </c>
      <c r="FY16" s="5">
        <f t="shared" si="23"/>
        <v>400.20001381307037</v>
      </c>
      <c r="FZ16" s="5">
        <f t="shared" si="23"/>
        <v>394.1970136058743</v>
      </c>
      <c r="GA16" s="5">
        <f t="shared" si="23"/>
        <v>388.28405840178618</v>
      </c>
      <c r="GB16" s="5">
        <f t="shared" si="23"/>
        <v>382.45979752575937</v>
      </c>
      <c r="GC16" s="5">
        <f t="shared" si="23"/>
        <v>376.72290056287295</v>
      </c>
      <c r="GD16" s="5">
        <f t="shared" si="23"/>
        <v>371.07205705442988</v>
      </c>
      <c r="GE16" s="5">
        <f t="shared" si="23"/>
        <v>365.50597619861344</v>
      </c>
      <c r="GF16" s="5">
        <f t="shared" si="23"/>
        <v>360.02338655563426</v>
      </c>
      <c r="GG16" s="5">
        <f t="shared" si="23"/>
        <v>354.62303575729976</v>
      </c>
      <c r="GH16" s="5">
        <f t="shared" si="23"/>
        <v>349.30369022094027</v>
      </c>
      <c r="GI16" s="5">
        <f t="shared" si="23"/>
        <v>344.06413486762614</v>
      </c>
      <c r="GJ16" s="5">
        <f t="shared" si="23"/>
        <v>338.90317284461173</v>
      </c>
      <c r="GK16" s="5">
        <f t="shared" si="23"/>
        <v>333.81962525194257</v>
      </c>
      <c r="GL16" s="5">
        <f t="shared" si="23"/>
        <v>328.81233087316343</v>
      </c>
      <c r="GM16" s="5">
        <f t="shared" si="23"/>
        <v>323.88014591006595</v>
      </c>
      <c r="GN16" s="5">
        <f t="shared" si="23"/>
        <v>319.02194372141497</v>
      </c>
      <c r="GO16" s="5">
        <f t="shared" si="23"/>
        <v>314.23661456559375</v>
      </c>
      <c r="GP16" s="5">
        <f t="shared" si="23"/>
        <v>309.52306534710982</v>
      </c>
      <c r="GQ16" s="5">
        <f t="shared" si="23"/>
        <v>304.88021936690319</v>
      </c>
      <c r="GR16" s="5">
        <f t="shared" si="23"/>
        <v>300.30701607639963</v>
      </c>
      <c r="GS16" s="5">
        <f t="shared" si="23"/>
        <v>295.80241083525362</v>
      </c>
      <c r="GT16" s="5">
        <f t="shared" si="23"/>
        <v>291.36537467272484</v>
      </c>
      <c r="GU16" s="5">
        <f t="shared" si="23"/>
        <v>286.99489405263398</v>
      </c>
      <c r="GV16" s="5">
        <f t="shared" si="23"/>
        <v>282.68997064184447</v>
      </c>
      <c r="GW16" s="5">
        <f t="shared" si="23"/>
        <v>278.44962108221682</v>
      </c>
      <c r="GX16" s="5">
        <f t="shared" si="23"/>
        <v>274.27287676598354</v>
      </c>
      <c r="GY16" s="5">
        <f t="shared" si="23"/>
        <v>270.15878361449376</v>
      </c>
      <c r="GZ16" s="5">
        <f t="shared" si="23"/>
        <v>266.10640186027632</v>
      </c>
      <c r="HA16" s="5">
        <f t="shared" si="23"/>
        <v>262.11480583237216</v>
      </c>
      <c r="HB16" s="5">
        <f t="shared" si="23"/>
        <v>258.18308374488657</v>
      </c>
      <c r="HC16" s="5">
        <f t="shared" si="23"/>
        <v>254.31033748871326</v>
      </c>
      <c r="HD16" s="5">
        <f t="shared" si="23"/>
        <v>250.49568242638256</v>
      </c>
      <c r="HE16" s="5">
        <f t="shared" si="23"/>
        <v>246.73824718998682</v>
      </c>
      <c r="HF16" s="5">
        <f t="shared" si="23"/>
        <v>243.03717348213701</v>
      </c>
      <c r="HG16" s="5">
        <f t="shared" si="23"/>
        <v>239.39161587990495</v>
      </c>
      <c r="HH16" s="5">
        <f t="shared" si="23"/>
        <v>235.80074164170637</v>
      </c>
      <c r="HI16" s="5">
        <f t="shared" si="23"/>
        <v>232.26373051708077</v>
      </c>
      <c r="HJ16" s="5">
        <f t="shared" si="23"/>
        <v>228.77977455932455</v>
      </c>
      <c r="HK16" s="5">
        <f t="shared" si="23"/>
        <v>225.34807794093467</v>
      </c>
      <c r="HL16" s="5">
        <f t="shared" si="23"/>
        <v>221.96785677182064</v>
      </c>
      <c r="HM16" s="5">
        <f t="shared" si="23"/>
        <v>218.63833892024331</v>
      </c>
      <c r="HN16" s="5">
        <f t="shared" si="23"/>
        <v>215.35876383643966</v>
      </c>
      <c r="HO16" s="5">
        <f t="shared" si="23"/>
        <v>212.12838237889306</v>
      </c>
      <c r="HP16" s="5">
        <f t="shared" si="23"/>
        <v>208.94645664320967</v>
      </c>
      <c r="HQ16" s="5">
        <f t="shared" si="23"/>
        <v>205.81225979356154</v>
      </c>
      <c r="HR16" s="5">
        <f t="shared" si="23"/>
        <v>202.7250758966581</v>
      </c>
      <c r="HS16" s="5">
        <f t="shared" si="23"/>
        <v>199.68419975820822</v>
      </c>
      <c r="HT16" s="5">
        <f t="shared" si="23"/>
        <v>196.68893676183509</v>
      </c>
      <c r="HU16" s="5">
        <f t="shared" si="23"/>
        <v>193.73860271040758</v>
      </c>
      <c r="HV16" s="5">
        <f t="shared" si="23"/>
        <v>190.83252366975145</v>
      </c>
      <c r="HW16" s="5">
        <f t="shared" si="23"/>
        <v>187.97003581470517</v>
      </c>
      <c r="HX16" s="5">
        <f t="shared" si="23"/>
        <v>185.15048527748459</v>
      </c>
      <c r="HY16" s="5">
        <f t="shared" si="23"/>
        <v>182.37322799832231</v>
      </c>
      <c r="HZ16" s="5">
        <f t="shared" si="23"/>
        <v>179.63762957834746</v>
      </c>
      <c r="IA16" s="5">
        <f t="shared" si="23"/>
        <v>176.94306513467225</v>
      </c>
      <c r="IB16" s="5">
        <f t="shared" si="23"/>
        <v>174.28891915765217</v>
      </c>
      <c r="IC16" s="5">
        <f t="shared" si="23"/>
        <v>171.67458537028739</v>
      </c>
      <c r="ID16" s="5">
        <f t="shared" si="23"/>
        <v>169.09946658973308</v>
      </c>
      <c r="IE16" s="5">
        <f t="shared" si="23"/>
        <v>166.56297459088708</v>
      </c>
      <c r="IF16" s="5">
        <f t="shared" si="23"/>
        <v>164.06452997202376</v>
      </c>
      <c r="IG16" s="5">
        <f t="shared" si="23"/>
        <v>161.60356202244341</v>
      </c>
      <c r="IH16" s="5">
        <f t="shared" ref="IH16:KS16" si="24">+IG16*(1+$AY$19)</f>
        <v>159.17950859210677</v>
      </c>
      <c r="II16" s="5">
        <f t="shared" si="24"/>
        <v>156.79181596322516</v>
      </c>
      <c r="IJ16" s="5">
        <f t="shared" si="24"/>
        <v>154.43993872377678</v>
      </c>
      <c r="IK16" s="5">
        <f t="shared" si="24"/>
        <v>152.12333964292012</v>
      </c>
      <c r="IL16" s="5">
        <f t="shared" si="24"/>
        <v>149.84148954827631</v>
      </c>
      <c r="IM16" s="5">
        <f t="shared" si="24"/>
        <v>147.59386720505216</v>
      </c>
      <c r="IN16" s="5">
        <f t="shared" si="24"/>
        <v>145.37995919697639</v>
      </c>
      <c r="IO16" s="5">
        <f t="shared" si="24"/>
        <v>143.19925980902173</v>
      </c>
      <c r="IP16" s="5">
        <f t="shared" si="24"/>
        <v>141.05127091188641</v>
      </c>
      <c r="IQ16" s="5">
        <f t="shared" si="24"/>
        <v>138.93550184820811</v>
      </c>
      <c r="IR16" s="5">
        <f t="shared" si="24"/>
        <v>136.85146932048499</v>
      </c>
      <c r="IS16" s="5">
        <f t="shared" si="24"/>
        <v>134.79869728067771</v>
      </c>
      <c r="IT16" s="5">
        <f t="shared" si="24"/>
        <v>132.77671682146755</v>
      </c>
      <c r="IU16" s="5">
        <f t="shared" si="24"/>
        <v>130.78506606914553</v>
      </c>
      <c r="IV16" s="5">
        <f t="shared" si="24"/>
        <v>128.82329007810836</v>
      </c>
      <c r="IW16" s="5">
        <f t="shared" si="24"/>
        <v>126.89094072693673</v>
      </c>
      <c r="IX16" s="5">
        <f t="shared" si="24"/>
        <v>124.98757661603268</v>
      </c>
      <c r="IY16" s="5">
        <f t="shared" si="24"/>
        <v>123.11276296679219</v>
      </c>
      <c r="IZ16" s="5">
        <f t="shared" si="24"/>
        <v>121.2660715222903</v>
      </c>
      <c r="JA16" s="5">
        <f t="shared" si="24"/>
        <v>119.44708044945595</v>
      </c>
      <c r="JB16" s="5">
        <f t="shared" si="24"/>
        <v>117.65537424271412</v>
      </c>
      <c r="JC16" s="5">
        <f t="shared" si="24"/>
        <v>115.89054362907341</v>
      </c>
      <c r="JD16" s="5">
        <f t="shared" si="24"/>
        <v>114.15218547463731</v>
      </c>
      <c r="JE16" s="5">
        <f t="shared" si="24"/>
        <v>112.43990269251775</v>
      </c>
      <c r="JF16" s="5">
        <f t="shared" si="24"/>
        <v>110.75330415212999</v>
      </c>
      <c r="JG16" s="5">
        <f t="shared" si="24"/>
        <v>109.09200458984803</v>
      </c>
      <c r="JH16" s="5">
        <f t="shared" si="24"/>
        <v>107.4556245210003</v>
      </c>
      <c r="JI16" s="5">
        <f t="shared" si="24"/>
        <v>105.8437901531853</v>
      </c>
      <c r="JJ16" s="5">
        <f t="shared" si="24"/>
        <v>104.25613330088751</v>
      </c>
      <c r="JK16" s="5">
        <f t="shared" si="24"/>
        <v>102.6922913013742</v>
      </c>
      <c r="JL16" s="5">
        <f t="shared" si="24"/>
        <v>101.15190693185359</v>
      </c>
      <c r="JM16" s="5">
        <f t="shared" si="24"/>
        <v>99.634628327875788</v>
      </c>
      <c r="JN16" s="5">
        <f t="shared" si="24"/>
        <v>98.14010890295765</v>
      </c>
      <c r="JO16" s="5">
        <f t="shared" si="24"/>
        <v>96.66800726941328</v>
      </c>
      <c r="JP16" s="5">
        <f t="shared" si="24"/>
        <v>95.217987160372076</v>
      </c>
      <c r="JQ16" s="5">
        <f t="shared" si="24"/>
        <v>93.789717352966491</v>
      </c>
      <c r="JR16" s="5">
        <f t="shared" si="24"/>
        <v>92.382871592671989</v>
      </c>
      <c r="JS16" s="5">
        <f t="shared" si="24"/>
        <v>90.997128518781906</v>
      </c>
      <c r="JT16" s="5">
        <f t="shared" si="24"/>
        <v>89.632171591000173</v>
      </c>
      <c r="JU16" s="5">
        <f t="shared" si="24"/>
        <v>88.287689017135165</v>
      </c>
      <c r="JV16" s="5">
        <f t="shared" si="24"/>
        <v>86.963373681878139</v>
      </c>
      <c r="JW16" s="5">
        <f t="shared" si="24"/>
        <v>85.65892307664997</v>
      </c>
      <c r="JX16" s="5">
        <f t="shared" si="24"/>
        <v>84.374039230500216</v>
      </c>
      <c r="JY16" s="5">
        <f t="shared" si="24"/>
        <v>83.108428642042711</v>
      </c>
      <c r="JZ16" s="5">
        <f t="shared" si="24"/>
        <v>81.861802212412073</v>
      </c>
      <c r="KA16" s="5">
        <f t="shared" si="24"/>
        <v>80.633875179225896</v>
      </c>
      <c r="KB16" s="5">
        <f t="shared" si="24"/>
        <v>79.424367051537502</v>
      </c>
      <c r="KC16" s="5">
        <f t="shared" si="24"/>
        <v>78.233001545764438</v>
      </c>
      <c r="KD16" s="5">
        <f t="shared" si="24"/>
        <v>77.059506522577976</v>
      </c>
      <c r="KE16" s="5">
        <f t="shared" si="24"/>
        <v>75.903613924739304</v>
      </c>
      <c r="KF16" s="5">
        <f t="shared" si="24"/>
        <v>74.765059715868219</v>
      </c>
      <c r="KG16" s="5">
        <f t="shared" si="24"/>
        <v>73.643583820130189</v>
      </c>
      <c r="KH16" s="5">
        <f t="shared" si="24"/>
        <v>72.538930062828229</v>
      </c>
      <c r="KI16" s="5">
        <f t="shared" si="24"/>
        <v>71.450846111885809</v>
      </c>
      <c r="KJ16" s="5">
        <f t="shared" si="24"/>
        <v>70.379083420207522</v>
      </c>
      <c r="KK16" s="5">
        <f t="shared" si="24"/>
        <v>69.323397168904407</v>
      </c>
      <c r="KL16" s="5">
        <f t="shared" si="24"/>
        <v>68.283546211370833</v>
      </c>
      <c r="KM16" s="5">
        <f t="shared" si="24"/>
        <v>67.259293018200268</v>
      </c>
      <c r="KN16" s="5">
        <f t="shared" si="24"/>
        <v>66.250403622927266</v>
      </c>
      <c r="KO16" s="5">
        <f t="shared" si="24"/>
        <v>65.256647568583361</v>
      </c>
      <c r="KP16" s="5">
        <f t="shared" si="24"/>
        <v>64.277797855054615</v>
      </c>
      <c r="KQ16" s="5">
        <f t="shared" si="24"/>
        <v>63.313630887228797</v>
      </c>
      <c r="KR16" s="5">
        <f t="shared" si="24"/>
        <v>62.363926423920361</v>
      </c>
      <c r="KS16" s="5">
        <f t="shared" si="24"/>
        <v>61.428467527561558</v>
      </c>
      <c r="KT16" s="5">
        <f t="shared" ref="KT16:NE16" si="25">+KS16*(1+$AY$19)</f>
        <v>60.507040514648132</v>
      </c>
      <c r="KU16" s="5">
        <f t="shared" si="25"/>
        <v>59.599434906928408</v>
      </c>
      <c r="KV16" s="5">
        <f t="shared" si="25"/>
        <v>58.705443383324479</v>
      </c>
      <c r="KW16" s="5">
        <f t="shared" si="25"/>
        <v>57.824861732574611</v>
      </c>
      <c r="KX16" s="5">
        <f t="shared" si="25"/>
        <v>56.957488806585992</v>
      </c>
      <c r="KY16" s="5">
        <f t="shared" si="25"/>
        <v>56.103126474487205</v>
      </c>
      <c r="KZ16" s="5">
        <f t="shared" si="25"/>
        <v>55.261579577369893</v>
      </c>
      <c r="LA16" s="5">
        <f t="shared" si="25"/>
        <v>54.432655883709344</v>
      </c>
      <c r="LB16" s="5">
        <f t="shared" si="25"/>
        <v>53.616166045453703</v>
      </c>
      <c r="LC16" s="5">
        <f t="shared" si="25"/>
        <v>52.811923554771894</v>
      </c>
      <c r="LD16" s="5">
        <f t="shared" si="25"/>
        <v>52.019744701450314</v>
      </c>
      <c r="LE16" s="5">
        <f t="shared" si="25"/>
        <v>51.239448530928556</v>
      </c>
      <c r="LF16" s="5">
        <f t="shared" si="25"/>
        <v>50.470856802964626</v>
      </c>
      <c r="LG16" s="5">
        <f t="shared" si="25"/>
        <v>49.713793950920156</v>
      </c>
      <c r="LH16" s="5">
        <f t="shared" si="25"/>
        <v>48.968087041656354</v>
      </c>
      <c r="LI16" s="5">
        <f t="shared" si="25"/>
        <v>48.233565736031508</v>
      </c>
      <c r="LJ16" s="5">
        <f t="shared" si="25"/>
        <v>47.510062249991037</v>
      </c>
      <c r="LK16" s="5">
        <f t="shared" si="25"/>
        <v>46.797411316241174</v>
      </c>
      <c r="LL16" s="5">
        <f t="shared" si="25"/>
        <v>46.095450146497555</v>
      </c>
      <c r="LM16" s="5">
        <f t="shared" si="25"/>
        <v>45.404018394300088</v>
      </c>
      <c r="LN16" s="5">
        <f t="shared" si="25"/>
        <v>44.722958118385584</v>
      </c>
      <c r="LO16" s="5">
        <f t="shared" si="25"/>
        <v>44.052113746609798</v>
      </c>
      <c r="LP16" s="5">
        <f t="shared" si="25"/>
        <v>43.391332040410653</v>
      </c>
      <c r="LQ16" s="5">
        <f t="shared" si="25"/>
        <v>42.740462059804493</v>
      </c>
      <c r="LR16" s="5">
        <f t="shared" si="25"/>
        <v>42.099355128907426</v>
      </c>
      <c r="LS16" s="5">
        <f t="shared" si="25"/>
        <v>41.467864801973818</v>
      </c>
      <c r="LT16" s="5">
        <f t="shared" si="25"/>
        <v>40.845846829944207</v>
      </c>
      <c r="LU16" s="5">
        <f t="shared" si="25"/>
        <v>40.233159127495043</v>
      </c>
      <c r="LV16" s="5">
        <f t="shared" si="25"/>
        <v>39.62966174058262</v>
      </c>
      <c r="LW16" s="5">
        <f t="shared" si="25"/>
        <v>39.035216814473877</v>
      </c>
      <c r="LX16" s="5">
        <f t="shared" si="25"/>
        <v>38.449688562256767</v>
      </c>
      <c r="LY16" s="5">
        <f t="shared" si="25"/>
        <v>37.872943233822916</v>
      </c>
      <c r="LZ16" s="5">
        <f t="shared" si="25"/>
        <v>37.304849085315574</v>
      </c>
      <c r="MA16" s="5">
        <f t="shared" si="25"/>
        <v>36.745276349035841</v>
      </c>
      <c r="MB16" s="5">
        <f t="shared" si="25"/>
        <v>36.194097203800304</v>
      </c>
      <c r="MC16" s="5">
        <f t="shared" si="25"/>
        <v>35.651185745743298</v>
      </c>
      <c r="MD16" s="5">
        <f t="shared" si="25"/>
        <v>35.116417959557147</v>
      </c>
      <c r="ME16" s="5">
        <f t="shared" si="25"/>
        <v>34.58967169016379</v>
      </c>
      <c r="MF16" s="5">
        <f t="shared" si="25"/>
        <v>34.070826614811331</v>
      </c>
      <c r="MG16" s="5">
        <f t="shared" si="25"/>
        <v>33.559764215589162</v>
      </c>
      <c r="MH16" s="5">
        <f t="shared" si="25"/>
        <v>33.056367752355321</v>
      </c>
      <c r="MI16" s="5">
        <f t="shared" si="25"/>
        <v>32.560522236069993</v>
      </c>
      <c r="MJ16" s="5">
        <f t="shared" si="25"/>
        <v>32.072114402528939</v>
      </c>
      <c r="MK16" s="5">
        <f t="shared" si="25"/>
        <v>31.591032686491005</v>
      </c>
      <c r="ML16" s="5">
        <f t="shared" si="25"/>
        <v>31.117167196193638</v>
      </c>
      <c r="MM16" s="5">
        <f t="shared" si="25"/>
        <v>30.650409688250733</v>
      </c>
      <c r="MN16" s="5">
        <f t="shared" si="25"/>
        <v>30.19065354292697</v>
      </c>
      <c r="MO16" s="5">
        <f t="shared" si="25"/>
        <v>29.737793739783065</v>
      </c>
      <c r="MP16" s="5">
        <f t="shared" si="25"/>
        <v>29.291726833686319</v>
      </c>
      <c r="MQ16" s="5">
        <f t="shared" si="25"/>
        <v>28.852350931181025</v>
      </c>
      <c r="MR16" s="5">
        <f t="shared" si="25"/>
        <v>28.419565667213309</v>
      </c>
      <c r="MS16" s="5">
        <f t="shared" si="25"/>
        <v>27.993272182205111</v>
      </c>
      <c r="MT16" s="5">
        <f t="shared" si="25"/>
        <v>27.573373099472033</v>
      </c>
      <c r="MU16" s="5">
        <f t="shared" si="25"/>
        <v>27.159772502979951</v>
      </c>
      <c r="MV16" s="5">
        <f t="shared" si="25"/>
        <v>26.752375915435252</v>
      </c>
      <c r="MW16" s="5">
        <f t="shared" si="25"/>
        <v>26.351090276703722</v>
      </c>
      <c r="MX16" s="5">
        <f t="shared" si="25"/>
        <v>25.955823922553165</v>
      </c>
      <c r="MY16" s="5">
        <f t="shared" si="25"/>
        <v>25.566486563714868</v>
      </c>
      <c r="MZ16" s="5">
        <f t="shared" si="25"/>
        <v>25.182989265259145</v>
      </c>
      <c r="NA16" s="5">
        <f t="shared" si="25"/>
        <v>24.805244426280257</v>
      </c>
      <c r="NB16" s="5">
        <f t="shared" si="25"/>
        <v>24.433165759886052</v>
      </c>
      <c r="NC16" s="5">
        <f t="shared" si="25"/>
        <v>24.06666827348776</v>
      </c>
      <c r="ND16" s="5">
        <f t="shared" si="25"/>
        <v>23.705668249385443</v>
      </c>
      <c r="NE16" s="5">
        <f t="shared" si="25"/>
        <v>23.35008322564466</v>
      </c>
      <c r="NF16" s="5">
        <f t="shared" ref="NF16:PQ16" si="26">+NE16*(1+$AY$19)</f>
        <v>22.999831977259991</v>
      </c>
      <c r="NG16" s="5">
        <f t="shared" si="26"/>
        <v>22.65483449760109</v>
      </c>
      <c r="NH16" s="5">
        <f t="shared" si="26"/>
        <v>22.315011980137072</v>
      </c>
      <c r="NI16" s="5">
        <f t="shared" si="26"/>
        <v>21.980286800435017</v>
      </c>
      <c r="NJ16" s="5">
        <f t="shared" si="26"/>
        <v>21.650582498428491</v>
      </c>
      <c r="NK16" s="5">
        <f t="shared" si="26"/>
        <v>21.325823760952062</v>
      </c>
      <c r="NL16" s="5">
        <f t="shared" si="26"/>
        <v>21.005936404537781</v>
      </c>
      <c r="NM16" s="5">
        <f t="shared" si="26"/>
        <v>20.690847358469714</v>
      </c>
      <c r="NN16" s="5">
        <f t="shared" si="26"/>
        <v>20.380484648092668</v>
      </c>
      <c r="NO16" s="5">
        <f t="shared" si="26"/>
        <v>20.074777378371277</v>
      </c>
      <c r="NP16" s="5">
        <f t="shared" si="26"/>
        <v>19.773655717695707</v>
      </c>
      <c r="NQ16" s="5">
        <f t="shared" si="26"/>
        <v>19.477050881930271</v>
      </c>
      <c r="NR16" s="5">
        <f t="shared" si="26"/>
        <v>19.184895118701316</v>
      </c>
      <c r="NS16" s="5">
        <f t="shared" si="26"/>
        <v>18.897121691920795</v>
      </c>
      <c r="NT16" s="5">
        <f t="shared" si="26"/>
        <v>18.613664866541981</v>
      </c>
      <c r="NU16" s="5">
        <f t="shared" si="26"/>
        <v>18.334459893543851</v>
      </c>
      <c r="NV16" s="5">
        <f t="shared" si="26"/>
        <v>18.059442995140692</v>
      </c>
      <c r="NW16" s="5">
        <f t="shared" si="26"/>
        <v>17.788551350213581</v>
      </c>
      <c r="NX16" s="5">
        <f t="shared" si="26"/>
        <v>17.521723079960378</v>
      </c>
      <c r="NY16" s="5">
        <f t="shared" si="26"/>
        <v>17.258897233760973</v>
      </c>
      <c r="NZ16" s="5">
        <f t="shared" si="26"/>
        <v>17.000013775254558</v>
      </c>
      <c r="OA16" s="5">
        <f t="shared" si="26"/>
        <v>16.74501356862574</v>
      </c>
      <c r="OB16" s="5">
        <f t="shared" si="26"/>
        <v>16.493838365096355</v>
      </c>
      <c r="OC16" s="5">
        <f t="shared" si="26"/>
        <v>16.246430789619911</v>
      </c>
      <c r="OD16" s="5">
        <f t="shared" si="26"/>
        <v>16.002734327775613</v>
      </c>
      <c r="OE16" s="5">
        <f t="shared" si="26"/>
        <v>15.762693312858978</v>
      </c>
      <c r="OF16" s="5">
        <f t="shared" si="26"/>
        <v>15.526252913166093</v>
      </c>
      <c r="OG16" s="5">
        <f t="shared" si="26"/>
        <v>15.293359119468601</v>
      </c>
      <c r="OH16" s="5">
        <f t="shared" si="26"/>
        <v>15.063958732676571</v>
      </c>
      <c r="OI16" s="5">
        <f t="shared" si="26"/>
        <v>14.837999351686422</v>
      </c>
      <c r="OJ16" s="5">
        <f t="shared" si="26"/>
        <v>14.615429361411126</v>
      </c>
      <c r="OK16" s="5">
        <f t="shared" si="26"/>
        <v>14.396197920989959</v>
      </c>
      <c r="OL16" s="5">
        <f t="shared" si="26"/>
        <v>14.18025495217511</v>
      </c>
      <c r="OM16" s="5">
        <f t="shared" si="26"/>
        <v>13.967551127892483</v>
      </c>
      <c r="ON16" s="5">
        <f t="shared" si="26"/>
        <v>13.758037860974095</v>
      </c>
      <c r="OO16" s="5">
        <f t="shared" si="26"/>
        <v>13.551667293059484</v>
      </c>
      <c r="OP16" s="5">
        <f t="shared" si="26"/>
        <v>13.348392283663593</v>
      </c>
      <c r="OQ16" s="5">
        <f t="shared" si="26"/>
        <v>13.148166399408639</v>
      </c>
      <c r="OR16" s="5">
        <f t="shared" si="26"/>
        <v>12.95094390341751</v>
      </c>
      <c r="OS16" s="5">
        <f t="shared" si="26"/>
        <v>12.756679744866247</v>
      </c>
      <c r="OT16" s="5">
        <f t="shared" si="26"/>
        <v>12.565329548693253</v>
      </c>
      <c r="OU16" s="5">
        <f t="shared" si="26"/>
        <v>12.376849605462853</v>
      </c>
      <c r="OV16" s="5">
        <f t="shared" si="26"/>
        <v>12.191196861380909</v>
      </c>
      <c r="OW16" s="5">
        <f t="shared" si="26"/>
        <v>12.008328908460195</v>
      </c>
      <c r="OX16" s="5">
        <f t="shared" si="26"/>
        <v>11.828203974833292</v>
      </c>
      <c r="OY16" s="5">
        <f t="shared" si="26"/>
        <v>11.650780915210792</v>
      </c>
      <c r="OZ16" s="5">
        <f t="shared" si="26"/>
        <v>11.476019201482631</v>
      </c>
      <c r="PA16" s="5">
        <f t="shared" si="26"/>
        <v>11.303878913460391</v>
      </c>
      <c r="PB16" s="5">
        <f t="shared" si="26"/>
        <v>11.134320729758485</v>
      </c>
      <c r="PC16" s="5">
        <f t="shared" si="26"/>
        <v>10.967305918812109</v>
      </c>
      <c r="PD16" s="5">
        <f t="shared" si="26"/>
        <v>10.802796330029928</v>
      </c>
      <c r="PE16" s="5">
        <f t="shared" si="26"/>
        <v>10.640754385079479</v>
      </c>
      <c r="PF16" s="5">
        <f t="shared" si="26"/>
        <v>10.481143069303286</v>
      </c>
      <c r="PG16" s="5">
        <f t="shared" si="26"/>
        <v>10.323925923263737</v>
      </c>
      <c r="PH16" s="5">
        <f t="shared" si="26"/>
        <v>10.16906703441478</v>
      </c>
      <c r="PI16" s="5">
        <f t="shared" si="26"/>
        <v>10.016531028898559</v>
      </c>
      <c r="PJ16" s="5">
        <f t="shared" si="26"/>
        <v>9.8662830634650796</v>
      </c>
      <c r="PK16" s="5">
        <f t="shared" si="26"/>
        <v>9.7182888175131037</v>
      </c>
      <c r="PL16" s="5">
        <f t="shared" si="26"/>
        <v>9.5725144852504069</v>
      </c>
      <c r="PM16" s="5">
        <f t="shared" si="26"/>
        <v>9.4289267679716513</v>
      </c>
      <c r="PN16" s="5">
        <f t="shared" si="26"/>
        <v>9.2874928664520766</v>
      </c>
      <c r="PO16" s="5">
        <f t="shared" si="26"/>
        <v>9.1481804734552945</v>
      </c>
      <c r="PP16" s="5">
        <f t="shared" si="26"/>
        <v>9.0109577663534655</v>
      </c>
      <c r="PQ16" s="5">
        <f t="shared" si="26"/>
        <v>8.8757933998581642</v>
      </c>
      <c r="PR16" s="5">
        <f t="shared" ref="PR16:QF16" si="27">+PQ16*(1+$AY$19)</f>
        <v>8.7426564988602919</v>
      </c>
      <c r="PS16" s="5">
        <f t="shared" si="27"/>
        <v>8.6115166513773875</v>
      </c>
      <c r="PT16" s="5">
        <f t="shared" si="27"/>
        <v>8.4823439016067272</v>
      </c>
      <c r="PU16" s="5">
        <f t="shared" si="27"/>
        <v>8.3551087430826261</v>
      </c>
      <c r="PV16" s="5">
        <f t="shared" si="27"/>
        <v>8.2297821119363874</v>
      </c>
      <c r="PW16" s="5">
        <f t="shared" si="27"/>
        <v>8.1063353802573417</v>
      </c>
      <c r="PX16" s="5">
        <f t="shared" si="27"/>
        <v>7.9847403495534817</v>
      </c>
      <c r="PY16" s="5">
        <f t="shared" si="27"/>
        <v>7.8649692443101795</v>
      </c>
      <c r="PZ16" s="5">
        <f t="shared" si="27"/>
        <v>7.7469947056455268</v>
      </c>
      <c r="QA16" s="5">
        <f t="shared" si="27"/>
        <v>7.6307897850608439</v>
      </c>
      <c r="QB16" s="5">
        <f t="shared" si="27"/>
        <v>7.5163279382849311</v>
      </c>
      <c r="QC16" s="5">
        <f t="shared" si="27"/>
        <v>7.4035830192106573</v>
      </c>
      <c r="QD16" s="5">
        <f t="shared" si="27"/>
        <v>7.2925292739224972</v>
      </c>
      <c r="QE16" s="5">
        <f t="shared" si="27"/>
        <v>7.1831413348136595</v>
      </c>
      <c r="QF16" s="5">
        <f t="shared" si="27"/>
        <v>7.0753942147914541</v>
      </c>
    </row>
    <row r="17" spans="1:51" s="2" customFormat="1" x14ac:dyDescent="0.3">
      <c r="A17"/>
      <c r="B17" s="4" t="s">
        <v>2</v>
      </c>
      <c r="C17" s="2">
        <v>537</v>
      </c>
      <c r="D17" s="2">
        <v>534</v>
      </c>
      <c r="E17" s="2">
        <v>529</v>
      </c>
      <c r="F17" s="2">
        <v>518</v>
      </c>
      <c r="G17" s="2">
        <v>516</v>
      </c>
      <c r="H17" s="2">
        <v>503</v>
      </c>
      <c r="I17" s="2">
        <v>487</v>
      </c>
      <c r="J17" s="2">
        <v>477</v>
      </c>
      <c r="K17" s="2">
        <v>467</v>
      </c>
      <c r="L17" s="2">
        <v>461</v>
      </c>
      <c r="M17" s="2">
        <f>L17*0.98</f>
        <v>451.78</v>
      </c>
      <c r="N17" s="2">
        <f t="shared" ref="N17:T17" si="28">M17*0.98</f>
        <v>442.74439999999998</v>
      </c>
      <c r="O17" s="2">
        <f t="shared" si="28"/>
        <v>433.88951199999997</v>
      </c>
      <c r="P17" s="2">
        <f t="shared" si="28"/>
        <v>425.21172175999999</v>
      </c>
      <c r="Q17" s="2">
        <f t="shared" si="28"/>
        <v>416.70748732479996</v>
      </c>
      <c r="R17" s="2">
        <f t="shared" si="28"/>
        <v>408.37333757830396</v>
      </c>
      <c r="S17" s="2">
        <f t="shared" si="28"/>
        <v>400.20587082673785</v>
      </c>
      <c r="T17" s="2">
        <f t="shared" si="28"/>
        <v>392.20175341020308</v>
      </c>
      <c r="Z17" s="2">
        <f>+F17</f>
        <v>518</v>
      </c>
      <c r="AA17" s="2">
        <f>J17</f>
        <v>477</v>
      </c>
      <c r="AB17" s="2">
        <f>N17</f>
        <v>442.74439999999998</v>
      </c>
    </row>
    <row r="18" spans="1:51" s="7" customFormat="1" x14ac:dyDescent="0.3">
      <c r="B18" s="8" t="s">
        <v>42</v>
      </c>
      <c r="C18" s="7">
        <f t="shared" ref="C18:K18" si="29">C16/C17</f>
        <v>1.0558659217877095</v>
      </c>
      <c r="D18" s="7">
        <f t="shared" si="29"/>
        <v>0.3202247191011236</v>
      </c>
      <c r="E18" s="7">
        <f t="shared" si="29"/>
        <v>2.4669187145557654</v>
      </c>
      <c r="F18" s="7">
        <f t="shared" si="29"/>
        <v>1.3976833976833978</v>
      </c>
      <c r="G18" s="7">
        <f t="shared" si="29"/>
        <v>0.84883720930232553</v>
      </c>
      <c r="H18" s="7">
        <f t="shared" si="29"/>
        <v>0.44532803180914515</v>
      </c>
      <c r="I18" s="7">
        <f t="shared" si="29"/>
        <v>1.3018480492813143</v>
      </c>
      <c r="J18" s="7">
        <f t="shared" si="29"/>
        <v>1.4234800838574424</v>
      </c>
      <c r="K18" s="7">
        <f t="shared" si="29"/>
        <v>1.0770877944325481</v>
      </c>
      <c r="L18" s="7">
        <f>L16/L17</f>
        <v>0.79826464208242953</v>
      </c>
      <c r="M18" s="7">
        <f t="shared" ref="M18:T18" si="30">M16/M17</f>
        <v>1.0137677630705211</v>
      </c>
      <c r="N18" s="7">
        <f t="shared" si="30"/>
        <v>1.1202852029297266</v>
      </c>
      <c r="O18" s="7">
        <f t="shared" si="30"/>
        <v>1.1869381161718424</v>
      </c>
      <c r="P18" s="7">
        <f t="shared" si="30"/>
        <v>1.1406082550888519</v>
      </c>
      <c r="Q18" s="7">
        <f t="shared" si="30"/>
        <v>1.1662857394765034</v>
      </c>
      <c r="R18" s="7">
        <f t="shared" si="30"/>
        <v>1.2953832959248137</v>
      </c>
      <c r="S18" s="7">
        <f t="shared" si="30"/>
        <v>1.356801685288326</v>
      </c>
      <c r="T18" s="7">
        <f t="shared" si="30"/>
        <v>1.3742926830728901</v>
      </c>
      <c r="Z18" s="7">
        <f t="shared" ref="Z18" si="31">Z16/Z17</f>
        <v>5.3416988416988413</v>
      </c>
      <c r="AA18" s="7">
        <f t="shared" ref="AA18" si="32">AA16/AA17</f>
        <v>4.1404612159329144</v>
      </c>
      <c r="AB18" s="7">
        <f t="shared" ref="AB18" si="33">AB16/AB17</f>
        <v>4.1220171277152238</v>
      </c>
    </row>
    <row r="19" spans="1:51" x14ac:dyDescent="0.3">
      <c r="AX19" s="3" t="s">
        <v>106</v>
      </c>
      <c r="AY19" s="11">
        <v>-1.4999999999999999E-2</v>
      </c>
    </row>
    <row r="20" spans="1:51" s="9" customFormat="1" x14ac:dyDescent="0.3">
      <c r="B20" s="9" t="s">
        <v>100</v>
      </c>
      <c r="C20" s="9">
        <f t="shared" ref="C20:J20" si="34">C5/C3</f>
        <v>0.7211155378486056</v>
      </c>
      <c r="D20" s="9">
        <f t="shared" si="34"/>
        <v>0.71732283464566926</v>
      </c>
      <c r="E20" s="9">
        <f t="shared" si="34"/>
        <v>0.71799999999999997</v>
      </c>
      <c r="F20" s="9">
        <f t="shared" si="34"/>
        <v>0.72287275565964093</v>
      </c>
      <c r="G20" s="9">
        <f t="shared" si="34"/>
        <v>0.72613458528951491</v>
      </c>
      <c r="H20" s="9">
        <f t="shared" si="34"/>
        <v>0.71423017107309483</v>
      </c>
      <c r="I20" s="9">
        <f t="shared" si="34"/>
        <v>0.71777950310559002</v>
      </c>
      <c r="J20" s="9">
        <f t="shared" ref="G20:L20" si="35">J5/J3</f>
        <v>0.72159751841799147</v>
      </c>
      <c r="K20" s="9">
        <f t="shared" si="35"/>
        <v>0.72030947775628629</v>
      </c>
      <c r="L20" s="9">
        <f>L5/L3</f>
        <v>0.71575091575091576</v>
      </c>
      <c r="Z20" s="9">
        <f t="shared" ref="Z20:AA20" si="36">Z5/Z3</f>
        <v>0.71983781645569622</v>
      </c>
      <c r="AA20" s="9">
        <f t="shared" si="36"/>
        <v>0.71992609160750753</v>
      </c>
      <c r="AX20" t="s">
        <v>107</v>
      </c>
      <c r="AY20" s="11">
        <v>0.06</v>
      </c>
    </row>
    <row r="21" spans="1:51" s="9" customFormat="1" x14ac:dyDescent="0.3">
      <c r="B21" s="9" t="s">
        <v>101</v>
      </c>
      <c r="C21" s="9">
        <f t="shared" ref="C21:J21" si="37">C12/C3</f>
        <v>0.22231075697211156</v>
      </c>
      <c r="D21" s="9">
        <f t="shared" si="37"/>
        <v>0.20393700787401575</v>
      </c>
      <c r="E21" s="9">
        <f t="shared" si="37"/>
        <v>0.182</v>
      </c>
      <c r="F21" s="9">
        <f t="shared" si="37"/>
        <v>0.16003122560499611</v>
      </c>
      <c r="G21" s="9">
        <f t="shared" si="37"/>
        <v>0.24687010954616589</v>
      </c>
      <c r="H21" s="9">
        <f t="shared" si="37"/>
        <v>0.21345256609642302</v>
      </c>
      <c r="I21" s="9">
        <f t="shared" si="37"/>
        <v>0.23097826086956522</v>
      </c>
      <c r="J21" s="9">
        <f t="shared" ref="G21:L21" si="38">J12/J3</f>
        <v>0.21054672353625437</v>
      </c>
      <c r="K21" s="9">
        <f t="shared" si="38"/>
        <v>0.23829787234042554</v>
      </c>
      <c r="L21" s="9">
        <f>L12/L3</f>
        <v>0.1772893772893773</v>
      </c>
      <c r="Z21" s="9">
        <f t="shared" ref="Z21:AA21" si="39">Z12/Z3</f>
        <v>0.19195015822784811</v>
      </c>
      <c r="AA21" s="9">
        <f t="shared" si="39"/>
        <v>0.22542059710201304</v>
      </c>
      <c r="AX21" s="9" t="s">
        <v>108</v>
      </c>
      <c r="AY21" s="2">
        <f>NPV(AY20,AC16:QF16)+AB16+AB30</f>
        <v>42810.713606424761</v>
      </c>
    </row>
    <row r="22" spans="1:51" s="9" customFormat="1" x14ac:dyDescent="0.3">
      <c r="B22" s="9" t="s">
        <v>102</v>
      </c>
      <c r="C22" s="9">
        <f t="shared" ref="C22:J22" si="40">C13/C12</f>
        <v>0.30824372759856633</v>
      </c>
      <c r="D22" s="9">
        <f t="shared" si="40"/>
        <v>-0.4498069498069498</v>
      </c>
      <c r="E22" s="9">
        <f t="shared" si="40"/>
        <v>2.6505494505494505</v>
      </c>
      <c r="F22" s="9">
        <f t="shared" si="40"/>
        <v>1.5146341463414634</v>
      </c>
      <c r="G22" s="9">
        <f t="shared" si="40"/>
        <v>-0.15055467511885895</v>
      </c>
      <c r="H22" s="9">
        <f t="shared" si="40"/>
        <v>-0.40255009107468126</v>
      </c>
      <c r="I22" s="9">
        <f t="shared" si="40"/>
        <v>0.33949579831932775</v>
      </c>
      <c r="J22" s="9">
        <f t="shared" ref="G22:L22" si="41">J13/J12</f>
        <v>0.13627992633517497</v>
      </c>
      <c r="K22" s="9">
        <f t="shared" si="41"/>
        <v>2.922077922077922E-2</v>
      </c>
      <c r="L22" s="9">
        <f>L13/L12</f>
        <v>-1.4462809917355372E-2</v>
      </c>
      <c r="Z22" s="9">
        <f t="shared" ref="Z22:AA22" si="42">Z13/Z12</f>
        <v>0.90984028851107679</v>
      </c>
      <c r="AA22" s="9">
        <f t="shared" si="42"/>
        <v>-1.7256255392579811E-2</v>
      </c>
      <c r="AX22" s="9" t="s">
        <v>109</v>
      </c>
      <c r="AY22" s="7">
        <f>AY21/L17</f>
        <v>92.864888517190366</v>
      </c>
    </row>
    <row r="23" spans="1:51" s="9" customFormat="1" x14ac:dyDescent="0.3">
      <c r="B23" s="9" t="s">
        <v>105</v>
      </c>
      <c r="C23" s="9">
        <f t="shared" ref="C23:J23" si="43">-C15/C14</f>
        <v>0.22328767123287671</v>
      </c>
      <c r="D23" s="9">
        <f t="shared" si="43"/>
        <v>0.4</v>
      </c>
      <c r="E23" s="9">
        <f t="shared" si="43"/>
        <v>0.21432871763997591</v>
      </c>
      <c r="F23" s="9">
        <f t="shared" si="43"/>
        <v>0.29776915615906885</v>
      </c>
      <c r="G23" s="9">
        <f t="shared" si="43"/>
        <v>0.18283582089552239</v>
      </c>
      <c r="H23" s="9">
        <f t="shared" si="43"/>
        <v>0.31707317073170732</v>
      </c>
      <c r="I23" s="9">
        <f t="shared" si="43"/>
        <v>0.20451693851944794</v>
      </c>
      <c r="J23" s="9">
        <f t="shared" ref="G23:L23" si="44">-J15/J14</f>
        <v>-0.10048622366288493</v>
      </c>
      <c r="K23" s="9">
        <f t="shared" si="44"/>
        <v>0.20662460567823343</v>
      </c>
      <c r="L23" s="9">
        <f>-L15/L14</f>
        <v>0.22851153039832284</v>
      </c>
      <c r="Z23" s="9">
        <f t="shared" ref="Z23:AA23" si="45">-Z15/Z14</f>
        <v>0.25357431885621795</v>
      </c>
      <c r="AA23" s="9">
        <f t="shared" si="45"/>
        <v>0.13301141352063214</v>
      </c>
      <c r="AX23" s="9" t="s">
        <v>110</v>
      </c>
      <c r="AY23" s="7">
        <f>Main!J5</f>
        <v>91.74</v>
      </c>
    </row>
    <row r="24" spans="1:51" s="9" customFormat="1" x14ac:dyDescent="0.3">
      <c r="B24" s="9" t="s">
        <v>103</v>
      </c>
      <c r="C24" s="9">
        <f t="shared" ref="C24:J24" si="46">C16/C3</f>
        <v>0.22589641434262947</v>
      </c>
      <c r="D24" s="9">
        <f t="shared" si="46"/>
        <v>6.7322834645669294E-2</v>
      </c>
      <c r="E24" s="9">
        <f t="shared" si="46"/>
        <v>0.52200000000000002</v>
      </c>
      <c r="F24" s="9">
        <f t="shared" si="46"/>
        <v>0.28259172521467602</v>
      </c>
      <c r="G24" s="9">
        <f t="shared" si="46"/>
        <v>0.17136150234741784</v>
      </c>
      <c r="H24" s="9">
        <f t="shared" si="46"/>
        <v>8.7091757387247282E-2</v>
      </c>
      <c r="I24" s="9">
        <f t="shared" si="46"/>
        <v>0.24611801242236025</v>
      </c>
      <c r="J24" s="9">
        <f t="shared" ref="G24:L24" si="47">J16/J3</f>
        <v>0.26328034121752619</v>
      </c>
      <c r="K24" s="9">
        <f t="shared" si="47"/>
        <v>0.19458413926499032</v>
      </c>
      <c r="L24" s="9">
        <f>L16/L3</f>
        <v>0.13479853479853479</v>
      </c>
      <c r="M24" s="9">
        <f t="shared" ref="M24:V24" si="48">M16/M3</f>
        <v>0.16838235294117648</v>
      </c>
      <c r="N24" s="9">
        <f t="shared" si="48"/>
        <v>0.17777777777777778</v>
      </c>
      <c r="O24" s="9">
        <f t="shared" si="48"/>
        <v>0.18727272727272729</v>
      </c>
      <c r="P24" s="9">
        <f t="shared" si="48"/>
        <v>0.17137809187279152</v>
      </c>
      <c r="Q24" s="9">
        <f t="shared" si="48"/>
        <v>0.17234042553191489</v>
      </c>
      <c r="R24" s="9">
        <f t="shared" si="48"/>
        <v>0.18241379310344827</v>
      </c>
      <c r="S24" s="9">
        <f t="shared" si="48"/>
        <v>0.19532374100719424</v>
      </c>
      <c r="T24" s="9">
        <f t="shared" si="48"/>
        <v>0.18978873239436619</v>
      </c>
      <c r="U24" s="9">
        <f t="shared" si="48"/>
        <v>0.2</v>
      </c>
      <c r="V24" s="9">
        <f t="shared" si="48"/>
        <v>0.2</v>
      </c>
      <c r="Z24" s="9">
        <f t="shared" ref="Z24:AB24" si="49">Z16/Z3</f>
        <v>0.27363528481012656</v>
      </c>
      <c r="AA24" s="9">
        <f t="shared" si="49"/>
        <v>0.19206457259554605</v>
      </c>
      <c r="AB24" s="9">
        <f t="shared" si="49"/>
        <v>0.16859122401847576</v>
      </c>
      <c r="AX24" s="12" t="s">
        <v>111</v>
      </c>
      <c r="AY24" s="12">
        <f>AY22/AY23-1</f>
        <v>1.2261701735233999E-2</v>
      </c>
    </row>
    <row r="25" spans="1:51" s="9" customFormat="1" x14ac:dyDescent="0.3"/>
    <row r="26" spans="1:51" s="9" customFormat="1" x14ac:dyDescent="0.3">
      <c r="B26" s="9" t="s">
        <v>104</v>
      </c>
      <c r="G26" s="9">
        <f t="shared" ref="G26:K26" si="50">G3/C3-1</f>
        <v>1.8326693227091573E-2</v>
      </c>
      <c r="H26" s="9">
        <f t="shared" si="50"/>
        <v>1.2598425196850505E-2</v>
      </c>
      <c r="I26" s="9">
        <f t="shared" si="50"/>
        <v>3.0399999999999983E-2</v>
      </c>
      <c r="J26" s="9">
        <f t="shared" si="50"/>
        <v>6.6354410616704662E-3</v>
      </c>
      <c r="K26" s="9">
        <f t="shared" si="50"/>
        <v>1.1345852895148667E-2</v>
      </c>
      <c r="L26" s="9">
        <f>L3/H3-1</f>
        <v>6.1430793157076113E-2</v>
      </c>
      <c r="M26" s="9">
        <f t="shared" ref="M26:T26" si="51">M3/I3-1</f>
        <v>5.5900621118012417E-2</v>
      </c>
      <c r="N26" s="9">
        <f t="shared" si="51"/>
        <v>8.1814656843737898E-2</v>
      </c>
      <c r="O26" s="9">
        <f t="shared" si="51"/>
        <v>6.3829787234042534E-2</v>
      </c>
      <c r="P26" s="9">
        <f t="shared" si="51"/>
        <v>3.6630036630036722E-2</v>
      </c>
      <c r="Q26" s="9">
        <f t="shared" si="51"/>
        <v>3.6764705882353033E-2</v>
      </c>
      <c r="R26" s="9">
        <f t="shared" si="51"/>
        <v>3.9426523297491078E-2</v>
      </c>
      <c r="S26" s="9">
        <f t="shared" si="51"/>
        <v>1.0909090909090979E-2</v>
      </c>
      <c r="T26" s="9">
        <f t="shared" si="51"/>
        <v>3.5335689045936647E-3</v>
      </c>
      <c r="U26" s="9">
        <f t="shared" ref="U26" si="52">U3/Q3-1</f>
        <v>3.499999999999992E-2</v>
      </c>
      <c r="V26" s="9">
        <f t="shared" ref="V26" si="53">V3/R3-1</f>
        <v>3.499999999999992E-2</v>
      </c>
      <c r="AA26" s="9">
        <f t="shared" ref="AA26:AB26" si="54">AA3/Z3-1</f>
        <v>1.6910601265822889E-2</v>
      </c>
      <c r="AB26" s="9">
        <f>AB3/AA3-1</f>
        <v>5.2708353593309276E-2</v>
      </c>
      <c r="AC26" s="9">
        <f t="shared" ref="AC26:AD26" si="55">AC3/AB3-1</f>
        <v>4.387990762124705E-2</v>
      </c>
      <c r="AD26" s="9">
        <f t="shared" si="55"/>
        <v>2.1256637168141745E-2</v>
      </c>
    </row>
    <row r="28" spans="1:51" x14ac:dyDescent="0.3">
      <c r="D28" s="10"/>
      <c r="E28" s="10"/>
      <c r="F28" s="10"/>
      <c r="G28" s="10"/>
      <c r="H28" s="10"/>
      <c r="I28" s="10"/>
      <c r="J28" s="10"/>
      <c r="K28" s="10"/>
      <c r="L28" s="10"/>
    </row>
    <row r="30" spans="1:51" s="2" customFormat="1" x14ac:dyDescent="0.3">
      <c r="A30"/>
      <c r="B30" t="s">
        <v>44</v>
      </c>
      <c r="C30" s="2">
        <f t="shared" ref="C30:K30" si="56">C31+C32+C35-C42-C47-C49</f>
        <v>0</v>
      </c>
      <c r="D30" s="2">
        <f t="shared" si="56"/>
        <v>0</v>
      </c>
      <c r="E30" s="2">
        <f t="shared" si="56"/>
        <v>0</v>
      </c>
      <c r="F30" s="2">
        <f t="shared" si="56"/>
        <v>2011</v>
      </c>
      <c r="G30" s="2">
        <f t="shared" si="56"/>
        <v>0</v>
      </c>
      <c r="H30" s="2">
        <f t="shared" si="56"/>
        <v>0</v>
      </c>
      <c r="I30" s="2">
        <f t="shared" si="56"/>
        <v>591</v>
      </c>
      <c r="J30" s="2">
        <f t="shared" si="56"/>
        <v>584</v>
      </c>
      <c r="K30" s="2">
        <f t="shared" si="56"/>
        <v>330</v>
      </c>
      <c r="L30" s="2">
        <f>L31+L32+L35-L42-L47-L49</f>
        <v>-765</v>
      </c>
      <c r="Z30" s="2">
        <f t="shared" ref="Z30" si="57">Z31+Z32+Z35-Z42-Z47-Z49</f>
        <v>2011</v>
      </c>
      <c r="AA30" s="2">
        <f t="shared" ref="AA30" si="58">AA31+AA32+AA35-AA42-AA47-AA49</f>
        <v>584</v>
      </c>
      <c r="AB30" s="2">
        <f>AB31+AB32+AB35-AB42-AB47-AB49</f>
        <v>-765</v>
      </c>
    </row>
    <row r="31" spans="1:51" s="2" customFormat="1" x14ac:dyDescent="0.3">
      <c r="A31"/>
      <c r="B31" t="s">
        <v>43</v>
      </c>
      <c r="F31" s="2">
        <v>1985</v>
      </c>
      <c r="I31" s="2">
        <v>1589</v>
      </c>
      <c r="J31" s="2">
        <v>2433</v>
      </c>
      <c r="K31" s="2">
        <v>3031</v>
      </c>
      <c r="L31" s="2">
        <v>2070</v>
      </c>
      <c r="Z31" s="2">
        <v>1985</v>
      </c>
      <c r="AA31" s="2">
        <v>2433</v>
      </c>
      <c r="AB31" s="2">
        <v>2070</v>
      </c>
    </row>
    <row r="32" spans="1:51" s="2" customFormat="1" x14ac:dyDescent="0.3">
      <c r="A32"/>
      <c r="B32" t="s">
        <v>45</v>
      </c>
      <c r="F32" s="2">
        <f>2533+4474</f>
        <v>7007</v>
      </c>
      <c r="I32" s="2">
        <v>3302</v>
      </c>
      <c r="J32" s="2">
        <v>3457</v>
      </c>
      <c r="K32" s="2">
        <v>1760</v>
      </c>
      <c r="L32" s="2">
        <v>1680</v>
      </c>
      <c r="Z32" s="2">
        <f>2533+4474</f>
        <v>7007</v>
      </c>
      <c r="AA32" s="2">
        <v>3457</v>
      </c>
      <c r="AB32" s="2">
        <v>1680</v>
      </c>
    </row>
    <row r="33" spans="1:28" s="2" customFormat="1" x14ac:dyDescent="0.3">
      <c r="A33"/>
      <c r="B33" t="s">
        <v>46</v>
      </c>
      <c r="F33" s="2">
        <v>1013</v>
      </c>
      <c r="I33" s="2">
        <v>984</v>
      </c>
      <c r="J33" s="2">
        <v>962</v>
      </c>
      <c r="K33" s="2">
        <v>1287</v>
      </c>
      <c r="L33" s="2">
        <v>1371</v>
      </c>
      <c r="Z33" s="2">
        <v>1013</v>
      </c>
      <c r="AA33" s="2">
        <v>962</v>
      </c>
      <c r="AB33" s="2">
        <v>1371</v>
      </c>
    </row>
    <row r="34" spans="1:28" s="2" customFormat="1" x14ac:dyDescent="0.3">
      <c r="A34"/>
      <c r="B34" t="s">
        <v>47</v>
      </c>
      <c r="F34" s="2">
        <v>1011</v>
      </c>
      <c r="I34" s="2">
        <v>1186</v>
      </c>
      <c r="J34" s="2">
        <v>715</v>
      </c>
      <c r="K34" s="2">
        <v>794</v>
      </c>
      <c r="L34" s="2">
        <v>798</v>
      </c>
      <c r="Z34" s="2">
        <v>1011</v>
      </c>
      <c r="AA34" s="2">
        <v>715</v>
      </c>
      <c r="AB34" s="2">
        <v>798</v>
      </c>
    </row>
    <row r="35" spans="1:28" s="2" customFormat="1" x14ac:dyDescent="0.3">
      <c r="A35"/>
      <c r="B35" t="s">
        <v>48</v>
      </c>
      <c r="F35" s="2">
        <v>1129</v>
      </c>
      <c r="I35" s="2">
        <f>1534+1910</f>
        <v>3444</v>
      </c>
      <c r="J35" s="2">
        <v>2439</v>
      </c>
      <c r="K35" s="2">
        <v>2586</v>
      </c>
      <c r="L35" s="2">
        <v>2520</v>
      </c>
      <c r="Z35" s="2">
        <v>1129</v>
      </c>
      <c r="AA35" s="2">
        <v>2439</v>
      </c>
      <c r="AB35" s="2">
        <v>2520</v>
      </c>
    </row>
    <row r="36" spans="1:28" s="2" customFormat="1" x14ac:dyDescent="0.3">
      <c r="A36"/>
      <c r="B36" t="s">
        <v>49</v>
      </c>
      <c r="F36" s="2">
        <v>1243</v>
      </c>
      <c r="I36" s="2">
        <v>1273</v>
      </c>
      <c r="J36" s="2">
        <v>1263</v>
      </c>
      <c r="K36" s="2">
        <v>1293</v>
      </c>
      <c r="L36" s="2">
        <v>1333</v>
      </c>
      <c r="Z36" s="2">
        <v>1243</v>
      </c>
      <c r="AA36" s="2">
        <v>1263</v>
      </c>
      <c r="AB36" s="2">
        <v>1333</v>
      </c>
    </row>
    <row r="37" spans="1:28" s="2" customFormat="1" x14ac:dyDescent="0.3">
      <c r="A37"/>
      <c r="B37" t="s">
        <v>50</v>
      </c>
      <c r="F37" s="2">
        <v>4267</v>
      </c>
      <c r="I37" s="2">
        <v>4321</v>
      </c>
      <c r="J37" s="2">
        <v>4269</v>
      </c>
      <c r="K37" s="2">
        <v>4357</v>
      </c>
      <c r="L37" s="2">
        <v>4386</v>
      </c>
      <c r="Z37" s="2">
        <v>4267</v>
      </c>
      <c r="AA37" s="2">
        <v>4269</v>
      </c>
      <c r="AB37" s="2">
        <v>4386</v>
      </c>
    </row>
    <row r="38" spans="1:28" s="2" customFormat="1" x14ac:dyDescent="0.3">
      <c r="A38"/>
      <c r="B38" t="s">
        <v>51</v>
      </c>
      <c r="F38" s="2">
        <v>493</v>
      </c>
      <c r="I38" s="2">
        <v>428</v>
      </c>
      <c r="J38" s="2">
        <v>427</v>
      </c>
      <c r="K38" s="2">
        <v>419</v>
      </c>
      <c r="L38" s="2">
        <v>398</v>
      </c>
      <c r="Z38" s="2">
        <v>493</v>
      </c>
      <c r="AA38" s="2">
        <v>427</v>
      </c>
      <c r="AB38" s="2">
        <v>398</v>
      </c>
    </row>
    <row r="39" spans="1:28" s="2" customFormat="1" x14ac:dyDescent="0.3">
      <c r="A39"/>
      <c r="B39" t="s">
        <v>52</v>
      </c>
      <c r="F39" s="2">
        <v>3089</v>
      </c>
      <c r="I39" s="2">
        <v>2984</v>
      </c>
      <c r="J39" s="2">
        <v>2936</v>
      </c>
      <c r="K39" s="2">
        <v>2920</v>
      </c>
      <c r="L39" s="2">
        <v>2900</v>
      </c>
      <c r="Z39" s="2">
        <v>3089</v>
      </c>
      <c r="AA39" s="2">
        <v>2936</v>
      </c>
      <c r="AB39" s="2">
        <v>2900</v>
      </c>
    </row>
    <row r="40" spans="1:28" s="2" customFormat="1" x14ac:dyDescent="0.3">
      <c r="A40"/>
      <c r="B40" t="s">
        <v>53</v>
      </c>
      <c r="F40" s="2">
        <v>383</v>
      </c>
      <c r="I40" s="2">
        <v>404</v>
      </c>
      <c r="J40" s="2">
        <v>464</v>
      </c>
      <c r="K40" s="2">
        <v>507</v>
      </c>
      <c r="L40" s="2">
        <v>505</v>
      </c>
      <c r="Z40" s="2">
        <v>383</v>
      </c>
      <c r="AA40" s="2">
        <v>464</v>
      </c>
      <c r="AB40" s="2">
        <v>505</v>
      </c>
    </row>
    <row r="41" spans="1:28" s="5" customFormat="1" x14ac:dyDescent="0.3">
      <c r="A41" s="3"/>
      <c r="B41" s="3" t="s">
        <v>54</v>
      </c>
      <c r="C41" s="5">
        <f t="shared" ref="C41:K41" si="59">SUM(C31:C40)</f>
        <v>0</v>
      </c>
      <c r="D41" s="5">
        <f t="shared" si="59"/>
        <v>0</v>
      </c>
      <c r="E41" s="5">
        <f t="shared" si="59"/>
        <v>0</v>
      </c>
      <c r="F41" s="5">
        <f t="shared" si="59"/>
        <v>21620</v>
      </c>
      <c r="G41" s="5">
        <f t="shared" si="59"/>
        <v>0</v>
      </c>
      <c r="H41" s="5">
        <f t="shared" si="59"/>
        <v>0</v>
      </c>
      <c r="I41" s="5">
        <f t="shared" si="59"/>
        <v>19915</v>
      </c>
      <c r="J41" s="5">
        <f t="shared" si="59"/>
        <v>19365</v>
      </c>
      <c r="K41" s="5">
        <f t="shared" si="59"/>
        <v>18954</v>
      </c>
      <c r="L41" s="5">
        <f>SUM(L31:L40)</f>
        <v>17961</v>
      </c>
      <c r="Z41" s="5">
        <f t="shared" ref="Z41" si="60">SUM(Z31:Z40)</f>
        <v>21620</v>
      </c>
      <c r="AA41" s="5">
        <f t="shared" ref="AA41" si="61">SUM(AA31:AA40)</f>
        <v>19365</v>
      </c>
      <c r="AB41" s="5">
        <f>SUM(AB31:AB40)</f>
        <v>17961</v>
      </c>
    </row>
    <row r="42" spans="1:28" s="2" customFormat="1" x14ac:dyDescent="0.3">
      <c r="A42"/>
      <c r="B42" t="s">
        <v>55</v>
      </c>
      <c r="F42" s="2">
        <v>750</v>
      </c>
      <c r="I42" s="2">
        <v>1243</v>
      </c>
      <c r="J42" s="2">
        <v>1673</v>
      </c>
      <c r="K42" s="2">
        <v>994</v>
      </c>
      <c r="L42" s="2">
        <v>1746</v>
      </c>
      <c r="Z42" s="2">
        <v>750</v>
      </c>
      <c r="AA42" s="2">
        <v>1673</v>
      </c>
      <c r="AB42" s="2">
        <v>1746</v>
      </c>
    </row>
    <row r="43" spans="1:28" s="2" customFormat="1" x14ac:dyDescent="0.3">
      <c r="A43"/>
      <c r="B43" t="s">
        <v>56</v>
      </c>
      <c r="F43" s="2">
        <v>267</v>
      </c>
      <c r="I43" s="2">
        <v>283</v>
      </c>
      <c r="J43" s="2">
        <v>257</v>
      </c>
      <c r="K43" s="2">
        <v>292</v>
      </c>
      <c r="L43" s="2">
        <v>336</v>
      </c>
      <c r="Z43" s="2">
        <v>267</v>
      </c>
      <c r="AA43" s="2">
        <v>257</v>
      </c>
      <c r="AB43" s="2">
        <v>336</v>
      </c>
    </row>
    <row r="44" spans="1:28" s="2" customFormat="1" x14ac:dyDescent="0.3">
      <c r="A44"/>
      <c r="B44" t="s">
        <v>57</v>
      </c>
      <c r="F44" s="2">
        <v>1054</v>
      </c>
      <c r="I44" s="2">
        <v>1048</v>
      </c>
      <c r="J44" s="2">
        <v>1018</v>
      </c>
      <c r="K44" s="2">
        <v>1353</v>
      </c>
      <c r="L44" s="2">
        <v>1445</v>
      </c>
      <c r="Z44" s="2">
        <v>1054</v>
      </c>
      <c r="AA44" s="2">
        <v>1018</v>
      </c>
      <c r="AB44" s="2">
        <v>1445</v>
      </c>
    </row>
    <row r="45" spans="1:28" s="2" customFormat="1" x14ac:dyDescent="0.3">
      <c r="A45"/>
      <c r="B45" t="s">
        <v>58</v>
      </c>
      <c r="F45" s="2">
        <v>2196</v>
      </c>
      <c r="I45" s="2">
        <v>2275</v>
      </c>
      <c r="J45" s="2">
        <v>2184</v>
      </c>
      <c r="K45" s="2">
        <v>2217</v>
      </c>
      <c r="L45" s="2">
        <v>2288</v>
      </c>
      <c r="Z45" s="2">
        <v>2196</v>
      </c>
      <c r="AA45" s="2">
        <v>2184</v>
      </c>
      <c r="AB45" s="2">
        <v>2288</v>
      </c>
    </row>
    <row r="46" spans="1:28" s="2" customFormat="1" x14ac:dyDescent="0.3">
      <c r="A46"/>
      <c r="B46" t="s">
        <v>59</v>
      </c>
      <c r="F46" s="2">
        <v>253</v>
      </c>
      <c r="I46" s="2">
        <v>790</v>
      </c>
      <c r="J46" s="2">
        <v>966</v>
      </c>
      <c r="K46" s="2">
        <v>1024</v>
      </c>
      <c r="L46" s="2">
        <v>125</v>
      </c>
      <c r="Z46" s="2">
        <v>253</v>
      </c>
      <c r="AA46" s="2">
        <v>966</v>
      </c>
      <c r="AB46" s="2">
        <v>125</v>
      </c>
    </row>
    <row r="47" spans="1:28" s="2" customFormat="1" x14ac:dyDescent="0.3">
      <c r="A47"/>
      <c r="B47" t="s">
        <v>60</v>
      </c>
      <c r="F47" s="2">
        <v>387</v>
      </c>
      <c r="I47" s="2">
        <v>326</v>
      </c>
      <c r="J47" s="2">
        <v>320</v>
      </c>
      <c r="K47" s="2">
        <v>302</v>
      </c>
      <c r="L47" s="2">
        <v>287</v>
      </c>
      <c r="Z47" s="2">
        <v>387</v>
      </c>
      <c r="AA47" s="2">
        <v>320</v>
      </c>
      <c r="AB47" s="2">
        <v>287</v>
      </c>
    </row>
    <row r="48" spans="1:28" s="2" customFormat="1" x14ac:dyDescent="0.3">
      <c r="A48"/>
      <c r="B48" t="s">
        <v>52</v>
      </c>
      <c r="F48" s="2">
        <v>2408</v>
      </c>
      <c r="I48" s="2">
        <v>1777</v>
      </c>
      <c r="J48" s="2">
        <v>1405</v>
      </c>
      <c r="K48" s="2">
        <v>1413</v>
      </c>
      <c r="L48" s="2">
        <v>1296</v>
      </c>
      <c r="Z48" s="2">
        <v>2408</v>
      </c>
      <c r="AA48" s="2">
        <v>1405</v>
      </c>
      <c r="AB48" s="2">
        <v>1296</v>
      </c>
    </row>
    <row r="49" spans="1:28" s="2" customFormat="1" x14ac:dyDescent="0.3">
      <c r="A49"/>
      <c r="B49" t="s">
        <v>61</v>
      </c>
      <c r="F49" s="2">
        <v>6973</v>
      </c>
      <c r="I49" s="2">
        <v>6175</v>
      </c>
      <c r="J49" s="2">
        <v>5752</v>
      </c>
      <c r="K49" s="2">
        <v>5751</v>
      </c>
      <c r="L49" s="2">
        <v>5002</v>
      </c>
      <c r="Z49" s="2">
        <v>6973</v>
      </c>
      <c r="AA49" s="2">
        <v>5752</v>
      </c>
      <c r="AB49" s="2">
        <v>5002</v>
      </c>
    </row>
    <row r="50" spans="1:28" s="2" customFormat="1" x14ac:dyDescent="0.3">
      <c r="A50"/>
      <c r="B50" t="s">
        <v>62</v>
      </c>
      <c r="F50" s="2">
        <v>936</v>
      </c>
      <c r="I50" s="2">
        <v>578</v>
      </c>
      <c r="J50" s="2">
        <v>632</v>
      </c>
      <c r="K50" s="2">
        <v>658</v>
      </c>
      <c r="L50" s="2">
        <v>687</v>
      </c>
      <c r="Z50" s="2">
        <v>936</v>
      </c>
      <c r="AA50" s="2">
        <v>632</v>
      </c>
      <c r="AB50" s="2">
        <v>687</v>
      </c>
    </row>
    <row r="51" spans="1:28" s="5" customFormat="1" x14ac:dyDescent="0.3">
      <c r="A51" s="3"/>
      <c r="B51" s="3" t="s">
        <v>63</v>
      </c>
      <c r="C51" s="5">
        <f t="shared" ref="C51:K51" si="62">SUM(C42:C50)</f>
        <v>0</v>
      </c>
      <c r="D51" s="5">
        <f t="shared" si="62"/>
        <v>0</v>
      </c>
      <c r="E51" s="5">
        <f t="shared" si="62"/>
        <v>0</v>
      </c>
      <c r="F51" s="5">
        <f t="shared" si="62"/>
        <v>15224</v>
      </c>
      <c r="G51" s="5">
        <f t="shared" si="62"/>
        <v>0</v>
      </c>
      <c r="H51" s="5">
        <f t="shared" si="62"/>
        <v>0</v>
      </c>
      <c r="I51" s="5">
        <f t="shared" si="62"/>
        <v>14495</v>
      </c>
      <c r="J51" s="5">
        <f t="shared" si="62"/>
        <v>14207</v>
      </c>
      <c r="K51" s="5">
        <f t="shared" si="62"/>
        <v>14004</v>
      </c>
      <c r="L51" s="5">
        <f>SUM(L42:L50)</f>
        <v>13212</v>
      </c>
      <c r="Z51" s="5">
        <f t="shared" ref="Z51" si="63">SUM(Z42:Z50)</f>
        <v>15224</v>
      </c>
      <c r="AA51" s="5">
        <f t="shared" ref="AA51" si="64">SUM(AA42:AA50)</f>
        <v>14207</v>
      </c>
      <c r="AB51" s="5">
        <f>SUM(AB42:AB50)</f>
        <v>13212</v>
      </c>
    </row>
    <row r="52" spans="1:28" s="2" customFormat="1" x14ac:dyDescent="0.3">
      <c r="A52"/>
      <c r="B52" t="s">
        <v>64</v>
      </c>
      <c r="F52" s="2">
        <v>6396</v>
      </c>
      <c r="I52" s="2">
        <v>5420</v>
      </c>
      <c r="J52" s="2">
        <v>5158</v>
      </c>
      <c r="K52" s="2">
        <v>4950</v>
      </c>
      <c r="L52" s="2">
        <v>4749</v>
      </c>
      <c r="Z52" s="2">
        <v>6396</v>
      </c>
      <c r="AA52" s="2">
        <v>5158</v>
      </c>
      <c r="AB52" s="2">
        <v>4749</v>
      </c>
    </row>
    <row r="53" spans="1:28" s="5" customFormat="1" x14ac:dyDescent="0.3">
      <c r="A53" s="3"/>
      <c r="B53" s="3" t="s">
        <v>65</v>
      </c>
      <c r="C53" s="5">
        <f t="shared" ref="C53:K53" si="65">+C51+C52</f>
        <v>0</v>
      </c>
      <c r="D53" s="5">
        <f t="shared" si="65"/>
        <v>0</v>
      </c>
      <c r="E53" s="5">
        <f t="shared" si="65"/>
        <v>0</v>
      </c>
      <c r="F53" s="5">
        <f t="shared" si="65"/>
        <v>21620</v>
      </c>
      <c r="G53" s="5">
        <f t="shared" si="65"/>
        <v>0</v>
      </c>
      <c r="H53" s="5">
        <f t="shared" si="65"/>
        <v>0</v>
      </c>
      <c r="I53" s="5">
        <f t="shared" si="65"/>
        <v>19915</v>
      </c>
      <c r="J53" s="5">
        <f t="shared" si="65"/>
        <v>19365</v>
      </c>
      <c r="K53" s="5">
        <f t="shared" si="65"/>
        <v>18954</v>
      </c>
      <c r="L53" s="5">
        <f>+L51+L52</f>
        <v>17961</v>
      </c>
      <c r="Z53" s="5">
        <f t="shared" ref="Z53" si="66">+Z51+Z52</f>
        <v>21620</v>
      </c>
      <c r="AA53" s="5">
        <f t="shared" ref="AA53" si="67">+AA51+AA52</f>
        <v>19365</v>
      </c>
      <c r="AB53" s="5">
        <f>+AB51+AB52</f>
        <v>17961</v>
      </c>
    </row>
    <row r="57" spans="1:28" s="2" customFormat="1" x14ac:dyDescent="0.3">
      <c r="A57"/>
      <c r="B57" t="s">
        <v>66</v>
      </c>
      <c r="C57" s="2">
        <f t="shared" ref="C57:L57" si="68">C16</f>
        <v>567</v>
      </c>
      <c r="D57" s="2">
        <f t="shared" si="68"/>
        <v>171</v>
      </c>
      <c r="E57" s="2">
        <f t="shared" si="68"/>
        <v>1305</v>
      </c>
      <c r="F57" s="2">
        <f t="shared" si="68"/>
        <v>724</v>
      </c>
      <c r="G57" s="2">
        <f t="shared" si="68"/>
        <v>438</v>
      </c>
      <c r="H57" s="2">
        <f t="shared" si="68"/>
        <v>224</v>
      </c>
      <c r="I57" s="2">
        <f t="shared" si="68"/>
        <v>634</v>
      </c>
      <c r="J57" s="2">
        <f t="shared" si="68"/>
        <v>679</v>
      </c>
      <c r="K57" s="2">
        <f t="shared" si="68"/>
        <v>503</v>
      </c>
      <c r="L57" s="2">
        <f>L16</f>
        <v>368</v>
      </c>
      <c r="Z57" s="2">
        <f t="shared" ref="Z57:AB57" si="69">Z16</f>
        <v>2767</v>
      </c>
      <c r="AA57" s="2">
        <f t="shared" si="69"/>
        <v>1975</v>
      </c>
      <c r="AB57" s="2">
        <f t="shared" si="69"/>
        <v>1825</v>
      </c>
    </row>
    <row r="58" spans="1:28" s="2" customFormat="1" x14ac:dyDescent="0.3">
      <c r="A58"/>
      <c r="B58" t="s">
        <v>67</v>
      </c>
      <c r="C58" s="2">
        <v>567</v>
      </c>
      <c r="D58" s="2">
        <v>171</v>
      </c>
      <c r="E58" s="2">
        <v>1305</v>
      </c>
      <c r="F58" s="2">
        <v>724</v>
      </c>
      <c r="G58" s="2">
        <v>438</v>
      </c>
      <c r="H58" s="2">
        <v>224</v>
      </c>
      <c r="I58" s="2">
        <v>634</v>
      </c>
      <c r="J58" s="2">
        <v>679</v>
      </c>
      <c r="K58" s="2">
        <v>503</v>
      </c>
      <c r="L58" s="2">
        <v>368</v>
      </c>
      <c r="Z58" s="2">
        <f t="shared" ref="Z58:Z66" si="70">C58+D58+E58+F58</f>
        <v>2767</v>
      </c>
      <c r="AA58" s="2">
        <f t="shared" ref="AA58:AA66" si="71">G58+H58+I58+J58</f>
        <v>1975</v>
      </c>
      <c r="AB58" s="2">
        <f t="shared" ref="AB58:AB66" si="72">+K58+L58+M58+N58</f>
        <v>871</v>
      </c>
    </row>
    <row r="59" spans="1:28" s="2" customFormat="1" x14ac:dyDescent="0.3">
      <c r="A59"/>
      <c r="B59" t="s">
        <v>68</v>
      </c>
      <c r="C59" s="2">
        <v>2</v>
      </c>
      <c r="D59" s="2">
        <v>1</v>
      </c>
      <c r="E59" s="2">
        <v>1</v>
      </c>
      <c r="F59" s="2">
        <v>4</v>
      </c>
      <c r="G59" s="2">
        <v>1</v>
      </c>
      <c r="H59" s="2">
        <v>2</v>
      </c>
      <c r="I59" s="2">
        <v>2</v>
      </c>
      <c r="J59" s="2">
        <v>1</v>
      </c>
      <c r="K59" s="2">
        <v>2</v>
      </c>
      <c r="L59" s="2">
        <v>1</v>
      </c>
      <c r="Z59" s="2">
        <f t="shared" si="70"/>
        <v>8</v>
      </c>
      <c r="AA59" s="2">
        <f t="shared" si="71"/>
        <v>6</v>
      </c>
      <c r="AB59" s="2">
        <f t="shared" si="72"/>
        <v>3</v>
      </c>
    </row>
    <row r="60" spans="1:28" s="2" customFormat="1" x14ac:dyDescent="0.3">
      <c r="A60"/>
      <c r="B60" t="s">
        <v>69</v>
      </c>
      <c r="C60" s="2">
        <v>84</v>
      </c>
      <c r="D60" s="2">
        <v>90</v>
      </c>
      <c r="E60" s="2">
        <v>85</v>
      </c>
      <c r="F60" s="2">
        <v>101</v>
      </c>
      <c r="G60" s="2">
        <v>91</v>
      </c>
      <c r="H60" s="2">
        <v>86</v>
      </c>
      <c r="I60" s="2">
        <v>89</v>
      </c>
      <c r="J60" s="2">
        <v>87</v>
      </c>
      <c r="K60" s="2">
        <v>81</v>
      </c>
      <c r="L60" s="2">
        <v>86</v>
      </c>
      <c r="Z60" s="2">
        <f t="shared" si="70"/>
        <v>360</v>
      </c>
      <c r="AA60" s="2">
        <f t="shared" si="71"/>
        <v>353</v>
      </c>
      <c r="AB60" s="2">
        <f t="shared" si="72"/>
        <v>167</v>
      </c>
    </row>
    <row r="61" spans="1:28" s="2" customFormat="1" x14ac:dyDescent="0.3">
      <c r="A61"/>
      <c r="B61" t="s">
        <v>70</v>
      </c>
      <c r="C61" s="2">
        <v>107</v>
      </c>
      <c r="D61" s="2">
        <v>101</v>
      </c>
      <c r="E61" s="2">
        <v>97</v>
      </c>
      <c r="F61" s="2">
        <v>98</v>
      </c>
      <c r="G61" s="2">
        <v>76</v>
      </c>
      <c r="H61" s="2">
        <v>77</v>
      </c>
      <c r="I61" s="2">
        <v>92</v>
      </c>
      <c r="J61" s="2">
        <v>79</v>
      </c>
      <c r="K61" s="2">
        <v>79</v>
      </c>
      <c r="L61" s="2">
        <v>107</v>
      </c>
      <c r="Z61" s="2">
        <f t="shared" si="70"/>
        <v>403</v>
      </c>
      <c r="AA61" s="2">
        <f t="shared" si="71"/>
        <v>324</v>
      </c>
      <c r="AB61" s="2">
        <f t="shared" si="72"/>
        <v>186</v>
      </c>
    </row>
    <row r="62" spans="1:28" s="2" customFormat="1" x14ac:dyDescent="0.3">
      <c r="A62"/>
      <c r="B62" t="s">
        <v>71</v>
      </c>
      <c r="C62" s="2">
        <v>128</v>
      </c>
      <c r="D62" s="2">
        <v>154</v>
      </c>
      <c r="E62" s="2">
        <v>144</v>
      </c>
      <c r="F62" s="2">
        <v>149</v>
      </c>
      <c r="G62" s="2">
        <v>146</v>
      </c>
      <c r="H62" s="2">
        <v>154</v>
      </c>
      <c r="I62" s="2">
        <v>146</v>
      </c>
      <c r="J62" s="2">
        <v>142</v>
      </c>
      <c r="K62" s="2">
        <v>136</v>
      </c>
      <c r="L62" s="2">
        <v>165</v>
      </c>
      <c r="Z62" s="2">
        <f t="shared" si="70"/>
        <v>575</v>
      </c>
      <c r="AA62" s="2">
        <f t="shared" si="71"/>
        <v>588</v>
      </c>
      <c r="AB62" s="2">
        <f t="shared" si="72"/>
        <v>301</v>
      </c>
    </row>
    <row r="63" spans="1:28" s="2" customFormat="1" x14ac:dyDescent="0.3">
      <c r="A63"/>
      <c r="B63" t="s">
        <v>72</v>
      </c>
      <c r="C63" s="2">
        <v>33</v>
      </c>
      <c r="D63" s="2">
        <v>-111</v>
      </c>
      <c r="E63" s="2">
        <v>44</v>
      </c>
      <c r="F63" s="2">
        <v>160</v>
      </c>
      <c r="G63" s="2">
        <v>40</v>
      </c>
      <c r="H63" s="2">
        <v>-563</v>
      </c>
      <c r="I63" s="2">
        <v>-54</v>
      </c>
      <c r="J63" s="2">
        <v>-340</v>
      </c>
      <c r="K63" s="2">
        <v>31</v>
      </c>
      <c r="L63" s="2">
        <v>-87</v>
      </c>
      <c r="Z63" s="2">
        <f t="shared" si="70"/>
        <v>126</v>
      </c>
      <c r="AA63" s="2">
        <f t="shared" si="71"/>
        <v>-917</v>
      </c>
      <c r="AB63" s="2">
        <f t="shared" si="72"/>
        <v>-56</v>
      </c>
    </row>
    <row r="64" spans="1:28" s="2" customFormat="1" x14ac:dyDescent="0.3">
      <c r="A64"/>
      <c r="B64" t="s">
        <v>73</v>
      </c>
      <c r="C64" s="2">
        <f>-38-174</f>
        <v>-212</v>
      </c>
      <c r="D64" s="2">
        <f>-31+210</f>
        <v>179</v>
      </c>
      <c r="E64" s="2">
        <v>173</v>
      </c>
      <c r="F64" s="2">
        <f>-190-451+13-13</f>
        <v>-641</v>
      </c>
      <c r="G64" s="2">
        <f>-149+234</f>
        <v>85</v>
      </c>
      <c r="H64" s="2">
        <f>174-84</f>
        <v>90</v>
      </c>
      <c r="I64" s="2">
        <v>-11</v>
      </c>
      <c r="J64" s="2">
        <f>-38+57+1</f>
        <v>20</v>
      </c>
      <c r="Z64" s="2">
        <f t="shared" si="70"/>
        <v>-501</v>
      </c>
      <c r="AA64" s="2">
        <f t="shared" si="71"/>
        <v>184</v>
      </c>
      <c r="AB64" s="2">
        <f t="shared" si="72"/>
        <v>0</v>
      </c>
    </row>
    <row r="65" spans="1:28" s="2" customFormat="1" x14ac:dyDescent="0.3">
      <c r="A65"/>
      <c r="B65" t="s">
        <v>74</v>
      </c>
      <c r="C65" s="2">
        <v>10</v>
      </c>
      <c r="D65" s="2">
        <v>34</v>
      </c>
      <c r="E65" s="2">
        <f>109-1367</f>
        <v>-1258</v>
      </c>
      <c r="F65" s="2">
        <v>1</v>
      </c>
      <c r="G65" s="2">
        <v>12</v>
      </c>
      <c r="H65" s="2">
        <v>132</v>
      </c>
      <c r="I65" s="2">
        <v>-145</v>
      </c>
      <c r="J65" s="2">
        <v>-64</v>
      </c>
      <c r="K65" s="2">
        <v>2</v>
      </c>
      <c r="L65" s="2">
        <v>-5</v>
      </c>
      <c r="Z65" s="2">
        <f t="shared" si="70"/>
        <v>-1213</v>
      </c>
      <c r="AA65" s="2">
        <f t="shared" si="71"/>
        <v>-65</v>
      </c>
      <c r="AB65" s="2">
        <f t="shared" si="72"/>
        <v>-3</v>
      </c>
    </row>
    <row r="66" spans="1:28" s="2" customFormat="1" x14ac:dyDescent="0.3">
      <c r="A66"/>
      <c r="B66" t="s">
        <v>75</v>
      </c>
      <c r="C66" s="2">
        <v>122</v>
      </c>
      <c r="D66" s="2">
        <f>-14-4</f>
        <v>-18</v>
      </c>
      <c r="E66" s="2">
        <v>271</v>
      </c>
      <c r="F66" s="2">
        <f>-473-1</f>
        <v>-474</v>
      </c>
      <c r="G66" s="2">
        <v>-274</v>
      </c>
      <c r="H66" s="2">
        <v>165</v>
      </c>
      <c r="I66" s="2">
        <v>2</v>
      </c>
      <c r="J66" s="2">
        <v>73</v>
      </c>
      <c r="K66" s="2">
        <v>-47</v>
      </c>
      <c r="L66" s="2">
        <v>-942</v>
      </c>
      <c r="Z66" s="2">
        <f t="shared" si="70"/>
        <v>-99</v>
      </c>
      <c r="AA66" s="2">
        <f t="shared" si="71"/>
        <v>-34</v>
      </c>
      <c r="AB66" s="2">
        <f t="shared" si="72"/>
        <v>-989</v>
      </c>
    </row>
    <row r="67" spans="1:28" s="5" customFormat="1" x14ac:dyDescent="0.3">
      <c r="A67" s="3"/>
      <c r="B67" s="3" t="s">
        <v>76</v>
      </c>
      <c r="C67" s="5">
        <f t="shared" ref="C67:K67" si="73">SUM(C58:C66)</f>
        <v>841</v>
      </c>
      <c r="D67" s="5">
        <f t="shared" si="73"/>
        <v>601</v>
      </c>
      <c r="E67" s="5">
        <f t="shared" si="73"/>
        <v>862</v>
      </c>
      <c r="F67" s="5">
        <f t="shared" si="73"/>
        <v>122</v>
      </c>
      <c r="G67" s="5">
        <f t="shared" si="73"/>
        <v>615</v>
      </c>
      <c r="H67" s="5">
        <f t="shared" si="73"/>
        <v>367</v>
      </c>
      <c r="I67" s="5">
        <f t="shared" si="73"/>
        <v>755</v>
      </c>
      <c r="J67" s="5">
        <f t="shared" si="73"/>
        <v>677</v>
      </c>
      <c r="K67" s="5">
        <f t="shared" si="73"/>
        <v>787</v>
      </c>
      <c r="L67" s="5">
        <f>SUM(L58:L66)</f>
        <v>-307</v>
      </c>
      <c r="Z67" s="5">
        <f t="shared" ref="Z67:AB67" si="74">SUM(Z58:Z66)</f>
        <v>2426</v>
      </c>
      <c r="AA67" s="5">
        <f t="shared" si="74"/>
        <v>2414</v>
      </c>
      <c r="AB67" s="5">
        <f t="shared" si="74"/>
        <v>480</v>
      </c>
    </row>
    <row r="68" spans="1:28" s="2" customFormat="1" x14ac:dyDescent="0.3">
      <c r="A68"/>
      <c r="B68" t="s">
        <v>77</v>
      </c>
      <c r="C68" s="2">
        <v>-132</v>
      </c>
      <c r="D68" s="2">
        <v>-113</v>
      </c>
      <c r="E68" s="2">
        <v>-85</v>
      </c>
      <c r="F68" s="2">
        <v>-126</v>
      </c>
      <c r="G68" s="2">
        <v>-143</v>
      </c>
      <c r="H68" s="2">
        <v>-89</v>
      </c>
      <c r="I68" s="2">
        <v>-109</v>
      </c>
      <c r="J68" s="2">
        <v>-117</v>
      </c>
      <c r="K68" s="2">
        <v>-143</v>
      </c>
      <c r="L68" s="2">
        <v>-134</v>
      </c>
      <c r="Z68" s="2">
        <f t="shared" ref="Z68:Z70" si="75">C68+D68+E68+F68</f>
        <v>-456</v>
      </c>
      <c r="AA68" s="2">
        <f t="shared" ref="AA68:AA70" si="76">G68+H68+I68+J68</f>
        <v>-458</v>
      </c>
      <c r="AB68" s="2">
        <f t="shared" ref="AB68:AB70" si="77">+K68+L68+M68+N68</f>
        <v>-277</v>
      </c>
    </row>
    <row r="69" spans="1:28" s="2" customFormat="1" x14ac:dyDescent="0.3">
      <c r="A69"/>
      <c r="B69" t="s">
        <v>78</v>
      </c>
      <c r="C69" s="2">
        <f>-3543+4404</f>
        <v>861</v>
      </c>
      <c r="D69" s="2">
        <f>-4144+3978</f>
        <v>-166</v>
      </c>
      <c r="E69" s="2">
        <f>-2920+3117</f>
        <v>197</v>
      </c>
      <c r="F69" s="2">
        <f>-3267+3003+106</f>
        <v>-158</v>
      </c>
      <c r="G69" s="2">
        <f>-3312+3703</f>
        <v>391</v>
      </c>
      <c r="H69" s="2">
        <f>-4601+2996+2417</f>
        <v>812</v>
      </c>
      <c r="I69" s="2">
        <f>-3559+3722-7</f>
        <v>156</v>
      </c>
      <c r="J69" s="2">
        <f>-2383+1885-108+573+1036+322</f>
        <v>1325</v>
      </c>
      <c r="K69" s="2">
        <f>-3043+4587</f>
        <v>1544</v>
      </c>
      <c r="L69" s="2">
        <f>-1964+1943+225</f>
        <v>204</v>
      </c>
      <c r="Z69" s="2">
        <f t="shared" si="75"/>
        <v>734</v>
      </c>
      <c r="AA69" s="2">
        <f t="shared" si="76"/>
        <v>2684</v>
      </c>
      <c r="AB69" s="2">
        <f t="shared" si="77"/>
        <v>1748</v>
      </c>
    </row>
    <row r="70" spans="1:28" s="2" customFormat="1" x14ac:dyDescent="0.3">
      <c r="A70"/>
      <c r="B70" t="s">
        <v>79</v>
      </c>
      <c r="C70" s="2">
        <v>-28</v>
      </c>
      <c r="D70" s="2">
        <v>2</v>
      </c>
      <c r="E70" s="2">
        <v>-16</v>
      </c>
      <c r="F70" s="2">
        <v>4</v>
      </c>
      <c r="G70" s="2">
        <v>2</v>
      </c>
      <c r="H70" s="2">
        <v>-71</v>
      </c>
      <c r="I70" s="2">
        <v>2</v>
      </c>
      <c r="J70" s="2">
        <v>54</v>
      </c>
      <c r="K70" s="2">
        <v>-89</v>
      </c>
      <c r="L70" s="2">
        <v>-3</v>
      </c>
      <c r="Z70" s="2">
        <f t="shared" si="75"/>
        <v>-38</v>
      </c>
      <c r="AA70" s="2">
        <f t="shared" si="76"/>
        <v>-13</v>
      </c>
      <c r="AB70" s="2">
        <f t="shared" si="77"/>
        <v>-92</v>
      </c>
    </row>
    <row r="71" spans="1:28" s="5" customFormat="1" x14ac:dyDescent="0.3">
      <c r="A71" s="3"/>
      <c r="B71" s="3" t="s">
        <v>80</v>
      </c>
      <c r="C71" s="5">
        <f t="shared" ref="C71:K71" si="78">SUM(C68:C70)</f>
        <v>701</v>
      </c>
      <c r="D71" s="5">
        <f t="shared" si="78"/>
        <v>-277</v>
      </c>
      <c r="E71" s="5">
        <f t="shared" si="78"/>
        <v>96</v>
      </c>
      <c r="F71" s="5">
        <f t="shared" si="78"/>
        <v>-280</v>
      </c>
      <c r="G71" s="5">
        <f t="shared" si="78"/>
        <v>250</v>
      </c>
      <c r="H71" s="5">
        <f t="shared" si="78"/>
        <v>652</v>
      </c>
      <c r="I71" s="5">
        <f t="shared" si="78"/>
        <v>49</v>
      </c>
      <c r="J71" s="5">
        <f t="shared" si="78"/>
        <v>1262</v>
      </c>
      <c r="K71" s="5">
        <f t="shared" si="78"/>
        <v>1312</v>
      </c>
      <c r="L71" s="5">
        <f>SUM(L68:L70)</f>
        <v>67</v>
      </c>
      <c r="Z71" s="5">
        <f t="shared" ref="Z71:AB71" si="79">SUM(Z68:Z70)</f>
        <v>240</v>
      </c>
      <c r="AA71" s="5">
        <f t="shared" si="79"/>
        <v>2213</v>
      </c>
      <c r="AB71" s="5">
        <f t="shared" si="79"/>
        <v>1379</v>
      </c>
    </row>
    <row r="72" spans="1:28" s="2" customFormat="1" x14ac:dyDescent="0.3">
      <c r="A72"/>
      <c r="B72" t="s">
        <v>81</v>
      </c>
      <c r="D72" s="2">
        <v>48</v>
      </c>
      <c r="F72" s="2">
        <v>35</v>
      </c>
      <c r="H72" s="2">
        <v>55</v>
      </c>
      <c r="I72" s="2">
        <v>3</v>
      </c>
      <c r="J72" s="2">
        <v>34</v>
      </c>
      <c r="L72" s="2">
        <v>93</v>
      </c>
      <c r="Z72" s="2">
        <f t="shared" ref="Z72:Z78" si="80">C72+D72+E72+F72</f>
        <v>83</v>
      </c>
      <c r="AA72" s="2">
        <f t="shared" ref="AA72:AA78" si="81">G72+H72+I72+J72</f>
        <v>92</v>
      </c>
      <c r="AB72" s="2">
        <f t="shared" ref="AB72:AB78" si="82">+K72+L72+M72+N72</f>
        <v>93</v>
      </c>
    </row>
    <row r="73" spans="1:28" s="2" customFormat="1" x14ac:dyDescent="0.3">
      <c r="A73"/>
      <c r="B73" t="s">
        <v>82</v>
      </c>
      <c r="C73" s="2">
        <v>-242</v>
      </c>
      <c r="D73" s="2">
        <v>-250</v>
      </c>
      <c r="E73" s="2">
        <v>-626</v>
      </c>
      <c r="F73" s="2">
        <v>-283</v>
      </c>
      <c r="G73" s="2">
        <v>-453</v>
      </c>
      <c r="H73" s="2">
        <v>-1030</v>
      </c>
      <c r="I73" s="2">
        <v>-755</v>
      </c>
      <c r="J73" s="2">
        <v>-911</v>
      </c>
      <c r="K73" s="2">
        <v>-615</v>
      </c>
      <c r="L73" s="2">
        <v>-624</v>
      </c>
      <c r="Z73" s="2">
        <f t="shared" si="80"/>
        <v>-1401</v>
      </c>
      <c r="AA73" s="2">
        <f t="shared" si="81"/>
        <v>-3149</v>
      </c>
      <c r="AB73" s="2">
        <f t="shared" si="82"/>
        <v>-1239</v>
      </c>
    </row>
    <row r="74" spans="1:28" s="2" customFormat="1" x14ac:dyDescent="0.3">
      <c r="A74"/>
      <c r="B74" t="s">
        <v>84</v>
      </c>
      <c r="C74" s="2">
        <v>-92</v>
      </c>
      <c r="D74" s="2">
        <v>-68</v>
      </c>
      <c r="E74" s="2">
        <v>24</v>
      </c>
      <c r="F74" s="2">
        <v>-35</v>
      </c>
      <c r="G74" s="2">
        <v>-51</v>
      </c>
      <c r="H74" s="2">
        <v>-45</v>
      </c>
      <c r="I74" s="2">
        <v>-40</v>
      </c>
      <c r="J74" s="2">
        <v>-52</v>
      </c>
      <c r="K74" s="2">
        <v>-69</v>
      </c>
      <c r="L74" s="2">
        <v>-68</v>
      </c>
      <c r="Z74" s="2">
        <f t="shared" si="80"/>
        <v>-171</v>
      </c>
      <c r="AA74" s="2">
        <f t="shared" si="81"/>
        <v>-188</v>
      </c>
      <c r="AB74" s="2">
        <f t="shared" si="82"/>
        <v>-137</v>
      </c>
    </row>
    <row r="75" spans="1:28" s="2" customFormat="1" x14ac:dyDescent="0.3">
      <c r="A75"/>
      <c r="B75" t="s">
        <v>83</v>
      </c>
      <c r="C75" s="2">
        <v>-134</v>
      </c>
      <c r="D75" s="2">
        <v>-133</v>
      </c>
      <c r="E75" s="2">
        <v>-132</v>
      </c>
      <c r="F75" s="2">
        <v>-129</v>
      </c>
      <c r="G75" s="2">
        <v>-139</v>
      </c>
      <c r="H75" s="2">
        <v>-135</v>
      </c>
      <c r="I75" s="2">
        <v>-131</v>
      </c>
      <c r="J75" s="2">
        <v>-128</v>
      </c>
      <c r="K75" s="2">
        <v>-134</v>
      </c>
      <c r="L75" s="2">
        <v>-134</v>
      </c>
      <c r="Z75" s="2">
        <f t="shared" si="80"/>
        <v>-528</v>
      </c>
      <c r="AA75" s="2">
        <f t="shared" si="81"/>
        <v>-533</v>
      </c>
      <c r="AB75" s="2">
        <f t="shared" si="82"/>
        <v>-268</v>
      </c>
    </row>
    <row r="76" spans="1:28" s="2" customFormat="1" x14ac:dyDescent="0.3">
      <c r="A76"/>
      <c r="B76" t="s">
        <v>5</v>
      </c>
      <c r="C76" s="2">
        <v>-1150</v>
      </c>
      <c r="I76" s="2">
        <f>-750+441</f>
        <v>-309</v>
      </c>
      <c r="K76" s="2">
        <f>-800+568-441</f>
        <v>-673</v>
      </c>
      <c r="L76" s="2">
        <f>375-377</f>
        <v>-2</v>
      </c>
      <c r="Z76" s="2">
        <f t="shared" si="80"/>
        <v>-1150</v>
      </c>
      <c r="AA76" s="2">
        <f t="shared" si="81"/>
        <v>-309</v>
      </c>
      <c r="AB76" s="2">
        <f t="shared" si="82"/>
        <v>-675</v>
      </c>
    </row>
    <row r="77" spans="1:28" s="2" customFormat="1" x14ac:dyDescent="0.3">
      <c r="A77"/>
      <c r="B77" t="s">
        <v>85</v>
      </c>
      <c r="C77" s="2">
        <v>230</v>
      </c>
      <c r="D77" s="2">
        <v>333</v>
      </c>
      <c r="E77" s="2">
        <v>121</v>
      </c>
      <c r="F77" s="2">
        <v>33</v>
      </c>
      <c r="G77" s="2">
        <v>-28</v>
      </c>
      <c r="H77" s="2">
        <v>35</v>
      </c>
      <c r="I77" s="2">
        <v>223</v>
      </c>
      <c r="J77" s="2">
        <v>75</v>
      </c>
      <c r="K77" s="2">
        <v>243</v>
      </c>
      <c r="L77" s="2">
        <v>45</v>
      </c>
      <c r="Z77" s="2">
        <f t="shared" si="80"/>
        <v>717</v>
      </c>
      <c r="AA77" s="2">
        <f t="shared" si="81"/>
        <v>305</v>
      </c>
      <c r="AB77" s="2">
        <f t="shared" si="82"/>
        <v>288</v>
      </c>
    </row>
    <row r="78" spans="1:28" s="2" customFormat="1" x14ac:dyDescent="0.3">
      <c r="A78"/>
      <c r="B78" t="s">
        <v>86</v>
      </c>
      <c r="G78" s="2">
        <v>-15</v>
      </c>
      <c r="H78" s="2">
        <v>1</v>
      </c>
      <c r="J78" s="2">
        <v>-10</v>
      </c>
      <c r="L78" s="2">
        <v>-26</v>
      </c>
      <c r="Z78" s="2">
        <f t="shared" si="80"/>
        <v>0</v>
      </c>
      <c r="AA78" s="2">
        <f t="shared" si="81"/>
        <v>-24</v>
      </c>
      <c r="AB78" s="2">
        <f t="shared" si="82"/>
        <v>-26</v>
      </c>
    </row>
    <row r="79" spans="1:28" s="5" customFormat="1" x14ac:dyDescent="0.3">
      <c r="A79" s="3"/>
      <c r="B79" s="3" t="s">
        <v>87</v>
      </c>
      <c r="C79" s="5">
        <f t="shared" ref="C79" si="83">SUM(C72:C78)</f>
        <v>-1388</v>
      </c>
      <c r="D79" s="5">
        <f t="shared" ref="D79" si="84">SUM(D72:D78)</f>
        <v>-70</v>
      </c>
      <c r="E79" s="5">
        <f t="shared" ref="E79" si="85">SUM(E72:E78)</f>
        <v>-613</v>
      </c>
      <c r="F79" s="5">
        <f t="shared" ref="F79" si="86">SUM(F72:F78)</f>
        <v>-379</v>
      </c>
      <c r="G79" s="5">
        <f t="shared" ref="G79" si="87">SUM(G72:G78)</f>
        <v>-686</v>
      </c>
      <c r="H79" s="5">
        <f t="shared" ref="H79" si="88">SUM(H72:H78)</f>
        <v>-1119</v>
      </c>
      <c r="I79" s="5">
        <f t="shared" ref="I79" si="89">SUM(I72:I78)</f>
        <v>-1009</v>
      </c>
      <c r="J79" s="5">
        <f t="shared" ref="J79:K79" si="90">SUM(J72:J78)</f>
        <v>-992</v>
      </c>
      <c r="K79" s="5">
        <f t="shared" si="90"/>
        <v>-1248</v>
      </c>
      <c r="L79" s="5">
        <f>SUM(L72:L78)</f>
        <v>-716</v>
      </c>
      <c r="Z79" s="5">
        <f t="shared" ref="Z79:AB79" si="91">SUM(Z72:Z78)</f>
        <v>-2450</v>
      </c>
      <c r="AA79" s="5">
        <f t="shared" si="91"/>
        <v>-3806</v>
      </c>
      <c r="AB79" s="5">
        <f t="shared" si="91"/>
        <v>-1964</v>
      </c>
    </row>
    <row r="80" spans="1:28" s="2" customFormat="1" x14ac:dyDescent="0.3">
      <c r="A80"/>
      <c r="B80" t="s">
        <v>88</v>
      </c>
      <c r="C80" s="2">
        <v>5</v>
      </c>
      <c r="D80" s="2">
        <v>-11</v>
      </c>
      <c r="E80" s="2">
        <v>-10</v>
      </c>
      <c r="F80" s="2">
        <v>21</v>
      </c>
      <c r="G80" s="2">
        <v>-11</v>
      </c>
      <c r="H80" s="2">
        <v>-6</v>
      </c>
      <c r="I80" s="2">
        <v>22</v>
      </c>
      <c r="J80" s="2">
        <v>-33</v>
      </c>
      <c r="K80" s="2">
        <v>19</v>
      </c>
      <c r="L80" s="2">
        <v>31</v>
      </c>
      <c r="Z80" s="2">
        <f>C80+D80+E80+F80</f>
        <v>5</v>
      </c>
      <c r="AA80" s="2">
        <f>G80+H80+I80+J80</f>
        <v>-28</v>
      </c>
      <c r="AB80" s="2">
        <f>+K80+L80+M80+N80</f>
        <v>50</v>
      </c>
    </row>
    <row r="81" spans="1:28" s="5" customFormat="1" x14ac:dyDescent="0.3">
      <c r="A81" s="3"/>
      <c r="B81" s="3" t="s">
        <v>89</v>
      </c>
      <c r="C81" s="5">
        <f t="shared" ref="C81:K81" si="92">C67+C71+C79+C80</f>
        <v>159</v>
      </c>
      <c r="D81" s="5">
        <f t="shared" si="92"/>
        <v>243</v>
      </c>
      <c r="E81" s="5">
        <f t="shared" si="92"/>
        <v>335</v>
      </c>
      <c r="F81" s="5">
        <f t="shared" si="92"/>
        <v>-516</v>
      </c>
      <c r="G81" s="5">
        <f t="shared" si="92"/>
        <v>168</v>
      </c>
      <c r="H81" s="5">
        <f t="shared" si="92"/>
        <v>-106</v>
      </c>
      <c r="I81" s="5">
        <f t="shared" si="92"/>
        <v>-183</v>
      </c>
      <c r="J81" s="5">
        <f t="shared" si="92"/>
        <v>914</v>
      </c>
      <c r="K81" s="5">
        <f t="shared" si="92"/>
        <v>870</v>
      </c>
      <c r="L81" s="5">
        <f>L67+L71+L79+L80</f>
        <v>-925</v>
      </c>
      <c r="Z81" s="5">
        <f t="shared" ref="Z81:AB81" si="93">Z67+Z71+Z79+Z80</f>
        <v>221</v>
      </c>
      <c r="AA81" s="5">
        <f t="shared" si="93"/>
        <v>793</v>
      </c>
      <c r="AB81" s="5">
        <f t="shared" si="93"/>
        <v>-55</v>
      </c>
    </row>
    <row r="82" spans="1:28" s="6" customFormat="1" x14ac:dyDescent="0.3">
      <c r="A82" s="4"/>
      <c r="B82" s="4" t="s">
        <v>92</v>
      </c>
      <c r="C82" s="6">
        <v>2272</v>
      </c>
      <c r="D82" s="6">
        <f t="shared" ref="D82:L82" si="94">C83</f>
        <v>2431</v>
      </c>
      <c r="E82" s="6">
        <f t="shared" si="94"/>
        <v>2674</v>
      </c>
      <c r="F82" s="6">
        <f t="shared" si="94"/>
        <v>3009</v>
      </c>
      <c r="G82" s="6">
        <f t="shared" si="94"/>
        <v>2493</v>
      </c>
      <c r="H82" s="6">
        <f t="shared" si="94"/>
        <v>2661</v>
      </c>
      <c r="I82" s="6">
        <f t="shared" si="94"/>
        <v>2555</v>
      </c>
      <c r="J82" s="6">
        <f t="shared" si="94"/>
        <v>2372</v>
      </c>
      <c r="K82" s="6">
        <f t="shared" si="94"/>
        <v>3286</v>
      </c>
      <c r="L82" s="6">
        <f>K83</f>
        <v>4156</v>
      </c>
      <c r="Z82" s="6">
        <f>C82</f>
        <v>2272</v>
      </c>
      <c r="AA82" s="6">
        <f t="shared" ref="AA82:AB82" si="95">Z83</f>
        <v>2493</v>
      </c>
      <c r="AB82" s="6">
        <f t="shared" si="95"/>
        <v>3286</v>
      </c>
    </row>
    <row r="83" spans="1:28" s="6" customFormat="1" x14ac:dyDescent="0.3">
      <c r="A83" s="4"/>
      <c r="B83" s="4" t="s">
        <v>93</v>
      </c>
      <c r="C83" s="6">
        <f t="shared" ref="C83:K83" si="96">C82+C81</f>
        <v>2431</v>
      </c>
      <c r="D83" s="6">
        <f t="shared" si="96"/>
        <v>2674</v>
      </c>
      <c r="E83" s="6">
        <f t="shared" si="96"/>
        <v>3009</v>
      </c>
      <c r="F83" s="6">
        <f t="shared" si="96"/>
        <v>2493</v>
      </c>
      <c r="G83" s="6">
        <f t="shared" si="96"/>
        <v>2661</v>
      </c>
      <c r="H83" s="6">
        <f t="shared" si="96"/>
        <v>2555</v>
      </c>
      <c r="I83" s="6">
        <f t="shared" si="96"/>
        <v>2372</v>
      </c>
      <c r="J83" s="6">
        <f t="shared" si="96"/>
        <v>3286</v>
      </c>
      <c r="K83" s="6">
        <f t="shared" si="96"/>
        <v>4156</v>
      </c>
      <c r="L83" s="6">
        <f>L82+L81</f>
        <v>3231</v>
      </c>
      <c r="Z83" s="6">
        <f>Z82+Z81</f>
        <v>2493</v>
      </c>
      <c r="AA83" s="6">
        <f t="shared" ref="AA83:AB83" si="97">AA82+AA81</f>
        <v>3286</v>
      </c>
      <c r="AB83" s="6">
        <f t="shared" si="97"/>
        <v>3231</v>
      </c>
    </row>
    <row r="84" spans="1:28" s="2" customFormat="1" x14ac:dyDescent="0.3">
      <c r="A84"/>
      <c r="B84"/>
    </row>
    <row r="85" spans="1:28" s="2" customFormat="1" x14ac:dyDescent="0.3">
      <c r="A85"/>
      <c r="B85" s="3" t="s">
        <v>90</v>
      </c>
      <c r="C85" s="2">
        <f t="shared" ref="C85:K85" si="98">C67+C68</f>
        <v>709</v>
      </c>
      <c r="D85" s="2">
        <f t="shared" si="98"/>
        <v>488</v>
      </c>
      <c r="E85" s="2">
        <f t="shared" si="98"/>
        <v>777</v>
      </c>
      <c r="F85" s="2">
        <f t="shared" si="98"/>
        <v>-4</v>
      </c>
      <c r="G85" s="2">
        <f t="shared" si="98"/>
        <v>472</v>
      </c>
      <c r="H85" s="2">
        <f t="shared" si="98"/>
        <v>278</v>
      </c>
      <c r="I85" s="2">
        <f t="shared" si="98"/>
        <v>646</v>
      </c>
      <c r="J85" s="2">
        <f t="shared" si="98"/>
        <v>560</v>
      </c>
      <c r="K85" s="2">
        <f t="shared" si="98"/>
        <v>644</v>
      </c>
      <c r="L85" s="2">
        <f>L67+L68</f>
        <v>-441</v>
      </c>
      <c r="Z85" s="2">
        <f t="shared" ref="Z85:AB85" si="99">Z67+Z68</f>
        <v>1970</v>
      </c>
      <c r="AA85" s="2">
        <f t="shared" si="99"/>
        <v>1956</v>
      </c>
      <c r="AB85" s="2">
        <f t="shared" si="99"/>
        <v>203</v>
      </c>
    </row>
    <row r="86" spans="1:28" x14ac:dyDescent="0.3">
      <c r="B86" t="s">
        <v>91</v>
      </c>
      <c r="C86" s="9">
        <f t="shared" ref="C86:K86" si="100">-C68/C58</f>
        <v>0.23280423280423279</v>
      </c>
      <c r="D86" s="9">
        <f t="shared" si="100"/>
        <v>0.66081871345029242</v>
      </c>
      <c r="E86" s="9">
        <f t="shared" si="100"/>
        <v>6.5134099616858232E-2</v>
      </c>
      <c r="F86" s="9">
        <f t="shared" si="100"/>
        <v>0.17403314917127072</v>
      </c>
      <c r="G86" s="9">
        <f t="shared" si="100"/>
        <v>0.32648401826484019</v>
      </c>
      <c r="H86" s="9">
        <f t="shared" si="100"/>
        <v>0.39732142857142855</v>
      </c>
      <c r="I86" s="9">
        <f t="shared" si="100"/>
        <v>0.1719242902208202</v>
      </c>
      <c r="J86" s="9">
        <f t="shared" si="100"/>
        <v>0.17231222385861561</v>
      </c>
      <c r="K86" s="9">
        <f t="shared" si="100"/>
        <v>0.28429423459244535</v>
      </c>
      <c r="L86" s="9">
        <f>-L68/L58</f>
        <v>0.3641304347826087</v>
      </c>
      <c r="Z86" s="9">
        <f t="shared" ref="Z86:AB86" si="101">-Z68/Z58</f>
        <v>0.16479942175641488</v>
      </c>
      <c r="AA86" s="9">
        <f t="shared" si="101"/>
        <v>0.23189873417721518</v>
      </c>
      <c r="AB86" s="9">
        <f t="shared" si="101"/>
        <v>0.31802525832376577</v>
      </c>
    </row>
    <row r="90" spans="1:28" s="2" customFormat="1" x14ac:dyDescent="0.3">
      <c r="A90"/>
      <c r="B90" t="s">
        <v>94</v>
      </c>
      <c r="C90" s="2">
        <v>133</v>
      </c>
      <c r="D90" s="2">
        <v>132</v>
      </c>
      <c r="E90" s="2">
        <v>132</v>
      </c>
      <c r="F90" s="2">
        <v>132</v>
      </c>
      <c r="G90" s="2">
        <v>132</v>
      </c>
      <c r="H90" s="2">
        <v>132</v>
      </c>
      <c r="I90" s="2">
        <v>133</v>
      </c>
      <c r="J90" s="2">
        <v>134</v>
      </c>
      <c r="K90" s="2">
        <v>134</v>
      </c>
      <c r="L90" s="2">
        <v>134</v>
      </c>
    </row>
    <row r="91" spans="1:28" s="2" customFormat="1" x14ac:dyDescent="0.3">
      <c r="A91"/>
      <c r="B91" t="s">
        <v>95</v>
      </c>
      <c r="C91" s="2">
        <v>9010</v>
      </c>
      <c r="D91" s="2">
        <v>8702</v>
      </c>
      <c r="E91" s="2">
        <v>8638</v>
      </c>
      <c r="F91" s="2">
        <v>8891</v>
      </c>
      <c r="G91" s="2">
        <v>8974</v>
      </c>
      <c r="H91" s="2">
        <v>8798</v>
      </c>
      <c r="I91" s="2">
        <v>8740</v>
      </c>
      <c r="J91" s="2">
        <v>9043</v>
      </c>
      <c r="K91" s="2">
        <v>9066</v>
      </c>
      <c r="L91" s="2">
        <v>9428</v>
      </c>
      <c r="Z91" s="2">
        <f t="shared" ref="Z91:Z92" si="102">C91+D91+E91+F91</f>
        <v>35241</v>
      </c>
      <c r="AA91" s="2">
        <f t="shared" ref="AA91:AA92" si="103">G91+H91+I91+J91</f>
        <v>35555</v>
      </c>
      <c r="AB91" s="2">
        <f t="shared" ref="AB91:AB92" si="104">+K91+L91+M91+N91</f>
        <v>18494</v>
      </c>
    </row>
    <row r="92" spans="1:28" s="2" customFormat="1" x14ac:dyDescent="0.3">
      <c r="A92"/>
      <c r="B92" t="s">
        <v>96</v>
      </c>
      <c r="C92" s="2">
        <v>9400</v>
      </c>
      <c r="D92" s="2">
        <v>9512</v>
      </c>
      <c r="E92" s="2">
        <v>9353</v>
      </c>
      <c r="F92" s="2">
        <v>9700</v>
      </c>
      <c r="G92" s="2">
        <v>9649</v>
      </c>
      <c r="H92" s="2">
        <v>9620</v>
      </c>
      <c r="I92" s="2">
        <v>9566</v>
      </c>
      <c r="J92" s="2">
        <v>10277</v>
      </c>
      <c r="K92" s="2">
        <v>9687</v>
      </c>
      <c r="L92" s="2">
        <v>10086</v>
      </c>
      <c r="Z92" s="2">
        <f t="shared" si="102"/>
        <v>37965</v>
      </c>
      <c r="AA92" s="2">
        <f t="shared" si="103"/>
        <v>39112</v>
      </c>
      <c r="AB92" s="2">
        <f t="shared" si="104"/>
        <v>19773</v>
      </c>
    </row>
    <row r="93" spans="1:28" s="5" customFormat="1" x14ac:dyDescent="0.3">
      <c r="A93" s="3"/>
      <c r="B93" s="3" t="s">
        <v>97</v>
      </c>
      <c r="C93" s="5">
        <f>C91+C92</f>
        <v>18410</v>
      </c>
      <c r="D93" s="5">
        <f>D91+D92</f>
        <v>18214</v>
      </c>
      <c r="E93" s="5">
        <f t="shared" ref="E93" si="105">E91+E92</f>
        <v>17991</v>
      </c>
      <c r="F93" s="5">
        <f t="shared" ref="F93" si="106">F91+F92</f>
        <v>18591</v>
      </c>
      <c r="G93" s="5">
        <f t="shared" ref="G93:K93" si="107">G91+G92</f>
        <v>18623</v>
      </c>
      <c r="H93" s="5">
        <f t="shared" si="107"/>
        <v>18418</v>
      </c>
      <c r="I93" s="5">
        <f t="shared" si="107"/>
        <v>18306</v>
      </c>
      <c r="J93" s="5">
        <f t="shared" si="107"/>
        <v>19320</v>
      </c>
      <c r="K93" s="5">
        <f t="shared" si="107"/>
        <v>18753</v>
      </c>
      <c r="L93" s="5">
        <f>L91+L92</f>
        <v>19514</v>
      </c>
      <c r="Z93" s="5">
        <f t="shared" ref="Z93:AB93" si="108">Z91+Z92</f>
        <v>73206</v>
      </c>
      <c r="AA93" s="5">
        <f t="shared" si="108"/>
        <v>74667</v>
      </c>
      <c r="AB93" s="5">
        <f t="shared" si="108"/>
        <v>38267</v>
      </c>
    </row>
    <row r="95" spans="1:28" s="2" customFormat="1" x14ac:dyDescent="0.3">
      <c r="B95" s="2" t="s">
        <v>98</v>
      </c>
      <c r="C95" s="2">
        <v>600</v>
      </c>
      <c r="D95" s="2">
        <v>555</v>
      </c>
      <c r="E95" s="2">
        <v>545</v>
      </c>
      <c r="F95" s="2">
        <v>560</v>
      </c>
      <c r="G95" s="2">
        <v>648</v>
      </c>
      <c r="H95" s="2">
        <v>602</v>
      </c>
      <c r="I95" s="2">
        <v>588</v>
      </c>
      <c r="J95" s="2">
        <v>607</v>
      </c>
      <c r="K95" s="2">
        <v>657</v>
      </c>
      <c r="L95" s="2">
        <v>643</v>
      </c>
      <c r="Z95" s="2">
        <f t="shared" ref="Z95" si="109">C95+D95+E95+F95</f>
        <v>2260</v>
      </c>
      <c r="AA95" s="2">
        <f t="shared" ref="AA95" si="110">G95+H95+I95+J95</f>
        <v>2445</v>
      </c>
      <c r="AB95" s="2">
        <f t="shared" ref="AB95" si="111">+K95+L95+M95+N95</f>
        <v>1300</v>
      </c>
    </row>
    <row r="96" spans="1:28" s="7" customFormat="1" x14ac:dyDescent="0.3">
      <c r="B96" s="7" t="s">
        <v>99</v>
      </c>
      <c r="C96" s="7">
        <f t="shared" ref="C96:K96" si="112">C95/C17</f>
        <v>1.1173184357541899</v>
      </c>
      <c r="D96" s="7">
        <f t="shared" si="112"/>
        <v>1.0393258426966292</v>
      </c>
      <c r="E96" s="7">
        <f t="shared" si="112"/>
        <v>1.0302457466918715</v>
      </c>
      <c r="F96" s="7">
        <f t="shared" si="112"/>
        <v>1.0810810810810811</v>
      </c>
      <c r="G96" s="7">
        <f t="shared" si="112"/>
        <v>1.2558139534883721</v>
      </c>
      <c r="H96" s="7">
        <f t="shared" si="112"/>
        <v>1.1968190854870775</v>
      </c>
      <c r="I96" s="7">
        <f t="shared" si="112"/>
        <v>1.2073921971252566</v>
      </c>
      <c r="J96" s="7">
        <f t="shared" si="112"/>
        <v>1.2725366876310273</v>
      </c>
      <c r="K96" s="7">
        <f t="shared" si="112"/>
        <v>1.4068522483940042</v>
      </c>
      <c r="L96" s="7">
        <f>L95/L17</f>
        <v>1.3947939262472886</v>
      </c>
      <c r="Z96" s="7">
        <f t="shared" ref="Z96:AB96" si="113">Z95/Z17</f>
        <v>4.3629343629343627</v>
      </c>
      <c r="AA96" s="7">
        <f t="shared" si="113"/>
        <v>5.1257861635220126</v>
      </c>
      <c r="AB96" s="7">
        <f t="shared" si="113"/>
        <v>2.9362313786464607</v>
      </c>
    </row>
  </sheetData>
  <phoneticPr fontId="3" type="noConversion"/>
  <hyperlinks>
    <hyperlink ref="A1" location="Main!A1" display="Main" xr:uid="{2CACF641-44CD-4A19-965B-E0146F04E6D9}"/>
  </hyperlinks>
  <pageMargins left="0.7" right="0.7" top="0.75" bottom="0.75" header="0.3" footer="0.3"/>
  <ignoredErrors>
    <ignoredError sqref="Z14:AB14 Z5:AB5 Z79:AB79 Z71:AB71 Z67:AB67" formula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2025-08-03T18:42:46Z</dcterms:modified>
</cp:coreProperties>
</file>