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Objects="none"/>
  <mc:AlternateContent xmlns:mc="http://schemas.openxmlformats.org/markup-compatibility/2006">
    <mc:Choice Requires="x15">
      <x15ac:absPath xmlns:x15ac="http://schemas.microsoft.com/office/spreadsheetml/2010/11/ac" url="C:\Users\GegaMukhigulashvili\Desktop\Excel\"/>
    </mc:Choice>
  </mc:AlternateContent>
  <xr:revisionPtr revIDLastSave="0" documentId="13_ncr:1_{65F6D224-5931-41EA-A88D-552AE8B7048A}" xr6:coauthVersionLast="47" xr6:coauthVersionMax="47" xr10:uidLastSave="{00000000-0000-0000-0000-000000000000}"/>
  <bookViews>
    <workbookView xWindow="-108" yWindow="-108" windowWidth="23256" windowHeight="12456" activeTab="3" xr2:uid="{00000000-000D-0000-FFFF-FFFF00000000}"/>
  </bookViews>
  <sheets>
    <sheet name="Main" sheetId="1" r:id="rId1"/>
    <sheet name="GOOGL" sheetId="11" r:id="rId2"/>
    <sheet name="META" sheetId="10" r:id="rId3"/>
    <sheet name="MSFT" sheetId="9" r:id="rId4"/>
    <sheet name="AMZN" sheetId="5" r:id="rId5"/>
    <sheet name="AAPL" sheetId="2" r:id="rId6"/>
    <sheet name="BIDU" sheetId="12" r:id="rId7"/>
    <sheet name="IBM FA" sheetId="7" r:id="rId8"/>
    <sheet name="IBM" sheetId="6" r:id="rId9"/>
  </sheets>
  <externalReferences>
    <externalReference r:id="rId10"/>
    <externalReference r:id="rId11"/>
    <externalReference r:id="rId12"/>
  </externalReferences>
  <definedNames>
    <definedName name="_xlnm.Print_Area" localSheetId="6">BIDU!$A$1:$HJ$70</definedName>
    <definedName name="_xlnm.Print_Area" localSheetId="1">GOOGL!$A$1:$AR$107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E64" i="9" l="1"/>
  <c r="BD13" i="9"/>
  <c r="BC13" i="9"/>
  <c r="BB13" i="9"/>
  <c r="BA13" i="9"/>
  <c r="AZ13" i="9"/>
  <c r="AY13" i="9"/>
  <c r="AX13" i="9"/>
  <c r="BE13" i="9"/>
  <c r="BB7" i="9"/>
  <c r="AR81" i="9"/>
  <c r="AR78" i="9"/>
  <c r="AR77" i="9"/>
  <c r="AR75" i="9"/>
  <c r="AR73" i="9"/>
  <c r="AR64" i="9"/>
  <c r="AR63" i="9" s="1"/>
  <c r="AS63" i="9"/>
  <c r="AS73" i="9"/>
  <c r="AS82" i="9"/>
  <c r="AS84" i="9" s="1"/>
  <c r="AR54" i="9"/>
  <c r="AR53" i="9"/>
  <c r="AR47" i="9"/>
  <c r="AR46" i="9"/>
  <c r="AR45" i="9"/>
  <c r="AR36" i="9"/>
  <c r="AR31" i="9"/>
  <c r="AR28" i="9"/>
  <c r="AR32" i="9" s="1"/>
  <c r="AR37" i="9" s="1"/>
  <c r="AR39" i="9" s="1"/>
  <c r="AR41" i="9" s="1"/>
  <c r="AR43" i="9" s="1"/>
  <c r="AR16" i="9"/>
  <c r="AR23" i="9"/>
  <c r="AR22" i="9"/>
  <c r="AR21" i="9"/>
  <c r="AR20" i="9"/>
  <c r="AR19" i="9"/>
  <c r="AR18" i="9"/>
  <c r="AR17" i="9"/>
  <c r="AR15" i="9"/>
  <c r="F19" i="1"/>
  <c r="F18" i="1"/>
  <c r="F16" i="1"/>
  <c r="W82" i="10"/>
  <c r="W80" i="10"/>
  <c r="W79" i="10"/>
  <c r="W78" i="10"/>
  <c r="W77" i="10"/>
  <c r="W76" i="10"/>
  <c r="W75" i="10"/>
  <c r="W81" i="10" s="1"/>
  <c r="W72" i="10"/>
  <c r="W70" i="10"/>
  <c r="W68" i="10"/>
  <c r="W67" i="10"/>
  <c r="W66" i="10"/>
  <c r="W65" i="10"/>
  <c r="W64" i="10"/>
  <c r="W63" i="10"/>
  <c r="W60" i="10"/>
  <c r="W59" i="10"/>
  <c r="W58" i="10"/>
  <c r="W57" i="10"/>
  <c r="W56" i="10"/>
  <c r="N73" i="10"/>
  <c r="N71" i="10"/>
  <c r="N74" i="10" s="1"/>
  <c r="N62" i="10"/>
  <c r="N69" i="10" s="1"/>
  <c r="N88" i="10" s="1"/>
  <c r="N90" i="10" s="1"/>
  <c r="X81" i="10"/>
  <c r="X74" i="10"/>
  <c r="X69" i="10"/>
  <c r="R81" i="10"/>
  <c r="Q81" i="10"/>
  <c r="P81" i="10"/>
  <c r="O81" i="10"/>
  <c r="R74" i="10"/>
  <c r="Q74" i="10"/>
  <c r="P74" i="10"/>
  <c r="O74" i="10"/>
  <c r="R69" i="10"/>
  <c r="R88" i="10" s="1"/>
  <c r="R90" i="10" s="1"/>
  <c r="Q69" i="10"/>
  <c r="P69" i="10"/>
  <c r="O69" i="10"/>
  <c r="O88" i="10" s="1"/>
  <c r="O90" i="10" s="1"/>
  <c r="N81" i="10"/>
  <c r="Y48" i="10"/>
  <c r="Y50" i="10" s="1"/>
  <c r="X48" i="10"/>
  <c r="X50" i="10" s="1"/>
  <c r="W43" i="10"/>
  <c r="W48" i="10" s="1"/>
  <c r="W50" i="10" s="1"/>
  <c r="Y41" i="10"/>
  <c r="X41" i="10"/>
  <c r="W34" i="10"/>
  <c r="W33" i="10" s="1"/>
  <c r="Y33" i="10"/>
  <c r="X33" i="10"/>
  <c r="P53" i="10"/>
  <c r="O53" i="10"/>
  <c r="P52" i="10"/>
  <c r="O52" i="10"/>
  <c r="N52" i="10"/>
  <c r="N43" i="10"/>
  <c r="N48" i="10" s="1"/>
  <c r="N50" i="10" s="1"/>
  <c r="N34" i="10"/>
  <c r="N41" i="10" s="1"/>
  <c r="P33" i="10"/>
  <c r="O33" i="10"/>
  <c r="P48" i="10"/>
  <c r="P50" i="10" s="1"/>
  <c r="O48" i="10"/>
  <c r="O50" i="10" s="1"/>
  <c r="P41" i="10"/>
  <c r="O41" i="10"/>
  <c r="AG27" i="10"/>
  <c r="W20" i="10"/>
  <c r="W18" i="10"/>
  <c r="W16" i="10"/>
  <c r="W13" i="10"/>
  <c r="W12" i="10"/>
  <c r="W11" i="10"/>
  <c r="W14" i="10" s="1"/>
  <c r="W9" i="10"/>
  <c r="W8" i="10"/>
  <c r="W10" i="10" s="1"/>
  <c r="W23" i="10" s="1"/>
  <c r="X14" i="10"/>
  <c r="X10" i="10"/>
  <c r="R30" i="10"/>
  <c r="Q30" i="10"/>
  <c r="P30" i="10"/>
  <c r="O30" i="10"/>
  <c r="N30" i="10"/>
  <c r="N28" i="10"/>
  <c r="Q27" i="10"/>
  <c r="P27" i="10"/>
  <c r="O27" i="10"/>
  <c r="N27" i="10"/>
  <c r="Q23" i="10"/>
  <c r="R14" i="10"/>
  <c r="Q14" i="10"/>
  <c r="P14" i="10"/>
  <c r="R10" i="10"/>
  <c r="R28" i="10" s="1"/>
  <c r="Q10" i="10"/>
  <c r="Q28" i="10" s="1"/>
  <c r="P10" i="10"/>
  <c r="P28" i="10" s="1"/>
  <c r="R5" i="10"/>
  <c r="Q5" i="10"/>
  <c r="P5" i="10"/>
  <c r="O5" i="10"/>
  <c r="R4" i="10"/>
  <c r="Q4" i="10"/>
  <c r="Q6" i="10" s="1"/>
  <c r="P4" i="10"/>
  <c r="P6" i="10" s="1"/>
  <c r="O4" i="10"/>
  <c r="O6" i="10" s="1"/>
  <c r="N14" i="10"/>
  <c r="N10" i="10"/>
  <c r="N23" i="10" s="1"/>
  <c r="O14" i="10"/>
  <c r="O10" i="10"/>
  <c r="O15" i="10" s="1"/>
  <c r="O24" i="10" s="1"/>
  <c r="N4" i="10"/>
  <c r="N5" i="10"/>
  <c r="F8" i="1"/>
  <c r="F7" i="1"/>
  <c r="F5" i="1"/>
  <c r="O113" i="2"/>
  <c r="O107" i="2"/>
  <c r="O106" i="2"/>
  <c r="P88" i="2"/>
  <c r="P86" i="2"/>
  <c r="P85" i="2"/>
  <c r="M86" i="2"/>
  <c r="L86" i="2"/>
  <c r="K86" i="2"/>
  <c r="J86" i="2"/>
  <c r="I86" i="2"/>
  <c r="H86" i="2"/>
  <c r="M85" i="2"/>
  <c r="L85" i="2"/>
  <c r="K85" i="2"/>
  <c r="J85" i="2"/>
  <c r="I85" i="2"/>
  <c r="H85" i="2"/>
  <c r="N85" i="2"/>
  <c r="O88" i="2"/>
  <c r="O86" i="2"/>
  <c r="O85" i="2"/>
  <c r="O79" i="2"/>
  <c r="O81" i="2" s="1"/>
  <c r="O83" i="2" s="1"/>
  <c r="O68" i="2"/>
  <c r="O75" i="2" s="1"/>
  <c r="P83" i="2"/>
  <c r="P81" i="2"/>
  <c r="P75" i="2"/>
  <c r="P67" i="2"/>
  <c r="P8" i="2"/>
  <c r="O8" i="2"/>
  <c r="P5" i="2"/>
  <c r="O5" i="2"/>
  <c r="O34" i="2" s="1"/>
  <c r="P34" i="2"/>
  <c r="P32" i="2"/>
  <c r="P31" i="2"/>
  <c r="P30" i="2"/>
  <c r="P28" i="2"/>
  <c r="P27" i="2"/>
  <c r="P25" i="2"/>
  <c r="P24" i="2"/>
  <c r="P12" i="2"/>
  <c r="P9" i="2"/>
  <c r="P13" i="2" s="1"/>
  <c r="P15" i="2" s="1"/>
  <c r="P17" i="2" s="1"/>
  <c r="AC187" i="11"/>
  <c r="N132" i="11"/>
  <c r="N131" i="11"/>
  <c r="N130" i="11"/>
  <c r="N129" i="11"/>
  <c r="N134" i="11"/>
  <c r="J134" i="11"/>
  <c r="O118" i="11"/>
  <c r="O117" i="11"/>
  <c r="O115" i="11"/>
  <c r="O114" i="11"/>
  <c r="O113" i="11"/>
  <c r="O112" i="11"/>
  <c r="O111" i="11"/>
  <c r="N115" i="11"/>
  <c r="N114" i="11"/>
  <c r="N113" i="11"/>
  <c r="N112" i="11"/>
  <c r="N111" i="11"/>
  <c r="I118" i="11"/>
  <c r="I117" i="11"/>
  <c r="O102" i="11"/>
  <c r="O104" i="11" s="1"/>
  <c r="O108" i="11" s="1"/>
  <c r="N102" i="11"/>
  <c r="N104" i="11" s="1"/>
  <c r="N108" i="11" s="1"/>
  <c r="N118" i="11" s="1"/>
  <c r="J102" i="11"/>
  <c r="J104" i="11"/>
  <c r="J108" i="11"/>
  <c r="J118" i="11" s="1"/>
  <c r="AB93" i="11"/>
  <c r="AB92" i="11"/>
  <c r="AB87" i="11"/>
  <c r="AB81" i="11"/>
  <c r="AB75" i="11"/>
  <c r="AB61" i="11"/>
  <c r="AA88" i="11"/>
  <c r="Z88" i="11"/>
  <c r="Y88" i="11"/>
  <c r="AA86" i="11"/>
  <c r="Z86" i="11"/>
  <c r="Y86" i="11"/>
  <c r="AA85" i="11"/>
  <c r="Z85" i="11"/>
  <c r="Y85" i="11"/>
  <c r="AA84" i="11"/>
  <c r="Z84" i="11"/>
  <c r="Y84" i="11"/>
  <c r="AA83" i="11"/>
  <c r="Z83" i="11"/>
  <c r="Y83" i="11"/>
  <c r="AA82" i="11"/>
  <c r="Z82" i="11"/>
  <c r="Y82" i="11"/>
  <c r="AA80" i="11"/>
  <c r="Z80" i="11"/>
  <c r="Y80" i="11"/>
  <c r="AA79" i="11"/>
  <c r="Z79" i="11"/>
  <c r="Y79" i="11"/>
  <c r="AA78" i="11"/>
  <c r="Z78" i="11"/>
  <c r="Z81" i="11" s="1"/>
  <c r="Y78" i="11"/>
  <c r="AA77" i="11"/>
  <c r="AA81" i="11" s="1"/>
  <c r="Z77" i="11"/>
  <c r="Y77" i="11"/>
  <c r="Y81" i="11" s="1"/>
  <c r="AA76" i="11"/>
  <c r="Z76" i="11"/>
  <c r="Y76" i="11"/>
  <c r="AA74" i="11"/>
  <c r="Z74" i="11"/>
  <c r="Y74" i="11"/>
  <c r="AA73" i="11"/>
  <c r="Z73" i="11"/>
  <c r="Y73" i="11"/>
  <c r="AA72" i="11"/>
  <c r="Z72" i="11"/>
  <c r="Y72" i="11"/>
  <c r="AA71" i="11"/>
  <c r="Z71" i="11"/>
  <c r="Y71" i="11"/>
  <c r="AA70" i="11"/>
  <c r="Z70" i="11"/>
  <c r="Y70" i="11"/>
  <c r="AA69" i="11"/>
  <c r="Z69" i="11"/>
  <c r="Y69" i="11"/>
  <c r="AA68" i="11"/>
  <c r="Z68" i="11"/>
  <c r="Y68" i="11"/>
  <c r="AA67" i="11"/>
  <c r="Z67" i="11"/>
  <c r="Y67" i="11"/>
  <c r="AA66" i="11"/>
  <c r="Z66" i="11"/>
  <c r="Y66" i="11"/>
  <c r="AA65" i="11"/>
  <c r="Z65" i="11"/>
  <c r="Y65" i="11"/>
  <c r="AA64" i="11"/>
  <c r="Z64" i="11"/>
  <c r="Y64" i="11"/>
  <c r="AA63" i="11"/>
  <c r="Z63" i="11"/>
  <c r="Y63" i="11"/>
  <c r="Y62" i="11"/>
  <c r="Z62" i="11"/>
  <c r="AA62" i="11"/>
  <c r="AA87" i="11"/>
  <c r="Z87" i="11"/>
  <c r="Y87" i="11"/>
  <c r="X87" i="11"/>
  <c r="X81" i="11"/>
  <c r="X75" i="11"/>
  <c r="X92" i="11" s="1"/>
  <c r="AA61" i="11"/>
  <c r="Z61" i="11"/>
  <c r="Y61" i="11"/>
  <c r="Y93" i="11" s="1"/>
  <c r="X61" i="11"/>
  <c r="X93" i="11" s="1"/>
  <c r="Q92" i="11"/>
  <c r="P92" i="11"/>
  <c r="Q87" i="11"/>
  <c r="Q89" i="11" s="1"/>
  <c r="P87" i="11"/>
  <c r="P89" i="11" s="1"/>
  <c r="Q81" i="11"/>
  <c r="P81" i="11"/>
  <c r="Q75" i="11"/>
  <c r="P75" i="11"/>
  <c r="Q61" i="11"/>
  <c r="Q93" i="11" s="1"/>
  <c r="P61" i="11"/>
  <c r="P93" i="11" s="1"/>
  <c r="O93" i="11"/>
  <c r="O92" i="11"/>
  <c r="O89" i="11"/>
  <c r="O87" i="11"/>
  <c r="O81" i="11"/>
  <c r="O75" i="11"/>
  <c r="O61" i="11"/>
  <c r="N85" i="11"/>
  <c r="N87" i="11" s="1"/>
  <c r="N78" i="11"/>
  <c r="N77" i="11"/>
  <c r="N81" i="11"/>
  <c r="N93" i="11"/>
  <c r="N75" i="11"/>
  <c r="N92" i="11" s="1"/>
  <c r="N61" i="11"/>
  <c r="N22" i="11"/>
  <c r="AA3" i="11"/>
  <c r="I16" i="1"/>
  <c r="I18" i="1"/>
  <c r="I19" i="1"/>
  <c r="N9" i="11"/>
  <c r="N5" i="11"/>
  <c r="AA58" i="11"/>
  <c r="Z58" i="11"/>
  <c r="AA57" i="11"/>
  <c r="Z57" i="11"/>
  <c r="Y57" i="11"/>
  <c r="Y53" i="11"/>
  <c r="Y55" i="11" s="1"/>
  <c r="Y35" i="11"/>
  <c r="Y43" i="11" s="1"/>
  <c r="Y34" i="11"/>
  <c r="Z53" i="11"/>
  <c r="Z55" i="11" s="1"/>
  <c r="Z35" i="11"/>
  <c r="Z34" i="11" s="1"/>
  <c r="AA55" i="11"/>
  <c r="AA53" i="11"/>
  <c r="AA35" i="11"/>
  <c r="AA43" i="11" s="1"/>
  <c r="AA34" i="11"/>
  <c r="M58" i="11"/>
  <c r="L58" i="11"/>
  <c r="K58" i="11"/>
  <c r="J58" i="11"/>
  <c r="I58" i="11"/>
  <c r="H58" i="11"/>
  <c r="G58" i="11"/>
  <c r="N58" i="11"/>
  <c r="N35" i="11"/>
  <c r="I8" i="1"/>
  <c r="I7" i="1"/>
  <c r="I5" i="1"/>
  <c r="N11" i="5"/>
  <c r="N13" i="5" s="1"/>
  <c r="M11" i="5"/>
  <c r="M13" i="5"/>
  <c r="L13" i="5"/>
  <c r="K13" i="5"/>
  <c r="J13" i="5"/>
  <c r="I13" i="5"/>
  <c r="H13" i="5"/>
  <c r="G13" i="5"/>
  <c r="N69" i="5"/>
  <c r="AB69" i="5"/>
  <c r="AA69" i="5"/>
  <c r="Z69" i="5"/>
  <c r="L69" i="5"/>
  <c r="K69" i="5"/>
  <c r="J69" i="5"/>
  <c r="I69" i="5"/>
  <c r="H69" i="5"/>
  <c r="G69" i="5"/>
  <c r="M69" i="5"/>
  <c r="M65" i="5"/>
  <c r="M67" i="5" s="1"/>
  <c r="M58" i="5"/>
  <c r="M49" i="5"/>
  <c r="L39" i="5"/>
  <c r="K39" i="5"/>
  <c r="J39" i="5"/>
  <c r="I39" i="5"/>
  <c r="H39" i="5"/>
  <c r="G39" i="5"/>
  <c r="F39" i="5"/>
  <c r="E39" i="5"/>
  <c r="D39" i="5"/>
  <c r="C39" i="5"/>
  <c r="M39" i="5"/>
  <c r="M46" i="5"/>
  <c r="M45" i="5"/>
  <c r="M44" i="5"/>
  <c r="M43" i="5"/>
  <c r="M42" i="5"/>
  <c r="M41" i="5"/>
  <c r="M38" i="5"/>
  <c r="M37" i="5"/>
  <c r="M36" i="5"/>
  <c r="M27" i="5"/>
  <c r="M25" i="5"/>
  <c r="M26" i="5" s="1"/>
  <c r="M17" i="5"/>
  <c r="M19" i="5" s="1"/>
  <c r="L104" i="5"/>
  <c r="K104" i="5"/>
  <c r="J104" i="5"/>
  <c r="I104" i="5"/>
  <c r="H104" i="5"/>
  <c r="G104" i="5"/>
  <c r="M104" i="5"/>
  <c r="M91" i="5"/>
  <c r="M88" i="5"/>
  <c r="M95" i="5"/>
  <c r="M90" i="5"/>
  <c r="M85" i="5"/>
  <c r="M101" i="5" s="1"/>
  <c r="M73" i="5"/>
  <c r="W115" i="2"/>
  <c r="W109" i="2"/>
  <c r="W105" i="2"/>
  <c r="W119" i="2" s="1"/>
  <c r="W94" i="2"/>
  <c r="P115" i="2"/>
  <c r="P109" i="2"/>
  <c r="P105" i="2"/>
  <c r="P119" i="2" s="1"/>
  <c r="U113" i="2"/>
  <c r="U115" i="2" s="1"/>
  <c r="V113" i="2"/>
  <c r="V115" i="2" s="1"/>
  <c r="U106" i="2"/>
  <c r="U109" i="2" s="1"/>
  <c r="V106" i="2"/>
  <c r="V109" i="2"/>
  <c r="V105" i="2"/>
  <c r="V119" i="2" s="1"/>
  <c r="U105" i="2"/>
  <c r="U119" i="2" s="1"/>
  <c r="U93" i="2"/>
  <c r="U120" i="2" s="1"/>
  <c r="E67" i="2"/>
  <c r="M67" i="2"/>
  <c r="L67" i="2"/>
  <c r="K67" i="2"/>
  <c r="J67" i="2"/>
  <c r="I67" i="2"/>
  <c r="H67" i="2"/>
  <c r="G67" i="2"/>
  <c r="N67" i="2"/>
  <c r="N79" i="2"/>
  <c r="N81" i="2" s="1"/>
  <c r="N83" i="2" s="1"/>
  <c r="N68" i="2"/>
  <c r="N75" i="2" s="1"/>
  <c r="W64" i="2"/>
  <c r="V64" i="2"/>
  <c r="W63" i="2"/>
  <c r="V63" i="2"/>
  <c r="W62" i="2"/>
  <c r="V62" i="2"/>
  <c r="W61" i="2"/>
  <c r="V61" i="2"/>
  <c r="W60" i="2"/>
  <c r="V60" i="2"/>
  <c r="P64" i="2"/>
  <c r="O64" i="2"/>
  <c r="P63" i="2"/>
  <c r="O63" i="2"/>
  <c r="P62" i="2"/>
  <c r="O62" i="2"/>
  <c r="P61" i="2"/>
  <c r="O61" i="2"/>
  <c r="P60" i="2"/>
  <c r="O60" i="2"/>
  <c r="M64" i="2"/>
  <c r="L64" i="2"/>
  <c r="K64" i="2"/>
  <c r="M63" i="2"/>
  <c r="L63" i="2"/>
  <c r="K63" i="2"/>
  <c r="M62" i="2"/>
  <c r="L62" i="2"/>
  <c r="K62" i="2"/>
  <c r="M61" i="2"/>
  <c r="L61" i="2"/>
  <c r="K61" i="2"/>
  <c r="M60" i="2"/>
  <c r="L60" i="2"/>
  <c r="K60" i="2"/>
  <c r="N64" i="2"/>
  <c r="N63" i="2"/>
  <c r="N62" i="2"/>
  <c r="N61" i="2"/>
  <c r="N60" i="2"/>
  <c r="W49" i="2"/>
  <c r="V49" i="2"/>
  <c r="W48" i="2"/>
  <c r="V48" i="2"/>
  <c r="W47" i="2"/>
  <c r="V47" i="2"/>
  <c r="W46" i="2"/>
  <c r="V46" i="2"/>
  <c r="W45" i="2"/>
  <c r="V45" i="2"/>
  <c r="P57" i="2"/>
  <c r="O57" i="2"/>
  <c r="P49" i="2"/>
  <c r="P48" i="2"/>
  <c r="P47" i="2"/>
  <c r="P46" i="2"/>
  <c r="P45" i="2"/>
  <c r="P42" i="2"/>
  <c r="O42" i="2"/>
  <c r="O49" i="2"/>
  <c r="O48" i="2"/>
  <c r="O47" i="2"/>
  <c r="O46" i="2"/>
  <c r="O45" i="2"/>
  <c r="M49" i="2"/>
  <c r="L49" i="2"/>
  <c r="K49" i="2"/>
  <c r="M48" i="2"/>
  <c r="L48" i="2"/>
  <c r="K48" i="2"/>
  <c r="M47" i="2"/>
  <c r="L47" i="2"/>
  <c r="K47" i="2"/>
  <c r="M46" i="2"/>
  <c r="L46" i="2"/>
  <c r="K46" i="2"/>
  <c r="M45" i="2"/>
  <c r="L45" i="2"/>
  <c r="K45" i="2"/>
  <c r="N49" i="2"/>
  <c r="N48" i="2"/>
  <c r="N47" i="2"/>
  <c r="N46" i="2"/>
  <c r="N45" i="2"/>
  <c r="G42" i="2"/>
  <c r="G57" i="2"/>
  <c r="W57" i="2"/>
  <c r="V57" i="2"/>
  <c r="U57" i="2"/>
  <c r="W42" i="2"/>
  <c r="V42" i="2"/>
  <c r="U42" i="2"/>
  <c r="N42" i="2"/>
  <c r="N57" i="2"/>
  <c r="K34" i="2"/>
  <c r="K32" i="2"/>
  <c r="K31" i="2"/>
  <c r="O32" i="2"/>
  <c r="N32" i="2"/>
  <c r="O31" i="2"/>
  <c r="N31" i="2"/>
  <c r="O28" i="2"/>
  <c r="N28" i="2"/>
  <c r="O27" i="2"/>
  <c r="N27" i="2"/>
  <c r="L28" i="2"/>
  <c r="K28" i="2"/>
  <c r="J28" i="2"/>
  <c r="L27" i="2"/>
  <c r="K27" i="2"/>
  <c r="J27" i="2"/>
  <c r="K8" i="2"/>
  <c r="K9" i="2" s="1"/>
  <c r="U12" i="2"/>
  <c r="U8" i="2"/>
  <c r="V8" i="2"/>
  <c r="J8" i="2"/>
  <c r="J5" i="2"/>
  <c r="N12" i="2"/>
  <c r="N8" i="2"/>
  <c r="N5" i="2"/>
  <c r="N34" i="2" s="1"/>
  <c r="AR82" i="9" l="1"/>
  <c r="AR84" i="9" s="1"/>
  <c r="AR52" i="9"/>
  <c r="AR55" i="9"/>
  <c r="AR56" i="9"/>
  <c r="AR57" i="9"/>
  <c r="AR59" i="9"/>
  <c r="AR58" i="9"/>
  <c r="AR60" i="9"/>
  <c r="X83" i="10"/>
  <c r="W27" i="10"/>
  <c r="P15" i="10"/>
  <c r="P17" i="10" s="1"/>
  <c r="P19" i="10" s="1"/>
  <c r="P21" i="10" s="1"/>
  <c r="Q15" i="10"/>
  <c r="Q17" i="10" s="1"/>
  <c r="Q19" i="10" s="1"/>
  <c r="Q21" i="10" s="1"/>
  <c r="R6" i="10"/>
  <c r="P23" i="10"/>
  <c r="X15" i="10"/>
  <c r="X17" i="10" s="1"/>
  <c r="X19" i="10" s="1"/>
  <c r="X21" i="10" s="1"/>
  <c r="W28" i="10"/>
  <c r="X23" i="10"/>
  <c r="X28" i="10"/>
  <c r="R27" i="10"/>
  <c r="X30" i="10"/>
  <c r="N53" i="10"/>
  <c r="R15" i="10"/>
  <c r="P83" i="10"/>
  <c r="P85" i="10" s="1"/>
  <c r="N33" i="10"/>
  <c r="R83" i="10"/>
  <c r="R85" i="10" s="1"/>
  <c r="Q83" i="10"/>
  <c r="Q85" i="10" s="1"/>
  <c r="R23" i="10"/>
  <c r="P25" i="10"/>
  <c r="O23" i="10"/>
  <c r="X25" i="10"/>
  <c r="P26" i="10"/>
  <c r="P55" i="10"/>
  <c r="P89" i="10" s="1"/>
  <c r="O28" i="10"/>
  <c r="Q55" i="10"/>
  <c r="Q89" i="10" s="1"/>
  <c r="X88" i="10"/>
  <c r="X90" i="10" s="1"/>
  <c r="P24" i="10"/>
  <c r="P88" i="10"/>
  <c r="P90" i="10" s="1"/>
  <c r="Q24" i="10"/>
  <c r="X27" i="10"/>
  <c r="O83" i="10"/>
  <c r="O85" i="10" s="1"/>
  <c r="Q88" i="10"/>
  <c r="Q90" i="10" s="1"/>
  <c r="N83" i="10"/>
  <c r="N85" i="10" s="1"/>
  <c r="W41" i="10"/>
  <c r="W15" i="10"/>
  <c r="N15" i="10"/>
  <c r="O17" i="10"/>
  <c r="O67" i="2"/>
  <c r="P22" i="2"/>
  <c r="P23" i="2"/>
  <c r="P19" i="2"/>
  <c r="P93" i="2"/>
  <c r="P120" i="2" s="1"/>
  <c r="N117" i="11"/>
  <c r="J117" i="11"/>
  <c r="AB89" i="11"/>
  <c r="Z93" i="11"/>
  <c r="AA93" i="11"/>
  <c r="AA75" i="11"/>
  <c r="AA92" i="11" s="1"/>
  <c r="Z75" i="11"/>
  <c r="Y75" i="11"/>
  <c r="Y89" i="11" s="1"/>
  <c r="Z92" i="11"/>
  <c r="Z89" i="11"/>
  <c r="X89" i="11"/>
  <c r="AA89" i="11"/>
  <c r="Y92" i="11"/>
  <c r="N89" i="11"/>
  <c r="N10" i="11"/>
  <c r="N12" i="11" s="1"/>
  <c r="N14" i="11" s="1"/>
  <c r="N16" i="11" s="1"/>
  <c r="Z43" i="11"/>
  <c r="M28" i="5"/>
  <c r="M31" i="5" s="1"/>
  <c r="M72" i="5" s="1"/>
  <c r="M102" i="5" s="1"/>
  <c r="M97" i="5"/>
  <c r="M98" i="5" s="1"/>
  <c r="W116" i="2"/>
  <c r="W117" i="2" s="1"/>
  <c r="P116" i="2"/>
  <c r="U116" i="2"/>
  <c r="U117" i="2" s="1"/>
  <c r="V94" i="2" s="1"/>
  <c r="V116" i="2"/>
  <c r="N86" i="2"/>
  <c r="N88" i="2"/>
  <c r="N9" i="2"/>
  <c r="N13" i="2" s="1"/>
  <c r="N15" i="2" s="1"/>
  <c r="N17" i="2" s="1"/>
  <c r="N19" i="2" s="1"/>
  <c r="J9" i="2"/>
  <c r="BE26" i="9"/>
  <c r="M73" i="10"/>
  <c r="M71" i="10"/>
  <c r="M62" i="10"/>
  <c r="M81" i="10"/>
  <c r="M52" i="10"/>
  <c r="M43" i="10"/>
  <c r="M34" i="10"/>
  <c r="M48" i="10"/>
  <c r="M50" i="10" s="1"/>
  <c r="M30" i="10"/>
  <c r="M14" i="10"/>
  <c r="M10" i="10"/>
  <c r="M23" i="10" s="1"/>
  <c r="AP120" i="9"/>
  <c r="AN120" i="9"/>
  <c r="AM120" i="9"/>
  <c r="AL120" i="9"/>
  <c r="AK120" i="9"/>
  <c r="AJ120" i="9"/>
  <c r="AI120" i="9"/>
  <c r="AH120" i="9"/>
  <c r="AG120" i="9"/>
  <c r="AQ120" i="9"/>
  <c r="AQ111" i="9"/>
  <c r="AQ106" i="9"/>
  <c r="AQ108" i="9" s="1"/>
  <c r="AQ113" i="9"/>
  <c r="AQ104" i="9"/>
  <c r="AQ116" i="9" s="1"/>
  <c r="C16" i="1"/>
  <c r="AQ78" i="9"/>
  <c r="AQ77" i="9"/>
  <c r="AQ75" i="9"/>
  <c r="AQ82" i="9" s="1"/>
  <c r="AQ84" i="9" s="1"/>
  <c r="AQ64" i="9"/>
  <c r="C18" i="1" s="1"/>
  <c r="AQ73" i="9"/>
  <c r="AQ54" i="9"/>
  <c r="AQ53" i="9"/>
  <c r="AQ46" i="9"/>
  <c r="AQ45" i="9"/>
  <c r="AQ36" i="9"/>
  <c r="AQ31" i="9"/>
  <c r="AQ28" i="9"/>
  <c r="AQ23" i="9"/>
  <c r="AQ22" i="9"/>
  <c r="AQ21" i="9"/>
  <c r="AQ20" i="9"/>
  <c r="AQ19" i="9"/>
  <c r="AQ18" i="9"/>
  <c r="AQ17" i="9"/>
  <c r="AQ16" i="9"/>
  <c r="AQ15" i="9"/>
  <c r="K145" i="11"/>
  <c r="M143" i="11"/>
  <c r="M132" i="11"/>
  <c r="M131" i="11"/>
  <c r="M130" i="11"/>
  <c r="M129" i="11"/>
  <c r="N126" i="11"/>
  <c r="K126" i="11"/>
  <c r="J126" i="11"/>
  <c r="I126" i="11"/>
  <c r="I134" i="11" s="1"/>
  <c r="M126" i="11"/>
  <c r="M134" i="11" s="1"/>
  <c r="I102" i="11"/>
  <c r="I104" i="11" s="1"/>
  <c r="I108" i="11" s="1"/>
  <c r="M115" i="11"/>
  <c r="M114" i="11"/>
  <c r="M113" i="11"/>
  <c r="M112" i="11"/>
  <c r="M111" i="11"/>
  <c r="M102" i="11"/>
  <c r="M104" i="11" s="1"/>
  <c r="M108" i="11" s="1"/>
  <c r="M118" i="11" s="1"/>
  <c r="M75" i="11"/>
  <c r="M92" i="11" s="1"/>
  <c r="M87" i="11"/>
  <c r="M81" i="11"/>
  <c r="M15" i="11"/>
  <c r="M9" i="11"/>
  <c r="M5" i="11"/>
  <c r="M27" i="11" s="1"/>
  <c r="M35" i="11"/>
  <c r="M43" i="11" s="1"/>
  <c r="O53" i="11"/>
  <c r="O57" i="11" s="1"/>
  <c r="N53" i="11"/>
  <c r="N55" i="11" s="1"/>
  <c r="M53" i="11"/>
  <c r="M55" i="11" s="1"/>
  <c r="O43" i="11"/>
  <c r="N43" i="11"/>
  <c r="O34" i="11"/>
  <c r="N34" i="11"/>
  <c r="AA181" i="11"/>
  <c r="Z181" i="11"/>
  <c r="C19" i="1" l="1"/>
  <c r="Q26" i="10"/>
  <c r="Q25" i="10"/>
  <c r="X26" i="10"/>
  <c r="X24" i="10"/>
  <c r="X55" i="10"/>
  <c r="X89" i="10" s="1"/>
  <c r="R17" i="10"/>
  <c r="R24" i="10"/>
  <c r="M69" i="10"/>
  <c r="M88" i="10" s="1"/>
  <c r="M90" i="10" s="1"/>
  <c r="W62" i="10"/>
  <c r="W69" i="10" s="1"/>
  <c r="N17" i="10"/>
  <c r="N24" i="10"/>
  <c r="M41" i="10"/>
  <c r="M33" i="10"/>
  <c r="O19" i="10"/>
  <c r="O26" i="10"/>
  <c r="W17" i="10"/>
  <c r="W24" i="10"/>
  <c r="M27" i="10"/>
  <c r="M28" i="10"/>
  <c r="M74" i="10"/>
  <c r="M83" i="10" s="1"/>
  <c r="M85" i="10" s="1"/>
  <c r="M53" i="10"/>
  <c r="M33" i="5"/>
  <c r="V117" i="2"/>
  <c r="M15" i="10"/>
  <c r="AQ114" i="9"/>
  <c r="AQ63" i="9"/>
  <c r="AQ32" i="9"/>
  <c r="O55" i="11"/>
  <c r="N57" i="11"/>
  <c r="M10" i="11"/>
  <c r="M12" i="11" s="1"/>
  <c r="M14" i="11" s="1"/>
  <c r="M16" i="11" s="1"/>
  <c r="M117" i="11"/>
  <c r="M89" i="11"/>
  <c r="M57" i="11"/>
  <c r="M34" i="11"/>
  <c r="AA180" i="11"/>
  <c r="Z180" i="11"/>
  <c r="AA178" i="11"/>
  <c r="W3" i="6"/>
  <c r="Z178" i="11"/>
  <c r="Z175" i="11"/>
  <c r="AA179" i="11"/>
  <c r="Z179" i="11"/>
  <c r="AQ37" i="9" l="1"/>
  <c r="AQ58" i="9"/>
  <c r="AQ52" i="9"/>
  <c r="AQ59" i="9"/>
  <c r="R19" i="10"/>
  <c r="R26" i="10"/>
  <c r="W19" i="10"/>
  <c r="W26" i="10"/>
  <c r="N19" i="10"/>
  <c r="N26" i="10"/>
  <c r="W88" i="10"/>
  <c r="W90" i="10" s="1"/>
  <c r="O21" i="10"/>
  <c r="O25" i="10"/>
  <c r="O55" i="10"/>
  <c r="O89" i="10" s="1"/>
  <c r="M17" i="10"/>
  <c r="M24" i="10"/>
  <c r="M61" i="11"/>
  <c r="M93" i="11" s="1"/>
  <c r="M22" i="11"/>
  <c r="C8" i="1"/>
  <c r="L46" i="5"/>
  <c r="K37" i="5"/>
  <c r="J37" i="5"/>
  <c r="I37" i="5"/>
  <c r="H37" i="5"/>
  <c r="G37" i="5"/>
  <c r="F37" i="5"/>
  <c r="E37" i="5"/>
  <c r="D37" i="5"/>
  <c r="L37" i="5"/>
  <c r="L91" i="5"/>
  <c r="L89" i="5"/>
  <c r="L90" i="5" s="1"/>
  <c r="L73" i="5"/>
  <c r="L95" i="5"/>
  <c r="L85" i="5"/>
  <c r="L101" i="5" s="1"/>
  <c r="L72" i="5"/>
  <c r="L102" i="5" s="1"/>
  <c r="L11" i="5"/>
  <c r="L58" i="5"/>
  <c r="L65" i="5"/>
  <c r="L67" i="5" s="1"/>
  <c r="L45" i="5"/>
  <c r="L44" i="5"/>
  <c r="L43" i="5"/>
  <c r="L38" i="5"/>
  <c r="L36" i="5"/>
  <c r="L29" i="5"/>
  <c r="L27" i="5"/>
  <c r="L25" i="5"/>
  <c r="L17" i="5"/>
  <c r="L19" i="5" s="1"/>
  <c r="I109" i="2"/>
  <c r="I105" i="2"/>
  <c r="I119" i="2" s="1"/>
  <c r="M115" i="2"/>
  <c r="M105" i="2"/>
  <c r="M119" i="2" s="1"/>
  <c r="H105" i="2"/>
  <c r="H119" i="2" s="1"/>
  <c r="L105" i="2"/>
  <c r="L119" i="2" s="1"/>
  <c r="O115" i="2"/>
  <c r="O109" i="2"/>
  <c r="O105" i="2"/>
  <c r="O119" i="2" s="1"/>
  <c r="N115" i="2"/>
  <c r="N109" i="2"/>
  <c r="N105" i="2"/>
  <c r="N119" i="2" s="1"/>
  <c r="G106" i="2"/>
  <c r="G109" i="2" s="1"/>
  <c r="J115" i="2"/>
  <c r="I115" i="2"/>
  <c r="H115" i="2"/>
  <c r="G115" i="2"/>
  <c r="L115" i="2"/>
  <c r="K113" i="2"/>
  <c r="K115" i="2" s="1"/>
  <c r="J109" i="2"/>
  <c r="H109" i="2"/>
  <c r="M109" i="2"/>
  <c r="L109" i="2"/>
  <c r="K106" i="2"/>
  <c r="K109" i="2" s="1"/>
  <c r="J105" i="2"/>
  <c r="G105" i="2"/>
  <c r="G119" i="2" s="1"/>
  <c r="K105" i="2"/>
  <c r="K119" i="2" s="1"/>
  <c r="L79" i="2"/>
  <c r="L81" i="2" s="1"/>
  <c r="L68" i="2"/>
  <c r="L75" i="2" s="1"/>
  <c r="M57" i="2"/>
  <c r="L57" i="2"/>
  <c r="K57" i="2"/>
  <c r="J57" i="2"/>
  <c r="H57" i="2"/>
  <c r="K42" i="2"/>
  <c r="J42" i="2"/>
  <c r="I42" i="2"/>
  <c r="H42" i="2"/>
  <c r="L42" i="2"/>
  <c r="H28" i="2"/>
  <c r="H27" i="2"/>
  <c r="L32" i="2"/>
  <c r="L31" i="2"/>
  <c r="H8" i="2"/>
  <c r="H5" i="2"/>
  <c r="L8" i="2"/>
  <c r="L5" i="2"/>
  <c r="M79" i="2"/>
  <c r="M81" i="2" s="1"/>
  <c r="M68" i="2"/>
  <c r="I57" i="2"/>
  <c r="I28" i="2"/>
  <c r="I27" i="2"/>
  <c r="M28" i="2"/>
  <c r="M27" i="2"/>
  <c r="M32" i="2"/>
  <c r="M31" i="2"/>
  <c r="I8" i="2"/>
  <c r="I5" i="2"/>
  <c r="M8" i="2"/>
  <c r="M5" i="2"/>
  <c r="M34" i="2" s="1"/>
  <c r="O12" i="2"/>
  <c r="M12" i="2"/>
  <c r="L12" i="2"/>
  <c r="O9" i="2"/>
  <c r="AO110" i="9"/>
  <c r="AO109" i="9"/>
  <c r="AO107" i="9"/>
  <c r="AO103" i="9"/>
  <c r="AO102" i="9"/>
  <c r="AO101" i="9"/>
  <c r="AO100" i="9"/>
  <c r="AO99" i="9"/>
  <c r="AO98" i="9"/>
  <c r="AO97" i="9"/>
  <c r="AO96" i="9"/>
  <c r="AO95" i="9"/>
  <c r="AO94" i="9"/>
  <c r="AO93" i="9"/>
  <c r="AO92" i="9"/>
  <c r="AO91" i="9"/>
  <c r="AO90" i="9"/>
  <c r="BE111" i="9"/>
  <c r="BE113" i="9" s="1"/>
  <c r="BE107" i="9"/>
  <c r="BE106" i="9"/>
  <c r="AP106" i="9"/>
  <c r="AP107" i="9"/>
  <c r="BE105" i="9"/>
  <c r="BE104" i="9"/>
  <c r="BE116" i="9" s="1"/>
  <c r="BC78" i="9"/>
  <c r="BC77" i="9"/>
  <c r="BC75" i="9"/>
  <c r="BC82" i="9" s="1"/>
  <c r="BC84" i="9" s="1"/>
  <c r="BC64" i="9"/>
  <c r="BC73" i="9" s="1"/>
  <c r="BD86" i="9" s="1"/>
  <c r="BD78" i="9"/>
  <c r="BD77" i="9"/>
  <c r="BD75" i="9"/>
  <c r="BD64" i="9"/>
  <c r="BD73" i="9" s="1"/>
  <c r="BE78" i="9"/>
  <c r="BE77" i="9"/>
  <c r="BE75" i="9"/>
  <c r="BE87" i="9" s="1"/>
  <c r="BE73" i="9"/>
  <c r="BE86" i="9" s="1"/>
  <c r="BE63" i="9"/>
  <c r="BE53" i="9"/>
  <c r="BE42" i="9"/>
  <c r="BE40" i="9"/>
  <c r="BE38" i="9"/>
  <c r="BE35" i="9"/>
  <c r="BE50" i="9" s="1"/>
  <c r="BE34" i="9"/>
  <c r="BE49" i="9" s="1"/>
  <c r="BE33" i="9"/>
  <c r="BE30" i="9"/>
  <c r="BE29" i="9"/>
  <c r="BE27" i="9"/>
  <c r="BE46" i="9" s="1"/>
  <c r="BE45" i="9"/>
  <c r="BD110" i="9"/>
  <c r="BD109" i="9"/>
  <c r="BD107" i="9"/>
  <c r="BD103" i="9"/>
  <c r="BD102" i="9"/>
  <c r="BD101" i="9"/>
  <c r="BD100" i="9"/>
  <c r="BD99" i="9"/>
  <c r="BD98" i="9"/>
  <c r="BD97" i="9"/>
  <c r="BD96" i="9"/>
  <c r="BD95" i="9"/>
  <c r="BD94" i="9"/>
  <c r="BD93" i="9"/>
  <c r="BD92" i="9"/>
  <c r="BD91" i="9"/>
  <c r="BD90" i="9"/>
  <c r="AP111" i="9"/>
  <c r="AP113" i="9" s="1"/>
  <c r="AP104" i="9"/>
  <c r="AP116" i="9" s="1"/>
  <c r="AP77" i="9"/>
  <c r="AP78" i="9"/>
  <c r="AP75" i="9"/>
  <c r="AP64" i="9"/>
  <c r="AP73" i="9" s="1"/>
  <c r="AO63" i="9"/>
  <c r="BD23" i="9"/>
  <c r="BD22" i="9"/>
  <c r="BD21" i="9"/>
  <c r="BD20" i="9"/>
  <c r="BD19" i="9"/>
  <c r="BD18" i="9"/>
  <c r="BD17" i="9"/>
  <c r="BD16" i="9"/>
  <c r="BD15" i="9"/>
  <c r="AP23" i="9"/>
  <c r="AO23" i="9"/>
  <c r="AN23" i="9"/>
  <c r="AM23" i="9"/>
  <c r="AL23" i="9"/>
  <c r="AK23" i="9"/>
  <c r="AJ23" i="9"/>
  <c r="AI23" i="9"/>
  <c r="AP22" i="9"/>
  <c r="AO22" i="9"/>
  <c r="AN22" i="9"/>
  <c r="AM22" i="9"/>
  <c r="AL22" i="9"/>
  <c r="AK22" i="9"/>
  <c r="AJ22" i="9"/>
  <c r="AI22" i="9"/>
  <c r="AP21" i="9"/>
  <c r="AO21" i="9"/>
  <c r="AN21" i="9"/>
  <c r="AM21" i="9"/>
  <c r="AL21" i="9"/>
  <c r="AK21" i="9"/>
  <c r="AJ21" i="9"/>
  <c r="AI21" i="9"/>
  <c r="AP20" i="9"/>
  <c r="AO20" i="9"/>
  <c r="AN20" i="9"/>
  <c r="AM20" i="9"/>
  <c r="AL20" i="9"/>
  <c r="AK20" i="9"/>
  <c r="AJ20" i="9"/>
  <c r="AI20" i="9"/>
  <c r="AP19" i="9"/>
  <c r="AO19" i="9"/>
  <c r="AN19" i="9"/>
  <c r="AM19" i="9"/>
  <c r="AL19" i="9"/>
  <c r="AK19" i="9"/>
  <c r="AJ19" i="9"/>
  <c r="AI19" i="9"/>
  <c r="AP18" i="9"/>
  <c r="AO18" i="9"/>
  <c r="AN18" i="9"/>
  <c r="AM18" i="9"/>
  <c r="AL18" i="9"/>
  <c r="AK18" i="9"/>
  <c r="AJ18" i="9"/>
  <c r="AI18" i="9"/>
  <c r="AP17" i="9"/>
  <c r="AO17" i="9"/>
  <c r="AN17" i="9"/>
  <c r="AM17" i="9"/>
  <c r="AL17" i="9"/>
  <c r="AK17" i="9"/>
  <c r="AJ17" i="9"/>
  <c r="AI17" i="9"/>
  <c r="AP16" i="9"/>
  <c r="AO16" i="9"/>
  <c r="AN16" i="9"/>
  <c r="AM16" i="9"/>
  <c r="AL16" i="9"/>
  <c r="AK16" i="9"/>
  <c r="AJ16" i="9"/>
  <c r="AI16" i="9"/>
  <c r="AO15" i="9"/>
  <c r="AN15" i="9"/>
  <c r="AM15" i="9"/>
  <c r="AL15" i="9"/>
  <c r="AK15" i="9"/>
  <c r="AJ15" i="9"/>
  <c r="AI15" i="9"/>
  <c r="AP15" i="9"/>
  <c r="BE4" i="9"/>
  <c r="BE16" i="9" s="1"/>
  <c r="BE5" i="9"/>
  <c r="BE17" i="9" s="1"/>
  <c r="BE6" i="9"/>
  <c r="BE18" i="9" s="1"/>
  <c r="BE7" i="9"/>
  <c r="BE19" i="9" s="1"/>
  <c r="BE8" i="9"/>
  <c r="BE20" i="9" s="1"/>
  <c r="BE9" i="9"/>
  <c r="BE21" i="9" s="1"/>
  <c r="BE10" i="9"/>
  <c r="BE22" i="9" s="1"/>
  <c r="BE11" i="9"/>
  <c r="BE23" i="9" s="1"/>
  <c r="BE12" i="9"/>
  <c r="BE3" i="9"/>
  <c r="BE15" i="9" s="1"/>
  <c r="AO53" i="9"/>
  <c r="AP53" i="9"/>
  <c r="AO54" i="9"/>
  <c r="AP54" i="9"/>
  <c r="AO45" i="9"/>
  <c r="AP45" i="9"/>
  <c r="AO46" i="9"/>
  <c r="AP46" i="9"/>
  <c r="AP36" i="9"/>
  <c r="AO36" i="9"/>
  <c r="AO31" i="9"/>
  <c r="AO28" i="9"/>
  <c r="AP31" i="9"/>
  <c r="AP28" i="9"/>
  <c r="AQ39" i="9" l="1"/>
  <c r="AQ60" i="9"/>
  <c r="AQ55" i="9"/>
  <c r="BC63" i="9"/>
  <c r="AO120" i="9"/>
  <c r="R21" i="10"/>
  <c r="R55" i="10"/>
  <c r="R89" i="10" s="1"/>
  <c r="R25" i="10"/>
  <c r="N21" i="10"/>
  <c r="N55" i="10"/>
  <c r="N89" i="10" s="1"/>
  <c r="N25" i="10"/>
  <c r="W21" i="10"/>
  <c r="W55" i="10"/>
  <c r="W89" i="10" s="1"/>
  <c r="W25" i="10"/>
  <c r="M19" i="10"/>
  <c r="M26" i="10"/>
  <c r="L83" i="2"/>
  <c r="L88" i="2"/>
  <c r="M83" i="2"/>
  <c r="M88" i="2"/>
  <c r="V5" i="2"/>
  <c r="L34" i="2"/>
  <c r="AO104" i="9"/>
  <c r="AO116" i="9" s="1"/>
  <c r="BD82" i="9"/>
  <c r="BD84" i="9" s="1"/>
  <c r="BE54" i="9"/>
  <c r="BE36" i="9"/>
  <c r="BD63" i="9"/>
  <c r="BD87" i="9"/>
  <c r="L97" i="5"/>
  <c r="L98" i="5" s="1"/>
  <c r="L49" i="5"/>
  <c r="L26" i="5"/>
  <c r="L28" i="5" s="1"/>
  <c r="L31" i="5" s="1"/>
  <c r="L33" i="5" s="1"/>
  <c r="O116" i="2"/>
  <c r="N116" i="2"/>
  <c r="J116" i="2"/>
  <c r="K116" i="2"/>
  <c r="K117" i="2" s="1"/>
  <c r="L94" i="2" s="1"/>
  <c r="L116" i="2"/>
  <c r="G116" i="2"/>
  <c r="G117" i="2" s="1"/>
  <c r="H94" i="2" s="1"/>
  <c r="M116" i="2"/>
  <c r="H116" i="2"/>
  <c r="I116" i="2"/>
  <c r="J119" i="2"/>
  <c r="M75" i="2"/>
  <c r="L9" i="2"/>
  <c r="L13" i="2" s="1"/>
  <c r="L15" i="2" s="1"/>
  <c r="L17" i="2" s="1"/>
  <c r="M9" i="2"/>
  <c r="O13" i="2"/>
  <c r="O15" i="2" s="1"/>
  <c r="O17" i="2" s="1"/>
  <c r="BE108" i="9"/>
  <c r="BE114" i="9" s="1"/>
  <c r="BD104" i="9"/>
  <c r="BD116" i="9" s="1"/>
  <c r="BE31" i="9"/>
  <c r="AP82" i="9"/>
  <c r="AP84" i="9" s="1"/>
  <c r="BE48" i="9"/>
  <c r="BE82" i="9"/>
  <c r="BE84" i="9" s="1"/>
  <c r="AP108" i="9"/>
  <c r="AP114" i="9" s="1"/>
  <c r="AP63" i="9"/>
  <c r="AP32" i="9"/>
  <c r="AO32" i="9"/>
  <c r="AQ41" i="9" l="1"/>
  <c r="AQ57" i="9"/>
  <c r="AO59" i="9"/>
  <c r="AO58" i="9"/>
  <c r="AP52" i="9"/>
  <c r="AP58" i="9"/>
  <c r="AP59" i="9"/>
  <c r="M21" i="10"/>
  <c r="M55" i="10"/>
  <c r="M89" i="10" s="1"/>
  <c r="M25" i="10"/>
  <c r="H117" i="2"/>
  <c r="I94" i="2" s="1"/>
  <c r="I117" i="2" s="1"/>
  <c r="J94" i="2" s="1"/>
  <c r="J117" i="2" s="1"/>
  <c r="L117" i="2"/>
  <c r="M94" i="2" s="1"/>
  <c r="M117" i="2" s="1"/>
  <c r="N94" i="2" s="1"/>
  <c r="N117" i="2" s="1"/>
  <c r="O94" i="2" s="1"/>
  <c r="O117" i="2" s="1"/>
  <c r="P94" i="2" s="1"/>
  <c r="P117" i="2" s="1"/>
  <c r="O19" i="2"/>
  <c r="O93" i="2"/>
  <c r="O120" i="2" s="1"/>
  <c r="V9" i="2"/>
  <c r="W5" i="2"/>
  <c r="N93" i="2"/>
  <c r="N120" i="2" s="1"/>
  <c r="L19" i="2"/>
  <c r="L93" i="2"/>
  <c r="L120" i="2" s="1"/>
  <c r="M13" i="2"/>
  <c r="M15" i="2" s="1"/>
  <c r="M17" i="2" s="1"/>
  <c r="M22" i="2"/>
  <c r="AP37" i="9"/>
  <c r="AO37" i="9"/>
  <c r="AO60" i="9" s="1"/>
  <c r="AO52" i="9"/>
  <c r="AQ43" i="9" l="1"/>
  <c r="AQ89" i="9"/>
  <c r="AQ56" i="9"/>
  <c r="AP39" i="9"/>
  <c r="AP60" i="9"/>
  <c r="M19" i="2"/>
  <c r="M93" i="2"/>
  <c r="M120" i="2" s="1"/>
  <c r="AP55" i="9"/>
  <c r="AO39" i="9"/>
  <c r="AO55" i="9"/>
  <c r="AP41" i="9"/>
  <c r="AP89" i="9" s="1"/>
  <c r="AP57" i="9"/>
  <c r="AP43" i="9" l="1"/>
  <c r="AP56" i="9"/>
  <c r="AO41" i="9"/>
  <c r="AO89" i="9" s="1"/>
  <c r="AO57" i="9"/>
  <c r="AO43" i="9" l="1"/>
  <c r="AO56" i="9"/>
  <c r="K71" i="10" l="1"/>
  <c r="K85" i="10"/>
  <c r="L73" i="10"/>
  <c r="W73" i="10" s="1"/>
  <c r="L71" i="10"/>
  <c r="L81" i="10"/>
  <c r="K81" i="10"/>
  <c r="L69" i="10"/>
  <c r="L88" i="10" s="1"/>
  <c r="L90" i="10" s="1"/>
  <c r="K69" i="10"/>
  <c r="K88" i="10" s="1"/>
  <c r="K90" i="10" s="1"/>
  <c r="K52" i="10"/>
  <c r="J52" i="10"/>
  <c r="I52" i="10"/>
  <c r="H52" i="10"/>
  <c r="G52" i="10"/>
  <c r="L52" i="10"/>
  <c r="K43" i="10"/>
  <c r="K48" i="10" s="1"/>
  <c r="K50" i="10" s="1"/>
  <c r="K34" i="10"/>
  <c r="K33" i="10" s="1"/>
  <c r="L43" i="10"/>
  <c r="L48" i="10" s="1"/>
  <c r="L50" i="10" s="1"/>
  <c r="L34" i="10"/>
  <c r="L33" i="10" s="1"/>
  <c r="L30" i="10"/>
  <c r="K30" i="10"/>
  <c r="K14" i="10"/>
  <c r="K10" i="10"/>
  <c r="K23" i="10" s="1"/>
  <c r="L14" i="10"/>
  <c r="L10" i="10"/>
  <c r="L27" i="10" s="1"/>
  <c r="I34" i="2"/>
  <c r="G34" i="2"/>
  <c r="E34" i="2"/>
  <c r="C34" i="2"/>
  <c r="K74" i="10" l="1"/>
  <c r="K83" i="10" s="1"/>
  <c r="K84" i="10" s="1"/>
  <c r="J85" i="10" s="1"/>
  <c r="W71" i="10"/>
  <c r="W74" i="10" s="1"/>
  <c r="W83" i="10" s="1"/>
  <c r="L41" i="10"/>
  <c r="L53" i="10"/>
  <c r="K41" i="10"/>
  <c r="K53" i="10"/>
  <c r="L74" i="10"/>
  <c r="L83" i="10" s="1"/>
  <c r="L85" i="10" s="1"/>
  <c r="K27" i="10"/>
  <c r="K28" i="10"/>
  <c r="L28" i="10"/>
  <c r="L23" i="10"/>
  <c r="K15" i="10"/>
  <c r="L15" i="10"/>
  <c r="AA177" i="11"/>
  <c r="Z177" i="11"/>
  <c r="L17" i="10" l="1"/>
  <c r="L24" i="10"/>
  <c r="K17" i="10"/>
  <c r="K24" i="10"/>
  <c r="Z176" i="11"/>
  <c r="L19" i="10" l="1"/>
  <c r="L55" i="10" s="1"/>
  <c r="L89" i="10" s="1"/>
  <c r="L26" i="10"/>
  <c r="K19" i="10"/>
  <c r="K55" i="10" s="1"/>
  <c r="K89" i="10" s="1"/>
  <c r="K26" i="10"/>
  <c r="L19" i="1"/>
  <c r="L18" i="1"/>
  <c r="R17" i="1"/>
  <c r="R21" i="1" s="1"/>
  <c r="R22" i="1" s="1"/>
  <c r="K21" i="10" l="1"/>
  <c r="K25" i="10"/>
  <c r="L21" i="10"/>
  <c r="L25" i="10"/>
  <c r="AA32" i="5"/>
  <c r="AB32" i="5" s="1"/>
  <c r="AC32" i="5" s="1"/>
  <c r="AD32" i="5" s="1"/>
  <c r="AE32" i="5" s="1"/>
  <c r="AF32" i="5" s="1"/>
  <c r="AG32" i="5" s="1"/>
  <c r="AH32" i="5" s="1"/>
  <c r="AI32" i="5" s="1"/>
  <c r="AJ32" i="5" s="1"/>
  <c r="AK32" i="5" s="1"/>
  <c r="AL32" i="5" s="1"/>
  <c r="AM32" i="5" s="1"/>
  <c r="AN32" i="5" s="1"/>
  <c r="AO32" i="5" s="1"/>
  <c r="AP32" i="5" s="1"/>
  <c r="AQ32" i="5" s="1"/>
  <c r="AR32" i="5" s="1"/>
  <c r="AS32" i="5" s="1"/>
  <c r="AT32" i="5" s="1"/>
  <c r="AU32" i="5" s="1"/>
  <c r="AO39" i="5"/>
  <c r="AO38" i="12"/>
  <c r="AO37" i="12"/>
  <c r="AY31" i="12"/>
  <c r="AZ31" i="12" s="1"/>
  <c r="BA31" i="12" s="1"/>
  <c r="BB31" i="12" s="1"/>
  <c r="BC31" i="12" s="1"/>
  <c r="BD31" i="12" s="1"/>
  <c r="BE31" i="12" s="1"/>
  <c r="BF31" i="12" s="1"/>
  <c r="BG31" i="12" s="1"/>
  <c r="BH31" i="12" s="1"/>
  <c r="BI31" i="12" s="1"/>
  <c r="BJ31" i="12" s="1"/>
  <c r="BK31" i="12" s="1"/>
  <c r="BL31" i="12" s="1"/>
  <c r="BM31" i="12" s="1"/>
  <c r="BN31" i="12" s="1"/>
  <c r="BO31" i="12" s="1"/>
  <c r="BP31" i="12" s="1"/>
  <c r="BQ31" i="12" s="1"/>
  <c r="BR31" i="12" s="1"/>
  <c r="BS31" i="12" s="1"/>
  <c r="BT31" i="12" s="1"/>
  <c r="BU31" i="12" s="1"/>
  <c r="BV31" i="12" s="1"/>
  <c r="BW31" i="12" s="1"/>
  <c r="BX31" i="12" s="1"/>
  <c r="BY31" i="12" s="1"/>
  <c r="BZ31" i="12" s="1"/>
  <c r="CA31" i="12" s="1"/>
  <c r="CB31" i="12" s="1"/>
  <c r="CC31" i="12" s="1"/>
  <c r="CD31" i="12" s="1"/>
  <c r="CE31" i="12" s="1"/>
  <c r="CF31" i="12" s="1"/>
  <c r="CG31" i="12" s="1"/>
  <c r="CH31" i="12" s="1"/>
  <c r="CI31" i="12" s="1"/>
  <c r="CJ31" i="12" s="1"/>
  <c r="CK31" i="12" s="1"/>
  <c r="CL31" i="12" s="1"/>
  <c r="CM31" i="12" s="1"/>
  <c r="CN31" i="12" s="1"/>
  <c r="CO31" i="12" s="1"/>
  <c r="CP31" i="12" s="1"/>
  <c r="CQ31" i="12" s="1"/>
  <c r="CR31" i="12" s="1"/>
  <c r="CS31" i="12" s="1"/>
  <c r="CT31" i="12" s="1"/>
  <c r="CU31" i="12" s="1"/>
  <c r="CV31" i="12" s="1"/>
  <c r="CW31" i="12" s="1"/>
  <c r="CX31" i="12" s="1"/>
  <c r="CY31" i="12" s="1"/>
  <c r="CZ31" i="12" s="1"/>
  <c r="DA31" i="12" s="1"/>
  <c r="DB31" i="12" s="1"/>
  <c r="DC31" i="12" s="1"/>
  <c r="DD31" i="12" s="1"/>
  <c r="DE31" i="12" s="1"/>
  <c r="DF31" i="12" s="1"/>
  <c r="DG31" i="12" s="1"/>
  <c r="DH31" i="12" s="1"/>
  <c r="DI31" i="12" s="1"/>
  <c r="DJ31" i="12" s="1"/>
  <c r="DK31" i="12" s="1"/>
  <c r="DL31" i="12" s="1"/>
  <c r="DM31" i="12" s="1"/>
  <c r="DN31" i="12" s="1"/>
  <c r="DO31" i="12" s="1"/>
  <c r="DP31" i="12" s="1"/>
  <c r="DQ31" i="12" s="1"/>
  <c r="DR31" i="12" s="1"/>
  <c r="DS31" i="12" s="1"/>
  <c r="DT31" i="12" s="1"/>
  <c r="DU31" i="12" s="1"/>
  <c r="DV31" i="12" s="1"/>
  <c r="DW31" i="12" s="1"/>
  <c r="DX31" i="12" s="1"/>
  <c r="DY31" i="12" s="1"/>
  <c r="DZ31" i="12" s="1"/>
  <c r="EA31" i="12" s="1"/>
  <c r="EB31" i="12" s="1"/>
  <c r="EC31" i="12" s="1"/>
  <c r="ED31" i="12" s="1"/>
  <c r="EE31" i="12" s="1"/>
  <c r="EF31" i="12" s="1"/>
  <c r="EG31" i="12" s="1"/>
  <c r="EH31" i="12" s="1"/>
  <c r="EI31" i="12" s="1"/>
  <c r="EJ31" i="12" s="1"/>
  <c r="EK31" i="12" s="1"/>
  <c r="EL31" i="12" s="1"/>
  <c r="EM31" i="12" s="1"/>
  <c r="EN31" i="12" s="1"/>
  <c r="EO31" i="12" s="1"/>
  <c r="EP31" i="12" s="1"/>
  <c r="EQ31" i="12" s="1"/>
  <c r="ER31" i="12" s="1"/>
  <c r="ES31" i="12" s="1"/>
  <c r="ET31" i="12" s="1"/>
  <c r="EU31" i="12" s="1"/>
  <c r="EV31" i="12" s="1"/>
  <c r="EW31" i="12" s="1"/>
  <c r="EX31" i="12" s="1"/>
  <c r="EY31" i="12" s="1"/>
  <c r="EZ31" i="12" s="1"/>
  <c r="FA31" i="12" s="1"/>
  <c r="FB31" i="12" s="1"/>
  <c r="FC31" i="12" s="1"/>
  <c r="FD31" i="12" s="1"/>
  <c r="FE31" i="12" s="1"/>
  <c r="FF31" i="12" s="1"/>
  <c r="FG31" i="12" s="1"/>
  <c r="FH31" i="12" s="1"/>
  <c r="FI31" i="12" s="1"/>
  <c r="FJ31" i="12" s="1"/>
  <c r="FK31" i="12" s="1"/>
  <c r="FL31" i="12" s="1"/>
  <c r="FM31" i="12" s="1"/>
  <c r="FN31" i="12" s="1"/>
  <c r="FO31" i="12" s="1"/>
  <c r="FP31" i="12" s="1"/>
  <c r="FQ31" i="12" s="1"/>
  <c r="FR31" i="12" s="1"/>
  <c r="FS31" i="12" s="1"/>
  <c r="FT31" i="12" s="1"/>
  <c r="FU31" i="12" s="1"/>
  <c r="FV31" i="12" s="1"/>
  <c r="FW31" i="12" s="1"/>
  <c r="FX31" i="12" s="1"/>
  <c r="FY31" i="12" s="1"/>
  <c r="FZ31" i="12" s="1"/>
  <c r="GA31" i="12" s="1"/>
  <c r="GB31" i="12" s="1"/>
  <c r="GC31" i="12" s="1"/>
  <c r="GD31" i="12" s="1"/>
  <c r="GE31" i="12" s="1"/>
  <c r="GF31" i="12" s="1"/>
  <c r="GG31" i="12" s="1"/>
  <c r="GH31" i="12" s="1"/>
  <c r="GI31" i="12" s="1"/>
  <c r="GJ31" i="12" s="1"/>
  <c r="GK31" i="12" s="1"/>
  <c r="GL31" i="12" s="1"/>
  <c r="GM31" i="12" s="1"/>
  <c r="GN31" i="12" s="1"/>
  <c r="GO31" i="12" s="1"/>
  <c r="GP31" i="12" s="1"/>
  <c r="GQ31" i="12" s="1"/>
  <c r="GR31" i="12" s="1"/>
  <c r="GS31" i="12" s="1"/>
  <c r="GT31" i="12" s="1"/>
  <c r="GU31" i="12" s="1"/>
  <c r="GV31" i="12" s="1"/>
  <c r="GW31" i="12" s="1"/>
  <c r="GX31" i="12" s="1"/>
  <c r="GY31" i="12" s="1"/>
  <c r="GZ31" i="12" s="1"/>
  <c r="HA31" i="12" s="1"/>
  <c r="HB31" i="12" s="1"/>
  <c r="HC31" i="12" s="1"/>
  <c r="HD31" i="12" s="1"/>
  <c r="HE31" i="12" s="1"/>
  <c r="HF31" i="12" s="1"/>
  <c r="HG31" i="12" s="1"/>
  <c r="HH31" i="12" s="1"/>
  <c r="HI31" i="12" s="1"/>
  <c r="HJ31" i="12" s="1"/>
  <c r="HK31" i="12" s="1"/>
  <c r="HL31" i="12" s="1"/>
  <c r="HM31" i="12" s="1"/>
  <c r="HN31" i="12" s="1"/>
  <c r="HO31" i="12" s="1"/>
  <c r="HP31" i="12" s="1"/>
  <c r="HQ31" i="12" s="1"/>
  <c r="HR31" i="12" s="1"/>
  <c r="HS31" i="12" s="1"/>
  <c r="HT31" i="12" s="1"/>
  <c r="HU31" i="12" s="1"/>
  <c r="HV31" i="12" s="1"/>
  <c r="HW31" i="12" s="1"/>
  <c r="HX31" i="12" s="1"/>
  <c r="HY31" i="12" s="1"/>
  <c r="HZ31" i="12" s="1"/>
  <c r="IA31" i="12" s="1"/>
  <c r="IB31" i="12" s="1"/>
  <c r="IC31" i="12" s="1"/>
  <c r="ID31" i="12" s="1"/>
  <c r="IE31" i="12" s="1"/>
  <c r="IF31" i="12" s="1"/>
  <c r="IG31" i="12" s="1"/>
  <c r="IH31" i="12" s="1"/>
  <c r="II31" i="12" s="1"/>
  <c r="IJ31" i="12" s="1"/>
  <c r="IK31" i="12" s="1"/>
  <c r="IL31" i="12" s="1"/>
  <c r="IM31" i="12" s="1"/>
  <c r="IN31" i="12" s="1"/>
  <c r="IO31" i="12" s="1"/>
  <c r="IP31" i="12" s="1"/>
  <c r="IQ31" i="12" s="1"/>
  <c r="IR31" i="12" s="1"/>
  <c r="IS31" i="12" s="1"/>
  <c r="IT31" i="12" s="1"/>
  <c r="IU31" i="12" s="1"/>
  <c r="IV31" i="12" s="1"/>
  <c r="IW31" i="12" s="1"/>
  <c r="IX31" i="12" s="1"/>
  <c r="IY31" i="12" s="1"/>
  <c r="IZ31" i="12" s="1"/>
  <c r="JA31" i="12" s="1"/>
  <c r="JB31" i="12" s="1"/>
  <c r="JC31" i="12" s="1"/>
  <c r="JD31" i="12" s="1"/>
  <c r="JE31" i="12" s="1"/>
  <c r="JF31" i="12" s="1"/>
  <c r="JG31" i="12" s="1"/>
  <c r="JH31" i="12" s="1"/>
  <c r="JI31" i="12" s="1"/>
  <c r="JJ31" i="12" s="1"/>
  <c r="JK31" i="12" s="1"/>
  <c r="JL31" i="12" s="1"/>
  <c r="JM31" i="12" s="1"/>
  <c r="JN31" i="12" s="1"/>
  <c r="JO31" i="12" s="1"/>
  <c r="JP31" i="12" s="1"/>
  <c r="JQ31" i="12" s="1"/>
  <c r="JR31" i="12" s="1"/>
  <c r="JS31" i="12" s="1"/>
  <c r="JT31" i="12" s="1"/>
  <c r="JU31" i="12" s="1"/>
  <c r="JV31" i="12" s="1"/>
  <c r="JW31" i="12" s="1"/>
  <c r="JX31" i="12" s="1"/>
  <c r="JY31" i="12" s="1"/>
  <c r="JZ31" i="12" s="1"/>
  <c r="KA31" i="12" s="1"/>
  <c r="KB31" i="12" s="1"/>
  <c r="KC31" i="12" s="1"/>
  <c r="KD31" i="12" s="1"/>
  <c r="KE31" i="12" s="1"/>
  <c r="KF31" i="12" s="1"/>
  <c r="KG31" i="12" s="1"/>
  <c r="KH31" i="12" s="1"/>
  <c r="KI31" i="12" s="1"/>
  <c r="KJ31" i="12" s="1"/>
  <c r="KK31" i="12" s="1"/>
  <c r="KL31" i="12" s="1"/>
  <c r="KM31" i="12" s="1"/>
  <c r="KN31" i="12" s="1"/>
  <c r="KO31" i="12" s="1"/>
  <c r="KP31" i="12" s="1"/>
  <c r="KQ31" i="12" s="1"/>
  <c r="KR31" i="12" s="1"/>
  <c r="KS31" i="12" s="1"/>
  <c r="KT31" i="12" s="1"/>
  <c r="KU31" i="12" s="1"/>
  <c r="KV31" i="12" s="1"/>
  <c r="KW31" i="12" s="1"/>
  <c r="KX31" i="12" s="1"/>
  <c r="KY31" i="12" s="1"/>
  <c r="KZ31" i="12" s="1"/>
  <c r="LA31" i="12" s="1"/>
  <c r="LB31" i="12" s="1"/>
  <c r="LC31" i="12" s="1"/>
  <c r="LD31" i="12" s="1"/>
  <c r="LE31" i="12" s="1"/>
  <c r="LF31" i="12" s="1"/>
  <c r="LG31" i="12" s="1"/>
  <c r="LH31" i="12" s="1"/>
  <c r="LI31" i="12" s="1"/>
  <c r="LJ31" i="12" s="1"/>
  <c r="LK31" i="12" s="1"/>
  <c r="LL31" i="12" s="1"/>
  <c r="LM31" i="12" s="1"/>
  <c r="LN31" i="12" s="1"/>
  <c r="LO31" i="12" s="1"/>
  <c r="LP31" i="12" s="1"/>
  <c r="LQ31" i="12" s="1"/>
  <c r="LR31" i="12" s="1"/>
  <c r="LS31" i="12" s="1"/>
  <c r="LT31" i="12" s="1"/>
  <c r="LU31" i="12" s="1"/>
  <c r="LV31" i="12" s="1"/>
  <c r="LW31" i="12" s="1"/>
  <c r="LX31" i="12" s="1"/>
  <c r="LY31" i="12" s="1"/>
  <c r="LZ31" i="12" s="1"/>
  <c r="MA31" i="12" s="1"/>
  <c r="MB31" i="12" s="1"/>
  <c r="MC31" i="12" s="1"/>
  <c r="MD31" i="12" s="1"/>
  <c r="ME31" i="12" s="1"/>
  <c r="MF31" i="12" s="1"/>
  <c r="MG31" i="12" s="1"/>
  <c r="MH31" i="12" s="1"/>
  <c r="MI31" i="12" s="1"/>
  <c r="MJ31" i="12" s="1"/>
  <c r="MK31" i="12" s="1"/>
  <c r="ML31" i="12" s="1"/>
  <c r="MM31" i="12" s="1"/>
  <c r="MN31" i="12" s="1"/>
  <c r="MO31" i="12" s="1"/>
  <c r="MP31" i="12" s="1"/>
  <c r="MQ31" i="12" s="1"/>
  <c r="MR31" i="12" s="1"/>
  <c r="MS31" i="12" s="1"/>
  <c r="MT31" i="12" s="1"/>
  <c r="MU31" i="12" s="1"/>
  <c r="MV31" i="12" s="1"/>
  <c r="MW31" i="12" s="1"/>
  <c r="MX31" i="12" s="1"/>
  <c r="MY31" i="12" s="1"/>
  <c r="MZ31" i="12" s="1"/>
  <c r="NA31" i="12" s="1"/>
  <c r="NB31" i="12" s="1"/>
  <c r="NC31" i="12" s="1"/>
  <c r="ND31" i="12" s="1"/>
  <c r="NE31" i="12" s="1"/>
  <c r="NF31" i="12" s="1"/>
  <c r="NG31" i="12" s="1"/>
  <c r="NH31" i="12" s="1"/>
  <c r="NI31" i="12" s="1"/>
  <c r="NJ31" i="12" s="1"/>
  <c r="NK31" i="12" s="1"/>
  <c r="NL31" i="12" s="1"/>
  <c r="NM31" i="12" s="1"/>
  <c r="NN31" i="12" s="1"/>
  <c r="NO31" i="12" s="1"/>
  <c r="NP31" i="12" s="1"/>
  <c r="NQ31" i="12" s="1"/>
  <c r="NR31" i="12" s="1"/>
  <c r="NS31" i="12" s="1"/>
  <c r="NT31" i="12" s="1"/>
  <c r="NU31" i="12" s="1"/>
  <c r="NV31" i="12" s="1"/>
  <c r="NW31" i="12" s="1"/>
  <c r="NX31" i="12" s="1"/>
  <c r="NY31" i="12" s="1"/>
  <c r="NZ31" i="12" s="1"/>
  <c r="OA31" i="12" s="1"/>
  <c r="OB31" i="12" s="1"/>
  <c r="OC31" i="12" s="1"/>
  <c r="OD31" i="12" s="1"/>
  <c r="OE31" i="12" s="1"/>
  <c r="OF31" i="12" s="1"/>
  <c r="OG31" i="12" s="1"/>
  <c r="OH31" i="12" s="1"/>
  <c r="OI31" i="12" s="1"/>
  <c r="OJ31" i="12" s="1"/>
  <c r="OK31" i="12" s="1"/>
  <c r="OL31" i="12" s="1"/>
  <c r="OM31" i="12" s="1"/>
  <c r="ON31" i="12" s="1"/>
  <c r="OO31" i="12" s="1"/>
  <c r="OP31" i="12" s="1"/>
  <c r="OQ31" i="12" s="1"/>
  <c r="OR31" i="12" s="1"/>
  <c r="OS31" i="12" s="1"/>
  <c r="OT31" i="12" s="1"/>
  <c r="OU31" i="12" s="1"/>
  <c r="OV31" i="12" s="1"/>
  <c r="OW31" i="12" s="1"/>
  <c r="OX31" i="12" s="1"/>
  <c r="OY31" i="12" s="1"/>
  <c r="OZ31" i="12" s="1"/>
  <c r="PA31" i="12" s="1"/>
  <c r="PB31" i="12" s="1"/>
  <c r="PC31" i="12" s="1"/>
  <c r="PD31" i="12" s="1"/>
  <c r="PE31" i="12" s="1"/>
  <c r="PF31" i="12" s="1"/>
  <c r="PG31" i="12" s="1"/>
  <c r="PH31" i="12" s="1"/>
  <c r="PI31" i="12" s="1"/>
  <c r="PJ31" i="12" s="1"/>
  <c r="PK31" i="12" s="1"/>
  <c r="PL31" i="12" s="1"/>
  <c r="PM31" i="12" s="1"/>
  <c r="PN31" i="12" s="1"/>
  <c r="PO31" i="12" s="1"/>
  <c r="PP31" i="12" s="1"/>
  <c r="PQ31" i="12" s="1"/>
  <c r="PR31" i="12" s="1"/>
  <c r="PS31" i="12" s="1"/>
  <c r="PT31" i="12" s="1"/>
  <c r="PU31" i="12" s="1"/>
  <c r="PV31" i="12" s="1"/>
  <c r="PW31" i="12" s="1"/>
  <c r="PX31" i="12" s="1"/>
  <c r="PY31" i="12" s="1"/>
  <c r="PZ31" i="12" s="1"/>
  <c r="QA31" i="12" s="1"/>
  <c r="QB31" i="12" s="1"/>
  <c r="QC31" i="12" s="1"/>
  <c r="QD31" i="12" s="1"/>
  <c r="QE31" i="12" s="1"/>
  <c r="QF31" i="12" s="1"/>
  <c r="QG31" i="12" s="1"/>
  <c r="QH31" i="12" s="1"/>
  <c r="QI31" i="12" s="1"/>
  <c r="QJ31" i="12" s="1"/>
  <c r="QK31" i="12" s="1"/>
  <c r="QL31" i="12" s="1"/>
  <c r="QM31" i="12" s="1"/>
  <c r="QN31" i="12" s="1"/>
  <c r="QO31" i="12" s="1"/>
  <c r="QP31" i="12" s="1"/>
  <c r="QQ31" i="12" s="1"/>
  <c r="QR31" i="12" s="1"/>
  <c r="QS31" i="12" s="1"/>
  <c r="QT31" i="12" s="1"/>
  <c r="QU31" i="12" s="1"/>
  <c r="QV31" i="12" s="1"/>
  <c r="QW31" i="12" s="1"/>
  <c r="QX31" i="12" s="1"/>
  <c r="QY31" i="12" s="1"/>
  <c r="QZ31" i="12" s="1"/>
  <c r="RA31" i="12" s="1"/>
  <c r="RB31" i="12" s="1"/>
  <c r="RC31" i="12" s="1"/>
  <c r="RD31" i="12" s="1"/>
  <c r="RE31" i="12" s="1"/>
  <c r="RF31" i="12" s="1"/>
  <c r="RG31" i="12" s="1"/>
  <c r="RH31" i="12" s="1"/>
  <c r="RI31" i="12" s="1"/>
  <c r="RJ31" i="12" s="1"/>
  <c r="RK31" i="12" s="1"/>
  <c r="RL31" i="12" s="1"/>
  <c r="RM31" i="12" s="1"/>
  <c r="RN31" i="12" s="1"/>
  <c r="RO31" i="12" s="1"/>
  <c r="RP31" i="12" s="1"/>
  <c r="RQ31" i="12" s="1"/>
  <c r="RR31" i="12" s="1"/>
  <c r="RS31" i="12" s="1"/>
  <c r="RT31" i="12" s="1"/>
  <c r="RU31" i="12" s="1"/>
  <c r="RV31" i="12" s="1"/>
  <c r="RW31" i="12" s="1"/>
  <c r="RX31" i="12" s="1"/>
  <c r="RY31" i="12" s="1"/>
  <c r="RZ31" i="12" s="1"/>
  <c r="SA31" i="12" s="1"/>
  <c r="SB31" i="12" s="1"/>
  <c r="SC31" i="12" s="1"/>
  <c r="SD31" i="12" s="1"/>
  <c r="SE31" i="12" s="1"/>
  <c r="SF31" i="12" s="1"/>
  <c r="SG31" i="12" s="1"/>
  <c r="SH31" i="12" s="1"/>
  <c r="SI31" i="12" s="1"/>
  <c r="SJ31" i="12" s="1"/>
  <c r="SK31" i="12" s="1"/>
  <c r="SL31" i="12" s="1"/>
  <c r="SM31" i="12" s="1"/>
  <c r="SN31" i="12" s="1"/>
  <c r="SO31" i="12" s="1"/>
  <c r="SP31" i="12" s="1"/>
  <c r="SQ31" i="12" s="1"/>
  <c r="SR31" i="12" s="1"/>
  <c r="SS31" i="12" s="1"/>
  <c r="ST31" i="12" s="1"/>
  <c r="SU31" i="12" s="1"/>
  <c r="SV31" i="12" s="1"/>
  <c r="SW31" i="12" s="1"/>
  <c r="SX31" i="12" s="1"/>
  <c r="SY31" i="12" s="1"/>
  <c r="SZ31" i="12" s="1"/>
  <c r="TA31" i="12" s="1"/>
  <c r="TB31" i="12" s="1"/>
  <c r="TC31" i="12" s="1"/>
  <c r="TD31" i="12" s="1"/>
  <c r="TE31" i="12" s="1"/>
  <c r="TF31" i="12" s="1"/>
  <c r="TG31" i="12" s="1"/>
  <c r="TH31" i="12" s="1"/>
  <c r="TI31" i="12" s="1"/>
  <c r="TJ31" i="12" s="1"/>
  <c r="TK31" i="12" s="1"/>
  <c r="TL31" i="12" s="1"/>
  <c r="TM31" i="12" s="1"/>
  <c r="TN31" i="12" s="1"/>
  <c r="TO31" i="12" s="1"/>
  <c r="TP31" i="12" s="1"/>
  <c r="TQ31" i="12" s="1"/>
  <c r="TR31" i="12" s="1"/>
  <c r="TS31" i="12" s="1"/>
  <c r="TT31" i="12" s="1"/>
  <c r="TU31" i="12" s="1"/>
  <c r="TV31" i="12" s="1"/>
  <c r="TW31" i="12" s="1"/>
  <c r="TX31" i="12" s="1"/>
  <c r="TY31" i="12" s="1"/>
  <c r="TZ31" i="12" s="1"/>
  <c r="UA31" i="12" s="1"/>
  <c r="UB31" i="12" s="1"/>
  <c r="UC31" i="12" s="1"/>
  <c r="UD31" i="12" s="1"/>
  <c r="UE31" i="12" s="1"/>
  <c r="UF31" i="12" s="1"/>
  <c r="UG31" i="12" s="1"/>
  <c r="UH31" i="12" s="1"/>
  <c r="UI31" i="12" s="1"/>
  <c r="UJ31" i="12" s="1"/>
  <c r="UK31" i="12" s="1"/>
  <c r="UL31" i="12" s="1"/>
  <c r="UM31" i="12" s="1"/>
  <c r="UN31" i="12" s="1"/>
  <c r="UO31" i="12" s="1"/>
  <c r="UP31" i="12" s="1"/>
  <c r="UQ31" i="12" s="1"/>
  <c r="UR31" i="12" s="1"/>
  <c r="US31" i="12" s="1"/>
  <c r="UT31" i="12" s="1"/>
  <c r="UU31" i="12" s="1"/>
  <c r="UV31" i="12" s="1"/>
  <c r="UW31" i="12" s="1"/>
  <c r="UX31" i="12" s="1"/>
  <c r="UY31" i="12" s="1"/>
  <c r="UZ31" i="12" s="1"/>
  <c r="VA31" i="12" s="1"/>
  <c r="VB31" i="12" s="1"/>
  <c r="VC31" i="12" s="1"/>
  <c r="VD31" i="12" s="1"/>
  <c r="VE31" i="12" s="1"/>
  <c r="VF31" i="12" s="1"/>
  <c r="VG31" i="12" s="1"/>
  <c r="VH31" i="12" s="1"/>
  <c r="VI31" i="12" s="1"/>
  <c r="VJ31" i="12" s="1"/>
  <c r="VK31" i="12" s="1"/>
  <c r="VL31" i="12" s="1"/>
  <c r="VM31" i="12" s="1"/>
  <c r="VN31" i="12" s="1"/>
  <c r="VO31" i="12" s="1"/>
  <c r="VP31" i="12" s="1"/>
  <c r="VQ31" i="12" s="1"/>
  <c r="VR31" i="12" s="1"/>
  <c r="VS31" i="12" s="1"/>
  <c r="VT31" i="12" s="1"/>
  <c r="VU31" i="12" s="1"/>
  <c r="VV31" i="12" s="1"/>
  <c r="VW31" i="12" s="1"/>
  <c r="VX31" i="12" s="1"/>
  <c r="VY31" i="12" s="1"/>
  <c r="VZ31" i="12" s="1"/>
  <c r="WA31" i="12" s="1"/>
  <c r="WB31" i="12" s="1"/>
  <c r="WC31" i="12" s="1"/>
  <c r="WD31" i="12" s="1"/>
  <c r="WE31" i="12" s="1"/>
  <c r="WF31" i="12" s="1"/>
  <c r="WG31" i="12" s="1"/>
  <c r="WH31" i="12" s="1"/>
  <c r="WI31" i="12" s="1"/>
  <c r="WJ31" i="12" s="1"/>
  <c r="WK31" i="12" s="1"/>
  <c r="WL31" i="12" s="1"/>
  <c r="WM31" i="12" s="1"/>
  <c r="WN31" i="12" s="1"/>
  <c r="WO31" i="12" s="1"/>
  <c r="WP31" i="12" s="1"/>
  <c r="WQ31" i="12" s="1"/>
  <c r="WR31" i="12" s="1"/>
  <c r="WS31" i="12" s="1"/>
  <c r="WT31" i="12" s="1"/>
  <c r="WU31" i="12" s="1"/>
  <c r="WV31" i="12" s="1"/>
  <c r="WW31" i="12" s="1"/>
  <c r="WX31" i="12" s="1"/>
  <c r="WY31" i="12" s="1"/>
  <c r="WZ31" i="12" s="1"/>
  <c r="XA31" i="12" s="1"/>
  <c r="XB31" i="12" s="1"/>
  <c r="XC31" i="12" s="1"/>
  <c r="XD31" i="12" s="1"/>
  <c r="XE31" i="12" s="1"/>
  <c r="XF31" i="12" s="1"/>
  <c r="XG31" i="12" s="1"/>
  <c r="XH31" i="12" s="1"/>
  <c r="XI31" i="12" s="1"/>
  <c r="XJ31" i="12" s="1"/>
  <c r="XK31" i="12" s="1"/>
  <c r="XL31" i="12" s="1"/>
  <c r="XM31" i="12" s="1"/>
  <c r="XN31" i="12" s="1"/>
  <c r="XO31" i="12" s="1"/>
  <c r="XP31" i="12" s="1"/>
  <c r="XQ31" i="12" s="1"/>
  <c r="XR31" i="12" s="1"/>
  <c r="XS31" i="12" s="1"/>
  <c r="XT31" i="12" s="1"/>
  <c r="XU31" i="12" s="1"/>
  <c r="XV31" i="12" s="1"/>
  <c r="XW31" i="12" s="1"/>
  <c r="XX31" i="12" s="1"/>
  <c r="XY31" i="12" s="1"/>
  <c r="XZ31" i="12" s="1"/>
  <c r="YA31" i="12" s="1"/>
  <c r="YB31" i="12" s="1"/>
  <c r="YC31" i="12" s="1"/>
  <c r="YD31" i="12" s="1"/>
  <c r="YE31" i="12" s="1"/>
  <c r="YF31" i="12" s="1"/>
  <c r="YG31" i="12" s="1"/>
  <c r="YH31" i="12" s="1"/>
  <c r="YI31" i="12" s="1"/>
  <c r="YJ31" i="12" s="1"/>
  <c r="YK31" i="12" s="1"/>
  <c r="YL31" i="12" s="1"/>
  <c r="YM31" i="12" s="1"/>
  <c r="YN31" i="12" s="1"/>
  <c r="YO31" i="12" s="1"/>
  <c r="YP31" i="12" s="1"/>
  <c r="YQ31" i="12" s="1"/>
  <c r="YR31" i="12" s="1"/>
  <c r="YS31" i="12" s="1"/>
  <c r="YT31" i="12" s="1"/>
  <c r="YU31" i="12" s="1"/>
  <c r="YV31" i="12" s="1"/>
  <c r="YW31" i="12" s="1"/>
  <c r="YX31" i="12" s="1"/>
  <c r="YY31" i="12" s="1"/>
  <c r="YZ31" i="12" s="1"/>
  <c r="ZA31" i="12" s="1"/>
  <c r="ZB31" i="12" s="1"/>
  <c r="ZC31" i="12" s="1"/>
  <c r="ZD31" i="12" s="1"/>
  <c r="ZE31" i="12" s="1"/>
  <c r="ZF31" i="12" s="1"/>
  <c r="ZG31" i="12" s="1"/>
  <c r="ZH31" i="12" s="1"/>
  <c r="ZI31" i="12" s="1"/>
  <c r="ZJ31" i="12" s="1"/>
  <c r="ZK31" i="12" s="1"/>
  <c r="ZL31" i="12" s="1"/>
  <c r="ZM31" i="12" s="1"/>
  <c r="ZN31" i="12" s="1"/>
  <c r="ZO31" i="12" s="1"/>
  <c r="ZP31" i="12" s="1"/>
  <c r="ZQ31" i="12" s="1"/>
  <c r="ZR31" i="12" s="1"/>
  <c r="ZS31" i="12" s="1"/>
  <c r="ZT31" i="12" s="1"/>
  <c r="ZU31" i="12" s="1"/>
  <c r="ZV31" i="12" s="1"/>
  <c r="ZW31" i="12" s="1"/>
  <c r="ZX31" i="12" s="1"/>
  <c r="ZY31" i="12" s="1"/>
  <c r="ZZ31" i="12" s="1"/>
  <c r="AAA31" i="12" s="1"/>
  <c r="AAB31" i="12" s="1"/>
  <c r="AAC31" i="12" s="1"/>
  <c r="AAD31" i="12" s="1"/>
  <c r="AAE31" i="12" s="1"/>
  <c r="AAF31" i="12" s="1"/>
  <c r="AAG31" i="12" s="1"/>
  <c r="AAH31" i="12" s="1"/>
  <c r="AAI31" i="12" s="1"/>
  <c r="AAJ31" i="12" s="1"/>
  <c r="AAK31" i="12" s="1"/>
  <c r="AAL31" i="12" s="1"/>
  <c r="AAM31" i="12" s="1"/>
  <c r="AAN31" i="12" s="1"/>
  <c r="AAO31" i="12" s="1"/>
  <c r="AAP31" i="12" s="1"/>
  <c r="AAQ31" i="12" s="1"/>
  <c r="AAR31" i="12" s="1"/>
  <c r="AAS31" i="12" s="1"/>
  <c r="AAT31" i="12" s="1"/>
  <c r="AAU31" i="12" s="1"/>
  <c r="AAV31" i="12" s="1"/>
  <c r="AAW31" i="12" s="1"/>
  <c r="AAX31" i="12" s="1"/>
  <c r="AAY31" i="12" s="1"/>
  <c r="AAZ31" i="12" s="1"/>
  <c r="ABA31" i="12" s="1"/>
  <c r="ABB31" i="12" s="1"/>
  <c r="ABC31" i="12" s="1"/>
  <c r="ABD31" i="12" s="1"/>
  <c r="ABE31" i="12" s="1"/>
  <c r="ABF31" i="12" s="1"/>
  <c r="ABG31" i="12" s="1"/>
  <c r="ABH31" i="12" s="1"/>
  <c r="ABI31" i="12" s="1"/>
  <c r="ABJ31" i="12" s="1"/>
  <c r="ABK31" i="12" s="1"/>
  <c r="ABL31" i="12" s="1"/>
  <c r="ABM31" i="12" s="1"/>
  <c r="ABN31" i="12" s="1"/>
  <c r="ABO31" i="12" s="1"/>
  <c r="ABP31" i="12" s="1"/>
  <c r="ABQ31" i="12" s="1"/>
  <c r="ABR31" i="12" s="1"/>
  <c r="ABS31" i="12" s="1"/>
  <c r="ABT31" i="12" s="1"/>
  <c r="AW31" i="12"/>
  <c r="AX31" i="12" s="1"/>
  <c r="AV72" i="2"/>
  <c r="AW72" i="2" s="1"/>
  <c r="AV31" i="12"/>
  <c r="AB31" i="5"/>
  <c r="V17" i="5"/>
  <c r="U17" i="5"/>
  <c r="AC17" i="5" s="1"/>
  <c r="AB17" i="5"/>
  <c r="AA17" i="5"/>
  <c r="T42" i="5"/>
  <c r="S42" i="5"/>
  <c r="R42" i="5"/>
  <c r="Q42" i="5"/>
  <c r="P42" i="5"/>
  <c r="P41" i="5"/>
  <c r="Q41" i="5"/>
  <c r="R41" i="5"/>
  <c r="S41" i="5"/>
  <c r="T41" i="5"/>
  <c r="J46" i="5"/>
  <c r="I46" i="5"/>
  <c r="K45" i="5"/>
  <c r="J44" i="5"/>
  <c r="I44" i="5"/>
  <c r="H44" i="5"/>
  <c r="G44" i="5"/>
  <c r="J43" i="5"/>
  <c r="I43" i="5"/>
  <c r="H43" i="5"/>
  <c r="G43" i="5"/>
  <c r="K44" i="5"/>
  <c r="K43" i="5"/>
  <c r="AA91" i="5"/>
  <c r="AA95" i="5" s="1"/>
  <c r="AA89" i="5"/>
  <c r="AA90" i="5" s="1"/>
  <c r="AA85" i="5"/>
  <c r="Z96" i="5"/>
  <c r="Y96" i="5"/>
  <c r="Z94" i="5"/>
  <c r="Y94" i="5"/>
  <c r="Z93" i="5"/>
  <c r="Y93" i="5"/>
  <c r="Z92" i="5"/>
  <c r="Y92" i="5"/>
  <c r="Z88" i="5"/>
  <c r="Y88" i="5"/>
  <c r="Z87" i="5"/>
  <c r="Y87" i="5"/>
  <c r="Z86" i="5"/>
  <c r="Y86" i="5"/>
  <c r="Z84" i="5"/>
  <c r="Y84" i="5"/>
  <c r="Z83" i="5"/>
  <c r="Y83" i="5"/>
  <c r="Z82" i="5"/>
  <c r="Y82" i="5"/>
  <c r="Z81" i="5"/>
  <c r="Y81" i="5"/>
  <c r="Z80" i="5"/>
  <c r="Y80" i="5"/>
  <c r="Z79" i="5"/>
  <c r="Y79" i="5"/>
  <c r="Z78" i="5"/>
  <c r="Y78" i="5"/>
  <c r="Z77" i="5"/>
  <c r="Y77" i="5"/>
  <c r="Z76" i="5"/>
  <c r="Y76" i="5"/>
  <c r="Z75" i="5"/>
  <c r="Y75" i="5"/>
  <c r="Y74" i="5"/>
  <c r="Z74" i="5"/>
  <c r="Y73" i="5"/>
  <c r="Z73" i="5"/>
  <c r="Y65" i="5"/>
  <c r="Y67" i="5" s="1"/>
  <c r="Y58" i="5"/>
  <c r="Y49" i="5"/>
  <c r="G65" i="5"/>
  <c r="G67" i="5" s="1"/>
  <c r="G58" i="5"/>
  <c r="G49" i="5"/>
  <c r="C29" i="5"/>
  <c r="C27" i="5"/>
  <c r="C91" i="5"/>
  <c r="C89" i="5"/>
  <c r="C90" i="5" s="1"/>
  <c r="C85" i="5"/>
  <c r="D29" i="5"/>
  <c r="D27" i="5"/>
  <c r="H29" i="5"/>
  <c r="H27" i="5"/>
  <c r="D91" i="5"/>
  <c r="D95" i="5" s="1"/>
  <c r="D89" i="5"/>
  <c r="D90" i="5" s="1"/>
  <c r="D85" i="5"/>
  <c r="H91" i="5"/>
  <c r="H95" i="5" s="1"/>
  <c r="H89" i="5"/>
  <c r="H90" i="5" s="1"/>
  <c r="H85" i="5"/>
  <c r="E29" i="5"/>
  <c r="E27" i="5"/>
  <c r="I29" i="5"/>
  <c r="I27" i="5"/>
  <c r="E91" i="5"/>
  <c r="E95" i="5" s="1"/>
  <c r="E89" i="5"/>
  <c r="E90" i="5" s="1"/>
  <c r="E85" i="5"/>
  <c r="E101" i="5" s="1"/>
  <c r="I91" i="5"/>
  <c r="I95" i="5" s="1"/>
  <c r="I89" i="5"/>
  <c r="I90" i="5" s="1"/>
  <c r="I85" i="5"/>
  <c r="Z11" i="5"/>
  <c r="Z13" i="5" s="1"/>
  <c r="Y11" i="5"/>
  <c r="Y13" i="5" s="1"/>
  <c r="X11" i="5"/>
  <c r="X13" i="5" s="1"/>
  <c r="F65" i="5"/>
  <c r="F67" i="5" s="1"/>
  <c r="F58" i="5"/>
  <c r="F49" i="5"/>
  <c r="F27" i="5"/>
  <c r="J29" i="5"/>
  <c r="J27" i="5"/>
  <c r="F91" i="5"/>
  <c r="F95" i="5" s="1"/>
  <c r="F89" i="5"/>
  <c r="F90" i="5" s="1"/>
  <c r="F85" i="5"/>
  <c r="F101" i="5" s="1"/>
  <c r="J91" i="5"/>
  <c r="J95" i="5" s="1"/>
  <c r="J89" i="5"/>
  <c r="J90" i="5" s="1"/>
  <c r="J85" i="5"/>
  <c r="J101" i="5" s="1"/>
  <c r="F11" i="5"/>
  <c r="E11" i="5"/>
  <c r="D11" i="5"/>
  <c r="C11" i="5"/>
  <c r="J11" i="5"/>
  <c r="I11" i="5"/>
  <c r="H11" i="5"/>
  <c r="G11" i="5"/>
  <c r="K11" i="5"/>
  <c r="G91" i="5"/>
  <c r="G95" i="5" s="1"/>
  <c r="G89" i="5"/>
  <c r="G90" i="5" s="1"/>
  <c r="G85" i="5"/>
  <c r="G101" i="5" s="1"/>
  <c r="K85" i="5"/>
  <c r="K101" i="5" s="1"/>
  <c r="AA49" i="5"/>
  <c r="Z49" i="5"/>
  <c r="J49" i="5"/>
  <c r="K49" i="5"/>
  <c r="AA65" i="5"/>
  <c r="AA67" i="5" s="1"/>
  <c r="AA58" i="5"/>
  <c r="Z65" i="5"/>
  <c r="Z67" i="5" s="1"/>
  <c r="Z58" i="5"/>
  <c r="K58" i="5"/>
  <c r="K91" i="5"/>
  <c r="K95" i="5" s="1"/>
  <c r="K89" i="5"/>
  <c r="K90" i="5" s="1"/>
  <c r="J65" i="5"/>
  <c r="J67" i="5" s="1"/>
  <c r="J58" i="5"/>
  <c r="I65" i="5"/>
  <c r="I67" i="5" s="1"/>
  <c r="H65" i="5"/>
  <c r="H67" i="5" s="1"/>
  <c r="I58" i="5"/>
  <c r="H58" i="5"/>
  <c r="K65" i="5"/>
  <c r="K67" i="5" s="1"/>
  <c r="G29" i="5"/>
  <c r="G27" i="5"/>
  <c r="J25" i="5"/>
  <c r="I25" i="5"/>
  <c r="H25" i="5"/>
  <c r="G25" i="5"/>
  <c r="F25" i="5"/>
  <c r="E25" i="5"/>
  <c r="D25" i="5"/>
  <c r="C25" i="5"/>
  <c r="J17" i="5"/>
  <c r="J19" i="5" s="1"/>
  <c r="J36" i="5" s="1"/>
  <c r="I17" i="5"/>
  <c r="I19" i="5" s="1"/>
  <c r="I36" i="5" s="1"/>
  <c r="H17" i="5"/>
  <c r="H19" i="5" s="1"/>
  <c r="H36" i="5" s="1"/>
  <c r="G17" i="5"/>
  <c r="G19" i="5" s="1"/>
  <c r="G36" i="5" s="1"/>
  <c r="F17" i="5"/>
  <c r="F19" i="5" s="1"/>
  <c r="F36" i="5" s="1"/>
  <c r="E17" i="5"/>
  <c r="E19" i="5" s="1"/>
  <c r="E36" i="5" s="1"/>
  <c r="D17" i="5"/>
  <c r="D19" i="5" s="1"/>
  <c r="D36" i="5" s="1"/>
  <c r="C17" i="5"/>
  <c r="C19" i="5" s="1"/>
  <c r="C36" i="5" s="1"/>
  <c r="K29" i="5"/>
  <c r="K27" i="5"/>
  <c r="K25" i="5"/>
  <c r="K17" i="5"/>
  <c r="K19" i="5" s="1"/>
  <c r="K36" i="5" s="1"/>
  <c r="Z174" i="11"/>
  <c r="AX26" i="11"/>
  <c r="AV2" i="11"/>
  <c r="AW2" i="11" s="1"/>
  <c r="AX2" i="11" s="1"/>
  <c r="AY2" i="11" s="1"/>
  <c r="AZ2" i="11" s="1"/>
  <c r="BA2" i="11" s="1"/>
  <c r="BB2" i="11" s="1"/>
  <c r="BC2" i="11" s="1"/>
  <c r="BD2" i="11" s="1"/>
  <c r="BE2" i="11" s="1"/>
  <c r="BF2" i="11" s="1"/>
  <c r="BG2" i="11" s="1"/>
  <c r="BH2" i="11" s="1"/>
  <c r="BI2" i="11" s="1"/>
  <c r="BJ2" i="11" s="1"/>
  <c r="BK2" i="11" s="1"/>
  <c r="BL2" i="11" s="1"/>
  <c r="BM2" i="11" s="1"/>
  <c r="BN2" i="11" s="1"/>
  <c r="BO2" i="11" s="1"/>
  <c r="BP2" i="11" s="1"/>
  <c r="BQ2" i="11" s="1"/>
  <c r="BR2" i="11" s="1"/>
  <c r="BS2" i="11" s="1"/>
  <c r="BT2" i="11" s="1"/>
  <c r="BU2" i="11" s="1"/>
  <c r="BV2" i="11" s="1"/>
  <c r="BW2" i="11" s="1"/>
  <c r="BX2" i="11" s="1"/>
  <c r="BY2" i="11" s="1"/>
  <c r="BZ2" i="11" s="1"/>
  <c r="CA2" i="11" s="1"/>
  <c r="CB2" i="11" s="1"/>
  <c r="CC2" i="11" s="1"/>
  <c r="CD2" i="11" s="1"/>
  <c r="CE2" i="11" s="1"/>
  <c r="CF2" i="11" s="1"/>
  <c r="CG2" i="11" s="1"/>
  <c r="CH2" i="11" s="1"/>
  <c r="CI2" i="11" s="1"/>
  <c r="CJ2" i="11" s="1"/>
  <c r="CK2" i="11" s="1"/>
  <c r="CL2" i="11" s="1"/>
  <c r="CM2" i="11" s="1"/>
  <c r="CN2" i="11" s="1"/>
  <c r="CO2" i="11" s="1"/>
  <c r="CP2" i="11" s="1"/>
  <c r="CQ2" i="11" s="1"/>
  <c r="CR2" i="11" s="1"/>
  <c r="CS2" i="11" s="1"/>
  <c r="CT2" i="11" s="1"/>
  <c r="CU2" i="11" s="1"/>
  <c r="CV2" i="11" s="1"/>
  <c r="CW2" i="11" s="1"/>
  <c r="CX2" i="11" s="1"/>
  <c r="CY2" i="11" s="1"/>
  <c r="CZ2" i="11" s="1"/>
  <c r="DA2" i="11" s="1"/>
  <c r="DB2" i="11" s="1"/>
  <c r="DC2" i="11" s="1"/>
  <c r="DD2" i="11" s="1"/>
  <c r="DE2" i="11" s="1"/>
  <c r="DF2" i="11" s="1"/>
  <c r="DG2" i="11" s="1"/>
  <c r="DH2" i="11" s="1"/>
  <c r="DI2" i="11" s="1"/>
  <c r="DJ2" i="11" s="1"/>
  <c r="DK2" i="11" s="1"/>
  <c r="DL2" i="11" s="1"/>
  <c r="DM2" i="11" s="1"/>
  <c r="DN2" i="11" s="1"/>
  <c r="DO2" i="11" s="1"/>
  <c r="DP2" i="11" s="1"/>
  <c r="DQ2" i="11" s="1"/>
  <c r="DR2" i="11" s="1"/>
  <c r="DS2" i="11" s="1"/>
  <c r="DT2" i="11" s="1"/>
  <c r="DU2" i="11" s="1"/>
  <c r="DV2" i="11" s="1"/>
  <c r="DW2" i="11" s="1"/>
  <c r="DX2" i="11" s="1"/>
  <c r="DY2" i="11" s="1"/>
  <c r="DZ2" i="11" s="1"/>
  <c r="EA2" i="11" s="1"/>
  <c r="EB2" i="11" s="1"/>
  <c r="EC2" i="11" s="1"/>
  <c r="ED2" i="11" s="1"/>
  <c r="EE2" i="11" s="1"/>
  <c r="EF2" i="11" s="1"/>
  <c r="EG2" i="11" s="1"/>
  <c r="EH2" i="11" s="1"/>
  <c r="EI2" i="11" s="1"/>
  <c r="EJ2" i="11" s="1"/>
  <c r="EK2" i="11" s="1"/>
  <c r="EL2" i="11" s="1"/>
  <c r="EM2" i="11" s="1"/>
  <c r="EN2" i="11" s="1"/>
  <c r="EO2" i="11" s="1"/>
  <c r="EP2" i="11" s="1"/>
  <c r="EQ2" i="11" s="1"/>
  <c r="ER2" i="11" s="1"/>
  <c r="ES2" i="11" s="1"/>
  <c r="ET2" i="11" s="1"/>
  <c r="EU2" i="11" s="1"/>
  <c r="EV2" i="11" s="1"/>
  <c r="EW2" i="11" s="1"/>
  <c r="EX2" i="11" s="1"/>
  <c r="EY2" i="11" s="1"/>
  <c r="EZ2" i="11" s="1"/>
  <c r="FA2" i="11" s="1"/>
  <c r="FB2" i="11" s="1"/>
  <c r="FC2" i="11" s="1"/>
  <c r="FD2" i="11" s="1"/>
  <c r="FE2" i="11" s="1"/>
  <c r="FF2" i="11" s="1"/>
  <c r="FG2" i="11" s="1"/>
  <c r="FH2" i="11" s="1"/>
  <c r="FI2" i="11" s="1"/>
  <c r="FJ2" i="11" s="1"/>
  <c r="FK2" i="11" s="1"/>
  <c r="FL2" i="11" s="1"/>
  <c r="FM2" i="11" s="1"/>
  <c r="FN2" i="11" s="1"/>
  <c r="FO2" i="11" s="1"/>
  <c r="FP2" i="11" s="1"/>
  <c r="FQ2" i="11" s="1"/>
  <c r="FR2" i="11" s="1"/>
  <c r="FS2" i="11" s="1"/>
  <c r="FT2" i="11" s="1"/>
  <c r="FU2" i="11" s="1"/>
  <c r="FV2" i="11" s="1"/>
  <c r="FW2" i="11" s="1"/>
  <c r="FX2" i="11" s="1"/>
  <c r="FY2" i="11" s="1"/>
  <c r="FZ2" i="11" s="1"/>
  <c r="GA2" i="11" s="1"/>
  <c r="GB2" i="11" s="1"/>
  <c r="GC2" i="11" s="1"/>
  <c r="GD2" i="11" s="1"/>
  <c r="GE2" i="11" s="1"/>
  <c r="GF2" i="11" s="1"/>
  <c r="GG2" i="11" s="1"/>
  <c r="GH2" i="11" s="1"/>
  <c r="GI2" i="11" s="1"/>
  <c r="GJ2" i="11" s="1"/>
  <c r="GK2" i="11" s="1"/>
  <c r="GL2" i="11" s="1"/>
  <c r="GM2" i="11" s="1"/>
  <c r="GN2" i="11" s="1"/>
  <c r="GO2" i="11" s="1"/>
  <c r="GP2" i="11" s="1"/>
  <c r="GQ2" i="11" s="1"/>
  <c r="GR2" i="11" s="1"/>
  <c r="GS2" i="11" s="1"/>
  <c r="GT2" i="11" s="1"/>
  <c r="GU2" i="11" s="1"/>
  <c r="GV2" i="11" s="1"/>
  <c r="GW2" i="11" s="1"/>
  <c r="GX2" i="11" s="1"/>
  <c r="GY2" i="11" s="1"/>
  <c r="GZ2" i="11" s="1"/>
  <c r="HA2" i="11" s="1"/>
  <c r="HB2" i="11" s="1"/>
  <c r="HC2" i="11" s="1"/>
  <c r="HD2" i="11" s="1"/>
  <c r="HE2" i="11" s="1"/>
  <c r="HF2" i="11" s="1"/>
  <c r="HG2" i="11" s="1"/>
  <c r="HH2" i="11" s="1"/>
  <c r="HI2" i="11" s="1"/>
  <c r="HJ2" i="11" s="1"/>
  <c r="HK2" i="11" s="1"/>
  <c r="HL2" i="11" s="1"/>
  <c r="HM2" i="11" s="1"/>
  <c r="HN2" i="11" s="1"/>
  <c r="HO2" i="11" s="1"/>
  <c r="HP2" i="11" s="1"/>
  <c r="HQ2" i="11" s="1"/>
  <c r="HR2" i="11" s="1"/>
  <c r="HS2" i="11" s="1"/>
  <c r="HT2" i="11" s="1"/>
  <c r="HU2" i="11" s="1"/>
  <c r="HV2" i="11" s="1"/>
  <c r="HW2" i="11" s="1"/>
  <c r="HX2" i="11" s="1"/>
  <c r="HY2" i="11" s="1"/>
  <c r="HZ2" i="11" s="1"/>
  <c r="IA2" i="11" s="1"/>
  <c r="IB2" i="11" s="1"/>
  <c r="IC2" i="11" s="1"/>
  <c r="ID2" i="11" s="1"/>
  <c r="IE2" i="11" s="1"/>
  <c r="IF2" i="11" s="1"/>
  <c r="IG2" i="11" s="1"/>
  <c r="IH2" i="11" s="1"/>
  <c r="II2" i="11" s="1"/>
  <c r="IJ2" i="11" s="1"/>
  <c r="IK2" i="11" s="1"/>
  <c r="IL2" i="11" s="1"/>
  <c r="IM2" i="11" s="1"/>
  <c r="IN2" i="11" s="1"/>
  <c r="IO2" i="11" s="1"/>
  <c r="IP2" i="11" s="1"/>
  <c r="IQ2" i="11" s="1"/>
  <c r="IR2" i="11" s="1"/>
  <c r="IS2" i="11" s="1"/>
  <c r="IT2" i="11" s="1"/>
  <c r="IU2" i="11" s="1"/>
  <c r="IV2" i="11" s="1"/>
  <c r="IW2" i="11" s="1"/>
  <c r="IX2" i="11" s="1"/>
  <c r="IY2" i="11" s="1"/>
  <c r="IZ2" i="11" s="1"/>
  <c r="JA2" i="11" s="1"/>
  <c r="JB2" i="11" s="1"/>
  <c r="JC2" i="11" s="1"/>
  <c r="JD2" i="11" s="1"/>
  <c r="JE2" i="11" s="1"/>
  <c r="JF2" i="11" s="1"/>
  <c r="JG2" i="11" s="1"/>
  <c r="JH2" i="11" s="1"/>
  <c r="JI2" i="11" s="1"/>
  <c r="JJ2" i="11" s="1"/>
  <c r="JK2" i="11" s="1"/>
  <c r="JL2" i="11" s="1"/>
  <c r="JM2" i="11" s="1"/>
  <c r="JN2" i="11" s="1"/>
  <c r="JO2" i="11" s="1"/>
  <c r="JP2" i="11" s="1"/>
  <c r="JQ2" i="11" s="1"/>
  <c r="JR2" i="11" s="1"/>
  <c r="JS2" i="11" s="1"/>
  <c r="JT2" i="11" s="1"/>
  <c r="JU2" i="11" s="1"/>
  <c r="JV2" i="11" s="1"/>
  <c r="JW2" i="11" s="1"/>
  <c r="JX2" i="11" s="1"/>
  <c r="JY2" i="11" s="1"/>
  <c r="JZ2" i="11" s="1"/>
  <c r="KA2" i="11" s="1"/>
  <c r="KB2" i="11" s="1"/>
  <c r="KC2" i="11" s="1"/>
  <c r="KD2" i="11" s="1"/>
  <c r="KE2" i="11" s="1"/>
  <c r="KF2" i="11" s="1"/>
  <c r="KG2" i="11" s="1"/>
  <c r="KH2" i="11" s="1"/>
  <c r="KI2" i="11" s="1"/>
  <c r="KJ2" i="11" s="1"/>
  <c r="KK2" i="11" s="1"/>
  <c r="KL2" i="11" s="1"/>
  <c r="KM2" i="11" s="1"/>
  <c r="KN2" i="11" s="1"/>
  <c r="KO2" i="11" s="1"/>
  <c r="KP2" i="11" s="1"/>
  <c r="KQ2" i="11" s="1"/>
  <c r="KR2" i="11" s="1"/>
  <c r="KS2" i="11" s="1"/>
  <c r="KT2" i="11" s="1"/>
  <c r="KU2" i="11" s="1"/>
  <c r="KV2" i="11" s="1"/>
  <c r="KW2" i="11" s="1"/>
  <c r="KX2" i="11" s="1"/>
  <c r="KY2" i="11" s="1"/>
  <c r="KZ2" i="11" s="1"/>
  <c r="LA2" i="11" s="1"/>
  <c r="LB2" i="11" s="1"/>
  <c r="LC2" i="11" s="1"/>
  <c r="LD2" i="11" s="1"/>
  <c r="LE2" i="11" s="1"/>
  <c r="LF2" i="11" s="1"/>
  <c r="LG2" i="11" s="1"/>
  <c r="LH2" i="11" s="1"/>
  <c r="LI2" i="11" s="1"/>
  <c r="LJ2" i="11" s="1"/>
  <c r="LK2" i="11" s="1"/>
  <c r="LL2" i="11" s="1"/>
  <c r="LM2" i="11" s="1"/>
  <c r="LN2" i="11" s="1"/>
  <c r="LO2" i="11" s="1"/>
  <c r="LP2" i="11" s="1"/>
  <c r="LQ2" i="11" s="1"/>
  <c r="LR2" i="11" s="1"/>
  <c r="LS2" i="11" s="1"/>
  <c r="LT2" i="11" s="1"/>
  <c r="LU2" i="11" s="1"/>
  <c r="LV2" i="11" s="1"/>
  <c r="LW2" i="11" s="1"/>
  <c r="LX2" i="11" s="1"/>
  <c r="LY2" i="11" s="1"/>
  <c r="LZ2" i="11" s="1"/>
  <c r="MA2" i="11" s="1"/>
  <c r="MB2" i="11" s="1"/>
  <c r="MC2" i="11" s="1"/>
  <c r="MD2" i="11" s="1"/>
  <c r="ME2" i="11" s="1"/>
  <c r="MF2" i="11" s="1"/>
  <c r="MG2" i="11" s="1"/>
  <c r="MH2" i="11" s="1"/>
  <c r="MI2" i="11" s="1"/>
  <c r="MJ2" i="11" s="1"/>
  <c r="MK2" i="11" s="1"/>
  <c r="ML2" i="11" s="1"/>
  <c r="MM2" i="11" s="1"/>
  <c r="MN2" i="11" s="1"/>
  <c r="MO2" i="11" s="1"/>
  <c r="MP2" i="11" s="1"/>
  <c r="MQ2" i="11" s="1"/>
  <c r="MR2" i="11" s="1"/>
  <c r="MS2" i="11" s="1"/>
  <c r="MT2" i="11" s="1"/>
  <c r="MU2" i="11" s="1"/>
  <c r="MV2" i="11" s="1"/>
  <c r="MW2" i="11" s="1"/>
  <c r="MX2" i="11" s="1"/>
  <c r="MY2" i="11" s="1"/>
  <c r="MZ2" i="11" s="1"/>
  <c r="NA2" i="11" s="1"/>
  <c r="NB2" i="11" s="1"/>
  <c r="NC2" i="11" s="1"/>
  <c r="ND2" i="11" s="1"/>
  <c r="NE2" i="11" s="1"/>
  <c r="NF2" i="11" s="1"/>
  <c r="NG2" i="11" s="1"/>
  <c r="NH2" i="11" s="1"/>
  <c r="NI2" i="11" s="1"/>
  <c r="NJ2" i="11" s="1"/>
  <c r="NK2" i="11" s="1"/>
  <c r="NL2" i="11" s="1"/>
  <c r="NM2" i="11" s="1"/>
  <c r="NN2" i="11" s="1"/>
  <c r="NO2" i="11" s="1"/>
  <c r="NP2" i="11" s="1"/>
  <c r="NQ2" i="11" s="1"/>
  <c r="NR2" i="11" s="1"/>
  <c r="NS2" i="11" s="1"/>
  <c r="NT2" i="11" s="1"/>
  <c r="NU2" i="11" s="1"/>
  <c r="NV2" i="11" s="1"/>
  <c r="NW2" i="11" s="1"/>
  <c r="NX2" i="11" s="1"/>
  <c r="NY2" i="11" s="1"/>
  <c r="NZ2" i="11" s="1"/>
  <c r="OA2" i="11" s="1"/>
  <c r="OB2" i="11" s="1"/>
  <c r="OC2" i="11" s="1"/>
  <c r="OD2" i="11" s="1"/>
  <c r="OE2" i="11" s="1"/>
  <c r="OF2" i="11" s="1"/>
  <c r="OG2" i="11" s="1"/>
  <c r="OH2" i="11" s="1"/>
  <c r="OI2" i="11" s="1"/>
  <c r="OJ2" i="11" s="1"/>
  <c r="OK2" i="11" s="1"/>
  <c r="OL2" i="11" s="1"/>
  <c r="OM2" i="11" s="1"/>
  <c r="ON2" i="11" s="1"/>
  <c r="OO2" i="11" s="1"/>
  <c r="OP2" i="11" s="1"/>
  <c r="OQ2" i="11" s="1"/>
  <c r="OR2" i="11" s="1"/>
  <c r="OS2" i="11" s="1"/>
  <c r="OT2" i="11" s="1"/>
  <c r="OU2" i="11" s="1"/>
  <c r="OV2" i="11" s="1"/>
  <c r="OW2" i="11" s="1"/>
  <c r="OX2" i="11" s="1"/>
  <c r="OY2" i="11" s="1"/>
  <c r="OZ2" i="11" s="1"/>
  <c r="PA2" i="11" s="1"/>
  <c r="PB2" i="11" s="1"/>
  <c r="PC2" i="11" s="1"/>
  <c r="PD2" i="11" s="1"/>
  <c r="PE2" i="11" s="1"/>
  <c r="PF2" i="11" s="1"/>
  <c r="PG2" i="11" s="1"/>
  <c r="PH2" i="11" s="1"/>
  <c r="PI2" i="11" s="1"/>
  <c r="PJ2" i="11" s="1"/>
  <c r="PK2" i="11" s="1"/>
  <c r="PL2" i="11" s="1"/>
  <c r="PM2" i="11" s="1"/>
  <c r="PN2" i="11" s="1"/>
  <c r="PO2" i="11" s="1"/>
  <c r="PP2" i="11" s="1"/>
  <c r="PQ2" i="11" s="1"/>
  <c r="PR2" i="11" s="1"/>
  <c r="PS2" i="11" s="1"/>
  <c r="PT2" i="11" s="1"/>
  <c r="PU2" i="11" s="1"/>
  <c r="PV2" i="11" s="1"/>
  <c r="PW2" i="11" s="1"/>
  <c r="PX2" i="11" s="1"/>
  <c r="PY2" i="11" s="1"/>
  <c r="PZ2" i="11" s="1"/>
  <c r="QA2" i="11" s="1"/>
  <c r="QB2" i="11" s="1"/>
  <c r="QC2" i="11" s="1"/>
  <c r="QD2" i="11" s="1"/>
  <c r="QE2" i="11" s="1"/>
  <c r="QF2" i="11" s="1"/>
  <c r="QG2" i="11" s="1"/>
  <c r="QH2" i="11" s="1"/>
  <c r="QI2" i="11" s="1"/>
  <c r="QJ2" i="11" s="1"/>
  <c r="QK2" i="11" s="1"/>
  <c r="QL2" i="11" s="1"/>
  <c r="QM2" i="11" s="1"/>
  <c r="QN2" i="11" s="1"/>
  <c r="QO2" i="11" s="1"/>
  <c r="QP2" i="11" s="1"/>
  <c r="QQ2" i="11" s="1"/>
  <c r="QR2" i="11" s="1"/>
  <c r="QS2" i="11" s="1"/>
  <c r="QT2" i="11" s="1"/>
  <c r="QU2" i="11" s="1"/>
  <c r="QV2" i="11" s="1"/>
  <c r="QW2" i="11" s="1"/>
  <c r="QX2" i="11" s="1"/>
  <c r="QY2" i="11" s="1"/>
  <c r="QZ2" i="11" s="1"/>
  <c r="RA2" i="11" s="1"/>
  <c r="RB2" i="11" s="1"/>
  <c r="RC2" i="11" s="1"/>
  <c r="RD2" i="11" s="1"/>
  <c r="RE2" i="11" s="1"/>
  <c r="RF2" i="11" s="1"/>
  <c r="RG2" i="11" s="1"/>
  <c r="RH2" i="11" s="1"/>
  <c r="RI2" i="11" s="1"/>
  <c r="RJ2" i="11" s="1"/>
  <c r="RK2" i="11" s="1"/>
  <c r="RL2" i="11" s="1"/>
  <c r="RM2" i="11" s="1"/>
  <c r="RN2" i="11" s="1"/>
  <c r="RO2" i="11" s="1"/>
  <c r="RP2" i="11" s="1"/>
  <c r="RQ2" i="11" s="1"/>
  <c r="RR2" i="11" s="1"/>
  <c r="RS2" i="11" s="1"/>
  <c r="RT2" i="11" s="1"/>
  <c r="RU2" i="11" s="1"/>
  <c r="RV2" i="11" s="1"/>
  <c r="RW2" i="11" s="1"/>
  <c r="RX2" i="11" s="1"/>
  <c r="RY2" i="11" s="1"/>
  <c r="RZ2" i="11" s="1"/>
  <c r="SA2" i="11" s="1"/>
  <c r="SB2" i="11" s="1"/>
  <c r="SC2" i="11" s="1"/>
  <c r="SD2" i="11" s="1"/>
  <c r="SE2" i="11" s="1"/>
  <c r="SF2" i="11" s="1"/>
  <c r="SG2" i="11" s="1"/>
  <c r="SH2" i="11" s="1"/>
  <c r="SI2" i="11" s="1"/>
  <c r="SJ2" i="11" s="1"/>
  <c r="SK2" i="11" s="1"/>
  <c r="SL2" i="11" s="1"/>
  <c r="SM2" i="11" s="1"/>
  <c r="SN2" i="11" s="1"/>
  <c r="SO2" i="11" s="1"/>
  <c r="SP2" i="11" s="1"/>
  <c r="SQ2" i="11" s="1"/>
  <c r="SR2" i="11" s="1"/>
  <c r="SS2" i="11" s="1"/>
  <c r="ST2" i="11" s="1"/>
  <c r="SU2" i="11" s="1"/>
  <c r="SV2" i="11" s="1"/>
  <c r="SW2" i="11" s="1"/>
  <c r="SX2" i="11" s="1"/>
  <c r="SY2" i="11" s="1"/>
  <c r="SZ2" i="11" s="1"/>
  <c r="TA2" i="11" s="1"/>
  <c r="TB2" i="11" s="1"/>
  <c r="TC2" i="11" s="1"/>
  <c r="TD2" i="11" s="1"/>
  <c r="TE2" i="11" s="1"/>
  <c r="TF2" i="11" s="1"/>
  <c r="TG2" i="11" s="1"/>
  <c r="TH2" i="11" s="1"/>
  <c r="TI2" i="11" s="1"/>
  <c r="TJ2" i="11" s="1"/>
  <c r="TK2" i="11" s="1"/>
  <c r="TL2" i="11" s="1"/>
  <c r="TM2" i="11" s="1"/>
  <c r="TN2" i="11" s="1"/>
  <c r="TO2" i="11" s="1"/>
  <c r="TP2" i="11" s="1"/>
  <c r="TQ2" i="11" s="1"/>
  <c r="TR2" i="11" s="1"/>
  <c r="TS2" i="11" s="1"/>
  <c r="TT2" i="11" s="1"/>
  <c r="TU2" i="11" s="1"/>
  <c r="TV2" i="11" s="1"/>
  <c r="TW2" i="11" s="1"/>
  <c r="TX2" i="11" s="1"/>
  <c r="TY2" i="11" s="1"/>
  <c r="TZ2" i="11" s="1"/>
  <c r="UA2" i="11" s="1"/>
  <c r="UB2" i="11" s="1"/>
  <c r="UC2" i="11" s="1"/>
  <c r="UD2" i="11" s="1"/>
  <c r="UE2" i="11" s="1"/>
  <c r="UF2" i="11" s="1"/>
  <c r="UG2" i="11" s="1"/>
  <c r="UH2" i="11" s="1"/>
  <c r="UI2" i="11" s="1"/>
  <c r="UJ2" i="11" s="1"/>
  <c r="UK2" i="11" s="1"/>
  <c r="UL2" i="11" s="1"/>
  <c r="UM2" i="11" s="1"/>
  <c r="UN2" i="11" s="1"/>
  <c r="UO2" i="11" s="1"/>
  <c r="UP2" i="11" s="1"/>
  <c r="UQ2" i="11" s="1"/>
  <c r="UR2" i="11" s="1"/>
  <c r="US2" i="11" s="1"/>
  <c r="UT2" i="11" s="1"/>
  <c r="UU2" i="11" s="1"/>
  <c r="UV2" i="11" s="1"/>
  <c r="UW2" i="11" s="1"/>
  <c r="UX2" i="11" s="1"/>
  <c r="UY2" i="11" s="1"/>
  <c r="UZ2" i="11" s="1"/>
  <c r="VA2" i="11" s="1"/>
  <c r="VB2" i="11" s="1"/>
  <c r="VC2" i="11" s="1"/>
  <c r="VD2" i="11" s="1"/>
  <c r="VE2" i="11" s="1"/>
  <c r="VF2" i="11" s="1"/>
  <c r="VG2" i="11" s="1"/>
  <c r="VH2" i="11" s="1"/>
  <c r="VI2" i="11" s="1"/>
  <c r="VJ2" i="11" s="1"/>
  <c r="VK2" i="11" s="1"/>
  <c r="VL2" i="11" s="1"/>
  <c r="VM2" i="11" s="1"/>
  <c r="VN2" i="11" s="1"/>
  <c r="VO2" i="11" s="1"/>
  <c r="VP2" i="11" s="1"/>
  <c r="VQ2" i="11" s="1"/>
  <c r="VR2" i="11" s="1"/>
  <c r="VS2" i="11" s="1"/>
  <c r="VT2" i="11" s="1"/>
  <c r="VU2" i="11" s="1"/>
  <c r="VV2" i="11" s="1"/>
  <c r="VW2" i="11" s="1"/>
  <c r="VX2" i="11" s="1"/>
  <c r="VY2" i="11" s="1"/>
  <c r="VZ2" i="11" s="1"/>
  <c r="WA2" i="11" s="1"/>
  <c r="WB2" i="11" s="1"/>
  <c r="WC2" i="11" s="1"/>
  <c r="WD2" i="11" s="1"/>
  <c r="WE2" i="11" s="1"/>
  <c r="WF2" i="11" s="1"/>
  <c r="WG2" i="11" s="1"/>
  <c r="WH2" i="11" s="1"/>
  <c r="WI2" i="11" s="1"/>
  <c r="WJ2" i="11" s="1"/>
  <c r="WK2" i="11" s="1"/>
  <c r="WL2" i="11" s="1"/>
  <c r="WM2" i="11" s="1"/>
  <c r="WN2" i="11" s="1"/>
  <c r="WO2" i="11" s="1"/>
  <c r="WP2" i="11" s="1"/>
  <c r="WQ2" i="11" s="1"/>
  <c r="WR2" i="11" s="1"/>
  <c r="WS2" i="11" s="1"/>
  <c r="WT2" i="11" s="1"/>
  <c r="WU2" i="11" s="1"/>
  <c r="WV2" i="11" s="1"/>
  <c r="WW2" i="11" s="1"/>
  <c r="WX2" i="11" s="1"/>
  <c r="WY2" i="11" s="1"/>
  <c r="WZ2" i="11" s="1"/>
  <c r="XA2" i="11" s="1"/>
  <c r="XB2" i="11" s="1"/>
  <c r="XC2" i="11" s="1"/>
  <c r="XD2" i="11" s="1"/>
  <c r="XE2" i="11" s="1"/>
  <c r="XF2" i="11" s="1"/>
  <c r="XG2" i="11" s="1"/>
  <c r="XH2" i="11" s="1"/>
  <c r="XI2" i="11" s="1"/>
  <c r="XJ2" i="11" s="1"/>
  <c r="XK2" i="11" s="1"/>
  <c r="XL2" i="11" s="1"/>
  <c r="XM2" i="11" s="1"/>
  <c r="XN2" i="11" s="1"/>
  <c r="XO2" i="11" s="1"/>
  <c r="XP2" i="11" s="1"/>
  <c r="XQ2" i="11" s="1"/>
  <c r="XR2" i="11" s="1"/>
  <c r="XS2" i="11" s="1"/>
  <c r="XT2" i="11" s="1"/>
  <c r="XU2" i="11" s="1"/>
  <c r="XV2" i="11" s="1"/>
  <c r="XW2" i="11" s="1"/>
  <c r="XX2" i="11" s="1"/>
  <c r="XY2" i="11" s="1"/>
  <c r="XZ2" i="11" s="1"/>
  <c r="YA2" i="11" s="1"/>
  <c r="YB2" i="11" s="1"/>
  <c r="YC2" i="11" s="1"/>
  <c r="YD2" i="11" s="1"/>
  <c r="YE2" i="11" s="1"/>
  <c r="YF2" i="11" s="1"/>
  <c r="YG2" i="11" s="1"/>
  <c r="YH2" i="11" s="1"/>
  <c r="YI2" i="11" s="1"/>
  <c r="YJ2" i="11" s="1"/>
  <c r="YK2" i="11" s="1"/>
  <c r="YL2" i="11" s="1"/>
  <c r="YM2" i="11" s="1"/>
  <c r="YN2" i="11" s="1"/>
  <c r="YO2" i="11" s="1"/>
  <c r="YP2" i="11" s="1"/>
  <c r="YQ2" i="11" s="1"/>
  <c r="YR2" i="11" s="1"/>
  <c r="YS2" i="11" s="1"/>
  <c r="YT2" i="11" s="1"/>
  <c r="AB185" i="11"/>
  <c r="AB166" i="11" s="1"/>
  <c r="AE185" i="11"/>
  <c r="AC171" i="11" s="1"/>
  <c r="AD171" i="11" s="1"/>
  <c r="AE171" i="11" s="1"/>
  <c r="AB3" i="11"/>
  <c r="U14" i="11"/>
  <c r="U12" i="11" s="1"/>
  <c r="U13" i="11" s="1"/>
  <c r="U24" i="11" s="1"/>
  <c r="V14" i="11"/>
  <c r="V12" i="11" s="1"/>
  <c r="V3" i="11"/>
  <c r="V30" i="11" s="1"/>
  <c r="U3" i="11"/>
  <c r="AA15" i="11"/>
  <c r="AA32" i="11" s="1"/>
  <c r="Z32" i="11"/>
  <c r="Y32" i="11"/>
  <c r="T12" i="11"/>
  <c r="T13" i="11" s="1"/>
  <c r="T24" i="11" s="1"/>
  <c r="S12" i="11"/>
  <c r="S13" i="11" s="1"/>
  <c r="S24" i="11" s="1"/>
  <c r="R12" i="11"/>
  <c r="R13" i="11" s="1"/>
  <c r="R24" i="11" s="1"/>
  <c r="Q12" i="11"/>
  <c r="Q13" i="11" s="1"/>
  <c r="Q24" i="11" s="1"/>
  <c r="P12" i="11"/>
  <c r="P13" i="11" s="1"/>
  <c r="P24" i="11" s="1"/>
  <c r="O12" i="11"/>
  <c r="AC3" i="11" l="1"/>
  <c r="AC30" i="11" s="1"/>
  <c r="AB41" i="5"/>
  <c r="AB38" i="5"/>
  <c r="AC38" i="5" s="1"/>
  <c r="AC41" i="5"/>
  <c r="AD17" i="5" s="1"/>
  <c r="AD41" i="5" s="1"/>
  <c r="AE17" i="5" s="1"/>
  <c r="AB33" i="5"/>
  <c r="K46" i="5"/>
  <c r="AX72" i="2"/>
  <c r="AY72" i="2" s="1"/>
  <c r="AZ72" i="2" s="1"/>
  <c r="BA72" i="2" s="1"/>
  <c r="BB72" i="2" s="1"/>
  <c r="BC72" i="2" s="1"/>
  <c r="BD72" i="2" s="1"/>
  <c r="BE72" i="2" s="1"/>
  <c r="BF72" i="2" s="1"/>
  <c r="BG72" i="2" s="1"/>
  <c r="BH72" i="2" s="1"/>
  <c r="BI72" i="2" s="1"/>
  <c r="BJ72" i="2" s="1"/>
  <c r="BK72" i="2" s="1"/>
  <c r="BL72" i="2" s="1"/>
  <c r="BM72" i="2" s="1"/>
  <c r="BN72" i="2" s="1"/>
  <c r="BO72" i="2" s="1"/>
  <c r="BP72" i="2" s="1"/>
  <c r="BQ72" i="2" s="1"/>
  <c r="BR72" i="2" s="1"/>
  <c r="BS72" i="2" s="1"/>
  <c r="BT72" i="2" s="1"/>
  <c r="BU72" i="2" s="1"/>
  <c r="BV72" i="2" s="1"/>
  <c r="BW72" i="2" s="1"/>
  <c r="BX72" i="2" s="1"/>
  <c r="BY72" i="2" s="1"/>
  <c r="BZ72" i="2" s="1"/>
  <c r="CA72" i="2" s="1"/>
  <c r="CB72" i="2" s="1"/>
  <c r="CC72" i="2" s="1"/>
  <c r="CD72" i="2" s="1"/>
  <c r="CE72" i="2" s="1"/>
  <c r="CF72" i="2" s="1"/>
  <c r="CG72" i="2" s="1"/>
  <c r="CH72" i="2" s="1"/>
  <c r="CI72" i="2" s="1"/>
  <c r="CJ72" i="2" s="1"/>
  <c r="CK72" i="2" s="1"/>
  <c r="CL72" i="2" s="1"/>
  <c r="CM72" i="2" s="1"/>
  <c r="CN72" i="2" s="1"/>
  <c r="CO72" i="2" s="1"/>
  <c r="CP72" i="2" s="1"/>
  <c r="CQ72" i="2" s="1"/>
  <c r="CR72" i="2" s="1"/>
  <c r="CS72" i="2" s="1"/>
  <c r="CT72" i="2" s="1"/>
  <c r="CU72" i="2" s="1"/>
  <c r="CV72" i="2" s="1"/>
  <c r="CW72" i="2" s="1"/>
  <c r="CX72" i="2" s="1"/>
  <c r="CY72" i="2" s="1"/>
  <c r="CZ72" i="2" s="1"/>
  <c r="DA72" i="2" s="1"/>
  <c r="DB72" i="2" s="1"/>
  <c r="DC72" i="2" s="1"/>
  <c r="DD72" i="2" s="1"/>
  <c r="DE72" i="2" s="1"/>
  <c r="DF72" i="2" s="1"/>
  <c r="DG72" i="2" s="1"/>
  <c r="DH72" i="2" s="1"/>
  <c r="DI72" i="2" s="1"/>
  <c r="DJ72" i="2" s="1"/>
  <c r="DK72" i="2" s="1"/>
  <c r="DL72" i="2" s="1"/>
  <c r="DM72" i="2" s="1"/>
  <c r="DN72" i="2" s="1"/>
  <c r="DO72" i="2" s="1"/>
  <c r="DP72" i="2" s="1"/>
  <c r="DQ72" i="2" s="1"/>
  <c r="DR72" i="2" s="1"/>
  <c r="DS72" i="2" s="1"/>
  <c r="DT72" i="2" s="1"/>
  <c r="DU72" i="2" s="1"/>
  <c r="DV72" i="2" s="1"/>
  <c r="DW72" i="2" s="1"/>
  <c r="DX72" i="2" s="1"/>
  <c r="DY72" i="2" s="1"/>
  <c r="DZ72" i="2" s="1"/>
  <c r="EA72" i="2" s="1"/>
  <c r="EB72" i="2" s="1"/>
  <c r="EC72" i="2" s="1"/>
  <c r="ED72" i="2" s="1"/>
  <c r="EE72" i="2" s="1"/>
  <c r="EF72" i="2" s="1"/>
  <c r="EG72" i="2" s="1"/>
  <c r="EH72" i="2" s="1"/>
  <c r="EI72" i="2" s="1"/>
  <c r="EJ72" i="2" s="1"/>
  <c r="EK72" i="2" s="1"/>
  <c r="EL72" i="2" s="1"/>
  <c r="EM72" i="2" s="1"/>
  <c r="EN72" i="2" s="1"/>
  <c r="EO72" i="2" s="1"/>
  <c r="EP72" i="2" s="1"/>
  <c r="EQ72" i="2" s="1"/>
  <c r="ER72" i="2" s="1"/>
  <c r="ES72" i="2" s="1"/>
  <c r="ET72" i="2" s="1"/>
  <c r="EU72" i="2" s="1"/>
  <c r="EV72" i="2" s="1"/>
  <c r="EW72" i="2" s="1"/>
  <c r="EX72" i="2" s="1"/>
  <c r="EY72" i="2" s="1"/>
  <c r="EZ72" i="2" s="1"/>
  <c r="FA72" i="2" s="1"/>
  <c r="FB72" i="2" s="1"/>
  <c r="FC72" i="2" s="1"/>
  <c r="FD72" i="2" s="1"/>
  <c r="FE72" i="2" s="1"/>
  <c r="FF72" i="2" s="1"/>
  <c r="FG72" i="2" s="1"/>
  <c r="FH72" i="2" s="1"/>
  <c r="FI72" i="2" s="1"/>
  <c r="FJ72" i="2" s="1"/>
  <c r="FK72" i="2" s="1"/>
  <c r="FL72" i="2" s="1"/>
  <c r="FM72" i="2" s="1"/>
  <c r="FN72" i="2" s="1"/>
  <c r="FO72" i="2" s="1"/>
  <c r="FP72" i="2" s="1"/>
  <c r="FQ72" i="2" s="1"/>
  <c r="FR72" i="2" s="1"/>
  <c r="FS72" i="2" s="1"/>
  <c r="FT72" i="2" s="1"/>
  <c r="FU72" i="2" s="1"/>
  <c r="FV72" i="2" s="1"/>
  <c r="FW72" i="2" s="1"/>
  <c r="FX72" i="2" s="1"/>
  <c r="FY72" i="2" s="1"/>
  <c r="FZ72" i="2" s="1"/>
  <c r="GA72" i="2" s="1"/>
  <c r="GB72" i="2" s="1"/>
  <c r="GC72" i="2" s="1"/>
  <c r="GD72" i="2" s="1"/>
  <c r="GE72" i="2" s="1"/>
  <c r="GF72" i="2" s="1"/>
  <c r="GG72" i="2" s="1"/>
  <c r="GH72" i="2" s="1"/>
  <c r="GI72" i="2" s="1"/>
  <c r="GJ72" i="2" s="1"/>
  <c r="GK72" i="2" s="1"/>
  <c r="GL72" i="2" s="1"/>
  <c r="GM72" i="2" s="1"/>
  <c r="GN72" i="2" s="1"/>
  <c r="GO72" i="2" s="1"/>
  <c r="GP72" i="2" s="1"/>
  <c r="GQ72" i="2" s="1"/>
  <c r="GR72" i="2" s="1"/>
  <c r="GS72" i="2" s="1"/>
  <c r="GT72" i="2" s="1"/>
  <c r="GU72" i="2" s="1"/>
  <c r="GV72" i="2" s="1"/>
  <c r="GW72" i="2" s="1"/>
  <c r="GX72" i="2" s="1"/>
  <c r="GY72" i="2" s="1"/>
  <c r="GZ72" i="2" s="1"/>
  <c r="HA72" i="2" s="1"/>
  <c r="HB72" i="2" s="1"/>
  <c r="HC72" i="2" s="1"/>
  <c r="HD72" i="2" s="1"/>
  <c r="HE72" i="2" s="1"/>
  <c r="HF72" i="2" s="1"/>
  <c r="HG72" i="2" s="1"/>
  <c r="HH72" i="2" s="1"/>
  <c r="HI72" i="2" s="1"/>
  <c r="HJ72" i="2" s="1"/>
  <c r="HK72" i="2" s="1"/>
  <c r="HL72" i="2" s="1"/>
  <c r="HM72" i="2" s="1"/>
  <c r="HN72" i="2" s="1"/>
  <c r="HO72" i="2" s="1"/>
  <c r="HP72" i="2" s="1"/>
  <c r="HQ72" i="2" s="1"/>
  <c r="HR72" i="2" s="1"/>
  <c r="HS72" i="2" s="1"/>
  <c r="HT72" i="2" s="1"/>
  <c r="HU72" i="2" s="1"/>
  <c r="HV72" i="2" s="1"/>
  <c r="HW72" i="2" s="1"/>
  <c r="HX72" i="2" s="1"/>
  <c r="HY72" i="2" s="1"/>
  <c r="HZ72" i="2" s="1"/>
  <c r="IA72" i="2" s="1"/>
  <c r="IB72" i="2" s="1"/>
  <c r="IC72" i="2" s="1"/>
  <c r="ID72" i="2" s="1"/>
  <c r="IE72" i="2" s="1"/>
  <c r="IF72" i="2" s="1"/>
  <c r="IG72" i="2" s="1"/>
  <c r="IH72" i="2" s="1"/>
  <c r="II72" i="2" s="1"/>
  <c r="IJ72" i="2" s="1"/>
  <c r="IK72" i="2" s="1"/>
  <c r="IL72" i="2" s="1"/>
  <c r="IM72" i="2" s="1"/>
  <c r="IN72" i="2" s="1"/>
  <c r="IO72" i="2" s="1"/>
  <c r="IP72" i="2" s="1"/>
  <c r="IQ72" i="2" s="1"/>
  <c r="IR72" i="2" s="1"/>
  <c r="IS72" i="2" s="1"/>
  <c r="IT72" i="2" s="1"/>
  <c r="IU72" i="2" s="1"/>
  <c r="IV72" i="2" s="1"/>
  <c r="IW72" i="2" s="1"/>
  <c r="IX72" i="2" s="1"/>
  <c r="IY72" i="2" s="1"/>
  <c r="IZ72" i="2" s="1"/>
  <c r="JA72" i="2" s="1"/>
  <c r="JB72" i="2" s="1"/>
  <c r="JC72" i="2" s="1"/>
  <c r="JD72" i="2" s="1"/>
  <c r="JE72" i="2" s="1"/>
  <c r="JF72" i="2" s="1"/>
  <c r="JG72" i="2" s="1"/>
  <c r="JH72" i="2" s="1"/>
  <c r="JI72" i="2" s="1"/>
  <c r="JJ72" i="2" s="1"/>
  <c r="JK72" i="2" s="1"/>
  <c r="JL72" i="2" s="1"/>
  <c r="JM72" i="2" s="1"/>
  <c r="JN72" i="2" s="1"/>
  <c r="JO72" i="2" s="1"/>
  <c r="JP72" i="2" s="1"/>
  <c r="JQ72" i="2" s="1"/>
  <c r="JR72" i="2" s="1"/>
  <c r="JS72" i="2" s="1"/>
  <c r="JT72" i="2" s="1"/>
  <c r="JU72" i="2" s="1"/>
  <c r="JV72" i="2" s="1"/>
  <c r="JW72" i="2" s="1"/>
  <c r="JX72" i="2" s="1"/>
  <c r="JY72" i="2" s="1"/>
  <c r="JZ72" i="2" s="1"/>
  <c r="KA72" i="2" s="1"/>
  <c r="KB72" i="2" s="1"/>
  <c r="KC72" i="2" s="1"/>
  <c r="KD72" i="2" s="1"/>
  <c r="KE72" i="2" s="1"/>
  <c r="KF72" i="2" s="1"/>
  <c r="KG72" i="2" s="1"/>
  <c r="KH72" i="2" s="1"/>
  <c r="KI72" i="2" s="1"/>
  <c r="KJ72" i="2" s="1"/>
  <c r="KK72" i="2" s="1"/>
  <c r="KL72" i="2" s="1"/>
  <c r="KM72" i="2" s="1"/>
  <c r="KN72" i="2" s="1"/>
  <c r="KO72" i="2" s="1"/>
  <c r="KP72" i="2" s="1"/>
  <c r="KQ72" i="2" s="1"/>
  <c r="KR72" i="2" s="1"/>
  <c r="KS72" i="2" s="1"/>
  <c r="KT72" i="2" s="1"/>
  <c r="KU72" i="2" s="1"/>
  <c r="KV72" i="2" s="1"/>
  <c r="KW72" i="2" s="1"/>
  <c r="KX72" i="2" s="1"/>
  <c r="KY72" i="2" s="1"/>
  <c r="KZ72" i="2" s="1"/>
  <c r="LA72" i="2" s="1"/>
  <c r="LB72" i="2" s="1"/>
  <c r="LC72" i="2" s="1"/>
  <c r="LD72" i="2" s="1"/>
  <c r="LE72" i="2" s="1"/>
  <c r="LF72" i="2" s="1"/>
  <c r="LG72" i="2" s="1"/>
  <c r="LH72" i="2" s="1"/>
  <c r="LI72" i="2" s="1"/>
  <c r="LJ72" i="2" s="1"/>
  <c r="LK72" i="2" s="1"/>
  <c r="LL72" i="2" s="1"/>
  <c r="LM72" i="2" s="1"/>
  <c r="LN72" i="2" s="1"/>
  <c r="LO72" i="2" s="1"/>
  <c r="LP72" i="2" s="1"/>
  <c r="LQ72" i="2" s="1"/>
  <c r="LR72" i="2" s="1"/>
  <c r="LS72" i="2" s="1"/>
  <c r="LT72" i="2" s="1"/>
  <c r="LU72" i="2" s="1"/>
  <c r="LV72" i="2" s="1"/>
  <c r="LW72" i="2" s="1"/>
  <c r="LX72" i="2" s="1"/>
  <c r="LY72" i="2" s="1"/>
  <c r="LZ72" i="2" s="1"/>
  <c r="MA72" i="2" s="1"/>
  <c r="MB72" i="2" s="1"/>
  <c r="MC72" i="2" s="1"/>
  <c r="MD72" i="2" s="1"/>
  <c r="ME72" i="2" s="1"/>
  <c r="MF72" i="2" s="1"/>
  <c r="MG72" i="2" s="1"/>
  <c r="MH72" i="2" s="1"/>
  <c r="MI72" i="2" s="1"/>
  <c r="MJ72" i="2" s="1"/>
  <c r="MK72" i="2" s="1"/>
  <c r="ML72" i="2" s="1"/>
  <c r="MM72" i="2" s="1"/>
  <c r="MN72" i="2" s="1"/>
  <c r="MO72" i="2" s="1"/>
  <c r="MP72" i="2" s="1"/>
  <c r="MQ72" i="2" s="1"/>
  <c r="MR72" i="2" s="1"/>
  <c r="MS72" i="2" s="1"/>
  <c r="MT72" i="2" s="1"/>
  <c r="MU72" i="2" s="1"/>
  <c r="MV72" i="2" s="1"/>
  <c r="MW72" i="2" s="1"/>
  <c r="MX72" i="2" s="1"/>
  <c r="MY72" i="2" s="1"/>
  <c r="MZ72" i="2" s="1"/>
  <c r="NA72" i="2" s="1"/>
  <c r="NB72" i="2" s="1"/>
  <c r="NC72" i="2" s="1"/>
  <c r="ND72" i="2" s="1"/>
  <c r="NE72" i="2" s="1"/>
  <c r="NF72" i="2" s="1"/>
  <c r="NG72" i="2" s="1"/>
  <c r="NH72" i="2" s="1"/>
  <c r="NI72" i="2" s="1"/>
  <c r="NJ72" i="2" s="1"/>
  <c r="NK72" i="2" s="1"/>
  <c r="NL72" i="2" s="1"/>
  <c r="NM72" i="2" s="1"/>
  <c r="NN72" i="2" s="1"/>
  <c r="NO72" i="2" s="1"/>
  <c r="NP72" i="2" s="1"/>
  <c r="NQ72" i="2" s="1"/>
  <c r="NR72" i="2" s="1"/>
  <c r="NS72" i="2" s="1"/>
  <c r="NT72" i="2" s="1"/>
  <c r="NU72" i="2" s="1"/>
  <c r="NV72" i="2" s="1"/>
  <c r="NW72" i="2" s="1"/>
  <c r="NX72" i="2" s="1"/>
  <c r="NY72" i="2" s="1"/>
  <c r="NZ72" i="2" s="1"/>
  <c r="OA72" i="2" s="1"/>
  <c r="OB72" i="2" s="1"/>
  <c r="OC72" i="2" s="1"/>
  <c r="OD72" i="2" s="1"/>
  <c r="OE72" i="2" s="1"/>
  <c r="OF72" i="2" s="1"/>
  <c r="OG72" i="2" s="1"/>
  <c r="OH72" i="2" s="1"/>
  <c r="OI72" i="2" s="1"/>
  <c r="OJ72" i="2" s="1"/>
  <c r="OK72" i="2" s="1"/>
  <c r="OL72" i="2" s="1"/>
  <c r="OM72" i="2" s="1"/>
  <c r="ON72" i="2" s="1"/>
  <c r="OO72" i="2" s="1"/>
  <c r="OP72" i="2" s="1"/>
  <c r="OQ72" i="2" s="1"/>
  <c r="OR72" i="2" s="1"/>
  <c r="OS72" i="2" s="1"/>
  <c r="OT72" i="2" s="1"/>
  <c r="OU72" i="2" s="1"/>
  <c r="OV72" i="2" s="1"/>
  <c r="OW72" i="2" s="1"/>
  <c r="OX72" i="2" s="1"/>
  <c r="OY72" i="2" s="1"/>
  <c r="OZ72" i="2" s="1"/>
  <c r="PA72" i="2" s="1"/>
  <c r="PB72" i="2" s="1"/>
  <c r="PC72" i="2" s="1"/>
  <c r="PD72" i="2" s="1"/>
  <c r="PE72" i="2" s="1"/>
  <c r="PF72" i="2" s="1"/>
  <c r="PG72" i="2" s="1"/>
  <c r="PH72" i="2" s="1"/>
  <c r="PI72" i="2" s="1"/>
  <c r="PJ72" i="2" s="1"/>
  <c r="PK72" i="2" s="1"/>
  <c r="PL72" i="2" s="1"/>
  <c r="PM72" i="2" s="1"/>
  <c r="PN72" i="2" s="1"/>
  <c r="PO72" i="2" s="1"/>
  <c r="PP72" i="2" s="1"/>
  <c r="PQ72" i="2" s="1"/>
  <c r="PR72" i="2" s="1"/>
  <c r="PS72" i="2" s="1"/>
  <c r="PT72" i="2" s="1"/>
  <c r="PU72" i="2" s="1"/>
  <c r="PV72" i="2" s="1"/>
  <c r="PW72" i="2" s="1"/>
  <c r="PX72" i="2" s="1"/>
  <c r="PY72" i="2" s="1"/>
  <c r="PZ72" i="2" s="1"/>
  <c r="QA72" i="2" s="1"/>
  <c r="QB72" i="2" s="1"/>
  <c r="QC72" i="2" s="1"/>
  <c r="QD72" i="2" s="1"/>
  <c r="QE72" i="2" s="1"/>
  <c r="QF72" i="2" s="1"/>
  <c r="QG72" i="2" s="1"/>
  <c r="QH72" i="2" s="1"/>
  <c r="QI72" i="2" s="1"/>
  <c r="QJ72" i="2" s="1"/>
  <c r="QK72" i="2" s="1"/>
  <c r="QL72" i="2" s="1"/>
  <c r="QM72" i="2" s="1"/>
  <c r="QN72" i="2" s="1"/>
  <c r="QO72" i="2" s="1"/>
  <c r="QP72" i="2" s="1"/>
  <c r="QQ72" i="2" s="1"/>
  <c r="QR72" i="2" s="1"/>
  <c r="QS72" i="2" s="1"/>
  <c r="QT72" i="2" s="1"/>
  <c r="QU72" i="2" s="1"/>
  <c r="QV72" i="2" s="1"/>
  <c r="QW72" i="2" s="1"/>
  <c r="QX72" i="2" s="1"/>
  <c r="QY72" i="2" s="1"/>
  <c r="QZ72" i="2" s="1"/>
  <c r="RA72" i="2" s="1"/>
  <c r="RB72" i="2" s="1"/>
  <c r="RC72" i="2" s="1"/>
  <c r="RD72" i="2" s="1"/>
  <c r="RE72" i="2" s="1"/>
  <c r="RF72" i="2" s="1"/>
  <c r="RG72" i="2" s="1"/>
  <c r="RH72" i="2" s="1"/>
  <c r="RI72" i="2" s="1"/>
  <c r="RJ72" i="2" s="1"/>
  <c r="RK72" i="2" s="1"/>
  <c r="RL72" i="2" s="1"/>
  <c r="RM72" i="2" s="1"/>
  <c r="RN72" i="2" s="1"/>
  <c r="RO72" i="2" s="1"/>
  <c r="RP72" i="2" s="1"/>
  <c r="RQ72" i="2" s="1"/>
  <c r="RR72" i="2" s="1"/>
  <c r="RS72" i="2" s="1"/>
  <c r="RT72" i="2" s="1"/>
  <c r="RU72" i="2" s="1"/>
  <c r="RV72" i="2" s="1"/>
  <c r="RW72" i="2" s="1"/>
  <c r="RX72" i="2" s="1"/>
  <c r="RY72" i="2" s="1"/>
  <c r="RZ72" i="2" s="1"/>
  <c r="SA72" i="2" s="1"/>
  <c r="SB72" i="2" s="1"/>
  <c r="SC72" i="2" s="1"/>
  <c r="SD72" i="2" s="1"/>
  <c r="SE72" i="2" s="1"/>
  <c r="SF72" i="2" s="1"/>
  <c r="SG72" i="2" s="1"/>
  <c r="SH72" i="2" s="1"/>
  <c r="SI72" i="2" s="1"/>
  <c r="SJ72" i="2" s="1"/>
  <c r="SK72" i="2" s="1"/>
  <c r="SL72" i="2" s="1"/>
  <c r="SM72" i="2" s="1"/>
  <c r="SN72" i="2" s="1"/>
  <c r="SO72" i="2" s="1"/>
  <c r="SP72" i="2" s="1"/>
  <c r="SQ72" i="2" s="1"/>
  <c r="SR72" i="2" s="1"/>
  <c r="SS72" i="2" s="1"/>
  <c r="ST72" i="2" s="1"/>
  <c r="SU72" i="2" s="1"/>
  <c r="SV72" i="2" s="1"/>
  <c r="SW72" i="2" s="1"/>
  <c r="SX72" i="2" s="1"/>
  <c r="SY72" i="2" s="1"/>
  <c r="SZ72" i="2" s="1"/>
  <c r="TA72" i="2" s="1"/>
  <c r="TB72" i="2" s="1"/>
  <c r="TC72" i="2" s="1"/>
  <c r="TD72" i="2" s="1"/>
  <c r="TE72" i="2" s="1"/>
  <c r="TF72" i="2" s="1"/>
  <c r="TG72" i="2" s="1"/>
  <c r="TH72" i="2" s="1"/>
  <c r="TI72" i="2" s="1"/>
  <c r="TJ72" i="2" s="1"/>
  <c r="TK72" i="2" s="1"/>
  <c r="TL72" i="2" s="1"/>
  <c r="TM72" i="2" s="1"/>
  <c r="TN72" i="2" s="1"/>
  <c r="TO72" i="2" s="1"/>
  <c r="TP72" i="2" s="1"/>
  <c r="TQ72" i="2" s="1"/>
  <c r="TR72" i="2" s="1"/>
  <c r="TS72" i="2" s="1"/>
  <c r="TT72" i="2" s="1"/>
  <c r="TU72" i="2" s="1"/>
  <c r="TV72" i="2" s="1"/>
  <c r="TW72" i="2" s="1"/>
  <c r="TX72" i="2" s="1"/>
  <c r="TY72" i="2" s="1"/>
  <c r="TZ72" i="2" s="1"/>
  <c r="UA72" i="2" s="1"/>
  <c r="UB72" i="2" s="1"/>
  <c r="UC72" i="2" s="1"/>
  <c r="UD72" i="2" s="1"/>
  <c r="UE72" i="2" s="1"/>
  <c r="UF72" i="2" s="1"/>
  <c r="UG72" i="2" s="1"/>
  <c r="UH72" i="2" s="1"/>
  <c r="UI72" i="2" s="1"/>
  <c r="UJ72" i="2" s="1"/>
  <c r="UK72" i="2" s="1"/>
  <c r="UL72" i="2" s="1"/>
  <c r="UM72" i="2" s="1"/>
  <c r="UN72" i="2" s="1"/>
  <c r="UO72" i="2" s="1"/>
  <c r="UP72" i="2" s="1"/>
  <c r="UQ72" i="2" s="1"/>
  <c r="UR72" i="2" s="1"/>
  <c r="US72" i="2" s="1"/>
  <c r="UT72" i="2" s="1"/>
  <c r="UU72" i="2" s="1"/>
  <c r="UV72" i="2" s="1"/>
  <c r="UW72" i="2" s="1"/>
  <c r="UX72" i="2" s="1"/>
  <c r="UY72" i="2" s="1"/>
  <c r="UZ72" i="2" s="1"/>
  <c r="VA72" i="2" s="1"/>
  <c r="VB72" i="2" s="1"/>
  <c r="VC72" i="2" s="1"/>
  <c r="VD72" i="2" s="1"/>
  <c r="VE72" i="2" s="1"/>
  <c r="VF72" i="2" s="1"/>
  <c r="VG72" i="2" s="1"/>
  <c r="VH72" i="2" s="1"/>
  <c r="VI72" i="2" s="1"/>
  <c r="VJ72" i="2" s="1"/>
  <c r="VK72" i="2" s="1"/>
  <c r="VL72" i="2" s="1"/>
  <c r="VM72" i="2" s="1"/>
  <c r="VN72" i="2" s="1"/>
  <c r="VO72" i="2" s="1"/>
  <c r="VP72" i="2" s="1"/>
  <c r="VQ72" i="2" s="1"/>
  <c r="VR72" i="2" s="1"/>
  <c r="VS72" i="2" s="1"/>
  <c r="VT72" i="2" s="1"/>
  <c r="VU72" i="2" s="1"/>
  <c r="VV72" i="2" s="1"/>
  <c r="VW72" i="2" s="1"/>
  <c r="VX72" i="2" s="1"/>
  <c r="VY72" i="2" s="1"/>
  <c r="VZ72" i="2" s="1"/>
  <c r="WA72" i="2" s="1"/>
  <c r="WB72" i="2" s="1"/>
  <c r="WC72" i="2" s="1"/>
  <c r="WD72" i="2" s="1"/>
  <c r="WE72" i="2" s="1"/>
  <c r="WF72" i="2" s="1"/>
  <c r="WG72" i="2" s="1"/>
  <c r="WH72" i="2" s="1"/>
  <c r="WI72" i="2" s="1"/>
  <c r="WJ72" i="2" s="1"/>
  <c r="WK72" i="2" s="1"/>
  <c r="WL72" i="2" s="1"/>
  <c r="WM72" i="2" s="1"/>
  <c r="WN72" i="2" s="1"/>
  <c r="WO72" i="2" s="1"/>
  <c r="WP72" i="2" s="1"/>
  <c r="WQ72" i="2" s="1"/>
  <c r="WR72" i="2" s="1"/>
  <c r="WS72" i="2" s="1"/>
  <c r="WT72" i="2" s="1"/>
  <c r="WU72" i="2" s="1"/>
  <c r="WV72" i="2" s="1"/>
  <c r="WW72" i="2" s="1"/>
  <c r="WX72" i="2" s="1"/>
  <c r="WY72" i="2" s="1"/>
  <c r="WZ72" i="2" s="1"/>
  <c r="XA72" i="2" s="1"/>
  <c r="XB72" i="2" s="1"/>
  <c r="XC72" i="2" s="1"/>
  <c r="XD72" i="2" s="1"/>
  <c r="XE72" i="2" s="1"/>
  <c r="XF72" i="2" s="1"/>
  <c r="XG72" i="2" s="1"/>
  <c r="XH72" i="2" s="1"/>
  <c r="XI72" i="2" s="1"/>
  <c r="XJ72" i="2" s="1"/>
  <c r="XK72" i="2" s="1"/>
  <c r="XL72" i="2" s="1"/>
  <c r="XM72" i="2" s="1"/>
  <c r="XN72" i="2" s="1"/>
  <c r="XO72" i="2" s="1"/>
  <c r="XP72" i="2" s="1"/>
  <c r="XQ72" i="2" s="1"/>
  <c r="XR72" i="2" s="1"/>
  <c r="XS72" i="2" s="1"/>
  <c r="XT72" i="2" s="1"/>
  <c r="XU72" i="2" s="1"/>
  <c r="XV72" i="2" s="1"/>
  <c r="XW72" i="2" s="1"/>
  <c r="XX72" i="2" s="1"/>
  <c r="XY72" i="2" s="1"/>
  <c r="XZ72" i="2" s="1"/>
  <c r="YA72" i="2" s="1"/>
  <c r="YB72" i="2" s="1"/>
  <c r="YC72" i="2" s="1"/>
  <c r="YD72" i="2" s="1"/>
  <c r="YE72" i="2" s="1"/>
  <c r="YF72" i="2" s="1"/>
  <c r="YG72" i="2" s="1"/>
  <c r="YH72" i="2" s="1"/>
  <c r="YI72" i="2" s="1"/>
  <c r="YJ72" i="2" s="1"/>
  <c r="YK72" i="2" s="1"/>
  <c r="YL72" i="2" s="1"/>
  <c r="YM72" i="2" s="1"/>
  <c r="YN72" i="2" s="1"/>
  <c r="YO72" i="2" s="1"/>
  <c r="YP72" i="2" s="1"/>
  <c r="YQ72" i="2" s="1"/>
  <c r="YR72" i="2" s="1"/>
  <c r="YS72" i="2" s="1"/>
  <c r="YT72" i="2" s="1"/>
  <c r="YU72" i="2" s="1"/>
  <c r="YV72" i="2" s="1"/>
  <c r="YW72" i="2" s="1"/>
  <c r="YX72" i="2" s="1"/>
  <c r="YY72" i="2" s="1"/>
  <c r="YZ72" i="2" s="1"/>
  <c r="ZA72" i="2" s="1"/>
  <c r="ZB72" i="2" s="1"/>
  <c r="ZC72" i="2" s="1"/>
  <c r="ZD72" i="2" s="1"/>
  <c r="ZE72" i="2" s="1"/>
  <c r="ZF72" i="2" s="1"/>
  <c r="ZG72" i="2" s="1"/>
  <c r="ZH72" i="2" s="1"/>
  <c r="ZI72" i="2" s="1"/>
  <c r="ZJ72" i="2" s="1"/>
  <c r="ZK72" i="2" s="1"/>
  <c r="ZL72" i="2" s="1"/>
  <c r="ZM72" i="2" s="1"/>
  <c r="ZN72" i="2" s="1"/>
  <c r="ZO72" i="2" s="1"/>
  <c r="ZP72" i="2" s="1"/>
  <c r="ZQ72" i="2" s="1"/>
  <c r="ZR72" i="2" s="1"/>
  <c r="ZS72" i="2" s="1"/>
  <c r="ZT72" i="2" s="1"/>
  <c r="ZU72" i="2" s="1"/>
  <c r="ZV72" i="2" s="1"/>
  <c r="ZW72" i="2" s="1"/>
  <c r="ZX72" i="2" s="1"/>
  <c r="ZY72" i="2" s="1"/>
  <c r="ZZ72" i="2" s="1"/>
  <c r="AAA72" i="2" s="1"/>
  <c r="AAB72" i="2" s="1"/>
  <c r="AAC72" i="2" s="1"/>
  <c r="AAD72" i="2" s="1"/>
  <c r="AAE72" i="2" s="1"/>
  <c r="AAF72" i="2" s="1"/>
  <c r="AAG72" i="2" s="1"/>
  <c r="AAH72" i="2" s="1"/>
  <c r="AAI72" i="2" s="1"/>
  <c r="AAJ72" i="2" s="1"/>
  <c r="AAK72" i="2" s="1"/>
  <c r="AAL72" i="2" s="1"/>
  <c r="AAM72" i="2" s="1"/>
  <c r="AAN72" i="2" s="1"/>
  <c r="AAO72" i="2" s="1"/>
  <c r="AAP72" i="2" s="1"/>
  <c r="AAQ72" i="2" s="1"/>
  <c r="AAR72" i="2" s="1"/>
  <c r="AAS72" i="2" s="1"/>
  <c r="AAT72" i="2" s="1"/>
  <c r="AAU72" i="2" s="1"/>
  <c r="AAV72" i="2" s="1"/>
  <c r="AAW72" i="2" s="1"/>
  <c r="AAX72" i="2" s="1"/>
  <c r="AAY72" i="2" s="1"/>
  <c r="AAZ72" i="2" s="1"/>
  <c r="ABA72" i="2" s="1"/>
  <c r="ABB72" i="2" s="1"/>
  <c r="ABC72" i="2" s="1"/>
  <c r="ABD72" i="2" s="1"/>
  <c r="ABE72" i="2" s="1"/>
  <c r="ABF72" i="2" s="1"/>
  <c r="ABG72" i="2" s="1"/>
  <c r="ABH72" i="2" s="1"/>
  <c r="ABI72" i="2" s="1"/>
  <c r="ABJ72" i="2" s="1"/>
  <c r="ABK72" i="2" s="1"/>
  <c r="ABL72" i="2" s="1"/>
  <c r="ABM72" i="2" s="1"/>
  <c r="ABN72" i="2" s="1"/>
  <c r="ABO72" i="2" s="1"/>
  <c r="ABP72" i="2" s="1"/>
  <c r="ABQ72" i="2" s="1"/>
  <c r="ABR72" i="2" s="1"/>
  <c r="ABS72" i="2" s="1"/>
  <c r="ABT72" i="2" s="1"/>
  <c r="AC31" i="5"/>
  <c r="AC33" i="5" s="1"/>
  <c r="AD38" i="5"/>
  <c r="G45" i="5"/>
  <c r="H46" i="5"/>
  <c r="D45" i="5"/>
  <c r="O41" i="5"/>
  <c r="E45" i="5"/>
  <c r="F45" i="5"/>
  <c r="I45" i="5"/>
  <c r="H45" i="5"/>
  <c r="J45" i="5"/>
  <c r="C46" i="5"/>
  <c r="N41" i="5"/>
  <c r="D46" i="5"/>
  <c r="E46" i="5"/>
  <c r="F46" i="5"/>
  <c r="C45" i="5"/>
  <c r="G46" i="5"/>
  <c r="L41" i="5"/>
  <c r="AA97" i="5"/>
  <c r="AA98" i="5" s="1"/>
  <c r="C37" i="5"/>
  <c r="J41" i="5"/>
  <c r="Y91" i="5"/>
  <c r="Y95" i="5" s="1"/>
  <c r="H41" i="5"/>
  <c r="K41" i="5"/>
  <c r="G41" i="5"/>
  <c r="Z89" i="5"/>
  <c r="Z90" i="5" s="1"/>
  <c r="I41" i="5"/>
  <c r="AA101" i="5"/>
  <c r="Y85" i="5"/>
  <c r="C95" i="5"/>
  <c r="C97" i="5" s="1"/>
  <c r="C98" i="5" s="1"/>
  <c r="Y89" i="5"/>
  <c r="Y90" i="5" s="1"/>
  <c r="Z85" i="5"/>
  <c r="Z101" i="5" s="1"/>
  <c r="Z91" i="5"/>
  <c r="Z95" i="5" s="1"/>
  <c r="C101" i="5"/>
  <c r="D97" i="5"/>
  <c r="D98" i="5" s="1"/>
  <c r="D101" i="5"/>
  <c r="H97" i="5"/>
  <c r="H98" i="5" s="1"/>
  <c r="H101" i="5"/>
  <c r="E97" i="5"/>
  <c r="E98" i="5" s="1"/>
  <c r="I97" i="5"/>
  <c r="I98" i="5" s="1"/>
  <c r="I101" i="5"/>
  <c r="F97" i="5"/>
  <c r="F98" i="5" s="1"/>
  <c r="J97" i="5"/>
  <c r="J98" i="5" s="1"/>
  <c r="G97" i="5"/>
  <c r="G98" i="5" s="1"/>
  <c r="H49" i="5"/>
  <c r="I49" i="5"/>
  <c r="K26" i="5"/>
  <c r="K28" i="5" s="1"/>
  <c r="K31" i="5" s="1"/>
  <c r="AA31" i="5" s="1"/>
  <c r="K97" i="5"/>
  <c r="K98" i="5" s="1"/>
  <c r="F26" i="5"/>
  <c r="F28" i="5" s="1"/>
  <c r="H26" i="5"/>
  <c r="H28" i="5" s="1"/>
  <c r="I26" i="5"/>
  <c r="I28" i="5" s="1"/>
  <c r="J26" i="5"/>
  <c r="J28" i="5" s="1"/>
  <c r="J31" i="5" s="1"/>
  <c r="D26" i="5"/>
  <c r="D28" i="5" s="1"/>
  <c r="E26" i="5"/>
  <c r="E28" i="5" s="1"/>
  <c r="C26" i="5"/>
  <c r="C28" i="5" s="1"/>
  <c r="G26" i="5"/>
  <c r="G28" i="5" s="1"/>
  <c r="AC14" i="11"/>
  <c r="AK166" i="11"/>
  <c r="V13" i="11"/>
  <c r="V24" i="11" s="1"/>
  <c r="AC166" i="11"/>
  <c r="AC12" i="11"/>
  <c r="U30" i="11"/>
  <c r="N24" i="11"/>
  <c r="O13" i="11"/>
  <c r="AB15" i="11"/>
  <c r="AC15" i="11" s="1"/>
  <c r="M24" i="11"/>
  <c r="X28" i="12"/>
  <c r="T30" i="11"/>
  <c r="S30" i="11"/>
  <c r="R30" i="11"/>
  <c r="Q30" i="11"/>
  <c r="P30" i="11"/>
  <c r="O30" i="11"/>
  <c r="N30" i="11"/>
  <c r="M30" i="11"/>
  <c r="L143" i="11"/>
  <c r="L132" i="11"/>
  <c r="L131" i="11"/>
  <c r="L130" i="11"/>
  <c r="L129" i="11"/>
  <c r="H126" i="11"/>
  <c r="H134" i="11" s="1"/>
  <c r="L126" i="11"/>
  <c r="L134" i="11" s="1"/>
  <c r="L115" i="11"/>
  <c r="L114" i="11"/>
  <c r="L113" i="11"/>
  <c r="L112" i="11"/>
  <c r="L111" i="11"/>
  <c r="H102" i="11"/>
  <c r="H104" i="11" s="1"/>
  <c r="H108" i="11" s="1"/>
  <c r="H118" i="11" s="1"/>
  <c r="L102" i="11"/>
  <c r="L104" i="11" s="1"/>
  <c r="L108" i="11" s="1"/>
  <c r="L118" i="11" s="1"/>
  <c r="J143" i="11"/>
  <c r="K143" i="11"/>
  <c r="K115" i="11"/>
  <c r="K114" i="11"/>
  <c r="K113" i="11"/>
  <c r="K112" i="11"/>
  <c r="K111" i="11"/>
  <c r="K132" i="11"/>
  <c r="K131" i="11"/>
  <c r="K130" i="11"/>
  <c r="K129" i="11"/>
  <c r="G126" i="11"/>
  <c r="G134" i="11" s="1"/>
  <c r="K134" i="11"/>
  <c r="G102" i="11"/>
  <c r="G104" i="11" s="1"/>
  <c r="G108" i="11" s="1"/>
  <c r="G118" i="11" s="1"/>
  <c r="K102" i="11"/>
  <c r="K104" i="11" s="1"/>
  <c r="K108" i="11" s="1"/>
  <c r="K118" i="11" s="1"/>
  <c r="L85" i="11"/>
  <c r="L87" i="11" s="1"/>
  <c r="L78" i="11"/>
  <c r="L77" i="11"/>
  <c r="L75" i="11"/>
  <c r="L92" i="11" s="1"/>
  <c r="K85" i="11"/>
  <c r="K87" i="11" s="1"/>
  <c r="K78" i="11"/>
  <c r="K77" i="11"/>
  <c r="K75" i="11"/>
  <c r="K92" i="11" s="1"/>
  <c r="L30" i="11"/>
  <c r="L9" i="11"/>
  <c r="L5" i="11"/>
  <c r="K30" i="11"/>
  <c r="K9" i="11"/>
  <c r="K5" i="11"/>
  <c r="L53" i="11"/>
  <c r="L55" i="11" s="1"/>
  <c r="L35" i="11"/>
  <c r="L43" i="11" s="1"/>
  <c r="K53" i="11"/>
  <c r="K57" i="11" s="1"/>
  <c r="K35" i="11"/>
  <c r="K34" i="11" s="1"/>
  <c r="K15" i="11"/>
  <c r="L15" i="11"/>
  <c r="I17" i="1"/>
  <c r="O18" i="1"/>
  <c r="O16" i="1"/>
  <c r="O17" i="1"/>
  <c r="S23" i="12"/>
  <c r="R23" i="12"/>
  <c r="P23" i="12"/>
  <c r="O23" i="12"/>
  <c r="R7" i="12"/>
  <c r="S11" i="12"/>
  <c r="R11" i="12"/>
  <c r="Q11" i="12"/>
  <c r="S19" i="12"/>
  <c r="R19" i="12"/>
  <c r="Q19" i="12"/>
  <c r="S5" i="12"/>
  <c r="T5" i="12" s="1"/>
  <c r="R5" i="12"/>
  <c r="Q5" i="12"/>
  <c r="Q7" i="12" s="1"/>
  <c r="F37" i="12"/>
  <c r="E37" i="12"/>
  <c r="P18" i="12"/>
  <c r="P12" i="12"/>
  <c r="P16" i="12" s="1"/>
  <c r="O20" i="12"/>
  <c r="P10" i="12"/>
  <c r="P5" i="12"/>
  <c r="P7" i="12" s="1"/>
  <c r="P34" i="12" s="1"/>
  <c r="Q34" i="12" s="1"/>
  <c r="R34" i="12" s="1"/>
  <c r="S34" i="12" s="1"/>
  <c r="O9" i="12"/>
  <c r="O15" i="12"/>
  <c r="O14" i="12"/>
  <c r="O13" i="12"/>
  <c r="O8" i="12"/>
  <c r="O6" i="12"/>
  <c r="O4" i="12"/>
  <c r="O3" i="12"/>
  <c r="N18" i="12"/>
  <c r="N12" i="12"/>
  <c r="N16" i="12" s="1"/>
  <c r="N10" i="12"/>
  <c r="N5" i="12"/>
  <c r="N7" i="12" s="1"/>
  <c r="N34" i="12" s="1"/>
  <c r="P67" i="12"/>
  <c r="P64" i="12"/>
  <c r="P63" i="12"/>
  <c r="P62" i="12"/>
  <c r="O67" i="12"/>
  <c r="O64" i="12"/>
  <c r="O63" i="12"/>
  <c r="O62" i="12"/>
  <c r="P58" i="12"/>
  <c r="P54" i="12"/>
  <c r="P53" i="12"/>
  <c r="P52" i="12"/>
  <c r="P51" i="12"/>
  <c r="P50" i="12"/>
  <c r="P43" i="12"/>
  <c r="P40" i="12"/>
  <c r="P38" i="12"/>
  <c r="O58" i="12"/>
  <c r="O54" i="12"/>
  <c r="O53" i="12"/>
  <c r="O52" i="12"/>
  <c r="O51" i="12"/>
  <c r="O50" i="12"/>
  <c r="O43" i="12"/>
  <c r="O40" i="12"/>
  <c r="O38" i="12"/>
  <c r="N58" i="12"/>
  <c r="N54" i="12"/>
  <c r="N53" i="12"/>
  <c r="N52" i="12"/>
  <c r="N51" i="12"/>
  <c r="N50" i="12"/>
  <c r="N43" i="12"/>
  <c r="N40" i="12"/>
  <c r="N38" i="12"/>
  <c r="N69" i="12"/>
  <c r="N65" i="12"/>
  <c r="C69" i="12"/>
  <c r="C65" i="12"/>
  <c r="C58" i="12"/>
  <c r="C54" i="12"/>
  <c r="C53" i="12"/>
  <c r="C52" i="12"/>
  <c r="C51" i="12"/>
  <c r="C50" i="12"/>
  <c r="C38" i="12"/>
  <c r="C40" i="12"/>
  <c r="C43" i="12"/>
  <c r="C18" i="12"/>
  <c r="C12" i="12"/>
  <c r="C16" i="12" s="1"/>
  <c r="C10" i="12"/>
  <c r="C5" i="12"/>
  <c r="C7" i="12" s="1"/>
  <c r="C33" i="12" s="1"/>
  <c r="D58" i="12"/>
  <c r="D54" i="12"/>
  <c r="D53" i="12"/>
  <c r="D52" i="12"/>
  <c r="D51" i="12"/>
  <c r="D50" i="12"/>
  <c r="D43" i="12"/>
  <c r="D40" i="12"/>
  <c r="D38" i="12"/>
  <c r="D18" i="12"/>
  <c r="D12" i="12"/>
  <c r="D16" i="12" s="1"/>
  <c r="E18" i="12"/>
  <c r="E12" i="12"/>
  <c r="E16" i="12" s="1"/>
  <c r="D10" i="12"/>
  <c r="D5" i="12"/>
  <c r="D7" i="12" s="1"/>
  <c r="D33" i="12" s="1"/>
  <c r="E10" i="12"/>
  <c r="E7" i="12"/>
  <c r="E27" i="12" s="1"/>
  <c r="E69" i="12"/>
  <c r="D69" i="12"/>
  <c r="E65" i="12"/>
  <c r="D65" i="12"/>
  <c r="F69" i="12"/>
  <c r="F65" i="12"/>
  <c r="F18" i="12"/>
  <c r="F12" i="12"/>
  <c r="F16" i="12" s="1"/>
  <c r="F10" i="12"/>
  <c r="F5" i="12"/>
  <c r="F7" i="12" s="1"/>
  <c r="F34" i="12" s="1"/>
  <c r="G69" i="12"/>
  <c r="G65" i="12"/>
  <c r="G58" i="12"/>
  <c r="G51" i="12"/>
  <c r="G54" i="12"/>
  <c r="G53" i="12"/>
  <c r="G52" i="12"/>
  <c r="G50" i="12"/>
  <c r="G43" i="12"/>
  <c r="G40" i="12"/>
  <c r="G38" i="12"/>
  <c r="G18" i="12"/>
  <c r="G12" i="12"/>
  <c r="G16" i="12" s="1"/>
  <c r="G10" i="12"/>
  <c r="G5" i="12"/>
  <c r="G7" i="12" s="1"/>
  <c r="G34" i="12" s="1"/>
  <c r="H65" i="12"/>
  <c r="H69" i="12"/>
  <c r="H58" i="12"/>
  <c r="H54" i="12"/>
  <c r="H53" i="12"/>
  <c r="H52" i="12"/>
  <c r="H51" i="12"/>
  <c r="H50" i="12"/>
  <c r="H43" i="12"/>
  <c r="H40" i="12"/>
  <c r="H38" i="12"/>
  <c r="H18" i="12"/>
  <c r="H12" i="12"/>
  <c r="H16" i="12" s="1"/>
  <c r="H10" i="12"/>
  <c r="H5" i="12"/>
  <c r="H7" i="12" s="1"/>
  <c r="I69" i="12"/>
  <c r="I65" i="12"/>
  <c r="I58" i="12"/>
  <c r="I54" i="12"/>
  <c r="I53" i="12"/>
  <c r="I52" i="12"/>
  <c r="I51" i="12"/>
  <c r="I50" i="12"/>
  <c r="I43" i="12"/>
  <c r="I40" i="12"/>
  <c r="I38" i="12"/>
  <c r="I18" i="12"/>
  <c r="I12" i="12"/>
  <c r="I16" i="12" s="1"/>
  <c r="I10" i="12"/>
  <c r="I5" i="12"/>
  <c r="I7" i="12" s="1"/>
  <c r="I34" i="12" s="1"/>
  <c r="J69" i="12"/>
  <c r="J65" i="12"/>
  <c r="J58" i="12"/>
  <c r="J53" i="12"/>
  <c r="J54" i="12"/>
  <c r="J52" i="12"/>
  <c r="J51" i="12"/>
  <c r="J50" i="12"/>
  <c r="J38" i="12"/>
  <c r="J43" i="12"/>
  <c r="J40" i="12"/>
  <c r="K18" i="12"/>
  <c r="J18" i="12"/>
  <c r="J12" i="12"/>
  <c r="J16" i="12" s="1"/>
  <c r="J10" i="12"/>
  <c r="J5" i="12"/>
  <c r="J7" i="12" s="1"/>
  <c r="J33" i="12" s="1"/>
  <c r="K69" i="12"/>
  <c r="K65" i="12"/>
  <c r="K58" i="12"/>
  <c r="K54" i="12"/>
  <c r="K53" i="12"/>
  <c r="K50" i="12"/>
  <c r="K51" i="12"/>
  <c r="K52" i="12"/>
  <c r="K43" i="12"/>
  <c r="K40" i="12"/>
  <c r="K38" i="12"/>
  <c r="K12" i="12"/>
  <c r="K16" i="12" s="1"/>
  <c r="K10" i="12"/>
  <c r="K5" i="12"/>
  <c r="K7" i="12" s="1"/>
  <c r="K33" i="12" s="1"/>
  <c r="L17" i="1"/>
  <c r="L21" i="1" s="1"/>
  <c r="L23" i="1" s="1"/>
  <c r="E34" i="11"/>
  <c r="D34" i="11"/>
  <c r="C34" i="11"/>
  <c r="Z9" i="11"/>
  <c r="Y9" i="11"/>
  <c r="X9" i="11"/>
  <c r="Z5" i="11"/>
  <c r="Z27" i="11" s="1"/>
  <c r="Y5" i="11"/>
  <c r="X5" i="11"/>
  <c r="C85" i="11"/>
  <c r="C87" i="11" s="1"/>
  <c r="C78" i="11"/>
  <c r="C77" i="11"/>
  <c r="G85" i="11"/>
  <c r="G87" i="11" s="1"/>
  <c r="G78" i="11"/>
  <c r="G77" i="11"/>
  <c r="C9" i="11"/>
  <c r="C5" i="11"/>
  <c r="C20" i="11" s="1"/>
  <c r="G30" i="11"/>
  <c r="G9" i="11"/>
  <c r="G5" i="11"/>
  <c r="G50" i="11"/>
  <c r="G48" i="11"/>
  <c r="G35" i="11"/>
  <c r="G43" i="11" s="1"/>
  <c r="D85" i="11"/>
  <c r="D87" i="11" s="1"/>
  <c r="D78" i="11"/>
  <c r="D77" i="11"/>
  <c r="H85" i="11"/>
  <c r="H87" i="11" s="1"/>
  <c r="H78" i="11"/>
  <c r="H77" i="11"/>
  <c r="D9" i="11"/>
  <c r="D5" i="11"/>
  <c r="D20" i="11" s="1"/>
  <c r="H30" i="11"/>
  <c r="H9" i="11"/>
  <c r="H5" i="11"/>
  <c r="H48" i="11"/>
  <c r="H50" i="11"/>
  <c r="H35" i="11"/>
  <c r="H43" i="11" s="1"/>
  <c r="F53" i="11"/>
  <c r="F55" i="11" s="1"/>
  <c r="E53" i="11"/>
  <c r="E55" i="11" s="1"/>
  <c r="D53" i="11"/>
  <c r="D55" i="11" s="1"/>
  <c r="C53" i="11"/>
  <c r="C55" i="11" s="1"/>
  <c r="E78" i="11"/>
  <c r="E77" i="11"/>
  <c r="I85" i="11"/>
  <c r="I87" i="11" s="1"/>
  <c r="I78" i="11"/>
  <c r="I77" i="11"/>
  <c r="E9" i="11"/>
  <c r="E5" i="11"/>
  <c r="E20" i="11" s="1"/>
  <c r="I30" i="11"/>
  <c r="I9" i="11"/>
  <c r="I5" i="11"/>
  <c r="I25" i="11" s="1"/>
  <c r="I50" i="11"/>
  <c r="I48" i="11"/>
  <c r="E43" i="11"/>
  <c r="D43" i="11"/>
  <c r="C43" i="11"/>
  <c r="I35" i="11"/>
  <c r="I43" i="11" s="1"/>
  <c r="F85" i="11"/>
  <c r="F87" i="11" s="1"/>
  <c r="E87" i="11"/>
  <c r="J85" i="11"/>
  <c r="J87" i="11" s="1"/>
  <c r="F78" i="11"/>
  <c r="F77" i="11"/>
  <c r="J78" i="11"/>
  <c r="J77" i="11"/>
  <c r="F75" i="11"/>
  <c r="F92" i="11" s="1"/>
  <c r="I75" i="11"/>
  <c r="I92" i="11" s="1"/>
  <c r="H75" i="11"/>
  <c r="H92" i="11" s="1"/>
  <c r="G75" i="11"/>
  <c r="E75" i="11"/>
  <c r="E92" i="11" s="1"/>
  <c r="D75" i="11"/>
  <c r="D92" i="11" s="1"/>
  <c r="C75" i="11"/>
  <c r="J75" i="11"/>
  <c r="J92" i="11" s="1"/>
  <c r="J53" i="11"/>
  <c r="J55" i="11" s="1"/>
  <c r="F35" i="11"/>
  <c r="F43" i="11" s="1"/>
  <c r="J35" i="11"/>
  <c r="J43" i="11" s="1"/>
  <c r="J30" i="11"/>
  <c r="F9" i="11"/>
  <c r="F5" i="11"/>
  <c r="F20" i="11" s="1"/>
  <c r="J9" i="11"/>
  <c r="J5" i="11"/>
  <c r="AB30" i="11"/>
  <c r="AA30" i="11"/>
  <c r="Y30" i="11"/>
  <c r="Z30" i="11"/>
  <c r="W3" i="10"/>
  <c r="X3" i="10" s="1"/>
  <c r="Y3" i="10" s="1"/>
  <c r="Z3" i="10" s="1"/>
  <c r="AA3" i="10" s="1"/>
  <c r="AB3" i="10" s="1"/>
  <c r="AC3" i="10" s="1"/>
  <c r="AD3" i="10" s="1"/>
  <c r="V5" i="10"/>
  <c r="G5" i="10"/>
  <c r="H5" i="10"/>
  <c r="I5" i="10"/>
  <c r="C4" i="10"/>
  <c r="D4" i="10"/>
  <c r="E4" i="10"/>
  <c r="G4" i="10"/>
  <c r="H4" i="10"/>
  <c r="I4" i="10"/>
  <c r="J5" i="10"/>
  <c r="F4" i="10"/>
  <c r="J4" i="10"/>
  <c r="N6" i="10" s="1"/>
  <c r="T81" i="10"/>
  <c r="T71" i="10"/>
  <c r="T74" i="10" s="1"/>
  <c r="T69" i="10"/>
  <c r="U82" i="10"/>
  <c r="U80" i="10"/>
  <c r="U79" i="10"/>
  <c r="U78" i="10"/>
  <c r="U76" i="10"/>
  <c r="U75" i="10"/>
  <c r="U73" i="10"/>
  <c r="U72" i="10"/>
  <c r="U70" i="10"/>
  <c r="U68" i="10"/>
  <c r="U67" i="10"/>
  <c r="U66" i="10"/>
  <c r="U65" i="10"/>
  <c r="U64" i="10"/>
  <c r="U63" i="10"/>
  <c r="U62" i="10"/>
  <c r="U61" i="10"/>
  <c r="U60" i="10"/>
  <c r="U59" i="10"/>
  <c r="U58" i="10"/>
  <c r="U57" i="10"/>
  <c r="U56" i="10"/>
  <c r="V82" i="10"/>
  <c r="V80" i="10"/>
  <c r="V79" i="10"/>
  <c r="V78" i="10"/>
  <c r="V77" i="10"/>
  <c r="V76" i="10"/>
  <c r="V75" i="10"/>
  <c r="V73" i="10"/>
  <c r="V72" i="10"/>
  <c r="V70" i="10"/>
  <c r="V68" i="10"/>
  <c r="V67" i="10"/>
  <c r="V66" i="10"/>
  <c r="V65" i="10"/>
  <c r="V64" i="10"/>
  <c r="V63" i="10"/>
  <c r="V62" i="10"/>
  <c r="V60" i="10"/>
  <c r="V59" i="10"/>
  <c r="V58" i="10"/>
  <c r="V57" i="10"/>
  <c r="V56" i="10"/>
  <c r="U43" i="10"/>
  <c r="U48" i="10" s="1"/>
  <c r="U50" i="10" s="1"/>
  <c r="U34" i="10"/>
  <c r="V43" i="10"/>
  <c r="V48" i="10" s="1"/>
  <c r="V50" i="10" s="1"/>
  <c r="V34" i="10"/>
  <c r="T14" i="10"/>
  <c r="T10" i="10"/>
  <c r="U18" i="10"/>
  <c r="U16" i="10"/>
  <c r="U13" i="10"/>
  <c r="U12" i="10"/>
  <c r="U11" i="10"/>
  <c r="U9" i="10"/>
  <c r="U8" i="10"/>
  <c r="U30" i="10" s="1"/>
  <c r="V18" i="10"/>
  <c r="V16" i="10"/>
  <c r="V13" i="10"/>
  <c r="V12" i="10"/>
  <c r="V11" i="10"/>
  <c r="V9" i="10"/>
  <c r="V8" i="10"/>
  <c r="I30" i="10"/>
  <c r="H30" i="10"/>
  <c r="G30" i="10"/>
  <c r="J30" i="10"/>
  <c r="C71" i="10"/>
  <c r="C74" i="10" s="1"/>
  <c r="C81" i="10"/>
  <c r="C69" i="10"/>
  <c r="C88" i="10" s="1"/>
  <c r="C90" i="10" s="1"/>
  <c r="G71" i="10"/>
  <c r="G74" i="10" s="1"/>
  <c r="G81" i="10"/>
  <c r="G69" i="10"/>
  <c r="G88" i="10" s="1"/>
  <c r="G90" i="10" s="1"/>
  <c r="C10" i="10"/>
  <c r="C14" i="10"/>
  <c r="G14" i="10"/>
  <c r="G10" i="10"/>
  <c r="G43" i="10"/>
  <c r="G48" i="10" s="1"/>
  <c r="G50" i="10" s="1"/>
  <c r="G34" i="10"/>
  <c r="G33" i="10" s="1"/>
  <c r="AW61" i="9"/>
  <c r="AX61" i="9"/>
  <c r="AY61" i="9"/>
  <c r="AZ61" i="9"/>
  <c r="BA61" i="9"/>
  <c r="BB61" i="9"/>
  <c r="BC61" i="9"/>
  <c r="BD61" i="9"/>
  <c r="D71" i="10"/>
  <c r="D74" i="10" s="1"/>
  <c r="D81" i="10"/>
  <c r="D69" i="10"/>
  <c r="D88" i="10" s="1"/>
  <c r="D90" i="10" s="1"/>
  <c r="H71" i="10"/>
  <c r="H74" i="10" s="1"/>
  <c r="H81" i="10"/>
  <c r="H69" i="10"/>
  <c r="H88" i="10" s="1"/>
  <c r="H90" i="10" s="1"/>
  <c r="D10" i="10"/>
  <c r="D14" i="10"/>
  <c r="H14" i="10"/>
  <c r="H10" i="10"/>
  <c r="H43" i="10"/>
  <c r="H48" i="10" s="1"/>
  <c r="H50" i="10" s="1"/>
  <c r="H34" i="10"/>
  <c r="H33" i="10" s="1"/>
  <c r="E71" i="10"/>
  <c r="E74" i="10" s="1"/>
  <c r="E81" i="10"/>
  <c r="E69" i="10"/>
  <c r="E88" i="10" s="1"/>
  <c r="E90" i="10" s="1"/>
  <c r="I81" i="10"/>
  <c r="I71" i="10"/>
  <c r="I74" i="10" s="1"/>
  <c r="I69" i="10"/>
  <c r="I88" i="10" s="1"/>
  <c r="I90" i="10" s="1"/>
  <c r="I43" i="10"/>
  <c r="I48" i="10" s="1"/>
  <c r="I50" i="10" s="1"/>
  <c r="I34" i="10"/>
  <c r="I33" i="10" s="1"/>
  <c r="E14" i="10"/>
  <c r="E10" i="10"/>
  <c r="I10" i="10"/>
  <c r="I14" i="10"/>
  <c r="F81" i="10"/>
  <c r="J81" i="10"/>
  <c r="F71" i="10"/>
  <c r="F74" i="10" s="1"/>
  <c r="J71" i="10"/>
  <c r="J74" i="10" s="1"/>
  <c r="F69" i="10"/>
  <c r="F88" i="10" s="1"/>
  <c r="F90" i="10" s="1"/>
  <c r="J69" i="10"/>
  <c r="J88" i="10" s="1"/>
  <c r="J90" i="10" s="1"/>
  <c r="F43" i="10"/>
  <c r="F48" i="10" s="1"/>
  <c r="F50" i="10" s="1"/>
  <c r="F34" i="10"/>
  <c r="J43" i="10"/>
  <c r="J48" i="10" s="1"/>
  <c r="J50" i="10" s="1"/>
  <c r="J34" i="10"/>
  <c r="J33" i="10" s="1"/>
  <c r="F14" i="10"/>
  <c r="F10" i="10"/>
  <c r="J14" i="10"/>
  <c r="J10" i="10"/>
  <c r="F17" i="1"/>
  <c r="I112" i="6"/>
  <c r="H112" i="6"/>
  <c r="G112" i="6"/>
  <c r="E112" i="6"/>
  <c r="D112" i="6"/>
  <c r="C112" i="6"/>
  <c r="I111" i="6"/>
  <c r="H111" i="6"/>
  <c r="G111" i="6"/>
  <c r="E111" i="6"/>
  <c r="D111" i="6"/>
  <c r="C111" i="6"/>
  <c r="I110" i="6"/>
  <c r="H110" i="6"/>
  <c r="G110" i="6"/>
  <c r="E110" i="6"/>
  <c r="D110" i="6"/>
  <c r="C110" i="6"/>
  <c r="I109" i="6"/>
  <c r="H109" i="6"/>
  <c r="G109" i="6"/>
  <c r="E109" i="6"/>
  <c r="D109" i="6"/>
  <c r="C109" i="6"/>
  <c r="J106" i="6"/>
  <c r="I106" i="6"/>
  <c r="H106" i="6"/>
  <c r="G106" i="6"/>
  <c r="J105" i="6"/>
  <c r="I105" i="6"/>
  <c r="H105" i="6"/>
  <c r="G105" i="6"/>
  <c r="J104" i="6"/>
  <c r="I104" i="6"/>
  <c r="H104" i="6"/>
  <c r="G104" i="6"/>
  <c r="J103" i="6"/>
  <c r="I103" i="6"/>
  <c r="H103" i="6"/>
  <c r="G103" i="6"/>
  <c r="J100" i="6"/>
  <c r="I100" i="6"/>
  <c r="H100" i="6"/>
  <c r="G100" i="6"/>
  <c r="F100" i="6"/>
  <c r="E100" i="6"/>
  <c r="D100" i="6"/>
  <c r="C100" i="6"/>
  <c r="J99" i="6"/>
  <c r="I99" i="6"/>
  <c r="H99" i="6"/>
  <c r="G99" i="6"/>
  <c r="F99" i="6"/>
  <c r="E99" i="6"/>
  <c r="D99" i="6"/>
  <c r="C99" i="6"/>
  <c r="J98" i="6"/>
  <c r="I98" i="6"/>
  <c r="H98" i="6"/>
  <c r="G98" i="6"/>
  <c r="F98" i="6"/>
  <c r="E98" i="6"/>
  <c r="D98" i="6"/>
  <c r="C98" i="6"/>
  <c r="J97" i="6"/>
  <c r="I97" i="6"/>
  <c r="H97" i="6"/>
  <c r="G97" i="6"/>
  <c r="F97" i="6"/>
  <c r="E97" i="6"/>
  <c r="D97" i="6"/>
  <c r="C97" i="6"/>
  <c r="J80" i="6"/>
  <c r="I80" i="6"/>
  <c r="H80" i="6"/>
  <c r="G80" i="6"/>
  <c r="F80" i="6"/>
  <c r="E80" i="6"/>
  <c r="D80" i="6"/>
  <c r="C80" i="6"/>
  <c r="BF42" i="9"/>
  <c r="BG42" i="9" s="1"/>
  <c r="BH42" i="9" s="1"/>
  <c r="BC50" i="9"/>
  <c r="BB50" i="9"/>
  <c r="BA50" i="9"/>
  <c r="AZ50" i="9"/>
  <c r="AY50" i="9"/>
  <c r="BC49" i="9"/>
  <c r="BB49" i="9"/>
  <c r="BA49" i="9"/>
  <c r="AZ49" i="9"/>
  <c r="AY49" i="9"/>
  <c r="AX49" i="9"/>
  <c r="AW49" i="9"/>
  <c r="BD50" i="9"/>
  <c r="BD49" i="9"/>
  <c r="BC48" i="9"/>
  <c r="BB48" i="9"/>
  <c r="BA48" i="9"/>
  <c r="AZ48" i="9"/>
  <c r="AY48" i="9"/>
  <c r="AX48" i="9"/>
  <c r="AW48" i="9"/>
  <c r="BD48" i="9"/>
  <c r="C53" i="9"/>
  <c r="D53" i="9"/>
  <c r="E53" i="9"/>
  <c r="F53" i="9"/>
  <c r="G53" i="9"/>
  <c r="H53" i="9"/>
  <c r="I53" i="9"/>
  <c r="J53" i="9"/>
  <c r="K53" i="9"/>
  <c r="L53" i="9"/>
  <c r="M53" i="9"/>
  <c r="N53" i="9"/>
  <c r="O53" i="9"/>
  <c r="P53" i="9"/>
  <c r="Q53" i="9"/>
  <c r="R53" i="9"/>
  <c r="S53" i="9"/>
  <c r="T53" i="9"/>
  <c r="U53" i="9"/>
  <c r="V53" i="9"/>
  <c r="W53" i="9"/>
  <c r="X53" i="9"/>
  <c r="Y53" i="9"/>
  <c r="Z53" i="9"/>
  <c r="AA53" i="9"/>
  <c r="AB53" i="9"/>
  <c r="AC53" i="9"/>
  <c r="AD53" i="9"/>
  <c r="AE53" i="9"/>
  <c r="AF53" i="9"/>
  <c r="C54" i="9"/>
  <c r="D54" i="9"/>
  <c r="E54" i="9"/>
  <c r="F54" i="9"/>
  <c r="G54" i="9"/>
  <c r="H54" i="9"/>
  <c r="I54" i="9"/>
  <c r="J54" i="9"/>
  <c r="K54" i="9"/>
  <c r="L54" i="9"/>
  <c r="M54" i="9"/>
  <c r="N54" i="9"/>
  <c r="O54" i="9"/>
  <c r="P54" i="9"/>
  <c r="Q54" i="9"/>
  <c r="R54" i="9"/>
  <c r="S54" i="9"/>
  <c r="T54" i="9"/>
  <c r="U54" i="9"/>
  <c r="V54" i="9"/>
  <c r="W54" i="9"/>
  <c r="X54" i="9"/>
  <c r="Y54" i="9"/>
  <c r="Z54" i="9"/>
  <c r="AA54" i="9"/>
  <c r="AB54" i="9"/>
  <c r="AC54" i="9"/>
  <c r="AD54" i="9"/>
  <c r="AE54" i="9"/>
  <c r="AF54" i="9"/>
  <c r="G45" i="9"/>
  <c r="H45" i="9"/>
  <c r="I45" i="9"/>
  <c r="J45" i="9"/>
  <c r="K45" i="9"/>
  <c r="L45" i="9"/>
  <c r="M45" i="9"/>
  <c r="N45" i="9"/>
  <c r="O45" i="9"/>
  <c r="P45" i="9"/>
  <c r="Q45" i="9"/>
  <c r="R45" i="9"/>
  <c r="S45" i="9"/>
  <c r="T45" i="9"/>
  <c r="U45" i="9"/>
  <c r="V45" i="9"/>
  <c r="W45" i="9"/>
  <c r="X45" i="9"/>
  <c r="Y45" i="9"/>
  <c r="Z45" i="9"/>
  <c r="AA45" i="9"/>
  <c r="AB45" i="9"/>
  <c r="AC45" i="9"/>
  <c r="AD45" i="9"/>
  <c r="AE45" i="9"/>
  <c r="AF45" i="9"/>
  <c r="AG45" i="9"/>
  <c r="AH45" i="9"/>
  <c r="AI45" i="9"/>
  <c r="AJ45" i="9"/>
  <c r="G46" i="9"/>
  <c r="H46" i="9"/>
  <c r="I46" i="9"/>
  <c r="J46" i="9"/>
  <c r="K46" i="9"/>
  <c r="L46" i="9"/>
  <c r="M46" i="9"/>
  <c r="N46" i="9"/>
  <c r="O46" i="9"/>
  <c r="P46" i="9"/>
  <c r="Q46" i="9"/>
  <c r="R46" i="9"/>
  <c r="S46" i="9"/>
  <c r="T46" i="9"/>
  <c r="U46" i="9"/>
  <c r="V46" i="9"/>
  <c r="W46" i="9"/>
  <c r="X46" i="9"/>
  <c r="Y46" i="9"/>
  <c r="Z46" i="9"/>
  <c r="AA46" i="9"/>
  <c r="AB46" i="9"/>
  <c r="AC46" i="9"/>
  <c r="AD46" i="9"/>
  <c r="AE46" i="9"/>
  <c r="AF46" i="9"/>
  <c r="AG46" i="9"/>
  <c r="AH46" i="9"/>
  <c r="AI46" i="9"/>
  <c r="AJ46" i="9"/>
  <c r="J35" i="9"/>
  <c r="F35" i="9"/>
  <c r="C36" i="9"/>
  <c r="D36" i="9"/>
  <c r="E36" i="9"/>
  <c r="G36" i="9"/>
  <c r="H36" i="9"/>
  <c r="I36" i="9"/>
  <c r="K36" i="9"/>
  <c r="L36" i="9"/>
  <c r="M36" i="9"/>
  <c r="N36" i="9"/>
  <c r="O36" i="9"/>
  <c r="P36" i="9"/>
  <c r="Q36" i="9"/>
  <c r="R36" i="9"/>
  <c r="S36" i="9"/>
  <c r="T36" i="9"/>
  <c r="U36" i="9"/>
  <c r="V36" i="9"/>
  <c r="W36" i="9"/>
  <c r="X36" i="9"/>
  <c r="Y36" i="9"/>
  <c r="Z36" i="9"/>
  <c r="AA36" i="9"/>
  <c r="AB36" i="9"/>
  <c r="AC36" i="9"/>
  <c r="AD36" i="9"/>
  <c r="AE36" i="9"/>
  <c r="AF36"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AF31"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AF28" i="9"/>
  <c r="AV53" i="9"/>
  <c r="AW53" i="9"/>
  <c r="AX53" i="9"/>
  <c r="AY53" i="9"/>
  <c r="AZ53" i="9"/>
  <c r="BA53" i="9"/>
  <c r="BB53" i="9"/>
  <c r="AV54" i="9"/>
  <c r="AW54" i="9"/>
  <c r="AX54" i="9"/>
  <c r="AY54" i="9"/>
  <c r="AZ54" i="9"/>
  <c r="BA54" i="9"/>
  <c r="BB54" i="9"/>
  <c r="AW45" i="9"/>
  <c r="AX45" i="9"/>
  <c r="AY45" i="9"/>
  <c r="AZ45" i="9"/>
  <c r="BA45" i="9"/>
  <c r="BB45" i="9"/>
  <c r="BC45" i="9"/>
  <c r="AW46" i="9"/>
  <c r="AX46" i="9"/>
  <c r="AY46" i="9"/>
  <c r="AZ46" i="9"/>
  <c r="BA46" i="9"/>
  <c r="BB46" i="9"/>
  <c r="BC46" i="9"/>
  <c r="AV35" i="9"/>
  <c r="AV36" i="9" s="1"/>
  <c r="BD36" i="9"/>
  <c r="BC36" i="9"/>
  <c r="BB36" i="9"/>
  <c r="BA36" i="9"/>
  <c r="AZ36" i="9"/>
  <c r="AY36" i="9"/>
  <c r="AX36" i="9"/>
  <c r="AW35" i="9"/>
  <c r="AW36" i="9" s="1"/>
  <c r="BD31" i="9"/>
  <c r="BC31" i="9"/>
  <c r="BB31" i="9"/>
  <c r="BA31" i="9"/>
  <c r="AZ31" i="9"/>
  <c r="AY31" i="9"/>
  <c r="AX31" i="9"/>
  <c r="AW31" i="9"/>
  <c r="AV31" i="9"/>
  <c r="BD28" i="9"/>
  <c r="BC28" i="9"/>
  <c r="BB28" i="9"/>
  <c r="BA28" i="9"/>
  <c r="AZ28" i="9"/>
  <c r="AY28" i="9"/>
  <c r="AX28" i="9"/>
  <c r="AW28" i="9"/>
  <c r="AV28" i="9"/>
  <c r="AG112" i="9"/>
  <c r="AG111" i="9"/>
  <c r="AG106" i="9"/>
  <c r="AG108" i="9" s="1"/>
  <c r="AG104" i="9"/>
  <c r="AG116" i="9" s="1"/>
  <c r="AK112" i="9"/>
  <c r="AK111" i="9"/>
  <c r="AK106" i="9"/>
  <c r="AK105" i="9"/>
  <c r="AK104" i="9"/>
  <c r="AK116" i="9" s="1"/>
  <c r="AK78" i="9"/>
  <c r="AK77" i="9"/>
  <c r="AK75" i="9"/>
  <c r="AK64" i="9"/>
  <c r="AK73" i="9" s="1"/>
  <c r="AH112" i="9"/>
  <c r="AH111" i="9"/>
  <c r="AH106" i="9"/>
  <c r="AH108" i="9" s="1"/>
  <c r="AH104" i="9"/>
  <c r="AH116" i="9" s="1"/>
  <c r="AL112" i="9"/>
  <c r="AL111" i="9"/>
  <c r="AL106" i="9"/>
  <c r="AL105" i="9"/>
  <c r="AL104" i="9"/>
  <c r="AL116" i="9" s="1"/>
  <c r="AH78" i="9"/>
  <c r="AH77" i="9"/>
  <c r="AH75" i="9"/>
  <c r="AH64" i="9"/>
  <c r="AH73" i="9" s="1"/>
  <c r="AI112" i="9"/>
  <c r="AI111" i="9"/>
  <c r="AI106" i="9"/>
  <c r="AI105" i="9"/>
  <c r="AI104" i="9"/>
  <c r="AI116" i="9" s="1"/>
  <c r="AM112" i="9"/>
  <c r="AO112" i="9" s="1"/>
  <c r="AM111" i="9"/>
  <c r="AM106" i="9"/>
  <c r="AM105" i="9"/>
  <c r="AO105" i="9" s="1"/>
  <c r="AM104" i="9"/>
  <c r="AM116" i="9" s="1"/>
  <c r="AJ111" i="9"/>
  <c r="AJ113" i="9" s="1"/>
  <c r="AJ106" i="9"/>
  <c r="AJ105" i="9"/>
  <c r="AJ104" i="9"/>
  <c r="AJ116" i="9" s="1"/>
  <c r="F36" i="9" l="1"/>
  <c r="J36" i="9"/>
  <c r="F41" i="10"/>
  <c r="F33" i="10"/>
  <c r="V41" i="10"/>
  <c r="V33" i="10"/>
  <c r="U41" i="10"/>
  <c r="U33" i="10"/>
  <c r="V4" i="10"/>
  <c r="W4" i="10" s="1"/>
  <c r="X4" i="10" s="1"/>
  <c r="W30" i="10"/>
  <c r="G53" i="10"/>
  <c r="I41" i="10"/>
  <c r="I53" i="10"/>
  <c r="H41" i="10"/>
  <c r="H53" i="10"/>
  <c r="J41" i="10"/>
  <c r="J53" i="10"/>
  <c r="AC22" i="11"/>
  <c r="O21" i="1"/>
  <c r="AE41" i="5"/>
  <c r="AF17" i="5"/>
  <c r="AA38" i="5"/>
  <c r="AA33" i="5"/>
  <c r="AA72" i="5"/>
  <c r="AA102" i="5" s="1"/>
  <c r="BD105" i="9"/>
  <c r="BD106" i="9"/>
  <c r="BD111" i="9"/>
  <c r="BD112" i="9"/>
  <c r="AL108" i="9"/>
  <c r="T83" i="10"/>
  <c r="T23" i="10"/>
  <c r="AO77" i="2"/>
  <c r="AO78" i="2" s="1"/>
  <c r="AE38" i="5"/>
  <c r="AF38" i="5" s="1"/>
  <c r="AG38" i="5" s="1"/>
  <c r="AH38" i="5" s="1"/>
  <c r="AI38" i="5" s="1"/>
  <c r="AJ38" i="5" s="1"/>
  <c r="AK38" i="5" s="1"/>
  <c r="AD31" i="5"/>
  <c r="AD33" i="5" s="1"/>
  <c r="AF41" i="5"/>
  <c r="AG17" i="5" s="1"/>
  <c r="J38" i="5"/>
  <c r="N42" i="5"/>
  <c r="O42" i="5"/>
  <c r="Z97" i="5"/>
  <c r="H31" i="5"/>
  <c r="K72" i="5"/>
  <c r="K102" i="5" s="1"/>
  <c r="K38" i="5"/>
  <c r="G31" i="5"/>
  <c r="I31" i="5"/>
  <c r="Y97" i="5"/>
  <c r="F31" i="5"/>
  <c r="J42" i="5" s="1"/>
  <c r="Y98" i="5"/>
  <c r="Z98" i="5"/>
  <c r="C31" i="5"/>
  <c r="D31" i="5"/>
  <c r="E31" i="5"/>
  <c r="J33" i="5"/>
  <c r="J72" i="5"/>
  <c r="J102" i="5" s="1"/>
  <c r="K33" i="5"/>
  <c r="AC32" i="11"/>
  <c r="AD15" i="11"/>
  <c r="AE15" i="11" s="1"/>
  <c r="AF15" i="11" s="1"/>
  <c r="AG15" i="11" s="1"/>
  <c r="AH15" i="11" s="1"/>
  <c r="AI15" i="11" s="1"/>
  <c r="AJ15" i="11" s="1"/>
  <c r="AK15" i="11" s="1"/>
  <c r="AL15" i="11" s="1"/>
  <c r="AM15" i="11" s="1"/>
  <c r="AN15" i="11" s="1"/>
  <c r="AO15" i="11" s="1"/>
  <c r="AP15" i="11" s="1"/>
  <c r="AQ15" i="11" s="1"/>
  <c r="AR15" i="11" s="1"/>
  <c r="AS15" i="11" s="1"/>
  <c r="AT15" i="11" s="1"/>
  <c r="AB32" i="11"/>
  <c r="AC13" i="11"/>
  <c r="AC24" i="11" s="1"/>
  <c r="AC16" i="11"/>
  <c r="L117" i="11"/>
  <c r="AA168" i="11" s="1"/>
  <c r="AB173" i="11"/>
  <c r="AC173" i="11" s="1"/>
  <c r="AD173" i="11" s="1"/>
  <c r="AE173" i="11" s="1"/>
  <c r="AF173" i="11" s="1"/>
  <c r="AG173" i="11" s="1"/>
  <c r="AH173" i="11" s="1"/>
  <c r="AI173" i="11" s="1"/>
  <c r="AJ173" i="11" s="1"/>
  <c r="AK173" i="11" s="1"/>
  <c r="Z173" i="11"/>
  <c r="AD166" i="11"/>
  <c r="H117" i="11"/>
  <c r="AA173" i="11"/>
  <c r="X20" i="11"/>
  <c r="X27" i="11"/>
  <c r="G20" i="11"/>
  <c r="G27" i="11"/>
  <c r="G26" i="11"/>
  <c r="Y25" i="11"/>
  <c r="Y27" i="11"/>
  <c r="L27" i="11"/>
  <c r="L26" i="11"/>
  <c r="I20" i="11"/>
  <c r="I27" i="11"/>
  <c r="I26" i="11"/>
  <c r="O24" i="11"/>
  <c r="AB13" i="11"/>
  <c r="AA13" i="11"/>
  <c r="J20" i="11"/>
  <c r="J26" i="11"/>
  <c r="J27" i="11"/>
  <c r="H20" i="11"/>
  <c r="H26" i="11"/>
  <c r="H27" i="11"/>
  <c r="K26" i="11"/>
  <c r="K27" i="11"/>
  <c r="K117" i="11"/>
  <c r="F81" i="11"/>
  <c r="F89" i="11" s="1"/>
  <c r="D81" i="11"/>
  <c r="D89" i="11" s="1"/>
  <c r="G117" i="11"/>
  <c r="K81" i="11"/>
  <c r="K89" i="11" s="1"/>
  <c r="L81" i="11"/>
  <c r="L89" i="11" s="1"/>
  <c r="L57" i="11"/>
  <c r="J34" i="11"/>
  <c r="F57" i="11"/>
  <c r="J57" i="11"/>
  <c r="K55" i="11"/>
  <c r="L34" i="11"/>
  <c r="G25" i="11"/>
  <c r="K10" i="11"/>
  <c r="K21" i="11" s="1"/>
  <c r="K20" i="11"/>
  <c r="J25" i="11"/>
  <c r="L20" i="11"/>
  <c r="H25" i="11"/>
  <c r="K43" i="11"/>
  <c r="K25" i="11"/>
  <c r="L25" i="11"/>
  <c r="L10" i="11"/>
  <c r="T19" i="12"/>
  <c r="U5" i="12"/>
  <c r="V5" i="12" s="1"/>
  <c r="W5" i="12" s="1"/>
  <c r="X5" i="12" s="1"/>
  <c r="Y5" i="12" s="1"/>
  <c r="Z5" i="12" s="1"/>
  <c r="AA5" i="12" s="1"/>
  <c r="AB5" i="12" s="1"/>
  <c r="R6" i="12"/>
  <c r="Q9" i="12"/>
  <c r="R9" i="12"/>
  <c r="S7" i="12"/>
  <c r="S6" i="12" s="1"/>
  <c r="Q6" i="12"/>
  <c r="R25" i="12"/>
  <c r="S25" i="12"/>
  <c r="Q28" i="12"/>
  <c r="R28" i="12"/>
  <c r="S28" i="12"/>
  <c r="Q24" i="12"/>
  <c r="J37" i="12"/>
  <c r="O37" i="12"/>
  <c r="R24" i="12"/>
  <c r="D37" i="12"/>
  <c r="S24" i="12"/>
  <c r="I37" i="12"/>
  <c r="N37" i="12"/>
  <c r="C37" i="12"/>
  <c r="G37" i="12"/>
  <c r="H37" i="12"/>
  <c r="P37" i="12"/>
  <c r="K37" i="12"/>
  <c r="I27" i="12"/>
  <c r="F27" i="12"/>
  <c r="E33" i="12"/>
  <c r="F33" i="12"/>
  <c r="I33" i="12"/>
  <c r="H11" i="12"/>
  <c r="J34" i="12"/>
  <c r="H33" i="12"/>
  <c r="N27" i="12"/>
  <c r="P27" i="12"/>
  <c r="H27" i="12"/>
  <c r="N33" i="12"/>
  <c r="P33" i="12"/>
  <c r="Q33" i="12" s="1"/>
  <c r="R33" i="12" s="1"/>
  <c r="S33" i="12" s="1"/>
  <c r="P69" i="12"/>
  <c r="C27" i="12"/>
  <c r="K34" i="12"/>
  <c r="G27" i="12"/>
  <c r="G33" i="12"/>
  <c r="K24" i="12"/>
  <c r="G24" i="12"/>
  <c r="J27" i="12"/>
  <c r="H24" i="12"/>
  <c r="I24" i="12"/>
  <c r="C34" i="12"/>
  <c r="J24" i="12"/>
  <c r="D34" i="12"/>
  <c r="K27" i="12"/>
  <c r="E34" i="12"/>
  <c r="D27" i="12"/>
  <c r="H34" i="12"/>
  <c r="O69" i="12"/>
  <c r="O70" i="12" s="1"/>
  <c r="P57" i="12"/>
  <c r="P59" i="12" s="1"/>
  <c r="I49" i="12"/>
  <c r="C49" i="12"/>
  <c r="N11" i="12"/>
  <c r="N30" i="12" s="1"/>
  <c r="H49" i="12"/>
  <c r="J11" i="12"/>
  <c r="J30" i="12" s="1"/>
  <c r="O65" i="12"/>
  <c r="N49" i="12"/>
  <c r="O57" i="12"/>
  <c r="O59" i="12" s="1"/>
  <c r="D57" i="12"/>
  <c r="D59" i="12" s="1"/>
  <c r="D11" i="12"/>
  <c r="D30" i="12" s="1"/>
  <c r="O18" i="12"/>
  <c r="O10" i="12"/>
  <c r="G49" i="12"/>
  <c r="O5" i="12"/>
  <c r="C57" i="12"/>
  <c r="C59" i="12" s="1"/>
  <c r="H57" i="12"/>
  <c r="H59" i="12" s="1"/>
  <c r="I11" i="12"/>
  <c r="I30" i="12" s="1"/>
  <c r="G57" i="12"/>
  <c r="G59" i="12" s="1"/>
  <c r="O12" i="12"/>
  <c r="O16" i="12" s="1"/>
  <c r="P65" i="12"/>
  <c r="O49" i="12"/>
  <c r="N57" i="12"/>
  <c r="N59" i="12" s="1"/>
  <c r="I57" i="12"/>
  <c r="I59" i="12" s="1"/>
  <c r="C11" i="12"/>
  <c r="C30" i="12" s="1"/>
  <c r="D49" i="12"/>
  <c r="P49" i="12"/>
  <c r="P11" i="12"/>
  <c r="P30" i="12" s="1"/>
  <c r="E11" i="12"/>
  <c r="E30" i="12" s="1"/>
  <c r="F11" i="12"/>
  <c r="F30" i="12" s="1"/>
  <c r="G11" i="12"/>
  <c r="G30" i="12" s="1"/>
  <c r="J57" i="12"/>
  <c r="J59" i="12" s="1"/>
  <c r="J49" i="12"/>
  <c r="K57" i="12"/>
  <c r="K59" i="12" s="1"/>
  <c r="K11" i="12"/>
  <c r="K30" i="12" s="1"/>
  <c r="K49" i="12"/>
  <c r="F34" i="11"/>
  <c r="G34" i="11"/>
  <c r="H34" i="11"/>
  <c r="G81" i="11"/>
  <c r="G89" i="11" s="1"/>
  <c r="I34" i="11"/>
  <c r="X25" i="11"/>
  <c r="Z25" i="11"/>
  <c r="C81" i="11"/>
  <c r="C89" i="11" s="1"/>
  <c r="Z10" i="11"/>
  <c r="Y10" i="11"/>
  <c r="Y12" i="11" s="1"/>
  <c r="I53" i="11"/>
  <c r="H81" i="11"/>
  <c r="H89" i="11" s="1"/>
  <c r="Y20" i="11"/>
  <c r="J81" i="11"/>
  <c r="J89" i="11" s="1"/>
  <c r="E81" i="11"/>
  <c r="E89" i="11" s="1"/>
  <c r="C10" i="11"/>
  <c r="C21" i="11" s="1"/>
  <c r="Z20" i="11"/>
  <c r="X10" i="11"/>
  <c r="X28" i="11" s="1"/>
  <c r="C92" i="11"/>
  <c r="G92" i="11"/>
  <c r="G10" i="11"/>
  <c r="G53" i="11"/>
  <c r="D10" i="11"/>
  <c r="H10" i="11"/>
  <c r="H28" i="11" s="1"/>
  <c r="H53" i="11"/>
  <c r="I81" i="11"/>
  <c r="I89" i="11" s="1"/>
  <c r="E10" i="11"/>
  <c r="I10" i="11"/>
  <c r="I28" i="11" s="1"/>
  <c r="C23" i="10"/>
  <c r="D23" i="10"/>
  <c r="H27" i="10"/>
  <c r="J23" i="10"/>
  <c r="E23" i="10"/>
  <c r="F23" i="10"/>
  <c r="U81" i="10"/>
  <c r="I6" i="10"/>
  <c r="G23" i="10"/>
  <c r="V81" i="10"/>
  <c r="H6" i="10"/>
  <c r="H23" i="10"/>
  <c r="G6" i="10"/>
  <c r="I23" i="10"/>
  <c r="J6" i="10"/>
  <c r="D28" i="10"/>
  <c r="C15" i="10"/>
  <c r="G28" i="10"/>
  <c r="D27" i="10"/>
  <c r="U69" i="10"/>
  <c r="U88" i="10" s="1"/>
  <c r="U90" i="10" s="1"/>
  <c r="V14" i="10"/>
  <c r="E27" i="10"/>
  <c r="H28" i="10"/>
  <c r="C27" i="10"/>
  <c r="G27" i="10"/>
  <c r="V69" i="10"/>
  <c r="V71" i="10"/>
  <c r="V74" i="10" s="1"/>
  <c r="T88" i="10"/>
  <c r="T90" i="10" s="1"/>
  <c r="U4" i="10"/>
  <c r="J10" i="11"/>
  <c r="J28" i="11" s="1"/>
  <c r="F10" i="11"/>
  <c r="I21" i="1"/>
  <c r="I28" i="10"/>
  <c r="F27" i="10"/>
  <c r="J28" i="10"/>
  <c r="U71" i="10"/>
  <c r="U74" i="10" s="1"/>
  <c r="I27" i="10"/>
  <c r="J27" i="10"/>
  <c r="T27" i="10"/>
  <c r="C28" i="10"/>
  <c r="T28" i="10"/>
  <c r="E28" i="10"/>
  <c r="U14" i="10"/>
  <c r="F28" i="10"/>
  <c r="V30" i="10"/>
  <c r="U10" i="10"/>
  <c r="V10" i="10"/>
  <c r="T15" i="10"/>
  <c r="T24" i="10" s="1"/>
  <c r="E15" i="10"/>
  <c r="J15" i="10"/>
  <c r="J24" i="10" s="1"/>
  <c r="G15" i="10"/>
  <c r="G24" i="10" s="1"/>
  <c r="C83" i="10"/>
  <c r="G83" i="10"/>
  <c r="I83" i="10"/>
  <c r="J83" i="10"/>
  <c r="J84" i="10" s="1"/>
  <c r="I85" i="10" s="1"/>
  <c r="I84" i="10" s="1"/>
  <c r="H85" i="10" s="1"/>
  <c r="G41" i="10"/>
  <c r="D83" i="10"/>
  <c r="H83" i="10"/>
  <c r="D15" i="10"/>
  <c r="D24" i="10" s="1"/>
  <c r="H15" i="10"/>
  <c r="H24" i="10" s="1"/>
  <c r="E83" i="10"/>
  <c r="F83" i="10"/>
  <c r="I15" i="10"/>
  <c r="I24" i="10" s="1"/>
  <c r="F15" i="10"/>
  <c r="F24" i="10" s="1"/>
  <c r="F21" i="1"/>
  <c r="F22" i="1" s="1"/>
  <c r="AK63" i="9"/>
  <c r="AH63" i="9"/>
  <c r="BF36" i="9"/>
  <c r="BG36" i="9" s="1"/>
  <c r="BH36" i="9" s="1"/>
  <c r="AW50" i="9"/>
  <c r="AX50" i="9"/>
  <c r="AA174" i="11"/>
  <c r="AB32" i="9"/>
  <c r="P32" i="9"/>
  <c r="D32" i="9"/>
  <c r="AA32" i="9"/>
  <c r="C32" i="9"/>
  <c r="AE47" i="9"/>
  <c r="S47" i="9"/>
  <c r="G47" i="9"/>
  <c r="O32" i="9"/>
  <c r="Z47" i="9"/>
  <c r="N47" i="9"/>
  <c r="Y47" i="9"/>
  <c r="M47" i="9"/>
  <c r="AE32" i="9"/>
  <c r="S32" i="9"/>
  <c r="G32" i="9"/>
  <c r="X47" i="9"/>
  <c r="L47" i="9"/>
  <c r="R32" i="9"/>
  <c r="F32" i="9"/>
  <c r="W47" i="9"/>
  <c r="K47" i="9"/>
  <c r="Q32" i="9"/>
  <c r="E32" i="9"/>
  <c r="V47" i="9"/>
  <c r="J47" i="9"/>
  <c r="U47" i="9"/>
  <c r="I47" i="9"/>
  <c r="AF47" i="9"/>
  <c r="T47" i="9"/>
  <c r="H47" i="9"/>
  <c r="Z32" i="9"/>
  <c r="Y32" i="9"/>
  <c r="AD32" i="9"/>
  <c r="R47" i="9"/>
  <c r="X32" i="9"/>
  <c r="L32" i="9"/>
  <c r="AC32" i="9"/>
  <c r="Q47" i="9"/>
  <c r="AB47" i="9"/>
  <c r="P47" i="9"/>
  <c r="N32" i="9"/>
  <c r="M32" i="9"/>
  <c r="AA47" i="9"/>
  <c r="O47" i="9"/>
  <c r="AD47" i="9"/>
  <c r="AC47" i="9"/>
  <c r="AW47" i="9"/>
  <c r="W32" i="9"/>
  <c r="K32" i="9"/>
  <c r="V32" i="9"/>
  <c r="J32" i="9"/>
  <c r="U32" i="9"/>
  <c r="I32" i="9"/>
  <c r="AF32" i="9"/>
  <c r="T32" i="9"/>
  <c r="H32" i="9"/>
  <c r="AW32" i="9"/>
  <c r="AX47" i="9"/>
  <c r="AY47" i="9"/>
  <c r="AZ32" i="9"/>
  <c r="BA47" i="9"/>
  <c r="AV32" i="9"/>
  <c r="AV58" i="9" s="1"/>
  <c r="AX32" i="9"/>
  <c r="AZ47" i="9"/>
  <c r="AY32" i="9"/>
  <c r="BD32" i="9"/>
  <c r="BA32" i="9"/>
  <c r="BB47" i="9"/>
  <c r="BC47" i="9"/>
  <c r="BB32" i="9"/>
  <c r="BC32" i="9"/>
  <c r="AK108" i="9"/>
  <c r="AJ108" i="9"/>
  <c r="AJ114" i="9" s="1"/>
  <c r="AH82" i="9"/>
  <c r="AH84" i="9" s="1"/>
  <c r="AJ117" i="9"/>
  <c r="AM108" i="9"/>
  <c r="AG113" i="9"/>
  <c r="AG114" i="9" s="1"/>
  <c r="AK82" i="9"/>
  <c r="AK84" i="9" s="1"/>
  <c r="AK113" i="9"/>
  <c r="AH113" i="9"/>
  <c r="AH114" i="9" s="1"/>
  <c r="AM113" i="9"/>
  <c r="AI108" i="9"/>
  <c r="AL113" i="9"/>
  <c r="AI113" i="9"/>
  <c r="AN111" i="9"/>
  <c r="AN113" i="9" s="1"/>
  <c r="AN106" i="9"/>
  <c r="AN108" i="9" s="1"/>
  <c r="AN104" i="9"/>
  <c r="AM78" i="9"/>
  <c r="AM77" i="9"/>
  <c r="AM75" i="9"/>
  <c r="AM64" i="9"/>
  <c r="AL78" i="9"/>
  <c r="AL77" i="9"/>
  <c r="AL75" i="9"/>
  <c r="AL64" i="9"/>
  <c r="AN77" i="9"/>
  <c r="AN78" i="9"/>
  <c r="AN75" i="9"/>
  <c r="AN64" i="9"/>
  <c r="AN45" i="9"/>
  <c r="AM45" i="9"/>
  <c r="AL45" i="9"/>
  <c r="AK45" i="9"/>
  <c r="AM46" i="9"/>
  <c r="AL46" i="9"/>
  <c r="AK46" i="9"/>
  <c r="AN46" i="9"/>
  <c r="AG54" i="9"/>
  <c r="AG53" i="9"/>
  <c r="AG36" i="9"/>
  <c r="AG31" i="9"/>
  <c r="AG28" i="9"/>
  <c r="AG47" i="9" s="1"/>
  <c r="AK54" i="9"/>
  <c r="AK53" i="9"/>
  <c r="AK36" i="9"/>
  <c r="AK31" i="9"/>
  <c r="AK28" i="9"/>
  <c r="AO47" i="9" s="1"/>
  <c r="AH54" i="9"/>
  <c r="AH53" i="9"/>
  <c r="AH36" i="9"/>
  <c r="AH31" i="9"/>
  <c r="AH28" i="9"/>
  <c r="AH47" i="9" s="1"/>
  <c r="AL54" i="9"/>
  <c r="AL53" i="9"/>
  <c r="AL36" i="9"/>
  <c r="AL31" i="9"/>
  <c r="AL28" i="9"/>
  <c r="AP47" i="9" s="1"/>
  <c r="AI54" i="9"/>
  <c r="AI53" i="9"/>
  <c r="AI36" i="9"/>
  <c r="AI31" i="9"/>
  <c r="AI28" i="9"/>
  <c r="AI47" i="9" s="1"/>
  <c r="AM54" i="9"/>
  <c r="AM53" i="9"/>
  <c r="AM36" i="9"/>
  <c r="AM31" i="9"/>
  <c r="AM28" i="9"/>
  <c r="AQ47" i="9" s="1"/>
  <c r="AN54" i="9"/>
  <c r="AN53" i="9"/>
  <c r="AJ54" i="9"/>
  <c r="AJ53" i="9"/>
  <c r="AJ36" i="9"/>
  <c r="AJ31" i="9"/>
  <c r="AJ28" i="9"/>
  <c r="AJ47" i="9" s="1"/>
  <c r="AN36" i="9"/>
  <c r="AN31" i="9"/>
  <c r="AN28" i="9"/>
  <c r="C17" i="1"/>
  <c r="C21" i="1" s="1"/>
  <c r="H30" i="1"/>
  <c r="M52" i="9" l="1"/>
  <c r="M58" i="9"/>
  <c r="M59" i="9"/>
  <c r="U52" i="9"/>
  <c r="U59" i="9"/>
  <c r="U58" i="9"/>
  <c r="C52" i="9"/>
  <c r="C58" i="9"/>
  <c r="C59" i="9"/>
  <c r="O37" i="9"/>
  <c r="O58" i="9"/>
  <c r="O59" i="9"/>
  <c r="Z52" i="9"/>
  <c r="Z58" i="9"/>
  <c r="Z59" i="9"/>
  <c r="R37" i="9"/>
  <c r="R59" i="9"/>
  <c r="R58" i="9"/>
  <c r="I52" i="9"/>
  <c r="I59" i="9"/>
  <c r="I58" i="9"/>
  <c r="P37" i="9"/>
  <c r="P59" i="9"/>
  <c r="P58" i="9"/>
  <c r="AD52" i="9"/>
  <c r="AD59" i="9"/>
  <c r="AD58" i="9"/>
  <c r="H59" i="9"/>
  <c r="H58" i="9"/>
  <c r="Y52" i="9"/>
  <c r="Y58" i="9"/>
  <c r="Y59" i="9"/>
  <c r="T58" i="9"/>
  <c r="T59" i="9"/>
  <c r="F52" i="9"/>
  <c r="F59" i="9"/>
  <c r="AF59" i="9"/>
  <c r="AF58" i="9"/>
  <c r="N52" i="9"/>
  <c r="N58" i="9"/>
  <c r="N59" i="9"/>
  <c r="J52" i="9"/>
  <c r="J59" i="9"/>
  <c r="G37" i="9"/>
  <c r="G59" i="9"/>
  <c r="G58" i="9"/>
  <c r="AA37" i="9"/>
  <c r="AA58" i="9"/>
  <c r="AA59" i="9"/>
  <c r="V52" i="9"/>
  <c r="V58" i="9"/>
  <c r="V59" i="9"/>
  <c r="S37" i="9"/>
  <c r="S59" i="9"/>
  <c r="S58" i="9"/>
  <c r="D52" i="9"/>
  <c r="D59" i="9"/>
  <c r="D58" i="9"/>
  <c r="K52" i="9"/>
  <c r="K59" i="9"/>
  <c r="K58" i="9"/>
  <c r="AC52" i="9"/>
  <c r="AC58" i="9"/>
  <c r="AC59" i="9"/>
  <c r="AE37" i="9"/>
  <c r="AE59" i="9"/>
  <c r="AE58" i="9"/>
  <c r="W52" i="9"/>
  <c r="W59" i="9"/>
  <c r="W58" i="9"/>
  <c r="L52" i="9"/>
  <c r="L58" i="9"/>
  <c r="L59" i="9"/>
  <c r="AB37" i="9"/>
  <c r="AB59" i="9"/>
  <c r="AB58" i="9"/>
  <c r="J58" i="9"/>
  <c r="X52" i="9"/>
  <c r="X58" i="9"/>
  <c r="X59" i="9"/>
  <c r="E37" i="9"/>
  <c r="E55" i="9" s="1"/>
  <c r="E59" i="9"/>
  <c r="E58" i="9"/>
  <c r="Q37" i="9"/>
  <c r="Q59" i="9"/>
  <c r="Q58" i="9"/>
  <c r="F58" i="9"/>
  <c r="V6" i="10"/>
  <c r="H84" i="10"/>
  <c r="G85" i="10" s="1"/>
  <c r="G84" i="10" s="1"/>
  <c r="F85" i="10" s="1"/>
  <c r="F84" i="10" s="1"/>
  <c r="E85" i="10" s="1"/>
  <c r="E84" i="10" s="1"/>
  <c r="D85" i="10" s="1"/>
  <c r="D84" i="10" s="1"/>
  <c r="C85" i="10" s="1"/>
  <c r="C84" i="10" s="1"/>
  <c r="AL114" i="9"/>
  <c r="AO111" i="9"/>
  <c r="AO113" i="9" s="1"/>
  <c r="AO106" i="9"/>
  <c r="AO108" i="9" s="1"/>
  <c r="BE28" i="9"/>
  <c r="BF28" i="9" s="1"/>
  <c r="BE47" i="9"/>
  <c r="BE32" i="9"/>
  <c r="BD113" i="9"/>
  <c r="BD108" i="9"/>
  <c r="D37" i="9"/>
  <c r="AZ37" i="9"/>
  <c r="AZ39" i="9" s="1"/>
  <c r="AZ57" i="9" s="1"/>
  <c r="AZ59" i="9"/>
  <c r="AZ58" i="9"/>
  <c r="BC37" i="9"/>
  <c r="BC59" i="9"/>
  <c r="BC58" i="9"/>
  <c r="BB58" i="9"/>
  <c r="BB59" i="9"/>
  <c r="BA37" i="9"/>
  <c r="BA55" i="9" s="1"/>
  <c r="BA58" i="9"/>
  <c r="BA59" i="9"/>
  <c r="BD37" i="9"/>
  <c r="BD59" i="9"/>
  <c r="BD58" i="9"/>
  <c r="AY52" i="9"/>
  <c r="AY59" i="9"/>
  <c r="AY58" i="9"/>
  <c r="AX52" i="9"/>
  <c r="AX59" i="9"/>
  <c r="AX58" i="9"/>
  <c r="AV52" i="9"/>
  <c r="AV59" i="9"/>
  <c r="AW52" i="9"/>
  <c r="AW59" i="9"/>
  <c r="AW58" i="9"/>
  <c r="V23" i="10"/>
  <c r="U23" i="10"/>
  <c r="AE31" i="5"/>
  <c r="AG41" i="5"/>
  <c r="AH17" i="5"/>
  <c r="G38" i="5"/>
  <c r="G42" i="5"/>
  <c r="K42" i="5"/>
  <c r="I38" i="5"/>
  <c r="I42" i="5"/>
  <c r="H38" i="5"/>
  <c r="H42" i="5"/>
  <c r="L42" i="5"/>
  <c r="H72" i="5"/>
  <c r="H102" i="5" s="1"/>
  <c r="H33" i="5"/>
  <c r="I72" i="5"/>
  <c r="I102" i="5" s="1"/>
  <c r="I33" i="5"/>
  <c r="G72" i="5"/>
  <c r="G102" i="5" s="1"/>
  <c r="F72" i="5"/>
  <c r="F102" i="5" s="1"/>
  <c r="F38" i="5"/>
  <c r="E72" i="5"/>
  <c r="E102" i="5" s="1"/>
  <c r="E38" i="5"/>
  <c r="D72" i="5"/>
  <c r="D102" i="5" s="1"/>
  <c r="D38" i="5"/>
  <c r="C72" i="5"/>
  <c r="C102" i="5" s="1"/>
  <c r="C38" i="5"/>
  <c r="F33" i="5"/>
  <c r="C33" i="5"/>
  <c r="D33" i="5"/>
  <c r="E33" i="5"/>
  <c r="G33" i="5"/>
  <c r="AA169" i="11"/>
  <c r="AU15" i="11"/>
  <c r="AE166" i="11"/>
  <c r="AB168" i="11"/>
  <c r="AA187" i="11"/>
  <c r="M20" i="11"/>
  <c r="Z169" i="11"/>
  <c r="Z168" i="11"/>
  <c r="Z187" i="11" s="1"/>
  <c r="H55" i="11"/>
  <c r="H57" i="11"/>
  <c r="G55" i="11"/>
  <c r="G57" i="11"/>
  <c r="G12" i="11"/>
  <c r="G24" i="11" s="1"/>
  <c r="G28" i="11"/>
  <c r="L12" i="11"/>
  <c r="L21" i="11"/>
  <c r="L28" i="11"/>
  <c r="K12" i="11"/>
  <c r="K28" i="11"/>
  <c r="I55" i="11"/>
  <c r="I57" i="11"/>
  <c r="Y19" i="12"/>
  <c r="X19" i="12"/>
  <c r="W19" i="12"/>
  <c r="V19" i="12"/>
  <c r="U19" i="12"/>
  <c r="Z19" i="12"/>
  <c r="AA19" i="12"/>
  <c r="Q16" i="12"/>
  <c r="S16" i="12"/>
  <c r="R16" i="12"/>
  <c r="H28" i="12"/>
  <c r="H30" i="12"/>
  <c r="AC5" i="12"/>
  <c r="AB19" i="12"/>
  <c r="R8" i="12"/>
  <c r="R10" i="12" s="1"/>
  <c r="Q8" i="12"/>
  <c r="Q10" i="12" s="1"/>
  <c r="S9" i="12"/>
  <c r="S8" i="12"/>
  <c r="H17" i="12"/>
  <c r="H19" i="12" s="1"/>
  <c r="K17" i="12"/>
  <c r="K28" i="12"/>
  <c r="D17" i="12"/>
  <c r="D28" i="12"/>
  <c r="G17" i="12"/>
  <c r="G28" i="12"/>
  <c r="F17" i="12"/>
  <c r="F28" i="12"/>
  <c r="I17" i="12"/>
  <c r="I28" i="12"/>
  <c r="J17" i="12"/>
  <c r="J28" i="12"/>
  <c r="P70" i="12"/>
  <c r="E17" i="12"/>
  <c r="E28" i="12"/>
  <c r="P17" i="12"/>
  <c r="P32" i="12" s="1"/>
  <c r="P28" i="12"/>
  <c r="N17" i="12"/>
  <c r="N28" i="12"/>
  <c r="O7" i="12"/>
  <c r="P24" i="12"/>
  <c r="O24" i="12"/>
  <c r="C17" i="12"/>
  <c r="C28" i="12"/>
  <c r="Y21" i="11"/>
  <c r="Y28" i="11"/>
  <c r="Z21" i="11"/>
  <c r="Z28" i="11"/>
  <c r="Z12" i="11"/>
  <c r="Z24" i="11" s="1"/>
  <c r="Y14" i="11"/>
  <c r="Y24" i="11"/>
  <c r="X12" i="11"/>
  <c r="X21" i="11"/>
  <c r="C12" i="11"/>
  <c r="C24" i="11" s="1"/>
  <c r="G21" i="11"/>
  <c r="D12" i="11"/>
  <c r="D21" i="11"/>
  <c r="H21" i="11"/>
  <c r="H12" i="11"/>
  <c r="H24" i="11" s="1"/>
  <c r="E21" i="11"/>
  <c r="E12" i="11"/>
  <c r="I21" i="11"/>
  <c r="I12" i="11"/>
  <c r="I24" i="11" s="1"/>
  <c r="F12" i="11"/>
  <c r="F21" i="11"/>
  <c r="J12" i="11"/>
  <c r="J24" i="11" s="1"/>
  <c r="J21" i="11"/>
  <c r="C17" i="10"/>
  <c r="C26" i="10" s="1"/>
  <c r="C24" i="10"/>
  <c r="E17" i="10"/>
  <c r="E24" i="10"/>
  <c r="V83" i="10"/>
  <c r="V88" i="10"/>
  <c r="V90" i="10" s="1"/>
  <c r="U83" i="10"/>
  <c r="Y4" i="10"/>
  <c r="U28" i="10"/>
  <c r="V27" i="10"/>
  <c r="U15" i="10"/>
  <c r="V28" i="10"/>
  <c r="V15" i="10"/>
  <c r="U27" i="10"/>
  <c r="T17" i="10"/>
  <c r="T26" i="10" s="1"/>
  <c r="F17" i="10"/>
  <c r="I17" i="10"/>
  <c r="H17" i="10"/>
  <c r="D17" i="10"/>
  <c r="G17" i="10"/>
  <c r="J17" i="10"/>
  <c r="AM73" i="9"/>
  <c r="AM63" i="9"/>
  <c r="AN73" i="9"/>
  <c r="AN63" i="9"/>
  <c r="AL73" i="9"/>
  <c r="AL63" i="9"/>
  <c r="P52" i="9"/>
  <c r="AB52" i="9"/>
  <c r="S55" i="9"/>
  <c r="AE55" i="9"/>
  <c r="C37" i="9"/>
  <c r="P55" i="9"/>
  <c r="AB55" i="9"/>
  <c r="AA52" i="9"/>
  <c r="Q52" i="9"/>
  <c r="Y37" i="9"/>
  <c r="E52" i="9"/>
  <c r="O52" i="9"/>
  <c r="S52" i="9"/>
  <c r="L37" i="9"/>
  <c r="X37" i="9"/>
  <c r="AD37" i="9"/>
  <c r="F37" i="9"/>
  <c r="R52" i="9"/>
  <c r="G52" i="9"/>
  <c r="K37" i="9"/>
  <c r="W37" i="9"/>
  <c r="AE52" i="9"/>
  <c r="R55" i="9"/>
  <c r="M37" i="9"/>
  <c r="N37" i="9"/>
  <c r="Z37" i="9"/>
  <c r="AC37" i="9"/>
  <c r="V37" i="9"/>
  <c r="H37" i="9"/>
  <c r="H60" i="9" s="1"/>
  <c r="H52" i="9"/>
  <c r="I37" i="9"/>
  <c r="I60" i="9" s="1"/>
  <c r="T37" i="9"/>
  <c r="T60" i="9" s="1"/>
  <c r="T52" i="9"/>
  <c r="U37" i="9"/>
  <c r="U60" i="9" s="1"/>
  <c r="AF37" i="9"/>
  <c r="AF60" i="9" s="1"/>
  <c r="AF52" i="9"/>
  <c r="J37" i="9"/>
  <c r="J60" i="9" s="1"/>
  <c r="AW37" i="9"/>
  <c r="AV37" i="9"/>
  <c r="AX37" i="9"/>
  <c r="AM82" i="9"/>
  <c r="AM84" i="9" s="1"/>
  <c r="AY37" i="9"/>
  <c r="AZ52" i="9"/>
  <c r="BA52" i="9"/>
  <c r="BB37" i="9"/>
  <c r="BB60" i="9" s="1"/>
  <c r="BB52" i="9"/>
  <c r="AK114" i="9"/>
  <c r="AM114" i="9"/>
  <c r="AN82" i="9"/>
  <c r="AN84" i="9" s="1"/>
  <c r="AI114" i="9"/>
  <c r="BD46" i="9"/>
  <c r="BD53" i="9"/>
  <c r="BD45" i="9"/>
  <c r="AL82" i="9"/>
  <c r="AL84" i="9" s="1"/>
  <c r="AN114" i="9"/>
  <c r="AN116" i="9"/>
  <c r="AQ117" i="9" s="1"/>
  <c r="BD54" i="9"/>
  <c r="AK32" i="9"/>
  <c r="BD47" i="9"/>
  <c r="AM32" i="9"/>
  <c r="AN47" i="9"/>
  <c r="AL32" i="9"/>
  <c r="AN32" i="9"/>
  <c r="BC54" i="9"/>
  <c r="AJ32" i="9"/>
  <c r="AK47" i="9"/>
  <c r="AM47" i="9"/>
  <c r="AL47" i="9"/>
  <c r="BC53" i="9"/>
  <c r="AG32" i="9"/>
  <c r="AH32" i="9"/>
  <c r="AI32" i="9"/>
  <c r="G31" i="1"/>
  <c r="G30" i="1"/>
  <c r="F31" i="1"/>
  <c r="F30" i="1"/>
  <c r="AC39" i="9" l="1"/>
  <c r="AC60" i="9"/>
  <c r="Z39" i="9"/>
  <c r="Z60" i="9"/>
  <c r="P39" i="9"/>
  <c r="P60" i="9"/>
  <c r="F39" i="9"/>
  <c r="F60" i="9"/>
  <c r="M39" i="9"/>
  <c r="M57" i="9" s="1"/>
  <c r="M60" i="9"/>
  <c r="AO114" i="9"/>
  <c r="G39" i="9"/>
  <c r="G60" i="9"/>
  <c r="V39" i="9"/>
  <c r="V60" i="9"/>
  <c r="AA39" i="9"/>
  <c r="AA60" i="9"/>
  <c r="AD39" i="9"/>
  <c r="AD60" i="9"/>
  <c r="AE39" i="9"/>
  <c r="AE60" i="9"/>
  <c r="S39" i="9"/>
  <c r="S60" i="9"/>
  <c r="Q39" i="9"/>
  <c r="Q60" i="9"/>
  <c r="R39" i="9"/>
  <c r="R60" i="9"/>
  <c r="L39" i="9"/>
  <c r="L41" i="9" s="1"/>
  <c r="L56" i="9" s="1"/>
  <c r="L60" i="9"/>
  <c r="D39" i="9"/>
  <c r="D41" i="9" s="1"/>
  <c r="D56" i="9" s="1"/>
  <c r="D60" i="9"/>
  <c r="AN52" i="9"/>
  <c r="AN58" i="9"/>
  <c r="AN59" i="9"/>
  <c r="AL52" i="9"/>
  <c r="AL59" i="9"/>
  <c r="AL58" i="9"/>
  <c r="O39" i="9"/>
  <c r="O60" i="9"/>
  <c r="N39" i="9"/>
  <c r="N57" i="9" s="1"/>
  <c r="N60" i="9"/>
  <c r="C39" i="9"/>
  <c r="C41" i="9" s="1"/>
  <c r="C56" i="9" s="1"/>
  <c r="C60" i="9"/>
  <c r="E39" i="9"/>
  <c r="E60" i="9"/>
  <c r="AI52" i="9"/>
  <c r="AI59" i="9"/>
  <c r="AI58" i="9"/>
  <c r="AM37" i="9"/>
  <c r="AM60" i="9" s="1"/>
  <c r="AM58" i="9"/>
  <c r="AM59" i="9"/>
  <c r="AH59" i="9"/>
  <c r="AH58" i="9"/>
  <c r="AG52" i="9"/>
  <c r="AG59" i="9"/>
  <c r="AG58" i="9"/>
  <c r="AK52" i="9"/>
  <c r="AK59" i="9"/>
  <c r="AK58" i="9"/>
  <c r="AA55" i="9"/>
  <c r="G55" i="9"/>
  <c r="Y39" i="9"/>
  <c r="Y60" i="9"/>
  <c r="X39" i="9"/>
  <c r="X60" i="9"/>
  <c r="W39" i="9"/>
  <c r="W60" i="9"/>
  <c r="O55" i="9"/>
  <c r="K39" i="9"/>
  <c r="K41" i="9" s="1"/>
  <c r="K56" i="9" s="1"/>
  <c r="K60" i="9"/>
  <c r="AB39" i="9"/>
  <c r="AB60" i="9"/>
  <c r="AJ37" i="9"/>
  <c r="AJ60" i="9" s="1"/>
  <c r="AJ59" i="9"/>
  <c r="AJ58" i="9"/>
  <c r="Q55" i="9"/>
  <c r="D55" i="9"/>
  <c r="BD114" i="9"/>
  <c r="AE33" i="5"/>
  <c r="AN117" i="9"/>
  <c r="AO117" i="9"/>
  <c r="AP117" i="9"/>
  <c r="D57" i="9"/>
  <c r="BE52" i="9"/>
  <c r="BE59" i="9"/>
  <c r="BE58" i="9"/>
  <c r="BE37" i="9"/>
  <c r="BD39" i="9"/>
  <c r="BD41" i="9" s="1"/>
  <c r="BD60" i="9"/>
  <c r="BA39" i="9"/>
  <c r="BA60" i="9"/>
  <c r="AY55" i="9"/>
  <c r="AY60" i="9"/>
  <c r="AX39" i="9"/>
  <c r="AX41" i="9" s="1"/>
  <c r="AX56" i="9" s="1"/>
  <c r="AX60" i="9"/>
  <c r="AW39" i="9"/>
  <c r="AW57" i="9" s="1"/>
  <c r="AW60" i="9"/>
  <c r="AV55" i="9"/>
  <c r="AV60" i="9"/>
  <c r="BC39" i="9"/>
  <c r="BC41" i="9" s="1"/>
  <c r="BC60" i="9"/>
  <c r="AZ55" i="9"/>
  <c r="AZ60" i="9"/>
  <c r="G19" i="10"/>
  <c r="G25" i="10" s="1"/>
  <c r="G26" i="10"/>
  <c r="D19" i="10"/>
  <c r="D25" i="10" s="1"/>
  <c r="D26" i="10"/>
  <c r="E19" i="10"/>
  <c r="E26" i="10"/>
  <c r="V24" i="10"/>
  <c r="H26" i="10"/>
  <c r="U17" i="10"/>
  <c r="U26" i="10" s="1"/>
  <c r="U24" i="10"/>
  <c r="F19" i="10"/>
  <c r="F55" i="10" s="1"/>
  <c r="F89" i="10" s="1"/>
  <c r="F26" i="10"/>
  <c r="J19" i="10"/>
  <c r="J25" i="10" s="1"/>
  <c r="J26" i="10"/>
  <c r="I19" i="10"/>
  <c r="I26" i="10"/>
  <c r="AF31" i="5"/>
  <c r="AF33" i="5" s="1"/>
  <c r="AH41" i="5"/>
  <c r="AI17" i="5"/>
  <c r="AA188" i="11"/>
  <c r="AC168" i="11"/>
  <c r="AB187" i="11"/>
  <c r="AB188" i="11" s="1"/>
  <c r="AF166" i="11"/>
  <c r="M25" i="11"/>
  <c r="M26" i="11"/>
  <c r="N20" i="11"/>
  <c r="O5" i="11" s="1"/>
  <c r="AA4" i="11"/>
  <c r="AA5" i="11" s="1"/>
  <c r="AA20" i="11" s="1"/>
  <c r="K14" i="11"/>
  <c r="K24" i="11"/>
  <c r="Z14" i="11"/>
  <c r="L14" i="11"/>
  <c r="L24" i="11"/>
  <c r="R29" i="12"/>
  <c r="R30" i="12"/>
  <c r="R17" i="12"/>
  <c r="R18" i="12" s="1"/>
  <c r="R32" i="12" s="1"/>
  <c r="Q29" i="12"/>
  <c r="Q30" i="12"/>
  <c r="Q17" i="12"/>
  <c r="Q18" i="12" s="1"/>
  <c r="Q32" i="12" s="1"/>
  <c r="H21" i="12"/>
  <c r="H29" i="12"/>
  <c r="S10" i="12"/>
  <c r="S29" i="12"/>
  <c r="S30" i="12"/>
  <c r="S17" i="12"/>
  <c r="S18" i="12" s="1"/>
  <c r="S32" i="12" s="1"/>
  <c r="AD5" i="12"/>
  <c r="AC19" i="12"/>
  <c r="H61" i="12"/>
  <c r="H32" i="12"/>
  <c r="P19" i="12"/>
  <c r="P29" i="12" s="1"/>
  <c r="C19" i="12"/>
  <c r="C29" i="12" s="1"/>
  <c r="C32" i="12"/>
  <c r="I19" i="12"/>
  <c r="I29" i="12" s="1"/>
  <c r="I32" i="12"/>
  <c r="O34" i="12"/>
  <c r="O33" i="12"/>
  <c r="O27" i="12"/>
  <c r="G19" i="12"/>
  <c r="G29" i="12" s="1"/>
  <c r="G32" i="12"/>
  <c r="F19" i="12"/>
  <c r="F29" i="12" s="1"/>
  <c r="F32" i="12"/>
  <c r="D19" i="12"/>
  <c r="D29" i="12" s="1"/>
  <c r="D32" i="12"/>
  <c r="J19" i="12"/>
  <c r="J29" i="12" s="1"/>
  <c r="J32" i="12"/>
  <c r="N19" i="12"/>
  <c r="N32" i="12"/>
  <c r="O11" i="12"/>
  <c r="O30" i="12" s="1"/>
  <c r="E19" i="12"/>
  <c r="E29" i="12" s="1"/>
  <c r="E32" i="12"/>
  <c r="K19" i="12"/>
  <c r="K29" i="12" s="1"/>
  <c r="K32" i="12"/>
  <c r="C14" i="11"/>
  <c r="C61" i="11" s="1"/>
  <c r="C93" i="11" s="1"/>
  <c r="Y16" i="11"/>
  <c r="Y22" i="11"/>
  <c r="X14" i="11"/>
  <c r="X24" i="11"/>
  <c r="G14" i="11"/>
  <c r="D24" i="11"/>
  <c r="D14" i="11"/>
  <c r="H14" i="11"/>
  <c r="E24" i="11"/>
  <c r="E14" i="11"/>
  <c r="I14" i="11"/>
  <c r="J14" i="11"/>
  <c r="J61" i="11" s="1"/>
  <c r="J93" i="11" s="1"/>
  <c r="F14" i="11"/>
  <c r="F61" i="11" s="1"/>
  <c r="F93" i="11" s="1"/>
  <c r="F24" i="11"/>
  <c r="C19" i="10"/>
  <c r="C25" i="10" s="1"/>
  <c r="V17" i="10"/>
  <c r="V26" i="10" s="1"/>
  <c r="Z4" i="10"/>
  <c r="Y8" i="10"/>
  <c r="Y19" i="10" s="1"/>
  <c r="H19" i="10"/>
  <c r="H55" i="10" s="1"/>
  <c r="H89" i="10" s="1"/>
  <c r="T19" i="10"/>
  <c r="D21" i="10"/>
  <c r="J21" i="10"/>
  <c r="BF38" i="9"/>
  <c r="BG38" i="9" s="1"/>
  <c r="BH38" i="9" s="1"/>
  <c r="BL49" i="9"/>
  <c r="C55" i="9"/>
  <c r="C57" i="9"/>
  <c r="W55" i="9"/>
  <c r="K55" i="9"/>
  <c r="Y55" i="9"/>
  <c r="X55" i="9"/>
  <c r="AD55" i="9"/>
  <c r="L55" i="9"/>
  <c r="F55" i="9"/>
  <c r="AC55" i="9"/>
  <c r="Z55" i="9"/>
  <c r="N55" i="9"/>
  <c r="V55" i="9"/>
  <c r="M55" i="9"/>
  <c r="T39" i="9"/>
  <c r="T55" i="9"/>
  <c r="M41" i="9"/>
  <c r="M56" i="9" s="1"/>
  <c r="AC41" i="9"/>
  <c r="AC56" i="9" s="1"/>
  <c r="AC57" i="9"/>
  <c r="I39" i="9"/>
  <c r="I55" i="9"/>
  <c r="X41" i="9"/>
  <c r="X56" i="9" s="1"/>
  <c r="X57" i="9"/>
  <c r="F41" i="9"/>
  <c r="F56" i="9" s="1"/>
  <c r="F57" i="9"/>
  <c r="J39" i="9"/>
  <c r="J55" i="9"/>
  <c r="H39" i="9"/>
  <c r="H55" i="9"/>
  <c r="AF39" i="9"/>
  <c r="AF55" i="9"/>
  <c r="Z41" i="9"/>
  <c r="Z56" i="9" s="1"/>
  <c r="Z57" i="9"/>
  <c r="W41" i="9"/>
  <c r="W56" i="9" s="1"/>
  <c r="W57" i="9"/>
  <c r="AD41" i="9"/>
  <c r="AD56" i="9" s="1"/>
  <c r="AD57" i="9"/>
  <c r="N41" i="9"/>
  <c r="N56" i="9" s="1"/>
  <c r="U39" i="9"/>
  <c r="U55" i="9"/>
  <c r="Y41" i="9"/>
  <c r="Y56" i="9" s="1"/>
  <c r="Y57" i="9"/>
  <c r="V41" i="9"/>
  <c r="V56" i="9" s="1"/>
  <c r="V57" i="9"/>
  <c r="AV39" i="9"/>
  <c r="AV57" i="9" s="1"/>
  <c r="AW55" i="9"/>
  <c r="AX55" i="9"/>
  <c r="AZ41" i="9"/>
  <c r="AZ56" i="9" s="1"/>
  <c r="AY39" i="9"/>
  <c r="AY41" i="9" s="1"/>
  <c r="AY56" i="9" s="1"/>
  <c r="BB39" i="9"/>
  <c r="BB55" i="9"/>
  <c r="AG37" i="9"/>
  <c r="BC55" i="9"/>
  <c r="AK37" i="9"/>
  <c r="BD52" i="9"/>
  <c r="AM52" i="9"/>
  <c r="AL37" i="9"/>
  <c r="AI37" i="9"/>
  <c r="AN37" i="9"/>
  <c r="AJ39" i="9"/>
  <c r="AJ55" i="9"/>
  <c r="AJ52" i="9"/>
  <c r="AH52" i="9"/>
  <c r="AH37" i="9"/>
  <c r="AH60" i="9" s="1"/>
  <c r="AM55" i="9"/>
  <c r="AM39" i="9"/>
  <c r="R7" i="1"/>
  <c r="R8" i="1"/>
  <c r="R6" i="1"/>
  <c r="Q41" i="9" l="1"/>
  <c r="Q56" i="9" s="1"/>
  <c r="Q57" i="9"/>
  <c r="S41" i="9"/>
  <c r="S56" i="9" s="1"/>
  <c r="S57" i="9"/>
  <c r="AE41" i="9"/>
  <c r="AE56" i="9" s="1"/>
  <c r="AE57" i="9"/>
  <c r="AI39" i="9"/>
  <c r="AI60" i="9"/>
  <c r="AK55" i="9"/>
  <c r="AK60" i="9"/>
  <c r="AG39" i="9"/>
  <c r="AG41" i="9" s="1"/>
  <c r="AG89" i="9" s="1"/>
  <c r="AG60" i="9"/>
  <c r="P41" i="9"/>
  <c r="P56" i="9" s="1"/>
  <c r="P57" i="9"/>
  <c r="AN39" i="9"/>
  <c r="AN57" i="9" s="1"/>
  <c r="AN60" i="9"/>
  <c r="AL55" i="9"/>
  <c r="AL60" i="9"/>
  <c r="G41" i="9"/>
  <c r="G56" i="9" s="1"/>
  <c r="G57" i="9"/>
  <c r="AB41" i="9"/>
  <c r="AB56" i="9" s="1"/>
  <c r="AB57" i="9"/>
  <c r="E41" i="9"/>
  <c r="E56" i="9" s="1"/>
  <c r="E57" i="9"/>
  <c r="AA41" i="9"/>
  <c r="AA56" i="9" s="1"/>
  <c r="AA57" i="9"/>
  <c r="K57" i="9"/>
  <c r="L57" i="9"/>
  <c r="O41" i="9"/>
  <c r="O56" i="9" s="1"/>
  <c r="O57" i="9"/>
  <c r="R41" i="9"/>
  <c r="R56" i="9" s="1"/>
  <c r="R57" i="9"/>
  <c r="BE55" i="9"/>
  <c r="BE39" i="9"/>
  <c r="BE60" i="9"/>
  <c r="AX57" i="9"/>
  <c r="AW41" i="9"/>
  <c r="AW56" i="9" s="1"/>
  <c r="BA57" i="9"/>
  <c r="BA41" i="9"/>
  <c r="BA56" i="9" s="1"/>
  <c r="G55" i="10"/>
  <c r="G89" i="10" s="1"/>
  <c r="G21" i="10"/>
  <c r="D55" i="10"/>
  <c r="D89" i="10" s="1"/>
  <c r="F21" i="10"/>
  <c r="J55" i="10"/>
  <c r="J89" i="10" s="1"/>
  <c r="H21" i="10"/>
  <c r="T55" i="10"/>
  <c r="T89" i="10" s="1"/>
  <c r="T25" i="10"/>
  <c r="I25" i="10"/>
  <c r="I21" i="10"/>
  <c r="V19" i="10"/>
  <c r="E21" i="10"/>
  <c r="E25" i="10"/>
  <c r="E55" i="10"/>
  <c r="E89" i="10" s="1"/>
  <c r="I55" i="10"/>
  <c r="I89" i="10" s="1"/>
  <c r="U19" i="10"/>
  <c r="U21" i="10" s="1"/>
  <c r="H25" i="10"/>
  <c r="F25" i="10"/>
  <c r="AG31" i="5"/>
  <c r="AG33" i="5" s="1"/>
  <c r="AI41" i="5"/>
  <c r="AJ17" i="5" s="1"/>
  <c r="AG166" i="11"/>
  <c r="AD168" i="11"/>
  <c r="AC188" i="11"/>
  <c r="N27" i="11"/>
  <c r="O8" i="11" s="1"/>
  <c r="AA8" i="11"/>
  <c r="AA27" i="11" s="1"/>
  <c r="N26" i="11"/>
  <c r="O7" i="11" s="1"/>
  <c r="AA7" i="11"/>
  <c r="Z22" i="11"/>
  <c r="Z16" i="11"/>
  <c r="Z31" i="11" s="1"/>
  <c r="N25" i="11"/>
  <c r="O6" i="11" s="1"/>
  <c r="M21" i="11"/>
  <c r="AA6" i="11"/>
  <c r="O20" i="11"/>
  <c r="P5" i="11" s="1"/>
  <c r="O4" i="11"/>
  <c r="K22" i="11"/>
  <c r="K61" i="11"/>
  <c r="K93" i="11" s="1"/>
  <c r="K16" i="11"/>
  <c r="L22" i="11"/>
  <c r="L16" i="11"/>
  <c r="L61" i="11"/>
  <c r="L93" i="11" s="1"/>
  <c r="N21" i="12"/>
  <c r="N29" i="12"/>
  <c r="AD19" i="12"/>
  <c r="AE5" i="12"/>
  <c r="P21" i="12"/>
  <c r="Q25" i="12"/>
  <c r="D61" i="12"/>
  <c r="D21" i="12"/>
  <c r="F61" i="12"/>
  <c r="F21" i="12"/>
  <c r="K21" i="12"/>
  <c r="K61" i="12"/>
  <c r="G21" i="12"/>
  <c r="G61" i="12"/>
  <c r="E21" i="12"/>
  <c r="E61" i="12"/>
  <c r="O17" i="12"/>
  <c r="O28" i="12"/>
  <c r="I21" i="12"/>
  <c r="I61" i="12"/>
  <c r="J61" i="12"/>
  <c r="J21" i="12"/>
  <c r="C61" i="12"/>
  <c r="C21" i="12"/>
  <c r="C16" i="11"/>
  <c r="C22" i="11"/>
  <c r="X16" i="11"/>
  <c r="Y31" i="11" s="1"/>
  <c r="X22" i="11"/>
  <c r="G22" i="11"/>
  <c r="G16" i="11"/>
  <c r="G61" i="11"/>
  <c r="G93" i="11" s="1"/>
  <c r="D22" i="11"/>
  <c r="D16" i="11"/>
  <c r="D61" i="11"/>
  <c r="D93" i="11" s="1"/>
  <c r="H22" i="11"/>
  <c r="H16" i="11"/>
  <c r="H61" i="11"/>
  <c r="H93" i="11" s="1"/>
  <c r="E22" i="11"/>
  <c r="E16" i="11"/>
  <c r="E61" i="11"/>
  <c r="E93" i="11" s="1"/>
  <c r="I22" i="11"/>
  <c r="I16" i="11"/>
  <c r="I61" i="11"/>
  <c r="I93" i="11" s="1"/>
  <c r="F16" i="11"/>
  <c r="F22" i="11"/>
  <c r="J16" i="11"/>
  <c r="J22" i="11"/>
  <c r="C21" i="10"/>
  <c r="C55" i="10"/>
  <c r="C89" i="10" s="1"/>
  <c r="Z8" i="10"/>
  <c r="Z19" i="10" s="1"/>
  <c r="AA4" i="10"/>
  <c r="T21" i="10"/>
  <c r="BF32" i="9"/>
  <c r="BF47" i="9"/>
  <c r="BG28" i="9"/>
  <c r="AY57" i="9"/>
  <c r="U41" i="9"/>
  <c r="U56" i="9" s="1"/>
  <c r="U57" i="9"/>
  <c r="AF41" i="9"/>
  <c r="AF56" i="9" s="1"/>
  <c r="AF57" i="9"/>
  <c r="I41" i="9"/>
  <c r="I56" i="9" s="1"/>
  <c r="I57" i="9"/>
  <c r="H41" i="9"/>
  <c r="H56" i="9" s="1"/>
  <c r="H57" i="9"/>
  <c r="J41" i="9"/>
  <c r="J56" i="9" s="1"/>
  <c r="J57" i="9"/>
  <c r="T41" i="9"/>
  <c r="T56" i="9" s="1"/>
  <c r="T57" i="9"/>
  <c r="AV41" i="9"/>
  <c r="AV56" i="9" s="1"/>
  <c r="AG55" i="9"/>
  <c r="BB57" i="9"/>
  <c r="BB41" i="9"/>
  <c r="BB56" i="9" s="1"/>
  <c r="BC52" i="9"/>
  <c r="AK39" i="9"/>
  <c r="AK41" i="9" s="1"/>
  <c r="AK89" i="9" s="1"/>
  <c r="BD55" i="9"/>
  <c r="AI55" i="9"/>
  <c r="AL39" i="9"/>
  <c r="AL57" i="9" s="1"/>
  <c r="BC56" i="9"/>
  <c r="AN55" i="9"/>
  <c r="AJ41" i="9"/>
  <c r="AJ89" i="9" s="1"/>
  <c r="AJ57" i="9"/>
  <c r="BD56" i="9"/>
  <c r="BD57" i="9"/>
  <c r="AH55" i="9"/>
  <c r="AH39" i="9"/>
  <c r="AI57" i="9"/>
  <c r="AI41" i="9"/>
  <c r="AI89" i="9" s="1"/>
  <c r="AM57" i="9"/>
  <c r="AM41" i="9"/>
  <c r="AM89" i="9" s="1"/>
  <c r="AN41" i="9"/>
  <c r="AN89" i="9" s="1"/>
  <c r="AQ118" i="9" s="1"/>
  <c r="R10" i="1"/>
  <c r="O8" i="1"/>
  <c r="O6" i="1"/>
  <c r="X19" i="6"/>
  <c r="Y19" i="6" s="1"/>
  <c r="Z19" i="6" s="1"/>
  <c r="AA19" i="6" s="1"/>
  <c r="AB19" i="6" s="1"/>
  <c r="AC19" i="6" s="1"/>
  <c r="AD19" i="6" s="1"/>
  <c r="AE19" i="6" s="1"/>
  <c r="AF19" i="6" s="1"/>
  <c r="AG19" i="6" s="1"/>
  <c r="AH19" i="6" s="1"/>
  <c r="AI19" i="6" s="1"/>
  <c r="AJ19" i="6" s="1"/>
  <c r="U43" i="6"/>
  <c r="J65" i="6"/>
  <c r="J64" i="6"/>
  <c r="J63" i="6"/>
  <c r="J61" i="6"/>
  <c r="J57" i="6"/>
  <c r="J56" i="6"/>
  <c r="J44" i="6"/>
  <c r="J59" i="6" s="1"/>
  <c r="R35" i="6"/>
  <c r="S35" i="6"/>
  <c r="T35" i="6"/>
  <c r="E32" i="7"/>
  <c r="F31" i="7"/>
  <c r="F33" i="7" s="1"/>
  <c r="E31" i="7"/>
  <c r="E10" i="7" s="1"/>
  <c r="R33" i="6"/>
  <c r="S33" i="6"/>
  <c r="T33" i="6"/>
  <c r="R36" i="6"/>
  <c r="S36" i="6"/>
  <c r="T36" i="6"/>
  <c r="Q19" i="6"/>
  <c r="R19" i="6"/>
  <c r="S19" i="6"/>
  <c r="R17" i="6"/>
  <c r="Q17" i="6"/>
  <c r="R11" i="6"/>
  <c r="R28" i="6" s="1"/>
  <c r="Q11" i="6"/>
  <c r="S17" i="6"/>
  <c r="S11" i="6"/>
  <c r="T19" i="6"/>
  <c r="T17" i="6"/>
  <c r="T11" i="6"/>
  <c r="T28" i="6" s="1"/>
  <c r="AM34" i="6"/>
  <c r="I19" i="6"/>
  <c r="F21" i="6"/>
  <c r="F16" i="6"/>
  <c r="U16" i="6" s="1"/>
  <c r="U36" i="6" s="1"/>
  <c r="F15" i="6"/>
  <c r="U15" i="6" s="1"/>
  <c r="U35" i="6" s="1"/>
  <c r="F9" i="6"/>
  <c r="U9" i="6" s="1"/>
  <c r="F7" i="6"/>
  <c r="U7" i="6" s="1"/>
  <c r="F8" i="6"/>
  <c r="F5" i="6"/>
  <c r="F4" i="6"/>
  <c r="F3" i="6"/>
  <c r="U3" i="6" s="1"/>
  <c r="J21" i="6"/>
  <c r="V21" i="6" s="1"/>
  <c r="J16" i="6"/>
  <c r="V16" i="6" s="1"/>
  <c r="J15" i="6"/>
  <c r="J9" i="6"/>
  <c r="V9" i="6" s="1"/>
  <c r="J8" i="6"/>
  <c r="J7" i="6"/>
  <c r="V7" i="6" s="1"/>
  <c r="J5" i="6"/>
  <c r="V5" i="6" s="1"/>
  <c r="J4" i="6"/>
  <c r="V4" i="6" s="1"/>
  <c r="J3" i="6"/>
  <c r="V3" i="6" s="1"/>
  <c r="C19" i="6"/>
  <c r="C17" i="6"/>
  <c r="C14" i="6"/>
  <c r="C13" i="6"/>
  <c r="C12" i="6"/>
  <c r="C10" i="6"/>
  <c r="C6" i="6"/>
  <c r="G19" i="6"/>
  <c r="G17" i="6"/>
  <c r="G14" i="6"/>
  <c r="G13" i="6"/>
  <c r="G12" i="6"/>
  <c r="G10" i="6"/>
  <c r="G6" i="6"/>
  <c r="D19" i="6"/>
  <c r="D17" i="6"/>
  <c r="D14" i="6"/>
  <c r="D13" i="6"/>
  <c r="D12" i="6"/>
  <c r="D10" i="6"/>
  <c r="D6" i="6"/>
  <c r="H19" i="6"/>
  <c r="H17" i="6"/>
  <c r="H14" i="6"/>
  <c r="H13" i="6"/>
  <c r="H12" i="6"/>
  <c r="H10" i="6"/>
  <c r="H6" i="6"/>
  <c r="L8" i="1"/>
  <c r="L7" i="1"/>
  <c r="AM29" i="6" s="1"/>
  <c r="E19" i="6"/>
  <c r="E17" i="6"/>
  <c r="I17" i="6"/>
  <c r="I14" i="6"/>
  <c r="I13" i="6"/>
  <c r="I12" i="6"/>
  <c r="E13" i="6"/>
  <c r="E14" i="6"/>
  <c r="E12" i="6"/>
  <c r="I10" i="6"/>
  <c r="I6" i="6"/>
  <c r="E6" i="6"/>
  <c r="E10" i="6"/>
  <c r="L6" i="1"/>
  <c r="K211" i="2"/>
  <c r="K216" i="2" s="1"/>
  <c r="J211" i="2"/>
  <c r="J216" i="2" s="1"/>
  <c r="G211" i="2"/>
  <c r="G214" i="2" s="1"/>
  <c r="H211" i="2"/>
  <c r="H214" i="2" s="1"/>
  <c r="I211" i="2"/>
  <c r="I216" i="2" s="1"/>
  <c r="AJ34" i="2"/>
  <c r="W18" i="2"/>
  <c r="X18" i="2" s="1"/>
  <c r="Y18" i="2" s="1"/>
  <c r="Z18" i="2" s="1"/>
  <c r="AA18" i="2" s="1"/>
  <c r="AB18" i="2" s="1"/>
  <c r="AC18" i="2" s="1"/>
  <c r="AD18" i="2" s="1"/>
  <c r="AE18" i="2" s="1"/>
  <c r="AF18" i="2" s="1"/>
  <c r="AG18" i="2" s="1"/>
  <c r="G30" i="2"/>
  <c r="I30" i="2"/>
  <c r="F16" i="2"/>
  <c r="T16" i="2" s="1"/>
  <c r="F14" i="2"/>
  <c r="T14" i="2" s="1"/>
  <c r="F11" i="2"/>
  <c r="T11" i="2" s="1"/>
  <c r="F10" i="2"/>
  <c r="T10" i="2" s="1"/>
  <c r="J10" i="2"/>
  <c r="J11" i="2"/>
  <c r="J14" i="2"/>
  <c r="J16" i="2"/>
  <c r="AG57" i="9" l="1"/>
  <c r="AP118" i="9"/>
  <c r="BE41" i="9"/>
  <c r="BE89" i="9" s="1"/>
  <c r="BE57" i="9"/>
  <c r="U55" i="10"/>
  <c r="U89" i="10" s="1"/>
  <c r="U25" i="10"/>
  <c r="V55" i="10"/>
  <c r="V89" i="10" s="1"/>
  <c r="V25" i="10"/>
  <c r="V21" i="10"/>
  <c r="AH31" i="5"/>
  <c r="AH33" i="5" s="1"/>
  <c r="AJ41" i="5"/>
  <c r="AK17" i="5" s="1"/>
  <c r="AK41" i="5" s="1"/>
  <c r="AE168" i="11"/>
  <c r="AD187" i="11"/>
  <c r="AD188" i="11" s="1"/>
  <c r="AD3" i="11" s="1"/>
  <c r="AH166" i="11"/>
  <c r="M28" i="11"/>
  <c r="N21" i="11"/>
  <c r="AA11" i="11"/>
  <c r="O26" i="11"/>
  <c r="P7" i="11" s="1"/>
  <c r="P26" i="11" s="1"/>
  <c r="AA25" i="11"/>
  <c r="AA9" i="11"/>
  <c r="AA10" i="11" s="1"/>
  <c r="O25" i="11"/>
  <c r="P6" i="11" s="1"/>
  <c r="O9" i="11"/>
  <c r="O10" i="11" s="1"/>
  <c r="O27" i="11"/>
  <c r="P8" i="11" s="1"/>
  <c r="P27" i="11" s="1"/>
  <c r="P20" i="11"/>
  <c r="Q5" i="11" s="1"/>
  <c r="P4" i="11"/>
  <c r="AF5" i="12"/>
  <c r="AE19" i="12"/>
  <c r="O19" i="12"/>
  <c r="O29" i="12" s="1"/>
  <c r="O32" i="12"/>
  <c r="AA8" i="10"/>
  <c r="AA19" i="10" s="1"/>
  <c r="AB4" i="10"/>
  <c r="U8" i="6"/>
  <c r="F112" i="6"/>
  <c r="F109" i="6"/>
  <c r="F111" i="6"/>
  <c r="F110" i="6"/>
  <c r="V8" i="6"/>
  <c r="J112" i="6"/>
  <c r="J110" i="6"/>
  <c r="J109" i="6"/>
  <c r="J111" i="6"/>
  <c r="BH28" i="9"/>
  <c r="BG32" i="9"/>
  <c r="BG47" i="9"/>
  <c r="BF52" i="9"/>
  <c r="BF37" i="9"/>
  <c r="AL41" i="9"/>
  <c r="AL89" i="9" s="1"/>
  <c r="BC57" i="9"/>
  <c r="AK57" i="9"/>
  <c r="AJ43" i="9"/>
  <c r="AJ56" i="9"/>
  <c r="AN43" i="9"/>
  <c r="AN56" i="9"/>
  <c r="AG56" i="9"/>
  <c r="AG43" i="9"/>
  <c r="AK56" i="9"/>
  <c r="AK43" i="9"/>
  <c r="AH41" i="9"/>
  <c r="AH89" i="9" s="1"/>
  <c r="AJ118" i="9" s="1"/>
  <c r="AH57" i="9"/>
  <c r="AI56" i="9"/>
  <c r="AI43" i="9"/>
  <c r="AM56" i="9"/>
  <c r="AM43" i="9"/>
  <c r="O10" i="1"/>
  <c r="J43" i="6"/>
  <c r="J68" i="6"/>
  <c r="J70" i="6" s="1"/>
  <c r="S18" i="6"/>
  <c r="S29" i="6" s="1"/>
  <c r="Q18" i="6"/>
  <c r="Q29" i="6" s="1"/>
  <c r="S28" i="6"/>
  <c r="Q28" i="6"/>
  <c r="F16" i="7"/>
  <c r="F10" i="7"/>
  <c r="E16" i="7"/>
  <c r="E21" i="7"/>
  <c r="F21" i="7"/>
  <c r="E26" i="7"/>
  <c r="F26" i="7"/>
  <c r="E29" i="7"/>
  <c r="F29" i="7"/>
  <c r="E33" i="7"/>
  <c r="F13" i="6"/>
  <c r="F14" i="6"/>
  <c r="R18" i="6"/>
  <c r="U10" i="6"/>
  <c r="V13" i="6"/>
  <c r="I33" i="6"/>
  <c r="V36" i="6"/>
  <c r="H33" i="6"/>
  <c r="U5" i="6"/>
  <c r="U14" i="6" s="1"/>
  <c r="G33" i="6"/>
  <c r="V12" i="6"/>
  <c r="V6" i="6"/>
  <c r="W6" i="6" s="1"/>
  <c r="U17" i="6"/>
  <c r="V14" i="6"/>
  <c r="U12" i="6"/>
  <c r="V10" i="6"/>
  <c r="F17" i="6"/>
  <c r="J17" i="6"/>
  <c r="F19" i="6"/>
  <c r="U19" i="6" s="1"/>
  <c r="T18" i="6"/>
  <c r="U4" i="6"/>
  <c r="U13" i="6" s="1"/>
  <c r="U21" i="6"/>
  <c r="F10" i="6"/>
  <c r="V15" i="6"/>
  <c r="V35" i="6" s="1"/>
  <c r="J19" i="6"/>
  <c r="V19" i="6" s="1"/>
  <c r="J12" i="6"/>
  <c r="F12" i="6"/>
  <c r="J14" i="6"/>
  <c r="C11" i="6"/>
  <c r="C28" i="6" s="1"/>
  <c r="F6" i="6"/>
  <c r="G11" i="6"/>
  <c r="G28" i="6" s="1"/>
  <c r="D11" i="6"/>
  <c r="D28" i="6" s="1"/>
  <c r="H11" i="6"/>
  <c r="H28" i="6" s="1"/>
  <c r="L10" i="1"/>
  <c r="I11" i="6"/>
  <c r="H215" i="2"/>
  <c r="I215" i="2"/>
  <c r="H216" i="2"/>
  <c r="G215" i="2"/>
  <c r="G216" i="2"/>
  <c r="H212" i="2"/>
  <c r="I212" i="2"/>
  <c r="H213" i="2"/>
  <c r="I214" i="2"/>
  <c r="J212" i="2"/>
  <c r="J215" i="2"/>
  <c r="J214" i="2"/>
  <c r="K214" i="2"/>
  <c r="K212" i="2"/>
  <c r="K215" i="2"/>
  <c r="I213" i="2"/>
  <c r="J213" i="2"/>
  <c r="K213" i="2"/>
  <c r="G212" i="2"/>
  <c r="G213" i="2"/>
  <c r="T12" i="2"/>
  <c r="M30" i="2"/>
  <c r="J12" i="2"/>
  <c r="F12" i="2"/>
  <c r="X17" i="5"/>
  <c r="X19" i="5" s="1"/>
  <c r="Y17" i="5"/>
  <c r="Z17" i="5"/>
  <c r="AA41" i="5" s="1"/>
  <c r="X25" i="5"/>
  <c r="Y25" i="5"/>
  <c r="Z25" i="5"/>
  <c r="X27" i="5"/>
  <c r="Y27" i="5"/>
  <c r="Z27" i="5"/>
  <c r="X29" i="5"/>
  <c r="Y29" i="5"/>
  <c r="Z29" i="5"/>
  <c r="I6" i="1"/>
  <c r="G79" i="2"/>
  <c r="G81" i="2" s="1"/>
  <c r="G83" i="2" s="1"/>
  <c r="G68" i="2"/>
  <c r="G75" i="2" s="1"/>
  <c r="C12" i="2"/>
  <c r="C9" i="2"/>
  <c r="H79" i="2"/>
  <c r="H81" i="2" s="1"/>
  <c r="H68" i="2"/>
  <c r="H75" i="2" s="1"/>
  <c r="D8" i="2"/>
  <c r="D5" i="2"/>
  <c r="D34" i="2" s="1"/>
  <c r="H34" i="2"/>
  <c r="D12" i="2"/>
  <c r="H12" i="2"/>
  <c r="E79" i="2"/>
  <c r="E81" i="2" s="1"/>
  <c r="E83" i="2" s="1"/>
  <c r="I79" i="2"/>
  <c r="I81" i="2" s="1"/>
  <c r="E68" i="2"/>
  <c r="E75" i="2" s="1"/>
  <c r="I68" i="2"/>
  <c r="I75" i="2" s="1"/>
  <c r="E12" i="2"/>
  <c r="E9" i="2"/>
  <c r="I12" i="2"/>
  <c r="I9" i="2"/>
  <c r="H83" i="2" l="1"/>
  <c r="H88" i="2"/>
  <c r="I83" i="2"/>
  <c r="I88" i="2"/>
  <c r="AN118" i="9"/>
  <c r="AO118" i="9"/>
  <c r="BE56" i="9"/>
  <c r="C22" i="1"/>
  <c r="BD89" i="9"/>
  <c r="AP29" i="6"/>
  <c r="AP32" i="6" s="1"/>
  <c r="AI31" i="5"/>
  <c r="Z19" i="5"/>
  <c r="Z26" i="5" s="1"/>
  <c r="Z28" i="5" s="1"/>
  <c r="Z31" i="5" s="1"/>
  <c r="Y41" i="5"/>
  <c r="Z37" i="5"/>
  <c r="AD14" i="11"/>
  <c r="AF168" i="11"/>
  <c r="AE187" i="11"/>
  <c r="AE188" i="11" s="1"/>
  <c r="AE3" i="11" s="1"/>
  <c r="Q7" i="11"/>
  <c r="Q26" i="11" s="1"/>
  <c r="AA28" i="11"/>
  <c r="P25" i="11"/>
  <c r="Q6" i="11" s="1"/>
  <c r="P9" i="11"/>
  <c r="P10" i="11" s="1"/>
  <c r="AA12" i="11"/>
  <c r="AA21" i="11"/>
  <c r="N28" i="11"/>
  <c r="Q8" i="11"/>
  <c r="O21" i="11"/>
  <c r="O11" i="11"/>
  <c r="O28" i="11" s="1"/>
  <c r="Q20" i="11"/>
  <c r="R5" i="11" s="1"/>
  <c r="Q4" i="11"/>
  <c r="AF19" i="12"/>
  <c r="AG5" i="12"/>
  <c r="O21" i="12"/>
  <c r="O25" i="12"/>
  <c r="P25" i="12"/>
  <c r="AC4" i="10"/>
  <c r="AB8" i="10"/>
  <c r="AB19" i="10" s="1"/>
  <c r="BF55" i="9"/>
  <c r="BF39" i="9"/>
  <c r="BG37" i="9"/>
  <c r="BG52" i="9"/>
  <c r="BH32" i="9"/>
  <c r="BH47" i="9"/>
  <c r="AL43" i="9"/>
  <c r="AL56" i="9"/>
  <c r="AH43" i="9"/>
  <c r="AH56" i="9"/>
  <c r="AP31" i="6"/>
  <c r="I10" i="1"/>
  <c r="I11" i="1" s="1"/>
  <c r="X6" i="6"/>
  <c r="W11" i="6"/>
  <c r="S20" i="6"/>
  <c r="S22" i="6" s="1"/>
  <c r="Q20" i="6"/>
  <c r="Q22" i="6" s="1"/>
  <c r="T20" i="6"/>
  <c r="T29" i="6"/>
  <c r="R20" i="6"/>
  <c r="R29" i="6"/>
  <c r="V11" i="6"/>
  <c r="U6" i="6"/>
  <c r="U33" i="6" s="1"/>
  <c r="V17" i="6"/>
  <c r="W17" i="6" s="1"/>
  <c r="X17" i="6" s="1"/>
  <c r="Y17" i="6" s="1"/>
  <c r="Z17" i="6" s="1"/>
  <c r="AA17" i="6" s="1"/>
  <c r="AB17" i="6" s="1"/>
  <c r="AC17" i="6" s="1"/>
  <c r="AD17" i="6" s="1"/>
  <c r="AE17" i="6" s="1"/>
  <c r="AF17" i="6" s="1"/>
  <c r="AG17" i="6" s="1"/>
  <c r="AH17" i="6" s="1"/>
  <c r="AI17" i="6" s="1"/>
  <c r="AJ17" i="6" s="1"/>
  <c r="C18" i="6"/>
  <c r="F11" i="6"/>
  <c r="G18" i="6"/>
  <c r="D18" i="6"/>
  <c r="H18" i="6"/>
  <c r="I28" i="6"/>
  <c r="I18" i="6"/>
  <c r="E13" i="2"/>
  <c r="E15" i="2" s="1"/>
  <c r="W10" i="2"/>
  <c r="H30" i="2"/>
  <c r="F8" i="2"/>
  <c r="T8" i="2" s="1"/>
  <c r="F5" i="2"/>
  <c r="J34" i="2"/>
  <c r="I13" i="2"/>
  <c r="I15" i="2" s="1"/>
  <c r="X36" i="5"/>
  <c r="X26" i="5"/>
  <c r="X28" i="5" s="1"/>
  <c r="Y37" i="5"/>
  <c r="X37" i="5"/>
  <c r="Z41" i="5"/>
  <c r="Y19" i="5"/>
  <c r="C22" i="2"/>
  <c r="C13" i="2"/>
  <c r="C23" i="2" s="1"/>
  <c r="H9" i="2"/>
  <c r="H13" i="2" s="1"/>
  <c r="H23" i="2" s="1"/>
  <c r="D9" i="2"/>
  <c r="E22" i="2"/>
  <c r="I22" i="2"/>
  <c r="J79" i="2"/>
  <c r="J81" i="2" s="1"/>
  <c r="J68" i="2"/>
  <c r="J75" i="2" s="1"/>
  <c r="K79" i="2"/>
  <c r="K81" i="2" s="1"/>
  <c r="K68" i="2"/>
  <c r="K75" i="2" s="1"/>
  <c r="K30" i="2"/>
  <c r="G12" i="2"/>
  <c r="G9" i="2"/>
  <c r="G22" i="2" s="1"/>
  <c r="K22" i="2"/>
  <c r="F6" i="1"/>
  <c r="C6" i="1"/>
  <c r="K83" i="2" l="1"/>
  <c r="K88" i="2"/>
  <c r="J83" i="2"/>
  <c r="J88" i="2"/>
  <c r="AI33" i="5"/>
  <c r="T5" i="2"/>
  <c r="T9" i="2" s="1"/>
  <c r="T22" i="2" s="1"/>
  <c r="F34" i="2"/>
  <c r="AJ31" i="5"/>
  <c r="AJ33" i="5" s="1"/>
  <c r="AK31" i="5"/>
  <c r="Z33" i="5"/>
  <c r="Z72" i="5"/>
  <c r="Z102" i="5" s="1"/>
  <c r="Z36" i="5"/>
  <c r="Z39" i="5"/>
  <c r="Z38" i="5"/>
  <c r="AD16" i="11"/>
  <c r="AD31" i="11" s="1"/>
  <c r="AD22" i="11"/>
  <c r="AE14" i="11" s="1"/>
  <c r="R7" i="11"/>
  <c r="AB7" i="11" s="1"/>
  <c r="AG168" i="11"/>
  <c r="AF187" i="11"/>
  <c r="AF188" i="11" s="1"/>
  <c r="AF3" i="11" s="1"/>
  <c r="Q27" i="11"/>
  <c r="R8" i="11" s="1"/>
  <c r="R27" i="11" s="1"/>
  <c r="AA14" i="11"/>
  <c r="I22" i="1" s="1"/>
  <c r="AA24" i="11"/>
  <c r="P21" i="11"/>
  <c r="P11" i="11"/>
  <c r="Q9" i="11"/>
  <c r="Q10" i="11" s="1"/>
  <c r="Q25" i="11"/>
  <c r="R6" i="11" s="1"/>
  <c r="R20" i="11"/>
  <c r="S5" i="11" s="1"/>
  <c r="R4" i="11"/>
  <c r="AG19" i="12"/>
  <c r="AH5" i="12"/>
  <c r="AD4" i="10"/>
  <c r="AD8" i="10" s="1"/>
  <c r="AD19" i="10" s="1"/>
  <c r="AE19" i="10" s="1"/>
  <c r="AF19" i="10" s="1"/>
  <c r="AG19" i="10" s="1"/>
  <c r="AH19" i="10" s="1"/>
  <c r="AI19" i="10" s="1"/>
  <c r="AJ19" i="10" s="1"/>
  <c r="AK19" i="10" s="1"/>
  <c r="AL19" i="10" s="1"/>
  <c r="AM19" i="10" s="1"/>
  <c r="AN19" i="10" s="1"/>
  <c r="AO19" i="10" s="1"/>
  <c r="AP19" i="10" s="1"/>
  <c r="AQ19" i="10" s="1"/>
  <c r="AR19" i="10" s="1"/>
  <c r="AS19" i="10" s="1"/>
  <c r="AT19" i="10" s="1"/>
  <c r="AU19" i="10" s="1"/>
  <c r="AV19" i="10" s="1"/>
  <c r="AW19" i="10" s="1"/>
  <c r="AX19" i="10" s="1"/>
  <c r="AY19" i="10" s="1"/>
  <c r="AZ19" i="10" s="1"/>
  <c r="BA19" i="10" s="1"/>
  <c r="BB19" i="10" s="1"/>
  <c r="BC19" i="10" s="1"/>
  <c r="BD19" i="10" s="1"/>
  <c r="BE19" i="10" s="1"/>
  <c r="BF19" i="10" s="1"/>
  <c r="BG19" i="10" s="1"/>
  <c r="BH19" i="10" s="1"/>
  <c r="BI19" i="10" s="1"/>
  <c r="BJ19" i="10" s="1"/>
  <c r="BK19" i="10" s="1"/>
  <c r="BL19" i="10" s="1"/>
  <c r="BM19" i="10" s="1"/>
  <c r="BN19" i="10" s="1"/>
  <c r="BO19" i="10" s="1"/>
  <c r="BP19" i="10" s="1"/>
  <c r="BQ19" i="10" s="1"/>
  <c r="BR19" i="10" s="1"/>
  <c r="BS19" i="10" s="1"/>
  <c r="BT19" i="10" s="1"/>
  <c r="BU19" i="10" s="1"/>
  <c r="BV19" i="10" s="1"/>
  <c r="BW19" i="10" s="1"/>
  <c r="BX19" i="10" s="1"/>
  <c r="BY19" i="10" s="1"/>
  <c r="BZ19" i="10" s="1"/>
  <c r="CA19" i="10" s="1"/>
  <c r="CB19" i="10" s="1"/>
  <c r="CC19" i="10" s="1"/>
  <c r="CD19" i="10" s="1"/>
  <c r="CE19" i="10" s="1"/>
  <c r="CF19" i="10" s="1"/>
  <c r="CG19" i="10" s="1"/>
  <c r="CH19" i="10" s="1"/>
  <c r="CI19" i="10" s="1"/>
  <c r="CJ19" i="10" s="1"/>
  <c r="CK19" i="10" s="1"/>
  <c r="CL19" i="10" s="1"/>
  <c r="CM19" i="10" s="1"/>
  <c r="CN19" i="10" s="1"/>
  <c r="CO19" i="10" s="1"/>
  <c r="CP19" i="10" s="1"/>
  <c r="CQ19" i="10" s="1"/>
  <c r="CR19" i="10" s="1"/>
  <c r="CS19" i="10" s="1"/>
  <c r="CT19" i="10" s="1"/>
  <c r="CU19" i="10" s="1"/>
  <c r="CV19" i="10" s="1"/>
  <c r="CW19" i="10" s="1"/>
  <c r="CX19" i="10" s="1"/>
  <c r="CY19" i="10" s="1"/>
  <c r="CZ19" i="10" s="1"/>
  <c r="DA19" i="10" s="1"/>
  <c r="DB19" i="10" s="1"/>
  <c r="DC19" i="10" s="1"/>
  <c r="DD19" i="10" s="1"/>
  <c r="DE19" i="10" s="1"/>
  <c r="DF19" i="10" s="1"/>
  <c r="DG19" i="10" s="1"/>
  <c r="DH19" i="10" s="1"/>
  <c r="DI19" i="10" s="1"/>
  <c r="DJ19" i="10" s="1"/>
  <c r="DK19" i="10" s="1"/>
  <c r="DL19" i="10" s="1"/>
  <c r="DM19" i="10" s="1"/>
  <c r="DN19" i="10" s="1"/>
  <c r="DO19" i="10" s="1"/>
  <c r="DP19" i="10" s="1"/>
  <c r="DQ19" i="10" s="1"/>
  <c r="DR19" i="10" s="1"/>
  <c r="DS19" i="10" s="1"/>
  <c r="DT19" i="10" s="1"/>
  <c r="DU19" i="10" s="1"/>
  <c r="DV19" i="10" s="1"/>
  <c r="DW19" i="10" s="1"/>
  <c r="DX19" i="10" s="1"/>
  <c r="DY19" i="10" s="1"/>
  <c r="DZ19" i="10" s="1"/>
  <c r="EA19" i="10" s="1"/>
  <c r="EB19" i="10" s="1"/>
  <c r="EC19" i="10" s="1"/>
  <c r="ED19" i="10" s="1"/>
  <c r="EE19" i="10" s="1"/>
  <c r="EF19" i="10" s="1"/>
  <c r="EG19" i="10" s="1"/>
  <c r="EH19" i="10" s="1"/>
  <c r="EI19" i="10" s="1"/>
  <c r="EJ19" i="10" s="1"/>
  <c r="EK19" i="10" s="1"/>
  <c r="EL19" i="10" s="1"/>
  <c r="EM19" i="10" s="1"/>
  <c r="EN19" i="10" s="1"/>
  <c r="EO19" i="10" s="1"/>
  <c r="EP19" i="10" s="1"/>
  <c r="EQ19" i="10" s="1"/>
  <c r="ER19" i="10" s="1"/>
  <c r="ES19" i="10" s="1"/>
  <c r="ET19" i="10" s="1"/>
  <c r="EU19" i="10" s="1"/>
  <c r="EV19" i="10" s="1"/>
  <c r="EW19" i="10" s="1"/>
  <c r="EX19" i="10" s="1"/>
  <c r="EY19" i="10" s="1"/>
  <c r="EZ19" i="10" s="1"/>
  <c r="FA19" i="10" s="1"/>
  <c r="FB19" i="10" s="1"/>
  <c r="FC19" i="10" s="1"/>
  <c r="FD19" i="10" s="1"/>
  <c r="FE19" i="10" s="1"/>
  <c r="FF19" i="10" s="1"/>
  <c r="FG19" i="10" s="1"/>
  <c r="FH19" i="10" s="1"/>
  <c r="FI19" i="10" s="1"/>
  <c r="FJ19" i="10" s="1"/>
  <c r="FK19" i="10" s="1"/>
  <c r="FL19" i="10" s="1"/>
  <c r="FM19" i="10" s="1"/>
  <c r="FN19" i="10" s="1"/>
  <c r="FO19" i="10" s="1"/>
  <c r="FP19" i="10" s="1"/>
  <c r="FQ19" i="10" s="1"/>
  <c r="FR19" i="10" s="1"/>
  <c r="FS19" i="10" s="1"/>
  <c r="FT19" i="10" s="1"/>
  <c r="FU19" i="10" s="1"/>
  <c r="FV19" i="10" s="1"/>
  <c r="FW19" i="10" s="1"/>
  <c r="FX19" i="10" s="1"/>
  <c r="FY19" i="10" s="1"/>
  <c r="FZ19" i="10" s="1"/>
  <c r="GA19" i="10" s="1"/>
  <c r="GB19" i="10" s="1"/>
  <c r="GC19" i="10" s="1"/>
  <c r="GD19" i="10" s="1"/>
  <c r="GE19" i="10" s="1"/>
  <c r="GF19" i="10" s="1"/>
  <c r="AC8" i="10"/>
  <c r="AC19" i="10" s="1"/>
  <c r="AJ25" i="2"/>
  <c r="BE43" i="9"/>
  <c r="BE61" i="9" s="1"/>
  <c r="BF56" i="9"/>
  <c r="BF43" i="9"/>
  <c r="BH52" i="9"/>
  <c r="BH37" i="9"/>
  <c r="BG55" i="9"/>
  <c r="BG39" i="9"/>
  <c r="Y6" i="6"/>
  <c r="X11" i="6"/>
  <c r="X28" i="6" s="1"/>
  <c r="W28" i="6"/>
  <c r="W18" i="6"/>
  <c r="W29" i="6" s="1"/>
  <c r="U11" i="6"/>
  <c r="U28" i="6" s="1"/>
  <c r="Q31" i="6"/>
  <c r="S31" i="6"/>
  <c r="R22" i="6"/>
  <c r="S37" i="6" s="1"/>
  <c r="R31" i="6"/>
  <c r="T22" i="6"/>
  <c r="T31" i="6"/>
  <c r="V18" i="6"/>
  <c r="V29" i="6" s="1"/>
  <c r="S24" i="6"/>
  <c r="S30" i="6"/>
  <c r="Q24" i="6"/>
  <c r="Q30" i="6"/>
  <c r="V28" i="6"/>
  <c r="V33" i="6"/>
  <c r="F18" i="6"/>
  <c r="F28" i="6"/>
  <c r="I20" i="6"/>
  <c r="I22" i="6" s="1"/>
  <c r="I29" i="6"/>
  <c r="C20" i="6"/>
  <c r="C29" i="6"/>
  <c r="H20" i="6"/>
  <c r="H29" i="6"/>
  <c r="D20" i="6"/>
  <c r="D29" i="6"/>
  <c r="G20" i="6"/>
  <c r="G29" i="6"/>
  <c r="M23" i="2"/>
  <c r="H22" i="2"/>
  <c r="E23" i="2"/>
  <c r="H15" i="2"/>
  <c r="H25" i="2" s="1"/>
  <c r="F9" i="2"/>
  <c r="F22" i="2" s="1"/>
  <c r="O30" i="2"/>
  <c r="L30" i="2"/>
  <c r="M25" i="2"/>
  <c r="X10" i="2"/>
  <c r="J30" i="2"/>
  <c r="U5" i="2"/>
  <c r="U9" i="2" s="1"/>
  <c r="U13" i="2" s="1"/>
  <c r="U15" i="2" s="1"/>
  <c r="U17" i="2" s="1"/>
  <c r="I23" i="2"/>
  <c r="Y36" i="5"/>
  <c r="Y26" i="5"/>
  <c r="Y28" i="5" s="1"/>
  <c r="X31" i="5"/>
  <c r="X72" i="5" s="1"/>
  <c r="X39" i="5"/>
  <c r="C15" i="2"/>
  <c r="C25" i="2" s="1"/>
  <c r="D13" i="2"/>
  <c r="D22" i="2"/>
  <c r="E25" i="2"/>
  <c r="E17" i="2"/>
  <c r="I17" i="2"/>
  <c r="I93" i="2" s="1"/>
  <c r="I120" i="2" s="1"/>
  <c r="I25" i="2"/>
  <c r="F10" i="1"/>
  <c r="G13" i="2"/>
  <c r="C10" i="1"/>
  <c r="AL31" i="5" l="1"/>
  <c r="AK33" i="5"/>
  <c r="AB8" i="11"/>
  <c r="R26" i="11"/>
  <c r="S7" i="11" s="1"/>
  <c r="AE22" i="11"/>
  <c r="AF14" i="11" s="1"/>
  <c r="AE16" i="11"/>
  <c r="AE31" i="11" s="1"/>
  <c r="AH168" i="11"/>
  <c r="AB4" i="11"/>
  <c r="AB5" i="11" s="1"/>
  <c r="S8" i="11"/>
  <c r="P28" i="11"/>
  <c r="Q11" i="11"/>
  <c r="Q21" i="11"/>
  <c r="AA16" i="11"/>
  <c r="AA31" i="11" s="1"/>
  <c r="AA22" i="11"/>
  <c r="R25" i="11"/>
  <c r="S6" i="11" s="1"/>
  <c r="R9" i="11"/>
  <c r="R10" i="11" s="1"/>
  <c r="AB6" i="11"/>
  <c r="S20" i="11"/>
  <c r="T5" i="11" s="1"/>
  <c r="S4" i="11"/>
  <c r="AI5" i="12"/>
  <c r="AH19" i="12"/>
  <c r="BG56" i="9"/>
  <c r="BG43" i="9"/>
  <c r="BH55" i="9"/>
  <c r="BH39" i="9"/>
  <c r="BH41" i="9" s="1"/>
  <c r="Z6" i="6"/>
  <c r="Y11" i="6"/>
  <c r="Y28" i="6" s="1"/>
  <c r="U18" i="6"/>
  <c r="U20" i="6" s="1"/>
  <c r="I31" i="6"/>
  <c r="V20" i="6"/>
  <c r="V31" i="6" s="1"/>
  <c r="T24" i="6"/>
  <c r="T30" i="6"/>
  <c r="T37" i="6"/>
  <c r="R24" i="6"/>
  <c r="R30" i="6"/>
  <c r="R37" i="6"/>
  <c r="D22" i="6"/>
  <c r="D30" i="6" s="1"/>
  <c r="D31" i="6"/>
  <c r="H31" i="6"/>
  <c r="H22" i="6"/>
  <c r="C22" i="6"/>
  <c r="C30" i="6" s="1"/>
  <c r="C31" i="6"/>
  <c r="G31" i="6"/>
  <c r="G22" i="6"/>
  <c r="F20" i="6"/>
  <c r="F29" i="6"/>
  <c r="I30" i="6"/>
  <c r="I24" i="6"/>
  <c r="H17" i="2"/>
  <c r="T13" i="2"/>
  <c r="T23" i="2" s="1"/>
  <c r="F13" i="2"/>
  <c r="F23" i="2" s="1"/>
  <c r="L22" i="2"/>
  <c r="J22" i="2"/>
  <c r="J13" i="2"/>
  <c r="V30" i="2"/>
  <c r="O22" i="2"/>
  <c r="Y10" i="2"/>
  <c r="U30" i="2"/>
  <c r="N30" i="2"/>
  <c r="X38" i="5"/>
  <c r="X33" i="5"/>
  <c r="Y31" i="5"/>
  <c r="Y72" i="5" s="1"/>
  <c r="Y39" i="5"/>
  <c r="C17" i="2"/>
  <c r="D23" i="2"/>
  <c r="D15" i="2"/>
  <c r="E24" i="2"/>
  <c r="E19" i="2"/>
  <c r="I24" i="2"/>
  <c r="I19" i="2"/>
  <c r="G23" i="2"/>
  <c r="G15" i="2"/>
  <c r="AM31" i="5" l="1"/>
  <c r="AL33" i="5"/>
  <c r="H24" i="2"/>
  <c r="H93" i="2"/>
  <c r="H120" i="2" s="1"/>
  <c r="AF22" i="11"/>
  <c r="AF16" i="11"/>
  <c r="AF31" i="11" s="1"/>
  <c r="AB27" i="11"/>
  <c r="AB20" i="11"/>
  <c r="S27" i="11"/>
  <c r="T8" i="11" s="1"/>
  <c r="S26" i="11"/>
  <c r="T7" i="11" s="1"/>
  <c r="AI168" i="11"/>
  <c r="R11" i="11"/>
  <c r="AB11" i="11" s="1"/>
  <c r="R21" i="11"/>
  <c r="S9" i="11"/>
  <c r="S25" i="11"/>
  <c r="T6" i="11" s="1"/>
  <c r="Q28" i="11"/>
  <c r="AB9" i="11"/>
  <c r="AB10" i="11" s="1"/>
  <c r="AB25" i="11"/>
  <c r="T4" i="11"/>
  <c r="T20" i="11"/>
  <c r="U5" i="11" s="1"/>
  <c r="AJ5" i="12"/>
  <c r="AI19" i="12"/>
  <c r="BH43" i="9"/>
  <c r="BI41" i="9"/>
  <c r="BJ41" i="9" s="1"/>
  <c r="BK41" i="9" s="1"/>
  <c r="BL41" i="9" s="1"/>
  <c r="BM41" i="9" s="1"/>
  <c r="BN41" i="9" s="1"/>
  <c r="BO41" i="9" s="1"/>
  <c r="BP41" i="9" s="1"/>
  <c r="BQ41" i="9" s="1"/>
  <c r="BR41" i="9" s="1"/>
  <c r="BS41" i="9" s="1"/>
  <c r="BT41" i="9" s="1"/>
  <c r="BU41" i="9" s="1"/>
  <c r="BV41" i="9" s="1"/>
  <c r="BW41" i="9" s="1"/>
  <c r="BX41" i="9" s="1"/>
  <c r="BH56" i="9"/>
  <c r="AA6" i="6"/>
  <c r="Z11" i="6"/>
  <c r="Z28" i="6" s="1"/>
  <c r="U29" i="6"/>
  <c r="V22" i="6"/>
  <c r="V24" i="6" s="1"/>
  <c r="X18" i="6"/>
  <c r="X29" i="6" s="1"/>
  <c r="C24" i="6"/>
  <c r="F22" i="6"/>
  <c r="F30" i="6" s="1"/>
  <c r="F31" i="6"/>
  <c r="G37" i="6"/>
  <c r="G30" i="6"/>
  <c r="H30" i="6"/>
  <c r="H37" i="6"/>
  <c r="G24" i="6"/>
  <c r="H24" i="6"/>
  <c r="U31" i="6"/>
  <c r="U22" i="6"/>
  <c r="D24" i="6"/>
  <c r="H19" i="2"/>
  <c r="F15" i="2"/>
  <c r="F17" i="2" s="1"/>
  <c r="T15" i="2"/>
  <c r="T17" i="2" s="1"/>
  <c r="T24" i="2" s="1"/>
  <c r="J23" i="2"/>
  <c r="J15" i="2"/>
  <c r="L23" i="2"/>
  <c r="U22" i="2"/>
  <c r="M24" i="2"/>
  <c r="Z10" i="2"/>
  <c r="N22" i="2"/>
  <c r="X5" i="2"/>
  <c r="W30" i="2"/>
  <c r="O23" i="2"/>
  <c r="Y38" i="5"/>
  <c r="Y33" i="5"/>
  <c r="C24" i="2"/>
  <c r="C19" i="2"/>
  <c r="D25" i="2"/>
  <c r="D17" i="2"/>
  <c r="G25" i="2"/>
  <c r="G17" i="2"/>
  <c r="G93" i="2" s="1"/>
  <c r="G120" i="2" s="1"/>
  <c r="AN31" i="5" l="1"/>
  <c r="AM33" i="5"/>
  <c r="BY41" i="9"/>
  <c r="BZ41" i="9" s="1"/>
  <c r="CA41" i="9" s="1"/>
  <c r="CB41" i="9" s="1"/>
  <c r="CC41" i="9" s="1"/>
  <c r="CD41" i="9" s="1"/>
  <c r="CE41" i="9" s="1"/>
  <c r="CF41" i="9" s="1"/>
  <c r="CG41" i="9" s="1"/>
  <c r="CH41" i="9" s="1"/>
  <c r="CI41" i="9" s="1"/>
  <c r="CJ41" i="9" s="1"/>
  <c r="CK41" i="9" s="1"/>
  <c r="CL41" i="9" s="1"/>
  <c r="CM41" i="9" s="1"/>
  <c r="CN41" i="9" s="1"/>
  <c r="CO41" i="9" s="1"/>
  <c r="CP41" i="9" s="1"/>
  <c r="CQ41" i="9" s="1"/>
  <c r="CR41" i="9" s="1"/>
  <c r="CS41" i="9" s="1"/>
  <c r="CT41" i="9" s="1"/>
  <c r="CU41" i="9" s="1"/>
  <c r="CV41" i="9" s="1"/>
  <c r="CW41" i="9" s="1"/>
  <c r="CX41" i="9" s="1"/>
  <c r="CY41" i="9" s="1"/>
  <c r="CZ41" i="9" s="1"/>
  <c r="DA41" i="9" s="1"/>
  <c r="DB41" i="9" s="1"/>
  <c r="DC41" i="9" s="1"/>
  <c r="DD41" i="9" s="1"/>
  <c r="DE41" i="9" s="1"/>
  <c r="DF41" i="9" s="1"/>
  <c r="DG41" i="9" s="1"/>
  <c r="DH41" i="9" s="1"/>
  <c r="DI41" i="9" s="1"/>
  <c r="DJ41" i="9" s="1"/>
  <c r="DK41" i="9" s="1"/>
  <c r="DL41" i="9" s="1"/>
  <c r="DM41" i="9" s="1"/>
  <c r="DN41" i="9" s="1"/>
  <c r="DO41" i="9" s="1"/>
  <c r="DP41" i="9" s="1"/>
  <c r="DQ41" i="9" s="1"/>
  <c r="DR41" i="9" s="1"/>
  <c r="DS41" i="9" s="1"/>
  <c r="DT41" i="9" s="1"/>
  <c r="DU41" i="9" s="1"/>
  <c r="DV41" i="9" s="1"/>
  <c r="DW41" i="9" s="1"/>
  <c r="DX41" i="9" s="1"/>
  <c r="DY41" i="9" s="1"/>
  <c r="DZ41" i="9" s="1"/>
  <c r="EA41" i="9" s="1"/>
  <c r="EB41" i="9" s="1"/>
  <c r="EC41" i="9" s="1"/>
  <c r="ED41" i="9" s="1"/>
  <c r="EE41" i="9" s="1"/>
  <c r="EF41" i="9" s="1"/>
  <c r="EG41" i="9" s="1"/>
  <c r="EH41" i="9" s="1"/>
  <c r="EI41" i="9" s="1"/>
  <c r="EJ41" i="9" s="1"/>
  <c r="EK41" i="9" s="1"/>
  <c r="EL41" i="9" s="1"/>
  <c r="EM41" i="9" s="1"/>
  <c r="EN41" i="9" s="1"/>
  <c r="EO41" i="9" s="1"/>
  <c r="EP41" i="9" s="1"/>
  <c r="EQ41" i="9" s="1"/>
  <c r="ER41" i="9" s="1"/>
  <c r="ES41" i="9" s="1"/>
  <c r="ET41" i="9" s="1"/>
  <c r="EU41" i="9" s="1"/>
  <c r="EV41" i="9" s="1"/>
  <c r="EW41" i="9" s="1"/>
  <c r="EX41" i="9" s="1"/>
  <c r="EY41" i="9" s="1"/>
  <c r="EZ41" i="9" s="1"/>
  <c r="FA41" i="9" s="1"/>
  <c r="FB41" i="9" s="1"/>
  <c r="FC41" i="9" s="1"/>
  <c r="FD41" i="9" s="1"/>
  <c r="FE41" i="9" s="1"/>
  <c r="FF41" i="9" s="1"/>
  <c r="FG41" i="9" s="1"/>
  <c r="FH41" i="9" s="1"/>
  <c r="FI41" i="9" s="1"/>
  <c r="FJ41" i="9" s="1"/>
  <c r="FK41" i="9" s="1"/>
  <c r="FL41" i="9" s="1"/>
  <c r="FM41" i="9" s="1"/>
  <c r="FN41" i="9" s="1"/>
  <c r="FO41" i="9" s="1"/>
  <c r="FP41" i="9" s="1"/>
  <c r="FQ41" i="9" s="1"/>
  <c r="FR41" i="9" s="1"/>
  <c r="FS41" i="9" s="1"/>
  <c r="FT41" i="9" s="1"/>
  <c r="FU41" i="9" s="1"/>
  <c r="FV41" i="9" s="1"/>
  <c r="FW41" i="9" s="1"/>
  <c r="FX41" i="9" s="1"/>
  <c r="FY41" i="9" s="1"/>
  <c r="FZ41" i="9" s="1"/>
  <c r="GA41" i="9" s="1"/>
  <c r="GB41" i="9" s="1"/>
  <c r="GC41" i="9" s="1"/>
  <c r="GD41" i="9" s="1"/>
  <c r="GE41" i="9" s="1"/>
  <c r="GF41" i="9" s="1"/>
  <c r="GG41" i="9" s="1"/>
  <c r="GH41" i="9" s="1"/>
  <c r="GI41" i="9" s="1"/>
  <c r="GJ41" i="9" s="1"/>
  <c r="GK41" i="9" s="1"/>
  <c r="GL41" i="9" s="1"/>
  <c r="GM41" i="9" s="1"/>
  <c r="GN41" i="9" s="1"/>
  <c r="GO41" i="9" s="1"/>
  <c r="GP41" i="9" s="1"/>
  <c r="GQ41" i="9" s="1"/>
  <c r="GR41" i="9" s="1"/>
  <c r="GS41" i="9" s="1"/>
  <c r="GT41" i="9" s="1"/>
  <c r="GU41" i="9" s="1"/>
  <c r="GV41" i="9" s="1"/>
  <c r="GW41" i="9" s="1"/>
  <c r="GX41" i="9" s="1"/>
  <c r="GY41" i="9" s="1"/>
  <c r="GZ41" i="9" s="1"/>
  <c r="HA41" i="9" s="1"/>
  <c r="HB41" i="9" s="1"/>
  <c r="HC41" i="9" s="1"/>
  <c r="HD41" i="9" s="1"/>
  <c r="HE41" i="9" s="1"/>
  <c r="HF41" i="9" s="1"/>
  <c r="HG41" i="9" s="1"/>
  <c r="HH41" i="9" s="1"/>
  <c r="HI41" i="9" s="1"/>
  <c r="HJ41" i="9" s="1"/>
  <c r="HK41" i="9" s="1"/>
  <c r="HL41" i="9" s="1"/>
  <c r="HM41" i="9" s="1"/>
  <c r="HN41" i="9" s="1"/>
  <c r="HO41" i="9" s="1"/>
  <c r="HP41" i="9" s="1"/>
  <c r="HQ41" i="9" s="1"/>
  <c r="HR41" i="9" s="1"/>
  <c r="HS41" i="9" s="1"/>
  <c r="HT41" i="9" s="1"/>
  <c r="HU41" i="9" s="1"/>
  <c r="HV41" i="9" s="1"/>
  <c r="HW41" i="9" s="1"/>
  <c r="HX41" i="9" s="1"/>
  <c r="HY41" i="9" s="1"/>
  <c r="HZ41" i="9" s="1"/>
  <c r="IA41" i="9" s="1"/>
  <c r="IB41" i="9" s="1"/>
  <c r="IC41" i="9" s="1"/>
  <c r="ID41" i="9" s="1"/>
  <c r="IE41" i="9" s="1"/>
  <c r="IF41" i="9" s="1"/>
  <c r="IG41" i="9" s="1"/>
  <c r="IH41" i="9" s="1"/>
  <c r="II41" i="9" s="1"/>
  <c r="IJ41" i="9" s="1"/>
  <c r="IK41" i="9" s="1"/>
  <c r="IL41" i="9" s="1"/>
  <c r="IM41" i="9" s="1"/>
  <c r="IN41" i="9" s="1"/>
  <c r="IO41" i="9" s="1"/>
  <c r="IP41" i="9" s="1"/>
  <c r="IQ41" i="9" s="1"/>
  <c r="IR41" i="9" s="1"/>
  <c r="IS41" i="9" s="1"/>
  <c r="IT41" i="9" s="1"/>
  <c r="IU41" i="9" s="1"/>
  <c r="IV41" i="9" s="1"/>
  <c r="IW41" i="9" s="1"/>
  <c r="IX41" i="9" s="1"/>
  <c r="IY41" i="9" s="1"/>
  <c r="IZ41" i="9" s="1"/>
  <c r="JA41" i="9" s="1"/>
  <c r="JB41" i="9" s="1"/>
  <c r="JC41" i="9" s="1"/>
  <c r="JD41" i="9" s="1"/>
  <c r="JE41" i="9" s="1"/>
  <c r="JF41" i="9" s="1"/>
  <c r="JG41" i="9" s="1"/>
  <c r="JH41" i="9" s="1"/>
  <c r="JI41" i="9" s="1"/>
  <c r="JJ41" i="9" s="1"/>
  <c r="JK41" i="9" s="1"/>
  <c r="JL41" i="9" s="1"/>
  <c r="JM41" i="9" s="1"/>
  <c r="JN41" i="9" s="1"/>
  <c r="JO41" i="9" s="1"/>
  <c r="JP41" i="9" s="1"/>
  <c r="JQ41" i="9" s="1"/>
  <c r="JR41" i="9" s="1"/>
  <c r="JS41" i="9" s="1"/>
  <c r="JT41" i="9" s="1"/>
  <c r="JU41" i="9" s="1"/>
  <c r="JV41" i="9" s="1"/>
  <c r="JW41" i="9" s="1"/>
  <c r="JX41" i="9" s="1"/>
  <c r="JY41" i="9" s="1"/>
  <c r="JZ41" i="9" s="1"/>
  <c r="KA41" i="9" s="1"/>
  <c r="KB41" i="9" s="1"/>
  <c r="KC41" i="9" s="1"/>
  <c r="KD41" i="9" s="1"/>
  <c r="KE41" i="9" s="1"/>
  <c r="KF41" i="9" s="1"/>
  <c r="KG41" i="9" s="1"/>
  <c r="KH41" i="9" s="1"/>
  <c r="KI41" i="9" s="1"/>
  <c r="KJ41" i="9" s="1"/>
  <c r="KK41" i="9" s="1"/>
  <c r="KL41" i="9" s="1"/>
  <c r="KM41" i="9" s="1"/>
  <c r="KN41" i="9" s="1"/>
  <c r="KO41" i="9" s="1"/>
  <c r="KP41" i="9" s="1"/>
  <c r="KQ41" i="9" s="1"/>
  <c r="KR41" i="9" s="1"/>
  <c r="KS41" i="9" s="1"/>
  <c r="KT41" i="9" s="1"/>
  <c r="KU41" i="9" s="1"/>
  <c r="KV41" i="9" s="1"/>
  <c r="KW41" i="9" s="1"/>
  <c r="KX41" i="9" s="1"/>
  <c r="KY41" i="9" s="1"/>
  <c r="KZ41" i="9" s="1"/>
  <c r="LA41" i="9" s="1"/>
  <c r="LB41" i="9" s="1"/>
  <c r="LC41" i="9" s="1"/>
  <c r="LD41" i="9" s="1"/>
  <c r="LE41" i="9" s="1"/>
  <c r="LF41" i="9" s="1"/>
  <c r="LG41" i="9" s="1"/>
  <c r="LH41" i="9" s="1"/>
  <c r="LI41" i="9" s="1"/>
  <c r="LJ41" i="9" s="1"/>
  <c r="LK41" i="9" s="1"/>
  <c r="LL41" i="9" s="1"/>
  <c r="LM41" i="9" s="1"/>
  <c r="LN41" i="9" s="1"/>
  <c r="LO41" i="9" s="1"/>
  <c r="LP41" i="9" s="1"/>
  <c r="LQ41" i="9" s="1"/>
  <c r="LR41" i="9" s="1"/>
  <c r="LS41" i="9" s="1"/>
  <c r="LT41" i="9" s="1"/>
  <c r="LU41" i="9" s="1"/>
  <c r="LV41" i="9" s="1"/>
  <c r="LW41" i="9" s="1"/>
  <c r="LX41" i="9" s="1"/>
  <c r="LY41" i="9" s="1"/>
  <c r="LZ41" i="9" s="1"/>
  <c r="MA41" i="9" s="1"/>
  <c r="MB41" i="9" s="1"/>
  <c r="MC41" i="9" s="1"/>
  <c r="MD41" i="9" s="1"/>
  <c r="ME41" i="9" s="1"/>
  <c r="MF41" i="9" s="1"/>
  <c r="MG41" i="9" s="1"/>
  <c r="MH41" i="9" s="1"/>
  <c r="MI41" i="9" s="1"/>
  <c r="MJ41" i="9" s="1"/>
  <c r="MK41" i="9" s="1"/>
  <c r="ML41" i="9" s="1"/>
  <c r="MM41" i="9" s="1"/>
  <c r="MN41" i="9" s="1"/>
  <c r="MO41" i="9" s="1"/>
  <c r="MP41" i="9" s="1"/>
  <c r="MQ41" i="9" s="1"/>
  <c r="MR41" i="9" s="1"/>
  <c r="MS41" i="9" s="1"/>
  <c r="MT41" i="9" s="1"/>
  <c r="MU41" i="9" s="1"/>
  <c r="MV41" i="9" s="1"/>
  <c r="MW41" i="9" s="1"/>
  <c r="MX41" i="9" s="1"/>
  <c r="MY41" i="9" s="1"/>
  <c r="MZ41" i="9" s="1"/>
  <c r="NA41" i="9" s="1"/>
  <c r="NB41" i="9" s="1"/>
  <c r="NC41" i="9" s="1"/>
  <c r="ND41" i="9" s="1"/>
  <c r="NE41" i="9" s="1"/>
  <c r="NF41" i="9" s="1"/>
  <c r="NG41" i="9" s="1"/>
  <c r="NH41" i="9" s="1"/>
  <c r="NI41" i="9" s="1"/>
  <c r="NJ41" i="9" s="1"/>
  <c r="NK41" i="9" s="1"/>
  <c r="NL41" i="9" s="1"/>
  <c r="NM41" i="9" s="1"/>
  <c r="NN41" i="9" s="1"/>
  <c r="NO41" i="9" s="1"/>
  <c r="NP41" i="9" s="1"/>
  <c r="NQ41" i="9" s="1"/>
  <c r="NR41" i="9" s="1"/>
  <c r="NS41" i="9" s="1"/>
  <c r="NT41" i="9" s="1"/>
  <c r="NU41" i="9" s="1"/>
  <c r="NV41" i="9" s="1"/>
  <c r="NW41" i="9" s="1"/>
  <c r="NX41" i="9" s="1"/>
  <c r="NY41" i="9" s="1"/>
  <c r="NZ41" i="9" s="1"/>
  <c r="OA41" i="9" s="1"/>
  <c r="OB41" i="9" s="1"/>
  <c r="OC41" i="9" s="1"/>
  <c r="OD41" i="9" s="1"/>
  <c r="OE41" i="9" s="1"/>
  <c r="OF41" i="9" s="1"/>
  <c r="OG41" i="9" s="1"/>
  <c r="OH41" i="9" s="1"/>
  <c r="OI41" i="9" s="1"/>
  <c r="OJ41" i="9" s="1"/>
  <c r="OK41" i="9" s="1"/>
  <c r="OL41" i="9" s="1"/>
  <c r="OM41" i="9" s="1"/>
  <c r="ON41" i="9" s="1"/>
  <c r="OO41" i="9" s="1"/>
  <c r="OP41" i="9" s="1"/>
  <c r="OQ41" i="9" s="1"/>
  <c r="OR41" i="9" s="1"/>
  <c r="OS41" i="9" s="1"/>
  <c r="OT41" i="9" s="1"/>
  <c r="OU41" i="9" s="1"/>
  <c r="OV41" i="9" s="1"/>
  <c r="OW41" i="9" s="1"/>
  <c r="OX41" i="9" s="1"/>
  <c r="OY41" i="9" s="1"/>
  <c r="OZ41" i="9" s="1"/>
  <c r="PA41" i="9" s="1"/>
  <c r="PB41" i="9" s="1"/>
  <c r="PC41" i="9" s="1"/>
  <c r="PD41" i="9" s="1"/>
  <c r="PE41" i="9" s="1"/>
  <c r="PF41" i="9" s="1"/>
  <c r="PG41" i="9" s="1"/>
  <c r="PH41" i="9" s="1"/>
  <c r="PI41" i="9" s="1"/>
  <c r="PJ41" i="9" s="1"/>
  <c r="PK41" i="9" s="1"/>
  <c r="PL41" i="9" s="1"/>
  <c r="PM41" i="9" s="1"/>
  <c r="PN41" i="9" s="1"/>
  <c r="PO41" i="9" s="1"/>
  <c r="PP41" i="9" s="1"/>
  <c r="PQ41" i="9" s="1"/>
  <c r="PR41" i="9" s="1"/>
  <c r="PS41" i="9" s="1"/>
  <c r="PT41" i="9" s="1"/>
  <c r="PU41" i="9" s="1"/>
  <c r="PV41" i="9" s="1"/>
  <c r="PW41" i="9" s="1"/>
  <c r="PX41" i="9" s="1"/>
  <c r="PY41" i="9" s="1"/>
  <c r="PZ41" i="9" s="1"/>
  <c r="QA41" i="9" s="1"/>
  <c r="QB41" i="9" s="1"/>
  <c r="QC41" i="9" s="1"/>
  <c r="QD41" i="9" s="1"/>
  <c r="QE41" i="9" s="1"/>
  <c r="QF41" i="9" s="1"/>
  <c r="QG41" i="9" s="1"/>
  <c r="QH41" i="9" s="1"/>
  <c r="QI41" i="9" s="1"/>
  <c r="QJ41" i="9" s="1"/>
  <c r="QK41" i="9" s="1"/>
  <c r="QL41" i="9" s="1"/>
  <c r="QM41" i="9" s="1"/>
  <c r="QN41" i="9" s="1"/>
  <c r="QO41" i="9" s="1"/>
  <c r="QP41" i="9" s="1"/>
  <c r="QQ41" i="9" s="1"/>
  <c r="QR41" i="9" s="1"/>
  <c r="QS41" i="9" s="1"/>
  <c r="QT41" i="9" s="1"/>
  <c r="QU41" i="9" s="1"/>
  <c r="QV41" i="9" s="1"/>
  <c r="QW41" i="9" s="1"/>
  <c r="QX41" i="9" s="1"/>
  <c r="QY41" i="9" s="1"/>
  <c r="QZ41" i="9" s="1"/>
  <c r="RA41" i="9" s="1"/>
  <c r="RB41" i="9" s="1"/>
  <c r="RC41" i="9" s="1"/>
  <c r="RD41" i="9" s="1"/>
  <c r="RE41" i="9" s="1"/>
  <c r="RF41" i="9" s="1"/>
  <c r="RG41" i="9" s="1"/>
  <c r="RH41" i="9" s="1"/>
  <c r="RI41" i="9" s="1"/>
  <c r="RJ41" i="9" s="1"/>
  <c r="RK41" i="9" s="1"/>
  <c r="RL41" i="9" s="1"/>
  <c r="RM41" i="9" s="1"/>
  <c r="RN41" i="9" s="1"/>
  <c r="RO41" i="9" s="1"/>
  <c r="RP41" i="9" s="1"/>
  <c r="RQ41" i="9" s="1"/>
  <c r="RR41" i="9" s="1"/>
  <c r="RS41" i="9" s="1"/>
  <c r="RT41" i="9" s="1"/>
  <c r="RU41" i="9" s="1"/>
  <c r="RV41" i="9" s="1"/>
  <c r="RW41" i="9" s="1"/>
  <c r="RX41" i="9" s="1"/>
  <c r="RY41" i="9" s="1"/>
  <c r="RZ41" i="9" s="1"/>
  <c r="SA41" i="9" s="1"/>
  <c r="SB41" i="9" s="1"/>
  <c r="SC41" i="9" s="1"/>
  <c r="SD41" i="9" s="1"/>
  <c r="SE41" i="9" s="1"/>
  <c r="SF41" i="9" s="1"/>
  <c r="SG41" i="9" s="1"/>
  <c r="SH41" i="9" s="1"/>
  <c r="SI41" i="9" s="1"/>
  <c r="SJ41" i="9" s="1"/>
  <c r="SK41" i="9" s="1"/>
  <c r="SL41" i="9" s="1"/>
  <c r="SM41" i="9" s="1"/>
  <c r="SN41" i="9" s="1"/>
  <c r="SO41" i="9" s="1"/>
  <c r="SP41" i="9" s="1"/>
  <c r="SQ41" i="9" s="1"/>
  <c r="SR41" i="9" s="1"/>
  <c r="SS41" i="9" s="1"/>
  <c r="ST41" i="9" s="1"/>
  <c r="SU41" i="9" s="1"/>
  <c r="SV41" i="9" s="1"/>
  <c r="SW41" i="9" s="1"/>
  <c r="SX41" i="9" s="1"/>
  <c r="SY41" i="9" s="1"/>
  <c r="SZ41" i="9" s="1"/>
  <c r="TA41" i="9" s="1"/>
  <c r="BL48" i="9" s="1"/>
  <c r="BL50" i="9" s="1"/>
  <c r="BL51" i="9" s="1"/>
  <c r="BL52" i="9" s="1"/>
  <c r="T26" i="11"/>
  <c r="U7" i="11" s="1"/>
  <c r="U26" i="11" s="1"/>
  <c r="T27" i="11"/>
  <c r="U8" i="11" s="1"/>
  <c r="U27" i="11" s="1"/>
  <c r="AJ168" i="11"/>
  <c r="U20" i="11"/>
  <c r="V5" i="11" s="1"/>
  <c r="U4" i="11"/>
  <c r="S10" i="11"/>
  <c r="AB28" i="11"/>
  <c r="AB21" i="11"/>
  <c r="AB12" i="11"/>
  <c r="R28" i="11"/>
  <c r="T9" i="11"/>
  <c r="T10" i="11" s="1"/>
  <c r="T25" i="11"/>
  <c r="U6" i="11" s="1"/>
  <c r="AK5" i="12"/>
  <c r="AJ19" i="12"/>
  <c r="AB6" i="6"/>
  <c r="AA11" i="6"/>
  <c r="AA28" i="6" s="1"/>
  <c r="V30" i="6"/>
  <c r="Y18" i="6"/>
  <c r="Y29" i="6" s="1"/>
  <c r="F24" i="6"/>
  <c r="U37" i="6"/>
  <c r="U30" i="6"/>
  <c r="U24" i="6"/>
  <c r="V37" i="6"/>
  <c r="F25" i="2"/>
  <c r="T25" i="2"/>
  <c r="V22" i="2"/>
  <c r="W9" i="2"/>
  <c r="W8" i="2" s="1"/>
  <c r="Y5" i="2"/>
  <c r="X30" i="2"/>
  <c r="F19" i="2"/>
  <c r="F24" i="2"/>
  <c r="J17" i="2"/>
  <c r="J25" i="2"/>
  <c r="N23" i="2"/>
  <c r="AA10" i="2"/>
  <c r="U23" i="2"/>
  <c r="O25" i="2"/>
  <c r="D24" i="2"/>
  <c r="D19" i="2"/>
  <c r="G24" i="2"/>
  <c r="G19" i="2"/>
  <c r="J93" i="2" l="1"/>
  <c r="J120" i="2" s="1"/>
  <c r="AO31" i="5"/>
  <c r="AN33" i="5"/>
  <c r="V20" i="11"/>
  <c r="V4" i="11"/>
  <c r="AC4" i="11" s="1"/>
  <c r="AC5" i="11"/>
  <c r="AC20" i="11" s="1"/>
  <c r="U25" i="11"/>
  <c r="V6" i="11" s="1"/>
  <c r="AC6" i="11" s="1"/>
  <c r="U9" i="11"/>
  <c r="AK168" i="11"/>
  <c r="AK187" i="11" s="1"/>
  <c r="S11" i="11"/>
  <c r="S21" i="11"/>
  <c r="V8" i="11"/>
  <c r="V7" i="11"/>
  <c r="T11" i="11"/>
  <c r="T28" i="11" s="1"/>
  <c r="T21" i="11"/>
  <c r="AB14" i="11"/>
  <c r="AB24" i="11"/>
  <c r="AL5" i="12"/>
  <c r="AK19" i="12"/>
  <c r="AC6" i="6"/>
  <c r="AB11" i="6"/>
  <c r="AB28" i="6" s="1"/>
  <c r="Z18" i="6"/>
  <c r="Z29" i="6" s="1"/>
  <c r="X9" i="2"/>
  <c r="W22" i="2"/>
  <c r="T19" i="2"/>
  <c r="L24" i="2"/>
  <c r="N25" i="2"/>
  <c r="L25" i="2"/>
  <c r="AB10" i="2"/>
  <c r="J24" i="2"/>
  <c r="J19" i="2"/>
  <c r="U19" i="2" s="1"/>
  <c r="O24" i="2"/>
  <c r="U24" i="2"/>
  <c r="U25" i="2"/>
  <c r="Y30" i="2"/>
  <c r="Z5" i="2"/>
  <c r="AP31" i="5" l="1"/>
  <c r="AO33" i="5"/>
  <c r="AC25" i="11"/>
  <c r="S28" i="11"/>
  <c r="U10" i="11"/>
  <c r="V25" i="11"/>
  <c r="V9" i="11"/>
  <c r="V10" i="11" s="1"/>
  <c r="V26" i="11"/>
  <c r="AC7" i="11"/>
  <c r="V27" i="11"/>
  <c r="AC8" i="11"/>
  <c r="AC27" i="11" s="1"/>
  <c r="AB16" i="11"/>
  <c r="AB22" i="11"/>
  <c r="AM5" i="12"/>
  <c r="AL19" i="12"/>
  <c r="AD6" i="6"/>
  <c r="AC11" i="6"/>
  <c r="AC28" i="6" s="1"/>
  <c r="AA18" i="6"/>
  <c r="AA29" i="6" s="1"/>
  <c r="X8" i="2"/>
  <c r="X22" i="2"/>
  <c r="Y9" i="2"/>
  <c r="Z9" i="2" s="1"/>
  <c r="Z8" i="2" s="1"/>
  <c r="AC10" i="2"/>
  <c r="N24" i="2"/>
  <c r="Z30" i="2"/>
  <c r="AA5" i="2"/>
  <c r="AQ31" i="5" l="1"/>
  <c r="AP33" i="5"/>
  <c r="AB31" i="11"/>
  <c r="AC31" i="11"/>
  <c r="V11" i="11"/>
  <c r="V28" i="11" s="1"/>
  <c r="V21" i="11"/>
  <c r="AC9" i="11"/>
  <c r="U11" i="11"/>
  <c r="U21" i="11"/>
  <c r="AC10" i="11"/>
  <c r="AC21" i="11" s="1"/>
  <c r="AN5" i="12"/>
  <c r="AM19" i="12"/>
  <c r="AE6" i="6"/>
  <c r="AD11" i="6"/>
  <c r="AD28" i="6" s="1"/>
  <c r="AB18" i="6"/>
  <c r="AB29" i="6" s="1"/>
  <c r="Y8" i="2"/>
  <c r="Y22" i="2"/>
  <c r="AD10" i="2"/>
  <c r="AB5" i="2"/>
  <c r="AA30" i="2"/>
  <c r="AA9" i="2"/>
  <c r="AA8" i="2" s="1"/>
  <c r="Z22" i="2"/>
  <c r="AR31" i="5" l="1"/>
  <c r="AQ33" i="5"/>
  <c r="U28" i="11"/>
  <c r="AC11" i="11"/>
  <c r="AC28" i="11" s="1"/>
  <c r="AO5" i="12"/>
  <c r="AN19" i="12"/>
  <c r="AF6" i="6"/>
  <c r="AE11" i="6"/>
  <c r="AE28" i="6" s="1"/>
  <c r="AC18" i="6"/>
  <c r="AC29" i="6" s="1"/>
  <c r="AB30" i="2"/>
  <c r="AC5" i="2"/>
  <c r="AB9" i="2"/>
  <c r="AA22" i="2"/>
  <c r="AE10" i="2"/>
  <c r="AS31" i="5" l="1"/>
  <c r="AR33" i="5"/>
  <c r="AP5" i="12"/>
  <c r="AO19" i="12"/>
  <c r="AG6" i="6"/>
  <c r="AF11" i="6"/>
  <c r="AF28" i="6" s="1"/>
  <c r="AD18" i="6"/>
  <c r="AD29" i="6" s="1"/>
  <c r="AC9" i="2"/>
  <c r="AC8" i="2" s="1"/>
  <c r="AB22" i="2"/>
  <c r="AB8" i="2"/>
  <c r="AD5" i="2"/>
  <c r="AC30" i="2"/>
  <c r="AF10" i="2"/>
  <c r="AT31" i="5" l="1"/>
  <c r="AS33" i="5"/>
  <c r="AQ5" i="12"/>
  <c r="AP19" i="12"/>
  <c r="AH6" i="6"/>
  <c r="AG11" i="6"/>
  <c r="AG28" i="6" s="1"/>
  <c r="AE18" i="6"/>
  <c r="AE29" i="6" s="1"/>
  <c r="AG10" i="2"/>
  <c r="AE5" i="2"/>
  <c r="AD30" i="2"/>
  <c r="AD9" i="2"/>
  <c r="AD8" i="2" s="1"/>
  <c r="AC22" i="2"/>
  <c r="AU31" i="5" l="1"/>
  <c r="AT33" i="5"/>
  <c r="AR5" i="12"/>
  <c r="AQ19" i="12"/>
  <c r="AI6" i="6"/>
  <c r="AH11" i="6"/>
  <c r="AH28" i="6" s="1"/>
  <c r="AF18" i="6"/>
  <c r="AF29" i="6" s="1"/>
  <c r="AE30" i="2"/>
  <c r="AF5" i="2"/>
  <c r="AE9" i="2"/>
  <c r="AD22" i="2"/>
  <c r="AV31" i="5" l="1"/>
  <c r="AW31" i="5" s="1"/>
  <c r="AX31" i="5" s="1"/>
  <c r="AY31" i="5" s="1"/>
  <c r="AZ31" i="5" s="1"/>
  <c r="BA31" i="5" s="1"/>
  <c r="BB31" i="5" s="1"/>
  <c r="BC31" i="5" s="1"/>
  <c r="BD31" i="5" s="1"/>
  <c r="BE31" i="5" s="1"/>
  <c r="BF31" i="5" s="1"/>
  <c r="BG31" i="5" s="1"/>
  <c r="BH31" i="5" s="1"/>
  <c r="BI31" i="5" s="1"/>
  <c r="BJ31" i="5" s="1"/>
  <c r="BK31" i="5" s="1"/>
  <c r="BL31" i="5" s="1"/>
  <c r="BM31" i="5" s="1"/>
  <c r="BN31" i="5" s="1"/>
  <c r="BO31" i="5" s="1"/>
  <c r="BP31" i="5" s="1"/>
  <c r="BQ31" i="5" s="1"/>
  <c r="BR31" i="5" s="1"/>
  <c r="BS31" i="5" s="1"/>
  <c r="BT31" i="5" s="1"/>
  <c r="BU31" i="5" s="1"/>
  <c r="BV31" i="5" s="1"/>
  <c r="BW31" i="5" s="1"/>
  <c r="BX31" i="5" s="1"/>
  <c r="BY31" i="5" s="1"/>
  <c r="BZ31" i="5" s="1"/>
  <c r="CA31" i="5" s="1"/>
  <c r="CB31" i="5" s="1"/>
  <c r="CC31" i="5" s="1"/>
  <c r="CD31" i="5" s="1"/>
  <c r="CE31" i="5" s="1"/>
  <c r="CF31" i="5" s="1"/>
  <c r="CG31" i="5" s="1"/>
  <c r="CH31" i="5" s="1"/>
  <c r="CI31" i="5" s="1"/>
  <c r="CJ31" i="5" s="1"/>
  <c r="CK31" i="5" s="1"/>
  <c r="CL31" i="5" s="1"/>
  <c r="CM31" i="5" s="1"/>
  <c r="CN31" i="5" s="1"/>
  <c r="CO31" i="5" s="1"/>
  <c r="CP31" i="5" s="1"/>
  <c r="CQ31" i="5" s="1"/>
  <c r="CR31" i="5" s="1"/>
  <c r="CS31" i="5" s="1"/>
  <c r="CT31" i="5" s="1"/>
  <c r="CU31" i="5" s="1"/>
  <c r="CV31" i="5" s="1"/>
  <c r="CW31" i="5" s="1"/>
  <c r="CX31" i="5" s="1"/>
  <c r="CY31" i="5" s="1"/>
  <c r="CZ31" i="5" s="1"/>
  <c r="DA31" i="5" s="1"/>
  <c r="DB31" i="5" s="1"/>
  <c r="DC31" i="5" s="1"/>
  <c r="DD31" i="5" s="1"/>
  <c r="DE31" i="5" s="1"/>
  <c r="DF31" i="5" s="1"/>
  <c r="DG31" i="5" s="1"/>
  <c r="DH31" i="5" s="1"/>
  <c r="DI31" i="5" s="1"/>
  <c r="DJ31" i="5" s="1"/>
  <c r="DK31" i="5" s="1"/>
  <c r="DL31" i="5" s="1"/>
  <c r="DM31" i="5" s="1"/>
  <c r="DN31" i="5" s="1"/>
  <c r="DO31" i="5" s="1"/>
  <c r="DP31" i="5" s="1"/>
  <c r="DQ31" i="5" s="1"/>
  <c r="DR31" i="5" s="1"/>
  <c r="DS31" i="5" s="1"/>
  <c r="DT31" i="5" s="1"/>
  <c r="DU31" i="5" s="1"/>
  <c r="DV31" i="5" s="1"/>
  <c r="DW31" i="5" s="1"/>
  <c r="DX31" i="5" s="1"/>
  <c r="DY31" i="5" s="1"/>
  <c r="DZ31" i="5" s="1"/>
  <c r="EA31" i="5" s="1"/>
  <c r="EB31" i="5" s="1"/>
  <c r="EC31" i="5" s="1"/>
  <c r="ED31" i="5" s="1"/>
  <c r="EE31" i="5" s="1"/>
  <c r="EF31" i="5" s="1"/>
  <c r="EG31" i="5" s="1"/>
  <c r="EH31" i="5" s="1"/>
  <c r="EI31" i="5" s="1"/>
  <c r="EJ31" i="5" s="1"/>
  <c r="EK31" i="5" s="1"/>
  <c r="EL31" i="5" s="1"/>
  <c r="EM31" i="5" s="1"/>
  <c r="EN31" i="5" s="1"/>
  <c r="EO31" i="5" s="1"/>
  <c r="EP31" i="5" s="1"/>
  <c r="EQ31" i="5" s="1"/>
  <c r="ER31" i="5" s="1"/>
  <c r="ES31" i="5" s="1"/>
  <c r="ET31" i="5" s="1"/>
  <c r="EU31" i="5" s="1"/>
  <c r="EV31" i="5" s="1"/>
  <c r="EW31" i="5" s="1"/>
  <c r="EX31" i="5" s="1"/>
  <c r="EY31" i="5" s="1"/>
  <c r="EZ31" i="5" s="1"/>
  <c r="FA31" i="5" s="1"/>
  <c r="FB31" i="5" s="1"/>
  <c r="FC31" i="5" s="1"/>
  <c r="FD31" i="5" s="1"/>
  <c r="FE31" i="5" s="1"/>
  <c r="FF31" i="5" s="1"/>
  <c r="FG31" i="5" s="1"/>
  <c r="FH31" i="5" s="1"/>
  <c r="FI31" i="5" s="1"/>
  <c r="FJ31" i="5" s="1"/>
  <c r="FK31" i="5" s="1"/>
  <c r="FL31" i="5" s="1"/>
  <c r="FM31" i="5" s="1"/>
  <c r="FN31" i="5" s="1"/>
  <c r="FO31" i="5" s="1"/>
  <c r="FP31" i="5" s="1"/>
  <c r="FQ31" i="5" s="1"/>
  <c r="FR31" i="5" s="1"/>
  <c r="FS31" i="5" s="1"/>
  <c r="FT31" i="5" s="1"/>
  <c r="FU31" i="5" s="1"/>
  <c r="FV31" i="5" s="1"/>
  <c r="FW31" i="5" s="1"/>
  <c r="FX31" i="5" s="1"/>
  <c r="FY31" i="5" s="1"/>
  <c r="FZ31" i="5" s="1"/>
  <c r="GA31" i="5" s="1"/>
  <c r="GB31" i="5" s="1"/>
  <c r="GC31" i="5" s="1"/>
  <c r="GD31" i="5" s="1"/>
  <c r="GE31" i="5" s="1"/>
  <c r="GF31" i="5" s="1"/>
  <c r="GG31" i="5" s="1"/>
  <c r="GH31" i="5" s="1"/>
  <c r="GI31" i="5" s="1"/>
  <c r="GJ31" i="5" s="1"/>
  <c r="GK31" i="5" s="1"/>
  <c r="GL31" i="5" s="1"/>
  <c r="GM31" i="5" s="1"/>
  <c r="GN31" i="5" s="1"/>
  <c r="GO31" i="5" s="1"/>
  <c r="GP31" i="5" s="1"/>
  <c r="GQ31" i="5" s="1"/>
  <c r="GR31" i="5" s="1"/>
  <c r="GS31" i="5" s="1"/>
  <c r="GT31" i="5" s="1"/>
  <c r="GU31" i="5" s="1"/>
  <c r="GV31" i="5" s="1"/>
  <c r="GW31" i="5" s="1"/>
  <c r="GX31" i="5" s="1"/>
  <c r="GY31" i="5" s="1"/>
  <c r="GZ31" i="5" s="1"/>
  <c r="HA31" i="5" s="1"/>
  <c r="HB31" i="5" s="1"/>
  <c r="HC31" i="5" s="1"/>
  <c r="HD31" i="5" s="1"/>
  <c r="HE31" i="5" s="1"/>
  <c r="HF31" i="5" s="1"/>
  <c r="HG31" i="5" s="1"/>
  <c r="HH31" i="5" s="1"/>
  <c r="HI31" i="5" s="1"/>
  <c r="HJ31" i="5" s="1"/>
  <c r="HK31" i="5" s="1"/>
  <c r="HL31" i="5" s="1"/>
  <c r="HM31" i="5" s="1"/>
  <c r="HN31" i="5" s="1"/>
  <c r="HO31" i="5" s="1"/>
  <c r="HP31" i="5" s="1"/>
  <c r="HQ31" i="5" s="1"/>
  <c r="HR31" i="5" s="1"/>
  <c r="HS31" i="5" s="1"/>
  <c r="HT31" i="5" s="1"/>
  <c r="HU31" i="5" s="1"/>
  <c r="HV31" i="5" s="1"/>
  <c r="HW31" i="5" s="1"/>
  <c r="HX31" i="5" s="1"/>
  <c r="HY31" i="5" s="1"/>
  <c r="HZ31" i="5" s="1"/>
  <c r="IA31" i="5" s="1"/>
  <c r="IB31" i="5" s="1"/>
  <c r="IC31" i="5" s="1"/>
  <c r="ID31" i="5" s="1"/>
  <c r="IE31" i="5" s="1"/>
  <c r="IF31" i="5" s="1"/>
  <c r="IG31" i="5" s="1"/>
  <c r="IH31" i="5" s="1"/>
  <c r="II31" i="5" s="1"/>
  <c r="IJ31" i="5" s="1"/>
  <c r="IK31" i="5" s="1"/>
  <c r="IL31" i="5" s="1"/>
  <c r="IM31" i="5" s="1"/>
  <c r="IN31" i="5" s="1"/>
  <c r="IO31" i="5" s="1"/>
  <c r="IP31" i="5" s="1"/>
  <c r="IQ31" i="5" s="1"/>
  <c r="IR31" i="5" s="1"/>
  <c r="IS31" i="5" s="1"/>
  <c r="IT31" i="5" s="1"/>
  <c r="IU31" i="5" s="1"/>
  <c r="IV31" i="5" s="1"/>
  <c r="IW31" i="5" s="1"/>
  <c r="IX31" i="5" s="1"/>
  <c r="IY31" i="5" s="1"/>
  <c r="IZ31" i="5" s="1"/>
  <c r="JA31" i="5" s="1"/>
  <c r="JB31" i="5" s="1"/>
  <c r="JC31" i="5" s="1"/>
  <c r="JD31" i="5" s="1"/>
  <c r="JE31" i="5" s="1"/>
  <c r="JF31" i="5" s="1"/>
  <c r="JG31" i="5" s="1"/>
  <c r="JH31" i="5" s="1"/>
  <c r="JI31" i="5" s="1"/>
  <c r="JJ31" i="5" s="1"/>
  <c r="JK31" i="5" s="1"/>
  <c r="JL31" i="5" s="1"/>
  <c r="JM31" i="5" s="1"/>
  <c r="JN31" i="5" s="1"/>
  <c r="JO31" i="5" s="1"/>
  <c r="JP31" i="5" s="1"/>
  <c r="JQ31" i="5" s="1"/>
  <c r="JR31" i="5" s="1"/>
  <c r="JS31" i="5" s="1"/>
  <c r="JT31" i="5" s="1"/>
  <c r="JU31" i="5" s="1"/>
  <c r="JV31" i="5" s="1"/>
  <c r="JW31" i="5" s="1"/>
  <c r="JX31" i="5" s="1"/>
  <c r="JY31" i="5" s="1"/>
  <c r="JZ31" i="5" s="1"/>
  <c r="KA31" i="5" s="1"/>
  <c r="KB31" i="5" s="1"/>
  <c r="KC31" i="5" s="1"/>
  <c r="KD31" i="5" s="1"/>
  <c r="KE31" i="5" s="1"/>
  <c r="KF31" i="5" s="1"/>
  <c r="KG31" i="5" s="1"/>
  <c r="KH31" i="5" s="1"/>
  <c r="KI31" i="5" s="1"/>
  <c r="KJ31" i="5" s="1"/>
  <c r="KK31" i="5" s="1"/>
  <c r="KL31" i="5" s="1"/>
  <c r="KM31" i="5" s="1"/>
  <c r="KN31" i="5" s="1"/>
  <c r="KO31" i="5" s="1"/>
  <c r="KP31" i="5" s="1"/>
  <c r="KQ31" i="5" s="1"/>
  <c r="KR31" i="5" s="1"/>
  <c r="KS31" i="5" s="1"/>
  <c r="KT31" i="5" s="1"/>
  <c r="KU31" i="5" s="1"/>
  <c r="KV31" i="5" s="1"/>
  <c r="KW31" i="5" s="1"/>
  <c r="KX31" i="5" s="1"/>
  <c r="KY31" i="5" s="1"/>
  <c r="KZ31" i="5" s="1"/>
  <c r="LA31" i="5" s="1"/>
  <c r="LB31" i="5" s="1"/>
  <c r="LC31" i="5" s="1"/>
  <c r="LD31" i="5" s="1"/>
  <c r="LE31" i="5" s="1"/>
  <c r="LF31" i="5" s="1"/>
  <c r="LG31" i="5" s="1"/>
  <c r="LH31" i="5" s="1"/>
  <c r="LI31" i="5" s="1"/>
  <c r="LJ31" i="5" s="1"/>
  <c r="LK31" i="5" s="1"/>
  <c r="LL31" i="5" s="1"/>
  <c r="LM31" i="5" s="1"/>
  <c r="LN31" i="5" s="1"/>
  <c r="LO31" i="5" s="1"/>
  <c r="LP31" i="5" s="1"/>
  <c r="LQ31" i="5" s="1"/>
  <c r="LR31" i="5" s="1"/>
  <c r="LS31" i="5" s="1"/>
  <c r="LT31" i="5" s="1"/>
  <c r="LU31" i="5" s="1"/>
  <c r="LV31" i="5" s="1"/>
  <c r="LW31" i="5" s="1"/>
  <c r="LX31" i="5" s="1"/>
  <c r="LY31" i="5" s="1"/>
  <c r="LZ31" i="5" s="1"/>
  <c r="MA31" i="5" s="1"/>
  <c r="MB31" i="5" s="1"/>
  <c r="MC31" i="5" s="1"/>
  <c r="MD31" i="5" s="1"/>
  <c r="ME31" i="5" s="1"/>
  <c r="MF31" i="5" s="1"/>
  <c r="MG31" i="5" s="1"/>
  <c r="MH31" i="5" s="1"/>
  <c r="MI31" i="5" s="1"/>
  <c r="MJ31" i="5" s="1"/>
  <c r="MK31" i="5" s="1"/>
  <c r="ML31" i="5" s="1"/>
  <c r="MM31" i="5" s="1"/>
  <c r="MN31" i="5" s="1"/>
  <c r="MO31" i="5" s="1"/>
  <c r="MP31" i="5" s="1"/>
  <c r="MQ31" i="5" s="1"/>
  <c r="MR31" i="5" s="1"/>
  <c r="MS31" i="5" s="1"/>
  <c r="MT31" i="5" s="1"/>
  <c r="MU31" i="5" s="1"/>
  <c r="MV31" i="5" s="1"/>
  <c r="MW31" i="5" s="1"/>
  <c r="MX31" i="5" s="1"/>
  <c r="MY31" i="5" s="1"/>
  <c r="MZ31" i="5" s="1"/>
  <c r="NA31" i="5" s="1"/>
  <c r="NB31" i="5" s="1"/>
  <c r="NC31" i="5" s="1"/>
  <c r="ND31" i="5" s="1"/>
  <c r="NE31" i="5" s="1"/>
  <c r="NF31" i="5" s="1"/>
  <c r="NG31" i="5" s="1"/>
  <c r="NH31" i="5" s="1"/>
  <c r="NI31" i="5" s="1"/>
  <c r="NJ31" i="5" s="1"/>
  <c r="NK31" i="5" s="1"/>
  <c r="NL31" i="5" s="1"/>
  <c r="NM31" i="5" s="1"/>
  <c r="NN31" i="5" s="1"/>
  <c r="NO31" i="5" s="1"/>
  <c r="NP31" i="5" s="1"/>
  <c r="NQ31" i="5" s="1"/>
  <c r="NR31" i="5" s="1"/>
  <c r="NS31" i="5" s="1"/>
  <c r="NT31" i="5" s="1"/>
  <c r="NU31" i="5" s="1"/>
  <c r="NV31" i="5" s="1"/>
  <c r="NW31" i="5" s="1"/>
  <c r="NX31" i="5" s="1"/>
  <c r="NY31" i="5" s="1"/>
  <c r="NZ31" i="5" s="1"/>
  <c r="OA31" i="5" s="1"/>
  <c r="OB31" i="5" s="1"/>
  <c r="OC31" i="5" s="1"/>
  <c r="OD31" i="5" s="1"/>
  <c r="OE31" i="5" s="1"/>
  <c r="OF31" i="5" s="1"/>
  <c r="OG31" i="5" s="1"/>
  <c r="OH31" i="5" s="1"/>
  <c r="OI31" i="5" s="1"/>
  <c r="OJ31" i="5" s="1"/>
  <c r="OK31" i="5" s="1"/>
  <c r="OL31" i="5" s="1"/>
  <c r="OM31" i="5" s="1"/>
  <c r="ON31" i="5" s="1"/>
  <c r="OO31" i="5" s="1"/>
  <c r="OP31" i="5" s="1"/>
  <c r="OQ31" i="5" s="1"/>
  <c r="OR31" i="5" s="1"/>
  <c r="OS31" i="5" s="1"/>
  <c r="OT31" i="5" s="1"/>
  <c r="OU31" i="5" s="1"/>
  <c r="OV31" i="5" s="1"/>
  <c r="OW31" i="5" s="1"/>
  <c r="OX31" i="5" s="1"/>
  <c r="OY31" i="5" s="1"/>
  <c r="OZ31" i="5" s="1"/>
  <c r="PA31" i="5" s="1"/>
  <c r="PB31" i="5" s="1"/>
  <c r="PC31" i="5" s="1"/>
  <c r="PD31" i="5" s="1"/>
  <c r="PE31" i="5" s="1"/>
  <c r="PF31" i="5" s="1"/>
  <c r="PG31" i="5" s="1"/>
  <c r="PH31" i="5" s="1"/>
  <c r="PI31" i="5" s="1"/>
  <c r="PJ31" i="5" s="1"/>
  <c r="PK31" i="5" s="1"/>
  <c r="PL31" i="5" s="1"/>
  <c r="PM31" i="5" s="1"/>
  <c r="PN31" i="5" s="1"/>
  <c r="PO31" i="5" s="1"/>
  <c r="PP31" i="5" s="1"/>
  <c r="PQ31" i="5" s="1"/>
  <c r="PR31" i="5" s="1"/>
  <c r="PS31" i="5" s="1"/>
  <c r="PT31" i="5" s="1"/>
  <c r="PU31" i="5" s="1"/>
  <c r="PV31" i="5" s="1"/>
  <c r="PW31" i="5" s="1"/>
  <c r="PX31" i="5" s="1"/>
  <c r="PY31" i="5" s="1"/>
  <c r="PZ31" i="5" s="1"/>
  <c r="QA31" i="5" s="1"/>
  <c r="QB31" i="5" s="1"/>
  <c r="QC31" i="5" s="1"/>
  <c r="QD31" i="5" s="1"/>
  <c r="QE31" i="5" s="1"/>
  <c r="QF31" i="5" s="1"/>
  <c r="QG31" i="5" s="1"/>
  <c r="QH31" i="5" s="1"/>
  <c r="QI31" i="5" s="1"/>
  <c r="QJ31" i="5" s="1"/>
  <c r="QK31" i="5" s="1"/>
  <c r="QL31" i="5" s="1"/>
  <c r="QM31" i="5" s="1"/>
  <c r="QN31" i="5" s="1"/>
  <c r="QO31" i="5" s="1"/>
  <c r="QP31" i="5" s="1"/>
  <c r="QQ31" i="5" s="1"/>
  <c r="QR31" i="5" s="1"/>
  <c r="QS31" i="5" s="1"/>
  <c r="QT31" i="5" s="1"/>
  <c r="QU31" i="5" s="1"/>
  <c r="QV31" i="5" s="1"/>
  <c r="QW31" i="5" s="1"/>
  <c r="QX31" i="5" s="1"/>
  <c r="QY31" i="5" s="1"/>
  <c r="QZ31" i="5" s="1"/>
  <c r="RA31" i="5" s="1"/>
  <c r="RB31" i="5" s="1"/>
  <c r="RC31" i="5" s="1"/>
  <c r="RD31" i="5" s="1"/>
  <c r="RE31" i="5" s="1"/>
  <c r="RF31" i="5" s="1"/>
  <c r="RG31" i="5" s="1"/>
  <c r="RH31" i="5" s="1"/>
  <c r="RI31" i="5" s="1"/>
  <c r="RJ31" i="5" s="1"/>
  <c r="RK31" i="5" s="1"/>
  <c r="RL31" i="5" s="1"/>
  <c r="RM31" i="5" s="1"/>
  <c r="RN31" i="5" s="1"/>
  <c r="RO31" i="5" s="1"/>
  <c r="RP31" i="5" s="1"/>
  <c r="RQ31" i="5" s="1"/>
  <c r="RR31" i="5" s="1"/>
  <c r="RS31" i="5" s="1"/>
  <c r="RT31" i="5" s="1"/>
  <c r="RU31" i="5" s="1"/>
  <c r="RV31" i="5" s="1"/>
  <c r="RW31" i="5" s="1"/>
  <c r="RX31" i="5" s="1"/>
  <c r="RY31" i="5" s="1"/>
  <c r="RZ31" i="5" s="1"/>
  <c r="SA31" i="5" s="1"/>
  <c r="SB31" i="5" s="1"/>
  <c r="SC31" i="5" s="1"/>
  <c r="SD31" i="5" s="1"/>
  <c r="SE31" i="5" s="1"/>
  <c r="SF31" i="5" s="1"/>
  <c r="SG31" i="5" s="1"/>
  <c r="SH31" i="5" s="1"/>
  <c r="SI31" i="5" s="1"/>
  <c r="SJ31" i="5" s="1"/>
  <c r="SK31" i="5" s="1"/>
  <c r="SL31" i="5" s="1"/>
  <c r="SM31" i="5" s="1"/>
  <c r="SN31" i="5" s="1"/>
  <c r="SO31" i="5" s="1"/>
  <c r="SP31" i="5" s="1"/>
  <c r="SQ31" i="5" s="1"/>
  <c r="SR31" i="5" s="1"/>
  <c r="SS31" i="5" s="1"/>
  <c r="ST31" i="5" s="1"/>
  <c r="SU31" i="5" s="1"/>
  <c r="SV31" i="5" s="1"/>
  <c r="SW31" i="5" s="1"/>
  <c r="SX31" i="5" s="1"/>
  <c r="SY31" i="5" s="1"/>
  <c r="SZ31" i="5" s="1"/>
  <c r="TA31" i="5" s="1"/>
  <c r="TB31" i="5" s="1"/>
  <c r="TC31" i="5" s="1"/>
  <c r="TD31" i="5" s="1"/>
  <c r="TE31" i="5" s="1"/>
  <c r="TF31" i="5" s="1"/>
  <c r="TG31" i="5" s="1"/>
  <c r="TH31" i="5" s="1"/>
  <c r="TI31" i="5" s="1"/>
  <c r="TJ31" i="5" s="1"/>
  <c r="TK31" i="5" s="1"/>
  <c r="TL31" i="5" s="1"/>
  <c r="TM31" i="5" s="1"/>
  <c r="TN31" i="5" s="1"/>
  <c r="TO31" i="5" s="1"/>
  <c r="TP31" i="5" s="1"/>
  <c r="TQ31" i="5" s="1"/>
  <c r="TR31" i="5" s="1"/>
  <c r="TS31" i="5" s="1"/>
  <c r="TT31" i="5" s="1"/>
  <c r="TU31" i="5" s="1"/>
  <c r="TV31" i="5" s="1"/>
  <c r="TW31" i="5" s="1"/>
  <c r="TX31" i="5" s="1"/>
  <c r="TY31" i="5" s="1"/>
  <c r="TZ31" i="5" s="1"/>
  <c r="UA31" i="5" s="1"/>
  <c r="UB31" i="5" s="1"/>
  <c r="UC31" i="5" s="1"/>
  <c r="UD31" i="5" s="1"/>
  <c r="UE31" i="5" s="1"/>
  <c r="UF31" i="5" s="1"/>
  <c r="UG31" i="5" s="1"/>
  <c r="UH31" i="5" s="1"/>
  <c r="UI31" i="5" s="1"/>
  <c r="UJ31" i="5" s="1"/>
  <c r="UK31" i="5" s="1"/>
  <c r="UL31" i="5" s="1"/>
  <c r="UM31" i="5" s="1"/>
  <c r="UN31" i="5" s="1"/>
  <c r="UO31" i="5" s="1"/>
  <c r="UP31" i="5" s="1"/>
  <c r="UQ31" i="5" s="1"/>
  <c r="UR31" i="5" s="1"/>
  <c r="US31" i="5" s="1"/>
  <c r="UT31" i="5" s="1"/>
  <c r="UU31" i="5" s="1"/>
  <c r="UV31" i="5" s="1"/>
  <c r="UW31" i="5" s="1"/>
  <c r="UX31" i="5" s="1"/>
  <c r="UY31" i="5" s="1"/>
  <c r="UZ31" i="5" s="1"/>
  <c r="VA31" i="5" s="1"/>
  <c r="VB31" i="5" s="1"/>
  <c r="VC31" i="5" s="1"/>
  <c r="VD31" i="5" s="1"/>
  <c r="VE31" i="5" s="1"/>
  <c r="VF31" i="5" s="1"/>
  <c r="VG31" i="5" s="1"/>
  <c r="VH31" i="5" s="1"/>
  <c r="VI31" i="5" s="1"/>
  <c r="VJ31" i="5" s="1"/>
  <c r="VK31" i="5" s="1"/>
  <c r="VL31" i="5" s="1"/>
  <c r="VM31" i="5" s="1"/>
  <c r="VN31" i="5" s="1"/>
  <c r="VO31" i="5" s="1"/>
  <c r="VP31" i="5" s="1"/>
  <c r="VQ31" i="5" s="1"/>
  <c r="VR31" i="5" s="1"/>
  <c r="VS31" i="5" s="1"/>
  <c r="VT31" i="5" s="1"/>
  <c r="VU31" i="5" s="1"/>
  <c r="VV31" i="5" s="1"/>
  <c r="VW31" i="5" s="1"/>
  <c r="VX31" i="5" s="1"/>
  <c r="VY31" i="5" s="1"/>
  <c r="VZ31" i="5" s="1"/>
  <c r="WA31" i="5" s="1"/>
  <c r="WB31" i="5" s="1"/>
  <c r="WC31" i="5" s="1"/>
  <c r="WD31" i="5" s="1"/>
  <c r="WE31" i="5" s="1"/>
  <c r="WF31" i="5" s="1"/>
  <c r="WG31" i="5" s="1"/>
  <c r="WH31" i="5" s="1"/>
  <c r="WI31" i="5" s="1"/>
  <c r="WJ31" i="5" s="1"/>
  <c r="WK31" i="5" s="1"/>
  <c r="WL31" i="5" s="1"/>
  <c r="WM31" i="5" s="1"/>
  <c r="WN31" i="5" s="1"/>
  <c r="WO31" i="5" s="1"/>
  <c r="WP31" i="5" s="1"/>
  <c r="WQ31" i="5" s="1"/>
  <c r="WR31" i="5" s="1"/>
  <c r="WS31" i="5" s="1"/>
  <c r="WT31" i="5" s="1"/>
  <c r="WU31" i="5" s="1"/>
  <c r="WV31" i="5" s="1"/>
  <c r="WW31" i="5" s="1"/>
  <c r="WX31" i="5" s="1"/>
  <c r="WY31" i="5" s="1"/>
  <c r="WZ31" i="5" s="1"/>
  <c r="XA31" i="5" s="1"/>
  <c r="XB31" i="5" s="1"/>
  <c r="XC31" i="5" s="1"/>
  <c r="XD31" i="5" s="1"/>
  <c r="XE31" i="5" s="1"/>
  <c r="XF31" i="5" s="1"/>
  <c r="XG31" i="5" s="1"/>
  <c r="XH31" i="5" s="1"/>
  <c r="XI31" i="5" s="1"/>
  <c r="XJ31" i="5" s="1"/>
  <c r="XK31" i="5" s="1"/>
  <c r="XL31" i="5" s="1"/>
  <c r="XM31" i="5" s="1"/>
  <c r="XN31" i="5" s="1"/>
  <c r="XO31" i="5" s="1"/>
  <c r="XP31" i="5" s="1"/>
  <c r="XQ31" i="5" s="1"/>
  <c r="XR31" i="5" s="1"/>
  <c r="XS31" i="5" s="1"/>
  <c r="XT31" i="5" s="1"/>
  <c r="XU31" i="5" s="1"/>
  <c r="XV31" i="5" s="1"/>
  <c r="XW31" i="5" s="1"/>
  <c r="XX31" i="5" s="1"/>
  <c r="XY31" i="5" s="1"/>
  <c r="XZ31" i="5" s="1"/>
  <c r="YA31" i="5" s="1"/>
  <c r="YB31" i="5" s="1"/>
  <c r="YC31" i="5" s="1"/>
  <c r="YD31" i="5" s="1"/>
  <c r="YE31" i="5" s="1"/>
  <c r="YF31" i="5" s="1"/>
  <c r="YG31" i="5" s="1"/>
  <c r="YH31" i="5" s="1"/>
  <c r="YI31" i="5" s="1"/>
  <c r="YJ31" i="5" s="1"/>
  <c r="YK31" i="5" s="1"/>
  <c r="YL31" i="5" s="1"/>
  <c r="YM31" i="5" s="1"/>
  <c r="YN31" i="5" s="1"/>
  <c r="YO31" i="5" s="1"/>
  <c r="YP31" i="5" s="1"/>
  <c r="YQ31" i="5" s="1"/>
  <c r="YR31" i="5" s="1"/>
  <c r="YS31" i="5" s="1"/>
  <c r="YT31" i="5" s="1"/>
  <c r="YU31" i="5" s="1"/>
  <c r="YV31" i="5" s="1"/>
  <c r="YW31" i="5" s="1"/>
  <c r="YX31" i="5" s="1"/>
  <c r="YY31" i="5" s="1"/>
  <c r="YZ31" i="5" s="1"/>
  <c r="ZA31" i="5" s="1"/>
  <c r="ZB31" i="5" s="1"/>
  <c r="ZC31" i="5" s="1"/>
  <c r="ZD31" i="5" s="1"/>
  <c r="ZE31" i="5" s="1"/>
  <c r="ZF31" i="5" s="1"/>
  <c r="ZG31" i="5" s="1"/>
  <c r="ZH31" i="5" s="1"/>
  <c r="ZI31" i="5" s="1"/>
  <c r="ZJ31" i="5" s="1"/>
  <c r="ZK31" i="5" s="1"/>
  <c r="ZL31" i="5" s="1"/>
  <c r="ZM31" i="5" s="1"/>
  <c r="ZN31" i="5" s="1"/>
  <c r="ZO31" i="5" s="1"/>
  <c r="ZP31" i="5" s="1"/>
  <c r="ZQ31" i="5" s="1"/>
  <c r="ZR31" i="5" s="1"/>
  <c r="ZS31" i="5" s="1"/>
  <c r="ZT31" i="5" s="1"/>
  <c r="ZU31" i="5" s="1"/>
  <c r="ZV31" i="5" s="1"/>
  <c r="ZW31" i="5" s="1"/>
  <c r="ZX31" i="5" s="1"/>
  <c r="ZY31" i="5" s="1"/>
  <c r="ZZ31" i="5" s="1"/>
  <c r="AAA31" i="5" s="1"/>
  <c r="AAB31" i="5" s="1"/>
  <c r="AAC31" i="5" s="1"/>
  <c r="AAD31" i="5" s="1"/>
  <c r="AAE31" i="5" s="1"/>
  <c r="AAF31" i="5" s="1"/>
  <c r="AAG31" i="5" s="1"/>
  <c r="AAH31" i="5" s="1"/>
  <c r="AAI31" i="5" s="1"/>
  <c r="AAJ31" i="5" s="1"/>
  <c r="AAK31" i="5" s="1"/>
  <c r="AAL31" i="5" s="1"/>
  <c r="AAM31" i="5" s="1"/>
  <c r="AAN31" i="5" s="1"/>
  <c r="AAO31" i="5" s="1"/>
  <c r="AAP31" i="5" s="1"/>
  <c r="AAQ31" i="5" s="1"/>
  <c r="AAR31" i="5" s="1"/>
  <c r="AAS31" i="5" s="1"/>
  <c r="AAT31" i="5" s="1"/>
  <c r="AAU31" i="5" s="1"/>
  <c r="AAV31" i="5" s="1"/>
  <c r="AAW31" i="5" s="1"/>
  <c r="AAX31" i="5" s="1"/>
  <c r="AAY31" i="5" s="1"/>
  <c r="AAZ31" i="5" s="1"/>
  <c r="ABA31" i="5" s="1"/>
  <c r="ABB31" i="5" s="1"/>
  <c r="ABC31" i="5" s="1"/>
  <c r="ABD31" i="5" s="1"/>
  <c r="ABE31" i="5" s="1"/>
  <c r="ABF31" i="5" s="1"/>
  <c r="ABG31" i="5" s="1"/>
  <c r="ABH31" i="5" s="1"/>
  <c r="ABI31" i="5" s="1"/>
  <c r="ABJ31" i="5" s="1"/>
  <c r="ABK31" i="5" s="1"/>
  <c r="ABL31" i="5" s="1"/>
  <c r="ABM31" i="5" s="1"/>
  <c r="ABN31" i="5" s="1"/>
  <c r="ABO31" i="5" s="1"/>
  <c r="ABP31" i="5" s="1"/>
  <c r="ABQ31" i="5" s="1"/>
  <c r="ABR31" i="5" s="1"/>
  <c r="ABS31" i="5" s="1"/>
  <c r="ABT31" i="5" s="1"/>
  <c r="AO37" i="5" s="1"/>
  <c r="AO38" i="5" s="1"/>
  <c r="AO40" i="5" s="1"/>
  <c r="AU33" i="5"/>
  <c r="AS5" i="12"/>
  <c r="AR19" i="12"/>
  <c r="AJ6" i="6"/>
  <c r="AJ11" i="6" s="1"/>
  <c r="AJ28" i="6" s="1"/>
  <c r="AI11" i="6"/>
  <c r="AI28" i="6" s="1"/>
  <c r="AG18" i="6"/>
  <c r="AG29" i="6" s="1"/>
  <c r="AF9" i="2"/>
  <c r="AF8" i="2" s="1"/>
  <c r="AE22" i="2"/>
  <c r="AE8" i="2"/>
  <c r="AF30" i="2"/>
  <c r="AG5" i="2"/>
  <c r="AT5" i="12" l="1"/>
  <c r="AS19" i="12"/>
  <c r="AH18" i="6"/>
  <c r="AH29" i="6" s="1"/>
  <c r="AG30" i="2"/>
  <c r="AG9" i="2"/>
  <c r="AF22" i="2"/>
  <c r="AU5" i="12" l="1"/>
  <c r="AT19" i="12"/>
  <c r="AI18" i="6"/>
  <c r="AI29" i="6" s="1"/>
  <c r="AJ18" i="6"/>
  <c r="AJ29" i="6" s="1"/>
  <c r="AG22" i="2"/>
  <c r="AG8" i="2"/>
  <c r="AV5" i="12" l="1"/>
  <c r="AU19" i="12"/>
  <c r="AW5" i="12" l="1"/>
  <c r="AV19" i="12"/>
  <c r="AX5" i="12" l="1"/>
  <c r="AW19" i="12"/>
  <c r="E11" i="6"/>
  <c r="AY5" i="12" l="1"/>
  <c r="AX19" i="12"/>
  <c r="E28" i="6"/>
  <c r="E18" i="6"/>
  <c r="J6" i="6"/>
  <c r="J33" i="6" s="1"/>
  <c r="J10" i="6"/>
  <c r="J13" i="6"/>
  <c r="AY19" i="12" l="1"/>
  <c r="AZ5" i="12"/>
  <c r="J11" i="6"/>
  <c r="J18" i="6" s="1"/>
  <c r="E20" i="6"/>
  <c r="E29" i="6"/>
  <c r="AZ19" i="12" l="1"/>
  <c r="BA5" i="12"/>
  <c r="J28" i="6"/>
  <c r="E31" i="6"/>
  <c r="E22" i="6"/>
  <c r="J20" i="6"/>
  <c r="J29" i="6"/>
  <c r="BB5" i="12" l="1"/>
  <c r="BA19" i="12"/>
  <c r="J31" i="6"/>
  <c r="J22" i="6"/>
  <c r="E30" i="6"/>
  <c r="I37" i="6"/>
  <c r="E24" i="6"/>
  <c r="BB19" i="12" l="1"/>
  <c r="BC5" i="12"/>
  <c r="J37" i="6"/>
  <c r="J30" i="6"/>
  <c r="J24" i="6"/>
  <c r="W20" i="6"/>
  <c r="W21" i="6" s="1"/>
  <c r="W22" i="6" s="1"/>
  <c r="BD5" i="12" l="1"/>
  <c r="BC19" i="12"/>
  <c r="W31" i="6"/>
  <c r="W43" i="6"/>
  <c r="W42" i="6" s="1"/>
  <c r="W30" i="6"/>
  <c r="X20" i="6"/>
  <c r="X21" i="6" s="1"/>
  <c r="X22" i="6" s="1"/>
  <c r="BE5" i="12" l="1"/>
  <c r="BD19" i="12"/>
  <c r="X30" i="6"/>
  <c r="X43" i="6"/>
  <c r="X42" i="6" s="1"/>
  <c r="X31" i="6"/>
  <c r="AD20" i="6"/>
  <c r="AD21" i="6" s="1"/>
  <c r="AD31" i="6" s="1"/>
  <c r="AI20" i="6"/>
  <c r="AI21" i="6" s="1"/>
  <c r="Z20" i="6"/>
  <c r="Z21" i="6" s="1"/>
  <c r="Z22" i="6" s="1"/>
  <c r="AF20" i="6"/>
  <c r="AF21" i="6" s="1"/>
  <c r="AF31" i="6" s="1"/>
  <c r="AE20" i="6"/>
  <c r="AE21" i="6" s="1"/>
  <c r="AE22" i="6" s="1"/>
  <c r="AE30" i="6" s="1"/>
  <c r="AB20" i="6"/>
  <c r="AB21" i="6" s="1"/>
  <c r="AB31" i="6" s="1"/>
  <c r="AJ20" i="6"/>
  <c r="AJ21" i="6" s="1"/>
  <c r="AJ31" i="6" s="1"/>
  <c r="AH20" i="6"/>
  <c r="AH21" i="6" s="1"/>
  <c r="AH22" i="6" s="1"/>
  <c r="AG20" i="6"/>
  <c r="AG21" i="6" s="1"/>
  <c r="AG31" i="6" s="1"/>
  <c r="AA20" i="6"/>
  <c r="AA21" i="6" s="1"/>
  <c r="AA31" i="6" s="1"/>
  <c r="AC20" i="6"/>
  <c r="AC21" i="6" s="1"/>
  <c r="AC31" i="6" s="1"/>
  <c r="Y20" i="6"/>
  <c r="Y21" i="6" s="1"/>
  <c r="BF5" i="12" l="1"/>
  <c r="BE19" i="12"/>
  <c r="AA22" i="6"/>
  <c r="AA30" i="6" s="1"/>
  <c r="AF22" i="6"/>
  <c r="AF30" i="6" s="1"/>
  <c r="AJ22" i="6"/>
  <c r="AJ30" i="6" s="1"/>
  <c r="AB22" i="6"/>
  <c r="AB30" i="6" s="1"/>
  <c r="AD22" i="6"/>
  <c r="AD30" i="6" s="1"/>
  <c r="AH31" i="6"/>
  <c r="Z31" i="6"/>
  <c r="AC22" i="6"/>
  <c r="AC30" i="6" s="1"/>
  <c r="AI31" i="6"/>
  <c r="AI22" i="6"/>
  <c r="Y22" i="6"/>
  <c r="Y31" i="6"/>
  <c r="AH30" i="6"/>
  <c r="Z30" i="6"/>
  <c r="AG22" i="6"/>
  <c r="AE31" i="6"/>
  <c r="AK22" i="6" l="1"/>
  <c r="AL22" i="6" s="1"/>
  <c r="AM22" i="6" s="1"/>
  <c r="AN22" i="6" s="1"/>
  <c r="AO22" i="6" s="1"/>
  <c r="AP22" i="6" s="1"/>
  <c r="AQ22" i="6" s="1"/>
  <c r="AR22" i="6" s="1"/>
  <c r="AS22" i="6" s="1"/>
  <c r="AT22" i="6" s="1"/>
  <c r="AU22" i="6" s="1"/>
  <c r="AV22" i="6" s="1"/>
  <c r="AW22" i="6" s="1"/>
  <c r="AX22" i="6" s="1"/>
  <c r="AY22" i="6" s="1"/>
  <c r="AZ22" i="6" s="1"/>
  <c r="BA22" i="6" s="1"/>
  <c r="BB22" i="6" s="1"/>
  <c r="BC22" i="6" s="1"/>
  <c r="BD22" i="6" s="1"/>
  <c r="BE22" i="6" s="1"/>
  <c r="BF22" i="6" s="1"/>
  <c r="BG22" i="6" s="1"/>
  <c r="BH22" i="6" s="1"/>
  <c r="BI22" i="6" s="1"/>
  <c r="BJ22" i="6" s="1"/>
  <c r="BK22" i="6" s="1"/>
  <c r="BL22" i="6" s="1"/>
  <c r="BM22" i="6" s="1"/>
  <c r="BN22" i="6" s="1"/>
  <c r="BO22" i="6" s="1"/>
  <c r="BP22" i="6" s="1"/>
  <c r="BQ22" i="6" s="1"/>
  <c r="BR22" i="6" s="1"/>
  <c r="BS22" i="6" s="1"/>
  <c r="BT22" i="6" s="1"/>
  <c r="BU22" i="6" s="1"/>
  <c r="BV22" i="6" s="1"/>
  <c r="BW22" i="6" s="1"/>
  <c r="BX22" i="6" s="1"/>
  <c r="BY22" i="6" s="1"/>
  <c r="BZ22" i="6" s="1"/>
  <c r="CA22" i="6" s="1"/>
  <c r="CB22" i="6" s="1"/>
  <c r="CC22" i="6" s="1"/>
  <c r="CD22" i="6" s="1"/>
  <c r="CE22" i="6" s="1"/>
  <c r="CF22" i="6" s="1"/>
  <c r="CG22" i="6" s="1"/>
  <c r="CH22" i="6" s="1"/>
  <c r="CI22" i="6" s="1"/>
  <c r="CJ22" i="6" s="1"/>
  <c r="CK22" i="6" s="1"/>
  <c r="CL22" i="6" s="1"/>
  <c r="CM22" i="6" s="1"/>
  <c r="CN22" i="6" s="1"/>
  <c r="CO22" i="6" s="1"/>
  <c r="CP22" i="6" s="1"/>
  <c r="CQ22" i="6" s="1"/>
  <c r="CR22" i="6" s="1"/>
  <c r="CS22" i="6" s="1"/>
  <c r="CT22" i="6" s="1"/>
  <c r="CU22" i="6" s="1"/>
  <c r="CV22" i="6" s="1"/>
  <c r="CW22" i="6" s="1"/>
  <c r="CX22" i="6" s="1"/>
  <c r="CY22" i="6" s="1"/>
  <c r="CZ22" i="6" s="1"/>
  <c r="DA22" i="6" s="1"/>
  <c r="DB22" i="6" s="1"/>
  <c r="DC22" i="6" s="1"/>
  <c r="DD22" i="6" s="1"/>
  <c r="DE22" i="6" s="1"/>
  <c r="DF22" i="6" s="1"/>
  <c r="DG22" i="6" s="1"/>
  <c r="DH22" i="6" s="1"/>
  <c r="DI22" i="6" s="1"/>
  <c r="DJ22" i="6" s="1"/>
  <c r="DK22" i="6" s="1"/>
  <c r="DL22" i="6" s="1"/>
  <c r="DM22" i="6" s="1"/>
  <c r="DN22" i="6" s="1"/>
  <c r="DO22" i="6" s="1"/>
  <c r="DP22" i="6" s="1"/>
  <c r="DQ22" i="6" s="1"/>
  <c r="DR22" i="6" s="1"/>
  <c r="DS22" i="6" s="1"/>
  <c r="DT22" i="6" s="1"/>
  <c r="DU22" i="6" s="1"/>
  <c r="DV22" i="6" s="1"/>
  <c r="DW22" i="6" s="1"/>
  <c r="DX22" i="6" s="1"/>
  <c r="DY22" i="6" s="1"/>
  <c r="DZ22" i="6" s="1"/>
  <c r="EA22" i="6" s="1"/>
  <c r="EB22" i="6" s="1"/>
  <c r="EC22" i="6" s="1"/>
  <c r="ED22" i="6" s="1"/>
  <c r="EE22" i="6" s="1"/>
  <c r="EF22" i="6" s="1"/>
  <c r="EG22" i="6" s="1"/>
  <c r="EH22" i="6" s="1"/>
  <c r="EI22" i="6" s="1"/>
  <c r="EJ22" i="6" s="1"/>
  <c r="EK22" i="6" s="1"/>
  <c r="EL22" i="6" s="1"/>
  <c r="EM22" i="6" s="1"/>
  <c r="EN22" i="6" s="1"/>
  <c r="EO22" i="6" s="1"/>
  <c r="EP22" i="6" s="1"/>
  <c r="EQ22" i="6" s="1"/>
  <c r="ER22" i="6" s="1"/>
  <c r="ES22" i="6" s="1"/>
  <c r="ET22" i="6" s="1"/>
  <c r="EU22" i="6" s="1"/>
  <c r="EV22" i="6" s="1"/>
  <c r="EW22" i="6" s="1"/>
  <c r="EX22" i="6" s="1"/>
  <c r="EY22" i="6" s="1"/>
  <c r="EZ22" i="6" s="1"/>
  <c r="FA22" i="6" s="1"/>
  <c r="FB22" i="6" s="1"/>
  <c r="FC22" i="6" s="1"/>
  <c r="FD22" i="6" s="1"/>
  <c r="FE22" i="6" s="1"/>
  <c r="FF22" i="6" s="1"/>
  <c r="FG22" i="6" s="1"/>
  <c r="FH22" i="6" s="1"/>
  <c r="FI22" i="6" s="1"/>
  <c r="FJ22" i="6" s="1"/>
  <c r="FK22" i="6" s="1"/>
  <c r="FL22" i="6" s="1"/>
  <c r="FM22" i="6" s="1"/>
  <c r="FN22" i="6" s="1"/>
  <c r="FO22" i="6" s="1"/>
  <c r="FP22" i="6" s="1"/>
  <c r="FQ22" i="6" s="1"/>
  <c r="FR22" i="6" s="1"/>
  <c r="FS22" i="6" s="1"/>
  <c r="FT22" i="6" s="1"/>
  <c r="FU22" i="6" s="1"/>
  <c r="FV22" i="6" s="1"/>
  <c r="FW22" i="6" s="1"/>
  <c r="FX22" i="6" s="1"/>
  <c r="FY22" i="6" s="1"/>
  <c r="FZ22" i="6" s="1"/>
  <c r="GA22" i="6" s="1"/>
  <c r="GB22" i="6" s="1"/>
  <c r="GC22" i="6" s="1"/>
  <c r="GD22" i="6" s="1"/>
  <c r="GE22" i="6" s="1"/>
  <c r="GF22" i="6" s="1"/>
  <c r="GG22" i="6" s="1"/>
  <c r="GH22" i="6" s="1"/>
  <c r="GI22" i="6" s="1"/>
  <c r="GJ22" i="6" s="1"/>
  <c r="GK22" i="6" s="1"/>
  <c r="GL22" i="6" s="1"/>
  <c r="GM22" i="6" s="1"/>
  <c r="GN22" i="6" s="1"/>
  <c r="GO22" i="6" s="1"/>
  <c r="GP22" i="6" s="1"/>
  <c r="GQ22" i="6" s="1"/>
  <c r="GR22" i="6" s="1"/>
  <c r="GS22" i="6" s="1"/>
  <c r="GT22" i="6" s="1"/>
  <c r="GU22" i="6" s="1"/>
  <c r="GV22" i="6" s="1"/>
  <c r="GW22" i="6" s="1"/>
  <c r="GX22" i="6" s="1"/>
  <c r="GY22" i="6" s="1"/>
  <c r="GZ22" i="6" s="1"/>
  <c r="HA22" i="6" s="1"/>
  <c r="HB22" i="6" s="1"/>
  <c r="HC22" i="6" s="1"/>
  <c r="HD22" i="6" s="1"/>
  <c r="HE22" i="6" s="1"/>
  <c r="HF22" i="6" s="1"/>
  <c r="HG22" i="6" s="1"/>
  <c r="HH22" i="6" s="1"/>
  <c r="HI22" i="6" s="1"/>
  <c r="HJ22" i="6" s="1"/>
  <c r="HK22" i="6" s="1"/>
  <c r="HL22" i="6" s="1"/>
  <c r="HM22" i="6" s="1"/>
  <c r="HN22" i="6" s="1"/>
  <c r="HO22" i="6" s="1"/>
  <c r="HP22" i="6" s="1"/>
  <c r="HQ22" i="6" s="1"/>
  <c r="HR22" i="6" s="1"/>
  <c r="HS22" i="6" s="1"/>
  <c r="HT22" i="6" s="1"/>
  <c r="HU22" i="6" s="1"/>
  <c r="HV22" i="6" s="1"/>
  <c r="HW22" i="6" s="1"/>
  <c r="HX22" i="6" s="1"/>
  <c r="HY22" i="6" s="1"/>
  <c r="HZ22" i="6" s="1"/>
  <c r="IA22" i="6" s="1"/>
  <c r="IB22" i="6" s="1"/>
  <c r="IC22" i="6" s="1"/>
  <c r="ID22" i="6" s="1"/>
  <c r="IE22" i="6" s="1"/>
  <c r="IF22" i="6" s="1"/>
  <c r="IG22" i="6" s="1"/>
  <c r="IH22" i="6" s="1"/>
  <c r="II22" i="6" s="1"/>
  <c r="IJ22" i="6" s="1"/>
  <c r="IK22" i="6" s="1"/>
  <c r="IL22" i="6" s="1"/>
  <c r="IM22" i="6" s="1"/>
  <c r="IN22" i="6" s="1"/>
  <c r="IO22" i="6" s="1"/>
  <c r="IP22" i="6" s="1"/>
  <c r="IQ22" i="6" s="1"/>
  <c r="IR22" i="6" s="1"/>
  <c r="IS22" i="6" s="1"/>
  <c r="IT22" i="6" s="1"/>
  <c r="IU22" i="6" s="1"/>
  <c r="IV22" i="6" s="1"/>
  <c r="IW22" i="6" s="1"/>
  <c r="IX22" i="6" s="1"/>
  <c r="IY22" i="6" s="1"/>
  <c r="IZ22" i="6" s="1"/>
  <c r="JA22" i="6" s="1"/>
  <c r="JB22" i="6" s="1"/>
  <c r="JC22" i="6" s="1"/>
  <c r="JD22" i="6" s="1"/>
  <c r="JE22" i="6" s="1"/>
  <c r="JF22" i="6" s="1"/>
  <c r="JG22" i="6" s="1"/>
  <c r="JH22" i="6" s="1"/>
  <c r="JI22" i="6" s="1"/>
  <c r="JJ22" i="6" s="1"/>
  <c r="JK22" i="6" s="1"/>
  <c r="JL22" i="6" s="1"/>
  <c r="JM22" i="6" s="1"/>
  <c r="JN22" i="6" s="1"/>
  <c r="JO22" i="6" s="1"/>
  <c r="JP22" i="6" s="1"/>
  <c r="JQ22" i="6" s="1"/>
  <c r="JR22" i="6" s="1"/>
  <c r="JS22" i="6" s="1"/>
  <c r="JT22" i="6" s="1"/>
  <c r="JU22" i="6" s="1"/>
  <c r="JV22" i="6" s="1"/>
  <c r="JW22" i="6" s="1"/>
  <c r="JX22" i="6" s="1"/>
  <c r="JY22" i="6" s="1"/>
  <c r="JZ22" i="6" s="1"/>
  <c r="KA22" i="6" s="1"/>
  <c r="KB22" i="6" s="1"/>
  <c r="KC22" i="6" s="1"/>
  <c r="KD22" i="6" s="1"/>
  <c r="KE22" i="6" s="1"/>
  <c r="KF22" i="6" s="1"/>
  <c r="KG22" i="6" s="1"/>
  <c r="KH22" i="6" s="1"/>
  <c r="KI22" i="6" s="1"/>
  <c r="KJ22" i="6" s="1"/>
  <c r="KK22" i="6" s="1"/>
  <c r="KL22" i="6" s="1"/>
  <c r="KM22" i="6" s="1"/>
  <c r="KN22" i="6" s="1"/>
  <c r="KO22" i="6" s="1"/>
  <c r="KP22" i="6" s="1"/>
  <c r="KQ22" i="6" s="1"/>
  <c r="KR22" i="6" s="1"/>
  <c r="KS22" i="6" s="1"/>
  <c r="KT22" i="6" s="1"/>
  <c r="KU22" i="6" s="1"/>
  <c r="KV22" i="6" s="1"/>
  <c r="KW22" i="6" s="1"/>
  <c r="KX22" i="6" s="1"/>
  <c r="KY22" i="6" s="1"/>
  <c r="KZ22" i="6" s="1"/>
  <c r="LA22" i="6" s="1"/>
  <c r="LB22" i="6" s="1"/>
  <c r="LC22" i="6" s="1"/>
  <c r="LD22" i="6" s="1"/>
  <c r="LE22" i="6" s="1"/>
  <c r="LF22" i="6" s="1"/>
  <c r="LG22" i="6" s="1"/>
  <c r="LH22" i="6" s="1"/>
  <c r="LI22" i="6" s="1"/>
  <c r="LJ22" i="6" s="1"/>
  <c r="LK22" i="6" s="1"/>
  <c r="LL22" i="6" s="1"/>
  <c r="LM22" i="6" s="1"/>
  <c r="LN22" i="6" s="1"/>
  <c r="LO22" i="6" s="1"/>
  <c r="LP22" i="6" s="1"/>
  <c r="LQ22" i="6" s="1"/>
  <c r="LR22" i="6" s="1"/>
  <c r="LS22" i="6" s="1"/>
  <c r="LT22" i="6" s="1"/>
  <c r="LU22" i="6" s="1"/>
  <c r="LV22" i="6" s="1"/>
  <c r="LW22" i="6" s="1"/>
  <c r="LX22" i="6" s="1"/>
  <c r="LY22" i="6" s="1"/>
  <c r="LZ22" i="6" s="1"/>
  <c r="MA22" i="6" s="1"/>
  <c r="MB22" i="6" s="1"/>
  <c r="MC22" i="6" s="1"/>
  <c r="MD22" i="6" s="1"/>
  <c r="ME22" i="6" s="1"/>
  <c r="MF22" i="6" s="1"/>
  <c r="MG22" i="6" s="1"/>
  <c r="MH22" i="6" s="1"/>
  <c r="MI22" i="6" s="1"/>
  <c r="MJ22" i="6" s="1"/>
  <c r="MK22" i="6" s="1"/>
  <c r="ML22" i="6" s="1"/>
  <c r="MM22" i="6" s="1"/>
  <c r="MN22" i="6" s="1"/>
  <c r="MO22" i="6" s="1"/>
  <c r="MP22" i="6" s="1"/>
  <c r="MQ22" i="6" s="1"/>
  <c r="MR22" i="6" s="1"/>
  <c r="MS22" i="6" s="1"/>
  <c r="MT22" i="6" s="1"/>
  <c r="MU22" i="6" s="1"/>
  <c r="MV22" i="6" s="1"/>
  <c r="MW22" i="6" s="1"/>
  <c r="MX22" i="6" s="1"/>
  <c r="MY22" i="6" s="1"/>
  <c r="MZ22" i="6" s="1"/>
  <c r="NA22" i="6" s="1"/>
  <c r="NB22" i="6" s="1"/>
  <c r="NC22" i="6" s="1"/>
  <c r="ND22" i="6" s="1"/>
  <c r="NE22" i="6" s="1"/>
  <c r="NF22" i="6" s="1"/>
  <c r="NG22" i="6" s="1"/>
  <c r="NH22" i="6" s="1"/>
  <c r="NI22" i="6" s="1"/>
  <c r="NJ22" i="6" s="1"/>
  <c r="NK22" i="6" s="1"/>
  <c r="NL22" i="6" s="1"/>
  <c r="NM22" i="6" s="1"/>
  <c r="NN22" i="6" s="1"/>
  <c r="NO22" i="6" s="1"/>
  <c r="NP22" i="6" s="1"/>
  <c r="NQ22" i="6" s="1"/>
  <c r="NR22" i="6" s="1"/>
  <c r="NS22" i="6" s="1"/>
  <c r="NT22" i="6" s="1"/>
  <c r="NU22" i="6" s="1"/>
  <c r="NV22" i="6" s="1"/>
  <c r="NW22" i="6" s="1"/>
  <c r="NX22" i="6" s="1"/>
  <c r="NY22" i="6" s="1"/>
  <c r="NZ22" i="6" s="1"/>
  <c r="OA22" i="6" s="1"/>
  <c r="OB22" i="6" s="1"/>
  <c r="OC22" i="6" s="1"/>
  <c r="OD22" i="6" s="1"/>
  <c r="OE22" i="6" s="1"/>
  <c r="OF22" i="6" s="1"/>
  <c r="OG22" i="6" s="1"/>
  <c r="OH22" i="6" s="1"/>
  <c r="OI22" i="6" s="1"/>
  <c r="OJ22" i="6" s="1"/>
  <c r="OK22" i="6" s="1"/>
  <c r="OL22" i="6" s="1"/>
  <c r="OM22" i="6" s="1"/>
  <c r="ON22" i="6" s="1"/>
  <c r="OO22" i="6" s="1"/>
  <c r="OP22" i="6" s="1"/>
  <c r="OQ22" i="6" s="1"/>
  <c r="OR22" i="6" s="1"/>
  <c r="OS22" i="6" s="1"/>
  <c r="OT22" i="6" s="1"/>
  <c r="OU22" i="6" s="1"/>
  <c r="OV22" i="6" s="1"/>
  <c r="OW22" i="6" s="1"/>
  <c r="OX22" i="6" s="1"/>
  <c r="OY22" i="6" s="1"/>
  <c r="OZ22" i="6" s="1"/>
  <c r="PA22" i="6" s="1"/>
  <c r="PB22" i="6" s="1"/>
  <c r="PC22" i="6" s="1"/>
  <c r="PD22" i="6" s="1"/>
  <c r="PE22" i="6" s="1"/>
  <c r="PF22" i="6" s="1"/>
  <c r="PG22" i="6" s="1"/>
  <c r="PH22" i="6" s="1"/>
  <c r="PI22" i="6" s="1"/>
  <c r="PJ22" i="6" s="1"/>
  <c r="PK22" i="6" s="1"/>
  <c r="PL22" i="6" s="1"/>
  <c r="PM22" i="6" s="1"/>
  <c r="PN22" i="6" s="1"/>
  <c r="PO22" i="6" s="1"/>
  <c r="PP22" i="6" s="1"/>
  <c r="PQ22" i="6" s="1"/>
  <c r="PR22" i="6" s="1"/>
  <c r="PS22" i="6" s="1"/>
  <c r="PT22" i="6" s="1"/>
  <c r="PU22" i="6" s="1"/>
  <c r="PV22" i="6" s="1"/>
  <c r="PW22" i="6" s="1"/>
  <c r="PX22" i="6" s="1"/>
  <c r="PY22" i="6" s="1"/>
  <c r="PZ22" i="6" s="1"/>
  <c r="QA22" i="6" s="1"/>
  <c r="QB22" i="6" s="1"/>
  <c r="QC22" i="6" s="1"/>
  <c r="QD22" i="6" s="1"/>
  <c r="QE22" i="6" s="1"/>
  <c r="QF22" i="6" s="1"/>
  <c r="QG22" i="6" s="1"/>
  <c r="QH22" i="6" s="1"/>
  <c r="QI22" i="6" s="1"/>
  <c r="QJ22" i="6" s="1"/>
  <c r="QK22" i="6" s="1"/>
  <c r="QL22" i="6" s="1"/>
  <c r="QM22" i="6" s="1"/>
  <c r="QN22" i="6" s="1"/>
  <c r="QO22" i="6" s="1"/>
  <c r="QP22" i="6" s="1"/>
  <c r="QQ22" i="6" s="1"/>
  <c r="QR22" i="6" s="1"/>
  <c r="QS22" i="6" s="1"/>
  <c r="QT22" i="6" s="1"/>
  <c r="QU22" i="6" s="1"/>
  <c r="QV22" i="6" s="1"/>
  <c r="QW22" i="6" s="1"/>
  <c r="QX22" i="6" s="1"/>
  <c r="QY22" i="6" s="1"/>
  <c r="QZ22" i="6" s="1"/>
  <c r="RA22" i="6" s="1"/>
  <c r="RB22" i="6" s="1"/>
  <c r="RC22" i="6" s="1"/>
  <c r="RD22" i="6" s="1"/>
  <c r="RE22" i="6" s="1"/>
  <c r="RF22" i="6" s="1"/>
  <c r="RG22" i="6" s="1"/>
  <c r="RH22" i="6" s="1"/>
  <c r="RI22" i="6" s="1"/>
  <c r="RJ22" i="6" s="1"/>
  <c r="RK22" i="6" s="1"/>
  <c r="RL22" i="6" s="1"/>
  <c r="RM22" i="6" s="1"/>
  <c r="RN22" i="6" s="1"/>
  <c r="RO22" i="6" s="1"/>
  <c r="RP22" i="6" s="1"/>
  <c r="RQ22" i="6" s="1"/>
  <c r="RR22" i="6" s="1"/>
  <c r="RS22" i="6" s="1"/>
  <c r="RT22" i="6" s="1"/>
  <c r="RU22" i="6" s="1"/>
  <c r="RV22" i="6" s="1"/>
  <c r="RW22" i="6" s="1"/>
  <c r="RX22" i="6" s="1"/>
  <c r="RY22" i="6" s="1"/>
  <c r="RZ22" i="6" s="1"/>
  <c r="SA22" i="6" s="1"/>
  <c r="SB22" i="6" s="1"/>
  <c r="SC22" i="6" s="1"/>
  <c r="SD22" i="6" s="1"/>
  <c r="SE22" i="6" s="1"/>
  <c r="SF22" i="6" s="1"/>
  <c r="SG22" i="6" s="1"/>
  <c r="SH22" i="6" s="1"/>
  <c r="SI22" i="6" s="1"/>
  <c r="SJ22" i="6" s="1"/>
  <c r="SK22" i="6" s="1"/>
  <c r="SL22" i="6" s="1"/>
  <c r="SM22" i="6" s="1"/>
  <c r="SN22" i="6" s="1"/>
  <c r="SO22" i="6" s="1"/>
  <c r="SP22" i="6" s="1"/>
  <c r="SQ22" i="6" s="1"/>
  <c r="SR22" i="6" s="1"/>
  <c r="SS22" i="6" s="1"/>
  <c r="ST22" i="6" s="1"/>
  <c r="SU22" i="6" s="1"/>
  <c r="SV22" i="6" s="1"/>
  <c r="SW22" i="6" s="1"/>
  <c r="SX22" i="6" s="1"/>
  <c r="SY22" i="6" s="1"/>
  <c r="SZ22" i="6" s="1"/>
  <c r="TA22" i="6" s="1"/>
  <c r="TB22" i="6" s="1"/>
  <c r="TC22" i="6" s="1"/>
  <c r="TD22" i="6" s="1"/>
  <c r="TE22" i="6" s="1"/>
  <c r="TF22" i="6" s="1"/>
  <c r="TG22" i="6" s="1"/>
  <c r="TH22" i="6" s="1"/>
  <c r="TI22" i="6" s="1"/>
  <c r="TJ22" i="6" s="1"/>
  <c r="TK22" i="6" s="1"/>
  <c r="TL22" i="6" s="1"/>
  <c r="TM22" i="6" s="1"/>
  <c r="TN22" i="6" s="1"/>
  <c r="TO22" i="6" s="1"/>
  <c r="TP22" i="6" s="1"/>
  <c r="TQ22" i="6" s="1"/>
  <c r="TR22" i="6" s="1"/>
  <c r="TS22" i="6" s="1"/>
  <c r="TT22" i="6" s="1"/>
  <c r="TU22" i="6" s="1"/>
  <c r="TV22" i="6" s="1"/>
  <c r="BG5" i="12"/>
  <c r="BF19" i="12"/>
  <c r="Y43" i="6"/>
  <c r="Y30" i="6"/>
  <c r="AG30" i="6"/>
  <c r="AI30" i="6"/>
  <c r="AM28" i="6" l="1"/>
  <c r="AM30" i="6" s="1"/>
  <c r="AM33" i="6" s="1"/>
  <c r="AM35" i="6" s="1"/>
  <c r="BH5" i="12"/>
  <c r="BG19" i="12"/>
  <c r="Y42" i="6"/>
  <c r="Z43" i="6"/>
  <c r="BI5" i="12" l="1"/>
  <c r="BH19" i="12"/>
  <c r="Z42" i="6"/>
  <c r="AA43" i="6"/>
  <c r="BJ5" i="12" l="1"/>
  <c r="BI19" i="12"/>
  <c r="AA42" i="6"/>
  <c r="AB43" i="6"/>
  <c r="BK5" i="12" l="1"/>
  <c r="BJ19" i="12"/>
  <c r="AB42" i="6"/>
  <c r="AC43" i="6"/>
  <c r="BL5" i="12" l="1"/>
  <c r="BK19" i="12"/>
  <c r="AC42" i="6"/>
  <c r="AD43" i="6"/>
  <c r="BL19" i="12" l="1"/>
  <c r="BM5" i="12"/>
  <c r="AD42" i="6"/>
  <c r="AE43" i="6"/>
  <c r="BN5" i="12" l="1"/>
  <c r="BM19" i="12"/>
  <c r="AE42" i="6"/>
  <c r="AF43" i="6"/>
  <c r="BO5" i="12" l="1"/>
  <c r="BN19" i="12"/>
  <c r="AF42" i="6"/>
  <c r="AG43" i="6"/>
  <c r="BP5" i="12" l="1"/>
  <c r="BO19" i="12"/>
  <c r="AG42" i="6"/>
  <c r="AH43" i="6"/>
  <c r="BQ5" i="12" l="1"/>
  <c r="BP19" i="12"/>
  <c r="AH42" i="6"/>
  <c r="AI43" i="6"/>
  <c r="BR5" i="12" l="1"/>
  <c r="BQ19" i="12"/>
  <c r="AI42" i="6"/>
  <c r="AJ43" i="6"/>
  <c r="AJ42" i="6" s="1"/>
  <c r="BS5" i="12" l="1"/>
  <c r="BR19" i="12"/>
  <c r="BT5" i="12" l="1"/>
  <c r="BS19" i="12"/>
  <c r="BU5" i="12" l="1"/>
  <c r="BT19" i="12"/>
  <c r="BV5" i="12" l="1"/>
  <c r="BU19" i="12"/>
  <c r="BW5" i="12" l="1"/>
  <c r="BV19" i="12"/>
  <c r="BX5" i="12" l="1"/>
  <c r="BW19" i="12"/>
  <c r="BY5" i="12" l="1"/>
  <c r="BX19" i="12"/>
  <c r="BZ5" i="12" l="1"/>
  <c r="BY19" i="12"/>
  <c r="CA5" i="12" l="1"/>
  <c r="BZ19" i="12"/>
  <c r="CB5" i="12" l="1"/>
  <c r="CA19" i="12"/>
  <c r="CC5" i="12" l="1"/>
  <c r="CB19" i="12"/>
  <c r="CD5" i="12" l="1"/>
  <c r="CC19" i="12"/>
  <c r="CE5" i="12" l="1"/>
  <c r="CD19" i="12"/>
  <c r="CF5" i="12" l="1"/>
  <c r="CE19" i="12"/>
  <c r="CG5" i="12" l="1"/>
  <c r="CF19" i="12"/>
  <c r="CH5" i="12" l="1"/>
  <c r="CG19" i="12"/>
  <c r="CI5" i="12" l="1"/>
  <c r="CH19" i="12"/>
  <c r="CJ5" i="12" l="1"/>
  <c r="CI19" i="12"/>
  <c r="CK5" i="12" l="1"/>
  <c r="CJ19" i="12"/>
  <c r="CL5" i="12" l="1"/>
  <c r="CK19" i="12"/>
  <c r="CM5" i="12" l="1"/>
  <c r="CL19" i="12"/>
  <c r="CN5" i="12" l="1"/>
  <c r="CM19" i="12"/>
  <c r="CO5" i="12" l="1"/>
  <c r="CN19" i="12"/>
  <c r="CP5" i="12" l="1"/>
  <c r="CO19" i="12"/>
  <c r="CQ5" i="12" l="1"/>
  <c r="CP19" i="12"/>
  <c r="CR5" i="12" l="1"/>
  <c r="CQ19" i="12"/>
  <c r="CS5" i="12" l="1"/>
  <c r="CR19" i="12"/>
  <c r="CT5" i="12" l="1"/>
  <c r="CS19" i="12"/>
  <c r="CU5" i="12" l="1"/>
  <c r="CT19" i="12"/>
  <c r="CV5" i="12" l="1"/>
  <c r="CU19" i="12"/>
  <c r="CW5" i="12" l="1"/>
  <c r="CV19" i="12"/>
  <c r="CX5" i="12" l="1"/>
  <c r="CW19" i="12"/>
  <c r="CY5" i="12" l="1"/>
  <c r="CX19" i="12"/>
  <c r="CZ5" i="12" l="1"/>
  <c r="CY19" i="12"/>
  <c r="DA5" i="12" l="1"/>
  <c r="CZ19" i="12"/>
  <c r="DB5" i="12" l="1"/>
  <c r="DA19" i="12"/>
  <c r="DC5" i="12" l="1"/>
  <c r="DB19" i="12"/>
  <c r="DD5" i="12" l="1"/>
  <c r="DC19" i="12"/>
  <c r="DE5" i="12" l="1"/>
  <c r="DD19" i="12"/>
  <c r="DF5" i="12" l="1"/>
  <c r="DE19" i="12"/>
  <c r="DG5" i="12" l="1"/>
  <c r="DF19" i="12"/>
  <c r="DH5" i="12" l="1"/>
  <c r="DG19" i="12"/>
  <c r="DI5" i="12" l="1"/>
  <c r="DH19" i="12"/>
  <c r="DJ5" i="12" l="1"/>
  <c r="DI19" i="12"/>
  <c r="DK5" i="12" l="1"/>
  <c r="DJ19" i="12"/>
  <c r="DL5" i="12" l="1"/>
  <c r="DK19" i="12"/>
  <c r="DM5" i="12" l="1"/>
  <c r="DL19" i="12"/>
  <c r="DN5" i="12" l="1"/>
  <c r="DM19" i="12"/>
  <c r="DO5" i="12" l="1"/>
  <c r="DN19" i="12"/>
  <c r="DP5" i="12" l="1"/>
  <c r="DO19" i="12"/>
  <c r="DQ5" i="12" l="1"/>
  <c r="DP19" i="12"/>
  <c r="DR5" i="12" l="1"/>
  <c r="DQ19" i="12"/>
  <c r="DS5" i="12" l="1"/>
  <c r="DR19" i="12"/>
  <c r="DT5" i="12" l="1"/>
  <c r="DS19" i="12"/>
  <c r="DU5" i="12" l="1"/>
  <c r="DT19" i="12"/>
  <c r="DV5" i="12" l="1"/>
  <c r="DU19" i="12"/>
  <c r="DW5" i="12" l="1"/>
  <c r="DV19" i="12"/>
  <c r="DX5" i="12" l="1"/>
  <c r="DW19" i="12"/>
  <c r="DY5" i="12" l="1"/>
  <c r="DX19" i="12"/>
  <c r="DZ5" i="12" l="1"/>
  <c r="DY19" i="12"/>
  <c r="EA5" i="12" l="1"/>
  <c r="DZ19" i="12"/>
  <c r="EB5" i="12" l="1"/>
  <c r="EA19" i="12"/>
  <c r="EC5" i="12" l="1"/>
  <c r="EB19" i="12"/>
  <c r="ED5" i="12" l="1"/>
  <c r="EC19" i="12"/>
  <c r="EE5" i="12" l="1"/>
  <c r="ED19" i="12"/>
  <c r="EF5" i="12" l="1"/>
  <c r="EE19" i="12"/>
  <c r="EF19" i="12" l="1"/>
  <c r="EG5" i="12"/>
  <c r="EH5" i="12" l="1"/>
  <c r="EG19" i="12"/>
  <c r="EI5" i="12" l="1"/>
  <c r="EH19" i="12"/>
  <c r="EJ5" i="12" l="1"/>
  <c r="EI19" i="12"/>
  <c r="EK5" i="12" l="1"/>
  <c r="EJ19" i="12"/>
  <c r="EL5" i="12" l="1"/>
  <c r="EK19" i="12"/>
  <c r="EM5" i="12" l="1"/>
  <c r="EL19" i="12"/>
  <c r="EN5" i="12" l="1"/>
  <c r="EM19" i="12"/>
  <c r="EO5" i="12" l="1"/>
  <c r="EN19" i="12"/>
  <c r="EP5" i="12" l="1"/>
  <c r="EO19" i="12"/>
  <c r="EQ5" i="12" l="1"/>
  <c r="EP19" i="12"/>
  <c r="ER5" i="12" l="1"/>
  <c r="EQ19" i="12"/>
  <c r="ES5" i="12" l="1"/>
  <c r="ER19" i="12"/>
  <c r="ET5" i="12" l="1"/>
  <c r="ES19" i="12"/>
  <c r="EU5" i="12" l="1"/>
  <c r="ET19" i="12"/>
  <c r="EV5" i="12" l="1"/>
  <c r="EU19" i="12"/>
  <c r="EW5" i="12" l="1"/>
  <c r="EV19" i="12"/>
  <c r="EX5" i="12" l="1"/>
  <c r="EW19" i="12"/>
  <c r="EY5" i="12" l="1"/>
  <c r="EX19" i="12"/>
  <c r="EZ5" i="12" l="1"/>
  <c r="EY19" i="12"/>
  <c r="FA5" i="12" l="1"/>
  <c r="EZ19" i="12"/>
  <c r="FB5" i="12" l="1"/>
  <c r="FA19" i="12"/>
  <c r="FC5" i="12" l="1"/>
  <c r="FB19" i="12"/>
  <c r="FD5" i="12" l="1"/>
  <c r="FC19" i="12"/>
  <c r="FE5" i="12" l="1"/>
  <c r="FD19" i="12"/>
  <c r="FF5" i="12" l="1"/>
  <c r="FE19" i="12"/>
  <c r="FG5" i="12" l="1"/>
  <c r="FF19" i="12"/>
  <c r="FH5" i="12" l="1"/>
  <c r="FG19" i="12"/>
  <c r="FI5" i="12" l="1"/>
  <c r="FH19" i="12"/>
  <c r="FJ5" i="12" l="1"/>
  <c r="FI19" i="12"/>
  <c r="FK5" i="12" l="1"/>
  <c r="FJ19" i="12"/>
  <c r="FL5" i="12" l="1"/>
  <c r="FK19" i="12"/>
  <c r="FM5" i="12" l="1"/>
  <c r="FL19" i="12"/>
  <c r="FN5" i="12" l="1"/>
  <c r="FM19" i="12"/>
  <c r="FO5" i="12" l="1"/>
  <c r="FN19" i="12"/>
  <c r="FP5" i="12" l="1"/>
  <c r="FO19" i="12"/>
  <c r="FQ5" i="12" l="1"/>
  <c r="FP19" i="12"/>
  <c r="FR5" i="12" l="1"/>
  <c r="FQ19" i="12"/>
  <c r="FS5" i="12" l="1"/>
  <c r="FR19" i="12"/>
  <c r="FT5" i="12" l="1"/>
  <c r="FS19" i="12"/>
  <c r="FU5" i="12" l="1"/>
  <c r="FT19" i="12"/>
  <c r="FV5" i="12" l="1"/>
  <c r="FU19" i="12"/>
  <c r="FW5" i="12" l="1"/>
  <c r="FV19" i="12"/>
  <c r="FX5" i="12" l="1"/>
  <c r="FW19" i="12"/>
  <c r="FY5" i="12" l="1"/>
  <c r="FX19" i="12"/>
  <c r="FZ5" i="12" l="1"/>
  <c r="FY19" i="12"/>
  <c r="GA5" i="12" l="1"/>
  <c r="FZ19" i="12"/>
  <c r="GB5" i="12" l="1"/>
  <c r="GA19" i="12"/>
  <c r="GC5" i="12" l="1"/>
  <c r="GB19" i="12"/>
  <c r="GD5" i="12" l="1"/>
  <c r="GC19" i="12"/>
  <c r="GE5" i="12" l="1"/>
  <c r="GD19" i="12"/>
  <c r="GF5" i="12" l="1"/>
  <c r="GE19" i="12"/>
  <c r="GG5" i="12" l="1"/>
  <c r="GF19" i="12"/>
  <c r="GH5" i="12" l="1"/>
  <c r="GG19" i="12"/>
  <c r="GI5" i="12" l="1"/>
  <c r="GH19" i="12"/>
  <c r="GJ5" i="12" l="1"/>
  <c r="GI19" i="12"/>
  <c r="GK5" i="12" l="1"/>
  <c r="GJ19" i="12"/>
  <c r="GL5" i="12" l="1"/>
  <c r="GK19" i="12"/>
  <c r="GM5" i="12" l="1"/>
  <c r="GL19" i="12"/>
  <c r="GN5" i="12" l="1"/>
  <c r="GM19" i="12"/>
  <c r="GO5" i="12" l="1"/>
  <c r="GN19" i="12"/>
  <c r="GP5" i="12" l="1"/>
  <c r="GO19" i="12"/>
  <c r="GQ5" i="12" l="1"/>
  <c r="GP19" i="12"/>
  <c r="GR5" i="12" l="1"/>
  <c r="GQ19" i="12"/>
  <c r="GS5" i="12" l="1"/>
  <c r="GR19" i="12"/>
  <c r="GT5" i="12" l="1"/>
  <c r="GS19" i="12"/>
  <c r="GU5" i="12" l="1"/>
  <c r="GT19" i="12"/>
  <c r="GV5" i="12" l="1"/>
  <c r="GU19" i="12"/>
  <c r="GW5" i="12" l="1"/>
  <c r="GV19" i="12"/>
  <c r="GX5" i="12" l="1"/>
  <c r="GW19" i="12"/>
  <c r="GY5" i="12" l="1"/>
  <c r="GX19" i="12"/>
  <c r="GZ5" i="12" l="1"/>
  <c r="GY19" i="12"/>
  <c r="HA5" i="12" l="1"/>
  <c r="GZ19" i="12"/>
  <c r="HB5" i="12" l="1"/>
  <c r="HA19" i="12"/>
  <c r="HC5" i="12" l="1"/>
  <c r="HB19" i="12"/>
  <c r="HD5" i="12" l="1"/>
  <c r="HC19" i="12"/>
  <c r="HE5" i="12" l="1"/>
  <c r="HD19" i="12"/>
  <c r="HF5" i="12" l="1"/>
  <c r="HE19" i="12"/>
  <c r="HG5" i="12" l="1"/>
  <c r="HF19" i="12"/>
  <c r="HH5" i="12" l="1"/>
  <c r="HG19" i="12"/>
  <c r="HI5" i="12" l="1"/>
  <c r="HH19" i="12"/>
  <c r="HJ5" i="12" l="1"/>
  <c r="HI19" i="12"/>
  <c r="HK5" i="12" l="1"/>
  <c r="HJ19" i="12"/>
  <c r="HL5" i="12" l="1"/>
  <c r="HK19" i="12"/>
  <c r="HM5" i="12" l="1"/>
  <c r="HL19" i="12"/>
  <c r="HN5" i="12" l="1"/>
  <c r="HM19" i="12"/>
  <c r="HO5" i="12" l="1"/>
  <c r="HN19" i="12"/>
  <c r="HP5" i="12" l="1"/>
  <c r="HO19" i="12"/>
  <c r="HQ5" i="12" l="1"/>
  <c r="HP19" i="12"/>
  <c r="HR5" i="12" l="1"/>
  <c r="HQ19" i="12"/>
  <c r="HS5" i="12" l="1"/>
  <c r="HS19" i="12" s="1"/>
  <c r="HR19" i="12"/>
  <c r="X26" i="12" l="1"/>
  <c r="X27" i="12" s="1"/>
  <c r="AJ185" i="11"/>
  <c r="AG171" i="11" s="1"/>
  <c r="AH171" i="11" l="1"/>
  <c r="AG187" i="11"/>
  <c r="AG188" i="11" s="1"/>
  <c r="AG3" i="11" s="1"/>
  <c r="AG14" i="11" l="1"/>
  <c r="AI171" i="11"/>
  <c r="AH187" i="11"/>
  <c r="AH188" i="11" s="1"/>
  <c r="AH3" i="11" s="1"/>
  <c r="AG22" i="11" l="1"/>
  <c r="AH14" i="11" s="1"/>
  <c r="AG16" i="11"/>
  <c r="AG31" i="11" s="1"/>
  <c r="AJ171" i="11"/>
  <c r="AJ187" i="11" s="1"/>
  <c r="AI187" i="11"/>
  <c r="AI188" i="11" s="1"/>
  <c r="AI3" i="11" s="1"/>
  <c r="AH22" i="11" l="1"/>
  <c r="AI14" i="11" s="1"/>
  <c r="AH16" i="11"/>
  <c r="AH31" i="11" s="1"/>
  <c r="AJ188" i="11"/>
  <c r="AJ3" i="11" s="1"/>
  <c r="AK188" i="11"/>
  <c r="AK3" i="11" l="1"/>
  <c r="AL3" i="11" s="1"/>
  <c r="AM3" i="11" s="1"/>
  <c r="AN3" i="11" s="1"/>
  <c r="AO3" i="11" s="1"/>
  <c r="AP3" i="11" s="1"/>
  <c r="AQ3" i="11" s="1"/>
  <c r="AR3" i="11" s="1"/>
  <c r="AS3" i="11" s="1"/>
  <c r="AT3" i="11" s="1"/>
  <c r="AU3" i="11" s="1"/>
  <c r="AI22" i="11"/>
  <c r="AJ14" i="11" s="1"/>
  <c r="AI16" i="11"/>
  <c r="AI31" i="11" s="1"/>
  <c r="AJ22" i="11" l="1"/>
  <c r="AK14" i="11" s="1"/>
  <c r="AJ16" i="11"/>
  <c r="AJ31" i="11" s="1"/>
  <c r="AK22" i="11" l="1"/>
  <c r="AL14" i="11" s="1"/>
  <c r="AK16" i="11"/>
  <c r="AK31" i="11" s="1"/>
  <c r="AL16" i="11" l="1"/>
  <c r="AL22" i="11"/>
  <c r="AM14" i="11" s="1"/>
  <c r="AM22" i="11" l="1"/>
  <c r="AN14" i="11" s="1"/>
  <c r="AM16" i="11"/>
  <c r="AN16" i="11" l="1"/>
  <c r="AN22" i="11"/>
  <c r="AO14" i="11" s="1"/>
  <c r="AO16" i="11" l="1"/>
  <c r="AO22" i="11"/>
  <c r="AP14" i="11" s="1"/>
  <c r="AP22" i="11" l="1"/>
  <c r="AQ14" i="11" s="1"/>
  <c r="AP16" i="11"/>
  <c r="AQ22" i="11" l="1"/>
  <c r="AR14" i="11" s="1"/>
  <c r="AQ16" i="11"/>
  <c r="AR22" i="11" l="1"/>
  <c r="AS14" i="11" s="1"/>
  <c r="AR16" i="11"/>
  <c r="AS22" i="11" l="1"/>
  <c r="AT14" i="11" s="1"/>
  <c r="AS16" i="11"/>
  <c r="AT22" i="11" l="1"/>
  <c r="AU14" i="11" s="1"/>
  <c r="AT16" i="11"/>
  <c r="AV14" i="11" l="1"/>
  <c r="AW14" i="11" s="1"/>
  <c r="AX14" i="11" s="1"/>
  <c r="AY14" i="11" s="1"/>
  <c r="AZ14" i="11" s="1"/>
  <c r="BA14" i="11" s="1"/>
  <c r="BB14" i="11" s="1"/>
  <c r="BC14" i="11" s="1"/>
  <c r="BD14" i="11" s="1"/>
  <c r="BE14" i="11" s="1"/>
  <c r="BF14" i="11" s="1"/>
  <c r="BG14" i="11" s="1"/>
  <c r="BH14" i="11" s="1"/>
  <c r="BI14" i="11" s="1"/>
  <c r="BJ14" i="11" s="1"/>
  <c r="BK14" i="11" s="1"/>
  <c r="BL14" i="11" s="1"/>
  <c r="BM14" i="11" s="1"/>
  <c r="BN14" i="11" s="1"/>
  <c r="BO14" i="11" s="1"/>
  <c r="BP14" i="11" s="1"/>
  <c r="BQ14" i="11" s="1"/>
  <c r="BR14" i="11" s="1"/>
  <c r="BS14" i="11" s="1"/>
  <c r="BT14" i="11" s="1"/>
  <c r="BU14" i="11" s="1"/>
  <c r="BV14" i="11" s="1"/>
  <c r="BW14" i="11" s="1"/>
  <c r="BX14" i="11" s="1"/>
  <c r="BY14" i="11" s="1"/>
  <c r="BZ14" i="11" s="1"/>
  <c r="CA14" i="11" s="1"/>
  <c r="CB14" i="11" s="1"/>
  <c r="CC14" i="11" s="1"/>
  <c r="CD14" i="11" s="1"/>
  <c r="CE14" i="11" s="1"/>
  <c r="CF14" i="11" s="1"/>
  <c r="CG14" i="11" s="1"/>
  <c r="CH14" i="11" s="1"/>
  <c r="CI14" i="11" s="1"/>
  <c r="CJ14" i="11" s="1"/>
  <c r="CK14" i="11" s="1"/>
  <c r="CL14" i="11" s="1"/>
  <c r="CM14" i="11" s="1"/>
  <c r="CN14" i="11" s="1"/>
  <c r="CO14" i="11" s="1"/>
  <c r="CP14" i="11" s="1"/>
  <c r="CQ14" i="11" s="1"/>
  <c r="CR14" i="11" s="1"/>
  <c r="CS14" i="11" s="1"/>
  <c r="CT14" i="11" s="1"/>
  <c r="CU14" i="11" s="1"/>
  <c r="CV14" i="11" s="1"/>
  <c r="CW14" i="11" s="1"/>
  <c r="CX14" i="11" s="1"/>
  <c r="CY14" i="11" s="1"/>
  <c r="CZ14" i="11" s="1"/>
  <c r="DA14" i="11" s="1"/>
  <c r="DB14" i="11" s="1"/>
  <c r="DC14" i="11" s="1"/>
  <c r="DD14" i="11" s="1"/>
  <c r="DE14" i="11" s="1"/>
  <c r="DF14" i="11" s="1"/>
  <c r="DG14" i="11" s="1"/>
  <c r="DH14" i="11" s="1"/>
  <c r="DI14" i="11" s="1"/>
  <c r="DJ14" i="11" s="1"/>
  <c r="DK14" i="11" s="1"/>
  <c r="DL14" i="11" s="1"/>
  <c r="DM14" i="11" s="1"/>
  <c r="DN14" i="11" s="1"/>
  <c r="DO14" i="11" s="1"/>
  <c r="DP14" i="11" s="1"/>
  <c r="DQ14" i="11" s="1"/>
  <c r="DR14" i="11" s="1"/>
  <c r="DS14" i="11" s="1"/>
  <c r="DT14" i="11" s="1"/>
  <c r="DU14" i="11" s="1"/>
  <c r="DV14" i="11" s="1"/>
  <c r="DW14" i="11" s="1"/>
  <c r="DX14" i="11" s="1"/>
  <c r="DY14" i="11" s="1"/>
  <c r="DZ14" i="11" s="1"/>
  <c r="EA14" i="11" s="1"/>
  <c r="EB14" i="11" s="1"/>
  <c r="EC14" i="11" s="1"/>
  <c r="ED14" i="11" s="1"/>
  <c r="EE14" i="11" s="1"/>
  <c r="EF14" i="11" s="1"/>
  <c r="EG14" i="11" s="1"/>
  <c r="EH14" i="11" s="1"/>
  <c r="EI14" i="11" s="1"/>
  <c r="EJ14" i="11" s="1"/>
  <c r="EK14" i="11" s="1"/>
  <c r="EL14" i="11" s="1"/>
  <c r="EM14" i="11" s="1"/>
  <c r="EN14" i="11" s="1"/>
  <c r="EO14" i="11" s="1"/>
  <c r="EP14" i="11" s="1"/>
  <c r="EQ14" i="11" s="1"/>
  <c r="ER14" i="11" s="1"/>
  <c r="ES14" i="11" s="1"/>
  <c r="ET14" i="11" s="1"/>
  <c r="EU14" i="11" s="1"/>
  <c r="EV14" i="11" s="1"/>
  <c r="EW14" i="11" s="1"/>
  <c r="EX14" i="11" s="1"/>
  <c r="EY14" i="11" s="1"/>
  <c r="EZ14" i="11" s="1"/>
  <c r="FA14" i="11" s="1"/>
  <c r="FB14" i="11" s="1"/>
  <c r="FC14" i="11" s="1"/>
  <c r="FD14" i="11" s="1"/>
  <c r="FE14" i="11" s="1"/>
  <c r="FF14" i="11" s="1"/>
  <c r="FG14" i="11" s="1"/>
  <c r="FH14" i="11" s="1"/>
  <c r="FI14" i="11" s="1"/>
  <c r="FJ14" i="11" s="1"/>
  <c r="FK14" i="11" s="1"/>
  <c r="FL14" i="11" s="1"/>
  <c r="FM14" i="11" s="1"/>
  <c r="FN14" i="11" s="1"/>
  <c r="FO14" i="11" s="1"/>
  <c r="FP14" i="11" s="1"/>
  <c r="FQ14" i="11" s="1"/>
  <c r="FR14" i="11" s="1"/>
  <c r="FS14" i="11" s="1"/>
  <c r="FT14" i="11" s="1"/>
  <c r="FU14" i="11" s="1"/>
  <c r="FV14" i="11" s="1"/>
  <c r="FW14" i="11" s="1"/>
  <c r="FX14" i="11" s="1"/>
  <c r="FY14" i="11" s="1"/>
  <c r="FZ14" i="11" s="1"/>
  <c r="GA14" i="11" s="1"/>
  <c r="GB14" i="11" s="1"/>
  <c r="GC14" i="11" s="1"/>
  <c r="GD14" i="11" s="1"/>
  <c r="GE14" i="11" s="1"/>
  <c r="GF14" i="11" s="1"/>
  <c r="GG14" i="11" s="1"/>
  <c r="GH14" i="11" s="1"/>
  <c r="GI14" i="11" s="1"/>
  <c r="GJ14" i="11" s="1"/>
  <c r="GK14" i="11" s="1"/>
  <c r="GL14" i="11" s="1"/>
  <c r="GM14" i="11" s="1"/>
  <c r="GN14" i="11" s="1"/>
  <c r="GO14" i="11" s="1"/>
  <c r="GP14" i="11" s="1"/>
  <c r="GQ14" i="11" s="1"/>
  <c r="GR14" i="11" s="1"/>
  <c r="GS14" i="11" s="1"/>
  <c r="GT14" i="11" s="1"/>
  <c r="GU14" i="11" s="1"/>
  <c r="GV14" i="11" s="1"/>
  <c r="GW14" i="11" s="1"/>
  <c r="GX14" i="11" s="1"/>
  <c r="GY14" i="11" s="1"/>
  <c r="GZ14" i="11" s="1"/>
  <c r="HA14" i="11" s="1"/>
  <c r="HB14" i="11" s="1"/>
  <c r="HC14" i="11" s="1"/>
  <c r="HD14" i="11" s="1"/>
  <c r="HE14" i="11" s="1"/>
  <c r="HF14" i="11" s="1"/>
  <c r="HG14" i="11" s="1"/>
  <c r="HH14" i="11" s="1"/>
  <c r="HI14" i="11" s="1"/>
  <c r="HJ14" i="11" s="1"/>
  <c r="HK14" i="11" s="1"/>
  <c r="HL14" i="11" s="1"/>
  <c r="HM14" i="11" s="1"/>
  <c r="HN14" i="11" s="1"/>
  <c r="HO14" i="11" s="1"/>
  <c r="HP14" i="11" s="1"/>
  <c r="HQ14" i="11" s="1"/>
  <c r="HR14" i="11" s="1"/>
  <c r="HS14" i="11" s="1"/>
  <c r="HT14" i="11" s="1"/>
  <c r="HU14" i="11" s="1"/>
  <c r="HV14" i="11" s="1"/>
  <c r="HW14" i="11" s="1"/>
  <c r="HX14" i="11" s="1"/>
  <c r="HY14" i="11" s="1"/>
  <c r="HZ14" i="11" s="1"/>
  <c r="IA14" i="11" s="1"/>
  <c r="IB14" i="11" s="1"/>
  <c r="IC14" i="11" s="1"/>
  <c r="ID14" i="11" s="1"/>
  <c r="IE14" i="11" s="1"/>
  <c r="IF14" i="11" s="1"/>
  <c r="IG14" i="11" s="1"/>
  <c r="IH14" i="11" s="1"/>
  <c r="II14" i="11" s="1"/>
  <c r="IJ14" i="11" s="1"/>
  <c r="IK14" i="11" s="1"/>
  <c r="IL14" i="11" s="1"/>
  <c r="IM14" i="11" s="1"/>
  <c r="IN14" i="11" s="1"/>
  <c r="IO14" i="11" s="1"/>
  <c r="IP14" i="11" s="1"/>
  <c r="IQ14" i="11" s="1"/>
  <c r="IR14" i="11" s="1"/>
  <c r="IS14" i="11" s="1"/>
  <c r="IT14" i="11" s="1"/>
  <c r="IU14" i="11" s="1"/>
  <c r="IV14" i="11" s="1"/>
  <c r="IW14" i="11" s="1"/>
  <c r="IX14" i="11" s="1"/>
  <c r="IY14" i="11" s="1"/>
  <c r="IZ14" i="11" s="1"/>
  <c r="JA14" i="11" s="1"/>
  <c r="JB14" i="11" s="1"/>
  <c r="JC14" i="11" s="1"/>
  <c r="JD14" i="11" s="1"/>
  <c r="JE14" i="11" s="1"/>
  <c r="JF14" i="11" s="1"/>
  <c r="JG14" i="11" s="1"/>
  <c r="JH14" i="11" s="1"/>
  <c r="JI14" i="11" s="1"/>
  <c r="JJ14" i="11" s="1"/>
  <c r="JK14" i="11" s="1"/>
  <c r="JL14" i="11" s="1"/>
  <c r="JM14" i="11" s="1"/>
  <c r="JN14" i="11" s="1"/>
  <c r="JO14" i="11" s="1"/>
  <c r="JP14" i="11" s="1"/>
  <c r="JQ14" i="11" s="1"/>
  <c r="JR14" i="11" s="1"/>
  <c r="JS14" i="11" s="1"/>
  <c r="JT14" i="11" s="1"/>
  <c r="JU14" i="11" s="1"/>
  <c r="JV14" i="11" s="1"/>
  <c r="JW14" i="11" s="1"/>
  <c r="JX14" i="11" s="1"/>
  <c r="JY14" i="11" s="1"/>
  <c r="JZ14" i="11" s="1"/>
  <c r="KA14" i="11" s="1"/>
  <c r="KB14" i="11" s="1"/>
  <c r="KC14" i="11" s="1"/>
  <c r="KD14" i="11" s="1"/>
  <c r="KE14" i="11" s="1"/>
  <c r="KF14" i="11" s="1"/>
  <c r="KG14" i="11" s="1"/>
  <c r="KH14" i="11" s="1"/>
  <c r="KI14" i="11" s="1"/>
  <c r="KJ14" i="11" s="1"/>
  <c r="KK14" i="11" s="1"/>
  <c r="KL14" i="11" s="1"/>
  <c r="KM14" i="11" s="1"/>
  <c r="KN14" i="11" s="1"/>
  <c r="KO14" i="11" s="1"/>
  <c r="KP14" i="11" s="1"/>
  <c r="KQ14" i="11" s="1"/>
  <c r="KR14" i="11" s="1"/>
  <c r="KS14" i="11" s="1"/>
  <c r="KT14" i="11" s="1"/>
  <c r="KU14" i="11" s="1"/>
  <c r="KV14" i="11" s="1"/>
  <c r="KW14" i="11" s="1"/>
  <c r="KX14" i="11" s="1"/>
  <c r="KY14" i="11" s="1"/>
  <c r="KZ14" i="11" s="1"/>
  <c r="LA14" i="11" s="1"/>
  <c r="LB14" i="11" s="1"/>
  <c r="LC14" i="11" s="1"/>
  <c r="LD14" i="11" s="1"/>
  <c r="LE14" i="11" s="1"/>
  <c r="LF14" i="11" s="1"/>
  <c r="LG14" i="11" s="1"/>
  <c r="LH14" i="11" s="1"/>
  <c r="LI14" i="11" s="1"/>
  <c r="LJ14" i="11" s="1"/>
  <c r="LK14" i="11" s="1"/>
  <c r="LL14" i="11" s="1"/>
  <c r="LM14" i="11" s="1"/>
  <c r="LN14" i="11" s="1"/>
  <c r="LO14" i="11" s="1"/>
  <c r="LP14" i="11" s="1"/>
  <c r="LQ14" i="11" s="1"/>
  <c r="LR14" i="11" s="1"/>
  <c r="LS14" i="11" s="1"/>
  <c r="LT14" i="11" s="1"/>
  <c r="LU14" i="11" s="1"/>
  <c r="LV14" i="11" s="1"/>
  <c r="LW14" i="11" s="1"/>
  <c r="LX14" i="11" s="1"/>
  <c r="LY14" i="11" s="1"/>
  <c r="LZ14" i="11" s="1"/>
  <c r="MA14" i="11" s="1"/>
  <c r="MB14" i="11" s="1"/>
  <c r="MC14" i="11" s="1"/>
  <c r="MD14" i="11" s="1"/>
  <c r="ME14" i="11" s="1"/>
  <c r="MF14" i="11" s="1"/>
  <c r="MG14" i="11" s="1"/>
  <c r="MH14" i="11" s="1"/>
  <c r="MI14" i="11" s="1"/>
  <c r="MJ14" i="11" s="1"/>
  <c r="MK14" i="11" s="1"/>
  <c r="ML14" i="11" s="1"/>
  <c r="MM14" i="11" s="1"/>
  <c r="MN14" i="11" s="1"/>
  <c r="MO14" i="11" s="1"/>
  <c r="MP14" i="11" s="1"/>
  <c r="MQ14" i="11" s="1"/>
  <c r="MR14" i="11" s="1"/>
  <c r="MS14" i="11" s="1"/>
  <c r="MT14" i="11" s="1"/>
  <c r="MU14" i="11" s="1"/>
  <c r="MV14" i="11" s="1"/>
  <c r="MW14" i="11" s="1"/>
  <c r="MX14" i="11" s="1"/>
  <c r="MY14" i="11" s="1"/>
  <c r="MZ14" i="11" s="1"/>
  <c r="NA14" i="11" s="1"/>
  <c r="NB14" i="11" s="1"/>
  <c r="NC14" i="11" s="1"/>
  <c r="ND14" i="11" s="1"/>
  <c r="NE14" i="11" s="1"/>
  <c r="NF14" i="11" s="1"/>
  <c r="NG14" i="11" s="1"/>
  <c r="NH14" i="11" s="1"/>
  <c r="NI14" i="11" s="1"/>
  <c r="NJ14" i="11" s="1"/>
  <c r="NK14" i="11" s="1"/>
  <c r="NL14" i="11" s="1"/>
  <c r="NM14" i="11" s="1"/>
  <c r="NN14" i="11" s="1"/>
  <c r="NO14" i="11" s="1"/>
  <c r="NP14" i="11" s="1"/>
  <c r="NQ14" i="11" s="1"/>
  <c r="NR14" i="11" s="1"/>
  <c r="NS14" i="11" s="1"/>
  <c r="NT14" i="11" s="1"/>
  <c r="NU14" i="11" s="1"/>
  <c r="NV14" i="11" s="1"/>
  <c r="NW14" i="11" s="1"/>
  <c r="NX14" i="11" s="1"/>
  <c r="NY14" i="11" s="1"/>
  <c r="NZ14" i="11" s="1"/>
  <c r="OA14" i="11" s="1"/>
  <c r="OB14" i="11" s="1"/>
  <c r="OC14" i="11" s="1"/>
  <c r="OD14" i="11" s="1"/>
  <c r="OE14" i="11" s="1"/>
  <c r="OF14" i="11" s="1"/>
  <c r="OG14" i="11" s="1"/>
  <c r="OH14" i="11" s="1"/>
  <c r="OI14" i="11" s="1"/>
  <c r="OJ14" i="11" s="1"/>
  <c r="OK14" i="11" s="1"/>
  <c r="OL14" i="11" s="1"/>
  <c r="OM14" i="11" s="1"/>
  <c r="ON14" i="11" s="1"/>
  <c r="OO14" i="11" s="1"/>
  <c r="OP14" i="11" s="1"/>
  <c r="OQ14" i="11" s="1"/>
  <c r="OR14" i="11" s="1"/>
  <c r="OS14" i="11" s="1"/>
  <c r="OT14" i="11" s="1"/>
  <c r="OU14" i="11" s="1"/>
  <c r="OV14" i="11" s="1"/>
  <c r="OW14" i="11" s="1"/>
  <c r="OX14" i="11" s="1"/>
  <c r="OY14" i="11" s="1"/>
  <c r="OZ14" i="11" s="1"/>
  <c r="PA14" i="11" s="1"/>
  <c r="PB14" i="11" s="1"/>
  <c r="PC14" i="11" s="1"/>
  <c r="PD14" i="11" s="1"/>
  <c r="PE14" i="11" s="1"/>
  <c r="PF14" i="11" s="1"/>
  <c r="PG14" i="11" s="1"/>
  <c r="PH14" i="11" s="1"/>
  <c r="PI14" i="11" s="1"/>
  <c r="PJ14" i="11" s="1"/>
  <c r="PK14" i="11" s="1"/>
  <c r="PL14" i="11" s="1"/>
  <c r="PM14" i="11" s="1"/>
  <c r="PN14" i="11" s="1"/>
  <c r="PO14" i="11" s="1"/>
  <c r="PP14" i="11" s="1"/>
  <c r="PQ14" i="11" s="1"/>
  <c r="PR14" i="11" s="1"/>
  <c r="PS14" i="11" s="1"/>
  <c r="PT14" i="11" s="1"/>
  <c r="PU14" i="11" s="1"/>
  <c r="PV14" i="11" s="1"/>
  <c r="PW14" i="11" s="1"/>
  <c r="PX14" i="11" s="1"/>
  <c r="PY14" i="11" s="1"/>
  <c r="PZ14" i="11" s="1"/>
  <c r="QA14" i="11" s="1"/>
  <c r="QB14" i="11" s="1"/>
  <c r="QC14" i="11" s="1"/>
  <c r="QD14" i="11" s="1"/>
  <c r="QE14" i="11" s="1"/>
  <c r="QF14" i="11" s="1"/>
  <c r="QG14" i="11" s="1"/>
  <c r="QH14" i="11" s="1"/>
  <c r="QI14" i="11" s="1"/>
  <c r="QJ14" i="11" s="1"/>
  <c r="QK14" i="11" s="1"/>
  <c r="QL14" i="11" s="1"/>
  <c r="QM14" i="11" s="1"/>
  <c r="QN14" i="11" s="1"/>
  <c r="QO14" i="11" s="1"/>
  <c r="QP14" i="11" s="1"/>
  <c r="QQ14" i="11" s="1"/>
  <c r="QR14" i="11" s="1"/>
  <c r="QS14" i="11" s="1"/>
  <c r="QT14" i="11" s="1"/>
  <c r="QU14" i="11" s="1"/>
  <c r="QV14" i="11" s="1"/>
  <c r="QW14" i="11" s="1"/>
  <c r="QX14" i="11" s="1"/>
  <c r="QY14" i="11" s="1"/>
  <c r="QZ14" i="11" s="1"/>
  <c r="RA14" i="11" s="1"/>
  <c r="RB14" i="11" s="1"/>
  <c r="RC14" i="11" s="1"/>
  <c r="RD14" i="11" s="1"/>
  <c r="RE14" i="11" s="1"/>
  <c r="RF14" i="11" s="1"/>
  <c r="RG14" i="11" s="1"/>
  <c r="RH14" i="11" s="1"/>
  <c r="RI14" i="11" s="1"/>
  <c r="RJ14" i="11" s="1"/>
  <c r="RK14" i="11" s="1"/>
  <c r="RL14" i="11" s="1"/>
  <c r="RM14" i="11" s="1"/>
  <c r="RN14" i="11" s="1"/>
  <c r="RO14" i="11" s="1"/>
  <c r="RP14" i="11" s="1"/>
  <c r="RQ14" i="11" s="1"/>
  <c r="RR14" i="11" s="1"/>
  <c r="RS14" i="11" s="1"/>
  <c r="RT14" i="11" s="1"/>
  <c r="RU14" i="11" s="1"/>
  <c r="RV14" i="11" s="1"/>
  <c r="RW14" i="11" s="1"/>
  <c r="RX14" i="11" s="1"/>
  <c r="RY14" i="11" s="1"/>
  <c r="RZ14" i="11" s="1"/>
  <c r="SA14" i="11" s="1"/>
  <c r="SB14" i="11" s="1"/>
  <c r="SC14" i="11" s="1"/>
  <c r="SD14" i="11" s="1"/>
  <c r="SE14" i="11" s="1"/>
  <c r="SF14" i="11" s="1"/>
  <c r="SG14" i="11" s="1"/>
  <c r="SH14" i="11" s="1"/>
  <c r="SI14" i="11" s="1"/>
  <c r="SJ14" i="11" s="1"/>
  <c r="SK14" i="11" s="1"/>
  <c r="SL14" i="11" s="1"/>
  <c r="SM14" i="11" s="1"/>
  <c r="SN14" i="11" s="1"/>
  <c r="SO14" i="11" s="1"/>
  <c r="SP14" i="11" s="1"/>
  <c r="SQ14" i="11" s="1"/>
  <c r="SR14" i="11" s="1"/>
  <c r="SS14" i="11" s="1"/>
  <c r="ST14" i="11" s="1"/>
  <c r="SU14" i="11" s="1"/>
  <c r="SV14" i="11" s="1"/>
  <c r="SW14" i="11" s="1"/>
  <c r="SX14" i="11" s="1"/>
  <c r="SY14" i="11" s="1"/>
  <c r="SZ14" i="11" s="1"/>
  <c r="TA14" i="11" s="1"/>
  <c r="TB14" i="11" s="1"/>
  <c r="TC14" i="11" s="1"/>
  <c r="TD14" i="11" s="1"/>
  <c r="TE14" i="11" s="1"/>
  <c r="TF14" i="11" s="1"/>
  <c r="TG14" i="11" s="1"/>
  <c r="TH14" i="11" s="1"/>
  <c r="TI14" i="11" s="1"/>
  <c r="TJ14" i="11" s="1"/>
  <c r="TK14" i="11" s="1"/>
  <c r="TL14" i="11" s="1"/>
  <c r="TM14" i="11" s="1"/>
  <c r="TN14" i="11" s="1"/>
  <c r="TO14" i="11" s="1"/>
  <c r="TP14" i="11" s="1"/>
  <c r="TQ14" i="11" s="1"/>
  <c r="TR14" i="11" s="1"/>
  <c r="TS14" i="11" s="1"/>
  <c r="TT14" i="11" s="1"/>
  <c r="TU14" i="11" s="1"/>
  <c r="TV14" i="11" s="1"/>
  <c r="TW14" i="11" s="1"/>
  <c r="TX14" i="11" s="1"/>
  <c r="TY14" i="11" s="1"/>
  <c r="TZ14" i="11" s="1"/>
  <c r="UA14" i="11" s="1"/>
  <c r="UB14" i="11" s="1"/>
  <c r="UC14" i="11" s="1"/>
  <c r="UD14" i="11" s="1"/>
  <c r="UE14" i="11" s="1"/>
  <c r="UF14" i="11" s="1"/>
  <c r="UG14" i="11" s="1"/>
  <c r="UH14" i="11" s="1"/>
  <c r="UI14" i="11" s="1"/>
  <c r="UJ14" i="11" s="1"/>
  <c r="UK14" i="11" s="1"/>
  <c r="UL14" i="11" s="1"/>
  <c r="UM14" i="11" s="1"/>
  <c r="UN14" i="11" s="1"/>
  <c r="UO14" i="11" s="1"/>
  <c r="UP14" i="11" s="1"/>
  <c r="UQ14" i="11" s="1"/>
  <c r="UR14" i="11" s="1"/>
  <c r="US14" i="11" s="1"/>
  <c r="UT14" i="11" s="1"/>
  <c r="UU14" i="11" s="1"/>
  <c r="UV14" i="11" s="1"/>
  <c r="UW14" i="11" s="1"/>
  <c r="UX14" i="11" s="1"/>
  <c r="UY14" i="11" s="1"/>
  <c r="UZ14" i="11" s="1"/>
  <c r="VA14" i="11" s="1"/>
  <c r="VB14" i="11" s="1"/>
  <c r="VC14" i="11" s="1"/>
  <c r="VD14" i="11" s="1"/>
  <c r="VE14" i="11" s="1"/>
  <c r="VF14" i="11" s="1"/>
  <c r="VG14" i="11" s="1"/>
  <c r="VH14" i="11" s="1"/>
  <c r="VI14" i="11" s="1"/>
  <c r="VJ14" i="11" s="1"/>
  <c r="VK14" i="11" s="1"/>
  <c r="VL14" i="11" s="1"/>
  <c r="VM14" i="11" s="1"/>
  <c r="VN14" i="11" s="1"/>
  <c r="VO14" i="11" s="1"/>
  <c r="VP14" i="11" s="1"/>
  <c r="VQ14" i="11" s="1"/>
  <c r="VR14" i="11" s="1"/>
  <c r="VS14" i="11" s="1"/>
  <c r="VT14" i="11" s="1"/>
  <c r="VU14" i="11" s="1"/>
  <c r="VV14" i="11" s="1"/>
  <c r="VW14" i="11" s="1"/>
  <c r="VX14" i="11" s="1"/>
  <c r="VY14" i="11" s="1"/>
  <c r="VZ14" i="11" s="1"/>
  <c r="WA14" i="11" s="1"/>
  <c r="WB14" i="11" s="1"/>
  <c r="WC14" i="11" s="1"/>
  <c r="WD14" i="11" s="1"/>
  <c r="WE14" i="11" s="1"/>
  <c r="WF14" i="11" s="1"/>
  <c r="WG14" i="11" s="1"/>
  <c r="WH14" i="11" s="1"/>
  <c r="WI14" i="11" s="1"/>
  <c r="WJ14" i="11" s="1"/>
  <c r="WK14" i="11" s="1"/>
  <c r="WL14" i="11" s="1"/>
  <c r="WM14" i="11" s="1"/>
  <c r="WN14" i="11" s="1"/>
  <c r="WO14" i="11" s="1"/>
  <c r="WP14" i="11" s="1"/>
  <c r="WQ14" i="11" s="1"/>
  <c r="WR14" i="11" s="1"/>
  <c r="WS14" i="11" s="1"/>
  <c r="WT14" i="11" s="1"/>
  <c r="WU14" i="11" s="1"/>
  <c r="WV14" i="11" s="1"/>
  <c r="WW14" i="11" s="1"/>
  <c r="WX14" i="11" s="1"/>
  <c r="WY14" i="11" s="1"/>
  <c r="WZ14" i="11" s="1"/>
  <c r="XA14" i="11" s="1"/>
  <c r="XB14" i="11" s="1"/>
  <c r="XC14" i="11" s="1"/>
  <c r="XD14" i="11" s="1"/>
  <c r="XE14" i="11" s="1"/>
  <c r="XF14" i="11" s="1"/>
  <c r="XG14" i="11" s="1"/>
  <c r="XH14" i="11" s="1"/>
  <c r="XI14" i="11" s="1"/>
  <c r="XJ14" i="11" s="1"/>
  <c r="XK14" i="11" s="1"/>
  <c r="XL14" i="11" s="1"/>
  <c r="XM14" i="11" s="1"/>
  <c r="XN14" i="11" s="1"/>
  <c r="XO14" i="11" s="1"/>
  <c r="XP14" i="11" s="1"/>
  <c r="XQ14" i="11" s="1"/>
  <c r="XR14" i="11" s="1"/>
  <c r="XS14" i="11" s="1"/>
  <c r="XT14" i="11" s="1"/>
  <c r="XU14" i="11" s="1"/>
  <c r="XV14" i="11" s="1"/>
  <c r="XW14" i="11" s="1"/>
  <c r="XX14" i="11" s="1"/>
  <c r="XY14" i="11" s="1"/>
  <c r="XZ14" i="11" s="1"/>
  <c r="YA14" i="11" s="1"/>
  <c r="YB14" i="11" s="1"/>
  <c r="YC14" i="11" s="1"/>
  <c r="YD14" i="11" s="1"/>
  <c r="YE14" i="11" s="1"/>
  <c r="YF14" i="11" s="1"/>
  <c r="YG14" i="11" s="1"/>
  <c r="YH14" i="11" s="1"/>
  <c r="YI14" i="11" s="1"/>
  <c r="YJ14" i="11" s="1"/>
  <c r="YK14" i="11" s="1"/>
  <c r="YL14" i="11" s="1"/>
  <c r="YM14" i="11" s="1"/>
  <c r="YN14" i="11" s="1"/>
  <c r="YO14" i="11" s="1"/>
  <c r="YP14" i="11" s="1"/>
  <c r="YQ14" i="11" s="1"/>
  <c r="YR14" i="11" s="1"/>
  <c r="YS14" i="11" s="1"/>
  <c r="YT14" i="11" s="1"/>
  <c r="AX24" i="11" s="1"/>
  <c r="AX25" i="11" s="1"/>
  <c r="AX27" i="11" s="1"/>
  <c r="AU22" i="11"/>
  <c r="AU16" i="11"/>
  <c r="W14" i="2"/>
  <c r="X14" i="2" s="1"/>
  <c r="Y14" i="2" s="1"/>
  <c r="Z14" i="2" s="1"/>
  <c r="AA14" i="2" s="1"/>
  <c r="AB14" i="2" s="1"/>
  <c r="AC14" i="2" s="1"/>
  <c r="AD14" i="2" s="1"/>
  <c r="AE14" i="2" s="1"/>
  <c r="AF14" i="2" s="1"/>
  <c r="AG14" i="2" s="1"/>
  <c r="V12" i="2"/>
  <c r="V13" i="2" s="1"/>
  <c r="V15" i="2" s="1"/>
  <c r="K12" i="2"/>
  <c r="K13" i="2" s="1"/>
  <c r="W11" i="2"/>
  <c r="W12" i="2" s="1"/>
  <c r="W13" i="2" s="1"/>
  <c r="X11" i="2" l="1"/>
  <c r="X12" i="2" s="1"/>
  <c r="X13" i="2" s="1"/>
  <c r="X23" i="2" s="1"/>
  <c r="V23" i="2"/>
  <c r="V17" i="2"/>
  <c r="V93" i="2" s="1"/>
  <c r="V120" i="2" s="1"/>
  <c r="V25" i="2"/>
  <c r="W15" i="2"/>
  <c r="W23" i="2"/>
  <c r="K23" i="2"/>
  <c r="K15" i="2"/>
  <c r="Y11" i="2" l="1"/>
  <c r="Y12" i="2" s="1"/>
  <c r="Y13" i="2" s="1"/>
  <c r="Y23" i="2" s="1"/>
  <c r="X15" i="2"/>
  <c r="Y15" i="2"/>
  <c r="Z11" i="2"/>
  <c r="Z12" i="2" s="1"/>
  <c r="Z13" i="2" s="1"/>
  <c r="X16" i="2"/>
  <c r="X25" i="2" s="1"/>
  <c r="Y16" i="2"/>
  <c r="Y25" i="2" s="1"/>
  <c r="W16" i="2"/>
  <c r="K25" i="2"/>
  <c r="K17" i="2"/>
  <c r="V24" i="2"/>
  <c r="F11" i="1"/>
  <c r="V19" i="2"/>
  <c r="AA11" i="2" l="1"/>
  <c r="AB11" i="2"/>
  <c r="AA12" i="2"/>
  <c r="AA13" i="2" s="1"/>
  <c r="Z15" i="2"/>
  <c r="Z16" i="2" s="1"/>
  <c r="Z25" i="2" s="1"/>
  <c r="Z23" i="2"/>
  <c r="W25" i="2"/>
  <c r="W24" i="2"/>
  <c r="W17" i="2"/>
  <c r="W93" i="2" s="1"/>
  <c r="W120" i="2" s="1"/>
  <c r="Y17" i="2"/>
  <c r="K24" i="2"/>
  <c r="K93" i="2"/>
  <c r="K120" i="2" s="1"/>
  <c r="K19" i="2"/>
  <c r="X17" i="2"/>
  <c r="Z17" i="2" l="1"/>
  <c r="Z19" i="2" s="1"/>
  <c r="AA23" i="2"/>
  <c r="AA15" i="2"/>
  <c r="AB12" i="2"/>
  <c r="AB13" i="2" s="1"/>
  <c r="AC11" i="2"/>
  <c r="Y24" i="2"/>
  <c r="Y19" i="2"/>
  <c r="W19" i="2"/>
  <c r="X24" i="2"/>
  <c r="X19" i="2"/>
  <c r="Z24" i="2" l="1"/>
  <c r="AB15" i="2"/>
  <c r="AB23" i="2"/>
  <c r="AD11" i="2"/>
  <c r="AC12" i="2"/>
  <c r="AC13" i="2" s="1"/>
  <c r="AA16" i="2"/>
  <c r="AA25" i="2" s="1"/>
  <c r="AA17" i="2" l="1"/>
  <c r="AC23" i="2"/>
  <c r="AC15" i="2"/>
  <c r="AC16" i="2" s="1"/>
  <c r="AC25" i="2" s="1"/>
  <c r="AD12" i="2"/>
  <c r="AD13" i="2" s="1"/>
  <c r="AE11" i="2"/>
  <c r="AB16" i="2"/>
  <c r="AB25" i="2" s="1"/>
  <c r="AC17" i="2" l="1"/>
  <c r="AB17" i="2"/>
  <c r="AB19" i="2" s="1"/>
  <c r="AE12" i="2"/>
  <c r="AE13" i="2" s="1"/>
  <c r="AF11" i="2"/>
  <c r="AD15" i="2"/>
  <c r="AD23" i="2"/>
  <c r="AA24" i="2"/>
  <c r="AA19" i="2"/>
  <c r="AC24" i="2"/>
  <c r="AC19" i="2"/>
  <c r="AB24" i="2" l="1"/>
  <c r="AE15" i="2"/>
  <c r="AE23" i="2"/>
  <c r="AD16" i="2"/>
  <c r="AD25" i="2" s="1"/>
  <c r="AD17" i="2"/>
  <c r="AG11" i="2"/>
  <c r="AG12" i="2" s="1"/>
  <c r="AG13" i="2" s="1"/>
  <c r="AF12" i="2"/>
  <c r="AF13" i="2" s="1"/>
  <c r="AF15" i="2" l="1"/>
  <c r="AF16" i="2" s="1"/>
  <c r="AF25" i="2" s="1"/>
  <c r="AF23" i="2"/>
  <c r="AG15" i="2"/>
  <c r="AG16" i="2" s="1"/>
  <c r="AG25" i="2" s="1"/>
  <c r="AG23" i="2"/>
  <c r="AD24" i="2"/>
  <c r="AD19" i="2"/>
  <c r="AE16" i="2"/>
  <c r="AE25" i="2" s="1"/>
  <c r="AG17" i="2"/>
  <c r="AE17" i="2" l="1"/>
  <c r="AE24" i="2" s="1"/>
  <c r="AF17" i="2"/>
  <c r="AF19" i="2"/>
  <c r="AF24" i="2"/>
  <c r="AG24" i="2"/>
  <c r="AH17" i="2"/>
  <c r="AI17" i="2" s="1"/>
  <c r="AJ17" i="2" s="1"/>
  <c r="AK17" i="2" s="1"/>
  <c r="AL17" i="2" s="1"/>
  <c r="AM17" i="2" s="1"/>
  <c r="AN17" i="2" s="1"/>
  <c r="AO17" i="2" s="1"/>
  <c r="AP17" i="2" s="1"/>
  <c r="AQ17" i="2" s="1"/>
  <c r="AR17" i="2" s="1"/>
  <c r="AS17" i="2" s="1"/>
  <c r="AT17" i="2" s="1"/>
  <c r="AU17" i="2" s="1"/>
  <c r="AV17" i="2" s="1"/>
  <c r="AW17" i="2" s="1"/>
  <c r="AX17" i="2" s="1"/>
  <c r="AY17" i="2" s="1"/>
  <c r="AZ17" i="2" s="1"/>
  <c r="BA17" i="2" s="1"/>
  <c r="BB17" i="2" s="1"/>
  <c r="BC17" i="2" s="1"/>
  <c r="BD17" i="2" s="1"/>
  <c r="BE17" i="2" s="1"/>
  <c r="BF17" i="2" s="1"/>
  <c r="BG17" i="2" s="1"/>
  <c r="BH17" i="2" s="1"/>
  <c r="BI17" i="2" s="1"/>
  <c r="BJ17" i="2" s="1"/>
  <c r="BK17" i="2" s="1"/>
  <c r="BL17" i="2" s="1"/>
  <c r="BM17" i="2" s="1"/>
  <c r="BN17" i="2" s="1"/>
  <c r="BO17" i="2" s="1"/>
  <c r="BP17" i="2" s="1"/>
  <c r="BQ17" i="2" s="1"/>
  <c r="BR17" i="2" s="1"/>
  <c r="BS17" i="2" s="1"/>
  <c r="BT17" i="2" s="1"/>
  <c r="BU17" i="2" s="1"/>
  <c r="BV17" i="2" s="1"/>
  <c r="BW17" i="2" s="1"/>
  <c r="BX17" i="2" s="1"/>
  <c r="BY17" i="2" s="1"/>
  <c r="BZ17" i="2" s="1"/>
  <c r="CA17" i="2" s="1"/>
  <c r="CB17" i="2" s="1"/>
  <c r="CC17" i="2" s="1"/>
  <c r="CD17" i="2" s="1"/>
  <c r="CE17" i="2" s="1"/>
  <c r="CF17" i="2" s="1"/>
  <c r="CG17" i="2" s="1"/>
  <c r="CH17" i="2" s="1"/>
  <c r="CI17" i="2" s="1"/>
  <c r="CJ17" i="2" s="1"/>
  <c r="CK17" i="2" s="1"/>
  <c r="CL17" i="2" s="1"/>
  <c r="CM17" i="2" s="1"/>
  <c r="CN17" i="2" s="1"/>
  <c r="CO17" i="2" s="1"/>
  <c r="CP17" i="2" s="1"/>
  <c r="CQ17" i="2" s="1"/>
  <c r="CR17" i="2" s="1"/>
  <c r="CS17" i="2" s="1"/>
  <c r="CT17" i="2" s="1"/>
  <c r="CU17" i="2" s="1"/>
  <c r="CV17" i="2" s="1"/>
  <c r="CW17" i="2" s="1"/>
  <c r="CX17" i="2" s="1"/>
  <c r="CY17" i="2" s="1"/>
  <c r="CZ17" i="2" s="1"/>
  <c r="DA17" i="2" s="1"/>
  <c r="DB17" i="2" s="1"/>
  <c r="DC17" i="2" s="1"/>
  <c r="DD17" i="2" s="1"/>
  <c r="DE17" i="2" s="1"/>
  <c r="DF17" i="2" s="1"/>
  <c r="DG17" i="2" s="1"/>
  <c r="DH17" i="2" s="1"/>
  <c r="DI17" i="2" s="1"/>
  <c r="DJ17" i="2" s="1"/>
  <c r="DK17" i="2" s="1"/>
  <c r="DL17" i="2" s="1"/>
  <c r="DM17" i="2" s="1"/>
  <c r="DN17" i="2" s="1"/>
  <c r="DO17" i="2" s="1"/>
  <c r="DP17" i="2" s="1"/>
  <c r="DQ17" i="2" s="1"/>
  <c r="DR17" i="2" s="1"/>
  <c r="DS17" i="2" s="1"/>
  <c r="DT17" i="2" s="1"/>
  <c r="DU17" i="2" s="1"/>
  <c r="DV17" i="2" s="1"/>
  <c r="DW17" i="2" s="1"/>
  <c r="DX17" i="2" s="1"/>
  <c r="DY17" i="2" s="1"/>
  <c r="DZ17" i="2" s="1"/>
  <c r="EA17" i="2" s="1"/>
  <c r="EB17" i="2" s="1"/>
  <c r="EC17" i="2" s="1"/>
  <c r="ED17" i="2" s="1"/>
  <c r="EE17" i="2" s="1"/>
  <c r="EF17" i="2" s="1"/>
  <c r="EG17" i="2" s="1"/>
  <c r="EH17" i="2" s="1"/>
  <c r="EI17" i="2" s="1"/>
  <c r="EJ17" i="2" s="1"/>
  <c r="EK17" i="2" s="1"/>
  <c r="EL17" i="2" s="1"/>
  <c r="EM17" i="2" s="1"/>
  <c r="EN17" i="2" s="1"/>
  <c r="EO17" i="2" s="1"/>
  <c r="EP17" i="2" s="1"/>
  <c r="EQ17" i="2" s="1"/>
  <c r="ER17" i="2" s="1"/>
  <c r="ES17" i="2" s="1"/>
  <c r="ET17" i="2" s="1"/>
  <c r="EU17" i="2" s="1"/>
  <c r="EV17" i="2" s="1"/>
  <c r="EW17" i="2" s="1"/>
  <c r="EX17" i="2" s="1"/>
  <c r="EY17" i="2" s="1"/>
  <c r="EZ17" i="2" s="1"/>
  <c r="FA17" i="2" s="1"/>
  <c r="FB17" i="2" s="1"/>
  <c r="FC17" i="2" s="1"/>
  <c r="FD17" i="2" s="1"/>
  <c r="FE17" i="2" s="1"/>
  <c r="FF17" i="2" s="1"/>
  <c r="FG17" i="2" s="1"/>
  <c r="FH17" i="2" s="1"/>
  <c r="FI17" i="2" s="1"/>
  <c r="FJ17" i="2" s="1"/>
  <c r="FK17" i="2" s="1"/>
  <c r="FL17" i="2" s="1"/>
  <c r="FM17" i="2" s="1"/>
  <c r="FN17" i="2" s="1"/>
  <c r="FO17" i="2" s="1"/>
  <c r="FP17" i="2" s="1"/>
  <c r="FQ17" i="2" s="1"/>
  <c r="FR17" i="2" s="1"/>
  <c r="FS17" i="2" s="1"/>
  <c r="FT17" i="2" s="1"/>
  <c r="FU17" i="2" s="1"/>
  <c r="FV17" i="2" s="1"/>
  <c r="FW17" i="2" s="1"/>
  <c r="FX17" i="2" s="1"/>
  <c r="FY17" i="2" s="1"/>
  <c r="FZ17" i="2" s="1"/>
  <c r="GA17" i="2" s="1"/>
  <c r="GB17" i="2" s="1"/>
  <c r="GC17" i="2" s="1"/>
  <c r="GD17" i="2" s="1"/>
  <c r="GE17" i="2" s="1"/>
  <c r="GF17" i="2" s="1"/>
  <c r="GG17" i="2" s="1"/>
  <c r="GH17" i="2" s="1"/>
  <c r="GI17" i="2" s="1"/>
  <c r="GJ17" i="2" s="1"/>
  <c r="GK17" i="2" s="1"/>
  <c r="GL17" i="2" s="1"/>
  <c r="GM17" i="2" s="1"/>
  <c r="GN17" i="2" s="1"/>
  <c r="GO17" i="2" s="1"/>
  <c r="GP17" i="2" s="1"/>
  <c r="GQ17" i="2" s="1"/>
  <c r="GR17" i="2" s="1"/>
  <c r="GS17" i="2" s="1"/>
  <c r="GT17" i="2" s="1"/>
  <c r="GU17" i="2" s="1"/>
  <c r="GV17" i="2" s="1"/>
  <c r="GW17" i="2" s="1"/>
  <c r="GX17" i="2" s="1"/>
  <c r="GY17" i="2" s="1"/>
  <c r="GZ17" i="2" s="1"/>
  <c r="HA17" i="2" s="1"/>
  <c r="HB17" i="2" s="1"/>
  <c r="HC17" i="2" s="1"/>
  <c r="HD17" i="2" s="1"/>
  <c r="HE17" i="2" s="1"/>
  <c r="HF17" i="2" s="1"/>
  <c r="HG17" i="2" s="1"/>
  <c r="HH17" i="2" s="1"/>
  <c r="HI17" i="2" s="1"/>
  <c r="HJ17" i="2" s="1"/>
  <c r="HK17" i="2" s="1"/>
  <c r="HL17" i="2" s="1"/>
  <c r="HM17" i="2" s="1"/>
  <c r="HN17" i="2" s="1"/>
  <c r="HO17" i="2" s="1"/>
  <c r="HP17" i="2" s="1"/>
  <c r="HQ17" i="2" s="1"/>
  <c r="HR17" i="2" s="1"/>
  <c r="HS17" i="2" s="1"/>
  <c r="HT17" i="2" s="1"/>
  <c r="HU17" i="2" s="1"/>
  <c r="HV17" i="2" s="1"/>
  <c r="HW17" i="2" s="1"/>
  <c r="HX17" i="2" s="1"/>
  <c r="HY17" i="2" s="1"/>
  <c r="HZ17" i="2" s="1"/>
  <c r="IA17" i="2" s="1"/>
  <c r="IB17" i="2" s="1"/>
  <c r="IC17" i="2" s="1"/>
  <c r="ID17" i="2" s="1"/>
  <c r="IE17" i="2" s="1"/>
  <c r="IF17" i="2" s="1"/>
  <c r="IG17" i="2" s="1"/>
  <c r="IH17" i="2" s="1"/>
  <c r="II17" i="2" s="1"/>
  <c r="IJ17" i="2" s="1"/>
  <c r="IK17" i="2" s="1"/>
  <c r="IL17" i="2" s="1"/>
  <c r="IM17" i="2" s="1"/>
  <c r="IN17" i="2" s="1"/>
  <c r="IO17" i="2" s="1"/>
  <c r="IP17" i="2" s="1"/>
  <c r="IQ17" i="2" s="1"/>
  <c r="IR17" i="2" s="1"/>
  <c r="IS17" i="2" s="1"/>
  <c r="IT17" i="2" s="1"/>
  <c r="IU17" i="2" s="1"/>
  <c r="IV17" i="2" s="1"/>
  <c r="IW17" i="2" s="1"/>
  <c r="IX17" i="2" s="1"/>
  <c r="IY17" i="2" s="1"/>
  <c r="IZ17" i="2" s="1"/>
  <c r="JA17" i="2" s="1"/>
  <c r="JB17" i="2" s="1"/>
  <c r="JC17" i="2" s="1"/>
  <c r="JD17" i="2" s="1"/>
  <c r="JE17" i="2" s="1"/>
  <c r="JF17" i="2" s="1"/>
  <c r="JG17" i="2" s="1"/>
  <c r="JH17" i="2" s="1"/>
  <c r="JI17" i="2" s="1"/>
  <c r="JJ17" i="2" s="1"/>
  <c r="JK17" i="2" s="1"/>
  <c r="JL17" i="2" s="1"/>
  <c r="JM17" i="2" s="1"/>
  <c r="JN17" i="2" s="1"/>
  <c r="JO17" i="2" s="1"/>
  <c r="JP17" i="2" s="1"/>
  <c r="JQ17" i="2" s="1"/>
  <c r="JR17" i="2" s="1"/>
  <c r="JS17" i="2" s="1"/>
  <c r="JT17" i="2" s="1"/>
  <c r="JU17" i="2" s="1"/>
  <c r="JV17" i="2" s="1"/>
  <c r="AG19" i="2"/>
  <c r="AE19" i="2" l="1"/>
  <c r="AJ24" i="2"/>
  <c r="AJ29" i="2" s="1"/>
  <c r="AJ30" i="2" s="1"/>
  <c r="M4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Gega Mukhigulashvili</author>
  </authors>
  <commentList>
    <comment ref="B47" authorId="0" shapeId="0" xr:uid="{8B3918D5-15BD-4953-8238-783BCFFB4E04}">
      <text>
        <r>
          <rPr>
            <b/>
            <sz val="9"/>
            <color indexed="81"/>
            <rFont val="Tahoma"/>
            <family val="2"/>
          </rPr>
          <t>Gega Mukhigulashvili:</t>
        </r>
        <r>
          <rPr>
            <sz val="9"/>
            <color indexed="81"/>
            <rFont val="Tahoma"/>
            <family val="2"/>
          </rPr>
          <t xml:space="preserve">
It's the revenue Google has earned from advertising and other platforms, but hasn't yet paid out to it's partners. payouts to partners might be on a monthly or quarterly basis.</t>
        </r>
      </text>
    </comment>
    <comment ref="B73" authorId="0" shapeId="0" xr:uid="{7F2D758A-09D4-487D-9EA0-C8901E2C3E1C}">
      <text>
        <r>
          <rPr>
            <b/>
            <sz val="9"/>
            <color indexed="81"/>
            <rFont val="Tahoma"/>
            <family val="2"/>
          </rPr>
          <t>Gega Mukhigulashvili:</t>
        </r>
        <r>
          <rPr>
            <sz val="9"/>
            <color indexed="81"/>
            <rFont val="Tahoma"/>
            <family val="2"/>
          </rPr>
          <t xml:space="preserve">
It's the revenue Google has earned from advertising and other platforms, but hasn't yet paid out to it's partners. payouts to partners might be on a monthly or quarterly basis.</t>
        </r>
      </text>
    </comment>
    <comment ref="B106" authorId="0" shapeId="0" xr:uid="{709B2F31-DFD0-45DC-AFC0-8A66489BF70B}">
      <text>
        <r>
          <rPr>
            <b/>
            <sz val="9"/>
            <color indexed="81"/>
            <rFont val="Tahoma"/>
            <family val="2"/>
          </rPr>
          <t>Gega Mukhigulashvili:</t>
        </r>
        <r>
          <rPr>
            <sz val="9"/>
            <color indexed="81"/>
            <rFont val="Tahoma"/>
            <family val="2"/>
          </rPr>
          <t xml:space="preserve">
all non-Google businesses collectively</t>
        </r>
      </text>
    </comment>
    <comment ref="B122" authorId="0" shapeId="0" xr:uid="{4F39603D-F660-4381-8C2E-259A3DB7AB51}">
      <text>
        <r>
          <rPr>
            <b/>
            <sz val="9"/>
            <color indexed="81"/>
            <rFont val="Tahoma"/>
            <family val="2"/>
          </rPr>
          <t>Gega Mukhigulashvili:</t>
        </r>
        <r>
          <rPr>
            <sz val="9"/>
            <color indexed="81"/>
            <rFont val="Tahoma"/>
            <family val="2"/>
          </rPr>
          <t xml:space="preserve">
Europe, Middle East, Africa
</t>
        </r>
      </text>
    </comment>
    <comment ref="B124" authorId="0" shapeId="0" xr:uid="{A5EB6F04-608B-4B7E-A607-EA699D7A621B}">
      <text>
        <r>
          <rPr>
            <b/>
            <sz val="9"/>
            <color indexed="81"/>
            <rFont val="Tahoma"/>
            <family val="2"/>
          </rPr>
          <t>Gega Mukhigulashvili:</t>
        </r>
        <r>
          <rPr>
            <sz val="9"/>
            <color indexed="81"/>
            <rFont val="Tahoma"/>
            <family val="2"/>
          </rPr>
          <t xml:space="preserve">
Canada and Latin America</t>
        </r>
      </text>
    </comment>
    <comment ref="B130" authorId="0" shapeId="0" xr:uid="{A7D339F8-A829-4CED-B5D4-B6A813E3EB29}">
      <text>
        <r>
          <rPr>
            <b/>
            <sz val="9"/>
            <color indexed="81"/>
            <rFont val="Tahoma"/>
            <family val="2"/>
          </rPr>
          <t>Gega Mukhigulashvili:</t>
        </r>
        <r>
          <rPr>
            <sz val="9"/>
            <color indexed="81"/>
            <rFont val="Tahoma"/>
            <family val="2"/>
          </rPr>
          <t xml:space="preserve">
Europe, Middle East, Africa
</t>
        </r>
      </text>
    </comment>
    <comment ref="B132" authorId="0" shapeId="0" xr:uid="{9AB05A07-D9E9-484A-AD6C-AAB50290F0B8}">
      <text>
        <r>
          <rPr>
            <b/>
            <sz val="9"/>
            <color indexed="81"/>
            <rFont val="Tahoma"/>
            <family val="2"/>
          </rPr>
          <t>Gega Mukhigulashvili:</t>
        </r>
        <r>
          <rPr>
            <sz val="9"/>
            <color indexed="81"/>
            <rFont val="Tahoma"/>
            <family val="2"/>
          </rPr>
          <t xml:space="preserve">
Canada and Latin America</t>
        </r>
      </text>
    </comment>
    <comment ref="B152" authorId="0" shapeId="0" xr:uid="{A2B5A7DA-C219-438B-92ED-E8C5D36ECFE5}">
      <text>
        <r>
          <rPr>
            <b/>
            <sz val="9"/>
            <color indexed="81"/>
            <rFont val="Tahoma"/>
            <family val="2"/>
          </rPr>
          <t>Gega Mukhigulashvili:</t>
        </r>
        <r>
          <rPr>
            <sz val="9"/>
            <color indexed="81"/>
            <rFont val="Tahoma"/>
            <family val="2"/>
          </rPr>
          <t xml:space="preserve">
Other Income &amp; Expenses
</t>
        </r>
      </text>
    </comment>
    <comment ref="B166" authorId="0" shapeId="0" xr:uid="{B0E59BA6-70A7-4B43-A223-CCDA0629CF4C}">
      <text>
        <r>
          <rPr>
            <b/>
            <sz val="9"/>
            <color indexed="81"/>
            <rFont val="Tahoma"/>
            <family val="2"/>
          </rPr>
          <t>Gega Mukhigulashvili:</t>
        </r>
        <r>
          <rPr>
            <sz val="9"/>
            <color indexed="81"/>
            <rFont val="Tahoma"/>
            <family val="2"/>
          </rPr>
          <t xml:space="preserve">
https://www.statista.com/outlook/amo/advertising/worldwide
</t>
        </r>
      </text>
    </comment>
    <comment ref="AJ166" authorId="0" shapeId="0" xr:uid="{4C585402-022E-469B-8DB0-23E906E5BD13}">
      <text>
        <r>
          <rPr>
            <b/>
            <sz val="9"/>
            <color indexed="81"/>
            <rFont val="Tahoma"/>
            <family val="2"/>
          </rPr>
          <t>Gega Mukhigulashvili:</t>
        </r>
        <r>
          <rPr>
            <sz val="9"/>
            <color indexed="81"/>
            <rFont val="Tahoma"/>
            <family val="2"/>
          </rPr>
          <t xml:space="preserve">
Precedence research
</t>
        </r>
      </text>
    </comment>
    <comment ref="Z171" authorId="0" shapeId="0" xr:uid="{59E6D2D8-0724-458A-ACEC-632107744225}">
      <text>
        <r>
          <rPr>
            <b/>
            <sz val="9"/>
            <color indexed="81"/>
            <rFont val="Tahoma"/>
            <family val="2"/>
          </rPr>
          <t>Gega Mukhigulashvili:</t>
        </r>
        <r>
          <rPr>
            <sz val="9"/>
            <color indexed="81"/>
            <rFont val="Tahoma"/>
            <family val="2"/>
          </rPr>
          <t xml:space="preserve">
Statista</t>
        </r>
      </text>
    </comment>
    <comment ref="AA171" authorId="0" shapeId="0" xr:uid="{2D6B703B-6A7F-43AC-AADD-E8A84CF70AB5}">
      <text>
        <r>
          <rPr>
            <b/>
            <sz val="9"/>
            <color indexed="81"/>
            <rFont val="Tahoma"/>
            <family val="2"/>
          </rPr>
          <t>Gega Mukhigulashvili:</t>
        </r>
        <r>
          <rPr>
            <sz val="9"/>
            <color indexed="81"/>
            <rFont val="Tahoma"/>
            <family val="2"/>
          </rPr>
          <t xml:space="preserve">
Statista</t>
        </r>
      </text>
    </comment>
    <comment ref="AB171" authorId="0" shapeId="0" xr:uid="{3C55B4BD-D139-47E0-8920-4186DD4D7C1F}">
      <text>
        <r>
          <rPr>
            <b/>
            <sz val="9"/>
            <color indexed="81"/>
            <rFont val="Tahoma"/>
            <family val="2"/>
          </rPr>
          <t>Gega Mukhigulashvili:</t>
        </r>
        <r>
          <rPr>
            <sz val="9"/>
            <color indexed="81"/>
            <rFont val="Tahoma"/>
            <family val="2"/>
          </rPr>
          <t xml:space="preserve">
Statista</t>
        </r>
      </text>
    </comment>
    <comment ref="AF171" authorId="0" shapeId="0" xr:uid="{FCD0D9BF-E087-47AC-8D8B-CB1DDADA47D0}">
      <text>
        <r>
          <rPr>
            <b/>
            <sz val="9"/>
            <color indexed="81"/>
            <rFont val="Tahoma"/>
            <family val="2"/>
          </rPr>
          <t>Gega Mukhigulashvili:</t>
        </r>
        <r>
          <rPr>
            <sz val="9"/>
            <color indexed="81"/>
            <rFont val="Tahoma"/>
            <family val="2"/>
          </rPr>
          <t xml:space="preserve">
Statista
</t>
        </r>
      </text>
    </comment>
    <comment ref="AK171" authorId="0" shapeId="0" xr:uid="{312D16F6-2400-4C7D-82E3-CFEACAD3A223}">
      <text>
        <r>
          <rPr>
            <b/>
            <sz val="9"/>
            <color indexed="81"/>
            <rFont val="Tahoma"/>
            <family val="2"/>
          </rPr>
          <t>Gega Mukhigulashvili:</t>
        </r>
        <r>
          <rPr>
            <sz val="9"/>
            <color indexed="81"/>
            <rFont val="Tahoma"/>
            <family val="2"/>
          </rPr>
          <t xml:space="preserve">
research and markets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Gega Mukhigulashvili</author>
  </authors>
  <commentList>
    <comment ref="AM25" authorId="0" shapeId="0" xr:uid="{9E1EA9EA-59B0-4D14-B57D-C43FA78662EC}">
      <text>
        <r>
          <rPr>
            <b/>
            <sz val="9"/>
            <color indexed="81"/>
            <rFont val="Tahoma"/>
            <family val="2"/>
          </rPr>
          <t>Gega Mukhigulashvili:</t>
        </r>
        <r>
          <rPr>
            <sz val="9"/>
            <color indexed="81"/>
            <rFont val="Tahoma"/>
            <family val="2"/>
          </rPr>
          <t xml:space="preserve">
Return on Investment Capital
</t>
        </r>
      </text>
    </comment>
    <comment ref="B34" authorId="0" shapeId="0" xr:uid="{ABBB9114-9FEA-41DC-B20B-19A2C9FB7BA7}">
      <text>
        <r>
          <rPr>
            <b/>
            <sz val="9"/>
            <color indexed="81"/>
            <rFont val="Tahoma"/>
            <family val="2"/>
          </rPr>
          <t>Gega Mukhigulashvili:</t>
        </r>
        <r>
          <rPr>
            <sz val="9"/>
            <color indexed="81"/>
            <rFont val="Tahoma"/>
            <family val="2"/>
          </rPr>
          <t xml:space="preserve">
LC - Local Currency (Shkreli)
Non-GAAP (Press release)
</t>
        </r>
      </text>
    </comment>
  </commentList>
</comments>
</file>

<file path=xl/sharedStrings.xml><?xml version="1.0" encoding="utf-8"?>
<sst xmlns="http://schemas.openxmlformats.org/spreadsheetml/2006/main" count="2047" uniqueCount="1080">
  <si>
    <t>P</t>
  </si>
  <si>
    <t>S/O</t>
  </si>
  <si>
    <t>MC</t>
  </si>
  <si>
    <t>Cash</t>
  </si>
  <si>
    <t>Debt</t>
  </si>
  <si>
    <t>EV</t>
  </si>
  <si>
    <t xml:space="preserve"> </t>
  </si>
  <si>
    <t>Q424</t>
  </si>
  <si>
    <t>Main</t>
  </si>
  <si>
    <t>Revenue</t>
  </si>
  <si>
    <t>Q124</t>
  </si>
  <si>
    <t>Q224</t>
  </si>
  <si>
    <t>Q324</t>
  </si>
  <si>
    <t>Q125</t>
  </si>
  <si>
    <t>Q225</t>
  </si>
  <si>
    <t>Q325</t>
  </si>
  <si>
    <t>Q425</t>
  </si>
  <si>
    <t>COGS</t>
  </si>
  <si>
    <t>Gross margin %</t>
  </si>
  <si>
    <t>Gross profit</t>
  </si>
  <si>
    <t>R&amp;D</t>
  </si>
  <si>
    <t xml:space="preserve">SG&amp;A </t>
  </si>
  <si>
    <t>Operating Expenses</t>
  </si>
  <si>
    <t>Operating profit</t>
  </si>
  <si>
    <t>Operating Margin %</t>
  </si>
  <si>
    <t>Interest Income</t>
  </si>
  <si>
    <t>Pretax Income</t>
  </si>
  <si>
    <t>Taxes</t>
  </si>
  <si>
    <t>Net Income</t>
  </si>
  <si>
    <t>Net Margin %</t>
  </si>
  <si>
    <t>Tax Rate %</t>
  </si>
  <si>
    <t>EPS</t>
  </si>
  <si>
    <t>Shares</t>
  </si>
  <si>
    <t>Q423</t>
  </si>
  <si>
    <t>Revenue Y/Y</t>
  </si>
  <si>
    <t>INCOME STATEMEMENT</t>
  </si>
  <si>
    <t>AAPL</t>
  </si>
  <si>
    <t>BALANCE SHEET</t>
  </si>
  <si>
    <t>A/R</t>
  </si>
  <si>
    <t>Inventories</t>
  </si>
  <si>
    <t>Vendor NTR</t>
  </si>
  <si>
    <t>OCA</t>
  </si>
  <si>
    <t xml:space="preserve">PP&amp;E </t>
  </si>
  <si>
    <t>ONCA</t>
  </si>
  <si>
    <t>Assets</t>
  </si>
  <si>
    <t>A/P</t>
  </si>
  <si>
    <t>OCL</t>
  </si>
  <si>
    <t>D/R</t>
  </si>
  <si>
    <t>ONCL</t>
  </si>
  <si>
    <t>Liabilities</t>
  </si>
  <si>
    <t>S/E</t>
  </si>
  <si>
    <t>L+S/E</t>
  </si>
  <si>
    <t>Q323</t>
  </si>
  <si>
    <t>Q223</t>
  </si>
  <si>
    <t>AMZN</t>
  </si>
  <si>
    <t>Fulfillment</t>
  </si>
  <si>
    <t>T&amp;I</t>
  </si>
  <si>
    <t>S&amp;M</t>
  </si>
  <si>
    <t>G&amp;A</t>
  </si>
  <si>
    <t>OOE</t>
  </si>
  <si>
    <t>Gross Profit</t>
  </si>
  <si>
    <t>Operating Profit</t>
  </si>
  <si>
    <t>Gross Margin %</t>
  </si>
  <si>
    <t>INCOME STATEMENT</t>
  </si>
  <si>
    <t>PP&amp;E</t>
  </si>
  <si>
    <t xml:space="preserve">Leases </t>
  </si>
  <si>
    <t>Goodwill</t>
  </si>
  <si>
    <t>OA</t>
  </si>
  <si>
    <t>Accrued Expenses</t>
  </si>
  <si>
    <t>U/R</t>
  </si>
  <si>
    <t>LTLL</t>
  </si>
  <si>
    <t>OLTL</t>
  </si>
  <si>
    <t>Q123</t>
  </si>
  <si>
    <t>CONFIRMED</t>
  </si>
  <si>
    <t>FY23</t>
  </si>
  <si>
    <t>FY24</t>
  </si>
  <si>
    <t>FY25</t>
  </si>
  <si>
    <t>FY26</t>
  </si>
  <si>
    <t>FY27</t>
  </si>
  <si>
    <t>UNCONFIRMED</t>
  </si>
  <si>
    <t>FY28</t>
  </si>
  <si>
    <t>FY29</t>
  </si>
  <si>
    <t>FY30</t>
  </si>
  <si>
    <t>FY31</t>
  </si>
  <si>
    <t>FY32</t>
  </si>
  <si>
    <t>FY33</t>
  </si>
  <si>
    <t>FY34</t>
  </si>
  <si>
    <t>FY35</t>
  </si>
  <si>
    <t>FY36</t>
  </si>
  <si>
    <t>Q126</t>
  </si>
  <si>
    <t>FORECAST</t>
  </si>
  <si>
    <t>Discount Rate</t>
  </si>
  <si>
    <t>NPV</t>
  </si>
  <si>
    <t>Net Cash</t>
  </si>
  <si>
    <t>Total Value</t>
  </si>
  <si>
    <t>Per Share</t>
  </si>
  <si>
    <t>Current Price</t>
  </si>
  <si>
    <t>Maturity Value</t>
  </si>
  <si>
    <t>FY37</t>
  </si>
  <si>
    <t>FY38</t>
  </si>
  <si>
    <t>FY39</t>
  </si>
  <si>
    <t>FY40</t>
  </si>
  <si>
    <t>FY41</t>
  </si>
  <si>
    <t>FY42</t>
  </si>
  <si>
    <t>FY43</t>
  </si>
  <si>
    <t>FY44</t>
  </si>
  <si>
    <t>FY45</t>
  </si>
  <si>
    <t>FY46</t>
  </si>
  <si>
    <t>FY47</t>
  </si>
  <si>
    <t>FY48</t>
  </si>
  <si>
    <t>FY49</t>
  </si>
  <si>
    <t>FY50</t>
  </si>
  <si>
    <t>FY51</t>
  </si>
  <si>
    <t>FY52</t>
  </si>
  <si>
    <t>FY53</t>
  </si>
  <si>
    <t>FY54</t>
  </si>
  <si>
    <t>FY55</t>
  </si>
  <si>
    <t>FY56</t>
  </si>
  <si>
    <t>FY57</t>
  </si>
  <si>
    <t>FY58</t>
  </si>
  <si>
    <t>FY59</t>
  </si>
  <si>
    <t>FY60</t>
  </si>
  <si>
    <t>FY61</t>
  </si>
  <si>
    <t>FY62</t>
  </si>
  <si>
    <t>FY63</t>
  </si>
  <si>
    <t>FY64</t>
  </si>
  <si>
    <t>FY65</t>
  </si>
  <si>
    <t>FY66</t>
  </si>
  <si>
    <t>FY67</t>
  </si>
  <si>
    <t>FY68</t>
  </si>
  <si>
    <t>FY69</t>
  </si>
  <si>
    <t>FY70</t>
  </si>
  <si>
    <t>FY71</t>
  </si>
  <si>
    <t>FY72</t>
  </si>
  <si>
    <t>FY73</t>
  </si>
  <si>
    <t>FY74</t>
  </si>
  <si>
    <t>FY75</t>
  </si>
  <si>
    <t>FY76</t>
  </si>
  <si>
    <t>FY77</t>
  </si>
  <si>
    <t>FY78</t>
  </si>
  <si>
    <t>FY79</t>
  </si>
  <si>
    <t>FY80</t>
  </si>
  <si>
    <t>FY81</t>
  </si>
  <si>
    <t>FY82</t>
  </si>
  <si>
    <t>FY83</t>
  </si>
  <si>
    <t>FY84</t>
  </si>
  <si>
    <t>FY85</t>
  </si>
  <si>
    <t>FY86</t>
  </si>
  <si>
    <t>FY87</t>
  </si>
  <si>
    <t>FY88</t>
  </si>
  <si>
    <t>FY89</t>
  </si>
  <si>
    <t>FY90</t>
  </si>
  <si>
    <t>FY91</t>
  </si>
  <si>
    <t>FY92</t>
  </si>
  <si>
    <t>FY93</t>
  </si>
  <si>
    <t>FY94</t>
  </si>
  <si>
    <t>FY95</t>
  </si>
  <si>
    <t>FY96</t>
  </si>
  <si>
    <t>FY97</t>
  </si>
  <si>
    <t>FY98</t>
  </si>
  <si>
    <t>FY99</t>
  </si>
  <si>
    <t>FY100</t>
  </si>
  <si>
    <t>FY101</t>
  </si>
  <si>
    <t>FY102</t>
  </si>
  <si>
    <t>FY103</t>
  </si>
  <si>
    <t>FY104</t>
  </si>
  <si>
    <t>FY105</t>
  </si>
  <si>
    <t>FY106</t>
  </si>
  <si>
    <t>FY107</t>
  </si>
  <si>
    <t>FY108</t>
  </si>
  <si>
    <t>FY109</t>
  </si>
  <si>
    <t>FY110</t>
  </si>
  <si>
    <t>FY111</t>
  </si>
  <si>
    <t>FY112</t>
  </si>
  <si>
    <t>FY113</t>
  </si>
  <si>
    <t>FY114</t>
  </si>
  <si>
    <t>FY115</t>
  </si>
  <si>
    <t>FY116</t>
  </si>
  <si>
    <t>FY117</t>
  </si>
  <si>
    <t>FY118</t>
  </si>
  <si>
    <t>FY119</t>
  </si>
  <si>
    <t>FY120</t>
  </si>
  <si>
    <t>FY121</t>
  </si>
  <si>
    <t>FY122</t>
  </si>
  <si>
    <t>FY123</t>
  </si>
  <si>
    <t>FY124</t>
  </si>
  <si>
    <t>FY125</t>
  </si>
  <si>
    <t>FY126</t>
  </si>
  <si>
    <t>FY127</t>
  </si>
  <si>
    <t>FY128</t>
  </si>
  <si>
    <t>FY129</t>
  </si>
  <si>
    <t>FY130</t>
  </si>
  <si>
    <t>FY131</t>
  </si>
  <si>
    <t>FY132</t>
  </si>
  <si>
    <t>FY133</t>
  </si>
  <si>
    <t>FY134</t>
  </si>
  <si>
    <t>FY135</t>
  </si>
  <si>
    <t>FY136</t>
  </si>
  <si>
    <t>FY137</t>
  </si>
  <si>
    <t>FY138</t>
  </si>
  <si>
    <t>FY139</t>
  </si>
  <si>
    <t>FY140</t>
  </si>
  <si>
    <t>FY141</t>
  </si>
  <si>
    <t>FY142</t>
  </si>
  <si>
    <t>FY143</t>
  </si>
  <si>
    <t>FY144</t>
  </si>
  <si>
    <t>FY145</t>
  </si>
  <si>
    <t>FY146</t>
  </si>
  <si>
    <t>FY147</t>
  </si>
  <si>
    <t>FY148</t>
  </si>
  <si>
    <t>FY149</t>
  </si>
  <si>
    <t>FY150</t>
  </si>
  <si>
    <t>FY151</t>
  </si>
  <si>
    <t>FY152</t>
  </si>
  <si>
    <t>FY153</t>
  </si>
  <si>
    <t>FY154</t>
  </si>
  <si>
    <t>FY155</t>
  </si>
  <si>
    <t>FY156</t>
  </si>
  <si>
    <t>FY157</t>
  </si>
  <si>
    <t>FY158</t>
  </si>
  <si>
    <t>FY159</t>
  </si>
  <si>
    <t>FY160</t>
  </si>
  <si>
    <t>FY161</t>
  </si>
  <si>
    <t>FY162</t>
  </si>
  <si>
    <t>FY163</t>
  </si>
  <si>
    <t>FY164</t>
  </si>
  <si>
    <t>FY165</t>
  </si>
  <si>
    <t>FY166</t>
  </si>
  <si>
    <t>FY167</t>
  </si>
  <si>
    <t>FY168</t>
  </si>
  <si>
    <t>FY169</t>
  </si>
  <si>
    <t>FY170</t>
  </si>
  <si>
    <t>FY171</t>
  </si>
  <si>
    <t>FY172</t>
  </si>
  <si>
    <t>FY173</t>
  </si>
  <si>
    <t>FY174</t>
  </si>
  <si>
    <t>FY175</t>
  </si>
  <si>
    <t>FY176</t>
  </si>
  <si>
    <t>FY177</t>
  </si>
  <si>
    <t>FY178</t>
  </si>
  <si>
    <t>FY179</t>
  </si>
  <si>
    <t>FY180</t>
  </si>
  <si>
    <t>FY181</t>
  </si>
  <si>
    <t>FY182</t>
  </si>
  <si>
    <t>FY183</t>
  </si>
  <si>
    <t>FY184</t>
  </si>
  <si>
    <t>FY185</t>
  </si>
  <si>
    <t>FY186</t>
  </si>
  <si>
    <t>FY187</t>
  </si>
  <si>
    <t>FY188</t>
  </si>
  <si>
    <t>FY189</t>
  </si>
  <si>
    <t>FY190</t>
  </si>
  <si>
    <t>FY191</t>
  </si>
  <si>
    <t>FY192</t>
  </si>
  <si>
    <t>FY193</t>
  </si>
  <si>
    <t>FY194</t>
  </si>
  <si>
    <t>FY195</t>
  </si>
  <si>
    <t>FY196</t>
  </si>
  <si>
    <t>FY197</t>
  </si>
  <si>
    <t>FY198</t>
  </si>
  <si>
    <t>FY199</t>
  </si>
  <si>
    <t>FY200</t>
  </si>
  <si>
    <t>FY201</t>
  </si>
  <si>
    <t>FY202</t>
  </si>
  <si>
    <t>FY203</t>
  </si>
  <si>
    <t>FY204</t>
  </si>
  <si>
    <t>FY205</t>
  </si>
  <si>
    <t>FY206</t>
  </si>
  <si>
    <t>FY207</t>
  </si>
  <si>
    <t>FY208</t>
  </si>
  <si>
    <t>FY209</t>
  </si>
  <si>
    <t>FY210</t>
  </si>
  <si>
    <t>FY211</t>
  </si>
  <si>
    <t>FY212</t>
  </si>
  <si>
    <t>FY213</t>
  </si>
  <si>
    <t>FY214</t>
  </si>
  <si>
    <t>FY215</t>
  </si>
  <si>
    <t>FY216</t>
  </si>
  <si>
    <t>FY217</t>
  </si>
  <si>
    <t>FY218</t>
  </si>
  <si>
    <t>FY219</t>
  </si>
  <si>
    <t>FY220</t>
  </si>
  <si>
    <t>FY221</t>
  </si>
  <si>
    <t>FY222</t>
  </si>
  <si>
    <t>FY223</t>
  </si>
  <si>
    <t>FY224</t>
  </si>
  <si>
    <t>FY225</t>
  </si>
  <si>
    <t>FY226</t>
  </si>
  <si>
    <t>FY227</t>
  </si>
  <si>
    <t>FY228</t>
  </si>
  <si>
    <t>FY229</t>
  </si>
  <si>
    <t>FY230</t>
  </si>
  <si>
    <t>FY231</t>
  </si>
  <si>
    <t>FY232</t>
  </si>
  <si>
    <t>FY233</t>
  </si>
  <si>
    <t>FY234</t>
  </si>
  <si>
    <t>FY235</t>
  </si>
  <si>
    <t>FY236</t>
  </si>
  <si>
    <t>FY237</t>
  </si>
  <si>
    <t>FY238</t>
  </si>
  <si>
    <t>FY239</t>
  </si>
  <si>
    <t>FY240</t>
  </si>
  <si>
    <t>FY241</t>
  </si>
  <si>
    <t>FY242</t>
  </si>
  <si>
    <t>FY243</t>
  </si>
  <si>
    <t>FY244</t>
  </si>
  <si>
    <t>FY245</t>
  </si>
  <si>
    <t>FY246</t>
  </si>
  <si>
    <t>FY247</t>
  </si>
  <si>
    <t>FY248</t>
  </si>
  <si>
    <t>FY249</t>
  </si>
  <si>
    <t>FY250</t>
  </si>
  <si>
    <t>FY251</t>
  </si>
  <si>
    <t>FY252</t>
  </si>
  <si>
    <t>FY253</t>
  </si>
  <si>
    <t>FY254</t>
  </si>
  <si>
    <t>FY255</t>
  </si>
  <si>
    <t>FY256</t>
  </si>
  <si>
    <t>FY257</t>
  </si>
  <si>
    <t>FY258</t>
  </si>
  <si>
    <t>FY259</t>
  </si>
  <si>
    <t>FY260</t>
  </si>
  <si>
    <t>FY261</t>
  </si>
  <si>
    <t>FY262</t>
  </si>
  <si>
    <t>FY263</t>
  </si>
  <si>
    <t>FY264</t>
  </si>
  <si>
    <t>FY265</t>
  </si>
  <si>
    <t>FY266</t>
  </si>
  <si>
    <t>FY267</t>
  </si>
  <si>
    <t>FY268</t>
  </si>
  <si>
    <t>FY269</t>
  </si>
  <si>
    <t>FY270</t>
  </si>
  <si>
    <t>FY271</t>
  </si>
  <si>
    <t>FY272</t>
  </si>
  <si>
    <t>FY273</t>
  </si>
  <si>
    <t>FY274</t>
  </si>
  <si>
    <t>FY275</t>
  </si>
  <si>
    <t>FY276</t>
  </si>
  <si>
    <t>FY277</t>
  </si>
  <si>
    <t>FY278</t>
  </si>
  <si>
    <t>FY279</t>
  </si>
  <si>
    <t>FY280</t>
  </si>
  <si>
    <t>FY281</t>
  </si>
  <si>
    <t>FY282</t>
  </si>
  <si>
    <t>FY283</t>
  </si>
  <si>
    <t>FY284</t>
  </si>
  <si>
    <t>FY285</t>
  </si>
  <si>
    <t>IPhone</t>
  </si>
  <si>
    <t>Apple Services</t>
  </si>
  <si>
    <t>Ipad</t>
  </si>
  <si>
    <t>AirPods</t>
  </si>
  <si>
    <t>Apple Music</t>
  </si>
  <si>
    <t>Units (mm)</t>
  </si>
  <si>
    <t>Revenue ($bn)</t>
  </si>
  <si>
    <t>Active units (mm)</t>
  </si>
  <si>
    <t>Wearable, Home and Accessories</t>
  </si>
  <si>
    <t>Apple Watch</t>
  </si>
  <si>
    <t>HomePod</t>
  </si>
  <si>
    <t>Apple TV Devices</t>
  </si>
  <si>
    <t>Devices (mm)</t>
  </si>
  <si>
    <t>Mac</t>
  </si>
  <si>
    <t>iOS</t>
  </si>
  <si>
    <t>Subscriptions (mm)</t>
  </si>
  <si>
    <t>Apple Pay</t>
  </si>
  <si>
    <t>Active users (mm)</t>
  </si>
  <si>
    <t>Apple TV+</t>
  </si>
  <si>
    <t>Apple News</t>
  </si>
  <si>
    <t>Users (mm)</t>
  </si>
  <si>
    <t xml:space="preserve">Siri </t>
  </si>
  <si>
    <t>Total Revenue</t>
  </si>
  <si>
    <t>IPhone as % of Revenue</t>
  </si>
  <si>
    <t>IPad as % of Revenue</t>
  </si>
  <si>
    <t>WH&amp;A as % of Revenue</t>
  </si>
  <si>
    <t>Mac as % of Revenue</t>
  </si>
  <si>
    <t>ESTIMATED</t>
  </si>
  <si>
    <t>AS as % of Revenue</t>
  </si>
  <si>
    <t>IBM</t>
  </si>
  <si>
    <t>SG&amp;A</t>
  </si>
  <si>
    <t>Services</t>
  </si>
  <si>
    <t>Sales</t>
  </si>
  <si>
    <t>Financing</t>
  </si>
  <si>
    <t>Services Cost</t>
  </si>
  <si>
    <t>Sales Cost</t>
  </si>
  <si>
    <t>Financing Cost</t>
  </si>
  <si>
    <t>Servides GP</t>
  </si>
  <si>
    <t>Sales GP</t>
  </si>
  <si>
    <t>Financing GP</t>
  </si>
  <si>
    <t>Gross Margin</t>
  </si>
  <si>
    <t>Operating Income</t>
  </si>
  <si>
    <t>Debt (+Lease)</t>
  </si>
  <si>
    <t>Operating Margin</t>
  </si>
  <si>
    <t>Net Margin</t>
  </si>
  <si>
    <t>Tax Rate</t>
  </si>
  <si>
    <t>Net Income y/y</t>
  </si>
  <si>
    <t>R&amp;D y/y</t>
  </si>
  <si>
    <t>SG&amp;A y/y</t>
  </si>
  <si>
    <t>Revenue y/y</t>
  </si>
  <si>
    <t>Maurity</t>
  </si>
  <si>
    <t>Discount</t>
  </si>
  <si>
    <t>Net NPV</t>
  </si>
  <si>
    <t>Share</t>
  </si>
  <si>
    <t>Current</t>
  </si>
  <si>
    <t>FY22</t>
  </si>
  <si>
    <t>FY19</t>
  </si>
  <si>
    <t>FY20</t>
  </si>
  <si>
    <t>FY21</t>
  </si>
  <si>
    <t xml:space="preserve">We look at 10yr Bond yield rate, and add small amount; they need to generate more than yield % to repay the debt at minimum </t>
  </si>
  <si>
    <t>Name</t>
  </si>
  <si>
    <t>Fundamental Analysis</t>
  </si>
  <si>
    <t>Software</t>
  </si>
  <si>
    <t>Hybrid Platform &amp; Solutions</t>
  </si>
  <si>
    <t>Transaction Processing</t>
  </si>
  <si>
    <t>Consulting</t>
  </si>
  <si>
    <t>Business Transformation</t>
  </si>
  <si>
    <t>Technology consulting</t>
  </si>
  <si>
    <t>Application Operations</t>
  </si>
  <si>
    <t>Infrastructure</t>
  </si>
  <si>
    <t>Infrastructure Support</t>
  </si>
  <si>
    <t>Client Financing</t>
  </si>
  <si>
    <t>Commercial Financing</t>
  </si>
  <si>
    <t>Hybrid Infrastructure</t>
  </si>
  <si>
    <t>Other</t>
  </si>
  <si>
    <t>Gross margin</t>
  </si>
  <si>
    <t>Total revenue</t>
  </si>
  <si>
    <t>Total gross margin</t>
  </si>
  <si>
    <t>Total gross profit</t>
  </si>
  <si>
    <t>($ in millions)</t>
  </si>
  <si>
    <t>% of revenue</t>
  </si>
  <si>
    <t>Description</t>
  </si>
  <si>
    <t>% of Revenue</t>
  </si>
  <si>
    <t>Notes</t>
  </si>
  <si>
    <t>Competition</t>
  </si>
  <si>
    <t>Alphabet, Amazon, BMC, Broadcom, Informatica, Microsoft, Oracle, Salesforce, SAP and Splunk.</t>
  </si>
  <si>
    <t>Financing provides client and commercial financing, facilitating IBM clients’ acquisition of hardware, software and services.</t>
  </si>
  <si>
    <t>Interest rates charged, IT product experience, client service, contract flexibility, ease of doing business, global capabilities and residual values.</t>
  </si>
  <si>
    <t>In client and commercial financing, Financing primarily competes with non-captive financing entities and financial institutions.</t>
  </si>
  <si>
    <t>Hybrid cloud and AI platforms allow clients to realize their
digital and AI transformations across the applications,
data, and environments in which they operate.</t>
  </si>
  <si>
    <t>Consulting includes consulting, systems integration,
 application development, application management
 and business process outsourcing services</t>
  </si>
  <si>
    <t>IBM provides on-premises and cloud-based server and 
storage solutions. Also, they offer a portfolio of life-cycle
services for hybrid cloud infrastructure deployment.</t>
  </si>
  <si>
    <t>Dell Technologies, Hewlett-Packard Enterprise (HPE), Intel, NetApp and Pure Storage as well as original device manufacturers (ODMs).</t>
  </si>
  <si>
    <t>Accenture, Capgemini, India-based service providers, management consulting firms, the consulting practices of public accounting firms, engineering service providers, and companies that focus on local/niche markets.</t>
  </si>
  <si>
    <t>FY25 E</t>
  </si>
  <si>
    <t>P/E = EV/E</t>
  </si>
  <si>
    <t>PE</t>
  </si>
  <si>
    <t>Yield</t>
  </si>
  <si>
    <t>Bonds</t>
  </si>
  <si>
    <t>Revenue LC y/y</t>
  </si>
  <si>
    <t>Red Hat</t>
  </si>
  <si>
    <t>Automation</t>
  </si>
  <si>
    <t>Data &amp; AU</t>
  </si>
  <si>
    <t>Security</t>
  </si>
  <si>
    <t>IBM Z</t>
  </si>
  <si>
    <t>Distributed Infrastructure flat</t>
  </si>
  <si>
    <t>REVENUE BY SEGMENT</t>
  </si>
  <si>
    <t>Incorporated: 1911</t>
  </si>
  <si>
    <t>GROSS PROFIT MARGIN</t>
  </si>
  <si>
    <t>Total Gross Profit Margin</t>
  </si>
  <si>
    <t>SEGMENT PROFIT</t>
  </si>
  <si>
    <t>SEGMENT PROFIT MARGIN</t>
  </si>
  <si>
    <t>REVENUE Y/Y</t>
  </si>
  <si>
    <t>% OF TOTAL REVENUE</t>
  </si>
  <si>
    <t>R/C</t>
  </si>
  <si>
    <t>ST FR For Sale</t>
  </si>
  <si>
    <t>ST FR For Investments</t>
  </si>
  <si>
    <t>OAR</t>
  </si>
  <si>
    <t>Inventory</t>
  </si>
  <si>
    <t>Acc. Depreciation</t>
  </si>
  <si>
    <t>LT FR</t>
  </si>
  <si>
    <t>Pension</t>
  </si>
  <si>
    <t>Intangibles</t>
  </si>
  <si>
    <t>Deferred</t>
  </si>
  <si>
    <t>Total Assets</t>
  </si>
  <si>
    <t>Benefits</t>
  </si>
  <si>
    <t>D/I</t>
  </si>
  <si>
    <t>Lease</t>
  </si>
  <si>
    <t>OL</t>
  </si>
  <si>
    <t>Total Liabilities</t>
  </si>
  <si>
    <t>SE</t>
  </si>
  <si>
    <t>Total Liabilities &amp; Equity</t>
  </si>
  <si>
    <t>Other Expense</t>
  </si>
  <si>
    <t>ROIC</t>
  </si>
  <si>
    <t>While forcasting revenue must be adjusted to currency</t>
  </si>
  <si>
    <t>ALRM</t>
  </si>
  <si>
    <t>T</t>
  </si>
  <si>
    <t>Discount rate = Risk free rate (Estimated Inflation / US Government Bond) + Risk Premium (Opportunity Cost / Risk)</t>
  </si>
  <si>
    <t>A Company is worth the discounted sum of its cash flows from today until eternity.</t>
  </si>
  <si>
    <t>IRR - Internal rate of return.</t>
  </si>
  <si>
    <t>Long-Term</t>
  </si>
  <si>
    <t>Short-Term</t>
  </si>
  <si>
    <t>Buy/Price</t>
  </si>
  <si>
    <t>Sell/Price</t>
  </si>
  <si>
    <t>Years</t>
  </si>
  <si>
    <t>Cash return</t>
  </si>
  <si>
    <t>MSFT</t>
  </si>
  <si>
    <t>Q422</t>
  </si>
  <si>
    <t>Product</t>
  </si>
  <si>
    <t>Service and Other</t>
  </si>
  <si>
    <t>Product COGS</t>
  </si>
  <si>
    <t>Services COGS</t>
  </si>
  <si>
    <t>Other expenses</t>
  </si>
  <si>
    <t>Pre-Tax Income</t>
  </si>
  <si>
    <t>Product Margin</t>
  </si>
  <si>
    <t>Service Margin</t>
  </si>
  <si>
    <t>Tax rate</t>
  </si>
  <si>
    <t>Software Y/Y</t>
  </si>
  <si>
    <t>Hardware Y/Y</t>
  </si>
  <si>
    <t>PP&amp;A</t>
  </si>
  <si>
    <t>Lease ROU</t>
  </si>
  <si>
    <t>Wages</t>
  </si>
  <si>
    <t>L + SE</t>
  </si>
  <si>
    <t>Model NI</t>
  </si>
  <si>
    <t>GAAP NI</t>
  </si>
  <si>
    <t>CFFO</t>
  </si>
  <si>
    <t>D&amp;A</t>
  </si>
  <si>
    <t>Compensation expense</t>
  </si>
  <si>
    <t>Investments</t>
  </si>
  <si>
    <t>Deferred income taxes</t>
  </si>
  <si>
    <t>Stock</t>
  </si>
  <si>
    <t>CFFF</t>
  </si>
  <si>
    <t>CapEx</t>
  </si>
  <si>
    <t>Acquisitions</t>
  </si>
  <si>
    <t>CFFI</t>
  </si>
  <si>
    <t>CF</t>
  </si>
  <si>
    <t>FCF</t>
  </si>
  <si>
    <t>12M FCF</t>
  </si>
  <si>
    <t>12M NI</t>
  </si>
  <si>
    <t>FY16</t>
  </si>
  <si>
    <t>FY17</t>
  </si>
  <si>
    <t>FY18</t>
  </si>
  <si>
    <t>Q220</t>
  </si>
  <si>
    <t>Q320</t>
  </si>
  <si>
    <t>Q420</t>
  </si>
  <si>
    <t>Q121</t>
  </si>
  <si>
    <t>Q221</t>
  </si>
  <si>
    <t>Q321</t>
  </si>
  <si>
    <t>Q421</t>
  </si>
  <si>
    <t>Q122</t>
  </si>
  <si>
    <t>Q222</t>
  </si>
  <si>
    <t>Q322</t>
  </si>
  <si>
    <t>Q217</t>
  </si>
  <si>
    <t>Q317</t>
  </si>
  <si>
    <t>Q417</t>
  </si>
  <si>
    <t>Q118</t>
  </si>
  <si>
    <t>Q218</t>
  </si>
  <si>
    <t>Q318</t>
  </si>
  <si>
    <t>Q418</t>
  </si>
  <si>
    <t>Q119</t>
  </si>
  <si>
    <t>Q219</t>
  </si>
  <si>
    <t>Q319</t>
  </si>
  <si>
    <t>Q419</t>
  </si>
  <si>
    <t>Q120</t>
  </si>
  <si>
    <t>Q116</t>
  </si>
  <si>
    <t>Q216</t>
  </si>
  <si>
    <t>Q316</t>
  </si>
  <si>
    <t>Q416</t>
  </si>
  <si>
    <t>Q117</t>
  </si>
  <si>
    <t>Gaming</t>
  </si>
  <si>
    <t>LinkedIn</t>
  </si>
  <si>
    <t>Windows and Devices</t>
  </si>
  <si>
    <t xml:space="preserve">Other </t>
  </si>
  <si>
    <t>Server and cloud</t>
  </si>
  <si>
    <t>Search and news ads</t>
  </si>
  <si>
    <t>Enterprise</t>
  </si>
  <si>
    <t>Dynamics and cloud</t>
  </si>
  <si>
    <t>MS 365 Consumer and cloud</t>
  </si>
  <si>
    <t>MS 365 Commercial and cloud</t>
  </si>
  <si>
    <t>Tech</t>
  </si>
  <si>
    <t>R&amp;D Y/Y</t>
  </si>
  <si>
    <t>S&amp;M Y/Y</t>
  </si>
  <si>
    <t>G&amp;A Y/Y</t>
  </si>
  <si>
    <t>Maturity</t>
  </si>
  <si>
    <t>FY286</t>
  </si>
  <si>
    <t>FY287</t>
  </si>
  <si>
    <t>FY288</t>
  </si>
  <si>
    <t>FY289</t>
  </si>
  <si>
    <t>FY290</t>
  </si>
  <si>
    <t>FY291</t>
  </si>
  <si>
    <t>FY292</t>
  </si>
  <si>
    <t>FY293</t>
  </si>
  <si>
    <t>FY294</t>
  </si>
  <si>
    <t>FY295</t>
  </si>
  <si>
    <t>FY296</t>
  </si>
  <si>
    <t>FY297</t>
  </si>
  <si>
    <t>FY298</t>
  </si>
  <si>
    <t>FY299</t>
  </si>
  <si>
    <t>FY300</t>
  </si>
  <si>
    <t>FY301</t>
  </si>
  <si>
    <t>FY302</t>
  </si>
  <si>
    <t>FY303</t>
  </si>
  <si>
    <t>FY304</t>
  </si>
  <si>
    <t>FY305</t>
  </si>
  <si>
    <t>FY306</t>
  </si>
  <si>
    <t>FY307</t>
  </si>
  <si>
    <t>FY308</t>
  </si>
  <si>
    <t>FY309</t>
  </si>
  <si>
    <t>FY310</t>
  </si>
  <si>
    <t>FY311</t>
  </si>
  <si>
    <t>FY312</t>
  </si>
  <si>
    <t>FY313</t>
  </si>
  <si>
    <t>FY314</t>
  </si>
  <si>
    <t>FY315</t>
  </si>
  <si>
    <t>FY316</t>
  </si>
  <si>
    <t>FY317</t>
  </si>
  <si>
    <t>FY318</t>
  </si>
  <si>
    <t>FY319</t>
  </si>
  <si>
    <t>FY320</t>
  </si>
  <si>
    <t>FY321</t>
  </si>
  <si>
    <t>FY322</t>
  </si>
  <si>
    <t>FY323</t>
  </si>
  <si>
    <t>FY324</t>
  </si>
  <si>
    <t>FY325</t>
  </si>
  <si>
    <t>FY326</t>
  </si>
  <si>
    <t>FY327</t>
  </si>
  <si>
    <t>FY328</t>
  </si>
  <si>
    <t>FY329</t>
  </si>
  <si>
    <t>FY330</t>
  </si>
  <si>
    <t>FY331</t>
  </si>
  <si>
    <t>FY332</t>
  </si>
  <si>
    <t>FY333</t>
  </si>
  <si>
    <t>FY334</t>
  </si>
  <si>
    <t>FY335</t>
  </si>
  <si>
    <t>FY336</t>
  </si>
  <si>
    <t>FY337</t>
  </si>
  <si>
    <t>FY338</t>
  </si>
  <si>
    <t>FY339</t>
  </si>
  <si>
    <t>FY340</t>
  </si>
  <si>
    <t>FY341</t>
  </si>
  <si>
    <t>FY342</t>
  </si>
  <si>
    <t>FY343</t>
  </si>
  <si>
    <t>FY344</t>
  </si>
  <si>
    <t>FY345</t>
  </si>
  <si>
    <t>FY346</t>
  </si>
  <si>
    <t>FY347</t>
  </si>
  <si>
    <t>FY348</t>
  </si>
  <si>
    <t>FY349</t>
  </si>
  <si>
    <t>FY350</t>
  </si>
  <si>
    <t>FY351</t>
  </si>
  <si>
    <t>FY352</t>
  </si>
  <si>
    <t>FY353</t>
  </si>
  <si>
    <t>FY354</t>
  </si>
  <si>
    <t>FY355</t>
  </si>
  <si>
    <t>FY356</t>
  </si>
  <si>
    <t>FY357</t>
  </si>
  <si>
    <t>FY358</t>
  </si>
  <si>
    <t>FY359</t>
  </si>
  <si>
    <t>FY360</t>
  </si>
  <si>
    <t>FY361</t>
  </si>
  <si>
    <t>FY362</t>
  </si>
  <si>
    <t>FY363</t>
  </si>
  <si>
    <t>FY364</t>
  </si>
  <si>
    <t>FY365</t>
  </si>
  <si>
    <t>FY366</t>
  </si>
  <si>
    <t>FY367</t>
  </si>
  <si>
    <t>FY368</t>
  </si>
  <si>
    <t>FY369</t>
  </si>
  <si>
    <t>FY370</t>
  </si>
  <si>
    <t>FY371</t>
  </si>
  <si>
    <t>FY372</t>
  </si>
  <si>
    <t>FY373</t>
  </si>
  <si>
    <t>FY374</t>
  </si>
  <si>
    <t>FY375</t>
  </si>
  <si>
    <t>FY376</t>
  </si>
  <si>
    <t>FY377</t>
  </si>
  <si>
    <t>FY378</t>
  </si>
  <si>
    <t>FY379</t>
  </si>
  <si>
    <t>FY380</t>
  </si>
  <si>
    <t>FY381</t>
  </si>
  <si>
    <t>FY382</t>
  </si>
  <si>
    <t>FY383</t>
  </si>
  <si>
    <t>FY384</t>
  </si>
  <si>
    <t>FY385</t>
  </si>
  <si>
    <t>FY386</t>
  </si>
  <si>
    <t>FY387</t>
  </si>
  <si>
    <t>FY388</t>
  </si>
  <si>
    <t>FY389</t>
  </si>
  <si>
    <t>FY390</t>
  </si>
  <si>
    <t>FY391</t>
  </si>
  <si>
    <t>FY392</t>
  </si>
  <si>
    <t>FY393</t>
  </si>
  <si>
    <t>FY394</t>
  </si>
  <si>
    <t>FY395</t>
  </si>
  <si>
    <t>FY396</t>
  </si>
  <si>
    <t>FY397</t>
  </si>
  <si>
    <t>FY398</t>
  </si>
  <si>
    <t>FY399</t>
  </si>
  <si>
    <t>FY400</t>
  </si>
  <si>
    <t>FY401</t>
  </si>
  <si>
    <t>FY402</t>
  </si>
  <si>
    <t>FY403</t>
  </si>
  <si>
    <t>FY404</t>
  </si>
  <si>
    <t>FY405</t>
  </si>
  <si>
    <t>FY406</t>
  </si>
  <si>
    <t>FY407</t>
  </si>
  <si>
    <t>FY408</t>
  </si>
  <si>
    <t>FY409</t>
  </si>
  <si>
    <t>FY410</t>
  </si>
  <si>
    <t>FY411</t>
  </si>
  <si>
    <t>FY412</t>
  </si>
  <si>
    <t>FY413</t>
  </si>
  <si>
    <t>FY414</t>
  </si>
  <si>
    <t>FY415</t>
  </si>
  <si>
    <t>FY416</t>
  </si>
  <si>
    <t>FY417</t>
  </si>
  <si>
    <t>FY418</t>
  </si>
  <si>
    <t>FY419</t>
  </si>
  <si>
    <t>FY420</t>
  </si>
  <si>
    <t>FY421</t>
  </si>
  <si>
    <t>FY422</t>
  </si>
  <si>
    <t>FY423</t>
  </si>
  <si>
    <t>FY424</t>
  </si>
  <si>
    <t>FY425</t>
  </si>
  <si>
    <t>FY426</t>
  </si>
  <si>
    <t>FY427</t>
  </si>
  <si>
    <t>FY428</t>
  </si>
  <si>
    <t>FY429</t>
  </si>
  <si>
    <t>FY430</t>
  </si>
  <si>
    <t>FY431</t>
  </si>
  <si>
    <t>FY432</t>
  </si>
  <si>
    <t>FY433</t>
  </si>
  <si>
    <t>FY434</t>
  </si>
  <si>
    <t>FY435</t>
  </si>
  <si>
    <t>FY436</t>
  </si>
  <si>
    <t>FY437</t>
  </si>
  <si>
    <t>FY438</t>
  </si>
  <si>
    <t>FY439</t>
  </si>
  <si>
    <t>FY440</t>
  </si>
  <si>
    <t>FY441</t>
  </si>
  <si>
    <t>FY442</t>
  </si>
  <si>
    <t>FY443</t>
  </si>
  <si>
    <t>FY444</t>
  </si>
  <si>
    <t>FY445</t>
  </si>
  <si>
    <t>FY446</t>
  </si>
  <si>
    <t>FY447</t>
  </si>
  <si>
    <t>FY448</t>
  </si>
  <si>
    <t>FY449</t>
  </si>
  <si>
    <t>FY450</t>
  </si>
  <si>
    <t>FY451</t>
  </si>
  <si>
    <t>FY452</t>
  </si>
  <si>
    <t>FY453</t>
  </si>
  <si>
    <t>FY454</t>
  </si>
  <si>
    <t>FY455</t>
  </si>
  <si>
    <t>FY456</t>
  </si>
  <si>
    <t>FY457</t>
  </si>
  <si>
    <t>FY458</t>
  </si>
  <si>
    <t>FY459</t>
  </si>
  <si>
    <t>FY460</t>
  </si>
  <si>
    <t>FY461</t>
  </si>
  <si>
    <t>FY462</t>
  </si>
  <si>
    <t>FY463</t>
  </si>
  <si>
    <t>FY464</t>
  </si>
  <si>
    <t>FY465</t>
  </si>
  <si>
    <t>FY466</t>
  </si>
  <si>
    <t>FY467</t>
  </si>
  <si>
    <t>FY468</t>
  </si>
  <si>
    <t>FY469</t>
  </si>
  <si>
    <t>FY470</t>
  </si>
  <si>
    <t>FY471</t>
  </si>
  <si>
    <t>FY472</t>
  </si>
  <si>
    <t>FY473</t>
  </si>
  <si>
    <t>FY474</t>
  </si>
  <si>
    <t>FY475</t>
  </si>
  <si>
    <t>FY476</t>
  </si>
  <si>
    <t>FY477</t>
  </si>
  <si>
    <t>FY478</t>
  </si>
  <si>
    <t>FY479</t>
  </si>
  <si>
    <t>FY480</t>
  </si>
  <si>
    <t>FY481</t>
  </si>
  <si>
    <t>FY482</t>
  </si>
  <si>
    <t>FY483</t>
  </si>
  <si>
    <t>FY484</t>
  </si>
  <si>
    <t>FY485</t>
  </si>
  <si>
    <t>FY486</t>
  </si>
  <si>
    <t>FY487</t>
  </si>
  <si>
    <t>FY488</t>
  </si>
  <si>
    <t>FY489</t>
  </si>
  <si>
    <t xml:space="preserve">Change </t>
  </si>
  <si>
    <t>META</t>
  </si>
  <si>
    <t>M&amp;S</t>
  </si>
  <si>
    <t>Interest income</t>
  </si>
  <si>
    <t>Other assets</t>
  </si>
  <si>
    <t>Prepaids</t>
  </si>
  <si>
    <t>L+SE</t>
  </si>
  <si>
    <t>Stock compensation</t>
  </si>
  <si>
    <t>Impairments</t>
  </si>
  <si>
    <t>Data Center abandonment</t>
  </si>
  <si>
    <t>Other Assets</t>
  </si>
  <si>
    <t>Securities</t>
  </si>
  <si>
    <t>Currency adj</t>
  </si>
  <si>
    <t>Taxes paid</t>
  </si>
  <si>
    <t>Buybacks</t>
  </si>
  <si>
    <t>Dividends</t>
  </si>
  <si>
    <t>Debt issuance</t>
  </si>
  <si>
    <t>Principal on lease</t>
  </si>
  <si>
    <t xml:space="preserve">Lease  </t>
  </si>
  <si>
    <t>EQUATION</t>
  </si>
  <si>
    <t>THRESHOLD</t>
  </si>
  <si>
    <t>&gt;40%</t>
  </si>
  <si>
    <t>SG&amp;A Margin</t>
  </si>
  <si>
    <t>R&amp;D Margin</t>
  </si>
  <si>
    <t>Interest Margin</t>
  </si>
  <si>
    <t>EPS Growth</t>
  </si>
  <si>
    <t>METRIC</t>
  </si>
  <si>
    <t>Gross 
Margin</t>
  </si>
  <si>
    <t>SG&amp;A 
Margin</t>
  </si>
  <si>
    <t>R&amp;D 
Margin</t>
  </si>
  <si>
    <t>Depreciation 
Margin</t>
  </si>
  <si>
    <t>Interest 
Margin</t>
  </si>
  <si>
    <t>Tax 
Margin</t>
  </si>
  <si>
    <t>Net Income 
Margin</t>
  </si>
  <si>
    <t>EPS 
Growth</t>
  </si>
  <si>
    <t>&lt;30%</t>
  </si>
  <si>
    <t>&lt;15%</t>
  </si>
  <si>
    <t>&lt;10%</t>
  </si>
  <si>
    <t>&gt;20%</t>
  </si>
  <si>
    <t>Positive &amp; Growing</t>
  </si>
  <si>
    <t>Corporate Tax Rate</t>
  </si>
  <si>
    <t>INCOME
 STATEMENT</t>
  </si>
  <si>
    <t>Cash &amp; Debt</t>
  </si>
  <si>
    <t xml:space="preserve"> Cash &gt; Debt</t>
  </si>
  <si>
    <t xml:space="preserve"> Cash&gt;Debt</t>
  </si>
  <si>
    <t>Adjusted Debt to Equity</t>
  </si>
  <si>
    <t>Below 0.80</t>
  </si>
  <si>
    <t>Preferred Stock</t>
  </si>
  <si>
    <t>NONE</t>
  </si>
  <si>
    <t>Retained Earnings</t>
  </si>
  <si>
    <t>Consistent Growth</t>
  </si>
  <si>
    <t>Treasury Stock</t>
  </si>
  <si>
    <t>Treasury Stock &gt; 1</t>
  </si>
  <si>
    <t>Exists</t>
  </si>
  <si>
    <t>BALANCE
SHEET</t>
  </si>
  <si>
    <t>CASH FLOW
STATEMENT</t>
  </si>
  <si>
    <t>Capex Margin</t>
  </si>
  <si>
    <t>&lt;25%</t>
  </si>
  <si>
    <t>Warren Buffet's Financial Statements Rules of Thumb</t>
  </si>
  <si>
    <t>DAP</t>
  </si>
  <si>
    <t>Avg rev per user</t>
  </si>
  <si>
    <t>DAP growth</t>
  </si>
  <si>
    <t>ARPU growth</t>
  </si>
  <si>
    <t>https://www.youtube.com/watch?v=gsrEfnsUXOE</t>
  </si>
  <si>
    <t>Discounting fast growing company. 1:40:00 - Facebook</t>
  </si>
  <si>
    <t xml:space="preserve">Maturity </t>
  </si>
  <si>
    <t>Change</t>
  </si>
  <si>
    <t>GOOGL</t>
  </si>
  <si>
    <t>Pre Tax Income</t>
  </si>
  <si>
    <t>Operating expenses</t>
  </si>
  <si>
    <t>Tax Margin</t>
  </si>
  <si>
    <t>D/R taxes</t>
  </si>
  <si>
    <t xml:space="preserve">D/R  </t>
  </si>
  <si>
    <t>Expenses</t>
  </si>
  <si>
    <t>Accrued revenue share</t>
  </si>
  <si>
    <t>Debt &amp; equity Securities</t>
  </si>
  <si>
    <t>Income taxes</t>
  </si>
  <si>
    <t>Capex</t>
  </si>
  <si>
    <t>Marketable Securuties</t>
  </si>
  <si>
    <t>Non-marketable securities</t>
  </si>
  <si>
    <t>Stock-based awards</t>
  </si>
  <si>
    <t>Sale of entities</t>
  </si>
  <si>
    <t>EPS y/y</t>
  </si>
  <si>
    <t>Debt to Equity</t>
  </si>
  <si>
    <t>BIDU</t>
  </si>
  <si>
    <t>Online Marketing</t>
  </si>
  <si>
    <t>Operating income</t>
  </si>
  <si>
    <t>FX gain</t>
  </si>
  <si>
    <t>Others</t>
  </si>
  <si>
    <t>Total income</t>
  </si>
  <si>
    <t>Pre Tax income</t>
  </si>
  <si>
    <t>Cash and equivalents</t>
  </si>
  <si>
    <t>Restricted cash</t>
  </si>
  <si>
    <t>Fixed assets</t>
  </si>
  <si>
    <t>Deferred tax</t>
  </si>
  <si>
    <t>Prepaymetns</t>
  </si>
  <si>
    <t>Total Asets</t>
  </si>
  <si>
    <t>FCF y/y</t>
  </si>
  <si>
    <t>NI y/y</t>
  </si>
  <si>
    <t>Discount rate</t>
  </si>
  <si>
    <t>net NPV</t>
  </si>
  <si>
    <t>Operating Income y/y</t>
  </si>
  <si>
    <t>More</t>
  </si>
  <si>
    <t>GTLB</t>
  </si>
  <si>
    <t>Revenues</t>
  </si>
  <si>
    <t>Google Search &amp; Other</t>
  </si>
  <si>
    <t>Youtube ads</t>
  </si>
  <si>
    <t>Advertising</t>
  </si>
  <si>
    <t>Google subs, platforms &amp; devices</t>
  </si>
  <si>
    <t>Services total</t>
  </si>
  <si>
    <t>Google Cloud</t>
  </si>
  <si>
    <t>Other Bets</t>
  </si>
  <si>
    <t>Hedging gains (losses)</t>
  </si>
  <si>
    <t>Total Revenues</t>
  </si>
  <si>
    <t>Google Network</t>
  </si>
  <si>
    <t>Geography</t>
  </si>
  <si>
    <t>USA</t>
  </si>
  <si>
    <t>EMEA</t>
  </si>
  <si>
    <t>APAC (Asia-Pacific)</t>
  </si>
  <si>
    <t>Other Americas</t>
  </si>
  <si>
    <t>Y/Y</t>
  </si>
  <si>
    <t>Accrued Expenses and Other Current Liabilities</t>
  </si>
  <si>
    <t>Accrued purchases of property and equipment</t>
  </si>
  <si>
    <t>European Commission fines</t>
  </si>
  <si>
    <t>Accrued customer liabilities</t>
  </si>
  <si>
    <t>Payables to brokers for unsettled investment trades</t>
  </si>
  <si>
    <t>Income taxes payable, net</t>
  </si>
  <si>
    <t>Other accrued expenses and current liabilities</t>
  </si>
  <si>
    <t>Total</t>
  </si>
  <si>
    <t>EU Fines Y/Y</t>
  </si>
  <si>
    <t>In March 2025, Google entered into a definitive agreement to acquire Wiz, a leading cloud security platform, for $32.0 billion, subject to closing adjustments, in an all-cash transaction. The acquisition of Wiz is expected to close in 2026, subject to customary closing conditions, including the receipt of regulatory approvals. Upon the close of the acquisition, Wiz will be part of the Google Cloud segment.</t>
  </si>
  <si>
    <t xml:space="preserve">Repurchases </t>
  </si>
  <si>
    <t xml:space="preserve">Repurchases of Class A and Class C shares were $2.8 billion and $12.5 billion, respectively, totaling $15.3 billion for the three months ended March 31, 2025. </t>
  </si>
  <si>
    <t>OI&amp;E</t>
  </si>
  <si>
    <t>OI&amp;E of $11.2 billion for the three months ended March 31, 2025 included an $8.0 billion unrealized gain on our non-marketable equity securities related to our investment in a private company.</t>
  </si>
  <si>
    <t>Capital expenditures, which primarily reflected investments in technical infrastructure, were $17.2 billion for the three months ended March 31, 2025.</t>
  </si>
  <si>
    <t>Employees</t>
  </si>
  <si>
    <t>Capital expenditures, which primarily reflected investments in technical infrastructure, were $22.4 billion for the three months ended June 30, 2025.</t>
  </si>
  <si>
    <t>Repurchases of Class A and Class C shares were $2.5 billion and $10.7 billion, respectively, totaling $13.3 billion for the three months ended June 30, 2025.</t>
  </si>
  <si>
    <t>Issuance of Notes</t>
  </si>
  <si>
    <t>In May 2025, Alphabet issued fixed-rate senior unsecured notes for net proceeds of $12.5 billion to be used for general corporate purposes.</t>
  </si>
  <si>
    <t>General and administrative expenses of $5.2 billion for the three months ended June 30, 2025 included a $1.4 billion charge in our Google Services segment related to a settlement in principle of certain legal matters</t>
  </si>
  <si>
    <t>Q226</t>
  </si>
  <si>
    <t>Q326</t>
  </si>
  <si>
    <t>Q426</t>
  </si>
  <si>
    <t>Q127</t>
  </si>
  <si>
    <t>Q227</t>
  </si>
  <si>
    <t>Ad spending worldwide forecast in 2025</t>
  </si>
  <si>
    <t>US ad spending forecast in 2025</t>
  </si>
  <si>
    <t>Ad share in revenue</t>
  </si>
  <si>
    <t>Cloud share in revenue</t>
  </si>
  <si>
    <t>Google ad share worldwide in 2025</t>
  </si>
  <si>
    <t>Google ad share in US in 2025</t>
  </si>
  <si>
    <t>USA share in total revenue</t>
  </si>
  <si>
    <t>G&amp;A Margin</t>
  </si>
  <si>
    <t>S&amp;M Margin</t>
  </si>
  <si>
    <t>Q327</t>
  </si>
  <si>
    <t>Q427</t>
  </si>
  <si>
    <t xml:space="preserve">Global Cloud </t>
  </si>
  <si>
    <t>Google Cloud share worldwide</t>
  </si>
  <si>
    <t>Global Cloud CAGR 2026-2030</t>
  </si>
  <si>
    <t>Global Cloud CAGR 2030-2035</t>
  </si>
  <si>
    <t>Global Ad CAGR 2025-2033</t>
  </si>
  <si>
    <t>Revenue forecast based on Ad and Cloud global forecasts</t>
  </si>
  <si>
    <t>Y/Y Revenue Forecast</t>
  </si>
  <si>
    <t>Return</t>
  </si>
  <si>
    <t>MSFT Cloud share worldwide</t>
  </si>
  <si>
    <t>Product sales</t>
  </si>
  <si>
    <t>Service sales</t>
  </si>
  <si>
    <t>CASH FLOWS</t>
  </si>
  <si>
    <t>Stock Compensation</t>
  </si>
  <si>
    <t>Non-operating expense</t>
  </si>
  <si>
    <t>PP&amp;E sales</t>
  </si>
  <si>
    <t>Marketable securities</t>
  </si>
  <si>
    <t>Short-term debt</t>
  </si>
  <si>
    <t>Long-term debt</t>
  </si>
  <si>
    <t>Principal of leases</t>
  </si>
  <si>
    <t>Principal of obligations</t>
  </si>
  <si>
    <t>FX adj</t>
  </si>
  <si>
    <t>EOP Cash</t>
  </si>
  <si>
    <t>Cash &amp; equivalents</t>
  </si>
  <si>
    <t>CapEx Margin</t>
  </si>
  <si>
    <t>BOP Cash</t>
  </si>
  <si>
    <t>AWS</t>
  </si>
  <si>
    <t>Online stores</t>
  </si>
  <si>
    <t>Physical stores</t>
  </si>
  <si>
    <t>Third-party seller services</t>
  </si>
  <si>
    <t>Ad services</t>
  </si>
  <si>
    <t>Subscription services</t>
  </si>
  <si>
    <t>AWS % in Revenue</t>
  </si>
  <si>
    <t>Products Y/Y</t>
  </si>
  <si>
    <t>Services Y/Y</t>
  </si>
  <si>
    <t xml:space="preserve">Product % </t>
  </si>
  <si>
    <t>Service %</t>
  </si>
  <si>
    <t>NI Y/Y</t>
  </si>
  <si>
    <t>AWS Cloud share worldwide</t>
  </si>
  <si>
    <t>EV/P</t>
  </si>
  <si>
    <t>BABA</t>
  </si>
  <si>
    <t xml:space="preserve">Alibaba Cloud share </t>
  </si>
  <si>
    <t>Oracle Cloud Share</t>
  </si>
  <si>
    <t>Revenue to SG&amp;A</t>
  </si>
  <si>
    <t>PP&amp;A Q/Q</t>
  </si>
  <si>
    <t>2025 CapEx+Principal on lease guidance</t>
  </si>
  <si>
    <t>64-72B</t>
  </si>
  <si>
    <t>Y/Y stats</t>
  </si>
  <si>
    <t>Assets Y/Y</t>
  </si>
  <si>
    <t>Products</t>
  </si>
  <si>
    <t>Product R Y/Y</t>
  </si>
  <si>
    <t>Service R Y/Y</t>
  </si>
  <si>
    <t>Service margin</t>
  </si>
  <si>
    <t>Product margin</t>
  </si>
  <si>
    <t>Revenue by region</t>
  </si>
  <si>
    <t>Americas</t>
  </si>
  <si>
    <t>Europe</t>
  </si>
  <si>
    <t>Greater China</t>
  </si>
  <si>
    <t>Japan</t>
  </si>
  <si>
    <t>Rest of Asia Pacific</t>
  </si>
  <si>
    <t>Revenue by category</t>
  </si>
  <si>
    <t>iPhone</t>
  </si>
  <si>
    <t>iPad</t>
  </si>
  <si>
    <t>Wearables</t>
  </si>
  <si>
    <t>CASH FLOW</t>
  </si>
  <si>
    <t>Share-based compensation</t>
  </si>
  <si>
    <t>Vendro receivables</t>
  </si>
  <si>
    <t>Inv.</t>
  </si>
  <si>
    <t>Repurchases of stock</t>
  </si>
  <si>
    <r>
      <t xml:space="preserve">Gross Profit
</t>
    </r>
    <r>
      <rPr>
        <sz val="10"/>
        <color theme="1"/>
        <rFont val="Arial"/>
        <family val="2"/>
      </rPr>
      <t xml:space="preserve">Revenue </t>
    </r>
  </si>
  <si>
    <r>
      <t xml:space="preserve">SG&amp;A
</t>
    </r>
    <r>
      <rPr>
        <sz val="10"/>
        <color theme="1"/>
        <rFont val="Arial"/>
        <family val="2"/>
      </rPr>
      <t xml:space="preserve">Gross Profit </t>
    </r>
  </si>
  <si>
    <r>
      <t xml:space="preserve">R&amp;D
</t>
    </r>
    <r>
      <rPr>
        <sz val="10"/>
        <color theme="1"/>
        <rFont val="Arial"/>
        <family val="2"/>
      </rPr>
      <t xml:space="preserve">Gross Profit </t>
    </r>
  </si>
  <si>
    <r>
      <t xml:space="preserve">Depreciation
</t>
    </r>
    <r>
      <rPr>
        <sz val="10"/>
        <color theme="1"/>
        <rFont val="Arial"/>
        <family val="2"/>
      </rPr>
      <t xml:space="preserve"> Gross Profit </t>
    </r>
  </si>
  <si>
    <r>
      <t xml:space="preserve">Interest
</t>
    </r>
    <r>
      <rPr>
        <sz val="10"/>
        <color theme="1"/>
        <rFont val="Arial"/>
        <family val="2"/>
      </rPr>
      <t>Operating Income</t>
    </r>
  </si>
  <si>
    <r>
      <t xml:space="preserve">Taxes
</t>
    </r>
    <r>
      <rPr>
        <sz val="10"/>
        <color theme="1"/>
        <rFont val="Arial"/>
        <family val="2"/>
      </rPr>
      <t>Pre-Tax Income</t>
    </r>
  </si>
  <si>
    <r>
      <t xml:space="preserve">Net Income
</t>
    </r>
    <r>
      <rPr>
        <sz val="10"/>
        <color theme="1"/>
        <rFont val="Arial"/>
        <family val="2"/>
      </rPr>
      <t xml:space="preserve">Revenue </t>
    </r>
  </si>
  <si>
    <r>
      <t xml:space="preserve">Year 2 EPS
</t>
    </r>
    <r>
      <rPr>
        <sz val="10"/>
        <color theme="1"/>
        <rFont val="Arial"/>
        <family val="2"/>
      </rPr>
      <t>Year 1 EPS</t>
    </r>
  </si>
  <si>
    <r>
      <t xml:space="preserve">Total Liabilities
</t>
    </r>
    <r>
      <rPr>
        <sz val="10"/>
        <color theme="1"/>
        <rFont val="Arial"/>
        <family val="2"/>
      </rPr>
      <t>Shareholder Equity + Treasury Stock</t>
    </r>
  </si>
  <si>
    <r>
      <t xml:space="preserve">Yr 2 Retained Earnings
</t>
    </r>
    <r>
      <rPr>
        <sz val="10"/>
        <color theme="1"/>
        <rFont val="Arial"/>
        <family val="2"/>
      </rPr>
      <t>Yr 1 Retained Earnings</t>
    </r>
  </si>
  <si>
    <r>
      <rPr>
        <u/>
        <sz val="10"/>
        <color theme="1"/>
        <rFont val="Arial"/>
        <family val="2"/>
      </rPr>
      <t xml:space="preserve">Capex
</t>
    </r>
    <r>
      <rPr>
        <sz val="10"/>
        <color theme="1"/>
        <rFont val="Arial"/>
        <family val="2"/>
      </rPr>
      <t>Net Income</t>
    </r>
  </si>
  <si>
    <t>BBAI</t>
  </si>
  <si>
    <t>FCF Margin</t>
  </si>
  <si>
    <t>IBM Cloud Share</t>
  </si>
  <si>
    <t>Snowflake Cloud Share</t>
  </si>
  <si>
    <t>Pegasystems Cloud Share</t>
  </si>
  <si>
    <t>Attlassian Cloud Share</t>
  </si>
  <si>
    <t>AFRM</t>
  </si>
  <si>
    <t>Q3FY25</t>
  </si>
  <si>
    <t xml:space="preserve">EU Fines  </t>
  </si>
  <si>
    <t xml:space="preserve">9/5/25, EC imposed $3.5bn fine </t>
  </si>
  <si>
    <t>$0.21 per share</t>
  </si>
  <si>
    <t>Quorter updates: Other</t>
  </si>
  <si>
    <t>Announced expansions to Dallas, Nashville, Denver, and Seattle.</t>
  </si>
  <si>
    <r>
      <t xml:space="preserve">Next year, </t>
    </r>
    <r>
      <rPr>
        <b/>
        <sz val="10"/>
        <color theme="1"/>
        <rFont val="Arial"/>
        <family val="2"/>
      </rPr>
      <t>Waymo</t>
    </r>
    <r>
      <rPr>
        <sz val="10"/>
        <color theme="1"/>
        <rFont val="Arial"/>
        <family val="2"/>
      </rPr>
      <t xml:space="preserve"> aims to open service in London and is working to bring service to Tokyo.</t>
    </r>
  </si>
  <si>
    <r>
      <t xml:space="preserve">Releasing </t>
    </r>
    <r>
      <rPr>
        <b/>
        <sz val="10"/>
        <color theme="1"/>
        <rFont val="Arial"/>
        <family val="2"/>
      </rPr>
      <t>Gemini 3</t>
    </r>
    <r>
      <rPr>
        <sz val="10"/>
        <color theme="1"/>
        <rFont val="Arial"/>
        <family val="2"/>
      </rPr>
      <t xml:space="preserve"> later this year.</t>
    </r>
  </si>
  <si>
    <r>
      <rPr>
        <b/>
        <sz val="10"/>
        <color theme="1"/>
        <rFont val="Arial"/>
        <family val="2"/>
      </rPr>
      <t>Willow quantum chip</t>
    </r>
    <r>
      <rPr>
        <sz val="10"/>
        <color theme="1"/>
        <rFont val="Arial"/>
        <family val="2"/>
      </rPr>
      <t>'s breakthrough is paving the way to future practical applications.</t>
    </r>
  </si>
  <si>
    <r>
      <t xml:space="preserve">More </t>
    </r>
    <r>
      <rPr>
        <b/>
        <sz val="10"/>
        <color theme="1"/>
        <rFont val="Arial"/>
        <family val="2"/>
      </rPr>
      <t>agentic capabilities in Chrome</t>
    </r>
    <r>
      <rPr>
        <sz val="10"/>
        <color theme="1"/>
        <rFont val="Arial"/>
        <family val="2"/>
      </rPr>
      <t xml:space="preserve"> (integrated with Gemini and AI Mode in Search) are coming soon.</t>
    </r>
  </si>
  <si>
    <t>Secured permission to operate fully autonomously at San Jose and San Francisco Airports</t>
  </si>
  <si>
    <t>Quorter highlights:</t>
  </si>
  <si>
    <t>GitHub Copilot: &gt;26M users.</t>
  </si>
  <si>
    <t>900M monthly active users (MAUs) of AI features across products.</t>
  </si>
  <si>
    <t>150M+ MAUs for first-party Copilots (spanning info work, coding, security, etc.).</t>
  </si>
  <si>
    <t>Microsoft 365 Copilot: Adoption +50% QoQ; Tens of millions of chat users; &gt;90% Fortune 500 adoption; Agent users doubled QoQ.</t>
  </si>
  <si>
    <t>Phi SLMs: &gt;60M downloads (+3x YoY).</t>
  </si>
  <si>
    <t>Security: 1B MAUs for Entra; 16B Copilot interactions audited by Purview (+72% QoQ); 40K Sentinel customers; 100T daily signals.</t>
  </si>
  <si>
    <t>Health/Science: Dragon Copilot documented 17M+ patient encounters (+~5x YoY); 650+ healthcare orgs using Ambient listening.</t>
  </si>
  <si>
    <t>Consumer Copilot app: Daily users + nearly 50% QoQ.</t>
  </si>
  <si>
    <t>AI capacity to increase &gt;80% in 2025; Data center footprint to ~double over next 2 years.</t>
  </si>
  <si>
    <t>LinkedIn: ~1.3B members; Revenue +9% (weak hiring market).</t>
  </si>
  <si>
    <t>GitHub: &gt;180M developers (+1/sec); &gt;500M pull requests merged past year.</t>
  </si>
  <si>
    <t>Minecraft: 155M MAUs.</t>
  </si>
  <si>
    <t>OpenAI commit ($250B Azure) not yet reflected; AI investments for ROI/TCO; Agentic AI as UI shift.
Compared to Alphabet: Microsoft guides higher cloud growth (Azure 37% vs. Google Cloud 34%), but flags constraints; Alphabet raised 2025 capex to $91–93B (significant 2026 increase), while Microsoft expects higher FY2026 capex without $ figure—both signal AI infra race.</t>
  </si>
  <si>
    <t>3.5B daily active people across apps.</t>
  </si>
  <si>
    <t>Instagram: 3B MAUs; Video time spent +30% YoY.</t>
  </si>
  <si>
    <t>Facebook: Time spent +5% in Q3 due to AI recs.</t>
  </si>
  <si>
    <t>Threads: 150M daily actives (DAUs), Time spent +10%.</t>
  </si>
  <si>
    <t>Meta AI: &gt;1B MAUs;</t>
  </si>
  <si>
    <t>Reels: Annual run rate (ARR) &gt;$50B.</t>
  </si>
  <si>
    <t>AI ad tools: ARR &gt;$60B;</t>
  </si>
  <si>
    <t>Net Working Capital</t>
  </si>
  <si>
    <t>YoY Growth</t>
  </si>
  <si>
    <t>Current Ratio</t>
  </si>
  <si>
    <t>Cash Ratio</t>
  </si>
  <si>
    <t>Debt-to-Equity</t>
  </si>
  <si>
    <t>CapEx YoY</t>
  </si>
  <si>
    <t>PP&amp;E QoQ</t>
  </si>
  <si>
    <t xml:space="preserve">Capital Structure = relative proportions of debt, equity, and other securities that a firm has outstanding </t>
  </si>
  <si>
    <t>PP&amp;A seq growth</t>
  </si>
  <si>
    <t>Cons: 175-185</t>
  </si>
  <si>
    <r>
      <rPr>
        <b/>
        <sz val="10"/>
        <color rgb="FFFF0000"/>
        <rFont val="Arial"/>
        <family val="2"/>
      </rPr>
      <t xml:space="preserve">Google Antigravity </t>
    </r>
    <r>
      <rPr>
        <sz val="10"/>
        <color theme="1"/>
        <rFont val="Arial"/>
        <family val="2"/>
      </rPr>
      <t>— their agentic development platform — is gaining fast traction among developers.</t>
    </r>
  </si>
  <si>
    <r>
      <rPr>
        <b/>
        <sz val="10"/>
        <color rgb="FFFF0000"/>
        <rFont val="Arial"/>
        <family val="2"/>
      </rPr>
      <t>Gemini 3 Pro</t>
    </r>
    <r>
      <rPr>
        <sz val="10"/>
        <color theme="1"/>
        <rFont val="Arial"/>
        <family val="2"/>
      </rPr>
      <t xml:space="preserve"> adoption is extremely strong; it processes multiples of the token volume of older versions.  improved efficiency, lowering the cost of running Gemini models.</t>
    </r>
  </si>
  <si>
    <r>
      <t xml:space="preserve">Massive rollout of AI features across Search, Gmail, Chrome, YouTube, Android, and Pixel. </t>
    </r>
    <r>
      <rPr>
        <b/>
        <sz val="10"/>
        <color rgb="FFFF0000"/>
        <rFont val="Arial"/>
        <family val="2"/>
      </rPr>
      <t>Project Genie</t>
    </r>
    <r>
      <rPr>
        <sz val="10"/>
        <color theme="1"/>
        <rFont val="Arial"/>
        <family val="2"/>
      </rPr>
      <t xml:space="preserve"> (Early research prototype) introduces real‑time generative “interactive worlds.” Google is collaborating with partners like </t>
    </r>
    <r>
      <rPr>
        <sz val="10"/>
        <color rgb="FFFF0000"/>
        <rFont val="Arial"/>
        <family val="2"/>
      </rPr>
      <t>Samsung</t>
    </r>
    <r>
      <rPr>
        <sz val="10"/>
        <color theme="1"/>
        <rFont val="Arial"/>
        <family val="2"/>
      </rPr>
      <t xml:space="preserve"> to bring Gemini to more device categories. </t>
    </r>
    <r>
      <rPr>
        <b/>
        <sz val="10"/>
        <color rgb="FFFF0000"/>
        <rFont val="Arial"/>
        <family val="2"/>
      </rPr>
      <t>Pixel 10a</t>
    </r>
    <r>
      <rPr>
        <sz val="10"/>
        <color theme="1"/>
        <rFont val="Arial"/>
        <family val="2"/>
      </rPr>
      <t xml:space="preserve"> announcement teased.</t>
    </r>
  </si>
  <si>
    <r>
      <rPr>
        <b/>
        <sz val="10"/>
        <color rgb="FFFF0000"/>
        <rFont val="Arial"/>
        <family val="2"/>
      </rPr>
      <t>Google Cloud</t>
    </r>
    <r>
      <rPr>
        <sz val="10"/>
        <color theme="1"/>
        <rFont val="Arial"/>
        <family val="2"/>
      </rPr>
      <t>: Customer wins are accelerating, with larger deal commitments and higher utilization by existing customers. Enterprise customers are adopting Google’s full AI stack: Gemini, Imagen, Veo, Chirp, Lyria. Enterprise AI agents and vertically‑optimized AI. Google is now the preferred cloud provider for</t>
    </r>
    <r>
      <rPr>
        <b/>
        <sz val="10"/>
        <color rgb="FFFF0000"/>
        <rFont val="Arial"/>
        <family val="2"/>
      </rPr>
      <t xml:space="preserve"> Apple</t>
    </r>
    <r>
      <rPr>
        <sz val="10"/>
        <color theme="1"/>
        <rFont val="Arial"/>
        <family val="2"/>
      </rPr>
      <t>’s next-generation foundational models — a major strategic partnership.</t>
    </r>
  </si>
  <si>
    <r>
      <rPr>
        <b/>
        <sz val="10"/>
        <color rgb="FFFF0000"/>
        <rFont val="Arial"/>
        <family val="2"/>
      </rPr>
      <t>YouTube</t>
    </r>
    <r>
      <rPr>
        <sz val="10"/>
        <color theme="1"/>
        <rFont val="Arial"/>
        <family val="2"/>
      </rPr>
      <t>: remains the #1 streaming service in the U.S. living room; Massive spike in podcast viewership on TVs. Over a million channels used new AI creation tools daily in December. YouTube Music and Premium subscriptions continue to scale quickly. New YouTube TV plan configurations, including genre‑specific packs, are rolling out. Strong advertiser adoption of shoppable ad formats and creator‑driven brand integrations.</t>
    </r>
  </si>
  <si>
    <r>
      <rPr>
        <b/>
        <sz val="10"/>
        <color rgb="FFFF0000"/>
        <rFont val="Arial"/>
        <family val="2"/>
      </rPr>
      <t xml:space="preserve">Waymo: </t>
    </r>
    <r>
      <rPr>
        <sz val="10"/>
        <color theme="1"/>
        <rFont val="Arial"/>
        <family val="2"/>
      </rPr>
      <t>Surpassed 20 million fully autonomous rides and is providing hundreds of thousands of rides weekly. Expanded to Miami and preparing for rollouts across multiple U.S. cities, the U.K., and Japan. Opened up airport and freeway routes. Closed its largest investment round, enabling accelerated global expansion.</t>
    </r>
  </si>
  <si>
    <r>
      <t xml:space="preserve">The </t>
    </r>
    <r>
      <rPr>
        <b/>
        <sz val="10"/>
        <color rgb="FFFF0000"/>
        <rFont val="Arial"/>
        <family val="2"/>
      </rPr>
      <t>Universal Commerce Protocol (UCP</t>
    </r>
    <r>
      <rPr>
        <sz val="10"/>
        <color rgb="FFFF0000"/>
        <rFont val="Arial"/>
        <family val="2"/>
      </rPr>
      <t xml:space="preserve">) </t>
    </r>
    <r>
      <rPr>
        <sz val="10"/>
        <color theme="1"/>
        <rFont val="Arial"/>
        <family val="2"/>
      </rPr>
      <t>is an open standard designed for the future of commerce, empowering you to turn AI interactions into instant sales.</t>
    </r>
    <r>
      <rPr>
        <sz val="10"/>
        <color theme="1"/>
        <rFont val="Arial"/>
        <family val="2"/>
      </rPr>
      <t xml:space="preserve"> aims to unify shopping experiences across Google products.</t>
    </r>
  </si>
  <si>
    <r>
      <rPr>
        <b/>
        <sz val="10"/>
        <color rgb="FFFF0000"/>
        <rFont val="Arial"/>
        <family val="2"/>
      </rPr>
      <t>AI Compute Constraints</t>
    </r>
    <r>
      <rPr>
        <sz val="10"/>
        <color theme="1"/>
        <rFont val="Arial"/>
        <family val="2"/>
      </rPr>
      <t xml:space="preserve">: Google expects to remain supply‑constrained due to extraordinary AI demand. </t>
    </r>
    <r>
      <rPr>
        <b/>
        <sz val="10"/>
        <color theme="1"/>
        <rFont val="Arial"/>
        <family val="2"/>
      </rPr>
      <t>Major focus on scaling compute, managing power and supply chain challenges.</t>
    </r>
  </si>
  <si>
    <r>
      <t xml:space="preserve">A recent acquisition of </t>
    </r>
    <r>
      <rPr>
        <b/>
        <sz val="10"/>
        <color rgb="FFFF0000"/>
        <rFont val="Arial"/>
        <family val="2"/>
      </rPr>
      <t xml:space="preserve">Intersect </t>
    </r>
    <r>
      <rPr>
        <sz val="10"/>
        <color theme="1"/>
        <rFont val="Arial"/>
        <family val="2"/>
      </rPr>
      <t>aims to strengthen data‑center and energy infrastructure. Deal expected to close in H1 2026</t>
    </r>
  </si>
  <si>
    <r>
      <t xml:space="preserve">Google is buying </t>
    </r>
    <r>
      <rPr>
        <b/>
        <sz val="10"/>
        <color theme="1"/>
        <rFont val="Arial"/>
        <family val="2"/>
      </rPr>
      <t>Intersect (Data center + energy infrastructure projects, Developing multi‑gigawatt energy solutions including solar, long‑duration storage, renewables, and even gas with carbon capture to support the massive power needs of AI workloads)</t>
    </r>
    <r>
      <rPr>
        <sz val="10"/>
        <color theme="1"/>
        <rFont val="Arial"/>
        <family val="2"/>
      </rPr>
      <t xml:space="preserve"> for $4.75B to secure massive, dedicated clean‑energy capacity for its AI data centers, enabling faster expansion, lower risk, and deep vertical integration of power generation and compute infrastructure.</t>
    </r>
  </si>
  <si>
    <t>Headcount</t>
  </si>
  <si>
    <r>
      <t xml:space="preserve">Full‑year 2026 </t>
    </r>
    <r>
      <rPr>
        <b/>
        <sz val="10"/>
        <color rgb="FFFF0000"/>
        <rFont val="Arial"/>
        <family val="2"/>
      </rPr>
      <t>CapEx guidance: $115B–$135B,</t>
    </r>
    <r>
      <rPr>
        <sz val="10"/>
        <color theme="1"/>
        <rFont val="Arial"/>
        <family val="2"/>
      </rPr>
      <t xml:space="preserve"> representing a major step‑up.</t>
    </r>
  </si>
  <si>
    <t>AI infrastructure expansion</t>
  </si>
  <si>
    <t>Continued support for core business compute needs (ranking, recommendations, ads systems)</t>
  </si>
  <si>
    <t>Investments to support Meta Superintelligence Labs (MSL)</t>
  </si>
  <si>
    <t>Driven primarily by:</t>
  </si>
  <si>
    <t>Reach &amp; Engagement</t>
  </si>
  <si>
    <t>3.5B daily active people across Meta’s Family of Apps.</t>
  </si>
  <si>
    <t>Meta AI: Available in 200+ markets, DAU engagement varies by region; usage driven mainly by WhatsApp in India/Indonesia and Facebook in the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</si>
</sst>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164" formatCode="0.0%"/>
    <numFmt numFmtId="165" formatCode="#,##0.0"/>
    <numFmt numFmtId="166" formatCode="0.000%"/>
    <numFmt numFmtId="167" formatCode="m/d/yy;@"/>
    <numFmt numFmtId="168" formatCode="#,##0.0\ ;\(#,##0.0\)"/>
  </numFmts>
  <fonts count="31"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b/>
      <sz val="11"/>
      <color theme="1"/>
      <name val="Calibri"/>
      <family val="2"/>
      <scheme val="minor"/>
    </font>
    <font>
      <u/>
      <sz val="11"/>
      <color theme="10"/>
      <name val="Calibri"/>
      <family val="2"/>
      <scheme val="minor"/>
    </font>
    <font>
      <sz val="8"/>
      <name val="Calibri"/>
      <family val="2"/>
      <scheme val="minor"/>
    </font>
    <font>
      <sz val="9"/>
      <color indexed="81"/>
      <name val="Tahoma"/>
      <family val="2"/>
    </font>
    <font>
      <b/>
      <sz val="9"/>
      <color indexed="81"/>
      <name val="Tahoma"/>
      <family val="2"/>
    </font>
    <font>
      <sz val="11"/>
      <name val="Calibri"/>
      <family val="2"/>
      <scheme val="minor"/>
    </font>
    <font>
      <b/>
      <sz val="11"/>
      <name val="Calibri"/>
      <family val="2"/>
      <scheme val="minor"/>
    </font>
    <font>
      <sz val="10"/>
      <name val="Segoe UI"/>
      <family val="2"/>
    </font>
    <font>
      <u/>
      <sz val="11"/>
      <color theme="1"/>
      <name val="Calibri"/>
      <family val="2"/>
      <scheme val="minor"/>
    </font>
    <font>
      <u/>
      <sz val="10"/>
      <color theme="10"/>
      <name val="Arial"/>
      <family val="2"/>
    </font>
    <font>
      <sz val="10"/>
      <color theme="1"/>
      <name val="Arial"/>
      <family val="2"/>
    </font>
    <font>
      <b/>
      <u/>
      <sz val="10"/>
      <color theme="1"/>
      <name val="Arial"/>
      <family val="2"/>
    </font>
    <font>
      <b/>
      <sz val="10"/>
      <color theme="1"/>
      <name val="Arial"/>
      <family val="2"/>
    </font>
    <font>
      <sz val="10"/>
      <name val="Arial"/>
      <family val="2"/>
    </font>
    <font>
      <b/>
      <i/>
      <u/>
      <sz val="10"/>
      <color theme="1"/>
      <name val="Arial"/>
      <family val="2"/>
    </font>
    <font>
      <u/>
      <sz val="10"/>
      <color theme="1"/>
      <name val="Arial"/>
      <family val="2"/>
    </font>
    <font>
      <sz val="10"/>
      <color rgb="FF000000"/>
      <name val="Arial"/>
      <family val="2"/>
    </font>
    <font>
      <sz val="10"/>
      <color rgb="FF040C28"/>
      <name val="Arial"/>
      <family val="2"/>
    </font>
    <font>
      <sz val="11"/>
      <color theme="1"/>
      <name val="Calibri"/>
      <family val="2"/>
      <scheme val="minor"/>
    </font>
    <font>
      <sz val="10"/>
      <color rgb="FFFF0000"/>
      <name val="Arial"/>
      <family val="2"/>
    </font>
    <font>
      <b/>
      <sz val="10"/>
      <color rgb="FFFF0000"/>
      <name val="Arial"/>
      <family val="2"/>
    </font>
  </fonts>
  <fills count="3">
    <fill>
      <patternFill patternType="none"/>
    </fill>
    <fill>
      <patternFill patternType="gray125"/>
    </fill>
    <fill>
      <patternFill patternType="solid">
        <fgColor theme="4" tint="0.39997558519241921"/>
        <bgColor indexed="64"/>
      </patternFill>
    </fill>
  </fills>
  <borders count="39">
    <border>
      <left/>
      <right/>
      <top/>
      <bottom/>
      <diagonal/>
    </border>
    <border>
      <left/>
      <right style="thin">
        <color rgb="FF00B0F0"/>
      </right>
      <top/>
      <bottom/>
      <diagonal/>
    </border>
    <border>
      <left/>
      <right/>
      <top style="thin">
        <color theme="1"/>
      </top>
      <bottom/>
      <diagonal/>
    </border>
    <border>
      <left style="thin">
        <color theme="1"/>
      </left>
      <right/>
      <top/>
      <bottom/>
      <diagonal/>
    </border>
    <border>
      <left style="thin">
        <color theme="1"/>
      </left>
      <right/>
      <top style="thin">
        <color theme="1"/>
      </top>
      <bottom/>
      <diagonal/>
    </border>
    <border>
      <left style="medium">
        <color theme="1"/>
      </left>
      <right/>
      <top style="medium">
        <color theme="1"/>
      </top>
      <bottom style="thin">
        <color theme="1"/>
      </bottom>
      <diagonal/>
    </border>
    <border>
      <left/>
      <right/>
      <top style="medium">
        <color theme="1"/>
      </top>
      <bottom style="thin">
        <color theme="1"/>
      </bottom>
      <diagonal/>
    </border>
    <border>
      <left style="thin">
        <color theme="1"/>
      </left>
      <right/>
      <top style="medium">
        <color theme="1"/>
      </top>
      <bottom style="thin">
        <color theme="1"/>
      </bottom>
      <diagonal/>
    </border>
    <border>
      <left style="medium">
        <color theme="1"/>
      </left>
      <right/>
      <top/>
      <bottom/>
      <diagonal/>
    </border>
    <border>
      <left/>
      <right style="medium">
        <color theme="1"/>
      </right>
      <top/>
      <bottom/>
      <diagonal/>
    </border>
    <border>
      <left style="medium">
        <color theme="1"/>
      </left>
      <right/>
      <top style="thin">
        <color theme="1"/>
      </top>
      <bottom/>
      <diagonal/>
    </border>
    <border>
      <left style="medium">
        <color theme="1"/>
      </left>
      <right/>
      <top/>
      <bottom style="medium">
        <color theme="1"/>
      </bottom>
      <diagonal/>
    </border>
    <border>
      <left/>
      <right/>
      <top/>
      <bottom style="medium">
        <color theme="1"/>
      </bottom>
      <diagonal/>
    </border>
    <border>
      <left style="thin">
        <color theme="1"/>
      </left>
      <right/>
      <top/>
      <bottom style="medium">
        <color theme="1"/>
      </bottom>
      <diagonal/>
    </border>
    <border>
      <left/>
      <right style="medium">
        <color theme="1"/>
      </right>
      <top/>
      <bottom style="medium">
        <color theme="1"/>
      </bottom>
      <diagonal/>
    </border>
    <border>
      <left/>
      <right style="medium">
        <color theme="1"/>
      </right>
      <top style="medium">
        <color theme="1"/>
      </top>
      <bottom style="thin">
        <color theme="1"/>
      </bottom>
      <diagonal/>
    </border>
    <border>
      <left/>
      <right style="medium">
        <color theme="1"/>
      </right>
      <top style="thin">
        <color theme="1"/>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thin">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s>
  <cellStyleXfs count="3">
    <xf numFmtId="0" fontId="0" fillId="0" borderId="0"/>
    <xf numFmtId="0" fontId="11" fillId="0" borderId="0" applyNumberFormat="0" applyFill="0" applyBorder="0" applyAlignment="0" applyProtection="0"/>
    <xf numFmtId="168" fontId="28" fillId="0" borderId="0"/>
  </cellStyleXfs>
  <cellXfs count="226">
    <xf numFmtId="0" fontId="0" fillId="0" borderId="0" xfId="0"/>
    <xf numFmtId="0" fontId="10" fillId="0" borderId="0" xfId="0" applyFont="1"/>
    <xf numFmtId="3" fontId="0" fillId="0" borderId="0" xfId="0" applyNumberFormat="1"/>
    <xf numFmtId="4" fontId="0" fillId="0" borderId="0" xfId="0" applyNumberFormat="1"/>
    <xf numFmtId="9" fontId="10" fillId="0" borderId="0" xfId="0" applyNumberFormat="1" applyFont="1"/>
    <xf numFmtId="3" fontId="10" fillId="0" borderId="0" xfId="0" applyNumberFormat="1" applyFont="1"/>
    <xf numFmtId="0" fontId="11" fillId="0" borderId="0" xfId="1"/>
    <xf numFmtId="9" fontId="0" fillId="0" borderId="0" xfId="0" applyNumberFormat="1"/>
    <xf numFmtId="164" fontId="0" fillId="0" borderId="0" xfId="0" applyNumberFormat="1"/>
    <xf numFmtId="10" fontId="0" fillId="0" borderId="0" xfId="0" applyNumberFormat="1"/>
    <xf numFmtId="38" fontId="0" fillId="0" borderId="0" xfId="0" applyNumberFormat="1"/>
    <xf numFmtId="2" fontId="0" fillId="0" borderId="0" xfId="0" applyNumberFormat="1"/>
    <xf numFmtId="165" fontId="0" fillId="0" borderId="0" xfId="0" applyNumberFormat="1"/>
    <xf numFmtId="0" fontId="10" fillId="0" borderId="0" xfId="0" applyFont="1" applyAlignment="1">
      <alignment wrapText="1"/>
    </xf>
    <xf numFmtId="0" fontId="0" fillId="0" borderId="17" xfId="0" applyBorder="1"/>
    <xf numFmtId="3" fontId="0" fillId="0" borderId="17" xfId="0" applyNumberFormat="1" applyBorder="1"/>
    <xf numFmtId="10" fontId="0" fillId="0" borderId="17" xfId="0" applyNumberFormat="1" applyBorder="1"/>
    <xf numFmtId="0" fontId="0" fillId="0" borderId="20" xfId="0" applyBorder="1"/>
    <xf numFmtId="0" fontId="0" fillId="0" borderId="21" xfId="0" applyBorder="1"/>
    <xf numFmtId="0" fontId="0" fillId="0" borderId="23"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10" fillId="0" borderId="22" xfId="0" applyFont="1" applyBorder="1"/>
    <xf numFmtId="0" fontId="10" fillId="0" borderId="22" xfId="0" applyFont="1" applyBorder="1" applyAlignment="1">
      <alignment horizontal="left" vertical="center" indent="2"/>
    </xf>
    <xf numFmtId="0" fontId="0" fillId="0" borderId="22" xfId="0" applyBorder="1" applyAlignment="1">
      <alignment horizontal="left" indent="1"/>
    </xf>
    <xf numFmtId="0" fontId="0" fillId="0" borderId="24" xfId="0" applyBorder="1" applyAlignment="1">
      <alignment horizontal="left" indent="1"/>
    </xf>
    <xf numFmtId="0" fontId="10" fillId="0" borderId="24" xfId="0" applyFont="1" applyBorder="1" applyAlignment="1">
      <alignment horizontal="left" indent="2"/>
    </xf>
    <xf numFmtId="164" fontId="10" fillId="0" borderId="22" xfId="0" applyNumberFormat="1" applyFont="1" applyBorder="1" applyAlignment="1">
      <alignment horizontal="left" vertical="center" indent="2"/>
    </xf>
    <xf numFmtId="164" fontId="0" fillId="0" borderId="23" xfId="0" applyNumberFormat="1" applyBorder="1"/>
    <xf numFmtId="164" fontId="0" fillId="0" borderId="25" xfId="0" applyNumberFormat="1" applyBorder="1"/>
    <xf numFmtId="164" fontId="0" fillId="0" borderId="26" xfId="0" applyNumberFormat="1" applyBorder="1"/>
    <xf numFmtId="0" fontId="10" fillId="0" borderId="22" xfId="0" applyFont="1" applyBorder="1" applyAlignment="1">
      <alignment horizontal="left" indent="1"/>
    </xf>
    <xf numFmtId="3" fontId="0" fillId="0" borderId="23" xfId="0" applyNumberFormat="1" applyBorder="1"/>
    <xf numFmtId="3" fontId="10" fillId="0" borderId="22" xfId="0" applyNumberFormat="1" applyFont="1" applyBorder="1" applyAlignment="1">
      <alignment horizontal="left" indent="1"/>
    </xf>
    <xf numFmtId="3" fontId="0" fillId="0" borderId="32" xfId="0" applyNumberFormat="1" applyBorder="1"/>
    <xf numFmtId="3" fontId="0" fillId="0" borderId="33" xfId="0" applyNumberFormat="1" applyBorder="1"/>
    <xf numFmtId="3" fontId="0" fillId="0" borderId="34" xfId="0" applyNumberFormat="1" applyBorder="1"/>
    <xf numFmtId="3" fontId="10" fillId="0" borderId="32" xfId="0" applyNumberFormat="1" applyFont="1" applyBorder="1"/>
    <xf numFmtId="0" fontId="10" fillId="0" borderId="27" xfId="0" applyFont="1" applyBorder="1"/>
    <xf numFmtId="0" fontId="10" fillId="0" borderId="28" xfId="0" applyFont="1" applyBorder="1"/>
    <xf numFmtId="3" fontId="0" fillId="0" borderId="19" xfId="0" applyNumberFormat="1" applyBorder="1"/>
    <xf numFmtId="0" fontId="0" fillId="0" borderId="33" xfId="0" applyBorder="1"/>
    <xf numFmtId="0" fontId="0" fillId="0" borderId="34" xfId="0" applyBorder="1"/>
    <xf numFmtId="10" fontId="0" fillId="0" borderId="20" xfId="0" applyNumberFormat="1" applyBorder="1"/>
    <xf numFmtId="10" fontId="0" fillId="0" borderId="33" xfId="0" applyNumberFormat="1" applyBorder="1"/>
    <xf numFmtId="0" fontId="0" fillId="0" borderId="0" xfId="0" applyAlignment="1">
      <alignment horizontal="left" vertical="top"/>
    </xf>
    <xf numFmtId="9" fontId="0" fillId="0" borderId="36" xfId="0" applyNumberFormat="1" applyBorder="1"/>
    <xf numFmtId="3" fontId="10" fillId="0" borderId="36" xfId="0" applyNumberFormat="1" applyFont="1" applyBorder="1"/>
    <xf numFmtId="166" fontId="0" fillId="0" borderId="0" xfId="0" applyNumberFormat="1"/>
    <xf numFmtId="164" fontId="0" fillId="0" borderId="34" xfId="0" applyNumberFormat="1" applyBorder="1"/>
    <xf numFmtId="0" fontId="0" fillId="0" borderId="0" xfId="0" applyAlignment="1">
      <alignment horizontal="left" indent="1"/>
    </xf>
    <xf numFmtId="3" fontId="10" fillId="0" borderId="0" xfId="0" applyNumberFormat="1" applyFont="1" applyAlignment="1">
      <alignment horizontal="left" indent="1"/>
    </xf>
    <xf numFmtId="0" fontId="10" fillId="0" borderId="0" xfId="0" applyFont="1" applyAlignment="1">
      <alignment horizontal="left" indent="2"/>
    </xf>
    <xf numFmtId="0" fontId="10" fillId="0" borderId="0" xfId="0" applyFont="1" applyAlignment="1">
      <alignment horizontal="left" indent="1"/>
    </xf>
    <xf numFmtId="164" fontId="10" fillId="0" borderId="0" xfId="0" applyNumberFormat="1" applyFont="1" applyAlignment="1">
      <alignment horizontal="left" vertical="center" indent="2"/>
    </xf>
    <xf numFmtId="0" fontId="10" fillId="0" borderId="24" xfId="0" applyFont="1" applyBorder="1" applyAlignment="1">
      <alignment horizontal="left" vertical="center" indent="2"/>
    </xf>
    <xf numFmtId="0" fontId="0" fillId="0" borderId="18" xfId="0" applyBorder="1"/>
    <xf numFmtId="0" fontId="0" fillId="0" borderId="37" xfId="0" applyBorder="1"/>
    <xf numFmtId="164" fontId="0" fillId="0" borderId="31" xfId="0" applyNumberFormat="1" applyBorder="1"/>
    <xf numFmtId="164" fontId="0" fillId="0" borderId="37" xfId="0" applyNumberFormat="1" applyBorder="1"/>
    <xf numFmtId="164" fontId="0" fillId="0" borderId="30" xfId="0" applyNumberFormat="1" applyBorder="1"/>
    <xf numFmtId="0" fontId="0" fillId="0" borderId="35" xfId="0" applyBorder="1"/>
    <xf numFmtId="3" fontId="0" fillId="0" borderId="35" xfId="0" applyNumberFormat="1" applyBorder="1"/>
    <xf numFmtId="0" fontId="0" fillId="0" borderId="35" xfId="0" applyBorder="1" applyAlignment="1">
      <alignment horizontal="left"/>
    </xf>
    <xf numFmtId="0" fontId="0" fillId="0" borderId="36" xfId="0" applyBorder="1"/>
    <xf numFmtId="3" fontId="0" fillId="0" borderId="36" xfId="0" applyNumberFormat="1" applyBorder="1"/>
    <xf numFmtId="164" fontId="0" fillId="0" borderId="17" xfId="0" applyNumberFormat="1" applyBorder="1"/>
    <xf numFmtId="3" fontId="0" fillId="0" borderId="0" xfId="0" applyNumberFormat="1" applyAlignment="1">
      <alignment horizontal="right"/>
    </xf>
    <xf numFmtId="9" fontId="0" fillId="0" borderId="0" xfId="0" applyNumberFormat="1" applyAlignment="1">
      <alignment horizontal="right"/>
    </xf>
    <xf numFmtId="167" fontId="0" fillId="0" borderId="0" xfId="0" applyNumberFormat="1"/>
    <xf numFmtId="3" fontId="15" fillId="0" borderId="0" xfId="0" applyNumberFormat="1" applyFont="1"/>
    <xf numFmtId="3" fontId="16" fillId="0" borderId="0" xfId="0" applyNumberFormat="1" applyFont="1"/>
    <xf numFmtId="3" fontId="15" fillId="0" borderId="0" xfId="0" applyNumberFormat="1" applyFont="1" applyAlignment="1">
      <alignment horizontal="right"/>
    </xf>
    <xf numFmtId="2" fontId="10" fillId="0" borderId="0" xfId="0" applyNumberFormat="1" applyFont="1"/>
    <xf numFmtId="2" fontId="16" fillId="0" borderId="0" xfId="0" applyNumberFormat="1" applyFont="1"/>
    <xf numFmtId="2" fontId="16" fillId="0" borderId="0" xfId="0" applyNumberFormat="1" applyFont="1" applyAlignment="1">
      <alignment horizontal="right"/>
    </xf>
    <xf numFmtId="0" fontId="15" fillId="0" borderId="0" xfId="0" applyFont="1"/>
    <xf numFmtId="0" fontId="16" fillId="0" borderId="0" xfId="0" applyFont="1"/>
    <xf numFmtId="3" fontId="16" fillId="0" borderId="0" xfId="0" applyNumberFormat="1" applyFont="1" applyAlignment="1">
      <alignment horizontal="right"/>
    </xf>
    <xf numFmtId="3" fontId="17" fillId="0" borderId="0" xfId="0" applyNumberFormat="1" applyFont="1"/>
    <xf numFmtId="0" fontId="17" fillId="0" borderId="0" xfId="0" applyFont="1"/>
    <xf numFmtId="164" fontId="0" fillId="0" borderId="0" xfId="0" applyNumberFormat="1" applyAlignment="1">
      <alignment horizontal="right"/>
    </xf>
    <xf numFmtId="1" fontId="0" fillId="0" borderId="0" xfId="0" applyNumberFormat="1"/>
    <xf numFmtId="0" fontId="0" fillId="0" borderId="33" xfId="0" applyBorder="1" applyAlignment="1">
      <alignment horizontal="left" indent="1"/>
    </xf>
    <xf numFmtId="0" fontId="18" fillId="0" borderId="0" xfId="0" applyFont="1" applyAlignment="1">
      <alignment wrapText="1"/>
    </xf>
    <xf numFmtId="0" fontId="0" fillId="0" borderId="0" xfId="0" applyAlignment="1">
      <alignment vertical="center" wrapText="1"/>
    </xf>
    <xf numFmtId="0" fontId="0" fillId="0" borderId="0" xfId="0" applyAlignment="1">
      <alignment vertical="center"/>
    </xf>
    <xf numFmtId="38" fontId="10" fillId="0" borderId="0" xfId="0" applyNumberFormat="1" applyFont="1"/>
    <xf numFmtId="164" fontId="15" fillId="0" borderId="0" xfId="0" applyNumberFormat="1" applyFont="1"/>
    <xf numFmtId="11" fontId="19" fillId="0" borderId="0" xfId="1" applyNumberFormat="1" applyFont="1"/>
    <xf numFmtId="0" fontId="20" fillId="0" borderId="0" xfId="0" applyFont="1"/>
    <xf numFmtId="0" fontId="19" fillId="0" borderId="0" xfId="1" applyFont="1"/>
    <xf numFmtId="4" fontId="19" fillId="0" borderId="0" xfId="1" applyNumberFormat="1" applyFont="1"/>
    <xf numFmtId="0" fontId="22" fillId="0" borderId="0" xfId="0" applyFont="1"/>
    <xf numFmtId="4" fontId="20" fillId="0" borderId="0" xfId="0" applyNumberFormat="1" applyFont="1"/>
    <xf numFmtId="3" fontId="20" fillId="0" borderId="0" xfId="0" applyNumberFormat="1" applyFont="1"/>
    <xf numFmtId="0" fontId="19" fillId="0" borderId="0" xfId="1" applyNumberFormat="1" applyFont="1"/>
    <xf numFmtId="3" fontId="23" fillId="0" borderId="0" xfId="0" applyNumberFormat="1" applyFont="1" applyAlignment="1">
      <alignment horizontal="right"/>
    </xf>
    <xf numFmtId="0" fontId="24" fillId="0" borderId="0" xfId="0" applyFont="1"/>
    <xf numFmtId="9" fontId="20" fillId="0" borderId="0" xfId="0" applyNumberFormat="1" applyFont="1"/>
    <xf numFmtId="0" fontId="19" fillId="0" borderId="0" xfId="1" applyFont="1" applyBorder="1"/>
    <xf numFmtId="0" fontId="22" fillId="0" borderId="38" xfId="0" applyFont="1" applyBorder="1"/>
    <xf numFmtId="0" fontId="20" fillId="0" borderId="37" xfId="0" applyFont="1" applyBorder="1" applyAlignment="1">
      <alignment horizontal="center" vertical="center" wrapText="1"/>
    </xf>
    <xf numFmtId="0" fontId="20" fillId="0" borderId="38" xfId="0" applyFont="1" applyBorder="1" applyAlignment="1">
      <alignment horizontal="center" vertical="center" wrapText="1"/>
    </xf>
    <xf numFmtId="0" fontId="20" fillId="0" borderId="30" xfId="0" applyFont="1" applyBorder="1" applyAlignment="1">
      <alignment horizontal="center" vertical="center"/>
    </xf>
    <xf numFmtId="3" fontId="22" fillId="0" borderId="0" xfId="0" applyNumberFormat="1" applyFont="1"/>
    <xf numFmtId="2" fontId="22" fillId="0" borderId="0" xfId="0" applyNumberFormat="1" applyFont="1"/>
    <xf numFmtId="4" fontId="22" fillId="0" borderId="0" xfId="0" applyNumberFormat="1" applyFont="1"/>
    <xf numFmtId="9" fontId="22" fillId="0" borderId="0" xfId="0" applyNumberFormat="1" applyFont="1"/>
    <xf numFmtId="0" fontId="9" fillId="0" borderId="0" xfId="0" applyFont="1"/>
    <xf numFmtId="3" fontId="9" fillId="0" borderId="0" xfId="0" applyNumberFormat="1" applyFont="1"/>
    <xf numFmtId="4" fontId="9" fillId="0" borderId="0" xfId="0" applyNumberFormat="1" applyFont="1"/>
    <xf numFmtId="9" fontId="9" fillId="0" borderId="0" xfId="0" applyNumberFormat="1" applyFont="1"/>
    <xf numFmtId="8" fontId="27" fillId="0" borderId="0" xfId="0" applyNumberFormat="1" applyFont="1"/>
    <xf numFmtId="2" fontId="9" fillId="0" borderId="0" xfId="0" applyNumberFormat="1" applyFont="1"/>
    <xf numFmtId="164" fontId="9" fillId="0" borderId="0" xfId="0" applyNumberFormat="1" applyFont="1"/>
    <xf numFmtId="164" fontId="8" fillId="0" borderId="0" xfId="0" applyNumberFormat="1" applyFont="1"/>
    <xf numFmtId="0" fontId="5" fillId="0" borderId="0" xfId="0" applyFont="1"/>
    <xf numFmtId="10" fontId="9" fillId="0" borderId="0" xfId="0" applyNumberFormat="1" applyFont="1"/>
    <xf numFmtId="18" fontId="20" fillId="0" borderId="0" xfId="0" applyNumberFormat="1" applyFont="1"/>
    <xf numFmtId="38" fontId="20" fillId="0" borderId="0" xfId="0" applyNumberFormat="1" applyFont="1"/>
    <xf numFmtId="164" fontId="20" fillId="0" borderId="0" xfId="0" applyNumberFormat="1" applyFont="1"/>
    <xf numFmtId="0" fontId="22" fillId="0" borderId="0" xfId="0" applyFont="1" applyAlignment="1">
      <alignment horizontal="left" indent="1"/>
    </xf>
    <xf numFmtId="0" fontId="25" fillId="0" borderId="0" xfId="0" applyFont="1"/>
    <xf numFmtId="3" fontId="25" fillId="0" borderId="0" xfId="0" applyNumberFormat="1" applyFont="1"/>
    <xf numFmtId="0" fontId="26" fillId="0" borderId="0" xfId="0" applyFont="1"/>
    <xf numFmtId="0" fontId="7" fillId="0" borderId="0" xfId="0" applyFont="1"/>
    <xf numFmtId="0" fontId="6" fillId="0" borderId="0" xfId="0" applyFont="1"/>
    <xf numFmtId="0" fontId="4" fillId="0" borderId="0" xfId="0" applyFont="1"/>
    <xf numFmtId="4" fontId="4" fillId="0" borderId="0" xfId="0" applyNumberFormat="1" applyFont="1"/>
    <xf numFmtId="0" fontId="3" fillId="0" borderId="0" xfId="0" applyFont="1"/>
    <xf numFmtId="0" fontId="3" fillId="0" borderId="1" xfId="0" applyFont="1" applyBorder="1"/>
    <xf numFmtId="3" fontId="3" fillId="0" borderId="0" xfId="0" applyNumberFormat="1" applyFont="1"/>
    <xf numFmtId="3" fontId="3" fillId="0" borderId="1" xfId="0" applyNumberFormat="1" applyFont="1" applyBorder="1"/>
    <xf numFmtId="3" fontId="22" fillId="0" borderId="1" xfId="0" applyNumberFormat="1" applyFont="1" applyBorder="1"/>
    <xf numFmtId="4" fontId="3" fillId="0" borderId="0" xfId="0" applyNumberFormat="1" applyFont="1"/>
    <xf numFmtId="4" fontId="3" fillId="0" borderId="1" xfId="0" applyNumberFormat="1" applyFont="1" applyBorder="1"/>
    <xf numFmtId="9" fontId="3" fillId="0" borderId="0" xfId="0" applyNumberFormat="1" applyFont="1"/>
    <xf numFmtId="9" fontId="3" fillId="0" borderId="1" xfId="0" applyNumberFormat="1" applyFont="1" applyBorder="1"/>
    <xf numFmtId="10" fontId="3" fillId="0" borderId="0" xfId="0" applyNumberFormat="1" applyFont="1"/>
    <xf numFmtId="38" fontId="3" fillId="0" borderId="0" xfId="0" applyNumberFormat="1" applyFont="1"/>
    <xf numFmtId="164" fontId="3" fillId="0" borderId="0" xfId="0" applyNumberFormat="1" applyFont="1"/>
    <xf numFmtId="2" fontId="3" fillId="0" borderId="0" xfId="0" applyNumberFormat="1" applyFont="1"/>
    <xf numFmtId="10" fontId="22" fillId="0" borderId="0" xfId="0" applyNumberFormat="1" applyFont="1"/>
    <xf numFmtId="0" fontId="3" fillId="0" borderId="5" xfId="0" applyFont="1" applyBorder="1"/>
    <xf numFmtId="0" fontId="3" fillId="0" borderId="6" xfId="0" applyFont="1" applyBorder="1"/>
    <xf numFmtId="0" fontId="3" fillId="0" borderId="7" xfId="0" applyFont="1" applyBorder="1"/>
    <xf numFmtId="0" fontId="3" fillId="0" borderId="15" xfId="0" applyFont="1" applyBorder="1"/>
    <xf numFmtId="0" fontId="3" fillId="0" borderId="8" xfId="0" applyFont="1" applyBorder="1"/>
    <xf numFmtId="0" fontId="3" fillId="0" borderId="3" xfId="0" applyFont="1" applyBorder="1"/>
    <xf numFmtId="0" fontId="3" fillId="0" borderId="9" xfId="0" applyFont="1" applyBorder="1"/>
    <xf numFmtId="4" fontId="3" fillId="0" borderId="3" xfId="0" applyNumberFormat="1" applyFont="1" applyBorder="1"/>
    <xf numFmtId="0" fontId="3" fillId="0" borderId="10" xfId="0" applyFont="1" applyBorder="1"/>
    <xf numFmtId="0" fontId="3" fillId="0" borderId="2" xfId="0" applyFont="1" applyBorder="1"/>
    <xf numFmtId="0" fontId="3" fillId="0" borderId="4" xfId="0" applyFont="1" applyBorder="1"/>
    <xf numFmtId="0" fontId="3" fillId="0" borderId="16" xfId="0" applyFont="1" applyBorder="1"/>
    <xf numFmtId="9" fontId="3" fillId="0" borderId="3" xfId="0" applyNumberFormat="1" applyFont="1" applyBorder="1"/>
    <xf numFmtId="0" fontId="3" fillId="0" borderId="11" xfId="0" applyFont="1" applyBorder="1"/>
    <xf numFmtId="0" fontId="3" fillId="0" borderId="12" xfId="0" applyFont="1" applyBorder="1"/>
    <xf numFmtId="9" fontId="3" fillId="0" borderId="13" xfId="0" applyNumberFormat="1" applyFont="1" applyBorder="1"/>
    <xf numFmtId="9" fontId="3" fillId="0" borderId="12" xfId="0" applyNumberFormat="1" applyFont="1" applyBorder="1"/>
    <xf numFmtId="0" fontId="3" fillId="0" borderId="14" xfId="0" applyFont="1" applyBorder="1"/>
    <xf numFmtId="164" fontId="22" fillId="0" borderId="0" xfId="0" applyNumberFormat="1" applyFont="1"/>
    <xf numFmtId="0" fontId="21" fillId="0" borderId="0" xfId="0" applyFont="1"/>
    <xf numFmtId="3" fontId="2" fillId="0" borderId="0" xfId="0" applyNumberFormat="1" applyFont="1"/>
    <xf numFmtId="3" fontId="22" fillId="0" borderId="0" xfId="0" applyNumberFormat="1" applyFont="1" applyAlignment="1">
      <alignment horizontal="left" indent="1"/>
    </xf>
    <xf numFmtId="0" fontId="2" fillId="0" borderId="0" xfId="0" applyFont="1"/>
    <xf numFmtId="16" fontId="20" fillId="0" borderId="0" xfId="0" applyNumberFormat="1" applyFont="1" applyAlignment="1">
      <alignment horizontal="left"/>
    </xf>
    <xf numFmtId="0" fontId="22" fillId="0" borderId="27" xfId="0" applyFont="1" applyBorder="1" applyAlignment="1">
      <alignment horizontal="center"/>
    </xf>
    <xf numFmtId="0" fontId="22" fillId="0" borderId="28" xfId="0" applyFont="1" applyBorder="1" applyAlignment="1">
      <alignment horizontal="center"/>
    </xf>
    <xf numFmtId="0" fontId="22" fillId="0" borderId="29" xfId="0" applyFont="1" applyBorder="1" applyAlignment="1">
      <alignment horizontal="center"/>
    </xf>
    <xf numFmtId="0" fontId="22" fillId="0" borderId="19" xfId="0" applyFont="1" applyBorder="1" applyAlignment="1">
      <alignment horizontal="center" vertical="center" wrapText="1"/>
    </xf>
    <xf numFmtId="0" fontId="20" fillId="0" borderId="20" xfId="0" applyFont="1" applyBorder="1" applyAlignment="1">
      <alignment horizontal="center" vertical="center"/>
    </xf>
    <xf numFmtId="0" fontId="20" fillId="0" borderId="22" xfId="0" applyFont="1" applyBorder="1" applyAlignment="1">
      <alignment horizontal="center" vertical="center"/>
    </xf>
    <xf numFmtId="0" fontId="20" fillId="0" borderId="0" xfId="0" applyFont="1" applyAlignment="1">
      <alignment horizontal="center" vertical="center"/>
    </xf>
    <xf numFmtId="0" fontId="20" fillId="0" borderId="24" xfId="0" applyFont="1" applyBorder="1" applyAlignment="1">
      <alignment horizontal="center" vertical="center"/>
    </xf>
    <xf numFmtId="0" fontId="20" fillId="0" borderId="25" xfId="0" applyFont="1" applyBorder="1" applyAlignment="1">
      <alignment horizontal="center" vertical="center"/>
    </xf>
    <xf numFmtId="0" fontId="20" fillId="0" borderId="37" xfId="0" applyFont="1" applyBorder="1" applyAlignment="1">
      <alignment horizontal="center" vertical="center"/>
    </xf>
    <xf numFmtId="0" fontId="20" fillId="0" borderId="30" xfId="0" applyFont="1" applyBorder="1" applyAlignment="1">
      <alignment horizontal="center" vertical="center"/>
    </xf>
    <xf numFmtId="0" fontId="20" fillId="0" borderId="23" xfId="0" applyFont="1" applyBorder="1" applyAlignment="1">
      <alignment horizontal="center" vertical="center"/>
    </xf>
    <xf numFmtId="0" fontId="20" fillId="0" borderId="26" xfId="0" applyFont="1" applyBorder="1" applyAlignment="1">
      <alignment horizontal="center" vertical="center"/>
    </xf>
    <xf numFmtId="0" fontId="22" fillId="0" borderId="22" xfId="0" applyFont="1" applyBorder="1" applyAlignment="1">
      <alignment horizontal="center" vertical="center" wrapText="1"/>
    </xf>
    <xf numFmtId="0" fontId="22" fillId="0" borderId="0" xfId="0" applyFont="1" applyAlignment="1">
      <alignment horizontal="center" vertical="center"/>
    </xf>
    <xf numFmtId="0" fontId="22" fillId="0" borderId="24" xfId="0" applyFont="1" applyBorder="1" applyAlignment="1">
      <alignment horizontal="center" vertical="center"/>
    </xf>
    <xf numFmtId="0" fontId="22" fillId="0" borderId="25" xfId="0" applyFont="1" applyBorder="1" applyAlignment="1">
      <alignment horizontal="center" vertical="center"/>
    </xf>
    <xf numFmtId="0" fontId="20" fillId="0" borderId="22" xfId="0" applyFont="1" applyBorder="1" applyAlignment="1">
      <alignment horizontal="center" wrapText="1"/>
    </xf>
    <xf numFmtId="0" fontId="20" fillId="0" borderId="23" xfId="0" applyFont="1" applyBorder="1" applyAlignment="1">
      <alignment horizontal="center"/>
    </xf>
    <xf numFmtId="0" fontId="20" fillId="0" borderId="24" xfId="0" applyFont="1" applyBorder="1" applyAlignment="1">
      <alignment horizontal="center"/>
    </xf>
    <xf numFmtId="0" fontId="20" fillId="0" borderId="26" xfId="0" applyFont="1" applyBorder="1" applyAlignment="1">
      <alignment horizontal="center"/>
    </xf>
    <xf numFmtId="0" fontId="25" fillId="0" borderId="22" xfId="0" applyFont="1" applyBorder="1" applyAlignment="1">
      <alignment horizontal="center" wrapText="1"/>
    </xf>
    <xf numFmtId="0" fontId="25" fillId="0" borderId="23" xfId="0" applyFont="1" applyBorder="1" applyAlignment="1">
      <alignment horizontal="center" wrapText="1"/>
    </xf>
    <xf numFmtId="0" fontId="20" fillId="0" borderId="22" xfId="0" applyFont="1" applyBorder="1" applyAlignment="1">
      <alignment horizontal="center" vertical="center" wrapText="1"/>
    </xf>
    <xf numFmtId="0" fontId="20" fillId="0" borderId="23" xfId="0" applyFont="1" applyBorder="1" applyAlignment="1">
      <alignment horizontal="center" vertical="center" wrapText="1"/>
    </xf>
    <xf numFmtId="0" fontId="20" fillId="0" borderId="23" xfId="0" applyFont="1" applyBorder="1" applyAlignment="1">
      <alignment horizontal="center" wrapText="1"/>
    </xf>
    <xf numFmtId="0" fontId="20" fillId="0" borderId="37" xfId="0" applyFont="1" applyBorder="1" applyAlignment="1">
      <alignment horizontal="center" vertical="center" wrapText="1"/>
    </xf>
    <xf numFmtId="0" fontId="20" fillId="0" borderId="19" xfId="0" applyFont="1" applyBorder="1" applyAlignment="1">
      <alignment horizontal="center" wrapText="1"/>
    </xf>
    <xf numFmtId="0" fontId="20" fillId="0" borderId="21" xfId="0" applyFont="1" applyBorder="1" applyAlignment="1">
      <alignment horizontal="center" wrapText="1"/>
    </xf>
    <xf numFmtId="0" fontId="20" fillId="0" borderId="19" xfId="0" applyFont="1" applyBorder="1" applyAlignment="1">
      <alignment horizontal="center" vertical="center" wrapText="1"/>
    </xf>
    <xf numFmtId="0" fontId="20" fillId="0" borderId="21" xfId="0" applyFont="1" applyBorder="1" applyAlignment="1">
      <alignment horizontal="center" vertical="center" wrapText="1"/>
    </xf>
    <xf numFmtId="0" fontId="22" fillId="0" borderId="19" xfId="0" applyFont="1" applyBorder="1" applyAlignment="1">
      <alignment horizontal="center"/>
    </xf>
    <xf numFmtId="0" fontId="22" fillId="0" borderId="21" xfId="0" applyFont="1" applyBorder="1" applyAlignment="1">
      <alignment horizontal="center"/>
    </xf>
    <xf numFmtId="0" fontId="20" fillId="0" borderId="30" xfId="0" applyFont="1" applyBorder="1" applyAlignment="1">
      <alignment horizontal="center" vertical="center" wrapText="1"/>
    </xf>
    <xf numFmtId="0" fontId="20" fillId="0" borderId="38" xfId="0" applyFont="1" applyBorder="1" applyAlignment="1">
      <alignment horizontal="center" vertical="center"/>
    </xf>
    <xf numFmtId="0" fontId="20" fillId="0" borderId="20" xfId="0" applyFont="1" applyBorder="1" applyAlignment="1">
      <alignment horizontal="center" vertical="center" wrapText="1"/>
    </xf>
    <xf numFmtId="0" fontId="20" fillId="0" borderId="0" xfId="0" applyFont="1" applyAlignment="1">
      <alignment horizontal="center" vertical="center" wrapText="1"/>
    </xf>
    <xf numFmtId="0" fontId="20" fillId="0" borderId="24" xfId="0" applyFont="1" applyBorder="1" applyAlignment="1">
      <alignment horizontal="center" vertical="center" wrapText="1"/>
    </xf>
    <xf numFmtId="0" fontId="20" fillId="0" borderId="25" xfId="0" applyFont="1" applyBorder="1" applyAlignment="1">
      <alignment horizontal="center" vertical="center" wrapText="1"/>
    </xf>
    <xf numFmtId="0" fontId="20" fillId="0" borderId="26" xfId="0" applyFont="1" applyBorder="1" applyAlignment="1">
      <alignment horizontal="center" vertical="center" wrapText="1"/>
    </xf>
    <xf numFmtId="0" fontId="25" fillId="0" borderId="24" xfId="0" applyFont="1" applyBorder="1" applyAlignment="1">
      <alignment horizontal="center" wrapText="1"/>
    </xf>
    <xf numFmtId="0" fontId="25" fillId="0" borderId="26" xfId="0" applyFont="1" applyBorder="1" applyAlignment="1">
      <alignment horizontal="center" wrapText="1"/>
    </xf>
    <xf numFmtId="0" fontId="25" fillId="0" borderId="19" xfId="0" applyFont="1" applyBorder="1" applyAlignment="1">
      <alignment horizontal="center" wrapText="1"/>
    </xf>
    <xf numFmtId="0" fontId="25" fillId="0" borderId="21" xfId="0" applyFont="1" applyBorder="1" applyAlignment="1">
      <alignment horizontal="center" wrapText="1"/>
    </xf>
    <xf numFmtId="0" fontId="0" fillId="0" borderId="33" xfId="0" applyBorder="1" applyAlignment="1">
      <alignment horizontal="left" vertical="top" wrapText="1"/>
    </xf>
    <xf numFmtId="0" fontId="0" fillId="0" borderId="0" xfId="0" applyAlignment="1">
      <alignment horizontal="left" vertical="top" wrapText="1"/>
    </xf>
    <xf numFmtId="0" fontId="0" fillId="0" borderId="25" xfId="0" applyBorder="1" applyAlignment="1">
      <alignment horizontal="left" vertical="top" wrapText="1"/>
    </xf>
    <xf numFmtId="0" fontId="0" fillId="0" borderId="35" xfId="0" applyBorder="1" applyAlignment="1">
      <alignment horizontal="left" vertical="top" wrapText="1"/>
    </xf>
    <xf numFmtId="0" fontId="0" fillId="0" borderId="20" xfId="0" applyBorder="1" applyAlignment="1">
      <alignment horizontal="left" vertical="top" wrapText="1"/>
    </xf>
    <xf numFmtId="0" fontId="0" fillId="0" borderId="33"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0" fillId="0" borderId="20" xfId="0" applyBorder="1" applyAlignment="1">
      <alignment horizontal="center" wrapText="1"/>
    </xf>
    <xf numFmtId="0" fontId="0" fillId="2" borderId="0" xfId="0" applyFill="1" applyAlignment="1">
      <alignment horizontal="center"/>
    </xf>
    <xf numFmtId="10" fontId="10" fillId="2" borderId="0" xfId="0" applyNumberFormat="1" applyFont="1" applyFill="1" applyAlignment="1">
      <alignment horizontal="left" vertical="top" wrapText="1"/>
    </xf>
  </cellXfs>
  <cellStyles count="3">
    <cellStyle name="Hyperlink" xfId="1" builtinId="8"/>
    <cellStyle name="nodollars 2" xfId="2" xr:uid="{97DD5370-C060-49A6-8E2B-A228B82AEF87}"/>
    <cellStyle name="Normal" xfId="0" builtinId="0"/>
  </cellStyles>
  <dxfs count="0"/>
  <tableStyles count="0" defaultTableStyle="TableStyleMedium2" defaultPivotStyle="PivotStyleLight16"/>
  <colors>
    <mruColors>
      <color rgb="FF00F2B3"/>
      <color rgb="FF00CC99"/>
      <color rgb="FF5ADB8D"/>
      <color rgb="FF00BC66"/>
      <color rgb="FF00B0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egaMukhigulashvili\Desktop\Excel\SNOW.xlsx" TargetMode="External"/><Relationship Id="rId1" Type="http://schemas.openxmlformats.org/officeDocument/2006/relationships/externalLinkPath" Target="SNOW.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GegaMukhigulashvili\Desktop\Excel\PEGA.xlsx" TargetMode="External"/><Relationship Id="rId1" Type="http://schemas.openxmlformats.org/officeDocument/2006/relationships/externalLinkPath" Target="PEGA.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GegaMukhigulashvili\Desktop\Excel\TEAM.xlsx" TargetMode="External"/><Relationship Id="rId1" Type="http://schemas.openxmlformats.org/officeDocument/2006/relationships/externalLinkPath" Target="TEA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sheetData sheetId="1">
        <row r="3">
          <cell r="AD3">
            <v>3626.2</v>
          </cell>
          <cell r="AE3">
            <v>4586.9690000000001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sheetData sheetId="1">
        <row r="3">
          <cell r="AA3">
            <v>558734</v>
          </cell>
          <cell r="AB3">
            <v>682458</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I"/>
    </sheetNames>
    <sheetDataSet>
      <sheetData sheetId="0"/>
      <sheetData sheetId="1">
        <row r="3">
          <cell r="AC3">
            <v>3447427</v>
          </cell>
          <cell r="AD3">
            <v>4171041.9273000006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AFRM.xlsx" TargetMode="External"/><Relationship Id="rId3" Type="http://schemas.openxmlformats.org/officeDocument/2006/relationships/hyperlink" Target="Tech.xlsx" TargetMode="External"/><Relationship Id="rId7" Type="http://schemas.openxmlformats.org/officeDocument/2006/relationships/hyperlink" Target="BBAI.xlsx" TargetMode="External"/><Relationship Id="rId2" Type="http://schemas.openxmlformats.org/officeDocument/2006/relationships/hyperlink" Target="T.xlsx" TargetMode="External"/><Relationship Id="rId1" Type="http://schemas.openxmlformats.org/officeDocument/2006/relationships/hyperlink" Target="ALRM.xlsx" TargetMode="External"/><Relationship Id="rId6" Type="http://schemas.openxmlformats.org/officeDocument/2006/relationships/hyperlink" Target="BABA.xlsx" TargetMode="External"/><Relationship Id="rId5" Type="http://schemas.openxmlformats.org/officeDocument/2006/relationships/hyperlink" Target="GTLB.xlsx" TargetMode="External"/><Relationship Id="rId4" Type="http://schemas.openxmlformats.org/officeDocument/2006/relationships/hyperlink" Target="https://www.youtube.com/watch?v=gsrEfnsUXOE"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BIDU.xlsx"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7"/>
  <sheetViews>
    <sheetView zoomScale="86" zoomScaleNormal="130" workbookViewId="0">
      <selection activeCell="M25" sqref="M25"/>
    </sheetView>
  </sheetViews>
  <sheetFormatPr defaultColWidth="10.109375" defaultRowHeight="13.2" x14ac:dyDescent="0.25"/>
  <cols>
    <col min="1" max="5" width="10.109375" style="93"/>
    <col min="6" max="6" width="10.88671875" style="93" bestFit="1" customWidth="1"/>
    <col min="7" max="7" width="10.109375" style="93"/>
    <col min="8" max="8" width="10.88671875" style="93" customWidth="1"/>
    <col min="9" max="9" width="10.109375" style="93" customWidth="1"/>
    <col min="10" max="11" width="10.109375" style="93"/>
    <col min="12" max="12" width="12.44140625" style="93" bestFit="1" customWidth="1"/>
    <col min="13" max="13" width="10.88671875" style="93" bestFit="1" customWidth="1"/>
    <col min="14" max="14" width="10.109375" style="93"/>
    <col min="15" max="15" width="12.44140625" style="93" bestFit="1" customWidth="1"/>
    <col min="16" max="16384" width="10.109375" style="93"/>
  </cols>
  <sheetData>
    <row r="1" spans="1:23" x14ac:dyDescent="0.25">
      <c r="A1" s="92" t="s">
        <v>566</v>
      </c>
      <c r="I1" s="166" t="s">
        <v>1058</v>
      </c>
      <c r="J1" s="166"/>
    </row>
    <row r="2" spans="1:23" ht="14.4" x14ac:dyDescent="0.3">
      <c r="B2" s="6" t="s">
        <v>1012</v>
      </c>
      <c r="E2" s="95" t="s">
        <v>36</v>
      </c>
      <c r="H2" s="94" t="s">
        <v>54</v>
      </c>
      <c r="K2" s="94" t="s">
        <v>376</v>
      </c>
      <c r="N2" s="94" t="s">
        <v>482</v>
      </c>
      <c r="Q2" s="94" t="s">
        <v>483</v>
      </c>
      <c r="U2" s="6" t="s">
        <v>1018</v>
      </c>
    </row>
    <row r="4" spans="1:23" x14ac:dyDescent="0.25">
      <c r="B4" s="96" t="s">
        <v>0</v>
      </c>
      <c r="C4" s="97">
        <v>7.29</v>
      </c>
      <c r="D4" s="96"/>
      <c r="E4" s="96" t="s">
        <v>0</v>
      </c>
      <c r="F4" s="97">
        <v>273.94</v>
      </c>
      <c r="G4" s="170">
        <v>46058</v>
      </c>
      <c r="H4" s="96" t="s">
        <v>0</v>
      </c>
      <c r="I4" s="97">
        <v>246.21</v>
      </c>
      <c r="K4" s="96" t="s">
        <v>0</v>
      </c>
      <c r="L4" s="97">
        <v>287</v>
      </c>
      <c r="N4" s="96" t="s">
        <v>0</v>
      </c>
      <c r="O4" s="97">
        <v>52.3</v>
      </c>
      <c r="Q4" s="96" t="s">
        <v>0</v>
      </c>
      <c r="R4" s="97">
        <v>27.06</v>
      </c>
      <c r="U4" s="96" t="s">
        <v>0</v>
      </c>
      <c r="V4" s="93">
        <v>78.180000000000007</v>
      </c>
      <c r="W4" s="93" t="s">
        <v>1019</v>
      </c>
    </row>
    <row r="5" spans="1:23" x14ac:dyDescent="0.25">
      <c r="B5" s="96" t="s">
        <v>1</v>
      </c>
      <c r="C5" s="98">
        <v>252.34140099999999</v>
      </c>
      <c r="D5" s="96"/>
      <c r="E5" s="96" t="s">
        <v>1</v>
      </c>
      <c r="F5" s="98">
        <f>AAPL!O18</f>
        <v>14748.157999999999</v>
      </c>
      <c r="G5" s="169" t="s">
        <v>89</v>
      </c>
      <c r="H5" s="96" t="s">
        <v>1</v>
      </c>
      <c r="I5" s="98">
        <f>AMZN!M32</f>
        <v>10674</v>
      </c>
      <c r="J5" s="93" t="s">
        <v>14</v>
      </c>
      <c r="K5" s="96" t="s">
        <v>1</v>
      </c>
      <c r="L5" s="98">
        <v>927.26</v>
      </c>
      <c r="M5" s="93" t="s">
        <v>13</v>
      </c>
      <c r="N5" s="96" t="s">
        <v>1</v>
      </c>
      <c r="O5" s="98">
        <v>49.646000000000001</v>
      </c>
      <c r="P5" s="93" t="s">
        <v>13</v>
      </c>
      <c r="Q5" s="96" t="s">
        <v>1</v>
      </c>
      <c r="R5" s="98">
        <v>7178.183</v>
      </c>
      <c r="S5" s="93" t="s">
        <v>13</v>
      </c>
      <c r="U5" s="96" t="s">
        <v>1</v>
      </c>
      <c r="V5" s="98">
        <v>324.053967</v>
      </c>
    </row>
    <row r="6" spans="1:23" x14ac:dyDescent="0.25">
      <c r="B6" s="96" t="s">
        <v>2</v>
      </c>
      <c r="C6" s="98">
        <f>C5*C4</f>
        <v>1839.56881329</v>
      </c>
      <c r="D6" s="96"/>
      <c r="E6" s="96" t="s">
        <v>2</v>
      </c>
      <c r="F6" s="98">
        <f>F5*F4</f>
        <v>4040110.40252</v>
      </c>
      <c r="H6" s="96" t="s">
        <v>2</v>
      </c>
      <c r="I6" s="98">
        <f>I5*I4</f>
        <v>2628045.54</v>
      </c>
      <c r="K6" s="96" t="s">
        <v>2</v>
      </c>
      <c r="L6" s="98">
        <f>L5*L4</f>
        <v>266123.62</v>
      </c>
      <c r="N6" s="96" t="s">
        <v>2</v>
      </c>
      <c r="O6" s="98">
        <f>O5*O4</f>
        <v>2596.4857999999999</v>
      </c>
      <c r="Q6" s="96" t="s">
        <v>2</v>
      </c>
      <c r="R6" s="98">
        <f>R5*R4</f>
        <v>194241.63197999998</v>
      </c>
      <c r="U6" s="96" t="s">
        <v>2</v>
      </c>
      <c r="V6" s="98">
        <v>25292.412124349998</v>
      </c>
    </row>
    <row r="7" spans="1:23" x14ac:dyDescent="0.25">
      <c r="B7" s="96" t="s">
        <v>3</v>
      </c>
      <c r="C7" s="98">
        <v>107.61</v>
      </c>
      <c r="D7" s="96" t="s">
        <v>6</v>
      </c>
      <c r="E7" s="96" t="s">
        <v>3</v>
      </c>
      <c r="F7" s="98">
        <f>+AAPL!O68</f>
        <v>144795</v>
      </c>
      <c r="G7" s="169" t="s">
        <v>89</v>
      </c>
      <c r="H7" s="96" t="s">
        <v>3</v>
      </c>
      <c r="I7" s="98">
        <f>AMZN!M50+AMZN!M51</f>
        <v>94197</v>
      </c>
      <c r="J7" s="93" t="s">
        <v>14</v>
      </c>
      <c r="K7" s="96" t="s">
        <v>3</v>
      </c>
      <c r="L7" s="98">
        <f>13947+644</f>
        <v>14591</v>
      </c>
      <c r="M7" s="93" t="s">
        <v>13</v>
      </c>
      <c r="N7" s="96" t="s">
        <v>3</v>
      </c>
      <c r="O7" s="98">
        <v>1220.701</v>
      </c>
      <c r="P7" s="93" t="s">
        <v>13</v>
      </c>
      <c r="Q7" s="96" t="s">
        <v>3</v>
      </c>
      <c r="R7" s="98">
        <f>3298+295</f>
        <v>3593</v>
      </c>
      <c r="S7" s="93" t="s">
        <v>13</v>
      </c>
      <c r="U7" s="96" t="s">
        <v>3</v>
      </c>
      <c r="V7" s="98">
        <v>2131.3180000000002</v>
      </c>
      <c r="W7" s="93" t="s">
        <v>1019</v>
      </c>
    </row>
    <row r="8" spans="1:23" x14ac:dyDescent="0.25">
      <c r="B8" s="96" t="s">
        <v>4</v>
      </c>
      <c r="C8" s="98">
        <f>0.818+100.588</f>
        <v>101.40599999999999</v>
      </c>
      <c r="D8" s="96"/>
      <c r="E8" s="96" t="s">
        <v>4</v>
      </c>
      <c r="F8" s="98">
        <f>+AAPL!O79</f>
        <v>90509</v>
      </c>
      <c r="G8" s="169" t="s">
        <v>89</v>
      </c>
      <c r="H8" s="96" t="s">
        <v>4</v>
      </c>
      <c r="I8" s="98">
        <f>AMZN!M63</f>
        <v>50742</v>
      </c>
      <c r="J8" s="93" t="s">
        <v>14</v>
      </c>
      <c r="K8" s="96" t="s">
        <v>389</v>
      </c>
      <c r="L8" s="98">
        <f>49884+5089+2655+768</f>
        <v>58396</v>
      </c>
      <c r="M8" s="93" t="s">
        <v>13</v>
      </c>
      <c r="N8" s="96" t="s">
        <v>389</v>
      </c>
      <c r="O8" s="98">
        <f>983.477+65.534+7.7</f>
        <v>1056.711</v>
      </c>
      <c r="P8" s="93" t="s">
        <v>13</v>
      </c>
      <c r="Q8" s="96" t="s">
        <v>389</v>
      </c>
      <c r="R8" s="98">
        <f>5089+118443+17391</f>
        <v>140923</v>
      </c>
      <c r="S8" s="93" t="s">
        <v>13</v>
      </c>
      <c r="U8" s="96" t="s">
        <v>4</v>
      </c>
      <c r="V8" s="98">
        <v>7322.6419999999998</v>
      </c>
      <c r="W8" s="93" t="s">
        <v>1019</v>
      </c>
    </row>
    <row r="9" spans="1:23" x14ac:dyDescent="0.25">
      <c r="R9" s="98"/>
      <c r="V9" s="98"/>
    </row>
    <row r="10" spans="1:23" x14ac:dyDescent="0.25">
      <c r="B10" s="96" t="s">
        <v>5</v>
      </c>
      <c r="C10" s="98">
        <f>C6-C7+C8</f>
        <v>1833.36481329</v>
      </c>
      <c r="E10" s="96" t="s">
        <v>5</v>
      </c>
      <c r="F10" s="98">
        <f>F6-F7+F8</f>
        <v>3985824.40252</v>
      </c>
      <c r="H10" s="96" t="s">
        <v>5</v>
      </c>
      <c r="I10" s="98">
        <f>I6-I7+I8</f>
        <v>2584590.54</v>
      </c>
      <c r="J10" s="93" t="s">
        <v>6</v>
      </c>
      <c r="K10" s="96" t="s">
        <v>5</v>
      </c>
      <c r="L10" s="98">
        <f>L6-L7+L8</f>
        <v>309928.62</v>
      </c>
      <c r="N10" s="96" t="s">
        <v>5</v>
      </c>
      <c r="O10" s="98">
        <f>O6-O7+O8</f>
        <v>2432.4957999999997</v>
      </c>
      <c r="Q10" s="96" t="s">
        <v>5</v>
      </c>
      <c r="R10" s="98">
        <f>R6-R7+R8</f>
        <v>331571.63197999995</v>
      </c>
      <c r="U10" s="96" t="s">
        <v>5</v>
      </c>
      <c r="V10" s="98">
        <v>30483.736124349998</v>
      </c>
    </row>
    <row r="11" spans="1:23" x14ac:dyDescent="0.25">
      <c r="E11" s="96" t="s">
        <v>971</v>
      </c>
      <c r="F11" s="97">
        <f>F10/AAPL!V17</f>
        <v>35.584540688509954</v>
      </c>
      <c r="H11" s="96" t="s">
        <v>971</v>
      </c>
      <c r="I11" s="97">
        <f>I10/AMZN!AA31</f>
        <v>34.288393695773301</v>
      </c>
    </row>
    <row r="13" spans="1:23" x14ac:dyDescent="0.25">
      <c r="B13" s="99" t="s">
        <v>493</v>
      </c>
      <c r="E13" s="94" t="s">
        <v>776</v>
      </c>
      <c r="H13" s="94" t="s">
        <v>842</v>
      </c>
      <c r="K13" s="94" t="s">
        <v>859</v>
      </c>
      <c r="N13" s="94" t="s">
        <v>878</v>
      </c>
      <c r="Q13" s="94" t="s">
        <v>972</v>
      </c>
    </row>
    <row r="15" spans="1:23" x14ac:dyDescent="0.25">
      <c r="B15" s="96" t="s">
        <v>0</v>
      </c>
      <c r="C15" s="97">
        <v>525.99</v>
      </c>
      <c r="E15" s="96" t="s">
        <v>0</v>
      </c>
      <c r="F15" s="97">
        <v>667.1</v>
      </c>
      <c r="G15" s="170">
        <v>46058</v>
      </c>
      <c r="H15" s="96" t="s">
        <v>0</v>
      </c>
      <c r="I15" s="132">
        <v>331.71</v>
      </c>
      <c r="J15" s="170">
        <v>46058</v>
      </c>
      <c r="K15" s="96" t="s">
        <v>0</v>
      </c>
      <c r="L15" s="97">
        <v>141.31</v>
      </c>
      <c r="N15" s="96" t="s">
        <v>0</v>
      </c>
      <c r="O15" s="97">
        <v>46.95</v>
      </c>
      <c r="Q15" s="96" t="s">
        <v>0</v>
      </c>
      <c r="R15" s="97">
        <v>190.08</v>
      </c>
    </row>
    <row r="16" spans="1:23" x14ac:dyDescent="0.25">
      <c r="B16" s="96" t="s">
        <v>1</v>
      </c>
      <c r="C16" s="100">
        <f>+MSFT!AQ42</f>
        <v>7434</v>
      </c>
      <c r="D16" s="120" t="s">
        <v>89</v>
      </c>
      <c r="E16" s="96" t="s">
        <v>1</v>
      </c>
      <c r="F16" s="98">
        <f>+META!N20</f>
        <v>2525</v>
      </c>
      <c r="G16" s="169" t="s">
        <v>89</v>
      </c>
      <c r="H16" s="96" t="s">
        <v>1</v>
      </c>
      <c r="I16" s="98">
        <f>+GOOGL!N15</f>
        <v>12073</v>
      </c>
      <c r="J16" s="169" t="s">
        <v>16</v>
      </c>
      <c r="K16" s="96" t="s">
        <v>1</v>
      </c>
      <c r="L16" s="98">
        <v>344</v>
      </c>
      <c r="N16" s="96" t="s">
        <v>1</v>
      </c>
      <c r="O16" s="98">
        <f>144.6+19.4</f>
        <v>164</v>
      </c>
      <c r="Q16" s="96" t="s">
        <v>1</v>
      </c>
      <c r="R16" s="98">
        <v>2311</v>
      </c>
      <c r="S16" s="93" t="s">
        <v>16</v>
      </c>
    </row>
    <row r="17" spans="2:19" x14ac:dyDescent="0.25">
      <c r="B17" s="96" t="s">
        <v>2</v>
      </c>
      <c r="C17" s="98">
        <f>C16*C15</f>
        <v>3910209.66</v>
      </c>
      <c r="E17" s="96" t="s">
        <v>2</v>
      </c>
      <c r="F17" s="98">
        <f>F16*F15</f>
        <v>1684427.5</v>
      </c>
      <c r="H17" s="96" t="s">
        <v>2</v>
      </c>
      <c r="I17" s="98">
        <f>I16*I15</f>
        <v>4004734.8299999996</v>
      </c>
      <c r="K17" s="96" t="s">
        <v>2</v>
      </c>
      <c r="L17" s="98">
        <f>L16*L15</f>
        <v>48610.64</v>
      </c>
      <c r="N17" s="96" t="s">
        <v>2</v>
      </c>
      <c r="O17" s="98">
        <f>O16*O15</f>
        <v>7699.8</v>
      </c>
      <c r="Q17" s="96" t="s">
        <v>2</v>
      </c>
      <c r="R17" s="98">
        <f>R16*R15</f>
        <v>439274.88</v>
      </c>
    </row>
    <row r="18" spans="2:19" x14ac:dyDescent="0.25">
      <c r="B18" s="96" t="s">
        <v>3</v>
      </c>
      <c r="C18" s="98">
        <f>+MSFT!AQ64</f>
        <v>113477</v>
      </c>
      <c r="D18" s="120" t="s">
        <v>89</v>
      </c>
      <c r="E18" s="96" t="s">
        <v>3</v>
      </c>
      <c r="F18" s="98">
        <f>+META!N34</f>
        <v>109116</v>
      </c>
      <c r="G18" s="169" t="s">
        <v>89</v>
      </c>
      <c r="H18" s="96" t="s">
        <v>3</v>
      </c>
      <c r="I18" s="98">
        <f>+GOOGL!N35</f>
        <v>195530</v>
      </c>
      <c r="J18" s="169" t="s">
        <v>16</v>
      </c>
      <c r="K18" s="96" t="s">
        <v>3</v>
      </c>
      <c r="L18" s="98">
        <f>BIDU!K38</f>
        <v>36674</v>
      </c>
      <c r="N18" s="96" t="s">
        <v>3</v>
      </c>
      <c r="O18" s="98">
        <f>764.728+264.565</f>
        <v>1029.2929999999999</v>
      </c>
      <c r="Q18" s="96" t="s">
        <v>3</v>
      </c>
      <c r="R18" s="98">
        <v>51582</v>
      </c>
      <c r="S18" s="93" t="s">
        <v>16</v>
      </c>
    </row>
    <row r="19" spans="2:19" x14ac:dyDescent="0.25">
      <c r="B19" s="96" t="s">
        <v>4</v>
      </c>
      <c r="C19" s="98">
        <f>+MSFT!AQ75</f>
        <v>43208</v>
      </c>
      <c r="D19" s="120" t="s">
        <v>89</v>
      </c>
      <c r="E19" s="96" t="s">
        <v>4</v>
      </c>
      <c r="F19" s="98">
        <f>+META!N45</f>
        <v>58744</v>
      </c>
      <c r="G19" s="169" t="s">
        <v>89</v>
      </c>
      <c r="H19" s="96" t="s">
        <v>4</v>
      </c>
      <c r="I19" s="98">
        <f>+GOOGL!N49</f>
        <v>46547</v>
      </c>
      <c r="J19" s="169" t="s">
        <v>16</v>
      </c>
      <c r="K19" s="96" t="s">
        <v>4</v>
      </c>
      <c r="L19" s="98">
        <f>BIDU!K50+BIDU!K53+BIDU!K54</f>
        <v>10868</v>
      </c>
      <c r="N19" s="96" t="s">
        <v>4</v>
      </c>
      <c r="O19" s="98">
        <v>0</v>
      </c>
      <c r="Q19" s="96" t="s">
        <v>4</v>
      </c>
      <c r="R19" s="98">
        <v>31792</v>
      </c>
      <c r="S19" s="93" t="s">
        <v>16</v>
      </c>
    </row>
    <row r="21" spans="2:19" x14ac:dyDescent="0.25">
      <c r="B21" s="96" t="s">
        <v>5</v>
      </c>
      <c r="C21" s="98">
        <f>C17-C18+C19</f>
        <v>3839940.66</v>
      </c>
      <c r="E21" s="96" t="s">
        <v>5</v>
      </c>
      <c r="F21" s="98">
        <f>F17-F18+F19</f>
        <v>1634055.5</v>
      </c>
      <c r="H21" s="96" t="s">
        <v>5</v>
      </c>
      <c r="I21" s="98">
        <f>I17-I18+I19</f>
        <v>3855751.8299999996</v>
      </c>
      <c r="K21" s="96" t="s">
        <v>5</v>
      </c>
      <c r="L21" s="98">
        <f>L17-L18+L19</f>
        <v>22804.639999999999</v>
      </c>
      <c r="N21" s="96" t="s">
        <v>5</v>
      </c>
      <c r="O21" s="98">
        <f>O17-O18+O19</f>
        <v>6670.5070000000005</v>
      </c>
      <c r="Q21" s="96" t="s">
        <v>5</v>
      </c>
      <c r="R21" s="98">
        <f>R17-R18+R19</f>
        <v>419484.88</v>
      </c>
    </row>
    <row r="22" spans="2:19" x14ac:dyDescent="0.25">
      <c r="B22" s="96" t="s">
        <v>971</v>
      </c>
      <c r="C22" s="97">
        <f>C21/MSFT!BE41</f>
        <v>37.708585316992696</v>
      </c>
      <c r="E22" s="96" t="s">
        <v>971</v>
      </c>
      <c r="F22" s="97">
        <f>F21/META!W19</f>
        <v>27.023922139348734</v>
      </c>
      <c r="H22" s="96" t="s">
        <v>971</v>
      </c>
      <c r="I22" s="97">
        <f>I21/GOOGL!AA14</f>
        <v>29.172670273133082</v>
      </c>
      <c r="L22" s="93">
        <v>3600</v>
      </c>
      <c r="Q22" s="96" t="s">
        <v>971</v>
      </c>
      <c r="R22" s="97">
        <f>+R21/15234</f>
        <v>27.536095575685966</v>
      </c>
    </row>
    <row r="23" spans="2:19" x14ac:dyDescent="0.25">
      <c r="B23" s="96"/>
      <c r="C23" s="98"/>
      <c r="F23" s="97"/>
      <c r="I23" s="97"/>
      <c r="L23" s="97">
        <f>L21/L22</f>
        <v>6.3346222222222224</v>
      </c>
    </row>
    <row r="24" spans="2:19" x14ac:dyDescent="0.25">
      <c r="B24" s="96"/>
      <c r="C24" s="98"/>
      <c r="F24" s="97"/>
      <c r="I24" s="97"/>
      <c r="L24" s="97"/>
    </row>
    <row r="25" spans="2:19" x14ac:dyDescent="0.25">
      <c r="B25" s="93" t="s">
        <v>484</v>
      </c>
    </row>
    <row r="26" spans="2:19" x14ac:dyDescent="0.25">
      <c r="B26" s="93" t="s">
        <v>485</v>
      </c>
    </row>
    <row r="29" spans="2:19" x14ac:dyDescent="0.25">
      <c r="C29" s="93" t="s">
        <v>489</v>
      </c>
      <c r="D29" s="93" t="s">
        <v>490</v>
      </c>
      <c r="E29" s="93" t="s">
        <v>491</v>
      </c>
      <c r="F29" s="93" t="s">
        <v>492</v>
      </c>
      <c r="G29" s="101" t="s">
        <v>486</v>
      </c>
    </row>
    <row r="30" spans="2:19" x14ac:dyDescent="0.25">
      <c r="B30" s="93" t="s">
        <v>488</v>
      </c>
      <c r="C30" s="93">
        <v>10</v>
      </c>
      <c r="D30" s="93">
        <v>12</v>
      </c>
      <c r="E30" s="93">
        <v>0.04</v>
      </c>
      <c r="F30" s="102">
        <f>D30/C30-1</f>
        <v>0.19999999999999996</v>
      </c>
      <c r="G30" s="102">
        <f>RATE(E30,0,-C30,D30)</f>
        <v>94.396216644069085</v>
      </c>
      <c r="H30" s="93" t="str">
        <f ca="1">_xlfn.FORMULATEXT(G30)</f>
        <v>=RATE(E30,0,-C30,D30)</v>
      </c>
    </row>
    <row r="31" spans="2:19" x14ac:dyDescent="0.25">
      <c r="B31" s="93" t="s">
        <v>487</v>
      </c>
      <c r="C31" s="93">
        <v>10</v>
      </c>
      <c r="D31" s="93">
        <v>20</v>
      </c>
      <c r="E31" s="93">
        <v>2</v>
      </c>
      <c r="F31" s="102">
        <f t="shared" ref="F31" si="0">D31/C31-1</f>
        <v>1</v>
      </c>
      <c r="G31" s="102">
        <f>RATE(E31,0,-C31,D31)</f>
        <v>0.41421356237309503</v>
      </c>
    </row>
    <row r="32" spans="2:19" x14ac:dyDescent="0.25">
      <c r="F32" s="102"/>
      <c r="G32" s="102"/>
    </row>
    <row r="33" spans="2:8" x14ac:dyDescent="0.25">
      <c r="F33" s="102"/>
      <c r="G33" s="102"/>
    </row>
    <row r="34" spans="2:8" x14ac:dyDescent="0.25">
      <c r="F34" s="102"/>
      <c r="G34" s="102"/>
    </row>
    <row r="35" spans="2:8" x14ac:dyDescent="0.25">
      <c r="B35" s="93" t="s">
        <v>839</v>
      </c>
      <c r="F35" s="102"/>
      <c r="G35" s="102"/>
    </row>
    <row r="36" spans="2:8" x14ac:dyDescent="0.25">
      <c r="B36" s="103" t="s">
        <v>838</v>
      </c>
      <c r="F36" s="102"/>
      <c r="G36" s="102"/>
    </row>
    <row r="37" spans="2:8" x14ac:dyDescent="0.25">
      <c r="F37" s="102"/>
      <c r="G37" s="102"/>
    </row>
    <row r="38" spans="2:8" x14ac:dyDescent="0.25">
      <c r="F38" s="102"/>
      <c r="G38" s="102"/>
    </row>
    <row r="39" spans="2:8" ht="13.8" thickBot="1" x14ac:dyDescent="0.3"/>
    <row r="40" spans="2:8" ht="13.8" thickBot="1" x14ac:dyDescent="0.3">
      <c r="D40" s="171" t="s">
        <v>833</v>
      </c>
      <c r="E40" s="172"/>
      <c r="F40" s="172"/>
      <c r="G40" s="172"/>
      <c r="H40" s="173"/>
    </row>
    <row r="41" spans="2:8" ht="13.8" thickBot="1" x14ac:dyDescent="0.3">
      <c r="D41" s="202" t="s">
        <v>801</v>
      </c>
      <c r="E41" s="203"/>
      <c r="F41" s="202" t="s">
        <v>794</v>
      </c>
      <c r="G41" s="203"/>
      <c r="H41" s="104" t="s">
        <v>795</v>
      </c>
    </row>
    <row r="42" spans="2:8" ht="14.4" customHeight="1" x14ac:dyDescent="0.25">
      <c r="B42" s="174" t="s">
        <v>816</v>
      </c>
      <c r="C42" s="206"/>
      <c r="D42" s="200" t="s">
        <v>802</v>
      </c>
      <c r="E42" s="201"/>
      <c r="F42" s="213" t="s">
        <v>1001</v>
      </c>
      <c r="G42" s="214"/>
      <c r="H42" s="205" t="s">
        <v>796</v>
      </c>
    </row>
    <row r="43" spans="2:8" x14ac:dyDescent="0.25">
      <c r="B43" s="194"/>
      <c r="C43" s="207"/>
      <c r="D43" s="194"/>
      <c r="E43" s="195"/>
      <c r="F43" s="192"/>
      <c r="G43" s="193"/>
      <c r="H43" s="180"/>
    </row>
    <row r="44" spans="2:8" ht="14.4" customHeight="1" x14ac:dyDescent="0.25">
      <c r="B44" s="194"/>
      <c r="C44" s="207"/>
      <c r="D44" s="194" t="s">
        <v>803</v>
      </c>
      <c r="E44" s="195"/>
      <c r="F44" s="192" t="s">
        <v>1002</v>
      </c>
      <c r="G44" s="193"/>
      <c r="H44" s="180" t="s">
        <v>810</v>
      </c>
    </row>
    <row r="45" spans="2:8" x14ac:dyDescent="0.25">
      <c r="B45" s="194"/>
      <c r="C45" s="207"/>
      <c r="D45" s="194"/>
      <c r="E45" s="195"/>
      <c r="F45" s="192"/>
      <c r="G45" s="193"/>
      <c r="H45" s="180"/>
    </row>
    <row r="46" spans="2:8" ht="14.4" customHeight="1" x14ac:dyDescent="0.25">
      <c r="B46" s="194"/>
      <c r="C46" s="207"/>
      <c r="D46" s="194" t="s">
        <v>804</v>
      </c>
      <c r="E46" s="195"/>
      <c r="F46" s="192" t="s">
        <v>1003</v>
      </c>
      <c r="G46" s="193"/>
      <c r="H46" s="180" t="s">
        <v>810</v>
      </c>
    </row>
    <row r="47" spans="2:8" x14ac:dyDescent="0.25">
      <c r="B47" s="194"/>
      <c r="C47" s="207"/>
      <c r="D47" s="194"/>
      <c r="E47" s="195"/>
      <c r="F47" s="192"/>
      <c r="G47" s="193"/>
      <c r="H47" s="180"/>
    </row>
    <row r="48" spans="2:8" ht="14.4" customHeight="1" x14ac:dyDescent="0.25">
      <c r="B48" s="194"/>
      <c r="C48" s="207"/>
      <c r="D48" s="194" t="s">
        <v>805</v>
      </c>
      <c r="E48" s="195"/>
      <c r="F48" s="192" t="s">
        <v>1004</v>
      </c>
      <c r="G48" s="193"/>
      <c r="H48" s="180" t="s">
        <v>812</v>
      </c>
    </row>
    <row r="49" spans="2:8" x14ac:dyDescent="0.25">
      <c r="B49" s="194"/>
      <c r="C49" s="207"/>
      <c r="D49" s="194"/>
      <c r="E49" s="195"/>
      <c r="F49" s="192"/>
      <c r="G49" s="193"/>
      <c r="H49" s="180"/>
    </row>
    <row r="50" spans="2:8" ht="14.4" customHeight="1" x14ac:dyDescent="0.25">
      <c r="B50" s="194"/>
      <c r="C50" s="207"/>
      <c r="D50" s="194" t="s">
        <v>806</v>
      </c>
      <c r="E50" s="195"/>
      <c r="F50" s="192" t="s">
        <v>1005</v>
      </c>
      <c r="G50" s="193"/>
      <c r="H50" s="180" t="s">
        <v>811</v>
      </c>
    </row>
    <row r="51" spans="2:8" x14ac:dyDescent="0.25">
      <c r="B51" s="194"/>
      <c r="C51" s="207"/>
      <c r="D51" s="194"/>
      <c r="E51" s="195"/>
      <c r="F51" s="192"/>
      <c r="G51" s="193"/>
      <c r="H51" s="180"/>
    </row>
    <row r="52" spans="2:8" ht="14.4" customHeight="1" x14ac:dyDescent="0.25">
      <c r="B52" s="194"/>
      <c r="C52" s="207"/>
      <c r="D52" s="194" t="s">
        <v>807</v>
      </c>
      <c r="E52" s="195"/>
      <c r="F52" s="192" t="s">
        <v>1006</v>
      </c>
      <c r="G52" s="193"/>
      <c r="H52" s="197" t="s">
        <v>815</v>
      </c>
    </row>
    <row r="53" spans="2:8" x14ac:dyDescent="0.25">
      <c r="B53" s="194"/>
      <c r="C53" s="207"/>
      <c r="D53" s="194"/>
      <c r="E53" s="195"/>
      <c r="F53" s="192"/>
      <c r="G53" s="193"/>
      <c r="H53" s="197"/>
    </row>
    <row r="54" spans="2:8" ht="14.4" customHeight="1" x14ac:dyDescent="0.25">
      <c r="B54" s="194"/>
      <c r="C54" s="207"/>
      <c r="D54" s="194" t="s">
        <v>808</v>
      </c>
      <c r="E54" s="195"/>
      <c r="F54" s="192" t="s">
        <v>1007</v>
      </c>
      <c r="G54" s="193"/>
      <c r="H54" s="180" t="s">
        <v>813</v>
      </c>
    </row>
    <row r="55" spans="2:8" x14ac:dyDescent="0.25">
      <c r="B55" s="194"/>
      <c r="C55" s="207"/>
      <c r="D55" s="194"/>
      <c r="E55" s="195"/>
      <c r="F55" s="192"/>
      <c r="G55" s="193"/>
      <c r="H55" s="180"/>
    </row>
    <row r="56" spans="2:8" ht="14.4" customHeight="1" x14ac:dyDescent="0.25">
      <c r="B56" s="194"/>
      <c r="C56" s="207"/>
      <c r="D56" s="194" t="s">
        <v>809</v>
      </c>
      <c r="E56" s="195"/>
      <c r="F56" s="192" t="s">
        <v>1008</v>
      </c>
      <c r="G56" s="193"/>
      <c r="H56" s="197" t="s">
        <v>814</v>
      </c>
    </row>
    <row r="57" spans="2:8" ht="13.8" thickBot="1" x14ac:dyDescent="0.3">
      <c r="B57" s="208"/>
      <c r="C57" s="209"/>
      <c r="D57" s="208"/>
      <c r="E57" s="210"/>
      <c r="F57" s="211"/>
      <c r="G57" s="212"/>
      <c r="H57" s="204"/>
    </row>
    <row r="58" spans="2:8" ht="14.4" customHeight="1" x14ac:dyDescent="0.25">
      <c r="B58" s="174" t="s">
        <v>829</v>
      </c>
      <c r="C58" s="175"/>
      <c r="D58" s="200" t="s">
        <v>817</v>
      </c>
      <c r="E58" s="201"/>
      <c r="F58" s="198" t="s">
        <v>818</v>
      </c>
      <c r="G58" s="199"/>
      <c r="H58" s="106" t="s">
        <v>819</v>
      </c>
    </row>
    <row r="59" spans="2:8" ht="14.4" customHeight="1" x14ac:dyDescent="0.25">
      <c r="B59" s="176"/>
      <c r="C59" s="177"/>
      <c r="D59" s="194" t="s">
        <v>820</v>
      </c>
      <c r="E59" s="195"/>
      <c r="F59" s="192" t="s">
        <v>1009</v>
      </c>
      <c r="G59" s="193"/>
      <c r="H59" s="197" t="s">
        <v>821</v>
      </c>
    </row>
    <row r="60" spans="2:8" x14ac:dyDescent="0.25">
      <c r="B60" s="176"/>
      <c r="C60" s="177"/>
      <c r="D60" s="194"/>
      <c r="E60" s="195"/>
      <c r="F60" s="192"/>
      <c r="G60" s="193"/>
      <c r="H60" s="197"/>
    </row>
    <row r="61" spans="2:8" x14ac:dyDescent="0.25">
      <c r="B61" s="176"/>
      <c r="C61" s="177"/>
      <c r="D61" s="194"/>
      <c r="E61" s="195"/>
      <c r="F61" s="192"/>
      <c r="G61" s="193"/>
      <c r="H61" s="197"/>
    </row>
    <row r="62" spans="2:8" x14ac:dyDescent="0.25">
      <c r="B62" s="176"/>
      <c r="C62" s="177"/>
      <c r="D62" s="194" t="s">
        <v>822</v>
      </c>
      <c r="E62" s="195"/>
      <c r="F62" s="188" t="s">
        <v>823</v>
      </c>
      <c r="G62" s="196"/>
      <c r="H62" s="105" t="s">
        <v>823</v>
      </c>
    </row>
    <row r="63" spans="2:8" x14ac:dyDescent="0.25">
      <c r="B63" s="176"/>
      <c r="C63" s="177"/>
      <c r="D63" s="194" t="s">
        <v>824</v>
      </c>
      <c r="E63" s="195"/>
      <c r="F63" s="192" t="s">
        <v>1010</v>
      </c>
      <c r="G63" s="193"/>
      <c r="H63" s="197" t="s">
        <v>825</v>
      </c>
    </row>
    <row r="64" spans="2:8" x14ac:dyDescent="0.25">
      <c r="B64" s="176"/>
      <c r="C64" s="177"/>
      <c r="D64" s="194"/>
      <c r="E64" s="195"/>
      <c r="F64" s="192"/>
      <c r="G64" s="193"/>
      <c r="H64" s="197"/>
    </row>
    <row r="65" spans="2:8" ht="13.8" thickBot="1" x14ac:dyDescent="0.3">
      <c r="B65" s="178"/>
      <c r="C65" s="179"/>
      <c r="D65" s="190" t="s">
        <v>826</v>
      </c>
      <c r="E65" s="191"/>
      <c r="F65" s="190" t="s">
        <v>827</v>
      </c>
      <c r="G65" s="191"/>
      <c r="H65" s="107" t="s">
        <v>828</v>
      </c>
    </row>
    <row r="66" spans="2:8" x14ac:dyDescent="0.25">
      <c r="B66" s="184" t="s">
        <v>830</v>
      </c>
      <c r="C66" s="185"/>
      <c r="D66" s="176" t="s">
        <v>831</v>
      </c>
      <c r="E66" s="182"/>
      <c r="F66" s="188" t="s">
        <v>1011</v>
      </c>
      <c r="G66" s="189"/>
      <c r="H66" s="180" t="s">
        <v>832</v>
      </c>
    </row>
    <row r="67" spans="2:8" ht="13.8" thickBot="1" x14ac:dyDescent="0.3">
      <c r="B67" s="186"/>
      <c r="C67" s="187"/>
      <c r="D67" s="178"/>
      <c r="E67" s="183"/>
      <c r="F67" s="190"/>
      <c r="G67" s="191"/>
      <c r="H67" s="181"/>
    </row>
  </sheetData>
  <mergeCells count="45">
    <mergeCell ref="B42:C57"/>
    <mergeCell ref="F41:G41"/>
    <mergeCell ref="D56:E57"/>
    <mergeCell ref="D54:E55"/>
    <mergeCell ref="D52:E53"/>
    <mergeCell ref="D46:E47"/>
    <mergeCell ref="D44:E45"/>
    <mergeCell ref="F56:G57"/>
    <mergeCell ref="F54:G55"/>
    <mergeCell ref="F52:G53"/>
    <mergeCell ref="F50:G51"/>
    <mergeCell ref="F48:G49"/>
    <mergeCell ref="F46:G47"/>
    <mergeCell ref="F44:G45"/>
    <mergeCell ref="F42:G43"/>
    <mergeCell ref="D42:E43"/>
    <mergeCell ref="D58:E58"/>
    <mergeCell ref="H59:H61"/>
    <mergeCell ref="D41:E41"/>
    <mergeCell ref="D50:E51"/>
    <mergeCell ref="D48:E49"/>
    <mergeCell ref="H54:H55"/>
    <mergeCell ref="H56:H57"/>
    <mergeCell ref="H50:H51"/>
    <mergeCell ref="H52:H53"/>
    <mergeCell ref="H42:H43"/>
    <mergeCell ref="H44:H45"/>
    <mergeCell ref="H46:H47"/>
    <mergeCell ref="H48:H49"/>
    <mergeCell ref="D40:H40"/>
    <mergeCell ref="B58:C65"/>
    <mergeCell ref="H66:H67"/>
    <mergeCell ref="D66:E67"/>
    <mergeCell ref="B66:C67"/>
    <mergeCell ref="F66:G67"/>
    <mergeCell ref="F59:G61"/>
    <mergeCell ref="D59:E61"/>
    <mergeCell ref="D62:E62"/>
    <mergeCell ref="F62:G62"/>
    <mergeCell ref="F65:G65"/>
    <mergeCell ref="D65:E65"/>
    <mergeCell ref="D63:E64"/>
    <mergeCell ref="F63:G64"/>
    <mergeCell ref="H63:H64"/>
    <mergeCell ref="F58:G58"/>
  </mergeCells>
  <hyperlinks>
    <hyperlink ref="E2" location="AAPL!A1" display="AAPL" xr:uid="{9BB2CA06-1A5D-4E3A-B281-D7309980E6B8}"/>
    <hyperlink ref="H2" location="AMZN!A1" display="AMZN" xr:uid="{74B6CABC-463F-4E3E-A7E7-7F5B351E0CF8}"/>
    <hyperlink ref="K2" location="IBM!A1" display="IBM" xr:uid="{A7FC09B4-DAF6-46BA-988D-751D23B6DE88}"/>
    <hyperlink ref="N2" r:id="rId1" xr:uid="{CB8127FB-DDE0-4788-8E02-76EE81A22C65}"/>
    <hyperlink ref="Q2" r:id="rId2" xr:uid="{50A01B4F-BC06-4A49-958F-A17A133D3701}"/>
    <hyperlink ref="B13" location="MSFT!A1" display="MSFT" xr:uid="{819A6378-23FA-408C-937D-A1BCE16E09E1}"/>
    <hyperlink ref="A1" r:id="rId3" xr:uid="{AE3C34B9-3B52-439B-A6F8-37C5D8B9B019}"/>
    <hyperlink ref="E13" location="META!A1" display="META" xr:uid="{DFD606C2-2863-4211-A08A-4DF6EC11B4D7}"/>
    <hyperlink ref="B36" r:id="rId4" xr:uid="{EF8CFE97-3473-4F00-B475-9B9ED60E1C49}"/>
    <hyperlink ref="H13" location="GOOGL!A1" display="GOOGL" xr:uid="{7E4706BF-36DB-499B-9389-8BA5121C066D}"/>
    <hyperlink ref="K13" location="BIDU!A1" display="BIDU" xr:uid="{255FCBDA-9F5F-42BF-8265-1E33F07B6B55}"/>
    <hyperlink ref="N13" r:id="rId5" xr:uid="{88896070-E652-4487-8174-42D8EA92A36F}"/>
    <hyperlink ref="Q13" r:id="rId6" xr:uid="{5982EC81-FC96-4A07-8093-35A3A607044A}"/>
    <hyperlink ref="B2" r:id="rId7" xr:uid="{E46C0F48-1665-4DB2-9DD8-AA89F418D25F}"/>
    <hyperlink ref="U2" r:id="rId8" xr:uid="{83421F79-F3C4-4042-B5B0-1F3BC9B1B9DB}"/>
  </hyperlinks>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25AF0-5D23-4C9D-8A1E-A62D751A0F6E}">
  <dimension ref="A1:YT188"/>
  <sheetViews>
    <sheetView zoomScale="87" zoomScaleNormal="100" workbookViewId="0">
      <pane xSplit="2" ySplit="2" topLeftCell="C121" activePane="bottomRight" state="frozen"/>
      <selection pane="topRight" activeCell="C1" sqref="C1"/>
      <selection pane="bottomLeft" activeCell="A3" sqref="A3"/>
      <selection pane="bottomRight" activeCell="B144" sqref="B144"/>
    </sheetView>
  </sheetViews>
  <sheetFormatPr defaultRowHeight="13.2" x14ac:dyDescent="0.25"/>
  <cols>
    <col min="1" max="1" width="8.88671875" style="93"/>
    <col min="2" max="2" width="22.77734375" style="93" bestFit="1" customWidth="1"/>
    <col min="3" max="11" width="9" style="93" bestFit="1" customWidth="1"/>
    <col min="12" max="12" width="9.6640625" style="93" customWidth="1"/>
    <col min="13" max="22" width="9" style="93" bestFit="1" customWidth="1"/>
    <col min="23" max="23" width="8.88671875" style="93"/>
    <col min="24" max="25" width="9" style="93" bestFit="1" customWidth="1"/>
    <col min="26" max="37" width="10.21875" style="93" bestFit="1" customWidth="1"/>
    <col min="38" max="49" width="9" style="93" bestFit="1" customWidth="1"/>
    <col min="50" max="50" width="10.21875" style="93" customWidth="1"/>
    <col min="51" max="670" width="9" style="93" bestFit="1" customWidth="1"/>
    <col min="671" max="16384" width="8.88671875" style="93"/>
  </cols>
  <sheetData>
    <row r="1" spans="1:670" x14ac:dyDescent="0.25">
      <c r="A1" s="103" t="s">
        <v>8</v>
      </c>
    </row>
    <row r="2" spans="1:670" x14ac:dyDescent="0.25">
      <c r="C2" s="93" t="s">
        <v>72</v>
      </c>
      <c r="D2" s="93" t="s">
        <v>53</v>
      </c>
      <c r="E2" s="93" t="s">
        <v>52</v>
      </c>
      <c r="F2" s="93" t="s">
        <v>33</v>
      </c>
      <c r="G2" s="93" t="s">
        <v>10</v>
      </c>
      <c r="H2" s="93" t="s">
        <v>11</v>
      </c>
      <c r="I2" s="93" t="s">
        <v>12</v>
      </c>
      <c r="J2" s="93" t="s">
        <v>7</v>
      </c>
      <c r="K2" s="93" t="s">
        <v>13</v>
      </c>
      <c r="L2" s="93" t="s">
        <v>14</v>
      </c>
      <c r="M2" s="93" t="s">
        <v>15</v>
      </c>
      <c r="N2" s="93" t="s">
        <v>16</v>
      </c>
      <c r="O2" s="93" t="s">
        <v>89</v>
      </c>
      <c r="P2" s="93" t="s">
        <v>917</v>
      </c>
      <c r="Q2" s="93" t="s">
        <v>918</v>
      </c>
      <c r="R2" s="93" t="s">
        <v>919</v>
      </c>
      <c r="S2" s="93" t="s">
        <v>920</v>
      </c>
      <c r="T2" s="93" t="s">
        <v>921</v>
      </c>
      <c r="U2" s="93" t="s">
        <v>931</v>
      </c>
      <c r="V2" s="93" t="s">
        <v>932</v>
      </c>
      <c r="X2" s="93">
        <v>2022</v>
      </c>
      <c r="Y2" s="93">
        <v>2023</v>
      </c>
      <c r="Z2" s="93">
        <v>2024</v>
      </c>
      <c r="AA2" s="93">
        <v>2025</v>
      </c>
      <c r="AB2" s="93">
        <v>2026</v>
      </c>
      <c r="AC2" s="93">
        <v>2027</v>
      </c>
      <c r="AD2" s="93">
        <v>2028</v>
      </c>
      <c r="AE2" s="93">
        <v>2029</v>
      </c>
      <c r="AF2" s="93">
        <v>2030</v>
      </c>
      <c r="AG2" s="93">
        <v>2031</v>
      </c>
      <c r="AH2" s="93">
        <v>2032</v>
      </c>
      <c r="AI2" s="93">
        <v>2033</v>
      </c>
      <c r="AJ2" s="93">
        <v>2034</v>
      </c>
      <c r="AK2" s="93">
        <v>2035</v>
      </c>
      <c r="AL2" s="93">
        <v>2036</v>
      </c>
      <c r="AM2" s="93">
        <v>2037</v>
      </c>
      <c r="AN2" s="93">
        <v>2038</v>
      </c>
      <c r="AO2" s="93">
        <v>2039</v>
      </c>
      <c r="AP2" s="93">
        <v>2040</v>
      </c>
      <c r="AQ2" s="93">
        <v>2041</v>
      </c>
      <c r="AR2" s="93">
        <v>2042</v>
      </c>
      <c r="AS2" s="93">
        <v>2043</v>
      </c>
      <c r="AT2" s="93">
        <v>2044</v>
      </c>
      <c r="AU2" s="93">
        <v>2045</v>
      </c>
      <c r="AV2" s="93">
        <f>+AU2+1</f>
        <v>2046</v>
      </c>
      <c r="AW2" s="93">
        <f t="shared" ref="AW2:DH2" si="0">+AV2+1</f>
        <v>2047</v>
      </c>
      <c r="AX2" s="93">
        <f t="shared" si="0"/>
        <v>2048</v>
      </c>
      <c r="AY2" s="93">
        <f t="shared" si="0"/>
        <v>2049</v>
      </c>
      <c r="AZ2" s="93">
        <f t="shared" si="0"/>
        <v>2050</v>
      </c>
      <c r="BA2" s="93">
        <f t="shared" si="0"/>
        <v>2051</v>
      </c>
      <c r="BB2" s="93">
        <f t="shared" si="0"/>
        <v>2052</v>
      </c>
      <c r="BC2" s="93">
        <f t="shared" si="0"/>
        <v>2053</v>
      </c>
      <c r="BD2" s="93">
        <f t="shared" si="0"/>
        <v>2054</v>
      </c>
      <c r="BE2" s="93">
        <f t="shared" si="0"/>
        <v>2055</v>
      </c>
      <c r="BF2" s="93">
        <f t="shared" si="0"/>
        <v>2056</v>
      </c>
      <c r="BG2" s="93">
        <f t="shared" si="0"/>
        <v>2057</v>
      </c>
      <c r="BH2" s="93">
        <f t="shared" si="0"/>
        <v>2058</v>
      </c>
      <c r="BI2" s="93">
        <f t="shared" si="0"/>
        <v>2059</v>
      </c>
      <c r="BJ2" s="93">
        <f t="shared" si="0"/>
        <v>2060</v>
      </c>
      <c r="BK2" s="93">
        <f t="shared" si="0"/>
        <v>2061</v>
      </c>
      <c r="BL2" s="93">
        <f t="shared" si="0"/>
        <v>2062</v>
      </c>
      <c r="BM2" s="93">
        <f t="shared" si="0"/>
        <v>2063</v>
      </c>
      <c r="BN2" s="93">
        <f t="shared" si="0"/>
        <v>2064</v>
      </c>
      <c r="BO2" s="93">
        <f t="shared" si="0"/>
        <v>2065</v>
      </c>
      <c r="BP2" s="93">
        <f t="shared" si="0"/>
        <v>2066</v>
      </c>
      <c r="BQ2" s="93">
        <f t="shared" si="0"/>
        <v>2067</v>
      </c>
      <c r="BR2" s="93">
        <f t="shared" si="0"/>
        <v>2068</v>
      </c>
      <c r="BS2" s="93">
        <f t="shared" si="0"/>
        <v>2069</v>
      </c>
      <c r="BT2" s="93">
        <f t="shared" si="0"/>
        <v>2070</v>
      </c>
      <c r="BU2" s="93">
        <f t="shared" si="0"/>
        <v>2071</v>
      </c>
      <c r="BV2" s="93">
        <f t="shared" si="0"/>
        <v>2072</v>
      </c>
      <c r="BW2" s="93">
        <f t="shared" si="0"/>
        <v>2073</v>
      </c>
      <c r="BX2" s="93">
        <f t="shared" si="0"/>
        <v>2074</v>
      </c>
      <c r="BY2" s="93">
        <f t="shared" si="0"/>
        <v>2075</v>
      </c>
      <c r="BZ2" s="93">
        <f t="shared" si="0"/>
        <v>2076</v>
      </c>
      <c r="CA2" s="93">
        <f t="shared" si="0"/>
        <v>2077</v>
      </c>
      <c r="CB2" s="93">
        <f t="shared" si="0"/>
        <v>2078</v>
      </c>
      <c r="CC2" s="93">
        <f t="shared" si="0"/>
        <v>2079</v>
      </c>
      <c r="CD2" s="93">
        <f t="shared" si="0"/>
        <v>2080</v>
      </c>
      <c r="CE2" s="93">
        <f t="shared" si="0"/>
        <v>2081</v>
      </c>
      <c r="CF2" s="93">
        <f t="shared" si="0"/>
        <v>2082</v>
      </c>
      <c r="CG2" s="93">
        <f t="shared" si="0"/>
        <v>2083</v>
      </c>
      <c r="CH2" s="93">
        <f t="shared" si="0"/>
        <v>2084</v>
      </c>
      <c r="CI2" s="93">
        <f t="shared" si="0"/>
        <v>2085</v>
      </c>
      <c r="CJ2" s="93">
        <f t="shared" si="0"/>
        <v>2086</v>
      </c>
      <c r="CK2" s="93">
        <f t="shared" si="0"/>
        <v>2087</v>
      </c>
      <c r="CL2" s="93">
        <f t="shared" si="0"/>
        <v>2088</v>
      </c>
      <c r="CM2" s="93">
        <f t="shared" si="0"/>
        <v>2089</v>
      </c>
      <c r="CN2" s="93">
        <f t="shared" si="0"/>
        <v>2090</v>
      </c>
      <c r="CO2" s="93">
        <f t="shared" si="0"/>
        <v>2091</v>
      </c>
      <c r="CP2" s="93">
        <f t="shared" si="0"/>
        <v>2092</v>
      </c>
      <c r="CQ2" s="93">
        <f t="shared" si="0"/>
        <v>2093</v>
      </c>
      <c r="CR2" s="93">
        <f t="shared" si="0"/>
        <v>2094</v>
      </c>
      <c r="CS2" s="93">
        <f t="shared" si="0"/>
        <v>2095</v>
      </c>
      <c r="CT2" s="93">
        <f t="shared" si="0"/>
        <v>2096</v>
      </c>
      <c r="CU2" s="93">
        <f t="shared" si="0"/>
        <v>2097</v>
      </c>
      <c r="CV2" s="93">
        <f t="shared" si="0"/>
        <v>2098</v>
      </c>
      <c r="CW2" s="93">
        <f t="shared" si="0"/>
        <v>2099</v>
      </c>
      <c r="CX2" s="93">
        <f t="shared" si="0"/>
        <v>2100</v>
      </c>
      <c r="CY2" s="93">
        <f t="shared" si="0"/>
        <v>2101</v>
      </c>
      <c r="CZ2" s="93">
        <f t="shared" si="0"/>
        <v>2102</v>
      </c>
      <c r="DA2" s="93">
        <f t="shared" si="0"/>
        <v>2103</v>
      </c>
      <c r="DB2" s="93">
        <f t="shared" si="0"/>
        <v>2104</v>
      </c>
      <c r="DC2" s="93">
        <f t="shared" si="0"/>
        <v>2105</v>
      </c>
      <c r="DD2" s="93">
        <f t="shared" si="0"/>
        <v>2106</v>
      </c>
      <c r="DE2" s="93">
        <f t="shared" si="0"/>
        <v>2107</v>
      </c>
      <c r="DF2" s="93">
        <f t="shared" si="0"/>
        <v>2108</v>
      </c>
      <c r="DG2" s="93">
        <f t="shared" si="0"/>
        <v>2109</v>
      </c>
      <c r="DH2" s="93">
        <f t="shared" si="0"/>
        <v>2110</v>
      </c>
      <c r="DI2" s="93">
        <f t="shared" ref="DI2:FT2" si="1">+DH2+1</f>
        <v>2111</v>
      </c>
      <c r="DJ2" s="93">
        <f t="shared" si="1"/>
        <v>2112</v>
      </c>
      <c r="DK2" s="93">
        <f t="shared" si="1"/>
        <v>2113</v>
      </c>
      <c r="DL2" s="93">
        <f t="shared" si="1"/>
        <v>2114</v>
      </c>
      <c r="DM2" s="93">
        <f t="shared" si="1"/>
        <v>2115</v>
      </c>
      <c r="DN2" s="93">
        <f t="shared" si="1"/>
        <v>2116</v>
      </c>
      <c r="DO2" s="93">
        <f t="shared" si="1"/>
        <v>2117</v>
      </c>
      <c r="DP2" s="93">
        <f t="shared" si="1"/>
        <v>2118</v>
      </c>
      <c r="DQ2" s="93">
        <f t="shared" si="1"/>
        <v>2119</v>
      </c>
      <c r="DR2" s="93">
        <f t="shared" si="1"/>
        <v>2120</v>
      </c>
      <c r="DS2" s="93">
        <f t="shared" si="1"/>
        <v>2121</v>
      </c>
      <c r="DT2" s="93">
        <f t="shared" si="1"/>
        <v>2122</v>
      </c>
      <c r="DU2" s="93">
        <f t="shared" si="1"/>
        <v>2123</v>
      </c>
      <c r="DV2" s="93">
        <f t="shared" si="1"/>
        <v>2124</v>
      </c>
      <c r="DW2" s="93">
        <f t="shared" si="1"/>
        <v>2125</v>
      </c>
      <c r="DX2" s="93">
        <f t="shared" si="1"/>
        <v>2126</v>
      </c>
      <c r="DY2" s="93">
        <f t="shared" si="1"/>
        <v>2127</v>
      </c>
      <c r="DZ2" s="93">
        <f t="shared" si="1"/>
        <v>2128</v>
      </c>
      <c r="EA2" s="93">
        <f t="shared" si="1"/>
        <v>2129</v>
      </c>
      <c r="EB2" s="93">
        <f t="shared" si="1"/>
        <v>2130</v>
      </c>
      <c r="EC2" s="93">
        <f t="shared" si="1"/>
        <v>2131</v>
      </c>
      <c r="ED2" s="93">
        <f t="shared" si="1"/>
        <v>2132</v>
      </c>
      <c r="EE2" s="93">
        <f t="shared" si="1"/>
        <v>2133</v>
      </c>
      <c r="EF2" s="93">
        <f t="shared" si="1"/>
        <v>2134</v>
      </c>
      <c r="EG2" s="93">
        <f t="shared" si="1"/>
        <v>2135</v>
      </c>
      <c r="EH2" s="93">
        <f t="shared" si="1"/>
        <v>2136</v>
      </c>
      <c r="EI2" s="93">
        <f t="shared" si="1"/>
        <v>2137</v>
      </c>
      <c r="EJ2" s="93">
        <f t="shared" si="1"/>
        <v>2138</v>
      </c>
      <c r="EK2" s="93">
        <f t="shared" si="1"/>
        <v>2139</v>
      </c>
      <c r="EL2" s="93">
        <f t="shared" si="1"/>
        <v>2140</v>
      </c>
      <c r="EM2" s="93">
        <f t="shared" si="1"/>
        <v>2141</v>
      </c>
      <c r="EN2" s="93">
        <f t="shared" si="1"/>
        <v>2142</v>
      </c>
      <c r="EO2" s="93">
        <f t="shared" si="1"/>
        <v>2143</v>
      </c>
      <c r="EP2" s="93">
        <f t="shared" si="1"/>
        <v>2144</v>
      </c>
      <c r="EQ2" s="93">
        <f t="shared" si="1"/>
        <v>2145</v>
      </c>
      <c r="ER2" s="93">
        <f t="shared" si="1"/>
        <v>2146</v>
      </c>
      <c r="ES2" s="93">
        <f t="shared" si="1"/>
        <v>2147</v>
      </c>
      <c r="ET2" s="93">
        <f t="shared" si="1"/>
        <v>2148</v>
      </c>
      <c r="EU2" s="93">
        <f t="shared" si="1"/>
        <v>2149</v>
      </c>
      <c r="EV2" s="93">
        <f t="shared" si="1"/>
        <v>2150</v>
      </c>
      <c r="EW2" s="93">
        <f t="shared" si="1"/>
        <v>2151</v>
      </c>
      <c r="EX2" s="93">
        <f t="shared" si="1"/>
        <v>2152</v>
      </c>
      <c r="EY2" s="93">
        <f t="shared" si="1"/>
        <v>2153</v>
      </c>
      <c r="EZ2" s="93">
        <f t="shared" si="1"/>
        <v>2154</v>
      </c>
      <c r="FA2" s="93">
        <f t="shared" si="1"/>
        <v>2155</v>
      </c>
      <c r="FB2" s="93">
        <f t="shared" si="1"/>
        <v>2156</v>
      </c>
      <c r="FC2" s="93">
        <f t="shared" si="1"/>
        <v>2157</v>
      </c>
      <c r="FD2" s="93">
        <f t="shared" si="1"/>
        <v>2158</v>
      </c>
      <c r="FE2" s="93">
        <f t="shared" si="1"/>
        <v>2159</v>
      </c>
      <c r="FF2" s="93">
        <f t="shared" si="1"/>
        <v>2160</v>
      </c>
      <c r="FG2" s="93">
        <f t="shared" si="1"/>
        <v>2161</v>
      </c>
      <c r="FH2" s="93">
        <f t="shared" si="1"/>
        <v>2162</v>
      </c>
      <c r="FI2" s="93">
        <f t="shared" si="1"/>
        <v>2163</v>
      </c>
      <c r="FJ2" s="93">
        <f t="shared" si="1"/>
        <v>2164</v>
      </c>
      <c r="FK2" s="93">
        <f t="shared" si="1"/>
        <v>2165</v>
      </c>
      <c r="FL2" s="93">
        <f t="shared" si="1"/>
        <v>2166</v>
      </c>
      <c r="FM2" s="93">
        <f t="shared" si="1"/>
        <v>2167</v>
      </c>
      <c r="FN2" s="93">
        <f t="shared" si="1"/>
        <v>2168</v>
      </c>
      <c r="FO2" s="93">
        <f t="shared" si="1"/>
        <v>2169</v>
      </c>
      <c r="FP2" s="93">
        <f t="shared" si="1"/>
        <v>2170</v>
      </c>
      <c r="FQ2" s="93">
        <f t="shared" si="1"/>
        <v>2171</v>
      </c>
      <c r="FR2" s="93">
        <f t="shared" si="1"/>
        <v>2172</v>
      </c>
      <c r="FS2" s="93">
        <f t="shared" si="1"/>
        <v>2173</v>
      </c>
      <c r="FT2" s="93">
        <f t="shared" si="1"/>
        <v>2174</v>
      </c>
      <c r="FU2" s="93">
        <f t="shared" ref="FU2:IF2" si="2">+FT2+1</f>
        <v>2175</v>
      </c>
      <c r="FV2" s="93">
        <f t="shared" si="2"/>
        <v>2176</v>
      </c>
      <c r="FW2" s="93">
        <f t="shared" si="2"/>
        <v>2177</v>
      </c>
      <c r="FX2" s="93">
        <f t="shared" si="2"/>
        <v>2178</v>
      </c>
      <c r="FY2" s="93">
        <f t="shared" si="2"/>
        <v>2179</v>
      </c>
      <c r="FZ2" s="93">
        <f t="shared" si="2"/>
        <v>2180</v>
      </c>
      <c r="GA2" s="93">
        <f t="shared" si="2"/>
        <v>2181</v>
      </c>
      <c r="GB2" s="93">
        <f t="shared" si="2"/>
        <v>2182</v>
      </c>
      <c r="GC2" s="93">
        <f t="shared" si="2"/>
        <v>2183</v>
      </c>
      <c r="GD2" s="93">
        <f t="shared" si="2"/>
        <v>2184</v>
      </c>
      <c r="GE2" s="93">
        <f t="shared" si="2"/>
        <v>2185</v>
      </c>
      <c r="GF2" s="93">
        <f t="shared" si="2"/>
        <v>2186</v>
      </c>
      <c r="GG2" s="93">
        <f t="shared" si="2"/>
        <v>2187</v>
      </c>
      <c r="GH2" s="93">
        <f t="shared" si="2"/>
        <v>2188</v>
      </c>
      <c r="GI2" s="93">
        <f t="shared" si="2"/>
        <v>2189</v>
      </c>
      <c r="GJ2" s="93">
        <f t="shared" si="2"/>
        <v>2190</v>
      </c>
      <c r="GK2" s="93">
        <f t="shared" si="2"/>
        <v>2191</v>
      </c>
      <c r="GL2" s="93">
        <f t="shared" si="2"/>
        <v>2192</v>
      </c>
      <c r="GM2" s="93">
        <f t="shared" si="2"/>
        <v>2193</v>
      </c>
      <c r="GN2" s="93">
        <f t="shared" si="2"/>
        <v>2194</v>
      </c>
      <c r="GO2" s="93">
        <f t="shared" si="2"/>
        <v>2195</v>
      </c>
      <c r="GP2" s="93">
        <f t="shared" si="2"/>
        <v>2196</v>
      </c>
      <c r="GQ2" s="93">
        <f t="shared" si="2"/>
        <v>2197</v>
      </c>
      <c r="GR2" s="93">
        <f t="shared" si="2"/>
        <v>2198</v>
      </c>
      <c r="GS2" s="93">
        <f t="shared" si="2"/>
        <v>2199</v>
      </c>
      <c r="GT2" s="93">
        <f t="shared" si="2"/>
        <v>2200</v>
      </c>
      <c r="GU2" s="93">
        <f t="shared" si="2"/>
        <v>2201</v>
      </c>
      <c r="GV2" s="93">
        <f t="shared" si="2"/>
        <v>2202</v>
      </c>
      <c r="GW2" s="93">
        <f t="shared" si="2"/>
        <v>2203</v>
      </c>
      <c r="GX2" s="93">
        <f t="shared" si="2"/>
        <v>2204</v>
      </c>
      <c r="GY2" s="93">
        <f t="shared" si="2"/>
        <v>2205</v>
      </c>
      <c r="GZ2" s="93">
        <f t="shared" si="2"/>
        <v>2206</v>
      </c>
      <c r="HA2" s="93">
        <f t="shared" si="2"/>
        <v>2207</v>
      </c>
      <c r="HB2" s="93">
        <f t="shared" si="2"/>
        <v>2208</v>
      </c>
      <c r="HC2" s="93">
        <f t="shared" si="2"/>
        <v>2209</v>
      </c>
      <c r="HD2" s="93">
        <f t="shared" si="2"/>
        <v>2210</v>
      </c>
      <c r="HE2" s="93">
        <f t="shared" si="2"/>
        <v>2211</v>
      </c>
      <c r="HF2" s="93">
        <f t="shared" si="2"/>
        <v>2212</v>
      </c>
      <c r="HG2" s="93">
        <f t="shared" si="2"/>
        <v>2213</v>
      </c>
      <c r="HH2" s="93">
        <f t="shared" si="2"/>
        <v>2214</v>
      </c>
      <c r="HI2" s="93">
        <f t="shared" si="2"/>
        <v>2215</v>
      </c>
      <c r="HJ2" s="93">
        <f t="shared" si="2"/>
        <v>2216</v>
      </c>
      <c r="HK2" s="93">
        <f t="shared" si="2"/>
        <v>2217</v>
      </c>
      <c r="HL2" s="93">
        <f t="shared" si="2"/>
        <v>2218</v>
      </c>
      <c r="HM2" s="93">
        <f t="shared" si="2"/>
        <v>2219</v>
      </c>
      <c r="HN2" s="93">
        <f t="shared" si="2"/>
        <v>2220</v>
      </c>
      <c r="HO2" s="93">
        <f t="shared" si="2"/>
        <v>2221</v>
      </c>
      <c r="HP2" s="93">
        <f t="shared" si="2"/>
        <v>2222</v>
      </c>
      <c r="HQ2" s="93">
        <f t="shared" si="2"/>
        <v>2223</v>
      </c>
      <c r="HR2" s="93">
        <f t="shared" si="2"/>
        <v>2224</v>
      </c>
      <c r="HS2" s="93">
        <f t="shared" si="2"/>
        <v>2225</v>
      </c>
      <c r="HT2" s="93">
        <f t="shared" si="2"/>
        <v>2226</v>
      </c>
      <c r="HU2" s="93">
        <f t="shared" si="2"/>
        <v>2227</v>
      </c>
      <c r="HV2" s="93">
        <f t="shared" si="2"/>
        <v>2228</v>
      </c>
      <c r="HW2" s="93">
        <f t="shared" si="2"/>
        <v>2229</v>
      </c>
      <c r="HX2" s="93">
        <f t="shared" si="2"/>
        <v>2230</v>
      </c>
      <c r="HY2" s="93">
        <f t="shared" si="2"/>
        <v>2231</v>
      </c>
      <c r="HZ2" s="93">
        <f t="shared" si="2"/>
        <v>2232</v>
      </c>
      <c r="IA2" s="93">
        <f t="shared" si="2"/>
        <v>2233</v>
      </c>
      <c r="IB2" s="93">
        <f t="shared" si="2"/>
        <v>2234</v>
      </c>
      <c r="IC2" s="93">
        <f t="shared" si="2"/>
        <v>2235</v>
      </c>
      <c r="ID2" s="93">
        <f t="shared" si="2"/>
        <v>2236</v>
      </c>
      <c r="IE2" s="93">
        <f t="shared" si="2"/>
        <v>2237</v>
      </c>
      <c r="IF2" s="93">
        <f t="shared" si="2"/>
        <v>2238</v>
      </c>
      <c r="IG2" s="93">
        <f t="shared" ref="IG2:KR2" si="3">+IF2+1</f>
        <v>2239</v>
      </c>
      <c r="IH2" s="93">
        <f t="shared" si="3"/>
        <v>2240</v>
      </c>
      <c r="II2" s="93">
        <f t="shared" si="3"/>
        <v>2241</v>
      </c>
      <c r="IJ2" s="93">
        <f t="shared" si="3"/>
        <v>2242</v>
      </c>
      <c r="IK2" s="93">
        <f t="shared" si="3"/>
        <v>2243</v>
      </c>
      <c r="IL2" s="93">
        <f t="shared" si="3"/>
        <v>2244</v>
      </c>
      <c r="IM2" s="93">
        <f t="shared" si="3"/>
        <v>2245</v>
      </c>
      <c r="IN2" s="93">
        <f t="shared" si="3"/>
        <v>2246</v>
      </c>
      <c r="IO2" s="93">
        <f t="shared" si="3"/>
        <v>2247</v>
      </c>
      <c r="IP2" s="93">
        <f t="shared" si="3"/>
        <v>2248</v>
      </c>
      <c r="IQ2" s="93">
        <f t="shared" si="3"/>
        <v>2249</v>
      </c>
      <c r="IR2" s="93">
        <f t="shared" si="3"/>
        <v>2250</v>
      </c>
      <c r="IS2" s="93">
        <f t="shared" si="3"/>
        <v>2251</v>
      </c>
      <c r="IT2" s="93">
        <f t="shared" si="3"/>
        <v>2252</v>
      </c>
      <c r="IU2" s="93">
        <f t="shared" si="3"/>
        <v>2253</v>
      </c>
      <c r="IV2" s="93">
        <f t="shared" si="3"/>
        <v>2254</v>
      </c>
      <c r="IW2" s="93">
        <f t="shared" si="3"/>
        <v>2255</v>
      </c>
      <c r="IX2" s="93">
        <f t="shared" si="3"/>
        <v>2256</v>
      </c>
      <c r="IY2" s="93">
        <f t="shared" si="3"/>
        <v>2257</v>
      </c>
      <c r="IZ2" s="93">
        <f t="shared" si="3"/>
        <v>2258</v>
      </c>
      <c r="JA2" s="93">
        <f t="shared" si="3"/>
        <v>2259</v>
      </c>
      <c r="JB2" s="93">
        <f t="shared" si="3"/>
        <v>2260</v>
      </c>
      <c r="JC2" s="93">
        <f t="shared" si="3"/>
        <v>2261</v>
      </c>
      <c r="JD2" s="93">
        <f t="shared" si="3"/>
        <v>2262</v>
      </c>
      <c r="JE2" s="93">
        <f t="shared" si="3"/>
        <v>2263</v>
      </c>
      <c r="JF2" s="93">
        <f t="shared" si="3"/>
        <v>2264</v>
      </c>
      <c r="JG2" s="93">
        <f t="shared" si="3"/>
        <v>2265</v>
      </c>
      <c r="JH2" s="93">
        <f t="shared" si="3"/>
        <v>2266</v>
      </c>
      <c r="JI2" s="93">
        <f t="shared" si="3"/>
        <v>2267</v>
      </c>
      <c r="JJ2" s="93">
        <f t="shared" si="3"/>
        <v>2268</v>
      </c>
      <c r="JK2" s="93">
        <f t="shared" si="3"/>
        <v>2269</v>
      </c>
      <c r="JL2" s="93">
        <f t="shared" si="3"/>
        <v>2270</v>
      </c>
      <c r="JM2" s="93">
        <f t="shared" si="3"/>
        <v>2271</v>
      </c>
      <c r="JN2" s="93">
        <f t="shared" si="3"/>
        <v>2272</v>
      </c>
      <c r="JO2" s="93">
        <f t="shared" si="3"/>
        <v>2273</v>
      </c>
      <c r="JP2" s="93">
        <f t="shared" si="3"/>
        <v>2274</v>
      </c>
      <c r="JQ2" s="93">
        <f t="shared" si="3"/>
        <v>2275</v>
      </c>
      <c r="JR2" s="93">
        <f t="shared" si="3"/>
        <v>2276</v>
      </c>
      <c r="JS2" s="93">
        <f t="shared" si="3"/>
        <v>2277</v>
      </c>
      <c r="JT2" s="93">
        <f t="shared" si="3"/>
        <v>2278</v>
      </c>
      <c r="JU2" s="93">
        <f t="shared" si="3"/>
        <v>2279</v>
      </c>
      <c r="JV2" s="93">
        <f t="shared" si="3"/>
        <v>2280</v>
      </c>
      <c r="JW2" s="93">
        <f t="shared" si="3"/>
        <v>2281</v>
      </c>
      <c r="JX2" s="93">
        <f t="shared" si="3"/>
        <v>2282</v>
      </c>
      <c r="JY2" s="93">
        <f t="shared" si="3"/>
        <v>2283</v>
      </c>
      <c r="JZ2" s="93">
        <f t="shared" si="3"/>
        <v>2284</v>
      </c>
      <c r="KA2" s="93">
        <f t="shared" si="3"/>
        <v>2285</v>
      </c>
      <c r="KB2" s="93">
        <f t="shared" si="3"/>
        <v>2286</v>
      </c>
      <c r="KC2" s="93">
        <f t="shared" si="3"/>
        <v>2287</v>
      </c>
      <c r="KD2" s="93">
        <f t="shared" si="3"/>
        <v>2288</v>
      </c>
      <c r="KE2" s="93">
        <f t="shared" si="3"/>
        <v>2289</v>
      </c>
      <c r="KF2" s="93">
        <f t="shared" si="3"/>
        <v>2290</v>
      </c>
      <c r="KG2" s="93">
        <f t="shared" si="3"/>
        <v>2291</v>
      </c>
      <c r="KH2" s="93">
        <f t="shared" si="3"/>
        <v>2292</v>
      </c>
      <c r="KI2" s="93">
        <f t="shared" si="3"/>
        <v>2293</v>
      </c>
      <c r="KJ2" s="93">
        <f t="shared" si="3"/>
        <v>2294</v>
      </c>
      <c r="KK2" s="93">
        <f t="shared" si="3"/>
        <v>2295</v>
      </c>
      <c r="KL2" s="93">
        <f t="shared" si="3"/>
        <v>2296</v>
      </c>
      <c r="KM2" s="93">
        <f t="shared" si="3"/>
        <v>2297</v>
      </c>
      <c r="KN2" s="93">
        <f t="shared" si="3"/>
        <v>2298</v>
      </c>
      <c r="KO2" s="93">
        <f t="shared" si="3"/>
        <v>2299</v>
      </c>
      <c r="KP2" s="93">
        <f t="shared" si="3"/>
        <v>2300</v>
      </c>
      <c r="KQ2" s="93">
        <f t="shared" si="3"/>
        <v>2301</v>
      </c>
      <c r="KR2" s="93">
        <f t="shared" si="3"/>
        <v>2302</v>
      </c>
      <c r="KS2" s="93">
        <f t="shared" ref="KS2:ND2" si="4">+KR2+1</f>
        <v>2303</v>
      </c>
      <c r="KT2" s="93">
        <f t="shared" si="4"/>
        <v>2304</v>
      </c>
      <c r="KU2" s="93">
        <f t="shared" si="4"/>
        <v>2305</v>
      </c>
      <c r="KV2" s="93">
        <f t="shared" si="4"/>
        <v>2306</v>
      </c>
      <c r="KW2" s="93">
        <f t="shared" si="4"/>
        <v>2307</v>
      </c>
      <c r="KX2" s="93">
        <f t="shared" si="4"/>
        <v>2308</v>
      </c>
      <c r="KY2" s="93">
        <f t="shared" si="4"/>
        <v>2309</v>
      </c>
      <c r="KZ2" s="93">
        <f t="shared" si="4"/>
        <v>2310</v>
      </c>
      <c r="LA2" s="93">
        <f t="shared" si="4"/>
        <v>2311</v>
      </c>
      <c r="LB2" s="93">
        <f t="shared" si="4"/>
        <v>2312</v>
      </c>
      <c r="LC2" s="93">
        <f t="shared" si="4"/>
        <v>2313</v>
      </c>
      <c r="LD2" s="93">
        <f t="shared" si="4"/>
        <v>2314</v>
      </c>
      <c r="LE2" s="93">
        <f t="shared" si="4"/>
        <v>2315</v>
      </c>
      <c r="LF2" s="93">
        <f t="shared" si="4"/>
        <v>2316</v>
      </c>
      <c r="LG2" s="93">
        <f t="shared" si="4"/>
        <v>2317</v>
      </c>
      <c r="LH2" s="93">
        <f t="shared" si="4"/>
        <v>2318</v>
      </c>
      <c r="LI2" s="93">
        <f t="shared" si="4"/>
        <v>2319</v>
      </c>
      <c r="LJ2" s="93">
        <f t="shared" si="4"/>
        <v>2320</v>
      </c>
      <c r="LK2" s="93">
        <f t="shared" si="4"/>
        <v>2321</v>
      </c>
      <c r="LL2" s="93">
        <f t="shared" si="4"/>
        <v>2322</v>
      </c>
      <c r="LM2" s="93">
        <f t="shared" si="4"/>
        <v>2323</v>
      </c>
      <c r="LN2" s="93">
        <f t="shared" si="4"/>
        <v>2324</v>
      </c>
      <c r="LO2" s="93">
        <f t="shared" si="4"/>
        <v>2325</v>
      </c>
      <c r="LP2" s="93">
        <f t="shared" si="4"/>
        <v>2326</v>
      </c>
      <c r="LQ2" s="93">
        <f t="shared" si="4"/>
        <v>2327</v>
      </c>
      <c r="LR2" s="93">
        <f t="shared" si="4"/>
        <v>2328</v>
      </c>
      <c r="LS2" s="93">
        <f t="shared" si="4"/>
        <v>2329</v>
      </c>
      <c r="LT2" s="93">
        <f t="shared" si="4"/>
        <v>2330</v>
      </c>
      <c r="LU2" s="93">
        <f t="shared" si="4"/>
        <v>2331</v>
      </c>
      <c r="LV2" s="93">
        <f t="shared" si="4"/>
        <v>2332</v>
      </c>
      <c r="LW2" s="93">
        <f t="shared" si="4"/>
        <v>2333</v>
      </c>
      <c r="LX2" s="93">
        <f t="shared" si="4"/>
        <v>2334</v>
      </c>
      <c r="LY2" s="93">
        <f t="shared" si="4"/>
        <v>2335</v>
      </c>
      <c r="LZ2" s="93">
        <f t="shared" si="4"/>
        <v>2336</v>
      </c>
      <c r="MA2" s="93">
        <f t="shared" si="4"/>
        <v>2337</v>
      </c>
      <c r="MB2" s="93">
        <f t="shared" si="4"/>
        <v>2338</v>
      </c>
      <c r="MC2" s="93">
        <f t="shared" si="4"/>
        <v>2339</v>
      </c>
      <c r="MD2" s="93">
        <f t="shared" si="4"/>
        <v>2340</v>
      </c>
      <c r="ME2" s="93">
        <f t="shared" si="4"/>
        <v>2341</v>
      </c>
      <c r="MF2" s="93">
        <f t="shared" si="4"/>
        <v>2342</v>
      </c>
      <c r="MG2" s="93">
        <f t="shared" si="4"/>
        <v>2343</v>
      </c>
      <c r="MH2" s="93">
        <f t="shared" si="4"/>
        <v>2344</v>
      </c>
      <c r="MI2" s="93">
        <f t="shared" si="4"/>
        <v>2345</v>
      </c>
      <c r="MJ2" s="93">
        <f t="shared" si="4"/>
        <v>2346</v>
      </c>
      <c r="MK2" s="93">
        <f t="shared" si="4"/>
        <v>2347</v>
      </c>
      <c r="ML2" s="93">
        <f t="shared" si="4"/>
        <v>2348</v>
      </c>
      <c r="MM2" s="93">
        <f t="shared" si="4"/>
        <v>2349</v>
      </c>
      <c r="MN2" s="93">
        <f t="shared" si="4"/>
        <v>2350</v>
      </c>
      <c r="MO2" s="93">
        <f t="shared" si="4"/>
        <v>2351</v>
      </c>
      <c r="MP2" s="93">
        <f t="shared" si="4"/>
        <v>2352</v>
      </c>
      <c r="MQ2" s="93">
        <f t="shared" si="4"/>
        <v>2353</v>
      </c>
      <c r="MR2" s="93">
        <f t="shared" si="4"/>
        <v>2354</v>
      </c>
      <c r="MS2" s="93">
        <f t="shared" si="4"/>
        <v>2355</v>
      </c>
      <c r="MT2" s="93">
        <f t="shared" si="4"/>
        <v>2356</v>
      </c>
      <c r="MU2" s="93">
        <f t="shared" si="4"/>
        <v>2357</v>
      </c>
      <c r="MV2" s="93">
        <f t="shared" si="4"/>
        <v>2358</v>
      </c>
      <c r="MW2" s="93">
        <f t="shared" si="4"/>
        <v>2359</v>
      </c>
      <c r="MX2" s="93">
        <f t="shared" si="4"/>
        <v>2360</v>
      </c>
      <c r="MY2" s="93">
        <f t="shared" si="4"/>
        <v>2361</v>
      </c>
      <c r="MZ2" s="93">
        <f t="shared" si="4"/>
        <v>2362</v>
      </c>
      <c r="NA2" s="93">
        <f t="shared" si="4"/>
        <v>2363</v>
      </c>
      <c r="NB2" s="93">
        <f t="shared" si="4"/>
        <v>2364</v>
      </c>
      <c r="NC2" s="93">
        <f t="shared" si="4"/>
        <v>2365</v>
      </c>
      <c r="ND2" s="93">
        <f t="shared" si="4"/>
        <v>2366</v>
      </c>
      <c r="NE2" s="93">
        <f t="shared" ref="NE2:PP2" si="5">+ND2+1</f>
        <v>2367</v>
      </c>
      <c r="NF2" s="93">
        <f t="shared" si="5"/>
        <v>2368</v>
      </c>
      <c r="NG2" s="93">
        <f t="shared" si="5"/>
        <v>2369</v>
      </c>
      <c r="NH2" s="93">
        <f t="shared" si="5"/>
        <v>2370</v>
      </c>
      <c r="NI2" s="93">
        <f t="shared" si="5"/>
        <v>2371</v>
      </c>
      <c r="NJ2" s="93">
        <f t="shared" si="5"/>
        <v>2372</v>
      </c>
      <c r="NK2" s="93">
        <f t="shared" si="5"/>
        <v>2373</v>
      </c>
      <c r="NL2" s="93">
        <f t="shared" si="5"/>
        <v>2374</v>
      </c>
      <c r="NM2" s="93">
        <f t="shared" si="5"/>
        <v>2375</v>
      </c>
      <c r="NN2" s="93">
        <f t="shared" si="5"/>
        <v>2376</v>
      </c>
      <c r="NO2" s="93">
        <f t="shared" si="5"/>
        <v>2377</v>
      </c>
      <c r="NP2" s="93">
        <f t="shared" si="5"/>
        <v>2378</v>
      </c>
      <c r="NQ2" s="93">
        <f t="shared" si="5"/>
        <v>2379</v>
      </c>
      <c r="NR2" s="93">
        <f t="shared" si="5"/>
        <v>2380</v>
      </c>
      <c r="NS2" s="93">
        <f t="shared" si="5"/>
        <v>2381</v>
      </c>
      <c r="NT2" s="93">
        <f t="shared" si="5"/>
        <v>2382</v>
      </c>
      <c r="NU2" s="93">
        <f t="shared" si="5"/>
        <v>2383</v>
      </c>
      <c r="NV2" s="93">
        <f t="shared" si="5"/>
        <v>2384</v>
      </c>
      <c r="NW2" s="93">
        <f t="shared" si="5"/>
        <v>2385</v>
      </c>
      <c r="NX2" s="93">
        <f t="shared" si="5"/>
        <v>2386</v>
      </c>
      <c r="NY2" s="93">
        <f t="shared" si="5"/>
        <v>2387</v>
      </c>
      <c r="NZ2" s="93">
        <f t="shared" si="5"/>
        <v>2388</v>
      </c>
      <c r="OA2" s="93">
        <f t="shared" si="5"/>
        <v>2389</v>
      </c>
      <c r="OB2" s="93">
        <f t="shared" si="5"/>
        <v>2390</v>
      </c>
      <c r="OC2" s="93">
        <f t="shared" si="5"/>
        <v>2391</v>
      </c>
      <c r="OD2" s="93">
        <f t="shared" si="5"/>
        <v>2392</v>
      </c>
      <c r="OE2" s="93">
        <f t="shared" si="5"/>
        <v>2393</v>
      </c>
      <c r="OF2" s="93">
        <f t="shared" si="5"/>
        <v>2394</v>
      </c>
      <c r="OG2" s="93">
        <f t="shared" si="5"/>
        <v>2395</v>
      </c>
      <c r="OH2" s="93">
        <f t="shared" si="5"/>
        <v>2396</v>
      </c>
      <c r="OI2" s="93">
        <f t="shared" si="5"/>
        <v>2397</v>
      </c>
      <c r="OJ2" s="93">
        <f t="shared" si="5"/>
        <v>2398</v>
      </c>
      <c r="OK2" s="93">
        <f t="shared" si="5"/>
        <v>2399</v>
      </c>
      <c r="OL2" s="93">
        <f t="shared" si="5"/>
        <v>2400</v>
      </c>
      <c r="OM2" s="93">
        <f t="shared" si="5"/>
        <v>2401</v>
      </c>
      <c r="ON2" s="93">
        <f t="shared" si="5"/>
        <v>2402</v>
      </c>
      <c r="OO2" s="93">
        <f t="shared" si="5"/>
        <v>2403</v>
      </c>
      <c r="OP2" s="93">
        <f t="shared" si="5"/>
        <v>2404</v>
      </c>
      <c r="OQ2" s="93">
        <f t="shared" si="5"/>
        <v>2405</v>
      </c>
      <c r="OR2" s="93">
        <f t="shared" si="5"/>
        <v>2406</v>
      </c>
      <c r="OS2" s="93">
        <f t="shared" si="5"/>
        <v>2407</v>
      </c>
      <c r="OT2" s="93">
        <f t="shared" si="5"/>
        <v>2408</v>
      </c>
      <c r="OU2" s="93">
        <f t="shared" si="5"/>
        <v>2409</v>
      </c>
      <c r="OV2" s="93">
        <f t="shared" si="5"/>
        <v>2410</v>
      </c>
      <c r="OW2" s="93">
        <f t="shared" si="5"/>
        <v>2411</v>
      </c>
      <c r="OX2" s="93">
        <f t="shared" si="5"/>
        <v>2412</v>
      </c>
      <c r="OY2" s="93">
        <f t="shared" si="5"/>
        <v>2413</v>
      </c>
      <c r="OZ2" s="93">
        <f t="shared" si="5"/>
        <v>2414</v>
      </c>
      <c r="PA2" s="93">
        <f t="shared" si="5"/>
        <v>2415</v>
      </c>
      <c r="PB2" s="93">
        <f t="shared" si="5"/>
        <v>2416</v>
      </c>
      <c r="PC2" s="93">
        <f t="shared" si="5"/>
        <v>2417</v>
      </c>
      <c r="PD2" s="93">
        <f t="shared" si="5"/>
        <v>2418</v>
      </c>
      <c r="PE2" s="93">
        <f t="shared" si="5"/>
        <v>2419</v>
      </c>
      <c r="PF2" s="93">
        <f t="shared" si="5"/>
        <v>2420</v>
      </c>
      <c r="PG2" s="93">
        <f t="shared" si="5"/>
        <v>2421</v>
      </c>
      <c r="PH2" s="93">
        <f t="shared" si="5"/>
        <v>2422</v>
      </c>
      <c r="PI2" s="93">
        <f t="shared" si="5"/>
        <v>2423</v>
      </c>
      <c r="PJ2" s="93">
        <f t="shared" si="5"/>
        <v>2424</v>
      </c>
      <c r="PK2" s="93">
        <f t="shared" si="5"/>
        <v>2425</v>
      </c>
      <c r="PL2" s="93">
        <f t="shared" si="5"/>
        <v>2426</v>
      </c>
      <c r="PM2" s="93">
        <f t="shared" si="5"/>
        <v>2427</v>
      </c>
      <c r="PN2" s="93">
        <f t="shared" si="5"/>
        <v>2428</v>
      </c>
      <c r="PO2" s="93">
        <f t="shared" si="5"/>
        <v>2429</v>
      </c>
      <c r="PP2" s="93">
        <f t="shared" si="5"/>
        <v>2430</v>
      </c>
      <c r="PQ2" s="93">
        <f t="shared" ref="PQ2:SB2" si="6">+PP2+1</f>
        <v>2431</v>
      </c>
      <c r="PR2" s="93">
        <f t="shared" si="6"/>
        <v>2432</v>
      </c>
      <c r="PS2" s="93">
        <f t="shared" si="6"/>
        <v>2433</v>
      </c>
      <c r="PT2" s="93">
        <f t="shared" si="6"/>
        <v>2434</v>
      </c>
      <c r="PU2" s="93">
        <f t="shared" si="6"/>
        <v>2435</v>
      </c>
      <c r="PV2" s="93">
        <f t="shared" si="6"/>
        <v>2436</v>
      </c>
      <c r="PW2" s="93">
        <f t="shared" si="6"/>
        <v>2437</v>
      </c>
      <c r="PX2" s="93">
        <f t="shared" si="6"/>
        <v>2438</v>
      </c>
      <c r="PY2" s="93">
        <f t="shared" si="6"/>
        <v>2439</v>
      </c>
      <c r="PZ2" s="93">
        <f t="shared" si="6"/>
        <v>2440</v>
      </c>
      <c r="QA2" s="93">
        <f t="shared" si="6"/>
        <v>2441</v>
      </c>
      <c r="QB2" s="93">
        <f t="shared" si="6"/>
        <v>2442</v>
      </c>
      <c r="QC2" s="93">
        <f t="shared" si="6"/>
        <v>2443</v>
      </c>
      <c r="QD2" s="93">
        <f t="shared" si="6"/>
        <v>2444</v>
      </c>
      <c r="QE2" s="93">
        <f t="shared" si="6"/>
        <v>2445</v>
      </c>
      <c r="QF2" s="93">
        <f t="shared" si="6"/>
        <v>2446</v>
      </c>
      <c r="QG2" s="93">
        <f t="shared" si="6"/>
        <v>2447</v>
      </c>
      <c r="QH2" s="93">
        <f t="shared" si="6"/>
        <v>2448</v>
      </c>
      <c r="QI2" s="93">
        <f t="shared" si="6"/>
        <v>2449</v>
      </c>
      <c r="QJ2" s="93">
        <f t="shared" si="6"/>
        <v>2450</v>
      </c>
      <c r="QK2" s="93">
        <f t="shared" si="6"/>
        <v>2451</v>
      </c>
      <c r="QL2" s="93">
        <f t="shared" si="6"/>
        <v>2452</v>
      </c>
      <c r="QM2" s="93">
        <f t="shared" si="6"/>
        <v>2453</v>
      </c>
      <c r="QN2" s="93">
        <f t="shared" si="6"/>
        <v>2454</v>
      </c>
      <c r="QO2" s="93">
        <f t="shared" si="6"/>
        <v>2455</v>
      </c>
      <c r="QP2" s="93">
        <f t="shared" si="6"/>
        <v>2456</v>
      </c>
      <c r="QQ2" s="93">
        <f t="shared" si="6"/>
        <v>2457</v>
      </c>
      <c r="QR2" s="93">
        <f t="shared" si="6"/>
        <v>2458</v>
      </c>
      <c r="QS2" s="93">
        <f t="shared" si="6"/>
        <v>2459</v>
      </c>
      <c r="QT2" s="93">
        <f t="shared" si="6"/>
        <v>2460</v>
      </c>
      <c r="QU2" s="93">
        <f t="shared" si="6"/>
        <v>2461</v>
      </c>
      <c r="QV2" s="93">
        <f t="shared" si="6"/>
        <v>2462</v>
      </c>
      <c r="QW2" s="93">
        <f t="shared" si="6"/>
        <v>2463</v>
      </c>
      <c r="QX2" s="93">
        <f t="shared" si="6"/>
        <v>2464</v>
      </c>
      <c r="QY2" s="93">
        <f t="shared" si="6"/>
        <v>2465</v>
      </c>
      <c r="QZ2" s="93">
        <f t="shared" si="6"/>
        <v>2466</v>
      </c>
      <c r="RA2" s="93">
        <f t="shared" si="6"/>
        <v>2467</v>
      </c>
      <c r="RB2" s="93">
        <f t="shared" si="6"/>
        <v>2468</v>
      </c>
      <c r="RC2" s="93">
        <f t="shared" si="6"/>
        <v>2469</v>
      </c>
      <c r="RD2" s="93">
        <f t="shared" si="6"/>
        <v>2470</v>
      </c>
      <c r="RE2" s="93">
        <f t="shared" si="6"/>
        <v>2471</v>
      </c>
      <c r="RF2" s="93">
        <f t="shared" si="6"/>
        <v>2472</v>
      </c>
      <c r="RG2" s="93">
        <f t="shared" si="6"/>
        <v>2473</v>
      </c>
      <c r="RH2" s="93">
        <f t="shared" si="6"/>
        <v>2474</v>
      </c>
      <c r="RI2" s="93">
        <f t="shared" si="6"/>
        <v>2475</v>
      </c>
      <c r="RJ2" s="93">
        <f t="shared" si="6"/>
        <v>2476</v>
      </c>
      <c r="RK2" s="93">
        <f t="shared" si="6"/>
        <v>2477</v>
      </c>
      <c r="RL2" s="93">
        <f t="shared" si="6"/>
        <v>2478</v>
      </c>
      <c r="RM2" s="93">
        <f t="shared" si="6"/>
        <v>2479</v>
      </c>
      <c r="RN2" s="93">
        <f t="shared" si="6"/>
        <v>2480</v>
      </c>
      <c r="RO2" s="93">
        <f t="shared" si="6"/>
        <v>2481</v>
      </c>
      <c r="RP2" s="93">
        <f t="shared" si="6"/>
        <v>2482</v>
      </c>
      <c r="RQ2" s="93">
        <f t="shared" si="6"/>
        <v>2483</v>
      </c>
      <c r="RR2" s="93">
        <f t="shared" si="6"/>
        <v>2484</v>
      </c>
      <c r="RS2" s="93">
        <f t="shared" si="6"/>
        <v>2485</v>
      </c>
      <c r="RT2" s="93">
        <f t="shared" si="6"/>
        <v>2486</v>
      </c>
      <c r="RU2" s="93">
        <f t="shared" si="6"/>
        <v>2487</v>
      </c>
      <c r="RV2" s="93">
        <f t="shared" si="6"/>
        <v>2488</v>
      </c>
      <c r="RW2" s="93">
        <f t="shared" si="6"/>
        <v>2489</v>
      </c>
      <c r="RX2" s="93">
        <f t="shared" si="6"/>
        <v>2490</v>
      </c>
      <c r="RY2" s="93">
        <f t="shared" si="6"/>
        <v>2491</v>
      </c>
      <c r="RZ2" s="93">
        <f t="shared" si="6"/>
        <v>2492</v>
      </c>
      <c r="SA2" s="93">
        <f t="shared" si="6"/>
        <v>2493</v>
      </c>
      <c r="SB2" s="93">
        <f t="shared" si="6"/>
        <v>2494</v>
      </c>
      <c r="SC2" s="93">
        <f t="shared" ref="SC2:UN2" si="7">+SB2+1</f>
        <v>2495</v>
      </c>
      <c r="SD2" s="93">
        <f t="shared" si="7"/>
        <v>2496</v>
      </c>
      <c r="SE2" s="93">
        <f t="shared" si="7"/>
        <v>2497</v>
      </c>
      <c r="SF2" s="93">
        <f t="shared" si="7"/>
        <v>2498</v>
      </c>
      <c r="SG2" s="93">
        <f t="shared" si="7"/>
        <v>2499</v>
      </c>
      <c r="SH2" s="93">
        <f t="shared" si="7"/>
        <v>2500</v>
      </c>
      <c r="SI2" s="93">
        <f t="shared" si="7"/>
        <v>2501</v>
      </c>
      <c r="SJ2" s="93">
        <f t="shared" si="7"/>
        <v>2502</v>
      </c>
      <c r="SK2" s="93">
        <f t="shared" si="7"/>
        <v>2503</v>
      </c>
      <c r="SL2" s="93">
        <f t="shared" si="7"/>
        <v>2504</v>
      </c>
      <c r="SM2" s="93">
        <f t="shared" si="7"/>
        <v>2505</v>
      </c>
      <c r="SN2" s="93">
        <f t="shared" si="7"/>
        <v>2506</v>
      </c>
      <c r="SO2" s="93">
        <f t="shared" si="7"/>
        <v>2507</v>
      </c>
      <c r="SP2" s="93">
        <f t="shared" si="7"/>
        <v>2508</v>
      </c>
      <c r="SQ2" s="93">
        <f t="shared" si="7"/>
        <v>2509</v>
      </c>
      <c r="SR2" s="93">
        <f t="shared" si="7"/>
        <v>2510</v>
      </c>
      <c r="SS2" s="93">
        <f t="shared" si="7"/>
        <v>2511</v>
      </c>
      <c r="ST2" s="93">
        <f t="shared" si="7"/>
        <v>2512</v>
      </c>
      <c r="SU2" s="93">
        <f t="shared" si="7"/>
        <v>2513</v>
      </c>
      <c r="SV2" s="93">
        <f t="shared" si="7"/>
        <v>2514</v>
      </c>
      <c r="SW2" s="93">
        <f t="shared" si="7"/>
        <v>2515</v>
      </c>
      <c r="SX2" s="93">
        <f t="shared" si="7"/>
        <v>2516</v>
      </c>
      <c r="SY2" s="93">
        <f t="shared" si="7"/>
        <v>2517</v>
      </c>
      <c r="SZ2" s="93">
        <f t="shared" si="7"/>
        <v>2518</v>
      </c>
      <c r="TA2" s="93">
        <f t="shared" si="7"/>
        <v>2519</v>
      </c>
      <c r="TB2" s="93">
        <f t="shared" si="7"/>
        <v>2520</v>
      </c>
      <c r="TC2" s="93">
        <f t="shared" si="7"/>
        <v>2521</v>
      </c>
      <c r="TD2" s="93">
        <f t="shared" si="7"/>
        <v>2522</v>
      </c>
      <c r="TE2" s="93">
        <f t="shared" si="7"/>
        <v>2523</v>
      </c>
      <c r="TF2" s="93">
        <f t="shared" si="7"/>
        <v>2524</v>
      </c>
      <c r="TG2" s="93">
        <f t="shared" si="7"/>
        <v>2525</v>
      </c>
      <c r="TH2" s="93">
        <f t="shared" si="7"/>
        <v>2526</v>
      </c>
      <c r="TI2" s="93">
        <f t="shared" si="7"/>
        <v>2527</v>
      </c>
      <c r="TJ2" s="93">
        <f t="shared" si="7"/>
        <v>2528</v>
      </c>
      <c r="TK2" s="93">
        <f t="shared" si="7"/>
        <v>2529</v>
      </c>
      <c r="TL2" s="93">
        <f t="shared" si="7"/>
        <v>2530</v>
      </c>
      <c r="TM2" s="93">
        <f t="shared" si="7"/>
        <v>2531</v>
      </c>
      <c r="TN2" s="93">
        <f t="shared" si="7"/>
        <v>2532</v>
      </c>
      <c r="TO2" s="93">
        <f t="shared" si="7"/>
        <v>2533</v>
      </c>
      <c r="TP2" s="93">
        <f t="shared" si="7"/>
        <v>2534</v>
      </c>
      <c r="TQ2" s="93">
        <f t="shared" si="7"/>
        <v>2535</v>
      </c>
      <c r="TR2" s="93">
        <f t="shared" si="7"/>
        <v>2536</v>
      </c>
      <c r="TS2" s="93">
        <f t="shared" si="7"/>
        <v>2537</v>
      </c>
      <c r="TT2" s="93">
        <f t="shared" si="7"/>
        <v>2538</v>
      </c>
      <c r="TU2" s="93">
        <f t="shared" si="7"/>
        <v>2539</v>
      </c>
      <c r="TV2" s="93">
        <f t="shared" si="7"/>
        <v>2540</v>
      </c>
      <c r="TW2" s="93">
        <f t="shared" si="7"/>
        <v>2541</v>
      </c>
      <c r="TX2" s="93">
        <f t="shared" si="7"/>
        <v>2542</v>
      </c>
      <c r="TY2" s="93">
        <f t="shared" si="7"/>
        <v>2543</v>
      </c>
      <c r="TZ2" s="93">
        <f t="shared" si="7"/>
        <v>2544</v>
      </c>
      <c r="UA2" s="93">
        <f t="shared" si="7"/>
        <v>2545</v>
      </c>
      <c r="UB2" s="93">
        <f t="shared" si="7"/>
        <v>2546</v>
      </c>
      <c r="UC2" s="93">
        <f t="shared" si="7"/>
        <v>2547</v>
      </c>
      <c r="UD2" s="93">
        <f t="shared" si="7"/>
        <v>2548</v>
      </c>
      <c r="UE2" s="93">
        <f t="shared" si="7"/>
        <v>2549</v>
      </c>
      <c r="UF2" s="93">
        <f t="shared" si="7"/>
        <v>2550</v>
      </c>
      <c r="UG2" s="93">
        <f t="shared" si="7"/>
        <v>2551</v>
      </c>
      <c r="UH2" s="93">
        <f t="shared" si="7"/>
        <v>2552</v>
      </c>
      <c r="UI2" s="93">
        <f t="shared" si="7"/>
        <v>2553</v>
      </c>
      <c r="UJ2" s="93">
        <f t="shared" si="7"/>
        <v>2554</v>
      </c>
      <c r="UK2" s="93">
        <f t="shared" si="7"/>
        <v>2555</v>
      </c>
      <c r="UL2" s="93">
        <f t="shared" si="7"/>
        <v>2556</v>
      </c>
      <c r="UM2" s="93">
        <f t="shared" si="7"/>
        <v>2557</v>
      </c>
      <c r="UN2" s="93">
        <f t="shared" si="7"/>
        <v>2558</v>
      </c>
      <c r="UO2" s="93">
        <f t="shared" ref="UO2:WZ2" si="8">+UN2+1</f>
        <v>2559</v>
      </c>
      <c r="UP2" s="93">
        <f t="shared" si="8"/>
        <v>2560</v>
      </c>
      <c r="UQ2" s="93">
        <f t="shared" si="8"/>
        <v>2561</v>
      </c>
      <c r="UR2" s="93">
        <f t="shared" si="8"/>
        <v>2562</v>
      </c>
      <c r="US2" s="93">
        <f t="shared" si="8"/>
        <v>2563</v>
      </c>
      <c r="UT2" s="93">
        <f t="shared" si="8"/>
        <v>2564</v>
      </c>
      <c r="UU2" s="93">
        <f t="shared" si="8"/>
        <v>2565</v>
      </c>
      <c r="UV2" s="93">
        <f t="shared" si="8"/>
        <v>2566</v>
      </c>
      <c r="UW2" s="93">
        <f t="shared" si="8"/>
        <v>2567</v>
      </c>
      <c r="UX2" s="93">
        <f t="shared" si="8"/>
        <v>2568</v>
      </c>
      <c r="UY2" s="93">
        <f t="shared" si="8"/>
        <v>2569</v>
      </c>
      <c r="UZ2" s="93">
        <f t="shared" si="8"/>
        <v>2570</v>
      </c>
      <c r="VA2" s="93">
        <f t="shared" si="8"/>
        <v>2571</v>
      </c>
      <c r="VB2" s="93">
        <f t="shared" si="8"/>
        <v>2572</v>
      </c>
      <c r="VC2" s="93">
        <f t="shared" si="8"/>
        <v>2573</v>
      </c>
      <c r="VD2" s="93">
        <f t="shared" si="8"/>
        <v>2574</v>
      </c>
      <c r="VE2" s="93">
        <f t="shared" si="8"/>
        <v>2575</v>
      </c>
      <c r="VF2" s="93">
        <f t="shared" si="8"/>
        <v>2576</v>
      </c>
      <c r="VG2" s="93">
        <f t="shared" si="8"/>
        <v>2577</v>
      </c>
      <c r="VH2" s="93">
        <f t="shared" si="8"/>
        <v>2578</v>
      </c>
      <c r="VI2" s="93">
        <f t="shared" si="8"/>
        <v>2579</v>
      </c>
      <c r="VJ2" s="93">
        <f t="shared" si="8"/>
        <v>2580</v>
      </c>
      <c r="VK2" s="93">
        <f t="shared" si="8"/>
        <v>2581</v>
      </c>
      <c r="VL2" s="93">
        <f t="shared" si="8"/>
        <v>2582</v>
      </c>
      <c r="VM2" s="93">
        <f t="shared" si="8"/>
        <v>2583</v>
      </c>
      <c r="VN2" s="93">
        <f t="shared" si="8"/>
        <v>2584</v>
      </c>
      <c r="VO2" s="93">
        <f t="shared" si="8"/>
        <v>2585</v>
      </c>
      <c r="VP2" s="93">
        <f t="shared" si="8"/>
        <v>2586</v>
      </c>
      <c r="VQ2" s="93">
        <f t="shared" si="8"/>
        <v>2587</v>
      </c>
      <c r="VR2" s="93">
        <f t="shared" si="8"/>
        <v>2588</v>
      </c>
      <c r="VS2" s="93">
        <f t="shared" si="8"/>
        <v>2589</v>
      </c>
      <c r="VT2" s="93">
        <f t="shared" si="8"/>
        <v>2590</v>
      </c>
      <c r="VU2" s="93">
        <f t="shared" si="8"/>
        <v>2591</v>
      </c>
      <c r="VV2" s="93">
        <f t="shared" si="8"/>
        <v>2592</v>
      </c>
      <c r="VW2" s="93">
        <f t="shared" si="8"/>
        <v>2593</v>
      </c>
      <c r="VX2" s="93">
        <f t="shared" si="8"/>
        <v>2594</v>
      </c>
      <c r="VY2" s="93">
        <f t="shared" si="8"/>
        <v>2595</v>
      </c>
      <c r="VZ2" s="93">
        <f t="shared" si="8"/>
        <v>2596</v>
      </c>
      <c r="WA2" s="93">
        <f t="shared" si="8"/>
        <v>2597</v>
      </c>
      <c r="WB2" s="93">
        <f t="shared" si="8"/>
        <v>2598</v>
      </c>
      <c r="WC2" s="93">
        <f t="shared" si="8"/>
        <v>2599</v>
      </c>
      <c r="WD2" s="93">
        <f t="shared" si="8"/>
        <v>2600</v>
      </c>
      <c r="WE2" s="93">
        <f t="shared" si="8"/>
        <v>2601</v>
      </c>
      <c r="WF2" s="93">
        <f t="shared" si="8"/>
        <v>2602</v>
      </c>
      <c r="WG2" s="93">
        <f t="shared" si="8"/>
        <v>2603</v>
      </c>
      <c r="WH2" s="93">
        <f t="shared" si="8"/>
        <v>2604</v>
      </c>
      <c r="WI2" s="93">
        <f t="shared" si="8"/>
        <v>2605</v>
      </c>
      <c r="WJ2" s="93">
        <f t="shared" si="8"/>
        <v>2606</v>
      </c>
      <c r="WK2" s="93">
        <f t="shared" si="8"/>
        <v>2607</v>
      </c>
      <c r="WL2" s="93">
        <f t="shared" si="8"/>
        <v>2608</v>
      </c>
      <c r="WM2" s="93">
        <f t="shared" si="8"/>
        <v>2609</v>
      </c>
      <c r="WN2" s="93">
        <f t="shared" si="8"/>
        <v>2610</v>
      </c>
      <c r="WO2" s="93">
        <f t="shared" si="8"/>
        <v>2611</v>
      </c>
      <c r="WP2" s="93">
        <f t="shared" si="8"/>
        <v>2612</v>
      </c>
      <c r="WQ2" s="93">
        <f t="shared" si="8"/>
        <v>2613</v>
      </c>
      <c r="WR2" s="93">
        <f t="shared" si="8"/>
        <v>2614</v>
      </c>
      <c r="WS2" s="93">
        <f t="shared" si="8"/>
        <v>2615</v>
      </c>
      <c r="WT2" s="93">
        <f t="shared" si="8"/>
        <v>2616</v>
      </c>
      <c r="WU2" s="93">
        <f t="shared" si="8"/>
        <v>2617</v>
      </c>
      <c r="WV2" s="93">
        <f t="shared" si="8"/>
        <v>2618</v>
      </c>
      <c r="WW2" s="93">
        <f t="shared" si="8"/>
        <v>2619</v>
      </c>
      <c r="WX2" s="93">
        <f t="shared" si="8"/>
        <v>2620</v>
      </c>
      <c r="WY2" s="93">
        <f t="shared" si="8"/>
        <v>2621</v>
      </c>
      <c r="WZ2" s="93">
        <f t="shared" si="8"/>
        <v>2622</v>
      </c>
      <c r="XA2" s="93">
        <f t="shared" ref="XA2:YT2" si="9">+WZ2+1</f>
        <v>2623</v>
      </c>
      <c r="XB2" s="93">
        <f t="shared" si="9"/>
        <v>2624</v>
      </c>
      <c r="XC2" s="93">
        <f t="shared" si="9"/>
        <v>2625</v>
      </c>
      <c r="XD2" s="93">
        <f t="shared" si="9"/>
        <v>2626</v>
      </c>
      <c r="XE2" s="93">
        <f t="shared" si="9"/>
        <v>2627</v>
      </c>
      <c r="XF2" s="93">
        <f t="shared" si="9"/>
        <v>2628</v>
      </c>
      <c r="XG2" s="93">
        <f t="shared" si="9"/>
        <v>2629</v>
      </c>
      <c r="XH2" s="93">
        <f t="shared" si="9"/>
        <v>2630</v>
      </c>
      <c r="XI2" s="93">
        <f t="shared" si="9"/>
        <v>2631</v>
      </c>
      <c r="XJ2" s="93">
        <f t="shared" si="9"/>
        <v>2632</v>
      </c>
      <c r="XK2" s="93">
        <f t="shared" si="9"/>
        <v>2633</v>
      </c>
      <c r="XL2" s="93">
        <f t="shared" si="9"/>
        <v>2634</v>
      </c>
      <c r="XM2" s="93">
        <f t="shared" si="9"/>
        <v>2635</v>
      </c>
      <c r="XN2" s="93">
        <f t="shared" si="9"/>
        <v>2636</v>
      </c>
      <c r="XO2" s="93">
        <f t="shared" si="9"/>
        <v>2637</v>
      </c>
      <c r="XP2" s="93">
        <f t="shared" si="9"/>
        <v>2638</v>
      </c>
      <c r="XQ2" s="93">
        <f t="shared" si="9"/>
        <v>2639</v>
      </c>
      <c r="XR2" s="93">
        <f t="shared" si="9"/>
        <v>2640</v>
      </c>
      <c r="XS2" s="93">
        <f t="shared" si="9"/>
        <v>2641</v>
      </c>
      <c r="XT2" s="93">
        <f t="shared" si="9"/>
        <v>2642</v>
      </c>
      <c r="XU2" s="93">
        <f t="shared" si="9"/>
        <v>2643</v>
      </c>
      <c r="XV2" s="93">
        <f t="shared" si="9"/>
        <v>2644</v>
      </c>
      <c r="XW2" s="93">
        <f t="shared" si="9"/>
        <v>2645</v>
      </c>
      <c r="XX2" s="93">
        <f t="shared" si="9"/>
        <v>2646</v>
      </c>
      <c r="XY2" s="93">
        <f t="shared" si="9"/>
        <v>2647</v>
      </c>
      <c r="XZ2" s="93">
        <f t="shared" si="9"/>
        <v>2648</v>
      </c>
      <c r="YA2" s="93">
        <f t="shared" si="9"/>
        <v>2649</v>
      </c>
      <c r="YB2" s="93">
        <f t="shared" si="9"/>
        <v>2650</v>
      </c>
      <c r="YC2" s="93">
        <f t="shared" si="9"/>
        <v>2651</v>
      </c>
      <c r="YD2" s="93">
        <f t="shared" si="9"/>
        <v>2652</v>
      </c>
      <c r="YE2" s="93">
        <f t="shared" si="9"/>
        <v>2653</v>
      </c>
      <c r="YF2" s="93">
        <f t="shared" si="9"/>
        <v>2654</v>
      </c>
      <c r="YG2" s="93">
        <f t="shared" si="9"/>
        <v>2655</v>
      </c>
      <c r="YH2" s="93">
        <f t="shared" si="9"/>
        <v>2656</v>
      </c>
      <c r="YI2" s="93">
        <f t="shared" si="9"/>
        <v>2657</v>
      </c>
      <c r="YJ2" s="93">
        <f t="shared" si="9"/>
        <v>2658</v>
      </c>
      <c r="YK2" s="93">
        <f t="shared" si="9"/>
        <v>2659</v>
      </c>
      <c r="YL2" s="93">
        <f t="shared" si="9"/>
        <v>2660</v>
      </c>
      <c r="YM2" s="93">
        <f t="shared" si="9"/>
        <v>2661</v>
      </c>
      <c r="YN2" s="93">
        <f t="shared" si="9"/>
        <v>2662</v>
      </c>
      <c r="YO2" s="93">
        <f t="shared" si="9"/>
        <v>2663</v>
      </c>
      <c r="YP2" s="93">
        <f t="shared" si="9"/>
        <v>2664</v>
      </c>
      <c r="YQ2" s="93">
        <f t="shared" si="9"/>
        <v>2665</v>
      </c>
      <c r="YR2" s="93">
        <f t="shared" si="9"/>
        <v>2666</v>
      </c>
      <c r="YS2" s="93">
        <f t="shared" si="9"/>
        <v>2667</v>
      </c>
      <c r="YT2" s="93">
        <f t="shared" si="9"/>
        <v>2668</v>
      </c>
    </row>
    <row r="3" spans="1:670" s="98" customFormat="1" x14ac:dyDescent="0.25">
      <c r="B3" s="98" t="s">
        <v>9</v>
      </c>
      <c r="C3" s="98">
        <v>69787</v>
      </c>
      <c r="D3" s="98">
        <v>74604</v>
      </c>
      <c r="E3" s="98">
        <v>76693</v>
      </c>
      <c r="F3" s="98">
        <v>86310</v>
      </c>
      <c r="G3" s="98">
        <v>80539</v>
      </c>
      <c r="H3" s="98">
        <v>84742</v>
      </c>
      <c r="I3" s="98">
        <v>88268</v>
      </c>
      <c r="J3" s="98">
        <v>96469</v>
      </c>
      <c r="K3" s="98">
        <v>90234</v>
      </c>
      <c r="L3" s="98">
        <v>96428</v>
      </c>
      <c r="M3" s="98">
        <v>102346</v>
      </c>
      <c r="N3" s="98">
        <v>113828</v>
      </c>
      <c r="O3" s="98">
        <v>100950</v>
      </c>
      <c r="P3" s="98">
        <v>107080</v>
      </c>
      <c r="Q3" s="98">
        <v>110600</v>
      </c>
      <c r="R3" s="98">
        <v>120480</v>
      </c>
      <c r="S3" s="98">
        <v>105010</v>
      </c>
      <c r="T3" s="98">
        <v>109580</v>
      </c>
      <c r="U3" s="98">
        <f>Q3*(1+0.1)</f>
        <v>121660.00000000001</v>
      </c>
      <c r="V3" s="98">
        <f>R3*(1+0.1)</f>
        <v>132528</v>
      </c>
      <c r="X3" s="98">
        <v>282836</v>
      </c>
      <c r="Y3" s="98">
        <v>307394</v>
      </c>
      <c r="Z3" s="98">
        <v>350018</v>
      </c>
      <c r="AA3" s="98">
        <f>SUM(K3:N3)</f>
        <v>402836</v>
      </c>
      <c r="AB3" s="98">
        <f>SUM(O3:R3)</f>
        <v>439110</v>
      </c>
      <c r="AC3" s="98">
        <f>SUM(S3:V3)</f>
        <v>468778</v>
      </c>
      <c r="AD3" s="98">
        <f t="shared" ref="AD3:AK3" si="10">AC3*(1+AD188)</f>
        <v>496136.26740440319</v>
      </c>
      <c r="AE3" s="98">
        <f t="shared" si="10"/>
        <v>530102.06289465609</v>
      </c>
      <c r="AF3" s="98">
        <f t="shared" si="10"/>
        <v>572389.20583251282</v>
      </c>
      <c r="AG3" s="98">
        <f t="shared" si="10"/>
        <v>599462.54511466261</v>
      </c>
      <c r="AH3" s="98">
        <f t="shared" si="10"/>
        <v>629634.61584408057</v>
      </c>
      <c r="AI3" s="98">
        <f t="shared" si="10"/>
        <v>663285.6761202343</v>
      </c>
      <c r="AJ3" s="98">
        <f t="shared" si="10"/>
        <v>724766.26450558577</v>
      </c>
      <c r="AK3" s="98">
        <f t="shared" si="10"/>
        <v>766755.23828651255</v>
      </c>
      <c r="AL3" s="98">
        <f>AK3*1.02</f>
        <v>782090.34305224277</v>
      </c>
      <c r="AM3" s="98">
        <f t="shared" ref="AM3:AT3" si="11">AL3*1.02</f>
        <v>797732.14991328761</v>
      </c>
      <c r="AN3" s="98">
        <f t="shared" si="11"/>
        <v>813686.79291155341</v>
      </c>
      <c r="AO3" s="98">
        <f t="shared" si="11"/>
        <v>829960.52876978449</v>
      </c>
      <c r="AP3" s="98">
        <f t="shared" si="11"/>
        <v>846559.73934518022</v>
      </c>
      <c r="AQ3" s="98">
        <f t="shared" si="11"/>
        <v>863490.93413208378</v>
      </c>
      <c r="AR3" s="98">
        <f t="shared" si="11"/>
        <v>880760.75281472551</v>
      </c>
      <c r="AS3" s="98">
        <f t="shared" si="11"/>
        <v>898375.96787102008</v>
      </c>
      <c r="AT3" s="98">
        <f t="shared" si="11"/>
        <v>916343.48722844047</v>
      </c>
      <c r="AU3" s="98">
        <f>AT3*1.02</f>
        <v>934670.3569730093</v>
      </c>
    </row>
    <row r="4" spans="1:670" s="98" customFormat="1" x14ac:dyDescent="0.25">
      <c r="B4" s="98" t="s">
        <v>17</v>
      </c>
      <c r="C4" s="98">
        <v>30612</v>
      </c>
      <c r="D4" s="98">
        <v>31916</v>
      </c>
      <c r="E4" s="98">
        <v>33229</v>
      </c>
      <c r="F4" s="98">
        <v>37575</v>
      </c>
      <c r="G4" s="98">
        <v>33712</v>
      </c>
      <c r="H4" s="98">
        <v>35507</v>
      </c>
      <c r="I4" s="98">
        <v>36474</v>
      </c>
      <c r="J4" s="98">
        <v>40613</v>
      </c>
      <c r="K4" s="98">
        <v>36361</v>
      </c>
      <c r="L4" s="98">
        <v>39039</v>
      </c>
      <c r="M4" s="98">
        <v>41369</v>
      </c>
      <c r="N4" s="98">
        <v>45766</v>
      </c>
      <c r="O4" s="98">
        <f t="shared" ref="O4:T4" si="12">O3-O5</f>
        <v>40588.235759215662</v>
      </c>
      <c r="P4" s="98">
        <f t="shared" si="12"/>
        <v>43052.880486347822</v>
      </c>
      <c r="Q4" s="98">
        <f t="shared" si="12"/>
        <v>44468.141406332361</v>
      </c>
      <c r="R4" s="98">
        <f t="shared" si="12"/>
        <v>48440.521488561688</v>
      </c>
      <c r="S4" s="98">
        <f t="shared" si="12"/>
        <v>42220.610570334189</v>
      </c>
      <c r="T4" s="98">
        <f t="shared" si="12"/>
        <v>44058.037389745936</v>
      </c>
      <c r="U4" s="98">
        <f t="shared" ref="U4" si="13">U3-U5</f>
        <v>48914.955546965604</v>
      </c>
      <c r="V4" s="98">
        <f t="shared" ref="V4" si="14">V3-V5</f>
        <v>53284.573637417867</v>
      </c>
      <c r="X4" s="98">
        <v>126203</v>
      </c>
      <c r="Y4" s="98">
        <v>133332</v>
      </c>
      <c r="Z4" s="98">
        <v>146306</v>
      </c>
      <c r="AA4" s="98">
        <f>SUM(K4:N4)</f>
        <v>162535</v>
      </c>
      <c r="AB4" s="98">
        <f>SUM(O4:R4)</f>
        <v>176549.77914045754</v>
      </c>
      <c r="AC4" s="98">
        <f t="shared" ref="AC4:AC14" si="15">SUM(S4:V4)</f>
        <v>188478.17714446358</v>
      </c>
    </row>
    <row r="5" spans="1:670" s="96" customFormat="1" x14ac:dyDescent="0.25">
      <c r="B5" s="96" t="s">
        <v>60</v>
      </c>
      <c r="C5" s="108">
        <f t="shared" ref="C5:K5" si="16">C3-C4</f>
        <v>39175</v>
      </c>
      <c r="D5" s="108">
        <f t="shared" si="16"/>
        <v>42688</v>
      </c>
      <c r="E5" s="108">
        <f t="shared" si="16"/>
        <v>43464</v>
      </c>
      <c r="F5" s="108">
        <f t="shared" si="16"/>
        <v>48735</v>
      </c>
      <c r="G5" s="108">
        <f t="shared" si="16"/>
        <v>46827</v>
      </c>
      <c r="H5" s="108">
        <f t="shared" si="16"/>
        <v>49235</v>
      </c>
      <c r="I5" s="108">
        <f t="shared" si="16"/>
        <v>51794</v>
      </c>
      <c r="J5" s="108">
        <f t="shared" si="16"/>
        <v>55856</v>
      </c>
      <c r="K5" s="108">
        <f t="shared" si="16"/>
        <v>53873</v>
      </c>
      <c r="L5" s="108">
        <f t="shared" ref="L5:M5" si="17">L3-L4</f>
        <v>57389</v>
      </c>
      <c r="M5" s="108">
        <f t="shared" si="17"/>
        <v>60977</v>
      </c>
      <c r="N5" s="108">
        <f t="shared" ref="N5" si="18">N3-N4</f>
        <v>68062</v>
      </c>
      <c r="O5" s="108">
        <f t="shared" ref="O5:V5" si="19">O3*N20</f>
        <v>60361.764240784338</v>
      </c>
      <c r="P5" s="108">
        <f t="shared" si="19"/>
        <v>64027.119513652178</v>
      </c>
      <c r="Q5" s="108">
        <f t="shared" si="19"/>
        <v>66131.858593667639</v>
      </c>
      <c r="R5" s="108">
        <f t="shared" si="19"/>
        <v>72039.478511438312</v>
      </c>
      <c r="S5" s="108">
        <f t="shared" si="19"/>
        <v>62789.389429665811</v>
      </c>
      <c r="T5" s="108">
        <f t="shared" si="19"/>
        <v>65521.962610254064</v>
      </c>
      <c r="U5" s="108">
        <f t="shared" si="19"/>
        <v>72745.04445303441</v>
      </c>
      <c r="V5" s="108">
        <f t="shared" si="19"/>
        <v>79243.426362582133</v>
      </c>
      <c r="X5" s="108">
        <f>X3-X4</f>
        <v>156633</v>
      </c>
      <c r="Y5" s="108">
        <f t="shared" ref="Y5:AB5" si="20">Y3-Y4</f>
        <v>174062</v>
      </c>
      <c r="Z5" s="108">
        <f t="shared" si="20"/>
        <v>203712</v>
      </c>
      <c r="AA5" s="108">
        <f t="shared" si="20"/>
        <v>240301</v>
      </c>
      <c r="AB5" s="108">
        <f t="shared" si="20"/>
        <v>262560.22085954249</v>
      </c>
      <c r="AC5" s="108">
        <f t="shared" si="15"/>
        <v>280299.82285553642</v>
      </c>
    </row>
    <row r="6" spans="1:670" s="98" customFormat="1" x14ac:dyDescent="0.25">
      <c r="B6" s="98" t="s">
        <v>20</v>
      </c>
      <c r="C6" s="98">
        <v>11468</v>
      </c>
      <c r="D6" s="98">
        <v>10588</v>
      </c>
      <c r="E6" s="98">
        <v>11258</v>
      </c>
      <c r="F6" s="98">
        <v>12113</v>
      </c>
      <c r="G6" s="98">
        <v>11903</v>
      </c>
      <c r="H6" s="98">
        <v>11860</v>
      </c>
      <c r="I6" s="98">
        <v>12447</v>
      </c>
      <c r="J6" s="98">
        <v>13116</v>
      </c>
      <c r="K6" s="98">
        <v>13556</v>
      </c>
      <c r="L6" s="98">
        <v>13808</v>
      </c>
      <c r="M6" s="98">
        <v>15151</v>
      </c>
      <c r="N6" s="98">
        <v>18572</v>
      </c>
      <c r="O6" s="98">
        <f t="shared" ref="O6:T6" si="21">O5*N25</f>
        <v>16470.845486172118</v>
      </c>
      <c r="P6" s="98">
        <f t="shared" si="21"/>
        <v>17471.00678216256</v>
      </c>
      <c r="Q6" s="98">
        <f t="shared" si="21"/>
        <v>18045.324524721509</v>
      </c>
      <c r="R6" s="98">
        <f t="shared" si="21"/>
        <v>19657.330006676741</v>
      </c>
      <c r="S6" s="98">
        <f t="shared" si="21"/>
        <v>17133.268791509996</v>
      </c>
      <c r="T6" s="98">
        <f t="shared" si="21"/>
        <v>17878.902906139087</v>
      </c>
      <c r="U6" s="98">
        <f t="shared" ref="U6" si="22">U5*T25</f>
        <v>19849.856977193664</v>
      </c>
      <c r="V6" s="98">
        <f t="shared" ref="V6" si="23">V5*U25</f>
        <v>21623.063007344412</v>
      </c>
      <c r="X6" s="98">
        <v>39500</v>
      </c>
      <c r="Y6" s="98">
        <v>45427</v>
      </c>
      <c r="Z6" s="98">
        <v>49326</v>
      </c>
      <c r="AA6" s="98">
        <f>SUM(K6:N6)</f>
        <v>61087</v>
      </c>
      <c r="AB6" s="98">
        <f>SUM(O6:R6)</f>
        <v>71644.506799732932</v>
      </c>
      <c r="AC6" s="98">
        <f t="shared" si="15"/>
        <v>76485.091682187165</v>
      </c>
    </row>
    <row r="7" spans="1:670" x14ac:dyDescent="0.25">
      <c r="B7" s="93" t="s">
        <v>57</v>
      </c>
      <c r="C7" s="98">
        <v>6533</v>
      </c>
      <c r="D7" s="98">
        <v>6781</v>
      </c>
      <c r="E7" s="98">
        <v>6884</v>
      </c>
      <c r="F7" s="98">
        <v>7719</v>
      </c>
      <c r="G7" s="98">
        <v>6426</v>
      </c>
      <c r="H7" s="98">
        <v>6792</v>
      </c>
      <c r="I7" s="98">
        <v>7227</v>
      </c>
      <c r="J7" s="98">
        <v>7363</v>
      </c>
      <c r="K7" s="98">
        <v>6172</v>
      </c>
      <c r="L7" s="98">
        <v>7101</v>
      </c>
      <c r="M7" s="98">
        <v>7205</v>
      </c>
      <c r="N7" s="98">
        <v>8215</v>
      </c>
      <c r="O7" s="98">
        <f t="shared" ref="O7:T7" si="24">O5*N26</f>
        <v>7285.5909793723858</v>
      </c>
      <c r="P7" s="98">
        <f t="shared" si="24"/>
        <v>7727.9948694521563</v>
      </c>
      <c r="Q7" s="98">
        <f t="shared" si="24"/>
        <v>7982.0342973609304</v>
      </c>
      <c r="R7" s="98">
        <f t="shared" si="24"/>
        <v>8695.0767825139683</v>
      </c>
      <c r="S7" s="98">
        <f t="shared" si="24"/>
        <v>7578.6023649717117</v>
      </c>
      <c r="T7" s="98">
        <f t="shared" si="24"/>
        <v>7908.4205995010007</v>
      </c>
      <c r="U7" s="98">
        <f t="shared" ref="U7:V7" si="25">U5*T26</f>
        <v>8780.2377270970246</v>
      </c>
      <c r="V7" s="98">
        <f t="shared" si="25"/>
        <v>9564.5844607653635</v>
      </c>
      <c r="X7" s="98">
        <v>26567</v>
      </c>
      <c r="Y7" s="98">
        <v>27917</v>
      </c>
      <c r="Z7" s="98">
        <v>27808</v>
      </c>
      <c r="AA7" s="98">
        <f>SUM(K7:N7)</f>
        <v>28693</v>
      </c>
      <c r="AB7" s="98">
        <f>SUM(O7:R7)</f>
        <v>31690.696928699443</v>
      </c>
      <c r="AC7" s="98">
        <f t="shared" si="15"/>
        <v>33831.845152335096</v>
      </c>
    </row>
    <row r="8" spans="1:670" s="98" customFormat="1" x14ac:dyDescent="0.25">
      <c r="B8" s="98" t="s">
        <v>58</v>
      </c>
      <c r="C8" s="98">
        <v>3759</v>
      </c>
      <c r="D8" s="98">
        <v>3481</v>
      </c>
      <c r="E8" s="98">
        <v>3979</v>
      </c>
      <c r="F8" s="98">
        <v>5206</v>
      </c>
      <c r="G8" s="98">
        <v>3026</v>
      </c>
      <c r="H8" s="98">
        <v>3158</v>
      </c>
      <c r="I8" s="98">
        <v>3599</v>
      </c>
      <c r="J8" s="98">
        <v>4405</v>
      </c>
      <c r="K8" s="98">
        <v>3539</v>
      </c>
      <c r="L8" s="98">
        <v>5209</v>
      </c>
      <c r="M8" s="98">
        <v>7393</v>
      </c>
      <c r="N8" s="98">
        <v>5341</v>
      </c>
      <c r="O8" s="98">
        <f t="shared" ref="O8:T8" si="26">O5*N27</f>
        <v>4736.7427170819128</v>
      </c>
      <c r="P8" s="98">
        <f t="shared" si="26"/>
        <v>5024.3725621112553</v>
      </c>
      <c r="Q8" s="98">
        <f t="shared" si="26"/>
        <v>5189.5368450644828</v>
      </c>
      <c r="R8" s="98">
        <f t="shared" si="26"/>
        <v>5653.1229574445651</v>
      </c>
      <c r="S8" s="98">
        <f t="shared" si="26"/>
        <v>4927.2447025336469</v>
      </c>
      <c r="T8" s="98">
        <f t="shared" si="26"/>
        <v>5141.6767403450813</v>
      </c>
      <c r="U8" s="98">
        <f t="shared" ref="U8:V8" si="27">U5*T27</f>
        <v>5708.4905295709314</v>
      </c>
      <c r="V8" s="98">
        <f t="shared" si="27"/>
        <v>6218.4352531890208</v>
      </c>
      <c r="X8" s="98">
        <v>15724</v>
      </c>
      <c r="Y8" s="98">
        <v>16425</v>
      </c>
      <c r="Z8" s="98">
        <v>14188</v>
      </c>
      <c r="AA8" s="98">
        <f>SUM(K8:N8)</f>
        <v>21482</v>
      </c>
      <c r="AB8" s="98">
        <f>SUM(O8:R8)</f>
        <v>20603.775081702213</v>
      </c>
      <c r="AC8" s="98">
        <f t="shared" si="15"/>
        <v>21995.847225638681</v>
      </c>
    </row>
    <row r="9" spans="1:670" s="108" customFormat="1" x14ac:dyDescent="0.25">
      <c r="B9" s="108" t="s">
        <v>844</v>
      </c>
      <c r="C9" s="108">
        <f t="shared" ref="C9:J9" si="28">SUM(C6:C8)</f>
        <v>21760</v>
      </c>
      <c r="D9" s="108">
        <f t="shared" si="28"/>
        <v>20850</v>
      </c>
      <c r="E9" s="108">
        <f t="shared" si="28"/>
        <v>22121</v>
      </c>
      <c r="F9" s="108">
        <f t="shared" si="28"/>
        <v>25038</v>
      </c>
      <c r="G9" s="108">
        <f t="shared" si="28"/>
        <v>21355</v>
      </c>
      <c r="H9" s="108">
        <f t="shared" si="28"/>
        <v>21810</v>
      </c>
      <c r="I9" s="108">
        <f t="shared" si="28"/>
        <v>23273</v>
      </c>
      <c r="J9" s="108">
        <f t="shared" si="28"/>
        <v>24884</v>
      </c>
      <c r="K9" s="108">
        <f t="shared" ref="K9:L9" si="29">SUM(K6:K8)</f>
        <v>23267</v>
      </c>
      <c r="L9" s="108">
        <f t="shared" si="29"/>
        <v>26118</v>
      </c>
      <c r="M9" s="108">
        <f t="shared" ref="M9:N9" si="30">SUM(M6:M8)</f>
        <v>29749</v>
      </c>
      <c r="N9" s="108">
        <f t="shared" si="30"/>
        <v>32128</v>
      </c>
      <c r="O9" s="108">
        <f t="shared" ref="O9:T9" si="31">SUM(O6:O8)</f>
        <v>28493.179182626416</v>
      </c>
      <c r="P9" s="108">
        <f t="shared" si="31"/>
        <v>30223.374213725969</v>
      </c>
      <c r="Q9" s="108">
        <f t="shared" si="31"/>
        <v>31216.89566714692</v>
      </c>
      <c r="R9" s="108">
        <f t="shared" si="31"/>
        <v>34005.529746635279</v>
      </c>
      <c r="S9" s="108">
        <f t="shared" si="31"/>
        <v>29639.115859015354</v>
      </c>
      <c r="T9" s="108">
        <f t="shared" si="31"/>
        <v>30929.000245985168</v>
      </c>
      <c r="U9" s="108">
        <f t="shared" ref="U9:V9" si="32">SUM(U6:U8)</f>
        <v>34338.585233861617</v>
      </c>
      <c r="V9" s="108">
        <f t="shared" si="32"/>
        <v>37406.082721298793</v>
      </c>
      <c r="X9" s="108">
        <f>SUM(X6:X8)</f>
        <v>81791</v>
      </c>
      <c r="Y9" s="108">
        <f t="shared" ref="Y9:Z9" si="33">SUM(Y6:Y8)</f>
        <v>89769</v>
      </c>
      <c r="Z9" s="108">
        <f t="shared" si="33"/>
        <v>91322</v>
      </c>
      <c r="AA9" s="108">
        <f t="shared" ref="AA9:AB9" si="34">SUM(AA6:AA8)</f>
        <v>111262</v>
      </c>
      <c r="AB9" s="108">
        <f t="shared" si="34"/>
        <v>123938.97881013459</v>
      </c>
      <c r="AC9" s="108">
        <f t="shared" si="15"/>
        <v>132312.78406016092</v>
      </c>
    </row>
    <row r="10" spans="1:670" s="96" customFormat="1" x14ac:dyDescent="0.25">
      <c r="B10" s="96" t="s">
        <v>388</v>
      </c>
      <c r="C10" s="108">
        <f t="shared" ref="C10:J10" si="35">C5-C9</f>
        <v>17415</v>
      </c>
      <c r="D10" s="108">
        <f t="shared" si="35"/>
        <v>21838</v>
      </c>
      <c r="E10" s="108">
        <f t="shared" si="35"/>
        <v>21343</v>
      </c>
      <c r="F10" s="108">
        <f t="shared" si="35"/>
        <v>23697</v>
      </c>
      <c r="G10" s="108">
        <f t="shared" si="35"/>
        <v>25472</v>
      </c>
      <c r="H10" s="108">
        <f t="shared" si="35"/>
        <v>27425</v>
      </c>
      <c r="I10" s="108">
        <f t="shared" si="35"/>
        <v>28521</v>
      </c>
      <c r="J10" s="108">
        <f t="shared" si="35"/>
        <v>30972</v>
      </c>
      <c r="K10" s="108">
        <f t="shared" ref="K10:L10" si="36">K5-K9</f>
        <v>30606</v>
      </c>
      <c r="L10" s="108">
        <f t="shared" si="36"/>
        <v>31271</v>
      </c>
      <c r="M10" s="108">
        <f t="shared" ref="M10:N10" si="37">M5-M9</f>
        <v>31228</v>
      </c>
      <c r="N10" s="108">
        <f t="shared" si="37"/>
        <v>35934</v>
      </c>
      <c r="O10" s="108">
        <f t="shared" ref="O10:T10" si="38">O5-O9</f>
        <v>31868.585058157922</v>
      </c>
      <c r="P10" s="108">
        <f t="shared" si="38"/>
        <v>33803.74529992621</v>
      </c>
      <c r="Q10" s="108">
        <f t="shared" si="38"/>
        <v>34914.962926520719</v>
      </c>
      <c r="R10" s="108">
        <f t="shared" si="38"/>
        <v>38033.948764803034</v>
      </c>
      <c r="S10" s="108">
        <f t="shared" si="38"/>
        <v>33150.273570650461</v>
      </c>
      <c r="T10" s="108">
        <f t="shared" si="38"/>
        <v>34592.962364268897</v>
      </c>
      <c r="U10" s="108">
        <f t="shared" ref="U10:V10" si="39">U5-U9</f>
        <v>38406.459219172793</v>
      </c>
      <c r="V10" s="108">
        <f t="shared" si="39"/>
        <v>41837.34364128334</v>
      </c>
      <c r="X10" s="108">
        <f>X5-X9</f>
        <v>74842</v>
      </c>
      <c r="Y10" s="108">
        <f t="shared" ref="Y10:Z10" si="40">Y5-Y9</f>
        <v>84293</v>
      </c>
      <c r="Z10" s="108">
        <f t="shared" si="40"/>
        <v>112390</v>
      </c>
      <c r="AA10" s="108">
        <f t="shared" ref="AA10:AB10" si="41">AA5-AA9</f>
        <v>129039</v>
      </c>
      <c r="AB10" s="108">
        <f t="shared" si="41"/>
        <v>138621.24204940791</v>
      </c>
      <c r="AC10" s="108">
        <f t="shared" si="15"/>
        <v>147987.0387953755</v>
      </c>
    </row>
    <row r="11" spans="1:670" s="98" customFormat="1" x14ac:dyDescent="0.25">
      <c r="B11" s="98" t="s">
        <v>778</v>
      </c>
      <c r="C11" s="98">
        <v>790</v>
      </c>
      <c r="D11" s="98">
        <v>65</v>
      </c>
      <c r="E11" s="98">
        <v>-146</v>
      </c>
      <c r="F11" s="98">
        <v>715</v>
      </c>
      <c r="G11" s="98">
        <v>2843</v>
      </c>
      <c r="H11" s="98">
        <v>126</v>
      </c>
      <c r="I11" s="98">
        <v>3185</v>
      </c>
      <c r="J11" s="98">
        <v>1271</v>
      </c>
      <c r="K11" s="98">
        <v>11183</v>
      </c>
      <c r="L11" s="98">
        <v>2662</v>
      </c>
      <c r="M11" s="98">
        <v>12759</v>
      </c>
      <c r="N11" s="98">
        <v>3183</v>
      </c>
      <c r="O11" s="98">
        <f t="shared" ref="O11:T11" si="42">O12-O10</f>
        <v>3444.6679538902754</v>
      </c>
      <c r="P11" s="98">
        <f t="shared" si="42"/>
        <v>3642.0378326039136</v>
      </c>
      <c r="Q11" s="98">
        <f t="shared" si="42"/>
        <v>3326.0009289009686</v>
      </c>
      <c r="R11" s="98">
        <f t="shared" si="42"/>
        <v>3664.8464159198629</v>
      </c>
      <c r="S11" s="98">
        <f t="shared" si="42"/>
        <v>6042.4975136868889</v>
      </c>
      <c r="T11" s="98">
        <f t="shared" si="42"/>
        <v>6804.627997176889</v>
      </c>
      <c r="U11" s="98">
        <f t="shared" ref="U11" si="43">U12-U10</f>
        <v>3658.6010217910662</v>
      </c>
      <c r="V11" s="98">
        <f t="shared" ref="V11" si="44">V12-V10</f>
        <v>4031.3310575118448</v>
      </c>
      <c r="X11" s="98">
        <v>-3514</v>
      </c>
      <c r="Y11" s="98">
        <v>1424</v>
      </c>
      <c r="Z11" s="98">
        <v>7425</v>
      </c>
      <c r="AA11" s="98">
        <f>SUM(K11:N11)</f>
        <v>29787</v>
      </c>
      <c r="AB11" s="98">
        <f>SUM(O11:R11)</f>
        <v>14077.55313131502</v>
      </c>
      <c r="AC11" s="98">
        <f t="shared" si="15"/>
        <v>20537.057590166689</v>
      </c>
    </row>
    <row r="12" spans="1:670" s="96" customFormat="1" x14ac:dyDescent="0.25">
      <c r="B12" s="96" t="s">
        <v>843</v>
      </c>
      <c r="C12" s="108">
        <f t="shared" ref="C12:J12" si="45">C10+C11</f>
        <v>18205</v>
      </c>
      <c r="D12" s="108">
        <f t="shared" si="45"/>
        <v>21903</v>
      </c>
      <c r="E12" s="108">
        <f t="shared" si="45"/>
        <v>21197</v>
      </c>
      <c r="F12" s="108">
        <f t="shared" si="45"/>
        <v>24412</v>
      </c>
      <c r="G12" s="108">
        <f t="shared" si="45"/>
        <v>28315</v>
      </c>
      <c r="H12" s="108">
        <f t="shared" si="45"/>
        <v>27551</v>
      </c>
      <c r="I12" s="108">
        <f t="shared" si="45"/>
        <v>31706</v>
      </c>
      <c r="J12" s="108">
        <f t="shared" si="45"/>
        <v>32243</v>
      </c>
      <c r="K12" s="108">
        <f t="shared" ref="K12:L12" si="46">K10+K11</f>
        <v>41789</v>
      </c>
      <c r="L12" s="108">
        <f t="shared" si="46"/>
        <v>33933</v>
      </c>
      <c r="M12" s="108">
        <f t="shared" ref="M12:N12" si="47">M10+M11</f>
        <v>43987</v>
      </c>
      <c r="N12" s="108">
        <f t="shared" si="47"/>
        <v>39117</v>
      </c>
      <c r="O12" s="108">
        <f t="shared" ref="O12:V12" si="48">O14/0.83</f>
        <v>35313.253012048197</v>
      </c>
      <c r="P12" s="108">
        <f t="shared" si="48"/>
        <v>37445.783132530123</v>
      </c>
      <c r="Q12" s="108">
        <f t="shared" si="48"/>
        <v>38240.963855421687</v>
      </c>
      <c r="R12" s="108">
        <f t="shared" si="48"/>
        <v>41698.795180722896</v>
      </c>
      <c r="S12" s="108">
        <f t="shared" si="48"/>
        <v>39192.77108433735</v>
      </c>
      <c r="T12" s="108">
        <f t="shared" si="48"/>
        <v>41397.590361445786</v>
      </c>
      <c r="U12" s="108">
        <f t="shared" si="48"/>
        <v>42065.06024096386</v>
      </c>
      <c r="V12" s="108">
        <f t="shared" si="48"/>
        <v>45868.674698795185</v>
      </c>
      <c r="X12" s="108">
        <f>X10+X11</f>
        <v>71328</v>
      </c>
      <c r="Y12" s="108">
        <f t="shared" ref="Y12:AB12" si="49">Y10+Y11</f>
        <v>85717</v>
      </c>
      <c r="Z12" s="108">
        <f t="shared" si="49"/>
        <v>119815</v>
      </c>
      <c r="AA12" s="108">
        <f t="shared" si="49"/>
        <v>158826</v>
      </c>
      <c r="AB12" s="108">
        <f t="shared" si="49"/>
        <v>152698.79518072293</v>
      </c>
      <c r="AC12" s="108">
        <f t="shared" si="15"/>
        <v>168524.09638554219</v>
      </c>
    </row>
    <row r="13" spans="1:670" s="98" customFormat="1" x14ac:dyDescent="0.25">
      <c r="B13" s="98" t="s">
        <v>27</v>
      </c>
      <c r="C13" s="98">
        <v>3154</v>
      </c>
      <c r="D13" s="98">
        <v>3535</v>
      </c>
      <c r="E13" s="98">
        <v>1508</v>
      </c>
      <c r="F13" s="98">
        <v>3725</v>
      </c>
      <c r="G13" s="98">
        <v>4653</v>
      </c>
      <c r="H13" s="98">
        <v>3932</v>
      </c>
      <c r="I13" s="98">
        <v>5405</v>
      </c>
      <c r="J13" s="98">
        <v>5707</v>
      </c>
      <c r="K13" s="98">
        <v>7249</v>
      </c>
      <c r="L13" s="98">
        <v>5737</v>
      </c>
      <c r="M13" s="98">
        <v>9008</v>
      </c>
      <c r="N13" s="98">
        <v>4662</v>
      </c>
      <c r="O13" s="98">
        <f t="shared" ref="O13:T13" si="50">O12*0.17</f>
        <v>6003.2530120481943</v>
      </c>
      <c r="P13" s="98">
        <f t="shared" si="50"/>
        <v>6365.7831325301213</v>
      </c>
      <c r="Q13" s="98">
        <f t="shared" si="50"/>
        <v>6500.9638554216872</v>
      </c>
      <c r="R13" s="98">
        <f t="shared" si="50"/>
        <v>7088.7951807228928</v>
      </c>
      <c r="S13" s="98">
        <f t="shared" si="50"/>
        <v>6662.7710843373497</v>
      </c>
      <c r="T13" s="98">
        <f t="shared" si="50"/>
        <v>7037.5903614457839</v>
      </c>
      <c r="U13" s="98">
        <f>U12*0.17</f>
        <v>7151.0602409638568</v>
      </c>
      <c r="V13" s="98">
        <f t="shared" ref="V13" si="51">V12*0.17</f>
        <v>7797.6746987951819</v>
      </c>
      <c r="X13" s="98">
        <v>11356</v>
      </c>
      <c r="Y13" s="98">
        <v>11922</v>
      </c>
      <c r="Z13" s="98">
        <v>19697</v>
      </c>
      <c r="AA13" s="98">
        <f>SUM(K13:N13)</f>
        <v>26656</v>
      </c>
      <c r="AB13" s="98">
        <f>SUM(O13:R13)</f>
        <v>25958.795180722896</v>
      </c>
      <c r="AC13" s="98">
        <f t="shared" si="15"/>
        <v>28649.096385542172</v>
      </c>
    </row>
    <row r="14" spans="1:670" s="108" customFormat="1" x14ac:dyDescent="0.25">
      <c r="B14" s="108" t="s">
        <v>28</v>
      </c>
      <c r="C14" s="108">
        <f t="shared" ref="C14:J14" si="52">C12-C13</f>
        <v>15051</v>
      </c>
      <c r="D14" s="108">
        <f t="shared" si="52"/>
        <v>18368</v>
      </c>
      <c r="E14" s="108">
        <f t="shared" si="52"/>
        <v>19689</v>
      </c>
      <c r="F14" s="108">
        <f t="shared" si="52"/>
        <v>20687</v>
      </c>
      <c r="G14" s="108">
        <f t="shared" si="52"/>
        <v>23662</v>
      </c>
      <c r="H14" s="108">
        <f t="shared" si="52"/>
        <v>23619</v>
      </c>
      <c r="I14" s="108">
        <f t="shared" si="52"/>
        <v>26301</v>
      </c>
      <c r="J14" s="108">
        <f t="shared" si="52"/>
        <v>26536</v>
      </c>
      <c r="K14" s="108">
        <f t="shared" ref="K14:L14" si="53">K12-K13</f>
        <v>34540</v>
      </c>
      <c r="L14" s="108">
        <f t="shared" si="53"/>
        <v>28196</v>
      </c>
      <c r="M14" s="108">
        <f t="shared" ref="M14:N14" si="54">M12-M13</f>
        <v>34979</v>
      </c>
      <c r="N14" s="108">
        <f t="shared" si="54"/>
        <v>34455</v>
      </c>
      <c r="O14" s="108">
        <v>29310</v>
      </c>
      <c r="P14" s="108">
        <v>31080</v>
      </c>
      <c r="Q14" s="108">
        <v>31740</v>
      </c>
      <c r="R14" s="108">
        <v>34610</v>
      </c>
      <c r="S14" s="108">
        <v>32530</v>
      </c>
      <c r="T14" s="108">
        <v>34360</v>
      </c>
      <c r="U14" s="108">
        <f>Q14*1.1</f>
        <v>34914</v>
      </c>
      <c r="V14" s="108">
        <f t="shared" ref="V14" si="55">R14*1.1</f>
        <v>38071</v>
      </c>
      <c r="X14" s="108">
        <f>X12-X13</f>
        <v>59972</v>
      </c>
      <c r="Y14" s="108">
        <f t="shared" ref="Y14:AB14" si="56">Y12-Y13</f>
        <v>73795</v>
      </c>
      <c r="Z14" s="108">
        <f t="shared" si="56"/>
        <v>100118</v>
      </c>
      <c r="AA14" s="108">
        <f t="shared" si="56"/>
        <v>132170</v>
      </c>
      <c r="AB14" s="108">
        <f t="shared" si="56"/>
        <v>126740.00000000003</v>
      </c>
      <c r="AC14" s="108">
        <f t="shared" si="15"/>
        <v>139875</v>
      </c>
      <c r="AD14" s="108">
        <f>AD3*AC22</f>
        <v>148038.21937716979</v>
      </c>
      <c r="AE14" s="108">
        <f t="shared" ref="AE14:AK14" si="57">AE3*AD22</f>
        <v>158173.00736679201</v>
      </c>
      <c r="AF14" s="108">
        <f t="shared" si="57"/>
        <v>170790.73712039116</v>
      </c>
      <c r="AG14" s="108">
        <f t="shared" si="57"/>
        <v>178868.93902425762</v>
      </c>
      <c r="AH14" s="108">
        <f t="shared" si="57"/>
        <v>187871.7471621765</v>
      </c>
      <c r="AI14" s="108">
        <f t="shared" si="57"/>
        <v>197912.62377355117</v>
      </c>
      <c r="AJ14" s="108">
        <f t="shared" si="57"/>
        <v>216257.33555695621</v>
      </c>
      <c r="AK14" s="108">
        <f t="shared" si="57"/>
        <v>228786.0969485043</v>
      </c>
      <c r="AL14" s="108">
        <f t="shared" ref="AL14:AU14" si="58">AL3*AK22</f>
        <v>233361.81888747436</v>
      </c>
      <c r="AM14" s="108">
        <f t="shared" si="58"/>
        <v>238029.05526522384</v>
      </c>
      <c r="AN14" s="108">
        <f t="shared" si="58"/>
        <v>242789.63637052834</v>
      </c>
      <c r="AO14" s="108">
        <f t="shared" si="58"/>
        <v>247645.4290979389</v>
      </c>
      <c r="AP14" s="108">
        <f t="shared" si="58"/>
        <v>252598.3376798977</v>
      </c>
      <c r="AQ14" s="108">
        <f t="shared" si="58"/>
        <v>257650.30443349565</v>
      </c>
      <c r="AR14" s="108">
        <f t="shared" si="58"/>
        <v>262803.31052216556</v>
      </c>
      <c r="AS14" s="108">
        <f t="shared" si="58"/>
        <v>268059.37673260889</v>
      </c>
      <c r="AT14" s="108">
        <f t="shared" si="58"/>
        <v>273420.56426726107</v>
      </c>
      <c r="AU14" s="108">
        <f t="shared" si="58"/>
        <v>278888.97555260628</v>
      </c>
      <c r="AV14" s="108">
        <f>AU14*(1+$AX$22)</f>
        <v>276100.08579708019</v>
      </c>
      <c r="AW14" s="108">
        <f t="shared" ref="AW14:DH14" si="59">AV14*(1+$AX$22)</f>
        <v>273339.08493910939</v>
      </c>
      <c r="AX14" s="108">
        <f t="shared" si="59"/>
        <v>270605.69408971828</v>
      </c>
      <c r="AY14" s="108">
        <f t="shared" si="59"/>
        <v>267899.63714882109</v>
      </c>
      <c r="AZ14" s="108">
        <f t="shared" si="59"/>
        <v>265220.64077733288</v>
      </c>
      <c r="BA14" s="108">
        <f t="shared" si="59"/>
        <v>262568.43436955957</v>
      </c>
      <c r="BB14" s="108">
        <f t="shared" si="59"/>
        <v>259942.75002586396</v>
      </c>
      <c r="BC14" s="108">
        <f t="shared" si="59"/>
        <v>257343.32252560533</v>
      </c>
      <c r="BD14" s="108">
        <f t="shared" si="59"/>
        <v>254769.88930034928</v>
      </c>
      <c r="BE14" s="108">
        <f t="shared" si="59"/>
        <v>252222.1904073458</v>
      </c>
      <c r="BF14" s="108">
        <f t="shared" si="59"/>
        <v>249699.96850327234</v>
      </c>
      <c r="BG14" s="108">
        <f t="shared" si="59"/>
        <v>247202.96881823961</v>
      </c>
      <c r="BH14" s="108">
        <f t="shared" si="59"/>
        <v>244730.9391300572</v>
      </c>
      <c r="BI14" s="108">
        <f t="shared" si="59"/>
        <v>242283.62973875663</v>
      </c>
      <c r="BJ14" s="108">
        <f t="shared" si="59"/>
        <v>239860.79344136905</v>
      </c>
      <c r="BK14" s="108">
        <f t="shared" si="59"/>
        <v>237462.18550695537</v>
      </c>
      <c r="BL14" s="108">
        <f t="shared" si="59"/>
        <v>235087.56365188581</v>
      </c>
      <c r="BM14" s="108">
        <f t="shared" si="59"/>
        <v>232736.68801536693</v>
      </c>
      <c r="BN14" s="108">
        <f t="shared" si="59"/>
        <v>230409.32113521325</v>
      </c>
      <c r="BO14" s="108">
        <f t="shared" si="59"/>
        <v>228105.22792386112</v>
      </c>
      <c r="BP14" s="108">
        <f t="shared" si="59"/>
        <v>225824.1756446225</v>
      </c>
      <c r="BQ14" s="108">
        <f t="shared" si="59"/>
        <v>223565.93388817628</v>
      </c>
      <c r="BR14" s="108">
        <f t="shared" si="59"/>
        <v>221330.27454929453</v>
      </c>
      <c r="BS14" s="108">
        <f t="shared" si="59"/>
        <v>219116.97180380157</v>
      </c>
      <c r="BT14" s="108">
        <f t="shared" si="59"/>
        <v>216925.80208576354</v>
      </c>
      <c r="BU14" s="108">
        <f t="shared" si="59"/>
        <v>214756.5440649059</v>
      </c>
      <c r="BV14" s="108">
        <f t="shared" si="59"/>
        <v>212608.97862425685</v>
      </c>
      <c r="BW14" s="108">
        <f t="shared" si="59"/>
        <v>210482.88883801427</v>
      </c>
      <c r="BX14" s="108">
        <f t="shared" si="59"/>
        <v>208378.05994963413</v>
      </c>
      <c r="BY14" s="108">
        <f t="shared" si="59"/>
        <v>206294.27935013777</v>
      </c>
      <c r="BZ14" s="108">
        <f t="shared" si="59"/>
        <v>204231.33655663641</v>
      </c>
      <c r="CA14" s="108">
        <f t="shared" si="59"/>
        <v>202189.02319107004</v>
      </c>
      <c r="CB14" s="108">
        <f t="shared" si="59"/>
        <v>200167.13295915932</v>
      </c>
      <c r="CC14" s="108">
        <f t="shared" si="59"/>
        <v>198165.46162956773</v>
      </c>
      <c r="CD14" s="108">
        <f t="shared" si="59"/>
        <v>196183.80701327205</v>
      </c>
      <c r="CE14" s="108">
        <f t="shared" si="59"/>
        <v>194221.96894313933</v>
      </c>
      <c r="CF14" s="108">
        <f t="shared" si="59"/>
        <v>192279.74925370794</v>
      </c>
      <c r="CG14" s="108">
        <f t="shared" si="59"/>
        <v>190356.95176117084</v>
      </c>
      <c r="CH14" s="108">
        <f t="shared" si="59"/>
        <v>188453.38224355914</v>
      </c>
      <c r="CI14" s="108">
        <f t="shared" si="59"/>
        <v>186568.84842112355</v>
      </c>
      <c r="CJ14" s="108">
        <f t="shared" si="59"/>
        <v>184703.1599369123</v>
      </c>
      <c r="CK14" s="108">
        <f t="shared" si="59"/>
        <v>182856.12833754317</v>
      </c>
      <c r="CL14" s="108">
        <f t="shared" si="59"/>
        <v>181027.56705416774</v>
      </c>
      <c r="CM14" s="108">
        <f t="shared" si="59"/>
        <v>179217.29138362606</v>
      </c>
      <c r="CN14" s="108">
        <f t="shared" si="59"/>
        <v>177425.1184697898</v>
      </c>
      <c r="CO14" s="108">
        <f t="shared" si="59"/>
        <v>175650.8672850919</v>
      </c>
      <c r="CP14" s="108">
        <f t="shared" si="59"/>
        <v>173894.35861224096</v>
      </c>
      <c r="CQ14" s="108">
        <f t="shared" si="59"/>
        <v>172155.41502611854</v>
      </c>
      <c r="CR14" s="108">
        <f t="shared" si="59"/>
        <v>170433.86087585735</v>
      </c>
      <c r="CS14" s="108">
        <f t="shared" si="59"/>
        <v>168729.52226709877</v>
      </c>
      <c r="CT14" s="108">
        <f t="shared" si="59"/>
        <v>167042.2270444278</v>
      </c>
      <c r="CU14" s="108">
        <f t="shared" si="59"/>
        <v>165371.80477398352</v>
      </c>
      <c r="CV14" s="108">
        <f t="shared" si="59"/>
        <v>163718.08672624367</v>
      </c>
      <c r="CW14" s="108">
        <f t="shared" si="59"/>
        <v>162080.90585898122</v>
      </c>
      <c r="CX14" s="108">
        <f t="shared" si="59"/>
        <v>160460.09680039142</v>
      </c>
      <c r="CY14" s="108">
        <f t="shared" si="59"/>
        <v>158855.4958323875</v>
      </c>
      <c r="CZ14" s="108">
        <f t="shared" si="59"/>
        <v>157266.94087406361</v>
      </c>
      <c r="DA14" s="108">
        <f t="shared" si="59"/>
        <v>155694.27146532296</v>
      </c>
      <c r="DB14" s="108">
        <f t="shared" si="59"/>
        <v>154137.32875066972</v>
      </c>
      <c r="DC14" s="108">
        <f t="shared" si="59"/>
        <v>152595.95546316303</v>
      </c>
      <c r="DD14" s="108">
        <f t="shared" si="59"/>
        <v>151069.99590853139</v>
      </c>
      <c r="DE14" s="108">
        <f t="shared" si="59"/>
        <v>149559.29594944607</v>
      </c>
      <c r="DF14" s="108">
        <f t="shared" si="59"/>
        <v>148063.70298995159</v>
      </c>
      <c r="DG14" s="108">
        <f t="shared" si="59"/>
        <v>146583.06596005207</v>
      </c>
      <c r="DH14" s="108">
        <f t="shared" si="59"/>
        <v>145117.23530045155</v>
      </c>
      <c r="DI14" s="108">
        <f t="shared" ref="DI14:FT14" si="60">DH14*(1+$AX$22)</f>
        <v>143666.06294744703</v>
      </c>
      <c r="DJ14" s="108">
        <f t="shared" si="60"/>
        <v>142229.40231797256</v>
      </c>
      <c r="DK14" s="108">
        <f t="shared" si="60"/>
        <v>140807.10829479282</v>
      </c>
      <c r="DL14" s="108">
        <f t="shared" si="60"/>
        <v>139399.0372118449</v>
      </c>
      <c r="DM14" s="108">
        <f t="shared" si="60"/>
        <v>138005.04683972645</v>
      </c>
      <c r="DN14" s="108">
        <f t="shared" si="60"/>
        <v>136624.99637132918</v>
      </c>
      <c r="DO14" s="108">
        <f t="shared" si="60"/>
        <v>135258.74640761589</v>
      </c>
      <c r="DP14" s="108">
        <f t="shared" si="60"/>
        <v>133906.15894353975</v>
      </c>
      <c r="DQ14" s="108">
        <f t="shared" si="60"/>
        <v>132567.09735410433</v>
      </c>
      <c r="DR14" s="108">
        <f t="shared" si="60"/>
        <v>131241.42638056329</v>
      </c>
      <c r="DS14" s="108">
        <f t="shared" si="60"/>
        <v>129929.01211675766</v>
      </c>
      <c r="DT14" s="108">
        <f t="shared" si="60"/>
        <v>128629.72199559008</v>
      </c>
      <c r="DU14" s="108">
        <f t="shared" si="60"/>
        <v>127343.42477563418</v>
      </c>
      <c r="DV14" s="108">
        <f t="shared" si="60"/>
        <v>126069.99052787783</v>
      </c>
      <c r="DW14" s="108">
        <f t="shared" si="60"/>
        <v>124809.29062259906</v>
      </c>
      <c r="DX14" s="108">
        <f t="shared" si="60"/>
        <v>123561.19771637306</v>
      </c>
      <c r="DY14" s="108">
        <f t="shared" si="60"/>
        <v>122325.58573920933</v>
      </c>
      <c r="DZ14" s="108">
        <f t="shared" si="60"/>
        <v>121102.32988181723</v>
      </c>
      <c r="EA14" s="108">
        <f t="shared" si="60"/>
        <v>119891.30658299907</v>
      </c>
      <c r="EB14" s="108">
        <f t="shared" si="60"/>
        <v>118692.39351716907</v>
      </c>
      <c r="EC14" s="108">
        <f t="shared" si="60"/>
        <v>117505.46958199737</v>
      </c>
      <c r="ED14" s="108">
        <f t="shared" si="60"/>
        <v>116330.4148861774</v>
      </c>
      <c r="EE14" s="108">
        <f t="shared" si="60"/>
        <v>115167.11073731563</v>
      </c>
      <c r="EF14" s="108">
        <f t="shared" si="60"/>
        <v>114015.43962994247</v>
      </c>
      <c r="EG14" s="108">
        <f t="shared" si="60"/>
        <v>112875.28523364304</v>
      </c>
      <c r="EH14" s="108">
        <f t="shared" si="60"/>
        <v>111746.53238130661</v>
      </c>
      <c r="EI14" s="108">
        <f t="shared" si="60"/>
        <v>110629.06705749354</v>
      </c>
      <c r="EJ14" s="108">
        <f t="shared" si="60"/>
        <v>109522.7763869186</v>
      </c>
      <c r="EK14" s="108">
        <f t="shared" si="60"/>
        <v>108427.54862304941</v>
      </c>
      <c r="EL14" s="108">
        <f t="shared" si="60"/>
        <v>107343.27313681891</v>
      </c>
      <c r="EM14" s="108">
        <f t="shared" si="60"/>
        <v>106269.84040545073</v>
      </c>
      <c r="EN14" s="108">
        <f t="shared" si="60"/>
        <v>105207.14200139622</v>
      </c>
      <c r="EO14" s="108">
        <f t="shared" si="60"/>
        <v>104155.07058138226</v>
      </c>
      <c r="EP14" s="108">
        <f t="shared" si="60"/>
        <v>103113.51987556844</v>
      </c>
      <c r="EQ14" s="108">
        <f t="shared" si="60"/>
        <v>102082.38467681276</v>
      </c>
      <c r="ER14" s="108">
        <f t="shared" si="60"/>
        <v>101061.56083004463</v>
      </c>
      <c r="ES14" s="108">
        <f t="shared" si="60"/>
        <v>100050.94522174419</v>
      </c>
      <c r="ET14" s="108">
        <f t="shared" si="60"/>
        <v>99050.435769526739</v>
      </c>
      <c r="EU14" s="108">
        <f t="shared" si="60"/>
        <v>98059.931411831465</v>
      </c>
      <c r="EV14" s="108">
        <f t="shared" si="60"/>
        <v>97079.332097713152</v>
      </c>
      <c r="EW14" s="108">
        <f t="shared" si="60"/>
        <v>96108.538776736023</v>
      </c>
      <c r="EX14" s="108">
        <f t="shared" si="60"/>
        <v>95147.453388968657</v>
      </c>
      <c r="EY14" s="108">
        <f t="shared" si="60"/>
        <v>94195.978855078967</v>
      </c>
      <c r="EZ14" s="108">
        <f t="shared" si="60"/>
        <v>93254.01906652817</v>
      </c>
      <c r="FA14" s="108">
        <f t="shared" si="60"/>
        <v>92321.478875862886</v>
      </c>
      <c r="FB14" s="108">
        <f t="shared" si="60"/>
        <v>91398.264087104253</v>
      </c>
      <c r="FC14" s="108">
        <f t="shared" si="60"/>
        <v>90484.281446233203</v>
      </c>
      <c r="FD14" s="108">
        <f t="shared" si="60"/>
        <v>89579.43863177087</v>
      </c>
      <c r="FE14" s="108">
        <f t="shared" si="60"/>
        <v>88683.644245453164</v>
      </c>
      <c r="FF14" s="108">
        <f t="shared" si="60"/>
        <v>87796.807802998635</v>
      </c>
      <c r="FG14" s="108">
        <f t="shared" si="60"/>
        <v>86918.839724968653</v>
      </c>
      <c r="FH14" s="108">
        <f t="shared" si="60"/>
        <v>86049.651327718966</v>
      </c>
      <c r="FI14" s="108">
        <f t="shared" si="60"/>
        <v>85189.154814441776</v>
      </c>
      <c r="FJ14" s="108">
        <f t="shared" si="60"/>
        <v>84337.263266297363</v>
      </c>
      <c r="FK14" s="108">
        <f t="shared" si="60"/>
        <v>83493.890633634393</v>
      </c>
      <c r="FL14" s="108">
        <f t="shared" si="60"/>
        <v>82658.951727298045</v>
      </c>
      <c r="FM14" s="108">
        <f t="shared" si="60"/>
        <v>81832.362210025065</v>
      </c>
      <c r="FN14" s="108">
        <f t="shared" si="60"/>
        <v>81014.038587924821</v>
      </c>
      <c r="FO14" s="108">
        <f t="shared" si="60"/>
        <v>80203.898202045573</v>
      </c>
      <c r="FP14" s="108">
        <f t="shared" si="60"/>
        <v>79401.859220025115</v>
      </c>
      <c r="FQ14" s="108">
        <f t="shared" si="60"/>
        <v>78607.840627824859</v>
      </c>
      <c r="FR14" s="108">
        <f t="shared" si="60"/>
        <v>77821.762221546611</v>
      </c>
      <c r="FS14" s="108">
        <f t="shared" si="60"/>
        <v>77043.544599331144</v>
      </c>
      <c r="FT14" s="108">
        <f t="shared" si="60"/>
        <v>76273.109153337835</v>
      </c>
      <c r="FU14" s="108">
        <f t="shared" ref="FU14:IF14" si="61">FT14*(1+$AX$22)</f>
        <v>75510.378061804455</v>
      </c>
      <c r="FV14" s="108">
        <f t="shared" si="61"/>
        <v>74755.274281186415</v>
      </c>
      <c r="FW14" s="108">
        <f t="shared" si="61"/>
        <v>74007.72153837455</v>
      </c>
      <c r="FX14" s="108">
        <f t="shared" si="61"/>
        <v>73267.644322990804</v>
      </c>
      <c r="FY14" s="108">
        <f t="shared" si="61"/>
        <v>72534.967879760894</v>
      </c>
      <c r="FZ14" s="108">
        <f t="shared" si="61"/>
        <v>71809.61820096329</v>
      </c>
      <c r="GA14" s="108">
        <f t="shared" si="61"/>
        <v>71091.522018953663</v>
      </c>
      <c r="GB14" s="108">
        <f t="shared" si="61"/>
        <v>70380.606798764129</v>
      </c>
      <c r="GC14" s="108">
        <f t="shared" si="61"/>
        <v>69676.800730776493</v>
      </c>
      <c r="GD14" s="108">
        <f t="shared" si="61"/>
        <v>68980.032723468728</v>
      </c>
      <c r="GE14" s="108">
        <f t="shared" si="61"/>
        <v>68290.232396234045</v>
      </c>
      <c r="GF14" s="108">
        <f t="shared" si="61"/>
        <v>67607.33007227171</v>
      </c>
      <c r="GG14" s="108">
        <f t="shared" si="61"/>
        <v>66931.256771548986</v>
      </c>
      <c r="GH14" s="108">
        <f t="shared" si="61"/>
        <v>66261.944203833496</v>
      </c>
      <c r="GI14" s="108">
        <f t="shared" si="61"/>
        <v>65599.324761795157</v>
      </c>
      <c r="GJ14" s="108">
        <f t="shared" si="61"/>
        <v>64943.331514177204</v>
      </c>
      <c r="GK14" s="108">
        <f t="shared" si="61"/>
        <v>64293.89819903543</v>
      </c>
      <c r="GL14" s="108">
        <f t="shared" si="61"/>
        <v>63650.959217045078</v>
      </c>
      <c r="GM14" s="108">
        <f t="shared" si="61"/>
        <v>63014.449624874629</v>
      </c>
      <c r="GN14" s="108">
        <f t="shared" si="61"/>
        <v>62384.305128625885</v>
      </c>
      <c r="GO14" s="108">
        <f t="shared" si="61"/>
        <v>61760.462077339624</v>
      </c>
      <c r="GP14" s="108">
        <f t="shared" si="61"/>
        <v>61142.857456566227</v>
      </c>
      <c r="GQ14" s="108">
        <f t="shared" si="61"/>
        <v>60531.428882000568</v>
      </c>
      <c r="GR14" s="108">
        <f t="shared" si="61"/>
        <v>59926.114593180559</v>
      </c>
      <c r="GS14" s="108">
        <f t="shared" si="61"/>
        <v>59326.853447248752</v>
      </c>
      <c r="GT14" s="108">
        <f t="shared" si="61"/>
        <v>58733.584912776263</v>
      </c>
      <c r="GU14" s="108">
        <f t="shared" si="61"/>
        <v>58146.249063648502</v>
      </c>
      <c r="GV14" s="108">
        <f t="shared" si="61"/>
        <v>57564.786573012017</v>
      </c>
      <c r="GW14" s="108">
        <f t="shared" si="61"/>
        <v>56989.138707281898</v>
      </c>
      <c r="GX14" s="108">
        <f t="shared" si="61"/>
        <v>56419.247320209077</v>
      </c>
      <c r="GY14" s="108">
        <f t="shared" si="61"/>
        <v>55855.054847006984</v>
      </c>
      <c r="GZ14" s="108">
        <f t="shared" si="61"/>
        <v>55296.504298536915</v>
      </c>
      <c r="HA14" s="108">
        <f t="shared" si="61"/>
        <v>54743.539255551543</v>
      </c>
      <c r="HB14" s="108">
        <f t="shared" si="61"/>
        <v>54196.103862996024</v>
      </c>
      <c r="HC14" s="108">
        <f t="shared" si="61"/>
        <v>53654.142824366063</v>
      </c>
      <c r="HD14" s="108">
        <f t="shared" si="61"/>
        <v>53117.601396122402</v>
      </c>
      <c r="HE14" s="108">
        <f t="shared" si="61"/>
        <v>52586.425382161178</v>
      </c>
      <c r="HF14" s="108">
        <f t="shared" si="61"/>
        <v>52060.561128339563</v>
      </c>
      <c r="HG14" s="108">
        <f t="shared" si="61"/>
        <v>51539.955517056165</v>
      </c>
      <c r="HH14" s="108">
        <f t="shared" si="61"/>
        <v>51024.555961885606</v>
      </c>
      <c r="HI14" s="108">
        <f t="shared" si="61"/>
        <v>50514.310402266747</v>
      </c>
      <c r="HJ14" s="108">
        <f t="shared" si="61"/>
        <v>50009.16729824408</v>
      </c>
      <c r="HK14" s="108">
        <f t="shared" si="61"/>
        <v>49509.075625261641</v>
      </c>
      <c r="HL14" s="108">
        <f t="shared" si="61"/>
        <v>49013.984869009022</v>
      </c>
      <c r="HM14" s="108">
        <f t="shared" si="61"/>
        <v>48523.845020318935</v>
      </c>
      <c r="HN14" s="108">
        <f t="shared" si="61"/>
        <v>48038.606570115742</v>
      </c>
      <c r="HO14" s="108">
        <f t="shared" si="61"/>
        <v>47558.220504414581</v>
      </c>
      <c r="HP14" s="108">
        <f t="shared" si="61"/>
        <v>47082.638299370432</v>
      </c>
      <c r="HQ14" s="108">
        <f t="shared" si="61"/>
        <v>46611.811916376726</v>
      </c>
      <c r="HR14" s="108">
        <f t="shared" si="61"/>
        <v>46145.69379721296</v>
      </c>
      <c r="HS14" s="108">
        <f t="shared" si="61"/>
        <v>45684.236859240831</v>
      </c>
      <c r="HT14" s="108">
        <f t="shared" si="61"/>
        <v>45227.394490648425</v>
      </c>
      <c r="HU14" s="108">
        <f t="shared" si="61"/>
        <v>44775.120545741942</v>
      </c>
      <c r="HV14" s="108">
        <f t="shared" si="61"/>
        <v>44327.369340284524</v>
      </c>
      <c r="HW14" s="108">
        <f t="shared" si="61"/>
        <v>43884.09564688168</v>
      </c>
      <c r="HX14" s="108">
        <f t="shared" si="61"/>
        <v>43445.254690412861</v>
      </c>
      <c r="HY14" s="108">
        <f t="shared" si="61"/>
        <v>43010.802143508736</v>
      </c>
      <c r="HZ14" s="108">
        <f t="shared" si="61"/>
        <v>42580.694122073648</v>
      </c>
      <c r="IA14" s="108">
        <f t="shared" si="61"/>
        <v>42154.887180852915</v>
      </c>
      <c r="IB14" s="108">
        <f t="shared" si="61"/>
        <v>41733.338309044382</v>
      </c>
      <c r="IC14" s="108">
        <f t="shared" si="61"/>
        <v>41316.004925953937</v>
      </c>
      <c r="ID14" s="108">
        <f t="shared" si="61"/>
        <v>40902.844876694398</v>
      </c>
      <c r="IE14" s="108">
        <f t="shared" si="61"/>
        <v>40493.816427927457</v>
      </c>
      <c r="IF14" s="108">
        <f t="shared" si="61"/>
        <v>40088.878263648185</v>
      </c>
      <c r="IG14" s="108">
        <f t="shared" ref="IG14:KR14" si="62">IF14*(1+$AX$22)</f>
        <v>39687.989481011704</v>
      </c>
      <c r="IH14" s="108">
        <f t="shared" si="62"/>
        <v>39291.109586201586</v>
      </c>
      <c r="II14" s="108">
        <f t="shared" si="62"/>
        <v>38898.198490339571</v>
      </c>
      <c r="IJ14" s="108">
        <f t="shared" si="62"/>
        <v>38509.216505436176</v>
      </c>
      <c r="IK14" s="108">
        <f t="shared" si="62"/>
        <v>38124.124340381815</v>
      </c>
      <c r="IL14" s="108">
        <f t="shared" si="62"/>
        <v>37742.883096977996</v>
      </c>
      <c r="IM14" s="108">
        <f t="shared" si="62"/>
        <v>37365.454266008215</v>
      </c>
      <c r="IN14" s="108">
        <f t="shared" si="62"/>
        <v>36991.799723348129</v>
      </c>
      <c r="IO14" s="108">
        <f t="shared" si="62"/>
        <v>36621.881726114647</v>
      </c>
      <c r="IP14" s="108">
        <f t="shared" si="62"/>
        <v>36255.662908853497</v>
      </c>
      <c r="IQ14" s="108">
        <f t="shared" si="62"/>
        <v>35893.106279764965</v>
      </c>
      <c r="IR14" s="108">
        <f t="shared" si="62"/>
        <v>35534.175216967313</v>
      </c>
      <c r="IS14" s="108">
        <f t="shared" si="62"/>
        <v>35178.833464797637</v>
      </c>
      <c r="IT14" s="108">
        <f t="shared" si="62"/>
        <v>34827.045130149658</v>
      </c>
      <c r="IU14" s="108">
        <f t="shared" si="62"/>
        <v>34478.77467884816</v>
      </c>
      <c r="IV14" s="108">
        <f t="shared" si="62"/>
        <v>34133.986932059677</v>
      </c>
      <c r="IW14" s="108">
        <f t="shared" si="62"/>
        <v>33792.647062739081</v>
      </c>
      <c r="IX14" s="108">
        <f t="shared" si="62"/>
        <v>33454.720592111691</v>
      </c>
      <c r="IY14" s="108">
        <f t="shared" si="62"/>
        <v>33120.173386190574</v>
      </c>
      <c r="IZ14" s="108">
        <f t="shared" si="62"/>
        <v>32788.97165232867</v>
      </c>
      <c r="JA14" s="108">
        <f t="shared" si="62"/>
        <v>32461.081935805381</v>
      </c>
      <c r="JB14" s="108">
        <f t="shared" si="62"/>
        <v>32136.471116447326</v>
      </c>
      <c r="JC14" s="108">
        <f t="shared" si="62"/>
        <v>31815.106405282851</v>
      </c>
      <c r="JD14" s="108">
        <f t="shared" si="62"/>
        <v>31496.955341230023</v>
      </c>
      <c r="JE14" s="108">
        <f t="shared" si="62"/>
        <v>31181.985787817721</v>
      </c>
      <c r="JF14" s="108">
        <f t="shared" si="62"/>
        <v>30870.165929939543</v>
      </c>
      <c r="JG14" s="108">
        <f t="shared" si="62"/>
        <v>30561.464270640146</v>
      </c>
      <c r="JH14" s="108">
        <f t="shared" si="62"/>
        <v>30255.849627933745</v>
      </c>
      <c r="JI14" s="108">
        <f t="shared" si="62"/>
        <v>29953.291131654409</v>
      </c>
      <c r="JJ14" s="108">
        <f t="shared" si="62"/>
        <v>29653.758220337866</v>
      </c>
      <c r="JK14" s="108">
        <f t="shared" si="62"/>
        <v>29357.220638134488</v>
      </c>
      <c r="JL14" s="108">
        <f t="shared" si="62"/>
        <v>29063.648431753143</v>
      </c>
      <c r="JM14" s="108">
        <f t="shared" si="62"/>
        <v>28773.011947435611</v>
      </c>
      <c r="JN14" s="108">
        <f t="shared" si="62"/>
        <v>28485.281827961255</v>
      </c>
      <c r="JO14" s="108">
        <f t="shared" si="62"/>
        <v>28200.42900968164</v>
      </c>
      <c r="JP14" s="108">
        <f t="shared" si="62"/>
        <v>27918.424719584822</v>
      </c>
      <c r="JQ14" s="108">
        <f t="shared" si="62"/>
        <v>27639.240472388974</v>
      </c>
      <c r="JR14" s="108">
        <f t="shared" si="62"/>
        <v>27362.848067665083</v>
      </c>
      <c r="JS14" s="108">
        <f t="shared" si="62"/>
        <v>27089.219586988431</v>
      </c>
      <c r="JT14" s="108">
        <f t="shared" si="62"/>
        <v>26818.327391118546</v>
      </c>
      <c r="JU14" s="108">
        <f t="shared" si="62"/>
        <v>26550.144117207361</v>
      </c>
      <c r="JV14" s="108">
        <f t="shared" si="62"/>
        <v>26284.642676035288</v>
      </c>
      <c r="JW14" s="108">
        <f t="shared" si="62"/>
        <v>26021.796249274936</v>
      </c>
      <c r="JX14" s="108">
        <f t="shared" si="62"/>
        <v>25761.578286782187</v>
      </c>
      <c r="JY14" s="108">
        <f t="shared" si="62"/>
        <v>25503.962503914365</v>
      </c>
      <c r="JZ14" s="108">
        <f t="shared" si="62"/>
        <v>25248.922878875223</v>
      </c>
      <c r="KA14" s="108">
        <f t="shared" si="62"/>
        <v>24996.43365008647</v>
      </c>
      <c r="KB14" s="108">
        <f t="shared" si="62"/>
        <v>24746.469313585607</v>
      </c>
      <c r="KC14" s="108">
        <f t="shared" si="62"/>
        <v>24499.004620449752</v>
      </c>
      <c r="KD14" s="108">
        <f t="shared" si="62"/>
        <v>24254.014574245255</v>
      </c>
      <c r="KE14" s="108">
        <f t="shared" si="62"/>
        <v>24011.474428502803</v>
      </c>
      <c r="KF14" s="108">
        <f t="shared" si="62"/>
        <v>23771.359684217776</v>
      </c>
      <c r="KG14" s="108">
        <f t="shared" si="62"/>
        <v>23533.646087375597</v>
      </c>
      <c r="KH14" s="108">
        <f t="shared" si="62"/>
        <v>23298.309626501839</v>
      </c>
      <c r="KI14" s="108">
        <f t="shared" si="62"/>
        <v>23065.32653023682</v>
      </c>
      <c r="KJ14" s="108">
        <f t="shared" si="62"/>
        <v>22834.673264934452</v>
      </c>
      <c r="KK14" s="108">
        <f t="shared" si="62"/>
        <v>22606.326532285108</v>
      </c>
      <c r="KL14" s="108">
        <f t="shared" si="62"/>
        <v>22380.263266962258</v>
      </c>
      <c r="KM14" s="108">
        <f t="shared" si="62"/>
        <v>22156.460634292634</v>
      </c>
      <c r="KN14" s="108">
        <f t="shared" si="62"/>
        <v>21934.896027949708</v>
      </c>
      <c r="KO14" s="108">
        <f t="shared" si="62"/>
        <v>21715.54706767021</v>
      </c>
      <c r="KP14" s="108">
        <f t="shared" si="62"/>
        <v>21498.391596993508</v>
      </c>
      <c r="KQ14" s="108">
        <f t="shared" si="62"/>
        <v>21283.407681023571</v>
      </c>
      <c r="KR14" s="108">
        <f t="shared" si="62"/>
        <v>21070.573604213336</v>
      </c>
      <c r="KS14" s="108">
        <f t="shared" ref="KS14:ND14" si="63">KR14*(1+$AX$22)</f>
        <v>20859.867868171201</v>
      </c>
      <c r="KT14" s="108">
        <f t="shared" si="63"/>
        <v>20651.269189489489</v>
      </c>
      <c r="KU14" s="108">
        <f t="shared" si="63"/>
        <v>20444.756497594593</v>
      </c>
      <c r="KV14" s="108">
        <f t="shared" si="63"/>
        <v>20240.308932618645</v>
      </c>
      <c r="KW14" s="108">
        <f t="shared" si="63"/>
        <v>20037.905843292458</v>
      </c>
      <c r="KX14" s="108">
        <f t="shared" si="63"/>
        <v>19837.526784859532</v>
      </c>
      <c r="KY14" s="108">
        <f t="shared" si="63"/>
        <v>19639.151517010938</v>
      </c>
      <c r="KZ14" s="108">
        <f t="shared" si="63"/>
        <v>19442.760001840827</v>
      </c>
      <c r="LA14" s="108">
        <f t="shared" si="63"/>
        <v>19248.332401822419</v>
      </c>
      <c r="LB14" s="108">
        <f t="shared" si="63"/>
        <v>19055.849077804196</v>
      </c>
      <c r="LC14" s="108">
        <f t="shared" si="63"/>
        <v>18865.290587026153</v>
      </c>
      <c r="LD14" s="108">
        <f t="shared" si="63"/>
        <v>18676.637681155891</v>
      </c>
      <c r="LE14" s="108">
        <f t="shared" si="63"/>
        <v>18489.871304344331</v>
      </c>
      <c r="LF14" s="108">
        <f t="shared" si="63"/>
        <v>18304.972591300888</v>
      </c>
      <c r="LG14" s="108">
        <f t="shared" si="63"/>
        <v>18121.922865387878</v>
      </c>
      <c r="LH14" s="108">
        <f t="shared" si="63"/>
        <v>17940.703636734001</v>
      </c>
      <c r="LI14" s="108">
        <f t="shared" si="63"/>
        <v>17761.296600366659</v>
      </c>
      <c r="LJ14" s="108">
        <f t="shared" si="63"/>
        <v>17583.683634362991</v>
      </c>
      <c r="LK14" s="108">
        <f t="shared" si="63"/>
        <v>17407.84679801936</v>
      </c>
      <c r="LL14" s="108">
        <f t="shared" si="63"/>
        <v>17233.768330039165</v>
      </c>
      <c r="LM14" s="108">
        <f t="shared" si="63"/>
        <v>17061.430646738772</v>
      </c>
      <c r="LN14" s="108">
        <f t="shared" si="63"/>
        <v>16890.816340271384</v>
      </c>
      <c r="LO14" s="108">
        <f t="shared" si="63"/>
        <v>16721.90817686867</v>
      </c>
      <c r="LP14" s="108">
        <f t="shared" si="63"/>
        <v>16554.689095099984</v>
      </c>
      <c r="LQ14" s="108">
        <f t="shared" si="63"/>
        <v>16389.142204148986</v>
      </c>
      <c r="LR14" s="108">
        <f t="shared" si="63"/>
        <v>16225.250782107496</v>
      </c>
      <c r="LS14" s="108">
        <f t="shared" si="63"/>
        <v>16062.998274286421</v>
      </c>
      <c r="LT14" s="108">
        <f t="shared" si="63"/>
        <v>15902.368291543557</v>
      </c>
      <c r="LU14" s="108">
        <f t="shared" si="63"/>
        <v>15743.34460862812</v>
      </c>
      <c r="LV14" s="108">
        <f t="shared" si="63"/>
        <v>15585.911162541839</v>
      </c>
      <c r="LW14" s="108">
        <f t="shared" si="63"/>
        <v>15430.05205091642</v>
      </c>
      <c r="LX14" s="108">
        <f t="shared" si="63"/>
        <v>15275.751530407255</v>
      </c>
      <c r="LY14" s="108">
        <f t="shared" si="63"/>
        <v>15122.994015103182</v>
      </c>
      <c r="LZ14" s="108">
        <f t="shared" si="63"/>
        <v>14971.764074952151</v>
      </c>
      <c r="MA14" s="108">
        <f t="shared" si="63"/>
        <v>14822.04643420263</v>
      </c>
      <c r="MB14" s="108">
        <f t="shared" si="63"/>
        <v>14673.825969860603</v>
      </c>
      <c r="MC14" s="108">
        <f t="shared" si="63"/>
        <v>14527.087710161997</v>
      </c>
      <c r="MD14" s="108">
        <f t="shared" si="63"/>
        <v>14381.816833060377</v>
      </c>
      <c r="ME14" s="108">
        <f t="shared" si="63"/>
        <v>14237.998664729772</v>
      </c>
      <c r="MF14" s="108">
        <f t="shared" si="63"/>
        <v>14095.618678082474</v>
      </c>
      <c r="MG14" s="108">
        <f t="shared" si="63"/>
        <v>13954.662491301649</v>
      </c>
      <c r="MH14" s="108">
        <f t="shared" si="63"/>
        <v>13815.115866388633</v>
      </c>
      <c r="MI14" s="108">
        <f t="shared" si="63"/>
        <v>13676.964707724746</v>
      </c>
      <c r="MJ14" s="108">
        <f t="shared" si="63"/>
        <v>13540.195060647498</v>
      </c>
      <c r="MK14" s="108">
        <f t="shared" si="63"/>
        <v>13404.793110041024</v>
      </c>
      <c r="ML14" s="108">
        <f t="shared" si="63"/>
        <v>13270.745178940613</v>
      </c>
      <c r="MM14" s="108">
        <f t="shared" si="63"/>
        <v>13138.037727151206</v>
      </c>
      <c r="MN14" s="108">
        <f t="shared" si="63"/>
        <v>13006.657349879693</v>
      </c>
      <c r="MO14" s="108">
        <f t="shared" si="63"/>
        <v>12876.590776380895</v>
      </c>
      <c r="MP14" s="108">
        <f t="shared" si="63"/>
        <v>12747.824868617086</v>
      </c>
      <c r="MQ14" s="108">
        <f t="shared" si="63"/>
        <v>12620.346619930915</v>
      </c>
      <c r="MR14" s="108">
        <f t="shared" si="63"/>
        <v>12494.143153731606</v>
      </c>
      <c r="MS14" s="108">
        <f t="shared" si="63"/>
        <v>12369.20172219429</v>
      </c>
      <c r="MT14" s="108">
        <f t="shared" si="63"/>
        <v>12245.509704972346</v>
      </c>
      <c r="MU14" s="108">
        <f t="shared" si="63"/>
        <v>12123.054607922622</v>
      </c>
      <c r="MV14" s="108">
        <f t="shared" si="63"/>
        <v>12001.824061843396</v>
      </c>
      <c r="MW14" s="108">
        <f t="shared" si="63"/>
        <v>11881.805821224962</v>
      </c>
      <c r="MX14" s="108">
        <f t="shared" si="63"/>
        <v>11762.987763012712</v>
      </c>
      <c r="MY14" s="108">
        <f t="shared" si="63"/>
        <v>11645.357885382586</v>
      </c>
      <c r="MZ14" s="108">
        <f t="shared" si="63"/>
        <v>11528.904306528761</v>
      </c>
      <c r="NA14" s="108">
        <f t="shared" si="63"/>
        <v>11413.615263463473</v>
      </c>
      <c r="NB14" s="108">
        <f t="shared" si="63"/>
        <v>11299.479110828837</v>
      </c>
      <c r="NC14" s="108">
        <f t="shared" si="63"/>
        <v>11186.484319720548</v>
      </c>
      <c r="ND14" s="108">
        <f t="shared" si="63"/>
        <v>11074.619476523343</v>
      </c>
      <c r="NE14" s="108">
        <f t="shared" ref="NE14:PP14" si="64">ND14*(1+$AX$22)</f>
        <v>10963.873281758109</v>
      </c>
      <c r="NF14" s="108">
        <f t="shared" si="64"/>
        <v>10854.234548940529</v>
      </c>
      <c r="NG14" s="108">
        <f t="shared" si="64"/>
        <v>10745.692203451123</v>
      </c>
      <c r="NH14" s="108">
        <f t="shared" si="64"/>
        <v>10638.235281416612</v>
      </c>
      <c r="NI14" s="108">
        <f t="shared" si="64"/>
        <v>10531.852928602446</v>
      </c>
      <c r="NJ14" s="108">
        <f t="shared" si="64"/>
        <v>10426.534399316421</v>
      </c>
      <c r="NK14" s="108">
        <f t="shared" si="64"/>
        <v>10322.269055323257</v>
      </c>
      <c r="NL14" s="108">
        <f t="shared" si="64"/>
        <v>10219.046364770024</v>
      </c>
      <c r="NM14" s="108">
        <f t="shared" si="64"/>
        <v>10116.855901122322</v>
      </c>
      <c r="NN14" s="108">
        <f t="shared" si="64"/>
        <v>10015.687342111099</v>
      </c>
      <c r="NO14" s="108">
        <f t="shared" si="64"/>
        <v>9915.530468689989</v>
      </c>
      <c r="NP14" s="108">
        <f t="shared" si="64"/>
        <v>9816.3751640030896</v>
      </c>
      <c r="NQ14" s="108">
        <f t="shared" si="64"/>
        <v>9718.2114123630581</v>
      </c>
      <c r="NR14" s="108">
        <f t="shared" si="64"/>
        <v>9621.0292982394276</v>
      </c>
      <c r="NS14" s="108">
        <f t="shared" si="64"/>
        <v>9524.8190052570335</v>
      </c>
      <c r="NT14" s="108">
        <f t="shared" si="64"/>
        <v>9429.5708152044626</v>
      </c>
      <c r="NU14" s="108">
        <f t="shared" si="64"/>
        <v>9335.2751070524173</v>
      </c>
      <c r="NV14" s="108">
        <f t="shared" si="64"/>
        <v>9241.9223559818929</v>
      </c>
      <c r="NW14" s="108">
        <f t="shared" si="64"/>
        <v>9149.5031324220745</v>
      </c>
      <c r="NX14" s="108">
        <f t="shared" si="64"/>
        <v>9058.0081010978538</v>
      </c>
      <c r="NY14" s="108">
        <f t="shared" si="64"/>
        <v>8967.4280200868743</v>
      </c>
      <c r="NZ14" s="108">
        <f t="shared" si="64"/>
        <v>8877.7537398860059</v>
      </c>
      <c r="OA14" s="108">
        <f t="shared" si="64"/>
        <v>8788.9762024871452</v>
      </c>
      <c r="OB14" s="108">
        <f t="shared" si="64"/>
        <v>8701.0864404622735</v>
      </c>
      <c r="OC14" s="108">
        <f t="shared" si="64"/>
        <v>8614.0755760576503</v>
      </c>
      <c r="OD14" s="108">
        <f t="shared" si="64"/>
        <v>8527.9348202970741</v>
      </c>
      <c r="OE14" s="108">
        <f t="shared" si="64"/>
        <v>8442.655472094104</v>
      </c>
      <c r="OF14" s="108">
        <f t="shared" si="64"/>
        <v>8358.2289173731624</v>
      </c>
      <c r="OG14" s="108">
        <f t="shared" si="64"/>
        <v>8274.6466281994308</v>
      </c>
      <c r="OH14" s="108">
        <f t="shared" si="64"/>
        <v>8191.900161917436</v>
      </c>
      <c r="OI14" s="108">
        <f t="shared" si="64"/>
        <v>8109.9811602982618</v>
      </c>
      <c r="OJ14" s="108">
        <f t="shared" si="64"/>
        <v>8028.8813486952795</v>
      </c>
      <c r="OK14" s="108">
        <f t="shared" si="64"/>
        <v>7948.5925352083268</v>
      </c>
      <c r="OL14" s="108">
        <f t="shared" si="64"/>
        <v>7869.1066098562433</v>
      </c>
      <c r="OM14" s="108">
        <f t="shared" si="64"/>
        <v>7790.415543757681</v>
      </c>
      <c r="ON14" s="108">
        <f t="shared" si="64"/>
        <v>7712.5113883201038</v>
      </c>
      <c r="OO14" s="108">
        <f t="shared" si="64"/>
        <v>7635.3862744369026</v>
      </c>
      <c r="OP14" s="108">
        <f t="shared" si="64"/>
        <v>7559.0324116925331</v>
      </c>
      <c r="OQ14" s="108">
        <f t="shared" si="64"/>
        <v>7483.4420875756077</v>
      </c>
      <c r="OR14" s="108">
        <f t="shared" si="64"/>
        <v>7408.6076666998515</v>
      </c>
      <c r="OS14" s="108">
        <f t="shared" si="64"/>
        <v>7334.5215900328531</v>
      </c>
      <c r="OT14" s="108">
        <f t="shared" si="64"/>
        <v>7261.1763741325249</v>
      </c>
      <c r="OU14" s="108">
        <f t="shared" si="64"/>
        <v>7188.5646103911995</v>
      </c>
      <c r="OV14" s="108">
        <f t="shared" si="64"/>
        <v>7116.6789642872873</v>
      </c>
      <c r="OW14" s="108">
        <f t="shared" si="64"/>
        <v>7045.5121746444147</v>
      </c>
      <c r="OX14" s="108">
        <f t="shared" si="64"/>
        <v>6975.0570528979706</v>
      </c>
      <c r="OY14" s="108">
        <f t="shared" si="64"/>
        <v>6905.3064823689911</v>
      </c>
      <c r="OZ14" s="108">
        <f t="shared" si="64"/>
        <v>6836.2534175453011</v>
      </c>
      <c r="PA14" s="108">
        <f t="shared" si="64"/>
        <v>6767.8908833698479</v>
      </c>
      <c r="PB14" s="108">
        <f t="shared" si="64"/>
        <v>6700.2119745361497</v>
      </c>
      <c r="PC14" s="108">
        <f t="shared" si="64"/>
        <v>6633.2098547907881</v>
      </c>
      <c r="PD14" s="108">
        <f t="shared" si="64"/>
        <v>6566.8777562428804</v>
      </c>
      <c r="PE14" s="108">
        <f t="shared" si="64"/>
        <v>6501.2089786804518</v>
      </c>
      <c r="PF14" s="108">
        <f t="shared" si="64"/>
        <v>6436.1968888936472</v>
      </c>
      <c r="PG14" s="108">
        <f t="shared" si="64"/>
        <v>6371.8349200047105</v>
      </c>
      <c r="PH14" s="108">
        <f t="shared" si="64"/>
        <v>6308.1165708046638</v>
      </c>
      <c r="PI14" s="108">
        <f t="shared" si="64"/>
        <v>6245.0354050966171</v>
      </c>
      <c r="PJ14" s="108">
        <f t="shared" si="64"/>
        <v>6182.5850510456512</v>
      </c>
      <c r="PK14" s="108">
        <f t="shared" si="64"/>
        <v>6120.7592005351944</v>
      </c>
      <c r="PL14" s="108">
        <f t="shared" si="64"/>
        <v>6059.5516085298423</v>
      </c>
      <c r="PM14" s="108">
        <f t="shared" si="64"/>
        <v>5998.9560924445441</v>
      </c>
      <c r="PN14" s="108">
        <f t="shared" si="64"/>
        <v>5938.9665315200982</v>
      </c>
      <c r="PO14" s="108">
        <f t="shared" si="64"/>
        <v>5879.5768662048968</v>
      </c>
      <c r="PP14" s="108">
        <f t="shared" si="64"/>
        <v>5820.7810975428474</v>
      </c>
      <c r="PQ14" s="108">
        <f t="shared" ref="PQ14:SB14" si="65">PP14*(1+$AX$22)</f>
        <v>5762.573286567419</v>
      </c>
      <c r="PR14" s="108">
        <f t="shared" si="65"/>
        <v>5704.9475537017452</v>
      </c>
      <c r="PS14" s="108">
        <f t="shared" si="65"/>
        <v>5647.8980781647278</v>
      </c>
      <c r="PT14" s="108">
        <f t="shared" si="65"/>
        <v>5591.419097383081</v>
      </c>
      <c r="PU14" s="108">
        <f t="shared" si="65"/>
        <v>5535.50490640925</v>
      </c>
      <c r="PV14" s="108">
        <f t="shared" si="65"/>
        <v>5480.1498573451572</v>
      </c>
      <c r="PW14" s="108">
        <f t="shared" si="65"/>
        <v>5425.3483587717055</v>
      </c>
      <c r="PX14" s="108">
        <f t="shared" si="65"/>
        <v>5371.0948751839887</v>
      </c>
      <c r="PY14" s="108">
        <f t="shared" si="65"/>
        <v>5317.3839264321487</v>
      </c>
      <c r="PZ14" s="108">
        <f t="shared" si="65"/>
        <v>5264.2100871678267</v>
      </c>
      <c r="QA14" s="108">
        <f t="shared" si="65"/>
        <v>5211.5679862961488</v>
      </c>
      <c r="QB14" s="108">
        <f t="shared" si="65"/>
        <v>5159.452306433187</v>
      </c>
      <c r="QC14" s="108">
        <f t="shared" si="65"/>
        <v>5107.8577833688551</v>
      </c>
      <c r="QD14" s="108">
        <f t="shared" si="65"/>
        <v>5056.7792055351665</v>
      </c>
      <c r="QE14" s="108">
        <f t="shared" si="65"/>
        <v>5006.2114134798148</v>
      </c>
      <c r="QF14" s="108">
        <f t="shared" si="65"/>
        <v>4956.1492993450165</v>
      </c>
      <c r="QG14" s="108">
        <f t="shared" si="65"/>
        <v>4906.5878063515665</v>
      </c>
      <c r="QH14" s="108">
        <f t="shared" si="65"/>
        <v>4857.5219282880507</v>
      </c>
      <c r="QI14" s="108">
        <f t="shared" si="65"/>
        <v>4808.9467090051703</v>
      </c>
      <c r="QJ14" s="108">
        <f t="shared" si="65"/>
        <v>4760.8572419151187</v>
      </c>
      <c r="QK14" s="108">
        <f t="shared" si="65"/>
        <v>4713.2486694959671</v>
      </c>
      <c r="QL14" s="108">
        <f t="shared" si="65"/>
        <v>4666.1161828010072</v>
      </c>
      <c r="QM14" s="108">
        <f t="shared" si="65"/>
        <v>4619.4550209729969</v>
      </c>
      <c r="QN14" s="108">
        <f t="shared" si="65"/>
        <v>4573.2604707632672</v>
      </c>
      <c r="QO14" s="108">
        <f t="shared" si="65"/>
        <v>4527.5278660556341</v>
      </c>
      <c r="QP14" s="108">
        <f t="shared" si="65"/>
        <v>4482.2525873950781</v>
      </c>
      <c r="QQ14" s="108">
        <f t="shared" si="65"/>
        <v>4437.4300615211268</v>
      </c>
      <c r="QR14" s="108">
        <f t="shared" si="65"/>
        <v>4393.0557609059151</v>
      </c>
      <c r="QS14" s="108">
        <f t="shared" si="65"/>
        <v>4349.1252032968559</v>
      </c>
      <c r="QT14" s="108">
        <f t="shared" si="65"/>
        <v>4305.633951263887</v>
      </c>
      <c r="QU14" s="108">
        <f t="shared" si="65"/>
        <v>4262.5776117512478</v>
      </c>
      <c r="QV14" s="108">
        <f t="shared" si="65"/>
        <v>4219.9518356337348</v>
      </c>
      <c r="QW14" s="108">
        <f t="shared" si="65"/>
        <v>4177.7523172773972</v>
      </c>
      <c r="QX14" s="108">
        <f t="shared" si="65"/>
        <v>4135.9747941046235</v>
      </c>
      <c r="QY14" s="108">
        <f t="shared" si="65"/>
        <v>4094.6150461635771</v>
      </c>
      <c r="QZ14" s="108">
        <f t="shared" si="65"/>
        <v>4053.6688957019414</v>
      </c>
      <c r="RA14" s="108">
        <f t="shared" si="65"/>
        <v>4013.1322067449219</v>
      </c>
      <c r="RB14" s="108">
        <f t="shared" si="65"/>
        <v>3973.0008846774726</v>
      </c>
      <c r="RC14" s="108">
        <f t="shared" si="65"/>
        <v>3933.2708758306981</v>
      </c>
      <c r="RD14" s="108">
        <f t="shared" si="65"/>
        <v>3893.938167072391</v>
      </c>
      <c r="RE14" s="108">
        <f t="shared" si="65"/>
        <v>3854.9987854016672</v>
      </c>
      <c r="RF14" s="108">
        <f t="shared" si="65"/>
        <v>3816.4487975476504</v>
      </c>
      <c r="RG14" s="108">
        <f t="shared" si="65"/>
        <v>3778.2843095721737</v>
      </c>
      <c r="RH14" s="108">
        <f t="shared" si="65"/>
        <v>3740.5014664764522</v>
      </c>
      <c r="RI14" s="108">
        <f t="shared" si="65"/>
        <v>3703.0964518116875</v>
      </c>
      <c r="RJ14" s="108">
        <f t="shared" si="65"/>
        <v>3666.0654872935706</v>
      </c>
      <c r="RK14" s="108">
        <f t="shared" si="65"/>
        <v>3629.4048324206351</v>
      </c>
      <c r="RL14" s="108">
        <f t="shared" si="65"/>
        <v>3593.1107840964287</v>
      </c>
      <c r="RM14" s="108">
        <f t="shared" si="65"/>
        <v>3557.1796762554645</v>
      </c>
      <c r="RN14" s="108">
        <f t="shared" si="65"/>
        <v>3521.6078794929099</v>
      </c>
      <c r="RO14" s="108">
        <f t="shared" si="65"/>
        <v>3486.3918006979807</v>
      </c>
      <c r="RP14" s="108">
        <f t="shared" si="65"/>
        <v>3451.5278826910007</v>
      </c>
      <c r="RQ14" s="108">
        <f t="shared" si="65"/>
        <v>3417.0126038640906</v>
      </c>
      <c r="RR14" s="108">
        <f t="shared" si="65"/>
        <v>3382.8424778254498</v>
      </c>
      <c r="RS14" s="108">
        <f t="shared" si="65"/>
        <v>3349.0140530471954</v>
      </c>
      <c r="RT14" s="108">
        <f t="shared" si="65"/>
        <v>3315.5239125167236</v>
      </c>
      <c r="RU14" s="108">
        <f t="shared" si="65"/>
        <v>3282.3686733915565</v>
      </c>
      <c r="RV14" s="108">
        <f t="shared" si="65"/>
        <v>3249.5449866576409</v>
      </c>
      <c r="RW14" s="108">
        <f t="shared" si="65"/>
        <v>3217.0495367910644</v>
      </c>
      <c r="RX14" s="108">
        <f t="shared" si="65"/>
        <v>3184.8790414231539</v>
      </c>
      <c r="RY14" s="108">
        <f t="shared" si="65"/>
        <v>3153.0302510089223</v>
      </c>
      <c r="RZ14" s="108">
        <f t="shared" si="65"/>
        <v>3121.499948498833</v>
      </c>
      <c r="SA14" s="108">
        <f t="shared" si="65"/>
        <v>3090.2849490138447</v>
      </c>
      <c r="SB14" s="108">
        <f t="shared" si="65"/>
        <v>3059.3820995237061</v>
      </c>
      <c r="SC14" s="108">
        <f t="shared" ref="SC14:UN14" si="66">SB14*(1+$AX$22)</f>
        <v>3028.7882785284692</v>
      </c>
      <c r="SD14" s="108">
        <f t="shared" si="66"/>
        <v>2998.5003957431845</v>
      </c>
      <c r="SE14" s="108">
        <f t="shared" si="66"/>
        <v>2968.5153917857529</v>
      </c>
      <c r="SF14" s="108">
        <f t="shared" si="66"/>
        <v>2938.8302378678954</v>
      </c>
      <c r="SG14" s="108">
        <f t="shared" si="66"/>
        <v>2909.4419354892166</v>
      </c>
      <c r="SH14" s="108">
        <f t="shared" si="66"/>
        <v>2880.3475161343245</v>
      </c>
      <c r="SI14" s="108">
        <f t="shared" si="66"/>
        <v>2851.5440409729813</v>
      </c>
      <c r="SJ14" s="108">
        <f t="shared" si="66"/>
        <v>2823.0286005632515</v>
      </c>
      <c r="SK14" s="108">
        <f t="shared" si="66"/>
        <v>2794.7983145576191</v>
      </c>
      <c r="SL14" s="108">
        <f t="shared" si="66"/>
        <v>2766.850331412043</v>
      </c>
      <c r="SM14" s="108">
        <f t="shared" si="66"/>
        <v>2739.1818280979228</v>
      </c>
      <c r="SN14" s="108">
        <f t="shared" si="66"/>
        <v>2711.7900098169434</v>
      </c>
      <c r="SO14" s="108">
        <f t="shared" si="66"/>
        <v>2684.6721097187738</v>
      </c>
      <c r="SP14" s="108">
        <f t="shared" si="66"/>
        <v>2657.8253886215862</v>
      </c>
      <c r="SQ14" s="108">
        <f t="shared" si="66"/>
        <v>2631.2471347353703</v>
      </c>
      <c r="SR14" s="108">
        <f t="shared" si="66"/>
        <v>2604.9346633880164</v>
      </c>
      <c r="SS14" s="108">
        <f t="shared" si="66"/>
        <v>2578.8853167541361</v>
      </c>
      <c r="ST14" s="108">
        <f t="shared" si="66"/>
        <v>2553.0964635865948</v>
      </c>
      <c r="SU14" s="108">
        <f t="shared" si="66"/>
        <v>2527.5654989507289</v>
      </c>
      <c r="SV14" s="108">
        <f t="shared" si="66"/>
        <v>2502.2898439612213</v>
      </c>
      <c r="SW14" s="108">
        <f t="shared" si="66"/>
        <v>2477.2669455216092</v>
      </c>
      <c r="SX14" s="108">
        <f t="shared" si="66"/>
        <v>2452.494276066393</v>
      </c>
      <c r="SY14" s="108">
        <f t="shared" si="66"/>
        <v>2427.9693333057289</v>
      </c>
      <c r="SZ14" s="108">
        <f t="shared" si="66"/>
        <v>2403.6896399726716</v>
      </c>
      <c r="TA14" s="108">
        <f t="shared" si="66"/>
        <v>2379.6527435729449</v>
      </c>
      <c r="TB14" s="108">
        <f t="shared" si="66"/>
        <v>2355.8562161372156</v>
      </c>
      <c r="TC14" s="108">
        <f t="shared" si="66"/>
        <v>2332.2976539758433</v>
      </c>
      <c r="TD14" s="108">
        <f t="shared" si="66"/>
        <v>2308.9746774360847</v>
      </c>
      <c r="TE14" s="108">
        <f t="shared" si="66"/>
        <v>2285.884930661724</v>
      </c>
      <c r="TF14" s="108">
        <f t="shared" si="66"/>
        <v>2263.0260813551067</v>
      </c>
      <c r="TG14" s="108">
        <f t="shared" si="66"/>
        <v>2240.3958205415556</v>
      </c>
      <c r="TH14" s="108">
        <f t="shared" si="66"/>
        <v>2217.99186233614</v>
      </c>
      <c r="TI14" s="108">
        <f t="shared" si="66"/>
        <v>2195.8119437127784</v>
      </c>
      <c r="TJ14" s="108">
        <f t="shared" si="66"/>
        <v>2173.8538242756508</v>
      </c>
      <c r="TK14" s="108">
        <f t="shared" si="66"/>
        <v>2152.1152860328943</v>
      </c>
      <c r="TL14" s="108">
        <f t="shared" si="66"/>
        <v>2130.5941331725653</v>
      </c>
      <c r="TM14" s="108">
        <f t="shared" si="66"/>
        <v>2109.2881918408398</v>
      </c>
      <c r="TN14" s="108">
        <f t="shared" si="66"/>
        <v>2088.1953099224315</v>
      </c>
      <c r="TO14" s="108">
        <f t="shared" si="66"/>
        <v>2067.3133568232074</v>
      </c>
      <c r="TP14" s="108">
        <f t="shared" si="66"/>
        <v>2046.6402232549754</v>
      </c>
      <c r="TQ14" s="108">
        <f t="shared" si="66"/>
        <v>2026.1738210224255</v>
      </c>
      <c r="TR14" s="108">
        <f t="shared" si="66"/>
        <v>2005.9120828122013</v>
      </c>
      <c r="TS14" s="108">
        <f t="shared" si="66"/>
        <v>1985.8529619840792</v>
      </c>
      <c r="TT14" s="108">
        <f t="shared" si="66"/>
        <v>1965.9944323642385</v>
      </c>
      <c r="TU14" s="108">
        <f t="shared" si="66"/>
        <v>1946.3344880405962</v>
      </c>
      <c r="TV14" s="108">
        <f t="shared" si="66"/>
        <v>1926.8711431601903</v>
      </c>
      <c r="TW14" s="108">
        <f t="shared" si="66"/>
        <v>1907.6024317285883</v>
      </c>
      <c r="TX14" s="108">
        <f t="shared" si="66"/>
        <v>1888.5264074113024</v>
      </c>
      <c r="TY14" s="108">
        <f t="shared" si="66"/>
        <v>1869.6411433371893</v>
      </c>
      <c r="TZ14" s="108">
        <f t="shared" si="66"/>
        <v>1850.9447319038175</v>
      </c>
      <c r="UA14" s="108">
        <f t="shared" si="66"/>
        <v>1832.4352845847793</v>
      </c>
      <c r="UB14" s="108">
        <f t="shared" si="66"/>
        <v>1814.1109317389314</v>
      </c>
      <c r="UC14" s="108">
        <f t="shared" si="66"/>
        <v>1795.9698224215422</v>
      </c>
      <c r="UD14" s="108">
        <f t="shared" si="66"/>
        <v>1778.0101241973268</v>
      </c>
      <c r="UE14" s="108">
        <f t="shared" si="66"/>
        <v>1760.2300229553537</v>
      </c>
      <c r="UF14" s="108">
        <f t="shared" si="66"/>
        <v>1742.6277227258001</v>
      </c>
      <c r="UG14" s="108">
        <f t="shared" si="66"/>
        <v>1725.2014454985422</v>
      </c>
      <c r="UH14" s="108">
        <f t="shared" si="66"/>
        <v>1707.9494310435568</v>
      </c>
      <c r="UI14" s="108">
        <f t="shared" si="66"/>
        <v>1690.8699367331212</v>
      </c>
      <c r="UJ14" s="108">
        <f t="shared" si="66"/>
        <v>1673.9612373657899</v>
      </c>
      <c r="UK14" s="108">
        <f t="shared" si="66"/>
        <v>1657.2216249921319</v>
      </c>
      <c r="UL14" s="108">
        <f t="shared" si="66"/>
        <v>1640.6494087422104</v>
      </c>
      <c r="UM14" s="108">
        <f t="shared" si="66"/>
        <v>1624.2429146547884</v>
      </c>
      <c r="UN14" s="108">
        <f t="shared" si="66"/>
        <v>1608.0004855082404</v>
      </c>
      <c r="UO14" s="108">
        <f t="shared" ref="UO14:WZ14" si="67">UN14*(1+$AX$22)</f>
        <v>1591.9204806531579</v>
      </c>
      <c r="UP14" s="108">
        <f t="shared" si="67"/>
        <v>1576.0012758466264</v>
      </c>
      <c r="UQ14" s="108">
        <f t="shared" si="67"/>
        <v>1560.2412630881602</v>
      </c>
      <c r="UR14" s="108">
        <f t="shared" si="67"/>
        <v>1544.6388504572785</v>
      </c>
      <c r="US14" s="108">
        <f t="shared" si="67"/>
        <v>1529.1924619527058</v>
      </c>
      <c r="UT14" s="108">
        <f t="shared" si="67"/>
        <v>1513.9005373331788</v>
      </c>
      <c r="UU14" s="108">
        <f t="shared" si="67"/>
        <v>1498.7615319598469</v>
      </c>
      <c r="UV14" s="108">
        <f t="shared" si="67"/>
        <v>1483.7739166402484</v>
      </c>
      <c r="UW14" s="108">
        <f t="shared" si="67"/>
        <v>1468.9361774738459</v>
      </c>
      <c r="UX14" s="108">
        <f t="shared" si="67"/>
        <v>1454.2468156991074</v>
      </c>
      <c r="UY14" s="108">
        <f t="shared" si="67"/>
        <v>1439.7043475421162</v>
      </c>
      <c r="UZ14" s="108">
        <f t="shared" si="67"/>
        <v>1425.307304066695</v>
      </c>
      <c r="VA14" s="108">
        <f t="shared" si="67"/>
        <v>1411.054231026028</v>
      </c>
      <c r="VB14" s="108">
        <f t="shared" si="67"/>
        <v>1396.9436887157676</v>
      </c>
      <c r="VC14" s="108">
        <f t="shared" si="67"/>
        <v>1382.97425182861</v>
      </c>
      <c r="VD14" s="108">
        <f t="shared" si="67"/>
        <v>1369.1445093103239</v>
      </c>
      <c r="VE14" s="108">
        <f t="shared" si="67"/>
        <v>1355.4530642172206</v>
      </c>
      <c r="VF14" s="108">
        <f t="shared" si="67"/>
        <v>1341.8985335750483</v>
      </c>
      <c r="VG14" s="108">
        <f t="shared" si="67"/>
        <v>1328.4795482392979</v>
      </c>
      <c r="VH14" s="108">
        <f t="shared" si="67"/>
        <v>1315.1947527569048</v>
      </c>
      <c r="VI14" s="108">
        <f t="shared" si="67"/>
        <v>1302.0428052293357</v>
      </c>
      <c r="VJ14" s="108">
        <f t="shared" si="67"/>
        <v>1289.0223771770422</v>
      </c>
      <c r="VK14" s="108">
        <f t="shared" si="67"/>
        <v>1276.1321534052718</v>
      </c>
      <c r="VL14" s="108">
        <f t="shared" si="67"/>
        <v>1263.370831871219</v>
      </c>
      <c r="VM14" s="108">
        <f t="shared" si="67"/>
        <v>1250.7371235525068</v>
      </c>
      <c r="VN14" s="108">
        <f t="shared" si="67"/>
        <v>1238.2297523169816</v>
      </c>
      <c r="VO14" s="108">
        <f t="shared" si="67"/>
        <v>1225.8474547938117</v>
      </c>
      <c r="VP14" s="108">
        <f t="shared" si="67"/>
        <v>1213.5889802458737</v>
      </c>
      <c r="VQ14" s="108">
        <f t="shared" si="67"/>
        <v>1201.453090443415</v>
      </c>
      <c r="VR14" s="108">
        <f t="shared" si="67"/>
        <v>1189.4385595389808</v>
      </c>
      <c r="VS14" s="108">
        <f t="shared" si="67"/>
        <v>1177.544173943591</v>
      </c>
      <c r="VT14" s="108">
        <f t="shared" si="67"/>
        <v>1165.768732204155</v>
      </c>
      <c r="VU14" s="108">
        <f t="shared" si="67"/>
        <v>1154.1110448821134</v>
      </c>
      <c r="VV14" s="108">
        <f t="shared" si="67"/>
        <v>1142.5699344332922</v>
      </c>
      <c r="VW14" s="108">
        <f t="shared" si="67"/>
        <v>1131.1442350889592</v>
      </c>
      <c r="VX14" s="108">
        <f t="shared" si="67"/>
        <v>1119.8327927380697</v>
      </c>
      <c r="VY14" s="108">
        <f t="shared" si="67"/>
        <v>1108.634464810689</v>
      </c>
      <c r="VZ14" s="108">
        <f t="shared" si="67"/>
        <v>1097.5481201625821</v>
      </c>
      <c r="WA14" s="108">
        <f t="shared" si="67"/>
        <v>1086.5726389609563</v>
      </c>
      <c r="WB14" s="108">
        <f t="shared" si="67"/>
        <v>1075.7069125713467</v>
      </c>
      <c r="WC14" s="108">
        <f t="shared" si="67"/>
        <v>1064.9498434456332</v>
      </c>
      <c r="WD14" s="108">
        <f t="shared" si="67"/>
        <v>1054.3003450111769</v>
      </c>
      <c r="WE14" s="108">
        <f t="shared" si="67"/>
        <v>1043.757341561065</v>
      </c>
      <c r="WF14" s="108">
        <f t="shared" si="67"/>
        <v>1033.3197681454544</v>
      </c>
      <c r="WG14" s="108">
        <f t="shared" si="67"/>
        <v>1022.9865704639999</v>
      </c>
      <c r="WH14" s="108">
        <f t="shared" si="67"/>
        <v>1012.7567047593599</v>
      </c>
      <c r="WI14" s="108">
        <f t="shared" si="67"/>
        <v>1002.6291377117662</v>
      </c>
      <c r="WJ14" s="108">
        <f t="shared" si="67"/>
        <v>992.60284633464858</v>
      </c>
      <c r="WK14" s="108">
        <f t="shared" si="67"/>
        <v>982.67681787130209</v>
      </c>
      <c r="WL14" s="108">
        <f t="shared" si="67"/>
        <v>972.8500496925891</v>
      </c>
      <c r="WM14" s="108">
        <f t="shared" si="67"/>
        <v>963.12154919566319</v>
      </c>
      <c r="WN14" s="108">
        <f t="shared" si="67"/>
        <v>953.4903337037066</v>
      </c>
      <c r="WO14" s="108">
        <f t="shared" si="67"/>
        <v>943.95543036666948</v>
      </c>
      <c r="WP14" s="108">
        <f t="shared" si="67"/>
        <v>934.51587606300279</v>
      </c>
      <c r="WQ14" s="108">
        <f t="shared" si="67"/>
        <v>925.17071730237274</v>
      </c>
      <c r="WR14" s="108">
        <f t="shared" si="67"/>
        <v>915.91901012934898</v>
      </c>
      <c r="WS14" s="108">
        <f t="shared" si="67"/>
        <v>906.75982002805551</v>
      </c>
      <c r="WT14" s="108">
        <f t="shared" si="67"/>
        <v>897.69222182777492</v>
      </c>
      <c r="WU14" s="108">
        <f t="shared" si="67"/>
        <v>888.71529960949715</v>
      </c>
      <c r="WV14" s="108">
        <f t="shared" si="67"/>
        <v>879.82814661340217</v>
      </c>
      <c r="WW14" s="108">
        <f t="shared" si="67"/>
        <v>871.02986514726808</v>
      </c>
      <c r="WX14" s="108">
        <f t="shared" si="67"/>
        <v>862.31956649579536</v>
      </c>
      <c r="WY14" s="108">
        <f t="shared" si="67"/>
        <v>853.6963708308374</v>
      </c>
      <c r="WZ14" s="108">
        <f t="shared" si="67"/>
        <v>845.15940712252905</v>
      </c>
      <c r="XA14" s="108">
        <f t="shared" ref="XA14:YT14" si="68">WZ14*(1+$AX$22)</f>
        <v>836.70781305130379</v>
      </c>
      <c r="XB14" s="108">
        <f t="shared" si="68"/>
        <v>828.34073492079074</v>
      </c>
      <c r="XC14" s="108">
        <f t="shared" si="68"/>
        <v>820.05732757158285</v>
      </c>
      <c r="XD14" s="108">
        <f t="shared" si="68"/>
        <v>811.85675429586706</v>
      </c>
      <c r="XE14" s="108">
        <f t="shared" si="68"/>
        <v>803.7381867529084</v>
      </c>
      <c r="XF14" s="108">
        <f t="shared" si="68"/>
        <v>795.70080488537928</v>
      </c>
      <c r="XG14" s="108">
        <f t="shared" si="68"/>
        <v>787.74379683652546</v>
      </c>
      <c r="XH14" s="108">
        <f t="shared" si="68"/>
        <v>779.86635886816021</v>
      </c>
      <c r="XI14" s="108">
        <f t="shared" si="68"/>
        <v>772.06769527947858</v>
      </c>
      <c r="XJ14" s="108">
        <f t="shared" si="68"/>
        <v>764.34701832668384</v>
      </c>
      <c r="XK14" s="108">
        <f t="shared" si="68"/>
        <v>756.70354814341704</v>
      </c>
      <c r="XL14" s="108">
        <f t="shared" si="68"/>
        <v>749.13651266198281</v>
      </c>
      <c r="XM14" s="108">
        <f t="shared" si="68"/>
        <v>741.64514753536298</v>
      </c>
      <c r="XN14" s="108">
        <f t="shared" si="68"/>
        <v>734.22869606000938</v>
      </c>
      <c r="XO14" s="108">
        <f t="shared" si="68"/>
        <v>726.88640909940932</v>
      </c>
      <c r="XP14" s="108">
        <f t="shared" si="68"/>
        <v>719.61754500841528</v>
      </c>
      <c r="XQ14" s="108">
        <f t="shared" si="68"/>
        <v>712.42136955833109</v>
      </c>
      <c r="XR14" s="108">
        <f t="shared" si="68"/>
        <v>705.29715586274779</v>
      </c>
      <c r="XS14" s="108">
        <f t="shared" si="68"/>
        <v>698.24418430412027</v>
      </c>
      <c r="XT14" s="108">
        <f t="shared" si="68"/>
        <v>691.26174246107905</v>
      </c>
      <c r="XU14" s="108">
        <f t="shared" si="68"/>
        <v>684.34912503646831</v>
      </c>
      <c r="XV14" s="108">
        <f t="shared" si="68"/>
        <v>677.50563378610366</v>
      </c>
      <c r="XW14" s="108">
        <f t="shared" si="68"/>
        <v>670.73057744824257</v>
      </c>
      <c r="XX14" s="108">
        <f t="shared" si="68"/>
        <v>664.02327167376018</v>
      </c>
      <c r="XY14" s="108">
        <f t="shared" si="68"/>
        <v>657.38303895702256</v>
      </c>
      <c r="XZ14" s="108">
        <f t="shared" si="68"/>
        <v>650.80920856745229</v>
      </c>
      <c r="YA14" s="108">
        <f t="shared" si="68"/>
        <v>644.30111648177774</v>
      </c>
      <c r="YB14" s="108">
        <f t="shared" si="68"/>
        <v>637.85810531695995</v>
      </c>
      <c r="YC14" s="108">
        <f t="shared" si="68"/>
        <v>631.47952426379038</v>
      </c>
      <c r="YD14" s="108">
        <f t="shared" si="68"/>
        <v>625.16472902115243</v>
      </c>
      <c r="YE14" s="108">
        <f t="shared" si="68"/>
        <v>618.91308173094092</v>
      </c>
      <c r="YF14" s="108">
        <f t="shared" si="68"/>
        <v>612.72395091363148</v>
      </c>
      <c r="YG14" s="108">
        <f t="shared" si="68"/>
        <v>606.59671140449518</v>
      </c>
      <c r="YH14" s="108">
        <f t="shared" si="68"/>
        <v>600.53074429045023</v>
      </c>
      <c r="YI14" s="108">
        <f t="shared" si="68"/>
        <v>594.52543684754573</v>
      </c>
      <c r="YJ14" s="108">
        <f t="shared" si="68"/>
        <v>588.58018247907023</v>
      </c>
      <c r="YK14" s="108">
        <f t="shared" si="68"/>
        <v>582.69438065427948</v>
      </c>
      <c r="YL14" s="108">
        <f t="shared" si="68"/>
        <v>576.86743684773671</v>
      </c>
      <c r="YM14" s="108">
        <f t="shared" si="68"/>
        <v>571.09876247925934</v>
      </c>
      <c r="YN14" s="108">
        <f t="shared" si="68"/>
        <v>565.38777485446678</v>
      </c>
      <c r="YO14" s="108">
        <f t="shared" si="68"/>
        <v>559.7338971059221</v>
      </c>
      <c r="YP14" s="108">
        <f t="shared" si="68"/>
        <v>554.13655813486287</v>
      </c>
      <c r="YQ14" s="108">
        <f t="shared" si="68"/>
        <v>548.59519255351427</v>
      </c>
      <c r="YR14" s="108">
        <f t="shared" si="68"/>
        <v>543.10924062797915</v>
      </c>
      <c r="YS14" s="108">
        <f t="shared" si="68"/>
        <v>537.6781482216993</v>
      </c>
      <c r="YT14" s="108">
        <f t="shared" si="68"/>
        <v>532.30136673948232</v>
      </c>
    </row>
    <row r="15" spans="1:670" s="98" customFormat="1" x14ac:dyDescent="0.25">
      <c r="B15" s="98" t="s">
        <v>477</v>
      </c>
      <c r="C15" s="98">
        <v>12781</v>
      </c>
      <c r="D15" s="98">
        <v>12668</v>
      </c>
      <c r="E15" s="98">
        <v>12541</v>
      </c>
      <c r="F15" s="98">
        <v>12488</v>
      </c>
      <c r="G15" s="98">
        <v>12415</v>
      </c>
      <c r="H15" s="98">
        <v>12343</v>
      </c>
      <c r="I15" s="98">
        <v>12264</v>
      </c>
      <c r="J15" s="98">
        <v>12228</v>
      </c>
      <c r="K15" s="98">
        <f>5820+856+5459</f>
        <v>12135</v>
      </c>
      <c r="L15" s="98">
        <f>5817+847+5430</f>
        <v>12094</v>
      </c>
      <c r="M15" s="98">
        <f>5818+5407+842</f>
        <v>12067</v>
      </c>
      <c r="N15" s="98">
        <v>12073</v>
      </c>
      <c r="X15" s="98">
        <v>12849</v>
      </c>
      <c r="Y15" s="98">
        <v>12460</v>
      </c>
      <c r="Z15" s="98">
        <v>12211</v>
      </c>
      <c r="AA15" s="98">
        <f>Z15*0.98</f>
        <v>11966.78</v>
      </c>
      <c r="AB15" s="98">
        <f>AA15*0.98</f>
        <v>11727.4444</v>
      </c>
      <c r="AC15" s="98">
        <f t="shared" ref="AC15:AK15" si="69">AB15*0.98</f>
        <v>11492.895512000001</v>
      </c>
      <c r="AD15" s="98">
        <f t="shared" si="69"/>
        <v>11263.037601760001</v>
      </c>
      <c r="AE15" s="98">
        <f t="shared" si="69"/>
        <v>11037.776849724802</v>
      </c>
      <c r="AF15" s="98">
        <f t="shared" si="69"/>
        <v>10817.021312730305</v>
      </c>
      <c r="AG15" s="98">
        <f t="shared" si="69"/>
        <v>10600.680886475699</v>
      </c>
      <c r="AH15" s="98">
        <f t="shared" si="69"/>
        <v>10388.667268746185</v>
      </c>
      <c r="AI15" s="98">
        <f t="shared" si="69"/>
        <v>10180.893923371261</v>
      </c>
      <c r="AJ15" s="98">
        <f t="shared" si="69"/>
        <v>9977.276044903836</v>
      </c>
      <c r="AK15" s="98">
        <f t="shared" si="69"/>
        <v>9777.7305240057594</v>
      </c>
      <c r="AL15" s="98">
        <f t="shared" ref="AL15:AU15" si="70">AK15*0.98</f>
        <v>9582.1759135256434</v>
      </c>
      <c r="AM15" s="98">
        <f t="shared" si="70"/>
        <v>9390.5323952551298</v>
      </c>
      <c r="AN15" s="98">
        <f t="shared" si="70"/>
        <v>9202.7217473500277</v>
      </c>
      <c r="AO15" s="98">
        <f t="shared" si="70"/>
        <v>9018.6673124030276</v>
      </c>
      <c r="AP15" s="98">
        <f t="shared" si="70"/>
        <v>8838.2939661549663</v>
      </c>
      <c r="AQ15" s="98">
        <f t="shared" si="70"/>
        <v>8661.5280868318659</v>
      </c>
      <c r="AR15" s="98">
        <f t="shared" si="70"/>
        <v>8488.2975250952277</v>
      </c>
      <c r="AS15" s="98">
        <f t="shared" si="70"/>
        <v>8318.5315745933221</v>
      </c>
      <c r="AT15" s="98">
        <f t="shared" si="70"/>
        <v>8152.1609431014558</v>
      </c>
      <c r="AU15" s="98">
        <f t="shared" si="70"/>
        <v>7989.1177242394269</v>
      </c>
    </row>
    <row r="16" spans="1:670" s="96" customFormat="1" x14ac:dyDescent="0.25">
      <c r="B16" s="96" t="s">
        <v>31</v>
      </c>
      <c r="C16" s="109">
        <f t="shared" ref="C16:L16" si="71">C14/C15</f>
        <v>1.1776073859635396</v>
      </c>
      <c r="D16" s="109">
        <f t="shared" si="71"/>
        <v>1.4499526365645721</v>
      </c>
      <c r="E16" s="109">
        <f t="shared" si="71"/>
        <v>1.5699704967705925</v>
      </c>
      <c r="F16" s="109">
        <f t="shared" si="71"/>
        <v>1.6565502882767458</v>
      </c>
      <c r="G16" s="109">
        <f t="shared" si="71"/>
        <v>1.9059202577527186</v>
      </c>
      <c r="H16" s="109">
        <f t="shared" si="71"/>
        <v>1.9135542412703557</v>
      </c>
      <c r="I16" s="109">
        <f t="shared" si="71"/>
        <v>2.144569471624266</v>
      </c>
      <c r="J16" s="109">
        <f t="shared" si="71"/>
        <v>2.1701014066077855</v>
      </c>
      <c r="K16" s="109">
        <f t="shared" si="71"/>
        <v>2.8463123197362998</v>
      </c>
      <c r="L16" s="109">
        <f t="shared" si="71"/>
        <v>2.3314040019844553</v>
      </c>
      <c r="M16" s="109">
        <f t="shared" ref="M16:N16" si="72">M14/M15</f>
        <v>2.898732079224331</v>
      </c>
      <c r="N16" s="109">
        <f t="shared" si="72"/>
        <v>2.8538888428725255</v>
      </c>
      <c r="O16" s="109"/>
      <c r="P16" s="109"/>
      <c r="Q16" s="109"/>
      <c r="R16" s="109"/>
      <c r="S16" s="109"/>
      <c r="T16" s="109"/>
      <c r="U16" s="109"/>
      <c r="V16" s="109"/>
      <c r="X16" s="110">
        <f t="shared" ref="X16:Y16" si="73">X14/X15</f>
        <v>4.6674449373492104</v>
      </c>
      <c r="Y16" s="110">
        <f t="shared" si="73"/>
        <v>5.9225521669341896</v>
      </c>
      <c r="Z16" s="110">
        <f>Z14/Z15</f>
        <v>8.199000900827123</v>
      </c>
      <c r="AA16" s="110">
        <f t="shared" ref="AA16:AC16" si="74">AA14/AA15</f>
        <v>11.044742194642167</v>
      </c>
      <c r="AB16" s="110">
        <f t="shared" si="74"/>
        <v>10.80712861874664</v>
      </c>
      <c r="AC16" s="110">
        <f t="shared" si="74"/>
        <v>12.17056222724319</v>
      </c>
      <c r="AD16" s="110">
        <f t="shared" ref="AD16" si="75">AD14/AD15</f>
        <v>13.143720602871541</v>
      </c>
      <c r="AE16" s="110">
        <f t="shared" ref="AE16" si="76">AE14/AE15</f>
        <v>14.330150855580637</v>
      </c>
      <c r="AF16" s="110">
        <f t="shared" ref="AF16" si="77">AF14/AF15</f>
        <v>15.78907281243788</v>
      </c>
      <c r="AG16" s="110">
        <f t="shared" ref="AG16" si="78">AG14/AG15</f>
        <v>16.873344357762701</v>
      </c>
      <c r="AH16" s="110">
        <f t="shared" ref="AH16" si="79">AH14/AH15</f>
        <v>18.084297273374013</v>
      </c>
      <c r="AI16" s="110">
        <f t="shared" ref="AI16" si="80">AI14/AI15</f>
        <v>19.439611615952792</v>
      </c>
      <c r="AJ16" s="110">
        <f t="shared" ref="AJ16:AK16" si="81">AJ14/AJ15</f>
        <v>21.674987700417038</v>
      </c>
      <c r="AK16" s="110">
        <f t="shared" si="81"/>
        <v>23.398691177548915</v>
      </c>
      <c r="AL16" s="110">
        <f t="shared" ref="AL16" si="82">AL14/AL15</f>
        <v>24.353739797040706</v>
      </c>
      <c r="AM16" s="110">
        <f t="shared" ref="AM16" si="83">AM14/AM15</f>
        <v>25.347769992838288</v>
      </c>
      <c r="AN16" s="110">
        <f t="shared" ref="AN16" si="84">AN14/AN15</f>
        <v>26.382372849688831</v>
      </c>
      <c r="AO16" s="110">
        <f t="shared" ref="AO16" si="85">AO14/AO15</f>
        <v>27.45920439457409</v>
      </c>
      <c r="AP16" s="110">
        <f t="shared" ref="AP16" si="86">AP14/AP15</f>
        <v>28.579988247413851</v>
      </c>
      <c r="AQ16" s="110">
        <f t="shared" ref="AQ16" si="87">AQ14/AQ15</f>
        <v>29.746518379961358</v>
      </c>
      <c r="AR16" s="110">
        <f t="shared" ref="AR16" si="88">AR14/AR15</f>
        <v>30.960661987306725</v>
      </c>
      <c r="AS16" s="110">
        <f t="shared" ref="AS16" si="89">AS14/AS15</f>
        <v>32.224362476584552</v>
      </c>
      <c r="AT16" s="110">
        <f t="shared" ref="AT16" si="90">AT14/AT15</f>
        <v>33.539642577669639</v>
      </c>
      <c r="AU16" s="110">
        <f t="shared" ref="AU16" si="91">AU14/AU15</f>
        <v>34.908607580839828</v>
      </c>
    </row>
    <row r="17" spans="2:50" x14ac:dyDescent="0.25">
      <c r="Z17" s="122"/>
    </row>
    <row r="20" spans="2:50" x14ac:dyDescent="0.25">
      <c r="B20" s="93" t="s">
        <v>387</v>
      </c>
      <c r="C20" s="102">
        <f t="shared" ref="C20:J20" si="92">C5/C3</f>
        <v>0.56135096794531936</v>
      </c>
      <c r="D20" s="102">
        <f t="shared" si="92"/>
        <v>0.5721945204010509</v>
      </c>
      <c r="E20" s="102">
        <f t="shared" si="92"/>
        <v>0.56672708069836886</v>
      </c>
      <c r="F20" s="102">
        <f t="shared" si="92"/>
        <v>0.56465067778936395</v>
      </c>
      <c r="G20" s="102">
        <f t="shared" si="92"/>
        <v>0.58142018152696207</v>
      </c>
      <c r="H20" s="102">
        <f t="shared" si="92"/>
        <v>0.58099879634655782</v>
      </c>
      <c r="I20" s="102">
        <f t="shared" si="92"/>
        <v>0.58678116644763678</v>
      </c>
      <c r="J20" s="102">
        <f t="shared" si="92"/>
        <v>0.5790046543449191</v>
      </c>
      <c r="K20" s="102">
        <f t="shared" ref="K20:V20" si="93">K5/K3</f>
        <v>0.5970365937451515</v>
      </c>
      <c r="L20" s="102">
        <f t="shared" si="93"/>
        <v>0.59514871199236741</v>
      </c>
      <c r="M20" s="102">
        <f t="shared" si="93"/>
        <v>0.59579270318331934</v>
      </c>
      <c r="N20" s="102">
        <f t="shared" si="93"/>
        <v>0.59793723864075621</v>
      </c>
      <c r="O20" s="102">
        <f t="shared" si="93"/>
        <v>0.59793723864075621</v>
      </c>
      <c r="P20" s="102">
        <f t="shared" si="93"/>
        <v>0.59793723864075621</v>
      </c>
      <c r="Q20" s="102">
        <f t="shared" si="93"/>
        <v>0.59793723864075621</v>
      </c>
      <c r="R20" s="102">
        <f t="shared" si="93"/>
        <v>0.59793723864075621</v>
      </c>
      <c r="S20" s="102">
        <f t="shared" si="93"/>
        <v>0.59793723864075621</v>
      </c>
      <c r="T20" s="102">
        <f t="shared" si="93"/>
        <v>0.59793723864075621</v>
      </c>
      <c r="U20" s="102">
        <f t="shared" si="93"/>
        <v>0.59793723864075621</v>
      </c>
      <c r="V20" s="102">
        <f t="shared" si="93"/>
        <v>0.59793723864075621</v>
      </c>
      <c r="X20" s="102">
        <f t="shared" ref="X20:Y20" si="94">X5/X3</f>
        <v>0.55379442503783116</v>
      </c>
      <c r="Y20" s="102">
        <f t="shared" si="94"/>
        <v>0.56625047984020505</v>
      </c>
      <c r="Z20" s="102">
        <f>Z5/Z3</f>
        <v>0.58200435406179107</v>
      </c>
      <c r="AA20" s="102">
        <f t="shared" ref="AA20:AB20" si="95">AA5/AA3</f>
        <v>0.59652315086039975</v>
      </c>
      <c r="AB20" s="102">
        <f t="shared" si="95"/>
        <v>0.59793723864075632</v>
      </c>
      <c r="AC20" s="102">
        <f t="shared" ref="AC20" si="96">AC5/AC3</f>
        <v>0.59793723864075621</v>
      </c>
    </row>
    <row r="21" spans="2:50" x14ac:dyDescent="0.25">
      <c r="B21" s="93" t="s">
        <v>390</v>
      </c>
      <c r="C21" s="102">
        <f t="shared" ref="C21:J21" si="97">C10/C3</f>
        <v>0.24954504420594092</v>
      </c>
      <c r="D21" s="102">
        <f t="shared" si="97"/>
        <v>0.29271888906761029</v>
      </c>
      <c r="E21" s="102">
        <f t="shared" si="97"/>
        <v>0.27829136948613303</v>
      </c>
      <c r="F21" s="102">
        <f t="shared" si="97"/>
        <v>0.27455683003128256</v>
      </c>
      <c r="G21" s="102">
        <f t="shared" si="97"/>
        <v>0.31626913669154072</v>
      </c>
      <c r="H21" s="102">
        <f t="shared" si="97"/>
        <v>0.32362936914398999</v>
      </c>
      <c r="I21" s="102">
        <f t="shared" si="97"/>
        <v>0.32311823084243441</v>
      </c>
      <c r="J21" s="102">
        <f t="shared" si="97"/>
        <v>0.32105650519856122</v>
      </c>
      <c r="K21" s="102">
        <f t="shared" ref="K21:V21" si="98">K10/K3</f>
        <v>0.33918478622248821</v>
      </c>
      <c r="L21" s="102">
        <f t="shared" si="98"/>
        <v>0.32429377359273243</v>
      </c>
      <c r="M21" s="102">
        <f t="shared" si="98"/>
        <v>0.30512184159615424</v>
      </c>
      <c r="N21" s="102">
        <f t="shared" si="98"/>
        <v>0.31568682573707701</v>
      </c>
      <c r="O21" s="102">
        <f t="shared" si="98"/>
        <v>0.31568682573707696</v>
      </c>
      <c r="P21" s="102">
        <f t="shared" si="98"/>
        <v>0.31568682573707701</v>
      </c>
      <c r="Q21" s="102">
        <f t="shared" si="98"/>
        <v>0.31568682573707701</v>
      </c>
      <c r="R21" s="102">
        <f t="shared" si="98"/>
        <v>0.31568682573707696</v>
      </c>
      <c r="S21" s="102">
        <f t="shared" si="98"/>
        <v>0.31568682573707707</v>
      </c>
      <c r="T21" s="102">
        <f t="shared" si="98"/>
        <v>0.31568682573707701</v>
      </c>
      <c r="U21" s="102">
        <f t="shared" si="98"/>
        <v>0.31568682573707701</v>
      </c>
      <c r="V21" s="102">
        <f t="shared" si="98"/>
        <v>0.31568682573707701</v>
      </c>
      <c r="X21" s="102">
        <f t="shared" ref="X21:Y21" si="99">X10/X3</f>
        <v>0.26461270842467011</v>
      </c>
      <c r="Y21" s="102">
        <f t="shared" si="99"/>
        <v>0.27421810445226646</v>
      </c>
      <c r="Z21" s="102">
        <f>Z10/Z3</f>
        <v>0.32109777211457696</v>
      </c>
      <c r="AA21" s="102">
        <f t="shared" ref="AA21:AB21" si="100">AA10/AA3</f>
        <v>0.32032638592380025</v>
      </c>
      <c r="AB21" s="102">
        <f t="shared" si="100"/>
        <v>0.31568682573707707</v>
      </c>
      <c r="AC21" s="102">
        <f t="shared" ref="AC21" si="101">AC10/AC3</f>
        <v>0.31568682573707701</v>
      </c>
    </row>
    <row r="22" spans="2:50" x14ac:dyDescent="0.25">
      <c r="B22" s="93" t="s">
        <v>391</v>
      </c>
      <c r="C22" s="102">
        <f t="shared" ref="C22:J22" si="102">C14/C3</f>
        <v>0.21567054035851949</v>
      </c>
      <c r="D22" s="102">
        <f t="shared" si="102"/>
        <v>0.2462066377137955</v>
      </c>
      <c r="E22" s="102">
        <f t="shared" si="102"/>
        <v>0.25672486406842865</v>
      </c>
      <c r="F22" s="102">
        <f t="shared" si="102"/>
        <v>0.23968253968253969</v>
      </c>
      <c r="G22" s="102">
        <f t="shared" si="102"/>
        <v>0.29379555246526529</v>
      </c>
      <c r="H22" s="102">
        <f t="shared" si="102"/>
        <v>0.27871657501593072</v>
      </c>
      <c r="I22" s="102">
        <f t="shared" si="102"/>
        <v>0.29796755336022113</v>
      </c>
      <c r="J22" s="102">
        <f t="shared" si="102"/>
        <v>0.27507282132083882</v>
      </c>
      <c r="K22" s="102">
        <f t="shared" ref="K22:N22" si="103">K14/K3</f>
        <v>0.38278254316554733</v>
      </c>
      <c r="L22" s="102">
        <f t="shared" si="103"/>
        <v>0.29240469573153027</v>
      </c>
      <c r="M22" s="102">
        <f t="shared" si="103"/>
        <v>0.34177202821800556</v>
      </c>
      <c r="N22" s="102">
        <f t="shared" si="103"/>
        <v>0.30269353761816076</v>
      </c>
      <c r="O22" s="102"/>
      <c r="P22" s="102"/>
      <c r="Q22" s="102"/>
      <c r="R22" s="102"/>
      <c r="S22" s="102"/>
      <c r="T22" s="102"/>
      <c r="U22" s="102"/>
      <c r="V22" s="102"/>
      <c r="X22" s="102">
        <f t="shared" ref="X22:Y22" si="104">X14/X3</f>
        <v>0.21203807153261961</v>
      </c>
      <c r="Y22" s="102">
        <f t="shared" si="104"/>
        <v>0.24006649446638517</v>
      </c>
      <c r="Z22" s="102">
        <f>Z14/Z3</f>
        <v>0.28603671811164</v>
      </c>
      <c r="AA22" s="102">
        <f t="shared" ref="AA22:AB22" si="105">AA14/AA3</f>
        <v>0.32809877965226542</v>
      </c>
      <c r="AB22" s="102">
        <f t="shared" si="105"/>
        <v>0.2886292728473504</v>
      </c>
      <c r="AC22" s="102">
        <f t="shared" ref="AC22:AU22" si="106">AC14/AC3</f>
        <v>0.29838217663798217</v>
      </c>
      <c r="AD22" s="102">
        <f t="shared" si="106"/>
        <v>0.29838217663798217</v>
      </c>
      <c r="AE22" s="102">
        <f t="shared" si="106"/>
        <v>0.29838217663798217</v>
      </c>
      <c r="AF22" s="102">
        <f t="shared" si="106"/>
        <v>0.29838217663798217</v>
      </c>
      <c r="AG22" s="102">
        <f t="shared" si="106"/>
        <v>0.29838217663798217</v>
      </c>
      <c r="AH22" s="102">
        <f t="shared" si="106"/>
        <v>0.29838217663798217</v>
      </c>
      <c r="AI22" s="102">
        <f t="shared" si="106"/>
        <v>0.29838217663798217</v>
      </c>
      <c r="AJ22" s="102">
        <f t="shared" si="106"/>
        <v>0.29838217663798217</v>
      </c>
      <c r="AK22" s="102">
        <f t="shared" si="106"/>
        <v>0.29838217663798217</v>
      </c>
      <c r="AL22" s="102">
        <f t="shared" si="106"/>
        <v>0.29838217663798217</v>
      </c>
      <c r="AM22" s="102">
        <f t="shared" si="106"/>
        <v>0.29838217663798217</v>
      </c>
      <c r="AN22" s="102">
        <f t="shared" si="106"/>
        <v>0.29838217663798217</v>
      </c>
      <c r="AO22" s="102">
        <f t="shared" si="106"/>
        <v>0.29838217663798217</v>
      </c>
      <c r="AP22" s="102">
        <f t="shared" si="106"/>
        <v>0.29838217663798217</v>
      </c>
      <c r="AQ22" s="102">
        <f t="shared" si="106"/>
        <v>0.29838217663798217</v>
      </c>
      <c r="AR22" s="102">
        <f t="shared" si="106"/>
        <v>0.29838217663798217</v>
      </c>
      <c r="AS22" s="102">
        <f t="shared" si="106"/>
        <v>0.29838217663798217</v>
      </c>
      <c r="AT22" s="102">
        <f t="shared" si="106"/>
        <v>0.29838217663798217</v>
      </c>
      <c r="AU22" s="102">
        <f t="shared" si="106"/>
        <v>0.29838217663798211</v>
      </c>
      <c r="AW22" s="96" t="s">
        <v>570</v>
      </c>
      <c r="AX22" s="102">
        <v>-0.01</v>
      </c>
    </row>
    <row r="23" spans="2:50" x14ac:dyDescent="0.25">
      <c r="C23" s="102"/>
      <c r="D23" s="102"/>
      <c r="E23" s="102"/>
      <c r="F23" s="102"/>
      <c r="G23" s="102"/>
      <c r="H23" s="102"/>
      <c r="I23" s="102"/>
      <c r="J23" s="102"/>
      <c r="K23" s="102"/>
      <c r="L23" s="102"/>
      <c r="M23" s="102"/>
      <c r="N23" s="102"/>
      <c r="O23" s="102"/>
      <c r="P23" s="102"/>
      <c r="Q23" s="102"/>
      <c r="R23" s="102"/>
      <c r="S23" s="102"/>
      <c r="T23" s="102"/>
      <c r="U23" s="102"/>
      <c r="V23" s="102"/>
      <c r="X23" s="102"/>
      <c r="Y23" s="102"/>
      <c r="Z23" s="102"/>
      <c r="AA23" s="102"/>
      <c r="AB23" s="102"/>
      <c r="AC23" s="102"/>
      <c r="AW23" s="93" t="s">
        <v>398</v>
      </c>
      <c r="AX23" s="102">
        <v>0.06</v>
      </c>
    </row>
    <row r="24" spans="2:50" x14ac:dyDescent="0.25">
      <c r="B24" s="93" t="s">
        <v>845</v>
      </c>
      <c r="C24" s="102">
        <f t="shared" ref="C24:J24" si="107">C13/C12</f>
        <v>0.17324910738808019</v>
      </c>
      <c r="D24" s="102">
        <f t="shared" si="107"/>
        <v>0.16139341642697347</v>
      </c>
      <c r="E24" s="102">
        <f t="shared" si="107"/>
        <v>7.1142142756050381E-2</v>
      </c>
      <c r="F24" s="102">
        <f t="shared" si="107"/>
        <v>0.15258889070948714</v>
      </c>
      <c r="G24" s="102">
        <f t="shared" si="107"/>
        <v>0.16432986049796927</v>
      </c>
      <c r="H24" s="102">
        <f t="shared" si="107"/>
        <v>0.14271714275343908</v>
      </c>
      <c r="I24" s="102">
        <f>I13/I12</f>
        <v>0.17047246577934777</v>
      </c>
      <c r="J24" s="102">
        <f t="shared" si="107"/>
        <v>0.17699965884067859</v>
      </c>
      <c r="K24" s="102">
        <f t="shared" ref="K24:L24" si="108">K13/K12</f>
        <v>0.173466701763622</v>
      </c>
      <c r="L24" s="102">
        <f t="shared" si="108"/>
        <v>0.16906845843279403</v>
      </c>
      <c r="M24" s="102">
        <f t="shared" ref="M24:T24" si="109">M13/M12</f>
        <v>0.20478777820719757</v>
      </c>
      <c r="N24" s="102">
        <f t="shared" si="109"/>
        <v>0.11918091878211519</v>
      </c>
      <c r="O24" s="102">
        <f t="shared" si="109"/>
        <v>0.17</v>
      </c>
      <c r="P24" s="102">
        <f t="shared" si="109"/>
        <v>0.17</v>
      </c>
      <c r="Q24" s="102">
        <f t="shared" si="109"/>
        <v>0.17</v>
      </c>
      <c r="R24" s="102">
        <f t="shared" si="109"/>
        <v>0.17</v>
      </c>
      <c r="S24" s="102">
        <f t="shared" si="109"/>
        <v>0.17</v>
      </c>
      <c r="T24" s="102">
        <f t="shared" si="109"/>
        <v>0.17</v>
      </c>
      <c r="U24" s="102">
        <f t="shared" ref="U24:V24" si="110">U13/U12</f>
        <v>0.17</v>
      </c>
      <c r="V24" s="102">
        <f t="shared" si="110"/>
        <v>0.17</v>
      </c>
      <c r="X24" s="102">
        <f>X13/X12</f>
        <v>0.1592081650964558</v>
      </c>
      <c r="Y24" s="102">
        <f>Y13/Y12</f>
        <v>0.13908559562280529</v>
      </c>
      <c r="Z24" s="102">
        <f>Z13/Z12</f>
        <v>0.16439510912657013</v>
      </c>
      <c r="AA24" s="102">
        <f t="shared" ref="AA24:AB24" si="111">AA13/AA12</f>
        <v>0.16783146336242177</v>
      </c>
      <c r="AB24" s="102">
        <f t="shared" si="111"/>
        <v>0.16999999999999998</v>
      </c>
      <c r="AC24" s="102">
        <f t="shared" ref="AC24" si="112">AC13/AC12</f>
        <v>0.17</v>
      </c>
      <c r="AW24" s="93" t="s">
        <v>92</v>
      </c>
      <c r="AX24" s="123">
        <f>NPV(AX23,AB14:YT14)+AA14+L34</f>
        <v>3778612.6652814685</v>
      </c>
    </row>
    <row r="25" spans="2:50" x14ac:dyDescent="0.25">
      <c r="B25" s="93" t="s">
        <v>798</v>
      </c>
      <c r="C25" s="102"/>
      <c r="D25" s="102"/>
      <c r="E25" s="102"/>
      <c r="F25" s="102"/>
      <c r="G25" s="102">
        <f t="shared" ref="G25:J25" si="113">G6/G5</f>
        <v>0.25419095820787152</v>
      </c>
      <c r="H25" s="102">
        <f t="shared" si="113"/>
        <v>0.24088554889814157</v>
      </c>
      <c r="I25" s="102">
        <f>I6/I5</f>
        <v>0.2403174112831602</v>
      </c>
      <c r="J25" s="102">
        <f t="shared" si="113"/>
        <v>0.23481810369521627</v>
      </c>
      <c r="K25" s="102">
        <f t="shared" ref="K25:L25" si="114">K6/K5</f>
        <v>0.25162883076865961</v>
      </c>
      <c r="L25" s="102">
        <f t="shared" si="114"/>
        <v>0.24060359999303002</v>
      </c>
      <c r="M25" s="102">
        <f t="shared" ref="M25:T25" si="115">M6/M5</f>
        <v>0.24847073486724502</v>
      </c>
      <c r="N25" s="102">
        <f t="shared" si="115"/>
        <v>0.27286885486762069</v>
      </c>
      <c r="O25" s="102">
        <f t="shared" si="115"/>
        <v>0.27286885486762069</v>
      </c>
      <c r="P25" s="102">
        <f t="shared" si="115"/>
        <v>0.27286885486762069</v>
      </c>
      <c r="Q25" s="102">
        <f t="shared" si="115"/>
        <v>0.27286885486762069</v>
      </c>
      <c r="R25" s="102">
        <f t="shared" si="115"/>
        <v>0.27286885486762069</v>
      </c>
      <c r="S25" s="102">
        <f t="shared" si="115"/>
        <v>0.27286885486762069</v>
      </c>
      <c r="T25" s="102">
        <f t="shared" si="115"/>
        <v>0.27286885486762069</v>
      </c>
      <c r="U25" s="102">
        <f t="shared" ref="U25:V25" si="116">U6/U5</f>
        <v>0.27286885486762069</v>
      </c>
      <c r="V25" s="102">
        <f t="shared" si="116"/>
        <v>0.27286885486762069</v>
      </c>
      <c r="X25" s="102">
        <f t="shared" ref="X25:Y25" si="117">X6/X5</f>
        <v>0.25218185184475811</v>
      </c>
      <c r="Y25" s="102">
        <f t="shared" si="117"/>
        <v>0.26098171915754159</v>
      </c>
      <c r="Z25" s="102">
        <f>Z6/Z5</f>
        <v>0.24213595664467483</v>
      </c>
      <c r="AA25" s="102">
        <f t="shared" ref="AA25:AB25" si="118">AA6/AA5</f>
        <v>0.25421034452624003</v>
      </c>
      <c r="AB25" s="102">
        <f t="shared" si="118"/>
        <v>0.27286885486762069</v>
      </c>
      <c r="AC25" s="102">
        <f t="shared" ref="AC25" si="119">AC6/AC5</f>
        <v>0.27286885486762075</v>
      </c>
      <c r="AW25" s="93" t="s">
        <v>400</v>
      </c>
      <c r="AX25" s="97">
        <f>AX24/Main!I16</f>
        <v>312.98042452426643</v>
      </c>
    </row>
    <row r="26" spans="2:50" x14ac:dyDescent="0.25">
      <c r="B26" s="93" t="s">
        <v>930</v>
      </c>
      <c r="C26" s="102"/>
      <c r="D26" s="102"/>
      <c r="E26" s="102"/>
      <c r="F26" s="102"/>
      <c r="G26" s="102">
        <f>G7/G5</f>
        <v>0.13722852200653468</v>
      </c>
      <c r="H26" s="102">
        <f t="shared" ref="H26:L26" si="120">H7/H5</f>
        <v>0.13795064486645678</v>
      </c>
      <c r="I26" s="102">
        <f t="shared" si="120"/>
        <v>0.13953353670309301</v>
      </c>
      <c r="J26" s="102">
        <f t="shared" si="120"/>
        <v>0.13182111142938985</v>
      </c>
      <c r="K26" s="102">
        <f t="shared" si="120"/>
        <v>0.11456573793922745</v>
      </c>
      <c r="L26" s="102">
        <f t="shared" si="120"/>
        <v>0.12373451358274233</v>
      </c>
      <c r="M26" s="102">
        <f t="shared" ref="M26:T26" si="121">M7/M5</f>
        <v>0.11815930596782394</v>
      </c>
      <c r="N26" s="102">
        <f t="shared" si="121"/>
        <v>0.1206987746466457</v>
      </c>
      <c r="O26" s="102">
        <f t="shared" si="121"/>
        <v>0.1206987746466457</v>
      </c>
      <c r="P26" s="102">
        <f t="shared" si="121"/>
        <v>0.1206987746466457</v>
      </c>
      <c r="Q26" s="102">
        <f t="shared" si="121"/>
        <v>0.1206987746466457</v>
      </c>
      <c r="R26" s="102">
        <f t="shared" si="121"/>
        <v>0.1206987746466457</v>
      </c>
      <c r="S26" s="102">
        <f t="shared" si="121"/>
        <v>0.1206987746466457</v>
      </c>
      <c r="T26" s="102">
        <f t="shared" si="121"/>
        <v>0.1206987746466457</v>
      </c>
      <c r="U26" s="102">
        <f t="shared" ref="U26:V26" si="122">U7/U5</f>
        <v>0.1206987746466457</v>
      </c>
      <c r="V26" s="102">
        <f t="shared" si="122"/>
        <v>0.12069877464664569</v>
      </c>
      <c r="X26" s="102"/>
      <c r="Y26" s="102"/>
      <c r="Z26" s="102"/>
      <c r="AA26" s="102"/>
      <c r="AB26" s="102"/>
      <c r="AC26" s="102"/>
      <c r="AW26" s="93" t="s">
        <v>401</v>
      </c>
      <c r="AX26" s="97">
        <f>Main!I15</f>
        <v>331.71</v>
      </c>
    </row>
    <row r="27" spans="2:50" x14ac:dyDescent="0.25">
      <c r="B27" s="93" t="s">
        <v>929</v>
      </c>
      <c r="C27" s="102"/>
      <c r="D27" s="102"/>
      <c r="E27" s="102"/>
      <c r="F27" s="102"/>
      <c r="G27" s="102">
        <f>(G8)/G5</f>
        <v>6.4620838405193587E-2</v>
      </c>
      <c r="H27" s="102">
        <f t="shared" ref="H27:L27" si="123">(H8)/H5</f>
        <v>6.4141362851629941E-2</v>
      </c>
      <c r="I27" s="102">
        <f t="shared" si="123"/>
        <v>6.9486813144379656E-2</v>
      </c>
      <c r="J27" s="102">
        <f t="shared" si="123"/>
        <v>7.886350615869378E-2</v>
      </c>
      <c r="K27" s="102">
        <f t="shared" si="123"/>
        <v>6.5691533792437765E-2</v>
      </c>
      <c r="L27" s="102">
        <f t="shared" si="123"/>
        <v>9.0766523201310359E-2</v>
      </c>
      <c r="M27" s="102">
        <f>(M8)/M5</f>
        <v>0.12124243567246666</v>
      </c>
      <c r="N27" s="102">
        <f t="shared" ref="N27:T27" si="124">(N8)/N5</f>
        <v>7.8472569128147859E-2</v>
      </c>
      <c r="O27" s="102">
        <f t="shared" si="124"/>
        <v>7.8472569128147859E-2</v>
      </c>
      <c r="P27" s="102">
        <f t="shared" si="124"/>
        <v>7.8472569128147859E-2</v>
      </c>
      <c r="Q27" s="102">
        <f t="shared" si="124"/>
        <v>7.8472569128147859E-2</v>
      </c>
      <c r="R27" s="102">
        <f t="shared" si="124"/>
        <v>7.8472569128147859E-2</v>
      </c>
      <c r="S27" s="102">
        <f t="shared" si="124"/>
        <v>7.8472569128147859E-2</v>
      </c>
      <c r="T27" s="102">
        <f t="shared" si="124"/>
        <v>7.8472569128147859E-2</v>
      </c>
      <c r="U27" s="102">
        <f t="shared" ref="U27:V27" si="125">(U8)/U5</f>
        <v>7.8472569128147859E-2</v>
      </c>
      <c r="V27" s="102">
        <f t="shared" si="125"/>
        <v>7.8472569128147859E-2</v>
      </c>
      <c r="X27" s="102">
        <f t="shared" ref="X27:Z27" si="126">(X8)/X5</f>
        <v>0.10038753008625258</v>
      </c>
      <c r="Y27" s="102">
        <f t="shared" si="126"/>
        <v>9.4362928152037784E-2</v>
      </c>
      <c r="Z27" s="102">
        <f t="shared" si="126"/>
        <v>6.96473452717562E-2</v>
      </c>
      <c r="AA27" s="102">
        <f t="shared" ref="AA27:AB27" si="127">(AA8)/AA5</f>
        <v>8.9396215579627222E-2</v>
      </c>
      <c r="AB27" s="102">
        <f t="shared" si="127"/>
        <v>7.8472569128147845E-2</v>
      </c>
      <c r="AC27" s="102">
        <f t="shared" ref="AC27" si="128">(AC8)/AC5</f>
        <v>7.8472569128147859E-2</v>
      </c>
      <c r="AW27" s="96" t="s">
        <v>940</v>
      </c>
      <c r="AX27" s="111">
        <f>AX25/AX26-1</f>
        <v>-5.6463704668938353E-2</v>
      </c>
    </row>
    <row r="28" spans="2:50" x14ac:dyDescent="0.25">
      <c r="B28" s="93" t="s">
        <v>799</v>
      </c>
      <c r="C28" s="102"/>
      <c r="D28" s="102"/>
      <c r="E28" s="102"/>
      <c r="F28" s="102"/>
      <c r="G28" s="102">
        <f t="shared" ref="G28:J28" si="129">G11/G10</f>
        <v>0.11161275125628141</v>
      </c>
      <c r="H28" s="102">
        <f t="shared" si="129"/>
        <v>4.5943482224247946E-3</v>
      </c>
      <c r="I28" s="102">
        <f>I11/I10</f>
        <v>0.11167210125872164</v>
      </c>
      <c r="J28" s="102">
        <f t="shared" si="129"/>
        <v>4.1037065736794526E-2</v>
      </c>
      <c r="K28" s="102">
        <f t="shared" ref="K28:L28" si="130">K11/K10</f>
        <v>0.3653858720512318</v>
      </c>
      <c r="L28" s="102">
        <f t="shared" si="130"/>
        <v>8.5126794793898494E-2</v>
      </c>
      <c r="M28" s="102">
        <f t="shared" ref="M28:T28" si="131">M11/M10</f>
        <v>0.40857563724862306</v>
      </c>
      <c r="N28" s="102">
        <f t="shared" si="131"/>
        <v>8.8579061612957088E-2</v>
      </c>
      <c r="O28" s="102">
        <f>O11/O10</f>
        <v>0.10808976763806737</v>
      </c>
      <c r="P28" s="102">
        <f t="shared" si="131"/>
        <v>0.1077406601040703</v>
      </c>
      <c r="Q28" s="102">
        <f t="shared" si="131"/>
        <v>9.5260044694895088E-2</v>
      </c>
      <c r="R28" s="102">
        <f t="shared" si="131"/>
        <v>9.6357242278018354E-2</v>
      </c>
      <c r="S28" s="102">
        <f t="shared" si="131"/>
        <v>0.1822759471595011</v>
      </c>
      <c r="T28" s="102">
        <f t="shared" si="131"/>
        <v>0.19670555893777389</v>
      </c>
      <c r="U28" s="102">
        <f t="shared" ref="U28:V28" si="132">U11/U10</f>
        <v>9.5260044694895102E-2</v>
      </c>
      <c r="V28" s="102">
        <f t="shared" si="132"/>
        <v>9.6357242278018243E-2</v>
      </c>
      <c r="X28" s="102">
        <f t="shared" ref="X28:Y28" si="133">X11/X10</f>
        <v>-4.6952246065043689E-2</v>
      </c>
      <c r="Y28" s="102">
        <f t="shared" si="133"/>
        <v>1.6893454972536272E-2</v>
      </c>
      <c r="Z28" s="102">
        <f>Z11/Z10</f>
        <v>6.6064596494350036E-2</v>
      </c>
      <c r="AA28" s="102">
        <f t="shared" ref="AA28:AB28" si="134">AA11/AA10</f>
        <v>0.23083718875688744</v>
      </c>
      <c r="AB28" s="102">
        <f t="shared" si="134"/>
        <v>0.10155408307694606</v>
      </c>
      <c r="AC28" s="102">
        <f t="shared" ref="AC28" si="135">AC11/AC10</f>
        <v>0.13877605604747367</v>
      </c>
    </row>
    <row r="30" spans="2:50" s="124" customFormat="1" x14ac:dyDescent="0.25">
      <c r="B30" s="124" t="s">
        <v>396</v>
      </c>
      <c r="G30" s="124">
        <f t="shared" ref="G30:L30" si="136">G3/C3-1</f>
        <v>0.15406880937710454</v>
      </c>
      <c r="H30" s="124">
        <f t="shared" si="136"/>
        <v>0.13589083695244231</v>
      </c>
      <c r="I30" s="124">
        <f t="shared" si="136"/>
        <v>0.15092642092498654</v>
      </c>
      <c r="J30" s="124">
        <f t="shared" si="136"/>
        <v>0.11770362646275045</v>
      </c>
      <c r="K30" s="124">
        <f t="shared" si="136"/>
        <v>0.12037646357665222</v>
      </c>
      <c r="L30" s="124">
        <f t="shared" si="136"/>
        <v>0.13790092280097244</v>
      </c>
      <c r="M30" s="124">
        <f t="shared" ref="M30:T30" si="137">M3/I3-1</f>
        <v>0.1594915484660353</v>
      </c>
      <c r="N30" s="124">
        <f>N3/J3-1</f>
        <v>0.17994381614819277</v>
      </c>
      <c r="O30" s="124">
        <f>O3/K3-1</f>
        <v>0.11875789613671128</v>
      </c>
      <c r="P30" s="124">
        <f>P3/L3-1</f>
        <v>0.11046583979756908</v>
      </c>
      <c r="Q30" s="124">
        <f>Q3/M3-1</f>
        <v>8.0647997967678187E-2</v>
      </c>
      <c r="R30" s="124">
        <f t="shared" si="137"/>
        <v>5.8439048388797099E-2</v>
      </c>
      <c r="S30" s="124">
        <f t="shared" si="137"/>
        <v>4.021792966815263E-2</v>
      </c>
      <c r="T30" s="124">
        <f t="shared" si="137"/>
        <v>2.33470302577512E-2</v>
      </c>
      <c r="U30" s="124">
        <f t="shared" ref="U30" si="138">U3/Q3-1</f>
        <v>0.10000000000000009</v>
      </c>
      <c r="V30" s="124">
        <f t="shared" ref="V30" si="139">V3/R3-1</f>
        <v>0.10000000000000009</v>
      </c>
      <c r="Y30" s="124">
        <f>Y3/X3-1</f>
        <v>8.6827702272695095E-2</v>
      </c>
      <c r="Z30" s="124">
        <f>Z3/Y3-1</f>
        <v>0.13866243322901561</v>
      </c>
      <c r="AA30" s="124">
        <f>AA3/Z3-1</f>
        <v>0.15090081081544371</v>
      </c>
      <c r="AB30" s="124">
        <f>AB3/AA3-1</f>
        <v>9.0046569819976385E-2</v>
      </c>
      <c r="AC30" s="124">
        <f>AC3/AB3-1</f>
        <v>6.7563936143563152E-2</v>
      </c>
    </row>
    <row r="31" spans="2:50" x14ac:dyDescent="0.25">
      <c r="B31" s="93" t="s">
        <v>857</v>
      </c>
      <c r="Y31" s="102">
        <f>Y16/X16-1</f>
        <v>0.26890670301036135</v>
      </c>
      <c r="Z31" s="102">
        <f>Z16/Y16-1</f>
        <v>0.38436955382215521</v>
      </c>
      <c r="AA31" s="124">
        <f t="shared" ref="AA31:AK31" si="140">AA16/Z16-1</f>
        <v>0.34708391037351416</v>
      </c>
      <c r="AB31" s="124">
        <f t="shared" si="140"/>
        <v>-2.1513727682190176E-2</v>
      </c>
      <c r="AC31" s="124">
        <f t="shared" si="140"/>
        <v>0.12616057942823611</v>
      </c>
      <c r="AD31" s="124">
        <f t="shared" si="140"/>
        <v>7.9960018071308703E-2</v>
      </c>
      <c r="AE31" s="124">
        <f t="shared" si="140"/>
        <v>9.026593675841621E-2</v>
      </c>
      <c r="AF31" s="124">
        <f t="shared" si="140"/>
        <v>0.10180785754178512</v>
      </c>
      <c r="AG31" s="124">
        <f t="shared" si="140"/>
        <v>6.8672274693082791E-2</v>
      </c>
      <c r="AH31" s="124">
        <f t="shared" si="140"/>
        <v>7.1767214011382752E-2</v>
      </c>
      <c r="AI31" s="124">
        <f t="shared" si="140"/>
        <v>7.4944263638833553E-2</v>
      </c>
      <c r="AJ31" s="124">
        <f t="shared" si="140"/>
        <v>0.11499077906627631</v>
      </c>
      <c r="AK31" s="124">
        <f t="shared" si="140"/>
        <v>7.9525003702710872E-2</v>
      </c>
    </row>
    <row r="32" spans="2:50" x14ac:dyDescent="0.25">
      <c r="B32" s="93" t="s">
        <v>1</v>
      </c>
      <c r="Y32" s="124">
        <f>Y15/X15-1</f>
        <v>-3.0274729550937796E-2</v>
      </c>
      <c r="Z32" s="124">
        <f t="shared" ref="Z32:AB32" si="141">Z15/Y15-1</f>
        <v>-1.9983948635634019E-2</v>
      </c>
      <c r="AA32" s="124">
        <f t="shared" si="141"/>
        <v>-1.9999999999999907E-2</v>
      </c>
      <c r="AB32" s="124">
        <f t="shared" si="141"/>
        <v>-2.0000000000000018E-2</v>
      </c>
      <c r="AC32" s="124">
        <f t="shared" ref="AC32" si="142">AC15/AB15-1</f>
        <v>-1.9999999999999907E-2</v>
      </c>
    </row>
    <row r="34" spans="2:27" s="98" customFormat="1" x14ac:dyDescent="0.25">
      <c r="B34" s="98" t="s">
        <v>93</v>
      </c>
      <c r="C34" s="98">
        <f t="shared" ref="C34:I34" si="143">C35-C49</f>
        <v>0</v>
      </c>
      <c r="D34" s="98">
        <f t="shared" si="143"/>
        <v>0</v>
      </c>
      <c r="E34" s="98">
        <f t="shared" si="143"/>
        <v>0</v>
      </c>
      <c r="F34" s="98">
        <f t="shared" si="143"/>
        <v>130054</v>
      </c>
      <c r="G34" s="98">
        <f t="shared" si="143"/>
        <v>128856</v>
      </c>
      <c r="H34" s="98">
        <f t="shared" si="143"/>
        <v>121659</v>
      </c>
      <c r="I34" s="98">
        <f t="shared" si="143"/>
        <v>117110</v>
      </c>
      <c r="J34" s="98">
        <f>J35-J49</f>
        <v>122756</v>
      </c>
      <c r="K34" s="98">
        <f>K35-K49</f>
        <v>135471</v>
      </c>
      <c r="L34" s="98">
        <f>L35-L49</f>
        <v>124115</v>
      </c>
      <c r="M34" s="98">
        <f t="shared" ref="M34:O34" si="144">M35-M49</f>
        <v>140689</v>
      </c>
      <c r="N34" s="98">
        <f t="shared" si="144"/>
        <v>148983</v>
      </c>
      <c r="O34" s="98">
        <f t="shared" si="144"/>
        <v>0</v>
      </c>
      <c r="Y34" s="98">
        <f t="shared" ref="Y34" si="145">Y35-Y49</f>
        <v>130054</v>
      </c>
      <c r="Z34" s="98">
        <f>Z35-Z49</f>
        <v>122756</v>
      </c>
      <c r="AA34" s="98">
        <f t="shared" ref="AA34" si="146">AA35-AA49</f>
        <v>148983</v>
      </c>
    </row>
    <row r="35" spans="2:27" s="98" customFormat="1" x14ac:dyDescent="0.25">
      <c r="B35" s="98" t="s">
        <v>3</v>
      </c>
      <c r="F35" s="98">
        <f>24048+86868+31008</f>
        <v>141924</v>
      </c>
      <c r="G35" s="98">
        <f>24493+83597+33994</f>
        <v>142084</v>
      </c>
      <c r="H35" s="98">
        <f>27225+73500+34172</f>
        <v>134897</v>
      </c>
      <c r="I35" s="98">
        <f>19959+73271+36177</f>
        <v>129407</v>
      </c>
      <c r="J35" s="98">
        <f>23466+72191+37982</f>
        <v>133639</v>
      </c>
      <c r="K35" s="98">
        <f>23264+72064+51029</f>
        <v>146357</v>
      </c>
      <c r="L35" s="98">
        <f>21036+74112+52574</f>
        <v>147722</v>
      </c>
      <c r="M35" s="98">
        <f>23090+75406+63800</f>
        <v>162296</v>
      </c>
      <c r="N35" s="98">
        <f>126843+68687</f>
        <v>195530</v>
      </c>
      <c r="Y35" s="98">
        <f>24048+86868+31008</f>
        <v>141924</v>
      </c>
      <c r="Z35" s="98">
        <f>23466+72191+37982</f>
        <v>133639</v>
      </c>
      <c r="AA35" s="98">
        <f>126843+68687</f>
        <v>195530</v>
      </c>
    </row>
    <row r="36" spans="2:27" s="98" customFormat="1" x14ac:dyDescent="0.25">
      <c r="B36" s="98" t="s">
        <v>38</v>
      </c>
      <c r="F36" s="98">
        <v>47964</v>
      </c>
      <c r="G36" s="98">
        <v>44552</v>
      </c>
      <c r="H36" s="98">
        <v>47087</v>
      </c>
      <c r="I36" s="98">
        <v>49104</v>
      </c>
      <c r="J36" s="98">
        <v>52340</v>
      </c>
      <c r="K36" s="98">
        <v>51000</v>
      </c>
      <c r="L36" s="98">
        <v>55048</v>
      </c>
      <c r="M36" s="98">
        <v>57148</v>
      </c>
      <c r="N36" s="98">
        <v>62886</v>
      </c>
      <c r="Y36" s="98">
        <v>47964</v>
      </c>
      <c r="Z36" s="98">
        <v>52340</v>
      </c>
      <c r="AA36" s="98">
        <v>62886</v>
      </c>
    </row>
    <row r="37" spans="2:27" s="98" customFormat="1" x14ac:dyDescent="0.25">
      <c r="B37" s="98" t="s">
        <v>41</v>
      </c>
      <c r="F37" s="98">
        <v>12650</v>
      </c>
      <c r="G37" s="98">
        <v>12829</v>
      </c>
      <c r="H37" s="98">
        <v>14183</v>
      </c>
      <c r="I37" s="98">
        <v>15207</v>
      </c>
      <c r="J37" s="98">
        <v>15714</v>
      </c>
      <c r="K37" s="98">
        <v>15724</v>
      </c>
      <c r="L37" s="98">
        <v>16020</v>
      </c>
      <c r="M37" s="98">
        <v>18303</v>
      </c>
      <c r="N37" s="98">
        <v>13309</v>
      </c>
      <c r="Y37" s="98">
        <v>12650</v>
      </c>
      <c r="Z37" s="98">
        <v>15714</v>
      </c>
      <c r="AA37" s="98">
        <v>13309</v>
      </c>
    </row>
    <row r="38" spans="2:27" s="98" customFormat="1" x14ac:dyDescent="0.25">
      <c r="B38" s="98" t="s">
        <v>846</v>
      </c>
      <c r="F38" s="98">
        <v>12169</v>
      </c>
      <c r="G38" s="98">
        <v>11687</v>
      </c>
      <c r="H38" s="98">
        <v>14958</v>
      </c>
      <c r="I38" s="98">
        <v>15915</v>
      </c>
      <c r="J38" s="98">
        <v>17180</v>
      </c>
      <c r="K38" s="98">
        <v>18386</v>
      </c>
      <c r="L38" s="98">
        <v>19289</v>
      </c>
      <c r="M38" s="98">
        <v>10331</v>
      </c>
      <c r="N38" s="98">
        <v>9113</v>
      </c>
      <c r="Y38" s="98">
        <v>12169</v>
      </c>
      <c r="Z38" s="98">
        <v>17180</v>
      </c>
      <c r="AA38" s="98">
        <v>9113</v>
      </c>
    </row>
    <row r="39" spans="2:27" s="98" customFormat="1" x14ac:dyDescent="0.25">
      <c r="B39" s="98" t="s">
        <v>506</v>
      </c>
      <c r="F39" s="98">
        <v>134345</v>
      </c>
      <c r="G39" s="98">
        <v>143182</v>
      </c>
      <c r="H39" s="98">
        <v>151155</v>
      </c>
      <c r="I39" s="98">
        <v>161270</v>
      </c>
      <c r="J39" s="98">
        <v>171036</v>
      </c>
      <c r="K39" s="98">
        <v>185062</v>
      </c>
      <c r="L39" s="98">
        <v>203231</v>
      </c>
      <c r="M39" s="98">
        <v>223787</v>
      </c>
      <c r="N39" s="98">
        <v>246597</v>
      </c>
      <c r="Y39" s="98">
        <v>134345</v>
      </c>
      <c r="Z39" s="98">
        <v>171036</v>
      </c>
      <c r="AA39" s="98">
        <v>246597</v>
      </c>
    </row>
    <row r="40" spans="2:27" s="98" customFormat="1" x14ac:dyDescent="0.25">
      <c r="B40" s="98" t="s">
        <v>507</v>
      </c>
      <c r="F40" s="98">
        <v>14091</v>
      </c>
      <c r="G40" s="98">
        <v>13768</v>
      </c>
      <c r="H40" s="98">
        <v>13606</v>
      </c>
      <c r="I40" s="98">
        <v>13561</v>
      </c>
      <c r="J40" s="98">
        <v>13588</v>
      </c>
      <c r="K40" s="98">
        <v>13722</v>
      </c>
      <c r="L40" s="98">
        <v>14255</v>
      </c>
      <c r="M40" s="98">
        <v>14524</v>
      </c>
      <c r="N40" s="98">
        <v>15221</v>
      </c>
      <c r="Y40" s="98">
        <v>14091</v>
      </c>
      <c r="Z40" s="98">
        <v>13588</v>
      </c>
      <c r="AA40" s="98">
        <v>15221</v>
      </c>
    </row>
    <row r="41" spans="2:27" s="98" customFormat="1" x14ac:dyDescent="0.25">
      <c r="B41" s="98" t="s">
        <v>66</v>
      </c>
      <c r="F41" s="98">
        <v>29198</v>
      </c>
      <c r="G41" s="98">
        <v>29183</v>
      </c>
      <c r="H41" s="98">
        <v>29185</v>
      </c>
      <c r="I41" s="98">
        <v>31935</v>
      </c>
      <c r="J41" s="98">
        <v>31885</v>
      </c>
      <c r="K41" s="98">
        <v>32173</v>
      </c>
      <c r="L41" s="98">
        <v>32335</v>
      </c>
      <c r="M41" s="98">
        <v>33269</v>
      </c>
      <c r="N41" s="98">
        <v>33380</v>
      </c>
      <c r="Y41" s="98">
        <v>29198</v>
      </c>
      <c r="Z41" s="98">
        <v>31885</v>
      </c>
      <c r="AA41" s="98">
        <v>33380</v>
      </c>
    </row>
    <row r="42" spans="2:27" s="98" customFormat="1" x14ac:dyDescent="0.25">
      <c r="B42" s="98" t="s">
        <v>43</v>
      </c>
      <c r="F42" s="98">
        <v>10051</v>
      </c>
      <c r="G42" s="98">
        <v>10065</v>
      </c>
      <c r="H42" s="98">
        <v>9699</v>
      </c>
      <c r="I42" s="98">
        <v>13867</v>
      </c>
      <c r="J42" s="98">
        <v>14874</v>
      </c>
      <c r="K42" s="98">
        <v>12950</v>
      </c>
      <c r="L42" s="98">
        <v>14153</v>
      </c>
      <c r="M42" s="98">
        <v>16811</v>
      </c>
      <c r="N42" s="98">
        <v>16245</v>
      </c>
      <c r="Y42" s="98">
        <v>10051</v>
      </c>
      <c r="Z42" s="98">
        <v>14874</v>
      </c>
      <c r="AA42" s="98">
        <v>16245</v>
      </c>
    </row>
    <row r="43" spans="2:27" s="108" customFormat="1" x14ac:dyDescent="0.25">
      <c r="B43" s="108" t="s">
        <v>471</v>
      </c>
      <c r="C43" s="108">
        <f t="shared" ref="C43:I43" si="147">SUM(C35:C42)</f>
        <v>0</v>
      </c>
      <c r="D43" s="108">
        <f t="shared" si="147"/>
        <v>0</v>
      </c>
      <c r="E43" s="108">
        <f t="shared" si="147"/>
        <v>0</v>
      </c>
      <c r="F43" s="108">
        <f t="shared" si="147"/>
        <v>402392</v>
      </c>
      <c r="G43" s="108">
        <f t="shared" si="147"/>
        <v>407350</v>
      </c>
      <c r="H43" s="108">
        <f t="shared" si="147"/>
        <v>414770</v>
      </c>
      <c r="I43" s="108">
        <f t="shared" si="147"/>
        <v>430266</v>
      </c>
      <c r="J43" s="108">
        <f>SUM(J35:J42)</f>
        <v>450256</v>
      </c>
      <c r="K43" s="108">
        <f>SUM(K35:K42)</f>
        <v>475374</v>
      </c>
      <c r="L43" s="108">
        <f>SUM(L35:L42)</f>
        <v>502053</v>
      </c>
      <c r="M43" s="108">
        <f t="shared" ref="M43:O43" si="148">SUM(M35:M42)</f>
        <v>536469</v>
      </c>
      <c r="N43" s="108">
        <f t="shared" si="148"/>
        <v>592281</v>
      </c>
      <c r="O43" s="108">
        <f t="shared" si="148"/>
        <v>0</v>
      </c>
      <c r="Y43" s="108">
        <f t="shared" ref="Y43" si="149">SUM(Y35:Y42)</f>
        <v>402392</v>
      </c>
      <c r="Z43" s="108">
        <f>SUM(Z35:Z42)</f>
        <v>450256</v>
      </c>
      <c r="AA43" s="108">
        <f t="shared" ref="AA43" si="150">SUM(AA35:AA42)</f>
        <v>592281</v>
      </c>
    </row>
    <row r="44" spans="2:27" s="98" customFormat="1" x14ac:dyDescent="0.25">
      <c r="B44" s="98" t="s">
        <v>45</v>
      </c>
      <c r="F44" s="98">
        <v>7493</v>
      </c>
      <c r="G44" s="98">
        <v>6198</v>
      </c>
      <c r="H44" s="98">
        <v>6092</v>
      </c>
      <c r="I44" s="98">
        <v>7049</v>
      </c>
      <c r="J44" s="98">
        <v>7987</v>
      </c>
      <c r="K44" s="98">
        <v>8497</v>
      </c>
      <c r="L44" s="98">
        <v>8347</v>
      </c>
      <c r="M44" s="98">
        <v>10546</v>
      </c>
      <c r="N44" s="98">
        <v>12200</v>
      </c>
      <c r="Y44" s="98">
        <v>7493</v>
      </c>
      <c r="Z44" s="98">
        <v>7987</v>
      </c>
      <c r="AA44" s="98">
        <v>12200</v>
      </c>
    </row>
    <row r="45" spans="2:27" s="98" customFormat="1" x14ac:dyDescent="0.25">
      <c r="B45" s="98" t="s">
        <v>508</v>
      </c>
      <c r="F45" s="98">
        <v>15140</v>
      </c>
      <c r="G45" s="98">
        <v>9703</v>
      </c>
      <c r="H45" s="98">
        <v>11373</v>
      </c>
      <c r="I45" s="98">
        <v>12908</v>
      </c>
      <c r="J45" s="98">
        <v>15069</v>
      </c>
      <c r="K45" s="98">
        <v>9984</v>
      </c>
      <c r="L45" s="98">
        <v>12168</v>
      </c>
      <c r="M45" s="98">
        <v>13944</v>
      </c>
      <c r="N45" s="98">
        <v>17546</v>
      </c>
      <c r="Y45" s="98">
        <v>15140</v>
      </c>
      <c r="Z45" s="98">
        <v>15069</v>
      </c>
      <c r="AA45" s="98">
        <v>17546</v>
      </c>
    </row>
    <row r="46" spans="2:27" s="98" customFormat="1" x14ac:dyDescent="0.25">
      <c r="B46" s="98" t="s">
        <v>68</v>
      </c>
      <c r="F46" s="98">
        <v>46168</v>
      </c>
      <c r="G46" s="98">
        <v>48603</v>
      </c>
      <c r="H46" s="98">
        <v>47298</v>
      </c>
      <c r="I46" s="98">
        <v>46585</v>
      </c>
      <c r="J46" s="98">
        <v>51228</v>
      </c>
      <c r="K46" s="98">
        <v>58300</v>
      </c>
      <c r="L46" s="98">
        <v>52039</v>
      </c>
      <c r="M46" s="98">
        <v>59437</v>
      </c>
      <c r="N46" s="98">
        <v>55557</v>
      </c>
      <c r="Y46" s="98">
        <v>46168</v>
      </c>
      <c r="Z46" s="98">
        <v>51228</v>
      </c>
      <c r="AA46" s="98">
        <v>55557</v>
      </c>
    </row>
    <row r="47" spans="2:27" s="98" customFormat="1" x14ac:dyDescent="0.25">
      <c r="B47" s="98" t="s">
        <v>849</v>
      </c>
      <c r="F47" s="98">
        <v>8876</v>
      </c>
      <c r="G47" s="98">
        <v>8520</v>
      </c>
      <c r="H47" s="98">
        <v>8899</v>
      </c>
      <c r="I47" s="98">
        <v>9365</v>
      </c>
      <c r="J47" s="98">
        <v>9802</v>
      </c>
      <c r="K47" s="98">
        <v>9965</v>
      </c>
      <c r="L47" s="98">
        <v>9787</v>
      </c>
      <c r="M47" s="98">
        <v>10081</v>
      </c>
      <c r="N47" s="98">
        <v>10864</v>
      </c>
      <c r="Y47" s="98">
        <v>8876</v>
      </c>
      <c r="Z47" s="98">
        <v>9802</v>
      </c>
      <c r="AA47" s="98">
        <v>10864</v>
      </c>
    </row>
    <row r="48" spans="2:27" s="98" customFormat="1" x14ac:dyDescent="0.25">
      <c r="B48" s="98" t="s">
        <v>847</v>
      </c>
      <c r="F48" s="98">
        <v>4137</v>
      </c>
      <c r="G48" s="98">
        <f>3973+921</f>
        <v>4894</v>
      </c>
      <c r="H48" s="98">
        <f>4251+985</f>
        <v>5236</v>
      </c>
      <c r="I48" s="98">
        <f>4896+1015</f>
        <v>5911</v>
      </c>
      <c r="J48" s="98">
        <v>5036</v>
      </c>
      <c r="K48" s="98">
        <v>4908</v>
      </c>
      <c r="L48" s="98">
        <v>4969</v>
      </c>
      <c r="M48" s="98">
        <v>5542</v>
      </c>
      <c r="N48" s="98">
        <v>6578</v>
      </c>
      <c r="Y48" s="98">
        <v>4137</v>
      </c>
      <c r="Z48" s="98">
        <v>5036</v>
      </c>
      <c r="AA48" s="98">
        <v>6578</v>
      </c>
    </row>
    <row r="49" spans="2:28" s="98" customFormat="1" x14ac:dyDescent="0.25">
      <c r="B49" s="98" t="s">
        <v>4</v>
      </c>
      <c r="F49" s="98">
        <v>11870</v>
      </c>
      <c r="G49" s="98">
        <v>13228</v>
      </c>
      <c r="H49" s="98">
        <v>13238</v>
      </c>
      <c r="I49" s="98">
        <v>12297</v>
      </c>
      <c r="J49" s="98">
        <v>10883</v>
      </c>
      <c r="K49" s="98">
        <v>10886</v>
      </c>
      <c r="L49" s="98">
        <v>23607</v>
      </c>
      <c r="M49" s="98">
        <v>21607</v>
      </c>
      <c r="N49" s="98">
        <v>46547</v>
      </c>
      <c r="Y49" s="98">
        <v>11870</v>
      </c>
      <c r="Z49" s="98">
        <v>10883</v>
      </c>
      <c r="AA49" s="98">
        <v>46547</v>
      </c>
    </row>
    <row r="50" spans="2:28" s="98" customFormat="1" x14ac:dyDescent="0.25">
      <c r="B50" s="98" t="s">
        <v>27</v>
      </c>
      <c r="F50" s="98">
        <v>8474</v>
      </c>
      <c r="G50" s="98">
        <f>9234+486</f>
        <v>9720</v>
      </c>
      <c r="H50" s="98">
        <f>7703+717</f>
        <v>8420</v>
      </c>
      <c r="I50" s="98">
        <f>8219+706</f>
        <v>8925</v>
      </c>
      <c r="J50" s="98">
        <v>8782</v>
      </c>
      <c r="K50" s="98">
        <v>9773</v>
      </c>
      <c r="L50" s="98">
        <v>10027</v>
      </c>
      <c r="M50" s="98">
        <v>10072</v>
      </c>
      <c r="N50" s="98">
        <v>9531</v>
      </c>
      <c r="Y50" s="98">
        <v>8474</v>
      </c>
      <c r="Z50" s="98">
        <v>8782</v>
      </c>
      <c r="AA50" s="98">
        <v>9531</v>
      </c>
    </row>
    <row r="51" spans="2:28" s="98" customFormat="1" x14ac:dyDescent="0.25">
      <c r="B51" s="98" t="s">
        <v>474</v>
      </c>
      <c r="F51" s="98">
        <v>12460</v>
      </c>
      <c r="G51" s="98">
        <v>11957</v>
      </c>
      <c r="H51" s="98">
        <v>11708</v>
      </c>
      <c r="I51" s="98">
        <v>11654</v>
      </c>
      <c r="J51" s="98">
        <v>11691</v>
      </c>
      <c r="K51" s="98">
        <v>11678</v>
      </c>
      <c r="L51" s="98">
        <v>11952</v>
      </c>
      <c r="M51" s="98">
        <v>12106</v>
      </c>
      <c r="N51" s="98">
        <v>12744</v>
      </c>
      <c r="Y51" s="98">
        <v>12460</v>
      </c>
      <c r="Z51" s="98">
        <v>11691</v>
      </c>
      <c r="AA51" s="98">
        <v>12744</v>
      </c>
    </row>
    <row r="52" spans="2:28" s="98" customFormat="1" x14ac:dyDescent="0.25">
      <c r="B52" s="98" t="s">
        <v>48</v>
      </c>
      <c r="F52" s="98">
        <v>4395</v>
      </c>
      <c r="G52" s="98">
        <v>1683</v>
      </c>
      <c r="H52" s="98">
        <v>1753</v>
      </c>
      <c r="I52" s="98">
        <v>1453</v>
      </c>
      <c r="J52" s="98">
        <v>4694</v>
      </c>
      <c r="K52" s="98">
        <v>6116</v>
      </c>
      <c r="L52" s="98">
        <v>6241</v>
      </c>
      <c r="M52" s="98">
        <v>6267</v>
      </c>
      <c r="N52" s="98">
        <v>8449</v>
      </c>
      <c r="Y52" s="98">
        <v>4395</v>
      </c>
      <c r="Z52" s="98">
        <v>4694</v>
      </c>
      <c r="AA52" s="98">
        <v>8449</v>
      </c>
    </row>
    <row r="53" spans="2:28" s="108" customFormat="1" x14ac:dyDescent="0.25">
      <c r="B53" s="108" t="s">
        <v>476</v>
      </c>
      <c r="C53" s="108">
        <f t="shared" ref="C53:H53" si="151">SUM(C44:C52)</f>
        <v>0</v>
      </c>
      <c r="D53" s="108">
        <f t="shared" si="151"/>
        <v>0</v>
      </c>
      <c r="E53" s="108">
        <f t="shared" si="151"/>
        <v>0</v>
      </c>
      <c r="F53" s="108">
        <f t="shared" si="151"/>
        <v>119013</v>
      </c>
      <c r="G53" s="108">
        <f t="shared" si="151"/>
        <v>114506</v>
      </c>
      <c r="H53" s="108">
        <f t="shared" si="151"/>
        <v>114017</v>
      </c>
      <c r="I53" s="108">
        <f>SUM(I44:I52)</f>
        <v>116147</v>
      </c>
      <c r="J53" s="108">
        <f>SUM(J44:J52)</f>
        <v>125172</v>
      </c>
      <c r="K53" s="108">
        <f>SUM(K44:K52)</f>
        <v>130107</v>
      </c>
      <c r="L53" s="108">
        <f>SUM(L44:L52)</f>
        <v>139137</v>
      </c>
      <c r="M53" s="108">
        <f t="shared" ref="M53:O53" si="152">SUM(M44:M52)</f>
        <v>149602</v>
      </c>
      <c r="N53" s="108">
        <f t="shared" si="152"/>
        <v>180016</v>
      </c>
      <c r="O53" s="108">
        <f t="shared" si="152"/>
        <v>0</v>
      </c>
      <c r="Y53" s="108">
        <f t="shared" ref="Y53" si="153">SUM(Y44:Y52)</f>
        <v>119013</v>
      </c>
      <c r="Z53" s="108">
        <f>SUM(Z44:Z52)</f>
        <v>125172</v>
      </c>
      <c r="AA53" s="108">
        <f t="shared" ref="AA53" si="154">SUM(AA44:AA52)</f>
        <v>180016</v>
      </c>
    </row>
    <row r="54" spans="2:28" s="98" customFormat="1" x14ac:dyDescent="0.25">
      <c r="B54" s="98" t="s">
        <v>477</v>
      </c>
      <c r="F54" s="98">
        <v>283379</v>
      </c>
      <c r="G54" s="98">
        <v>292844</v>
      </c>
      <c r="H54" s="98">
        <v>300753</v>
      </c>
      <c r="I54" s="98">
        <v>314119</v>
      </c>
      <c r="J54" s="98">
        <v>325084</v>
      </c>
      <c r="K54" s="98">
        <v>345267</v>
      </c>
      <c r="L54" s="98">
        <v>362916</v>
      </c>
      <c r="M54" s="98">
        <v>386867</v>
      </c>
      <c r="N54" s="98">
        <v>415265</v>
      </c>
      <c r="Y54" s="98">
        <v>283379</v>
      </c>
      <c r="Z54" s="98">
        <v>325084</v>
      </c>
      <c r="AA54" s="98">
        <v>415265</v>
      </c>
    </row>
    <row r="55" spans="2:28" s="108" customFormat="1" x14ac:dyDescent="0.25">
      <c r="B55" s="108" t="s">
        <v>781</v>
      </c>
      <c r="C55" s="108">
        <f t="shared" ref="C55:H55" si="155">C53+C54</f>
        <v>0</v>
      </c>
      <c r="D55" s="108">
        <f t="shared" si="155"/>
        <v>0</v>
      </c>
      <c r="E55" s="108">
        <f t="shared" si="155"/>
        <v>0</v>
      </c>
      <c r="F55" s="108">
        <f t="shared" si="155"/>
        <v>402392</v>
      </c>
      <c r="G55" s="108">
        <f t="shared" si="155"/>
        <v>407350</v>
      </c>
      <c r="H55" s="108">
        <f t="shared" si="155"/>
        <v>414770</v>
      </c>
      <c r="I55" s="108">
        <f>I53+I54</f>
        <v>430266</v>
      </c>
      <c r="J55" s="108">
        <f>J53+J54</f>
        <v>450256</v>
      </c>
      <c r="K55" s="108">
        <f>K53+K54</f>
        <v>475374</v>
      </c>
      <c r="L55" s="108">
        <f>L53+L54</f>
        <v>502053</v>
      </c>
      <c r="M55" s="108">
        <f t="shared" ref="M55:O55" si="156">M53+M54</f>
        <v>536469</v>
      </c>
      <c r="N55" s="108">
        <f t="shared" si="156"/>
        <v>595281</v>
      </c>
      <c r="O55" s="108">
        <f t="shared" si="156"/>
        <v>0</v>
      </c>
      <c r="Y55" s="108">
        <f t="shared" ref="Y55" si="157">Y53+Y54</f>
        <v>402392</v>
      </c>
      <c r="Z55" s="108">
        <f>Z53+Z54</f>
        <v>450256</v>
      </c>
      <c r="AA55" s="108">
        <f t="shared" ref="AA55" si="158">AA53+AA54</f>
        <v>595281</v>
      </c>
    </row>
    <row r="56" spans="2:28" s="96" customFormat="1" x14ac:dyDescent="0.25">
      <c r="C56" s="108"/>
      <c r="D56" s="108"/>
      <c r="E56" s="108"/>
      <c r="F56" s="108"/>
      <c r="G56" s="108"/>
      <c r="H56" s="108"/>
      <c r="I56" s="108"/>
      <c r="J56" s="108"/>
    </row>
    <row r="57" spans="2:28" x14ac:dyDescent="0.25">
      <c r="B57" s="96" t="s">
        <v>858</v>
      </c>
      <c r="C57" s="102"/>
      <c r="D57" s="102"/>
      <c r="E57" s="102"/>
      <c r="F57" s="102">
        <f t="shared" ref="F57:I57" si="159">F53/F54</f>
        <v>0.41997819175027085</v>
      </c>
      <c r="G57" s="102">
        <f t="shared" si="159"/>
        <v>0.39101364549043177</v>
      </c>
      <c r="H57" s="102">
        <f t="shared" si="159"/>
        <v>0.37910511283345472</v>
      </c>
      <c r="I57" s="102">
        <f t="shared" si="159"/>
        <v>0.36975477446445454</v>
      </c>
      <c r="J57" s="102">
        <f>J53/J54</f>
        <v>0.38504509603671666</v>
      </c>
      <c r="K57" s="102">
        <f t="shared" ref="K57:O57" si="160">K53/K54</f>
        <v>0.37683010539669298</v>
      </c>
      <c r="L57" s="102">
        <f t="shared" si="160"/>
        <v>0.38338623813775091</v>
      </c>
      <c r="M57" s="102">
        <f t="shared" si="160"/>
        <v>0.38670137282321831</v>
      </c>
      <c r="N57" s="102">
        <f t="shared" si="160"/>
        <v>0.4334966828410774</v>
      </c>
      <c r="O57" s="102" t="e">
        <f t="shared" si="160"/>
        <v>#DIV/0!</v>
      </c>
      <c r="P57" s="102"/>
      <c r="Q57" s="102"/>
      <c r="R57" s="102"/>
      <c r="S57" s="102"/>
      <c r="T57" s="102"/>
      <c r="U57" s="102"/>
      <c r="V57" s="102"/>
      <c r="Y57" s="102">
        <f t="shared" ref="Y57:AA57" si="161">Y53/Y54</f>
        <v>0.41997819175027085</v>
      </c>
      <c r="Z57" s="102">
        <f t="shared" si="161"/>
        <v>0.38504509603671666</v>
      </c>
      <c r="AA57" s="102">
        <f t="shared" si="161"/>
        <v>0.4334966828410774</v>
      </c>
    </row>
    <row r="58" spans="2:28" x14ac:dyDescent="0.25">
      <c r="B58" s="96" t="s">
        <v>1059</v>
      </c>
      <c r="C58" s="102"/>
      <c r="D58" s="102"/>
      <c r="E58" s="102"/>
      <c r="F58" s="102"/>
      <c r="G58" s="102">
        <f t="shared" ref="G58:M58" si="162">G39/F39-1</f>
        <v>6.5778406341880924E-2</v>
      </c>
      <c r="H58" s="102">
        <f t="shared" si="162"/>
        <v>5.56843737341286E-2</v>
      </c>
      <c r="I58" s="102">
        <f t="shared" si="162"/>
        <v>6.6918064238695285E-2</v>
      </c>
      <c r="J58" s="102">
        <f t="shared" si="162"/>
        <v>6.0556830160600317E-2</v>
      </c>
      <c r="K58" s="102">
        <f t="shared" si="162"/>
        <v>8.2006127364999237E-2</v>
      </c>
      <c r="L58" s="102">
        <f t="shared" si="162"/>
        <v>9.817790794436454E-2</v>
      </c>
      <c r="M58" s="102">
        <f t="shared" si="162"/>
        <v>0.10114598658669194</v>
      </c>
      <c r="N58" s="102">
        <f>N39/M39-1</f>
        <v>0.10192727906446764</v>
      </c>
      <c r="O58" s="102"/>
      <c r="P58" s="102"/>
      <c r="Q58" s="102"/>
      <c r="R58" s="102"/>
      <c r="S58" s="102"/>
      <c r="T58" s="102"/>
      <c r="U58" s="102"/>
      <c r="V58" s="102"/>
      <c r="Y58" s="102"/>
      <c r="Z58" s="102">
        <f t="shared" ref="Z58:AA58" si="163">Z39/Y39-1</f>
        <v>0.27311027578250036</v>
      </c>
      <c r="AA58" s="102">
        <f t="shared" si="163"/>
        <v>0.44178418578544876</v>
      </c>
    </row>
    <row r="59" spans="2:28" x14ac:dyDescent="0.25">
      <c r="B59" s="96"/>
      <c r="C59" s="102"/>
      <c r="D59" s="102"/>
      <c r="E59" s="102"/>
      <c r="F59" s="102"/>
      <c r="G59" s="102"/>
      <c r="H59" s="102"/>
      <c r="I59" s="102"/>
      <c r="J59" s="102"/>
      <c r="K59" s="102"/>
      <c r="L59" s="102"/>
      <c r="M59" s="102"/>
      <c r="N59" s="102"/>
      <c r="O59" s="102"/>
      <c r="P59" s="102"/>
      <c r="Q59" s="102"/>
      <c r="R59" s="102"/>
      <c r="S59" s="102"/>
      <c r="T59" s="102"/>
      <c r="U59" s="102"/>
      <c r="V59" s="102"/>
    </row>
    <row r="61" spans="2:28" s="98" customFormat="1" x14ac:dyDescent="0.25">
      <c r="B61" s="98" t="s">
        <v>510</v>
      </c>
      <c r="C61" s="98">
        <f t="shared" ref="C61:I61" si="164">C14</f>
        <v>15051</v>
      </c>
      <c r="D61" s="98">
        <f t="shared" si="164"/>
        <v>18368</v>
      </c>
      <c r="E61" s="98">
        <f t="shared" si="164"/>
        <v>19689</v>
      </c>
      <c r="F61" s="98">
        <f t="shared" si="164"/>
        <v>20687</v>
      </c>
      <c r="G61" s="98">
        <f t="shared" si="164"/>
        <v>23662</v>
      </c>
      <c r="H61" s="98">
        <f t="shared" si="164"/>
        <v>23619</v>
      </c>
      <c r="I61" s="98">
        <f t="shared" si="164"/>
        <v>26301</v>
      </c>
      <c r="J61" s="98">
        <f>J14</f>
        <v>26536</v>
      </c>
      <c r="K61" s="98">
        <f t="shared" ref="K61:L61" si="165">K14</f>
        <v>34540</v>
      </c>
      <c r="L61" s="98">
        <f t="shared" si="165"/>
        <v>28196</v>
      </c>
      <c r="M61" s="98">
        <f t="shared" ref="M61:O61" si="166">M14</f>
        <v>34979</v>
      </c>
      <c r="N61" s="98">
        <f t="shared" si="166"/>
        <v>34455</v>
      </c>
      <c r="O61" s="98">
        <f t="shared" si="166"/>
        <v>29310</v>
      </c>
      <c r="P61" s="98">
        <f t="shared" ref="P61:Q61" si="167">P14</f>
        <v>31080</v>
      </c>
      <c r="Q61" s="98">
        <f t="shared" si="167"/>
        <v>31740</v>
      </c>
      <c r="X61" s="98">
        <f t="shared" ref="X61:AA61" si="168">X14</f>
        <v>59972</v>
      </c>
      <c r="Y61" s="98">
        <f t="shared" si="168"/>
        <v>73795</v>
      </c>
      <c r="Z61" s="98">
        <f t="shared" si="168"/>
        <v>100118</v>
      </c>
      <c r="AA61" s="98">
        <f t="shared" si="168"/>
        <v>132170</v>
      </c>
      <c r="AB61" s="98">
        <f t="shared" ref="AB61" si="169">AB14</f>
        <v>126740.00000000003</v>
      </c>
    </row>
    <row r="62" spans="2:28" s="98" customFormat="1" x14ac:dyDescent="0.25">
      <c r="B62" s="98" t="s">
        <v>511</v>
      </c>
      <c r="C62" s="98">
        <v>15051</v>
      </c>
      <c r="D62" s="98">
        <v>18368</v>
      </c>
      <c r="E62" s="98">
        <v>19689</v>
      </c>
      <c r="F62" s="98">
        <v>20687</v>
      </c>
      <c r="G62" s="98">
        <v>23662</v>
      </c>
      <c r="H62" s="98">
        <v>23619</v>
      </c>
      <c r="I62" s="98">
        <v>26301</v>
      </c>
      <c r="J62" s="98">
        <v>26536</v>
      </c>
      <c r="K62" s="98">
        <v>34540</v>
      </c>
      <c r="L62" s="98">
        <v>28196</v>
      </c>
      <c r="M62" s="98">
        <v>34979</v>
      </c>
      <c r="N62" s="98">
        <v>34455</v>
      </c>
      <c r="Y62" s="98">
        <f>+SUM(C62:F62)</f>
        <v>73795</v>
      </c>
      <c r="Z62" s="98">
        <f>+SUM(G62:J62)</f>
        <v>100118</v>
      </c>
      <c r="AA62" s="98">
        <f>SUM(K62:N62)</f>
        <v>132170</v>
      </c>
    </row>
    <row r="63" spans="2:28" s="98" customFormat="1" x14ac:dyDescent="0.25">
      <c r="B63" s="98" t="s">
        <v>513</v>
      </c>
      <c r="C63" s="98">
        <v>2635</v>
      </c>
      <c r="D63" s="98">
        <v>2824</v>
      </c>
      <c r="E63" s="98">
        <v>3171</v>
      </c>
      <c r="F63" s="98">
        <v>3316</v>
      </c>
      <c r="G63" s="98">
        <v>3413</v>
      </c>
      <c r="H63" s="98">
        <v>3708</v>
      </c>
      <c r="I63" s="98">
        <v>3985</v>
      </c>
      <c r="J63" s="98">
        <v>4205</v>
      </c>
      <c r="K63" s="98">
        <v>4487</v>
      </c>
      <c r="L63" s="98">
        <v>4998</v>
      </c>
      <c r="M63" s="98">
        <v>5611</v>
      </c>
      <c r="N63" s="98">
        <v>6040</v>
      </c>
      <c r="Y63" s="98">
        <f t="shared" ref="Y63:Y74" si="170">+SUM(C63:F63)</f>
        <v>11946</v>
      </c>
      <c r="Z63" s="98">
        <f t="shared" ref="Z63:Z74" si="171">+SUM(G63:J63)</f>
        <v>15311</v>
      </c>
      <c r="AA63" s="98">
        <f t="shared" ref="AA63:AA74" si="172">SUM(K63:N63)</f>
        <v>21136</v>
      </c>
    </row>
    <row r="64" spans="2:28" s="98" customFormat="1" x14ac:dyDescent="0.25">
      <c r="B64" s="98" t="s">
        <v>782</v>
      </c>
      <c r="C64" s="98">
        <v>5284</v>
      </c>
      <c r="D64" s="98">
        <v>5774</v>
      </c>
      <c r="E64" s="98">
        <v>5743</v>
      </c>
      <c r="F64" s="98">
        <v>5659</v>
      </c>
      <c r="G64" s="98">
        <v>5264</v>
      </c>
      <c r="H64" s="98">
        <v>5865</v>
      </c>
      <c r="I64" s="98">
        <v>5846</v>
      </c>
      <c r="J64" s="98">
        <v>5810</v>
      </c>
      <c r="K64" s="98">
        <v>5516</v>
      </c>
      <c r="L64" s="98">
        <v>5998</v>
      </c>
      <c r="M64" s="98">
        <v>6368</v>
      </c>
      <c r="N64" s="98">
        <v>7071</v>
      </c>
      <c r="Y64" s="98">
        <f t="shared" si="170"/>
        <v>22460</v>
      </c>
      <c r="Z64" s="98">
        <f t="shared" si="171"/>
        <v>22785</v>
      </c>
      <c r="AA64" s="98">
        <f t="shared" si="172"/>
        <v>24953</v>
      </c>
    </row>
    <row r="65" spans="2:28" s="98" customFormat="1" x14ac:dyDescent="0.25">
      <c r="B65" s="98" t="s">
        <v>516</v>
      </c>
      <c r="C65" s="98">
        <v>-1854</v>
      </c>
      <c r="D65" s="98">
        <v>-2415</v>
      </c>
      <c r="E65" s="98">
        <v>-1824</v>
      </c>
      <c r="F65" s="98">
        <v>-1670</v>
      </c>
      <c r="G65" s="98">
        <v>419</v>
      </c>
      <c r="H65" s="98">
        <v>-3157</v>
      </c>
      <c r="I65" s="98">
        <v>-1071</v>
      </c>
      <c r="J65" s="98">
        <v>-1448</v>
      </c>
      <c r="K65" s="98">
        <v>-1152</v>
      </c>
      <c r="L65" s="98">
        <v>-444</v>
      </c>
      <c r="M65" s="98">
        <v>8726</v>
      </c>
      <c r="N65" s="98">
        <v>1218</v>
      </c>
      <c r="Y65" s="98">
        <f t="shared" si="170"/>
        <v>-7763</v>
      </c>
      <c r="Z65" s="98">
        <f t="shared" si="171"/>
        <v>-5257</v>
      </c>
      <c r="AA65" s="98">
        <f t="shared" si="172"/>
        <v>8348</v>
      </c>
    </row>
    <row r="66" spans="2:28" s="98" customFormat="1" x14ac:dyDescent="0.25">
      <c r="B66" s="98" t="s">
        <v>850</v>
      </c>
      <c r="C66" s="98">
        <v>-84</v>
      </c>
      <c r="D66" s="98">
        <v>509</v>
      </c>
      <c r="E66" s="98">
        <v>869</v>
      </c>
      <c r="F66" s="98">
        <v>-471</v>
      </c>
      <c r="G66" s="98">
        <v>-1781</v>
      </c>
      <c r="H66" s="98">
        <v>1024</v>
      </c>
      <c r="I66" s="98">
        <v>-1981</v>
      </c>
      <c r="J66" s="98">
        <v>67</v>
      </c>
      <c r="K66" s="98">
        <v>-9960</v>
      </c>
      <c r="L66" s="98">
        <v>-1451</v>
      </c>
      <c r="M66" s="98">
        <v>-10855</v>
      </c>
      <c r="N66" s="98">
        <v>-2354</v>
      </c>
      <c r="Y66" s="98">
        <f t="shared" si="170"/>
        <v>823</v>
      </c>
      <c r="Z66" s="98">
        <f t="shared" si="171"/>
        <v>-2671</v>
      </c>
      <c r="AA66" s="98">
        <f t="shared" si="172"/>
        <v>-24620</v>
      </c>
    </row>
    <row r="67" spans="2:28" s="98" customFormat="1" x14ac:dyDescent="0.25">
      <c r="B67" s="98" t="s">
        <v>421</v>
      </c>
      <c r="C67" s="98">
        <v>1104</v>
      </c>
      <c r="D67" s="98">
        <v>670</v>
      </c>
      <c r="E67" s="98">
        <v>891</v>
      </c>
      <c r="F67" s="98">
        <v>1665</v>
      </c>
      <c r="G67" s="98">
        <v>334</v>
      </c>
      <c r="H67" s="98">
        <v>851</v>
      </c>
      <c r="I67" s="98">
        <v>1407</v>
      </c>
      <c r="J67" s="98">
        <v>827</v>
      </c>
      <c r="K67" s="98">
        <v>481</v>
      </c>
      <c r="L67" s="98">
        <v>560</v>
      </c>
      <c r="M67" s="98">
        <v>-198</v>
      </c>
      <c r="N67" s="98">
        <v>1265</v>
      </c>
      <c r="Y67" s="98">
        <f t="shared" si="170"/>
        <v>4330</v>
      </c>
      <c r="Z67" s="98">
        <f t="shared" si="171"/>
        <v>3419</v>
      </c>
      <c r="AA67" s="98">
        <f t="shared" si="172"/>
        <v>2108</v>
      </c>
    </row>
    <row r="68" spans="2:28" s="98" customFormat="1" x14ac:dyDescent="0.25">
      <c r="B68" s="98" t="s">
        <v>38</v>
      </c>
      <c r="C68" s="98">
        <v>4454</v>
      </c>
      <c r="D68" s="98">
        <v>-2948</v>
      </c>
      <c r="E68" s="98">
        <v>-2821</v>
      </c>
      <c r="F68" s="98">
        <v>-6518</v>
      </c>
      <c r="G68" s="98">
        <v>3167</v>
      </c>
      <c r="H68" s="98">
        <v>-3057</v>
      </c>
      <c r="I68" s="98">
        <v>-1431</v>
      </c>
      <c r="J68" s="98">
        <v>-4570</v>
      </c>
      <c r="K68" s="98">
        <v>1638</v>
      </c>
      <c r="L68" s="98">
        <v>-2839</v>
      </c>
      <c r="M68" s="98">
        <v>-2381</v>
      </c>
      <c r="N68" s="98">
        <v>-4943</v>
      </c>
      <c r="Y68" s="98">
        <f t="shared" si="170"/>
        <v>-7833</v>
      </c>
      <c r="Z68" s="98">
        <f t="shared" si="171"/>
        <v>-5891</v>
      </c>
      <c r="AA68" s="98">
        <f t="shared" si="172"/>
        <v>-8525</v>
      </c>
    </row>
    <row r="69" spans="2:28" s="98" customFormat="1" x14ac:dyDescent="0.25">
      <c r="B69" s="98" t="s">
        <v>851</v>
      </c>
      <c r="C69" s="98">
        <v>4069</v>
      </c>
      <c r="D69" s="98">
        <v>4451</v>
      </c>
      <c r="E69" s="98">
        <v>1872</v>
      </c>
      <c r="F69" s="98">
        <v>-9869</v>
      </c>
      <c r="G69" s="98">
        <v>3011</v>
      </c>
      <c r="H69" s="98">
        <v>-3900</v>
      </c>
      <c r="I69" s="98">
        <v>-1908</v>
      </c>
      <c r="J69" s="98">
        <v>379</v>
      </c>
      <c r="K69" s="98">
        <v>7197</v>
      </c>
      <c r="L69" s="98">
        <v>-9631</v>
      </c>
      <c r="M69" s="98">
        <v>-858</v>
      </c>
      <c r="N69" s="98">
        <v>66</v>
      </c>
      <c r="Y69" s="98">
        <f t="shared" si="170"/>
        <v>523</v>
      </c>
      <c r="Z69" s="98">
        <f t="shared" si="171"/>
        <v>-2418</v>
      </c>
      <c r="AA69" s="98">
        <f t="shared" si="172"/>
        <v>-3226</v>
      </c>
    </row>
    <row r="70" spans="2:28" s="98" customFormat="1" x14ac:dyDescent="0.25">
      <c r="B70" s="98" t="s">
        <v>785</v>
      </c>
      <c r="C70" s="98">
        <v>-746</v>
      </c>
      <c r="D70" s="98">
        <v>-513</v>
      </c>
      <c r="E70" s="98">
        <v>-1624</v>
      </c>
      <c r="F70" s="98">
        <v>740</v>
      </c>
      <c r="G70" s="98">
        <v>-1000</v>
      </c>
      <c r="H70" s="98">
        <v>-532</v>
      </c>
      <c r="I70" s="98">
        <v>-802</v>
      </c>
      <c r="J70" s="98">
        <v>937</v>
      </c>
      <c r="K70" s="98">
        <v>-1288</v>
      </c>
      <c r="L70" s="98">
        <v>-1479</v>
      </c>
      <c r="M70" s="98">
        <v>-1293</v>
      </c>
      <c r="N70" s="98">
        <v>-482</v>
      </c>
      <c r="Y70" s="98">
        <f t="shared" si="170"/>
        <v>-2143</v>
      </c>
      <c r="Z70" s="98">
        <f t="shared" si="171"/>
        <v>-1397</v>
      </c>
      <c r="AA70" s="98">
        <f t="shared" si="172"/>
        <v>-4542</v>
      </c>
    </row>
    <row r="71" spans="2:28" s="98" customFormat="1" x14ac:dyDescent="0.25">
      <c r="B71" s="98" t="s">
        <v>45</v>
      </c>
      <c r="C71" s="98">
        <v>-1105</v>
      </c>
      <c r="D71" s="98">
        <v>1119</v>
      </c>
      <c r="E71" s="98">
        <v>223</v>
      </c>
      <c r="F71" s="98">
        <v>427</v>
      </c>
      <c r="G71" s="98">
        <v>-2124</v>
      </c>
      <c r="H71" s="98">
        <v>1561</v>
      </c>
      <c r="I71" s="98">
        <v>521</v>
      </c>
      <c r="J71" s="98">
        <v>401</v>
      </c>
      <c r="K71" s="98">
        <v>-880</v>
      </c>
      <c r="L71" s="98">
        <v>553</v>
      </c>
      <c r="M71" s="98">
        <v>-444</v>
      </c>
      <c r="N71" s="98">
        <v>227</v>
      </c>
      <c r="Y71" s="98">
        <f t="shared" si="170"/>
        <v>664</v>
      </c>
      <c r="Z71" s="98">
        <f t="shared" si="171"/>
        <v>359</v>
      </c>
      <c r="AA71" s="98">
        <f t="shared" si="172"/>
        <v>-544</v>
      </c>
    </row>
    <row r="72" spans="2:28" s="98" customFormat="1" x14ac:dyDescent="0.25">
      <c r="B72" s="98" t="s">
        <v>848</v>
      </c>
      <c r="C72" s="98">
        <v>-4496</v>
      </c>
      <c r="D72" s="98">
        <v>459</v>
      </c>
      <c r="E72" s="98">
        <v>3657</v>
      </c>
      <c r="F72" s="98">
        <v>4317</v>
      </c>
      <c r="G72" s="98">
        <v>-5054</v>
      </c>
      <c r="H72" s="98">
        <v>-122</v>
      </c>
      <c r="I72" s="98">
        <v>-1190</v>
      </c>
      <c r="J72" s="98">
        <v>5205</v>
      </c>
      <c r="K72" s="98">
        <v>-5045</v>
      </c>
      <c r="L72" s="98">
        <v>3485</v>
      </c>
      <c r="M72" s="98">
        <v>7759</v>
      </c>
      <c r="N72" s="98">
        <v>7937</v>
      </c>
      <c r="Y72" s="98">
        <f t="shared" si="170"/>
        <v>3937</v>
      </c>
      <c r="Z72" s="98">
        <f t="shared" si="171"/>
        <v>-1161</v>
      </c>
      <c r="AA72" s="98">
        <f t="shared" si="172"/>
        <v>14136</v>
      </c>
    </row>
    <row r="73" spans="2:28" s="98" customFormat="1" x14ac:dyDescent="0.25">
      <c r="B73" s="98" t="s">
        <v>849</v>
      </c>
      <c r="C73" s="98">
        <v>-602</v>
      </c>
      <c r="D73" s="98">
        <v>184</v>
      </c>
      <c r="E73" s="98">
        <v>103</v>
      </c>
      <c r="F73" s="98">
        <v>797</v>
      </c>
      <c r="G73" s="98">
        <v>-322</v>
      </c>
      <c r="H73" s="98">
        <v>419</v>
      </c>
      <c r="I73" s="98">
        <v>381</v>
      </c>
      <c r="J73" s="98">
        <v>581</v>
      </c>
      <c r="K73" s="98">
        <v>116</v>
      </c>
      <c r="L73" s="98">
        <v>-335</v>
      </c>
      <c r="M73" s="98">
        <v>319</v>
      </c>
      <c r="N73" s="98">
        <v>799</v>
      </c>
      <c r="Y73" s="98">
        <f t="shared" si="170"/>
        <v>482</v>
      </c>
      <c r="Z73" s="98">
        <f t="shared" si="171"/>
        <v>1059</v>
      </c>
      <c r="AA73" s="98">
        <f t="shared" si="172"/>
        <v>899</v>
      </c>
    </row>
    <row r="74" spans="2:28" s="98" customFormat="1" x14ac:dyDescent="0.25">
      <c r="B74" s="98" t="s">
        <v>47</v>
      </c>
      <c r="C74" s="98">
        <v>-201</v>
      </c>
      <c r="D74" s="98">
        <v>184</v>
      </c>
      <c r="E74" s="98">
        <v>707</v>
      </c>
      <c r="F74" s="98">
        <v>-165</v>
      </c>
      <c r="G74" s="98">
        <v>-141</v>
      </c>
      <c r="H74" s="98">
        <v>361</v>
      </c>
      <c r="I74" s="98">
        <v>640</v>
      </c>
      <c r="J74" s="98">
        <v>183</v>
      </c>
      <c r="K74" s="98">
        <v>500</v>
      </c>
      <c r="L74" s="98">
        <v>136</v>
      </c>
      <c r="M74" s="98">
        <v>681</v>
      </c>
      <c r="N74" s="98">
        <v>1103</v>
      </c>
      <c r="Y74" s="98">
        <f t="shared" si="170"/>
        <v>525</v>
      </c>
      <c r="Z74" s="98">
        <f t="shared" si="171"/>
        <v>1043</v>
      </c>
      <c r="AA74" s="98">
        <f t="shared" si="172"/>
        <v>2420</v>
      </c>
    </row>
    <row r="75" spans="2:28" s="108" customFormat="1" x14ac:dyDescent="0.25">
      <c r="B75" s="108" t="s">
        <v>512</v>
      </c>
      <c r="C75" s="108">
        <f t="shared" ref="C75:I75" si="173">SUM(C62:C74)</f>
        <v>23509</v>
      </c>
      <c r="D75" s="108">
        <f t="shared" si="173"/>
        <v>28666</v>
      </c>
      <c r="E75" s="108">
        <f t="shared" si="173"/>
        <v>30656</v>
      </c>
      <c r="F75" s="108">
        <f t="shared" si="173"/>
        <v>18915</v>
      </c>
      <c r="G75" s="108">
        <f t="shared" si="173"/>
        <v>28848</v>
      </c>
      <c r="H75" s="108">
        <f t="shared" si="173"/>
        <v>26640</v>
      </c>
      <c r="I75" s="108">
        <f t="shared" si="173"/>
        <v>30698</v>
      </c>
      <c r="J75" s="108">
        <f t="shared" ref="J75:O75" si="174">SUM(J62:J74)</f>
        <v>39113</v>
      </c>
      <c r="K75" s="108">
        <f t="shared" si="174"/>
        <v>36150</v>
      </c>
      <c r="L75" s="108">
        <f t="shared" si="174"/>
        <v>27747</v>
      </c>
      <c r="M75" s="108">
        <f t="shared" si="174"/>
        <v>48414</v>
      </c>
      <c r="N75" s="108">
        <f t="shared" si="174"/>
        <v>52402</v>
      </c>
      <c r="O75" s="108">
        <f t="shared" si="174"/>
        <v>0</v>
      </c>
      <c r="P75" s="108">
        <f t="shared" ref="P75:Q75" si="175">SUM(P62:P74)</f>
        <v>0</v>
      </c>
      <c r="Q75" s="108">
        <f t="shared" si="175"/>
        <v>0</v>
      </c>
      <c r="X75" s="108">
        <f t="shared" ref="X75" si="176">SUM(X62:X74)</f>
        <v>0</v>
      </c>
      <c r="Y75" s="108">
        <f t="shared" ref="Y75" si="177">SUM(Y62:Y74)</f>
        <v>101746</v>
      </c>
      <c r="Z75" s="108">
        <f t="shared" ref="Z75" si="178">SUM(Z62:Z74)</f>
        <v>125299</v>
      </c>
      <c r="AA75" s="108">
        <f t="shared" ref="AA75:AB75" si="179">SUM(AA62:AA74)</f>
        <v>164713</v>
      </c>
      <c r="AB75" s="108">
        <f t="shared" si="179"/>
        <v>0</v>
      </c>
    </row>
    <row r="76" spans="2:28" s="98" customFormat="1" x14ac:dyDescent="0.25">
      <c r="B76" s="98" t="s">
        <v>852</v>
      </c>
      <c r="C76" s="98">
        <v>-6289</v>
      </c>
      <c r="D76" s="98">
        <v>-6888</v>
      </c>
      <c r="E76" s="98">
        <v>-8055</v>
      </c>
      <c r="F76" s="98">
        <v>-11019</v>
      </c>
      <c r="G76" s="98">
        <v>-12012</v>
      </c>
      <c r="H76" s="98">
        <v>-13186</v>
      </c>
      <c r="I76" s="98">
        <v>-13061</v>
      </c>
      <c r="J76" s="98">
        <v>-14276</v>
      </c>
      <c r="K76" s="98">
        <v>-17197</v>
      </c>
      <c r="L76" s="98">
        <v>-22446</v>
      </c>
      <c r="M76" s="98">
        <v>-23953</v>
      </c>
      <c r="N76" s="98">
        <v>-27851</v>
      </c>
      <c r="Y76" s="98">
        <f t="shared" ref="Y76:Y80" si="180">+SUM(C76:F76)</f>
        <v>-32251</v>
      </c>
      <c r="Z76" s="98">
        <f t="shared" ref="Z76:Z80" si="181">+SUM(G76:J76)</f>
        <v>-52535</v>
      </c>
      <c r="AA76" s="98">
        <f t="shared" ref="AA76:AA80" si="182">SUM(K76:N76)</f>
        <v>-91447</v>
      </c>
      <c r="AB76" s="167" t="s">
        <v>1060</v>
      </c>
    </row>
    <row r="77" spans="2:28" s="98" customFormat="1" x14ac:dyDescent="0.25">
      <c r="B77" s="98" t="s">
        <v>853</v>
      </c>
      <c r="C77" s="98">
        <f>-14227+18327</f>
        <v>4100</v>
      </c>
      <c r="D77" s="98">
        <f>-21362+18722</f>
        <v>-2640</v>
      </c>
      <c r="E77" s="98">
        <f>-13833+15593</f>
        <v>1760</v>
      </c>
      <c r="F77" s="98">
        <f>-28436+34030</f>
        <v>5594</v>
      </c>
      <c r="G77" s="98">
        <f>-20684+24985</f>
        <v>4301</v>
      </c>
      <c r="H77" s="98">
        <f>-22327+33592</f>
        <v>11265</v>
      </c>
      <c r="I77" s="98">
        <f>-22023+23202</f>
        <v>1179</v>
      </c>
      <c r="J77" s="98">
        <f>-21645+21649</f>
        <v>4</v>
      </c>
      <c r="K77" s="98">
        <f>-18453+20345</f>
        <v>1892</v>
      </c>
      <c r="L77" s="98">
        <f>-21417+20585</f>
        <v>-832</v>
      </c>
      <c r="M77" s="98">
        <v>-593</v>
      </c>
      <c r="N77" s="98">
        <f>-42939+21939</f>
        <v>-21000</v>
      </c>
      <c r="Y77" s="98">
        <f t="shared" si="180"/>
        <v>8814</v>
      </c>
      <c r="Z77" s="98">
        <f t="shared" si="181"/>
        <v>16749</v>
      </c>
      <c r="AA77" s="98">
        <f t="shared" si="182"/>
        <v>-20533</v>
      </c>
    </row>
    <row r="78" spans="2:28" s="98" customFormat="1" x14ac:dyDescent="0.25">
      <c r="B78" s="98" t="s">
        <v>854</v>
      </c>
      <c r="C78" s="98">
        <f>-626+36</f>
        <v>-590</v>
      </c>
      <c r="D78" s="98">
        <f>-887+145</f>
        <v>-742</v>
      </c>
      <c r="E78" s="98">
        <f>-663+562</f>
        <v>-101</v>
      </c>
      <c r="F78" s="98">
        <f>-851+204</f>
        <v>-647</v>
      </c>
      <c r="G78" s="98">
        <f>-1206+313</f>
        <v>-893</v>
      </c>
      <c r="H78" s="98">
        <f>-993+292</f>
        <v>-701</v>
      </c>
      <c r="I78" s="98">
        <f>-1035+127</f>
        <v>-908</v>
      </c>
      <c r="J78" s="98">
        <f>-1800+150</f>
        <v>-1650</v>
      </c>
      <c r="K78" s="98">
        <f>-958+259</f>
        <v>-699</v>
      </c>
      <c r="L78" s="98">
        <f>-1354+614</f>
        <v>-740</v>
      </c>
      <c r="M78" s="98">
        <v>-677</v>
      </c>
      <c r="N78" s="98">
        <f>-2404+171</f>
        <v>-2233</v>
      </c>
      <c r="Y78" s="98">
        <f t="shared" si="180"/>
        <v>-2080</v>
      </c>
      <c r="Z78" s="98">
        <f t="shared" si="181"/>
        <v>-4152</v>
      </c>
      <c r="AA78" s="98">
        <f t="shared" si="182"/>
        <v>-4349</v>
      </c>
    </row>
    <row r="79" spans="2:28" s="98" customFormat="1" x14ac:dyDescent="0.25">
      <c r="B79" s="98" t="s">
        <v>520</v>
      </c>
      <c r="C79" s="98">
        <v>-42</v>
      </c>
      <c r="D79" s="98">
        <v>-298</v>
      </c>
      <c r="E79" s="98">
        <v>-126</v>
      </c>
      <c r="F79" s="98">
        <v>-29</v>
      </c>
      <c r="G79" s="98">
        <v>-61</v>
      </c>
      <c r="H79" s="98">
        <v>-26</v>
      </c>
      <c r="I79" s="98">
        <v>-2753</v>
      </c>
      <c r="J79" s="98">
        <v>-91</v>
      </c>
      <c r="K79" s="98">
        <v>-340</v>
      </c>
      <c r="L79" s="98">
        <v>-13</v>
      </c>
      <c r="M79" s="98">
        <v>-1072</v>
      </c>
      <c r="N79" s="98">
        <v>-167</v>
      </c>
      <c r="Y79" s="98">
        <f t="shared" si="180"/>
        <v>-495</v>
      </c>
      <c r="Z79" s="98">
        <f t="shared" si="181"/>
        <v>-2931</v>
      </c>
      <c r="AA79" s="98">
        <f t="shared" si="182"/>
        <v>-1592</v>
      </c>
    </row>
    <row r="80" spans="2:28" s="98" customFormat="1" x14ac:dyDescent="0.25">
      <c r="B80" s="98" t="s">
        <v>421</v>
      </c>
      <c r="C80" s="98">
        <v>-125</v>
      </c>
      <c r="D80" s="98">
        <v>-232</v>
      </c>
      <c r="E80" s="98">
        <v>-628</v>
      </c>
      <c r="F80" s="98">
        <v>-66</v>
      </c>
      <c r="G80" s="98">
        <v>101</v>
      </c>
      <c r="H80" s="98">
        <v>-133</v>
      </c>
      <c r="I80" s="98">
        <v>-2468</v>
      </c>
      <c r="J80" s="98">
        <v>-167</v>
      </c>
      <c r="K80" s="98">
        <v>150</v>
      </c>
      <c r="L80" s="98">
        <v>-513</v>
      </c>
      <c r="M80" s="98">
        <v>-1482</v>
      </c>
      <c r="N80" s="98">
        <v>-525</v>
      </c>
      <c r="Y80" s="98">
        <f t="shared" si="180"/>
        <v>-1051</v>
      </c>
      <c r="Z80" s="98">
        <f t="shared" si="181"/>
        <v>-2667</v>
      </c>
      <c r="AA80" s="98">
        <f t="shared" si="182"/>
        <v>-2370</v>
      </c>
    </row>
    <row r="81" spans="2:28" s="108" customFormat="1" x14ac:dyDescent="0.25">
      <c r="B81" s="108" t="s">
        <v>521</v>
      </c>
      <c r="C81" s="108">
        <f t="shared" ref="C81:I81" si="183">SUM(C76:C80)</f>
        <v>-2946</v>
      </c>
      <c r="D81" s="108">
        <f t="shared" si="183"/>
        <v>-10800</v>
      </c>
      <c r="E81" s="108">
        <f t="shared" si="183"/>
        <v>-7150</v>
      </c>
      <c r="F81" s="108">
        <f t="shared" si="183"/>
        <v>-6167</v>
      </c>
      <c r="G81" s="108">
        <f t="shared" si="183"/>
        <v>-8564</v>
      </c>
      <c r="H81" s="108">
        <f t="shared" si="183"/>
        <v>-2781</v>
      </c>
      <c r="I81" s="108">
        <f t="shared" si="183"/>
        <v>-18011</v>
      </c>
      <c r="J81" s="108">
        <f t="shared" ref="J81:O81" si="184">SUM(J76:J80)</f>
        <v>-16180</v>
      </c>
      <c r="K81" s="108">
        <f t="shared" si="184"/>
        <v>-16194</v>
      </c>
      <c r="L81" s="108">
        <f t="shared" si="184"/>
        <v>-24544</v>
      </c>
      <c r="M81" s="108">
        <f t="shared" si="184"/>
        <v>-27777</v>
      </c>
      <c r="N81" s="108">
        <f t="shared" si="184"/>
        <v>-51776</v>
      </c>
      <c r="O81" s="108">
        <f t="shared" si="184"/>
        <v>0</v>
      </c>
      <c r="P81" s="108">
        <f t="shared" ref="P81:Q81" si="185">SUM(P76:P80)</f>
        <v>0</v>
      </c>
      <c r="Q81" s="108">
        <f t="shared" si="185"/>
        <v>0</v>
      </c>
      <c r="X81" s="108">
        <f t="shared" ref="X81" si="186">SUM(X76:X80)</f>
        <v>0</v>
      </c>
      <c r="Y81" s="108">
        <f t="shared" ref="Y81" si="187">SUM(Y76:Y80)</f>
        <v>-27063</v>
      </c>
      <c r="Z81" s="108">
        <f t="shared" ref="Z81" si="188">SUM(Z76:Z80)</f>
        <v>-45536</v>
      </c>
      <c r="AA81" s="108">
        <f t="shared" ref="AA81:AB81" si="189">SUM(AA76:AA80)</f>
        <v>-120291</v>
      </c>
      <c r="AB81" s="108">
        <f t="shared" si="189"/>
        <v>0</v>
      </c>
    </row>
    <row r="82" spans="2:28" s="98" customFormat="1" x14ac:dyDescent="0.25">
      <c r="B82" s="98" t="s">
        <v>855</v>
      </c>
      <c r="C82" s="98">
        <v>-1989</v>
      </c>
      <c r="D82" s="98">
        <v>-2736</v>
      </c>
      <c r="E82" s="98">
        <v>-2432</v>
      </c>
      <c r="F82" s="98">
        <v>-2680</v>
      </c>
      <c r="G82" s="98">
        <v>-2929</v>
      </c>
      <c r="H82" s="98">
        <v>-3209</v>
      </c>
      <c r="I82" s="98">
        <v>-3003</v>
      </c>
      <c r="J82" s="98">
        <v>-3049</v>
      </c>
      <c r="K82" s="98">
        <v>-3110</v>
      </c>
      <c r="L82" s="98">
        <v>-2621</v>
      </c>
      <c r="M82" s="98">
        <v>-3270</v>
      </c>
      <c r="N82" s="98">
        <v>-5166</v>
      </c>
      <c r="Y82" s="98">
        <f t="shared" ref="Y82:Y86" si="190">+SUM(C82:F82)</f>
        <v>-9837</v>
      </c>
      <c r="Z82" s="98">
        <f t="shared" ref="Z82:Z86" si="191">+SUM(G82:J82)</f>
        <v>-12190</v>
      </c>
      <c r="AA82" s="98">
        <f t="shared" ref="AA82:AA86" si="192">SUM(K82:N82)</f>
        <v>-14167</v>
      </c>
    </row>
    <row r="83" spans="2:28" s="98" customFormat="1" x14ac:dyDescent="0.25">
      <c r="B83" s="98" t="s">
        <v>789</v>
      </c>
      <c r="C83" s="98">
        <v>-14557</v>
      </c>
      <c r="D83" s="98">
        <v>-14969</v>
      </c>
      <c r="E83" s="98">
        <v>-15787</v>
      </c>
      <c r="F83" s="98">
        <v>-16191</v>
      </c>
      <c r="G83" s="98">
        <v>-15696</v>
      </c>
      <c r="H83" s="98">
        <v>-15684</v>
      </c>
      <c r="I83" s="98">
        <v>-15291</v>
      </c>
      <c r="J83" s="98">
        <v>-15551</v>
      </c>
      <c r="K83" s="98">
        <v>-15068</v>
      </c>
      <c r="L83" s="98">
        <v>-13638</v>
      </c>
      <c r="M83" s="98">
        <v>-11504</v>
      </c>
      <c r="N83" s="98">
        <v>-5499</v>
      </c>
      <c r="Y83" s="98">
        <f t="shared" si="190"/>
        <v>-61504</v>
      </c>
      <c r="Z83" s="98">
        <f t="shared" si="191"/>
        <v>-62222</v>
      </c>
      <c r="AA83" s="98">
        <f t="shared" si="192"/>
        <v>-45709</v>
      </c>
    </row>
    <row r="84" spans="2:28" s="98" customFormat="1" x14ac:dyDescent="0.25">
      <c r="B84" s="98" t="s">
        <v>790</v>
      </c>
      <c r="E84" s="98">
        <v>1248</v>
      </c>
      <c r="H84" s="98">
        <v>-2466</v>
      </c>
      <c r="I84" s="98">
        <v>-2455</v>
      </c>
      <c r="J84" s="98">
        <v>-2442</v>
      </c>
      <c r="K84" s="98">
        <v>-2434</v>
      </c>
      <c r="L84" s="98">
        <v>-2543</v>
      </c>
      <c r="M84" s="98">
        <v>-2536</v>
      </c>
      <c r="N84" s="98">
        <v>-2536</v>
      </c>
      <c r="Y84" s="98">
        <f t="shared" si="190"/>
        <v>1248</v>
      </c>
      <c r="Z84" s="98">
        <f t="shared" si="191"/>
        <v>-7363</v>
      </c>
      <c r="AA84" s="98">
        <f t="shared" si="192"/>
        <v>-10049</v>
      </c>
    </row>
    <row r="85" spans="2:28" s="98" customFormat="1" x14ac:dyDescent="0.25">
      <c r="B85" s="98" t="s">
        <v>4</v>
      </c>
      <c r="C85" s="98">
        <f>6927-6952</f>
        <v>-25</v>
      </c>
      <c r="D85" s="98">
        <f>1123-1255</f>
        <v>-132</v>
      </c>
      <c r="E85" s="98">
        <v>-1414</v>
      </c>
      <c r="F85" s="98">
        <f>1492-1929</f>
        <v>-437</v>
      </c>
      <c r="G85" s="98">
        <f>-3079+1982</f>
        <v>-1097</v>
      </c>
      <c r="H85" s="98">
        <f>2893-2423</f>
        <v>470</v>
      </c>
      <c r="I85" s="98">
        <f>3819-3449</f>
        <v>370</v>
      </c>
      <c r="J85" s="98">
        <f>4895-3750</f>
        <v>1145</v>
      </c>
      <c r="K85" s="98">
        <f>4532-4521</f>
        <v>11</v>
      </c>
      <c r="L85" s="98">
        <f>26846-13876</f>
        <v>12970</v>
      </c>
      <c r="M85" s="98">
        <v>-1073</v>
      </c>
      <c r="N85" s="98">
        <f>26562-6333</f>
        <v>20229</v>
      </c>
      <c r="Y85" s="98">
        <f t="shared" si="190"/>
        <v>-2008</v>
      </c>
      <c r="Z85" s="98">
        <f t="shared" si="191"/>
        <v>888</v>
      </c>
      <c r="AA85" s="98">
        <f t="shared" si="192"/>
        <v>32137</v>
      </c>
    </row>
    <row r="86" spans="2:28" s="98" customFormat="1" x14ac:dyDescent="0.25">
      <c r="B86" s="98" t="s">
        <v>856</v>
      </c>
      <c r="C86" s="98">
        <v>3</v>
      </c>
      <c r="D86" s="98">
        <v>2</v>
      </c>
      <c r="E86" s="98">
        <v>3</v>
      </c>
      <c r="G86" s="98">
        <v>8</v>
      </c>
      <c r="I86" s="98">
        <v>285</v>
      </c>
      <c r="J86" s="98">
        <v>861</v>
      </c>
      <c r="K86" s="98">
        <v>400</v>
      </c>
      <c r="L86" s="98">
        <v>0</v>
      </c>
      <c r="M86" s="98">
        <v>0</v>
      </c>
      <c r="N86" s="98">
        <v>0</v>
      </c>
      <c r="Y86" s="98">
        <f t="shared" si="190"/>
        <v>8</v>
      </c>
      <c r="Z86" s="98">
        <f t="shared" si="191"/>
        <v>1154</v>
      </c>
      <c r="AA86" s="98">
        <f t="shared" si="192"/>
        <v>400</v>
      </c>
    </row>
    <row r="87" spans="2:28" s="108" customFormat="1" x14ac:dyDescent="0.25">
      <c r="B87" s="108" t="s">
        <v>518</v>
      </c>
      <c r="C87" s="108">
        <f t="shared" ref="C87:I87" si="193">SUM(C82:C86)</f>
        <v>-16568</v>
      </c>
      <c r="D87" s="108">
        <f t="shared" si="193"/>
        <v>-17835</v>
      </c>
      <c r="E87" s="108">
        <f t="shared" si="193"/>
        <v>-18382</v>
      </c>
      <c r="F87" s="108">
        <f t="shared" si="193"/>
        <v>-19308</v>
      </c>
      <c r="G87" s="108">
        <f t="shared" si="193"/>
        <v>-19714</v>
      </c>
      <c r="H87" s="108">
        <f t="shared" si="193"/>
        <v>-20889</v>
      </c>
      <c r="I87" s="108">
        <f t="shared" si="193"/>
        <v>-20094</v>
      </c>
      <c r="J87" s="108">
        <f t="shared" ref="J87:O87" si="194">SUM(J82:J86)</f>
        <v>-19036</v>
      </c>
      <c r="K87" s="108">
        <f t="shared" si="194"/>
        <v>-20201</v>
      </c>
      <c r="L87" s="108">
        <f t="shared" si="194"/>
        <v>-5832</v>
      </c>
      <c r="M87" s="108">
        <f t="shared" si="194"/>
        <v>-18383</v>
      </c>
      <c r="N87" s="108">
        <f t="shared" si="194"/>
        <v>7028</v>
      </c>
      <c r="O87" s="108">
        <f t="shared" si="194"/>
        <v>0</v>
      </c>
      <c r="P87" s="108">
        <f t="shared" ref="P87:Q87" si="195">SUM(P82:P86)</f>
        <v>0</v>
      </c>
      <c r="Q87" s="108">
        <f t="shared" si="195"/>
        <v>0</v>
      </c>
      <c r="X87" s="108">
        <f t="shared" ref="X87" si="196">SUM(X82:X86)</f>
        <v>0</v>
      </c>
      <c r="Y87" s="108">
        <f t="shared" ref="Y87" si="197">SUM(Y82:Y86)</f>
        <v>-72093</v>
      </c>
      <c r="Z87" s="108">
        <f t="shared" ref="Z87" si="198">SUM(Z82:Z86)</f>
        <v>-79733</v>
      </c>
      <c r="AA87" s="108">
        <f t="shared" ref="AA87:AB87" si="199">SUM(AA82:AA86)</f>
        <v>-37388</v>
      </c>
      <c r="AB87" s="108">
        <f t="shared" si="199"/>
        <v>0</v>
      </c>
    </row>
    <row r="88" spans="2:28" s="98" customFormat="1" x14ac:dyDescent="0.25">
      <c r="B88" s="98" t="s">
        <v>787</v>
      </c>
      <c r="C88" s="98">
        <v>50</v>
      </c>
      <c r="D88" s="98">
        <v>-26</v>
      </c>
      <c r="E88" s="98">
        <v>-351</v>
      </c>
      <c r="F88" s="98">
        <v>-94</v>
      </c>
      <c r="G88" s="98">
        <v>-125</v>
      </c>
      <c r="H88" s="98">
        <v>-238</v>
      </c>
      <c r="I88" s="98">
        <v>141</v>
      </c>
      <c r="J88" s="98">
        <v>-390</v>
      </c>
      <c r="K88" s="98">
        <v>43</v>
      </c>
      <c r="L88" s="98">
        <v>401</v>
      </c>
      <c r="M88" s="98">
        <v>-200</v>
      </c>
      <c r="N88" s="98">
        <v>-36</v>
      </c>
      <c r="Y88" s="98">
        <f t="shared" ref="Y88" si="200">+SUM(C88:F88)</f>
        <v>-421</v>
      </c>
      <c r="Z88" s="98">
        <f t="shared" ref="Z88" si="201">+SUM(G88:J88)</f>
        <v>-612</v>
      </c>
      <c r="AA88" s="98">
        <f t="shared" ref="AA88" si="202">SUM(K88:N88)</f>
        <v>208</v>
      </c>
    </row>
    <row r="89" spans="2:28" s="108" customFormat="1" x14ac:dyDescent="0.25">
      <c r="B89" s="108" t="s">
        <v>522</v>
      </c>
      <c r="C89" s="108">
        <f t="shared" ref="C89:I89" si="203">C87+C88+C81+C75</f>
        <v>4045</v>
      </c>
      <c r="D89" s="108">
        <f t="shared" si="203"/>
        <v>5</v>
      </c>
      <c r="E89" s="108">
        <f t="shared" si="203"/>
        <v>4773</v>
      </c>
      <c r="F89" s="108">
        <f t="shared" si="203"/>
        <v>-6654</v>
      </c>
      <c r="G89" s="108">
        <f t="shared" si="203"/>
        <v>445</v>
      </c>
      <c r="H89" s="108">
        <f t="shared" si="203"/>
        <v>2732</v>
      </c>
      <c r="I89" s="108">
        <f t="shared" si="203"/>
        <v>-7266</v>
      </c>
      <c r="J89" s="108">
        <f t="shared" ref="J89:O89" si="204">J87+J88+J81+J75</f>
        <v>3507</v>
      </c>
      <c r="K89" s="108">
        <f t="shared" si="204"/>
        <v>-202</v>
      </c>
      <c r="L89" s="108">
        <f t="shared" si="204"/>
        <v>-2228</v>
      </c>
      <c r="M89" s="108">
        <f t="shared" si="204"/>
        <v>2054</v>
      </c>
      <c r="N89" s="108">
        <f t="shared" si="204"/>
        <v>7618</v>
      </c>
      <c r="O89" s="108">
        <f t="shared" si="204"/>
        <v>0</v>
      </c>
      <c r="P89" s="108">
        <f t="shared" ref="P89:Q89" si="205">P87+P88+P81+P75</f>
        <v>0</v>
      </c>
      <c r="Q89" s="108">
        <f t="shared" si="205"/>
        <v>0</v>
      </c>
      <c r="X89" s="108">
        <f t="shared" ref="X89" si="206">X87+X88+X81+X75</f>
        <v>0</v>
      </c>
      <c r="Y89" s="108">
        <f t="shared" ref="Y89" si="207">Y87+Y88+Y81+Y75</f>
        <v>2169</v>
      </c>
      <c r="Z89" s="108">
        <f t="shared" ref="Z89" si="208">Z87+Z88+Z81+Z75</f>
        <v>-582</v>
      </c>
      <c r="AA89" s="108">
        <f t="shared" ref="AA89:AB89" si="209">AA87+AA88+AA81+AA75</f>
        <v>7242</v>
      </c>
      <c r="AB89" s="108">
        <f t="shared" si="209"/>
        <v>0</v>
      </c>
    </row>
    <row r="90" spans="2:28" x14ac:dyDescent="0.25">
      <c r="C90" s="98"/>
      <c r="D90" s="98"/>
      <c r="E90" s="98"/>
      <c r="F90" s="98"/>
      <c r="G90" s="98"/>
      <c r="H90" s="98"/>
      <c r="I90" s="98"/>
      <c r="J90" s="98"/>
    </row>
    <row r="91" spans="2:28" x14ac:dyDescent="0.25">
      <c r="C91" s="98"/>
      <c r="D91" s="98"/>
      <c r="E91" s="98"/>
      <c r="F91" s="98"/>
      <c r="G91" s="98"/>
      <c r="H91" s="98"/>
      <c r="I91" s="98"/>
      <c r="J91" s="98"/>
    </row>
    <row r="92" spans="2:28" s="96" customFormat="1" x14ac:dyDescent="0.25">
      <c r="B92" s="96" t="s">
        <v>523</v>
      </c>
      <c r="C92" s="108">
        <f t="shared" ref="C92:I92" si="210">C75+C76</f>
        <v>17220</v>
      </c>
      <c r="D92" s="108">
        <f t="shared" si="210"/>
        <v>21778</v>
      </c>
      <c r="E92" s="108">
        <f t="shared" si="210"/>
        <v>22601</v>
      </c>
      <c r="F92" s="108">
        <f t="shared" si="210"/>
        <v>7896</v>
      </c>
      <c r="G92" s="108">
        <f t="shared" si="210"/>
        <v>16836</v>
      </c>
      <c r="H92" s="108">
        <f t="shared" si="210"/>
        <v>13454</v>
      </c>
      <c r="I92" s="108">
        <f t="shared" si="210"/>
        <v>17637</v>
      </c>
      <c r="J92" s="108">
        <f>J75+J76</f>
        <v>24837</v>
      </c>
      <c r="K92" s="108">
        <f t="shared" ref="K92" si="211">K75+K76</f>
        <v>18953</v>
      </c>
      <c r="L92" s="108">
        <f>L75+L76</f>
        <v>5301</v>
      </c>
      <c r="M92" s="108">
        <f t="shared" ref="M92:N92" si="212">M75+M76</f>
        <v>24461</v>
      </c>
      <c r="N92" s="108">
        <f t="shared" si="212"/>
        <v>24551</v>
      </c>
      <c r="O92" s="108">
        <f t="shared" ref="O92:Q92" si="213">O75+O76</f>
        <v>0</v>
      </c>
      <c r="P92" s="108">
        <f t="shared" si="213"/>
        <v>0</v>
      </c>
      <c r="Q92" s="108">
        <f t="shared" si="213"/>
        <v>0</v>
      </c>
      <c r="R92" s="108"/>
      <c r="S92" s="108"/>
      <c r="T92" s="108"/>
      <c r="U92" s="108"/>
      <c r="V92" s="108"/>
      <c r="X92" s="108">
        <f t="shared" ref="X92:AA92" si="214">X75+X76</f>
        <v>0</v>
      </c>
      <c r="Y92" s="108">
        <f t="shared" si="214"/>
        <v>69495</v>
      </c>
      <c r="Z92" s="108">
        <f t="shared" si="214"/>
        <v>72764</v>
      </c>
      <c r="AA92" s="108">
        <f t="shared" si="214"/>
        <v>73266</v>
      </c>
      <c r="AB92" s="108" t="e">
        <f t="shared" ref="AB92" si="215">AB75+AB76</f>
        <v>#VALUE!</v>
      </c>
    </row>
    <row r="93" spans="2:28" x14ac:dyDescent="0.25">
      <c r="B93" s="93" t="s">
        <v>831</v>
      </c>
      <c r="C93" s="102">
        <f t="shared" ref="C93:I93" si="216">-C76/C61</f>
        <v>0.41784599029964786</v>
      </c>
      <c r="D93" s="102">
        <f t="shared" si="216"/>
        <v>0.375</v>
      </c>
      <c r="E93" s="102">
        <f t="shared" si="216"/>
        <v>0.40911168672863019</v>
      </c>
      <c r="F93" s="102">
        <f t="shared" si="216"/>
        <v>0.53265335718083817</v>
      </c>
      <c r="G93" s="102">
        <f t="shared" si="216"/>
        <v>0.50764939565548139</v>
      </c>
      <c r="H93" s="102">
        <f t="shared" si="216"/>
        <v>0.55827935136966</v>
      </c>
      <c r="I93" s="102">
        <f t="shared" si="216"/>
        <v>0.49659708756321053</v>
      </c>
      <c r="J93" s="102">
        <f>-J76/J61</f>
        <v>0.5379861320470305</v>
      </c>
      <c r="K93" s="102">
        <f>-K76/K61</f>
        <v>0.49788650839606252</v>
      </c>
      <c r="L93" s="102">
        <f>-L76/L61</f>
        <v>0.79607036459072211</v>
      </c>
      <c r="M93" s="102">
        <f t="shared" ref="M93:N93" si="217">-M76/M61</f>
        <v>0.68478229795019874</v>
      </c>
      <c r="N93" s="102">
        <f t="shared" si="217"/>
        <v>0.80832970541285731</v>
      </c>
      <c r="O93" s="102">
        <f t="shared" ref="O93:Q93" si="218">-O76/O61</f>
        <v>0</v>
      </c>
      <c r="P93" s="102">
        <f t="shared" si="218"/>
        <v>0</v>
      </c>
      <c r="Q93" s="102">
        <f t="shared" si="218"/>
        <v>0</v>
      </c>
      <c r="R93" s="102"/>
      <c r="S93" s="102"/>
      <c r="T93" s="102"/>
      <c r="U93" s="102"/>
      <c r="V93" s="102"/>
      <c r="X93" s="102">
        <f t="shared" ref="X93:AA93" si="219">-X76/X61</f>
        <v>0</v>
      </c>
      <c r="Y93" s="102">
        <f t="shared" si="219"/>
        <v>0.43703502947354156</v>
      </c>
      <c r="Z93" s="102">
        <f t="shared" si="219"/>
        <v>0.52473081763519047</v>
      </c>
      <c r="AA93" s="102">
        <f t="shared" si="219"/>
        <v>0.69188923356283571</v>
      </c>
      <c r="AB93" s="102" t="e">
        <f t="shared" ref="AB93" si="220">-AB76/AB61</f>
        <v>#VALUE!</v>
      </c>
    </row>
    <row r="94" spans="2:28" x14ac:dyDescent="0.25">
      <c r="C94" s="98"/>
      <c r="D94" s="98"/>
      <c r="E94" s="98"/>
      <c r="F94" s="98"/>
      <c r="G94" s="98"/>
      <c r="H94" s="98"/>
      <c r="I94" s="98"/>
      <c r="J94" s="98"/>
    </row>
    <row r="98" spans="2:22" x14ac:dyDescent="0.25">
      <c r="B98" s="96" t="s">
        <v>879</v>
      </c>
    </row>
    <row r="99" spans="2:22" x14ac:dyDescent="0.25">
      <c r="B99" s="93" t="s">
        <v>880</v>
      </c>
      <c r="G99" s="98">
        <v>46156</v>
      </c>
      <c r="H99" s="98">
        <v>48509</v>
      </c>
      <c r="I99" s="98">
        <v>49385</v>
      </c>
      <c r="J99" s="93">
        <v>54034</v>
      </c>
      <c r="K99" s="98">
        <v>50702</v>
      </c>
      <c r="L99" s="98">
        <v>54190</v>
      </c>
      <c r="M99" s="98">
        <v>56567</v>
      </c>
      <c r="N99" s="98">
        <v>63073</v>
      </c>
      <c r="O99" s="98"/>
      <c r="P99" s="98"/>
      <c r="Q99" s="98"/>
      <c r="R99" s="98"/>
      <c r="S99" s="98"/>
      <c r="T99" s="98"/>
      <c r="U99" s="98"/>
      <c r="V99" s="98"/>
    </row>
    <row r="100" spans="2:22" x14ac:dyDescent="0.25">
      <c r="B100" s="93" t="s">
        <v>881</v>
      </c>
      <c r="G100" s="98">
        <v>8090</v>
      </c>
      <c r="H100" s="98">
        <v>8663</v>
      </c>
      <c r="I100" s="98">
        <v>8921</v>
      </c>
      <c r="J100" s="93">
        <v>10473</v>
      </c>
      <c r="K100" s="98">
        <v>8927</v>
      </c>
      <c r="L100" s="98">
        <v>9796</v>
      </c>
      <c r="M100" s="98">
        <v>10261</v>
      </c>
      <c r="N100" s="98">
        <v>11383</v>
      </c>
      <c r="O100" s="98"/>
      <c r="P100" s="98"/>
      <c r="Q100" s="98"/>
      <c r="R100" s="98"/>
      <c r="S100" s="98"/>
      <c r="T100" s="98"/>
      <c r="U100" s="98"/>
      <c r="V100" s="98"/>
    </row>
    <row r="101" spans="2:22" x14ac:dyDescent="0.25">
      <c r="B101" s="93" t="s">
        <v>889</v>
      </c>
      <c r="G101" s="98">
        <v>7413</v>
      </c>
      <c r="H101" s="98">
        <v>7444</v>
      </c>
      <c r="I101" s="98">
        <v>7548</v>
      </c>
      <c r="J101" s="93">
        <v>7954</v>
      </c>
      <c r="K101" s="98">
        <v>7256</v>
      </c>
      <c r="L101" s="98">
        <v>7354</v>
      </c>
      <c r="M101" s="98">
        <v>7354</v>
      </c>
      <c r="N101" s="98">
        <v>7828</v>
      </c>
      <c r="O101" s="98"/>
      <c r="P101" s="98"/>
      <c r="Q101" s="98"/>
      <c r="R101" s="98"/>
      <c r="S101" s="98"/>
      <c r="T101" s="98"/>
      <c r="U101" s="98"/>
      <c r="V101" s="98"/>
    </row>
    <row r="102" spans="2:22" x14ac:dyDescent="0.25">
      <c r="B102" s="96" t="s">
        <v>882</v>
      </c>
      <c r="G102" s="108">
        <f>SUM(G99:G101)</f>
        <v>61659</v>
      </c>
      <c r="H102" s="108">
        <f>SUM(H99:H101)</f>
        <v>64616</v>
      </c>
      <c r="I102" s="108">
        <f>SUM(I99:I101)</f>
        <v>65854</v>
      </c>
      <c r="J102" s="108">
        <f t="shared" ref="J102" si="221">SUM(J99:J101)</f>
        <v>72461</v>
      </c>
      <c r="K102" s="108">
        <f>SUM(K99:K101)</f>
        <v>66885</v>
      </c>
      <c r="L102" s="108">
        <f>SUM(L99:L101)</f>
        <v>71340</v>
      </c>
      <c r="M102" s="108">
        <f>SUM(M99:M101)</f>
        <v>74182</v>
      </c>
      <c r="N102" s="108">
        <f t="shared" ref="N102:O102" si="222">SUM(N99:N101)</f>
        <v>82284</v>
      </c>
      <c r="O102" s="108">
        <f t="shared" si="222"/>
        <v>0</v>
      </c>
      <c r="P102" s="108"/>
      <c r="Q102" s="108"/>
      <c r="R102" s="108"/>
      <c r="S102" s="108"/>
      <c r="T102" s="108"/>
      <c r="U102" s="108"/>
      <c r="V102" s="108"/>
    </row>
    <row r="103" spans="2:22" x14ac:dyDescent="0.25">
      <c r="B103" s="93" t="s">
        <v>883</v>
      </c>
      <c r="G103" s="98">
        <v>8739</v>
      </c>
      <c r="H103" s="98">
        <v>9312</v>
      </c>
      <c r="I103" s="98">
        <v>10656</v>
      </c>
      <c r="J103" s="93">
        <v>11633</v>
      </c>
      <c r="K103" s="98">
        <v>10379</v>
      </c>
      <c r="L103" s="98">
        <v>11203</v>
      </c>
      <c r="M103" s="98">
        <v>12870</v>
      </c>
      <c r="N103" s="93">
        <v>13578</v>
      </c>
      <c r="P103" s="98"/>
      <c r="Q103" s="98"/>
      <c r="R103" s="98"/>
      <c r="S103" s="98"/>
      <c r="T103" s="98"/>
      <c r="U103" s="98"/>
      <c r="V103" s="98"/>
    </row>
    <row r="104" spans="2:22" x14ac:dyDescent="0.25">
      <c r="B104" s="96" t="s">
        <v>884</v>
      </c>
      <c r="G104" s="108">
        <f>SUM(G102:G103)</f>
        <v>70398</v>
      </c>
      <c r="H104" s="108">
        <f>SUM(H102:H103)</f>
        <v>73928</v>
      </c>
      <c r="I104" s="108">
        <f>SUM(I102:I103)</f>
        <v>76510</v>
      </c>
      <c r="J104" s="108">
        <f t="shared" ref="J104" si="223">SUM(J102:J103)</f>
        <v>84094</v>
      </c>
      <c r="K104" s="108">
        <f>SUM(K102:K103)</f>
        <v>77264</v>
      </c>
      <c r="L104" s="108">
        <f>SUM(L102:L103)</f>
        <v>82543</v>
      </c>
      <c r="M104" s="108">
        <f>SUM(M102:M103)</f>
        <v>87052</v>
      </c>
      <c r="N104" s="108">
        <f t="shared" ref="N104:O104" si="224">SUM(N102:N103)</f>
        <v>95862</v>
      </c>
      <c r="O104" s="108">
        <f t="shared" si="224"/>
        <v>0</v>
      </c>
      <c r="P104" s="108"/>
      <c r="Q104" s="108"/>
      <c r="R104" s="108"/>
      <c r="S104" s="108"/>
      <c r="T104" s="108"/>
      <c r="U104" s="108"/>
      <c r="V104" s="108"/>
    </row>
    <row r="105" spans="2:22" x14ac:dyDescent="0.25">
      <c r="B105" s="93" t="s">
        <v>885</v>
      </c>
      <c r="G105" s="98">
        <v>9574</v>
      </c>
      <c r="H105" s="98">
        <v>10347</v>
      </c>
      <c r="I105" s="98">
        <v>11353</v>
      </c>
      <c r="J105" s="93">
        <v>11955</v>
      </c>
      <c r="K105" s="98">
        <v>12260</v>
      </c>
      <c r="L105" s="98">
        <v>13624</v>
      </c>
      <c r="M105" s="98">
        <v>15157</v>
      </c>
      <c r="N105" s="98">
        <v>17664</v>
      </c>
      <c r="P105" s="98"/>
      <c r="Q105" s="98"/>
      <c r="R105" s="98"/>
      <c r="S105" s="98"/>
      <c r="T105" s="98"/>
      <c r="U105" s="98"/>
      <c r="V105" s="98"/>
    </row>
    <row r="106" spans="2:22" x14ac:dyDescent="0.25">
      <c r="B106" s="93" t="s">
        <v>886</v>
      </c>
      <c r="G106" s="98">
        <v>495</v>
      </c>
      <c r="H106" s="98">
        <v>365</v>
      </c>
      <c r="I106" s="98">
        <v>388</v>
      </c>
      <c r="J106" s="93">
        <v>400</v>
      </c>
      <c r="K106" s="98">
        <v>450</v>
      </c>
      <c r="L106" s="98">
        <v>373</v>
      </c>
      <c r="M106" s="98">
        <v>344</v>
      </c>
      <c r="N106" s="98">
        <v>370</v>
      </c>
      <c r="P106" s="98"/>
      <c r="Q106" s="98"/>
      <c r="R106" s="98"/>
      <c r="S106" s="98"/>
      <c r="T106" s="98"/>
      <c r="U106" s="98"/>
      <c r="V106" s="98"/>
    </row>
    <row r="107" spans="2:22" x14ac:dyDescent="0.25">
      <c r="B107" s="93" t="s">
        <v>887</v>
      </c>
      <c r="G107" s="98">
        <v>72</v>
      </c>
      <c r="H107" s="98">
        <v>102</v>
      </c>
      <c r="I107" s="98">
        <v>17</v>
      </c>
      <c r="J107" s="93">
        <v>20</v>
      </c>
      <c r="K107" s="98">
        <v>260</v>
      </c>
      <c r="L107" s="98">
        <v>-112</v>
      </c>
      <c r="M107" s="98">
        <v>-207</v>
      </c>
      <c r="N107" s="98">
        <v>-68</v>
      </c>
      <c r="P107" s="98"/>
      <c r="Q107" s="98"/>
      <c r="R107" s="98"/>
      <c r="S107" s="98"/>
      <c r="T107" s="98"/>
      <c r="U107" s="98"/>
      <c r="V107" s="98"/>
    </row>
    <row r="108" spans="2:22" x14ac:dyDescent="0.25">
      <c r="B108" s="125" t="s">
        <v>888</v>
      </c>
      <c r="G108" s="108">
        <f>SUM(G104:G107)</f>
        <v>80539</v>
      </c>
      <c r="H108" s="108">
        <f>SUM(H104:H107)</f>
        <v>84742</v>
      </c>
      <c r="I108" s="108">
        <f>SUM(I104:I107)</f>
        <v>88268</v>
      </c>
      <c r="J108" s="108">
        <f t="shared" ref="J108" si="225">SUM(J104:J107)</f>
        <v>96469</v>
      </c>
      <c r="K108" s="108">
        <f>SUM(K104:K107)</f>
        <v>90234</v>
      </c>
      <c r="L108" s="108">
        <f>SUM(L104:L107)</f>
        <v>96428</v>
      </c>
      <c r="M108" s="108">
        <f>SUM(M104:M107)</f>
        <v>102346</v>
      </c>
      <c r="N108" s="108">
        <f>SUM(N104:N107)</f>
        <v>113828</v>
      </c>
      <c r="O108" s="108">
        <f t="shared" ref="O108" si="226">SUM(O104:O107)</f>
        <v>0</v>
      </c>
      <c r="P108" s="108"/>
      <c r="Q108" s="108"/>
      <c r="R108" s="108"/>
      <c r="S108" s="108"/>
      <c r="T108" s="108"/>
      <c r="U108" s="108"/>
      <c r="V108" s="108"/>
    </row>
    <row r="110" spans="2:22" x14ac:dyDescent="0.25">
      <c r="B110" s="96" t="s">
        <v>895</v>
      </c>
    </row>
    <row r="111" spans="2:22" x14ac:dyDescent="0.25">
      <c r="B111" s="93" t="s">
        <v>880</v>
      </c>
      <c r="I111" s="102"/>
      <c r="J111" s="102"/>
      <c r="K111" s="102">
        <f>K99/G99-1</f>
        <v>9.8492070370049367E-2</v>
      </c>
      <c r="L111" s="102">
        <f>L99/H99-1</f>
        <v>0.11711228844132027</v>
      </c>
      <c r="M111" s="102">
        <f>M99/I99-1</f>
        <v>0.14542877391920617</v>
      </c>
      <c r="N111" s="102">
        <f>N99/J99-1</f>
        <v>0.1672835622015767</v>
      </c>
      <c r="O111" s="102">
        <f>O99/K99-1</f>
        <v>-1</v>
      </c>
      <c r="P111" s="102"/>
      <c r="Q111" s="102"/>
      <c r="R111" s="102"/>
      <c r="S111" s="102"/>
      <c r="T111" s="102"/>
      <c r="U111" s="102"/>
      <c r="V111" s="102"/>
    </row>
    <row r="112" spans="2:22" x14ac:dyDescent="0.25">
      <c r="B112" s="93" t="s">
        <v>881</v>
      </c>
      <c r="I112" s="102"/>
      <c r="J112" s="102"/>
      <c r="K112" s="102">
        <f t="shared" ref="K112:O113" si="227">K100/G100-1</f>
        <v>0.10346106304079106</v>
      </c>
      <c r="L112" s="102">
        <f t="shared" si="227"/>
        <v>0.1307861018123051</v>
      </c>
      <c r="M112" s="102">
        <f t="shared" si="227"/>
        <v>0.15020737585472488</v>
      </c>
      <c r="N112" s="102">
        <f t="shared" si="227"/>
        <v>8.6890098348133327E-2</v>
      </c>
      <c r="O112" s="102">
        <f t="shared" si="227"/>
        <v>-1</v>
      </c>
      <c r="P112" s="102"/>
      <c r="Q112" s="102"/>
      <c r="R112" s="102"/>
      <c r="S112" s="102"/>
      <c r="T112" s="102"/>
      <c r="U112" s="102"/>
      <c r="V112" s="102"/>
    </row>
    <row r="113" spans="2:22" x14ac:dyDescent="0.25">
      <c r="B113" s="93" t="s">
        <v>889</v>
      </c>
      <c r="I113" s="102"/>
      <c r="J113" s="102"/>
      <c r="K113" s="102">
        <f t="shared" si="227"/>
        <v>-2.1179009847565045E-2</v>
      </c>
      <c r="L113" s="102">
        <f t="shared" si="227"/>
        <v>-1.2090274046211769E-2</v>
      </c>
      <c r="M113" s="102">
        <f t="shared" si="227"/>
        <v>-2.5702172760996289E-2</v>
      </c>
      <c r="N113" s="102">
        <f t="shared" si="227"/>
        <v>-1.584108624591396E-2</v>
      </c>
      <c r="O113" s="102">
        <f t="shared" si="227"/>
        <v>-1</v>
      </c>
      <c r="P113" s="102"/>
      <c r="Q113" s="102"/>
      <c r="R113" s="102"/>
      <c r="S113" s="102"/>
      <c r="T113" s="102"/>
      <c r="U113" s="102"/>
      <c r="V113" s="102"/>
    </row>
    <row r="114" spans="2:22" x14ac:dyDescent="0.25">
      <c r="B114" s="93" t="s">
        <v>883</v>
      </c>
      <c r="I114" s="102"/>
      <c r="J114" s="102"/>
      <c r="K114" s="102">
        <f>K103/G103-1</f>
        <v>0.18766449250486317</v>
      </c>
      <c r="L114" s="102">
        <f>L103/H103-1</f>
        <v>0.20307130584192445</v>
      </c>
      <c r="M114" s="102">
        <f>M103/I103-1</f>
        <v>0.20777027027027017</v>
      </c>
      <c r="N114" s="102">
        <f>N103/J103-1</f>
        <v>0.1671967678156967</v>
      </c>
      <c r="O114" s="102">
        <f>O103/K103-1</f>
        <v>-1</v>
      </c>
      <c r="P114" s="102"/>
      <c r="Q114" s="102"/>
      <c r="R114" s="102"/>
      <c r="S114" s="102"/>
      <c r="T114" s="102"/>
      <c r="U114" s="102"/>
      <c r="V114" s="102"/>
    </row>
    <row r="115" spans="2:22" x14ac:dyDescent="0.25">
      <c r="B115" s="93" t="s">
        <v>885</v>
      </c>
      <c r="I115" s="102"/>
      <c r="J115" s="102"/>
      <c r="K115" s="102">
        <f>K105/G105-1</f>
        <v>0.28055149362857734</v>
      </c>
      <c r="L115" s="102">
        <f>L105/H105-1</f>
        <v>0.31671015753358467</v>
      </c>
      <c r="M115" s="102">
        <f>M105/I105-1</f>
        <v>0.33506562142165075</v>
      </c>
      <c r="N115" s="102">
        <f>N105/J105-1</f>
        <v>0.47754077791718941</v>
      </c>
      <c r="O115" s="102">
        <f>O105/K105-1</f>
        <v>-1</v>
      </c>
      <c r="P115" s="102"/>
      <c r="Q115" s="102"/>
      <c r="R115" s="102"/>
      <c r="S115" s="102"/>
      <c r="T115" s="102"/>
      <c r="U115" s="102"/>
      <c r="V115" s="102"/>
    </row>
    <row r="117" spans="2:22" x14ac:dyDescent="0.25">
      <c r="B117" s="93" t="s">
        <v>924</v>
      </c>
      <c r="G117" s="102">
        <f t="shared" ref="G117" si="228">G102/G108</f>
        <v>0.76557940873365704</v>
      </c>
      <c r="H117" s="102">
        <f>H102/H108</f>
        <v>0.76250265511788728</v>
      </c>
      <c r="I117" s="102">
        <f t="shared" ref="I117:K117" si="229">I102/I108</f>
        <v>0.74606879050165409</v>
      </c>
      <c r="J117" s="102">
        <f t="shared" si="229"/>
        <v>0.75113248815681721</v>
      </c>
      <c r="K117" s="102">
        <f t="shared" si="229"/>
        <v>0.74123944411197551</v>
      </c>
      <c r="L117" s="102">
        <f>L102/L108</f>
        <v>0.73982660637988962</v>
      </c>
      <c r="M117" s="102">
        <f>M102/M108</f>
        <v>0.72481582084302265</v>
      </c>
      <c r="N117" s="102">
        <f>N102/N108</f>
        <v>0.72288013494043646</v>
      </c>
      <c r="O117" s="102" t="e">
        <f>O102/O108</f>
        <v>#DIV/0!</v>
      </c>
    </row>
    <row r="118" spans="2:22" x14ac:dyDescent="0.25">
      <c r="B118" s="93" t="s">
        <v>925</v>
      </c>
      <c r="G118" s="102">
        <f>G105/G108</f>
        <v>0.11887408584660848</v>
      </c>
      <c r="H118" s="102">
        <f>H105/H108</f>
        <v>0.1221000212409431</v>
      </c>
      <c r="I118" s="102">
        <f t="shared" ref="I118:J118" si="230">I105/I108</f>
        <v>0.12861965831331854</v>
      </c>
      <c r="J118" s="102">
        <f t="shared" si="230"/>
        <v>0.12392582072997543</v>
      </c>
      <c r="K118" s="102">
        <f>K105/K108</f>
        <v>0.13586896291863376</v>
      </c>
      <c r="L118" s="102">
        <f>L105/L108</f>
        <v>0.14128676318081884</v>
      </c>
      <c r="M118" s="102">
        <f>M105/M108</f>
        <v>0.1480956754538526</v>
      </c>
      <c r="N118" s="102">
        <f>N105/N108</f>
        <v>0.15518150191517024</v>
      </c>
      <c r="O118" s="102" t="e">
        <f>O105/O108</f>
        <v>#DIV/0!</v>
      </c>
    </row>
    <row r="120" spans="2:22" x14ac:dyDescent="0.25">
      <c r="B120" s="96" t="s">
        <v>890</v>
      </c>
    </row>
    <row r="121" spans="2:22" s="98" customFormat="1" x14ac:dyDescent="0.25">
      <c r="B121" s="98" t="s">
        <v>891</v>
      </c>
      <c r="G121" s="98">
        <v>38737</v>
      </c>
      <c r="H121" s="98">
        <v>41196</v>
      </c>
      <c r="I121" s="98">
        <v>43139</v>
      </c>
      <c r="J121" s="98">
        <v>47375</v>
      </c>
      <c r="K121" s="98">
        <v>43964</v>
      </c>
      <c r="L121" s="98">
        <v>46063</v>
      </c>
      <c r="M121" s="98">
        <v>48758</v>
      </c>
      <c r="N121" s="98">
        <v>55444</v>
      </c>
    </row>
    <row r="122" spans="2:22" s="98" customFormat="1" x14ac:dyDescent="0.25">
      <c r="B122" s="98" t="s">
        <v>892</v>
      </c>
      <c r="G122" s="98">
        <v>23788</v>
      </c>
      <c r="H122" s="98">
        <v>24683</v>
      </c>
      <c r="I122" s="98">
        <v>25472</v>
      </c>
      <c r="J122" s="98">
        <v>28184</v>
      </c>
      <c r="K122" s="98">
        <v>25923</v>
      </c>
      <c r="L122" s="98">
        <v>28262</v>
      </c>
      <c r="M122" s="98">
        <v>29911</v>
      </c>
      <c r="N122" s="98">
        <v>33056</v>
      </c>
    </row>
    <row r="123" spans="2:22" s="98" customFormat="1" x14ac:dyDescent="0.25">
      <c r="B123" s="98" t="s">
        <v>893</v>
      </c>
      <c r="G123" s="98">
        <v>13289</v>
      </c>
      <c r="H123" s="98">
        <v>13823</v>
      </c>
      <c r="I123" s="98">
        <v>14547</v>
      </c>
      <c r="J123" s="98">
        <v>15156</v>
      </c>
      <c r="K123" s="98">
        <v>14854</v>
      </c>
      <c r="L123" s="98">
        <v>16480</v>
      </c>
      <c r="M123" s="98">
        <v>17819</v>
      </c>
      <c r="N123" s="98">
        <v>18527</v>
      </c>
    </row>
    <row r="124" spans="2:22" s="98" customFormat="1" x14ac:dyDescent="0.25">
      <c r="B124" s="98" t="s">
        <v>894</v>
      </c>
      <c r="G124" s="98">
        <v>4653</v>
      </c>
      <c r="H124" s="98">
        <v>4938</v>
      </c>
      <c r="I124" s="98">
        <v>5093</v>
      </c>
      <c r="J124" s="98">
        <v>5734</v>
      </c>
      <c r="K124" s="98">
        <v>5233</v>
      </c>
      <c r="L124" s="98">
        <v>5735</v>
      </c>
      <c r="M124" s="98">
        <v>6065</v>
      </c>
      <c r="N124" s="98">
        <v>6869</v>
      </c>
    </row>
    <row r="125" spans="2:22" s="98" customFormat="1" x14ac:dyDescent="0.25">
      <c r="B125" s="98" t="s">
        <v>887</v>
      </c>
      <c r="G125" s="98">
        <v>72</v>
      </c>
      <c r="H125" s="98">
        <v>102</v>
      </c>
      <c r="I125" s="98">
        <v>17</v>
      </c>
      <c r="J125" s="98">
        <v>20</v>
      </c>
      <c r="K125" s="98">
        <v>260</v>
      </c>
      <c r="L125" s="98">
        <v>-112</v>
      </c>
      <c r="M125" s="98">
        <v>-207</v>
      </c>
      <c r="N125" s="98">
        <v>-68</v>
      </c>
    </row>
    <row r="126" spans="2:22" s="98" customFormat="1" x14ac:dyDescent="0.25">
      <c r="B126" s="168" t="s">
        <v>888</v>
      </c>
      <c r="G126" s="108">
        <f>SUM(G121:G125)</f>
        <v>80539</v>
      </c>
      <c r="H126" s="108">
        <f>SUM(H121:H125)</f>
        <v>84742</v>
      </c>
      <c r="I126" s="108">
        <f t="shared" ref="I126:K126" si="231">SUM(I121:I125)</f>
        <v>88268</v>
      </c>
      <c r="J126" s="108">
        <f t="shared" si="231"/>
        <v>96469</v>
      </c>
      <c r="K126" s="108">
        <f t="shared" si="231"/>
        <v>90234</v>
      </c>
      <c r="L126" s="108">
        <f>SUM(L121:L125)</f>
        <v>96428</v>
      </c>
      <c r="M126" s="108">
        <f t="shared" ref="M126" si="232">SUM(M121:M125)</f>
        <v>102346</v>
      </c>
      <c r="N126" s="108">
        <f>SUM(N121:N125)</f>
        <v>113828</v>
      </c>
      <c r="O126" s="108"/>
      <c r="P126" s="108"/>
      <c r="Q126" s="108"/>
      <c r="R126" s="108"/>
      <c r="S126" s="108"/>
      <c r="T126" s="108"/>
      <c r="U126" s="108"/>
      <c r="V126" s="108"/>
    </row>
    <row r="128" spans="2:22" x14ac:dyDescent="0.25">
      <c r="B128" s="96" t="s">
        <v>895</v>
      </c>
    </row>
    <row r="129" spans="2:22" x14ac:dyDescent="0.25">
      <c r="B129" s="93" t="s">
        <v>891</v>
      </c>
      <c r="K129" s="102">
        <f>K121/G121-1</f>
        <v>0.13493559129514421</v>
      </c>
      <c r="L129" s="102">
        <f>L121/H121-1</f>
        <v>0.11814253811049613</v>
      </c>
      <c r="M129" s="102">
        <f t="shared" ref="M129:N132" si="233">M121/I121-1</f>
        <v>0.1302533670228796</v>
      </c>
      <c r="N129" s="102">
        <f t="shared" si="233"/>
        <v>0.17032189973614775</v>
      </c>
      <c r="O129" s="102"/>
      <c r="P129" s="102"/>
      <c r="Q129" s="102"/>
      <c r="R129" s="102"/>
      <c r="S129" s="102"/>
      <c r="T129" s="102"/>
      <c r="U129" s="102"/>
      <c r="V129" s="102"/>
    </row>
    <row r="130" spans="2:22" x14ac:dyDescent="0.25">
      <c r="B130" s="93" t="s">
        <v>892</v>
      </c>
      <c r="K130" s="102">
        <f t="shared" ref="K130:L132" si="234">K122/G122-1</f>
        <v>8.9751135026063578E-2</v>
      </c>
      <c r="L130" s="102">
        <f t="shared" si="234"/>
        <v>0.1449985820200137</v>
      </c>
      <c r="M130" s="102">
        <f t="shared" si="233"/>
        <v>0.17426978643216073</v>
      </c>
      <c r="N130" s="102">
        <f t="shared" si="233"/>
        <v>0.172864036332671</v>
      </c>
      <c r="O130" s="102"/>
      <c r="P130" s="102"/>
      <c r="Q130" s="102"/>
      <c r="R130" s="102"/>
      <c r="S130" s="102"/>
      <c r="T130" s="102"/>
      <c r="U130" s="102"/>
      <c r="V130" s="102"/>
    </row>
    <row r="131" spans="2:22" x14ac:dyDescent="0.25">
      <c r="B131" s="93" t="s">
        <v>893</v>
      </c>
      <c r="K131" s="102">
        <f t="shared" si="234"/>
        <v>0.11776657385807821</v>
      </c>
      <c r="L131" s="102">
        <f t="shared" si="234"/>
        <v>0.19221587209722935</v>
      </c>
      <c r="M131" s="102">
        <f t="shared" si="233"/>
        <v>0.22492610160170479</v>
      </c>
      <c r="N131" s="102">
        <f t="shared" si="233"/>
        <v>0.22242016363156503</v>
      </c>
      <c r="O131" s="102"/>
      <c r="P131" s="102"/>
      <c r="Q131" s="102"/>
      <c r="R131" s="102"/>
      <c r="S131" s="102"/>
      <c r="T131" s="102"/>
      <c r="U131" s="102"/>
      <c r="V131" s="102"/>
    </row>
    <row r="132" spans="2:22" x14ac:dyDescent="0.25">
      <c r="B132" s="93" t="s">
        <v>894</v>
      </c>
      <c r="K132" s="102">
        <f t="shared" si="234"/>
        <v>0.12465076294863531</v>
      </c>
      <c r="L132" s="102">
        <f t="shared" si="234"/>
        <v>0.16140137707573921</v>
      </c>
      <c r="M132" s="102">
        <f t="shared" si="233"/>
        <v>0.1908501865305321</v>
      </c>
      <c r="N132" s="102">
        <f t="shared" si="233"/>
        <v>0.19794209975584232</v>
      </c>
      <c r="O132" s="102"/>
      <c r="P132" s="102"/>
      <c r="Q132" s="102"/>
      <c r="R132" s="102"/>
      <c r="S132" s="102"/>
      <c r="T132" s="102"/>
      <c r="U132" s="102"/>
      <c r="V132" s="102"/>
    </row>
    <row r="134" spans="2:22" x14ac:dyDescent="0.25">
      <c r="B134" s="93" t="s">
        <v>928</v>
      </c>
      <c r="G134" s="102">
        <f>G121/G126</f>
        <v>0.48097195147692423</v>
      </c>
      <c r="H134" s="102">
        <f>H121/H126</f>
        <v>0.48613438436666589</v>
      </c>
      <c r="I134" s="102">
        <f>I121/I126</f>
        <v>0.48872751166900802</v>
      </c>
      <c r="J134" s="102">
        <f t="shared" ref="J134" si="235">J121/J126</f>
        <v>0.4910904020980833</v>
      </c>
      <c r="K134" s="102">
        <f>K121/K126</f>
        <v>0.48722211139925081</v>
      </c>
      <c r="L134" s="102">
        <f>L121/L126</f>
        <v>0.47769320114489566</v>
      </c>
      <c r="M134" s="102">
        <f t="shared" ref="M134:N134" si="236">M121/M126</f>
        <v>0.47640357219627538</v>
      </c>
      <c r="N134" s="102">
        <f t="shared" si="236"/>
        <v>0.48708577854306495</v>
      </c>
    </row>
    <row r="135" spans="2:22" x14ac:dyDescent="0.25">
      <c r="L135" s="102"/>
    </row>
    <row r="136" spans="2:22" x14ac:dyDescent="0.25">
      <c r="B136" s="96" t="s">
        <v>896</v>
      </c>
    </row>
    <row r="137" spans="2:22" x14ac:dyDescent="0.25">
      <c r="B137" s="93" t="s">
        <v>897</v>
      </c>
      <c r="J137" s="98">
        <v>7104</v>
      </c>
      <c r="K137" s="98">
        <v>7552</v>
      </c>
      <c r="L137" s="98">
        <v>6818</v>
      </c>
      <c r="M137" s="98">
        <v>8899</v>
      </c>
      <c r="N137" s="98"/>
      <c r="O137" s="98"/>
      <c r="P137" s="98"/>
      <c r="Q137" s="98"/>
      <c r="R137" s="98"/>
      <c r="S137" s="98"/>
      <c r="T137" s="98"/>
      <c r="U137" s="98"/>
      <c r="V137" s="98"/>
    </row>
    <row r="138" spans="2:22" s="126" customFormat="1" x14ac:dyDescent="0.25">
      <c r="B138" s="126" t="s">
        <v>898</v>
      </c>
      <c r="J138" s="127">
        <v>6322</v>
      </c>
      <c r="K138" s="127">
        <v>6534</v>
      </c>
      <c r="L138" s="127">
        <v>7099</v>
      </c>
      <c r="M138" s="127">
        <v>10564</v>
      </c>
      <c r="N138" s="127"/>
      <c r="O138" s="127"/>
      <c r="P138" s="127"/>
      <c r="Q138" s="127"/>
      <c r="R138" s="127"/>
      <c r="S138" s="127"/>
      <c r="T138" s="127"/>
      <c r="U138" s="127"/>
      <c r="V138" s="127"/>
    </row>
    <row r="139" spans="2:22" x14ac:dyDescent="0.25">
      <c r="B139" s="93" t="s">
        <v>899</v>
      </c>
      <c r="J139" s="98">
        <v>4304</v>
      </c>
      <c r="K139" s="98">
        <v>4163</v>
      </c>
      <c r="L139" s="98">
        <v>4247</v>
      </c>
      <c r="M139" s="98">
        <v>4363</v>
      </c>
      <c r="N139" s="98"/>
      <c r="O139" s="98"/>
      <c r="P139" s="98"/>
      <c r="Q139" s="98"/>
      <c r="R139" s="98"/>
      <c r="S139" s="98"/>
      <c r="T139" s="98"/>
      <c r="U139" s="98"/>
      <c r="V139" s="98"/>
    </row>
    <row r="140" spans="2:22" x14ac:dyDescent="0.25">
      <c r="B140" s="93" t="s">
        <v>900</v>
      </c>
      <c r="J140" s="98">
        <v>3866</v>
      </c>
      <c r="K140" s="98">
        <v>4889</v>
      </c>
      <c r="L140" s="98">
        <v>3112</v>
      </c>
      <c r="M140" s="98">
        <v>4004</v>
      </c>
      <c r="N140" s="98"/>
      <c r="O140" s="98"/>
      <c r="P140" s="98"/>
      <c r="Q140" s="98"/>
      <c r="R140" s="98"/>
      <c r="S140" s="98"/>
      <c r="T140" s="98"/>
      <c r="U140" s="98"/>
      <c r="V140" s="98"/>
    </row>
    <row r="141" spans="2:22" x14ac:dyDescent="0.25">
      <c r="B141" s="93" t="s">
        <v>901</v>
      </c>
      <c r="J141" s="98">
        <v>2905</v>
      </c>
      <c r="K141" s="98">
        <v>9160</v>
      </c>
      <c r="L141" s="98">
        <v>786</v>
      </c>
      <c r="M141" s="98">
        <v>551</v>
      </c>
      <c r="N141" s="98"/>
      <c r="O141" s="98"/>
      <c r="P141" s="98"/>
      <c r="Q141" s="98"/>
      <c r="R141" s="98"/>
      <c r="S141" s="98"/>
      <c r="T141" s="98"/>
      <c r="U141" s="98"/>
      <c r="V141" s="98"/>
    </row>
    <row r="142" spans="2:22" x14ac:dyDescent="0.25">
      <c r="B142" s="93" t="s">
        <v>902</v>
      </c>
      <c r="J142" s="98">
        <v>26727</v>
      </c>
      <c r="K142" s="98">
        <v>26002</v>
      </c>
      <c r="L142" s="98">
        <v>29977</v>
      </c>
      <c r="M142" s="98">
        <v>31056</v>
      </c>
      <c r="N142" s="98"/>
      <c r="O142" s="98"/>
      <c r="P142" s="98"/>
      <c r="Q142" s="98"/>
      <c r="R142" s="98"/>
      <c r="S142" s="98"/>
      <c r="T142" s="98"/>
      <c r="U142" s="98"/>
      <c r="V142" s="98"/>
    </row>
    <row r="143" spans="2:22" x14ac:dyDescent="0.25">
      <c r="B143" s="125" t="s">
        <v>903</v>
      </c>
      <c r="J143" s="108">
        <f>SUM(J137:J142)</f>
        <v>51228</v>
      </c>
      <c r="K143" s="108">
        <f>SUM(K137:K142)</f>
        <v>58300</v>
      </c>
      <c r="L143" s="108">
        <f>SUM(L137:L142)</f>
        <v>52039</v>
      </c>
      <c r="M143" s="108">
        <f>SUM(M137:M142)</f>
        <v>59437</v>
      </c>
      <c r="N143" s="108"/>
      <c r="O143" s="108"/>
      <c r="P143" s="108"/>
      <c r="Q143" s="108"/>
      <c r="R143" s="108"/>
      <c r="S143" s="108"/>
      <c r="T143" s="108"/>
      <c r="U143" s="108"/>
      <c r="V143" s="108"/>
    </row>
    <row r="145" spans="2:22" x14ac:dyDescent="0.25">
      <c r="B145" s="96" t="s">
        <v>904</v>
      </c>
      <c r="K145" s="102">
        <f>K138/J138-1</f>
        <v>3.3533691869661597E-2</v>
      </c>
    </row>
    <row r="146" spans="2:22" x14ac:dyDescent="0.25">
      <c r="B146" s="120" t="s">
        <v>1020</v>
      </c>
      <c r="M146" s="96" t="s">
        <v>1021</v>
      </c>
    </row>
    <row r="148" spans="2:22" x14ac:dyDescent="0.25">
      <c r="B148" s="93" t="s">
        <v>421</v>
      </c>
      <c r="N148" s="169" t="s">
        <v>1070</v>
      </c>
    </row>
    <row r="149" spans="2:22" x14ac:dyDescent="0.25">
      <c r="B149" s="96" t="s">
        <v>520</v>
      </c>
      <c r="K149" s="93" t="s">
        <v>905</v>
      </c>
      <c r="N149" s="169" t="s">
        <v>1069</v>
      </c>
    </row>
    <row r="150" spans="2:22" x14ac:dyDescent="0.25">
      <c r="B150" s="96" t="s">
        <v>790</v>
      </c>
      <c r="K150" s="120" t="s">
        <v>1022</v>
      </c>
      <c r="M150" s="120" t="s">
        <v>1022</v>
      </c>
    </row>
    <row r="151" spans="2:22" x14ac:dyDescent="0.25">
      <c r="B151" s="96" t="s">
        <v>906</v>
      </c>
      <c r="K151" s="93" t="s">
        <v>907</v>
      </c>
      <c r="L151" s="93" t="s">
        <v>913</v>
      </c>
    </row>
    <row r="152" spans="2:22" x14ac:dyDescent="0.25">
      <c r="B152" s="96" t="s">
        <v>908</v>
      </c>
      <c r="K152" s="93" t="s">
        <v>909</v>
      </c>
    </row>
    <row r="153" spans="2:22" x14ac:dyDescent="0.25">
      <c r="B153" s="96" t="s">
        <v>519</v>
      </c>
      <c r="K153" s="93" t="s">
        <v>910</v>
      </c>
      <c r="L153" s="93" t="s">
        <v>912</v>
      </c>
    </row>
    <row r="154" spans="2:22" s="108" customFormat="1" x14ac:dyDescent="0.25">
      <c r="B154" s="108" t="s">
        <v>911</v>
      </c>
      <c r="J154" s="108">
        <v>183323</v>
      </c>
      <c r="K154" s="108">
        <v>185719</v>
      </c>
      <c r="L154" s="108">
        <v>187103</v>
      </c>
      <c r="M154" s="108">
        <v>190167</v>
      </c>
      <c r="N154" s="108">
        <v>190820</v>
      </c>
    </row>
    <row r="155" spans="2:22" x14ac:dyDescent="0.25">
      <c r="B155" s="96" t="s">
        <v>914</v>
      </c>
      <c r="L155" s="128" t="s">
        <v>915</v>
      </c>
      <c r="M155" s="128"/>
      <c r="N155" s="128"/>
      <c r="O155" s="128"/>
      <c r="P155" s="128"/>
      <c r="Q155" s="128"/>
      <c r="R155" s="128"/>
      <c r="S155" s="128"/>
      <c r="T155" s="128"/>
      <c r="U155" s="128"/>
      <c r="V155" s="128"/>
    </row>
    <row r="156" spans="2:22" x14ac:dyDescent="0.25">
      <c r="B156" s="96" t="s">
        <v>58</v>
      </c>
      <c r="L156" s="93" t="s">
        <v>916</v>
      </c>
    </row>
    <row r="158" spans="2:22" x14ac:dyDescent="0.25">
      <c r="B158" s="120" t="s">
        <v>1023</v>
      </c>
      <c r="M158" s="120" t="s">
        <v>1026</v>
      </c>
      <c r="N158" s="169" t="s">
        <v>1062</v>
      </c>
    </row>
    <row r="159" spans="2:22" x14ac:dyDescent="0.25">
      <c r="B159" s="120"/>
      <c r="M159" s="120" t="s">
        <v>1027</v>
      </c>
      <c r="N159" s="169" t="s">
        <v>1061</v>
      </c>
    </row>
    <row r="160" spans="2:22" x14ac:dyDescent="0.25">
      <c r="B160" s="120"/>
      <c r="M160" s="120" t="s">
        <v>1028</v>
      </c>
      <c r="N160" s="169" t="s">
        <v>1063</v>
      </c>
    </row>
    <row r="161" spans="2:37" x14ac:dyDescent="0.25">
      <c r="B161" s="120"/>
      <c r="M161" s="120" t="s">
        <v>1025</v>
      </c>
      <c r="N161" s="169" t="s">
        <v>1064</v>
      </c>
    </row>
    <row r="162" spans="2:37" x14ac:dyDescent="0.25">
      <c r="B162" s="120"/>
      <c r="M162" s="120" t="s">
        <v>1024</v>
      </c>
      <c r="N162" s="169" t="s">
        <v>1065</v>
      </c>
    </row>
    <row r="163" spans="2:37" x14ac:dyDescent="0.25">
      <c r="B163" s="120"/>
      <c r="M163" s="120" t="s">
        <v>1029</v>
      </c>
      <c r="N163" s="169" t="s">
        <v>1066</v>
      </c>
    </row>
    <row r="164" spans="2:37" x14ac:dyDescent="0.25">
      <c r="B164" s="120"/>
      <c r="N164" s="169" t="s">
        <v>1067</v>
      </c>
    </row>
    <row r="165" spans="2:37" x14ac:dyDescent="0.25">
      <c r="N165" s="169" t="s">
        <v>1068</v>
      </c>
    </row>
    <row r="166" spans="2:37" s="98" customFormat="1" x14ac:dyDescent="0.25">
      <c r="B166" s="98" t="s">
        <v>922</v>
      </c>
      <c r="Z166" s="98">
        <v>1077000</v>
      </c>
      <c r="AA166" s="98">
        <v>1160000</v>
      </c>
      <c r="AB166" s="98">
        <f t="shared" ref="AB166:AH166" si="237">AA166*(1+$AB$185)</f>
        <v>1184054.8059459433</v>
      </c>
      <c r="AC166" s="98">
        <f t="shared" si="237"/>
        <v>1208608.43403766</v>
      </c>
      <c r="AD166" s="98">
        <f t="shared" si="237"/>
        <v>1233671.2283009414</v>
      </c>
      <c r="AE166" s="98">
        <f t="shared" si="237"/>
        <v>1259253.7472646248</v>
      </c>
      <c r="AF166" s="98">
        <f t="shared" si="237"/>
        <v>1285366.7684087218</v>
      </c>
      <c r="AG166" s="98">
        <f t="shared" si="237"/>
        <v>1312021.2927047873</v>
      </c>
      <c r="AH166" s="98">
        <f t="shared" si="237"/>
        <v>1339228.5492504421</v>
      </c>
      <c r="AI166" s="98">
        <v>1367000</v>
      </c>
      <c r="AJ166" s="98">
        <v>1483000</v>
      </c>
      <c r="AK166" s="98">
        <f>AJ166*(1+$AB$185)</f>
        <v>1513752.8251877879</v>
      </c>
    </row>
    <row r="167" spans="2:37" x14ac:dyDescent="0.25">
      <c r="B167" s="93" t="s">
        <v>923</v>
      </c>
      <c r="Z167" s="98">
        <v>421300</v>
      </c>
      <c r="AA167" s="98">
        <v>455930</v>
      </c>
    </row>
    <row r="168" spans="2:37" x14ac:dyDescent="0.25">
      <c r="B168" s="93" t="s">
        <v>926</v>
      </c>
      <c r="Z168" s="124">
        <f>Z3*G117/Z166</f>
        <v>0.24880833192770394</v>
      </c>
      <c r="AA168" s="124">
        <f>AA3*L117/AA166</f>
        <v>0.25692137138590448</v>
      </c>
      <c r="AB168" s="124">
        <f>+AA168-0.004</f>
        <v>0.25292137138590448</v>
      </c>
      <c r="AC168" s="124">
        <f t="shared" ref="AC168:AK168" si="238">+AB168-0.004</f>
        <v>0.24892137138590448</v>
      </c>
      <c r="AD168" s="124">
        <f t="shared" si="238"/>
        <v>0.24492137138590447</v>
      </c>
      <c r="AE168" s="124">
        <f t="shared" si="238"/>
        <v>0.24092137138590447</v>
      </c>
      <c r="AF168" s="124">
        <f t="shared" si="238"/>
        <v>0.23692137138590447</v>
      </c>
      <c r="AG168" s="124">
        <f t="shared" si="238"/>
        <v>0.23292137138590446</v>
      </c>
      <c r="AH168" s="124">
        <f t="shared" si="238"/>
        <v>0.22892137138590446</v>
      </c>
      <c r="AI168" s="124">
        <f t="shared" si="238"/>
        <v>0.22492137138590446</v>
      </c>
      <c r="AJ168" s="124">
        <f t="shared" si="238"/>
        <v>0.22092137138590445</v>
      </c>
      <c r="AK168" s="124">
        <f t="shared" si="238"/>
        <v>0.21692137138590445</v>
      </c>
    </row>
    <row r="169" spans="2:37" x14ac:dyDescent="0.25">
      <c r="B169" s="93" t="s">
        <v>927</v>
      </c>
      <c r="Z169" s="124">
        <f>Z3*G117*G134/Z167</f>
        <v>0.3059207352960171</v>
      </c>
      <c r="AA169" s="124">
        <f>AA3*L134*L117/AA167</f>
        <v>0.31225479155626606</v>
      </c>
    </row>
    <row r="170" spans="2:37" x14ac:dyDescent="0.25">
      <c r="Z170" s="124"/>
      <c r="AA170" s="124"/>
    </row>
    <row r="171" spans="2:37" x14ac:dyDescent="0.25">
      <c r="B171" s="93" t="s">
        <v>933</v>
      </c>
      <c r="Z171" s="98">
        <v>675000</v>
      </c>
      <c r="AA171" s="98">
        <v>723420</v>
      </c>
      <c r="AB171" s="98">
        <v>947300</v>
      </c>
      <c r="AC171" s="98">
        <f>AB171*(1+$AE$185)</f>
        <v>1164069.9835754682</v>
      </c>
      <c r="AD171" s="98">
        <f>AC171*(1+$AE$185)</f>
        <v>1430443.2879355969</v>
      </c>
      <c r="AE171" s="98">
        <f>AD171*(1+$AE$185)</f>
        <v>1757770.6056083913</v>
      </c>
      <c r="AF171" s="98">
        <v>2160000</v>
      </c>
      <c r="AG171" s="98">
        <f>AF171*(1+$AJ$185)</f>
        <v>2378902.3196352357</v>
      </c>
      <c r="AH171" s="98">
        <f>AG171*(1+$AJ$185)</f>
        <v>2619989.0029471782</v>
      </c>
      <c r="AI171" s="98">
        <f>AH171*(1+$AJ$185)</f>
        <v>2885508.2946897456</v>
      </c>
      <c r="AJ171" s="98">
        <f>AI171*(1+$AJ$185)</f>
        <v>3177936.2849834021</v>
      </c>
      <c r="AK171" s="98">
        <v>3500000</v>
      </c>
    </row>
    <row r="172" spans="2:37" x14ac:dyDescent="0.25">
      <c r="Z172" s="98"/>
      <c r="AA172" s="98"/>
      <c r="AB172" s="98"/>
      <c r="AC172" s="98"/>
      <c r="AD172" s="98"/>
      <c r="AE172" s="98"/>
      <c r="AF172" s="98"/>
      <c r="AG172" s="98"/>
      <c r="AH172" s="98"/>
      <c r="AI172" s="98"/>
      <c r="AJ172" s="98"/>
      <c r="AK172" s="98"/>
    </row>
    <row r="173" spans="2:37" s="124" customFormat="1" x14ac:dyDescent="0.25">
      <c r="B173" s="124" t="s">
        <v>934</v>
      </c>
      <c r="Z173" s="124">
        <f>Z3*L118/Z171</f>
        <v>7.326357077781312E-2</v>
      </c>
      <c r="AA173" s="124">
        <f>+AA3*L118/AA171</f>
        <v>7.8675450682464329E-2</v>
      </c>
      <c r="AB173" s="124">
        <f>+AB3*L118/AB171</f>
        <v>6.5491851135151866E-2</v>
      </c>
      <c r="AC173" s="124">
        <f>+AB173+0.002</f>
        <v>6.7491851135151867E-2</v>
      </c>
      <c r="AD173" s="124">
        <f t="shared" ref="AD173:AJ173" si="239">+AC173+0.002</f>
        <v>6.9491851135151869E-2</v>
      </c>
      <c r="AE173" s="124">
        <f t="shared" si="239"/>
        <v>7.1491851135151871E-2</v>
      </c>
      <c r="AF173" s="124">
        <f t="shared" si="239"/>
        <v>7.3491851135151873E-2</v>
      </c>
      <c r="AG173" s="124">
        <f t="shared" si="239"/>
        <v>7.5491851135151875E-2</v>
      </c>
      <c r="AH173" s="124">
        <f t="shared" si="239"/>
        <v>7.7491851135151876E-2</v>
      </c>
      <c r="AI173" s="124">
        <f t="shared" si="239"/>
        <v>7.9491851135151878E-2</v>
      </c>
      <c r="AJ173" s="124">
        <f t="shared" si="239"/>
        <v>8.149185113515188E-2</v>
      </c>
      <c r="AK173" s="124">
        <f>+AJ173+0.002</f>
        <v>8.3491851135151882E-2</v>
      </c>
    </row>
    <row r="174" spans="2:37" x14ac:dyDescent="0.25">
      <c r="B174" s="93" t="s">
        <v>941</v>
      </c>
      <c r="Z174" s="124">
        <f>(MSFT!BD3+MSFT!BD4+MSFT!BD10+MSFT!BD11)/Z171</f>
        <v>0.25226074074074073</v>
      </c>
      <c r="AA174" s="124">
        <f>(MSFT!BE3+MSFT!BE4+MSFT!BE10+MSFT!BE11)/AA171</f>
        <v>0.27827264935998453</v>
      </c>
      <c r="AB174" s="102"/>
    </row>
    <row r="175" spans="2:37" x14ac:dyDescent="0.25">
      <c r="B175" s="93" t="s">
        <v>970</v>
      </c>
      <c r="Z175" s="124">
        <f>AMZN!Z9/GOOGL!Z171</f>
        <v>0.15934222222222222</v>
      </c>
      <c r="AA175" s="124"/>
    </row>
    <row r="176" spans="2:37" x14ac:dyDescent="0.25">
      <c r="B176" s="93" t="s">
        <v>973</v>
      </c>
      <c r="Z176" s="124">
        <f>15766/Z171</f>
        <v>2.3357037037037037E-2</v>
      </c>
      <c r="AA176" s="124"/>
    </row>
    <row r="177" spans="2:37" x14ac:dyDescent="0.25">
      <c r="B177" s="93" t="s">
        <v>974</v>
      </c>
      <c r="Z177" s="124">
        <f>55783/Z171</f>
        <v>8.2641481481481482E-2</v>
      </c>
      <c r="AA177" s="124">
        <f>63873/AA171</f>
        <v>8.8293107738243351E-2</v>
      </c>
    </row>
    <row r="178" spans="2:37" x14ac:dyDescent="0.25">
      <c r="B178" s="129" t="s">
        <v>1014</v>
      </c>
      <c r="Z178" s="124">
        <f>+IBM!V3/GOOGL!Z171</f>
        <v>4.4167407407407405E-2</v>
      </c>
      <c r="AA178" s="124">
        <f>+IBM!W3/GOOGL!AA171</f>
        <v>4.3303057145226843E-2</v>
      </c>
    </row>
    <row r="179" spans="2:37" x14ac:dyDescent="0.25">
      <c r="B179" s="129" t="s">
        <v>1015</v>
      </c>
      <c r="Z179" s="124">
        <f>[1]Model!$AD$3/Z171</f>
        <v>5.3721481481481476E-3</v>
      </c>
      <c r="AA179" s="124">
        <f>[1]Model!$AE$3/AA171</f>
        <v>6.3406720853722599E-3</v>
      </c>
    </row>
    <row r="180" spans="2:37" x14ac:dyDescent="0.25">
      <c r="B180" s="130" t="s">
        <v>1016</v>
      </c>
      <c r="Z180" s="124">
        <f>[2]Model!$AA$3/Z171*0.001</f>
        <v>8.2775407407407412E-4</v>
      </c>
      <c r="AA180" s="124">
        <f>[2]Model!$AB$3/AA171*0.001</f>
        <v>9.4337729120013271E-4</v>
      </c>
    </row>
    <row r="181" spans="2:37" x14ac:dyDescent="0.25">
      <c r="B181" s="130" t="s">
        <v>1017</v>
      </c>
      <c r="Z181" s="124">
        <f>[3]ModeI!$AC$3/Z171*0.001</f>
        <v>5.1072992592592599E-3</v>
      </c>
      <c r="AA181" s="124">
        <f>[3]ModeI!$AD$3/AA171*0.001</f>
        <v>5.7657265866301747E-3</v>
      </c>
    </row>
    <row r="182" spans="2:37" x14ac:dyDescent="0.25">
      <c r="B182" s="130"/>
      <c r="Z182" s="124"/>
      <c r="AA182" s="124"/>
    </row>
    <row r="183" spans="2:37" x14ac:dyDescent="0.25">
      <c r="B183" s="130"/>
      <c r="Z183" s="124"/>
      <c r="AA183" s="124"/>
    </row>
    <row r="184" spans="2:37" x14ac:dyDescent="0.25">
      <c r="AB184" s="93" t="s">
        <v>937</v>
      </c>
      <c r="AE184" s="93" t="s">
        <v>935</v>
      </c>
      <c r="AJ184" s="93" t="s">
        <v>936</v>
      </c>
    </row>
    <row r="185" spans="2:37" x14ac:dyDescent="0.25">
      <c r="AB185" s="102">
        <f>(AI166/AA166)^(1/8)-1</f>
        <v>2.0736901677537389E-2</v>
      </c>
      <c r="AE185" s="102">
        <f>(AF171/AB171)^(1/4)-1</f>
        <v>0.22882928700038874</v>
      </c>
      <c r="AH185" s="102"/>
      <c r="AJ185" s="102">
        <f>(AK171/AF171)^(1/5)-1</f>
        <v>0.10134366649779425</v>
      </c>
    </row>
    <row r="187" spans="2:37" x14ac:dyDescent="0.25">
      <c r="B187" s="93" t="s">
        <v>938</v>
      </c>
      <c r="Z187" s="98">
        <f t="shared" ref="Z187:AK187" si="240">(Z166*Z168+Z171*Z173)/0.88</f>
        <v>360703.9588195011</v>
      </c>
      <c r="AA187" s="98">
        <f t="shared" si="240"/>
        <v>403345.66515949718</v>
      </c>
      <c r="AB187" s="98">
        <f t="shared" si="240"/>
        <v>410810.44988210045</v>
      </c>
      <c r="AC187" s="98">
        <f>(AC166*AC168+AC171*AC173)/0.88</f>
        <v>431151.9396722716</v>
      </c>
      <c r="AD187" s="98">
        <f t="shared" si="240"/>
        <v>456314.31942874717</v>
      </c>
      <c r="AE187" s="98">
        <f t="shared" si="240"/>
        <v>487553.87974969705</v>
      </c>
      <c r="AF187" s="98">
        <f t="shared" si="240"/>
        <v>526446.8817695349</v>
      </c>
      <c r="AG187" s="98">
        <f t="shared" si="240"/>
        <v>551347.20291281468</v>
      </c>
      <c r="AH187" s="98">
        <f t="shared" si="240"/>
        <v>579097.53850645933</v>
      </c>
      <c r="AI187" s="98">
        <f t="shared" si="240"/>
        <v>610047.62556278927</v>
      </c>
      <c r="AJ187" s="98">
        <f t="shared" si="240"/>
        <v>666593.52774791059</v>
      </c>
      <c r="AK187" s="98">
        <f t="shared" si="240"/>
        <v>705212.292900061</v>
      </c>
    </row>
    <row r="188" spans="2:37" x14ac:dyDescent="0.25">
      <c r="B188" s="93" t="s">
        <v>939</v>
      </c>
      <c r="AA188" s="124">
        <f>AA187/Z187-1</f>
        <v>0.11821801590299241</v>
      </c>
      <c r="AB188" s="124">
        <f>AB187/AA187-1</f>
        <v>1.8507164864785208E-2</v>
      </c>
      <c r="AC188" s="124">
        <f t="shared" ref="AC188:AK188" si="241">AC187/AB187-1</f>
        <v>4.9515512071343304E-2</v>
      </c>
      <c r="AD188" s="124">
        <f t="shared" si="241"/>
        <v>5.8360817709882218E-2</v>
      </c>
      <c r="AE188" s="124">
        <f t="shared" si="241"/>
        <v>6.8460618023248099E-2</v>
      </c>
      <c r="AF188" s="124">
        <f t="shared" si="241"/>
        <v>7.9771700390949496E-2</v>
      </c>
      <c r="AG188" s="124">
        <f t="shared" si="241"/>
        <v>4.7298829199221126E-2</v>
      </c>
      <c r="AH188" s="124">
        <f t="shared" si="241"/>
        <v>5.0331869731155221E-2</v>
      </c>
      <c r="AI188" s="124">
        <f t="shared" si="241"/>
        <v>5.3445378366056895E-2</v>
      </c>
      <c r="AJ188" s="124">
        <f t="shared" si="241"/>
        <v>9.269096348495065E-2</v>
      </c>
      <c r="AK188" s="124">
        <f t="shared" si="241"/>
        <v>5.7934503628656708E-2</v>
      </c>
    </row>
  </sheetData>
  <phoneticPr fontId="12" type="noConversion"/>
  <hyperlinks>
    <hyperlink ref="A1" location="Main!H13" display="Main" xr:uid="{C7025813-617B-41E7-9A54-3330D4CEE706}"/>
  </hyperlinks>
  <pageMargins left="0.7" right="0.7" top="0.75" bottom="0.75" header="0.3" footer="0.3"/>
  <pageSetup scale="48" orientation="portrait" r:id="rId1"/>
  <colBreaks count="2" manualBreakCount="2">
    <brk id="10" max="1048575" man="1"/>
    <brk id="26" max="1048575" man="1"/>
  </colBreaks>
  <ignoredErrors>
    <ignoredError sqref="AB3 Y62:AA74 Y82:AA86 Y76:AA80 Y88:AA88" formulaRange="1"/>
    <ignoredError sqref="AA5:AB5 AA12:AB12" formula="1"/>
    <ignoredError sqref="Y81:AA81 Y75:AA75 Y87:AA87" formula="1" formulaRange="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B6E3D-07FA-4313-A16D-3EFB5B767059}">
  <dimension ref="A1:GF101"/>
  <sheetViews>
    <sheetView zoomScaleNormal="100" workbookViewId="0">
      <pane xSplit="2" ySplit="2" topLeftCell="C3" activePane="bottomRight" state="frozen"/>
      <selection pane="topRight" activeCell="C1" sqref="C1"/>
      <selection pane="bottomLeft" activeCell="A3" sqref="A3"/>
      <selection pane="bottomRight" activeCell="N8" sqref="N8"/>
    </sheetView>
  </sheetViews>
  <sheetFormatPr defaultRowHeight="13.2" x14ac:dyDescent="0.25"/>
  <cols>
    <col min="1" max="1" width="8.88671875" style="112"/>
    <col min="2" max="2" width="22.88671875" style="112" bestFit="1" customWidth="1"/>
    <col min="3" max="18" width="8.88671875" style="112"/>
    <col min="19" max="19" width="9.88671875" style="112" bestFit="1" customWidth="1"/>
    <col min="20" max="21" width="8.88671875" style="112"/>
    <col min="22" max="22" width="9.109375" style="112" customWidth="1"/>
    <col min="23" max="32" width="8.88671875" style="112"/>
    <col min="33" max="33" width="10.44140625" style="112" customWidth="1"/>
    <col min="34" max="16384" width="8.88671875" style="112"/>
  </cols>
  <sheetData>
    <row r="1" spans="1:188" x14ac:dyDescent="0.25">
      <c r="A1" s="94" t="s">
        <v>8</v>
      </c>
    </row>
    <row r="2" spans="1:188" x14ac:dyDescent="0.25">
      <c r="C2" s="112" t="s">
        <v>72</v>
      </c>
      <c r="D2" s="112" t="s">
        <v>53</v>
      </c>
      <c r="E2" s="112" t="s">
        <v>52</v>
      </c>
      <c r="F2" s="112" t="s">
        <v>33</v>
      </c>
      <c r="G2" s="112" t="s">
        <v>10</v>
      </c>
      <c r="H2" s="112" t="s">
        <v>11</v>
      </c>
      <c r="I2" s="112" t="s">
        <v>12</v>
      </c>
      <c r="J2" s="112" t="s">
        <v>7</v>
      </c>
      <c r="K2" s="112" t="s">
        <v>13</v>
      </c>
      <c r="L2" s="112" t="s">
        <v>14</v>
      </c>
      <c r="M2" s="112" t="s">
        <v>15</v>
      </c>
      <c r="N2" s="169" t="s">
        <v>16</v>
      </c>
      <c r="O2" s="169" t="s">
        <v>89</v>
      </c>
      <c r="P2" s="169" t="s">
        <v>917</v>
      </c>
      <c r="Q2" s="169" t="s">
        <v>918</v>
      </c>
      <c r="R2" s="169" t="s">
        <v>919</v>
      </c>
      <c r="T2" s="112">
        <v>2022</v>
      </c>
      <c r="U2" s="112">
        <v>2023</v>
      </c>
      <c r="V2" s="112">
        <v>2024</v>
      </c>
      <c r="W2" s="112">
        <v>2025</v>
      </c>
      <c r="X2" s="112">
        <v>2026</v>
      </c>
      <c r="Y2" s="112">
        <v>2027</v>
      </c>
      <c r="Z2" s="112">
        <v>2028</v>
      </c>
      <c r="AA2" s="112">
        <v>2029</v>
      </c>
      <c r="AB2" s="112">
        <v>2030</v>
      </c>
      <c r="AC2" s="112">
        <v>2031</v>
      </c>
      <c r="AD2" s="112">
        <v>2032</v>
      </c>
      <c r="AE2" s="112">
        <v>2033</v>
      </c>
      <c r="AF2" s="112">
        <v>2034</v>
      </c>
      <c r="AG2" s="112">
        <v>2035</v>
      </c>
      <c r="AH2" s="112">
        <v>2036</v>
      </c>
      <c r="AI2" s="112">
        <v>2037</v>
      </c>
      <c r="AJ2" s="112">
        <v>2038</v>
      </c>
      <c r="AK2" s="112">
        <v>2039</v>
      </c>
      <c r="AL2" s="112">
        <v>2040</v>
      </c>
      <c r="AM2" s="112">
        <v>2041</v>
      </c>
      <c r="AN2" s="112">
        <v>2042</v>
      </c>
      <c r="AO2" s="112">
        <v>2043</v>
      </c>
      <c r="AP2" s="112">
        <v>2044</v>
      </c>
      <c r="AQ2" s="112">
        <v>2045</v>
      </c>
      <c r="AR2" s="112">
        <v>2046</v>
      </c>
      <c r="AS2" s="112">
        <v>2047</v>
      </c>
      <c r="AT2" s="112">
        <v>2048</v>
      </c>
      <c r="AU2" s="112">
        <v>2049</v>
      </c>
      <c r="AV2" s="112">
        <v>2050</v>
      </c>
      <c r="AW2" s="112">
        <v>2051</v>
      </c>
      <c r="AX2" s="112">
        <v>2052</v>
      </c>
      <c r="AY2" s="112">
        <v>2053</v>
      </c>
      <c r="AZ2" s="112">
        <v>2054</v>
      </c>
      <c r="BA2" s="112">
        <v>2055</v>
      </c>
      <c r="BB2" s="112">
        <v>2056</v>
      </c>
      <c r="BC2" s="112">
        <v>2057</v>
      </c>
      <c r="BD2" s="112">
        <v>2058</v>
      </c>
      <c r="BE2" s="112">
        <v>2059</v>
      </c>
      <c r="BF2" s="112">
        <v>2060</v>
      </c>
      <c r="BG2" s="112">
        <v>2061</v>
      </c>
      <c r="BH2" s="112">
        <v>2062</v>
      </c>
      <c r="BI2" s="112">
        <v>2063</v>
      </c>
      <c r="BJ2" s="112">
        <v>2064</v>
      </c>
      <c r="BK2" s="112">
        <v>2065</v>
      </c>
      <c r="BL2" s="112">
        <v>2066</v>
      </c>
      <c r="BM2" s="112">
        <v>2067</v>
      </c>
      <c r="BN2" s="112">
        <v>2068</v>
      </c>
      <c r="BO2" s="112">
        <v>2069</v>
      </c>
      <c r="BP2" s="112">
        <v>2070</v>
      </c>
      <c r="BQ2" s="112">
        <v>2071</v>
      </c>
      <c r="BR2" s="112">
        <v>2072</v>
      </c>
      <c r="BS2" s="112">
        <v>2073</v>
      </c>
      <c r="BT2" s="112">
        <v>2074</v>
      </c>
      <c r="BU2" s="112">
        <v>2075</v>
      </c>
      <c r="BV2" s="112">
        <v>2076</v>
      </c>
      <c r="BW2" s="112">
        <v>2077</v>
      </c>
      <c r="BX2" s="112">
        <v>2078</v>
      </c>
      <c r="BY2" s="112">
        <v>2079</v>
      </c>
      <c r="BZ2" s="112">
        <v>2080</v>
      </c>
      <c r="CA2" s="112">
        <v>2081</v>
      </c>
      <c r="CB2" s="112">
        <v>2082</v>
      </c>
      <c r="CC2" s="112">
        <v>2083</v>
      </c>
      <c r="CD2" s="112">
        <v>2084</v>
      </c>
      <c r="CE2" s="112">
        <v>2085</v>
      </c>
      <c r="CF2" s="112">
        <v>2086</v>
      </c>
      <c r="CG2" s="112">
        <v>2087</v>
      </c>
      <c r="CH2" s="112">
        <v>2088</v>
      </c>
      <c r="CI2" s="112">
        <v>2089</v>
      </c>
      <c r="CJ2" s="112">
        <v>2090</v>
      </c>
      <c r="CK2" s="112">
        <v>2091</v>
      </c>
      <c r="CL2" s="112">
        <v>2092</v>
      </c>
      <c r="CM2" s="112">
        <v>2093</v>
      </c>
      <c r="CN2" s="112">
        <v>2094</v>
      </c>
      <c r="CO2" s="112">
        <v>2095</v>
      </c>
      <c r="CP2" s="112">
        <v>2096</v>
      </c>
      <c r="CQ2" s="112">
        <v>2097</v>
      </c>
      <c r="CR2" s="112">
        <v>2098</v>
      </c>
      <c r="CS2" s="112">
        <v>2099</v>
      </c>
      <c r="CT2" s="112">
        <v>2100</v>
      </c>
      <c r="CU2" s="112">
        <v>2101</v>
      </c>
      <c r="CV2" s="112">
        <v>2102</v>
      </c>
      <c r="CW2" s="112">
        <v>2103</v>
      </c>
      <c r="CX2" s="112">
        <v>2104</v>
      </c>
      <c r="CY2" s="112">
        <v>2105</v>
      </c>
      <c r="CZ2" s="112">
        <v>2106</v>
      </c>
      <c r="DA2" s="112">
        <v>2107</v>
      </c>
      <c r="DB2" s="112">
        <v>2108</v>
      </c>
      <c r="DC2" s="112">
        <v>2109</v>
      </c>
      <c r="DD2" s="112">
        <v>2110</v>
      </c>
      <c r="DE2" s="112">
        <v>2111</v>
      </c>
      <c r="DF2" s="112">
        <v>2112</v>
      </c>
      <c r="DG2" s="112">
        <v>2113</v>
      </c>
      <c r="DH2" s="112">
        <v>2114</v>
      </c>
      <c r="DI2" s="112">
        <v>2115</v>
      </c>
      <c r="DJ2" s="112">
        <v>2116</v>
      </c>
      <c r="DK2" s="112">
        <v>2117</v>
      </c>
      <c r="DL2" s="112">
        <v>2118</v>
      </c>
      <c r="DM2" s="112">
        <v>2119</v>
      </c>
      <c r="DN2" s="112">
        <v>2120</v>
      </c>
      <c r="DO2" s="112">
        <v>2121</v>
      </c>
      <c r="DP2" s="112">
        <v>2122</v>
      </c>
      <c r="DQ2" s="112">
        <v>2123</v>
      </c>
      <c r="DR2" s="112">
        <v>2124</v>
      </c>
      <c r="DS2" s="112">
        <v>2125</v>
      </c>
      <c r="DT2" s="112">
        <v>2126</v>
      </c>
      <c r="DU2" s="112">
        <v>2127</v>
      </c>
      <c r="DV2" s="112">
        <v>2128</v>
      </c>
      <c r="DW2" s="112">
        <v>2129</v>
      </c>
      <c r="DX2" s="112">
        <v>2130</v>
      </c>
      <c r="DY2" s="112">
        <v>2131</v>
      </c>
      <c r="DZ2" s="112">
        <v>2132</v>
      </c>
      <c r="EA2" s="112">
        <v>2133</v>
      </c>
      <c r="EB2" s="112">
        <v>2134</v>
      </c>
      <c r="EC2" s="112">
        <v>2135</v>
      </c>
      <c r="ED2" s="112">
        <v>2136</v>
      </c>
      <c r="EE2" s="112">
        <v>2137</v>
      </c>
      <c r="EF2" s="112">
        <v>2138</v>
      </c>
      <c r="EG2" s="112">
        <v>2139</v>
      </c>
      <c r="EH2" s="112">
        <v>2140</v>
      </c>
      <c r="EI2" s="112">
        <v>2141</v>
      </c>
      <c r="EJ2" s="112">
        <v>2142</v>
      </c>
      <c r="EK2" s="112">
        <v>2143</v>
      </c>
      <c r="EL2" s="112">
        <v>2144</v>
      </c>
      <c r="EM2" s="112">
        <v>2145</v>
      </c>
      <c r="EN2" s="112">
        <v>2146</v>
      </c>
      <c r="EO2" s="112">
        <v>2147</v>
      </c>
      <c r="EP2" s="112">
        <v>2148</v>
      </c>
      <c r="EQ2" s="112">
        <v>2149</v>
      </c>
      <c r="ER2" s="112">
        <v>2150</v>
      </c>
      <c r="ES2" s="112">
        <v>2151</v>
      </c>
      <c r="ET2" s="112">
        <v>2152</v>
      </c>
      <c r="EU2" s="112">
        <v>2153</v>
      </c>
      <c r="EV2" s="112">
        <v>2154</v>
      </c>
      <c r="EW2" s="112">
        <v>2155</v>
      </c>
      <c r="EX2" s="112">
        <v>2156</v>
      </c>
      <c r="EY2" s="112">
        <v>2157</v>
      </c>
      <c r="EZ2" s="112">
        <v>2158</v>
      </c>
      <c r="FA2" s="112">
        <v>2159</v>
      </c>
      <c r="FB2" s="112">
        <v>2160</v>
      </c>
      <c r="FC2" s="112">
        <v>2161</v>
      </c>
      <c r="FD2" s="112">
        <v>2162</v>
      </c>
      <c r="FE2" s="112">
        <v>2163</v>
      </c>
      <c r="FF2" s="112">
        <v>2164</v>
      </c>
      <c r="FG2" s="112">
        <v>2165</v>
      </c>
      <c r="FH2" s="112">
        <v>2166</v>
      </c>
      <c r="FI2" s="112">
        <v>2167</v>
      </c>
      <c r="FJ2" s="112">
        <v>2168</v>
      </c>
      <c r="FK2" s="112">
        <v>2169</v>
      </c>
      <c r="FL2" s="112">
        <v>2170</v>
      </c>
      <c r="FM2" s="112">
        <v>2171</v>
      </c>
      <c r="FN2" s="112">
        <v>2172</v>
      </c>
      <c r="FO2" s="112">
        <v>2173</v>
      </c>
      <c r="FP2" s="112">
        <v>2174</v>
      </c>
      <c r="FQ2" s="112">
        <v>2175</v>
      </c>
      <c r="FR2" s="112">
        <v>2176</v>
      </c>
      <c r="FS2" s="112">
        <v>2177</v>
      </c>
      <c r="FT2" s="112">
        <v>2178</v>
      </c>
      <c r="FU2" s="112">
        <v>2179</v>
      </c>
      <c r="FV2" s="112">
        <v>2180</v>
      </c>
      <c r="FW2" s="112">
        <v>2181</v>
      </c>
      <c r="FX2" s="112">
        <v>2182</v>
      </c>
      <c r="FY2" s="112">
        <v>2183</v>
      </c>
      <c r="FZ2" s="112">
        <v>2184</v>
      </c>
      <c r="GA2" s="112">
        <v>2185</v>
      </c>
      <c r="GB2" s="112">
        <v>2186</v>
      </c>
      <c r="GC2" s="112">
        <v>2187</v>
      </c>
      <c r="GD2" s="112">
        <v>2188</v>
      </c>
      <c r="GE2" s="112">
        <v>2189</v>
      </c>
      <c r="GF2" s="112">
        <v>2190</v>
      </c>
    </row>
    <row r="3" spans="1:188" s="113" customFormat="1" x14ac:dyDescent="0.25">
      <c r="B3" s="113" t="s">
        <v>834</v>
      </c>
      <c r="C3" s="113">
        <v>3020</v>
      </c>
      <c r="D3" s="113">
        <v>3070</v>
      </c>
      <c r="E3" s="113">
        <v>3140</v>
      </c>
      <c r="F3" s="113">
        <v>3190</v>
      </c>
      <c r="G3" s="113">
        <v>3240</v>
      </c>
      <c r="H3" s="113">
        <v>3270</v>
      </c>
      <c r="I3" s="113">
        <v>3290</v>
      </c>
      <c r="J3" s="113">
        <v>3350</v>
      </c>
      <c r="N3" s="113">
        <v>3580</v>
      </c>
      <c r="U3" s="113">
        <v>3190</v>
      </c>
      <c r="V3" s="113">
        <v>3350</v>
      </c>
      <c r="W3" s="113">
        <f>V3*1.015</f>
        <v>3400.2499999999995</v>
      </c>
      <c r="X3" s="113">
        <f t="shared" ref="X3:AD3" si="0">W3*1.015</f>
        <v>3451.2537499999994</v>
      </c>
      <c r="Y3" s="113">
        <f t="shared" si="0"/>
        <v>3503.0225562499991</v>
      </c>
      <c r="Z3" s="113">
        <f t="shared" si="0"/>
        <v>3555.5678945937489</v>
      </c>
      <c r="AA3" s="113">
        <f t="shared" si="0"/>
        <v>3608.9014130126548</v>
      </c>
      <c r="AB3" s="113">
        <f t="shared" si="0"/>
        <v>3663.0349342078443</v>
      </c>
      <c r="AC3" s="113">
        <f t="shared" si="0"/>
        <v>3717.9804582209617</v>
      </c>
      <c r="AD3" s="113">
        <f t="shared" si="0"/>
        <v>3773.7501650942759</v>
      </c>
    </row>
    <row r="4" spans="1:188" s="114" customFormat="1" x14ac:dyDescent="0.25">
      <c r="B4" s="114" t="s">
        <v>835</v>
      </c>
      <c r="C4" s="114">
        <f t="shared" ref="C4:E4" si="1">C8/C3</f>
        <v>9.4850993377483448</v>
      </c>
      <c r="D4" s="114">
        <f t="shared" si="1"/>
        <v>10.423127035830619</v>
      </c>
      <c r="E4" s="114">
        <f t="shared" si="1"/>
        <v>10.87452229299363</v>
      </c>
      <c r="F4" s="114">
        <f>F8/F3</f>
        <v>12.57398119122257</v>
      </c>
      <c r="G4" s="114">
        <f t="shared" ref="G4:I4" si="2">G8/G3</f>
        <v>11.251543209876543</v>
      </c>
      <c r="H4" s="114">
        <f t="shared" si="2"/>
        <v>11.948318042813456</v>
      </c>
      <c r="I4" s="114">
        <f t="shared" si="2"/>
        <v>12.337082066869302</v>
      </c>
      <c r="J4" s="114">
        <f>J8/J3</f>
        <v>14.443283582089553</v>
      </c>
      <c r="N4" s="114">
        <f>N8/N3</f>
        <v>16.729888268156426</v>
      </c>
      <c r="O4" s="114" t="e">
        <f t="shared" ref="O4:R4" si="3">O8/O3</f>
        <v>#DIV/0!</v>
      </c>
      <c r="P4" s="114" t="e">
        <f t="shared" si="3"/>
        <v>#DIV/0!</v>
      </c>
      <c r="Q4" s="114" t="e">
        <f t="shared" si="3"/>
        <v>#DIV/0!</v>
      </c>
      <c r="R4" s="114" t="e">
        <f t="shared" si="3"/>
        <v>#DIV/0!</v>
      </c>
      <c r="U4" s="114">
        <f>U8/I3</f>
        <v>41.003343465045596</v>
      </c>
      <c r="V4" s="114">
        <f>V8/J3</f>
        <v>49.104477611940297</v>
      </c>
      <c r="W4" s="114">
        <f>V4*1.2</f>
        <v>58.925373134328353</v>
      </c>
      <c r="X4" s="114">
        <f t="shared" ref="X4:Z4" si="4">W4*1.2</f>
        <v>70.710447761194018</v>
      </c>
      <c r="Y4" s="114">
        <f t="shared" si="4"/>
        <v>84.852537313432819</v>
      </c>
      <c r="Z4" s="114">
        <f t="shared" si="4"/>
        <v>101.82304477611937</v>
      </c>
      <c r="AA4" s="114">
        <f>Z4*1.1</f>
        <v>112.00534925373132</v>
      </c>
      <c r="AB4" s="114">
        <f t="shared" ref="AB4:AD4" si="5">AA4*1.1</f>
        <v>123.20588417910447</v>
      </c>
      <c r="AC4" s="114">
        <f t="shared" si="5"/>
        <v>135.52647259701493</v>
      </c>
      <c r="AD4" s="114">
        <f t="shared" si="5"/>
        <v>149.07911985671643</v>
      </c>
    </row>
    <row r="5" spans="1:188" x14ac:dyDescent="0.25">
      <c r="B5" s="112" t="s">
        <v>836</v>
      </c>
      <c r="G5" s="115">
        <f t="shared" ref="G5:I5" si="6">G3/C3-1</f>
        <v>7.2847682119205226E-2</v>
      </c>
      <c r="H5" s="115">
        <f t="shared" si="6"/>
        <v>6.514657980456029E-2</v>
      </c>
      <c r="I5" s="115">
        <f t="shared" si="6"/>
        <v>4.7770700636942776E-2</v>
      </c>
      <c r="J5" s="115">
        <f>J3/F3-1</f>
        <v>5.0156739811912265E-2</v>
      </c>
      <c r="N5" s="115">
        <f>N3/J3-1</f>
        <v>6.8656716417910379E-2</v>
      </c>
      <c r="O5" s="115" t="e">
        <f t="shared" ref="O5:R5" si="7">O3/K3-1</f>
        <v>#DIV/0!</v>
      </c>
      <c r="P5" s="115" t="e">
        <f t="shared" si="7"/>
        <v>#DIV/0!</v>
      </c>
      <c r="Q5" s="115" t="e">
        <f t="shared" si="7"/>
        <v>#DIV/0!</v>
      </c>
      <c r="R5" s="115">
        <f t="shared" si="7"/>
        <v>-1</v>
      </c>
      <c r="T5" s="115"/>
      <c r="U5" s="115"/>
      <c r="V5" s="115">
        <f>V3/U3-1</f>
        <v>5.0156739811912265E-2</v>
      </c>
    </row>
    <row r="6" spans="1:188" x14ac:dyDescent="0.25">
      <c r="B6" s="112" t="s">
        <v>837</v>
      </c>
      <c r="G6" s="115">
        <f t="shared" ref="G6:I6" si="8">G4/C4-1</f>
        <v>0.18623356585188189</v>
      </c>
      <c r="H6" s="115">
        <f t="shared" si="8"/>
        <v>0.14632758496944631</v>
      </c>
      <c r="I6" s="115">
        <f t="shared" si="8"/>
        <v>0.13449416300502581</v>
      </c>
      <c r="J6" s="115">
        <f>J4/F4-1</f>
        <v>0.14866432217759895</v>
      </c>
      <c r="N6" s="115">
        <f>N4/J4-1</f>
        <v>0.15831612479743784</v>
      </c>
      <c r="O6" s="115" t="e">
        <f t="shared" ref="O6:R6" si="9">O4/K4-1</f>
        <v>#DIV/0!</v>
      </c>
      <c r="P6" s="115" t="e">
        <f t="shared" si="9"/>
        <v>#DIV/0!</v>
      </c>
      <c r="Q6" s="115" t="e">
        <f t="shared" si="9"/>
        <v>#DIV/0!</v>
      </c>
      <c r="R6" s="115" t="e">
        <f t="shared" si="9"/>
        <v>#DIV/0!</v>
      </c>
      <c r="T6" s="115"/>
      <c r="U6" s="115"/>
      <c r="V6" s="115">
        <f>V4/U4-1</f>
        <v>0.19757252609901754</v>
      </c>
    </row>
    <row r="7" spans="1:188" x14ac:dyDescent="0.25">
      <c r="S7" s="116"/>
    </row>
    <row r="8" spans="1:188" s="113" customFormat="1" x14ac:dyDescent="0.25">
      <c r="B8" s="113" t="s">
        <v>9</v>
      </c>
      <c r="C8" s="113">
        <v>28645</v>
      </c>
      <c r="D8" s="113">
        <v>31999</v>
      </c>
      <c r="E8" s="113">
        <v>34146</v>
      </c>
      <c r="F8" s="113">
        <v>40111</v>
      </c>
      <c r="G8" s="113">
        <v>36455</v>
      </c>
      <c r="H8" s="113">
        <v>39071</v>
      </c>
      <c r="I8" s="113">
        <v>40589</v>
      </c>
      <c r="J8" s="113">
        <v>48385</v>
      </c>
      <c r="K8" s="113">
        <v>42314</v>
      </c>
      <c r="L8" s="113">
        <v>47516</v>
      </c>
      <c r="M8" s="113">
        <v>51242</v>
      </c>
      <c r="N8" s="113">
        <v>59893</v>
      </c>
      <c r="T8" s="113">
        <v>116609</v>
      </c>
      <c r="U8" s="113">
        <f>SUM(C8:F8)</f>
        <v>134901</v>
      </c>
      <c r="V8" s="113">
        <f>SUM(G8:J8)</f>
        <v>164500</v>
      </c>
      <c r="W8" s="113">
        <f>SUM(K8:N8)</f>
        <v>200965</v>
      </c>
      <c r="X8" s="113">
        <v>213430</v>
      </c>
      <c r="Y8" s="113">
        <f t="shared" ref="Y8:AD8" si="10">Y4*Y3</f>
        <v>297240.35216399987</v>
      </c>
      <c r="Z8" s="113">
        <f t="shared" si="10"/>
        <v>362038.74893575179</v>
      </c>
      <c r="AA8" s="113">
        <f t="shared" si="10"/>
        <v>404216.26318676688</v>
      </c>
      <c r="AB8" s="113">
        <f t="shared" si="10"/>
        <v>451307.45784802525</v>
      </c>
      <c r="AC8" s="113">
        <f t="shared" si="10"/>
        <v>503884.77668732021</v>
      </c>
      <c r="AD8" s="113">
        <f t="shared" si="10"/>
        <v>562587.35317139293</v>
      </c>
    </row>
    <row r="9" spans="1:188" s="113" customFormat="1" x14ac:dyDescent="0.25">
      <c r="B9" s="113" t="s">
        <v>17</v>
      </c>
      <c r="C9" s="113">
        <v>6108</v>
      </c>
      <c r="D9" s="113">
        <v>5945</v>
      </c>
      <c r="E9" s="113">
        <v>6210</v>
      </c>
      <c r="F9" s="113">
        <v>7695</v>
      </c>
      <c r="G9" s="113">
        <v>6640</v>
      </c>
      <c r="H9" s="113">
        <v>7308</v>
      </c>
      <c r="I9" s="113">
        <v>7375</v>
      </c>
      <c r="J9" s="113">
        <v>8839</v>
      </c>
      <c r="K9" s="113">
        <v>7572</v>
      </c>
      <c r="L9" s="113">
        <v>8491</v>
      </c>
      <c r="M9" s="113">
        <v>9206</v>
      </c>
      <c r="N9" s="113">
        <v>10905</v>
      </c>
      <c r="T9" s="113">
        <v>25249</v>
      </c>
      <c r="U9" s="113">
        <f>SUM(C9:F9)</f>
        <v>25958</v>
      </c>
      <c r="V9" s="113">
        <f>SUM(G9:J9)</f>
        <v>30162</v>
      </c>
      <c r="W9" s="113">
        <f t="shared" ref="W9" si="11">SUM(K9:N9)</f>
        <v>36174</v>
      </c>
    </row>
    <row r="10" spans="1:188" s="108" customFormat="1" x14ac:dyDescent="0.25">
      <c r="B10" s="108" t="s">
        <v>60</v>
      </c>
      <c r="C10" s="108">
        <f t="shared" ref="C10:O10" si="12">C8-C9</f>
        <v>22537</v>
      </c>
      <c r="D10" s="108">
        <f t="shared" si="12"/>
        <v>26054</v>
      </c>
      <c r="E10" s="108">
        <f t="shared" si="12"/>
        <v>27936</v>
      </c>
      <c r="F10" s="108">
        <f t="shared" si="12"/>
        <v>32416</v>
      </c>
      <c r="G10" s="108">
        <f t="shared" si="12"/>
        <v>29815</v>
      </c>
      <c r="H10" s="108">
        <f t="shared" si="12"/>
        <v>31763</v>
      </c>
      <c r="I10" s="108">
        <f t="shared" si="12"/>
        <v>33214</v>
      </c>
      <c r="J10" s="108">
        <f t="shared" si="12"/>
        <v>39546</v>
      </c>
      <c r="K10" s="108">
        <f t="shared" si="12"/>
        <v>34742</v>
      </c>
      <c r="L10" s="108">
        <f t="shared" si="12"/>
        <v>39025</v>
      </c>
      <c r="M10" s="108">
        <f t="shared" si="12"/>
        <v>42036</v>
      </c>
      <c r="N10" s="108">
        <f t="shared" si="12"/>
        <v>48988</v>
      </c>
      <c r="O10" s="108">
        <f t="shared" si="12"/>
        <v>0</v>
      </c>
      <c r="P10" s="108">
        <f t="shared" ref="P10:R10" si="13">P8-P9</f>
        <v>0</v>
      </c>
      <c r="Q10" s="108">
        <f t="shared" si="13"/>
        <v>0</v>
      </c>
      <c r="R10" s="108">
        <f t="shared" si="13"/>
        <v>0</v>
      </c>
      <c r="T10" s="108">
        <f>T8-T9</f>
        <v>91360</v>
      </c>
      <c r="U10" s="108">
        <f>U8-U9</f>
        <v>108943</v>
      </c>
      <c r="V10" s="108">
        <f>V8-V9</f>
        <v>134338</v>
      </c>
      <c r="W10" s="108">
        <f t="shared" ref="W10:X10" si="14">W8-W9</f>
        <v>164791</v>
      </c>
      <c r="X10" s="108">
        <f t="shared" si="14"/>
        <v>213430</v>
      </c>
    </row>
    <row r="11" spans="1:188" s="113" customFormat="1" x14ac:dyDescent="0.25">
      <c r="B11" s="113" t="s">
        <v>20</v>
      </c>
      <c r="C11" s="113">
        <v>9381</v>
      </c>
      <c r="D11" s="113">
        <v>9344</v>
      </c>
      <c r="E11" s="113">
        <v>9241</v>
      </c>
      <c r="F11" s="113">
        <v>10517</v>
      </c>
      <c r="G11" s="113">
        <v>9978</v>
      </c>
      <c r="H11" s="113">
        <v>10537</v>
      </c>
      <c r="I11" s="113">
        <v>11177</v>
      </c>
      <c r="J11" s="113">
        <v>12180</v>
      </c>
      <c r="K11" s="113">
        <v>12150</v>
      </c>
      <c r="L11" s="113">
        <v>12942</v>
      </c>
      <c r="M11" s="113">
        <v>15144</v>
      </c>
      <c r="N11" s="113">
        <v>17136</v>
      </c>
      <c r="T11" s="113">
        <v>35338</v>
      </c>
      <c r="U11" s="113">
        <f>SUM(C11:F11)</f>
        <v>38483</v>
      </c>
      <c r="V11" s="113">
        <f>SUM(G11:J11)</f>
        <v>43872</v>
      </c>
      <c r="W11" s="113">
        <f t="shared" ref="W11:W13" si="15">SUM(K11:N11)</f>
        <v>57372</v>
      </c>
    </row>
    <row r="12" spans="1:188" s="113" customFormat="1" x14ac:dyDescent="0.25">
      <c r="B12" s="113" t="s">
        <v>777</v>
      </c>
      <c r="C12" s="113">
        <v>3044</v>
      </c>
      <c r="D12" s="113">
        <v>3154</v>
      </c>
      <c r="E12" s="113">
        <v>2877</v>
      </c>
      <c r="F12" s="113">
        <v>3226</v>
      </c>
      <c r="G12" s="113">
        <v>2564</v>
      </c>
      <c r="H12" s="113">
        <v>2721</v>
      </c>
      <c r="I12" s="113">
        <v>2822</v>
      </c>
      <c r="J12" s="113">
        <v>3240</v>
      </c>
      <c r="K12" s="113">
        <v>2757</v>
      </c>
      <c r="L12" s="113">
        <v>2979</v>
      </c>
      <c r="M12" s="113">
        <v>2845</v>
      </c>
      <c r="N12" s="113">
        <v>3410</v>
      </c>
      <c r="T12" s="113">
        <v>15262</v>
      </c>
      <c r="U12" s="113">
        <f>SUM(C12:F12)</f>
        <v>12301</v>
      </c>
      <c r="V12" s="113">
        <f>SUM(G12:J12)</f>
        <v>11347</v>
      </c>
      <c r="W12" s="113">
        <f t="shared" si="15"/>
        <v>11991</v>
      </c>
    </row>
    <row r="13" spans="1:188" s="113" customFormat="1" x14ac:dyDescent="0.25">
      <c r="B13" s="113" t="s">
        <v>58</v>
      </c>
      <c r="C13" s="113">
        <v>2885</v>
      </c>
      <c r="D13" s="113">
        <v>4164</v>
      </c>
      <c r="E13" s="113">
        <v>2070</v>
      </c>
      <c r="F13" s="113">
        <v>2289</v>
      </c>
      <c r="G13" s="113">
        <v>3455</v>
      </c>
      <c r="H13" s="113">
        <v>3658</v>
      </c>
      <c r="I13" s="113">
        <v>1865</v>
      </c>
      <c r="J13" s="113">
        <v>761</v>
      </c>
      <c r="K13" s="113">
        <v>2280</v>
      </c>
      <c r="L13" s="113">
        <v>2663</v>
      </c>
      <c r="M13" s="113">
        <v>3512</v>
      </c>
      <c r="N13" s="113">
        <v>3697</v>
      </c>
      <c r="T13" s="113">
        <v>11816</v>
      </c>
      <c r="U13" s="113">
        <f>SUM(C13:F13)</f>
        <v>11408</v>
      </c>
      <c r="V13" s="113">
        <f>SUM(G13:J13)</f>
        <v>9739</v>
      </c>
      <c r="W13" s="113">
        <f t="shared" si="15"/>
        <v>12152</v>
      </c>
    </row>
    <row r="14" spans="1:188" s="108" customFormat="1" x14ac:dyDescent="0.25">
      <c r="B14" s="108" t="s">
        <v>22</v>
      </c>
      <c r="C14" s="108">
        <f t="shared" ref="C14:J14" si="16">SUM(C11:C13)</f>
        <v>15310</v>
      </c>
      <c r="D14" s="108">
        <f t="shared" si="16"/>
        <v>16662</v>
      </c>
      <c r="E14" s="108">
        <f t="shared" si="16"/>
        <v>14188</v>
      </c>
      <c r="F14" s="108">
        <f t="shared" si="16"/>
        <v>16032</v>
      </c>
      <c r="G14" s="108">
        <f t="shared" si="16"/>
        <v>15997</v>
      </c>
      <c r="H14" s="108">
        <f t="shared" si="16"/>
        <v>16916</v>
      </c>
      <c r="I14" s="108">
        <f t="shared" si="16"/>
        <v>15864</v>
      </c>
      <c r="J14" s="108">
        <f t="shared" si="16"/>
        <v>16181</v>
      </c>
      <c r="K14" s="108">
        <f t="shared" ref="K14:L14" si="17">SUM(K11:K13)</f>
        <v>17187</v>
      </c>
      <c r="L14" s="108">
        <f t="shared" si="17"/>
        <v>18584</v>
      </c>
      <c r="M14" s="108">
        <f t="shared" ref="M14" si="18">SUM(M11:M13)</f>
        <v>21501</v>
      </c>
      <c r="N14" s="108">
        <f t="shared" ref="N14:O14" si="19">SUM(N11:N13)</f>
        <v>24243</v>
      </c>
      <c r="O14" s="108">
        <f t="shared" si="19"/>
        <v>0</v>
      </c>
      <c r="P14" s="108">
        <f t="shared" ref="P14:R14" si="20">SUM(P11:P13)</f>
        <v>0</v>
      </c>
      <c r="Q14" s="108">
        <f t="shared" si="20"/>
        <v>0</v>
      </c>
      <c r="R14" s="108">
        <f t="shared" si="20"/>
        <v>0</v>
      </c>
      <c r="T14" s="108">
        <f>SUM(T11:T13)</f>
        <v>62416</v>
      </c>
      <c r="U14" s="108">
        <f>SUM(U11:U13)</f>
        <v>62192</v>
      </c>
      <c r="V14" s="108">
        <f>SUM(V11:V13)</f>
        <v>64958</v>
      </c>
      <c r="W14" s="108">
        <f t="shared" ref="W14:X14" si="21">SUM(W11:W13)</f>
        <v>81515</v>
      </c>
      <c r="X14" s="108">
        <f t="shared" si="21"/>
        <v>0</v>
      </c>
    </row>
    <row r="15" spans="1:188" s="108" customFormat="1" x14ac:dyDescent="0.25">
      <c r="B15" s="108" t="s">
        <v>388</v>
      </c>
      <c r="C15" s="108">
        <f t="shared" ref="C15:J15" si="22">C10-C14</f>
        <v>7227</v>
      </c>
      <c r="D15" s="108">
        <f t="shared" si="22"/>
        <v>9392</v>
      </c>
      <c r="E15" s="108">
        <f t="shared" si="22"/>
        <v>13748</v>
      </c>
      <c r="F15" s="108">
        <f t="shared" si="22"/>
        <v>16384</v>
      </c>
      <c r="G15" s="108">
        <f t="shared" si="22"/>
        <v>13818</v>
      </c>
      <c r="H15" s="108">
        <f t="shared" si="22"/>
        <v>14847</v>
      </c>
      <c r="I15" s="108">
        <f t="shared" si="22"/>
        <v>17350</v>
      </c>
      <c r="J15" s="108">
        <f t="shared" si="22"/>
        <v>23365</v>
      </c>
      <c r="K15" s="108">
        <f t="shared" ref="K15:L15" si="23">K10-K14</f>
        <v>17555</v>
      </c>
      <c r="L15" s="108">
        <f t="shared" si="23"/>
        <v>20441</v>
      </c>
      <c r="M15" s="108">
        <f t="shared" ref="M15" si="24">M10-M14</f>
        <v>20535</v>
      </c>
      <c r="N15" s="108">
        <f t="shared" ref="N15:O15" si="25">N10-N14</f>
        <v>24745</v>
      </c>
      <c r="O15" s="108">
        <f t="shared" si="25"/>
        <v>0</v>
      </c>
      <c r="P15" s="108">
        <f t="shared" ref="P15:R15" si="26">P10-P14</f>
        <v>0</v>
      </c>
      <c r="Q15" s="108">
        <f t="shared" si="26"/>
        <v>0</v>
      </c>
      <c r="R15" s="108">
        <f t="shared" si="26"/>
        <v>0</v>
      </c>
      <c r="T15" s="108">
        <f>T10-T14</f>
        <v>28944</v>
      </c>
      <c r="U15" s="108">
        <f>U10-U14</f>
        <v>46751</v>
      </c>
      <c r="V15" s="108">
        <f>V10-V14</f>
        <v>69380</v>
      </c>
      <c r="W15" s="108">
        <f t="shared" ref="W15:X15" si="27">W10-W14</f>
        <v>83276</v>
      </c>
      <c r="X15" s="108">
        <f t="shared" si="27"/>
        <v>213430</v>
      </c>
    </row>
    <row r="16" spans="1:188" s="113" customFormat="1" x14ac:dyDescent="0.25">
      <c r="B16" s="113" t="s">
        <v>778</v>
      </c>
      <c r="C16" s="113">
        <v>80</v>
      </c>
      <c r="D16" s="113">
        <v>-99</v>
      </c>
      <c r="E16" s="113">
        <v>272</v>
      </c>
      <c r="F16" s="113">
        <v>424</v>
      </c>
      <c r="G16" s="113">
        <v>365</v>
      </c>
      <c r="H16" s="113">
        <v>259</v>
      </c>
      <c r="I16" s="113">
        <v>472</v>
      </c>
      <c r="J16" s="113">
        <v>188</v>
      </c>
      <c r="K16" s="113">
        <v>827</v>
      </c>
      <c r="L16" s="113">
        <v>93</v>
      </c>
      <c r="M16" s="113">
        <v>1128</v>
      </c>
      <c r="N16" s="113">
        <v>609</v>
      </c>
      <c r="T16" s="113">
        <v>-125</v>
      </c>
      <c r="U16" s="113">
        <f>SUM(C16:F16)</f>
        <v>677</v>
      </c>
      <c r="V16" s="113">
        <f>SUM(G16:J16)</f>
        <v>1284</v>
      </c>
      <c r="W16" s="113">
        <f>SUM(K16:N16)</f>
        <v>2657</v>
      </c>
    </row>
    <row r="17" spans="2:188" s="108" customFormat="1" x14ac:dyDescent="0.25">
      <c r="B17" s="108" t="s">
        <v>500</v>
      </c>
      <c r="C17" s="108">
        <f t="shared" ref="C17:J17" si="28">C15+C16</f>
        <v>7307</v>
      </c>
      <c r="D17" s="108">
        <f t="shared" si="28"/>
        <v>9293</v>
      </c>
      <c r="E17" s="108">
        <f t="shared" si="28"/>
        <v>14020</v>
      </c>
      <c r="F17" s="108">
        <f t="shared" si="28"/>
        <v>16808</v>
      </c>
      <c r="G17" s="108">
        <f t="shared" si="28"/>
        <v>14183</v>
      </c>
      <c r="H17" s="108">
        <f t="shared" si="28"/>
        <v>15106</v>
      </c>
      <c r="I17" s="108">
        <f t="shared" si="28"/>
        <v>17822</v>
      </c>
      <c r="J17" s="108">
        <f t="shared" si="28"/>
        <v>23553</v>
      </c>
      <c r="K17" s="108">
        <f t="shared" ref="K17:L17" si="29">K15+K16</f>
        <v>18382</v>
      </c>
      <c r="L17" s="108">
        <f t="shared" si="29"/>
        <v>20534</v>
      </c>
      <c r="M17" s="108">
        <f t="shared" ref="M17:O17" si="30">M15+M16</f>
        <v>21663</v>
      </c>
      <c r="N17" s="108">
        <f t="shared" ref="N17" si="31">N15+N16</f>
        <v>25354</v>
      </c>
      <c r="O17" s="108">
        <f t="shared" si="30"/>
        <v>0</v>
      </c>
      <c r="P17" s="108">
        <f t="shared" ref="P17:R17" si="32">P15+P16</f>
        <v>0</v>
      </c>
      <c r="Q17" s="108">
        <f t="shared" si="32"/>
        <v>0</v>
      </c>
      <c r="R17" s="108">
        <f t="shared" si="32"/>
        <v>0</v>
      </c>
      <c r="T17" s="108">
        <f>T15+T16</f>
        <v>28819</v>
      </c>
      <c r="U17" s="108">
        <f>U15+U16</f>
        <v>47428</v>
      </c>
      <c r="V17" s="108">
        <f>V15+V16</f>
        <v>70664</v>
      </c>
      <c r="W17" s="108">
        <f t="shared" ref="W17:X17" si="33">W15+W16</f>
        <v>85933</v>
      </c>
      <c r="X17" s="108">
        <f t="shared" si="33"/>
        <v>213430</v>
      </c>
    </row>
    <row r="18" spans="2:188" s="113" customFormat="1" x14ac:dyDescent="0.25">
      <c r="B18" s="113" t="s">
        <v>27</v>
      </c>
      <c r="C18" s="113">
        <v>1598</v>
      </c>
      <c r="D18" s="113">
        <v>1505</v>
      </c>
      <c r="E18" s="113">
        <v>2437</v>
      </c>
      <c r="F18" s="113">
        <v>2791</v>
      </c>
      <c r="G18" s="113">
        <v>1814</v>
      </c>
      <c r="H18" s="113">
        <v>1641</v>
      </c>
      <c r="I18" s="113">
        <v>2134</v>
      </c>
      <c r="J18" s="113">
        <v>2715</v>
      </c>
      <c r="K18" s="113">
        <v>1738</v>
      </c>
      <c r="L18" s="113">
        <v>2197</v>
      </c>
      <c r="M18" s="113">
        <v>18945</v>
      </c>
      <c r="N18" s="113">
        <v>2586</v>
      </c>
      <c r="T18" s="113">
        <v>5619</v>
      </c>
      <c r="U18" s="113">
        <f>SUM(C18:F18)</f>
        <v>8331</v>
      </c>
      <c r="V18" s="113">
        <f>SUM(G18:J18)</f>
        <v>8304</v>
      </c>
      <c r="W18" s="113">
        <f>SUM(K18:N18)</f>
        <v>25466</v>
      </c>
    </row>
    <row r="19" spans="2:188" s="108" customFormat="1" x14ac:dyDescent="0.25">
      <c r="B19" s="108" t="s">
        <v>28</v>
      </c>
      <c r="C19" s="108">
        <f t="shared" ref="C19:J19" si="34">C17-C18</f>
        <v>5709</v>
      </c>
      <c r="D19" s="108">
        <f t="shared" si="34"/>
        <v>7788</v>
      </c>
      <c r="E19" s="108">
        <f t="shared" si="34"/>
        <v>11583</v>
      </c>
      <c r="F19" s="108">
        <f t="shared" si="34"/>
        <v>14017</v>
      </c>
      <c r="G19" s="108">
        <f t="shared" si="34"/>
        <v>12369</v>
      </c>
      <c r="H19" s="108">
        <f t="shared" si="34"/>
        <v>13465</v>
      </c>
      <c r="I19" s="108">
        <f t="shared" si="34"/>
        <v>15688</v>
      </c>
      <c r="J19" s="108">
        <f t="shared" si="34"/>
        <v>20838</v>
      </c>
      <c r="K19" s="108">
        <f t="shared" ref="K19:L19" si="35">K17-K18</f>
        <v>16644</v>
      </c>
      <c r="L19" s="108">
        <f t="shared" si="35"/>
        <v>18337</v>
      </c>
      <c r="M19" s="108">
        <f t="shared" ref="M19:O19" si="36">M17-M18</f>
        <v>2718</v>
      </c>
      <c r="N19" s="108">
        <f t="shared" ref="N19" si="37">N17-N18</f>
        <v>22768</v>
      </c>
      <c r="O19" s="108">
        <f t="shared" si="36"/>
        <v>0</v>
      </c>
      <c r="P19" s="108">
        <f t="shared" ref="P19:R19" si="38">P17-P18</f>
        <v>0</v>
      </c>
      <c r="Q19" s="108">
        <f t="shared" si="38"/>
        <v>0</v>
      </c>
      <c r="R19" s="108">
        <f t="shared" si="38"/>
        <v>0</v>
      </c>
      <c r="T19" s="108">
        <f>T17-T18</f>
        <v>23200</v>
      </c>
      <c r="U19" s="108">
        <f>U17-U18</f>
        <v>39097</v>
      </c>
      <c r="V19" s="108">
        <f>V17-V18</f>
        <v>62360</v>
      </c>
      <c r="W19" s="108">
        <f t="shared" ref="W19:X19" si="39">W17-W18</f>
        <v>60467</v>
      </c>
      <c r="X19" s="108">
        <f t="shared" si="39"/>
        <v>213430</v>
      </c>
      <c r="Y19" s="108">
        <f>Y8*0.4</f>
        <v>118896.14086559995</v>
      </c>
      <c r="Z19" s="108">
        <f>Z8*0.4</f>
        <v>144815.49957430072</v>
      </c>
      <c r="AA19" s="108">
        <f>AA8*0.35</f>
        <v>141475.69211536841</v>
      </c>
      <c r="AB19" s="108">
        <f>AB8*0.35</f>
        <v>157957.61024680882</v>
      </c>
      <c r="AC19" s="108">
        <f>AC8*0.35</f>
        <v>176359.67184056205</v>
      </c>
      <c r="AD19" s="108">
        <f>AD8*0.35</f>
        <v>196905.57360998751</v>
      </c>
      <c r="AE19" s="108">
        <f>AD19*(1-$AG$30)</f>
        <v>189029.35066558799</v>
      </c>
      <c r="AF19" s="108">
        <f t="shared" ref="AF19:CQ19" si="40">AE19*(1-$AG$30)</f>
        <v>181468.17663896448</v>
      </c>
      <c r="AG19" s="108">
        <f t="shared" si="40"/>
        <v>174209.4495734059</v>
      </c>
      <c r="AH19" s="108">
        <f t="shared" si="40"/>
        <v>167241.07159046966</v>
      </c>
      <c r="AI19" s="108">
        <f t="shared" si="40"/>
        <v>160551.42872685086</v>
      </c>
      <c r="AJ19" s="108">
        <f t="shared" si="40"/>
        <v>154129.37157777682</v>
      </c>
      <c r="AK19" s="108">
        <f t="shared" si="40"/>
        <v>147964.19671466574</v>
      </c>
      <c r="AL19" s="108">
        <f t="shared" si="40"/>
        <v>142045.62884607911</v>
      </c>
      <c r="AM19" s="108">
        <f t="shared" si="40"/>
        <v>136363.80369223593</v>
      </c>
      <c r="AN19" s="108">
        <f t="shared" si="40"/>
        <v>130909.2515445465</v>
      </c>
      <c r="AO19" s="108">
        <f t="shared" si="40"/>
        <v>125672.88148276463</v>
      </c>
      <c r="AP19" s="108">
        <f t="shared" si="40"/>
        <v>120645.96622345404</v>
      </c>
      <c r="AQ19" s="108">
        <f t="shared" si="40"/>
        <v>115820.12757451588</v>
      </c>
      <c r="AR19" s="108">
        <f t="shared" si="40"/>
        <v>111187.32247153524</v>
      </c>
      <c r="AS19" s="108">
        <f t="shared" si="40"/>
        <v>106739.82957267383</v>
      </c>
      <c r="AT19" s="108">
        <f t="shared" si="40"/>
        <v>102470.23638976687</v>
      </c>
      <c r="AU19" s="108">
        <f t="shared" si="40"/>
        <v>98371.426934176197</v>
      </c>
      <c r="AV19" s="108">
        <f t="shared" si="40"/>
        <v>94436.569856809147</v>
      </c>
      <c r="AW19" s="108">
        <f t="shared" si="40"/>
        <v>90659.107062536772</v>
      </c>
      <c r="AX19" s="108">
        <f t="shared" si="40"/>
        <v>87032.742780035303</v>
      </c>
      <c r="AY19" s="108">
        <f t="shared" si="40"/>
        <v>83551.433068833881</v>
      </c>
      <c r="AZ19" s="108">
        <f t="shared" si="40"/>
        <v>80209.375746080521</v>
      </c>
      <c r="BA19" s="108">
        <f t="shared" si="40"/>
        <v>77001.000716237293</v>
      </c>
      <c r="BB19" s="108">
        <f t="shared" si="40"/>
        <v>73920.960687587794</v>
      </c>
      <c r="BC19" s="108">
        <f t="shared" si="40"/>
        <v>70964.122260084274</v>
      </c>
      <c r="BD19" s="108">
        <f t="shared" si="40"/>
        <v>68125.557369680901</v>
      </c>
      <c r="BE19" s="108">
        <f t="shared" si="40"/>
        <v>65400.535074893662</v>
      </c>
      <c r="BF19" s="108">
        <f t="shared" si="40"/>
        <v>62784.513671897912</v>
      </c>
      <c r="BG19" s="108">
        <f t="shared" si="40"/>
        <v>60273.133125021996</v>
      </c>
      <c r="BH19" s="108">
        <f t="shared" si="40"/>
        <v>57862.207800021111</v>
      </c>
      <c r="BI19" s="108">
        <f t="shared" si="40"/>
        <v>55547.719488020266</v>
      </c>
      <c r="BJ19" s="108">
        <f t="shared" si="40"/>
        <v>53325.810708499455</v>
      </c>
      <c r="BK19" s="108">
        <f t="shared" si="40"/>
        <v>51192.778280159473</v>
      </c>
      <c r="BL19" s="108">
        <f t="shared" si="40"/>
        <v>49145.067148953094</v>
      </c>
      <c r="BM19" s="108">
        <f t="shared" si="40"/>
        <v>47179.264462994972</v>
      </c>
      <c r="BN19" s="108">
        <f t="shared" si="40"/>
        <v>45292.093884475173</v>
      </c>
      <c r="BO19" s="108">
        <f t="shared" si="40"/>
        <v>43480.410129096163</v>
      </c>
      <c r="BP19" s="108">
        <f t="shared" si="40"/>
        <v>41741.193723932316</v>
      </c>
      <c r="BQ19" s="108">
        <f t="shared" si="40"/>
        <v>40071.545974975023</v>
      </c>
      <c r="BR19" s="108">
        <f>BQ19*(1-$AG$30)</f>
        <v>38468.684135976022</v>
      </c>
      <c r="BS19" s="108">
        <f t="shared" si="40"/>
        <v>36929.93677053698</v>
      </c>
      <c r="BT19" s="108">
        <f t="shared" si="40"/>
        <v>35452.739299715497</v>
      </c>
      <c r="BU19" s="108">
        <f t="shared" si="40"/>
        <v>34034.629727726875</v>
      </c>
      <c r="BV19" s="108">
        <f t="shared" si="40"/>
        <v>32673.244538617801</v>
      </c>
      <c r="BW19" s="108">
        <f t="shared" si="40"/>
        <v>31366.314757073087</v>
      </c>
      <c r="BX19" s="108">
        <f t="shared" si="40"/>
        <v>30111.662166790164</v>
      </c>
      <c r="BY19" s="108">
        <f t="shared" si="40"/>
        <v>28907.195680118555</v>
      </c>
      <c r="BZ19" s="108">
        <f t="shared" si="40"/>
        <v>27750.907852913813</v>
      </c>
      <c r="CA19" s="108">
        <f t="shared" si="40"/>
        <v>26640.871538797259</v>
      </c>
      <c r="CB19" s="108">
        <f t="shared" si="40"/>
        <v>25575.236677245368</v>
      </c>
      <c r="CC19" s="108">
        <f t="shared" si="40"/>
        <v>24552.227210155554</v>
      </c>
      <c r="CD19" s="108">
        <f t="shared" si="40"/>
        <v>23570.138121749329</v>
      </c>
      <c r="CE19" s="108">
        <f t="shared" si="40"/>
        <v>22627.332596879354</v>
      </c>
      <c r="CF19" s="108">
        <f t="shared" si="40"/>
        <v>21722.239293004179</v>
      </c>
      <c r="CG19" s="108">
        <f t="shared" si="40"/>
        <v>20853.349721284012</v>
      </c>
      <c r="CH19" s="108">
        <f t="shared" si="40"/>
        <v>20019.215732432651</v>
      </c>
      <c r="CI19" s="108">
        <f t="shared" si="40"/>
        <v>19218.447103135342</v>
      </c>
      <c r="CJ19" s="108">
        <f>CI19*(1-$AG$30)</f>
        <v>18449.709219009928</v>
      </c>
      <c r="CK19" s="108">
        <f t="shared" si="40"/>
        <v>17711.72085024953</v>
      </c>
      <c r="CL19" s="108">
        <f t="shared" si="40"/>
        <v>17003.252016239549</v>
      </c>
      <c r="CM19" s="108">
        <f t="shared" si="40"/>
        <v>16323.121935589967</v>
      </c>
      <c r="CN19" s="108">
        <f t="shared" si="40"/>
        <v>15670.197058166368</v>
      </c>
      <c r="CO19" s="108">
        <f t="shared" si="40"/>
        <v>15043.389175839713</v>
      </c>
      <c r="CP19" s="108">
        <f t="shared" si="40"/>
        <v>14441.653608806124</v>
      </c>
      <c r="CQ19" s="108">
        <f t="shared" si="40"/>
        <v>13863.987464453878</v>
      </c>
      <c r="CR19" s="108">
        <f t="shared" ref="CR19:DT19" si="41">CQ19*(1-$AG$30)</f>
        <v>13309.427965875722</v>
      </c>
      <c r="CS19" s="108">
        <f t="shared" si="41"/>
        <v>12777.050847240693</v>
      </c>
      <c r="CT19" s="108">
        <f t="shared" si="41"/>
        <v>12265.968813351064</v>
      </c>
      <c r="CU19" s="108">
        <f t="shared" si="41"/>
        <v>11775.330060817021</v>
      </c>
      <c r="CV19" s="108">
        <f t="shared" si="41"/>
        <v>11304.31685838434</v>
      </c>
      <c r="CW19" s="108">
        <f t="shared" si="41"/>
        <v>10852.144184048966</v>
      </c>
      <c r="CX19" s="108">
        <f t="shared" si="41"/>
        <v>10418.058416687007</v>
      </c>
      <c r="CY19" s="108">
        <f t="shared" si="41"/>
        <v>10001.336080019526</v>
      </c>
      <c r="CZ19" s="108">
        <f t="shared" si="41"/>
        <v>9601.2826368187452</v>
      </c>
      <c r="DA19" s="108">
        <f t="shared" si="41"/>
        <v>9217.2313313459945</v>
      </c>
      <c r="DB19" s="108">
        <f t="shared" si="41"/>
        <v>8848.542078092154</v>
      </c>
      <c r="DC19" s="108">
        <f t="shared" si="41"/>
        <v>8494.6003949684673</v>
      </c>
      <c r="DD19" s="108">
        <f t="shared" si="41"/>
        <v>8154.816379169728</v>
      </c>
      <c r="DE19" s="108">
        <f t="shared" si="41"/>
        <v>7828.6237240029386</v>
      </c>
      <c r="DF19" s="108">
        <f t="shared" si="41"/>
        <v>7515.4787750428204</v>
      </c>
      <c r="DG19" s="108">
        <f t="shared" si="41"/>
        <v>7214.8596240411071</v>
      </c>
      <c r="DH19" s="108">
        <f t="shared" si="41"/>
        <v>6926.2652390794628</v>
      </c>
      <c r="DI19" s="108">
        <f t="shared" si="41"/>
        <v>6649.2146295162838</v>
      </c>
      <c r="DJ19" s="108">
        <f t="shared" si="41"/>
        <v>6383.2460443356322</v>
      </c>
      <c r="DK19" s="108">
        <f t="shared" si="41"/>
        <v>6127.9162025622063</v>
      </c>
      <c r="DL19" s="108">
        <f t="shared" si="41"/>
        <v>5882.7995544597179</v>
      </c>
      <c r="DM19" s="108">
        <f t="shared" si="41"/>
        <v>5647.4875722813285</v>
      </c>
      <c r="DN19" s="108">
        <f t="shared" si="41"/>
        <v>5421.5880693900754</v>
      </c>
      <c r="DO19" s="108">
        <f t="shared" si="41"/>
        <v>5204.7245466144723</v>
      </c>
      <c r="DP19" s="108">
        <f t="shared" si="41"/>
        <v>4996.5355647498936</v>
      </c>
      <c r="DQ19" s="108">
        <f t="shared" si="41"/>
        <v>4796.6741421598981</v>
      </c>
      <c r="DR19" s="108">
        <f t="shared" si="41"/>
        <v>4604.8071764735023</v>
      </c>
      <c r="DS19" s="108">
        <f t="shared" si="41"/>
        <v>4420.6148894145617</v>
      </c>
      <c r="DT19" s="108">
        <f t="shared" si="41"/>
        <v>4243.7902938379793</v>
      </c>
      <c r="DU19" s="108">
        <f>DT19*(1-$AG$30)</f>
        <v>4074.0386820844601</v>
      </c>
      <c r="DV19" s="108">
        <f t="shared" ref="DV19:GF19" si="42">DU19*(1-$AG$30)</f>
        <v>3911.0771348010817</v>
      </c>
      <c r="DW19" s="108">
        <f t="shared" si="42"/>
        <v>3754.6340494090382</v>
      </c>
      <c r="DX19" s="108">
        <f t="shared" si="42"/>
        <v>3604.4486874326767</v>
      </c>
      <c r="DY19" s="108">
        <f t="shared" si="42"/>
        <v>3460.2707399353694</v>
      </c>
      <c r="DZ19" s="108">
        <f t="shared" si="42"/>
        <v>3321.8599103379547</v>
      </c>
      <c r="EA19" s="108">
        <f t="shared" si="42"/>
        <v>3188.9855139244364</v>
      </c>
      <c r="EB19" s="108">
        <f t="shared" si="42"/>
        <v>3061.4260933674586</v>
      </c>
      <c r="EC19" s="108">
        <f t="shared" si="42"/>
        <v>2938.9690496327603</v>
      </c>
      <c r="ED19" s="108">
        <f t="shared" si="42"/>
        <v>2821.4102876474499</v>
      </c>
      <c r="EE19" s="108">
        <f t="shared" si="42"/>
        <v>2708.5538761415519</v>
      </c>
      <c r="EF19" s="108">
        <f t="shared" si="42"/>
        <v>2600.2117210958895</v>
      </c>
      <c r="EG19" s="108">
        <f t="shared" si="42"/>
        <v>2496.203252252054</v>
      </c>
      <c r="EH19" s="108">
        <f t="shared" si="42"/>
        <v>2396.3551221619718</v>
      </c>
      <c r="EI19" s="108">
        <f t="shared" si="42"/>
        <v>2300.5009172754931</v>
      </c>
      <c r="EJ19" s="108">
        <f t="shared" si="42"/>
        <v>2208.4808805844732</v>
      </c>
      <c r="EK19" s="108">
        <f t="shared" si="42"/>
        <v>2120.1416453610941</v>
      </c>
      <c r="EL19" s="108">
        <f t="shared" si="42"/>
        <v>2035.3359795466504</v>
      </c>
      <c r="EM19" s="108">
        <f t="shared" si="42"/>
        <v>1953.9225403647843</v>
      </c>
      <c r="EN19" s="108">
        <f t="shared" si="42"/>
        <v>1875.7656387501929</v>
      </c>
      <c r="EO19" s="108">
        <f t="shared" si="42"/>
        <v>1800.7350132001852</v>
      </c>
      <c r="EP19" s="108">
        <f t="shared" si="42"/>
        <v>1728.7056126721777</v>
      </c>
      <c r="EQ19" s="108">
        <f t="shared" si="42"/>
        <v>1659.5573881652906</v>
      </c>
      <c r="ER19" s="108">
        <f t="shared" si="42"/>
        <v>1593.175092638679</v>
      </c>
      <c r="ES19" s="108">
        <f t="shared" si="42"/>
        <v>1529.4480889331317</v>
      </c>
      <c r="ET19" s="108">
        <f t="shared" si="42"/>
        <v>1468.2701653758063</v>
      </c>
      <c r="EU19" s="108">
        <f t="shared" si="42"/>
        <v>1409.5393587607739</v>
      </c>
      <c r="EV19" s="108">
        <f t="shared" si="42"/>
        <v>1353.1577844103429</v>
      </c>
      <c r="EW19" s="108">
        <f t="shared" si="42"/>
        <v>1299.0314730339292</v>
      </c>
      <c r="EX19" s="108">
        <f t="shared" si="42"/>
        <v>1247.0702141125719</v>
      </c>
      <c r="EY19" s="108">
        <f t="shared" si="42"/>
        <v>1197.1874055480689</v>
      </c>
      <c r="EZ19" s="108">
        <f t="shared" si="42"/>
        <v>1149.299909326146</v>
      </c>
      <c r="FA19" s="108">
        <f t="shared" si="42"/>
        <v>1103.3279129531002</v>
      </c>
      <c r="FB19" s="108">
        <f t="shared" si="42"/>
        <v>1059.1947964349761</v>
      </c>
      <c r="FC19" s="108">
        <f t="shared" si="42"/>
        <v>1016.827004577577</v>
      </c>
      <c r="FD19" s="108">
        <f t="shared" si="42"/>
        <v>976.15392439447385</v>
      </c>
      <c r="FE19" s="108">
        <f t="shared" si="42"/>
        <v>937.10776741869483</v>
      </c>
      <c r="FF19" s="108">
        <f t="shared" si="42"/>
        <v>899.62345672194704</v>
      </c>
      <c r="FG19" s="108">
        <f t="shared" si="42"/>
        <v>863.63851845306908</v>
      </c>
      <c r="FH19" s="108">
        <f>FG19*(1-$AG$30)</f>
        <v>829.0929777149463</v>
      </c>
      <c r="FI19" s="108">
        <f t="shared" si="42"/>
        <v>795.92925860634841</v>
      </c>
      <c r="FJ19" s="108">
        <f t="shared" si="42"/>
        <v>764.09208826209442</v>
      </c>
      <c r="FK19" s="108">
        <f t="shared" si="42"/>
        <v>733.52840473161064</v>
      </c>
      <c r="FL19" s="108">
        <f t="shared" si="42"/>
        <v>704.18726854234615</v>
      </c>
      <c r="FM19" s="108">
        <f t="shared" si="42"/>
        <v>676.01977780065226</v>
      </c>
      <c r="FN19" s="108">
        <f t="shared" si="42"/>
        <v>648.97898668862615</v>
      </c>
      <c r="FO19" s="108">
        <f t="shared" si="42"/>
        <v>623.01982722108107</v>
      </c>
      <c r="FP19" s="108">
        <f t="shared" si="42"/>
        <v>598.09903413223776</v>
      </c>
      <c r="FQ19" s="108">
        <f t="shared" si="42"/>
        <v>574.17507276694823</v>
      </c>
      <c r="FR19" s="108">
        <f t="shared" si="42"/>
        <v>551.2080698562703</v>
      </c>
      <c r="FS19" s="108">
        <f t="shared" si="42"/>
        <v>529.15974706201951</v>
      </c>
      <c r="FT19" s="108">
        <f t="shared" si="42"/>
        <v>507.99335717953869</v>
      </c>
      <c r="FU19" s="108">
        <f t="shared" si="42"/>
        <v>487.67362289235712</v>
      </c>
      <c r="FV19" s="108">
        <f t="shared" si="42"/>
        <v>468.16667797666281</v>
      </c>
      <c r="FW19" s="108">
        <f t="shared" si="42"/>
        <v>449.44001085759629</v>
      </c>
      <c r="FX19" s="108">
        <f t="shared" si="42"/>
        <v>431.4624104232924</v>
      </c>
      <c r="FY19" s="108">
        <f t="shared" si="42"/>
        <v>414.20391400636066</v>
      </c>
      <c r="FZ19" s="108">
        <f>FY19*(1-$AG$30)</f>
        <v>397.6357574461062</v>
      </c>
      <c r="GA19" s="108">
        <f t="shared" si="42"/>
        <v>381.73032714826195</v>
      </c>
      <c r="GB19" s="108">
        <f t="shared" si="42"/>
        <v>366.46111406233143</v>
      </c>
      <c r="GC19" s="108">
        <f t="shared" si="42"/>
        <v>351.80266949983815</v>
      </c>
      <c r="GD19" s="108">
        <f t="shared" si="42"/>
        <v>337.73056271984461</v>
      </c>
      <c r="GE19" s="108">
        <f t="shared" si="42"/>
        <v>324.2213402110508</v>
      </c>
      <c r="GF19" s="108">
        <f t="shared" si="42"/>
        <v>311.25248660260877</v>
      </c>
    </row>
    <row r="20" spans="2:188" s="113" customFormat="1" x14ac:dyDescent="0.25">
      <c r="B20" s="113" t="s">
        <v>1</v>
      </c>
      <c r="C20" s="113">
        <v>2587</v>
      </c>
      <c r="D20" s="113">
        <v>2568</v>
      </c>
      <c r="E20" s="113">
        <v>2576</v>
      </c>
      <c r="F20" s="113">
        <v>2566</v>
      </c>
      <c r="G20" s="113">
        <v>2545</v>
      </c>
      <c r="H20" s="113">
        <v>2534</v>
      </c>
      <c r="I20" s="113">
        <v>2529</v>
      </c>
      <c r="J20" s="113">
        <v>2529</v>
      </c>
      <c r="K20" s="113">
        <v>2527</v>
      </c>
      <c r="L20" s="113">
        <v>2518</v>
      </c>
      <c r="M20" s="113">
        <v>2517</v>
      </c>
      <c r="N20" s="113">
        <v>2525</v>
      </c>
      <c r="T20" s="113">
        <v>2687</v>
      </c>
      <c r="U20" s="113">
        <v>2574</v>
      </c>
      <c r="V20" s="113">
        <v>2534</v>
      </c>
      <c r="W20" s="113">
        <f>+N20</f>
        <v>2525</v>
      </c>
    </row>
    <row r="21" spans="2:188" s="110" customFormat="1" x14ac:dyDescent="0.25">
      <c r="B21" s="110" t="s">
        <v>31</v>
      </c>
      <c r="C21" s="110">
        <f t="shared" ref="C21:J21" si="43">C19/C20</f>
        <v>2.206803247004252</v>
      </c>
      <c r="D21" s="110">
        <f t="shared" si="43"/>
        <v>3.0327102803738319</v>
      </c>
      <c r="E21" s="110">
        <f t="shared" si="43"/>
        <v>4.4965062111801242</v>
      </c>
      <c r="F21" s="110">
        <f t="shared" si="43"/>
        <v>5.4625876851130162</v>
      </c>
      <c r="G21" s="110">
        <f t="shared" si="43"/>
        <v>4.8601178781925345</v>
      </c>
      <c r="H21" s="110">
        <f t="shared" si="43"/>
        <v>5.3137332280978686</v>
      </c>
      <c r="I21" s="110">
        <f t="shared" si="43"/>
        <v>6.2032423882957692</v>
      </c>
      <c r="J21" s="110">
        <f t="shared" si="43"/>
        <v>8.2396204033214708</v>
      </c>
      <c r="K21" s="110">
        <f t="shared" ref="K21:L21" si="44">K19/K20</f>
        <v>6.5864661654135341</v>
      </c>
      <c r="L21" s="110">
        <f t="shared" si="44"/>
        <v>7.2823669579030978</v>
      </c>
      <c r="M21" s="110">
        <f t="shared" ref="M21:O21" si="45">M19/M20</f>
        <v>1.0798569725864124</v>
      </c>
      <c r="N21" s="110">
        <f t="shared" ref="N21" si="46">N19/N20</f>
        <v>9.0170297029702962</v>
      </c>
      <c r="O21" s="110" t="e">
        <f t="shared" si="45"/>
        <v>#DIV/0!</v>
      </c>
      <c r="P21" s="110" t="e">
        <f t="shared" ref="P21:R21" si="47">P19/P20</f>
        <v>#DIV/0!</v>
      </c>
      <c r="Q21" s="110" t="e">
        <f t="shared" si="47"/>
        <v>#DIV/0!</v>
      </c>
      <c r="R21" s="110" t="e">
        <f t="shared" si="47"/>
        <v>#DIV/0!</v>
      </c>
      <c r="T21" s="110">
        <f>T19/T20</f>
        <v>8.6341644957201336</v>
      </c>
      <c r="U21" s="110">
        <f>U19/U20</f>
        <v>15.18919968919969</v>
      </c>
      <c r="V21" s="110">
        <f>V19/V20</f>
        <v>24.609313338595108</v>
      </c>
      <c r="W21" s="110">
        <f t="shared" ref="W21:X21" si="48">W19/W20</f>
        <v>23.947326732673268</v>
      </c>
      <c r="X21" s="110" t="e">
        <f t="shared" si="48"/>
        <v>#DIV/0!</v>
      </c>
    </row>
    <row r="22" spans="2:188" s="96" customFormat="1" x14ac:dyDescent="0.25">
      <c r="C22" s="109"/>
      <c r="D22" s="109"/>
      <c r="E22" s="109"/>
      <c r="F22" s="109"/>
      <c r="G22" s="109"/>
      <c r="H22" s="109"/>
      <c r="I22" s="109"/>
      <c r="J22" s="109"/>
      <c r="T22" s="110"/>
      <c r="U22" s="109"/>
      <c r="V22" s="109"/>
    </row>
    <row r="23" spans="2:188" x14ac:dyDescent="0.25">
      <c r="B23" s="112" t="s">
        <v>387</v>
      </c>
      <c r="C23" s="121">
        <f t="shared" ref="C23:M23" si="49">C10/C8</f>
        <v>0.7867690696456624</v>
      </c>
      <c r="D23" s="121">
        <f t="shared" si="49"/>
        <v>0.81421294415450485</v>
      </c>
      <c r="E23" s="121">
        <f t="shared" si="49"/>
        <v>0.81813389562467054</v>
      </c>
      <c r="F23" s="121">
        <f t="shared" si="49"/>
        <v>0.80815736331679588</v>
      </c>
      <c r="G23" s="121">
        <f t="shared" si="49"/>
        <v>0.81785763269784661</v>
      </c>
      <c r="H23" s="121">
        <f t="shared" si="49"/>
        <v>0.81295590079598679</v>
      </c>
      <c r="I23" s="121">
        <f t="shared" si="49"/>
        <v>0.81830052477272164</v>
      </c>
      <c r="J23" s="121">
        <f t="shared" si="49"/>
        <v>0.81731941717474421</v>
      </c>
      <c r="K23" s="121">
        <f t="shared" si="49"/>
        <v>0.82105213404546962</v>
      </c>
      <c r="L23" s="121">
        <f t="shared" si="49"/>
        <v>0.82130229817324696</v>
      </c>
      <c r="M23" s="121">
        <f t="shared" si="49"/>
        <v>0.82034268763904605</v>
      </c>
      <c r="N23" s="121">
        <f t="shared" ref="N23:R23" si="50">N10/N8</f>
        <v>0.8179253001185447</v>
      </c>
      <c r="O23" s="121" t="e">
        <f t="shared" si="50"/>
        <v>#DIV/0!</v>
      </c>
      <c r="P23" s="121" t="e">
        <f t="shared" si="50"/>
        <v>#DIV/0!</v>
      </c>
      <c r="Q23" s="121" t="e">
        <f t="shared" si="50"/>
        <v>#DIV/0!</v>
      </c>
      <c r="R23" s="121" t="e">
        <f t="shared" si="50"/>
        <v>#DIV/0!</v>
      </c>
      <c r="T23" s="115">
        <f>T10/T8</f>
        <v>0.78347297378418479</v>
      </c>
      <c r="U23" s="115">
        <f>U10/U8</f>
        <v>0.80757740861817184</v>
      </c>
      <c r="V23" s="115">
        <f>V10/V8</f>
        <v>0.81664437689969605</v>
      </c>
      <c r="W23" s="115">
        <f t="shared" ref="W23:X23" si="51">W10/W8</f>
        <v>0.8199985072027467</v>
      </c>
      <c r="X23" s="115">
        <f t="shared" si="51"/>
        <v>1</v>
      </c>
    </row>
    <row r="24" spans="2:188" x14ac:dyDescent="0.25">
      <c r="B24" s="112" t="s">
        <v>390</v>
      </c>
      <c r="C24" s="115">
        <f t="shared" ref="C24:M24" si="52">C15/C8</f>
        <v>0.25229533950078548</v>
      </c>
      <c r="D24" s="115">
        <f t="shared" si="52"/>
        <v>0.29350917216163003</v>
      </c>
      <c r="E24" s="115">
        <f t="shared" si="52"/>
        <v>0.40262402624026239</v>
      </c>
      <c r="F24" s="115">
        <f t="shared" si="52"/>
        <v>0.4084665054473835</v>
      </c>
      <c r="G24" s="115">
        <f t="shared" si="52"/>
        <v>0.37904265532848719</v>
      </c>
      <c r="H24" s="115">
        <f t="shared" si="52"/>
        <v>0.38000051188861306</v>
      </c>
      <c r="I24" s="115">
        <f t="shared" si="52"/>
        <v>0.4274557146024785</v>
      </c>
      <c r="J24" s="115">
        <f t="shared" si="52"/>
        <v>0.48289759222899659</v>
      </c>
      <c r="K24" s="115">
        <f t="shared" si="52"/>
        <v>0.41487450961856598</v>
      </c>
      <c r="L24" s="115">
        <f t="shared" si="52"/>
        <v>0.43019193534809325</v>
      </c>
      <c r="M24" s="115">
        <f t="shared" si="52"/>
        <v>0.4007454822216151</v>
      </c>
      <c r="N24" s="115">
        <f t="shared" ref="N24:R24" si="53">N15/N8</f>
        <v>0.41315345699831368</v>
      </c>
      <c r="O24" s="115" t="e">
        <f t="shared" si="53"/>
        <v>#DIV/0!</v>
      </c>
      <c r="P24" s="115" t="e">
        <f t="shared" si="53"/>
        <v>#DIV/0!</v>
      </c>
      <c r="Q24" s="115" t="e">
        <f t="shared" si="53"/>
        <v>#DIV/0!</v>
      </c>
      <c r="R24" s="115" t="e">
        <f t="shared" si="53"/>
        <v>#DIV/0!</v>
      </c>
      <c r="T24" s="115">
        <f>T15/T8</f>
        <v>0.24821411726367604</v>
      </c>
      <c r="U24" s="115">
        <f>U15/U8</f>
        <v>0.34655784612419477</v>
      </c>
      <c r="V24" s="115">
        <f>V15/V8</f>
        <v>0.4217629179331307</v>
      </c>
      <c r="W24" s="115">
        <f t="shared" ref="W24:X24" si="54">W15/W8</f>
        <v>0.41438061353967109</v>
      </c>
      <c r="X24" s="115">
        <f t="shared" si="54"/>
        <v>1</v>
      </c>
    </row>
    <row r="25" spans="2:188" x14ac:dyDescent="0.25">
      <c r="B25" s="112" t="s">
        <v>391</v>
      </c>
      <c r="C25" s="115">
        <f t="shared" ref="C25:M25" si="55">C19/C8</f>
        <v>0.19930179787048349</v>
      </c>
      <c r="D25" s="115">
        <f t="shared" si="55"/>
        <v>0.24338260570642833</v>
      </c>
      <c r="E25" s="115">
        <f t="shared" si="55"/>
        <v>0.33921982076963625</v>
      </c>
      <c r="F25" s="115">
        <f t="shared" si="55"/>
        <v>0.34945526164892421</v>
      </c>
      <c r="G25" s="115">
        <f t="shared" si="55"/>
        <v>0.33929502125908656</v>
      </c>
      <c r="H25" s="115">
        <f t="shared" si="55"/>
        <v>0.34462900872770086</v>
      </c>
      <c r="I25" s="115">
        <f t="shared" si="55"/>
        <v>0.38650865998176848</v>
      </c>
      <c r="J25" s="115">
        <f t="shared" si="55"/>
        <v>0.43067066239537044</v>
      </c>
      <c r="K25" s="115">
        <f t="shared" si="55"/>
        <v>0.39334499220116276</v>
      </c>
      <c r="L25" s="115">
        <f t="shared" si="55"/>
        <v>0.38591211381429413</v>
      </c>
      <c r="M25" s="115">
        <f t="shared" si="55"/>
        <v>5.3042426134811291E-2</v>
      </c>
      <c r="N25" s="115">
        <f t="shared" ref="N25:R25" si="56">N19/N8</f>
        <v>0.3801445911876179</v>
      </c>
      <c r="O25" s="115" t="e">
        <f t="shared" si="56"/>
        <v>#DIV/0!</v>
      </c>
      <c r="P25" s="115" t="e">
        <f t="shared" si="56"/>
        <v>#DIV/0!</v>
      </c>
      <c r="Q25" s="115" t="e">
        <f t="shared" si="56"/>
        <v>#DIV/0!</v>
      </c>
      <c r="R25" s="115" t="e">
        <f t="shared" si="56"/>
        <v>#DIV/0!</v>
      </c>
      <c r="T25" s="115">
        <f>T19/T8</f>
        <v>0.19895548371051977</v>
      </c>
      <c r="U25" s="115">
        <f>U19/U8</f>
        <v>0.28981994203156392</v>
      </c>
      <c r="V25" s="115">
        <f>V19/V8</f>
        <v>0.37908814589665651</v>
      </c>
      <c r="W25" s="115">
        <f t="shared" ref="W25:X25" si="57">W19/W8</f>
        <v>0.30088323837484138</v>
      </c>
      <c r="X25" s="115">
        <f t="shared" si="57"/>
        <v>1</v>
      </c>
      <c r="Y25" s="115"/>
      <c r="Z25" s="115"/>
      <c r="AA25" s="115"/>
      <c r="AB25" s="115"/>
      <c r="AC25" s="115"/>
      <c r="AD25" s="115"/>
    </row>
    <row r="26" spans="2:188" x14ac:dyDescent="0.25">
      <c r="B26" s="112" t="s">
        <v>845</v>
      </c>
      <c r="C26" s="115">
        <f t="shared" ref="C26:I26" si="58">C18/C17</f>
        <v>0.21869440262761736</v>
      </c>
      <c r="D26" s="115">
        <f t="shared" si="58"/>
        <v>0.16194985472936618</v>
      </c>
      <c r="E26" s="115">
        <f t="shared" si="58"/>
        <v>0.1738231098430813</v>
      </c>
      <c r="F26" s="115">
        <f t="shared" si="58"/>
        <v>0.16605188005711566</v>
      </c>
      <c r="G26" s="115">
        <f t="shared" si="58"/>
        <v>0.12789959811041388</v>
      </c>
      <c r="H26" s="115">
        <f t="shared" si="58"/>
        <v>0.10863233152389778</v>
      </c>
      <c r="I26" s="115">
        <f t="shared" si="58"/>
        <v>0.11973964762652901</v>
      </c>
      <c r="J26" s="115">
        <f>J18/J17</f>
        <v>0.11527193988027003</v>
      </c>
      <c r="K26" s="115">
        <f>K18/K17</f>
        <v>9.4549015341094556E-2</v>
      </c>
      <c r="L26" s="115">
        <f>L18/L17</f>
        <v>0.10699327943897925</v>
      </c>
      <c r="M26" s="115">
        <f>M18/M17</f>
        <v>0.87453261321146658</v>
      </c>
      <c r="N26" s="115">
        <f t="shared" ref="N26:R26" si="59">N18/N17</f>
        <v>0.10199574031710973</v>
      </c>
      <c r="O26" s="115" t="e">
        <f t="shared" si="59"/>
        <v>#DIV/0!</v>
      </c>
      <c r="P26" s="115" t="e">
        <f t="shared" si="59"/>
        <v>#DIV/0!</v>
      </c>
      <c r="Q26" s="115" t="e">
        <f t="shared" si="59"/>
        <v>#DIV/0!</v>
      </c>
      <c r="R26" s="115" t="e">
        <f t="shared" si="59"/>
        <v>#DIV/0!</v>
      </c>
      <c r="T26" s="115">
        <f t="shared" ref="T26:V26" si="60">T18/T17</f>
        <v>0.19497553697213643</v>
      </c>
      <c r="U26" s="115">
        <f t="shared" si="60"/>
        <v>0.17565573079193725</v>
      </c>
      <c r="V26" s="115">
        <f t="shared" si="60"/>
        <v>0.11751386844786596</v>
      </c>
      <c r="W26" s="115">
        <f t="shared" ref="W26:X26" si="61">W18/W17</f>
        <v>0.29634715417825513</v>
      </c>
      <c r="X26" s="115">
        <f t="shared" si="61"/>
        <v>0</v>
      </c>
    </row>
    <row r="27" spans="2:188" x14ac:dyDescent="0.25">
      <c r="B27" s="112" t="s">
        <v>797</v>
      </c>
      <c r="C27" s="115">
        <f t="shared" ref="C27:L27" si="62">(C12+C13)/C10</f>
        <v>0.26307849314460663</v>
      </c>
      <c r="D27" s="115">
        <f t="shared" si="62"/>
        <v>0.28087817609580101</v>
      </c>
      <c r="E27" s="115">
        <f t="shared" si="62"/>
        <v>0.17708333333333334</v>
      </c>
      <c r="F27" s="115">
        <f t="shared" si="62"/>
        <v>0.17013203356367226</v>
      </c>
      <c r="G27" s="115">
        <f t="shared" si="62"/>
        <v>0.2018782492034211</v>
      </c>
      <c r="H27" s="115">
        <f t="shared" si="62"/>
        <v>0.2008311557472531</v>
      </c>
      <c r="I27" s="115">
        <f t="shared" si="62"/>
        <v>0.14111519238875173</v>
      </c>
      <c r="J27" s="115">
        <f t="shared" si="62"/>
        <v>0.10117331714964851</v>
      </c>
      <c r="K27" s="115">
        <f t="shared" si="62"/>
        <v>0.14498301767313337</v>
      </c>
      <c r="L27" s="115">
        <f t="shared" si="62"/>
        <v>0.14457399103139013</v>
      </c>
      <c r="M27" s="115">
        <f t="shared" ref="M27:R27" si="63">(M12+M13)/M10</f>
        <v>0.15122751926919784</v>
      </c>
      <c r="N27" s="115">
        <f t="shared" si="63"/>
        <v>0.14507634522740262</v>
      </c>
      <c r="O27" s="115" t="e">
        <f t="shared" si="63"/>
        <v>#DIV/0!</v>
      </c>
      <c r="P27" s="115" t="e">
        <f t="shared" si="63"/>
        <v>#DIV/0!</v>
      </c>
      <c r="Q27" s="115" t="e">
        <f t="shared" si="63"/>
        <v>#DIV/0!</v>
      </c>
      <c r="R27" s="115" t="e">
        <f t="shared" si="63"/>
        <v>#DIV/0!</v>
      </c>
      <c r="T27" s="115">
        <f>(T12+T13)/T10</f>
        <v>0.29638791593695274</v>
      </c>
      <c r="U27" s="115">
        <f>(U12+U13)/U10</f>
        <v>0.21762756670919656</v>
      </c>
      <c r="V27" s="115">
        <f>(V12+V13)/V10</f>
        <v>0.15696228915124535</v>
      </c>
      <c r="W27" s="115">
        <f t="shared" ref="W27:X27" si="64">(W12+W13)/W10</f>
        <v>0.14650678738523343</v>
      </c>
      <c r="X27" s="115">
        <f t="shared" si="64"/>
        <v>0</v>
      </c>
      <c r="AF27" s="112" t="s">
        <v>841</v>
      </c>
      <c r="AG27" s="115" t="e">
        <f>#REF!/Main!F15-1</f>
        <v>#REF!</v>
      </c>
    </row>
    <row r="28" spans="2:188" x14ac:dyDescent="0.25">
      <c r="B28" s="112" t="s">
        <v>798</v>
      </c>
      <c r="C28" s="115">
        <f t="shared" ref="C28:L28" si="65">C11/C10</f>
        <v>0.41624883524870215</v>
      </c>
      <c r="D28" s="115">
        <f t="shared" si="65"/>
        <v>0.35863974821524525</v>
      </c>
      <c r="E28" s="115">
        <f t="shared" si="65"/>
        <v>0.33079180985108819</v>
      </c>
      <c r="F28" s="115">
        <f t="shared" si="65"/>
        <v>0.32443854886475815</v>
      </c>
      <c r="G28" s="115">
        <f t="shared" si="65"/>
        <v>0.3346637598524233</v>
      </c>
      <c r="H28" s="115">
        <f t="shared" si="65"/>
        <v>0.33173818593961529</v>
      </c>
      <c r="I28" s="115">
        <f t="shared" si="65"/>
        <v>0.3365147227072921</v>
      </c>
      <c r="J28" s="115">
        <f t="shared" si="65"/>
        <v>0.30799575178273403</v>
      </c>
      <c r="K28" s="115">
        <f t="shared" si="65"/>
        <v>0.3497207990328709</v>
      </c>
      <c r="L28" s="115">
        <f t="shared" si="65"/>
        <v>0.3316335682254965</v>
      </c>
      <c r="M28" s="115">
        <f t="shared" ref="M28:R28" si="66">M11/M10</f>
        <v>0.36026263202968883</v>
      </c>
      <c r="N28" s="115">
        <f t="shared" si="66"/>
        <v>0.34979995100841021</v>
      </c>
      <c r="O28" s="115" t="e">
        <f t="shared" si="66"/>
        <v>#DIV/0!</v>
      </c>
      <c r="P28" s="115" t="e">
        <f t="shared" si="66"/>
        <v>#DIV/0!</v>
      </c>
      <c r="Q28" s="115" t="e">
        <f t="shared" si="66"/>
        <v>#DIV/0!</v>
      </c>
      <c r="R28" s="115" t="e">
        <f t="shared" si="66"/>
        <v>#DIV/0!</v>
      </c>
      <c r="T28" s="115">
        <f>T11/T10</f>
        <v>0.38679947460595449</v>
      </c>
      <c r="U28" s="115">
        <f>U11/U10</f>
        <v>0.35323976758488385</v>
      </c>
      <c r="V28" s="115">
        <f>V11/V10</f>
        <v>0.32657922553558932</v>
      </c>
      <c r="W28" s="115">
        <f t="shared" ref="W28:X28" si="67">W11/W10</f>
        <v>0.34815008101170575</v>
      </c>
      <c r="X28" s="115">
        <f t="shared" si="67"/>
        <v>0</v>
      </c>
    </row>
    <row r="29" spans="2:188" s="96" customFormat="1" x14ac:dyDescent="0.25">
      <c r="C29" s="109"/>
      <c r="D29" s="109"/>
      <c r="E29" s="109"/>
      <c r="F29" s="109"/>
      <c r="G29" s="109"/>
      <c r="H29" s="109"/>
      <c r="I29" s="109"/>
      <c r="J29" s="109"/>
      <c r="K29" s="109"/>
      <c r="L29" s="109"/>
      <c r="M29" s="109"/>
      <c r="N29" s="109"/>
      <c r="O29" s="109"/>
      <c r="P29" s="109"/>
      <c r="Q29" s="109"/>
      <c r="R29" s="109"/>
      <c r="AG29" s="111"/>
    </row>
    <row r="30" spans="2:188" x14ac:dyDescent="0.25">
      <c r="B30" s="112" t="s">
        <v>396</v>
      </c>
      <c r="C30" s="117"/>
      <c r="D30" s="117"/>
      <c r="E30" s="117"/>
      <c r="F30" s="117"/>
      <c r="G30" s="115">
        <f t="shared" ref="G30:M30" si="68">G8/C8-1</f>
        <v>0.27264793157619138</v>
      </c>
      <c r="H30" s="115">
        <f t="shared" si="68"/>
        <v>0.2210069064658271</v>
      </c>
      <c r="I30" s="115">
        <f t="shared" si="68"/>
        <v>0.18868974404029748</v>
      </c>
      <c r="J30" s="115">
        <f t="shared" si="68"/>
        <v>0.20627757971628724</v>
      </c>
      <c r="K30" s="115">
        <f t="shared" si="68"/>
        <v>0.16071869428062002</v>
      </c>
      <c r="L30" s="115">
        <f t="shared" si="68"/>
        <v>0.21614496685521223</v>
      </c>
      <c r="M30" s="115">
        <f t="shared" si="68"/>
        <v>0.26246027248761972</v>
      </c>
      <c r="N30" s="115">
        <f t="shared" ref="N30:R30" si="69">N8/J8-1</f>
        <v>0.23784230649994842</v>
      </c>
      <c r="O30" s="115">
        <f t="shared" si="69"/>
        <v>-1</v>
      </c>
      <c r="P30" s="115">
        <f t="shared" si="69"/>
        <v>-1</v>
      </c>
      <c r="Q30" s="115">
        <f t="shared" si="69"/>
        <v>-1</v>
      </c>
      <c r="R30" s="115">
        <f t="shared" si="69"/>
        <v>-1</v>
      </c>
      <c r="U30" s="115">
        <f>U8/T8-1</f>
        <v>0.15686610810486323</v>
      </c>
      <c r="V30" s="115">
        <f>V8/U8-1</f>
        <v>0.21941275453851339</v>
      </c>
      <c r="W30" s="115">
        <f t="shared" ref="W30:X30" si="70">W8/V8-1</f>
        <v>0.22167173252279637</v>
      </c>
      <c r="X30" s="115">
        <f t="shared" si="70"/>
        <v>6.2025725872664417E-2</v>
      </c>
      <c r="AF30" s="112" t="s">
        <v>840</v>
      </c>
      <c r="AG30" s="115">
        <v>0.04</v>
      </c>
    </row>
    <row r="31" spans="2:188" x14ac:dyDescent="0.25">
      <c r="AF31" s="112" t="s">
        <v>91</v>
      </c>
      <c r="AG31" s="115">
        <v>7.7499999999999999E-2</v>
      </c>
    </row>
    <row r="33" spans="2:25" s="113" customFormat="1" x14ac:dyDescent="0.25">
      <c r="B33" s="167" t="s">
        <v>93</v>
      </c>
      <c r="F33" s="113">
        <f t="shared" ref="F33:L33" si="71">F34-F45</f>
        <v>53159</v>
      </c>
      <c r="G33" s="113">
        <f t="shared" si="71"/>
        <v>45951</v>
      </c>
      <c r="H33" s="113">
        <f t="shared" si="71"/>
        <v>45898</v>
      </c>
      <c r="I33" s="113">
        <f t="shared" si="71"/>
        <v>48148</v>
      </c>
      <c r="J33" s="113">
        <f t="shared" si="71"/>
        <v>55059</v>
      </c>
      <c r="K33" s="113">
        <f t="shared" si="71"/>
        <v>47569</v>
      </c>
      <c r="L33" s="113">
        <f t="shared" si="71"/>
        <v>40227</v>
      </c>
      <c r="M33" s="113">
        <f>M34-M45</f>
        <v>40688</v>
      </c>
      <c r="N33" s="113">
        <f t="shared" ref="N33:P33" si="72">N34-N45</f>
        <v>50372</v>
      </c>
      <c r="O33" s="113">
        <f t="shared" si="72"/>
        <v>0</v>
      </c>
      <c r="P33" s="113">
        <f t="shared" si="72"/>
        <v>0</v>
      </c>
      <c r="U33" s="113">
        <f t="shared" ref="U33" si="73">U34-U45</f>
        <v>53159</v>
      </c>
      <c r="V33" s="113">
        <f t="shared" ref="V33" si="74">V34-V45</f>
        <v>55059</v>
      </c>
      <c r="W33" s="113">
        <f t="shared" ref="W33" si="75">W34-W45</f>
        <v>50372</v>
      </c>
      <c r="X33" s="113">
        <f t="shared" ref="X33" si="76">X34-X45</f>
        <v>0</v>
      </c>
      <c r="Y33" s="113">
        <f t="shared" ref="Y33" si="77">Y34-Y45</f>
        <v>0</v>
      </c>
    </row>
    <row r="34" spans="2:25" s="113" customFormat="1" x14ac:dyDescent="0.25">
      <c r="B34" s="113" t="s">
        <v>3</v>
      </c>
      <c r="F34" s="113">
        <f>41862+23541+6141</f>
        <v>71544</v>
      </c>
      <c r="G34" s="113">
        <f>32307+25813+6218</f>
        <v>64338</v>
      </c>
      <c r="H34" s="113">
        <f>32045+26035+6207</f>
        <v>64287</v>
      </c>
      <c r="I34" s="113">
        <f>43852+27048+6071</f>
        <v>76971</v>
      </c>
      <c r="J34" s="113">
        <f>43889+33926+6070</f>
        <v>83885</v>
      </c>
      <c r="K34" s="113">
        <f>28750+41480+6168</f>
        <v>76398</v>
      </c>
      <c r="L34" s="113">
        <f>12005+35066+21988</f>
        <v>69059</v>
      </c>
      <c r="M34" s="113">
        <f>10187+34261+25074</f>
        <v>69522</v>
      </c>
      <c r="N34" s="113">
        <f>35873+45719+27524</f>
        <v>109116</v>
      </c>
      <c r="U34" s="113">
        <f>41862+23541+6141</f>
        <v>71544</v>
      </c>
      <c r="V34" s="113">
        <f>43889+33926+6070</f>
        <v>83885</v>
      </c>
      <c r="W34" s="113">
        <f>35873+45719+27524</f>
        <v>109116</v>
      </c>
    </row>
    <row r="35" spans="2:25" s="113" customFormat="1" x14ac:dyDescent="0.25">
      <c r="B35" s="113" t="s">
        <v>38</v>
      </c>
      <c r="F35" s="113">
        <v>16169</v>
      </c>
      <c r="G35" s="113">
        <v>13430</v>
      </c>
      <c r="H35" s="113">
        <v>14505</v>
      </c>
      <c r="I35" s="113">
        <v>14700</v>
      </c>
      <c r="J35" s="113">
        <v>16994</v>
      </c>
      <c r="K35" s="113">
        <v>14514</v>
      </c>
      <c r="L35" s="113">
        <v>16561</v>
      </c>
      <c r="M35" s="113">
        <v>17297</v>
      </c>
      <c r="N35" s="113">
        <v>19769</v>
      </c>
      <c r="U35" s="113">
        <v>16169</v>
      </c>
      <c r="V35" s="113">
        <v>16994</v>
      </c>
      <c r="W35" s="113">
        <v>19769</v>
      </c>
    </row>
    <row r="36" spans="2:25" s="113" customFormat="1" x14ac:dyDescent="0.25">
      <c r="B36" s="113" t="s">
        <v>780</v>
      </c>
      <c r="F36" s="113">
        <v>3793</v>
      </c>
      <c r="G36" s="113">
        <v>3780</v>
      </c>
      <c r="H36" s="113">
        <v>3846</v>
      </c>
      <c r="I36" s="113">
        <v>5467</v>
      </c>
      <c r="J36" s="113">
        <v>5236</v>
      </c>
      <c r="K36" s="113">
        <v>5483</v>
      </c>
      <c r="L36" s="113">
        <v>9981</v>
      </c>
      <c r="M36" s="113">
        <v>11373</v>
      </c>
      <c r="N36" s="113">
        <v>7361</v>
      </c>
      <c r="U36" s="113">
        <v>3793</v>
      </c>
      <c r="V36" s="113">
        <v>5236</v>
      </c>
      <c r="W36" s="113">
        <v>7361</v>
      </c>
    </row>
    <row r="37" spans="2:25" s="113" customFormat="1" x14ac:dyDescent="0.25">
      <c r="B37" s="113" t="s">
        <v>506</v>
      </c>
      <c r="F37" s="113">
        <v>96587</v>
      </c>
      <c r="G37" s="113">
        <v>98908</v>
      </c>
      <c r="H37" s="113">
        <v>102959</v>
      </c>
      <c r="I37" s="113">
        <v>112162</v>
      </c>
      <c r="J37" s="113">
        <v>121346</v>
      </c>
      <c r="K37" s="113">
        <v>133567</v>
      </c>
      <c r="L37" s="113">
        <v>147039</v>
      </c>
      <c r="M37" s="113">
        <v>160270</v>
      </c>
      <c r="N37" s="113">
        <v>176400</v>
      </c>
      <c r="U37" s="113">
        <v>96587</v>
      </c>
      <c r="V37" s="113">
        <v>121346</v>
      </c>
      <c r="W37" s="113">
        <v>176400</v>
      </c>
    </row>
    <row r="38" spans="2:25" s="113" customFormat="1" x14ac:dyDescent="0.25">
      <c r="B38" s="113" t="s">
        <v>507</v>
      </c>
      <c r="F38" s="113">
        <v>13294</v>
      </c>
      <c r="G38" s="113">
        <v>13555</v>
      </c>
      <c r="H38" s="113">
        <v>14058</v>
      </c>
      <c r="I38" s="113">
        <v>14812</v>
      </c>
      <c r="J38" s="113">
        <v>14922</v>
      </c>
      <c r="K38" s="113">
        <v>15505</v>
      </c>
      <c r="L38" s="113">
        <v>15662</v>
      </c>
      <c r="M38" s="113">
        <v>17372</v>
      </c>
      <c r="N38" s="113">
        <v>20404</v>
      </c>
      <c r="U38" s="113">
        <v>13294</v>
      </c>
      <c r="V38" s="113">
        <v>14922</v>
      </c>
      <c r="W38" s="113">
        <v>20404</v>
      </c>
    </row>
    <row r="39" spans="2:25" s="113" customFormat="1" x14ac:dyDescent="0.25">
      <c r="B39" s="113" t="s">
        <v>66</v>
      </c>
      <c r="F39" s="113">
        <v>20654</v>
      </c>
      <c r="G39" s="113">
        <v>20654</v>
      </c>
      <c r="H39" s="113">
        <v>20654</v>
      </c>
      <c r="I39" s="113">
        <v>20654</v>
      </c>
      <c r="J39" s="113">
        <v>20654</v>
      </c>
      <c r="K39" s="113">
        <v>20654</v>
      </c>
      <c r="L39" s="113">
        <v>20654</v>
      </c>
      <c r="M39" s="113">
        <v>21158</v>
      </c>
      <c r="N39" s="113">
        <v>24534</v>
      </c>
      <c r="U39" s="113">
        <v>20654</v>
      </c>
      <c r="V39" s="113">
        <v>20654</v>
      </c>
      <c r="W39" s="113">
        <v>24534</v>
      </c>
    </row>
    <row r="40" spans="2:25" s="113" customFormat="1" x14ac:dyDescent="0.25">
      <c r="B40" s="113" t="s">
        <v>779</v>
      </c>
      <c r="F40" s="113">
        <v>7582</v>
      </c>
      <c r="G40" s="113">
        <v>8179</v>
      </c>
      <c r="H40" s="113">
        <v>9929</v>
      </c>
      <c r="I40" s="113">
        <v>11642</v>
      </c>
      <c r="J40" s="113">
        <v>13017</v>
      </c>
      <c r="K40" s="113">
        <v>14092</v>
      </c>
      <c r="L40" s="113">
        <v>15788</v>
      </c>
      <c r="M40" s="113">
        <v>6852</v>
      </c>
      <c r="N40" s="113">
        <v>8437</v>
      </c>
      <c r="U40" s="113">
        <v>7582</v>
      </c>
      <c r="V40" s="113">
        <v>13017</v>
      </c>
      <c r="W40" s="113">
        <v>8437</v>
      </c>
    </row>
    <row r="41" spans="2:25" s="108" customFormat="1" x14ac:dyDescent="0.25">
      <c r="B41" s="108" t="s">
        <v>471</v>
      </c>
      <c r="F41" s="108">
        <f t="shared" ref="F41:L41" si="78">SUM(F34:F40)</f>
        <v>229623</v>
      </c>
      <c r="G41" s="108">
        <f t="shared" si="78"/>
        <v>222844</v>
      </c>
      <c r="H41" s="108">
        <f t="shared" si="78"/>
        <v>230238</v>
      </c>
      <c r="I41" s="108">
        <f t="shared" si="78"/>
        <v>256408</v>
      </c>
      <c r="J41" s="108">
        <f t="shared" si="78"/>
        <v>276054</v>
      </c>
      <c r="K41" s="108">
        <f t="shared" si="78"/>
        <v>280213</v>
      </c>
      <c r="L41" s="108">
        <f t="shared" si="78"/>
        <v>294744</v>
      </c>
      <c r="M41" s="108">
        <f t="shared" ref="M41:N41" si="79">SUM(M34:M40)</f>
        <v>303844</v>
      </c>
      <c r="N41" s="108">
        <f t="shared" si="79"/>
        <v>366021</v>
      </c>
      <c r="O41" s="108">
        <f t="shared" ref="O41:P41" si="80">SUM(O34:O40)</f>
        <v>0</v>
      </c>
      <c r="P41" s="108">
        <f t="shared" si="80"/>
        <v>0</v>
      </c>
      <c r="U41" s="108">
        <f>SUM(U34:U40)</f>
        <v>229623</v>
      </c>
      <c r="V41" s="108">
        <f>SUM(V34:V40)</f>
        <v>276054</v>
      </c>
      <c r="W41" s="108">
        <f t="shared" ref="W41:Y41" si="81">SUM(W34:W40)</f>
        <v>366021</v>
      </c>
      <c r="X41" s="108">
        <f t="shared" si="81"/>
        <v>0</v>
      </c>
      <c r="Y41" s="108">
        <f t="shared" si="81"/>
        <v>0</v>
      </c>
    </row>
    <row r="42" spans="2:25" s="113" customFormat="1" x14ac:dyDescent="0.25">
      <c r="B42" s="113" t="s">
        <v>45</v>
      </c>
      <c r="F42" s="113">
        <v>4849</v>
      </c>
      <c r="G42" s="113">
        <v>3785</v>
      </c>
      <c r="H42" s="113">
        <v>3173</v>
      </c>
      <c r="I42" s="113">
        <v>7656</v>
      </c>
      <c r="J42" s="113">
        <v>7687</v>
      </c>
      <c r="K42" s="113">
        <v>8512</v>
      </c>
      <c r="L42" s="113">
        <v>10271</v>
      </c>
      <c r="M42" s="113">
        <v>7798</v>
      </c>
      <c r="N42" s="113">
        <v>8894</v>
      </c>
      <c r="U42" s="113">
        <v>4849</v>
      </c>
      <c r="V42" s="113">
        <v>7687</v>
      </c>
      <c r="W42" s="113">
        <v>8894</v>
      </c>
    </row>
    <row r="43" spans="2:25" s="113" customFormat="1" x14ac:dyDescent="0.25">
      <c r="B43" s="113" t="s">
        <v>793</v>
      </c>
      <c r="F43" s="113">
        <f>1623+17226</f>
        <v>18849</v>
      </c>
      <c r="G43" s="113">
        <f>1676+17570</f>
        <v>19246</v>
      </c>
      <c r="H43" s="113">
        <f>1917+17685</f>
        <v>19602</v>
      </c>
      <c r="I43" s="113">
        <f>2016+18208</f>
        <v>20224</v>
      </c>
      <c r="J43" s="113">
        <f>1942+18292</f>
        <v>20234</v>
      </c>
      <c r="K43" s="113">
        <f>1976+18714</f>
        <v>20690</v>
      </c>
      <c r="L43" s="113">
        <f>1977+18751</f>
        <v>20728</v>
      </c>
      <c r="M43" s="113">
        <f>2113+20113</f>
        <v>22226</v>
      </c>
      <c r="N43" s="113">
        <f>2213+22940</f>
        <v>25153</v>
      </c>
      <c r="U43" s="113">
        <f>1623+17226</f>
        <v>18849</v>
      </c>
      <c r="V43" s="113">
        <f>1942+18292</f>
        <v>20234</v>
      </c>
      <c r="W43" s="113">
        <f>2213+22940</f>
        <v>25153</v>
      </c>
    </row>
    <row r="44" spans="2:25" s="113" customFormat="1" x14ac:dyDescent="0.25">
      <c r="B44" s="113" t="s">
        <v>46</v>
      </c>
      <c r="F44" s="113">
        <v>25488</v>
      </c>
      <c r="G44" s="113">
        <v>22640</v>
      </c>
      <c r="H44" s="113">
        <v>21914</v>
      </c>
      <c r="I44" s="113">
        <v>23658</v>
      </c>
      <c r="J44" s="113">
        <v>23967</v>
      </c>
      <c r="K44" s="113">
        <v>23402</v>
      </c>
      <c r="L44" s="113">
        <v>25057</v>
      </c>
      <c r="M44" s="113">
        <v>27047</v>
      </c>
      <c r="N44" s="113">
        <v>30729</v>
      </c>
      <c r="U44" s="113">
        <v>25488</v>
      </c>
      <c r="V44" s="113">
        <v>23967</v>
      </c>
      <c r="W44" s="113">
        <v>30729</v>
      </c>
    </row>
    <row r="45" spans="2:25" s="113" customFormat="1" x14ac:dyDescent="0.25">
      <c r="B45" s="113" t="s">
        <v>4</v>
      </c>
      <c r="F45" s="113">
        <v>18385</v>
      </c>
      <c r="G45" s="113">
        <v>18387</v>
      </c>
      <c r="H45" s="113">
        <v>18389</v>
      </c>
      <c r="I45" s="113">
        <v>28823</v>
      </c>
      <c r="J45" s="113">
        <v>28826</v>
      </c>
      <c r="K45" s="113">
        <v>28829</v>
      </c>
      <c r="L45" s="113">
        <v>28832</v>
      </c>
      <c r="M45" s="113">
        <v>28834</v>
      </c>
      <c r="N45" s="113">
        <v>58744</v>
      </c>
      <c r="U45" s="113">
        <v>18385</v>
      </c>
      <c r="V45" s="113">
        <v>28826</v>
      </c>
      <c r="W45" s="113">
        <v>58744</v>
      </c>
    </row>
    <row r="46" spans="2:25" s="113" customFormat="1" x14ac:dyDescent="0.25">
      <c r="B46" s="113" t="s">
        <v>27</v>
      </c>
      <c r="F46" s="113">
        <v>7514</v>
      </c>
      <c r="G46" s="113">
        <v>7795</v>
      </c>
      <c r="H46" s="113">
        <v>7897</v>
      </c>
      <c r="I46" s="113">
        <v>9171</v>
      </c>
      <c r="J46" s="113">
        <v>9987</v>
      </c>
      <c r="K46" s="113">
        <v>10991</v>
      </c>
      <c r="L46" s="113">
        <v>12046</v>
      </c>
      <c r="M46" s="113">
        <v>11738</v>
      </c>
      <c r="N46" s="113">
        <v>21005</v>
      </c>
      <c r="U46" s="113">
        <v>7514</v>
      </c>
      <c r="V46" s="113">
        <v>9987</v>
      </c>
      <c r="W46" s="113">
        <v>21005</v>
      </c>
    </row>
    <row r="47" spans="2:25" s="113" customFormat="1" x14ac:dyDescent="0.25">
      <c r="B47" s="113" t="s">
        <v>48</v>
      </c>
      <c r="F47" s="113">
        <v>1370</v>
      </c>
      <c r="G47" s="113">
        <v>1462</v>
      </c>
      <c r="H47" s="113">
        <v>2500</v>
      </c>
      <c r="I47" s="113">
        <v>2347</v>
      </c>
      <c r="J47" s="113">
        <v>2716</v>
      </c>
      <c r="K47" s="113">
        <v>2760</v>
      </c>
      <c r="L47" s="113">
        <v>2740</v>
      </c>
      <c r="M47" s="113">
        <v>12135</v>
      </c>
      <c r="N47" s="113">
        <v>4253</v>
      </c>
      <c r="U47" s="113">
        <v>1370</v>
      </c>
      <c r="V47" s="113">
        <v>2716</v>
      </c>
      <c r="W47" s="113">
        <v>4253</v>
      </c>
    </row>
    <row r="48" spans="2:25" s="108" customFormat="1" x14ac:dyDescent="0.25">
      <c r="B48" s="108" t="s">
        <v>476</v>
      </c>
      <c r="F48" s="108">
        <f t="shared" ref="F48:L48" si="82">SUM(F42:F47)</f>
        <v>76455</v>
      </c>
      <c r="G48" s="108">
        <f t="shared" si="82"/>
        <v>73315</v>
      </c>
      <c r="H48" s="108">
        <f t="shared" si="82"/>
        <v>73475</v>
      </c>
      <c r="I48" s="108">
        <f t="shared" si="82"/>
        <v>91879</v>
      </c>
      <c r="J48" s="108">
        <f t="shared" si="82"/>
        <v>93417</v>
      </c>
      <c r="K48" s="108">
        <f t="shared" si="82"/>
        <v>95184</v>
      </c>
      <c r="L48" s="108">
        <f t="shared" si="82"/>
        <v>99674</v>
      </c>
      <c r="M48" s="108">
        <f t="shared" ref="M48:N48" si="83">SUM(M42:M47)</f>
        <v>109778</v>
      </c>
      <c r="N48" s="108">
        <f t="shared" si="83"/>
        <v>148778</v>
      </c>
      <c r="O48" s="108">
        <f t="shared" ref="O48:P48" si="84">SUM(O42:O47)</f>
        <v>0</v>
      </c>
      <c r="P48" s="108">
        <f t="shared" si="84"/>
        <v>0</v>
      </c>
      <c r="U48" s="108">
        <f>SUM(U42:U47)</f>
        <v>76455</v>
      </c>
      <c r="V48" s="108">
        <f>SUM(V42:V47)</f>
        <v>93417</v>
      </c>
      <c r="W48" s="108">
        <f t="shared" ref="W48:Y48" si="85">SUM(W42:W47)</f>
        <v>148778</v>
      </c>
      <c r="X48" s="108">
        <f t="shared" si="85"/>
        <v>0</v>
      </c>
      <c r="Y48" s="108">
        <f t="shared" si="85"/>
        <v>0</v>
      </c>
    </row>
    <row r="49" spans="2:25" s="113" customFormat="1" x14ac:dyDescent="0.25">
      <c r="B49" s="113" t="s">
        <v>477</v>
      </c>
      <c r="F49" s="113">
        <v>153168</v>
      </c>
      <c r="G49" s="113">
        <v>149529</v>
      </c>
      <c r="H49" s="113">
        <v>156763</v>
      </c>
      <c r="I49" s="113">
        <v>164529</v>
      </c>
      <c r="J49" s="113">
        <v>182637</v>
      </c>
      <c r="K49" s="113">
        <v>185029</v>
      </c>
      <c r="L49" s="113">
        <v>195070</v>
      </c>
      <c r="M49" s="113">
        <v>194066</v>
      </c>
      <c r="N49" s="113">
        <v>217243</v>
      </c>
      <c r="U49" s="113">
        <v>153168</v>
      </c>
      <c r="V49" s="113">
        <v>182637</v>
      </c>
      <c r="W49" s="113">
        <v>217243</v>
      </c>
    </row>
    <row r="50" spans="2:25" s="108" customFormat="1" x14ac:dyDescent="0.25">
      <c r="B50" s="108" t="s">
        <v>781</v>
      </c>
      <c r="F50" s="108">
        <f t="shared" ref="F50:L50" si="86">F48+F49</f>
        <v>229623</v>
      </c>
      <c r="G50" s="108">
        <f t="shared" si="86"/>
        <v>222844</v>
      </c>
      <c r="H50" s="108">
        <f t="shared" si="86"/>
        <v>230238</v>
      </c>
      <c r="I50" s="108">
        <f t="shared" si="86"/>
        <v>256408</v>
      </c>
      <c r="J50" s="108">
        <f t="shared" si="86"/>
        <v>276054</v>
      </c>
      <c r="K50" s="108">
        <f t="shared" si="86"/>
        <v>280213</v>
      </c>
      <c r="L50" s="108">
        <f t="shared" si="86"/>
        <v>294744</v>
      </c>
      <c r="M50" s="108">
        <f t="shared" ref="M50:N50" si="87">M48+M49</f>
        <v>303844</v>
      </c>
      <c r="N50" s="108">
        <f t="shared" si="87"/>
        <v>366021</v>
      </c>
      <c r="O50" s="108">
        <f t="shared" ref="O50:P50" si="88">O48+O49</f>
        <v>0</v>
      </c>
      <c r="P50" s="108">
        <f t="shared" si="88"/>
        <v>0</v>
      </c>
      <c r="U50" s="108">
        <f>U48+U49</f>
        <v>229623</v>
      </c>
      <c r="V50" s="108">
        <f>V48+V49</f>
        <v>276054</v>
      </c>
      <c r="W50" s="108">
        <f t="shared" ref="W50:Y50" si="89">W48+W49</f>
        <v>366021</v>
      </c>
      <c r="X50" s="108">
        <f t="shared" si="89"/>
        <v>0</v>
      </c>
      <c r="Y50" s="108">
        <f t="shared" si="89"/>
        <v>0</v>
      </c>
    </row>
    <row r="51" spans="2:25" x14ac:dyDescent="0.25">
      <c r="C51" s="113"/>
      <c r="D51" s="113"/>
      <c r="E51" s="113"/>
      <c r="F51" s="113"/>
      <c r="G51" s="113"/>
      <c r="H51" s="113"/>
      <c r="I51" s="113"/>
      <c r="J51" s="113"/>
    </row>
    <row r="52" spans="2:25" x14ac:dyDescent="0.25">
      <c r="B52" s="96" t="s">
        <v>976</v>
      </c>
      <c r="C52" s="113"/>
      <c r="D52" s="113"/>
      <c r="E52" s="113"/>
      <c r="F52" s="113"/>
      <c r="G52" s="118">
        <f t="shared" ref="G52:K52" si="90">G37/F37-1</f>
        <v>2.4030148984853117E-2</v>
      </c>
      <c r="H52" s="118">
        <f t="shared" si="90"/>
        <v>4.0957253204998656E-2</v>
      </c>
      <c r="I52" s="118">
        <f t="shared" si="90"/>
        <v>8.9385095037830542E-2</v>
      </c>
      <c r="J52" s="118">
        <f t="shared" si="90"/>
        <v>8.1881564166116805E-2</v>
      </c>
      <c r="K52" s="118">
        <f t="shared" si="90"/>
        <v>0.10071201358099979</v>
      </c>
      <c r="L52" s="118">
        <f>L37/K37-1</f>
        <v>0.10086323717684764</v>
      </c>
      <c r="M52" s="118">
        <f>M37/L37-1</f>
        <v>8.9982929698923408E-2</v>
      </c>
      <c r="N52" s="118">
        <f t="shared" ref="N52:P52" si="91">N37/M37-1</f>
        <v>0.10064266550196543</v>
      </c>
      <c r="O52" s="118">
        <f t="shared" si="91"/>
        <v>-1</v>
      </c>
      <c r="P52" s="118" t="e">
        <f t="shared" si="91"/>
        <v>#DIV/0!</v>
      </c>
      <c r="V52" s="118"/>
    </row>
    <row r="53" spans="2:25" x14ac:dyDescent="0.25">
      <c r="B53" s="133" t="s">
        <v>1051</v>
      </c>
      <c r="C53" s="113"/>
      <c r="D53" s="113"/>
      <c r="E53" s="113"/>
      <c r="F53" s="113"/>
      <c r="G53" s="113">
        <f t="shared" ref="G53:L53" si="92">(G34+G35+G36)-(G42+G43+G44)</f>
        <v>35877</v>
      </c>
      <c r="H53" s="113">
        <f t="shared" si="92"/>
        <v>37949</v>
      </c>
      <c r="I53" s="113">
        <f t="shared" si="92"/>
        <v>45600</v>
      </c>
      <c r="J53" s="113">
        <f t="shared" si="92"/>
        <v>54227</v>
      </c>
      <c r="K53" s="113">
        <f t="shared" si="92"/>
        <v>43791</v>
      </c>
      <c r="L53" s="113">
        <f t="shared" si="92"/>
        <v>39545</v>
      </c>
      <c r="M53" s="113">
        <f>(M34+M35+M36)-(M42+M43+M44)</f>
        <v>41121</v>
      </c>
      <c r="N53" s="113">
        <f t="shared" ref="N53:P53" si="93">(N34+N35+N36)-(N42+N43+N44)</f>
        <v>71470</v>
      </c>
      <c r="O53" s="113">
        <f t="shared" si="93"/>
        <v>0</v>
      </c>
      <c r="P53" s="113">
        <f t="shared" si="93"/>
        <v>0</v>
      </c>
    </row>
    <row r="54" spans="2:25" x14ac:dyDescent="0.25">
      <c r="C54" s="113"/>
      <c r="D54" s="113"/>
      <c r="E54" s="113"/>
      <c r="F54" s="113"/>
      <c r="G54" s="113"/>
      <c r="H54" s="113"/>
      <c r="I54" s="113"/>
      <c r="J54" s="113"/>
    </row>
    <row r="55" spans="2:25" s="113" customFormat="1" x14ac:dyDescent="0.25">
      <c r="B55" s="113" t="s">
        <v>510</v>
      </c>
      <c r="C55" s="113">
        <f t="shared" ref="C55:J55" si="94">C19</f>
        <v>5709</v>
      </c>
      <c r="D55" s="113">
        <f t="shared" si="94"/>
        <v>7788</v>
      </c>
      <c r="E55" s="113">
        <f t="shared" si="94"/>
        <v>11583</v>
      </c>
      <c r="F55" s="113">
        <f t="shared" si="94"/>
        <v>14017</v>
      </c>
      <c r="G55" s="113">
        <f t="shared" si="94"/>
        <v>12369</v>
      </c>
      <c r="H55" s="113">
        <f t="shared" si="94"/>
        <v>13465</v>
      </c>
      <c r="I55" s="113">
        <f t="shared" si="94"/>
        <v>15688</v>
      </c>
      <c r="J55" s="113">
        <f t="shared" si="94"/>
        <v>20838</v>
      </c>
      <c r="K55" s="113">
        <f t="shared" ref="K55:N55" si="95">K19</f>
        <v>16644</v>
      </c>
      <c r="L55" s="113">
        <f t="shared" si="95"/>
        <v>18337</v>
      </c>
      <c r="M55" s="113">
        <f t="shared" si="95"/>
        <v>2718</v>
      </c>
      <c r="N55" s="113">
        <f t="shared" si="95"/>
        <v>22768</v>
      </c>
      <c r="O55" s="113">
        <f t="shared" ref="O55:R55" si="96">O19</f>
        <v>0</v>
      </c>
      <c r="P55" s="113">
        <f t="shared" si="96"/>
        <v>0</v>
      </c>
      <c r="Q55" s="113">
        <f t="shared" si="96"/>
        <v>0</v>
      </c>
      <c r="R55" s="113">
        <f t="shared" si="96"/>
        <v>0</v>
      </c>
      <c r="T55" s="113">
        <f>T19</f>
        <v>23200</v>
      </c>
      <c r="U55" s="113">
        <f>U19</f>
        <v>39097</v>
      </c>
      <c r="V55" s="113">
        <f>V19</f>
        <v>62360</v>
      </c>
      <c r="W55" s="113">
        <f t="shared" ref="W55:X55" si="97">W19</f>
        <v>60467</v>
      </c>
      <c r="X55" s="113">
        <f t="shared" si="97"/>
        <v>213430</v>
      </c>
    </row>
    <row r="56" spans="2:25" s="113" customFormat="1" x14ac:dyDescent="0.25">
      <c r="B56" s="113" t="s">
        <v>511</v>
      </c>
      <c r="C56" s="113">
        <v>5709</v>
      </c>
      <c r="D56" s="113">
        <v>7788</v>
      </c>
      <c r="E56" s="113">
        <v>11583</v>
      </c>
      <c r="F56" s="113">
        <v>14017</v>
      </c>
      <c r="G56" s="113">
        <v>12369</v>
      </c>
      <c r="H56" s="113">
        <v>13465</v>
      </c>
      <c r="I56" s="113">
        <v>15688</v>
      </c>
      <c r="J56" s="113">
        <v>20838</v>
      </c>
      <c r="K56" s="113">
        <v>16644</v>
      </c>
      <c r="L56" s="113">
        <v>18337</v>
      </c>
      <c r="M56" s="113">
        <v>2709</v>
      </c>
      <c r="N56" s="113">
        <v>22768</v>
      </c>
      <c r="T56" s="113">
        <v>23200</v>
      </c>
      <c r="U56" s="113">
        <f t="shared" ref="U56:U68" si="98">SUM(C56:F56)</f>
        <v>39097</v>
      </c>
      <c r="V56" s="113">
        <f>SUM(G56:J56)</f>
        <v>62360</v>
      </c>
      <c r="W56" s="113">
        <f>SUM(K56:N56)</f>
        <v>60458</v>
      </c>
    </row>
    <row r="57" spans="2:25" s="113" customFormat="1" x14ac:dyDescent="0.25">
      <c r="B57" s="113" t="s">
        <v>513</v>
      </c>
      <c r="C57" s="113">
        <v>2524</v>
      </c>
      <c r="D57" s="113">
        <v>2623</v>
      </c>
      <c r="E57" s="113">
        <v>2858</v>
      </c>
      <c r="F57" s="113">
        <v>3172</v>
      </c>
      <c r="G57" s="113">
        <v>3374</v>
      </c>
      <c r="H57" s="113">
        <v>3637</v>
      </c>
      <c r="I57" s="113">
        <v>4027</v>
      </c>
      <c r="J57" s="113">
        <v>4460</v>
      </c>
      <c r="K57" s="113">
        <v>3900</v>
      </c>
      <c r="L57" s="113">
        <v>4342</v>
      </c>
      <c r="M57" s="113">
        <v>4963</v>
      </c>
      <c r="N57" s="113">
        <v>5411</v>
      </c>
      <c r="T57" s="113">
        <v>8686</v>
      </c>
      <c r="U57" s="113">
        <f t="shared" si="98"/>
        <v>11177</v>
      </c>
      <c r="V57" s="113">
        <f>SUM(G57:J57)</f>
        <v>15498</v>
      </c>
      <c r="W57" s="113">
        <f t="shared" ref="W57:W68" si="99">SUM(K57:N57)</f>
        <v>18616</v>
      </c>
    </row>
    <row r="58" spans="2:25" s="113" customFormat="1" x14ac:dyDescent="0.25">
      <c r="B58" s="113" t="s">
        <v>782</v>
      </c>
      <c r="C58" s="113">
        <v>3051</v>
      </c>
      <c r="D58" s="113">
        <v>4060</v>
      </c>
      <c r="E58" s="113">
        <v>3492</v>
      </c>
      <c r="F58" s="113">
        <v>3424</v>
      </c>
      <c r="G58" s="113">
        <v>3562</v>
      </c>
      <c r="H58" s="113">
        <v>4616</v>
      </c>
      <c r="I58" s="113">
        <v>4250</v>
      </c>
      <c r="J58" s="113">
        <v>4262</v>
      </c>
      <c r="K58" s="113">
        <v>4147</v>
      </c>
      <c r="L58" s="113">
        <v>4834</v>
      </c>
      <c r="M58" s="113">
        <v>5555</v>
      </c>
      <c r="N58" s="113">
        <v>5890</v>
      </c>
      <c r="T58" s="113">
        <v>11992</v>
      </c>
      <c r="U58" s="113">
        <f t="shared" si="98"/>
        <v>14027</v>
      </c>
      <c r="V58" s="113">
        <f>SUM(G58:J58)</f>
        <v>16690</v>
      </c>
      <c r="W58" s="113">
        <f t="shared" si="99"/>
        <v>20426</v>
      </c>
    </row>
    <row r="59" spans="2:25" s="113" customFormat="1" x14ac:dyDescent="0.25">
      <c r="B59" s="113" t="s">
        <v>516</v>
      </c>
      <c r="C59" s="113">
        <v>-620</v>
      </c>
      <c r="D59" s="113">
        <v>-1137</v>
      </c>
      <c r="E59" s="113">
        <v>3049</v>
      </c>
      <c r="F59" s="113">
        <v>-1161</v>
      </c>
      <c r="G59" s="113">
        <v>-456</v>
      </c>
      <c r="H59" s="113">
        <v>-1643</v>
      </c>
      <c r="I59" s="113">
        <v>-1308</v>
      </c>
      <c r="J59" s="113">
        <v>-1332</v>
      </c>
      <c r="K59" s="113">
        <v>-993</v>
      </c>
      <c r="L59" s="113">
        <v>-1170</v>
      </c>
      <c r="M59" s="113">
        <v>19868</v>
      </c>
      <c r="N59" s="113">
        <v>1033</v>
      </c>
      <c r="T59" s="113">
        <v>-3286</v>
      </c>
      <c r="U59" s="113">
        <f t="shared" si="98"/>
        <v>131</v>
      </c>
      <c r="V59" s="113">
        <f>SUM(G59:J59)</f>
        <v>-4739</v>
      </c>
      <c r="W59" s="113">
        <f t="shared" si="99"/>
        <v>18738</v>
      </c>
    </row>
    <row r="60" spans="2:25" s="113" customFormat="1" x14ac:dyDescent="0.25">
      <c r="B60" s="113" t="s">
        <v>783</v>
      </c>
      <c r="C60" s="113">
        <v>770</v>
      </c>
      <c r="D60" s="113">
        <v>232</v>
      </c>
      <c r="E60" s="113">
        <v>340</v>
      </c>
      <c r="F60" s="113">
        <v>1091</v>
      </c>
      <c r="G60" s="113">
        <v>240</v>
      </c>
      <c r="H60" s="113">
        <v>41</v>
      </c>
      <c r="I60" s="113">
        <v>8</v>
      </c>
      <c r="J60" s="113">
        <v>94</v>
      </c>
      <c r="L60" s="113">
        <v>511</v>
      </c>
      <c r="T60" s="113">
        <v>2218</v>
      </c>
      <c r="U60" s="113">
        <f t="shared" si="98"/>
        <v>2433</v>
      </c>
      <c r="V60" s="113">
        <f>SUM(G60:J60)</f>
        <v>383</v>
      </c>
      <c r="W60" s="113">
        <f t="shared" si="99"/>
        <v>511</v>
      </c>
    </row>
    <row r="61" spans="2:25" s="113" customFormat="1" x14ac:dyDescent="0.25">
      <c r="B61" s="113" t="s">
        <v>784</v>
      </c>
      <c r="F61" s="113">
        <v>7</v>
      </c>
      <c r="T61" s="113">
        <v>1341</v>
      </c>
      <c r="U61" s="113">
        <f t="shared" si="98"/>
        <v>7</v>
      </c>
    </row>
    <row r="62" spans="2:25" s="113" customFormat="1" x14ac:dyDescent="0.25">
      <c r="B62" s="113" t="s">
        <v>421</v>
      </c>
      <c r="C62" s="113">
        <v>-7</v>
      </c>
      <c r="D62" s="113">
        <v>212</v>
      </c>
      <c r="E62" s="113">
        <v>75</v>
      </c>
      <c r="F62" s="113">
        <v>124</v>
      </c>
      <c r="G62" s="113">
        <v>-66</v>
      </c>
      <c r="H62" s="113">
        <v>-6</v>
      </c>
      <c r="I62" s="113">
        <v>-11</v>
      </c>
      <c r="J62" s="113">
        <v>169</v>
      </c>
      <c r="K62" s="113">
        <v>-231</v>
      </c>
      <c r="L62" s="113">
        <v>-336</v>
      </c>
      <c r="M62" s="113">
        <f>-922-23</f>
        <v>-945</v>
      </c>
      <c r="N62" s="113">
        <f>-496-56</f>
        <v>-552</v>
      </c>
      <c r="T62" s="113">
        <v>641</v>
      </c>
      <c r="U62" s="113">
        <f t="shared" si="98"/>
        <v>404</v>
      </c>
      <c r="V62" s="113">
        <f t="shared" ref="V62:V68" si="100">SUM(G62:J62)</f>
        <v>86</v>
      </c>
      <c r="W62" s="113">
        <f t="shared" si="99"/>
        <v>-2064</v>
      </c>
    </row>
    <row r="63" spans="2:25" s="113" customFormat="1" x14ac:dyDescent="0.25">
      <c r="B63" s="113" t="s">
        <v>38</v>
      </c>
      <c r="C63" s="113">
        <v>2546</v>
      </c>
      <c r="D63" s="113">
        <v>-1424</v>
      </c>
      <c r="E63" s="113">
        <v>-678</v>
      </c>
      <c r="F63" s="113">
        <v>-2843</v>
      </c>
      <c r="G63" s="113">
        <v>2520</v>
      </c>
      <c r="H63" s="113">
        <v>-1171</v>
      </c>
      <c r="I63" s="113">
        <v>143</v>
      </c>
      <c r="J63" s="113">
        <v>-2978</v>
      </c>
      <c r="K63" s="113">
        <v>2804</v>
      </c>
      <c r="L63" s="113">
        <v>-1338</v>
      </c>
      <c r="M63" s="113">
        <v>-807</v>
      </c>
      <c r="N63" s="113">
        <v>-2475</v>
      </c>
      <c r="T63" s="113">
        <v>231</v>
      </c>
      <c r="U63" s="113">
        <f t="shared" si="98"/>
        <v>-2399</v>
      </c>
      <c r="V63" s="113">
        <f t="shared" si="100"/>
        <v>-1486</v>
      </c>
      <c r="W63" s="113">
        <f t="shared" si="99"/>
        <v>-1816</v>
      </c>
    </row>
    <row r="64" spans="2:25" s="113" customFormat="1" x14ac:dyDescent="0.25">
      <c r="B64" s="113" t="s">
        <v>780</v>
      </c>
      <c r="C64" s="113">
        <v>821</v>
      </c>
      <c r="D64" s="113">
        <v>-54</v>
      </c>
      <c r="E64" s="113">
        <v>-907</v>
      </c>
      <c r="F64" s="113">
        <v>700</v>
      </c>
      <c r="G64" s="113">
        <v>100</v>
      </c>
      <c r="H64" s="113">
        <v>-84</v>
      </c>
      <c r="I64" s="113">
        <v>-184</v>
      </c>
      <c r="J64" s="113">
        <v>-530</v>
      </c>
      <c r="K64" s="113">
        <v>360</v>
      </c>
      <c r="L64" s="113">
        <v>326</v>
      </c>
      <c r="M64" s="113">
        <v>-1033</v>
      </c>
      <c r="N64" s="113">
        <v>259</v>
      </c>
      <c r="T64" s="113">
        <v>162</v>
      </c>
      <c r="U64" s="113">
        <f t="shared" si="98"/>
        <v>560</v>
      </c>
      <c r="V64" s="113">
        <f t="shared" si="100"/>
        <v>-698</v>
      </c>
      <c r="W64" s="113">
        <f t="shared" si="99"/>
        <v>-88</v>
      </c>
    </row>
    <row r="65" spans="2:24" s="113" customFormat="1" x14ac:dyDescent="0.25">
      <c r="B65" s="113" t="s">
        <v>785</v>
      </c>
      <c r="C65" s="113">
        <v>30</v>
      </c>
      <c r="D65" s="113">
        <v>37</v>
      </c>
      <c r="E65" s="113">
        <v>-36</v>
      </c>
      <c r="F65" s="113">
        <v>-111</v>
      </c>
      <c r="G65" s="113">
        <v>-94</v>
      </c>
      <c r="H65" s="113">
        <v>54</v>
      </c>
      <c r="I65" s="113">
        <v>-29</v>
      </c>
      <c r="J65" s="113">
        <v>-200</v>
      </c>
      <c r="K65" s="113">
        <v>-52</v>
      </c>
      <c r="L65" s="113">
        <v>-190</v>
      </c>
      <c r="M65" s="113">
        <v>33</v>
      </c>
      <c r="N65" s="113">
        <v>-272</v>
      </c>
      <c r="T65" s="113">
        <v>-106</v>
      </c>
      <c r="U65" s="113">
        <f t="shared" si="98"/>
        <v>-80</v>
      </c>
      <c r="V65" s="113">
        <f t="shared" si="100"/>
        <v>-269</v>
      </c>
      <c r="W65" s="113">
        <f t="shared" si="99"/>
        <v>-481</v>
      </c>
    </row>
    <row r="66" spans="2:24" s="113" customFormat="1" x14ac:dyDescent="0.25">
      <c r="B66" s="113" t="s">
        <v>45</v>
      </c>
      <c r="C66" s="113">
        <v>-1104</v>
      </c>
      <c r="D66" s="113">
        <v>-51</v>
      </c>
      <c r="E66" s="113">
        <v>611</v>
      </c>
      <c r="F66" s="113">
        <v>595</v>
      </c>
      <c r="G66" s="113">
        <v>-1112</v>
      </c>
      <c r="H66" s="113">
        <v>250</v>
      </c>
      <c r="I66" s="113">
        <v>667</v>
      </c>
      <c r="J66" s="113">
        <v>568</v>
      </c>
      <c r="K66" s="113">
        <v>-1034</v>
      </c>
      <c r="L66" s="113">
        <v>460</v>
      </c>
      <c r="M66" s="113">
        <v>-63</v>
      </c>
      <c r="N66" s="113">
        <v>623</v>
      </c>
      <c r="T66" s="113">
        <v>210</v>
      </c>
      <c r="U66" s="113">
        <f t="shared" si="98"/>
        <v>51</v>
      </c>
      <c r="V66" s="113">
        <f t="shared" si="100"/>
        <v>373</v>
      </c>
      <c r="W66" s="113">
        <f t="shared" si="99"/>
        <v>-14</v>
      </c>
    </row>
    <row r="67" spans="2:24" s="113" customFormat="1" x14ac:dyDescent="0.25">
      <c r="B67" s="113" t="s">
        <v>46</v>
      </c>
      <c r="C67" s="113">
        <v>94</v>
      </c>
      <c r="D67" s="113">
        <v>5174</v>
      </c>
      <c r="E67" s="113">
        <v>87</v>
      </c>
      <c r="F67" s="113">
        <v>-274</v>
      </c>
      <c r="G67" s="113">
        <v>-1274</v>
      </c>
      <c r="H67" s="113">
        <v>-497</v>
      </c>
      <c r="I67" s="113">
        <v>572</v>
      </c>
      <c r="J67" s="113">
        <v>1523</v>
      </c>
      <c r="K67" s="113">
        <v>-2231</v>
      </c>
      <c r="L67" s="113">
        <v>-1107</v>
      </c>
      <c r="M67" s="113">
        <v>455</v>
      </c>
      <c r="N67" s="113">
        <v>3960</v>
      </c>
      <c r="T67" s="113">
        <v>4300</v>
      </c>
      <c r="U67" s="113">
        <f t="shared" si="98"/>
        <v>5081</v>
      </c>
      <c r="V67" s="113">
        <f t="shared" si="100"/>
        <v>324</v>
      </c>
      <c r="W67" s="113">
        <f t="shared" si="99"/>
        <v>1077</v>
      </c>
    </row>
    <row r="68" spans="2:24" s="113" customFormat="1" x14ac:dyDescent="0.25">
      <c r="B68" s="113" t="s">
        <v>48</v>
      </c>
      <c r="C68" s="113">
        <v>184</v>
      </c>
      <c r="D68" s="113">
        <v>-151</v>
      </c>
      <c r="E68" s="113">
        <v>-72</v>
      </c>
      <c r="F68" s="113">
        <v>663</v>
      </c>
      <c r="G68" s="113">
        <v>83</v>
      </c>
      <c r="H68" s="113">
        <v>708</v>
      </c>
      <c r="I68" s="113">
        <v>901</v>
      </c>
      <c r="J68" s="113">
        <v>1114</v>
      </c>
      <c r="K68" s="113">
        <v>712</v>
      </c>
      <c r="L68" s="113">
        <v>892</v>
      </c>
      <c r="M68" s="113">
        <v>-736</v>
      </c>
      <c r="N68" s="113">
        <v>-431</v>
      </c>
      <c r="T68" s="113">
        <v>886</v>
      </c>
      <c r="U68" s="113">
        <f t="shared" si="98"/>
        <v>624</v>
      </c>
      <c r="V68" s="113">
        <f t="shared" si="100"/>
        <v>2806</v>
      </c>
      <c r="W68" s="113">
        <f t="shared" si="99"/>
        <v>437</v>
      </c>
    </row>
    <row r="69" spans="2:24" s="108" customFormat="1" x14ac:dyDescent="0.25">
      <c r="B69" s="108" t="s">
        <v>512</v>
      </c>
      <c r="C69" s="108">
        <f t="shared" ref="C69:J69" si="101">SUM(C56:C68)</f>
        <v>13998</v>
      </c>
      <c r="D69" s="108">
        <f t="shared" si="101"/>
        <v>17309</v>
      </c>
      <c r="E69" s="108">
        <f t="shared" si="101"/>
        <v>20402</v>
      </c>
      <c r="F69" s="108">
        <f t="shared" si="101"/>
        <v>19404</v>
      </c>
      <c r="G69" s="108">
        <f t="shared" si="101"/>
        <v>19246</v>
      </c>
      <c r="H69" s="108">
        <f t="shared" si="101"/>
        <v>19370</v>
      </c>
      <c r="I69" s="108">
        <f t="shared" si="101"/>
        <v>24724</v>
      </c>
      <c r="J69" s="108">
        <f t="shared" si="101"/>
        <v>27988</v>
      </c>
      <c r="K69" s="108">
        <f t="shared" ref="K69:L69" si="102">SUM(K56:K68)</f>
        <v>24026</v>
      </c>
      <c r="L69" s="108">
        <f t="shared" si="102"/>
        <v>25561</v>
      </c>
      <c r="M69" s="108">
        <f t="shared" ref="M69:N69" si="103">SUM(M56:M68)</f>
        <v>29999</v>
      </c>
      <c r="N69" s="108">
        <f t="shared" si="103"/>
        <v>36214</v>
      </c>
      <c r="O69" s="108">
        <f t="shared" ref="O69:R69" si="104">SUM(O56:O68)</f>
        <v>0</v>
      </c>
      <c r="P69" s="108">
        <f t="shared" si="104"/>
        <v>0</v>
      </c>
      <c r="Q69" s="108">
        <f t="shared" si="104"/>
        <v>0</v>
      </c>
      <c r="R69" s="108">
        <f t="shared" si="104"/>
        <v>0</v>
      </c>
      <c r="T69" s="108">
        <f>SUM(T56:T68)</f>
        <v>50475</v>
      </c>
      <c r="U69" s="108">
        <f>SUM(U56:U68)</f>
        <v>71113</v>
      </c>
      <c r="V69" s="108">
        <f>SUM(V56:V68)</f>
        <v>91328</v>
      </c>
      <c r="W69" s="108">
        <f t="shared" ref="W69:X69" si="105">SUM(W56:W68)</f>
        <v>115800</v>
      </c>
      <c r="X69" s="108">
        <f t="shared" si="105"/>
        <v>0</v>
      </c>
    </row>
    <row r="70" spans="2:24" s="113" customFormat="1" x14ac:dyDescent="0.25">
      <c r="B70" s="113" t="s">
        <v>519</v>
      </c>
      <c r="C70" s="113">
        <v>-6823</v>
      </c>
      <c r="D70" s="113">
        <v>-6134</v>
      </c>
      <c r="E70" s="113">
        <v>-6496</v>
      </c>
      <c r="F70" s="113">
        <v>-7592</v>
      </c>
      <c r="G70" s="113">
        <v>-6400</v>
      </c>
      <c r="H70" s="113">
        <v>-8173</v>
      </c>
      <c r="I70" s="113">
        <v>-8258</v>
      </c>
      <c r="J70" s="113">
        <v>-14425</v>
      </c>
      <c r="K70" s="113">
        <v>-12941</v>
      </c>
      <c r="L70" s="113">
        <v>-16538</v>
      </c>
      <c r="M70" s="113">
        <v>-18829</v>
      </c>
      <c r="N70" s="113">
        <v>-21383</v>
      </c>
      <c r="T70" s="113">
        <v>-31186</v>
      </c>
      <c r="U70" s="113">
        <f>SUM(C70:F70)</f>
        <v>-27045</v>
      </c>
      <c r="V70" s="113">
        <f>SUM(G70:J70)</f>
        <v>-37256</v>
      </c>
      <c r="W70" s="113">
        <f t="shared" ref="W70:W73" si="106">SUM(K70:N70)</f>
        <v>-69691</v>
      </c>
    </row>
    <row r="71" spans="2:24" s="113" customFormat="1" x14ac:dyDescent="0.25">
      <c r="B71" s="113" t="s">
        <v>786</v>
      </c>
      <c r="C71" s="113">
        <f>-85+534</f>
        <v>449</v>
      </c>
      <c r="D71" s="113">
        <f>-717+1816</f>
        <v>1099</v>
      </c>
      <c r="E71" s="113">
        <f>-1008+1475</f>
        <v>467</v>
      </c>
      <c r="F71" s="113">
        <f>-1171+2359</f>
        <v>1188</v>
      </c>
      <c r="G71" s="113">
        <f>-6887+4625</f>
        <v>-2262</v>
      </c>
      <c r="H71" s="113">
        <f>-3289+3233</f>
        <v>-56</v>
      </c>
      <c r="I71" s="113">
        <f>-4468+4114</f>
        <v>-354</v>
      </c>
      <c r="J71" s="113">
        <f>-10898+3817</f>
        <v>-7081</v>
      </c>
      <c r="K71" s="113">
        <f>-11763+4784</f>
        <v>-6979</v>
      </c>
      <c r="L71" s="113">
        <f>-7746+14273-15114</f>
        <v>-8587</v>
      </c>
      <c r="M71" s="113">
        <f>-2840+4704-3046</f>
        <v>-1182</v>
      </c>
      <c r="N71" s="113">
        <f>-14580+3113</f>
        <v>-11467</v>
      </c>
      <c r="T71" s="113">
        <f>-9626+13158</f>
        <v>3532</v>
      </c>
      <c r="U71" s="113">
        <f>SUM(C71:F71)</f>
        <v>3203</v>
      </c>
      <c r="V71" s="113">
        <f>SUM(G71:J71)</f>
        <v>-9753</v>
      </c>
      <c r="W71" s="113">
        <f t="shared" si="106"/>
        <v>-28215</v>
      </c>
    </row>
    <row r="72" spans="2:24" s="113" customFormat="1" x14ac:dyDescent="0.25">
      <c r="B72" s="113" t="s">
        <v>520</v>
      </c>
      <c r="C72" s="113">
        <v>-444</v>
      </c>
      <c r="D72" s="113">
        <v>-83</v>
      </c>
      <c r="E72" s="113">
        <v>-38</v>
      </c>
      <c r="F72" s="113">
        <v>-64</v>
      </c>
      <c r="G72" s="113">
        <v>-72</v>
      </c>
      <c r="H72" s="113">
        <v>-57</v>
      </c>
      <c r="I72" s="113">
        <v>-132</v>
      </c>
      <c r="J72" s="113">
        <v>-9</v>
      </c>
      <c r="L72" s="113">
        <v>-61</v>
      </c>
      <c r="M72" s="113">
        <v>-753</v>
      </c>
      <c r="N72" s="113">
        <v>-3415</v>
      </c>
      <c r="T72" s="113">
        <v>-1312</v>
      </c>
      <c r="U72" s="113">
        <f>SUM(C72:F72)</f>
        <v>-629</v>
      </c>
      <c r="V72" s="113">
        <f>SUM(G72:J72)</f>
        <v>-270</v>
      </c>
      <c r="W72" s="113">
        <f t="shared" si="106"/>
        <v>-4229</v>
      </c>
    </row>
    <row r="73" spans="2:24" s="113" customFormat="1" x14ac:dyDescent="0.25">
      <c r="B73" s="113" t="s">
        <v>421</v>
      </c>
      <c r="C73" s="113">
        <v>75</v>
      </c>
      <c r="D73" s="113">
        <v>-85</v>
      </c>
      <c r="E73" s="113">
        <v>-10</v>
      </c>
      <c r="F73" s="113">
        <v>-4</v>
      </c>
      <c r="H73" s="113">
        <v>-12</v>
      </c>
      <c r="I73" s="113">
        <v>124</v>
      </c>
      <c r="J73" s="113">
        <v>17</v>
      </c>
      <c r="K73" s="113">
        <v>-90</v>
      </c>
      <c r="L73" s="113">
        <f>-775+3</f>
        <v>-772</v>
      </c>
      <c r="M73" s="113">
        <f>-62-1022</f>
        <v>-1084</v>
      </c>
      <c r="N73" s="113">
        <f>-635+2554-70+229</f>
        <v>2078</v>
      </c>
      <c r="T73" s="113">
        <v>-4</v>
      </c>
      <c r="U73" s="113">
        <f>SUM(C73:F73)</f>
        <v>-24</v>
      </c>
      <c r="V73" s="113">
        <f>SUM(G73:J73)</f>
        <v>129</v>
      </c>
      <c r="W73" s="113">
        <f t="shared" si="106"/>
        <v>132</v>
      </c>
    </row>
    <row r="74" spans="2:24" s="108" customFormat="1" x14ac:dyDescent="0.25">
      <c r="B74" s="108" t="s">
        <v>521</v>
      </c>
      <c r="C74" s="108">
        <f t="shared" ref="C74:J74" si="107">SUM(C70:C73)</f>
        <v>-6743</v>
      </c>
      <c r="D74" s="108">
        <f t="shared" si="107"/>
        <v>-5203</v>
      </c>
      <c r="E74" s="108">
        <f t="shared" si="107"/>
        <v>-6077</v>
      </c>
      <c r="F74" s="108">
        <f t="shared" si="107"/>
        <v>-6472</v>
      </c>
      <c r="G74" s="108">
        <f t="shared" si="107"/>
        <v>-8734</v>
      </c>
      <c r="H74" s="108">
        <f t="shared" si="107"/>
        <v>-8298</v>
      </c>
      <c r="I74" s="108">
        <f t="shared" si="107"/>
        <v>-8620</v>
      </c>
      <c r="J74" s="108">
        <f t="shared" si="107"/>
        <v>-21498</v>
      </c>
      <c r="K74" s="108">
        <f t="shared" ref="K74:L74" si="108">SUM(K70:K73)</f>
        <v>-20010</v>
      </c>
      <c r="L74" s="108">
        <f t="shared" si="108"/>
        <v>-25958</v>
      </c>
      <c r="M74" s="108">
        <f>SUM(M70:M73)</f>
        <v>-21848</v>
      </c>
      <c r="N74" s="108">
        <f>SUM(N70:N73)</f>
        <v>-34187</v>
      </c>
      <c r="O74" s="108">
        <f t="shared" ref="O74:R74" si="109">SUM(O70:O73)</f>
        <v>0</v>
      </c>
      <c r="P74" s="108">
        <f t="shared" si="109"/>
        <v>0</v>
      </c>
      <c r="Q74" s="108">
        <f t="shared" si="109"/>
        <v>0</v>
      </c>
      <c r="R74" s="108">
        <f t="shared" si="109"/>
        <v>0</v>
      </c>
      <c r="T74" s="108">
        <f>SUM(T70:T73)</f>
        <v>-28970</v>
      </c>
      <c r="U74" s="108">
        <f>SUM(U70:U73)</f>
        <v>-24495</v>
      </c>
      <c r="V74" s="108">
        <f>SUM(V70:V73)</f>
        <v>-47150</v>
      </c>
      <c r="W74" s="108">
        <f>SUM(W70:W73)</f>
        <v>-102003</v>
      </c>
      <c r="X74" s="108">
        <f>SUM(X70:X73)</f>
        <v>0</v>
      </c>
    </row>
    <row r="75" spans="2:24" s="113" customFormat="1" x14ac:dyDescent="0.25">
      <c r="B75" s="113" t="s">
        <v>788</v>
      </c>
      <c r="C75" s="113">
        <v>-1009</v>
      </c>
      <c r="D75" s="113">
        <v>-1692</v>
      </c>
      <c r="E75" s="113">
        <v>-2087</v>
      </c>
      <c r="F75" s="113">
        <v>-2223</v>
      </c>
      <c r="G75" s="113">
        <v>-3162</v>
      </c>
      <c r="H75" s="113">
        <v>-3208</v>
      </c>
      <c r="I75" s="113">
        <v>-3544</v>
      </c>
      <c r="J75" s="113">
        <v>-3857</v>
      </c>
      <c r="K75" s="113">
        <v>-4883</v>
      </c>
      <c r="L75" s="113">
        <v>-4110</v>
      </c>
      <c r="M75" s="113">
        <v>-5135</v>
      </c>
      <c r="N75" s="113">
        <v>-4272</v>
      </c>
      <c r="T75" s="113">
        <v>-3595</v>
      </c>
      <c r="U75" s="113">
        <f>SUM(C75:F75)</f>
        <v>-7011</v>
      </c>
      <c r="V75" s="113">
        <f t="shared" ref="V75:V80" si="110">SUM(G75:J75)</f>
        <v>-13771</v>
      </c>
      <c r="W75" s="113">
        <f t="shared" ref="W75:W80" si="111">SUM(K75:N75)</f>
        <v>-18400</v>
      </c>
    </row>
    <row r="76" spans="2:24" s="113" customFormat="1" x14ac:dyDescent="0.25">
      <c r="B76" s="113" t="s">
        <v>789</v>
      </c>
      <c r="C76" s="113">
        <v>-9365</v>
      </c>
      <c r="D76" s="113">
        <v>-898</v>
      </c>
      <c r="E76" s="113">
        <v>-3570</v>
      </c>
      <c r="F76" s="113">
        <v>-5942</v>
      </c>
      <c r="G76" s="113">
        <v>-15008</v>
      </c>
      <c r="H76" s="113">
        <v>-6299</v>
      </c>
      <c r="I76" s="113">
        <v>-8818</v>
      </c>
      <c r="K76" s="113">
        <v>-12754</v>
      </c>
      <c r="L76" s="113">
        <v>-10167</v>
      </c>
      <c r="M76" s="113">
        <v>-3327</v>
      </c>
      <c r="T76" s="113">
        <v>-27956</v>
      </c>
      <c r="U76" s="113">
        <f>SUM(C76:F76)</f>
        <v>-19775</v>
      </c>
      <c r="V76" s="113">
        <f t="shared" si="110"/>
        <v>-30125</v>
      </c>
      <c r="W76" s="113">
        <f t="shared" si="111"/>
        <v>-26248</v>
      </c>
    </row>
    <row r="77" spans="2:24" s="113" customFormat="1" x14ac:dyDescent="0.25">
      <c r="B77" s="113" t="s">
        <v>790</v>
      </c>
      <c r="G77" s="113">
        <v>-1273</v>
      </c>
      <c r="H77" s="113">
        <v>-1266</v>
      </c>
      <c r="I77" s="113">
        <v>-1263</v>
      </c>
      <c r="J77" s="113">
        <v>-1269</v>
      </c>
      <c r="K77" s="113">
        <v>-1329</v>
      </c>
      <c r="L77" s="113">
        <v>-1327</v>
      </c>
      <c r="M77" s="113">
        <v>-1330</v>
      </c>
      <c r="N77" s="113">
        <v>-1338</v>
      </c>
      <c r="V77" s="113">
        <f t="shared" si="110"/>
        <v>-5071</v>
      </c>
      <c r="W77" s="113">
        <f t="shared" si="111"/>
        <v>-5324</v>
      </c>
    </row>
    <row r="78" spans="2:24" s="113" customFormat="1" x14ac:dyDescent="0.25">
      <c r="B78" s="113" t="s">
        <v>791</v>
      </c>
      <c r="D78" s="113">
        <v>8455</v>
      </c>
      <c r="I78" s="113">
        <v>10432</v>
      </c>
      <c r="N78" s="113">
        <v>29906</v>
      </c>
      <c r="T78" s="113">
        <v>9921</v>
      </c>
      <c r="U78" s="113">
        <f>SUM(C78:F78)</f>
        <v>8455</v>
      </c>
      <c r="V78" s="113">
        <f t="shared" si="110"/>
        <v>10432</v>
      </c>
      <c r="W78" s="113">
        <f t="shared" si="111"/>
        <v>29906</v>
      </c>
    </row>
    <row r="79" spans="2:24" s="113" customFormat="1" x14ac:dyDescent="0.25">
      <c r="B79" s="113" t="s">
        <v>792</v>
      </c>
      <c r="C79" s="113">
        <v>-264</v>
      </c>
      <c r="D79" s="113">
        <v>-220</v>
      </c>
      <c r="E79" s="113">
        <v>-267</v>
      </c>
      <c r="F79" s="113">
        <v>-307</v>
      </c>
      <c r="G79" s="113">
        <v>-315</v>
      </c>
      <c r="H79" s="113">
        <v>-299</v>
      </c>
      <c r="I79" s="113">
        <v>-944</v>
      </c>
      <c r="J79" s="113">
        <v>-411</v>
      </c>
      <c r="K79" s="113">
        <v>-751</v>
      </c>
      <c r="L79" s="113">
        <v>-474</v>
      </c>
      <c r="M79" s="113">
        <v>-545</v>
      </c>
      <c r="N79" s="113">
        <v>-754</v>
      </c>
      <c r="T79" s="113">
        <v>-850</v>
      </c>
      <c r="U79" s="113">
        <f>SUM(C79:F79)</f>
        <v>-1058</v>
      </c>
      <c r="V79" s="113">
        <f t="shared" si="110"/>
        <v>-1969</v>
      </c>
      <c r="W79" s="113">
        <f t="shared" si="111"/>
        <v>-2524</v>
      </c>
    </row>
    <row r="80" spans="2:24" s="113" customFormat="1" x14ac:dyDescent="0.25">
      <c r="B80" s="113" t="s">
        <v>421</v>
      </c>
      <c r="C80" s="113">
        <v>122</v>
      </c>
      <c r="D80" s="113">
        <v>-353</v>
      </c>
      <c r="E80" s="113">
        <v>49</v>
      </c>
      <c r="F80" s="113">
        <v>71</v>
      </c>
      <c r="G80" s="113">
        <v>-9</v>
      </c>
      <c r="H80" s="113">
        <v>-106</v>
      </c>
      <c r="I80" s="113">
        <v>-234</v>
      </c>
      <c r="J80" s="113">
        <v>72</v>
      </c>
      <c r="K80" s="113">
        <v>222</v>
      </c>
      <c r="L80" s="113">
        <v>101</v>
      </c>
      <c r="M80" s="113">
        <v>290</v>
      </c>
      <c r="N80" s="113">
        <v>1607</v>
      </c>
      <c r="T80" s="113">
        <v>344</v>
      </c>
      <c r="U80" s="113">
        <f>SUM(C80:F80)</f>
        <v>-111</v>
      </c>
      <c r="V80" s="113">
        <f t="shared" si="110"/>
        <v>-277</v>
      </c>
      <c r="W80" s="113">
        <f t="shared" si="111"/>
        <v>2220</v>
      </c>
    </row>
    <row r="81" spans="2:24" s="108" customFormat="1" x14ac:dyDescent="0.25">
      <c r="B81" s="108" t="s">
        <v>518</v>
      </c>
      <c r="C81" s="108">
        <f t="shared" ref="C81:J81" si="112">SUM(C75:C80)</f>
        <v>-10516</v>
      </c>
      <c r="D81" s="108">
        <f t="shared" si="112"/>
        <v>5292</v>
      </c>
      <c r="E81" s="108">
        <f t="shared" si="112"/>
        <v>-5875</v>
      </c>
      <c r="F81" s="108">
        <f t="shared" si="112"/>
        <v>-8401</v>
      </c>
      <c r="G81" s="108">
        <f t="shared" si="112"/>
        <v>-19767</v>
      </c>
      <c r="H81" s="108">
        <f t="shared" si="112"/>
        <v>-11178</v>
      </c>
      <c r="I81" s="108">
        <f t="shared" si="112"/>
        <v>-4371</v>
      </c>
      <c r="J81" s="108">
        <f t="shared" si="112"/>
        <v>-5465</v>
      </c>
      <c r="K81" s="108">
        <f t="shared" ref="K81:L81" si="113">SUM(K75:K80)</f>
        <v>-19495</v>
      </c>
      <c r="L81" s="108">
        <f t="shared" si="113"/>
        <v>-15977</v>
      </c>
      <c r="M81" s="108">
        <f t="shared" ref="M81:N81" si="114">SUM(M75:M80)</f>
        <v>-10047</v>
      </c>
      <c r="N81" s="108">
        <f t="shared" si="114"/>
        <v>25149</v>
      </c>
      <c r="O81" s="108">
        <f t="shared" ref="O81:R81" si="115">SUM(O75:O80)</f>
        <v>0</v>
      </c>
      <c r="P81" s="108">
        <f t="shared" si="115"/>
        <v>0</v>
      </c>
      <c r="Q81" s="108">
        <f t="shared" si="115"/>
        <v>0</v>
      </c>
      <c r="R81" s="108">
        <f t="shared" si="115"/>
        <v>0</v>
      </c>
      <c r="T81" s="108">
        <f>SUM(T75:T80)</f>
        <v>-22136</v>
      </c>
      <c r="U81" s="108">
        <f>SUM(U75:U80)</f>
        <v>-19500</v>
      </c>
      <c r="V81" s="108">
        <f>SUM(V75:V80)</f>
        <v>-40781</v>
      </c>
      <c r="W81" s="108">
        <f t="shared" ref="W81:X81" si="116">SUM(W75:W80)</f>
        <v>-20370</v>
      </c>
      <c r="X81" s="108">
        <f t="shared" si="116"/>
        <v>0</v>
      </c>
    </row>
    <row r="82" spans="2:24" s="113" customFormat="1" x14ac:dyDescent="0.25">
      <c r="B82" s="113" t="s">
        <v>787</v>
      </c>
      <c r="C82" s="113">
        <v>85</v>
      </c>
      <c r="D82" s="113">
        <v>-14</v>
      </c>
      <c r="E82" s="113">
        <v>-354</v>
      </c>
      <c r="F82" s="113">
        <v>396</v>
      </c>
      <c r="G82" s="113">
        <v>-288</v>
      </c>
      <c r="H82" s="113">
        <v>-152</v>
      </c>
      <c r="I82" s="113">
        <v>368</v>
      </c>
      <c r="J82" s="113">
        <v>-714</v>
      </c>
      <c r="K82" s="113">
        <v>112</v>
      </c>
      <c r="L82" s="113">
        <v>131</v>
      </c>
      <c r="M82" s="113">
        <v>9</v>
      </c>
      <c r="N82" s="113">
        <v>-17</v>
      </c>
      <c r="T82" s="113">
        <v>-638</v>
      </c>
      <c r="U82" s="113">
        <f>SUM(C82:F82)</f>
        <v>113</v>
      </c>
      <c r="V82" s="113">
        <f>SUM(G82:J82)</f>
        <v>-786</v>
      </c>
      <c r="W82" s="113">
        <f>SUM(K82:N82)</f>
        <v>235</v>
      </c>
    </row>
    <row r="83" spans="2:24" s="108" customFormat="1" x14ac:dyDescent="0.25">
      <c r="B83" s="108" t="s">
        <v>522</v>
      </c>
      <c r="C83" s="108">
        <f t="shared" ref="C83:J83" si="117">C69+C74+C81+C82</f>
        <v>-3176</v>
      </c>
      <c r="D83" s="108">
        <f t="shared" si="117"/>
        <v>17384</v>
      </c>
      <c r="E83" s="108">
        <f t="shared" si="117"/>
        <v>8096</v>
      </c>
      <c r="F83" s="108">
        <f t="shared" si="117"/>
        <v>4927</v>
      </c>
      <c r="G83" s="108">
        <f t="shared" si="117"/>
        <v>-9543</v>
      </c>
      <c r="H83" s="108">
        <f t="shared" si="117"/>
        <v>-258</v>
      </c>
      <c r="I83" s="108">
        <f t="shared" si="117"/>
        <v>12101</v>
      </c>
      <c r="J83" s="108">
        <f t="shared" si="117"/>
        <v>311</v>
      </c>
      <c r="K83" s="108">
        <f t="shared" ref="K83:L83" si="118">K69+K74+K81+K82</f>
        <v>-15367</v>
      </c>
      <c r="L83" s="108">
        <f t="shared" si="118"/>
        <v>-16243</v>
      </c>
      <c r="M83" s="108">
        <f t="shared" ref="M83:N83" si="119">M69+M74+M81+M82</f>
        <v>-1887</v>
      </c>
      <c r="N83" s="108">
        <f t="shared" si="119"/>
        <v>27159</v>
      </c>
      <c r="O83" s="108">
        <f t="shared" ref="O83:R83" si="120">O69+O74+O81+O82</f>
        <v>0</v>
      </c>
      <c r="P83" s="108">
        <f t="shared" si="120"/>
        <v>0</v>
      </c>
      <c r="Q83" s="108">
        <f t="shared" si="120"/>
        <v>0</v>
      </c>
      <c r="R83" s="108">
        <f t="shared" si="120"/>
        <v>0</v>
      </c>
      <c r="T83" s="108">
        <f>T69+T74+T81+T82</f>
        <v>-1269</v>
      </c>
      <c r="U83" s="108">
        <f>U69+U74+U81+U82</f>
        <v>27231</v>
      </c>
      <c r="V83" s="108">
        <f>V69+V74+V81+V82</f>
        <v>2611</v>
      </c>
      <c r="W83" s="108">
        <f t="shared" ref="W83:X83" si="121">W69+W74+W81+W82</f>
        <v>-6338</v>
      </c>
      <c r="X83" s="108">
        <f t="shared" si="121"/>
        <v>0</v>
      </c>
    </row>
    <row r="84" spans="2:24" s="113" customFormat="1" x14ac:dyDescent="0.25">
      <c r="B84" s="113" t="s">
        <v>957</v>
      </c>
      <c r="C84" s="113">
        <f t="shared" ref="C84:J84" si="122">C85-C83</f>
        <v>15596</v>
      </c>
      <c r="D84" s="113">
        <f t="shared" si="122"/>
        <v>12420</v>
      </c>
      <c r="E84" s="113">
        <f t="shared" si="122"/>
        <v>29804</v>
      </c>
      <c r="F84" s="113">
        <f t="shared" si="122"/>
        <v>37900</v>
      </c>
      <c r="G84" s="113">
        <f t="shared" si="122"/>
        <v>42827</v>
      </c>
      <c r="H84" s="113">
        <f t="shared" si="122"/>
        <v>33284</v>
      </c>
      <c r="I84" s="113">
        <f t="shared" si="122"/>
        <v>33026</v>
      </c>
      <c r="J84" s="113">
        <f t="shared" si="122"/>
        <v>45127</v>
      </c>
      <c r="K84" s="113">
        <f>K85-K83</f>
        <v>45438</v>
      </c>
      <c r="L84" s="113">
        <v>30071</v>
      </c>
      <c r="M84" s="113">
        <v>30071</v>
      </c>
      <c r="N84" s="113">
        <v>30071</v>
      </c>
      <c r="O84" s="113">
        <v>30071</v>
      </c>
      <c r="P84" s="113">
        <v>30071</v>
      </c>
      <c r="Q84" s="113">
        <v>30071</v>
      </c>
      <c r="R84" s="113">
        <v>30071</v>
      </c>
    </row>
    <row r="85" spans="2:24" s="113" customFormat="1" x14ac:dyDescent="0.25">
      <c r="B85" s="113" t="s">
        <v>954</v>
      </c>
      <c r="C85" s="113">
        <f t="shared" ref="C85:J85" si="123">+D84</f>
        <v>12420</v>
      </c>
      <c r="D85" s="113">
        <f t="shared" si="123"/>
        <v>29804</v>
      </c>
      <c r="E85" s="113">
        <f t="shared" si="123"/>
        <v>37900</v>
      </c>
      <c r="F85" s="113">
        <f t="shared" si="123"/>
        <v>42827</v>
      </c>
      <c r="G85" s="113">
        <f t="shared" si="123"/>
        <v>33284</v>
      </c>
      <c r="H85" s="113">
        <f t="shared" si="123"/>
        <v>33026</v>
      </c>
      <c r="I85" s="113">
        <f t="shared" si="123"/>
        <v>45127</v>
      </c>
      <c r="J85" s="113">
        <f t="shared" si="123"/>
        <v>45438</v>
      </c>
      <c r="K85" s="113">
        <f>+L84</f>
        <v>30071</v>
      </c>
      <c r="L85" s="113">
        <f>L83+L84</f>
        <v>13828</v>
      </c>
      <c r="M85" s="113">
        <f>M83+M84</f>
        <v>28184</v>
      </c>
      <c r="N85" s="113">
        <f>N83+N84</f>
        <v>57230</v>
      </c>
      <c r="O85" s="113">
        <f t="shared" ref="O85:R85" si="124">O83+O84</f>
        <v>30071</v>
      </c>
      <c r="P85" s="113">
        <f t="shared" si="124"/>
        <v>30071</v>
      </c>
      <c r="Q85" s="113">
        <f t="shared" si="124"/>
        <v>30071</v>
      </c>
      <c r="R85" s="113">
        <f t="shared" si="124"/>
        <v>30071</v>
      </c>
    </row>
    <row r="86" spans="2:24" x14ac:dyDescent="0.25">
      <c r="C86" s="108"/>
      <c r="D86" s="108"/>
      <c r="G86" s="108"/>
      <c r="H86" s="108"/>
      <c r="I86" s="108"/>
      <c r="U86" s="113"/>
      <c r="V86" s="113"/>
    </row>
    <row r="87" spans="2:24" x14ac:dyDescent="0.25">
      <c r="U87" s="113"/>
      <c r="V87" s="113"/>
    </row>
    <row r="88" spans="2:24" s="96" customFormat="1" x14ac:dyDescent="0.25">
      <c r="B88" s="96" t="s">
        <v>523</v>
      </c>
      <c r="C88" s="108">
        <f t="shared" ref="C88:I88" si="125">C69+C70</f>
        <v>7175</v>
      </c>
      <c r="D88" s="108">
        <f t="shared" si="125"/>
        <v>11175</v>
      </c>
      <c r="E88" s="108">
        <f t="shared" si="125"/>
        <v>13906</v>
      </c>
      <c r="F88" s="108">
        <f t="shared" si="125"/>
        <v>11812</v>
      </c>
      <c r="G88" s="108">
        <f t="shared" si="125"/>
        <v>12846</v>
      </c>
      <c r="H88" s="108">
        <f t="shared" si="125"/>
        <v>11197</v>
      </c>
      <c r="I88" s="108">
        <f t="shared" si="125"/>
        <v>16466</v>
      </c>
      <c r="J88" s="108">
        <f>J69+J70</f>
        <v>13563</v>
      </c>
      <c r="K88" s="108">
        <f t="shared" ref="K88:L88" si="126">K69+K70</f>
        <v>11085</v>
      </c>
      <c r="L88" s="108">
        <f t="shared" si="126"/>
        <v>9023</v>
      </c>
      <c r="M88" s="108">
        <f t="shared" ref="M88:R88" si="127">M69+M70</f>
        <v>11170</v>
      </c>
      <c r="N88" s="108">
        <f t="shared" si="127"/>
        <v>14831</v>
      </c>
      <c r="O88" s="108">
        <f t="shared" si="127"/>
        <v>0</v>
      </c>
      <c r="P88" s="108">
        <f t="shared" si="127"/>
        <v>0</v>
      </c>
      <c r="Q88" s="108">
        <f t="shared" si="127"/>
        <v>0</v>
      </c>
      <c r="R88" s="108">
        <f t="shared" si="127"/>
        <v>0</v>
      </c>
      <c r="T88" s="108">
        <f>T69+T70</f>
        <v>19289</v>
      </c>
      <c r="U88" s="108">
        <f>U69+U70</f>
        <v>44068</v>
      </c>
      <c r="V88" s="108">
        <f>V69+V70</f>
        <v>54072</v>
      </c>
      <c r="W88" s="108">
        <f t="shared" ref="W88:X88" si="128">W69+W70</f>
        <v>46109</v>
      </c>
      <c r="X88" s="108">
        <f t="shared" si="128"/>
        <v>0</v>
      </c>
    </row>
    <row r="89" spans="2:24" x14ac:dyDescent="0.25">
      <c r="B89" s="112" t="s">
        <v>831</v>
      </c>
      <c r="C89" s="115">
        <f t="shared" ref="C89:I89" si="129">-C70/C55</f>
        <v>1.1951304957085305</v>
      </c>
      <c r="D89" s="115">
        <f t="shared" si="129"/>
        <v>0.78762198253723681</v>
      </c>
      <c r="E89" s="115">
        <f t="shared" si="129"/>
        <v>0.56082189415522754</v>
      </c>
      <c r="F89" s="115">
        <f t="shared" si="129"/>
        <v>0.54162802311478919</v>
      </c>
      <c r="G89" s="115">
        <f t="shared" si="129"/>
        <v>0.51742258872988922</v>
      </c>
      <c r="H89" s="115">
        <f t="shared" si="129"/>
        <v>0.60698106201262536</v>
      </c>
      <c r="I89" s="115">
        <f t="shared" si="129"/>
        <v>0.5263895971443141</v>
      </c>
      <c r="J89" s="115">
        <f>-J70/J55</f>
        <v>0.69224493713408197</v>
      </c>
      <c r="K89" s="115">
        <f t="shared" ref="K89:L89" si="130">-K70/K55</f>
        <v>0.77751742369622689</v>
      </c>
      <c r="L89" s="115">
        <f t="shared" si="130"/>
        <v>0.90189234880296665</v>
      </c>
      <c r="M89" s="115">
        <f t="shared" ref="M89:R89" si="131">-M70/M55</f>
        <v>6.9275202354672549</v>
      </c>
      <c r="N89" s="115">
        <f t="shared" si="131"/>
        <v>0.93916900913562895</v>
      </c>
      <c r="O89" s="115" t="e">
        <f t="shared" si="131"/>
        <v>#DIV/0!</v>
      </c>
      <c r="P89" s="115" t="e">
        <f t="shared" si="131"/>
        <v>#DIV/0!</v>
      </c>
      <c r="Q89" s="115" t="e">
        <f t="shared" si="131"/>
        <v>#DIV/0!</v>
      </c>
      <c r="R89" s="115" t="e">
        <f t="shared" si="131"/>
        <v>#DIV/0!</v>
      </c>
      <c r="T89" s="115">
        <f>-T70/T55</f>
        <v>1.3442241379310345</v>
      </c>
      <c r="U89" s="115">
        <f t="shared" ref="U89:V89" si="132">-U70/U55</f>
        <v>0.69174105430084154</v>
      </c>
      <c r="V89" s="115">
        <f t="shared" si="132"/>
        <v>0.59743425272610651</v>
      </c>
      <c r="W89" s="115">
        <f t="shared" ref="W89:X89" si="133">-W70/W55</f>
        <v>1.1525460168356294</v>
      </c>
      <c r="X89" s="115">
        <f t="shared" si="133"/>
        <v>0</v>
      </c>
    </row>
    <row r="90" spans="2:24" s="118" customFormat="1" x14ac:dyDescent="0.25">
      <c r="B90" s="119" t="s">
        <v>1013</v>
      </c>
      <c r="C90" s="118">
        <f t="shared" ref="C90:M90" si="134">C88/C8</f>
        <v>0.25048001396404257</v>
      </c>
      <c r="D90" s="118">
        <f t="shared" si="134"/>
        <v>0.34922966342698208</v>
      </c>
      <c r="E90" s="118">
        <f t="shared" si="134"/>
        <v>0.40725121536929654</v>
      </c>
      <c r="F90" s="118">
        <f t="shared" si="134"/>
        <v>0.29448281020169031</v>
      </c>
      <c r="G90" s="118">
        <f t="shared" si="134"/>
        <v>0.35237964613907558</v>
      </c>
      <c r="H90" s="118">
        <f t="shared" si="134"/>
        <v>0.28658084000921402</v>
      </c>
      <c r="I90" s="118">
        <f t="shared" si="134"/>
        <v>0.40567641479218508</v>
      </c>
      <c r="J90" s="118">
        <f t="shared" si="134"/>
        <v>0.28031414694636769</v>
      </c>
      <c r="K90" s="118">
        <f t="shared" si="134"/>
        <v>0.26197003355863308</v>
      </c>
      <c r="L90" s="118">
        <f t="shared" si="134"/>
        <v>0.18989393046552741</v>
      </c>
      <c r="M90" s="118">
        <f t="shared" si="134"/>
        <v>0.21798524647749892</v>
      </c>
      <c r="N90" s="118">
        <f t="shared" ref="N90:R90" si="135">N88/N8</f>
        <v>0.24762493112717679</v>
      </c>
      <c r="O90" s="118" t="e">
        <f t="shared" si="135"/>
        <v>#DIV/0!</v>
      </c>
      <c r="P90" s="118" t="e">
        <f t="shared" si="135"/>
        <v>#DIV/0!</v>
      </c>
      <c r="Q90" s="118" t="e">
        <f t="shared" si="135"/>
        <v>#DIV/0!</v>
      </c>
      <c r="R90" s="118" t="e">
        <f t="shared" si="135"/>
        <v>#DIV/0!</v>
      </c>
      <c r="T90" s="118">
        <f>T88/T8</f>
        <v>0.16541604850397482</v>
      </c>
      <c r="U90" s="118">
        <f>U88/U8</f>
        <v>0.32666918703345416</v>
      </c>
      <c r="V90" s="118">
        <f>V88/V8</f>
        <v>0.32870516717325227</v>
      </c>
      <c r="W90" s="118">
        <f t="shared" ref="W90:X90" si="136">W88/W8</f>
        <v>0.22943796183415022</v>
      </c>
      <c r="X90" s="118">
        <f t="shared" si="136"/>
        <v>0</v>
      </c>
    </row>
    <row r="92" spans="2:24" s="113" customFormat="1" x14ac:dyDescent="0.25">
      <c r="B92" s="167" t="s">
        <v>1071</v>
      </c>
      <c r="N92" s="113">
        <v>78865</v>
      </c>
      <c r="T92" s="113" t="s">
        <v>977</v>
      </c>
      <c r="W92" s="113" t="s">
        <v>978</v>
      </c>
      <c r="X92" s="167" t="s">
        <v>1072</v>
      </c>
    </row>
    <row r="93" spans="2:24" x14ac:dyDescent="0.25">
      <c r="X93" s="169" t="s">
        <v>1076</v>
      </c>
    </row>
    <row r="95" spans="2:24" x14ac:dyDescent="0.25">
      <c r="B95" s="131" t="s">
        <v>1030</v>
      </c>
      <c r="M95" s="131" t="s">
        <v>1044</v>
      </c>
      <c r="O95" s="96" t="s">
        <v>1077</v>
      </c>
      <c r="X95" s="112" t="s">
        <v>1073</v>
      </c>
    </row>
    <row r="96" spans="2:24" x14ac:dyDescent="0.25">
      <c r="M96" s="131" t="s">
        <v>1045</v>
      </c>
      <c r="X96" s="112" t="s">
        <v>1075</v>
      </c>
    </row>
    <row r="97" spans="13:24" x14ac:dyDescent="0.25">
      <c r="M97" s="131" t="s">
        <v>1047</v>
      </c>
      <c r="O97" s="112" t="s">
        <v>1078</v>
      </c>
      <c r="X97" s="112" t="s">
        <v>1074</v>
      </c>
    </row>
    <row r="98" spans="13:24" x14ac:dyDescent="0.25">
      <c r="M98" s="131" t="s">
        <v>1046</v>
      </c>
      <c r="O98" s="112" t="s">
        <v>1079</v>
      </c>
    </row>
    <row r="99" spans="13:24" x14ac:dyDescent="0.25">
      <c r="M99" s="131" t="s">
        <v>1048</v>
      </c>
    </row>
    <row r="100" spans="13:24" x14ac:dyDescent="0.25">
      <c r="M100" s="131" t="s">
        <v>1049</v>
      </c>
    </row>
    <row r="101" spans="13:24" x14ac:dyDescent="0.25">
      <c r="M101" s="131" t="s">
        <v>1050</v>
      </c>
    </row>
  </sheetData>
  <phoneticPr fontId="12" type="noConversion"/>
  <hyperlinks>
    <hyperlink ref="A1" location="Main!E13" display="Main" xr:uid="{795B3B79-5C7F-4162-8352-206B5B00D23E}"/>
  </hyperlinks>
  <pageMargins left="0.7" right="0.7" top="0.75" bottom="0.75" header="0.3" footer="0.3"/>
  <pageSetup orientation="portrait" r:id="rId1"/>
  <ignoredErrors>
    <ignoredError sqref="V8:V9 V11:V13 V16 V18 U8:U9 U11:U16 U18 V56:V60 V82 V75:V80 V70:V73 V62:V68 U56:U68 U82 U75:U76 U70:U73 U78:U80 W8:W9 W18:W19 W11:W16 W56:W60 W62:W82" formulaRange="1"/>
    <ignoredError sqref="V10 V17 U81:V81 U74:V74 U69:V69 AA19 AA4" formula="1"/>
    <ignoredError sqref="U10 U17 W17 W10" formula="1"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20994-231B-4079-8EF0-489302D33895}">
  <dimension ref="A1:TA137"/>
  <sheetViews>
    <sheetView tabSelected="1" zoomScale="85" zoomScaleNormal="85" workbookViewId="0">
      <pane xSplit="2" ySplit="2" topLeftCell="AS64" activePane="bottomRight" state="frozen"/>
      <selection pane="topRight" activeCell="C1" sqref="C1"/>
      <selection pane="bottomLeft" activeCell="A3" sqref="A3"/>
      <selection pane="bottomRight" activeCell="BE80" sqref="BC80:BE80"/>
    </sheetView>
  </sheetViews>
  <sheetFormatPr defaultRowHeight="14.4" x14ac:dyDescent="0.3"/>
  <cols>
    <col min="1" max="1" width="4.88671875" customWidth="1"/>
    <col min="2" max="2" width="20.21875" bestFit="1" customWidth="1"/>
    <col min="56" max="56" width="9.5546875" bestFit="1" customWidth="1"/>
    <col min="57" max="57" width="11.21875" bestFit="1" customWidth="1"/>
    <col min="64" max="64" width="14" bestFit="1" customWidth="1"/>
  </cols>
  <sheetData>
    <row r="1" spans="1:521" x14ac:dyDescent="0.3">
      <c r="A1" s="6" t="s">
        <v>8</v>
      </c>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v>44742</v>
      </c>
      <c r="AE1" s="72"/>
      <c r="AF1" s="72">
        <v>44926</v>
      </c>
      <c r="AG1" s="72"/>
      <c r="AH1" s="72">
        <v>45107</v>
      </c>
      <c r="AI1" s="72"/>
      <c r="AJ1" s="72">
        <v>45291</v>
      </c>
      <c r="AK1" s="72"/>
      <c r="AL1" s="72">
        <v>45473</v>
      </c>
      <c r="AM1" s="72"/>
      <c r="AN1" s="72">
        <v>45657</v>
      </c>
      <c r="AO1" s="72"/>
      <c r="AP1" s="72"/>
      <c r="AQ1" s="72"/>
      <c r="AR1" s="72"/>
      <c r="AS1" s="72"/>
      <c r="AT1" s="72"/>
      <c r="AU1" s="72"/>
    </row>
    <row r="2" spans="1:521" x14ac:dyDescent="0.3">
      <c r="C2" t="s">
        <v>551</v>
      </c>
      <c r="D2" t="s">
        <v>552</v>
      </c>
      <c r="E2" t="s">
        <v>553</v>
      </c>
      <c r="F2" t="s">
        <v>554</v>
      </c>
      <c r="G2" t="s">
        <v>555</v>
      </c>
      <c r="H2" t="s">
        <v>539</v>
      </c>
      <c r="I2" t="s">
        <v>540</v>
      </c>
      <c r="J2" t="s">
        <v>541</v>
      </c>
      <c r="K2" t="s">
        <v>542</v>
      </c>
      <c r="L2" t="s">
        <v>543</v>
      </c>
      <c r="M2" t="s">
        <v>544</v>
      </c>
      <c r="N2" t="s">
        <v>545</v>
      </c>
      <c r="O2" t="s">
        <v>546</v>
      </c>
      <c r="P2" t="s">
        <v>547</v>
      </c>
      <c r="Q2" t="s">
        <v>548</v>
      </c>
      <c r="R2" t="s">
        <v>549</v>
      </c>
      <c r="S2" t="s">
        <v>550</v>
      </c>
      <c r="T2" t="s">
        <v>529</v>
      </c>
      <c r="U2" t="s">
        <v>530</v>
      </c>
      <c r="V2" t="s">
        <v>531</v>
      </c>
      <c r="W2" t="s">
        <v>532</v>
      </c>
      <c r="X2" t="s">
        <v>533</v>
      </c>
      <c r="Y2" t="s">
        <v>534</v>
      </c>
      <c r="Z2" t="s">
        <v>535</v>
      </c>
      <c r="AA2" t="s">
        <v>536</v>
      </c>
      <c r="AB2" t="s">
        <v>537</v>
      </c>
      <c r="AC2" t="s">
        <v>538</v>
      </c>
      <c r="AD2" t="s">
        <v>494</v>
      </c>
      <c r="AE2" t="s">
        <v>72</v>
      </c>
      <c r="AF2" t="s">
        <v>53</v>
      </c>
      <c r="AG2" t="s">
        <v>52</v>
      </c>
      <c r="AH2" t="s">
        <v>33</v>
      </c>
      <c r="AI2" t="s">
        <v>10</v>
      </c>
      <c r="AJ2" t="s">
        <v>11</v>
      </c>
      <c r="AK2" t="s">
        <v>12</v>
      </c>
      <c r="AL2" t="s">
        <v>7</v>
      </c>
      <c r="AM2" t="s">
        <v>13</v>
      </c>
      <c r="AN2" t="s">
        <v>14</v>
      </c>
      <c r="AO2" t="s">
        <v>15</v>
      </c>
      <c r="AP2" t="s">
        <v>16</v>
      </c>
      <c r="AQ2" t="s">
        <v>89</v>
      </c>
      <c r="AR2" t="s">
        <v>917</v>
      </c>
      <c r="AS2" t="s">
        <v>918</v>
      </c>
      <c r="AV2" s="73" t="s">
        <v>526</v>
      </c>
      <c r="AW2" s="73" t="s">
        <v>527</v>
      </c>
      <c r="AX2" s="73" t="s">
        <v>528</v>
      </c>
      <c r="AY2" s="73" t="s">
        <v>403</v>
      </c>
      <c r="AZ2" s="73" t="s">
        <v>404</v>
      </c>
      <c r="BA2" s="73" t="s">
        <v>405</v>
      </c>
      <c r="BB2" s="73" t="s">
        <v>402</v>
      </c>
      <c r="BC2" s="73" t="s">
        <v>74</v>
      </c>
      <c r="BD2" s="73" t="s">
        <v>75</v>
      </c>
      <c r="BE2" s="73" t="s">
        <v>76</v>
      </c>
      <c r="BF2" s="73" t="s">
        <v>77</v>
      </c>
      <c r="BG2" s="73" t="s">
        <v>78</v>
      </c>
      <c r="BH2" s="73" t="s">
        <v>80</v>
      </c>
      <c r="BI2" s="73" t="s">
        <v>81</v>
      </c>
      <c r="BJ2" s="73" t="s">
        <v>82</v>
      </c>
      <c r="BK2" s="73" t="s">
        <v>83</v>
      </c>
      <c r="BL2" s="73" t="s">
        <v>84</v>
      </c>
      <c r="BM2" s="73" t="s">
        <v>85</v>
      </c>
      <c r="BN2" s="73" t="s">
        <v>86</v>
      </c>
      <c r="BO2" s="73" t="s">
        <v>87</v>
      </c>
      <c r="BP2" s="73" t="s">
        <v>88</v>
      </c>
      <c r="BQ2" s="73" t="s">
        <v>98</v>
      </c>
      <c r="BR2" s="73" t="s">
        <v>99</v>
      </c>
      <c r="BS2" s="73" t="s">
        <v>100</v>
      </c>
      <c r="BT2" s="73" t="s">
        <v>101</v>
      </c>
      <c r="BU2" s="73" t="s">
        <v>102</v>
      </c>
      <c r="BV2" s="73" t="s">
        <v>103</v>
      </c>
      <c r="BW2" s="73" t="s">
        <v>104</v>
      </c>
      <c r="BX2" s="73" t="s">
        <v>105</v>
      </c>
      <c r="BY2" s="73" t="s">
        <v>106</v>
      </c>
      <c r="BZ2" s="73" t="s">
        <v>107</v>
      </c>
      <c r="CA2" s="73" t="s">
        <v>108</v>
      </c>
      <c r="CB2" s="73" t="s">
        <v>109</v>
      </c>
      <c r="CC2" s="73" t="s">
        <v>110</v>
      </c>
      <c r="CD2" s="73" t="s">
        <v>111</v>
      </c>
      <c r="CE2" s="73" t="s">
        <v>112</v>
      </c>
      <c r="CF2" s="73" t="s">
        <v>113</v>
      </c>
      <c r="CG2" s="73" t="s">
        <v>114</v>
      </c>
      <c r="CH2" s="73" t="s">
        <v>115</v>
      </c>
      <c r="CI2" s="73" t="s">
        <v>116</v>
      </c>
      <c r="CJ2" s="73" t="s">
        <v>117</v>
      </c>
      <c r="CK2" s="73" t="s">
        <v>118</v>
      </c>
      <c r="CL2" s="73" t="s">
        <v>119</v>
      </c>
      <c r="CM2" s="73" t="s">
        <v>120</v>
      </c>
      <c r="CN2" s="73" t="s">
        <v>121</v>
      </c>
      <c r="CO2" s="73" t="s">
        <v>122</v>
      </c>
      <c r="CP2" s="73" t="s">
        <v>123</v>
      </c>
      <c r="CQ2" s="73" t="s">
        <v>124</v>
      </c>
      <c r="CR2" s="73" t="s">
        <v>125</v>
      </c>
      <c r="CS2" s="73" t="s">
        <v>126</v>
      </c>
      <c r="CT2" s="73" t="s">
        <v>127</v>
      </c>
      <c r="CU2" s="73" t="s">
        <v>128</v>
      </c>
      <c r="CV2" s="73" t="s">
        <v>129</v>
      </c>
      <c r="CW2" s="73" t="s">
        <v>130</v>
      </c>
      <c r="CX2" s="73" t="s">
        <v>131</v>
      </c>
      <c r="CY2" s="73" t="s">
        <v>132</v>
      </c>
      <c r="CZ2" s="73" t="s">
        <v>133</v>
      </c>
      <c r="DA2" s="73" t="s">
        <v>134</v>
      </c>
      <c r="DB2" s="73" t="s">
        <v>135</v>
      </c>
      <c r="DC2" s="73" t="s">
        <v>136</v>
      </c>
      <c r="DD2" s="73" t="s">
        <v>137</v>
      </c>
      <c r="DE2" s="73" t="s">
        <v>138</v>
      </c>
      <c r="DF2" s="73" t="s">
        <v>139</v>
      </c>
      <c r="DG2" s="73" t="s">
        <v>140</v>
      </c>
      <c r="DH2" s="73" t="s">
        <v>141</v>
      </c>
      <c r="DI2" s="73" t="s">
        <v>142</v>
      </c>
      <c r="DJ2" s="73" t="s">
        <v>143</v>
      </c>
      <c r="DK2" s="73" t="s">
        <v>144</v>
      </c>
      <c r="DL2" s="73" t="s">
        <v>145</v>
      </c>
      <c r="DM2" s="73" t="s">
        <v>146</v>
      </c>
      <c r="DN2" s="73" t="s">
        <v>147</v>
      </c>
      <c r="DO2" s="73" t="s">
        <v>148</v>
      </c>
      <c r="DP2" s="73" t="s">
        <v>149</v>
      </c>
      <c r="DQ2" s="73" t="s">
        <v>150</v>
      </c>
      <c r="DR2" s="73" t="s">
        <v>151</v>
      </c>
      <c r="DS2" s="73" t="s">
        <v>152</v>
      </c>
      <c r="DT2" s="73" t="s">
        <v>153</v>
      </c>
      <c r="DU2" s="73" t="s">
        <v>154</v>
      </c>
      <c r="DV2" s="73" t="s">
        <v>155</v>
      </c>
      <c r="DW2" s="73" t="s">
        <v>156</v>
      </c>
      <c r="DX2" s="73" t="s">
        <v>157</v>
      </c>
      <c r="DY2" s="73" t="s">
        <v>158</v>
      </c>
      <c r="DZ2" s="73" t="s">
        <v>159</v>
      </c>
      <c r="EA2" s="73" t="s">
        <v>160</v>
      </c>
      <c r="EB2" s="73" t="s">
        <v>161</v>
      </c>
      <c r="EC2" s="73" t="s">
        <v>162</v>
      </c>
      <c r="ED2" s="73" t="s">
        <v>163</v>
      </c>
      <c r="EE2" s="73" t="s">
        <v>164</v>
      </c>
      <c r="EF2" s="73" t="s">
        <v>165</v>
      </c>
      <c r="EG2" s="73" t="s">
        <v>166</v>
      </c>
      <c r="EH2" s="73" t="s">
        <v>167</v>
      </c>
      <c r="EI2" s="73" t="s">
        <v>168</v>
      </c>
      <c r="EJ2" s="73" t="s">
        <v>169</v>
      </c>
      <c r="EK2" s="73" t="s">
        <v>170</v>
      </c>
      <c r="EL2" s="73" t="s">
        <v>171</v>
      </c>
      <c r="EM2" s="73" t="s">
        <v>172</v>
      </c>
      <c r="EN2" s="73" t="s">
        <v>173</v>
      </c>
      <c r="EO2" s="73" t="s">
        <v>174</v>
      </c>
      <c r="EP2" s="73" t="s">
        <v>175</v>
      </c>
      <c r="EQ2" s="73" t="s">
        <v>176</v>
      </c>
      <c r="ER2" s="73" t="s">
        <v>177</v>
      </c>
      <c r="ES2" s="73" t="s">
        <v>178</v>
      </c>
      <c r="ET2" s="73" t="s">
        <v>179</v>
      </c>
      <c r="EU2" s="73" t="s">
        <v>180</v>
      </c>
      <c r="EV2" s="73" t="s">
        <v>181</v>
      </c>
      <c r="EW2" s="73" t="s">
        <v>182</v>
      </c>
      <c r="EX2" s="73" t="s">
        <v>183</v>
      </c>
      <c r="EY2" s="73" t="s">
        <v>184</v>
      </c>
      <c r="EZ2" s="73" t="s">
        <v>185</v>
      </c>
      <c r="FA2" s="73" t="s">
        <v>186</v>
      </c>
      <c r="FB2" s="73" t="s">
        <v>187</v>
      </c>
      <c r="FC2" s="73" t="s">
        <v>188</v>
      </c>
      <c r="FD2" s="73" t="s">
        <v>189</v>
      </c>
      <c r="FE2" s="73" t="s">
        <v>190</v>
      </c>
      <c r="FF2" s="73" t="s">
        <v>191</v>
      </c>
      <c r="FG2" s="73" t="s">
        <v>192</v>
      </c>
      <c r="FH2" s="73" t="s">
        <v>193</v>
      </c>
      <c r="FI2" s="73" t="s">
        <v>194</v>
      </c>
      <c r="FJ2" s="73" t="s">
        <v>195</v>
      </c>
      <c r="FK2" s="73" t="s">
        <v>196</v>
      </c>
      <c r="FL2" s="73" t="s">
        <v>197</v>
      </c>
      <c r="FM2" s="73" t="s">
        <v>198</v>
      </c>
      <c r="FN2" s="73" t="s">
        <v>199</v>
      </c>
      <c r="FO2" s="73" t="s">
        <v>200</v>
      </c>
      <c r="FP2" s="73" t="s">
        <v>201</v>
      </c>
      <c r="FQ2" s="73" t="s">
        <v>202</v>
      </c>
      <c r="FR2" s="73" t="s">
        <v>203</v>
      </c>
      <c r="FS2" s="73" t="s">
        <v>204</v>
      </c>
      <c r="FT2" s="73" t="s">
        <v>205</v>
      </c>
      <c r="FU2" s="73" t="s">
        <v>206</v>
      </c>
      <c r="FV2" s="73" t="s">
        <v>207</v>
      </c>
      <c r="FW2" s="73" t="s">
        <v>208</v>
      </c>
      <c r="FX2" s="73" t="s">
        <v>209</v>
      </c>
      <c r="FY2" s="73" t="s">
        <v>210</v>
      </c>
      <c r="FZ2" s="73" t="s">
        <v>211</v>
      </c>
      <c r="GA2" s="73" t="s">
        <v>212</v>
      </c>
      <c r="GB2" s="73" t="s">
        <v>213</v>
      </c>
      <c r="GC2" s="73" t="s">
        <v>214</v>
      </c>
      <c r="GD2" s="73" t="s">
        <v>215</v>
      </c>
      <c r="GE2" s="73" t="s">
        <v>216</v>
      </c>
      <c r="GF2" s="73" t="s">
        <v>217</v>
      </c>
      <c r="GG2" s="73" t="s">
        <v>218</v>
      </c>
      <c r="GH2" s="73" t="s">
        <v>219</v>
      </c>
      <c r="GI2" s="73" t="s">
        <v>220</v>
      </c>
      <c r="GJ2" s="73" t="s">
        <v>221</v>
      </c>
      <c r="GK2" s="73" t="s">
        <v>222</v>
      </c>
      <c r="GL2" s="73" t="s">
        <v>223</v>
      </c>
      <c r="GM2" s="73" t="s">
        <v>224</v>
      </c>
      <c r="GN2" s="73" t="s">
        <v>225</v>
      </c>
      <c r="GO2" s="73" t="s">
        <v>226</v>
      </c>
      <c r="GP2" s="73" t="s">
        <v>227</v>
      </c>
      <c r="GQ2" s="73" t="s">
        <v>228</v>
      </c>
      <c r="GR2" s="73" t="s">
        <v>229</v>
      </c>
      <c r="GS2" s="73" t="s">
        <v>230</v>
      </c>
      <c r="GT2" s="73" t="s">
        <v>231</v>
      </c>
      <c r="GU2" s="73" t="s">
        <v>232</v>
      </c>
      <c r="GV2" s="73" t="s">
        <v>233</v>
      </c>
      <c r="GW2" s="73" t="s">
        <v>234</v>
      </c>
      <c r="GX2" s="73" t="s">
        <v>235</v>
      </c>
      <c r="GY2" s="73" t="s">
        <v>236</v>
      </c>
      <c r="GZ2" s="73" t="s">
        <v>237</v>
      </c>
      <c r="HA2" s="73" t="s">
        <v>238</v>
      </c>
      <c r="HB2" s="73" t="s">
        <v>239</v>
      </c>
      <c r="HC2" s="73" t="s">
        <v>240</v>
      </c>
      <c r="HD2" s="73" t="s">
        <v>241</v>
      </c>
      <c r="HE2" s="73" t="s">
        <v>242</v>
      </c>
      <c r="HF2" s="73" t="s">
        <v>243</v>
      </c>
      <c r="HG2" s="73" t="s">
        <v>244</v>
      </c>
      <c r="HH2" s="73" t="s">
        <v>245</v>
      </c>
      <c r="HI2" s="73" t="s">
        <v>246</v>
      </c>
      <c r="HJ2" s="73" t="s">
        <v>247</v>
      </c>
      <c r="HK2" s="73" t="s">
        <v>248</v>
      </c>
      <c r="HL2" s="73" t="s">
        <v>249</v>
      </c>
      <c r="HM2" s="73" t="s">
        <v>250</v>
      </c>
      <c r="HN2" s="73" t="s">
        <v>251</v>
      </c>
      <c r="HO2" s="73" t="s">
        <v>252</v>
      </c>
      <c r="HP2" s="73" t="s">
        <v>253</v>
      </c>
      <c r="HQ2" s="73" t="s">
        <v>254</v>
      </c>
      <c r="HR2" s="73" t="s">
        <v>255</v>
      </c>
      <c r="HS2" s="73" t="s">
        <v>256</v>
      </c>
      <c r="HT2" s="73" t="s">
        <v>257</v>
      </c>
      <c r="HU2" s="73" t="s">
        <v>258</v>
      </c>
      <c r="HV2" s="73" t="s">
        <v>259</v>
      </c>
      <c r="HW2" s="73" t="s">
        <v>260</v>
      </c>
      <c r="HX2" s="73" t="s">
        <v>261</v>
      </c>
      <c r="HY2" s="73" t="s">
        <v>262</v>
      </c>
      <c r="HZ2" s="73" t="s">
        <v>263</v>
      </c>
      <c r="IA2" s="73" t="s">
        <v>264</v>
      </c>
      <c r="IB2" s="73" t="s">
        <v>265</v>
      </c>
      <c r="IC2" s="73" t="s">
        <v>266</v>
      </c>
      <c r="ID2" s="73" t="s">
        <v>267</v>
      </c>
      <c r="IE2" s="73" t="s">
        <v>268</v>
      </c>
      <c r="IF2" s="73" t="s">
        <v>269</v>
      </c>
      <c r="IG2" s="73" t="s">
        <v>270</v>
      </c>
      <c r="IH2" s="73" t="s">
        <v>271</v>
      </c>
      <c r="II2" s="73" t="s">
        <v>272</v>
      </c>
      <c r="IJ2" s="73" t="s">
        <v>273</v>
      </c>
      <c r="IK2" s="73" t="s">
        <v>274</v>
      </c>
      <c r="IL2" s="73" t="s">
        <v>275</v>
      </c>
      <c r="IM2" s="73" t="s">
        <v>276</v>
      </c>
      <c r="IN2" s="73" t="s">
        <v>277</v>
      </c>
      <c r="IO2" s="73" t="s">
        <v>278</v>
      </c>
      <c r="IP2" s="73" t="s">
        <v>279</v>
      </c>
      <c r="IQ2" s="73" t="s">
        <v>280</v>
      </c>
      <c r="IR2" s="73" t="s">
        <v>281</v>
      </c>
      <c r="IS2" s="73" t="s">
        <v>282</v>
      </c>
      <c r="IT2" s="73" t="s">
        <v>283</v>
      </c>
      <c r="IU2" s="73" t="s">
        <v>284</v>
      </c>
      <c r="IV2" s="73" t="s">
        <v>285</v>
      </c>
      <c r="IW2" s="73" t="s">
        <v>286</v>
      </c>
      <c r="IX2" s="73" t="s">
        <v>287</v>
      </c>
      <c r="IY2" s="73" t="s">
        <v>288</v>
      </c>
      <c r="IZ2" s="73" t="s">
        <v>289</v>
      </c>
      <c r="JA2" s="73" t="s">
        <v>290</v>
      </c>
      <c r="JB2" s="73" t="s">
        <v>291</v>
      </c>
      <c r="JC2" s="73" t="s">
        <v>292</v>
      </c>
      <c r="JD2" s="73" t="s">
        <v>293</v>
      </c>
      <c r="JE2" s="73" t="s">
        <v>294</v>
      </c>
      <c r="JF2" s="73" t="s">
        <v>295</v>
      </c>
      <c r="JG2" s="73" t="s">
        <v>296</v>
      </c>
      <c r="JH2" s="73" t="s">
        <v>297</v>
      </c>
      <c r="JI2" s="73" t="s">
        <v>298</v>
      </c>
      <c r="JJ2" s="73" t="s">
        <v>299</v>
      </c>
      <c r="JK2" s="73" t="s">
        <v>300</v>
      </c>
      <c r="JL2" s="73" t="s">
        <v>301</v>
      </c>
      <c r="JM2" s="73" t="s">
        <v>302</v>
      </c>
      <c r="JN2" s="73" t="s">
        <v>303</v>
      </c>
      <c r="JO2" s="73" t="s">
        <v>304</v>
      </c>
      <c r="JP2" s="73" t="s">
        <v>305</v>
      </c>
      <c r="JQ2" s="73" t="s">
        <v>306</v>
      </c>
      <c r="JR2" s="73" t="s">
        <v>307</v>
      </c>
      <c r="JS2" s="73" t="s">
        <v>308</v>
      </c>
      <c r="JT2" s="73" t="s">
        <v>309</v>
      </c>
      <c r="JU2" s="73" t="s">
        <v>310</v>
      </c>
      <c r="JV2" s="73" t="s">
        <v>311</v>
      </c>
      <c r="JW2" s="73" t="s">
        <v>312</v>
      </c>
      <c r="JX2" s="73" t="s">
        <v>313</v>
      </c>
      <c r="JY2" s="73" t="s">
        <v>314</v>
      </c>
      <c r="JZ2" s="73" t="s">
        <v>315</v>
      </c>
      <c r="KA2" s="73" t="s">
        <v>316</v>
      </c>
      <c r="KB2" s="73" t="s">
        <v>317</v>
      </c>
      <c r="KC2" s="73" t="s">
        <v>318</v>
      </c>
      <c r="KD2" s="73" t="s">
        <v>319</v>
      </c>
      <c r="KE2" s="73" t="s">
        <v>320</v>
      </c>
      <c r="KF2" s="73" t="s">
        <v>321</v>
      </c>
      <c r="KG2" s="73" t="s">
        <v>322</v>
      </c>
      <c r="KH2" s="73" t="s">
        <v>323</v>
      </c>
      <c r="KI2" s="73" t="s">
        <v>324</v>
      </c>
      <c r="KJ2" s="73" t="s">
        <v>325</v>
      </c>
      <c r="KK2" s="73" t="s">
        <v>326</v>
      </c>
      <c r="KL2" s="73" t="s">
        <v>327</v>
      </c>
      <c r="KM2" s="73" t="s">
        <v>328</v>
      </c>
      <c r="KN2" s="73" t="s">
        <v>329</v>
      </c>
      <c r="KO2" s="73" t="s">
        <v>330</v>
      </c>
      <c r="KP2" s="73" t="s">
        <v>331</v>
      </c>
      <c r="KQ2" s="73" t="s">
        <v>332</v>
      </c>
      <c r="KR2" s="73" t="s">
        <v>333</v>
      </c>
      <c r="KS2" s="73" t="s">
        <v>334</v>
      </c>
      <c r="KT2" s="73" t="s">
        <v>335</v>
      </c>
      <c r="KU2" s="73" t="s">
        <v>336</v>
      </c>
      <c r="KV2" s="73" t="s">
        <v>337</v>
      </c>
      <c r="KW2" s="73" t="s">
        <v>338</v>
      </c>
      <c r="KX2" s="73" t="s">
        <v>339</v>
      </c>
      <c r="KY2" s="73" t="s">
        <v>340</v>
      </c>
      <c r="KZ2" s="73" t="s">
        <v>341</v>
      </c>
      <c r="LA2" s="73" t="s">
        <v>342</v>
      </c>
      <c r="LB2" s="73" t="s">
        <v>343</v>
      </c>
      <c r="LC2" s="73" t="s">
        <v>344</v>
      </c>
      <c r="LD2" s="73" t="s">
        <v>345</v>
      </c>
      <c r="LE2" s="73" t="s">
        <v>346</v>
      </c>
      <c r="LF2" s="73" t="s">
        <v>571</v>
      </c>
      <c r="LG2" s="73" t="s">
        <v>572</v>
      </c>
      <c r="LH2" s="73" t="s">
        <v>573</v>
      </c>
      <c r="LI2" s="73" t="s">
        <v>574</v>
      </c>
      <c r="LJ2" s="73" t="s">
        <v>575</v>
      </c>
      <c r="LK2" s="73" t="s">
        <v>576</v>
      </c>
      <c r="LL2" s="73" t="s">
        <v>577</v>
      </c>
      <c r="LM2" s="73" t="s">
        <v>578</v>
      </c>
      <c r="LN2" s="73" t="s">
        <v>579</v>
      </c>
      <c r="LO2" s="73" t="s">
        <v>580</v>
      </c>
      <c r="LP2" s="73" t="s">
        <v>581</v>
      </c>
      <c r="LQ2" s="73" t="s">
        <v>582</v>
      </c>
      <c r="LR2" s="73" t="s">
        <v>583</v>
      </c>
      <c r="LS2" s="73" t="s">
        <v>584</v>
      </c>
      <c r="LT2" s="73" t="s">
        <v>585</v>
      </c>
      <c r="LU2" s="73" t="s">
        <v>586</v>
      </c>
      <c r="LV2" s="73" t="s">
        <v>587</v>
      </c>
      <c r="LW2" s="73" t="s">
        <v>588</v>
      </c>
      <c r="LX2" s="73" t="s">
        <v>589</v>
      </c>
      <c r="LY2" s="73" t="s">
        <v>590</v>
      </c>
      <c r="LZ2" s="73" t="s">
        <v>591</v>
      </c>
      <c r="MA2" s="73" t="s">
        <v>592</v>
      </c>
      <c r="MB2" s="73" t="s">
        <v>593</v>
      </c>
      <c r="MC2" s="73" t="s">
        <v>594</v>
      </c>
      <c r="MD2" s="73" t="s">
        <v>595</v>
      </c>
      <c r="ME2" s="73" t="s">
        <v>596</v>
      </c>
      <c r="MF2" s="73" t="s">
        <v>597</v>
      </c>
      <c r="MG2" s="73" t="s">
        <v>598</v>
      </c>
      <c r="MH2" s="73" t="s">
        <v>599</v>
      </c>
      <c r="MI2" s="73" t="s">
        <v>600</v>
      </c>
      <c r="MJ2" s="73" t="s">
        <v>601</v>
      </c>
      <c r="MK2" s="73" t="s">
        <v>602</v>
      </c>
      <c r="ML2" s="73" t="s">
        <v>603</v>
      </c>
      <c r="MM2" s="73" t="s">
        <v>604</v>
      </c>
      <c r="MN2" s="73" t="s">
        <v>605</v>
      </c>
      <c r="MO2" s="73" t="s">
        <v>606</v>
      </c>
      <c r="MP2" s="73" t="s">
        <v>607</v>
      </c>
      <c r="MQ2" s="73" t="s">
        <v>608</v>
      </c>
      <c r="MR2" s="73" t="s">
        <v>609</v>
      </c>
      <c r="MS2" s="73" t="s">
        <v>610</v>
      </c>
      <c r="MT2" s="73" t="s">
        <v>611</v>
      </c>
      <c r="MU2" s="73" t="s">
        <v>612</v>
      </c>
      <c r="MV2" s="73" t="s">
        <v>613</v>
      </c>
      <c r="MW2" s="73" t="s">
        <v>614</v>
      </c>
      <c r="MX2" s="73" t="s">
        <v>615</v>
      </c>
      <c r="MY2" s="73" t="s">
        <v>616</v>
      </c>
      <c r="MZ2" s="73" t="s">
        <v>617</v>
      </c>
      <c r="NA2" s="73" t="s">
        <v>618</v>
      </c>
      <c r="NB2" s="73" t="s">
        <v>619</v>
      </c>
      <c r="NC2" s="73" t="s">
        <v>620</v>
      </c>
      <c r="ND2" s="73" t="s">
        <v>621</v>
      </c>
      <c r="NE2" s="73" t="s">
        <v>622</v>
      </c>
      <c r="NF2" s="73" t="s">
        <v>623</v>
      </c>
      <c r="NG2" s="73" t="s">
        <v>624</v>
      </c>
      <c r="NH2" s="73" t="s">
        <v>625</v>
      </c>
      <c r="NI2" s="73" t="s">
        <v>626</v>
      </c>
      <c r="NJ2" s="73" t="s">
        <v>627</v>
      </c>
      <c r="NK2" s="73" t="s">
        <v>628</v>
      </c>
      <c r="NL2" s="73" t="s">
        <v>629</v>
      </c>
      <c r="NM2" s="73" t="s">
        <v>630</v>
      </c>
      <c r="NN2" s="73" t="s">
        <v>631</v>
      </c>
      <c r="NO2" s="73" t="s">
        <v>632</v>
      </c>
      <c r="NP2" s="73" t="s">
        <v>633</v>
      </c>
      <c r="NQ2" s="73" t="s">
        <v>634</v>
      </c>
      <c r="NR2" s="73" t="s">
        <v>635</v>
      </c>
      <c r="NS2" s="73" t="s">
        <v>636</v>
      </c>
      <c r="NT2" s="73" t="s">
        <v>637</v>
      </c>
      <c r="NU2" s="73" t="s">
        <v>638</v>
      </c>
      <c r="NV2" s="73" t="s">
        <v>639</v>
      </c>
      <c r="NW2" s="73" t="s">
        <v>640</v>
      </c>
      <c r="NX2" s="73" t="s">
        <v>641</v>
      </c>
      <c r="NY2" s="73" t="s">
        <v>642</v>
      </c>
      <c r="NZ2" s="73" t="s">
        <v>643</v>
      </c>
      <c r="OA2" s="73" t="s">
        <v>644</v>
      </c>
      <c r="OB2" s="73" t="s">
        <v>645</v>
      </c>
      <c r="OC2" s="73" t="s">
        <v>646</v>
      </c>
      <c r="OD2" s="73" t="s">
        <v>647</v>
      </c>
      <c r="OE2" s="73" t="s">
        <v>648</v>
      </c>
      <c r="OF2" s="73" t="s">
        <v>649</v>
      </c>
      <c r="OG2" s="73" t="s">
        <v>650</v>
      </c>
      <c r="OH2" s="73" t="s">
        <v>651</v>
      </c>
      <c r="OI2" s="73" t="s">
        <v>652</v>
      </c>
      <c r="OJ2" s="73" t="s">
        <v>653</v>
      </c>
      <c r="OK2" s="73" t="s">
        <v>654</v>
      </c>
      <c r="OL2" s="73" t="s">
        <v>655</v>
      </c>
      <c r="OM2" s="73" t="s">
        <v>656</v>
      </c>
      <c r="ON2" s="73" t="s">
        <v>657</v>
      </c>
      <c r="OO2" s="73" t="s">
        <v>658</v>
      </c>
      <c r="OP2" s="73" t="s">
        <v>659</v>
      </c>
      <c r="OQ2" s="73" t="s">
        <v>660</v>
      </c>
      <c r="OR2" s="73" t="s">
        <v>661</v>
      </c>
      <c r="OS2" s="73" t="s">
        <v>662</v>
      </c>
      <c r="OT2" s="73" t="s">
        <v>663</v>
      </c>
      <c r="OU2" s="73" t="s">
        <v>664</v>
      </c>
      <c r="OV2" s="73" t="s">
        <v>665</v>
      </c>
      <c r="OW2" s="73" t="s">
        <v>666</v>
      </c>
      <c r="OX2" s="73" t="s">
        <v>667</v>
      </c>
      <c r="OY2" s="73" t="s">
        <v>668</v>
      </c>
      <c r="OZ2" s="73" t="s">
        <v>669</v>
      </c>
      <c r="PA2" s="73" t="s">
        <v>670</v>
      </c>
      <c r="PB2" s="73" t="s">
        <v>671</v>
      </c>
      <c r="PC2" s="73" t="s">
        <v>672</v>
      </c>
      <c r="PD2" s="73" t="s">
        <v>673</v>
      </c>
      <c r="PE2" s="73" t="s">
        <v>674</v>
      </c>
      <c r="PF2" s="73" t="s">
        <v>675</v>
      </c>
      <c r="PG2" s="73" t="s">
        <v>676</v>
      </c>
      <c r="PH2" s="73" t="s">
        <v>677</v>
      </c>
      <c r="PI2" s="73" t="s">
        <v>678</v>
      </c>
      <c r="PJ2" s="73" t="s">
        <v>679</v>
      </c>
      <c r="PK2" s="73" t="s">
        <v>680</v>
      </c>
      <c r="PL2" s="73" t="s">
        <v>681</v>
      </c>
      <c r="PM2" s="73" t="s">
        <v>682</v>
      </c>
      <c r="PN2" s="73" t="s">
        <v>683</v>
      </c>
      <c r="PO2" s="73" t="s">
        <v>684</v>
      </c>
      <c r="PP2" s="73" t="s">
        <v>685</v>
      </c>
      <c r="PQ2" s="73" t="s">
        <v>686</v>
      </c>
      <c r="PR2" s="73" t="s">
        <v>687</v>
      </c>
      <c r="PS2" s="73" t="s">
        <v>688</v>
      </c>
      <c r="PT2" s="73" t="s">
        <v>689</v>
      </c>
      <c r="PU2" s="73" t="s">
        <v>690</v>
      </c>
      <c r="PV2" s="73" t="s">
        <v>691</v>
      </c>
      <c r="PW2" s="73" t="s">
        <v>692</v>
      </c>
      <c r="PX2" s="73" t="s">
        <v>693</v>
      </c>
      <c r="PY2" s="73" t="s">
        <v>694</v>
      </c>
      <c r="PZ2" s="73" t="s">
        <v>695</v>
      </c>
      <c r="QA2" s="73" t="s">
        <v>696</v>
      </c>
      <c r="QB2" s="73" t="s">
        <v>697</v>
      </c>
      <c r="QC2" s="73" t="s">
        <v>698</v>
      </c>
      <c r="QD2" s="73" t="s">
        <v>699</v>
      </c>
      <c r="QE2" s="73" t="s">
        <v>700</v>
      </c>
      <c r="QF2" s="73" t="s">
        <v>701</v>
      </c>
      <c r="QG2" s="73" t="s">
        <v>702</v>
      </c>
      <c r="QH2" s="73" t="s">
        <v>703</v>
      </c>
      <c r="QI2" s="73" t="s">
        <v>704</v>
      </c>
      <c r="QJ2" s="73" t="s">
        <v>705</v>
      </c>
      <c r="QK2" s="73" t="s">
        <v>706</v>
      </c>
      <c r="QL2" s="73" t="s">
        <v>707</v>
      </c>
      <c r="QM2" s="73" t="s">
        <v>708</v>
      </c>
      <c r="QN2" s="73" t="s">
        <v>709</v>
      </c>
      <c r="QO2" s="73" t="s">
        <v>710</v>
      </c>
      <c r="QP2" s="73" t="s">
        <v>711</v>
      </c>
      <c r="QQ2" s="73" t="s">
        <v>712</v>
      </c>
      <c r="QR2" s="73" t="s">
        <v>713</v>
      </c>
      <c r="QS2" s="73" t="s">
        <v>714</v>
      </c>
      <c r="QT2" s="73" t="s">
        <v>715</v>
      </c>
      <c r="QU2" s="73" t="s">
        <v>716</v>
      </c>
      <c r="QV2" s="73" t="s">
        <v>717</v>
      </c>
      <c r="QW2" s="73" t="s">
        <v>718</v>
      </c>
      <c r="QX2" s="73" t="s">
        <v>719</v>
      </c>
      <c r="QY2" s="73" t="s">
        <v>720</v>
      </c>
      <c r="QZ2" s="73" t="s">
        <v>721</v>
      </c>
      <c r="RA2" s="73" t="s">
        <v>722</v>
      </c>
      <c r="RB2" s="73" t="s">
        <v>723</v>
      </c>
      <c r="RC2" s="73" t="s">
        <v>724</v>
      </c>
      <c r="RD2" s="73" t="s">
        <v>725</v>
      </c>
      <c r="RE2" s="73" t="s">
        <v>726</v>
      </c>
      <c r="RF2" s="73" t="s">
        <v>727</v>
      </c>
      <c r="RG2" s="73" t="s">
        <v>728</v>
      </c>
      <c r="RH2" s="73" t="s">
        <v>729</v>
      </c>
      <c r="RI2" s="73" t="s">
        <v>730</v>
      </c>
      <c r="RJ2" s="73" t="s">
        <v>731</v>
      </c>
      <c r="RK2" s="73" t="s">
        <v>732</v>
      </c>
      <c r="RL2" s="73" t="s">
        <v>733</v>
      </c>
      <c r="RM2" s="73" t="s">
        <v>734</v>
      </c>
      <c r="RN2" s="73" t="s">
        <v>735</v>
      </c>
      <c r="RO2" s="73" t="s">
        <v>736</v>
      </c>
      <c r="RP2" s="73" t="s">
        <v>737</v>
      </c>
      <c r="RQ2" s="73" t="s">
        <v>738</v>
      </c>
      <c r="RR2" s="73" t="s">
        <v>739</v>
      </c>
      <c r="RS2" s="73" t="s">
        <v>740</v>
      </c>
      <c r="RT2" s="73" t="s">
        <v>741</v>
      </c>
      <c r="RU2" s="73" t="s">
        <v>742</v>
      </c>
      <c r="RV2" s="73" t="s">
        <v>743</v>
      </c>
      <c r="RW2" s="73" t="s">
        <v>744</v>
      </c>
      <c r="RX2" s="73" t="s">
        <v>745</v>
      </c>
      <c r="RY2" s="73" t="s">
        <v>746</v>
      </c>
      <c r="RZ2" s="73" t="s">
        <v>747</v>
      </c>
      <c r="SA2" s="73" t="s">
        <v>748</v>
      </c>
      <c r="SB2" s="73" t="s">
        <v>749</v>
      </c>
      <c r="SC2" s="73" t="s">
        <v>750</v>
      </c>
      <c r="SD2" s="73" t="s">
        <v>751</v>
      </c>
      <c r="SE2" s="73" t="s">
        <v>752</v>
      </c>
      <c r="SF2" s="73" t="s">
        <v>753</v>
      </c>
      <c r="SG2" s="73" t="s">
        <v>754</v>
      </c>
      <c r="SH2" s="73" t="s">
        <v>755</v>
      </c>
      <c r="SI2" s="73" t="s">
        <v>756</v>
      </c>
      <c r="SJ2" s="73" t="s">
        <v>757</v>
      </c>
      <c r="SK2" s="73" t="s">
        <v>758</v>
      </c>
      <c r="SL2" s="73" t="s">
        <v>759</v>
      </c>
      <c r="SM2" s="73" t="s">
        <v>760</v>
      </c>
      <c r="SN2" s="73" t="s">
        <v>761</v>
      </c>
      <c r="SO2" s="73" t="s">
        <v>762</v>
      </c>
      <c r="SP2" s="73" t="s">
        <v>763</v>
      </c>
      <c r="SQ2" s="73" t="s">
        <v>764</v>
      </c>
      <c r="SR2" s="73" t="s">
        <v>765</v>
      </c>
      <c r="SS2" s="73" t="s">
        <v>766</v>
      </c>
      <c r="ST2" s="73" t="s">
        <v>767</v>
      </c>
      <c r="SU2" s="73" t="s">
        <v>768</v>
      </c>
      <c r="SV2" s="73" t="s">
        <v>769</v>
      </c>
      <c r="SW2" s="73" t="s">
        <v>770</v>
      </c>
      <c r="SX2" s="73" t="s">
        <v>771</v>
      </c>
      <c r="SY2" s="73" t="s">
        <v>772</v>
      </c>
      <c r="SZ2" s="73" t="s">
        <v>773</v>
      </c>
      <c r="TA2" s="73" t="s">
        <v>774</v>
      </c>
    </row>
    <row r="3" spans="1:521" x14ac:dyDescent="0.3">
      <c r="B3" t="s">
        <v>560</v>
      </c>
      <c r="AE3" s="2">
        <v>14948</v>
      </c>
      <c r="AF3" s="2">
        <v>16012</v>
      </c>
      <c r="AG3" s="2">
        <v>16187</v>
      </c>
      <c r="AH3" s="2">
        <v>17860</v>
      </c>
      <c r="AI3" s="2">
        <v>18062</v>
      </c>
      <c r="AJ3" s="2">
        <v>19597</v>
      </c>
      <c r="AK3" s="2">
        <v>20266</v>
      </c>
      <c r="AL3" s="2">
        <v>21903</v>
      </c>
      <c r="AM3" s="2">
        <v>22155</v>
      </c>
      <c r="AN3" s="2">
        <v>23641</v>
      </c>
      <c r="AO3" s="2">
        <v>24761</v>
      </c>
      <c r="AP3" s="2">
        <v>27878</v>
      </c>
      <c r="AQ3" s="2">
        <v>28872</v>
      </c>
      <c r="AR3" s="2">
        <v>30865</v>
      </c>
      <c r="AS3" s="7"/>
      <c r="AT3" s="7"/>
      <c r="AU3" s="7"/>
      <c r="AV3" s="73"/>
      <c r="AW3" s="73"/>
      <c r="AX3" s="73"/>
      <c r="AY3" s="73"/>
      <c r="AZ3" s="73"/>
      <c r="BA3" s="73"/>
      <c r="BB3" s="73"/>
      <c r="BC3" s="73">
        <v>65007</v>
      </c>
      <c r="BD3" s="73">
        <v>79828</v>
      </c>
      <c r="BE3" s="73">
        <f>SUM(AM3:AP3)</f>
        <v>98435</v>
      </c>
      <c r="BF3" s="73"/>
      <c r="BG3" s="73"/>
      <c r="BH3" s="73"/>
      <c r="BI3" s="73"/>
      <c r="BJ3" s="73"/>
      <c r="BK3" s="73"/>
    </row>
    <row r="4" spans="1:521" x14ac:dyDescent="0.3">
      <c r="B4" t="s">
        <v>565</v>
      </c>
      <c r="AE4" s="2">
        <v>15502</v>
      </c>
      <c r="AF4" s="2">
        <v>15774</v>
      </c>
      <c r="AG4" s="2">
        <v>17195</v>
      </c>
      <c r="AH4" s="2">
        <v>18478</v>
      </c>
      <c r="AI4" s="2">
        <v>18044</v>
      </c>
      <c r="AJ4" s="2">
        <v>18321</v>
      </c>
      <c r="AK4" s="2">
        <v>19712</v>
      </c>
      <c r="AL4" s="2">
        <v>20892</v>
      </c>
      <c r="AM4" s="2">
        <v>20449</v>
      </c>
      <c r="AN4" s="2">
        <v>21117</v>
      </c>
      <c r="AO4" s="2">
        <v>21883</v>
      </c>
      <c r="AP4" s="2">
        <v>24318</v>
      </c>
      <c r="AQ4" s="2">
        <v>23966</v>
      </c>
      <c r="AR4" s="2">
        <v>24524</v>
      </c>
      <c r="AS4" s="7"/>
      <c r="AT4" s="7"/>
      <c r="AU4" s="7"/>
      <c r="AV4" s="73"/>
      <c r="AW4" s="73"/>
      <c r="AX4" s="73"/>
      <c r="AY4" s="73"/>
      <c r="AZ4" s="73"/>
      <c r="BA4" s="73"/>
      <c r="BB4" s="73"/>
      <c r="BC4" s="73">
        <v>66949</v>
      </c>
      <c r="BD4" s="73">
        <v>76969</v>
      </c>
      <c r="BE4" s="73">
        <f t="shared" ref="BE4:BE12" si="0">SUM(AM4:AP4)</f>
        <v>87767</v>
      </c>
      <c r="BF4" s="73"/>
      <c r="BG4" s="73"/>
      <c r="BH4" s="73"/>
      <c r="BI4" s="73"/>
      <c r="BJ4" s="73"/>
      <c r="BK4" s="73"/>
    </row>
    <row r="5" spans="1:521" x14ac:dyDescent="0.3">
      <c r="B5" t="s">
        <v>556</v>
      </c>
      <c r="AE5" s="2">
        <v>3610</v>
      </c>
      <c r="AF5" s="2">
        <v>4758</v>
      </c>
      <c r="AG5" s="2">
        <v>3607</v>
      </c>
      <c r="AH5" s="2">
        <v>3491</v>
      </c>
      <c r="AI5" s="2">
        <v>3919</v>
      </c>
      <c r="AJ5" s="2">
        <v>7111</v>
      </c>
      <c r="AK5" s="2">
        <v>5451</v>
      </c>
      <c r="AL5" s="2">
        <v>5022</v>
      </c>
      <c r="AM5" s="2">
        <v>5621</v>
      </c>
      <c r="AN5" s="2">
        <v>6581</v>
      </c>
      <c r="AO5" s="2">
        <v>5721</v>
      </c>
      <c r="AP5" s="2">
        <v>5532</v>
      </c>
      <c r="AQ5" s="2">
        <v>5508</v>
      </c>
      <c r="AR5" s="2">
        <v>5958</v>
      </c>
      <c r="AS5" s="7"/>
      <c r="AT5" s="7"/>
      <c r="AU5" s="7"/>
      <c r="AV5" s="73"/>
      <c r="AW5" s="73"/>
      <c r="AX5" s="73"/>
      <c r="AY5" s="73"/>
      <c r="AZ5" s="73"/>
      <c r="BA5" s="73"/>
      <c r="BB5" s="73">
        <v>16230</v>
      </c>
      <c r="BC5" s="73">
        <v>15466</v>
      </c>
      <c r="BD5" s="73">
        <v>21503</v>
      </c>
      <c r="BE5" s="73">
        <f t="shared" si="0"/>
        <v>23455</v>
      </c>
      <c r="BF5" s="73"/>
      <c r="BG5" s="73"/>
      <c r="BH5" s="73"/>
      <c r="BI5" s="73"/>
      <c r="BJ5" s="73"/>
      <c r="BK5" s="73"/>
    </row>
    <row r="6" spans="1:521" x14ac:dyDescent="0.3">
      <c r="B6" t="s">
        <v>557</v>
      </c>
      <c r="AE6" s="2">
        <v>3628</v>
      </c>
      <c r="AF6" s="2">
        <v>3833</v>
      </c>
      <c r="AG6" s="2">
        <v>3659</v>
      </c>
      <c r="AH6" s="2">
        <v>3869</v>
      </c>
      <c r="AI6" s="2">
        <v>3913</v>
      </c>
      <c r="AJ6" s="2">
        <v>4195</v>
      </c>
      <c r="AK6" s="2">
        <v>4013</v>
      </c>
      <c r="AL6" s="2">
        <v>4251</v>
      </c>
      <c r="AM6" s="2">
        <v>4292</v>
      </c>
      <c r="AN6" s="2">
        <v>4587</v>
      </c>
      <c r="AO6" s="2">
        <v>4311</v>
      </c>
      <c r="AP6" s="2">
        <v>4622</v>
      </c>
      <c r="AQ6" s="2">
        <v>4714</v>
      </c>
      <c r="AR6" s="2">
        <v>5082</v>
      </c>
      <c r="AS6" s="7"/>
      <c r="AT6" s="7"/>
      <c r="AU6" s="7"/>
      <c r="AV6" s="73"/>
      <c r="AW6" s="73"/>
      <c r="AX6" s="73"/>
      <c r="AY6" s="73"/>
      <c r="AZ6" s="73"/>
      <c r="BA6" s="73"/>
      <c r="BB6" s="73">
        <v>13631</v>
      </c>
      <c r="BC6" s="73">
        <v>14989</v>
      </c>
      <c r="BD6" s="73">
        <v>16372</v>
      </c>
      <c r="BE6" s="73">
        <f t="shared" si="0"/>
        <v>17812</v>
      </c>
      <c r="BF6" s="73"/>
      <c r="BG6" s="73"/>
      <c r="BH6" s="73"/>
      <c r="BI6" s="73"/>
      <c r="BJ6" s="73"/>
      <c r="BK6" s="73"/>
    </row>
    <row r="7" spans="1:521" x14ac:dyDescent="0.3">
      <c r="B7" t="s">
        <v>558</v>
      </c>
      <c r="AE7" s="2">
        <v>4593</v>
      </c>
      <c r="AF7" s="2">
        <v>4219</v>
      </c>
      <c r="AG7" s="2">
        <v>4040</v>
      </c>
      <c r="AH7" s="2">
        <v>4295</v>
      </c>
      <c r="AI7" s="2">
        <v>4340</v>
      </c>
      <c r="AJ7" s="2">
        <v>4363</v>
      </c>
      <c r="AK7" s="2">
        <v>4098</v>
      </c>
      <c r="AL7" s="2">
        <v>4225</v>
      </c>
      <c r="AM7" s="2">
        <v>4329</v>
      </c>
      <c r="AN7" s="2">
        <v>4512</v>
      </c>
      <c r="AO7" s="2">
        <v>4144</v>
      </c>
      <c r="AP7" s="2">
        <v>4329</v>
      </c>
      <c r="AQ7" s="2">
        <v>4551</v>
      </c>
      <c r="AR7" s="2">
        <v>4479</v>
      </c>
      <c r="AS7" s="7"/>
      <c r="AT7" s="7"/>
      <c r="AU7" s="7"/>
      <c r="AV7" s="73"/>
      <c r="AW7" s="73"/>
      <c r="AX7" s="73"/>
      <c r="AY7" s="73"/>
      <c r="AZ7" s="73"/>
      <c r="BA7" s="73"/>
      <c r="BB7" s="73">
        <f>24732+7306</f>
        <v>32038</v>
      </c>
      <c r="BC7" s="73">
        <v>17147</v>
      </c>
      <c r="BD7" s="73">
        <v>17026</v>
      </c>
      <c r="BE7" s="73">
        <f t="shared" si="0"/>
        <v>17314</v>
      </c>
      <c r="BF7" s="73"/>
      <c r="BG7" s="73"/>
      <c r="BH7" s="73"/>
      <c r="BI7" s="73"/>
      <c r="BJ7" s="73"/>
      <c r="BK7" s="73"/>
    </row>
    <row r="8" spans="1:521" x14ac:dyDescent="0.3">
      <c r="B8" t="s">
        <v>561</v>
      </c>
      <c r="AE8" s="2">
        <v>2913</v>
      </c>
      <c r="AF8" s="2">
        <v>3209</v>
      </c>
      <c r="AG8" s="2">
        <v>3034</v>
      </c>
      <c r="AH8" s="2">
        <v>2969</v>
      </c>
      <c r="AI8" s="2">
        <v>3018</v>
      </c>
      <c r="AJ8" s="2">
        <v>3168</v>
      </c>
      <c r="AK8" s="2">
        <v>3055</v>
      </c>
      <c r="AL8" s="2">
        <v>3065</v>
      </c>
      <c r="AM8" s="2">
        <v>3225</v>
      </c>
      <c r="AN8" s="2">
        <v>3558</v>
      </c>
      <c r="AO8" s="2">
        <v>3504</v>
      </c>
      <c r="AP8" s="2">
        <v>3591</v>
      </c>
      <c r="AQ8" s="2">
        <v>3697</v>
      </c>
      <c r="AR8" s="2">
        <v>3812</v>
      </c>
      <c r="AS8" s="7"/>
      <c r="AT8" s="7"/>
      <c r="AU8" s="7"/>
      <c r="AV8" s="73"/>
      <c r="AW8" s="73"/>
      <c r="AX8" s="73"/>
      <c r="AY8" s="73"/>
      <c r="AZ8" s="73"/>
      <c r="BA8" s="73"/>
      <c r="BB8" s="73">
        <v>11526</v>
      </c>
      <c r="BC8" s="73">
        <v>12125</v>
      </c>
      <c r="BD8" s="73">
        <v>12306</v>
      </c>
      <c r="BE8" s="73">
        <f t="shared" si="0"/>
        <v>13878</v>
      </c>
      <c r="BF8" s="73"/>
      <c r="BG8" s="73"/>
      <c r="BH8" s="73"/>
      <c r="BI8" s="73"/>
      <c r="BJ8" s="73"/>
      <c r="BK8" s="73"/>
    </row>
    <row r="9" spans="1:521" x14ac:dyDescent="0.3">
      <c r="B9" t="s">
        <v>562</v>
      </c>
      <c r="AE9" s="2">
        <v>1929</v>
      </c>
      <c r="AF9" s="2">
        <v>1907</v>
      </c>
      <c r="AG9" s="2">
        <v>2047</v>
      </c>
      <c r="AH9" s="2">
        <v>2017</v>
      </c>
      <c r="AI9" s="2">
        <v>1944</v>
      </c>
      <c r="AJ9" s="2">
        <v>1917</v>
      </c>
      <c r="AK9" s="2">
        <v>1861</v>
      </c>
      <c r="AL9" s="2">
        <v>1872</v>
      </c>
      <c r="AM9" s="2">
        <v>1928</v>
      </c>
      <c r="AN9" s="2">
        <v>1892</v>
      </c>
      <c r="AO9" s="2">
        <v>1929</v>
      </c>
      <c r="AP9" s="2">
        <v>2136</v>
      </c>
      <c r="AQ9" s="2">
        <v>2204</v>
      </c>
      <c r="AR9" s="2">
        <v>2305</v>
      </c>
      <c r="AS9" s="7"/>
      <c r="AT9" s="7"/>
      <c r="AU9" s="7"/>
      <c r="AV9" s="73"/>
      <c r="AW9" s="73"/>
      <c r="AX9" s="73"/>
      <c r="AY9" s="73"/>
      <c r="AZ9" s="73"/>
      <c r="BA9" s="73"/>
      <c r="BB9" s="73">
        <v>7605</v>
      </c>
      <c r="BC9" s="73">
        <v>7900</v>
      </c>
      <c r="BD9" s="73">
        <v>7594</v>
      </c>
      <c r="BE9" s="73">
        <f t="shared" si="0"/>
        <v>7885</v>
      </c>
      <c r="BF9" s="73"/>
      <c r="BG9" s="73"/>
      <c r="BH9" s="73"/>
      <c r="BI9" s="73"/>
      <c r="BJ9" s="73"/>
      <c r="BK9" s="73"/>
    </row>
    <row r="10" spans="1:521" x14ac:dyDescent="0.3">
      <c r="B10" t="s">
        <v>563</v>
      </c>
      <c r="AE10" s="2">
        <v>1345</v>
      </c>
      <c r="AF10" s="2">
        <v>1391</v>
      </c>
      <c r="AG10" s="2">
        <v>1484</v>
      </c>
      <c r="AH10" s="2">
        <v>1576</v>
      </c>
      <c r="AI10" s="2">
        <v>1626</v>
      </c>
      <c r="AJ10" s="2">
        <v>1659</v>
      </c>
      <c r="AK10" s="2">
        <v>1740</v>
      </c>
      <c r="AL10" s="2">
        <v>1806</v>
      </c>
      <c r="AM10" s="2">
        <v>1849</v>
      </c>
      <c r="AN10" s="2">
        <v>1913</v>
      </c>
      <c r="AO10" s="2">
        <v>1946</v>
      </c>
      <c r="AP10" s="2">
        <v>1994</v>
      </c>
      <c r="AQ10" s="2">
        <v>2136</v>
      </c>
      <c r="AR10" s="2">
        <v>2204</v>
      </c>
      <c r="AS10" s="7"/>
      <c r="AT10" s="7"/>
      <c r="AU10" s="7"/>
      <c r="AV10" s="73"/>
      <c r="AW10" s="73"/>
      <c r="AX10" s="73"/>
      <c r="AY10" s="73"/>
      <c r="AZ10" s="73"/>
      <c r="BA10" s="73"/>
      <c r="BB10" s="73">
        <v>4687</v>
      </c>
      <c r="BC10" s="73">
        <v>5796</v>
      </c>
      <c r="BD10" s="73">
        <v>6831</v>
      </c>
      <c r="BE10" s="73">
        <f t="shared" si="0"/>
        <v>7702</v>
      </c>
      <c r="BF10" s="73"/>
      <c r="BG10" s="73"/>
      <c r="BH10" s="73"/>
      <c r="BI10" s="73"/>
      <c r="BJ10" s="73"/>
      <c r="BK10" s="73"/>
    </row>
    <row r="11" spans="1:521" x14ac:dyDescent="0.3">
      <c r="B11" t="s">
        <v>564</v>
      </c>
      <c r="AE11" s="2">
        <v>1599</v>
      </c>
      <c r="AF11" s="2">
        <v>1605</v>
      </c>
      <c r="AG11" s="2">
        <v>1586</v>
      </c>
      <c r="AH11" s="2">
        <v>1627</v>
      </c>
      <c r="AI11" s="2">
        <v>1643</v>
      </c>
      <c r="AJ11" s="2">
        <v>1679</v>
      </c>
      <c r="AK11" s="2">
        <v>1648</v>
      </c>
      <c r="AL11" s="2">
        <v>1678</v>
      </c>
      <c r="AM11" s="2">
        <v>1727</v>
      </c>
      <c r="AN11" s="2">
        <v>1821</v>
      </c>
      <c r="AO11" s="2">
        <v>1821</v>
      </c>
      <c r="AP11" s="2">
        <v>2035</v>
      </c>
      <c r="AQ11" s="2">
        <v>2022</v>
      </c>
      <c r="AR11" s="2">
        <v>2038</v>
      </c>
      <c r="AS11" s="7"/>
      <c r="AT11" s="7"/>
      <c r="AU11" s="7"/>
      <c r="AV11" s="73"/>
      <c r="AW11" s="73"/>
      <c r="AX11" s="73"/>
      <c r="AY11" s="73"/>
      <c r="AZ11" s="73"/>
      <c r="BA11" s="73"/>
      <c r="BB11" s="73"/>
      <c r="BC11" s="73">
        <v>6417</v>
      </c>
      <c r="BD11" s="73">
        <v>6648</v>
      </c>
      <c r="BE11" s="73">
        <f t="shared" si="0"/>
        <v>7404</v>
      </c>
      <c r="BF11" s="73"/>
      <c r="BG11" s="73"/>
      <c r="BH11" s="73"/>
      <c r="BI11" s="73"/>
      <c r="BJ11" s="73"/>
      <c r="BK11" s="73"/>
    </row>
    <row r="12" spans="1:521" x14ac:dyDescent="0.3">
      <c r="B12" t="s">
        <v>559</v>
      </c>
      <c r="AE12" s="2">
        <v>55</v>
      </c>
      <c r="AF12" s="2">
        <v>39</v>
      </c>
      <c r="AG12" s="2">
        <v>18</v>
      </c>
      <c r="AH12" s="2">
        <v>7</v>
      </c>
      <c r="AI12" s="2">
        <v>8</v>
      </c>
      <c r="AJ12" s="2">
        <v>10</v>
      </c>
      <c r="AK12" s="2">
        <v>14</v>
      </c>
      <c r="AL12" s="2">
        <v>13</v>
      </c>
      <c r="AM12" s="2">
        <v>10</v>
      </c>
      <c r="AN12" s="2">
        <v>10</v>
      </c>
      <c r="AO12" s="2">
        <v>46</v>
      </c>
      <c r="AP12" s="2">
        <v>6</v>
      </c>
      <c r="AQ12" s="2">
        <v>3</v>
      </c>
      <c r="AR12" s="2">
        <v>6</v>
      </c>
      <c r="AS12" s="7"/>
      <c r="AT12" s="7"/>
      <c r="AU12" s="7"/>
      <c r="AV12" s="73"/>
      <c r="AW12" s="73"/>
      <c r="AX12" s="73"/>
      <c r="AY12" s="73"/>
      <c r="AZ12" s="73"/>
      <c r="BA12" s="73"/>
      <c r="BB12" s="73">
        <v>45</v>
      </c>
      <c r="BC12" s="73">
        <v>119</v>
      </c>
      <c r="BD12" s="73">
        <v>45</v>
      </c>
      <c r="BE12" s="73">
        <f t="shared" si="0"/>
        <v>72</v>
      </c>
      <c r="BF12" s="73"/>
      <c r="BG12" s="73"/>
      <c r="BH12" s="73"/>
      <c r="BI12" s="73"/>
      <c r="BJ12" s="73"/>
      <c r="BK12" s="73"/>
    </row>
    <row r="13" spans="1:521" x14ac:dyDescent="0.3">
      <c r="AE13" s="2"/>
      <c r="AF13" s="2"/>
      <c r="AG13" s="2"/>
      <c r="AH13" s="2"/>
      <c r="AI13" s="2"/>
      <c r="AJ13" s="2"/>
      <c r="AK13" s="2"/>
      <c r="AL13" s="2"/>
      <c r="AM13" s="2"/>
      <c r="AN13" s="2"/>
      <c r="AO13" s="2"/>
      <c r="AP13" s="2"/>
      <c r="AQ13" s="2"/>
      <c r="AR13" s="2"/>
      <c r="AS13" s="7"/>
      <c r="AT13" s="7"/>
      <c r="AU13" s="7"/>
      <c r="AV13" s="73"/>
      <c r="AW13" s="73"/>
      <c r="AX13" s="73">
        <f t="shared" ref="AX13:BD13" si="1">SUM(AX3:AX12)</f>
        <v>0</v>
      </c>
      <c r="AY13" s="73">
        <f t="shared" si="1"/>
        <v>0</v>
      </c>
      <c r="AZ13" s="73">
        <f t="shared" si="1"/>
        <v>0</v>
      </c>
      <c r="BA13" s="73">
        <f t="shared" si="1"/>
        <v>0</v>
      </c>
      <c r="BB13" s="73">
        <f t="shared" si="1"/>
        <v>85762</v>
      </c>
      <c r="BC13" s="73">
        <f t="shared" si="1"/>
        <v>211915</v>
      </c>
      <c r="BD13" s="73">
        <f t="shared" si="1"/>
        <v>245122</v>
      </c>
      <c r="BE13" s="73">
        <f>SUM(BE3:BE12)</f>
        <v>281724</v>
      </c>
      <c r="BF13" s="73"/>
      <c r="BG13" s="73"/>
      <c r="BH13" s="73"/>
      <c r="BI13" s="73"/>
      <c r="BJ13" s="73"/>
      <c r="BK13" s="73"/>
    </row>
    <row r="14" spans="1:521" x14ac:dyDescent="0.3">
      <c r="B14" t="s">
        <v>979</v>
      </c>
      <c r="AE14" s="2"/>
      <c r="AF14" s="2"/>
      <c r="AG14" s="2"/>
      <c r="AH14" s="2"/>
      <c r="AS14" s="7"/>
      <c r="AT14" s="7"/>
      <c r="AU14" s="7"/>
      <c r="AV14" s="73"/>
      <c r="AW14" s="73"/>
      <c r="AX14" s="73"/>
      <c r="AY14" s="73"/>
      <c r="AZ14" s="73"/>
      <c r="BA14" s="73"/>
      <c r="BB14" s="73"/>
      <c r="BC14" s="73"/>
      <c r="BD14" s="73"/>
      <c r="BE14" s="73"/>
      <c r="BF14" s="73"/>
      <c r="BG14" s="73"/>
      <c r="BH14" s="73"/>
      <c r="BI14" s="73"/>
      <c r="BJ14" s="73"/>
      <c r="BK14" s="73"/>
    </row>
    <row r="15" spans="1:521" x14ac:dyDescent="0.3">
      <c r="B15" t="s">
        <v>560</v>
      </c>
      <c r="AE15" s="2"/>
      <c r="AF15" s="2"/>
      <c r="AG15" s="2"/>
      <c r="AH15" s="2"/>
      <c r="AI15" s="8">
        <f t="shared" ref="AI15:AI23" si="2">AI3/AE3-1</f>
        <v>0.20832218356970822</v>
      </c>
      <c r="AJ15" s="8">
        <f t="shared" ref="AJ15:AJ23" si="3">AJ3/AF3-1</f>
        <v>0.22389457906570076</v>
      </c>
      <c r="AK15" s="8">
        <f t="shared" ref="AK15:AK23" si="4">AK3/AG3-1</f>
        <v>0.25199233953172295</v>
      </c>
      <c r="AL15" s="8">
        <f t="shared" ref="AL15:AL23" si="5">AL3/AH3-1</f>
        <v>0.22637178051511753</v>
      </c>
      <c r="AM15" s="8">
        <f t="shared" ref="AM15:AM23" si="6">AM3/AI3-1</f>
        <v>0.22660834902004212</v>
      </c>
      <c r="AN15" s="8">
        <f t="shared" ref="AN15:AN23" si="7">AN3/AJ3-1</f>
        <v>0.20635811603816911</v>
      </c>
      <c r="AO15" s="8">
        <f t="shared" ref="AO15:AO23" si="8">AO3/AK3-1</f>
        <v>0.22180005921247403</v>
      </c>
      <c r="AP15" s="8">
        <f t="shared" ref="AP15:AQ23" si="9">AP3/AL3-1</f>
        <v>0.27279368123088155</v>
      </c>
      <c r="AQ15" s="8">
        <f t="shared" si="9"/>
        <v>0.30318212593094107</v>
      </c>
      <c r="AR15" s="8">
        <f t="shared" ref="AR15:AR23" si="10">AR3/AN3-1</f>
        <v>0.30557083033712629</v>
      </c>
      <c r="AS15" s="7"/>
      <c r="AT15" s="7"/>
      <c r="AU15" s="7"/>
      <c r="AV15" s="73"/>
      <c r="AW15" s="73"/>
      <c r="AX15" s="73"/>
      <c r="AY15" s="73"/>
      <c r="AZ15" s="73"/>
      <c r="BA15" s="73"/>
      <c r="BB15" s="73"/>
      <c r="BC15" s="73"/>
      <c r="BD15" s="91">
        <f t="shared" ref="BD15" si="11">BD3/BC3-1</f>
        <v>0.22799083175657997</v>
      </c>
      <c r="BE15" s="91">
        <f>BE3/BD3-1</f>
        <v>0.23308864057724099</v>
      </c>
      <c r="BF15" s="73"/>
      <c r="BG15" s="73"/>
      <c r="BH15" s="73"/>
      <c r="BI15" s="73"/>
      <c r="BJ15" s="73"/>
      <c r="BK15" s="73"/>
    </row>
    <row r="16" spans="1:521" x14ac:dyDescent="0.3">
      <c r="B16" t="s">
        <v>565</v>
      </c>
      <c r="AE16" s="2"/>
      <c r="AF16" s="2"/>
      <c r="AG16" s="2"/>
      <c r="AH16" s="2"/>
      <c r="AI16" s="8">
        <f t="shared" si="2"/>
        <v>0.16397884143981423</v>
      </c>
      <c r="AJ16" s="8">
        <f t="shared" si="3"/>
        <v>0.16146823887409667</v>
      </c>
      <c r="AK16" s="8">
        <f t="shared" si="4"/>
        <v>0.14637976155859267</v>
      </c>
      <c r="AL16" s="8">
        <f t="shared" si="5"/>
        <v>0.13064184435544979</v>
      </c>
      <c r="AM16" s="8">
        <f t="shared" si="6"/>
        <v>0.13328530259366</v>
      </c>
      <c r="AN16" s="8">
        <f t="shared" si="7"/>
        <v>0.15261175700016372</v>
      </c>
      <c r="AO16" s="8">
        <f t="shared" si="8"/>
        <v>0.11013595779220786</v>
      </c>
      <c r="AP16" s="8">
        <f t="shared" si="9"/>
        <v>0.16398621481906961</v>
      </c>
      <c r="AQ16" s="8">
        <f t="shared" si="9"/>
        <v>0.17198885031052868</v>
      </c>
      <c r="AR16" s="8">
        <f>AR4/AN4-1</f>
        <v>0.16133920537955193</v>
      </c>
      <c r="AS16" s="7"/>
      <c r="AT16" s="7"/>
      <c r="AU16" s="7"/>
      <c r="AV16" s="73"/>
      <c r="AW16" s="73"/>
      <c r="AX16" s="73"/>
      <c r="AY16" s="73"/>
      <c r="AZ16" s="73"/>
      <c r="BA16" s="73"/>
      <c r="BB16" s="73"/>
      <c r="BC16" s="73"/>
      <c r="BD16" s="91">
        <f t="shared" ref="BD16:BE16" si="12">BD4/BC4-1</f>
        <v>0.14966616379632258</v>
      </c>
      <c r="BE16" s="91">
        <f t="shared" si="12"/>
        <v>0.14029024672270651</v>
      </c>
      <c r="BF16" s="73"/>
      <c r="BG16" s="73"/>
      <c r="BH16" s="73"/>
      <c r="BI16" s="73"/>
      <c r="BJ16" s="73"/>
      <c r="BK16" s="73"/>
    </row>
    <row r="17" spans="2:63" x14ac:dyDescent="0.3">
      <c r="B17" t="s">
        <v>556</v>
      </c>
      <c r="AE17" s="2"/>
      <c r="AF17" s="2"/>
      <c r="AG17" s="2"/>
      <c r="AH17" s="2"/>
      <c r="AI17" s="8">
        <f t="shared" si="2"/>
        <v>8.5595567867035927E-2</v>
      </c>
      <c r="AJ17" s="8">
        <f t="shared" si="3"/>
        <v>0.49453551912568305</v>
      </c>
      <c r="AK17" s="8">
        <f t="shared" si="4"/>
        <v>0.51122816745217636</v>
      </c>
      <c r="AL17" s="8">
        <f t="shared" si="5"/>
        <v>0.43855628759667709</v>
      </c>
      <c r="AM17" s="8">
        <f t="shared" si="6"/>
        <v>0.43429446287318196</v>
      </c>
      <c r="AN17" s="8">
        <f t="shared" si="7"/>
        <v>-7.4532414568977634E-2</v>
      </c>
      <c r="AO17" s="8">
        <f t="shared" si="8"/>
        <v>4.9532195927352696E-2</v>
      </c>
      <c r="AP17" s="8">
        <f t="shared" si="9"/>
        <v>0.10155316606929521</v>
      </c>
      <c r="AQ17" s="8">
        <f t="shared" si="9"/>
        <v>-2.0103184486746084E-2</v>
      </c>
      <c r="AR17" s="8">
        <f t="shared" si="10"/>
        <v>-9.466646406321233E-2</v>
      </c>
      <c r="AS17" s="7"/>
      <c r="AT17" s="7"/>
      <c r="AU17" s="7"/>
      <c r="AV17" s="73"/>
      <c r="AW17" s="73"/>
      <c r="AX17" s="73"/>
      <c r="AY17" s="73"/>
      <c r="AZ17" s="73"/>
      <c r="BA17" s="73"/>
      <c r="BB17" s="73"/>
      <c r="BC17" s="73"/>
      <c r="BD17" s="91">
        <f t="shared" ref="BD17:BE17" si="13">BD5/BC5-1</f>
        <v>0.39034010086641668</v>
      </c>
      <c r="BE17" s="91">
        <f t="shared" si="13"/>
        <v>9.077803097242243E-2</v>
      </c>
      <c r="BF17" s="73"/>
      <c r="BG17" s="73"/>
      <c r="BH17" s="73"/>
      <c r="BI17" s="73"/>
      <c r="BJ17" s="73"/>
      <c r="BK17" s="73"/>
    </row>
    <row r="18" spans="2:63" x14ac:dyDescent="0.3">
      <c r="B18" t="s">
        <v>557</v>
      </c>
      <c r="AE18" s="2"/>
      <c r="AF18" s="2"/>
      <c r="AG18" s="2"/>
      <c r="AH18" s="2"/>
      <c r="AI18" s="8">
        <f t="shared" si="2"/>
        <v>7.8555678059536893E-2</v>
      </c>
      <c r="AJ18" s="8">
        <f t="shared" si="3"/>
        <v>9.4442995043047206E-2</v>
      </c>
      <c r="AK18" s="8">
        <f t="shared" si="4"/>
        <v>9.6747745285597153E-2</v>
      </c>
      <c r="AL18" s="8">
        <f t="shared" si="5"/>
        <v>9.8733522874127733E-2</v>
      </c>
      <c r="AM18" s="8">
        <f t="shared" si="6"/>
        <v>9.685663174035275E-2</v>
      </c>
      <c r="AN18" s="8">
        <f t="shared" si="7"/>
        <v>9.3444576877234731E-2</v>
      </c>
      <c r="AO18" s="8">
        <f t="shared" si="8"/>
        <v>7.4258659357089529E-2</v>
      </c>
      <c r="AP18" s="8">
        <f t="shared" si="9"/>
        <v>8.727358268642682E-2</v>
      </c>
      <c r="AQ18" s="8">
        <f t="shared" si="9"/>
        <v>9.8322460391425892E-2</v>
      </c>
      <c r="AR18" s="8">
        <f t="shared" si="10"/>
        <v>0.1079136690647482</v>
      </c>
      <c r="AS18" s="7"/>
      <c r="AT18" s="7"/>
      <c r="AU18" s="7"/>
      <c r="AV18" s="73"/>
      <c r="AW18" s="73"/>
      <c r="AX18" s="73"/>
      <c r="AY18" s="73"/>
      <c r="AZ18" s="73"/>
      <c r="BA18" s="73"/>
      <c r="BB18" s="73"/>
      <c r="BC18" s="73"/>
      <c r="BD18" s="91">
        <f t="shared" ref="BD18:BE18" si="14">BD6/BC6-1</f>
        <v>9.2267662952832064E-2</v>
      </c>
      <c r="BE18" s="91">
        <f t="shared" si="14"/>
        <v>8.7955045199120452E-2</v>
      </c>
      <c r="BF18" s="73"/>
      <c r="BG18" s="73"/>
      <c r="BH18" s="73"/>
      <c r="BI18" s="73"/>
      <c r="BJ18" s="73"/>
      <c r="BK18" s="73"/>
    </row>
    <row r="19" spans="2:63" x14ac:dyDescent="0.3">
      <c r="B19" t="s">
        <v>558</v>
      </c>
      <c r="AE19" s="2"/>
      <c r="AF19" s="2"/>
      <c r="AG19" s="2"/>
      <c r="AH19" s="2"/>
      <c r="AI19" s="8">
        <f t="shared" si="2"/>
        <v>-5.5083823209231442E-2</v>
      </c>
      <c r="AJ19" s="8">
        <f t="shared" si="3"/>
        <v>3.4131310737141485E-2</v>
      </c>
      <c r="AK19" s="8">
        <f t="shared" si="4"/>
        <v>1.4356435643564369E-2</v>
      </c>
      <c r="AL19" s="8">
        <f t="shared" si="5"/>
        <v>-1.6298020954598424E-2</v>
      </c>
      <c r="AM19" s="8">
        <f t="shared" si="6"/>
        <v>-2.5345622119815614E-3</v>
      </c>
      <c r="AN19" s="8">
        <f t="shared" si="7"/>
        <v>3.4150813660325463E-2</v>
      </c>
      <c r="AO19" s="8">
        <f t="shared" si="8"/>
        <v>1.1224987798926334E-2</v>
      </c>
      <c r="AP19" s="8">
        <f t="shared" si="9"/>
        <v>2.4615384615384706E-2</v>
      </c>
      <c r="AQ19" s="8">
        <f t="shared" si="9"/>
        <v>5.1282051282051322E-2</v>
      </c>
      <c r="AR19" s="8">
        <f t="shared" si="10"/>
        <v>-7.3138297872340496E-3</v>
      </c>
      <c r="AS19" s="7"/>
      <c r="AT19" s="7"/>
      <c r="AU19" s="7"/>
      <c r="AV19" s="73"/>
      <c r="AW19" s="73"/>
      <c r="AX19" s="73"/>
      <c r="AY19" s="73"/>
      <c r="AZ19" s="73"/>
      <c r="BA19" s="73"/>
      <c r="BB19" s="73"/>
      <c r="BC19" s="73"/>
      <c r="BD19" s="91">
        <f t="shared" ref="BD19:BE19" si="15">BD7/BC7-1</f>
        <v>-7.0566279815711397E-3</v>
      </c>
      <c r="BE19" s="91">
        <f t="shared" si="15"/>
        <v>1.6915306002584174E-2</v>
      </c>
      <c r="BF19" s="73"/>
      <c r="BG19" s="73"/>
      <c r="BH19" s="73"/>
      <c r="BI19" s="73"/>
      <c r="BJ19" s="73"/>
      <c r="BK19" s="73"/>
    </row>
    <row r="20" spans="2:63" x14ac:dyDescent="0.3">
      <c r="B20" t="s">
        <v>561</v>
      </c>
      <c r="AE20" s="2"/>
      <c r="AF20" s="2"/>
      <c r="AG20" s="2"/>
      <c r="AH20" s="2"/>
      <c r="AI20" s="8">
        <f t="shared" si="2"/>
        <v>3.6045314109165894E-2</v>
      </c>
      <c r="AJ20" s="8">
        <f t="shared" si="3"/>
        <v>-1.277656590838272E-2</v>
      </c>
      <c r="AK20" s="8">
        <f t="shared" si="4"/>
        <v>6.9215557020434471E-3</v>
      </c>
      <c r="AL20" s="8">
        <f t="shared" si="5"/>
        <v>3.2334119232064751E-2</v>
      </c>
      <c r="AM20" s="8">
        <f t="shared" si="6"/>
        <v>6.8588469184890588E-2</v>
      </c>
      <c r="AN20" s="8">
        <f t="shared" si="7"/>
        <v>0.12310606060606055</v>
      </c>
      <c r="AO20" s="8">
        <f t="shared" si="8"/>
        <v>0.14697217675941077</v>
      </c>
      <c r="AP20" s="8">
        <f t="shared" si="9"/>
        <v>0.1716150081566068</v>
      </c>
      <c r="AQ20" s="8">
        <f t="shared" si="9"/>
        <v>0.14635658914728689</v>
      </c>
      <c r="AR20" s="8">
        <f t="shared" si="10"/>
        <v>7.1388420460933188E-2</v>
      </c>
      <c r="AS20" s="7"/>
      <c r="AT20" s="7"/>
      <c r="AU20" s="7"/>
      <c r="AV20" s="73"/>
      <c r="AW20" s="73"/>
      <c r="AX20" s="73"/>
      <c r="AY20" s="73"/>
      <c r="AZ20" s="73"/>
      <c r="BA20" s="73"/>
      <c r="BB20" s="73"/>
      <c r="BC20" s="73"/>
      <c r="BD20" s="91">
        <f t="shared" ref="BD20:BE20" si="16">BD8/BC8-1</f>
        <v>1.492783505154649E-2</v>
      </c>
      <c r="BE20" s="91">
        <f t="shared" si="16"/>
        <v>0.12774256460263289</v>
      </c>
      <c r="BF20" s="73"/>
      <c r="BG20" s="73"/>
      <c r="BH20" s="73"/>
      <c r="BI20" s="73"/>
      <c r="BJ20" s="73"/>
      <c r="BK20" s="73"/>
    </row>
    <row r="21" spans="2:63" x14ac:dyDescent="0.3">
      <c r="B21" t="s">
        <v>562</v>
      </c>
      <c r="AE21" s="2"/>
      <c r="AF21" s="2"/>
      <c r="AG21" s="2"/>
      <c r="AH21" s="2"/>
      <c r="AI21" s="8">
        <f t="shared" si="2"/>
        <v>7.7760497667185291E-3</v>
      </c>
      <c r="AJ21" s="8">
        <f t="shared" si="3"/>
        <v>5.2438384897746104E-3</v>
      </c>
      <c r="AK21" s="8">
        <f t="shared" si="4"/>
        <v>-9.0864680019540844E-2</v>
      </c>
      <c r="AL21" s="8">
        <f t="shared" si="5"/>
        <v>-7.1888943976202269E-2</v>
      </c>
      <c r="AM21" s="8">
        <f t="shared" si="6"/>
        <v>-8.2304526748970819E-3</v>
      </c>
      <c r="AN21" s="8">
        <f t="shared" si="7"/>
        <v>-1.3041210224308819E-2</v>
      </c>
      <c r="AO21" s="8">
        <f t="shared" si="8"/>
        <v>3.6539494895217572E-2</v>
      </c>
      <c r="AP21" s="8">
        <f t="shared" si="9"/>
        <v>0.14102564102564097</v>
      </c>
      <c r="AQ21" s="8">
        <f t="shared" si="9"/>
        <v>0.14315352697095429</v>
      </c>
      <c r="AR21" s="8">
        <f t="shared" si="10"/>
        <v>0.2182875264270614</v>
      </c>
      <c r="AS21" s="7"/>
      <c r="AT21" s="7"/>
      <c r="AU21" s="7"/>
      <c r="AV21" s="73"/>
      <c r="AW21" s="73"/>
      <c r="AX21" s="73"/>
      <c r="AY21" s="73"/>
      <c r="AZ21" s="73"/>
      <c r="BA21" s="73"/>
      <c r="BB21" s="73"/>
      <c r="BC21" s="73"/>
      <c r="BD21" s="91">
        <f t="shared" ref="BD21:BE21" si="17">BD9/BC9-1</f>
        <v>-3.8734177215189902E-2</v>
      </c>
      <c r="BE21" s="91">
        <f t="shared" si="17"/>
        <v>3.8319726099552254E-2</v>
      </c>
      <c r="BF21" s="73"/>
      <c r="BG21" s="73"/>
      <c r="BH21" s="73"/>
      <c r="BI21" s="73"/>
      <c r="BJ21" s="73"/>
      <c r="BK21" s="73"/>
    </row>
    <row r="22" spans="2:63" x14ac:dyDescent="0.3">
      <c r="B22" t="s">
        <v>563</v>
      </c>
      <c r="AE22" s="2"/>
      <c r="AF22" s="2"/>
      <c r="AG22" s="2"/>
      <c r="AH22" s="2"/>
      <c r="AI22" s="8">
        <f t="shared" si="2"/>
        <v>0.20892193308550189</v>
      </c>
      <c r="AJ22" s="8">
        <f t="shared" si="3"/>
        <v>0.19266714593817391</v>
      </c>
      <c r="AK22" s="8">
        <f t="shared" si="4"/>
        <v>0.17250673854447429</v>
      </c>
      <c r="AL22" s="8">
        <f t="shared" si="5"/>
        <v>0.14593908629441632</v>
      </c>
      <c r="AM22" s="8">
        <f t="shared" si="6"/>
        <v>0.13714637146371467</v>
      </c>
      <c r="AN22" s="8">
        <f t="shared" si="7"/>
        <v>0.15310427968655826</v>
      </c>
      <c r="AO22" s="8">
        <f t="shared" si="8"/>
        <v>0.11839080459770113</v>
      </c>
      <c r="AP22" s="8">
        <f t="shared" si="9"/>
        <v>0.10409745293466233</v>
      </c>
      <c r="AQ22" s="8">
        <f t="shared" si="9"/>
        <v>0.15521903731746889</v>
      </c>
      <c r="AR22" s="8">
        <f t="shared" si="10"/>
        <v>0.15211709357030845</v>
      </c>
      <c r="AS22" s="7"/>
      <c r="AT22" s="7"/>
      <c r="AU22" s="7"/>
      <c r="AV22" s="73"/>
      <c r="AW22" s="73"/>
      <c r="AX22" s="73"/>
      <c r="AY22" s="73"/>
      <c r="AZ22" s="73"/>
      <c r="BA22" s="73"/>
      <c r="BB22" s="73"/>
      <c r="BC22" s="73"/>
      <c r="BD22" s="91">
        <f t="shared" ref="BD22:BE22" si="18">BD10/BC10-1</f>
        <v>0.1785714285714286</v>
      </c>
      <c r="BE22" s="91">
        <f t="shared" si="18"/>
        <v>0.12750695359391018</v>
      </c>
      <c r="BF22" s="73"/>
      <c r="BG22" s="73"/>
      <c r="BH22" s="73"/>
      <c r="BI22" s="73"/>
      <c r="BJ22" s="73"/>
      <c r="BK22" s="73"/>
    </row>
    <row r="23" spans="2:63" x14ac:dyDescent="0.3">
      <c r="B23" t="s">
        <v>564</v>
      </c>
      <c r="AE23" s="2"/>
      <c r="AF23" s="2"/>
      <c r="AG23" s="2"/>
      <c r="AH23" s="2"/>
      <c r="AI23" s="8">
        <f t="shared" si="2"/>
        <v>2.7517198248905528E-2</v>
      </c>
      <c r="AJ23" s="8">
        <f t="shared" si="3"/>
        <v>4.6105919003115226E-2</v>
      </c>
      <c r="AK23" s="8">
        <f t="shared" si="4"/>
        <v>3.9092055485498101E-2</v>
      </c>
      <c r="AL23" s="8">
        <f t="shared" si="5"/>
        <v>3.1346035648432746E-2</v>
      </c>
      <c r="AM23" s="8">
        <f t="shared" si="6"/>
        <v>5.1125989044430886E-2</v>
      </c>
      <c r="AN23" s="8">
        <f t="shared" si="7"/>
        <v>8.4574151280524035E-2</v>
      </c>
      <c r="AO23" s="8">
        <f t="shared" si="8"/>
        <v>0.10497572815533984</v>
      </c>
      <c r="AP23" s="8">
        <f t="shared" si="9"/>
        <v>0.21275327771156127</v>
      </c>
      <c r="AQ23" s="8">
        <f t="shared" si="9"/>
        <v>0.17081644470179502</v>
      </c>
      <c r="AR23" s="8">
        <f t="shared" si="10"/>
        <v>0.11916529379461838</v>
      </c>
      <c r="AS23" s="7"/>
      <c r="AT23" s="7"/>
      <c r="AU23" s="7"/>
      <c r="AV23" s="73"/>
      <c r="AW23" s="73"/>
      <c r="AX23" s="73"/>
      <c r="AY23" s="73"/>
      <c r="AZ23" s="73"/>
      <c r="BA23" s="73"/>
      <c r="BB23" s="73"/>
      <c r="BC23" s="73"/>
      <c r="BD23" s="91">
        <f t="shared" ref="BD23:BE23" si="19">BD11/BC11-1</f>
        <v>3.5998129967274473E-2</v>
      </c>
      <c r="BE23" s="91">
        <f t="shared" si="19"/>
        <v>0.11371841155234663</v>
      </c>
      <c r="BF23" s="73"/>
      <c r="BG23" s="73"/>
      <c r="BH23" s="73"/>
      <c r="BI23" s="73"/>
      <c r="BJ23" s="73"/>
      <c r="BK23" s="73"/>
    </row>
    <row r="24" spans="2:63" x14ac:dyDescent="0.3">
      <c r="AE24" s="2"/>
      <c r="AF24" s="2"/>
      <c r="AG24" s="2"/>
      <c r="AH24" s="2"/>
      <c r="AI24" s="2"/>
      <c r="AJ24" s="2"/>
      <c r="AK24" s="2"/>
      <c r="AL24" s="2"/>
      <c r="AM24" s="2"/>
      <c r="AN24" s="2"/>
      <c r="AO24" s="2"/>
      <c r="AP24" s="2"/>
      <c r="AQ24" s="2"/>
      <c r="AR24" s="2"/>
      <c r="AS24" s="7"/>
      <c r="AT24" s="7"/>
      <c r="AU24" s="7"/>
      <c r="AV24" s="73"/>
      <c r="AW24" s="73"/>
      <c r="AX24" s="73"/>
      <c r="AY24" s="73"/>
      <c r="AZ24" s="73"/>
      <c r="BA24" s="73"/>
      <c r="BB24" s="73"/>
      <c r="BC24" s="73"/>
      <c r="BD24" s="73"/>
      <c r="BE24" s="73"/>
      <c r="BF24" s="73"/>
      <c r="BG24" s="73"/>
      <c r="BH24" s="73"/>
      <c r="BI24" s="73"/>
      <c r="BJ24" s="73"/>
      <c r="BK24" s="73"/>
    </row>
    <row r="25" spans="2:63" x14ac:dyDescent="0.3">
      <c r="AV25" s="73"/>
      <c r="AW25" s="73"/>
      <c r="AX25" s="73"/>
      <c r="AY25" s="73"/>
      <c r="AZ25" s="73"/>
      <c r="BA25" s="73"/>
      <c r="BB25" s="73"/>
      <c r="BC25" s="73"/>
      <c r="BD25" s="73"/>
      <c r="BE25" s="73"/>
      <c r="BF25" s="73"/>
      <c r="BG25" s="73"/>
      <c r="BH25" s="73"/>
      <c r="BI25" s="73"/>
      <c r="BJ25" s="73"/>
      <c r="BK25" s="73"/>
    </row>
    <row r="26" spans="2:63" x14ac:dyDescent="0.3">
      <c r="B26" s="79" t="s">
        <v>495</v>
      </c>
      <c r="C26" s="75">
        <v>15750</v>
      </c>
      <c r="D26" s="75">
        <v>19431</v>
      </c>
      <c r="E26" s="75">
        <v>15307</v>
      </c>
      <c r="F26" s="75">
        <v>16848</v>
      </c>
      <c r="G26" s="75">
        <v>14968</v>
      </c>
      <c r="H26" s="75">
        <v>18273</v>
      </c>
      <c r="I26" s="75">
        <v>14513</v>
      </c>
      <c r="J26" s="75">
        <v>16057</v>
      </c>
      <c r="K26" s="75">
        <v>14298</v>
      </c>
      <c r="L26" s="75">
        <v>17926</v>
      </c>
      <c r="M26" s="75">
        <v>15114</v>
      </c>
      <c r="N26" s="75">
        <v>17159</v>
      </c>
      <c r="O26" s="75">
        <v>17299</v>
      </c>
      <c r="P26" s="75">
        <v>16219</v>
      </c>
      <c r="Q26" s="75">
        <v>15448</v>
      </c>
      <c r="R26" s="75">
        <v>17103</v>
      </c>
      <c r="S26" s="75">
        <v>15768</v>
      </c>
      <c r="T26" s="75">
        <v>18255</v>
      </c>
      <c r="U26" s="75">
        <v>15871</v>
      </c>
      <c r="V26" s="75">
        <v>18147</v>
      </c>
      <c r="W26" s="75">
        <v>15803</v>
      </c>
      <c r="X26" s="75">
        <v>19460</v>
      </c>
      <c r="Y26" s="75">
        <v>16873</v>
      </c>
      <c r="Z26" s="75">
        <v>18938</v>
      </c>
      <c r="AA26" s="75">
        <v>16631</v>
      </c>
      <c r="AB26" s="75">
        <v>20779</v>
      </c>
      <c r="AC26" s="75">
        <v>17366</v>
      </c>
      <c r="AD26" s="75">
        <v>17956</v>
      </c>
      <c r="AE26" s="75">
        <v>15741</v>
      </c>
      <c r="AF26" s="75">
        <v>16517</v>
      </c>
      <c r="AG26" s="75">
        <v>15588</v>
      </c>
      <c r="AH26" s="75">
        <v>16853</v>
      </c>
      <c r="AI26" s="75">
        <v>15535</v>
      </c>
      <c r="AJ26" s="75">
        <v>18941</v>
      </c>
      <c r="AK26" s="75">
        <v>17080</v>
      </c>
      <c r="AL26" s="75">
        <v>13217</v>
      </c>
      <c r="AM26" s="75">
        <v>15272</v>
      </c>
      <c r="AN26" s="75">
        <v>16219</v>
      </c>
      <c r="AO26" s="75">
        <v>15319</v>
      </c>
      <c r="AP26" s="75">
        <v>17136</v>
      </c>
      <c r="AQ26" s="75">
        <v>15922</v>
      </c>
      <c r="AR26" s="75">
        <v>16451</v>
      </c>
      <c r="AS26" s="75"/>
      <c r="AT26" s="75"/>
      <c r="AU26" s="75"/>
      <c r="AV26" s="73">
        <v>67336</v>
      </c>
      <c r="AW26" s="73">
        <v>63811</v>
      </c>
      <c r="AX26" s="73">
        <v>64497</v>
      </c>
      <c r="AY26" s="73">
        <v>66069</v>
      </c>
      <c r="AZ26" s="73">
        <v>68041</v>
      </c>
      <c r="BA26" s="73">
        <v>71074</v>
      </c>
      <c r="BB26" s="73">
        <v>72732</v>
      </c>
      <c r="BC26" s="73">
        <v>64699</v>
      </c>
      <c r="BD26" s="73">
        <v>64773</v>
      </c>
      <c r="BE26" s="73">
        <f>AM26+AN26+AO26+AP26</f>
        <v>63946</v>
      </c>
      <c r="BF26" s="73"/>
      <c r="BG26" s="73"/>
      <c r="BH26" s="73"/>
      <c r="BI26" s="73"/>
      <c r="BJ26" s="73"/>
      <c r="BK26" s="73"/>
    </row>
    <row r="27" spans="2:63" x14ac:dyDescent="0.3">
      <c r="B27" s="79" t="s">
        <v>496</v>
      </c>
      <c r="C27" s="75">
        <v>5160</v>
      </c>
      <c r="D27" s="75">
        <v>5822</v>
      </c>
      <c r="E27" s="75">
        <v>6210</v>
      </c>
      <c r="F27" s="75">
        <v>6626</v>
      </c>
      <c r="G27" s="75">
        <v>6960</v>
      </c>
      <c r="H27" s="75">
        <v>7553</v>
      </c>
      <c r="I27" s="75">
        <v>8699</v>
      </c>
      <c r="J27" s="75">
        <v>9548</v>
      </c>
      <c r="K27" s="75">
        <v>10240</v>
      </c>
      <c r="L27" s="75">
        <v>10992</v>
      </c>
      <c r="M27" s="75">
        <v>11705</v>
      </c>
      <c r="N27" s="75">
        <v>12926</v>
      </c>
      <c r="O27" s="75">
        <v>11785</v>
      </c>
      <c r="P27" s="75">
        <v>16252</v>
      </c>
      <c r="Q27" s="75">
        <v>15123</v>
      </c>
      <c r="R27" s="75">
        <v>16614</v>
      </c>
      <c r="S27" s="75">
        <v>17287</v>
      </c>
      <c r="T27" s="75">
        <v>18651</v>
      </c>
      <c r="U27" s="75">
        <v>19150</v>
      </c>
      <c r="V27" s="75">
        <v>19886</v>
      </c>
      <c r="W27" s="75">
        <v>21351</v>
      </c>
      <c r="X27" s="75">
        <v>23616</v>
      </c>
      <c r="Y27" s="75">
        <v>24833</v>
      </c>
      <c r="Z27" s="75">
        <v>27214</v>
      </c>
      <c r="AA27" s="75">
        <v>28686</v>
      </c>
      <c r="AB27" s="75">
        <v>30949</v>
      </c>
      <c r="AC27" s="75">
        <v>31994</v>
      </c>
      <c r="AD27" s="75">
        <v>33909</v>
      </c>
      <c r="AE27" s="75">
        <v>34381</v>
      </c>
      <c r="AF27" s="75">
        <v>36230</v>
      </c>
      <c r="AG27" s="75">
        <v>37269</v>
      </c>
      <c r="AH27" s="75">
        <v>39336</v>
      </c>
      <c r="AI27" s="75">
        <v>40982</v>
      </c>
      <c r="AJ27" s="75">
        <v>43079</v>
      </c>
      <c r="AK27" s="75">
        <v>44778</v>
      </c>
      <c r="AL27" s="75">
        <v>51510</v>
      </c>
      <c r="AM27" s="75">
        <v>50313</v>
      </c>
      <c r="AN27" s="75">
        <v>53413</v>
      </c>
      <c r="AO27" s="75">
        <v>54747</v>
      </c>
      <c r="AP27" s="75">
        <v>59305</v>
      </c>
      <c r="AQ27" s="75">
        <v>61751</v>
      </c>
      <c r="AR27" s="75">
        <v>64822</v>
      </c>
      <c r="AS27" s="75"/>
      <c r="AT27" s="75"/>
      <c r="AU27" s="75"/>
      <c r="AV27" s="73">
        <v>23818</v>
      </c>
      <c r="AW27" s="73">
        <v>32760</v>
      </c>
      <c r="AX27" s="73">
        <v>45863</v>
      </c>
      <c r="AY27" s="73">
        <v>59774</v>
      </c>
      <c r="AZ27" s="73">
        <v>74974</v>
      </c>
      <c r="BA27" s="73">
        <v>97014</v>
      </c>
      <c r="BB27" s="73">
        <v>125538</v>
      </c>
      <c r="BC27" s="73">
        <v>147216</v>
      </c>
      <c r="BD27" s="73">
        <v>180349</v>
      </c>
      <c r="BE27" s="73">
        <f t="shared" ref="BE27:BE35" si="20">AM27+AN27+AO27+AP27</f>
        <v>217778</v>
      </c>
      <c r="BF27" s="73"/>
      <c r="BG27" s="73"/>
      <c r="BH27" s="73"/>
      <c r="BI27" s="73"/>
      <c r="BJ27" s="73"/>
      <c r="BK27" s="73"/>
    </row>
    <row r="28" spans="2:63" s="1" customFormat="1" x14ac:dyDescent="0.3">
      <c r="B28" s="80" t="s">
        <v>9</v>
      </c>
      <c r="C28" s="81">
        <f t="shared" ref="C28:AF28" si="21">SUM(C26:C27)</f>
        <v>20910</v>
      </c>
      <c r="D28" s="81">
        <f t="shared" si="21"/>
        <v>25253</v>
      </c>
      <c r="E28" s="81">
        <f t="shared" si="21"/>
        <v>21517</v>
      </c>
      <c r="F28" s="81">
        <f t="shared" si="21"/>
        <v>23474</v>
      </c>
      <c r="G28" s="81">
        <f t="shared" si="21"/>
        <v>21928</v>
      </c>
      <c r="H28" s="81">
        <f t="shared" si="21"/>
        <v>25826</v>
      </c>
      <c r="I28" s="81">
        <f t="shared" si="21"/>
        <v>23212</v>
      </c>
      <c r="J28" s="81">
        <f t="shared" si="21"/>
        <v>25605</v>
      </c>
      <c r="K28" s="81">
        <f t="shared" si="21"/>
        <v>24538</v>
      </c>
      <c r="L28" s="81">
        <f t="shared" si="21"/>
        <v>28918</v>
      </c>
      <c r="M28" s="81">
        <f t="shared" si="21"/>
        <v>26819</v>
      </c>
      <c r="N28" s="81">
        <f t="shared" si="21"/>
        <v>30085</v>
      </c>
      <c r="O28" s="81">
        <f t="shared" si="21"/>
        <v>29084</v>
      </c>
      <c r="P28" s="81">
        <f t="shared" si="21"/>
        <v>32471</v>
      </c>
      <c r="Q28" s="81">
        <f t="shared" si="21"/>
        <v>30571</v>
      </c>
      <c r="R28" s="81">
        <f t="shared" si="21"/>
        <v>33717</v>
      </c>
      <c r="S28" s="81">
        <f t="shared" si="21"/>
        <v>33055</v>
      </c>
      <c r="T28" s="81">
        <f t="shared" si="21"/>
        <v>36906</v>
      </c>
      <c r="U28" s="81">
        <f t="shared" si="21"/>
        <v>35021</v>
      </c>
      <c r="V28" s="81">
        <f t="shared" si="21"/>
        <v>38033</v>
      </c>
      <c r="W28" s="81">
        <f t="shared" si="21"/>
        <v>37154</v>
      </c>
      <c r="X28" s="81">
        <f t="shared" si="21"/>
        <v>43076</v>
      </c>
      <c r="Y28" s="81">
        <f t="shared" si="21"/>
        <v>41706</v>
      </c>
      <c r="Z28" s="81">
        <f t="shared" si="21"/>
        <v>46152</v>
      </c>
      <c r="AA28" s="81">
        <f t="shared" si="21"/>
        <v>45317</v>
      </c>
      <c r="AB28" s="81">
        <f t="shared" si="21"/>
        <v>51728</v>
      </c>
      <c r="AC28" s="81">
        <f t="shared" si="21"/>
        <v>49360</v>
      </c>
      <c r="AD28" s="81">
        <f t="shared" si="21"/>
        <v>51865</v>
      </c>
      <c r="AE28" s="81">
        <f t="shared" si="21"/>
        <v>50122</v>
      </c>
      <c r="AF28" s="81">
        <f t="shared" si="21"/>
        <v>52747</v>
      </c>
      <c r="AG28" s="81">
        <f t="shared" ref="AG28:AP28" si="22">SUM(AG26:AG27)</f>
        <v>52857</v>
      </c>
      <c r="AH28" s="81">
        <f t="shared" si="22"/>
        <v>56189</v>
      </c>
      <c r="AI28" s="81">
        <f t="shared" si="22"/>
        <v>56517</v>
      </c>
      <c r="AJ28" s="81">
        <f t="shared" si="22"/>
        <v>62020</v>
      </c>
      <c r="AK28" s="81">
        <f t="shared" si="22"/>
        <v>61858</v>
      </c>
      <c r="AL28" s="81">
        <f t="shared" si="22"/>
        <v>64727</v>
      </c>
      <c r="AM28" s="81">
        <f t="shared" si="22"/>
        <v>65585</v>
      </c>
      <c r="AN28" s="81">
        <f t="shared" si="22"/>
        <v>69632</v>
      </c>
      <c r="AO28" s="81">
        <f t="shared" ref="AO28" si="23">SUM(AO26:AO27)</f>
        <v>70066</v>
      </c>
      <c r="AP28" s="81">
        <f t="shared" si="22"/>
        <v>76441</v>
      </c>
      <c r="AQ28" s="81">
        <f t="shared" ref="AQ28:AR28" si="24">SUM(AQ26:AQ27)</f>
        <v>77673</v>
      </c>
      <c r="AR28" s="81">
        <f t="shared" si="24"/>
        <v>81273</v>
      </c>
      <c r="AS28" s="81"/>
      <c r="AT28" s="81"/>
      <c r="AU28" s="81"/>
      <c r="AV28" s="74">
        <f>SUM(AV26:AV27)</f>
        <v>91154</v>
      </c>
      <c r="AW28" s="74">
        <f t="shared" ref="AW28:BD28" si="25">SUM(AW26:AW27)</f>
        <v>96571</v>
      </c>
      <c r="AX28" s="74">
        <f t="shared" si="25"/>
        <v>110360</v>
      </c>
      <c r="AY28" s="74">
        <f t="shared" si="25"/>
        <v>125843</v>
      </c>
      <c r="AZ28" s="74">
        <f t="shared" si="25"/>
        <v>143015</v>
      </c>
      <c r="BA28" s="74">
        <f t="shared" si="25"/>
        <v>168088</v>
      </c>
      <c r="BB28" s="74">
        <f t="shared" si="25"/>
        <v>198270</v>
      </c>
      <c r="BC28" s="74">
        <f t="shared" si="25"/>
        <v>211915</v>
      </c>
      <c r="BD28" s="74">
        <f t="shared" si="25"/>
        <v>245122</v>
      </c>
      <c r="BE28" s="74">
        <f>AM28+AN28+AO28+AP28</f>
        <v>281724</v>
      </c>
      <c r="BF28" s="74">
        <f>BE28*1.13</f>
        <v>318348.12</v>
      </c>
      <c r="BG28" s="74">
        <f t="shared" ref="BG28:BH28" si="26">BF28*1.1</f>
        <v>350182.93200000003</v>
      </c>
      <c r="BH28" s="74">
        <f t="shared" si="26"/>
        <v>385201.22520000004</v>
      </c>
      <c r="BI28" s="74"/>
      <c r="BJ28" s="74"/>
      <c r="BK28" s="74"/>
    </row>
    <row r="29" spans="2:63" x14ac:dyDescent="0.3">
      <c r="B29" s="79" t="s">
        <v>497</v>
      </c>
      <c r="C29" s="75">
        <v>4035</v>
      </c>
      <c r="D29" s="75">
        <v>6268</v>
      </c>
      <c r="E29" s="75">
        <v>3801</v>
      </c>
      <c r="F29" s="75">
        <v>3776</v>
      </c>
      <c r="G29" s="75">
        <v>3581</v>
      </c>
      <c r="H29" s="75">
        <v>5378</v>
      </c>
      <c r="I29" s="75">
        <v>3075</v>
      </c>
      <c r="J29" s="75">
        <v>3141</v>
      </c>
      <c r="K29" s="75">
        <v>2980</v>
      </c>
      <c r="L29" s="75">
        <v>5498</v>
      </c>
      <c r="M29" s="75">
        <v>3425</v>
      </c>
      <c r="N29" s="75">
        <v>3517</v>
      </c>
      <c r="O29" s="75">
        <v>3649</v>
      </c>
      <c r="P29" s="75">
        <v>5885</v>
      </c>
      <c r="Q29" s="75">
        <v>3441</v>
      </c>
      <c r="R29" s="75">
        <v>3298</v>
      </c>
      <c r="S29" s="75">
        <v>3305</v>
      </c>
      <c r="T29" s="75">
        <v>4966</v>
      </c>
      <c r="U29" s="75">
        <v>3376</v>
      </c>
      <c r="V29" s="75">
        <v>4370</v>
      </c>
      <c r="W29" s="75">
        <v>3597</v>
      </c>
      <c r="X29" s="75">
        <v>6058</v>
      </c>
      <c r="Y29" s="75">
        <v>4277</v>
      </c>
      <c r="Z29" s="75">
        <v>4287</v>
      </c>
      <c r="AA29" s="75">
        <v>3792</v>
      </c>
      <c r="AB29" s="75">
        <v>6331</v>
      </c>
      <c r="AC29" s="75">
        <v>4584</v>
      </c>
      <c r="AD29" s="75">
        <v>4357</v>
      </c>
      <c r="AE29" s="75">
        <v>4302</v>
      </c>
      <c r="AF29" s="75">
        <v>5690</v>
      </c>
      <c r="AG29" s="75">
        <v>3941</v>
      </c>
      <c r="AH29" s="75">
        <v>3871</v>
      </c>
      <c r="AI29" s="75">
        <v>3531</v>
      </c>
      <c r="AJ29" s="75">
        <v>5964</v>
      </c>
      <c r="AK29" s="75">
        <v>4339</v>
      </c>
      <c r="AL29" s="75">
        <v>1438</v>
      </c>
      <c r="AM29" s="75">
        <v>3294</v>
      </c>
      <c r="AN29" s="75">
        <v>3856</v>
      </c>
      <c r="AO29" s="75">
        <v>3037</v>
      </c>
      <c r="AP29" s="75">
        <v>3314</v>
      </c>
      <c r="AQ29" s="75">
        <v>2922</v>
      </c>
      <c r="AR29" s="75">
        <v>3505</v>
      </c>
      <c r="AS29" s="75"/>
      <c r="AT29" s="75"/>
      <c r="AU29" s="75"/>
      <c r="AV29" s="73">
        <v>17880</v>
      </c>
      <c r="AW29" s="73">
        <v>15175</v>
      </c>
      <c r="AX29" s="73">
        <v>15420</v>
      </c>
      <c r="AY29" s="73">
        <v>16273</v>
      </c>
      <c r="AZ29" s="73">
        <v>16017</v>
      </c>
      <c r="BA29" s="73">
        <v>18219</v>
      </c>
      <c r="BB29" s="73">
        <v>19064</v>
      </c>
      <c r="BC29" s="73">
        <v>17804</v>
      </c>
      <c r="BD29" s="73">
        <v>15272</v>
      </c>
      <c r="BE29" s="73">
        <f t="shared" si="20"/>
        <v>13501</v>
      </c>
      <c r="BF29" s="73"/>
      <c r="BG29" s="73"/>
      <c r="BH29" s="73"/>
      <c r="BI29" s="73"/>
      <c r="BJ29" s="73"/>
      <c r="BK29" s="73"/>
    </row>
    <row r="30" spans="2:63" x14ac:dyDescent="0.3">
      <c r="B30" s="79" t="s">
        <v>498</v>
      </c>
      <c r="C30" s="75">
        <v>3172</v>
      </c>
      <c r="D30" s="75">
        <v>3604</v>
      </c>
      <c r="E30" s="75">
        <v>3921</v>
      </c>
      <c r="F30" s="75">
        <v>4203</v>
      </c>
      <c r="G30" s="75">
        <v>4263</v>
      </c>
      <c r="H30" s="75">
        <v>4523</v>
      </c>
      <c r="I30" s="75">
        <v>4985</v>
      </c>
      <c r="J30" s="75">
        <v>5315</v>
      </c>
      <c r="K30" s="75">
        <v>5298</v>
      </c>
      <c r="L30" s="75">
        <v>5566</v>
      </c>
      <c r="M30" s="75">
        <v>5844</v>
      </c>
      <c r="N30" s="75">
        <v>6225</v>
      </c>
      <c r="O30" s="75">
        <v>6256</v>
      </c>
      <c r="P30" s="75">
        <v>6538</v>
      </c>
      <c r="Q30" s="75">
        <v>6729</v>
      </c>
      <c r="R30" s="75">
        <v>7114</v>
      </c>
      <c r="S30" s="75">
        <v>7101</v>
      </c>
      <c r="T30" s="75">
        <v>7392</v>
      </c>
      <c r="U30" s="75">
        <v>7599</v>
      </c>
      <c r="V30" s="75">
        <v>7969</v>
      </c>
      <c r="W30" s="75">
        <v>7405</v>
      </c>
      <c r="X30" s="75">
        <v>8136</v>
      </c>
      <c r="Y30" s="75">
        <v>8768</v>
      </c>
      <c r="Z30" s="75">
        <v>9704</v>
      </c>
      <c r="AA30" s="75">
        <v>9854</v>
      </c>
      <c r="AB30" s="75">
        <v>10629</v>
      </c>
      <c r="AC30" s="75">
        <v>11031</v>
      </c>
      <c r="AD30" s="75">
        <v>12072</v>
      </c>
      <c r="AE30" s="75">
        <v>11150</v>
      </c>
      <c r="AF30" s="75">
        <v>11798</v>
      </c>
      <c r="AG30" s="75">
        <v>12187</v>
      </c>
      <c r="AH30" s="75">
        <v>12924</v>
      </c>
      <c r="AI30" s="75">
        <v>12771</v>
      </c>
      <c r="AJ30" s="75">
        <v>13659</v>
      </c>
      <c r="AK30" s="75">
        <v>14166</v>
      </c>
      <c r="AL30" s="75">
        <v>18246</v>
      </c>
      <c r="AM30" s="75">
        <v>16805</v>
      </c>
      <c r="AN30" s="75">
        <v>17943</v>
      </c>
      <c r="AO30" s="75">
        <v>18882</v>
      </c>
      <c r="AP30" s="75">
        <v>20700</v>
      </c>
      <c r="AQ30" s="75">
        <v>21121</v>
      </c>
      <c r="AR30" s="75">
        <v>22473</v>
      </c>
      <c r="AS30" s="75"/>
      <c r="AT30" s="75"/>
      <c r="AU30" s="75"/>
      <c r="AV30" s="73">
        <v>14900</v>
      </c>
      <c r="AW30" s="73">
        <v>19086</v>
      </c>
      <c r="AX30" s="73">
        <v>22933</v>
      </c>
      <c r="AY30" s="73">
        <v>26637</v>
      </c>
      <c r="AZ30" s="73">
        <v>30061</v>
      </c>
      <c r="BA30" s="73">
        <v>34013</v>
      </c>
      <c r="BB30" s="73">
        <v>43586</v>
      </c>
      <c r="BC30" s="73">
        <v>48059</v>
      </c>
      <c r="BD30" s="73">
        <v>58842</v>
      </c>
      <c r="BE30" s="73">
        <f t="shared" si="20"/>
        <v>74330</v>
      </c>
      <c r="BF30" s="73"/>
      <c r="BG30" s="73"/>
      <c r="BH30" s="73"/>
      <c r="BI30" s="73"/>
      <c r="BJ30" s="73"/>
      <c r="BK30" s="73"/>
    </row>
    <row r="31" spans="2:63" s="1" customFormat="1" x14ac:dyDescent="0.3">
      <c r="B31" s="80" t="s">
        <v>17</v>
      </c>
      <c r="C31" s="81">
        <f t="shared" ref="C31:AF31" si="27">SUM(C29:C30)</f>
        <v>7207</v>
      </c>
      <c r="D31" s="81">
        <f t="shared" si="27"/>
        <v>9872</v>
      </c>
      <c r="E31" s="81">
        <f t="shared" si="27"/>
        <v>7722</v>
      </c>
      <c r="F31" s="81">
        <f t="shared" si="27"/>
        <v>7979</v>
      </c>
      <c r="G31" s="81">
        <f t="shared" si="27"/>
        <v>7844</v>
      </c>
      <c r="H31" s="81">
        <f t="shared" si="27"/>
        <v>9901</v>
      </c>
      <c r="I31" s="81">
        <f t="shared" si="27"/>
        <v>8060</v>
      </c>
      <c r="J31" s="81">
        <f t="shared" si="27"/>
        <v>8456</v>
      </c>
      <c r="K31" s="81">
        <f t="shared" si="27"/>
        <v>8278</v>
      </c>
      <c r="L31" s="81">
        <f t="shared" si="27"/>
        <v>11064</v>
      </c>
      <c r="M31" s="81">
        <f t="shared" si="27"/>
        <v>9269</v>
      </c>
      <c r="N31" s="81">
        <f t="shared" si="27"/>
        <v>9742</v>
      </c>
      <c r="O31" s="81">
        <f t="shared" si="27"/>
        <v>9905</v>
      </c>
      <c r="P31" s="81">
        <f t="shared" si="27"/>
        <v>12423</v>
      </c>
      <c r="Q31" s="81">
        <f t="shared" si="27"/>
        <v>10170</v>
      </c>
      <c r="R31" s="81">
        <f t="shared" si="27"/>
        <v>10412</v>
      </c>
      <c r="S31" s="81">
        <f t="shared" si="27"/>
        <v>10406</v>
      </c>
      <c r="T31" s="81">
        <f t="shared" si="27"/>
        <v>12358</v>
      </c>
      <c r="U31" s="81">
        <f t="shared" si="27"/>
        <v>10975</v>
      </c>
      <c r="V31" s="81">
        <f t="shared" si="27"/>
        <v>12339</v>
      </c>
      <c r="W31" s="81">
        <f t="shared" si="27"/>
        <v>11002</v>
      </c>
      <c r="X31" s="81">
        <f t="shared" si="27"/>
        <v>14194</v>
      </c>
      <c r="Y31" s="81">
        <f t="shared" si="27"/>
        <v>13045</v>
      </c>
      <c r="Z31" s="81">
        <f t="shared" si="27"/>
        <v>13991</v>
      </c>
      <c r="AA31" s="81">
        <f t="shared" si="27"/>
        <v>13646</v>
      </c>
      <c r="AB31" s="81">
        <f t="shared" si="27"/>
        <v>16960</v>
      </c>
      <c r="AC31" s="81">
        <f t="shared" si="27"/>
        <v>15615</v>
      </c>
      <c r="AD31" s="81">
        <f t="shared" si="27"/>
        <v>16429</v>
      </c>
      <c r="AE31" s="81">
        <f t="shared" si="27"/>
        <v>15452</v>
      </c>
      <c r="AF31" s="81">
        <f t="shared" si="27"/>
        <v>17488</v>
      </c>
      <c r="AG31" s="81">
        <f t="shared" ref="AG31:AN31" si="28">SUM(AG29:AG30)</f>
        <v>16128</v>
      </c>
      <c r="AH31" s="81">
        <f t="shared" si="28"/>
        <v>16795</v>
      </c>
      <c r="AI31" s="81">
        <f t="shared" si="28"/>
        <v>16302</v>
      </c>
      <c r="AJ31" s="81">
        <f t="shared" si="28"/>
        <v>19623</v>
      </c>
      <c r="AK31" s="81">
        <f t="shared" si="28"/>
        <v>18505</v>
      </c>
      <c r="AL31" s="81">
        <f t="shared" si="28"/>
        <v>19684</v>
      </c>
      <c r="AM31" s="81">
        <f t="shared" si="28"/>
        <v>20099</v>
      </c>
      <c r="AN31" s="81">
        <f t="shared" si="28"/>
        <v>21799</v>
      </c>
      <c r="AO31" s="81">
        <f t="shared" ref="AO31:AP31" si="29">SUM(AO29:AO30)</f>
        <v>21919</v>
      </c>
      <c r="AP31" s="81">
        <f t="shared" si="29"/>
        <v>24014</v>
      </c>
      <c r="AQ31" s="81">
        <f t="shared" ref="AQ31:AR31" si="30">SUM(AQ29:AQ30)</f>
        <v>24043</v>
      </c>
      <c r="AR31" s="81">
        <f t="shared" si="30"/>
        <v>25978</v>
      </c>
      <c r="AS31" s="81"/>
      <c r="AT31" s="81"/>
      <c r="AU31" s="81"/>
      <c r="AV31" s="74">
        <f>SUM(AV29:AV30)</f>
        <v>32780</v>
      </c>
      <c r="AW31" s="74">
        <f t="shared" ref="AW31:BD31" si="31">SUM(AW29:AW30)</f>
        <v>34261</v>
      </c>
      <c r="AX31" s="74">
        <f t="shared" si="31"/>
        <v>38353</v>
      </c>
      <c r="AY31" s="74">
        <f t="shared" si="31"/>
        <v>42910</v>
      </c>
      <c r="AZ31" s="74">
        <f t="shared" si="31"/>
        <v>46078</v>
      </c>
      <c r="BA31" s="74">
        <f t="shared" si="31"/>
        <v>52232</v>
      </c>
      <c r="BB31" s="74">
        <f t="shared" si="31"/>
        <v>62650</v>
      </c>
      <c r="BC31" s="74">
        <f t="shared" si="31"/>
        <v>65863</v>
      </c>
      <c r="BD31" s="74">
        <f t="shared" si="31"/>
        <v>74114</v>
      </c>
      <c r="BE31" s="74">
        <f t="shared" ref="BE31" si="32">SUM(BE29:BE30)</f>
        <v>87831</v>
      </c>
      <c r="BF31" s="74"/>
      <c r="BG31" s="74"/>
      <c r="BH31" s="74"/>
      <c r="BI31" s="74"/>
      <c r="BJ31" s="74"/>
      <c r="BK31" s="74"/>
    </row>
    <row r="32" spans="2:63" s="1" customFormat="1" x14ac:dyDescent="0.3">
      <c r="B32" s="80" t="s">
        <v>60</v>
      </c>
      <c r="C32" s="81">
        <f t="shared" ref="C32:AF32" si="33">C28-C31</f>
        <v>13703</v>
      </c>
      <c r="D32" s="81">
        <f t="shared" si="33"/>
        <v>15381</v>
      </c>
      <c r="E32" s="81">
        <f t="shared" si="33"/>
        <v>13795</v>
      </c>
      <c r="F32" s="81">
        <f t="shared" si="33"/>
        <v>15495</v>
      </c>
      <c r="G32" s="81">
        <f t="shared" si="33"/>
        <v>14084</v>
      </c>
      <c r="H32" s="81">
        <f t="shared" si="33"/>
        <v>15925</v>
      </c>
      <c r="I32" s="81">
        <f t="shared" si="33"/>
        <v>15152</v>
      </c>
      <c r="J32" s="81">
        <f t="shared" si="33"/>
        <v>17149</v>
      </c>
      <c r="K32" s="81">
        <f t="shared" si="33"/>
        <v>16260</v>
      </c>
      <c r="L32" s="81">
        <f t="shared" si="33"/>
        <v>17854</v>
      </c>
      <c r="M32" s="81">
        <f t="shared" si="33"/>
        <v>17550</v>
      </c>
      <c r="N32" s="81">
        <f t="shared" si="33"/>
        <v>20343</v>
      </c>
      <c r="O32" s="81">
        <f t="shared" si="33"/>
        <v>19179</v>
      </c>
      <c r="P32" s="81">
        <f t="shared" si="33"/>
        <v>20048</v>
      </c>
      <c r="Q32" s="81">
        <f t="shared" si="33"/>
        <v>20401</v>
      </c>
      <c r="R32" s="81">
        <f t="shared" si="33"/>
        <v>23305</v>
      </c>
      <c r="S32" s="81">
        <f t="shared" si="33"/>
        <v>22649</v>
      </c>
      <c r="T32" s="81">
        <f t="shared" si="33"/>
        <v>24548</v>
      </c>
      <c r="U32" s="81">
        <f t="shared" si="33"/>
        <v>24046</v>
      </c>
      <c r="V32" s="81">
        <f t="shared" si="33"/>
        <v>25694</v>
      </c>
      <c r="W32" s="81">
        <f t="shared" si="33"/>
        <v>26152</v>
      </c>
      <c r="X32" s="81">
        <f t="shared" si="33"/>
        <v>28882</v>
      </c>
      <c r="Y32" s="81">
        <f t="shared" si="33"/>
        <v>28661</v>
      </c>
      <c r="Z32" s="81">
        <f t="shared" si="33"/>
        <v>32161</v>
      </c>
      <c r="AA32" s="81">
        <f t="shared" si="33"/>
        <v>31671</v>
      </c>
      <c r="AB32" s="81">
        <f t="shared" si="33"/>
        <v>34768</v>
      </c>
      <c r="AC32" s="81">
        <f t="shared" si="33"/>
        <v>33745</v>
      </c>
      <c r="AD32" s="81">
        <f t="shared" si="33"/>
        <v>35436</v>
      </c>
      <c r="AE32" s="81">
        <f t="shared" si="33"/>
        <v>34670</v>
      </c>
      <c r="AF32" s="81">
        <f t="shared" si="33"/>
        <v>35259</v>
      </c>
      <c r="AG32" s="81">
        <f t="shared" ref="AG32:AN32" si="34">AG28-AG31</f>
        <v>36729</v>
      </c>
      <c r="AH32" s="81">
        <f t="shared" si="34"/>
        <v>39394</v>
      </c>
      <c r="AI32" s="81">
        <f t="shared" si="34"/>
        <v>40215</v>
      </c>
      <c r="AJ32" s="81">
        <f t="shared" si="34"/>
        <v>42397</v>
      </c>
      <c r="AK32" s="81">
        <f t="shared" si="34"/>
        <v>43353</v>
      </c>
      <c r="AL32" s="81">
        <f t="shared" si="34"/>
        <v>45043</v>
      </c>
      <c r="AM32" s="81">
        <f t="shared" si="34"/>
        <v>45486</v>
      </c>
      <c r="AN32" s="81">
        <f t="shared" si="34"/>
        <v>47833</v>
      </c>
      <c r="AO32" s="81">
        <f t="shared" ref="AO32:AP32" si="35">AO28-AO31</f>
        <v>48147</v>
      </c>
      <c r="AP32" s="81">
        <f t="shared" si="35"/>
        <v>52427</v>
      </c>
      <c r="AQ32" s="81">
        <f t="shared" ref="AQ32:AR32" si="36">AQ28-AQ31</f>
        <v>53630</v>
      </c>
      <c r="AR32" s="81">
        <f t="shared" si="36"/>
        <v>55295</v>
      </c>
      <c r="AS32" s="81"/>
      <c r="AT32" s="81"/>
      <c r="AU32" s="81"/>
      <c r="AV32" s="74">
        <f>AV28-AV31</f>
        <v>58374</v>
      </c>
      <c r="AW32" s="74">
        <f t="shared" ref="AW32:BD32" si="37">AW28-AW31</f>
        <v>62310</v>
      </c>
      <c r="AX32" s="74">
        <f t="shared" si="37"/>
        <v>72007</v>
      </c>
      <c r="AY32" s="74">
        <f t="shared" si="37"/>
        <v>82933</v>
      </c>
      <c r="AZ32" s="74">
        <f t="shared" si="37"/>
        <v>96937</v>
      </c>
      <c r="BA32" s="74">
        <f t="shared" si="37"/>
        <v>115856</v>
      </c>
      <c r="BB32" s="74">
        <f t="shared" si="37"/>
        <v>135620</v>
      </c>
      <c r="BC32" s="74">
        <f t="shared" si="37"/>
        <v>146052</v>
      </c>
      <c r="BD32" s="74">
        <f t="shared" si="37"/>
        <v>171008</v>
      </c>
      <c r="BE32" s="74">
        <f t="shared" ref="BE32" si="38">BE28-BE31</f>
        <v>193893</v>
      </c>
      <c r="BF32" s="74">
        <f t="shared" ref="BF32:BH32" si="39">BF28*0.7</f>
        <v>222843.68399999998</v>
      </c>
      <c r="BG32" s="74">
        <f t="shared" si="39"/>
        <v>245128.05240000002</v>
      </c>
      <c r="BH32" s="74">
        <f t="shared" si="39"/>
        <v>269640.85764</v>
      </c>
      <c r="BI32" s="74"/>
      <c r="BJ32" s="74"/>
      <c r="BK32" s="74"/>
    </row>
    <row r="33" spans="2:521" ht="15" x14ac:dyDescent="0.35">
      <c r="B33" s="79" t="s">
        <v>20</v>
      </c>
      <c r="C33" s="82">
        <v>2962</v>
      </c>
      <c r="D33" s="82">
        <v>2900</v>
      </c>
      <c r="E33" s="82">
        <v>2980</v>
      </c>
      <c r="F33" s="82">
        <v>3146</v>
      </c>
      <c r="G33" s="82">
        <v>3106</v>
      </c>
      <c r="H33" s="82">
        <v>3062</v>
      </c>
      <c r="I33" s="82">
        <v>3355</v>
      </c>
      <c r="J33" s="82">
        <v>3514</v>
      </c>
      <c r="K33" s="82">
        <v>3574</v>
      </c>
      <c r="L33" s="82">
        <v>3504</v>
      </c>
      <c r="M33" s="82">
        <v>3715</v>
      </c>
      <c r="N33" s="82">
        <v>3933</v>
      </c>
      <c r="O33" s="82">
        <v>3977</v>
      </c>
      <c r="P33" s="82">
        <v>4070</v>
      </c>
      <c r="Q33" s="82">
        <v>4316</v>
      </c>
      <c r="R33" s="82">
        <v>4513</v>
      </c>
      <c r="S33" s="82">
        <v>4565</v>
      </c>
      <c r="T33" s="82">
        <v>4603</v>
      </c>
      <c r="U33" s="82">
        <v>4887</v>
      </c>
      <c r="V33" s="82">
        <v>5214</v>
      </c>
      <c r="W33" s="82">
        <v>4926</v>
      </c>
      <c r="X33" s="82">
        <v>4899</v>
      </c>
      <c r="Y33" s="82">
        <v>5204</v>
      </c>
      <c r="Z33" s="82">
        <v>5687</v>
      </c>
      <c r="AA33" s="82">
        <v>5599</v>
      </c>
      <c r="AB33" s="82">
        <v>5758</v>
      </c>
      <c r="AC33" s="82">
        <v>6306</v>
      </c>
      <c r="AD33" s="82">
        <v>6849</v>
      </c>
      <c r="AE33" s="82">
        <v>6628</v>
      </c>
      <c r="AF33" s="82">
        <v>6844</v>
      </c>
      <c r="AG33" s="75">
        <v>6984</v>
      </c>
      <c r="AH33" s="75">
        <v>6739</v>
      </c>
      <c r="AI33" s="75">
        <v>6659</v>
      </c>
      <c r="AJ33" s="75">
        <v>7142</v>
      </c>
      <c r="AK33" s="75">
        <v>7653</v>
      </c>
      <c r="AL33" s="75">
        <v>805</v>
      </c>
      <c r="AM33" s="75">
        <v>7544</v>
      </c>
      <c r="AN33" s="75">
        <v>7917</v>
      </c>
      <c r="AO33" s="75">
        <v>8198</v>
      </c>
      <c r="AP33" s="75">
        <v>8829</v>
      </c>
      <c r="AQ33" s="75">
        <v>8146</v>
      </c>
      <c r="AR33" s="75">
        <v>8504</v>
      </c>
      <c r="AS33" s="75"/>
      <c r="AT33" s="75"/>
      <c r="AU33" s="75"/>
      <c r="AV33" s="73">
        <v>11988</v>
      </c>
      <c r="AW33" s="73">
        <v>13037</v>
      </c>
      <c r="AX33" s="73">
        <v>14726</v>
      </c>
      <c r="AY33" s="73">
        <v>16876</v>
      </c>
      <c r="AZ33" s="73">
        <v>19269</v>
      </c>
      <c r="BA33" s="73">
        <v>20716</v>
      </c>
      <c r="BB33" s="73">
        <v>24512</v>
      </c>
      <c r="BC33" s="73">
        <v>27195</v>
      </c>
      <c r="BD33" s="73">
        <v>29510</v>
      </c>
      <c r="BE33" s="73">
        <f t="shared" si="20"/>
        <v>32488</v>
      </c>
      <c r="BF33" s="73"/>
      <c r="BG33" s="73"/>
      <c r="BH33" s="73"/>
      <c r="BI33" s="73"/>
      <c r="BJ33" s="73"/>
      <c r="BK33" s="73"/>
    </row>
    <row r="34" spans="2:521" ht="15" x14ac:dyDescent="0.35">
      <c r="B34" s="79" t="s">
        <v>57</v>
      </c>
      <c r="C34" s="82">
        <v>3341</v>
      </c>
      <c r="D34" s="82">
        <v>3954</v>
      </c>
      <c r="E34" s="82">
        <v>3398</v>
      </c>
      <c r="F34" s="82">
        <v>3942</v>
      </c>
      <c r="G34" s="82">
        <v>3218</v>
      </c>
      <c r="H34" s="82">
        <v>4079</v>
      </c>
      <c r="I34" s="82">
        <v>3872</v>
      </c>
      <c r="J34" s="82">
        <v>4292</v>
      </c>
      <c r="K34" s="82">
        <v>3812</v>
      </c>
      <c r="L34" s="82">
        <v>4562</v>
      </c>
      <c r="M34" s="82">
        <v>4335</v>
      </c>
      <c r="N34" s="82">
        <v>4760</v>
      </c>
      <c r="O34" s="82">
        <v>4098</v>
      </c>
      <c r="P34" s="82">
        <v>4588</v>
      </c>
      <c r="Q34" s="82">
        <v>4565</v>
      </c>
      <c r="R34" s="82">
        <v>4962</v>
      </c>
      <c r="S34" s="82">
        <v>4337</v>
      </c>
      <c r="T34" s="82">
        <v>4933</v>
      </c>
      <c r="U34" s="82">
        <v>4911</v>
      </c>
      <c r="V34" s="82">
        <v>5417</v>
      </c>
      <c r="W34" s="82">
        <v>4231</v>
      </c>
      <c r="X34" s="82">
        <v>4947</v>
      </c>
      <c r="Y34" s="82">
        <v>5082</v>
      </c>
      <c r="Z34" s="82">
        <v>5857</v>
      </c>
      <c r="AA34" s="82">
        <v>4547</v>
      </c>
      <c r="AB34" s="82">
        <v>5379</v>
      </c>
      <c r="AC34" s="82">
        <v>5595</v>
      </c>
      <c r="AD34" s="82">
        <v>6304</v>
      </c>
      <c r="AE34" s="82">
        <v>5126</v>
      </c>
      <c r="AF34" s="82">
        <v>5679</v>
      </c>
      <c r="AG34" s="75">
        <v>5750</v>
      </c>
      <c r="AH34" s="75">
        <v>6204</v>
      </c>
      <c r="AI34" s="75">
        <v>5187</v>
      </c>
      <c r="AJ34" s="75">
        <v>6246</v>
      </c>
      <c r="AK34" s="75">
        <v>6207</v>
      </c>
      <c r="AL34" s="75">
        <v>6816</v>
      </c>
      <c r="AM34" s="75">
        <v>5717</v>
      </c>
      <c r="AN34" s="75">
        <v>6440</v>
      </c>
      <c r="AO34" s="75">
        <v>6212</v>
      </c>
      <c r="AP34" s="75">
        <v>7285</v>
      </c>
      <c r="AQ34" s="75">
        <v>5717</v>
      </c>
      <c r="AR34" s="75">
        <v>6584</v>
      </c>
      <c r="AS34" s="75"/>
      <c r="AT34" s="75"/>
      <c r="AU34" s="75"/>
      <c r="AV34" s="73">
        <v>14635</v>
      </c>
      <c r="AW34" s="73">
        <v>15461</v>
      </c>
      <c r="AX34" s="73">
        <v>17469</v>
      </c>
      <c r="AY34" s="73">
        <v>18213</v>
      </c>
      <c r="AZ34" s="73">
        <v>19598</v>
      </c>
      <c r="BA34" s="73">
        <v>20117</v>
      </c>
      <c r="BB34" s="73">
        <v>21825</v>
      </c>
      <c r="BC34" s="73">
        <v>22759</v>
      </c>
      <c r="BD34" s="73">
        <v>24456</v>
      </c>
      <c r="BE34" s="73">
        <f t="shared" si="20"/>
        <v>25654</v>
      </c>
      <c r="BF34" s="73"/>
      <c r="BG34" s="73"/>
      <c r="BH34" s="73"/>
      <c r="BI34" s="73"/>
      <c r="BJ34" s="73"/>
      <c r="BK34" s="73"/>
    </row>
    <row r="35" spans="2:521" ht="15" x14ac:dyDescent="0.35">
      <c r="B35" s="79" t="s">
        <v>58</v>
      </c>
      <c r="C35" s="82">
        <v>1084</v>
      </c>
      <c r="D35" s="82">
        <v>1038</v>
      </c>
      <c r="E35" s="82">
        <v>1140</v>
      </c>
      <c r="F35" s="82">
        <f>1301+1110</f>
        <v>2411</v>
      </c>
      <c r="G35" s="82">
        <v>1045</v>
      </c>
      <c r="H35" s="83">
        <v>879</v>
      </c>
      <c r="I35" s="82">
        <v>1202</v>
      </c>
      <c r="J35" s="82">
        <f>1355+306</f>
        <v>1661</v>
      </c>
      <c r="K35" s="82">
        <v>1166</v>
      </c>
      <c r="L35" s="82">
        <v>1109</v>
      </c>
      <c r="M35" s="82">
        <v>1208</v>
      </c>
      <c r="N35" s="82">
        <v>1271</v>
      </c>
      <c r="O35" s="82">
        <v>1149</v>
      </c>
      <c r="P35" s="82">
        <v>1132</v>
      </c>
      <c r="Q35" s="82">
        <v>1179</v>
      </c>
      <c r="R35" s="82">
        <v>1425</v>
      </c>
      <c r="S35" s="82">
        <v>1061</v>
      </c>
      <c r="T35" s="82">
        <v>1121</v>
      </c>
      <c r="U35" s="82">
        <v>1273</v>
      </c>
      <c r="V35" s="82">
        <v>1656</v>
      </c>
      <c r="W35" s="82">
        <v>1119</v>
      </c>
      <c r="X35" s="82">
        <v>1139</v>
      </c>
      <c r="Y35" s="82">
        <v>1327</v>
      </c>
      <c r="Z35" s="82">
        <v>1522</v>
      </c>
      <c r="AA35" s="82">
        <v>1287</v>
      </c>
      <c r="AB35" s="82">
        <v>1384</v>
      </c>
      <c r="AC35" s="82">
        <v>1480</v>
      </c>
      <c r="AD35" s="82">
        <v>1749</v>
      </c>
      <c r="AE35" s="82">
        <v>1398</v>
      </c>
      <c r="AF35" s="82">
        <v>2337</v>
      </c>
      <c r="AG35" s="75">
        <v>1643</v>
      </c>
      <c r="AH35" s="75">
        <v>2197</v>
      </c>
      <c r="AI35" s="75">
        <v>1474</v>
      </c>
      <c r="AJ35" s="75">
        <v>1977</v>
      </c>
      <c r="AK35" s="75">
        <v>1912</v>
      </c>
      <c r="AL35" s="75">
        <v>2246</v>
      </c>
      <c r="AM35" s="75">
        <v>1673</v>
      </c>
      <c r="AN35" s="75">
        <v>1823</v>
      </c>
      <c r="AO35" s="75">
        <v>1737</v>
      </c>
      <c r="AP35" s="75">
        <v>1990</v>
      </c>
      <c r="AQ35" s="75">
        <v>1806</v>
      </c>
      <c r="AR35" s="75">
        <v>1932</v>
      </c>
      <c r="AS35" s="75"/>
      <c r="AT35" s="75"/>
      <c r="AU35" s="75"/>
      <c r="AV35" s="73">
        <f>4563+1110</f>
        <v>5673</v>
      </c>
      <c r="AW35" s="73">
        <f>4481+306</f>
        <v>4787</v>
      </c>
      <c r="AX35" s="73">
        <v>4754</v>
      </c>
      <c r="AY35" s="73">
        <v>4885</v>
      </c>
      <c r="AZ35" s="73">
        <v>5111</v>
      </c>
      <c r="BA35" s="73">
        <v>5107</v>
      </c>
      <c r="BB35" s="73">
        <v>5900</v>
      </c>
      <c r="BC35" s="73">
        <v>7575</v>
      </c>
      <c r="BD35" s="73">
        <v>7609</v>
      </c>
      <c r="BE35" s="73">
        <f t="shared" si="20"/>
        <v>7223</v>
      </c>
      <c r="BF35" s="73"/>
      <c r="BG35" s="73"/>
      <c r="BH35" s="73"/>
      <c r="BI35" s="73"/>
      <c r="BJ35" s="73"/>
      <c r="BK35" s="73"/>
    </row>
    <row r="36" spans="2:521" s="1" customFormat="1" x14ac:dyDescent="0.3">
      <c r="B36" s="80" t="s">
        <v>22</v>
      </c>
      <c r="C36" s="81">
        <f t="shared" ref="C36:AF36" si="40">SUM(C33:C35)</f>
        <v>7387</v>
      </c>
      <c r="D36" s="81">
        <f t="shared" si="40"/>
        <v>7892</v>
      </c>
      <c r="E36" s="81">
        <f t="shared" si="40"/>
        <v>7518</v>
      </c>
      <c r="F36" s="81">
        <f t="shared" si="40"/>
        <v>9499</v>
      </c>
      <c r="G36" s="81">
        <f t="shared" si="40"/>
        <v>7369</v>
      </c>
      <c r="H36" s="81">
        <f t="shared" si="40"/>
        <v>8020</v>
      </c>
      <c r="I36" s="81">
        <f t="shared" si="40"/>
        <v>8429</v>
      </c>
      <c r="J36" s="81">
        <f t="shared" si="40"/>
        <v>9467</v>
      </c>
      <c r="K36" s="81">
        <f t="shared" si="40"/>
        <v>8552</v>
      </c>
      <c r="L36" s="81">
        <f t="shared" si="40"/>
        <v>9175</v>
      </c>
      <c r="M36" s="81">
        <f t="shared" si="40"/>
        <v>9258</v>
      </c>
      <c r="N36" s="81">
        <f t="shared" si="40"/>
        <v>9964</v>
      </c>
      <c r="O36" s="81">
        <f t="shared" si="40"/>
        <v>9224</v>
      </c>
      <c r="P36" s="81">
        <f t="shared" si="40"/>
        <v>9790</v>
      </c>
      <c r="Q36" s="81">
        <f t="shared" si="40"/>
        <v>10060</v>
      </c>
      <c r="R36" s="81">
        <f t="shared" si="40"/>
        <v>10900</v>
      </c>
      <c r="S36" s="81">
        <f t="shared" si="40"/>
        <v>9963</v>
      </c>
      <c r="T36" s="81">
        <f t="shared" si="40"/>
        <v>10657</v>
      </c>
      <c r="U36" s="81">
        <f t="shared" si="40"/>
        <v>11071</v>
      </c>
      <c r="V36" s="81">
        <f t="shared" si="40"/>
        <v>12287</v>
      </c>
      <c r="W36" s="81">
        <f t="shared" si="40"/>
        <v>10276</v>
      </c>
      <c r="X36" s="81">
        <f t="shared" si="40"/>
        <v>10985</v>
      </c>
      <c r="Y36" s="81">
        <f t="shared" si="40"/>
        <v>11613</v>
      </c>
      <c r="Z36" s="81">
        <f t="shared" si="40"/>
        <v>13066</v>
      </c>
      <c r="AA36" s="81">
        <f t="shared" si="40"/>
        <v>11433</v>
      </c>
      <c r="AB36" s="81">
        <f t="shared" si="40"/>
        <v>12521</v>
      </c>
      <c r="AC36" s="81">
        <f t="shared" si="40"/>
        <v>13381</v>
      </c>
      <c r="AD36" s="81">
        <f t="shared" si="40"/>
        <v>14902</v>
      </c>
      <c r="AE36" s="81">
        <f t="shared" si="40"/>
        <v>13152</v>
      </c>
      <c r="AF36" s="81">
        <f t="shared" si="40"/>
        <v>14860</v>
      </c>
      <c r="AG36" s="81">
        <f t="shared" ref="AG36:AN36" si="41">SUM(AG33:AG35)</f>
        <v>14377</v>
      </c>
      <c r="AH36" s="81">
        <f t="shared" si="41"/>
        <v>15140</v>
      </c>
      <c r="AI36" s="81">
        <f t="shared" si="41"/>
        <v>13320</v>
      </c>
      <c r="AJ36" s="81">
        <f t="shared" si="41"/>
        <v>15365</v>
      </c>
      <c r="AK36" s="81">
        <f t="shared" si="41"/>
        <v>15772</v>
      </c>
      <c r="AL36" s="81">
        <f t="shared" si="41"/>
        <v>9867</v>
      </c>
      <c r="AM36" s="81">
        <f t="shared" si="41"/>
        <v>14934</v>
      </c>
      <c r="AN36" s="81">
        <f t="shared" si="41"/>
        <v>16180</v>
      </c>
      <c r="AO36" s="81">
        <f t="shared" ref="AO36:AP36" si="42">SUM(AO33:AO35)</f>
        <v>16147</v>
      </c>
      <c r="AP36" s="81">
        <f t="shared" si="42"/>
        <v>18104</v>
      </c>
      <c r="AQ36" s="81">
        <f t="shared" ref="AQ36:AR36" si="43">SUM(AQ33:AQ35)</f>
        <v>15669</v>
      </c>
      <c r="AR36" s="81">
        <f t="shared" si="43"/>
        <v>17020</v>
      </c>
      <c r="AS36" s="81"/>
      <c r="AT36" s="81"/>
      <c r="AU36" s="81"/>
      <c r="AV36" s="74">
        <f>SUM(AV33:AV35)</f>
        <v>32296</v>
      </c>
      <c r="AW36" s="74">
        <f t="shared" ref="AW36:BD36" si="44">SUM(AW33:AW35)</f>
        <v>33285</v>
      </c>
      <c r="AX36" s="74">
        <f t="shared" si="44"/>
        <v>36949</v>
      </c>
      <c r="AY36" s="74">
        <f t="shared" si="44"/>
        <v>39974</v>
      </c>
      <c r="AZ36" s="74">
        <f t="shared" si="44"/>
        <v>43978</v>
      </c>
      <c r="BA36" s="74">
        <f t="shared" si="44"/>
        <v>45940</v>
      </c>
      <c r="BB36" s="74">
        <f t="shared" si="44"/>
        <v>52237</v>
      </c>
      <c r="BC36" s="74">
        <f t="shared" si="44"/>
        <v>57529</v>
      </c>
      <c r="BD36" s="74">
        <f t="shared" si="44"/>
        <v>61575</v>
      </c>
      <c r="BE36" s="74">
        <f t="shared" ref="BE36" si="45">SUM(BE33:BE35)</f>
        <v>65365</v>
      </c>
      <c r="BF36" s="74">
        <f>BE36*1.05</f>
        <v>68633.25</v>
      </c>
      <c r="BG36" s="74">
        <f t="shared" ref="BG36:BH36" si="46">BF36*1.05</f>
        <v>72064.912500000006</v>
      </c>
      <c r="BH36" s="74">
        <f t="shared" si="46"/>
        <v>75668.158125000016</v>
      </c>
      <c r="BI36" s="74"/>
      <c r="BJ36" s="74"/>
      <c r="BK36" s="74"/>
    </row>
    <row r="37" spans="2:521" s="1" customFormat="1" x14ac:dyDescent="0.3">
      <c r="B37" s="80" t="s">
        <v>388</v>
      </c>
      <c r="C37" s="81">
        <f t="shared" ref="C37:AF37" si="47">C32-C36</f>
        <v>6316</v>
      </c>
      <c r="D37" s="81">
        <f t="shared" si="47"/>
        <v>7489</v>
      </c>
      <c r="E37" s="81">
        <f t="shared" si="47"/>
        <v>6277</v>
      </c>
      <c r="F37" s="81">
        <f t="shared" si="47"/>
        <v>5996</v>
      </c>
      <c r="G37" s="81">
        <f t="shared" si="47"/>
        <v>6715</v>
      </c>
      <c r="H37" s="81">
        <f t="shared" si="47"/>
        <v>7905</v>
      </c>
      <c r="I37" s="81">
        <f t="shared" si="47"/>
        <v>6723</v>
      </c>
      <c r="J37" s="81">
        <f t="shared" si="47"/>
        <v>7682</v>
      </c>
      <c r="K37" s="81">
        <f t="shared" si="47"/>
        <v>7708</v>
      </c>
      <c r="L37" s="81">
        <f t="shared" si="47"/>
        <v>8679</v>
      </c>
      <c r="M37" s="81">
        <f t="shared" si="47"/>
        <v>8292</v>
      </c>
      <c r="N37" s="81">
        <f t="shared" si="47"/>
        <v>10379</v>
      </c>
      <c r="O37" s="81">
        <f t="shared" si="47"/>
        <v>9955</v>
      </c>
      <c r="P37" s="81">
        <f t="shared" si="47"/>
        <v>10258</v>
      </c>
      <c r="Q37" s="81">
        <f t="shared" si="47"/>
        <v>10341</v>
      </c>
      <c r="R37" s="81">
        <f t="shared" si="47"/>
        <v>12405</v>
      </c>
      <c r="S37" s="81">
        <f t="shared" si="47"/>
        <v>12686</v>
      </c>
      <c r="T37" s="81">
        <f t="shared" si="47"/>
        <v>13891</v>
      </c>
      <c r="U37" s="81">
        <f t="shared" si="47"/>
        <v>12975</v>
      </c>
      <c r="V37" s="81">
        <f t="shared" si="47"/>
        <v>13407</v>
      </c>
      <c r="W37" s="81">
        <f t="shared" si="47"/>
        <v>15876</v>
      </c>
      <c r="X37" s="81">
        <f t="shared" si="47"/>
        <v>17897</v>
      </c>
      <c r="Y37" s="81">
        <f t="shared" si="47"/>
        <v>17048</v>
      </c>
      <c r="Z37" s="81">
        <f t="shared" si="47"/>
        <v>19095</v>
      </c>
      <c r="AA37" s="81">
        <f t="shared" si="47"/>
        <v>20238</v>
      </c>
      <c r="AB37" s="81">
        <f t="shared" si="47"/>
        <v>22247</v>
      </c>
      <c r="AC37" s="81">
        <f t="shared" si="47"/>
        <v>20364</v>
      </c>
      <c r="AD37" s="81">
        <f t="shared" si="47"/>
        <v>20534</v>
      </c>
      <c r="AE37" s="81">
        <f t="shared" si="47"/>
        <v>21518</v>
      </c>
      <c r="AF37" s="81">
        <f t="shared" si="47"/>
        <v>20399</v>
      </c>
      <c r="AG37" s="81">
        <f t="shared" ref="AG37:AN37" si="48">AG32-AG36</f>
        <v>22352</v>
      </c>
      <c r="AH37" s="81">
        <f t="shared" si="48"/>
        <v>24254</v>
      </c>
      <c r="AI37" s="81">
        <f t="shared" si="48"/>
        <v>26895</v>
      </c>
      <c r="AJ37" s="81">
        <f t="shared" si="48"/>
        <v>27032</v>
      </c>
      <c r="AK37" s="81">
        <f t="shared" si="48"/>
        <v>27581</v>
      </c>
      <c r="AL37" s="81">
        <f t="shared" si="48"/>
        <v>35176</v>
      </c>
      <c r="AM37" s="81">
        <f t="shared" si="48"/>
        <v>30552</v>
      </c>
      <c r="AN37" s="81">
        <f t="shared" si="48"/>
        <v>31653</v>
      </c>
      <c r="AO37" s="81">
        <f t="shared" ref="AO37:AP37" si="49">AO32-AO36</f>
        <v>32000</v>
      </c>
      <c r="AP37" s="81">
        <f t="shared" si="49"/>
        <v>34323</v>
      </c>
      <c r="AQ37" s="81">
        <f t="shared" ref="AQ37:AR37" si="50">AQ32-AQ36</f>
        <v>37961</v>
      </c>
      <c r="AR37" s="81">
        <f t="shared" si="50"/>
        <v>38275</v>
      </c>
      <c r="AS37" s="81"/>
      <c r="AT37" s="81"/>
      <c r="AU37" s="81"/>
      <c r="AV37" s="74">
        <f>AV32-AV36</f>
        <v>26078</v>
      </c>
      <c r="AW37" s="74">
        <f t="shared" ref="AW37:BD37" si="51">AW32-AW36</f>
        <v>29025</v>
      </c>
      <c r="AX37" s="74">
        <f t="shared" si="51"/>
        <v>35058</v>
      </c>
      <c r="AY37" s="74">
        <f t="shared" si="51"/>
        <v>42959</v>
      </c>
      <c r="AZ37" s="74">
        <f t="shared" si="51"/>
        <v>52959</v>
      </c>
      <c r="BA37" s="74">
        <f t="shared" si="51"/>
        <v>69916</v>
      </c>
      <c r="BB37" s="74">
        <f t="shared" si="51"/>
        <v>83383</v>
      </c>
      <c r="BC37" s="74">
        <f t="shared" si="51"/>
        <v>88523</v>
      </c>
      <c r="BD37" s="74">
        <f t="shared" si="51"/>
        <v>109433</v>
      </c>
      <c r="BE37" s="74">
        <f t="shared" ref="BE37" si="52">BE32-BE36</f>
        <v>128528</v>
      </c>
      <c r="BF37" s="74">
        <f t="shared" ref="BF37:BH37" si="53">BF32-BF36</f>
        <v>154210.43399999998</v>
      </c>
      <c r="BG37" s="74">
        <f t="shared" si="53"/>
        <v>173063.13990000001</v>
      </c>
      <c r="BH37" s="74">
        <f t="shared" si="53"/>
        <v>193972.69951499999</v>
      </c>
      <c r="BI37" s="74"/>
      <c r="BJ37" s="74"/>
      <c r="BK37" s="74"/>
    </row>
    <row r="38" spans="2:521" x14ac:dyDescent="0.3">
      <c r="B38" s="79" t="s">
        <v>499</v>
      </c>
      <c r="C38" s="75">
        <v>-295</v>
      </c>
      <c r="D38" s="75">
        <v>-176</v>
      </c>
      <c r="E38" s="75">
        <v>-212</v>
      </c>
      <c r="F38" s="75">
        <v>244</v>
      </c>
      <c r="G38" s="75">
        <v>112</v>
      </c>
      <c r="H38" s="75">
        <v>117</v>
      </c>
      <c r="I38" s="75">
        <v>371</v>
      </c>
      <c r="J38" s="75">
        <v>276</v>
      </c>
      <c r="K38" s="75">
        <v>276</v>
      </c>
      <c r="L38" s="75">
        <v>490</v>
      </c>
      <c r="M38" s="75">
        <v>349</v>
      </c>
      <c r="N38" s="75">
        <v>301</v>
      </c>
      <c r="O38" s="75">
        <v>266</v>
      </c>
      <c r="P38" s="75">
        <v>127</v>
      </c>
      <c r="Q38" s="75">
        <v>145</v>
      </c>
      <c r="R38" s="75">
        <v>191</v>
      </c>
      <c r="S38" s="75">
        <v>0</v>
      </c>
      <c r="T38" s="75">
        <v>194</v>
      </c>
      <c r="U38" s="75">
        <v>-132</v>
      </c>
      <c r="V38" s="75">
        <v>15</v>
      </c>
      <c r="W38" s="75">
        <v>248</v>
      </c>
      <c r="X38" s="75">
        <v>440</v>
      </c>
      <c r="Y38" s="75">
        <v>188</v>
      </c>
      <c r="Z38" s="75">
        <v>310</v>
      </c>
      <c r="AA38" s="75">
        <v>286</v>
      </c>
      <c r="AB38" s="75">
        <v>268</v>
      </c>
      <c r="AC38" s="75">
        <v>-174</v>
      </c>
      <c r="AD38" s="75">
        <v>-47</v>
      </c>
      <c r="AE38" s="75">
        <v>54</v>
      </c>
      <c r="AF38" s="75">
        <v>-60</v>
      </c>
      <c r="AG38" s="75">
        <v>321</v>
      </c>
      <c r="AH38" s="75">
        <v>473</v>
      </c>
      <c r="AI38" s="75">
        <v>389</v>
      </c>
      <c r="AJ38" s="75">
        <v>-506</v>
      </c>
      <c r="AK38" s="75">
        <v>-854</v>
      </c>
      <c r="AL38" s="75">
        <v>-675</v>
      </c>
      <c r="AM38" s="75">
        <v>-283</v>
      </c>
      <c r="AN38" s="75">
        <v>-2288</v>
      </c>
      <c r="AO38" s="75">
        <v>-623</v>
      </c>
      <c r="AP38" s="75">
        <v>-1707</v>
      </c>
      <c r="AQ38" s="75">
        <v>-3660</v>
      </c>
      <c r="AR38" s="75">
        <v>9971</v>
      </c>
      <c r="AS38" s="75"/>
      <c r="AT38" s="75"/>
      <c r="AU38" s="75"/>
      <c r="AV38" s="73">
        <v>-439</v>
      </c>
      <c r="AW38" s="73">
        <v>876</v>
      </c>
      <c r="AX38" s="73">
        <v>1416</v>
      </c>
      <c r="AY38" s="73">
        <v>729</v>
      </c>
      <c r="AZ38" s="73">
        <v>77</v>
      </c>
      <c r="BA38" s="73">
        <v>1186</v>
      </c>
      <c r="BB38" s="73">
        <v>333</v>
      </c>
      <c r="BC38" s="73">
        <v>788</v>
      </c>
      <c r="BD38" s="73">
        <v>-1646</v>
      </c>
      <c r="BE38" s="73">
        <f t="shared" ref="BE38:BE40" si="54">AM38+AN38+AO38+AP38</f>
        <v>-4901</v>
      </c>
      <c r="BF38" s="73">
        <f>BE38*(1+$BL$45)</f>
        <v>-4950.01</v>
      </c>
      <c r="BG38" s="73">
        <f t="shared" ref="BG38:BH38" si="55">BF38*(1+$BL$45)</f>
        <v>-4999.5101000000004</v>
      </c>
      <c r="BH38" s="73">
        <f t="shared" si="55"/>
        <v>-5049.5052010000009</v>
      </c>
      <c r="BI38" s="73"/>
      <c r="BJ38" s="73"/>
      <c r="BK38" s="73"/>
      <c r="BL38" s="73"/>
    </row>
    <row r="39" spans="2:521" s="1" customFormat="1" x14ac:dyDescent="0.3">
      <c r="B39" s="80" t="s">
        <v>500</v>
      </c>
      <c r="C39" s="81">
        <f t="shared" ref="C39:AF39" si="56">C37+C38</f>
        <v>6021</v>
      </c>
      <c r="D39" s="81">
        <f t="shared" si="56"/>
        <v>7313</v>
      </c>
      <c r="E39" s="81">
        <f t="shared" si="56"/>
        <v>6065</v>
      </c>
      <c r="F39" s="81">
        <f t="shared" si="56"/>
        <v>6240</v>
      </c>
      <c r="G39" s="81">
        <f t="shared" si="56"/>
        <v>6827</v>
      </c>
      <c r="H39" s="81">
        <f t="shared" si="56"/>
        <v>8022</v>
      </c>
      <c r="I39" s="81">
        <f t="shared" si="56"/>
        <v>7094</v>
      </c>
      <c r="J39" s="81">
        <f t="shared" si="56"/>
        <v>7958</v>
      </c>
      <c r="K39" s="81">
        <f t="shared" si="56"/>
        <v>7984</v>
      </c>
      <c r="L39" s="81">
        <f t="shared" si="56"/>
        <v>9169</v>
      </c>
      <c r="M39" s="81">
        <f t="shared" si="56"/>
        <v>8641</v>
      </c>
      <c r="N39" s="81">
        <f t="shared" si="56"/>
        <v>10680</v>
      </c>
      <c r="O39" s="81">
        <f t="shared" si="56"/>
        <v>10221</v>
      </c>
      <c r="P39" s="81">
        <f t="shared" si="56"/>
        <v>10385</v>
      </c>
      <c r="Q39" s="81">
        <f t="shared" si="56"/>
        <v>10486</v>
      </c>
      <c r="R39" s="81">
        <f t="shared" si="56"/>
        <v>12596</v>
      </c>
      <c r="S39" s="81">
        <f t="shared" si="56"/>
        <v>12686</v>
      </c>
      <c r="T39" s="81">
        <f t="shared" si="56"/>
        <v>14085</v>
      </c>
      <c r="U39" s="81">
        <f t="shared" si="56"/>
        <v>12843</v>
      </c>
      <c r="V39" s="81">
        <f t="shared" si="56"/>
        <v>13422</v>
      </c>
      <c r="W39" s="81">
        <f t="shared" si="56"/>
        <v>16124</v>
      </c>
      <c r="X39" s="81">
        <f t="shared" si="56"/>
        <v>18337</v>
      </c>
      <c r="Y39" s="81">
        <f t="shared" si="56"/>
        <v>17236</v>
      </c>
      <c r="Z39" s="81">
        <f t="shared" si="56"/>
        <v>19405</v>
      </c>
      <c r="AA39" s="81">
        <f t="shared" si="56"/>
        <v>20524</v>
      </c>
      <c r="AB39" s="81">
        <f t="shared" si="56"/>
        <v>22515</v>
      </c>
      <c r="AC39" s="81">
        <f t="shared" si="56"/>
        <v>20190</v>
      </c>
      <c r="AD39" s="81">
        <f t="shared" si="56"/>
        <v>20487</v>
      </c>
      <c r="AE39" s="81">
        <f t="shared" si="56"/>
        <v>21572</v>
      </c>
      <c r="AF39" s="81">
        <f t="shared" si="56"/>
        <v>20339</v>
      </c>
      <c r="AG39" s="81">
        <f t="shared" ref="AG39:AP39" si="57">AG37+AG38</f>
        <v>22673</v>
      </c>
      <c r="AH39" s="81">
        <f t="shared" si="57"/>
        <v>24727</v>
      </c>
      <c r="AI39" s="81">
        <f t="shared" si="57"/>
        <v>27284</v>
      </c>
      <c r="AJ39" s="81">
        <f t="shared" si="57"/>
        <v>26526</v>
      </c>
      <c r="AK39" s="81">
        <f t="shared" si="57"/>
        <v>26727</v>
      </c>
      <c r="AL39" s="81">
        <f t="shared" si="57"/>
        <v>34501</v>
      </c>
      <c r="AM39" s="81">
        <f t="shared" si="57"/>
        <v>30269</v>
      </c>
      <c r="AN39" s="81">
        <f t="shared" si="57"/>
        <v>29365</v>
      </c>
      <c r="AO39" s="81">
        <f t="shared" si="57"/>
        <v>31377</v>
      </c>
      <c r="AP39" s="81">
        <f t="shared" si="57"/>
        <v>32616</v>
      </c>
      <c r="AQ39" s="81">
        <f t="shared" ref="AQ39:AR39" si="58">AQ37+AQ38</f>
        <v>34301</v>
      </c>
      <c r="AR39" s="81">
        <f t="shared" si="58"/>
        <v>48246</v>
      </c>
      <c r="AS39" s="81"/>
      <c r="AT39" s="81"/>
      <c r="AU39" s="81"/>
      <c r="AV39" s="74">
        <f>AV37+AV38</f>
        <v>25639</v>
      </c>
      <c r="AW39" s="74">
        <f t="shared" ref="AW39:BE39" si="59">AW37+AW38</f>
        <v>29901</v>
      </c>
      <c r="AX39" s="74">
        <f t="shared" si="59"/>
        <v>36474</v>
      </c>
      <c r="AY39" s="74">
        <f t="shared" si="59"/>
        <v>43688</v>
      </c>
      <c r="AZ39" s="74">
        <f t="shared" si="59"/>
        <v>53036</v>
      </c>
      <c r="BA39" s="74">
        <f t="shared" si="59"/>
        <v>71102</v>
      </c>
      <c r="BB39" s="74">
        <f t="shared" si="59"/>
        <v>83716</v>
      </c>
      <c r="BC39" s="74">
        <f t="shared" si="59"/>
        <v>89311</v>
      </c>
      <c r="BD39" s="74">
        <f t="shared" si="59"/>
        <v>107787</v>
      </c>
      <c r="BE39" s="74">
        <f t="shared" si="59"/>
        <v>123627</v>
      </c>
      <c r="BF39" s="74">
        <f t="shared" ref="BF39" si="60">BF37+BF38</f>
        <v>149260.42399999997</v>
      </c>
      <c r="BG39" s="74">
        <f t="shared" ref="BG39" si="61">BG37+BG38</f>
        <v>168063.6298</v>
      </c>
      <c r="BH39" s="74">
        <f t="shared" ref="BH39" si="62">BH37+BH38</f>
        <v>188923.19431399999</v>
      </c>
      <c r="BI39" s="74"/>
      <c r="BJ39" s="74"/>
      <c r="BK39" s="74"/>
    </row>
    <row r="40" spans="2:521" x14ac:dyDescent="0.3">
      <c r="B40" s="79" t="s">
        <v>27</v>
      </c>
      <c r="C40" s="75">
        <v>952</v>
      </c>
      <c r="D40" s="75">
        <v>1375</v>
      </c>
      <c r="E40" s="75">
        <v>1760</v>
      </c>
      <c r="F40" s="75">
        <v>1013</v>
      </c>
      <c r="G40" s="75">
        <v>1160</v>
      </c>
      <c r="H40" s="75">
        <v>1755</v>
      </c>
      <c r="I40" s="75">
        <v>1608</v>
      </c>
      <c r="J40" s="75">
        <v>-111</v>
      </c>
      <c r="K40" s="75">
        <v>1408</v>
      </c>
      <c r="L40" s="75">
        <v>15471</v>
      </c>
      <c r="M40" s="75">
        <v>1217</v>
      </c>
      <c r="N40" s="75">
        <v>1807</v>
      </c>
      <c r="O40" s="75">
        <v>1397</v>
      </c>
      <c r="P40" s="75">
        <v>1965</v>
      </c>
      <c r="Q40" s="75">
        <v>1677</v>
      </c>
      <c r="R40" s="75">
        <v>-591</v>
      </c>
      <c r="S40" s="75">
        <v>2008</v>
      </c>
      <c r="T40" s="75">
        <v>2436</v>
      </c>
      <c r="U40" s="75">
        <v>2091</v>
      </c>
      <c r="V40" s="75">
        <v>2220</v>
      </c>
      <c r="W40" s="75">
        <v>2231</v>
      </c>
      <c r="X40" s="75">
        <v>2874</v>
      </c>
      <c r="Y40" s="75">
        <v>1779</v>
      </c>
      <c r="Z40" s="75">
        <v>2947</v>
      </c>
      <c r="AA40" s="75">
        <v>19</v>
      </c>
      <c r="AB40" s="75">
        <v>3750</v>
      </c>
      <c r="AC40" s="75">
        <v>3462</v>
      </c>
      <c r="AD40" s="75">
        <v>3747</v>
      </c>
      <c r="AE40" s="75">
        <v>4016</v>
      </c>
      <c r="AF40" s="75">
        <v>3914</v>
      </c>
      <c r="AG40" s="75">
        <v>4374</v>
      </c>
      <c r="AH40" s="75">
        <v>4646</v>
      </c>
      <c r="AI40" s="75">
        <v>4993</v>
      </c>
      <c r="AJ40" s="75">
        <v>4656</v>
      </c>
      <c r="AK40" s="75">
        <v>4788</v>
      </c>
      <c r="AL40" s="75">
        <v>2514</v>
      </c>
      <c r="AM40" s="75">
        <v>5602</v>
      </c>
      <c r="AN40" s="75">
        <v>5257</v>
      </c>
      <c r="AO40" s="75">
        <v>5553</v>
      </c>
      <c r="AP40" s="75">
        <v>5383</v>
      </c>
      <c r="AQ40" s="75">
        <v>6554</v>
      </c>
      <c r="AR40" s="75">
        <v>9788</v>
      </c>
      <c r="AS40" s="75"/>
      <c r="AT40" s="75"/>
      <c r="AU40" s="75"/>
      <c r="AV40" s="73">
        <v>5100</v>
      </c>
      <c r="AW40" s="73">
        <v>4412</v>
      </c>
      <c r="AX40" s="73">
        <v>19903</v>
      </c>
      <c r="AY40" s="73">
        <v>4448</v>
      </c>
      <c r="AZ40" s="73">
        <v>8755</v>
      </c>
      <c r="BA40" s="73">
        <v>9831</v>
      </c>
      <c r="BB40" s="73">
        <v>10978</v>
      </c>
      <c r="BC40" s="73">
        <v>16950</v>
      </c>
      <c r="BD40" s="73">
        <v>19651</v>
      </c>
      <c r="BE40" s="73">
        <f t="shared" si="54"/>
        <v>21795</v>
      </c>
      <c r="BF40" s="73"/>
      <c r="BG40" s="73"/>
      <c r="BH40" s="73"/>
      <c r="BI40" s="73"/>
      <c r="BJ40" s="73"/>
      <c r="BK40" s="73"/>
    </row>
    <row r="41" spans="2:521" s="5" customFormat="1" x14ac:dyDescent="0.3">
      <c r="B41" s="74" t="s">
        <v>28</v>
      </c>
      <c r="C41" s="81">
        <f t="shared" ref="C41:AF41" si="63">C39-C40</f>
        <v>5069</v>
      </c>
      <c r="D41" s="81">
        <f t="shared" si="63"/>
        <v>5938</v>
      </c>
      <c r="E41" s="81">
        <f t="shared" si="63"/>
        <v>4305</v>
      </c>
      <c r="F41" s="81">
        <f t="shared" si="63"/>
        <v>5227</v>
      </c>
      <c r="G41" s="81">
        <f t="shared" si="63"/>
        <v>5667</v>
      </c>
      <c r="H41" s="81">
        <f t="shared" si="63"/>
        <v>6267</v>
      </c>
      <c r="I41" s="81">
        <f t="shared" si="63"/>
        <v>5486</v>
      </c>
      <c r="J41" s="81">
        <f t="shared" si="63"/>
        <v>8069</v>
      </c>
      <c r="K41" s="81">
        <f t="shared" si="63"/>
        <v>6576</v>
      </c>
      <c r="L41" s="81">
        <f t="shared" si="63"/>
        <v>-6302</v>
      </c>
      <c r="M41" s="81">
        <f t="shared" si="63"/>
        <v>7424</v>
      </c>
      <c r="N41" s="81">
        <f t="shared" si="63"/>
        <v>8873</v>
      </c>
      <c r="O41" s="81">
        <f t="shared" si="63"/>
        <v>8824</v>
      </c>
      <c r="P41" s="81">
        <f t="shared" si="63"/>
        <v>8420</v>
      </c>
      <c r="Q41" s="81">
        <f t="shared" si="63"/>
        <v>8809</v>
      </c>
      <c r="R41" s="81">
        <f t="shared" si="63"/>
        <v>13187</v>
      </c>
      <c r="S41" s="81">
        <f t="shared" si="63"/>
        <v>10678</v>
      </c>
      <c r="T41" s="81">
        <f t="shared" si="63"/>
        <v>11649</v>
      </c>
      <c r="U41" s="81">
        <f t="shared" si="63"/>
        <v>10752</v>
      </c>
      <c r="V41" s="81">
        <f t="shared" si="63"/>
        <v>11202</v>
      </c>
      <c r="W41" s="81">
        <f t="shared" si="63"/>
        <v>13893</v>
      </c>
      <c r="X41" s="81">
        <f t="shared" si="63"/>
        <v>15463</v>
      </c>
      <c r="Y41" s="81">
        <f t="shared" si="63"/>
        <v>15457</v>
      </c>
      <c r="Z41" s="81">
        <f t="shared" si="63"/>
        <v>16458</v>
      </c>
      <c r="AA41" s="81">
        <f t="shared" si="63"/>
        <v>20505</v>
      </c>
      <c r="AB41" s="81">
        <f t="shared" si="63"/>
        <v>18765</v>
      </c>
      <c r="AC41" s="81">
        <f t="shared" si="63"/>
        <v>16728</v>
      </c>
      <c r="AD41" s="81">
        <f t="shared" si="63"/>
        <v>16740</v>
      </c>
      <c r="AE41" s="81">
        <f t="shared" si="63"/>
        <v>17556</v>
      </c>
      <c r="AF41" s="81">
        <f t="shared" si="63"/>
        <v>16425</v>
      </c>
      <c r="AG41" s="81">
        <f t="shared" ref="AG41:AP41" si="64">AG39-AG40</f>
        <v>18299</v>
      </c>
      <c r="AH41" s="81">
        <f t="shared" si="64"/>
        <v>20081</v>
      </c>
      <c r="AI41" s="81">
        <f t="shared" si="64"/>
        <v>22291</v>
      </c>
      <c r="AJ41" s="81">
        <f t="shared" si="64"/>
        <v>21870</v>
      </c>
      <c r="AK41" s="81">
        <f t="shared" si="64"/>
        <v>21939</v>
      </c>
      <c r="AL41" s="81">
        <f t="shared" si="64"/>
        <v>31987</v>
      </c>
      <c r="AM41" s="81">
        <f t="shared" si="64"/>
        <v>24667</v>
      </c>
      <c r="AN41" s="81">
        <f t="shared" si="64"/>
        <v>24108</v>
      </c>
      <c r="AO41" s="81">
        <f t="shared" si="64"/>
        <v>25824</v>
      </c>
      <c r="AP41" s="81">
        <f t="shared" si="64"/>
        <v>27233</v>
      </c>
      <c r="AQ41" s="81">
        <f t="shared" ref="AQ41:AR41" si="65">AQ39-AQ40</f>
        <v>27747</v>
      </c>
      <c r="AR41" s="81">
        <f t="shared" si="65"/>
        <v>38458</v>
      </c>
      <c r="AS41" s="81"/>
      <c r="AT41" s="81"/>
      <c r="AU41" s="81"/>
      <c r="AV41" s="74">
        <f>AV39-AV40</f>
        <v>20539</v>
      </c>
      <c r="AW41" s="74">
        <f t="shared" ref="AW41:BE41" si="66">AW39-AW40</f>
        <v>25489</v>
      </c>
      <c r="AX41" s="74">
        <f t="shared" si="66"/>
        <v>16571</v>
      </c>
      <c r="AY41" s="74">
        <f t="shared" si="66"/>
        <v>39240</v>
      </c>
      <c r="AZ41" s="74">
        <f t="shared" si="66"/>
        <v>44281</v>
      </c>
      <c r="BA41" s="74">
        <f t="shared" si="66"/>
        <v>61271</v>
      </c>
      <c r="BB41" s="74">
        <f t="shared" si="66"/>
        <v>72738</v>
      </c>
      <c r="BC41" s="74">
        <f t="shared" si="66"/>
        <v>72361</v>
      </c>
      <c r="BD41" s="74">
        <f t="shared" si="66"/>
        <v>88136</v>
      </c>
      <c r="BE41" s="74">
        <f t="shared" si="66"/>
        <v>101832</v>
      </c>
      <c r="BF41" s="74">
        <v>113670</v>
      </c>
      <c r="BG41" s="74">
        <v>132510</v>
      </c>
      <c r="BH41" s="74">
        <f t="shared" ref="BH41" si="67">BH39*(1-0.18)</f>
        <v>154917.01933748001</v>
      </c>
      <c r="BI41" s="74">
        <f>BH41*1.05</f>
        <v>162662.87030435403</v>
      </c>
      <c r="BJ41" s="74">
        <f t="shared" ref="BJ41:BL41" si="68">BI41*1.05</f>
        <v>170796.01381957173</v>
      </c>
      <c r="BK41" s="74">
        <f t="shared" si="68"/>
        <v>179335.81451055032</v>
      </c>
      <c r="BL41" s="74">
        <f t="shared" si="68"/>
        <v>188302.60523607786</v>
      </c>
      <c r="BM41" s="5">
        <f>BL41*1.025</f>
        <v>193010.17036697979</v>
      </c>
      <c r="BN41" s="5">
        <f t="shared" ref="BN41:BP41" si="69">BM41*1.025</f>
        <v>197835.42462615427</v>
      </c>
      <c r="BO41" s="5">
        <f t="shared" si="69"/>
        <v>202781.31024180813</v>
      </c>
      <c r="BP41" s="5">
        <f t="shared" si="69"/>
        <v>207850.84299785332</v>
      </c>
      <c r="BQ41" s="5">
        <f>BP41*1</f>
        <v>207850.84299785332</v>
      </c>
      <c r="BR41" s="5">
        <f t="shared" ref="BR41:BT41" si="70">BQ41*1</f>
        <v>207850.84299785332</v>
      </c>
      <c r="BS41" s="5">
        <f t="shared" si="70"/>
        <v>207850.84299785332</v>
      </c>
      <c r="BT41" s="5">
        <f t="shared" si="70"/>
        <v>207850.84299785332</v>
      </c>
      <c r="BU41" s="5">
        <f>BT41*0.97</f>
        <v>201615.31770791771</v>
      </c>
      <c r="BV41" s="5">
        <f t="shared" ref="BV41:BX41" si="71">BU41*0.97</f>
        <v>195566.85817668017</v>
      </c>
      <c r="BW41" s="5">
        <f t="shared" si="71"/>
        <v>189699.85243137975</v>
      </c>
      <c r="BX41" s="5">
        <f t="shared" si="71"/>
        <v>184008.85685843835</v>
      </c>
      <c r="BY41" s="5">
        <f>BX41*(1-$BL$46)</f>
        <v>182168.76828985396</v>
      </c>
      <c r="BZ41" s="5">
        <f t="shared" ref="BZ41:EK41" si="72">BY41*(1-$BL$46)</f>
        <v>180347.08060695542</v>
      </c>
      <c r="CA41" s="5">
        <f t="shared" si="72"/>
        <v>178543.60980088587</v>
      </c>
      <c r="CB41" s="5">
        <f t="shared" si="72"/>
        <v>176758.17370287701</v>
      </c>
      <c r="CC41" s="5">
        <f t="shared" si="72"/>
        <v>174990.59196584823</v>
      </c>
      <c r="CD41" s="5">
        <f t="shared" si="72"/>
        <v>173240.68604618974</v>
      </c>
      <c r="CE41" s="5">
        <f t="shared" si="72"/>
        <v>171508.27918572785</v>
      </c>
      <c r="CF41" s="5">
        <f t="shared" si="72"/>
        <v>169793.19639387057</v>
      </c>
      <c r="CG41" s="5">
        <f t="shared" si="72"/>
        <v>168095.26442993188</v>
      </c>
      <c r="CH41" s="5">
        <f t="shared" si="72"/>
        <v>166414.31178563257</v>
      </c>
      <c r="CI41" s="5">
        <f t="shared" si="72"/>
        <v>164750.16866777625</v>
      </c>
      <c r="CJ41" s="5">
        <f t="shared" si="72"/>
        <v>163102.66698109847</v>
      </c>
      <c r="CK41" s="5">
        <f t="shared" si="72"/>
        <v>161471.64031128748</v>
      </c>
      <c r="CL41" s="5">
        <f t="shared" si="72"/>
        <v>159856.92390817462</v>
      </c>
      <c r="CM41" s="5">
        <f t="shared" si="72"/>
        <v>158258.35466909286</v>
      </c>
      <c r="CN41" s="5">
        <f t="shared" si="72"/>
        <v>156675.77112240193</v>
      </c>
      <c r="CO41" s="5">
        <f t="shared" si="72"/>
        <v>155109.0134111779</v>
      </c>
      <c r="CP41" s="5">
        <f t="shared" si="72"/>
        <v>153557.92327706612</v>
      </c>
      <c r="CQ41" s="5">
        <f t="shared" si="72"/>
        <v>152022.34404429546</v>
      </c>
      <c r="CR41" s="5">
        <f t="shared" si="72"/>
        <v>150502.1206038525</v>
      </c>
      <c r="CS41" s="5">
        <f t="shared" si="72"/>
        <v>148997.09939781396</v>
      </c>
      <c r="CT41" s="5">
        <f t="shared" si="72"/>
        <v>147507.12840383581</v>
      </c>
      <c r="CU41" s="5">
        <f t="shared" si="72"/>
        <v>146032.05711979745</v>
      </c>
      <c r="CV41" s="5">
        <f t="shared" si="72"/>
        <v>144571.73654859947</v>
      </c>
      <c r="CW41" s="5">
        <f t="shared" si="72"/>
        <v>143126.01918311347</v>
      </c>
      <c r="CX41" s="5">
        <f t="shared" si="72"/>
        <v>141694.75899128235</v>
      </c>
      <c r="CY41" s="5">
        <f t="shared" si="72"/>
        <v>140277.81140136952</v>
      </c>
      <c r="CZ41" s="5">
        <f t="shared" si="72"/>
        <v>138875.03328735582</v>
      </c>
      <c r="DA41" s="5">
        <f t="shared" si="72"/>
        <v>137486.28295448227</v>
      </c>
      <c r="DB41" s="5">
        <f t="shared" si="72"/>
        <v>136111.42012493746</v>
      </c>
      <c r="DC41" s="5">
        <f t="shared" si="72"/>
        <v>134750.30592368808</v>
      </c>
      <c r="DD41" s="5">
        <f t="shared" si="72"/>
        <v>133402.80286445119</v>
      </c>
      <c r="DE41" s="5">
        <f t="shared" si="72"/>
        <v>132068.77483580669</v>
      </c>
      <c r="DF41" s="5">
        <f t="shared" si="72"/>
        <v>130748.08708744863</v>
      </c>
      <c r="DG41" s="5">
        <f t="shared" si="72"/>
        <v>129440.60621657415</v>
      </c>
      <c r="DH41" s="5">
        <f t="shared" si="72"/>
        <v>128146.20015440841</v>
      </c>
      <c r="DI41" s="5">
        <f t="shared" si="72"/>
        <v>126864.73815286432</v>
      </c>
      <c r="DJ41" s="5">
        <f t="shared" si="72"/>
        <v>125596.09077133567</v>
      </c>
      <c r="DK41" s="5">
        <f t="shared" si="72"/>
        <v>124340.12986362231</v>
      </c>
      <c r="DL41" s="5">
        <f t="shared" si="72"/>
        <v>123096.72856498609</v>
      </c>
      <c r="DM41" s="5">
        <f t="shared" si="72"/>
        <v>121865.76127933622</v>
      </c>
      <c r="DN41" s="5">
        <f t="shared" si="72"/>
        <v>120647.10366654285</v>
      </c>
      <c r="DO41" s="5">
        <f t="shared" si="72"/>
        <v>119440.63262987742</v>
      </c>
      <c r="DP41" s="5">
        <f t="shared" si="72"/>
        <v>118246.22630357865</v>
      </c>
      <c r="DQ41" s="5">
        <f t="shared" si="72"/>
        <v>117063.76404054285</v>
      </c>
      <c r="DR41" s="5">
        <f t="shared" si="72"/>
        <v>115893.12640013742</v>
      </c>
      <c r="DS41" s="5">
        <f t="shared" si="72"/>
        <v>114734.19513613604</v>
      </c>
      <c r="DT41" s="5">
        <f t="shared" si="72"/>
        <v>113586.85318477468</v>
      </c>
      <c r="DU41" s="5">
        <f t="shared" si="72"/>
        <v>112450.98465292693</v>
      </c>
      <c r="DV41" s="5">
        <f t="shared" si="72"/>
        <v>111326.47480639766</v>
      </c>
      <c r="DW41" s="5">
        <f t="shared" si="72"/>
        <v>110213.21005833369</v>
      </c>
      <c r="DX41" s="5">
        <f t="shared" si="72"/>
        <v>109111.07795775036</v>
      </c>
      <c r="DY41" s="5">
        <f t="shared" si="72"/>
        <v>108019.96717817285</v>
      </c>
      <c r="DZ41" s="5">
        <f t="shared" si="72"/>
        <v>106939.76750639113</v>
      </c>
      <c r="EA41" s="5">
        <f t="shared" si="72"/>
        <v>105870.36983132722</v>
      </c>
      <c r="EB41" s="5">
        <f t="shared" si="72"/>
        <v>104811.66613301395</v>
      </c>
      <c r="EC41" s="5">
        <f t="shared" si="72"/>
        <v>103763.5494716838</v>
      </c>
      <c r="ED41" s="5">
        <f t="shared" si="72"/>
        <v>102725.91397696696</v>
      </c>
      <c r="EE41" s="5">
        <f t="shared" si="72"/>
        <v>101698.65483719729</v>
      </c>
      <c r="EF41" s="5">
        <f t="shared" si="72"/>
        <v>100681.66828882531</v>
      </c>
      <c r="EG41" s="5">
        <f t="shared" si="72"/>
        <v>99674.85160593706</v>
      </c>
      <c r="EH41" s="5">
        <f t="shared" si="72"/>
        <v>98678.103089877681</v>
      </c>
      <c r="EI41" s="5">
        <f t="shared" si="72"/>
        <v>97691.322058978898</v>
      </c>
      <c r="EJ41" s="5">
        <f t="shared" si="72"/>
        <v>96714.408838389107</v>
      </c>
      <c r="EK41" s="5">
        <f t="shared" si="72"/>
        <v>95747.264750005212</v>
      </c>
      <c r="EL41" s="5">
        <f t="shared" ref="EL41:GW41" si="73">EK41*(1-$BL$46)</f>
        <v>94789.792102505162</v>
      </c>
      <c r="EM41" s="5">
        <f t="shared" si="73"/>
        <v>93841.894181480107</v>
      </c>
      <c r="EN41" s="5">
        <f t="shared" si="73"/>
        <v>92903.475239665306</v>
      </c>
      <c r="EO41" s="5">
        <f t="shared" si="73"/>
        <v>91974.440487268657</v>
      </c>
      <c r="EP41" s="5">
        <f t="shared" si="73"/>
        <v>91054.696082395967</v>
      </c>
      <c r="EQ41" s="5">
        <f t="shared" si="73"/>
        <v>90144.149121572002</v>
      </c>
      <c r="ER41" s="5">
        <f t="shared" si="73"/>
        <v>89242.707630356279</v>
      </c>
      <c r="ES41" s="5">
        <f t="shared" si="73"/>
        <v>88350.280554052719</v>
      </c>
      <c r="ET41" s="5">
        <f t="shared" si="73"/>
        <v>87466.777748512191</v>
      </c>
      <c r="EU41" s="5">
        <f t="shared" si="73"/>
        <v>86592.109971027065</v>
      </c>
      <c r="EV41" s="5">
        <f t="shared" si="73"/>
        <v>85726.188871316786</v>
      </c>
      <c r="EW41" s="5">
        <f t="shared" si="73"/>
        <v>84868.926982603618</v>
      </c>
      <c r="EX41" s="5">
        <f t="shared" si="73"/>
        <v>84020.237712777584</v>
      </c>
      <c r="EY41" s="5">
        <f t="shared" si="73"/>
        <v>83180.035335649809</v>
      </c>
      <c r="EZ41" s="5">
        <f t="shared" si="73"/>
        <v>82348.234982293303</v>
      </c>
      <c r="FA41" s="5">
        <f t="shared" si="73"/>
        <v>81524.752632470365</v>
      </c>
      <c r="FB41" s="5">
        <f t="shared" si="73"/>
        <v>80709.505106145662</v>
      </c>
      <c r="FC41" s="5">
        <f t="shared" si="73"/>
        <v>79902.410055084198</v>
      </c>
      <c r="FD41" s="5">
        <f t="shared" si="73"/>
        <v>79103.385954533354</v>
      </c>
      <c r="FE41" s="5">
        <f t="shared" si="73"/>
        <v>78312.352094988019</v>
      </c>
      <c r="FF41" s="5">
        <f t="shared" si="73"/>
        <v>77529.228574038134</v>
      </c>
      <c r="FG41" s="5">
        <f t="shared" si="73"/>
        <v>76753.936288297758</v>
      </c>
      <c r="FH41" s="5">
        <f t="shared" si="73"/>
        <v>75986.396925414781</v>
      </c>
      <c r="FI41" s="5">
        <f t="shared" si="73"/>
        <v>75226.532956160634</v>
      </c>
      <c r="FJ41" s="5">
        <f t="shared" si="73"/>
        <v>74474.26762659903</v>
      </c>
      <c r="FK41" s="5">
        <f t="shared" si="73"/>
        <v>73729.524950333041</v>
      </c>
      <c r="FL41" s="5">
        <f t="shared" si="73"/>
        <v>72992.229700829717</v>
      </c>
      <c r="FM41" s="5">
        <f t="shared" si="73"/>
        <v>72262.307403821425</v>
      </c>
      <c r="FN41" s="5">
        <f t="shared" si="73"/>
        <v>71539.684329783209</v>
      </c>
      <c r="FO41" s="5">
        <f t="shared" si="73"/>
        <v>70824.28748648538</v>
      </c>
      <c r="FP41" s="5">
        <f t="shared" si="73"/>
        <v>70116.044611620528</v>
      </c>
      <c r="FQ41" s="5">
        <f t="shared" si="73"/>
        <v>69414.884165504322</v>
      </c>
      <c r="FR41" s="5">
        <f t="shared" si="73"/>
        <v>68720.73532384928</v>
      </c>
      <c r="FS41" s="5">
        <f t="shared" si="73"/>
        <v>68033.527970610783</v>
      </c>
      <c r="FT41" s="5">
        <f t="shared" si="73"/>
        <v>67353.192690904674</v>
      </c>
      <c r="FU41" s="5">
        <f t="shared" si="73"/>
        <v>66679.66076399562</v>
      </c>
      <c r="FV41" s="5">
        <f t="shared" si="73"/>
        <v>66012.864156355659</v>
      </c>
      <c r="FW41" s="5">
        <f t="shared" si="73"/>
        <v>65352.735514792104</v>
      </c>
      <c r="FX41" s="5">
        <f t="shared" si="73"/>
        <v>64699.208159644186</v>
      </c>
      <c r="FY41" s="5">
        <f t="shared" si="73"/>
        <v>64052.216078047742</v>
      </c>
      <c r="FZ41" s="5">
        <f t="shared" si="73"/>
        <v>63411.693917267265</v>
      </c>
      <c r="GA41" s="5">
        <f t="shared" si="73"/>
        <v>62777.576978094592</v>
      </c>
      <c r="GB41" s="5">
        <f t="shared" si="73"/>
        <v>62149.801208313649</v>
      </c>
      <c r="GC41" s="5">
        <f t="shared" si="73"/>
        <v>61528.30319623051</v>
      </c>
      <c r="GD41" s="5">
        <f t="shared" si="73"/>
        <v>60913.020164268208</v>
      </c>
      <c r="GE41" s="5">
        <f t="shared" si="73"/>
        <v>60303.889962625522</v>
      </c>
      <c r="GF41" s="5">
        <f t="shared" si="73"/>
        <v>59700.851062999267</v>
      </c>
      <c r="GG41" s="5">
        <f t="shared" si="73"/>
        <v>59103.842552369271</v>
      </c>
      <c r="GH41" s="5">
        <f t="shared" si="73"/>
        <v>58512.804126845578</v>
      </c>
      <c r="GI41" s="5">
        <f t="shared" si="73"/>
        <v>57927.676085577121</v>
      </c>
      <c r="GJ41" s="5">
        <f t="shared" si="73"/>
        <v>57348.399324721351</v>
      </c>
      <c r="GK41" s="5">
        <f t="shared" si="73"/>
        <v>56774.915331474134</v>
      </c>
      <c r="GL41" s="5">
        <f t="shared" si="73"/>
        <v>56207.166178159394</v>
      </c>
      <c r="GM41" s="5">
        <f t="shared" si="73"/>
        <v>55645.094516377801</v>
      </c>
      <c r="GN41" s="5">
        <f t="shared" si="73"/>
        <v>55088.643571214023</v>
      </c>
      <c r="GO41" s="5">
        <f t="shared" si="73"/>
        <v>54537.757135501881</v>
      </c>
      <c r="GP41" s="5">
        <f t="shared" si="73"/>
        <v>53992.379564146861</v>
      </c>
      <c r="GQ41" s="5">
        <f t="shared" si="73"/>
        <v>53452.455768505388</v>
      </c>
      <c r="GR41" s="5">
        <f t="shared" si="73"/>
        <v>52917.93121082033</v>
      </c>
      <c r="GS41" s="5">
        <f t="shared" si="73"/>
        <v>52388.751898712129</v>
      </c>
      <c r="GT41" s="5">
        <f t="shared" si="73"/>
        <v>51864.864379725004</v>
      </c>
      <c r="GU41" s="5">
        <f t="shared" si="73"/>
        <v>51346.215735927755</v>
      </c>
      <c r="GV41" s="5">
        <f t="shared" si="73"/>
        <v>50832.753578568474</v>
      </c>
      <c r="GW41" s="5">
        <f t="shared" si="73"/>
        <v>50324.42604278279</v>
      </c>
      <c r="GX41" s="5">
        <f t="shared" ref="GX41:JI41" si="74">GW41*(1-$BL$46)</f>
        <v>49821.181782354965</v>
      </c>
      <c r="GY41" s="5">
        <f t="shared" si="74"/>
        <v>49322.969964531418</v>
      </c>
      <c r="GZ41" s="5">
        <f t="shared" si="74"/>
        <v>48829.740264886103</v>
      </c>
      <c r="HA41" s="5">
        <f t="shared" si="74"/>
        <v>48341.442862237243</v>
      </c>
      <c r="HB41" s="5">
        <f t="shared" si="74"/>
        <v>47858.028433614869</v>
      </c>
      <c r="HC41" s="5">
        <f t="shared" si="74"/>
        <v>47379.448149278716</v>
      </c>
      <c r="HD41" s="5">
        <f t="shared" si="74"/>
        <v>46905.653667785926</v>
      </c>
      <c r="HE41" s="5">
        <f t="shared" si="74"/>
        <v>46436.597131108065</v>
      </c>
      <c r="HF41" s="5">
        <f t="shared" si="74"/>
        <v>45972.231159796982</v>
      </c>
      <c r="HG41" s="5">
        <f t="shared" si="74"/>
        <v>45512.50884819901</v>
      </c>
      <c r="HH41" s="5">
        <f t="shared" si="74"/>
        <v>45057.38375971702</v>
      </c>
      <c r="HI41" s="5">
        <f t="shared" si="74"/>
        <v>44606.80992211985</v>
      </c>
      <c r="HJ41" s="5">
        <f t="shared" si="74"/>
        <v>44160.74182289865</v>
      </c>
      <c r="HK41" s="5">
        <f t="shared" si="74"/>
        <v>43719.134404669661</v>
      </c>
      <c r="HL41" s="5">
        <f t="shared" si="74"/>
        <v>43281.943060622965</v>
      </c>
      <c r="HM41" s="5">
        <f t="shared" si="74"/>
        <v>42849.123630016737</v>
      </c>
      <c r="HN41" s="5">
        <f t="shared" si="74"/>
        <v>42420.632393716565</v>
      </c>
      <c r="HO41" s="5">
        <f t="shared" si="74"/>
        <v>41996.426069779402</v>
      </c>
      <c r="HP41" s="5">
        <f t="shared" si="74"/>
        <v>41576.461809081607</v>
      </c>
      <c r="HQ41" s="5">
        <f t="shared" si="74"/>
        <v>41160.697190990788</v>
      </c>
      <c r="HR41" s="5">
        <f t="shared" si="74"/>
        <v>40749.090219080877</v>
      </c>
      <c r="HS41" s="5">
        <f t="shared" si="74"/>
        <v>40341.599316890068</v>
      </c>
      <c r="HT41" s="5">
        <f t="shared" si="74"/>
        <v>39938.183323721169</v>
      </c>
      <c r="HU41" s="5">
        <f t="shared" si="74"/>
        <v>39538.801490483958</v>
      </c>
      <c r="HV41" s="5">
        <f t="shared" si="74"/>
        <v>39143.413475579116</v>
      </c>
      <c r="HW41" s="5">
        <f t="shared" si="74"/>
        <v>38751.979340823324</v>
      </c>
      <c r="HX41" s="5">
        <f t="shared" si="74"/>
        <v>38364.459547415092</v>
      </c>
      <c r="HY41" s="5">
        <f t="shared" si="74"/>
        <v>37980.814951940942</v>
      </c>
      <c r="HZ41" s="5">
        <f t="shared" si="74"/>
        <v>37601.006802421529</v>
      </c>
      <c r="IA41" s="5">
        <f t="shared" si="74"/>
        <v>37224.996734397311</v>
      </c>
      <c r="IB41" s="5">
        <f t="shared" si="74"/>
        <v>36852.746767053337</v>
      </c>
      <c r="IC41" s="5">
        <f t="shared" si="74"/>
        <v>36484.219299382807</v>
      </c>
      <c r="ID41" s="5">
        <f t="shared" si="74"/>
        <v>36119.37710638898</v>
      </c>
      <c r="IE41" s="5">
        <f t="shared" si="74"/>
        <v>35758.183335325091</v>
      </c>
      <c r="IF41" s="5">
        <f t="shared" si="74"/>
        <v>35400.60150197184</v>
      </c>
      <c r="IG41" s="5">
        <f t="shared" si="74"/>
        <v>35046.595486952123</v>
      </c>
      <c r="IH41" s="5">
        <f t="shared" si="74"/>
        <v>34696.129532082603</v>
      </c>
      <c r="II41" s="5">
        <f t="shared" si="74"/>
        <v>34349.168236761776</v>
      </c>
      <c r="IJ41" s="5">
        <f t="shared" si="74"/>
        <v>34005.676554394158</v>
      </c>
      <c r="IK41" s="5">
        <f t="shared" si="74"/>
        <v>33665.619788850214</v>
      </c>
      <c r="IL41" s="5">
        <f t="shared" si="74"/>
        <v>33328.963590961714</v>
      </c>
      <c r="IM41" s="5">
        <f t="shared" si="74"/>
        <v>32995.673955052094</v>
      </c>
      <c r="IN41" s="5">
        <f t="shared" si="74"/>
        <v>32665.717215501572</v>
      </c>
      <c r="IO41" s="5">
        <f t="shared" si="74"/>
        <v>32339.060043346555</v>
      </c>
      <c r="IP41" s="5">
        <f t="shared" si="74"/>
        <v>32015.669442913088</v>
      </c>
      <c r="IQ41" s="5">
        <f t="shared" si="74"/>
        <v>31695.512748483958</v>
      </c>
      <c r="IR41" s="5">
        <f t="shared" si="74"/>
        <v>31378.55762099912</v>
      </c>
      <c r="IS41" s="5">
        <f t="shared" si="74"/>
        <v>31064.77204478913</v>
      </c>
      <c r="IT41" s="5">
        <f t="shared" si="74"/>
        <v>30754.124324341239</v>
      </c>
      <c r="IU41" s="5">
        <f t="shared" si="74"/>
        <v>30446.583081097826</v>
      </c>
      <c r="IV41" s="5">
        <f t="shared" si="74"/>
        <v>30142.117250286847</v>
      </c>
      <c r="IW41" s="5">
        <f t="shared" si="74"/>
        <v>29840.696077783978</v>
      </c>
      <c r="IX41" s="5">
        <f t="shared" si="74"/>
        <v>29542.289117006138</v>
      </c>
      <c r="IY41" s="5">
        <f t="shared" si="74"/>
        <v>29246.866225836075</v>
      </c>
      <c r="IZ41" s="5">
        <f t="shared" si="74"/>
        <v>28954.397563577713</v>
      </c>
      <c r="JA41" s="5">
        <f t="shared" si="74"/>
        <v>28664.853587941936</v>
      </c>
      <c r="JB41" s="5">
        <f t="shared" si="74"/>
        <v>28378.205052062516</v>
      </c>
      <c r="JC41" s="5">
        <f t="shared" si="74"/>
        <v>28094.423001541891</v>
      </c>
      <c r="JD41" s="5">
        <f t="shared" si="74"/>
        <v>27813.478771526472</v>
      </c>
      <c r="JE41" s="5">
        <f t="shared" si="74"/>
        <v>27535.343983811206</v>
      </c>
      <c r="JF41" s="5">
        <f t="shared" si="74"/>
        <v>27259.990543973094</v>
      </c>
      <c r="JG41" s="5">
        <f t="shared" si="74"/>
        <v>26987.390638533361</v>
      </c>
      <c r="JH41" s="5">
        <f t="shared" si="74"/>
        <v>26717.516732148026</v>
      </c>
      <c r="JI41" s="5">
        <f t="shared" si="74"/>
        <v>26450.341564826544</v>
      </c>
      <c r="JJ41" s="5">
        <f t="shared" ref="JJ41:LU41" si="75">JI41*(1-$BL$46)</f>
        <v>26185.838149178278</v>
      </c>
      <c r="JK41" s="5">
        <f t="shared" si="75"/>
        <v>25923.979767686495</v>
      </c>
      <c r="JL41" s="5">
        <f t="shared" si="75"/>
        <v>25664.739970009628</v>
      </c>
      <c r="JM41" s="5">
        <f t="shared" si="75"/>
        <v>25408.092570309531</v>
      </c>
      <c r="JN41" s="5">
        <f t="shared" si="75"/>
        <v>25154.011644606435</v>
      </c>
      <c r="JO41" s="5">
        <f t="shared" si="75"/>
        <v>24902.471528160371</v>
      </c>
      <c r="JP41" s="5">
        <f t="shared" si="75"/>
        <v>24653.446812878767</v>
      </c>
      <c r="JQ41" s="5">
        <f t="shared" si="75"/>
        <v>24406.912344749981</v>
      </c>
      <c r="JR41" s="5">
        <f t="shared" si="75"/>
        <v>24162.843221302479</v>
      </c>
      <c r="JS41" s="5">
        <f t="shared" si="75"/>
        <v>23921.214789089456</v>
      </c>
      <c r="JT41" s="5">
        <f t="shared" si="75"/>
        <v>23682.00264119856</v>
      </c>
      <c r="JU41" s="5">
        <f t="shared" si="75"/>
        <v>23445.182614786576</v>
      </c>
      <c r="JV41" s="5">
        <f t="shared" si="75"/>
        <v>23210.73078863871</v>
      </c>
      <c r="JW41" s="5">
        <f t="shared" si="75"/>
        <v>22978.623480752321</v>
      </c>
      <c r="JX41" s="5">
        <f t="shared" si="75"/>
        <v>22748.837245944796</v>
      </c>
      <c r="JY41" s="5">
        <f t="shared" si="75"/>
        <v>22521.348873485349</v>
      </c>
      <c r="JZ41" s="5">
        <f t="shared" si="75"/>
        <v>22296.135384750494</v>
      </c>
      <c r="KA41" s="5">
        <f t="shared" si="75"/>
        <v>22073.174030902988</v>
      </c>
      <c r="KB41" s="5">
        <f t="shared" si="75"/>
        <v>21852.442290593957</v>
      </c>
      <c r="KC41" s="5">
        <f t="shared" si="75"/>
        <v>21633.917867688018</v>
      </c>
      <c r="KD41" s="5">
        <f t="shared" si="75"/>
        <v>21417.578689011138</v>
      </c>
      <c r="KE41" s="5">
        <f t="shared" si="75"/>
        <v>21203.402902121026</v>
      </c>
      <c r="KF41" s="5">
        <f t="shared" si="75"/>
        <v>20991.368873099815</v>
      </c>
      <c r="KG41" s="5">
        <f t="shared" si="75"/>
        <v>20781.455184368817</v>
      </c>
      <c r="KH41" s="5">
        <f t="shared" si="75"/>
        <v>20573.64063252513</v>
      </c>
      <c r="KI41" s="5">
        <f t="shared" si="75"/>
        <v>20367.90422619988</v>
      </c>
      <c r="KJ41" s="5">
        <f t="shared" si="75"/>
        <v>20164.225183937881</v>
      </c>
      <c r="KK41" s="5">
        <f t="shared" si="75"/>
        <v>19962.582932098503</v>
      </c>
      <c r="KL41" s="5">
        <f t="shared" si="75"/>
        <v>19762.957102777516</v>
      </c>
      <c r="KM41" s="5">
        <f t="shared" si="75"/>
        <v>19565.327531749743</v>
      </c>
      <c r="KN41" s="5">
        <f t="shared" si="75"/>
        <v>19369.674256432245</v>
      </c>
      <c r="KO41" s="5">
        <f t="shared" si="75"/>
        <v>19175.977513867922</v>
      </c>
      <c r="KP41" s="5">
        <f t="shared" si="75"/>
        <v>18984.217738729243</v>
      </c>
      <c r="KQ41" s="5">
        <f t="shared" si="75"/>
        <v>18794.375561341949</v>
      </c>
      <c r="KR41" s="5">
        <f t="shared" si="75"/>
        <v>18606.431805728531</v>
      </c>
      <c r="KS41" s="5">
        <f t="shared" si="75"/>
        <v>18420.367487671247</v>
      </c>
      <c r="KT41" s="5">
        <f t="shared" si="75"/>
        <v>18236.163812794533</v>
      </c>
      <c r="KU41" s="5">
        <f t="shared" si="75"/>
        <v>18053.802174666587</v>
      </c>
      <c r="KV41" s="5">
        <f t="shared" si="75"/>
        <v>17873.264152919921</v>
      </c>
      <c r="KW41" s="5">
        <f t="shared" si="75"/>
        <v>17694.53151139072</v>
      </c>
      <c r="KX41" s="5">
        <f t="shared" si="75"/>
        <v>17517.586196276814</v>
      </c>
      <c r="KY41" s="5">
        <f t="shared" si="75"/>
        <v>17342.410334314045</v>
      </c>
      <c r="KZ41" s="5">
        <f t="shared" si="75"/>
        <v>17168.986230970906</v>
      </c>
      <c r="LA41" s="5">
        <f t="shared" si="75"/>
        <v>16997.296368661198</v>
      </c>
      <c r="LB41" s="5">
        <f t="shared" si="75"/>
        <v>16827.323404974588</v>
      </c>
      <c r="LC41" s="5">
        <f t="shared" si="75"/>
        <v>16659.050170924842</v>
      </c>
      <c r="LD41" s="5">
        <f t="shared" si="75"/>
        <v>16492.459669215594</v>
      </c>
      <c r="LE41" s="5">
        <f t="shared" si="75"/>
        <v>16327.535072523438</v>
      </c>
      <c r="LF41" s="5">
        <f t="shared" si="75"/>
        <v>16164.259721798204</v>
      </c>
      <c r="LG41" s="5">
        <f t="shared" si="75"/>
        <v>16002.617124580222</v>
      </c>
      <c r="LH41" s="5">
        <f t="shared" si="75"/>
        <v>15842.590953334418</v>
      </c>
      <c r="LI41" s="5">
        <f t="shared" si="75"/>
        <v>15684.165043801075</v>
      </c>
      <c r="LJ41" s="5">
        <f t="shared" si="75"/>
        <v>15527.323393363064</v>
      </c>
      <c r="LK41" s="5">
        <f t="shared" si="75"/>
        <v>15372.050159429433</v>
      </c>
      <c r="LL41" s="5">
        <f t="shared" si="75"/>
        <v>15218.329657835138</v>
      </c>
      <c r="LM41" s="5">
        <f t="shared" si="75"/>
        <v>15066.146361256786</v>
      </c>
      <c r="LN41" s="5">
        <f t="shared" si="75"/>
        <v>14915.484897644217</v>
      </c>
      <c r="LO41" s="5">
        <f t="shared" si="75"/>
        <v>14766.330048667774</v>
      </c>
      <c r="LP41" s="5">
        <f t="shared" si="75"/>
        <v>14618.666748181096</v>
      </c>
      <c r="LQ41" s="5">
        <f t="shared" si="75"/>
        <v>14472.480080699286</v>
      </c>
      <c r="LR41" s="5">
        <f t="shared" si="75"/>
        <v>14327.755279892293</v>
      </c>
      <c r="LS41" s="5">
        <f t="shared" si="75"/>
        <v>14184.47772709337</v>
      </c>
      <c r="LT41" s="5">
        <f t="shared" si="75"/>
        <v>14042.632949822437</v>
      </c>
      <c r="LU41" s="5">
        <f t="shared" si="75"/>
        <v>13902.206620324212</v>
      </c>
      <c r="LV41" s="5">
        <f t="shared" ref="LV41:OG41" si="76">LU41*(1-$BL$46)</f>
        <v>13763.18455412097</v>
      </c>
      <c r="LW41" s="5">
        <f t="shared" si="76"/>
        <v>13625.55270857976</v>
      </c>
      <c r="LX41" s="5">
        <f t="shared" si="76"/>
        <v>13489.297181493963</v>
      </c>
      <c r="LY41" s="5">
        <f t="shared" si="76"/>
        <v>13354.404209679024</v>
      </c>
      <c r="LZ41" s="5">
        <f t="shared" si="76"/>
        <v>13220.860167582234</v>
      </c>
      <c r="MA41" s="5">
        <f t="shared" si="76"/>
        <v>13088.651565906412</v>
      </c>
      <c r="MB41" s="5">
        <f t="shared" si="76"/>
        <v>12957.765050247348</v>
      </c>
      <c r="MC41" s="5">
        <f t="shared" si="76"/>
        <v>12828.187399744875</v>
      </c>
      <c r="MD41" s="5">
        <f t="shared" si="76"/>
        <v>12699.905525747427</v>
      </c>
      <c r="ME41" s="5">
        <f t="shared" si="76"/>
        <v>12572.906470489952</v>
      </c>
      <c r="MF41" s="5">
        <f t="shared" si="76"/>
        <v>12447.177405785053</v>
      </c>
      <c r="MG41" s="5">
        <f t="shared" si="76"/>
        <v>12322.705631727202</v>
      </c>
      <c r="MH41" s="5">
        <f t="shared" si="76"/>
        <v>12199.47857540993</v>
      </c>
      <c r="MI41" s="5">
        <f t="shared" si="76"/>
        <v>12077.483789655831</v>
      </c>
      <c r="MJ41" s="5">
        <f t="shared" si="76"/>
        <v>11956.708951759272</v>
      </c>
      <c r="MK41" s="5">
        <f t="shared" si="76"/>
        <v>11837.141862241679</v>
      </c>
      <c r="ML41" s="5">
        <f t="shared" si="76"/>
        <v>11718.770443619262</v>
      </c>
      <c r="MM41" s="5">
        <f t="shared" si="76"/>
        <v>11601.582739183068</v>
      </c>
      <c r="MN41" s="5">
        <f t="shared" si="76"/>
        <v>11485.566911791237</v>
      </c>
      <c r="MO41" s="5">
        <f t="shared" si="76"/>
        <v>11370.711242673324</v>
      </c>
      <c r="MP41" s="5">
        <f t="shared" si="76"/>
        <v>11257.004130246591</v>
      </c>
      <c r="MQ41" s="5">
        <f t="shared" si="76"/>
        <v>11144.434088944125</v>
      </c>
      <c r="MR41" s="5">
        <f t="shared" si="76"/>
        <v>11032.989748054682</v>
      </c>
      <c r="MS41" s="5">
        <f t="shared" si="76"/>
        <v>10922.659850574135</v>
      </c>
      <c r="MT41" s="5">
        <f t="shared" si="76"/>
        <v>10813.433252068393</v>
      </c>
      <c r="MU41" s="5">
        <f t="shared" si="76"/>
        <v>10705.298919547709</v>
      </c>
      <c r="MV41" s="5">
        <f t="shared" si="76"/>
        <v>10598.245930352232</v>
      </c>
      <c r="MW41" s="5">
        <f t="shared" si="76"/>
        <v>10492.263471048709</v>
      </c>
      <c r="MX41" s="5">
        <f t="shared" si="76"/>
        <v>10387.340836338222</v>
      </c>
      <c r="MY41" s="5">
        <f t="shared" si="76"/>
        <v>10283.46742797484</v>
      </c>
      <c r="MZ41" s="5">
        <f t="shared" si="76"/>
        <v>10180.63275369509</v>
      </c>
      <c r="NA41" s="5">
        <f t="shared" si="76"/>
        <v>10078.826426158139</v>
      </c>
      <c r="NB41" s="5">
        <f t="shared" si="76"/>
        <v>9978.0381618965566</v>
      </c>
      <c r="NC41" s="5">
        <f t="shared" si="76"/>
        <v>9878.2577802775904</v>
      </c>
      <c r="ND41" s="5">
        <f t="shared" si="76"/>
        <v>9779.4752024748141</v>
      </c>
      <c r="NE41" s="5">
        <f t="shared" si="76"/>
        <v>9681.6804504500651</v>
      </c>
      <c r="NF41" s="5">
        <f t="shared" si="76"/>
        <v>9584.8636459455647</v>
      </c>
      <c r="NG41" s="5">
        <f t="shared" si="76"/>
        <v>9489.0150094861092</v>
      </c>
      <c r="NH41" s="5">
        <f t="shared" si="76"/>
        <v>9394.1248593912478</v>
      </c>
      <c r="NI41" s="5">
        <f t="shared" si="76"/>
        <v>9300.1836107973359</v>
      </c>
      <c r="NJ41" s="5">
        <f t="shared" si="76"/>
        <v>9207.181774689363</v>
      </c>
      <c r="NK41" s="5">
        <f t="shared" si="76"/>
        <v>9115.1099569424696</v>
      </c>
      <c r="NL41" s="5">
        <f t="shared" si="76"/>
        <v>9023.9588573730452</v>
      </c>
      <c r="NM41" s="5">
        <f t="shared" si="76"/>
        <v>8933.7192687993156</v>
      </c>
      <c r="NN41" s="5">
        <f t="shared" si="76"/>
        <v>8844.382076111322</v>
      </c>
      <c r="NO41" s="5">
        <f t="shared" si="76"/>
        <v>8755.9382553502091</v>
      </c>
      <c r="NP41" s="5">
        <f t="shared" si="76"/>
        <v>8668.3788727967076</v>
      </c>
      <c r="NQ41" s="5">
        <f t="shared" si="76"/>
        <v>8581.6950840687405</v>
      </c>
      <c r="NR41" s="5">
        <f t="shared" si="76"/>
        <v>8495.8781332280523</v>
      </c>
      <c r="NS41" s="5">
        <f t="shared" si="76"/>
        <v>8410.9193518957709</v>
      </c>
      <c r="NT41" s="5">
        <f t="shared" si="76"/>
        <v>8326.810158376813</v>
      </c>
      <c r="NU41" s="5">
        <f t="shared" si="76"/>
        <v>8243.542056793045</v>
      </c>
      <c r="NV41" s="5">
        <f t="shared" si="76"/>
        <v>8161.1066362251149</v>
      </c>
      <c r="NW41" s="5">
        <f t="shared" si="76"/>
        <v>8079.4955698628637</v>
      </c>
      <c r="NX41" s="5">
        <f t="shared" si="76"/>
        <v>7998.700614164235</v>
      </c>
      <c r="NY41" s="5">
        <f t="shared" si="76"/>
        <v>7918.7136080225928</v>
      </c>
      <c r="NZ41" s="5">
        <f t="shared" si="76"/>
        <v>7839.5264719423667</v>
      </c>
      <c r="OA41" s="5">
        <f t="shared" si="76"/>
        <v>7761.131207222943</v>
      </c>
      <c r="OB41" s="5">
        <f t="shared" si="76"/>
        <v>7683.5198951507136</v>
      </c>
      <c r="OC41" s="5">
        <f t="shared" si="76"/>
        <v>7606.6846961992069</v>
      </c>
      <c r="OD41" s="5">
        <f t="shared" si="76"/>
        <v>7530.6178492372146</v>
      </c>
      <c r="OE41" s="5">
        <f t="shared" si="76"/>
        <v>7455.3116707448426</v>
      </c>
      <c r="OF41" s="5">
        <f t="shared" si="76"/>
        <v>7380.7585540373939</v>
      </c>
      <c r="OG41" s="5">
        <f t="shared" si="76"/>
        <v>7306.9509684970199</v>
      </c>
      <c r="OH41" s="5">
        <f t="shared" ref="OH41:QS41" si="77">OG41*(1-$BL$46)</f>
        <v>7233.8814588120495</v>
      </c>
      <c r="OI41" s="5">
        <f t="shared" si="77"/>
        <v>7161.5426442239286</v>
      </c>
      <c r="OJ41" s="5">
        <f t="shared" si="77"/>
        <v>7089.9272177816893</v>
      </c>
      <c r="OK41" s="5">
        <f t="shared" si="77"/>
        <v>7019.0279456038725</v>
      </c>
      <c r="OL41" s="5">
        <f t="shared" si="77"/>
        <v>6948.8376661478333</v>
      </c>
      <c r="OM41" s="5">
        <f t="shared" si="77"/>
        <v>6879.3492894863548</v>
      </c>
      <c r="ON41" s="5">
        <f t="shared" si="77"/>
        <v>6810.5557965914913</v>
      </c>
      <c r="OO41" s="5">
        <f t="shared" si="77"/>
        <v>6742.4502386255763</v>
      </c>
      <c r="OP41" s="5">
        <f t="shared" si="77"/>
        <v>6675.0257362393204</v>
      </c>
      <c r="OQ41" s="5">
        <f t="shared" si="77"/>
        <v>6608.2754788769271</v>
      </c>
      <c r="OR41" s="5">
        <f t="shared" si="77"/>
        <v>6542.1927240881578</v>
      </c>
      <c r="OS41" s="5">
        <f t="shared" si="77"/>
        <v>6476.770796847276</v>
      </c>
      <c r="OT41" s="5">
        <f t="shared" si="77"/>
        <v>6412.0030888788033</v>
      </c>
      <c r="OU41" s="5">
        <f t="shared" si="77"/>
        <v>6347.883057990015</v>
      </c>
      <c r="OV41" s="5">
        <f t="shared" si="77"/>
        <v>6284.4042274101148</v>
      </c>
      <c r="OW41" s="5">
        <f t="shared" si="77"/>
        <v>6221.5601851360134</v>
      </c>
      <c r="OX41" s="5">
        <f t="shared" si="77"/>
        <v>6159.3445832846528</v>
      </c>
      <c r="OY41" s="5">
        <f t="shared" si="77"/>
        <v>6097.7511374518062</v>
      </c>
      <c r="OZ41" s="5">
        <f t="shared" si="77"/>
        <v>6036.7736260772881</v>
      </c>
      <c r="PA41" s="5">
        <f t="shared" si="77"/>
        <v>5976.4058898165149</v>
      </c>
      <c r="PB41" s="5">
        <f t="shared" si="77"/>
        <v>5916.64183091835</v>
      </c>
      <c r="PC41" s="5">
        <f t="shared" si="77"/>
        <v>5857.4754126091666</v>
      </c>
      <c r="PD41" s="5">
        <f t="shared" si="77"/>
        <v>5798.9006584830749</v>
      </c>
      <c r="PE41" s="5">
        <f t="shared" si="77"/>
        <v>5740.9116518982446</v>
      </c>
      <c r="PF41" s="5">
        <f t="shared" si="77"/>
        <v>5683.5025353792626</v>
      </c>
      <c r="PG41" s="5">
        <f t="shared" si="77"/>
        <v>5626.6675100254697</v>
      </c>
      <c r="PH41" s="5">
        <f t="shared" si="77"/>
        <v>5570.4008349252153</v>
      </c>
      <c r="PI41" s="5">
        <f t="shared" si="77"/>
        <v>5514.6968265759633</v>
      </c>
      <c r="PJ41" s="5">
        <f t="shared" si="77"/>
        <v>5459.5498583102035</v>
      </c>
      <c r="PK41" s="5">
        <f t="shared" si="77"/>
        <v>5404.9543597271013</v>
      </c>
      <c r="PL41" s="5">
        <f t="shared" si="77"/>
        <v>5350.9048161298306</v>
      </c>
      <c r="PM41" s="5">
        <f t="shared" si="77"/>
        <v>5297.3957679685318</v>
      </c>
      <c r="PN41" s="5">
        <f t="shared" si="77"/>
        <v>5244.4218102888462</v>
      </c>
      <c r="PO41" s="5">
        <f t="shared" si="77"/>
        <v>5191.9775921859573</v>
      </c>
      <c r="PP41" s="5">
        <f t="shared" si="77"/>
        <v>5140.0578162640977</v>
      </c>
      <c r="PQ41" s="5">
        <f t="shared" si="77"/>
        <v>5088.6572381014566</v>
      </c>
      <c r="PR41" s="5">
        <f t="shared" si="77"/>
        <v>5037.7706657204417</v>
      </c>
      <c r="PS41" s="5">
        <f t="shared" si="77"/>
        <v>4987.392959063237</v>
      </c>
      <c r="PT41" s="5">
        <f t="shared" si="77"/>
        <v>4937.5190294726044</v>
      </c>
      <c r="PU41" s="5">
        <f t="shared" si="77"/>
        <v>4888.1438391778784</v>
      </c>
      <c r="PV41" s="5">
        <f t="shared" si="77"/>
        <v>4839.2624007860995</v>
      </c>
      <c r="PW41" s="5">
        <f t="shared" si="77"/>
        <v>4790.8697767782387</v>
      </c>
      <c r="PX41" s="5">
        <f t="shared" si="77"/>
        <v>4742.9610790104562</v>
      </c>
      <c r="PY41" s="5">
        <f t="shared" si="77"/>
        <v>4695.5314682203516</v>
      </c>
      <c r="PZ41" s="5">
        <f t="shared" si="77"/>
        <v>4648.576153538148</v>
      </c>
      <c r="QA41" s="5">
        <f t="shared" si="77"/>
        <v>4602.0903920027667</v>
      </c>
      <c r="QB41" s="5">
        <f t="shared" si="77"/>
        <v>4556.0694880827386</v>
      </c>
      <c r="QC41" s="5">
        <f t="shared" si="77"/>
        <v>4510.5087932019114</v>
      </c>
      <c r="QD41" s="5">
        <f t="shared" si="77"/>
        <v>4465.4037052698923</v>
      </c>
      <c r="QE41" s="5">
        <f t="shared" si="77"/>
        <v>4420.7496682171932</v>
      </c>
      <c r="QF41" s="5">
        <f t="shared" si="77"/>
        <v>4376.5421715350212</v>
      </c>
      <c r="QG41" s="5">
        <f t="shared" si="77"/>
        <v>4332.7767498196708</v>
      </c>
      <c r="QH41" s="5">
        <f t="shared" si="77"/>
        <v>4289.4489823214744</v>
      </c>
      <c r="QI41" s="5">
        <f t="shared" si="77"/>
        <v>4246.5544924982596</v>
      </c>
      <c r="QJ41" s="5">
        <f t="shared" si="77"/>
        <v>4204.0889475732765</v>
      </c>
      <c r="QK41" s="5">
        <f t="shared" si="77"/>
        <v>4162.0480580975436</v>
      </c>
      <c r="QL41" s="5">
        <f t="shared" si="77"/>
        <v>4120.4275775165679</v>
      </c>
      <c r="QM41" s="5">
        <f t="shared" si="77"/>
        <v>4079.2233017414023</v>
      </c>
      <c r="QN41" s="5">
        <f t="shared" si="77"/>
        <v>4038.4310687239881</v>
      </c>
      <c r="QO41" s="5">
        <f t="shared" si="77"/>
        <v>3998.0467580367481</v>
      </c>
      <c r="QP41" s="5">
        <f t="shared" si="77"/>
        <v>3958.0662904563806</v>
      </c>
      <c r="QQ41" s="5">
        <f t="shared" si="77"/>
        <v>3918.4856275518168</v>
      </c>
      <c r="QR41" s="5">
        <f t="shared" si="77"/>
        <v>3879.3007712762987</v>
      </c>
      <c r="QS41" s="5">
        <f t="shared" si="77"/>
        <v>3840.5077635635357</v>
      </c>
      <c r="QT41" s="5">
        <f t="shared" ref="QT41:TA41" si="78">QS41*(1-$BL$46)</f>
        <v>3802.1026859279004</v>
      </c>
      <c r="QU41" s="5">
        <f t="shared" si="78"/>
        <v>3764.0816590686213</v>
      </c>
      <c r="QV41" s="5">
        <f t="shared" si="78"/>
        <v>3726.4408424779349</v>
      </c>
      <c r="QW41" s="5">
        <f t="shared" si="78"/>
        <v>3689.1764340531554</v>
      </c>
      <c r="QX41" s="5">
        <f t="shared" si="78"/>
        <v>3652.2846697126238</v>
      </c>
      <c r="QY41" s="5">
        <f t="shared" si="78"/>
        <v>3615.7618230154976</v>
      </c>
      <c r="QZ41" s="5">
        <f t="shared" si="78"/>
        <v>3579.6042047853425</v>
      </c>
      <c r="RA41" s="5">
        <f t="shared" si="78"/>
        <v>3543.8081627374891</v>
      </c>
      <c r="RB41" s="5">
        <f t="shared" si="78"/>
        <v>3508.3700811101139</v>
      </c>
      <c r="RC41" s="5">
        <f t="shared" si="78"/>
        <v>3473.2863802990128</v>
      </c>
      <c r="RD41" s="5">
        <f t="shared" si="78"/>
        <v>3438.5535164960224</v>
      </c>
      <c r="RE41" s="5">
        <f t="shared" si="78"/>
        <v>3404.167981331062</v>
      </c>
      <c r="RF41" s="5">
        <f t="shared" si="78"/>
        <v>3370.1263015177515</v>
      </c>
      <c r="RG41" s="5">
        <f t="shared" si="78"/>
        <v>3336.4250385025739</v>
      </c>
      <c r="RH41" s="5">
        <f t="shared" si="78"/>
        <v>3303.0607881175483</v>
      </c>
      <c r="RI41" s="5">
        <f t="shared" si="78"/>
        <v>3270.0301802363729</v>
      </c>
      <c r="RJ41" s="5">
        <f t="shared" si="78"/>
        <v>3237.3298784340091</v>
      </c>
      <c r="RK41" s="5">
        <f t="shared" si="78"/>
        <v>3204.956579649669</v>
      </c>
      <c r="RL41" s="5">
        <f t="shared" si="78"/>
        <v>3172.9070138531724</v>
      </c>
      <c r="RM41" s="5">
        <f t="shared" si="78"/>
        <v>3141.1779437146406</v>
      </c>
      <c r="RN41" s="5">
        <f t="shared" si="78"/>
        <v>3109.7661642774942</v>
      </c>
      <c r="RO41" s="5">
        <f t="shared" si="78"/>
        <v>3078.6685026347191</v>
      </c>
      <c r="RP41" s="5">
        <f t="shared" si="78"/>
        <v>3047.8818176083719</v>
      </c>
      <c r="RQ41" s="5">
        <f t="shared" si="78"/>
        <v>3017.4029994322882</v>
      </c>
      <c r="RR41" s="5">
        <f t="shared" si="78"/>
        <v>2987.2289694379651</v>
      </c>
      <c r="RS41" s="5">
        <f t="shared" si="78"/>
        <v>2957.3566797435856</v>
      </c>
      <c r="RT41" s="5">
        <f t="shared" si="78"/>
        <v>2927.7831129461497</v>
      </c>
      <c r="RU41" s="5">
        <f t="shared" si="78"/>
        <v>2898.5052818166882</v>
      </c>
      <c r="RV41" s="5">
        <f t="shared" si="78"/>
        <v>2869.5202289985214</v>
      </c>
      <c r="RW41" s="5">
        <f t="shared" si="78"/>
        <v>2840.8250267085359</v>
      </c>
      <c r="RX41" s="5">
        <f t="shared" si="78"/>
        <v>2812.4167764414506</v>
      </c>
      <c r="RY41" s="5">
        <f t="shared" si="78"/>
        <v>2784.2926086770362</v>
      </c>
      <c r="RZ41" s="5">
        <f t="shared" si="78"/>
        <v>2756.4496825902656</v>
      </c>
      <c r="SA41" s="5">
        <f t="shared" si="78"/>
        <v>2728.8851857643631</v>
      </c>
      <c r="SB41" s="5">
        <f t="shared" si="78"/>
        <v>2701.5963339067193</v>
      </c>
      <c r="SC41" s="5">
        <f t="shared" si="78"/>
        <v>2674.5803705676522</v>
      </c>
      <c r="SD41" s="5">
        <f t="shared" si="78"/>
        <v>2647.8345668619754</v>
      </c>
      <c r="SE41" s="5">
        <f t="shared" si="78"/>
        <v>2621.3562211933559</v>
      </c>
      <c r="SF41" s="5">
        <f t="shared" si="78"/>
        <v>2595.1426589814223</v>
      </c>
      <c r="SG41" s="5">
        <f t="shared" si="78"/>
        <v>2569.1912323916081</v>
      </c>
      <c r="SH41" s="5">
        <f t="shared" si="78"/>
        <v>2543.4993200676918</v>
      </c>
      <c r="SI41" s="5">
        <f t="shared" si="78"/>
        <v>2518.0643268670146</v>
      </c>
      <c r="SJ41" s="5">
        <f t="shared" si="78"/>
        <v>2492.8836835983443</v>
      </c>
      <c r="SK41" s="5">
        <f t="shared" si="78"/>
        <v>2467.9548467623608</v>
      </c>
      <c r="SL41" s="5">
        <f t="shared" si="78"/>
        <v>2443.2752982947372</v>
      </c>
      <c r="SM41" s="5">
        <f t="shared" si="78"/>
        <v>2418.8425453117898</v>
      </c>
      <c r="SN41" s="5">
        <f t="shared" si="78"/>
        <v>2394.6541198586719</v>
      </c>
      <c r="SO41" s="5">
        <f t="shared" si="78"/>
        <v>2370.7075786600853</v>
      </c>
      <c r="SP41" s="5">
        <f t="shared" si="78"/>
        <v>2347.0005028734845</v>
      </c>
      <c r="SQ41" s="5">
        <f t="shared" si="78"/>
        <v>2323.5304978447498</v>
      </c>
      <c r="SR41" s="5">
        <f t="shared" si="78"/>
        <v>2300.2951928663024</v>
      </c>
      <c r="SS41" s="5">
        <f t="shared" si="78"/>
        <v>2277.2922409376392</v>
      </c>
      <c r="ST41" s="5">
        <f t="shared" si="78"/>
        <v>2254.5193185282628</v>
      </c>
      <c r="SU41" s="5">
        <f t="shared" si="78"/>
        <v>2231.9741253429802</v>
      </c>
      <c r="SV41" s="5">
        <f t="shared" si="78"/>
        <v>2209.6543840895501</v>
      </c>
      <c r="SW41" s="5">
        <f t="shared" si="78"/>
        <v>2187.5578402486544</v>
      </c>
      <c r="SX41" s="5">
        <f t="shared" si="78"/>
        <v>2165.6822618461679</v>
      </c>
      <c r="SY41" s="5">
        <f t="shared" si="78"/>
        <v>2144.0254392277061</v>
      </c>
      <c r="SZ41" s="5">
        <f t="shared" si="78"/>
        <v>2122.5851848354291</v>
      </c>
      <c r="TA41" s="5">
        <f t="shared" si="78"/>
        <v>2101.3593329870746</v>
      </c>
    </row>
    <row r="42" spans="2:521" x14ac:dyDescent="0.3">
      <c r="B42" s="79" t="s">
        <v>50</v>
      </c>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v>7441</v>
      </c>
      <c r="AH42" s="75">
        <v>7434</v>
      </c>
      <c r="AI42" s="75">
        <v>7429</v>
      </c>
      <c r="AJ42" s="75">
        <v>7432</v>
      </c>
      <c r="AK42" s="75">
        <v>7431</v>
      </c>
      <c r="AL42" s="75">
        <v>7433</v>
      </c>
      <c r="AM42" s="75">
        <v>7433</v>
      </c>
      <c r="AN42" s="75">
        <v>7435</v>
      </c>
      <c r="AO42" s="75">
        <v>7433</v>
      </c>
      <c r="AP42" s="75">
        <v>7432</v>
      </c>
      <c r="AQ42" s="75">
        <v>7434</v>
      </c>
      <c r="AR42" s="75">
        <v>7431</v>
      </c>
      <c r="AS42" s="75"/>
      <c r="AT42" s="75"/>
      <c r="AU42" s="75"/>
      <c r="AV42" s="73"/>
      <c r="AW42" s="73"/>
      <c r="AX42" s="73"/>
      <c r="AY42" s="73"/>
      <c r="AZ42" s="73"/>
      <c r="BA42" s="73"/>
      <c r="BB42" s="73"/>
      <c r="BC42" s="75">
        <v>7432</v>
      </c>
      <c r="BD42" s="73">
        <v>7435</v>
      </c>
      <c r="BE42" s="73">
        <f>+AP42</f>
        <v>7432</v>
      </c>
      <c r="BF42" s="73">
        <f t="shared" ref="BF42:BH42" si="79">BE42*1.001</f>
        <v>7439.4319999999989</v>
      </c>
      <c r="BG42" s="73">
        <f t="shared" si="79"/>
        <v>7446.8714319999981</v>
      </c>
      <c r="BH42" s="73">
        <f t="shared" si="79"/>
        <v>7454.3183034319973</v>
      </c>
      <c r="BI42" s="73"/>
      <c r="BJ42" s="73"/>
      <c r="BK42" s="73"/>
    </row>
    <row r="43" spans="2:521" s="76" customFormat="1" x14ac:dyDescent="0.3">
      <c r="B43" s="77" t="s">
        <v>31</v>
      </c>
      <c r="C43" s="78">
        <v>0.63</v>
      </c>
      <c r="D43" s="78">
        <v>0.75</v>
      </c>
      <c r="E43" s="78">
        <v>0.55000000000000004</v>
      </c>
      <c r="F43" s="78">
        <v>0.67</v>
      </c>
      <c r="G43" s="78">
        <v>0.73</v>
      </c>
      <c r="H43" s="78">
        <v>0.81</v>
      </c>
      <c r="I43" s="78">
        <v>0.71</v>
      </c>
      <c r="J43" s="78">
        <v>1.05</v>
      </c>
      <c r="K43" s="78">
        <v>0.85</v>
      </c>
      <c r="L43" s="78">
        <v>-0.82</v>
      </c>
      <c r="M43" s="78">
        <v>0.96</v>
      </c>
      <c r="N43" s="78">
        <v>1.1499999999999999</v>
      </c>
      <c r="O43" s="78">
        <v>1.1499999999999999</v>
      </c>
      <c r="P43" s="78">
        <v>1.0900000000000001</v>
      </c>
      <c r="Q43" s="78">
        <v>1.1499999999999999</v>
      </c>
      <c r="R43" s="78">
        <v>1.72</v>
      </c>
      <c r="S43" s="78">
        <v>1.4</v>
      </c>
      <c r="T43" s="78">
        <v>1.53</v>
      </c>
      <c r="U43" s="78">
        <v>1.41</v>
      </c>
      <c r="V43" s="78">
        <v>1.48</v>
      </c>
      <c r="W43" s="78">
        <v>1.84</v>
      </c>
      <c r="X43" s="78">
        <v>2.0499999999999998</v>
      </c>
      <c r="Y43" s="78">
        <v>2.0499999999999998</v>
      </c>
      <c r="Z43" s="78">
        <v>2.19</v>
      </c>
      <c r="AA43" s="78">
        <v>2.73</v>
      </c>
      <c r="AB43" s="78">
        <v>2.5</v>
      </c>
      <c r="AC43" s="78">
        <v>2.23</v>
      </c>
      <c r="AD43" s="78">
        <v>2.2400000000000002</v>
      </c>
      <c r="AE43" s="78">
        <v>2.35</v>
      </c>
      <c r="AF43" s="78">
        <v>2.2000000000000002</v>
      </c>
      <c r="AG43" s="78">
        <f t="shared" ref="AG43:AP43" si="80">AG41/AG42</f>
        <v>2.4592124714420103</v>
      </c>
      <c r="AH43" s="78">
        <f t="shared" si="80"/>
        <v>2.7012375571697604</v>
      </c>
      <c r="AI43" s="78">
        <f t="shared" si="80"/>
        <v>3.000538430475165</v>
      </c>
      <c r="AJ43" s="78">
        <f t="shared" si="80"/>
        <v>2.9426803013993541</v>
      </c>
      <c r="AK43" s="78">
        <f t="shared" si="80"/>
        <v>2.952361727896649</v>
      </c>
      <c r="AL43" s="78">
        <f t="shared" si="80"/>
        <v>4.30337683304184</v>
      </c>
      <c r="AM43" s="78">
        <f t="shared" si="80"/>
        <v>3.3185793084891699</v>
      </c>
      <c r="AN43" s="78">
        <f t="shared" si="80"/>
        <v>3.2425016812373908</v>
      </c>
      <c r="AO43" s="78">
        <f t="shared" si="80"/>
        <v>3.4742365128481096</v>
      </c>
      <c r="AP43" s="78">
        <f t="shared" si="80"/>
        <v>3.6642895586652315</v>
      </c>
      <c r="AQ43" s="78">
        <f t="shared" ref="AQ43:AR43" si="81">AQ41/AQ42</f>
        <v>3.732445520581114</v>
      </c>
      <c r="AR43" s="78">
        <f t="shared" si="81"/>
        <v>5.1753465213295655</v>
      </c>
      <c r="AS43" s="78"/>
      <c r="AT43" s="78"/>
      <c r="AU43" s="78"/>
      <c r="AV43" s="77">
        <v>2.59</v>
      </c>
      <c r="AW43" s="77">
        <v>3.29</v>
      </c>
      <c r="AX43" s="77">
        <v>2.15</v>
      </c>
      <c r="AY43" s="77">
        <v>5.1100000000000003</v>
      </c>
      <c r="AZ43" s="77">
        <v>5.82</v>
      </c>
      <c r="BA43" s="77">
        <v>8.1199999999999992</v>
      </c>
      <c r="BB43" s="77">
        <v>9.6999999999999993</v>
      </c>
      <c r="BC43" s="77">
        <v>9.7200000000000006</v>
      </c>
      <c r="BD43" s="78">
        <v>11.86</v>
      </c>
      <c r="BE43" s="77">
        <f>BE41/BE42</f>
        <v>13.701829924650161</v>
      </c>
      <c r="BF43" s="77">
        <f>BF41/BF42</f>
        <v>15.279392297691546</v>
      </c>
      <c r="BG43" s="77">
        <f t="shared" ref="BG43:BH43" si="82">BG41/BG42</f>
        <v>17.794049650245128</v>
      </c>
      <c r="BH43" s="77">
        <f t="shared" si="82"/>
        <v>20.782184638688641</v>
      </c>
      <c r="BI43" s="77"/>
      <c r="BJ43" s="77"/>
      <c r="BK43" s="77"/>
    </row>
    <row r="44" spans="2:521" x14ac:dyDescent="0.3">
      <c r="C44" s="70"/>
      <c r="D44" s="70"/>
      <c r="E44" s="70"/>
      <c r="F44" s="70"/>
      <c r="G44" s="70"/>
      <c r="H44" s="70"/>
      <c r="I44" s="70"/>
      <c r="J44" s="70"/>
      <c r="K44" s="70"/>
      <c r="L44" s="70"/>
      <c r="M44" s="70"/>
      <c r="N44" s="70"/>
      <c r="O44" s="70"/>
      <c r="P44" s="70"/>
      <c r="Q44" s="70"/>
      <c r="R44" s="70"/>
      <c r="S44" s="70"/>
      <c r="T44" s="70"/>
      <c r="U44" s="70"/>
      <c r="V44" s="70"/>
      <c r="W44" s="70"/>
      <c r="X44" s="70"/>
      <c r="Y44" s="70"/>
      <c r="Z44" s="70"/>
      <c r="AA44" s="70"/>
      <c r="AB44" s="70"/>
      <c r="AC44" s="70"/>
      <c r="AD44" s="70"/>
      <c r="AE44" s="70"/>
      <c r="AF44" s="70"/>
      <c r="AG44" s="70"/>
      <c r="AH44" s="70"/>
      <c r="AI44" s="70"/>
      <c r="AJ44" s="70"/>
      <c r="AK44" s="70"/>
      <c r="AL44" s="70"/>
      <c r="AM44" s="70"/>
      <c r="AN44" s="70"/>
      <c r="AO44" s="70"/>
      <c r="AP44" s="70"/>
      <c r="AQ44" s="70"/>
      <c r="AR44" s="70"/>
      <c r="AS44" s="70"/>
      <c r="AT44" s="70"/>
      <c r="AU44" s="70"/>
      <c r="BE44" s="85"/>
      <c r="BF44" s="85"/>
      <c r="BG44" s="7"/>
      <c r="BH44" s="7"/>
      <c r="BI44" s="7"/>
    </row>
    <row r="45" spans="2:521" x14ac:dyDescent="0.3">
      <c r="B45" s="1" t="s">
        <v>505</v>
      </c>
      <c r="C45" s="70"/>
      <c r="D45" s="70"/>
      <c r="E45" s="70"/>
      <c r="F45" s="70"/>
      <c r="G45" s="71">
        <f t="shared" ref="G45:G47" si="83">G26/C26-1</f>
        <v>-4.9650793650793612E-2</v>
      </c>
      <c r="H45" s="71">
        <f t="shared" ref="H45:H47" si="84">H26/D26-1</f>
        <v>-5.9595491740003115E-2</v>
      </c>
      <c r="I45" s="71">
        <f t="shared" ref="I45:I47" si="85">I26/E26-1</f>
        <v>-5.1871692689619109E-2</v>
      </c>
      <c r="J45" s="71">
        <f t="shared" ref="J45:J47" si="86">J26/F26-1</f>
        <v>-4.6949192782526072E-2</v>
      </c>
      <c r="K45" s="71">
        <f t="shared" ref="K45:K47" si="87">K26/G26-1</f>
        <v>-4.4762159273115998E-2</v>
      </c>
      <c r="L45" s="71">
        <f t="shared" ref="L45:L47" si="88">L26/H26-1</f>
        <v>-1.898976632189564E-2</v>
      </c>
      <c r="M45" s="71">
        <f t="shared" ref="M45:M47" si="89">M26/I26-1</f>
        <v>4.141114862537032E-2</v>
      </c>
      <c r="N45" s="71">
        <f t="shared" ref="N45:N47" si="90">N26/J26-1</f>
        <v>6.8630503830105161E-2</v>
      </c>
      <c r="O45" s="71">
        <f t="shared" ref="O45:O47" si="91">O26/K26-1</f>
        <v>0.20988949503427046</v>
      </c>
      <c r="P45" s="71">
        <f t="shared" ref="P45:P47" si="92">P26/L26-1</f>
        <v>-9.5224813120606933E-2</v>
      </c>
      <c r="Q45" s="71">
        <f t="shared" ref="Q45:Q47" si="93">Q26/M26-1</f>
        <v>2.2098716421860454E-2</v>
      </c>
      <c r="R45" s="71">
        <f t="shared" ref="R45:R47" si="94">R26/N26-1</f>
        <v>-3.2635934495016672E-3</v>
      </c>
      <c r="S45" s="71">
        <f t="shared" ref="S45:S47" si="95">S26/O26-1</f>
        <v>-8.8502225562171244E-2</v>
      </c>
      <c r="T45" s="71">
        <f t="shared" ref="T45:T47" si="96">T26/P26-1</f>
        <v>0.12553178371046303</v>
      </c>
      <c r="U45" s="71">
        <f t="shared" ref="U45:U47" si="97">U26/Q26-1</f>
        <v>2.7382185396167769E-2</v>
      </c>
      <c r="V45" s="71">
        <f t="shared" ref="V45:V47" si="98">V26/R26-1</f>
        <v>6.1041922469742049E-2</v>
      </c>
      <c r="W45" s="71">
        <f t="shared" ref="W45:W47" si="99">W26/S26-1</f>
        <v>2.2196854388634168E-3</v>
      </c>
      <c r="X45" s="71">
        <f t="shared" ref="X45:X47" si="100">X26/T26-1</f>
        <v>6.6009312517118612E-2</v>
      </c>
      <c r="Y45" s="71">
        <f t="shared" ref="Y45:Y47" si="101">Y26/U26-1</f>
        <v>6.3134018020288618E-2</v>
      </c>
      <c r="Z45" s="71">
        <f t="shared" ref="Z45:Z47" si="102">Z26/V26-1</f>
        <v>4.3588471923734051E-2</v>
      </c>
      <c r="AA45" s="71">
        <f t="shared" ref="AA45:AA47" si="103">AA26/W26-1</f>
        <v>5.2395114851610414E-2</v>
      </c>
      <c r="AB45" s="71">
        <f t="shared" ref="AB45:AB47" si="104">AB26/X26-1</f>
        <v>6.7780061664953761E-2</v>
      </c>
      <c r="AC45" s="71">
        <f t="shared" ref="AC45:AC47" si="105">AC26/Y26-1</f>
        <v>2.9218277721803965E-2</v>
      </c>
      <c r="AD45" s="71">
        <f t="shared" ref="AD45:AD47" si="106">AD26/Z26-1</f>
        <v>-5.1853416411447917E-2</v>
      </c>
      <c r="AE45" s="71">
        <f t="shared" ref="AE45:AE47" si="107">AE26/AA26-1</f>
        <v>-5.3514521075100685E-2</v>
      </c>
      <c r="AF45" s="71">
        <f t="shared" ref="AF45:AF47" si="108">AF26/AB26-1</f>
        <v>-0.20511092930362385</v>
      </c>
      <c r="AG45" s="71">
        <f t="shared" ref="AG45:AG47" si="109">AG26/AC26-1</f>
        <v>-0.10238396867442123</v>
      </c>
      <c r="AH45" s="71">
        <f t="shared" ref="AH45:AH47" si="110">AH26/AD26-1</f>
        <v>-6.142793495210519E-2</v>
      </c>
      <c r="AI45" s="71">
        <f t="shared" ref="AI45:AI47" si="111">AI26/AE26-1</f>
        <v>-1.3086843275522564E-2</v>
      </c>
      <c r="AJ45" s="71">
        <f t="shared" ref="AJ45:AJ47" si="112">AJ26/AF26-1</f>
        <v>0.14675788581461524</v>
      </c>
      <c r="AK45" s="71">
        <f t="shared" ref="AK45:AN45" si="113">AK26/AG26-1</f>
        <v>9.5714652296638336E-2</v>
      </c>
      <c r="AL45" s="71">
        <f t="shared" si="113"/>
        <v>-0.2157479380525722</v>
      </c>
      <c r="AM45" s="71">
        <f t="shared" si="113"/>
        <v>-1.6929514000643686E-2</v>
      </c>
      <c r="AN45" s="71">
        <f t="shared" si="113"/>
        <v>-0.14370941344174015</v>
      </c>
      <c r="AO45" s="71">
        <f t="shared" ref="AO45:AO47" si="114">AO26/AK26-1</f>
        <v>-0.10310304449648711</v>
      </c>
      <c r="AP45" s="71">
        <f t="shared" ref="AP45:AQ47" si="115">AP26/AL26-1</f>
        <v>0.29651206779148076</v>
      </c>
      <c r="AQ45" s="71">
        <f t="shared" si="115"/>
        <v>4.2561550550026084E-2</v>
      </c>
      <c r="AR45" s="71">
        <f t="shared" ref="AR45:AR47" si="116">AR26/AN26-1</f>
        <v>1.4304211110426124E-2</v>
      </c>
      <c r="AS45" s="71"/>
      <c r="AT45" s="71"/>
      <c r="AU45" s="71"/>
      <c r="AW45" s="8">
        <f t="shared" ref="AW45:BC45" si="117">AW26/AV26-1</f>
        <v>-5.234941190447906E-2</v>
      </c>
      <c r="AX45" s="8">
        <f t="shared" si="117"/>
        <v>1.0750497563116079E-2</v>
      </c>
      <c r="AY45" s="8">
        <f t="shared" si="117"/>
        <v>2.4373226661705161E-2</v>
      </c>
      <c r="AZ45" s="8">
        <f t="shared" si="117"/>
        <v>2.984758358685613E-2</v>
      </c>
      <c r="BA45" s="8">
        <f t="shared" si="117"/>
        <v>4.457606443173967E-2</v>
      </c>
      <c r="BB45" s="8">
        <f t="shared" si="117"/>
        <v>2.3327799195205001E-2</v>
      </c>
      <c r="BC45" s="8">
        <f t="shared" si="117"/>
        <v>-0.11044657097288679</v>
      </c>
      <c r="BD45" s="8">
        <f>BD26/BC26-1</f>
        <v>1.1437580178983442E-3</v>
      </c>
      <c r="BE45" s="8">
        <f t="shared" ref="BE45:BE47" si="118">BE26/BD26-1</f>
        <v>-1.2767665539653916E-2</v>
      </c>
      <c r="BK45" s="1" t="s">
        <v>480</v>
      </c>
      <c r="BL45" s="4">
        <v>0.01</v>
      </c>
    </row>
    <row r="46" spans="2:521" s="7" customFormat="1" x14ac:dyDescent="0.3">
      <c r="B46" s="4" t="s">
        <v>504</v>
      </c>
      <c r="C46" s="71"/>
      <c r="D46" s="71"/>
      <c r="E46" s="71"/>
      <c r="F46" s="71"/>
      <c r="G46" s="71">
        <f t="shared" si="83"/>
        <v>0.34883720930232553</v>
      </c>
      <c r="H46" s="71">
        <f t="shared" si="84"/>
        <v>0.29732050841635171</v>
      </c>
      <c r="I46" s="71">
        <f t="shared" si="85"/>
        <v>0.40080515297906594</v>
      </c>
      <c r="J46" s="71">
        <f t="shared" si="86"/>
        <v>0.4409900392393602</v>
      </c>
      <c r="K46" s="71">
        <f t="shared" si="87"/>
        <v>0.47126436781609193</v>
      </c>
      <c r="L46" s="71">
        <f t="shared" si="88"/>
        <v>0.45531576856878053</v>
      </c>
      <c r="M46" s="71">
        <f t="shared" si="89"/>
        <v>0.34555696057018048</v>
      </c>
      <c r="N46" s="71">
        <f t="shared" si="90"/>
        <v>0.35379136992040228</v>
      </c>
      <c r="O46" s="71">
        <f t="shared" si="91"/>
        <v>0.15087890625</v>
      </c>
      <c r="P46" s="71">
        <f t="shared" si="92"/>
        <v>0.47852983988355158</v>
      </c>
      <c r="Q46" s="71">
        <f t="shared" si="93"/>
        <v>0.29201196070055535</v>
      </c>
      <c r="R46" s="71">
        <f t="shared" si="94"/>
        <v>0.28531641652483364</v>
      </c>
      <c r="S46" s="71">
        <f t="shared" si="95"/>
        <v>0.46686465846414937</v>
      </c>
      <c r="T46" s="71">
        <f t="shared" si="96"/>
        <v>0.147612601525966</v>
      </c>
      <c r="U46" s="71">
        <f t="shared" si="97"/>
        <v>0.26628314487866156</v>
      </c>
      <c r="V46" s="71">
        <f t="shared" si="98"/>
        <v>0.19694233778740822</v>
      </c>
      <c r="W46" s="71">
        <f t="shared" si="99"/>
        <v>0.23508995198704219</v>
      </c>
      <c r="X46" s="71">
        <f t="shared" si="100"/>
        <v>0.26620556538523399</v>
      </c>
      <c r="Y46" s="71">
        <f t="shared" si="101"/>
        <v>0.29676240208877291</v>
      </c>
      <c r="Z46" s="71">
        <f t="shared" si="102"/>
        <v>0.36850045257970421</v>
      </c>
      <c r="AA46" s="71">
        <f t="shared" si="103"/>
        <v>0.34354362793311788</v>
      </c>
      <c r="AB46" s="71">
        <f t="shared" si="104"/>
        <v>0.31050982384823844</v>
      </c>
      <c r="AC46" s="71">
        <f t="shared" si="105"/>
        <v>0.2883662867957959</v>
      </c>
      <c r="AD46" s="71">
        <f t="shared" si="106"/>
        <v>0.24601308150216794</v>
      </c>
      <c r="AE46" s="71">
        <f t="shared" si="107"/>
        <v>0.19852889911455063</v>
      </c>
      <c r="AF46" s="71">
        <f t="shared" si="108"/>
        <v>0.17063556173058902</v>
      </c>
      <c r="AG46" s="71">
        <f t="shared" si="109"/>
        <v>0.16487466399950002</v>
      </c>
      <c r="AH46" s="71">
        <f t="shared" si="110"/>
        <v>0.16004600548526948</v>
      </c>
      <c r="AI46" s="71">
        <f t="shared" si="111"/>
        <v>0.19199557895349173</v>
      </c>
      <c r="AJ46" s="71">
        <f t="shared" si="112"/>
        <v>0.18904223019597022</v>
      </c>
      <c r="AK46" s="71">
        <f t="shared" ref="AK46:AM46" si="119">AK27/AG27-1</f>
        <v>0.20148112372212834</v>
      </c>
      <c r="AL46" s="71">
        <f t="shared" si="119"/>
        <v>0.30948749237339834</v>
      </c>
      <c r="AM46" s="71">
        <f t="shared" si="119"/>
        <v>0.22768532526475038</v>
      </c>
      <c r="AN46" s="71">
        <f>AN27/AJ27-1</f>
        <v>0.23988486269412013</v>
      </c>
      <c r="AO46" s="71">
        <f t="shared" si="114"/>
        <v>0.22263164947072234</v>
      </c>
      <c r="AP46" s="71">
        <f t="shared" si="115"/>
        <v>0.15132983886623963</v>
      </c>
      <c r="AQ46" s="71">
        <f t="shared" si="115"/>
        <v>0.22733687118637325</v>
      </c>
      <c r="AR46" s="71">
        <f t="shared" si="116"/>
        <v>0.21359968546982944</v>
      </c>
      <c r="AS46" s="71"/>
      <c r="AT46" s="71"/>
      <c r="AU46" s="71"/>
      <c r="AW46" s="8">
        <f t="shared" ref="AW46:BC46" si="120">AW27/AV27-1</f>
        <v>0.37543034679654053</v>
      </c>
      <c r="AX46" s="8">
        <f t="shared" si="120"/>
        <v>0.39996947496947488</v>
      </c>
      <c r="AY46" s="8">
        <f t="shared" si="120"/>
        <v>0.30331639884002359</v>
      </c>
      <c r="AZ46" s="8">
        <f t="shared" si="120"/>
        <v>0.25429116338207258</v>
      </c>
      <c r="BA46" s="8">
        <f t="shared" si="120"/>
        <v>0.29396857577293467</v>
      </c>
      <c r="BB46" s="8">
        <f t="shared" si="120"/>
        <v>0.29401941987754343</v>
      </c>
      <c r="BC46" s="8">
        <f t="shared" si="120"/>
        <v>0.17268078191463943</v>
      </c>
      <c r="BD46" s="8">
        <f>BD27/BC27-1</f>
        <v>0.2250638517552439</v>
      </c>
      <c r="BE46" s="8">
        <f t="shared" si="118"/>
        <v>0.20753649867756407</v>
      </c>
      <c r="BK46" s="1" t="s">
        <v>570</v>
      </c>
      <c r="BL46" s="4">
        <v>0.01</v>
      </c>
    </row>
    <row r="47" spans="2:521" s="7" customFormat="1" x14ac:dyDescent="0.3">
      <c r="B47" s="4" t="s">
        <v>34</v>
      </c>
      <c r="C47" s="71"/>
      <c r="D47" s="71"/>
      <c r="E47" s="71"/>
      <c r="F47" s="71"/>
      <c r="G47" s="71">
        <f t="shared" si="83"/>
        <v>4.8684839789574275E-2</v>
      </c>
      <c r="H47" s="71">
        <f t="shared" si="84"/>
        <v>2.2690373420979792E-2</v>
      </c>
      <c r="I47" s="71">
        <f t="shared" si="85"/>
        <v>7.8774922154575489E-2</v>
      </c>
      <c r="J47" s="71">
        <f t="shared" si="86"/>
        <v>9.0781289937803544E-2</v>
      </c>
      <c r="K47" s="71">
        <f t="shared" si="87"/>
        <v>0.11902590295512594</v>
      </c>
      <c r="L47" s="71">
        <f t="shared" si="88"/>
        <v>0.11972430883605667</v>
      </c>
      <c r="M47" s="71">
        <f t="shared" si="89"/>
        <v>0.15539376184732046</v>
      </c>
      <c r="N47" s="71">
        <f t="shared" si="90"/>
        <v>0.17496582698691654</v>
      </c>
      <c r="O47" s="71">
        <f t="shared" si="91"/>
        <v>0.18526367267095933</v>
      </c>
      <c r="P47" s="71">
        <f t="shared" si="92"/>
        <v>0.12286465177398154</v>
      </c>
      <c r="Q47" s="71">
        <f t="shared" si="93"/>
        <v>0.13990081658525666</v>
      </c>
      <c r="R47" s="71">
        <f t="shared" si="94"/>
        <v>0.12072461359481479</v>
      </c>
      <c r="S47" s="71">
        <f t="shared" si="95"/>
        <v>0.13653555219364599</v>
      </c>
      <c r="T47" s="71">
        <f t="shared" si="96"/>
        <v>0.13658341289150311</v>
      </c>
      <c r="U47" s="71">
        <f t="shared" si="97"/>
        <v>0.14556278826338698</v>
      </c>
      <c r="V47" s="71">
        <f t="shared" si="98"/>
        <v>0.12800664353293589</v>
      </c>
      <c r="W47" s="71">
        <f t="shared" si="99"/>
        <v>0.12400544546967174</v>
      </c>
      <c r="X47" s="71">
        <f t="shared" si="100"/>
        <v>0.16718148810491518</v>
      </c>
      <c r="Y47" s="71">
        <f t="shared" si="101"/>
        <v>0.19088546871876866</v>
      </c>
      <c r="Z47" s="71">
        <f t="shared" si="102"/>
        <v>0.21347251071437956</v>
      </c>
      <c r="AA47" s="71">
        <f t="shared" si="103"/>
        <v>0.21970716477364483</v>
      </c>
      <c r="AB47" s="71">
        <f t="shared" si="104"/>
        <v>0.2008543040208004</v>
      </c>
      <c r="AC47" s="71">
        <f t="shared" si="105"/>
        <v>0.18352275451973332</v>
      </c>
      <c r="AD47" s="71">
        <f t="shared" si="106"/>
        <v>0.12378661813139202</v>
      </c>
      <c r="AE47" s="71">
        <f t="shared" si="107"/>
        <v>0.1060308493501334</v>
      </c>
      <c r="AF47" s="71">
        <f t="shared" si="108"/>
        <v>1.9699195793380753E-2</v>
      </c>
      <c r="AG47" s="71">
        <f t="shared" si="109"/>
        <v>7.0846839546191198E-2</v>
      </c>
      <c r="AH47" s="71">
        <f t="shared" si="110"/>
        <v>8.3370288248336921E-2</v>
      </c>
      <c r="AI47" s="71">
        <f t="shared" si="111"/>
        <v>0.12758868361198683</v>
      </c>
      <c r="AJ47" s="71">
        <f t="shared" si="112"/>
        <v>0.17580146738203117</v>
      </c>
      <c r="AK47" s="71">
        <f>AK28/AG28-1</f>
        <v>0.17028964943148495</v>
      </c>
      <c r="AL47" s="71">
        <f>AL28/AH28-1</f>
        <v>0.15195144957198026</v>
      </c>
      <c r="AM47" s="71">
        <f>AM28/AI28-1</f>
        <v>0.16044729904276589</v>
      </c>
      <c r="AN47" s="71">
        <f>AN28/AJ28-1</f>
        <v>0.12273460174137374</v>
      </c>
      <c r="AO47" s="71">
        <f t="shared" si="114"/>
        <v>0.13269100197225914</v>
      </c>
      <c r="AP47" s="71">
        <f t="shared" si="115"/>
        <v>0.18097548163826538</v>
      </c>
      <c r="AQ47" s="71">
        <f t="shared" si="115"/>
        <v>0.18431043683769155</v>
      </c>
      <c r="AR47" s="71">
        <f t="shared" si="116"/>
        <v>0.16717888327205888</v>
      </c>
      <c r="AS47" s="71"/>
      <c r="AT47" s="71"/>
      <c r="AU47" s="71"/>
      <c r="AW47" s="84">
        <f t="shared" ref="AW47:BC47" si="121">AW28/AV28-1</f>
        <v>5.9426903920837271E-2</v>
      </c>
      <c r="AX47" s="84">
        <f t="shared" si="121"/>
        <v>0.14278613662486661</v>
      </c>
      <c r="AY47" s="84">
        <f t="shared" si="121"/>
        <v>0.14029539688292858</v>
      </c>
      <c r="AZ47" s="84">
        <f t="shared" si="121"/>
        <v>0.13645574247276371</v>
      </c>
      <c r="BA47" s="84">
        <f t="shared" si="121"/>
        <v>0.17531727441177503</v>
      </c>
      <c r="BB47" s="84">
        <f t="shared" si="121"/>
        <v>0.17956070629670173</v>
      </c>
      <c r="BC47" s="84">
        <f t="shared" si="121"/>
        <v>6.8820295556564215E-2</v>
      </c>
      <c r="BD47" s="84">
        <f>BD28/BC28-1</f>
        <v>0.1566996201307127</v>
      </c>
      <c r="BE47" s="84">
        <f t="shared" si="118"/>
        <v>0.14932156232406713</v>
      </c>
      <c r="BF47" s="84">
        <f t="shared" ref="BF47:BH47" si="122">BF28/BE28-1</f>
        <v>0.12999999999999989</v>
      </c>
      <c r="BG47" s="84">
        <f t="shared" si="122"/>
        <v>0.10000000000000009</v>
      </c>
      <c r="BH47" s="84">
        <f t="shared" si="122"/>
        <v>0.10000000000000009</v>
      </c>
      <c r="BK47" s="7" t="s">
        <v>398</v>
      </c>
      <c r="BL47" s="7">
        <v>0.06</v>
      </c>
    </row>
    <row r="48" spans="2:521" s="7" customFormat="1" x14ac:dyDescent="0.3">
      <c r="B48" s="79" t="s">
        <v>567</v>
      </c>
      <c r="C48" s="71"/>
      <c r="D48" s="71"/>
      <c r="E48" s="71"/>
      <c r="F48" s="71"/>
      <c r="G48" s="71"/>
      <c r="H48" s="71"/>
      <c r="I48" s="71"/>
      <c r="J48" s="71"/>
      <c r="K48" s="71"/>
      <c r="L48" s="71"/>
      <c r="M48" s="71"/>
      <c r="N48" s="71"/>
      <c r="O48" s="71"/>
      <c r="P48" s="71"/>
      <c r="Q48" s="71"/>
      <c r="R48" s="71"/>
      <c r="S48" s="71"/>
      <c r="T48" s="71"/>
      <c r="U48" s="71"/>
      <c r="V48" s="71"/>
      <c r="W48" s="71"/>
      <c r="X48" s="71"/>
      <c r="Y48" s="71"/>
      <c r="Z48" s="71"/>
      <c r="AA48" s="71"/>
      <c r="AB48" s="71"/>
      <c r="AC48" s="71"/>
      <c r="AD48" s="71"/>
      <c r="AE48" s="71"/>
      <c r="AF48" s="71"/>
      <c r="AG48" s="71"/>
      <c r="AH48" s="71"/>
      <c r="AI48" s="71"/>
      <c r="AJ48" s="71"/>
      <c r="AK48" s="71"/>
      <c r="AL48" s="71"/>
      <c r="AM48" s="71"/>
      <c r="AN48" s="71"/>
      <c r="AO48" s="71"/>
      <c r="AP48" s="71"/>
      <c r="AQ48" s="71"/>
      <c r="AR48" s="71"/>
      <c r="AS48" s="71"/>
      <c r="AT48" s="71"/>
      <c r="AU48" s="71"/>
      <c r="AW48" s="84">
        <f t="shared" ref="AW48:BC48" si="123">AW33/AV33-1</f>
        <v>8.7504170837504169E-2</v>
      </c>
      <c r="AX48" s="84">
        <f t="shared" si="123"/>
        <v>0.12955434532484467</v>
      </c>
      <c r="AY48" s="84">
        <f t="shared" si="123"/>
        <v>0.14600027162841234</v>
      </c>
      <c r="AZ48" s="84">
        <f t="shared" si="123"/>
        <v>0.14179900450343674</v>
      </c>
      <c r="BA48" s="84">
        <f t="shared" si="123"/>
        <v>7.5094711713114437E-2</v>
      </c>
      <c r="BB48" s="84">
        <f t="shared" si="123"/>
        <v>0.1832400077234988</v>
      </c>
      <c r="BC48" s="84">
        <f t="shared" si="123"/>
        <v>0.10945659268929497</v>
      </c>
      <c r="BD48" s="84">
        <f t="shared" ref="BD48:BD50" si="124">BD33/BC33-1</f>
        <v>8.5125942268799326E-2</v>
      </c>
      <c r="BE48" s="84">
        <f t="shared" ref="BE48:BE50" si="125">BE33/BD33-1</f>
        <v>0.10091494408675028</v>
      </c>
      <c r="BK48" s="7" t="s">
        <v>92</v>
      </c>
      <c r="BL48" s="10">
        <f>NPV(BL47,BE41:TA41)</f>
        <v>2778234.3247448737</v>
      </c>
    </row>
    <row r="49" spans="2:64" s="7" customFormat="1" x14ac:dyDescent="0.3">
      <c r="B49" s="79" t="s">
        <v>568</v>
      </c>
      <c r="C49" s="71"/>
      <c r="D49" s="71"/>
      <c r="E49" s="71"/>
      <c r="F49" s="71"/>
      <c r="G49" s="71"/>
      <c r="H49" s="71"/>
      <c r="I49" s="71"/>
      <c r="J49" s="71"/>
      <c r="K49" s="71"/>
      <c r="L49" s="71"/>
      <c r="M49" s="71"/>
      <c r="N49" s="71"/>
      <c r="O49" s="71"/>
      <c r="P49" s="71"/>
      <c r="Q49" s="71"/>
      <c r="R49" s="71"/>
      <c r="S49" s="71"/>
      <c r="T49" s="71"/>
      <c r="U49" s="71"/>
      <c r="V49" s="71"/>
      <c r="W49" s="71"/>
      <c r="X49" s="71"/>
      <c r="Y49" s="71"/>
      <c r="Z49" s="71"/>
      <c r="AA49" s="71"/>
      <c r="AB49" s="71"/>
      <c r="AC49" s="71"/>
      <c r="AD49" s="71"/>
      <c r="AE49" s="71"/>
      <c r="AF49" s="71"/>
      <c r="AG49" s="71"/>
      <c r="AH49" s="71"/>
      <c r="AI49" s="71"/>
      <c r="AJ49" s="71"/>
      <c r="AK49" s="71"/>
      <c r="AL49" s="71"/>
      <c r="AM49" s="71"/>
      <c r="AN49" s="71"/>
      <c r="AO49" s="71"/>
      <c r="AP49" s="71"/>
      <c r="AQ49" s="71"/>
      <c r="AR49" s="71"/>
      <c r="AS49" s="71"/>
      <c r="AT49" s="71"/>
      <c r="AU49" s="71"/>
      <c r="AW49" s="84">
        <f t="shared" ref="AW49:BC49" si="126">AW34/AV34-1</f>
        <v>5.6440040997608465E-2</v>
      </c>
      <c r="AX49" s="84">
        <f t="shared" si="126"/>
        <v>0.12987516978203217</v>
      </c>
      <c r="AY49" s="84">
        <f t="shared" si="126"/>
        <v>4.2589730379529511E-2</v>
      </c>
      <c r="AZ49" s="84">
        <f t="shared" si="126"/>
        <v>7.604458353923027E-2</v>
      </c>
      <c r="BA49" s="84">
        <f t="shared" si="126"/>
        <v>2.6482294111644045E-2</v>
      </c>
      <c r="BB49" s="84">
        <f t="shared" si="126"/>
        <v>8.4903315603718221E-2</v>
      </c>
      <c r="BC49" s="84">
        <f t="shared" si="126"/>
        <v>4.2794959908361907E-2</v>
      </c>
      <c r="BD49" s="84">
        <f t="shared" si="124"/>
        <v>7.4563908783338517E-2</v>
      </c>
      <c r="BE49" s="84">
        <f t="shared" si="125"/>
        <v>4.8985933922145897E-2</v>
      </c>
      <c r="BK49" s="7" t="s">
        <v>93</v>
      </c>
      <c r="BL49" s="2">
        <f>AN63</f>
        <v>42166</v>
      </c>
    </row>
    <row r="50" spans="2:64" s="7" customFormat="1" x14ac:dyDescent="0.3">
      <c r="B50" s="79" t="s">
        <v>569</v>
      </c>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1"/>
      <c r="AF50" s="71"/>
      <c r="AG50" s="71"/>
      <c r="AH50" s="71"/>
      <c r="AI50" s="71"/>
      <c r="AJ50" s="71"/>
      <c r="AK50" s="71"/>
      <c r="AL50" s="71"/>
      <c r="AM50" s="71"/>
      <c r="AN50" s="71"/>
      <c r="AO50" s="71"/>
      <c r="AP50" s="71"/>
      <c r="AQ50" s="71"/>
      <c r="AR50" s="71"/>
      <c r="AS50" s="71"/>
      <c r="AT50" s="71"/>
      <c r="AU50" s="71"/>
      <c r="AW50" s="84">
        <f t="shared" ref="AW50:BC50" si="127">AW35/AV35-1</f>
        <v>-0.15617838885950996</v>
      </c>
      <c r="AX50" s="84">
        <f t="shared" si="127"/>
        <v>-6.8936703572174407E-3</v>
      </c>
      <c r="AY50" s="84">
        <f t="shared" si="127"/>
        <v>2.7555742532604066E-2</v>
      </c>
      <c r="AZ50" s="84">
        <f t="shared" si="127"/>
        <v>4.6264073694984642E-2</v>
      </c>
      <c r="BA50" s="84">
        <f t="shared" si="127"/>
        <v>-7.8262570925458075E-4</v>
      </c>
      <c r="BB50" s="84">
        <f t="shared" si="127"/>
        <v>0.15527707068729191</v>
      </c>
      <c r="BC50" s="84">
        <f t="shared" si="127"/>
        <v>0.28389830508474567</v>
      </c>
      <c r="BD50" s="84">
        <f t="shared" si="124"/>
        <v>4.4884488448844184E-3</v>
      </c>
      <c r="BE50" s="84">
        <f t="shared" si="125"/>
        <v>-5.0729399395452734E-2</v>
      </c>
      <c r="BK50" s="7" t="s">
        <v>399</v>
      </c>
      <c r="BL50" s="2">
        <f>BL48+BL49</f>
        <v>2820400.3247448737</v>
      </c>
    </row>
    <row r="51" spans="2:64" x14ac:dyDescent="0.3">
      <c r="C51" s="70"/>
      <c r="D51" s="70"/>
      <c r="E51" s="70"/>
      <c r="F51" s="70"/>
      <c r="G51" s="70"/>
      <c r="H51" s="70"/>
      <c r="I51" s="70"/>
      <c r="J51" s="70"/>
      <c r="K51" s="70"/>
      <c r="L51" s="70"/>
      <c r="M51" s="70"/>
      <c r="N51" s="70"/>
      <c r="O51" s="70"/>
      <c r="P51" s="70"/>
      <c r="Q51" s="70"/>
      <c r="R51" s="70"/>
      <c r="S51" s="70"/>
      <c r="T51" s="70"/>
      <c r="U51" s="70"/>
      <c r="V51" s="70"/>
      <c r="W51" s="70"/>
      <c r="X51" s="70"/>
      <c r="Y51" s="70"/>
      <c r="Z51" s="70"/>
      <c r="AA51" s="70"/>
      <c r="AB51" s="70"/>
      <c r="AC51" s="70"/>
      <c r="AD51" s="70"/>
      <c r="AE51" s="70"/>
      <c r="AF51" s="70"/>
      <c r="AG51" s="70"/>
      <c r="AH51" s="70"/>
      <c r="AI51" s="70"/>
      <c r="AJ51" s="70"/>
      <c r="AK51" s="70"/>
      <c r="AL51" s="70"/>
      <c r="AM51" s="70"/>
      <c r="AN51" s="70"/>
      <c r="AO51" s="70"/>
      <c r="AP51" s="70"/>
      <c r="AQ51" s="70"/>
      <c r="AR51" s="70"/>
      <c r="AS51" s="70"/>
      <c r="AT51" s="70"/>
      <c r="AU51" s="70"/>
      <c r="BC51" s="70"/>
      <c r="BD51" s="70"/>
      <c r="BK51" s="7" t="s">
        <v>92</v>
      </c>
      <c r="BL51" s="3">
        <f>BL50/BD42</f>
        <v>379.34099862069587</v>
      </c>
    </row>
    <row r="52" spans="2:64" x14ac:dyDescent="0.3">
      <c r="B52" t="s">
        <v>387</v>
      </c>
      <c r="C52" s="71">
        <f t="shared" ref="C52:AF52" si="128">C32/C28</f>
        <v>0.65533237685318024</v>
      </c>
      <c r="D52" s="71">
        <f t="shared" si="128"/>
        <v>0.60907614936839183</v>
      </c>
      <c r="E52" s="71">
        <f t="shared" si="128"/>
        <v>0.64112097411349167</v>
      </c>
      <c r="F52" s="71">
        <f t="shared" si="128"/>
        <v>0.66009201669932693</v>
      </c>
      <c r="G52" s="71">
        <f t="shared" si="128"/>
        <v>0.64228383801532285</v>
      </c>
      <c r="H52" s="71">
        <f t="shared" si="128"/>
        <v>0.61662665530860372</v>
      </c>
      <c r="I52" s="71">
        <f t="shared" si="128"/>
        <v>0.65276581078752371</v>
      </c>
      <c r="J52" s="71">
        <f t="shared" si="128"/>
        <v>0.66975200156219483</v>
      </c>
      <c r="K52" s="71">
        <f t="shared" si="128"/>
        <v>0.66264569239546822</v>
      </c>
      <c r="L52" s="71">
        <f t="shared" si="128"/>
        <v>0.6174009267584204</v>
      </c>
      <c r="M52" s="71">
        <f t="shared" si="128"/>
        <v>0.65438681531749876</v>
      </c>
      <c r="N52" s="71">
        <f t="shared" si="128"/>
        <v>0.67618414492271894</v>
      </c>
      <c r="O52" s="71">
        <f t="shared" si="128"/>
        <v>0.65943474075092834</v>
      </c>
      <c r="P52" s="71">
        <f t="shared" si="128"/>
        <v>0.61741246034923469</v>
      </c>
      <c r="Q52" s="71">
        <f t="shared" si="128"/>
        <v>0.66733178502502366</v>
      </c>
      <c r="R52" s="71">
        <f t="shared" si="128"/>
        <v>0.69119435299700449</v>
      </c>
      <c r="S52" s="71">
        <f t="shared" si="128"/>
        <v>0.6851913477537438</v>
      </c>
      <c r="T52" s="71">
        <f t="shared" si="128"/>
        <v>0.66514929821709212</v>
      </c>
      <c r="U52" s="71">
        <f t="shared" si="128"/>
        <v>0.68661660146769077</v>
      </c>
      <c r="V52" s="71">
        <f t="shared" si="128"/>
        <v>0.67557121447164303</v>
      </c>
      <c r="W52" s="71">
        <f t="shared" si="128"/>
        <v>0.70388114334930285</v>
      </c>
      <c r="X52" s="71">
        <f t="shared" si="128"/>
        <v>0.67048936762930633</v>
      </c>
      <c r="Y52" s="71">
        <f t="shared" si="128"/>
        <v>0.68721526878626582</v>
      </c>
      <c r="Z52" s="71">
        <f t="shared" si="128"/>
        <v>0.69684954064829263</v>
      </c>
      <c r="AA52" s="71">
        <f t="shared" si="128"/>
        <v>0.6988768012004325</v>
      </c>
      <c r="AB52" s="71">
        <f t="shared" si="128"/>
        <v>0.67213114754098358</v>
      </c>
      <c r="AC52" s="71">
        <f t="shared" si="128"/>
        <v>0.68365072933549431</v>
      </c>
      <c r="AD52" s="71">
        <f t="shared" si="128"/>
        <v>0.68323532247180174</v>
      </c>
      <c r="AE52" s="71">
        <f t="shared" si="128"/>
        <v>0.69171222217788597</v>
      </c>
      <c r="AF52" s="71">
        <f t="shared" si="128"/>
        <v>0.66845507801391546</v>
      </c>
      <c r="AG52" s="71">
        <f t="shared" ref="AG52:AN52" si="129">AG32/AG28</f>
        <v>0.69487485101311086</v>
      </c>
      <c r="AH52" s="71">
        <f t="shared" si="129"/>
        <v>0.70109807969531401</v>
      </c>
      <c r="AI52" s="71">
        <f t="shared" si="129"/>
        <v>0.71155581506449384</v>
      </c>
      <c r="AJ52" s="71">
        <f t="shared" si="129"/>
        <v>0.68360206385037081</v>
      </c>
      <c r="AK52" s="71">
        <f t="shared" si="129"/>
        <v>0.70084710142584628</v>
      </c>
      <c r="AL52" s="71">
        <f t="shared" si="129"/>
        <v>0.69589197707293715</v>
      </c>
      <c r="AM52" s="71">
        <f t="shared" si="129"/>
        <v>0.69354273080734929</v>
      </c>
      <c r="AN52" s="71">
        <f t="shared" si="129"/>
        <v>0.68693991268382348</v>
      </c>
      <c r="AO52" s="71">
        <f t="shared" ref="AO52:AP52" si="130">AO32/AO28</f>
        <v>0.6871663859789342</v>
      </c>
      <c r="AP52" s="71">
        <f t="shared" si="130"/>
        <v>0.68584921704320978</v>
      </c>
      <c r="AQ52" s="71">
        <f t="shared" ref="AQ52:AR52" si="131">AQ32/AQ28</f>
        <v>0.69045871795862135</v>
      </c>
      <c r="AR52" s="71">
        <f t="shared" si="131"/>
        <v>0.68036125158416694</v>
      </c>
      <c r="AS52" s="71"/>
      <c r="AT52" s="71"/>
      <c r="AU52" s="71"/>
      <c r="AV52" s="71">
        <f t="shared" ref="AV52:BB52" si="132">AV32/AV28</f>
        <v>0.64038879259275516</v>
      </c>
      <c r="AW52" s="71">
        <f t="shared" si="132"/>
        <v>0.64522475691460168</v>
      </c>
      <c r="AX52" s="71">
        <f t="shared" si="132"/>
        <v>0.65247372236317502</v>
      </c>
      <c r="AY52" s="71">
        <f t="shared" si="132"/>
        <v>0.65901957200638894</v>
      </c>
      <c r="AZ52" s="71">
        <f t="shared" si="132"/>
        <v>0.67781001992797962</v>
      </c>
      <c r="BA52" s="71">
        <f t="shared" si="132"/>
        <v>0.68925800771024703</v>
      </c>
      <c r="BB52" s="71">
        <f t="shared" si="132"/>
        <v>0.68401674484289099</v>
      </c>
      <c r="BC52" s="71">
        <f>BC32/BC28</f>
        <v>0.68920085883491022</v>
      </c>
      <c r="BD52" s="71">
        <f>BD32/BD28</f>
        <v>0.69764443827971379</v>
      </c>
      <c r="BE52" s="71">
        <f t="shared" ref="BE52" si="133">BE32/BE28</f>
        <v>0.68823742386165188</v>
      </c>
      <c r="BF52" s="71">
        <f t="shared" ref="BF52:BH52" si="134">BF32/BF28</f>
        <v>0.7</v>
      </c>
      <c r="BG52" s="71">
        <f t="shared" si="134"/>
        <v>0.7</v>
      </c>
      <c r="BH52" s="71">
        <f t="shared" si="134"/>
        <v>0.7</v>
      </c>
      <c r="BK52" s="7" t="s">
        <v>775</v>
      </c>
      <c r="BL52" s="7">
        <f>BL51/Main!C15-1</f>
        <v>-0.27880568333866451</v>
      </c>
    </row>
    <row r="53" spans="2:64" x14ac:dyDescent="0.3">
      <c r="B53" s="53" t="s">
        <v>501</v>
      </c>
      <c r="C53" s="71">
        <f t="shared" ref="C53:AF53" si="135">(C26-C29)/C26</f>
        <v>0.74380952380952381</v>
      </c>
      <c r="D53" s="71">
        <f t="shared" si="135"/>
        <v>0.67742267510678811</v>
      </c>
      <c r="E53" s="71">
        <f t="shared" si="135"/>
        <v>0.75168223688508529</v>
      </c>
      <c r="F53" s="71">
        <f t="shared" si="135"/>
        <v>0.77587844254510918</v>
      </c>
      <c r="G53" s="71">
        <f t="shared" si="135"/>
        <v>0.76075628006413687</v>
      </c>
      <c r="H53" s="71">
        <f t="shared" si="135"/>
        <v>0.70568598478629674</v>
      </c>
      <c r="I53" s="71">
        <f t="shared" si="135"/>
        <v>0.78812099497002686</v>
      </c>
      <c r="J53" s="71">
        <f t="shared" si="135"/>
        <v>0.8043843806439559</v>
      </c>
      <c r="K53" s="71">
        <f t="shared" si="135"/>
        <v>0.79157924185200723</v>
      </c>
      <c r="L53" s="71">
        <f t="shared" si="135"/>
        <v>0.69329465580720739</v>
      </c>
      <c r="M53" s="71">
        <f t="shared" si="135"/>
        <v>0.77338891094349604</v>
      </c>
      <c r="N53" s="71">
        <f t="shared" si="135"/>
        <v>0.79503467568040098</v>
      </c>
      <c r="O53" s="71">
        <f t="shared" si="135"/>
        <v>0.78906295161570028</v>
      </c>
      <c r="P53" s="71">
        <f t="shared" si="135"/>
        <v>0.63715395523768414</v>
      </c>
      <c r="Q53" s="71">
        <f t="shared" si="135"/>
        <v>0.77725271879854996</v>
      </c>
      <c r="R53" s="71">
        <f t="shared" si="135"/>
        <v>0.80716833304098701</v>
      </c>
      <c r="S53" s="71">
        <f t="shared" si="135"/>
        <v>0.79039827498731607</v>
      </c>
      <c r="T53" s="71">
        <f t="shared" si="135"/>
        <v>0.72796494111202414</v>
      </c>
      <c r="U53" s="71">
        <f t="shared" si="135"/>
        <v>0.78728498519311951</v>
      </c>
      <c r="V53" s="71">
        <f t="shared" si="135"/>
        <v>0.75918884664131814</v>
      </c>
      <c r="W53" s="71">
        <f t="shared" si="135"/>
        <v>0.77238499019173579</v>
      </c>
      <c r="X53" s="71">
        <f t="shared" si="135"/>
        <v>0.68869475847893113</v>
      </c>
      <c r="Y53" s="71">
        <f t="shared" si="135"/>
        <v>0.74651810584958223</v>
      </c>
      <c r="Z53" s="71">
        <f t="shared" si="135"/>
        <v>0.7736297391488014</v>
      </c>
      <c r="AA53" s="71">
        <f t="shared" si="135"/>
        <v>0.77199206301485179</v>
      </c>
      <c r="AB53" s="71">
        <f t="shared" si="135"/>
        <v>0.69531738774724483</v>
      </c>
      <c r="AC53" s="71">
        <f t="shared" si="135"/>
        <v>0.73603593228146957</v>
      </c>
      <c r="AD53" s="71">
        <f t="shared" si="135"/>
        <v>0.75735130318556476</v>
      </c>
      <c r="AE53" s="71">
        <f t="shared" si="135"/>
        <v>0.72670097198399086</v>
      </c>
      <c r="AF53" s="71">
        <f t="shared" si="135"/>
        <v>0.65550644790216139</v>
      </c>
      <c r="AG53" s="71">
        <f t="shared" ref="AG53:AN54" si="136">(AG26-AG29)/AG26</f>
        <v>0.74717731588401337</v>
      </c>
      <c r="AH53" s="71">
        <f t="shared" si="136"/>
        <v>0.77030795704028954</v>
      </c>
      <c r="AI53" s="71">
        <f t="shared" si="136"/>
        <v>0.77270679111683294</v>
      </c>
      <c r="AJ53" s="71">
        <f t="shared" si="136"/>
        <v>0.68512750118789922</v>
      </c>
      <c r="AK53" s="71">
        <f t="shared" si="136"/>
        <v>0.74596018735363001</v>
      </c>
      <c r="AL53" s="71">
        <f t="shared" si="136"/>
        <v>0.89120072633729286</v>
      </c>
      <c r="AM53" s="71">
        <f t="shared" si="136"/>
        <v>0.78431115767417492</v>
      </c>
      <c r="AN53" s="71">
        <f t="shared" si="136"/>
        <v>0.76225414637153954</v>
      </c>
      <c r="AO53" s="71">
        <f t="shared" ref="AO53:AP53" si="137">(AO26-AO29)/AO26</f>
        <v>0.80174946145309745</v>
      </c>
      <c r="AP53" s="71">
        <f t="shared" si="137"/>
        <v>0.8066059757236228</v>
      </c>
      <c r="AQ53" s="71">
        <f t="shared" ref="AQ53:AR53" si="138">(AQ26-AQ29)/AQ26</f>
        <v>0.81648034166561989</v>
      </c>
      <c r="AR53" s="71">
        <f t="shared" si="138"/>
        <v>0.78694304297611084</v>
      </c>
      <c r="AS53" s="71"/>
      <c r="AT53" s="71"/>
      <c r="AU53" s="71"/>
      <c r="AV53" s="71">
        <f t="shared" ref="AV53:BB53" si="139">(AV26-AV29)/AV26</f>
        <v>0.73446596174408929</v>
      </c>
      <c r="AW53" s="71">
        <f t="shared" si="139"/>
        <v>0.76218833743398473</v>
      </c>
      <c r="AX53" s="71">
        <f t="shared" si="139"/>
        <v>0.76091911251686128</v>
      </c>
      <c r="AY53" s="71">
        <f t="shared" si="139"/>
        <v>0.75369689264254036</v>
      </c>
      <c r="AZ53" s="71">
        <f t="shared" si="139"/>
        <v>0.76459781602269217</v>
      </c>
      <c r="BA53" s="71">
        <f t="shared" si="139"/>
        <v>0.74366153586402906</v>
      </c>
      <c r="BB53" s="71">
        <f t="shared" si="139"/>
        <v>0.73788703734257277</v>
      </c>
      <c r="BC53" s="71">
        <f>(BC26-BC29)/BC26</f>
        <v>0.72481800336944935</v>
      </c>
      <c r="BD53" s="71">
        <f>(BD26-BD29)/BD26</f>
        <v>0.76422274713229277</v>
      </c>
      <c r="BE53" s="71">
        <f t="shared" ref="BE53:BE54" si="140">(BE26-BE29)/BE26</f>
        <v>0.78886873299346327</v>
      </c>
    </row>
    <row r="54" spans="2:64" x14ac:dyDescent="0.3">
      <c r="B54" s="53" t="s">
        <v>502</v>
      </c>
      <c r="C54" s="71">
        <f t="shared" ref="C54:AF54" si="141">(C27-C30)/C27</f>
        <v>0.38527131782945734</v>
      </c>
      <c r="D54" s="71">
        <f t="shared" si="141"/>
        <v>0.38096873926485741</v>
      </c>
      <c r="E54" s="71">
        <f t="shared" si="141"/>
        <v>0.36859903381642511</v>
      </c>
      <c r="F54" s="71">
        <f t="shared" si="141"/>
        <v>0.36568065197706007</v>
      </c>
      <c r="G54" s="71">
        <f t="shared" si="141"/>
        <v>0.38750000000000001</v>
      </c>
      <c r="H54" s="71">
        <f t="shared" si="141"/>
        <v>0.40116509996028066</v>
      </c>
      <c r="I54" s="71">
        <f t="shared" si="141"/>
        <v>0.42694562593401542</v>
      </c>
      <c r="J54" s="71">
        <f t="shared" si="141"/>
        <v>0.44333891914537077</v>
      </c>
      <c r="K54" s="71">
        <f t="shared" si="141"/>
        <v>0.48261718749999999</v>
      </c>
      <c r="L54" s="71">
        <f t="shared" si="141"/>
        <v>0.49363173216885009</v>
      </c>
      <c r="M54" s="71">
        <f t="shared" si="141"/>
        <v>0.50072618539085856</v>
      </c>
      <c r="N54" s="71">
        <f t="shared" si="141"/>
        <v>0.51841250193408639</v>
      </c>
      <c r="O54" s="71">
        <f t="shared" si="141"/>
        <v>0.46915570640644888</v>
      </c>
      <c r="P54" s="71">
        <f t="shared" si="141"/>
        <v>0.59771105094757571</v>
      </c>
      <c r="Q54" s="71">
        <f t="shared" si="141"/>
        <v>0.55504860146796275</v>
      </c>
      <c r="R54" s="71">
        <f t="shared" si="141"/>
        <v>0.57180690983507887</v>
      </c>
      <c r="S54" s="71">
        <f t="shared" si="141"/>
        <v>0.58922890032972752</v>
      </c>
      <c r="T54" s="71">
        <f t="shared" si="141"/>
        <v>0.60366736368023166</v>
      </c>
      <c r="U54" s="71">
        <f t="shared" si="141"/>
        <v>0.60318537859007837</v>
      </c>
      <c r="V54" s="71">
        <f t="shared" si="141"/>
        <v>0.59926581514633415</v>
      </c>
      <c r="W54" s="71">
        <f t="shared" si="141"/>
        <v>0.65317783710364852</v>
      </c>
      <c r="X54" s="71">
        <f t="shared" si="141"/>
        <v>0.65548780487804881</v>
      </c>
      <c r="Y54" s="71">
        <f t="shared" si="141"/>
        <v>0.64692143518704948</v>
      </c>
      <c r="Z54" s="71">
        <f t="shared" si="141"/>
        <v>0.64341882854413168</v>
      </c>
      <c r="AA54" s="71">
        <f t="shared" si="141"/>
        <v>0.65648748518441047</v>
      </c>
      <c r="AB54" s="71">
        <f t="shared" si="141"/>
        <v>0.65656402468577335</v>
      </c>
      <c r="AC54" s="71">
        <f t="shared" si="141"/>
        <v>0.65521660311308372</v>
      </c>
      <c r="AD54" s="71">
        <f t="shared" si="141"/>
        <v>0.64398832168450859</v>
      </c>
      <c r="AE54" s="71">
        <f t="shared" si="141"/>
        <v>0.67569296995433525</v>
      </c>
      <c r="AF54" s="71">
        <f t="shared" si="141"/>
        <v>0.67435826662986476</v>
      </c>
      <c r="AG54" s="71">
        <f t="shared" si="136"/>
        <v>0.67299900721779493</v>
      </c>
      <c r="AH54" s="71">
        <f t="shared" si="136"/>
        <v>0.67144600366076879</v>
      </c>
      <c r="AI54" s="71">
        <f t="shared" si="136"/>
        <v>0.68837538431506518</v>
      </c>
      <c r="AJ54" s="71">
        <f t="shared" si="136"/>
        <v>0.68293135866663568</v>
      </c>
      <c r="AK54" s="71">
        <f t="shared" si="136"/>
        <v>0.68363928714993971</v>
      </c>
      <c r="AL54" s="71">
        <f t="shared" si="136"/>
        <v>0.64577751892836344</v>
      </c>
      <c r="AM54" s="71">
        <f t="shared" si="136"/>
        <v>0.66599089698487468</v>
      </c>
      <c r="AN54" s="71">
        <f t="shared" si="136"/>
        <v>0.66407054462396797</v>
      </c>
      <c r="AO54" s="71">
        <f t="shared" ref="AO54:AP54" si="142">(AO27-AO30)/AO27</f>
        <v>0.65510438928160453</v>
      </c>
      <c r="AP54" s="71">
        <f t="shared" si="142"/>
        <v>0.65095691762920493</v>
      </c>
      <c r="AQ54" s="71">
        <f t="shared" ref="AQ54:AR54" si="143">(AQ27-AQ30)/AQ27</f>
        <v>0.65796505319751908</v>
      </c>
      <c r="AR54" s="71">
        <f t="shared" si="143"/>
        <v>0.65331214711054886</v>
      </c>
      <c r="AS54" s="71"/>
      <c r="AT54" s="71"/>
      <c r="AU54" s="71"/>
      <c r="AV54" s="71">
        <f t="shared" ref="AV54:BB54" si="144">(AV27-AV30)/AV27</f>
        <v>0.37442270551683599</v>
      </c>
      <c r="AW54" s="71">
        <f t="shared" si="144"/>
        <v>0.41739926739926742</v>
      </c>
      <c r="AX54" s="71">
        <f t="shared" si="144"/>
        <v>0.4999672938970412</v>
      </c>
      <c r="AY54" s="71">
        <f t="shared" si="144"/>
        <v>0.55437146585471941</v>
      </c>
      <c r="AZ54" s="71">
        <f t="shared" si="144"/>
        <v>0.59904766985888447</v>
      </c>
      <c r="BA54" s="71">
        <f t="shared" si="144"/>
        <v>0.64940111736450412</v>
      </c>
      <c r="BB54" s="71">
        <f t="shared" si="144"/>
        <v>0.65280632159186858</v>
      </c>
      <c r="BC54" s="71">
        <f>(BC27-BC30)/BC27</f>
        <v>0.67354771220519505</v>
      </c>
      <c r="BD54" s="71">
        <f>(BD27-BD30)/BD27</f>
        <v>0.67373259624394921</v>
      </c>
      <c r="BE54" s="71">
        <f t="shared" si="140"/>
        <v>0.65868912378660838</v>
      </c>
    </row>
    <row r="55" spans="2:64" x14ac:dyDescent="0.3">
      <c r="B55" t="s">
        <v>390</v>
      </c>
      <c r="C55" s="71">
        <f t="shared" ref="C55:AF55" si="145">C37/C28</f>
        <v>0.30205643232902918</v>
      </c>
      <c r="D55" s="71">
        <f t="shared" si="145"/>
        <v>0.29655882469409572</v>
      </c>
      <c r="E55" s="71">
        <f t="shared" si="145"/>
        <v>0.29172282381372866</v>
      </c>
      <c r="F55" s="71">
        <f t="shared" si="145"/>
        <v>0.25543154127971374</v>
      </c>
      <c r="G55" s="71">
        <f t="shared" si="145"/>
        <v>0.30622947829259395</v>
      </c>
      <c r="H55" s="71">
        <f t="shared" si="145"/>
        <v>0.30608688918144505</v>
      </c>
      <c r="I55" s="71">
        <f t="shared" si="145"/>
        <v>0.28963467172152335</v>
      </c>
      <c r="J55" s="71">
        <f t="shared" si="145"/>
        <v>0.30001952743604765</v>
      </c>
      <c r="K55" s="71">
        <f t="shared" si="145"/>
        <v>0.3141250305648382</v>
      </c>
      <c r="L55" s="71">
        <f t="shared" si="145"/>
        <v>0.30012448993706342</v>
      </c>
      <c r="M55" s="71">
        <f t="shared" si="145"/>
        <v>0.30918378761325926</v>
      </c>
      <c r="N55" s="71">
        <f t="shared" si="145"/>
        <v>0.3449891972743892</v>
      </c>
      <c r="O55" s="71">
        <f t="shared" si="145"/>
        <v>0.34228441754916794</v>
      </c>
      <c r="P55" s="71">
        <f t="shared" si="145"/>
        <v>0.3159126605278556</v>
      </c>
      <c r="Q55" s="71">
        <f t="shared" si="145"/>
        <v>0.3382617513329626</v>
      </c>
      <c r="R55" s="71">
        <f t="shared" si="145"/>
        <v>0.3679152949550672</v>
      </c>
      <c r="S55" s="71">
        <f t="shared" si="145"/>
        <v>0.38378460142187265</v>
      </c>
      <c r="T55" s="71">
        <f t="shared" si="145"/>
        <v>0.37638866309001245</v>
      </c>
      <c r="U55" s="71">
        <f t="shared" si="145"/>
        <v>0.37049199051997372</v>
      </c>
      <c r="V55" s="71">
        <f t="shared" si="145"/>
        <v>0.35250966266137301</v>
      </c>
      <c r="W55" s="71">
        <f t="shared" si="145"/>
        <v>0.42730257845723207</v>
      </c>
      <c r="X55" s="71">
        <f t="shared" si="145"/>
        <v>0.41547497446373849</v>
      </c>
      <c r="Y55" s="71">
        <f t="shared" si="145"/>
        <v>0.40876612477820939</v>
      </c>
      <c r="Z55" s="71">
        <f t="shared" si="145"/>
        <v>0.41374154966198645</v>
      </c>
      <c r="AA55" s="71">
        <f t="shared" si="145"/>
        <v>0.44658737339188381</v>
      </c>
      <c r="AB55" s="71">
        <f t="shared" si="145"/>
        <v>0.43007655428394681</v>
      </c>
      <c r="AC55" s="71">
        <f t="shared" si="145"/>
        <v>0.41256077795786061</v>
      </c>
      <c r="AD55" s="71">
        <f t="shared" si="145"/>
        <v>0.3959124650535043</v>
      </c>
      <c r="AE55" s="71">
        <f t="shared" si="145"/>
        <v>0.42931247755476637</v>
      </c>
      <c r="AF55" s="71">
        <f t="shared" si="145"/>
        <v>0.3867328947617874</v>
      </c>
      <c r="AG55" s="71">
        <f t="shared" ref="AG55:AN55" si="146">AG37/AG28</f>
        <v>0.42287681858599618</v>
      </c>
      <c r="AH55" s="71">
        <f t="shared" si="146"/>
        <v>0.4316503230169606</v>
      </c>
      <c r="AI55" s="71">
        <f t="shared" si="146"/>
        <v>0.47587451563246458</v>
      </c>
      <c r="AJ55" s="71">
        <f t="shared" si="146"/>
        <v>0.43585940019348596</v>
      </c>
      <c r="AK55" s="71">
        <f t="shared" si="146"/>
        <v>0.44587603866921011</v>
      </c>
      <c r="AL55" s="71">
        <f t="shared" si="146"/>
        <v>0.54345172802694397</v>
      </c>
      <c r="AM55" s="71">
        <f t="shared" si="146"/>
        <v>0.46583822520393381</v>
      </c>
      <c r="AN55" s="71">
        <f t="shared" si="146"/>
        <v>0.45457548253676472</v>
      </c>
      <c r="AO55" s="71">
        <f t="shared" ref="AO55:AP55" si="147">AO37/AO28</f>
        <v>0.45671224274255701</v>
      </c>
      <c r="AP55" s="71">
        <f t="shared" si="147"/>
        <v>0.44901296424693554</v>
      </c>
      <c r="AQ55" s="71">
        <f t="shared" ref="AQ55:AR55" si="148">AQ37/AQ28</f>
        <v>0.48872838695557014</v>
      </c>
      <c r="AR55" s="71">
        <f t="shared" si="148"/>
        <v>0.47094360980891564</v>
      </c>
      <c r="AS55" s="71"/>
      <c r="AT55" s="71"/>
      <c r="AU55" s="71"/>
      <c r="AV55" s="71">
        <f t="shared" ref="AV55:BB55" si="149">AV37/AV28</f>
        <v>0.28608728086534874</v>
      </c>
      <c r="AW55" s="71">
        <f t="shared" si="149"/>
        <v>0.30055606755651282</v>
      </c>
      <c r="AX55" s="71">
        <f t="shared" si="149"/>
        <v>0.31766944545125048</v>
      </c>
      <c r="AY55" s="71">
        <f t="shared" si="149"/>
        <v>0.3413698020549415</v>
      </c>
      <c r="AZ55" s="71">
        <f t="shared" si="149"/>
        <v>0.37030381428521486</v>
      </c>
      <c r="BA55" s="71">
        <f t="shared" si="149"/>
        <v>0.41594878872971303</v>
      </c>
      <c r="BB55" s="71">
        <f t="shared" si="149"/>
        <v>0.4205527815604983</v>
      </c>
      <c r="BC55" s="71">
        <f>BC37/BC28</f>
        <v>0.41772880636104098</v>
      </c>
      <c r="BD55" s="71">
        <f>BD37/BD28</f>
        <v>0.44644299573273716</v>
      </c>
      <c r="BE55" s="71">
        <f t="shared" ref="BE55" si="150">BE37/BE28</f>
        <v>0.45621956240859851</v>
      </c>
      <c r="BF55" s="71">
        <f t="shared" ref="BF55:BH55" si="151">BF37/BF28</f>
        <v>0.48440818183565831</v>
      </c>
      <c r="BG55" s="71">
        <f t="shared" si="151"/>
        <v>0.49420780993403757</v>
      </c>
      <c r="BH55" s="71">
        <f t="shared" si="151"/>
        <v>0.50356200039158117</v>
      </c>
    </row>
    <row r="56" spans="2:64" x14ac:dyDescent="0.3">
      <c r="B56" t="s">
        <v>391</v>
      </c>
      <c r="C56" s="71">
        <f t="shared" ref="C56:AF56" si="152">C41/C28</f>
        <v>0.24241989478718318</v>
      </c>
      <c r="D56" s="71">
        <f t="shared" si="152"/>
        <v>0.23514037936086801</v>
      </c>
      <c r="E56" s="71">
        <f t="shared" si="152"/>
        <v>0.20007435980852351</v>
      </c>
      <c r="F56" s="71">
        <f t="shared" si="152"/>
        <v>0.22267189230638154</v>
      </c>
      <c r="G56" s="71">
        <f t="shared" si="152"/>
        <v>0.25843670193360085</v>
      </c>
      <c r="H56" s="71">
        <f t="shared" si="152"/>
        <v>0.2426624332068458</v>
      </c>
      <c r="I56" s="71">
        <f t="shared" si="152"/>
        <v>0.23634327072204031</v>
      </c>
      <c r="J56" s="71">
        <f t="shared" si="152"/>
        <v>0.31513376293692641</v>
      </c>
      <c r="K56" s="71">
        <f t="shared" si="152"/>
        <v>0.26799250142635911</v>
      </c>
      <c r="L56" s="71">
        <f t="shared" si="152"/>
        <v>-0.21792655093713259</v>
      </c>
      <c r="M56" s="71">
        <f t="shared" si="152"/>
        <v>0.27681867332861032</v>
      </c>
      <c r="N56" s="71">
        <f t="shared" si="152"/>
        <v>0.29493102875186972</v>
      </c>
      <c r="O56" s="71">
        <f t="shared" si="152"/>
        <v>0.30339705680099022</v>
      </c>
      <c r="P56" s="71">
        <f t="shared" si="152"/>
        <v>0.2593083058729328</v>
      </c>
      <c r="Q56" s="71">
        <f t="shared" si="152"/>
        <v>0.2881488992836348</v>
      </c>
      <c r="R56" s="71">
        <f t="shared" si="152"/>
        <v>0.39110834297238783</v>
      </c>
      <c r="S56" s="71">
        <f t="shared" si="152"/>
        <v>0.32303736197247013</v>
      </c>
      <c r="T56" s="71">
        <f t="shared" si="152"/>
        <v>0.31563973337668672</v>
      </c>
      <c r="U56" s="71">
        <f t="shared" si="152"/>
        <v>0.30701579052568456</v>
      </c>
      <c r="V56" s="71">
        <f t="shared" si="152"/>
        <v>0.29453369442326399</v>
      </c>
      <c r="W56" s="71">
        <f t="shared" si="152"/>
        <v>0.37393012865371156</v>
      </c>
      <c r="X56" s="71">
        <f t="shared" si="152"/>
        <v>0.3589701922184047</v>
      </c>
      <c r="Y56" s="71">
        <f t="shared" si="152"/>
        <v>0.3706181364791637</v>
      </c>
      <c r="Z56" s="71">
        <f t="shared" si="152"/>
        <v>0.35660426417056684</v>
      </c>
      <c r="AA56" s="71">
        <f t="shared" si="152"/>
        <v>0.45247920206545006</v>
      </c>
      <c r="AB56" s="71">
        <f t="shared" si="152"/>
        <v>0.36276291370244357</v>
      </c>
      <c r="AC56" s="71">
        <f t="shared" si="152"/>
        <v>0.33889789303079415</v>
      </c>
      <c r="AD56" s="71">
        <f t="shared" si="152"/>
        <v>0.32276101417140651</v>
      </c>
      <c r="AE56" s="71">
        <f t="shared" si="152"/>
        <v>0.3502653525398029</v>
      </c>
      <c r="AF56" s="71">
        <f t="shared" si="152"/>
        <v>0.31139211708722769</v>
      </c>
      <c r="AG56" s="71">
        <f t="shared" ref="AG56:AN56" si="153">AG41/AG28</f>
        <v>0.34619823296819718</v>
      </c>
      <c r="AH56" s="71">
        <f t="shared" si="153"/>
        <v>0.35738311769207498</v>
      </c>
      <c r="AI56" s="71">
        <f t="shared" si="153"/>
        <v>0.39441230072367606</v>
      </c>
      <c r="AJ56" s="71">
        <f t="shared" si="153"/>
        <v>0.35262818445662691</v>
      </c>
      <c r="AK56" s="71">
        <f t="shared" si="153"/>
        <v>0.35466714087102719</v>
      </c>
      <c r="AL56" s="71">
        <f t="shared" si="153"/>
        <v>0.49418326200812646</v>
      </c>
      <c r="AM56" s="71">
        <f t="shared" si="153"/>
        <v>0.37610734161774795</v>
      </c>
      <c r="AN56" s="71">
        <f t="shared" si="153"/>
        <v>0.34622012867647056</v>
      </c>
      <c r="AO56" s="71">
        <f t="shared" ref="AO56:AP56" si="154">AO41/AO28</f>
        <v>0.36856677989324349</v>
      </c>
      <c r="AP56" s="71">
        <f t="shared" si="154"/>
        <v>0.35626169202391389</v>
      </c>
      <c r="AQ56" s="71">
        <f t="shared" ref="AQ56:AR56" si="155">AQ41/AQ28</f>
        <v>0.35722838051832684</v>
      </c>
      <c r="AR56" s="71">
        <f t="shared" si="155"/>
        <v>0.47319528010532402</v>
      </c>
      <c r="AS56" s="71"/>
      <c r="AT56" s="71"/>
      <c r="AU56" s="71"/>
      <c r="AV56" s="71">
        <f t="shared" ref="AV56:BB56" si="156">AV41/AV28</f>
        <v>0.22532198257893235</v>
      </c>
      <c r="AW56" s="71">
        <f t="shared" si="156"/>
        <v>0.26394052044609667</v>
      </c>
      <c r="AX56" s="71">
        <f t="shared" si="156"/>
        <v>0.15015404131931859</v>
      </c>
      <c r="AY56" s="71">
        <f t="shared" si="156"/>
        <v>0.31181710544090652</v>
      </c>
      <c r="AZ56" s="71">
        <f t="shared" si="156"/>
        <v>0.30962486452470023</v>
      </c>
      <c r="BA56" s="71">
        <f t="shared" si="156"/>
        <v>0.36451739564989766</v>
      </c>
      <c r="BB56" s="71">
        <f t="shared" si="156"/>
        <v>0.36686336813436221</v>
      </c>
      <c r="BC56" s="71">
        <f>BC41/BC28</f>
        <v>0.34146237878394642</v>
      </c>
      <c r="BD56" s="71">
        <f>BD41/BD28</f>
        <v>0.35955972944084985</v>
      </c>
      <c r="BE56" s="71">
        <f t="shared" ref="BE56" si="157">BE41/BE28</f>
        <v>0.36146015248967073</v>
      </c>
      <c r="BF56" s="71">
        <f t="shared" ref="BF56:BH56" si="158">BF41/BF28</f>
        <v>0.35706194841043826</v>
      </c>
      <c r="BG56" s="71">
        <f t="shared" si="158"/>
        <v>0.37840222321286632</v>
      </c>
      <c r="BH56" s="71">
        <f t="shared" si="158"/>
        <v>0.40217166821586736</v>
      </c>
    </row>
    <row r="57" spans="2:64" s="7" customFormat="1" x14ac:dyDescent="0.3">
      <c r="B57" s="7" t="s">
        <v>503</v>
      </c>
      <c r="C57" s="71">
        <f t="shared" ref="C57:AF57" si="159">C40/C39</f>
        <v>0.15811327022089353</v>
      </c>
      <c r="D57" s="71">
        <f t="shared" si="159"/>
        <v>0.1880213318747436</v>
      </c>
      <c r="E57" s="71">
        <f t="shared" si="159"/>
        <v>0.29018961253091508</v>
      </c>
      <c r="F57" s="71">
        <f t="shared" si="159"/>
        <v>0.1623397435897436</v>
      </c>
      <c r="G57" s="71">
        <f t="shared" si="159"/>
        <v>0.16991357843855281</v>
      </c>
      <c r="H57" s="71">
        <f t="shared" si="159"/>
        <v>0.21877337322363499</v>
      </c>
      <c r="I57" s="71">
        <f t="shared" si="159"/>
        <v>0.22667042571186918</v>
      </c>
      <c r="J57" s="71">
        <f t="shared" si="159"/>
        <v>-1.3948228198039708E-2</v>
      </c>
      <c r="K57" s="71">
        <f t="shared" si="159"/>
        <v>0.17635270541082165</v>
      </c>
      <c r="L57" s="71">
        <f t="shared" si="159"/>
        <v>1.6873159559384885</v>
      </c>
      <c r="M57" s="71">
        <f t="shared" si="159"/>
        <v>0.14084018053466035</v>
      </c>
      <c r="N57" s="71">
        <f t="shared" si="159"/>
        <v>0.16919475655430713</v>
      </c>
      <c r="O57" s="71">
        <f t="shared" si="159"/>
        <v>0.13667938557871051</v>
      </c>
      <c r="P57" s="71">
        <f t="shared" si="159"/>
        <v>0.18921521425132404</v>
      </c>
      <c r="Q57" s="71">
        <f t="shared" si="159"/>
        <v>0.15992752241083349</v>
      </c>
      <c r="R57" s="71">
        <f t="shared" si="159"/>
        <v>-4.6919657033979038E-2</v>
      </c>
      <c r="S57" s="71">
        <f t="shared" si="159"/>
        <v>0.15828472331704241</v>
      </c>
      <c r="T57" s="71">
        <f t="shared" si="159"/>
        <v>0.17294994675186368</v>
      </c>
      <c r="U57" s="71">
        <f t="shared" si="159"/>
        <v>0.16281242700303666</v>
      </c>
      <c r="V57" s="71">
        <f t="shared" si="159"/>
        <v>0.16540008940545373</v>
      </c>
      <c r="W57" s="71">
        <f t="shared" si="159"/>
        <v>0.13836516993301909</v>
      </c>
      <c r="X57" s="71">
        <f t="shared" si="159"/>
        <v>0.15673228990565524</v>
      </c>
      <c r="Y57" s="71">
        <f t="shared" si="159"/>
        <v>0.10321420283128337</v>
      </c>
      <c r="Z57" s="71">
        <f t="shared" si="159"/>
        <v>0.15186807523834064</v>
      </c>
      <c r="AA57" s="71">
        <f t="shared" si="159"/>
        <v>9.2574546871954783E-4</v>
      </c>
      <c r="AB57" s="71">
        <f t="shared" si="159"/>
        <v>0.16655562958027981</v>
      </c>
      <c r="AC57" s="71">
        <f t="shared" si="159"/>
        <v>0.17147102526002972</v>
      </c>
      <c r="AD57" s="71">
        <f t="shared" si="159"/>
        <v>0.18289647093278666</v>
      </c>
      <c r="AE57" s="71">
        <f t="shared" si="159"/>
        <v>0.18616725384758021</v>
      </c>
      <c r="AF57" s="71">
        <f t="shared" si="159"/>
        <v>0.19243817296818919</v>
      </c>
      <c r="AG57" s="71">
        <f t="shared" ref="AG57:AN57" si="160">AG40/AG39</f>
        <v>0.19291668504388479</v>
      </c>
      <c r="AH57" s="71">
        <f t="shared" si="160"/>
        <v>0.18789177821814212</v>
      </c>
      <c r="AI57" s="71">
        <f t="shared" si="160"/>
        <v>0.18300102624248643</v>
      </c>
      <c r="AJ57" s="71">
        <f t="shared" si="160"/>
        <v>0.17552589911784663</v>
      </c>
      <c r="AK57" s="71">
        <f t="shared" si="160"/>
        <v>0.17914468514984846</v>
      </c>
      <c r="AL57" s="71">
        <f t="shared" si="160"/>
        <v>7.2867453117300945E-2</v>
      </c>
      <c r="AM57" s="71">
        <f t="shared" si="160"/>
        <v>0.18507383791998414</v>
      </c>
      <c r="AN57" s="71">
        <f t="shared" si="160"/>
        <v>0.17902264600715137</v>
      </c>
      <c r="AO57" s="71">
        <f t="shared" ref="AO57:AP57" si="161">AO40/AO39</f>
        <v>0.17697676642126398</v>
      </c>
      <c r="AP57" s="71">
        <f t="shared" si="161"/>
        <v>0.16504169732646554</v>
      </c>
      <c r="AQ57" s="71">
        <f t="shared" ref="AQ57:AR57" si="162">AQ40/AQ39</f>
        <v>0.19107314655549401</v>
      </c>
      <c r="AR57" s="71">
        <f t="shared" si="162"/>
        <v>0.20287692243916594</v>
      </c>
      <c r="AS57" s="71"/>
      <c r="AT57" s="71"/>
      <c r="AU57" s="71"/>
      <c r="AV57" s="71">
        <f t="shared" ref="AV57:BB57" si="163">AV40/AV39</f>
        <v>0.19891571434143299</v>
      </c>
      <c r="AW57" s="71">
        <f t="shared" si="163"/>
        <v>0.14755359352530015</v>
      </c>
      <c r="AX57" s="71">
        <f t="shared" si="163"/>
        <v>0.5456763722103416</v>
      </c>
      <c r="AY57" s="71">
        <f t="shared" si="163"/>
        <v>0.10181285478850027</v>
      </c>
      <c r="AZ57" s="71">
        <f t="shared" si="163"/>
        <v>0.16507655177615205</v>
      </c>
      <c r="BA57" s="71">
        <f t="shared" si="163"/>
        <v>0.13826615285083402</v>
      </c>
      <c r="BB57" s="71">
        <f t="shared" si="163"/>
        <v>0.13113383343685794</v>
      </c>
      <c r="BC57" s="71">
        <f>BC40/BC39</f>
        <v>0.18978625253328257</v>
      </c>
      <c r="BD57" s="71">
        <f>BD40/BD39</f>
        <v>0.18231326597827197</v>
      </c>
      <c r="BE57" s="71">
        <f t="shared" ref="BE57" si="164">BE40/BE39</f>
        <v>0.17629644009803683</v>
      </c>
      <c r="BF57" s="71"/>
      <c r="BG57" s="71"/>
      <c r="BH57" s="71"/>
      <c r="BK57"/>
      <c r="BL57"/>
    </row>
    <row r="58" spans="2:64" s="7" customFormat="1" x14ac:dyDescent="0.3">
      <c r="B58" s="7" t="s">
        <v>797</v>
      </c>
      <c r="C58" s="71">
        <f t="shared" ref="C58:AP58" si="165">(C34+C35)/C32</f>
        <v>0.3229219878858644</v>
      </c>
      <c r="D58" s="71">
        <f t="shared" si="165"/>
        <v>0.32455627072362003</v>
      </c>
      <c r="E58" s="71">
        <f t="shared" si="165"/>
        <v>0.32895976803189564</v>
      </c>
      <c r="F58" s="71">
        <f t="shared" si="165"/>
        <v>0.41000322684737012</v>
      </c>
      <c r="G58" s="71">
        <f t="shared" si="165"/>
        <v>0.30268389662027834</v>
      </c>
      <c r="H58" s="71">
        <f t="shared" si="165"/>
        <v>0.31133437990580848</v>
      </c>
      <c r="I58" s="71">
        <f t="shared" si="165"/>
        <v>0.33487328405491024</v>
      </c>
      <c r="J58" s="71">
        <f t="shared" si="165"/>
        <v>0.34713394367018485</v>
      </c>
      <c r="K58" s="71">
        <f t="shared" si="165"/>
        <v>0.30615006150061502</v>
      </c>
      <c r="L58" s="71">
        <f t="shared" si="165"/>
        <v>0.31763190321496582</v>
      </c>
      <c r="M58" s="71">
        <f t="shared" si="165"/>
        <v>0.31584045584045584</v>
      </c>
      <c r="N58" s="71">
        <f t="shared" si="165"/>
        <v>0.29646561470776189</v>
      </c>
      <c r="O58" s="71">
        <f t="shared" si="165"/>
        <v>0.27358047864852181</v>
      </c>
      <c r="P58" s="71">
        <f t="shared" si="165"/>
        <v>0.28531524341580206</v>
      </c>
      <c r="Q58" s="71">
        <f t="shared" si="165"/>
        <v>0.28155482574383611</v>
      </c>
      <c r="R58" s="71">
        <f t="shared" si="165"/>
        <v>0.2740613602231281</v>
      </c>
      <c r="S58" s="71">
        <f t="shared" si="165"/>
        <v>0.23833281822597024</v>
      </c>
      <c r="T58" s="71">
        <f t="shared" si="165"/>
        <v>0.24661886915430992</v>
      </c>
      <c r="U58" s="71">
        <f t="shared" si="165"/>
        <v>0.25717375031190221</v>
      </c>
      <c r="V58" s="71">
        <f t="shared" si="165"/>
        <v>0.27527827508367714</v>
      </c>
      <c r="W58" s="71">
        <f t="shared" si="165"/>
        <v>0.20457326399510553</v>
      </c>
      <c r="X58" s="71">
        <f t="shared" si="165"/>
        <v>0.21071947926043902</v>
      </c>
      <c r="Y58" s="71">
        <f t="shared" si="165"/>
        <v>0.22361397020341231</v>
      </c>
      <c r="Z58" s="71">
        <f t="shared" si="165"/>
        <v>0.22943938310375922</v>
      </c>
      <c r="AA58" s="71">
        <f t="shared" si="165"/>
        <v>0.18420637175965393</v>
      </c>
      <c r="AB58" s="71">
        <f t="shared" si="165"/>
        <v>0.19451794753796595</v>
      </c>
      <c r="AC58" s="71">
        <f t="shared" si="165"/>
        <v>0.20966069047266261</v>
      </c>
      <c r="AD58" s="71">
        <f t="shared" si="165"/>
        <v>0.22725476916130488</v>
      </c>
      <c r="AE58" s="71">
        <f t="shared" si="165"/>
        <v>0.1881742140178829</v>
      </c>
      <c r="AF58" s="71">
        <f t="shared" si="165"/>
        <v>0.22734620947843104</v>
      </c>
      <c r="AG58" s="71">
        <f t="shared" si="165"/>
        <v>0.20128508807754092</v>
      </c>
      <c r="AH58" s="71">
        <f t="shared" si="165"/>
        <v>0.21325582576026805</v>
      </c>
      <c r="AI58" s="71">
        <f t="shared" si="165"/>
        <v>0.16563471341539227</v>
      </c>
      <c r="AJ58" s="71">
        <f t="shared" si="165"/>
        <v>0.19395240229261504</v>
      </c>
      <c r="AK58" s="71">
        <f t="shared" si="165"/>
        <v>0.18727654372246441</v>
      </c>
      <c r="AL58" s="71">
        <f t="shared" si="165"/>
        <v>0.20118553382323556</v>
      </c>
      <c r="AM58" s="71">
        <f t="shared" si="165"/>
        <v>0.16246757243987162</v>
      </c>
      <c r="AN58" s="71">
        <f t="shared" si="165"/>
        <v>0.17274684841009344</v>
      </c>
      <c r="AO58" s="71">
        <f t="shared" si="165"/>
        <v>0.16509855235009449</v>
      </c>
      <c r="AP58" s="71">
        <f t="shared" si="165"/>
        <v>0.17691265950750568</v>
      </c>
      <c r="AQ58" s="71">
        <f>(AQ34+AQ35)/AQ32</f>
        <v>0.14027596494499348</v>
      </c>
      <c r="AR58" s="71">
        <f>(AR34+AR35)/AR32</f>
        <v>0.1540103083461434</v>
      </c>
      <c r="AS58" s="71"/>
      <c r="AT58" s="71"/>
      <c r="AU58" s="71"/>
      <c r="AV58" s="71">
        <f t="shared" ref="AV58:BC58" si="166">(AV34+AV35)/AV32</f>
        <v>0.34789461061431459</v>
      </c>
      <c r="AW58" s="71">
        <f t="shared" si="166"/>
        <v>0.32495586583212965</v>
      </c>
      <c r="AX58" s="71">
        <f t="shared" si="166"/>
        <v>0.30862277278597916</v>
      </c>
      <c r="AY58" s="71">
        <f t="shared" si="166"/>
        <v>0.27851398116551918</v>
      </c>
      <c r="AZ58" s="71">
        <f t="shared" si="166"/>
        <v>0.25489751075440747</v>
      </c>
      <c r="BA58" s="71">
        <f t="shared" si="166"/>
        <v>0.21771854716199421</v>
      </c>
      <c r="BB58" s="71">
        <f t="shared" si="166"/>
        <v>0.20443149977879368</v>
      </c>
      <c r="BC58" s="71">
        <f t="shared" si="166"/>
        <v>0.20769315038479447</v>
      </c>
      <c r="BD58" s="71">
        <f>(BD34+BD35)/BD32</f>
        <v>0.18750584767964071</v>
      </c>
      <c r="BE58" s="71">
        <f t="shared" ref="BE58" si="167">(BE34+BE35)/BE32</f>
        <v>0.16956259380173602</v>
      </c>
      <c r="BF58" s="71"/>
      <c r="BG58" s="71"/>
      <c r="BH58" s="71"/>
      <c r="BK58"/>
      <c r="BL58"/>
    </row>
    <row r="59" spans="2:64" s="7" customFormat="1" x14ac:dyDescent="0.3">
      <c r="B59" s="7" t="s">
        <v>798</v>
      </c>
      <c r="C59" s="71">
        <f t="shared" ref="C59:AP59" si="168">C33/C32</f>
        <v>0.21615704590235715</v>
      </c>
      <c r="D59" s="71">
        <f t="shared" si="168"/>
        <v>0.1885443079123594</v>
      </c>
      <c r="E59" s="71">
        <f t="shared" si="168"/>
        <v>0.21602029720913374</v>
      </c>
      <c r="F59" s="71">
        <f t="shared" si="168"/>
        <v>0.20303323652791222</v>
      </c>
      <c r="G59" s="71">
        <f t="shared" si="168"/>
        <v>0.220533939221812</v>
      </c>
      <c r="H59" s="71">
        <f t="shared" si="168"/>
        <v>0.192276295133438</v>
      </c>
      <c r="I59" s="71">
        <f t="shared" si="168"/>
        <v>0.22142291446673706</v>
      </c>
      <c r="J59" s="71">
        <f t="shared" si="168"/>
        <v>0.2049099072832235</v>
      </c>
      <c r="K59" s="71">
        <f t="shared" si="168"/>
        <v>0.21980319803198031</v>
      </c>
      <c r="L59" s="71">
        <f t="shared" si="168"/>
        <v>0.19625854150330457</v>
      </c>
      <c r="M59" s="71">
        <f t="shared" si="168"/>
        <v>0.21168091168091169</v>
      </c>
      <c r="N59" s="71">
        <f t="shared" si="168"/>
        <v>0.19333431647249669</v>
      </c>
      <c r="O59" s="71">
        <f t="shared" si="168"/>
        <v>0.20736221909380051</v>
      </c>
      <c r="P59" s="71">
        <f t="shared" si="168"/>
        <v>0.20301276935355148</v>
      </c>
      <c r="Q59" s="71">
        <f t="shared" si="168"/>
        <v>0.21155825694818881</v>
      </c>
      <c r="R59" s="71">
        <f t="shared" si="168"/>
        <v>0.19364943145247801</v>
      </c>
      <c r="S59" s="71">
        <f t="shared" si="168"/>
        <v>0.2015541525012142</v>
      </c>
      <c r="T59" s="71">
        <f t="shared" si="168"/>
        <v>0.18751018412905329</v>
      </c>
      <c r="U59" s="71">
        <f t="shared" si="168"/>
        <v>0.20323546535806372</v>
      </c>
      <c r="V59" s="71">
        <f t="shared" si="168"/>
        <v>0.20292675332762514</v>
      </c>
      <c r="W59" s="71">
        <f t="shared" si="168"/>
        <v>0.18836035484857755</v>
      </c>
      <c r="X59" s="71">
        <f t="shared" si="168"/>
        <v>0.16962121736721833</v>
      </c>
      <c r="Y59" s="71">
        <f t="shared" si="168"/>
        <v>0.18157077561843621</v>
      </c>
      <c r="Z59" s="71">
        <f t="shared" si="168"/>
        <v>0.17682907869780168</v>
      </c>
      <c r="AA59" s="71">
        <f t="shared" si="168"/>
        <v>0.17678633450159451</v>
      </c>
      <c r="AB59" s="71">
        <f t="shared" si="168"/>
        <v>0.16561205706396687</v>
      </c>
      <c r="AC59" s="71">
        <f t="shared" si="168"/>
        <v>0.18687212920432655</v>
      </c>
      <c r="AD59" s="71">
        <f t="shared" si="168"/>
        <v>0.1932780223501524</v>
      </c>
      <c r="AE59" s="71">
        <f t="shared" si="168"/>
        <v>0.19117392558407845</v>
      </c>
      <c r="AF59" s="71">
        <f t="shared" si="168"/>
        <v>0.19410646927025724</v>
      </c>
      <c r="AG59" s="71">
        <f t="shared" si="168"/>
        <v>0.1901494731683411</v>
      </c>
      <c r="AH59" s="71">
        <f t="shared" si="168"/>
        <v>0.17106665989744632</v>
      </c>
      <c r="AI59" s="71">
        <f t="shared" si="168"/>
        <v>0.16558498072858385</v>
      </c>
      <c r="AJ59" s="71">
        <f t="shared" si="168"/>
        <v>0.16845531523456847</v>
      </c>
      <c r="AK59" s="71">
        <f t="shared" si="168"/>
        <v>0.17652757594630131</v>
      </c>
      <c r="AL59" s="71">
        <f t="shared" si="168"/>
        <v>1.7871811380236663E-2</v>
      </c>
      <c r="AM59" s="71">
        <f t="shared" si="168"/>
        <v>0.16585322956514092</v>
      </c>
      <c r="AN59" s="71">
        <f t="shared" si="168"/>
        <v>0.16551334852507682</v>
      </c>
      <c r="AO59" s="71">
        <f t="shared" si="168"/>
        <v>0.17027021413587554</v>
      </c>
      <c r="AP59" s="71">
        <f t="shared" si="168"/>
        <v>0.16840559253819598</v>
      </c>
      <c r="AQ59" s="71">
        <f>AQ33/AQ32</f>
        <v>0.15189259742681335</v>
      </c>
      <c r="AR59" s="71">
        <f>AR33/AR32</f>
        <v>0.15379329053259788</v>
      </c>
      <c r="AS59" s="71"/>
      <c r="AT59" s="71"/>
      <c r="AU59" s="71"/>
      <c r="AV59" s="71">
        <f t="shared" ref="AV59:BC59" si="169">AV33/AV32</f>
        <v>0.20536540240518039</v>
      </c>
      <c r="AW59" s="71">
        <f t="shared" si="169"/>
        <v>0.20922805328197722</v>
      </c>
      <c r="AX59" s="71">
        <f t="shared" si="169"/>
        <v>0.20450789506575751</v>
      </c>
      <c r="AY59" s="71">
        <f t="shared" si="169"/>
        <v>0.20348956386480654</v>
      </c>
      <c r="AZ59" s="71">
        <f t="shared" si="169"/>
        <v>0.19877858815519359</v>
      </c>
      <c r="BA59" s="71">
        <f t="shared" si="169"/>
        <v>0.17880817566634444</v>
      </c>
      <c r="BB59" s="71">
        <f t="shared" si="169"/>
        <v>0.18074030379000147</v>
      </c>
      <c r="BC59" s="71">
        <f t="shared" si="169"/>
        <v>0.1862008051926711</v>
      </c>
      <c r="BD59" s="71">
        <f>BD33/BD32</f>
        <v>0.1725650261976048</v>
      </c>
      <c r="BE59" s="71">
        <f t="shared" ref="BE59" si="170">BE33/BE32</f>
        <v>0.16755633261644309</v>
      </c>
      <c r="BF59" s="71"/>
      <c r="BG59" s="71"/>
      <c r="BH59" s="71"/>
      <c r="BK59"/>
      <c r="BL59"/>
    </row>
    <row r="60" spans="2:64" s="7" customFormat="1" x14ac:dyDescent="0.3">
      <c r="B60" s="7" t="s">
        <v>799</v>
      </c>
      <c r="C60" s="7">
        <f t="shared" ref="C60:AQ60" si="171">C38/C37</f>
        <v>-4.6706776440785309E-2</v>
      </c>
      <c r="D60" s="7">
        <f t="shared" si="171"/>
        <v>-2.3501134997997063E-2</v>
      </c>
      <c r="E60" s="7">
        <f t="shared" si="171"/>
        <v>-3.3774095905687432E-2</v>
      </c>
      <c r="F60" s="7">
        <f t="shared" si="171"/>
        <v>4.0693795863909275E-2</v>
      </c>
      <c r="G60" s="7">
        <f t="shared" si="171"/>
        <v>1.6679076693968727E-2</v>
      </c>
      <c r="H60" s="7">
        <f t="shared" si="171"/>
        <v>1.4800759013282733E-2</v>
      </c>
      <c r="I60" s="7">
        <f t="shared" si="171"/>
        <v>5.5183697753978876E-2</v>
      </c>
      <c r="J60" s="7">
        <f t="shared" si="171"/>
        <v>3.5928143712574849E-2</v>
      </c>
      <c r="K60" s="7">
        <f t="shared" si="171"/>
        <v>3.5806953814218993E-2</v>
      </c>
      <c r="L60" s="7">
        <f t="shared" si="171"/>
        <v>5.6458117294619199E-2</v>
      </c>
      <c r="M60" s="7">
        <f t="shared" si="171"/>
        <v>4.2088760250844189E-2</v>
      </c>
      <c r="N60" s="7">
        <f t="shared" si="171"/>
        <v>2.9000867135562193E-2</v>
      </c>
      <c r="O60" s="7">
        <f t="shared" si="171"/>
        <v>2.6720241084881968E-2</v>
      </c>
      <c r="P60" s="7">
        <f t="shared" si="171"/>
        <v>1.2380581009943459E-2</v>
      </c>
      <c r="Q60" s="7">
        <f t="shared" si="171"/>
        <v>1.4021854752925248E-2</v>
      </c>
      <c r="R60" s="7">
        <f t="shared" si="171"/>
        <v>1.539701733172108E-2</v>
      </c>
      <c r="S60" s="7">
        <f t="shared" si="171"/>
        <v>0</v>
      </c>
      <c r="T60" s="7">
        <f t="shared" si="171"/>
        <v>1.3965877186667627E-2</v>
      </c>
      <c r="U60" s="7">
        <f t="shared" si="171"/>
        <v>-1.0173410404624278E-2</v>
      </c>
      <c r="V60" s="7">
        <f t="shared" si="171"/>
        <v>1.1188185276348177E-3</v>
      </c>
      <c r="W60" s="7">
        <f t="shared" si="171"/>
        <v>1.5621063240110859E-2</v>
      </c>
      <c r="X60" s="7">
        <f t="shared" si="171"/>
        <v>2.4585125998770743E-2</v>
      </c>
      <c r="Y60" s="7">
        <f t="shared" si="171"/>
        <v>1.1027686532144533E-2</v>
      </c>
      <c r="Z60" s="7">
        <f t="shared" si="171"/>
        <v>1.6234616391725583E-2</v>
      </c>
      <c r="AA60" s="7">
        <f t="shared" si="171"/>
        <v>1.4131831208617452E-2</v>
      </c>
      <c r="AB60" s="7">
        <f t="shared" si="171"/>
        <v>1.2046568076594598E-2</v>
      </c>
      <c r="AC60" s="7">
        <f t="shared" si="171"/>
        <v>-8.5444902769593392E-3</v>
      </c>
      <c r="AD60" s="7">
        <f t="shared" si="171"/>
        <v>-2.2888867244569983E-3</v>
      </c>
      <c r="AE60" s="7">
        <f t="shared" si="171"/>
        <v>2.5095269077051769E-3</v>
      </c>
      <c r="AF60" s="7">
        <f t="shared" si="171"/>
        <v>-2.9413206529731849E-3</v>
      </c>
      <c r="AG60" s="7">
        <f t="shared" si="171"/>
        <v>1.4361130994989263E-2</v>
      </c>
      <c r="AH60" s="7">
        <f t="shared" si="171"/>
        <v>1.950193782468871E-2</v>
      </c>
      <c r="AI60" s="7">
        <f t="shared" si="171"/>
        <v>1.4463654954452501E-2</v>
      </c>
      <c r="AJ60" s="7">
        <f t="shared" si="171"/>
        <v>-1.8718555785735426E-2</v>
      </c>
      <c r="AK60" s="7">
        <f t="shared" si="171"/>
        <v>-3.0963344331242523E-2</v>
      </c>
      <c r="AL60" s="7">
        <f t="shared" si="171"/>
        <v>-1.9189219922674552E-2</v>
      </c>
      <c r="AM60" s="7">
        <f t="shared" si="171"/>
        <v>-9.2628960460853626E-3</v>
      </c>
      <c r="AN60" s="7">
        <f t="shared" si="171"/>
        <v>-7.2283827757242597E-2</v>
      </c>
      <c r="AO60" s="7">
        <f t="shared" si="171"/>
        <v>-1.946875E-2</v>
      </c>
      <c r="AP60" s="7">
        <f t="shared" si="171"/>
        <v>-4.9733414911283975E-2</v>
      </c>
      <c r="AQ60" s="7">
        <f t="shared" si="171"/>
        <v>-9.6414741445167415E-2</v>
      </c>
      <c r="AR60" s="7">
        <f t="shared" ref="AR60" si="172">AR38/AR37</f>
        <v>0.26050947093403004</v>
      </c>
      <c r="AS60" s="71"/>
      <c r="AT60" s="71"/>
      <c r="AU60" s="71"/>
      <c r="AV60" s="7">
        <f t="shared" ref="AV60:BC60" si="173">AV38/AV37</f>
        <v>-1.6834113045478948E-2</v>
      </c>
      <c r="AW60" s="7">
        <f t="shared" si="173"/>
        <v>3.0180878552971576E-2</v>
      </c>
      <c r="AX60" s="7">
        <f t="shared" si="173"/>
        <v>4.0390210508300529E-2</v>
      </c>
      <c r="AY60" s="7">
        <f t="shared" si="173"/>
        <v>1.6969668753928163E-2</v>
      </c>
      <c r="AZ60" s="7">
        <f t="shared" si="173"/>
        <v>1.4539549462791971E-3</v>
      </c>
      <c r="BA60" s="7">
        <f t="shared" si="173"/>
        <v>1.6963212998455289E-2</v>
      </c>
      <c r="BB60" s="7">
        <f t="shared" si="173"/>
        <v>3.9936198025976519E-3</v>
      </c>
      <c r="BC60" s="7">
        <f t="shared" si="173"/>
        <v>8.9016413813359247E-3</v>
      </c>
      <c r="BD60" s="7">
        <f>BD38/BD37</f>
        <v>-1.5041166741293759E-2</v>
      </c>
      <c r="BE60" s="7">
        <f t="shared" ref="BE60" si="174">BE38/BE37</f>
        <v>-3.8131768953068593E-2</v>
      </c>
      <c r="BF60" s="71"/>
      <c r="BG60" s="71"/>
      <c r="BH60" s="71"/>
      <c r="BK60"/>
      <c r="BL60"/>
    </row>
    <row r="61" spans="2:64" x14ac:dyDescent="0.3">
      <c r="B61" s="7" t="s">
        <v>800</v>
      </c>
      <c r="C61" s="70"/>
      <c r="D61" s="70"/>
      <c r="E61" s="70"/>
      <c r="F61" s="70"/>
      <c r="G61" s="70"/>
      <c r="H61" s="70"/>
      <c r="I61" s="70"/>
      <c r="J61" s="70"/>
      <c r="K61" s="70"/>
      <c r="L61" s="70"/>
      <c r="M61" s="70"/>
      <c r="N61" s="70"/>
      <c r="O61" s="70"/>
      <c r="P61" s="70"/>
      <c r="Q61" s="70"/>
      <c r="R61" s="70"/>
      <c r="S61" s="70"/>
      <c r="T61" s="70"/>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0"/>
      <c r="AV61" s="7"/>
      <c r="AW61" s="7">
        <f t="shared" ref="AW61:BC61" si="175">AW43/AV43-1</f>
        <v>0.2702702702702704</v>
      </c>
      <c r="AX61" s="7">
        <f t="shared" si="175"/>
        <v>-0.34650455927051671</v>
      </c>
      <c r="AY61" s="7">
        <f t="shared" si="175"/>
        <v>1.3767441860465119</v>
      </c>
      <c r="AZ61" s="7">
        <f t="shared" si="175"/>
        <v>0.13894324853228968</v>
      </c>
      <c r="BA61" s="7">
        <f t="shared" si="175"/>
        <v>0.39518900343642582</v>
      </c>
      <c r="BB61" s="7">
        <f t="shared" si="175"/>
        <v>0.19458128078817727</v>
      </c>
      <c r="BC61" s="7">
        <f t="shared" si="175"/>
        <v>2.0618556701033075E-3</v>
      </c>
      <c r="BD61" s="7">
        <f>BD43/BC43-1</f>
        <v>0.22016460905349788</v>
      </c>
      <c r="BE61" s="7">
        <f t="shared" ref="BE61" si="176">BE43/BD43-1</f>
        <v>0.15529763276982811</v>
      </c>
      <c r="BK61" s="7"/>
      <c r="BL61" s="7"/>
    </row>
    <row r="62" spans="2:64" x14ac:dyDescent="0.3">
      <c r="C62" s="70"/>
      <c r="D62" s="70"/>
      <c r="E62" s="70"/>
      <c r="F62" s="70"/>
      <c r="G62" s="70"/>
      <c r="H62" s="70"/>
      <c r="I62" s="70"/>
      <c r="J62" s="70"/>
      <c r="K62" s="70"/>
      <c r="L62" s="70"/>
      <c r="M62" s="70"/>
      <c r="N62" s="70"/>
      <c r="O62" s="70"/>
      <c r="P62" s="70"/>
      <c r="Q62" s="70"/>
      <c r="R62" s="70"/>
      <c r="S62" s="70"/>
      <c r="T62" s="70"/>
      <c r="U62" s="70"/>
      <c r="V62" s="70"/>
      <c r="W62" s="70"/>
      <c r="X62" s="70"/>
      <c r="Y62" s="70"/>
      <c r="Z62" s="70"/>
      <c r="AA62" s="70"/>
      <c r="AB62" s="70"/>
      <c r="AC62" s="70"/>
      <c r="AD62" s="70"/>
      <c r="AE62" s="70"/>
      <c r="AF62" s="70"/>
      <c r="AG62" s="70"/>
      <c r="AH62" s="70"/>
      <c r="AI62" s="70"/>
      <c r="AJ62" s="70"/>
      <c r="AK62" s="70"/>
      <c r="AL62" s="70"/>
      <c r="AM62" s="70"/>
      <c r="AN62" s="70"/>
      <c r="AO62" s="70"/>
      <c r="AP62" s="70"/>
      <c r="AQ62" s="70"/>
      <c r="AR62" s="70"/>
      <c r="AS62" s="70"/>
      <c r="AT62" s="70"/>
      <c r="AU62" s="70"/>
    </row>
    <row r="63" spans="2:64" ht="14.4" customHeight="1" x14ac:dyDescent="0.3">
      <c r="B63" t="s">
        <v>93</v>
      </c>
      <c r="AH63" s="2">
        <f>AH64-AH75</f>
        <v>73904</v>
      </c>
      <c r="AK63" s="2">
        <f t="shared" ref="AK63:AM63" si="177">AK64-AK75</f>
        <v>29386</v>
      </c>
      <c r="AL63" s="2">
        <f t="shared" si="177"/>
        <v>38513</v>
      </c>
      <c r="AM63" s="2">
        <f t="shared" si="177"/>
        <v>49089</v>
      </c>
      <c r="AN63" s="2">
        <f>AN64-AN75</f>
        <v>42166</v>
      </c>
      <c r="AO63" s="2">
        <f t="shared" ref="AO63:AP63" si="178">AO64-AO75</f>
        <v>0</v>
      </c>
      <c r="AP63" s="2">
        <f t="shared" si="178"/>
        <v>66819</v>
      </c>
      <c r="AQ63" s="2">
        <f t="shared" ref="AQ63:AS63" si="179">AQ64-AQ75</f>
        <v>70269</v>
      </c>
      <c r="AR63" s="2">
        <f t="shared" si="179"/>
        <v>70402</v>
      </c>
      <c r="AS63" s="2">
        <f t="shared" si="179"/>
        <v>0</v>
      </c>
      <c r="BC63" s="2">
        <f>BC64-BC75</f>
        <v>73904</v>
      </c>
      <c r="BD63" s="2">
        <f t="shared" ref="BD63" si="180">BD64-BD75</f>
        <v>38513</v>
      </c>
      <c r="BE63" s="2">
        <f t="shared" ref="BE63" si="181">BE64-BE75</f>
        <v>66819</v>
      </c>
      <c r="BF63" s="88"/>
      <c r="BG63" s="88"/>
      <c r="BH63" s="87"/>
      <c r="BI63" s="87"/>
      <c r="BJ63" s="89"/>
    </row>
    <row r="64" spans="2:64" x14ac:dyDescent="0.3">
      <c r="B64" t="s">
        <v>3</v>
      </c>
      <c r="AH64" s="2">
        <f>111262+9879</f>
        <v>121141</v>
      </c>
      <c r="AK64">
        <f>80021+14807</f>
        <v>94828</v>
      </c>
      <c r="AL64" s="2">
        <f>18315+57228+14600</f>
        <v>90143</v>
      </c>
      <c r="AM64" s="2">
        <f>78428+15778</f>
        <v>94206</v>
      </c>
      <c r="AN64" s="2">
        <f>17482+54073+15581</f>
        <v>87136</v>
      </c>
      <c r="AO64" s="2"/>
      <c r="AP64" s="2">
        <f>30242+64323+15405</f>
        <v>109970</v>
      </c>
      <c r="AQ64" s="2">
        <f>28849+73163+11465</f>
        <v>113477</v>
      </c>
      <c r="AR64" s="2">
        <f>24296+65166+21202</f>
        <v>110664</v>
      </c>
      <c r="AS64" s="2"/>
      <c r="AT64" s="2"/>
      <c r="AU64" s="2"/>
      <c r="BC64" s="2">
        <f>111262+9879</f>
        <v>121141</v>
      </c>
      <c r="BD64" s="2">
        <f>18315+57228+14600</f>
        <v>90143</v>
      </c>
      <c r="BE64" s="2">
        <f>30242+64323+15405</f>
        <v>109970</v>
      </c>
      <c r="BF64" s="88"/>
      <c r="BG64" s="88"/>
      <c r="BH64" s="87"/>
      <c r="BI64" s="87"/>
      <c r="BJ64" s="89"/>
    </row>
    <row r="65" spans="2:62" ht="14.4" customHeight="1" x14ac:dyDescent="0.3">
      <c r="B65" t="s">
        <v>38</v>
      </c>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v>48688</v>
      </c>
      <c r="AI65" s="2"/>
      <c r="AJ65" s="2"/>
      <c r="AK65" s="2">
        <v>44029</v>
      </c>
      <c r="AL65" s="2">
        <v>56924</v>
      </c>
      <c r="AM65" s="2">
        <v>44148</v>
      </c>
      <c r="AN65" s="2">
        <v>48188</v>
      </c>
      <c r="AO65" s="2"/>
      <c r="AP65" s="2">
        <v>69905</v>
      </c>
      <c r="AQ65" s="2">
        <v>52894</v>
      </c>
      <c r="AR65" s="2">
        <v>56535</v>
      </c>
      <c r="AS65" s="2"/>
      <c r="AT65" s="2"/>
      <c r="AU65" s="2"/>
      <c r="BC65" s="2">
        <v>48688</v>
      </c>
      <c r="BD65" s="2">
        <v>56924</v>
      </c>
      <c r="BE65" s="2">
        <v>69905</v>
      </c>
      <c r="BF65" s="88"/>
      <c r="BG65" s="88"/>
      <c r="BH65" s="87"/>
      <c r="BI65" s="87"/>
      <c r="BJ65" s="89"/>
    </row>
    <row r="66" spans="2:62" x14ac:dyDescent="0.3">
      <c r="B66" t="s">
        <v>39</v>
      </c>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v>2500</v>
      </c>
      <c r="AI66" s="2"/>
      <c r="AJ66" s="2"/>
      <c r="AK66" s="2">
        <v>1304</v>
      </c>
      <c r="AL66" s="2">
        <v>1246</v>
      </c>
      <c r="AM66" s="2">
        <v>1626</v>
      </c>
      <c r="AN66" s="2">
        <v>909</v>
      </c>
      <c r="AO66" s="2"/>
      <c r="AP66" s="2">
        <v>938</v>
      </c>
      <c r="AQ66" s="2">
        <v>1130</v>
      </c>
      <c r="AR66" s="2">
        <v>1059</v>
      </c>
      <c r="AS66" s="2"/>
      <c r="AT66" s="2"/>
      <c r="AU66" s="2"/>
      <c r="BC66" s="2">
        <v>2500</v>
      </c>
      <c r="BD66" s="2">
        <v>1246</v>
      </c>
      <c r="BE66" s="2">
        <v>938</v>
      </c>
      <c r="BF66" s="88"/>
      <c r="BG66" s="88"/>
      <c r="BH66" s="87"/>
      <c r="BI66" s="87"/>
      <c r="BJ66" s="89"/>
    </row>
    <row r="67" spans="2:62" ht="14.4" customHeight="1" x14ac:dyDescent="0.3">
      <c r="B67" t="s">
        <v>41</v>
      </c>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v>21807</v>
      </c>
      <c r="AI67" s="2"/>
      <c r="AJ67" s="2"/>
      <c r="AK67" s="2">
        <v>21826</v>
      </c>
      <c r="AL67" s="2">
        <v>26021</v>
      </c>
      <c r="AM67" s="2">
        <v>25724</v>
      </c>
      <c r="AN67" s="2">
        <v>26428</v>
      </c>
      <c r="AO67" s="2"/>
      <c r="AP67" s="2">
        <v>25723</v>
      </c>
      <c r="AQ67" s="2">
        <v>33030</v>
      </c>
      <c r="AR67" s="2">
        <v>33134</v>
      </c>
      <c r="AS67" s="2"/>
      <c r="AT67" s="2"/>
      <c r="AU67" s="2"/>
      <c r="BC67" s="2">
        <v>21807</v>
      </c>
      <c r="BD67" s="2">
        <v>26021</v>
      </c>
      <c r="BE67" s="2">
        <v>25723</v>
      </c>
      <c r="BF67" s="88"/>
      <c r="BG67" s="88"/>
      <c r="BH67" s="87"/>
      <c r="BI67" s="87"/>
      <c r="BJ67" s="89"/>
    </row>
    <row r="68" spans="2:62" x14ac:dyDescent="0.3">
      <c r="B68" t="s">
        <v>506</v>
      </c>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v>95641</v>
      </c>
      <c r="AI68" s="2"/>
      <c r="AJ68" s="2"/>
      <c r="AK68" s="2">
        <v>121375</v>
      </c>
      <c r="AL68" s="2">
        <v>135591</v>
      </c>
      <c r="AM68" s="2">
        <v>152863</v>
      </c>
      <c r="AN68" s="2">
        <v>166902</v>
      </c>
      <c r="AO68" s="2"/>
      <c r="AP68" s="2">
        <v>204966</v>
      </c>
      <c r="AQ68" s="2">
        <v>230861</v>
      </c>
      <c r="AR68" s="2">
        <v>261126</v>
      </c>
      <c r="AS68" s="2"/>
      <c r="AT68" s="2"/>
      <c r="AU68" s="2"/>
      <c r="BC68" s="2">
        <v>95641</v>
      </c>
      <c r="BD68" s="2">
        <v>135591</v>
      </c>
      <c r="BE68" s="2">
        <v>204966</v>
      </c>
      <c r="BF68" s="88"/>
      <c r="BG68" s="88"/>
      <c r="BH68" s="87"/>
      <c r="BI68" s="87"/>
      <c r="BJ68" s="89"/>
    </row>
    <row r="69" spans="2:62" ht="14.4" customHeight="1" x14ac:dyDescent="0.3">
      <c r="B69" t="s">
        <v>507</v>
      </c>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v>14346</v>
      </c>
      <c r="AI69" s="2"/>
      <c r="AJ69" s="2"/>
      <c r="AK69" s="2">
        <v>17371</v>
      </c>
      <c r="AL69" s="2">
        <v>18961</v>
      </c>
      <c r="AM69" s="2">
        <v>20528</v>
      </c>
      <c r="AN69" s="2">
        <v>22816</v>
      </c>
      <c r="AO69" s="2"/>
      <c r="AP69" s="2">
        <v>24823</v>
      </c>
      <c r="AQ69" s="2">
        <v>24791</v>
      </c>
      <c r="AR69" s="2">
        <v>25103</v>
      </c>
      <c r="AS69" s="2"/>
      <c r="AT69" s="2"/>
      <c r="AU69" s="2"/>
      <c r="BC69" s="2">
        <v>14346</v>
      </c>
      <c r="BD69" s="2">
        <v>18961</v>
      </c>
      <c r="BE69" s="2">
        <v>24823</v>
      </c>
      <c r="BF69" s="88"/>
      <c r="BG69" s="88"/>
      <c r="BH69" s="87"/>
      <c r="BI69" s="87"/>
      <c r="BJ69" s="89"/>
    </row>
    <row r="70" spans="2:62" x14ac:dyDescent="0.3">
      <c r="B70" t="s">
        <v>66</v>
      </c>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v>67886</v>
      </c>
      <c r="AI70" s="2"/>
      <c r="AJ70" s="2"/>
      <c r="AK70" s="2">
        <v>119163</v>
      </c>
      <c r="AL70" s="2">
        <v>119220</v>
      </c>
      <c r="AM70" s="2">
        <v>119374</v>
      </c>
      <c r="AN70" s="2">
        <v>119191</v>
      </c>
      <c r="AO70" s="2"/>
      <c r="AP70" s="2">
        <v>119509</v>
      </c>
      <c r="AQ70" s="2">
        <v>119497</v>
      </c>
      <c r="AR70" s="2">
        <v>119622</v>
      </c>
      <c r="AS70" s="2"/>
      <c r="AT70" s="2"/>
      <c r="AU70" s="2"/>
      <c r="BC70" s="2">
        <v>67886</v>
      </c>
      <c r="BD70" s="2">
        <v>119220</v>
      </c>
      <c r="BE70" s="2">
        <v>119509</v>
      </c>
      <c r="BF70" s="88"/>
      <c r="BG70" s="88"/>
      <c r="BH70" s="87"/>
      <c r="BI70" s="87"/>
      <c r="BJ70" s="89"/>
    </row>
    <row r="71" spans="2:62" ht="14.4" customHeight="1" x14ac:dyDescent="0.3">
      <c r="B71" t="s">
        <v>469</v>
      </c>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v>9366</v>
      </c>
      <c r="AI71" s="2"/>
      <c r="AJ71" s="2"/>
      <c r="AK71" s="2">
        <v>28828</v>
      </c>
      <c r="AL71" s="2">
        <v>27597</v>
      </c>
      <c r="AM71" s="2">
        <v>26751</v>
      </c>
      <c r="AN71" s="2">
        <v>25385</v>
      </c>
      <c r="AO71" s="2"/>
      <c r="AP71" s="2">
        <v>22604</v>
      </c>
      <c r="AQ71" s="2">
        <v>21236</v>
      </c>
      <c r="AR71" s="2">
        <v>20289</v>
      </c>
      <c r="AS71" s="2"/>
      <c r="AT71" s="2"/>
      <c r="AU71" s="2"/>
      <c r="BC71" s="2">
        <v>9366</v>
      </c>
      <c r="BD71" s="2">
        <v>27597</v>
      </c>
      <c r="BE71" s="2">
        <v>22604</v>
      </c>
      <c r="BF71" s="88"/>
      <c r="BG71" s="88"/>
      <c r="BH71" s="87"/>
      <c r="BI71" s="87"/>
      <c r="BJ71" s="89"/>
    </row>
    <row r="72" spans="2:62" x14ac:dyDescent="0.3">
      <c r="B72" t="s">
        <v>43</v>
      </c>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v>30601</v>
      </c>
      <c r="AI72" s="2"/>
      <c r="AJ72" s="2"/>
      <c r="AK72" s="2">
        <v>35551</v>
      </c>
      <c r="AL72" s="2">
        <v>36460</v>
      </c>
      <c r="AM72" s="2">
        <v>37793</v>
      </c>
      <c r="AN72" s="2">
        <v>36943</v>
      </c>
      <c r="AO72" s="2"/>
      <c r="AP72" s="2">
        <v>40565</v>
      </c>
      <c r="AQ72" s="2">
        <v>39435</v>
      </c>
      <c r="AR72" s="2">
        <v>37770</v>
      </c>
      <c r="AS72" s="2"/>
      <c r="AT72" s="2"/>
      <c r="AU72" s="2"/>
      <c r="BC72" s="2">
        <v>30601</v>
      </c>
      <c r="BD72" s="2">
        <v>36460</v>
      </c>
      <c r="BE72" s="2">
        <v>40565</v>
      </c>
      <c r="BF72" s="88"/>
      <c r="BG72" s="88"/>
      <c r="BH72" s="87"/>
      <c r="BI72" s="87"/>
      <c r="BJ72" s="89"/>
    </row>
    <row r="73" spans="2:62" ht="14.4" customHeight="1" x14ac:dyDescent="0.3">
      <c r="B73" s="1" t="s">
        <v>471</v>
      </c>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f>SUM(AH64:AH72)</f>
        <v>411976</v>
      </c>
      <c r="AI73" s="5"/>
      <c r="AJ73" s="5"/>
      <c r="AK73" s="5">
        <f>SUM(AK64:AK72)</f>
        <v>484275</v>
      </c>
      <c r="AL73" s="5">
        <f>SUM(AL64:AL72)</f>
        <v>512163</v>
      </c>
      <c r="AM73" s="5">
        <f>SUM(AM64:AM72)</f>
        <v>523013</v>
      </c>
      <c r="AN73" s="5">
        <f>SUM(AN64:AN72)</f>
        <v>533898</v>
      </c>
      <c r="AO73" s="5"/>
      <c r="AP73" s="5">
        <f>SUM(AP64:AP72)</f>
        <v>619003</v>
      </c>
      <c r="AQ73" s="5">
        <f>SUM(AQ64:AQ72)</f>
        <v>636351</v>
      </c>
      <c r="AR73" s="5">
        <f>SUM(AR64:AR72)</f>
        <v>665302</v>
      </c>
      <c r="AS73" s="5">
        <f>SUM(AS64:AS72)</f>
        <v>0</v>
      </c>
      <c r="AT73" s="5"/>
      <c r="AU73" s="5"/>
      <c r="BC73" s="5">
        <f>SUM(BC64:BC72)</f>
        <v>411976</v>
      </c>
      <c r="BD73" s="5">
        <f>SUM(BD64:BD72)</f>
        <v>512163</v>
      </c>
      <c r="BE73" s="5">
        <f>SUM(BE64:BE72)</f>
        <v>619003</v>
      </c>
      <c r="BF73" s="88"/>
      <c r="BG73" s="88"/>
      <c r="BH73" s="87"/>
      <c r="BI73" s="87"/>
      <c r="BJ73" s="88"/>
    </row>
    <row r="74" spans="2:62" x14ac:dyDescent="0.3">
      <c r="B74" t="s">
        <v>45</v>
      </c>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v>18095</v>
      </c>
      <c r="AI74" s="2"/>
      <c r="AJ74" s="2"/>
      <c r="AK74" s="2">
        <v>18087</v>
      </c>
      <c r="AL74" s="2">
        <v>21996</v>
      </c>
      <c r="AM74" s="2">
        <v>22768</v>
      </c>
      <c r="AN74" s="2">
        <v>22608</v>
      </c>
      <c r="AO74" s="2"/>
      <c r="AP74" s="2">
        <v>27724</v>
      </c>
      <c r="AQ74" s="2">
        <v>32580</v>
      </c>
      <c r="AR74" s="2">
        <v>37328</v>
      </c>
      <c r="AS74" s="2"/>
      <c r="AT74" s="2"/>
      <c r="AU74" s="2"/>
      <c r="BC74" s="2">
        <v>18095</v>
      </c>
      <c r="BD74" s="2">
        <v>21996</v>
      </c>
      <c r="BE74" s="2">
        <v>27724</v>
      </c>
      <c r="BF74" s="88"/>
      <c r="BG74" s="88"/>
      <c r="BH74" s="87"/>
      <c r="BI74" s="87"/>
      <c r="BJ74" s="88"/>
    </row>
    <row r="75" spans="2:62" ht="14.4" customHeight="1" x14ac:dyDescent="0.3">
      <c r="B75" t="s">
        <v>4</v>
      </c>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f>5247+41990</f>
        <v>47237</v>
      </c>
      <c r="AI75" s="2"/>
      <c r="AJ75" s="2"/>
      <c r="AK75" s="2">
        <f>20535+2249+42658</f>
        <v>65442</v>
      </c>
      <c r="AL75" s="2">
        <f>6693+2249+42688</f>
        <v>51630</v>
      </c>
      <c r="AM75" s="2">
        <f>2249+42868</f>
        <v>45117</v>
      </c>
      <c r="AN75" s="2">
        <f>5248+39722</f>
        <v>44970</v>
      </c>
      <c r="AO75" s="2"/>
      <c r="AP75" s="2">
        <f>40152+2999</f>
        <v>43151</v>
      </c>
      <c r="AQ75" s="2">
        <f>7832+35376</f>
        <v>43208</v>
      </c>
      <c r="AR75" s="2">
        <f>4837+35425</f>
        <v>40262</v>
      </c>
      <c r="AS75" s="2"/>
      <c r="AT75" s="2"/>
      <c r="AU75" s="2"/>
      <c r="BC75" s="2">
        <f>5247+41990</f>
        <v>47237</v>
      </c>
      <c r="BD75" s="2">
        <f>6693+2249+42688</f>
        <v>51630</v>
      </c>
      <c r="BE75" s="2">
        <f>40152+2999</f>
        <v>43151</v>
      </c>
      <c r="BF75" s="88"/>
      <c r="BG75" s="88"/>
      <c r="BH75" s="87"/>
      <c r="BI75" s="87"/>
      <c r="BJ75" s="89"/>
    </row>
    <row r="76" spans="2:62" x14ac:dyDescent="0.3">
      <c r="B76" t="s">
        <v>508</v>
      </c>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v>11009</v>
      </c>
      <c r="AI76" s="2"/>
      <c r="AJ76" s="2"/>
      <c r="AK76" s="2">
        <v>10432</v>
      </c>
      <c r="AL76" s="2">
        <v>12564</v>
      </c>
      <c r="AM76" s="2">
        <v>8326</v>
      </c>
      <c r="AN76" s="2">
        <v>9176</v>
      </c>
      <c r="AO76" s="2"/>
      <c r="AP76" s="2">
        <v>13709</v>
      </c>
      <c r="AQ76" s="2">
        <v>9201</v>
      </c>
      <c r="AR76" s="2">
        <v>10103</v>
      </c>
      <c r="AS76" s="2"/>
      <c r="AT76" s="2"/>
      <c r="AU76" s="2"/>
      <c r="BC76" s="2">
        <v>11009</v>
      </c>
      <c r="BD76" s="2">
        <v>12564</v>
      </c>
      <c r="BE76" s="2">
        <v>13709</v>
      </c>
      <c r="BF76" s="88"/>
      <c r="BG76" s="88"/>
      <c r="BH76" s="87"/>
      <c r="BI76" s="87"/>
      <c r="BJ76" s="89"/>
    </row>
    <row r="77" spans="2:62" ht="14.4" customHeight="1" x14ac:dyDescent="0.3">
      <c r="B77" t="s">
        <v>27</v>
      </c>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f>4152+25560+433</f>
        <v>30145</v>
      </c>
      <c r="AI77" s="2"/>
      <c r="AJ77" s="2"/>
      <c r="AK77" s="2">
        <f>7311+26786+2469</f>
        <v>36566</v>
      </c>
      <c r="AL77" s="2">
        <f>5017+2618+27931</f>
        <v>35566</v>
      </c>
      <c r="AM77" s="2">
        <f>9717+24452+2581</f>
        <v>36750</v>
      </c>
      <c r="AN77" s="2">
        <f>6056+24389+2513</f>
        <v>32958</v>
      </c>
      <c r="AO77" s="2"/>
      <c r="AP77" s="2">
        <f>7211+25986+2835</f>
        <v>36032</v>
      </c>
      <c r="AQ77" s="2">
        <f>3655+26569+2852</f>
        <v>33076</v>
      </c>
      <c r="AR77" s="2">
        <f>2050+27256</f>
        <v>29306</v>
      </c>
      <c r="AS77" s="2"/>
      <c r="AT77" s="2"/>
      <c r="AU77" s="2"/>
      <c r="BC77" s="2">
        <f>4152+25560+433</f>
        <v>30145</v>
      </c>
      <c r="BD77" s="2">
        <f>5017+2618+27931</f>
        <v>35566</v>
      </c>
      <c r="BE77" s="2">
        <f>7211+25986+2835</f>
        <v>36032</v>
      </c>
      <c r="BF77" s="88"/>
      <c r="BG77" s="88"/>
      <c r="BH77" s="87"/>
      <c r="BI77" s="87"/>
      <c r="BJ77" s="88"/>
    </row>
    <row r="78" spans="2:62" x14ac:dyDescent="0.3">
      <c r="B78" t="s">
        <v>47</v>
      </c>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f>50901+2912</f>
        <v>53813</v>
      </c>
      <c r="AI78" s="2"/>
      <c r="AJ78" s="2"/>
      <c r="AK78" s="2">
        <f>41888+2945</f>
        <v>44833</v>
      </c>
      <c r="AL78" s="2">
        <f>57582+2602</f>
        <v>60184</v>
      </c>
      <c r="AM78" s="2">
        <f>53026+2663</f>
        <v>55689</v>
      </c>
      <c r="AN78" s="2">
        <f>45508+2537</f>
        <v>48045</v>
      </c>
      <c r="AO78" s="2"/>
      <c r="AP78" s="2">
        <f>64555+2710</f>
        <v>67265</v>
      </c>
      <c r="AQ78" s="2">
        <f>58987+2546</f>
        <v>61533</v>
      </c>
      <c r="AR78" s="2">
        <f>51376+2668</f>
        <v>54044</v>
      </c>
      <c r="AS78" s="2"/>
      <c r="AT78" s="2"/>
      <c r="AU78" s="2"/>
      <c r="BC78" s="2">
        <f>50901+2912</f>
        <v>53813</v>
      </c>
      <c r="BD78" s="2">
        <f>57582+2602</f>
        <v>60184</v>
      </c>
      <c r="BE78" s="2">
        <f>64555+2710</f>
        <v>67265</v>
      </c>
      <c r="BF78" s="88"/>
      <c r="BG78" s="88"/>
      <c r="BH78" s="87"/>
      <c r="BI78" s="87"/>
      <c r="BJ78" s="88"/>
    </row>
    <row r="79" spans="2:62" x14ac:dyDescent="0.3">
      <c r="B79" t="s">
        <v>46</v>
      </c>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v>14745</v>
      </c>
      <c r="AI79" s="2"/>
      <c r="AJ79" s="2"/>
      <c r="AK79" s="2">
        <v>18023</v>
      </c>
      <c r="AL79" s="2">
        <v>19185</v>
      </c>
      <c r="AM79" s="2">
        <v>19114</v>
      </c>
      <c r="AN79" s="2">
        <v>20286</v>
      </c>
      <c r="AO79" s="2"/>
      <c r="AP79" s="2">
        <v>25020</v>
      </c>
      <c r="AQ79" s="2">
        <v>22741</v>
      </c>
      <c r="AR79" s="2">
        <v>24311</v>
      </c>
      <c r="AS79" s="2"/>
      <c r="AT79" s="2"/>
      <c r="AU79" s="2"/>
      <c r="BC79" s="2">
        <v>14745</v>
      </c>
      <c r="BD79" s="2">
        <v>19185</v>
      </c>
      <c r="BE79" s="2">
        <v>25020</v>
      </c>
    </row>
    <row r="80" spans="2:62" ht="14.4" customHeight="1" x14ac:dyDescent="0.3">
      <c r="B80" t="s">
        <v>474</v>
      </c>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v>12728</v>
      </c>
      <c r="AI80" s="2"/>
      <c r="AJ80" s="2"/>
      <c r="AK80" s="2">
        <v>14469</v>
      </c>
      <c r="AL80" s="2">
        <v>15497</v>
      </c>
      <c r="AM80" s="2">
        <v>16361</v>
      </c>
      <c r="AN80" s="2">
        <v>17254</v>
      </c>
      <c r="AO80" s="2"/>
      <c r="AP80" s="2">
        <v>17437</v>
      </c>
      <c r="AQ80" s="2">
        <v>17348</v>
      </c>
      <c r="AR80" s="2">
        <v>17345</v>
      </c>
      <c r="AS80" s="2"/>
      <c r="AT80" s="2"/>
      <c r="AU80" s="2"/>
      <c r="BC80" s="2">
        <v>12728</v>
      </c>
      <c r="BD80" s="2">
        <v>15497</v>
      </c>
      <c r="BE80" s="2">
        <v>17437</v>
      </c>
    </row>
    <row r="81" spans="2:64" x14ac:dyDescent="0.3">
      <c r="B81" t="s">
        <v>48</v>
      </c>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v>17981</v>
      </c>
      <c r="AI81" s="2"/>
      <c r="AJ81" s="2"/>
      <c r="AK81" s="2">
        <v>23271</v>
      </c>
      <c r="AL81" s="2">
        <v>27064</v>
      </c>
      <c r="AM81" s="2">
        <v>31165</v>
      </c>
      <c r="AN81" s="2">
        <v>35906</v>
      </c>
      <c r="AO81" s="2"/>
      <c r="AP81" s="2">
        <v>45186</v>
      </c>
      <c r="AQ81" s="2">
        <v>53588</v>
      </c>
      <c r="AR81" s="2">
        <f>58852+2876</f>
        <v>61728</v>
      </c>
      <c r="AS81" s="2"/>
      <c r="AT81" s="2"/>
      <c r="AU81" s="2"/>
      <c r="BC81" s="2">
        <v>17981</v>
      </c>
      <c r="BD81" s="2">
        <v>27064</v>
      </c>
      <c r="BE81" s="2">
        <v>45186</v>
      </c>
    </row>
    <row r="82" spans="2:64" s="1" customFormat="1" x14ac:dyDescent="0.3">
      <c r="B82" s="1" t="s">
        <v>476</v>
      </c>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f>SUM(AH74:AH81)</f>
        <v>205753</v>
      </c>
      <c r="AI82" s="5"/>
      <c r="AJ82" s="5"/>
      <c r="AK82" s="5">
        <f>SUM(AK74:AK81)</f>
        <v>231123</v>
      </c>
      <c r="AL82" s="5">
        <f>SUM(AL74:AL81)</f>
        <v>243686</v>
      </c>
      <c r="AM82" s="5">
        <f>SUM(AM74:AM81)</f>
        <v>235290</v>
      </c>
      <c r="AN82" s="5">
        <f>SUM(AN74:AN81)</f>
        <v>231203</v>
      </c>
      <c r="AO82" s="5"/>
      <c r="AP82" s="5">
        <f>SUM(AP74:AP81)</f>
        <v>275524</v>
      </c>
      <c r="AQ82" s="5">
        <f>SUM(AQ74:AQ81)</f>
        <v>273275</v>
      </c>
      <c r="AR82" s="5">
        <f>SUM(AR74:AR81)</f>
        <v>274427</v>
      </c>
      <c r="AS82" s="5">
        <f>SUM(AS74:AS81)</f>
        <v>0</v>
      </c>
      <c r="AT82" s="5"/>
      <c r="AU82" s="5"/>
      <c r="BC82" s="5">
        <f>SUM(BC74:BC81)</f>
        <v>205753</v>
      </c>
      <c r="BD82" s="5">
        <f>SUM(BD74:BD81)</f>
        <v>243686</v>
      </c>
      <c r="BE82" s="5">
        <f>SUM(BE74:BE81)</f>
        <v>275524</v>
      </c>
      <c r="BK82"/>
      <c r="BL82"/>
    </row>
    <row r="83" spans="2:64" ht="14.4" customHeight="1" x14ac:dyDescent="0.3">
      <c r="B83" t="s">
        <v>477</v>
      </c>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v>206223</v>
      </c>
      <c r="AI83" s="2"/>
      <c r="AJ83" s="2"/>
      <c r="AK83" s="2">
        <v>253152</v>
      </c>
      <c r="AL83" s="2">
        <v>268477</v>
      </c>
      <c r="AM83" s="2">
        <v>287723</v>
      </c>
      <c r="AN83" s="2">
        <v>302695</v>
      </c>
      <c r="AO83" s="2"/>
      <c r="AP83" s="2">
        <v>343479</v>
      </c>
      <c r="AQ83" s="2">
        <v>363076</v>
      </c>
      <c r="AR83" s="2">
        <v>390875</v>
      </c>
      <c r="AS83" s="2"/>
      <c r="AT83" s="2"/>
      <c r="AU83" s="2"/>
      <c r="BC83" s="2">
        <v>206223</v>
      </c>
      <c r="BD83" s="2">
        <v>268477</v>
      </c>
      <c r="BE83" s="2">
        <v>343479</v>
      </c>
      <c r="BK83" s="1"/>
      <c r="BL83" s="1"/>
    </row>
    <row r="84" spans="2:64" s="1" customFormat="1" ht="14.4" customHeight="1" x14ac:dyDescent="0.3">
      <c r="B84" s="1" t="s">
        <v>509</v>
      </c>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f>SUM(AH82:AH83)</f>
        <v>411976</v>
      </c>
      <c r="AI84" s="5"/>
      <c r="AJ84" s="5"/>
      <c r="AK84" s="5">
        <f>SUM(AK82:AK83)</f>
        <v>484275</v>
      </c>
      <c r="AL84" s="5">
        <f>SUM(AL82:AL83)</f>
        <v>512163</v>
      </c>
      <c r="AM84" s="5">
        <f>SUM(AM82:AM83)</f>
        <v>523013</v>
      </c>
      <c r="AN84" s="5">
        <f>SUM(AN82:AN83)</f>
        <v>533898</v>
      </c>
      <c r="AO84" s="5"/>
      <c r="AP84" s="5">
        <f>SUM(AP82:AP83)</f>
        <v>619003</v>
      </c>
      <c r="AQ84" s="5">
        <f>SUM(AQ82:AQ83)</f>
        <v>636351</v>
      </c>
      <c r="AR84" s="5">
        <f>SUM(AR82:AR83)</f>
        <v>665302</v>
      </c>
      <c r="AS84" s="5">
        <f>SUM(AS82:AS83)</f>
        <v>0</v>
      </c>
      <c r="AT84" s="5"/>
      <c r="AU84" s="5"/>
      <c r="BC84" s="5">
        <f>SUM(BC82:BC83)</f>
        <v>411976</v>
      </c>
      <c r="BD84" s="5">
        <f>SUM(BD82:BD83)</f>
        <v>512163</v>
      </c>
      <c r="BE84" s="5">
        <f>SUM(BE82:BE83)</f>
        <v>619003</v>
      </c>
      <c r="BK84"/>
      <c r="BL84"/>
    </row>
    <row r="85" spans="2:64" x14ac:dyDescent="0.3">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BK85" s="1"/>
      <c r="BL85" s="1"/>
    </row>
    <row r="86" spans="2:64" x14ac:dyDescent="0.3">
      <c r="B86" s="1" t="s">
        <v>980</v>
      </c>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BD86" s="8">
        <f t="shared" ref="BD86" si="182">BD73/BC73-1</f>
        <v>0.24318649630075528</v>
      </c>
      <c r="BE86" s="8">
        <f>BE73/BD73-1</f>
        <v>0.20860546349502007</v>
      </c>
      <c r="BK86" s="1"/>
      <c r="BL86" s="1"/>
    </row>
    <row r="87" spans="2:64" x14ac:dyDescent="0.3">
      <c r="B87" t="s">
        <v>858</v>
      </c>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BD87" s="8">
        <f t="shared" ref="BD87" si="183">BD75/BD83</f>
        <v>0.19230697601656752</v>
      </c>
      <c r="BE87" s="8">
        <f>BE75/BE83</f>
        <v>0.12562922332951942</v>
      </c>
      <c r="BK87" s="1"/>
      <c r="BL87" s="1"/>
    </row>
    <row r="88" spans="2:64" x14ac:dyDescent="0.3">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row>
    <row r="89" spans="2:64" ht="14.4" customHeight="1" x14ac:dyDescent="0.3">
      <c r="B89" t="s">
        <v>510</v>
      </c>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f t="shared" ref="AG89:AM89" si="184">AG41</f>
        <v>18299</v>
      </c>
      <c r="AH89" s="2">
        <f t="shared" si="184"/>
        <v>20081</v>
      </c>
      <c r="AI89" s="2">
        <f t="shared" si="184"/>
        <v>22291</v>
      </c>
      <c r="AJ89" s="2">
        <f t="shared" si="184"/>
        <v>21870</v>
      </c>
      <c r="AK89" s="2">
        <f t="shared" si="184"/>
        <v>21939</v>
      </c>
      <c r="AL89" s="2">
        <f t="shared" si="184"/>
        <v>31987</v>
      </c>
      <c r="AM89" s="2">
        <f t="shared" si="184"/>
        <v>24667</v>
      </c>
      <c r="AN89" s="2">
        <f>AN41</f>
        <v>24108</v>
      </c>
      <c r="AO89" s="2">
        <f>AO41</f>
        <v>25824</v>
      </c>
      <c r="AP89" s="2">
        <f>AP41</f>
        <v>27233</v>
      </c>
      <c r="AQ89" s="2">
        <f>AQ41</f>
        <v>27747</v>
      </c>
      <c r="AR89" s="2"/>
      <c r="AS89" s="2"/>
      <c r="AT89" s="2"/>
      <c r="AU89" s="2"/>
      <c r="BD89" s="2">
        <f>AI89+AJ89+AK89+AL89</f>
        <v>98087</v>
      </c>
      <c r="BE89" s="2">
        <f>BE41</f>
        <v>101832</v>
      </c>
    </row>
    <row r="90" spans="2:64" x14ac:dyDescent="0.3">
      <c r="B90" t="s">
        <v>511</v>
      </c>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v>18299</v>
      </c>
      <c r="AH90" s="2">
        <v>20081</v>
      </c>
      <c r="AI90" s="2">
        <v>22291</v>
      </c>
      <c r="AJ90" s="2">
        <v>21870</v>
      </c>
      <c r="AK90" s="2">
        <v>21939</v>
      </c>
      <c r="AL90" s="2">
        <v>22036</v>
      </c>
      <c r="AM90" s="2">
        <v>24667</v>
      </c>
      <c r="AN90" s="2">
        <v>24108</v>
      </c>
      <c r="AO90" s="2">
        <f>BE90-AP90-AM90-AN90</f>
        <v>25824</v>
      </c>
      <c r="AP90" s="2">
        <v>27233</v>
      </c>
      <c r="AQ90" s="2">
        <v>27747</v>
      </c>
      <c r="AR90" s="2"/>
      <c r="AS90" s="2"/>
      <c r="AT90" s="2"/>
      <c r="AU90" s="2"/>
      <c r="BD90" s="2">
        <f t="shared" ref="BD90:BD112" si="185">AI90+AJ90+AK90+AL90</f>
        <v>88136</v>
      </c>
      <c r="BE90" s="2">
        <v>101832</v>
      </c>
    </row>
    <row r="91" spans="2:64" x14ac:dyDescent="0.3">
      <c r="B91" t="s">
        <v>513</v>
      </c>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v>3549</v>
      </c>
      <c r="AH91" s="2">
        <v>3874</v>
      </c>
      <c r="AI91" s="2">
        <v>3921</v>
      </c>
      <c r="AJ91" s="2">
        <v>5959</v>
      </c>
      <c r="AK91" s="2">
        <v>6027</v>
      </c>
      <c r="AL91" s="2">
        <v>6380</v>
      </c>
      <c r="AM91" s="2">
        <v>7383</v>
      </c>
      <c r="AN91" s="2">
        <v>6827</v>
      </c>
      <c r="AO91" s="2">
        <f t="shared" ref="AO91:AO112" si="186">BE91-AP91-AM91-AN91</f>
        <v>8740</v>
      </c>
      <c r="AP91" s="2">
        <v>11203</v>
      </c>
      <c r="AQ91" s="2">
        <v>13061</v>
      </c>
      <c r="AR91" s="2"/>
      <c r="AS91" s="2"/>
      <c r="AT91" s="2"/>
      <c r="AU91" s="2"/>
      <c r="BD91" s="2">
        <f t="shared" si="185"/>
        <v>22287</v>
      </c>
      <c r="BE91" s="2">
        <v>34153</v>
      </c>
    </row>
    <row r="92" spans="2:64" x14ac:dyDescent="0.3">
      <c r="B92" t="s">
        <v>514</v>
      </c>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v>2465</v>
      </c>
      <c r="AH92" s="2">
        <v>2416</v>
      </c>
      <c r="AI92" s="2">
        <v>2507</v>
      </c>
      <c r="AJ92" s="2">
        <v>2828</v>
      </c>
      <c r="AK92">
        <v>2703</v>
      </c>
      <c r="AL92">
        <v>2696</v>
      </c>
      <c r="AM92" s="2">
        <v>2832</v>
      </c>
      <c r="AN92" s="2">
        <v>3089</v>
      </c>
      <c r="AO92" s="2">
        <f t="shared" si="186"/>
        <v>2980</v>
      </c>
      <c r="AP92" s="2">
        <v>3073</v>
      </c>
      <c r="AQ92" s="2">
        <v>2983</v>
      </c>
      <c r="AR92" s="2"/>
      <c r="AS92" s="2"/>
      <c r="AT92" s="2"/>
      <c r="AU92" s="2"/>
      <c r="BD92" s="2">
        <f t="shared" si="185"/>
        <v>10734</v>
      </c>
      <c r="BE92" s="2">
        <v>11974</v>
      </c>
    </row>
    <row r="93" spans="2:64" x14ac:dyDescent="0.3">
      <c r="B93" t="s">
        <v>515</v>
      </c>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v>-40</v>
      </c>
      <c r="AH93" s="2">
        <v>44</v>
      </c>
      <c r="AI93" s="2">
        <v>14</v>
      </c>
      <c r="AJ93" s="2">
        <v>198</v>
      </c>
      <c r="AK93" s="2">
        <v>49</v>
      </c>
      <c r="AL93" s="2">
        <v>44</v>
      </c>
      <c r="AM93" s="2">
        <v>-125</v>
      </c>
      <c r="AN93" s="2">
        <v>976</v>
      </c>
      <c r="AO93" s="2">
        <f t="shared" si="186"/>
        <v>-298</v>
      </c>
      <c r="AP93" s="2">
        <v>56</v>
      </c>
      <c r="AQ93" s="2">
        <v>-1007</v>
      </c>
      <c r="AR93" s="2"/>
      <c r="AS93" s="2"/>
      <c r="AT93" s="2"/>
      <c r="AU93" s="2"/>
      <c r="BD93" s="2">
        <f t="shared" si="185"/>
        <v>305</v>
      </c>
      <c r="BE93" s="2">
        <v>609</v>
      </c>
    </row>
    <row r="94" spans="2:64" x14ac:dyDescent="0.3">
      <c r="B94" t="s">
        <v>516</v>
      </c>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v>-1675</v>
      </c>
      <c r="AH94" s="2">
        <v>-1888</v>
      </c>
      <c r="AI94" s="2">
        <v>-568</v>
      </c>
      <c r="AJ94" s="2">
        <v>-1702</v>
      </c>
      <c r="AK94" s="2">
        <v>-1323</v>
      </c>
      <c r="AL94" s="2">
        <v>-1145</v>
      </c>
      <c r="AM94" s="2">
        <v>-1433</v>
      </c>
      <c r="AN94" s="2">
        <v>-1158</v>
      </c>
      <c r="AO94" s="2">
        <f t="shared" si="186"/>
        <v>-2244</v>
      </c>
      <c r="AP94" s="2">
        <v>-2221</v>
      </c>
      <c r="AQ94" s="2">
        <v>2491</v>
      </c>
      <c r="AR94" s="2"/>
      <c r="AS94" s="2"/>
      <c r="AT94" s="2"/>
      <c r="AU94" s="2"/>
      <c r="BD94" s="2">
        <f t="shared" si="185"/>
        <v>-4738</v>
      </c>
      <c r="BE94" s="2">
        <v>-7056</v>
      </c>
    </row>
    <row r="95" spans="2:64" x14ac:dyDescent="0.3">
      <c r="B95" t="s">
        <v>38</v>
      </c>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v>-1408</v>
      </c>
      <c r="AH95" s="2">
        <v>-11244</v>
      </c>
      <c r="AI95" s="2">
        <v>11034</v>
      </c>
      <c r="AJ95" s="2">
        <v>-2951</v>
      </c>
      <c r="AK95" s="2">
        <v>-2028</v>
      </c>
      <c r="AL95" s="2">
        <v>-13246</v>
      </c>
      <c r="AM95" s="2">
        <v>14037</v>
      </c>
      <c r="AN95" s="2">
        <v>-5978</v>
      </c>
      <c r="AO95" s="2">
        <f t="shared" si="186"/>
        <v>-2461</v>
      </c>
      <c r="AP95" s="2">
        <v>-16179</v>
      </c>
      <c r="AQ95" s="2">
        <v>16490</v>
      </c>
      <c r="AR95" s="2"/>
      <c r="AS95" s="2"/>
      <c r="AT95" s="2"/>
      <c r="AU95" s="2"/>
      <c r="BD95" s="2">
        <f t="shared" si="185"/>
        <v>-7191</v>
      </c>
      <c r="BE95" s="2">
        <v>-10581</v>
      </c>
    </row>
    <row r="96" spans="2:64" x14ac:dyDescent="0.3">
      <c r="B96" t="s">
        <v>39</v>
      </c>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v>106</v>
      </c>
      <c r="AH96" s="2">
        <v>374</v>
      </c>
      <c r="AI96" s="2">
        <v>-505</v>
      </c>
      <c r="AJ96" s="2">
        <v>1474</v>
      </c>
      <c r="AK96" s="2">
        <v>260</v>
      </c>
      <c r="AL96" s="2">
        <v>55</v>
      </c>
      <c r="AM96" s="2">
        <v>-373</v>
      </c>
      <c r="AN96" s="2">
        <v>711</v>
      </c>
      <c r="AO96" s="2">
        <f t="shared" si="186"/>
        <v>52</v>
      </c>
      <c r="AP96" s="2">
        <v>-81</v>
      </c>
      <c r="AQ96" s="2">
        <v>-192</v>
      </c>
      <c r="AR96" s="2"/>
      <c r="AS96" s="2"/>
      <c r="AT96" s="2"/>
      <c r="AU96" s="2"/>
      <c r="BD96" s="2">
        <f t="shared" si="185"/>
        <v>1284</v>
      </c>
      <c r="BE96" s="2">
        <v>309</v>
      </c>
    </row>
    <row r="97" spans="2:64" x14ac:dyDescent="0.3">
      <c r="B97" t="s">
        <v>41</v>
      </c>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v>1152</v>
      </c>
      <c r="AH97" s="2">
        <v>-2419</v>
      </c>
      <c r="AI97" s="2">
        <v>-796</v>
      </c>
      <c r="AJ97" s="2">
        <v>725</v>
      </c>
      <c r="AK97" s="2">
        <v>951</v>
      </c>
      <c r="AL97" s="2">
        <v>-2528</v>
      </c>
      <c r="AM97" s="2">
        <v>-82</v>
      </c>
      <c r="AN97" s="2">
        <v>-353</v>
      </c>
      <c r="AO97" s="2">
        <f t="shared" si="186"/>
        <v>1077</v>
      </c>
      <c r="AP97" s="2">
        <v>-3686</v>
      </c>
      <c r="AQ97" s="2">
        <v>-1162</v>
      </c>
      <c r="AR97" s="2"/>
      <c r="AS97" s="2"/>
      <c r="AT97" s="2"/>
      <c r="AU97" s="2"/>
      <c r="BD97" s="2">
        <f t="shared" si="185"/>
        <v>-1648</v>
      </c>
      <c r="BE97" s="2">
        <v>-3044</v>
      </c>
    </row>
    <row r="98" spans="2:64" x14ac:dyDescent="0.3">
      <c r="B98" t="s">
        <v>43</v>
      </c>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v>-554</v>
      </c>
      <c r="AH98" s="2">
        <v>-1548</v>
      </c>
      <c r="AI98" s="2">
        <v>-2013</v>
      </c>
      <c r="AJ98" s="2">
        <v>-1427</v>
      </c>
      <c r="AK98" s="2">
        <v>-2137</v>
      </c>
      <c r="AL98" s="2">
        <v>-1240</v>
      </c>
      <c r="AM98" s="2">
        <v>-1761</v>
      </c>
      <c r="AN98" s="2">
        <v>-1089</v>
      </c>
      <c r="AO98" s="2">
        <f t="shared" si="186"/>
        <v>-518</v>
      </c>
      <c r="AP98" s="2">
        <v>418</v>
      </c>
      <c r="AQ98" s="2">
        <v>-394</v>
      </c>
      <c r="AR98" s="2"/>
      <c r="AS98" s="2"/>
      <c r="AT98" s="2"/>
      <c r="AU98" s="2"/>
      <c r="BD98" s="2">
        <f t="shared" si="185"/>
        <v>-6817</v>
      </c>
      <c r="BE98" s="2">
        <v>-2950</v>
      </c>
    </row>
    <row r="99" spans="2:64" x14ac:dyDescent="0.3">
      <c r="B99" t="s">
        <v>45</v>
      </c>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v>-407</v>
      </c>
      <c r="AH99" s="2">
        <v>1311</v>
      </c>
      <c r="AI99" s="2">
        <v>1214</v>
      </c>
      <c r="AJ99" s="2">
        <v>-2521</v>
      </c>
      <c r="AK99" s="2">
        <v>648</v>
      </c>
      <c r="AL99" s="2">
        <v>4204</v>
      </c>
      <c r="AM99" s="2">
        <v>-916</v>
      </c>
      <c r="AN99" s="2">
        <v>958</v>
      </c>
      <c r="AO99" s="2">
        <f t="shared" si="186"/>
        <v>1179</v>
      </c>
      <c r="AP99" s="2">
        <v>-652</v>
      </c>
      <c r="AQ99" s="2">
        <v>-614</v>
      </c>
      <c r="AR99" s="2"/>
      <c r="AS99" s="2"/>
      <c r="AT99" s="2"/>
      <c r="AU99" s="2"/>
      <c r="BD99" s="2">
        <f t="shared" si="185"/>
        <v>3545</v>
      </c>
      <c r="BE99" s="2">
        <v>569</v>
      </c>
    </row>
    <row r="100" spans="2:64" x14ac:dyDescent="0.3">
      <c r="B100" t="s">
        <v>47</v>
      </c>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v>-181</v>
      </c>
      <c r="AH100" s="2">
        <v>14224</v>
      </c>
      <c r="AI100" s="2">
        <v>-4126</v>
      </c>
      <c r="AJ100" s="2">
        <v>-5538</v>
      </c>
      <c r="AK100" s="2">
        <v>-645</v>
      </c>
      <c r="AL100" s="2">
        <v>15657</v>
      </c>
      <c r="AM100" s="2">
        <v>-5553</v>
      </c>
      <c r="AN100" s="2">
        <v>-6338</v>
      </c>
      <c r="AO100" s="2">
        <f t="shared" si="186"/>
        <v>-1032</v>
      </c>
      <c r="AP100" s="2">
        <v>18361</v>
      </c>
      <c r="AQ100" s="2">
        <v>-5418</v>
      </c>
      <c r="AR100" s="2"/>
      <c r="AS100" s="2"/>
      <c r="AT100" s="2"/>
      <c r="AU100" s="2"/>
      <c r="BD100" s="2">
        <f t="shared" si="185"/>
        <v>5348</v>
      </c>
      <c r="BE100" s="2">
        <v>5438</v>
      </c>
    </row>
    <row r="101" spans="2:64" x14ac:dyDescent="0.3">
      <c r="B101" t="s">
        <v>27</v>
      </c>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v>1414</v>
      </c>
      <c r="AH101" s="2">
        <v>681</v>
      </c>
      <c r="AI101" s="2">
        <v>1425</v>
      </c>
      <c r="AJ101" s="2">
        <v>-1554</v>
      </c>
      <c r="AK101" s="2">
        <v>2622</v>
      </c>
      <c r="AL101" s="2">
        <v>-806</v>
      </c>
      <c r="AM101" s="2">
        <v>1016</v>
      </c>
      <c r="AN101" s="2">
        <v>-3395</v>
      </c>
      <c r="AO101" s="2">
        <f t="shared" si="186"/>
        <v>1298</v>
      </c>
      <c r="AP101" s="2">
        <v>1043</v>
      </c>
      <c r="AQ101" s="2">
        <v>-2944</v>
      </c>
      <c r="AR101" s="2"/>
      <c r="AS101" s="2"/>
      <c r="AT101" s="2"/>
      <c r="AU101" s="2"/>
      <c r="BD101" s="2">
        <f t="shared" si="185"/>
        <v>1687</v>
      </c>
      <c r="BE101" s="2">
        <v>-38</v>
      </c>
    </row>
    <row r="102" spans="2:64" x14ac:dyDescent="0.3">
      <c r="B102" t="s">
        <v>46</v>
      </c>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v>1715</v>
      </c>
      <c r="AH102" s="2">
        <v>2762</v>
      </c>
      <c r="AI102" s="2">
        <v>-4106</v>
      </c>
      <c r="AJ102" s="2">
        <v>1518</v>
      </c>
      <c r="AK102" s="2">
        <v>2803</v>
      </c>
      <c r="AL102" s="2">
        <v>4652</v>
      </c>
      <c r="AM102" s="2">
        <v>-5479</v>
      </c>
      <c r="AN102" s="2">
        <v>3217</v>
      </c>
      <c r="AO102" s="2">
        <f t="shared" si="186"/>
        <v>2838</v>
      </c>
      <c r="AP102" s="2">
        <v>5346</v>
      </c>
      <c r="AQ102" s="2">
        <v>-5507</v>
      </c>
      <c r="AR102" s="2"/>
      <c r="AS102" s="2"/>
      <c r="AT102" s="2"/>
      <c r="AU102" s="2"/>
      <c r="BD102" s="2">
        <f t="shared" si="185"/>
        <v>4867</v>
      </c>
      <c r="BE102" s="2">
        <v>5922</v>
      </c>
    </row>
    <row r="103" spans="2:64" x14ac:dyDescent="0.3">
      <c r="B103" t="s">
        <v>48</v>
      </c>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v>6</v>
      </c>
      <c r="AH103" s="2">
        <v>102</v>
      </c>
      <c r="AI103" s="2">
        <v>291</v>
      </c>
      <c r="AJ103" s="2">
        <v>-26</v>
      </c>
      <c r="AK103" s="2">
        <v>48</v>
      </c>
      <c r="AL103" s="2">
        <v>436</v>
      </c>
      <c r="AM103" s="2">
        <v>-33</v>
      </c>
      <c r="AN103" s="2">
        <v>716</v>
      </c>
      <c r="AO103" s="2">
        <f t="shared" si="186"/>
        <v>-391</v>
      </c>
      <c r="AP103" s="2">
        <v>-1267</v>
      </c>
      <c r="AQ103" s="2">
        <v>-477</v>
      </c>
      <c r="AR103" s="2"/>
      <c r="AS103" s="2"/>
      <c r="AT103" s="2"/>
      <c r="AU103" s="2"/>
      <c r="BD103" s="2">
        <f t="shared" si="185"/>
        <v>749</v>
      </c>
      <c r="BE103" s="2">
        <v>-975</v>
      </c>
    </row>
    <row r="104" spans="2:64" s="1" customFormat="1" x14ac:dyDescent="0.3">
      <c r="B104" s="1" t="s">
        <v>512</v>
      </c>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f t="shared" ref="AG104:AN104" si="187">SUM(AG90:AG103)</f>
        <v>24441</v>
      </c>
      <c r="AH104" s="5">
        <f t="shared" si="187"/>
        <v>28770</v>
      </c>
      <c r="AI104" s="5">
        <f t="shared" si="187"/>
        <v>30583</v>
      </c>
      <c r="AJ104" s="5">
        <f t="shared" si="187"/>
        <v>18853</v>
      </c>
      <c r="AK104" s="5">
        <f t="shared" si="187"/>
        <v>31917</v>
      </c>
      <c r="AL104" s="5">
        <f t="shared" si="187"/>
        <v>37195</v>
      </c>
      <c r="AM104" s="5">
        <f t="shared" si="187"/>
        <v>34180</v>
      </c>
      <c r="AN104" s="5">
        <f t="shared" si="187"/>
        <v>22291</v>
      </c>
      <c r="AO104" s="5">
        <f t="shared" ref="AO104:AP104" si="188">SUM(AO90:AO103)</f>
        <v>37044</v>
      </c>
      <c r="AP104" s="5">
        <f t="shared" si="188"/>
        <v>42647</v>
      </c>
      <c r="AQ104" s="5">
        <f t="shared" ref="AQ104" si="189">SUM(AQ90:AQ103)</f>
        <v>45057</v>
      </c>
      <c r="AR104" s="5"/>
      <c r="AS104" s="5"/>
      <c r="AT104" s="5"/>
      <c r="AU104" s="5"/>
      <c r="BD104" s="5">
        <f t="shared" ref="BD104" si="190">SUM(BD90:BD103)</f>
        <v>118548</v>
      </c>
      <c r="BE104" s="5">
        <f>SUM(BE90:BE103)</f>
        <v>136162</v>
      </c>
      <c r="BK104"/>
      <c r="BL104"/>
    </row>
    <row r="105" spans="2:64" x14ac:dyDescent="0.3">
      <c r="B105" t="s">
        <v>4</v>
      </c>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v>-1000</v>
      </c>
      <c r="AI105" s="2">
        <f>18692+7073-1500</f>
        <v>24265</v>
      </c>
      <c r="AJ105" s="2">
        <f>-8490+10773-2916</f>
        <v>-633</v>
      </c>
      <c r="AK105" s="2">
        <f>-3810+6352-11589</f>
        <v>-9047</v>
      </c>
      <c r="AL105" s="2">
        <f>-1142+197-13065</f>
        <v>-14010</v>
      </c>
      <c r="AM105" s="2">
        <f>-5746-966</f>
        <v>-6712</v>
      </c>
      <c r="AN105" s="2"/>
      <c r="AO105" s="2">
        <f t="shared" si="186"/>
        <v>-2250</v>
      </c>
      <c r="AP105" s="2"/>
      <c r="AQ105" s="2"/>
      <c r="AR105" s="2"/>
      <c r="AS105" s="2"/>
      <c r="AT105" s="2"/>
      <c r="AU105" s="2"/>
      <c r="BD105" s="2">
        <f t="shared" si="185"/>
        <v>575</v>
      </c>
      <c r="BE105" s="2">
        <f>-5746-3216</f>
        <v>-8962</v>
      </c>
      <c r="BK105" s="1"/>
      <c r="BL105" s="1"/>
    </row>
    <row r="106" spans="2:64" x14ac:dyDescent="0.3">
      <c r="B106" t="s">
        <v>517</v>
      </c>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f>536-5509-5059</f>
        <v>-10032</v>
      </c>
      <c r="AH106" s="2">
        <f>512-5704-5054</f>
        <v>-10246</v>
      </c>
      <c r="AI106" s="2">
        <f>685-4831-5051</f>
        <v>-9197</v>
      </c>
      <c r="AJ106" s="2">
        <f>261-4000-5574</f>
        <v>-9313</v>
      </c>
      <c r="AK106" s="2">
        <f>522-4213-5572</f>
        <v>-9263</v>
      </c>
      <c r="AL106" s="2">
        <f>534-4210-5574</f>
        <v>-9250</v>
      </c>
      <c r="AM106" s="2">
        <f>706-4107-5574</f>
        <v>-8975</v>
      </c>
      <c r="AN106" s="2">
        <f>256-4986-6170</f>
        <v>-10900</v>
      </c>
      <c r="AO106" s="2">
        <f t="shared" si="186"/>
        <v>-10404</v>
      </c>
      <c r="AP106" s="2">
        <f>548-4546-6169</f>
        <v>-10167</v>
      </c>
      <c r="AQ106" s="2">
        <f>689-5650-6169</f>
        <v>-11130</v>
      </c>
      <c r="AR106" s="2"/>
      <c r="AS106" s="2"/>
      <c r="AT106" s="2"/>
      <c r="AU106" s="2"/>
      <c r="BD106" s="2">
        <f t="shared" si="185"/>
        <v>-37023</v>
      </c>
      <c r="BE106" s="2">
        <f>2056-18420-24082</f>
        <v>-40446</v>
      </c>
    </row>
    <row r="107" spans="2:64" x14ac:dyDescent="0.3">
      <c r="B107" t="s">
        <v>421</v>
      </c>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v>-258</v>
      </c>
      <c r="AH107" s="2">
        <v>-167</v>
      </c>
      <c r="AI107" s="2">
        <v>-307</v>
      </c>
      <c r="AJ107" s="2">
        <v>-201</v>
      </c>
      <c r="AK107" s="2">
        <v>-498</v>
      </c>
      <c r="AL107" s="2">
        <v>-303</v>
      </c>
      <c r="AM107" s="2">
        <v>-889</v>
      </c>
      <c r="AN107" s="2">
        <v>-343</v>
      </c>
      <c r="AO107" s="2">
        <f t="shared" si="186"/>
        <v>-382</v>
      </c>
      <c r="AP107" s="2">
        <f>-677</f>
        <v>-677</v>
      </c>
      <c r="AQ107" s="2">
        <v>-669</v>
      </c>
      <c r="AR107" s="2"/>
      <c r="AS107" s="2"/>
      <c r="AT107" s="2"/>
      <c r="AU107" s="2"/>
      <c r="BD107" s="2">
        <f t="shared" si="185"/>
        <v>-1309</v>
      </c>
      <c r="BE107" s="2">
        <f>-2291</f>
        <v>-2291</v>
      </c>
    </row>
    <row r="108" spans="2:64" s="1" customFormat="1" x14ac:dyDescent="0.3">
      <c r="B108" s="1" t="s">
        <v>518</v>
      </c>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f t="shared" ref="AG108:AN108" si="191">SUM(AG105:AG107)</f>
        <v>-10290</v>
      </c>
      <c r="AH108" s="5">
        <f t="shared" si="191"/>
        <v>-11413</v>
      </c>
      <c r="AI108" s="5">
        <f t="shared" si="191"/>
        <v>14761</v>
      </c>
      <c r="AJ108" s="5">
        <f t="shared" si="191"/>
        <v>-10147</v>
      </c>
      <c r="AK108" s="5">
        <f t="shared" si="191"/>
        <v>-18808</v>
      </c>
      <c r="AL108" s="5">
        <f t="shared" si="191"/>
        <v>-23563</v>
      </c>
      <c r="AM108" s="5">
        <f t="shared" si="191"/>
        <v>-16576</v>
      </c>
      <c r="AN108" s="5">
        <f t="shared" si="191"/>
        <v>-11243</v>
      </c>
      <c r="AO108" s="5">
        <f t="shared" ref="AO108:AP108" si="192">SUM(AO105:AO107)</f>
        <v>-13036</v>
      </c>
      <c r="AP108" s="5">
        <f t="shared" si="192"/>
        <v>-10844</v>
      </c>
      <c r="AQ108" s="5">
        <f t="shared" ref="AQ108" si="193">SUM(AQ105:AQ107)</f>
        <v>-11799</v>
      </c>
      <c r="AR108" s="5"/>
      <c r="AS108" s="5"/>
      <c r="AT108" s="5"/>
      <c r="AU108" s="5"/>
      <c r="BD108" s="5">
        <f t="shared" ref="BD108:BE108" si="194">SUM(BD105:BD107)</f>
        <v>-37757</v>
      </c>
      <c r="BE108" s="5">
        <f t="shared" si="194"/>
        <v>-51699</v>
      </c>
      <c r="BK108"/>
      <c r="BL108"/>
    </row>
    <row r="109" spans="2:64" x14ac:dyDescent="0.3">
      <c r="B109" t="s">
        <v>519</v>
      </c>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v>-6607</v>
      </c>
      <c r="AH109" s="2">
        <v>-8943</v>
      </c>
      <c r="AI109" s="2">
        <v>-9917</v>
      </c>
      <c r="AJ109" s="2">
        <v>-9735</v>
      </c>
      <c r="AK109" s="2">
        <v>-10952</v>
      </c>
      <c r="AL109" s="2">
        <v>-13873</v>
      </c>
      <c r="AM109" s="2">
        <v>-14923</v>
      </c>
      <c r="AN109" s="2">
        <v>-15804</v>
      </c>
      <c r="AO109" s="2">
        <f t="shared" si="186"/>
        <v>-16745</v>
      </c>
      <c r="AP109" s="2">
        <v>-17079</v>
      </c>
      <c r="AQ109" s="2">
        <v>-19394</v>
      </c>
      <c r="AR109" s="2"/>
      <c r="AS109" s="2"/>
      <c r="AT109" s="2"/>
      <c r="AU109" s="2"/>
      <c r="BD109" s="2">
        <f t="shared" si="185"/>
        <v>-44477</v>
      </c>
      <c r="BE109" s="2">
        <v>-64551</v>
      </c>
      <c r="BK109" s="1"/>
      <c r="BL109" s="1"/>
    </row>
    <row r="110" spans="2:64" x14ac:dyDescent="0.3">
      <c r="B110" t="s">
        <v>520</v>
      </c>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v>-301</v>
      </c>
      <c r="AH110" s="2">
        <v>-341</v>
      </c>
      <c r="AI110" s="2">
        <v>-1186</v>
      </c>
      <c r="AJ110" s="2">
        <v>-65029</v>
      </c>
      <c r="AK110" s="2">
        <v>-1575</v>
      </c>
      <c r="AL110" s="2">
        <v>-1342</v>
      </c>
      <c r="AM110" s="2">
        <v>-1849</v>
      </c>
      <c r="AN110" s="2">
        <v>-1405</v>
      </c>
      <c r="AO110" s="2">
        <f t="shared" si="186"/>
        <v>-981</v>
      </c>
      <c r="AP110" s="2">
        <v>-1743</v>
      </c>
      <c r="AQ110" s="2">
        <v>-578</v>
      </c>
      <c r="AR110" s="2"/>
      <c r="AS110" s="2"/>
      <c r="AT110" s="2"/>
      <c r="AU110" s="2"/>
      <c r="BD110" s="2">
        <f t="shared" si="185"/>
        <v>-69132</v>
      </c>
      <c r="BE110" s="2">
        <v>-5978</v>
      </c>
    </row>
    <row r="111" spans="2:64" x14ac:dyDescent="0.3">
      <c r="B111" t="s">
        <v>515</v>
      </c>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f>-9063+13154+1239</f>
        <v>5330</v>
      </c>
      <c r="AH111" s="2">
        <f>-11976+6766+5629</f>
        <v>419</v>
      </c>
      <c r="AI111" s="2">
        <f>-8460+15718+5330</f>
        <v>12588</v>
      </c>
      <c r="AJ111" s="2">
        <f>-4258+4150+1600</f>
        <v>1492</v>
      </c>
      <c r="AK111" s="2">
        <f>-2183+3350+1941</f>
        <v>3108</v>
      </c>
      <c r="AL111" s="2">
        <f>-2831+1557+2023</f>
        <v>749</v>
      </c>
      <c r="AM111" s="2">
        <f>-1620+2136+1968</f>
        <v>2484</v>
      </c>
      <c r="AN111" s="2">
        <f>-2050+2604+2559</f>
        <v>3113</v>
      </c>
      <c r="AO111" s="2">
        <f t="shared" si="186"/>
        <v>4408</v>
      </c>
      <c r="AP111" s="2">
        <f>-21631+4618+2621</f>
        <v>-14392</v>
      </c>
      <c r="AQ111" s="2">
        <f>-17671+6031+3262</f>
        <v>-8378</v>
      </c>
      <c r="AR111" s="2"/>
      <c r="AS111" s="2"/>
      <c r="AT111" s="2"/>
      <c r="AU111" s="2"/>
      <c r="BD111" s="2">
        <f t="shared" si="185"/>
        <v>17937</v>
      </c>
      <c r="BE111" s="2">
        <f>-29775+16079+9309</f>
        <v>-4387</v>
      </c>
    </row>
    <row r="112" spans="2:64" x14ac:dyDescent="0.3">
      <c r="B112" t="s">
        <v>421</v>
      </c>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f>-1686+29</f>
        <v>-1657</v>
      </c>
      <c r="AH112" s="2">
        <f>-269-81</f>
        <v>-350</v>
      </c>
      <c r="AI112" s="2">
        <f>-982-99</f>
        <v>-1081</v>
      </c>
      <c r="AJ112" s="2">
        <v>1347</v>
      </c>
      <c r="AK112" s="2">
        <f>-1281-80</f>
        <v>-1361</v>
      </c>
      <c r="AL112" s="2">
        <f>-382-103</f>
        <v>-485</v>
      </c>
      <c r="AM112" s="2">
        <f>-913+122</f>
        <v>-791</v>
      </c>
      <c r="AN112" s="2">
        <v>-16</v>
      </c>
      <c r="AO112" s="2">
        <f t="shared" si="186"/>
        <v>482</v>
      </c>
      <c r="AP112" s="2">
        <v>2642</v>
      </c>
      <c r="AQ112" s="2">
        <v>-6209</v>
      </c>
      <c r="AR112" s="2"/>
      <c r="AS112" s="2"/>
      <c r="AT112" s="2"/>
      <c r="AU112" s="2"/>
      <c r="BD112" s="2">
        <f t="shared" si="185"/>
        <v>-1580</v>
      </c>
      <c r="BE112" s="2">
        <v>2317</v>
      </c>
    </row>
    <row r="113" spans="2:64" s="1" customFormat="1" x14ac:dyDescent="0.3">
      <c r="B113" s="1" t="s">
        <v>521</v>
      </c>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f t="shared" ref="AG113:AN113" si="195">SUM(AG109:AG112)</f>
        <v>-3235</v>
      </c>
      <c r="AH113" s="5">
        <f t="shared" si="195"/>
        <v>-9215</v>
      </c>
      <c r="AI113" s="5">
        <f t="shared" si="195"/>
        <v>404</v>
      </c>
      <c r="AJ113" s="5">
        <f t="shared" si="195"/>
        <v>-71925</v>
      </c>
      <c r="AK113" s="5">
        <f t="shared" si="195"/>
        <v>-10780</v>
      </c>
      <c r="AL113" s="5">
        <f t="shared" si="195"/>
        <v>-14951</v>
      </c>
      <c r="AM113" s="5">
        <f t="shared" si="195"/>
        <v>-15079</v>
      </c>
      <c r="AN113" s="5">
        <f t="shared" si="195"/>
        <v>-14112</v>
      </c>
      <c r="AO113" s="5">
        <f t="shared" ref="AO113:AP113" si="196">SUM(AO109:AO112)</f>
        <v>-12836</v>
      </c>
      <c r="AP113" s="5">
        <f t="shared" si="196"/>
        <v>-30572</v>
      </c>
      <c r="AQ113" s="5">
        <f t="shared" ref="AQ113" si="197">SUM(AQ109:AQ112)</f>
        <v>-34559</v>
      </c>
      <c r="AR113" s="5"/>
      <c r="AS113" s="5"/>
      <c r="AT113" s="5"/>
      <c r="AU113" s="5"/>
      <c r="BD113" s="5">
        <f t="shared" ref="BD113:BE113" si="198">SUM(BD109:BD112)</f>
        <v>-97252</v>
      </c>
      <c r="BE113" s="5">
        <f t="shared" si="198"/>
        <v>-72599</v>
      </c>
      <c r="BK113"/>
      <c r="BL113"/>
    </row>
    <row r="114" spans="2:64" s="1" customFormat="1" x14ac:dyDescent="0.3">
      <c r="B114" s="1" t="s">
        <v>522</v>
      </c>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f t="shared" ref="AG114:AN114" si="199">AG104+AG108+AG113</f>
        <v>10916</v>
      </c>
      <c r="AH114" s="5">
        <f t="shared" si="199"/>
        <v>8142</v>
      </c>
      <c r="AI114" s="5">
        <f t="shared" si="199"/>
        <v>45748</v>
      </c>
      <c r="AJ114" s="5">
        <f t="shared" si="199"/>
        <v>-63219</v>
      </c>
      <c r="AK114" s="5">
        <f t="shared" si="199"/>
        <v>2329</v>
      </c>
      <c r="AL114" s="5">
        <f t="shared" si="199"/>
        <v>-1319</v>
      </c>
      <c r="AM114" s="5">
        <f t="shared" si="199"/>
        <v>2525</v>
      </c>
      <c r="AN114" s="5">
        <f t="shared" si="199"/>
        <v>-3064</v>
      </c>
      <c r="AO114" s="5">
        <f t="shared" ref="AO114:AP114" si="200">AO104+AO108+AO113</f>
        <v>11172</v>
      </c>
      <c r="AP114" s="5">
        <f t="shared" si="200"/>
        <v>1231</v>
      </c>
      <c r="AQ114" s="5">
        <f t="shared" ref="AQ114" si="201">AQ104+AQ108+AQ113</f>
        <v>-1301</v>
      </c>
      <c r="AR114" s="5"/>
      <c r="AS114" s="5"/>
      <c r="AT114" s="5"/>
      <c r="AU114" s="5"/>
      <c r="BD114" s="5">
        <f t="shared" ref="BD114:BE114" si="202">BD104+BD108+BD113</f>
        <v>-16461</v>
      </c>
      <c r="BE114" s="5">
        <f t="shared" si="202"/>
        <v>11864</v>
      </c>
    </row>
    <row r="115" spans="2:64" x14ac:dyDescent="0.3">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BD115" s="2"/>
      <c r="BK115" s="1"/>
      <c r="BL115" s="1"/>
    </row>
    <row r="116" spans="2:64" s="1" customFormat="1" x14ac:dyDescent="0.3">
      <c r="B116" s="1" t="s">
        <v>523</v>
      </c>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f t="shared" ref="AG116:AN116" si="203">AG109+AG104</f>
        <v>17834</v>
      </c>
      <c r="AH116" s="5">
        <f t="shared" si="203"/>
        <v>19827</v>
      </c>
      <c r="AI116" s="5">
        <f t="shared" si="203"/>
        <v>20666</v>
      </c>
      <c r="AJ116" s="5">
        <f t="shared" si="203"/>
        <v>9118</v>
      </c>
      <c r="AK116" s="5">
        <f t="shared" si="203"/>
        <v>20965</v>
      </c>
      <c r="AL116" s="5">
        <f t="shared" si="203"/>
        <v>23322</v>
      </c>
      <c r="AM116" s="5">
        <f t="shared" si="203"/>
        <v>19257</v>
      </c>
      <c r="AN116" s="5">
        <f t="shared" si="203"/>
        <v>6487</v>
      </c>
      <c r="AO116" s="5">
        <f t="shared" ref="AO116:AP116" si="204">AO109+AO104</f>
        <v>20299</v>
      </c>
      <c r="AP116" s="5">
        <f t="shared" si="204"/>
        <v>25568</v>
      </c>
      <c r="AQ116" s="5">
        <f t="shared" ref="AQ116" si="205">AQ109+AQ104</f>
        <v>25663</v>
      </c>
      <c r="AR116" s="5"/>
      <c r="AS116" s="5"/>
      <c r="AT116" s="5"/>
      <c r="AU116" s="5"/>
      <c r="BD116" s="5">
        <f t="shared" ref="BD116:BE116" si="206">BD109+BD104</f>
        <v>74071</v>
      </c>
      <c r="BE116" s="5">
        <f t="shared" si="206"/>
        <v>71611</v>
      </c>
      <c r="BK116"/>
      <c r="BL116"/>
    </row>
    <row r="117" spans="2:64" s="1" customFormat="1" x14ac:dyDescent="0.3">
      <c r="B117" s="1" t="s">
        <v>524</v>
      </c>
      <c r="AJ117" s="5">
        <f>SUM(AG116:AJ116)</f>
        <v>67445</v>
      </c>
      <c r="AN117" s="5">
        <f>SUM(AK116:AN116)</f>
        <v>70031</v>
      </c>
      <c r="AO117" s="5">
        <f>SUM(AL116:AO116)</f>
        <v>69365</v>
      </c>
      <c r="AP117" s="5">
        <f>SUM(AM116:AP116)</f>
        <v>71611</v>
      </c>
      <c r="AQ117" s="5">
        <f>SUM(AN116:AQ116)</f>
        <v>78017</v>
      </c>
      <c r="AR117" s="5"/>
      <c r="AS117" s="5"/>
      <c r="AT117" s="5"/>
      <c r="AU117" s="5"/>
    </row>
    <row r="118" spans="2:64" s="1" customFormat="1" x14ac:dyDescent="0.3">
      <c r="B118" s="1" t="s">
        <v>525</v>
      </c>
      <c r="AJ118" s="5">
        <f>SUM(AG89:AJ89)</f>
        <v>82541</v>
      </c>
      <c r="AN118" s="5">
        <f>SUM(AK89:AN89)</f>
        <v>102701</v>
      </c>
      <c r="AO118" s="5">
        <f>SUM(AL89:AO89)</f>
        <v>106586</v>
      </c>
      <c r="AP118" s="5">
        <f>SUM(AM89:AP89)</f>
        <v>101832</v>
      </c>
      <c r="AQ118" s="5">
        <f>SUM(AN89:AQ89)</f>
        <v>104912</v>
      </c>
      <c r="AR118" s="5"/>
      <c r="AS118" s="5"/>
      <c r="AT118" s="5"/>
      <c r="AU118" s="5"/>
    </row>
    <row r="119" spans="2:64" x14ac:dyDescent="0.3">
      <c r="BK119" s="1"/>
      <c r="BL119" s="1"/>
    </row>
    <row r="120" spans="2:64" s="7" customFormat="1" x14ac:dyDescent="0.3">
      <c r="B120" s="4" t="s">
        <v>956</v>
      </c>
      <c r="AG120" s="7">
        <f t="shared" ref="AG120:AP120" si="207">-AG109/AG90</f>
        <v>0.36105798131045413</v>
      </c>
      <c r="AH120" s="7">
        <f t="shared" si="207"/>
        <v>0.44534634729346151</v>
      </c>
      <c r="AI120" s="7">
        <f t="shared" si="207"/>
        <v>0.44488807141895831</v>
      </c>
      <c r="AJ120" s="7">
        <f t="shared" si="207"/>
        <v>0.44513031550068588</v>
      </c>
      <c r="AK120" s="7">
        <f t="shared" si="207"/>
        <v>0.49920233374356171</v>
      </c>
      <c r="AL120" s="7">
        <f t="shared" si="207"/>
        <v>0.62956071882374298</v>
      </c>
      <c r="AM120" s="7">
        <f t="shared" si="207"/>
        <v>0.60497831110390399</v>
      </c>
      <c r="AN120" s="7">
        <f t="shared" si="207"/>
        <v>0.65555002488800396</v>
      </c>
      <c r="AO120" s="7">
        <f t="shared" si="207"/>
        <v>0.64842781908302349</v>
      </c>
      <c r="AP120" s="7">
        <f t="shared" si="207"/>
        <v>0.62714353908860576</v>
      </c>
      <c r="AQ120" s="7">
        <f>-AQ109/AQ90</f>
        <v>0.69895844595812162</v>
      </c>
    </row>
    <row r="125" spans="2:64" x14ac:dyDescent="0.3">
      <c r="B125" t="s">
        <v>1030</v>
      </c>
      <c r="AQ125" t="s">
        <v>1032</v>
      </c>
    </row>
    <row r="126" spans="2:64" x14ac:dyDescent="0.3">
      <c r="AQ126" t="s">
        <v>1033</v>
      </c>
    </row>
    <row r="127" spans="2:64" x14ac:dyDescent="0.3">
      <c r="AQ127" t="s">
        <v>1034</v>
      </c>
    </row>
    <row r="128" spans="2:64" x14ac:dyDescent="0.3">
      <c r="AQ128" t="s">
        <v>1031</v>
      </c>
    </row>
    <row r="129" spans="43:43" x14ac:dyDescent="0.3">
      <c r="AQ129" t="s">
        <v>1035</v>
      </c>
    </row>
    <row r="130" spans="43:43" x14ac:dyDescent="0.3">
      <c r="AQ130" t="s">
        <v>1036</v>
      </c>
    </row>
    <row r="131" spans="43:43" x14ac:dyDescent="0.3">
      <c r="AQ131" t="s">
        <v>1037</v>
      </c>
    </row>
    <row r="132" spans="43:43" x14ac:dyDescent="0.3">
      <c r="AQ132" t="s">
        <v>1038</v>
      </c>
    </row>
    <row r="133" spans="43:43" x14ac:dyDescent="0.3">
      <c r="AQ133" t="s">
        <v>1039</v>
      </c>
    </row>
    <row r="134" spans="43:43" x14ac:dyDescent="0.3">
      <c r="AQ134" t="s">
        <v>1040</v>
      </c>
    </row>
    <row r="135" spans="43:43" x14ac:dyDescent="0.3">
      <c r="AQ135" t="s">
        <v>1041</v>
      </c>
    </row>
    <row r="136" spans="43:43" x14ac:dyDescent="0.3">
      <c r="AQ136" t="s">
        <v>1042</v>
      </c>
    </row>
    <row r="137" spans="43:43" x14ac:dyDescent="0.3">
      <c r="AQ137" t="s">
        <v>1043</v>
      </c>
    </row>
  </sheetData>
  <phoneticPr fontId="12" type="noConversion"/>
  <hyperlinks>
    <hyperlink ref="A1" location="Main!B13" display="Main" xr:uid="{FC9884D9-B110-4FCC-99D5-38B770F44417}"/>
  </hyperlinks>
  <pageMargins left="0.7" right="0.7" top="0.75" bottom="0.75" header="0.3" footer="0.3"/>
  <pageSetup scale="32" orientation="portrait" r:id="rId1"/>
  <colBreaks count="2" manualBreakCount="2">
    <brk id="30" max="1048575" man="1"/>
    <brk id="56" max="1048575" man="1"/>
  </colBreaks>
  <ignoredErrors>
    <ignoredError sqref="BE3 BE4:BE12" formulaRange="1"/>
    <ignoredError sqref="BD108:BE108 BD104 BE39 AO108 AO104:AP104"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7AAE1-9DCF-43F0-922A-21B47B9B150A}">
  <dimension ref="A1:ABT104"/>
  <sheetViews>
    <sheetView zoomScale="77" zoomScaleNormal="100" workbookViewId="0">
      <pane xSplit="2" ySplit="3" topLeftCell="C4" activePane="bottomRight" state="frozen"/>
      <selection pane="topRight"/>
      <selection pane="bottomLeft"/>
      <selection pane="bottomRight" activeCell="P13" sqref="P13"/>
    </sheetView>
  </sheetViews>
  <sheetFormatPr defaultRowHeight="13.2" x14ac:dyDescent="0.25"/>
  <cols>
    <col min="1" max="1" width="8.88671875" style="133"/>
    <col min="2" max="2" width="19.109375" style="133" bestFit="1" customWidth="1"/>
    <col min="3" max="22" width="9" style="133" bestFit="1" customWidth="1"/>
    <col min="23" max="23" width="8.88671875" style="133"/>
    <col min="24" max="30" width="9" style="133" bestFit="1" customWidth="1"/>
    <col min="31" max="37" width="10.21875" style="133" bestFit="1" customWidth="1"/>
    <col min="38" max="40" width="9" style="133" bestFit="1" customWidth="1"/>
    <col min="41" max="41" width="10" style="133" customWidth="1"/>
    <col min="42" max="748" width="9" style="133" bestFit="1" customWidth="1"/>
    <col min="749" max="16384" width="8.88671875" style="133"/>
  </cols>
  <sheetData>
    <row r="1" spans="1:49" x14ac:dyDescent="0.25">
      <c r="A1" s="103" t="s">
        <v>8</v>
      </c>
    </row>
    <row r="3" spans="1:49" x14ac:dyDescent="0.25">
      <c r="B3" s="96" t="s">
        <v>63</v>
      </c>
      <c r="C3" s="133" t="s">
        <v>72</v>
      </c>
      <c r="D3" s="133" t="s">
        <v>53</v>
      </c>
      <c r="E3" s="133" t="s">
        <v>52</v>
      </c>
      <c r="F3" s="133" t="s">
        <v>33</v>
      </c>
      <c r="G3" s="133" t="s">
        <v>10</v>
      </c>
      <c r="H3" s="133" t="s">
        <v>11</v>
      </c>
      <c r="I3" s="133" t="s">
        <v>12</v>
      </c>
      <c r="J3" s="133" t="s">
        <v>7</v>
      </c>
      <c r="K3" s="133" t="s">
        <v>13</v>
      </c>
      <c r="L3" s="133" t="s">
        <v>14</v>
      </c>
      <c r="M3" s="133" t="s">
        <v>15</v>
      </c>
      <c r="N3" s="133" t="s">
        <v>16</v>
      </c>
      <c r="O3" s="133" t="s">
        <v>89</v>
      </c>
      <c r="P3" s="133" t="s">
        <v>917</v>
      </c>
      <c r="Q3" s="133" t="s">
        <v>918</v>
      </c>
      <c r="R3" s="133" t="s">
        <v>919</v>
      </c>
      <c r="S3" s="133" t="s">
        <v>920</v>
      </c>
      <c r="T3" s="133" t="s">
        <v>921</v>
      </c>
      <c r="U3" s="133" t="s">
        <v>931</v>
      </c>
      <c r="V3" s="133" t="s">
        <v>932</v>
      </c>
      <c r="X3" s="133">
        <v>2022</v>
      </c>
      <c r="Y3" s="133">
        <v>2023</v>
      </c>
      <c r="Z3" s="133">
        <v>2024</v>
      </c>
      <c r="AA3" s="133">
        <v>2025</v>
      </c>
      <c r="AB3" s="133">
        <v>2026</v>
      </c>
      <c r="AC3" s="133">
        <v>2027</v>
      </c>
      <c r="AD3" s="133">
        <v>2028</v>
      </c>
      <c r="AE3" s="133">
        <v>2029</v>
      </c>
      <c r="AF3" s="133">
        <v>2030</v>
      </c>
      <c r="AG3" s="133">
        <v>2031</v>
      </c>
      <c r="AH3" s="133">
        <v>2032</v>
      </c>
      <c r="AI3" s="133">
        <v>2033</v>
      </c>
      <c r="AJ3" s="133">
        <v>2034</v>
      </c>
      <c r="AK3" s="133">
        <v>2035</v>
      </c>
      <c r="AL3" s="133">
        <v>2036</v>
      </c>
      <c r="AM3" s="133">
        <v>2037</v>
      </c>
      <c r="AN3" s="133">
        <v>2038</v>
      </c>
      <c r="AO3" s="133">
        <v>2039</v>
      </c>
      <c r="AP3" s="133">
        <v>2040</v>
      </c>
      <c r="AQ3" s="133">
        <v>2041</v>
      </c>
      <c r="AR3" s="133">
        <v>2042</v>
      </c>
      <c r="AS3" s="133">
        <v>2043</v>
      </c>
      <c r="AT3" s="133">
        <v>2044</v>
      </c>
      <c r="AU3" s="133">
        <v>2045</v>
      </c>
      <c r="AV3" s="133">
        <v>2046</v>
      </c>
      <c r="AW3" s="133">
        <v>2047</v>
      </c>
    </row>
    <row r="4" spans="1:49" x14ac:dyDescent="0.25">
      <c r="B4" s="133" t="s">
        <v>959</v>
      </c>
      <c r="C4" s="135"/>
      <c r="D4" s="135"/>
      <c r="E4" s="135"/>
      <c r="F4" s="135"/>
      <c r="G4" s="135">
        <v>54670</v>
      </c>
      <c r="H4" s="135">
        <v>55392</v>
      </c>
      <c r="I4" s="135">
        <v>61411</v>
      </c>
      <c r="J4" s="135">
        <v>75556</v>
      </c>
      <c r="K4" s="135">
        <v>57407</v>
      </c>
      <c r="L4" s="135">
        <v>61485</v>
      </c>
      <c r="M4" s="135">
        <v>67407</v>
      </c>
      <c r="N4" s="135"/>
      <c r="X4" s="135">
        <v>220004</v>
      </c>
      <c r="Y4" s="135">
        <v>231872</v>
      </c>
      <c r="Z4" s="135">
        <v>247029</v>
      </c>
    </row>
    <row r="5" spans="1:49" x14ac:dyDescent="0.25">
      <c r="B5" s="133" t="s">
        <v>960</v>
      </c>
      <c r="C5" s="135"/>
      <c r="D5" s="135"/>
      <c r="E5" s="135"/>
      <c r="F5" s="135"/>
      <c r="G5" s="135">
        <v>5202</v>
      </c>
      <c r="H5" s="135">
        <v>5206</v>
      </c>
      <c r="I5" s="135">
        <v>5228</v>
      </c>
      <c r="J5" s="135">
        <v>5579</v>
      </c>
      <c r="K5" s="135">
        <v>5533</v>
      </c>
      <c r="L5" s="135">
        <v>5595</v>
      </c>
      <c r="M5" s="135">
        <v>5578</v>
      </c>
      <c r="N5" s="135"/>
      <c r="X5" s="135">
        <v>18963</v>
      </c>
      <c r="Y5" s="135">
        <v>20030</v>
      </c>
      <c r="Z5" s="135">
        <v>21215</v>
      </c>
    </row>
    <row r="6" spans="1:49" x14ac:dyDescent="0.25">
      <c r="B6" s="133" t="s">
        <v>961</v>
      </c>
      <c r="C6" s="135"/>
      <c r="D6" s="135"/>
      <c r="E6" s="135"/>
      <c r="F6" s="135"/>
      <c r="G6" s="135">
        <v>34596</v>
      </c>
      <c r="H6" s="135">
        <v>36201</v>
      </c>
      <c r="I6" s="135">
        <v>37864</v>
      </c>
      <c r="J6" s="135">
        <v>47485</v>
      </c>
      <c r="K6" s="135">
        <v>36512</v>
      </c>
      <c r="L6" s="135">
        <v>40348</v>
      </c>
      <c r="M6" s="135">
        <v>42486</v>
      </c>
      <c r="N6" s="135"/>
      <c r="X6" s="135">
        <v>117716</v>
      </c>
      <c r="Y6" s="135">
        <v>140053</v>
      </c>
      <c r="Z6" s="135">
        <v>156146</v>
      </c>
    </row>
    <row r="7" spans="1:49" x14ac:dyDescent="0.25">
      <c r="B7" s="133" t="s">
        <v>962</v>
      </c>
      <c r="C7" s="135"/>
      <c r="D7" s="135"/>
      <c r="E7" s="135"/>
      <c r="F7" s="135"/>
      <c r="G7" s="135">
        <v>11824</v>
      </c>
      <c r="H7" s="135">
        <v>12771</v>
      </c>
      <c r="I7" s="135">
        <v>14331</v>
      </c>
      <c r="J7" s="135">
        <v>17288</v>
      </c>
      <c r="K7" s="135">
        <v>13921</v>
      </c>
      <c r="L7" s="135">
        <v>15694</v>
      </c>
      <c r="M7" s="135">
        <v>17703</v>
      </c>
      <c r="N7" s="135"/>
      <c r="X7" s="135">
        <v>37739</v>
      </c>
      <c r="Y7" s="135">
        <v>46906</v>
      </c>
      <c r="Z7" s="135">
        <v>56214</v>
      </c>
    </row>
    <row r="8" spans="1:49" x14ac:dyDescent="0.25">
      <c r="B8" s="133" t="s">
        <v>963</v>
      </c>
      <c r="C8" s="135"/>
      <c r="D8" s="135"/>
      <c r="E8" s="135"/>
      <c r="F8" s="135"/>
      <c r="G8" s="135">
        <v>10722</v>
      </c>
      <c r="H8" s="135">
        <v>10866</v>
      </c>
      <c r="I8" s="135">
        <v>11278</v>
      </c>
      <c r="J8" s="135">
        <v>11508</v>
      </c>
      <c r="K8" s="135">
        <v>11715</v>
      </c>
      <c r="L8" s="135">
        <v>12208</v>
      </c>
      <c r="M8" s="135">
        <v>12574</v>
      </c>
      <c r="N8" s="135"/>
      <c r="X8" s="135">
        <v>35218</v>
      </c>
      <c r="Y8" s="135">
        <v>40209</v>
      </c>
      <c r="Z8" s="135">
        <v>44374</v>
      </c>
    </row>
    <row r="9" spans="1:49" x14ac:dyDescent="0.25">
      <c r="B9" s="133" t="s">
        <v>958</v>
      </c>
      <c r="C9" s="135"/>
      <c r="D9" s="135"/>
      <c r="E9" s="135"/>
      <c r="F9" s="135"/>
      <c r="G9" s="135">
        <v>25037</v>
      </c>
      <c r="H9" s="135">
        <v>26281</v>
      </c>
      <c r="I9" s="135">
        <v>27452</v>
      </c>
      <c r="J9" s="135">
        <v>28786</v>
      </c>
      <c r="K9" s="135">
        <v>29267</v>
      </c>
      <c r="L9" s="135">
        <v>30873</v>
      </c>
      <c r="M9" s="135">
        <v>33006</v>
      </c>
      <c r="N9" s="135"/>
      <c r="X9" s="135">
        <v>80096</v>
      </c>
      <c r="Y9" s="135">
        <v>90757</v>
      </c>
      <c r="Z9" s="135">
        <v>107556</v>
      </c>
    </row>
    <row r="10" spans="1:49" x14ac:dyDescent="0.25">
      <c r="B10" s="133" t="s">
        <v>421</v>
      </c>
      <c r="C10" s="135"/>
      <c r="D10" s="135"/>
      <c r="E10" s="135"/>
      <c r="F10" s="135"/>
      <c r="G10" s="135">
        <v>1262</v>
      </c>
      <c r="H10" s="135">
        <v>1260</v>
      </c>
      <c r="I10" s="135">
        <v>1313</v>
      </c>
      <c r="J10" s="135">
        <v>1590</v>
      </c>
      <c r="K10" s="135">
        <v>1312</v>
      </c>
      <c r="L10" s="135">
        <v>1499</v>
      </c>
      <c r="M10" s="135">
        <v>1415</v>
      </c>
      <c r="N10" s="135"/>
      <c r="X10" s="135">
        <v>4247</v>
      </c>
      <c r="Y10" s="135">
        <v>4958</v>
      </c>
      <c r="Z10" s="135">
        <v>5425</v>
      </c>
    </row>
    <row r="11" spans="1:49" s="96" customFormat="1" x14ac:dyDescent="0.25">
      <c r="B11" s="96" t="s">
        <v>369</v>
      </c>
      <c r="C11" s="108">
        <f t="shared" ref="C11" si="0">SUM(C4:C10)</f>
        <v>0</v>
      </c>
      <c r="D11" s="108">
        <f t="shared" ref="D11" si="1">SUM(D4:D10)</f>
        <v>0</v>
      </c>
      <c r="E11" s="108">
        <f t="shared" ref="E11" si="2">SUM(E4:E10)</f>
        <v>0</v>
      </c>
      <c r="F11" s="108">
        <f t="shared" ref="F11" si="3">SUM(F4:F10)</f>
        <v>0</v>
      </c>
      <c r="G11" s="108">
        <f t="shared" ref="G11:J11" si="4">SUM(G4:G10)</f>
        <v>143313</v>
      </c>
      <c r="H11" s="108">
        <f t="shared" si="4"/>
        <v>147977</v>
      </c>
      <c r="I11" s="108">
        <f t="shared" si="4"/>
        <v>158877</v>
      </c>
      <c r="J11" s="108">
        <f t="shared" si="4"/>
        <v>187792</v>
      </c>
      <c r="K11" s="108">
        <f>SUM(K4:K10)</f>
        <v>155667</v>
      </c>
      <c r="L11" s="108">
        <f>SUM(L4:L10)</f>
        <v>167702</v>
      </c>
      <c r="M11" s="108">
        <f t="shared" ref="M11:N11" si="5">SUM(M4:M10)</f>
        <v>180169</v>
      </c>
      <c r="N11" s="108">
        <f t="shared" si="5"/>
        <v>0</v>
      </c>
      <c r="X11" s="108">
        <f t="shared" ref="X11:Z11" si="6">SUM(X4:X10)</f>
        <v>513983</v>
      </c>
      <c r="Y11" s="108">
        <f t="shared" si="6"/>
        <v>574785</v>
      </c>
      <c r="Z11" s="108">
        <f t="shared" si="6"/>
        <v>637959</v>
      </c>
    </row>
    <row r="12" spans="1:49" x14ac:dyDescent="0.25">
      <c r="B12" s="96"/>
      <c r="C12" s="135"/>
      <c r="D12" s="135"/>
      <c r="E12" s="135"/>
      <c r="F12" s="135"/>
      <c r="G12" s="135"/>
      <c r="H12" s="135"/>
      <c r="I12" s="135"/>
      <c r="J12" s="135"/>
      <c r="K12" s="135"/>
      <c r="L12" s="135"/>
      <c r="M12" s="135"/>
      <c r="N12" s="135"/>
      <c r="X12" s="135"/>
      <c r="Y12" s="135"/>
      <c r="Z12" s="135"/>
    </row>
    <row r="13" spans="1:49" x14ac:dyDescent="0.25">
      <c r="B13" s="133" t="s">
        <v>964</v>
      </c>
      <c r="C13" s="135"/>
      <c r="D13" s="135"/>
      <c r="E13" s="135"/>
      <c r="F13" s="135"/>
      <c r="G13" s="144">
        <f t="shared" ref="G13:N13" si="7">G9/G11</f>
        <v>0.17470152742598369</v>
      </c>
      <c r="H13" s="144">
        <f t="shared" si="7"/>
        <v>0.1776019246234212</v>
      </c>
      <c r="I13" s="144">
        <f t="shared" si="7"/>
        <v>0.17278775404872951</v>
      </c>
      <c r="J13" s="144">
        <f t="shared" si="7"/>
        <v>0.15328661497827384</v>
      </c>
      <c r="K13" s="144">
        <f t="shared" si="7"/>
        <v>0.18801030404645813</v>
      </c>
      <c r="L13" s="144">
        <f t="shared" si="7"/>
        <v>0.18409440555270659</v>
      </c>
      <c r="M13" s="144">
        <f t="shared" si="7"/>
        <v>0.18319466722910158</v>
      </c>
      <c r="N13" s="144" t="e">
        <f t="shared" si="7"/>
        <v>#DIV/0!</v>
      </c>
      <c r="X13" s="144">
        <f t="shared" ref="X13:Y13" si="8">X9/X11</f>
        <v>0.15583394781539467</v>
      </c>
      <c r="Y13" s="144">
        <f t="shared" si="8"/>
        <v>0.15789730072983812</v>
      </c>
      <c r="Z13" s="144">
        <f>Z9/Z11</f>
        <v>0.16859390650496348</v>
      </c>
    </row>
    <row r="14" spans="1:49" x14ac:dyDescent="0.25">
      <c r="B14" s="96"/>
      <c r="K14" s="135"/>
      <c r="L14" s="135"/>
      <c r="M14" s="135"/>
      <c r="N14" s="135"/>
    </row>
    <row r="15" spans="1:49" s="135" customFormat="1" x14ac:dyDescent="0.25">
      <c r="B15" s="135" t="s">
        <v>942</v>
      </c>
      <c r="C15" s="135">
        <v>56981</v>
      </c>
      <c r="D15" s="135">
        <v>59032</v>
      </c>
      <c r="E15" s="135">
        <v>63171</v>
      </c>
      <c r="F15" s="135">
        <v>76703</v>
      </c>
      <c r="G15" s="135">
        <v>60915</v>
      </c>
      <c r="H15" s="135">
        <v>61569</v>
      </c>
      <c r="I15" s="135">
        <v>67601</v>
      </c>
      <c r="J15" s="135">
        <v>82226</v>
      </c>
      <c r="K15" s="135">
        <v>63970</v>
      </c>
      <c r="L15" s="135">
        <v>68246</v>
      </c>
      <c r="M15" s="135">
        <v>74058</v>
      </c>
    </row>
    <row r="16" spans="1:49" s="135" customFormat="1" x14ac:dyDescent="0.25">
      <c r="B16" s="135" t="s">
        <v>943</v>
      </c>
      <c r="C16" s="135">
        <v>70377</v>
      </c>
      <c r="D16" s="135">
        <v>75351</v>
      </c>
      <c r="E16" s="135">
        <v>79912</v>
      </c>
      <c r="F16" s="135">
        <v>93258</v>
      </c>
      <c r="G16" s="135">
        <v>82398</v>
      </c>
      <c r="H16" s="135">
        <v>86408</v>
      </c>
      <c r="I16" s="135">
        <v>91276</v>
      </c>
      <c r="J16" s="135">
        <v>105566</v>
      </c>
      <c r="K16" s="135">
        <v>91697</v>
      </c>
      <c r="L16" s="135">
        <v>99456</v>
      </c>
      <c r="M16" s="135">
        <v>106111</v>
      </c>
    </row>
    <row r="17" spans="2:748" x14ac:dyDescent="0.25">
      <c r="B17" s="96" t="s">
        <v>369</v>
      </c>
      <c r="C17" s="108">
        <f t="shared" ref="C17:J17" si="9">SUM(C15:C16)</f>
        <v>127358</v>
      </c>
      <c r="D17" s="108">
        <f t="shared" si="9"/>
        <v>134383</v>
      </c>
      <c r="E17" s="108">
        <f t="shared" si="9"/>
        <v>143083</v>
      </c>
      <c r="F17" s="108">
        <f t="shared" si="9"/>
        <v>169961</v>
      </c>
      <c r="G17" s="108">
        <f t="shared" si="9"/>
        <v>143313</v>
      </c>
      <c r="H17" s="108">
        <f t="shared" si="9"/>
        <v>147977</v>
      </c>
      <c r="I17" s="108">
        <f t="shared" si="9"/>
        <v>158877</v>
      </c>
      <c r="J17" s="108">
        <f t="shared" si="9"/>
        <v>187792</v>
      </c>
      <c r="K17" s="108">
        <f>SUM(K15:K16)</f>
        <v>155667</v>
      </c>
      <c r="L17" s="108">
        <f>SUM(L15:L16)</f>
        <v>167702</v>
      </c>
      <c r="M17" s="108">
        <f>SUM(M15:M16)</f>
        <v>180169</v>
      </c>
      <c r="N17" s="108">
        <v>204740</v>
      </c>
      <c r="O17" s="108">
        <v>171350</v>
      </c>
      <c r="P17" s="108">
        <v>177540</v>
      </c>
      <c r="Q17" s="108">
        <v>189490</v>
      </c>
      <c r="R17" s="108">
        <v>223600</v>
      </c>
      <c r="S17" s="108">
        <v>190020</v>
      </c>
      <c r="T17" s="108">
        <v>195570</v>
      </c>
      <c r="U17" s="108">
        <f>Q17*1.1</f>
        <v>208439.00000000003</v>
      </c>
      <c r="V17" s="108">
        <f t="shared" ref="V17" si="10">R17*1.1</f>
        <v>245960.00000000003</v>
      </c>
      <c r="W17" s="135"/>
      <c r="X17" s="135">
        <f>242901+271082</f>
        <v>513983</v>
      </c>
      <c r="Y17" s="135">
        <f>255887+318898</f>
        <v>574785</v>
      </c>
      <c r="Z17" s="135">
        <f>272311+365648</f>
        <v>637959</v>
      </c>
      <c r="AA17" s="135">
        <f>SUM(K17:N17)</f>
        <v>708278</v>
      </c>
      <c r="AB17" s="135">
        <f>SUM(O17:R17)</f>
        <v>761980</v>
      </c>
      <c r="AC17" s="135">
        <f>SUM(S17:V17)</f>
        <v>839989</v>
      </c>
      <c r="AD17" s="135">
        <f>AC17*(1+AC41)</f>
        <v>925984.30420877191</v>
      </c>
      <c r="AE17" s="135">
        <f t="shared" ref="AE17:AJ17" si="11">AD17*(1+AD41)</f>
        <v>1020783.5241187722</v>
      </c>
      <c r="AF17" s="135">
        <f t="shared" si="11"/>
        <v>1125287.9755912272</v>
      </c>
      <c r="AG17" s="135">
        <f t="shared" si="11"/>
        <v>1240491.2482334173</v>
      </c>
      <c r="AH17" s="135">
        <f t="shared" si="11"/>
        <v>1367488.6520805531</v>
      </c>
      <c r="AI17" s="135">
        <f t="shared" si="11"/>
        <v>1507487.6313977949</v>
      </c>
      <c r="AJ17" s="135">
        <f t="shared" si="11"/>
        <v>1661819.2446129851</v>
      </c>
      <c r="AK17" s="135">
        <f>AJ17*(1+AJ41)</f>
        <v>1831950.8195270435</v>
      </c>
    </row>
    <row r="18" spans="2:748" x14ac:dyDescent="0.25">
      <c r="B18" s="133" t="s">
        <v>17</v>
      </c>
      <c r="C18" s="135">
        <v>67791</v>
      </c>
      <c r="D18" s="135">
        <v>69373</v>
      </c>
      <c r="E18" s="135">
        <v>75022</v>
      </c>
      <c r="F18" s="135">
        <v>92553</v>
      </c>
      <c r="G18" s="135">
        <v>72633</v>
      </c>
      <c r="H18" s="135">
        <v>73785</v>
      </c>
      <c r="I18" s="135">
        <v>80977</v>
      </c>
      <c r="J18" s="135">
        <v>98893</v>
      </c>
      <c r="K18" s="135">
        <v>76976</v>
      </c>
      <c r="L18" s="135">
        <v>80809</v>
      </c>
      <c r="M18" s="135">
        <v>88670</v>
      </c>
      <c r="N18" s="135"/>
      <c r="O18" s="135"/>
      <c r="P18" s="135"/>
      <c r="Q18" s="135"/>
      <c r="R18" s="135"/>
      <c r="S18" s="135"/>
      <c r="T18" s="135"/>
      <c r="U18" s="135"/>
      <c r="V18" s="135"/>
      <c r="W18" s="135"/>
      <c r="X18" s="135">
        <v>288831</v>
      </c>
      <c r="Y18" s="135">
        <v>304739</v>
      </c>
      <c r="Z18" s="135">
        <v>326288</v>
      </c>
      <c r="AA18" s="135"/>
      <c r="AB18" s="135"/>
    </row>
    <row r="19" spans="2:748" x14ac:dyDescent="0.25">
      <c r="B19" s="96" t="s">
        <v>60</v>
      </c>
      <c r="C19" s="108">
        <f t="shared" ref="C19:J19" si="12">C17-C18</f>
        <v>59567</v>
      </c>
      <c r="D19" s="108">
        <f t="shared" si="12"/>
        <v>65010</v>
      </c>
      <c r="E19" s="108">
        <f t="shared" si="12"/>
        <v>68061</v>
      </c>
      <c r="F19" s="108">
        <f t="shared" si="12"/>
        <v>77408</v>
      </c>
      <c r="G19" s="108">
        <f t="shared" si="12"/>
        <v>70680</v>
      </c>
      <c r="H19" s="108">
        <f t="shared" si="12"/>
        <v>74192</v>
      </c>
      <c r="I19" s="108">
        <f t="shared" si="12"/>
        <v>77900</v>
      </c>
      <c r="J19" s="108">
        <f t="shared" si="12"/>
        <v>88899</v>
      </c>
      <c r="K19" s="108">
        <f>K17-K18</f>
        <v>78691</v>
      </c>
      <c r="L19" s="108">
        <f>L17-L18</f>
        <v>86893</v>
      </c>
      <c r="M19" s="108">
        <f>M17-M18</f>
        <v>91499</v>
      </c>
      <c r="N19" s="108"/>
      <c r="O19" s="108"/>
      <c r="P19" s="108"/>
      <c r="Q19" s="108"/>
      <c r="R19" s="108"/>
      <c r="S19" s="108"/>
      <c r="T19" s="108"/>
      <c r="U19" s="108"/>
      <c r="V19" s="108"/>
      <c r="W19" s="108"/>
      <c r="X19" s="108">
        <f>X17-X18</f>
        <v>225152</v>
      </c>
      <c r="Y19" s="108">
        <f>Y17-Y18</f>
        <v>270046</v>
      </c>
      <c r="Z19" s="108">
        <f>Z17-Z18</f>
        <v>311671</v>
      </c>
      <c r="AA19" s="135"/>
      <c r="AB19" s="135"/>
    </row>
    <row r="20" spans="2:748" x14ac:dyDescent="0.25">
      <c r="B20" s="133" t="s">
        <v>55</v>
      </c>
      <c r="C20" s="135">
        <v>20905</v>
      </c>
      <c r="D20" s="135">
        <v>21305</v>
      </c>
      <c r="E20" s="135">
        <v>22314</v>
      </c>
      <c r="F20" s="135">
        <v>26095</v>
      </c>
      <c r="G20" s="135">
        <v>22317</v>
      </c>
      <c r="H20" s="135">
        <v>23566</v>
      </c>
      <c r="I20" s="135">
        <v>24660</v>
      </c>
      <c r="J20" s="135">
        <v>27962</v>
      </c>
      <c r="K20" s="135">
        <v>24593</v>
      </c>
      <c r="L20" s="135">
        <v>25976</v>
      </c>
      <c r="M20" s="135">
        <v>27679</v>
      </c>
      <c r="N20" s="135"/>
      <c r="O20" s="135"/>
      <c r="P20" s="135"/>
      <c r="Q20" s="135"/>
      <c r="R20" s="135"/>
      <c r="S20" s="135"/>
      <c r="T20" s="135"/>
      <c r="U20" s="135"/>
      <c r="V20" s="135"/>
      <c r="W20" s="135"/>
      <c r="X20" s="135">
        <v>84299</v>
      </c>
      <c r="Y20" s="135">
        <v>90619</v>
      </c>
      <c r="Z20" s="135">
        <v>98505</v>
      </c>
      <c r="AA20" s="135"/>
      <c r="AB20" s="135"/>
    </row>
    <row r="21" spans="2:748" x14ac:dyDescent="0.25">
      <c r="B21" s="133" t="s">
        <v>56</v>
      </c>
      <c r="C21" s="135">
        <v>20450</v>
      </c>
      <c r="D21" s="135">
        <v>21931</v>
      </c>
      <c r="E21" s="135">
        <v>21203</v>
      </c>
      <c r="F21" s="135">
        <v>22038</v>
      </c>
      <c r="G21" s="135">
        <v>20424</v>
      </c>
      <c r="H21" s="135">
        <v>22304</v>
      </c>
      <c r="I21" s="135">
        <v>22245</v>
      </c>
      <c r="J21" s="135">
        <v>23571</v>
      </c>
      <c r="K21" s="135">
        <v>22994</v>
      </c>
      <c r="L21" s="135">
        <v>27166</v>
      </c>
      <c r="M21" s="135">
        <v>28962</v>
      </c>
      <c r="N21" s="135"/>
      <c r="O21" s="135"/>
      <c r="P21" s="135"/>
      <c r="Q21" s="135"/>
      <c r="R21" s="135"/>
      <c r="S21" s="135"/>
      <c r="T21" s="135"/>
      <c r="U21" s="135"/>
      <c r="V21" s="135"/>
      <c r="W21" s="135"/>
      <c r="X21" s="135">
        <v>73213</v>
      </c>
      <c r="Y21" s="135">
        <v>85622</v>
      </c>
      <c r="Z21" s="135">
        <v>88544</v>
      </c>
      <c r="AA21" s="135"/>
      <c r="AB21" s="135"/>
    </row>
    <row r="22" spans="2:748" x14ac:dyDescent="0.25">
      <c r="B22" s="133" t="s">
        <v>57</v>
      </c>
      <c r="C22" s="135">
        <v>10172</v>
      </c>
      <c r="D22" s="135">
        <v>10745</v>
      </c>
      <c r="E22" s="135">
        <v>10551</v>
      </c>
      <c r="F22" s="135">
        <v>12902</v>
      </c>
      <c r="G22" s="135">
        <v>9662</v>
      </c>
      <c r="H22" s="135">
        <v>10512</v>
      </c>
      <c r="I22" s="135">
        <v>10609</v>
      </c>
      <c r="J22" s="135">
        <v>13124</v>
      </c>
      <c r="K22" s="135">
        <v>9763</v>
      </c>
      <c r="L22" s="135">
        <v>11416</v>
      </c>
      <c r="M22" s="135">
        <v>11686</v>
      </c>
      <c r="N22" s="135"/>
      <c r="O22" s="135"/>
      <c r="P22" s="135"/>
      <c r="Q22" s="135"/>
      <c r="R22" s="135"/>
      <c r="S22" s="135"/>
      <c r="T22" s="135"/>
      <c r="U22" s="135"/>
      <c r="V22" s="135"/>
      <c r="W22" s="135"/>
      <c r="X22" s="135">
        <v>42238</v>
      </c>
      <c r="Y22" s="135">
        <v>44370</v>
      </c>
      <c r="Z22" s="135">
        <v>43907</v>
      </c>
      <c r="AA22" s="135"/>
      <c r="AB22" s="135"/>
    </row>
    <row r="23" spans="2:748" x14ac:dyDescent="0.25">
      <c r="B23" s="133" t="s">
        <v>58</v>
      </c>
      <c r="C23" s="135">
        <v>3043</v>
      </c>
      <c r="D23" s="135">
        <v>3202</v>
      </c>
      <c r="E23" s="135">
        <v>2561</v>
      </c>
      <c r="F23" s="135">
        <v>3010</v>
      </c>
      <c r="G23" s="135">
        <v>2742</v>
      </c>
      <c r="H23" s="135">
        <v>3041</v>
      </c>
      <c r="I23" s="135">
        <v>2713</v>
      </c>
      <c r="J23" s="135">
        <v>2863</v>
      </c>
      <c r="K23" s="135">
        <v>2628</v>
      </c>
      <c r="L23" s="135">
        <v>2965</v>
      </c>
      <c r="M23" s="135">
        <v>2875</v>
      </c>
      <c r="N23" s="135"/>
      <c r="O23" s="135"/>
      <c r="P23" s="135"/>
      <c r="Q23" s="135"/>
      <c r="R23" s="135"/>
      <c r="S23" s="135"/>
      <c r="T23" s="135"/>
      <c r="U23" s="135"/>
      <c r="V23" s="135"/>
      <c r="W23" s="135"/>
      <c r="X23" s="135">
        <v>11891</v>
      </c>
      <c r="Y23" s="135">
        <v>11816</v>
      </c>
      <c r="Z23" s="135">
        <v>11359</v>
      </c>
      <c r="AA23" s="135"/>
      <c r="AB23" s="135"/>
    </row>
    <row r="24" spans="2:748" x14ac:dyDescent="0.25">
      <c r="B24" s="133" t="s">
        <v>59</v>
      </c>
      <c r="C24" s="135">
        <v>223</v>
      </c>
      <c r="D24" s="135">
        <v>146</v>
      </c>
      <c r="E24" s="135">
        <v>244</v>
      </c>
      <c r="F24" s="135">
        <v>154</v>
      </c>
      <c r="G24" s="135">
        <v>228</v>
      </c>
      <c r="H24" s="135">
        <v>97</v>
      </c>
      <c r="I24" s="135">
        <v>262</v>
      </c>
      <c r="J24" s="135">
        <v>176</v>
      </c>
      <c r="K24" s="135">
        <v>308</v>
      </c>
      <c r="L24" s="135">
        <v>199</v>
      </c>
      <c r="M24" s="135">
        <v>2875</v>
      </c>
      <c r="N24" s="135"/>
      <c r="O24" s="135"/>
      <c r="P24" s="135"/>
      <c r="Q24" s="135"/>
      <c r="R24" s="135"/>
      <c r="S24" s="135"/>
      <c r="T24" s="135"/>
      <c r="U24" s="135"/>
      <c r="V24" s="135"/>
      <c r="W24" s="135"/>
      <c r="X24" s="135">
        <v>1263</v>
      </c>
      <c r="Y24" s="135">
        <v>767</v>
      </c>
      <c r="Z24" s="135">
        <v>763</v>
      </c>
      <c r="AA24" s="135"/>
      <c r="AB24" s="135"/>
    </row>
    <row r="25" spans="2:748" x14ac:dyDescent="0.25">
      <c r="B25" s="96" t="s">
        <v>22</v>
      </c>
      <c r="C25" s="108">
        <f t="shared" ref="C25:J25" si="13">SUM(C20:C24)</f>
        <v>54793</v>
      </c>
      <c r="D25" s="108">
        <f t="shared" si="13"/>
        <v>57329</v>
      </c>
      <c r="E25" s="108">
        <f t="shared" si="13"/>
        <v>56873</v>
      </c>
      <c r="F25" s="108">
        <f t="shared" si="13"/>
        <v>64199</v>
      </c>
      <c r="G25" s="108">
        <f t="shared" si="13"/>
        <v>55373</v>
      </c>
      <c r="H25" s="108">
        <f t="shared" si="13"/>
        <v>59520</v>
      </c>
      <c r="I25" s="108">
        <f t="shared" si="13"/>
        <v>60489</v>
      </c>
      <c r="J25" s="108">
        <f t="shared" si="13"/>
        <v>67696</v>
      </c>
      <c r="K25" s="108">
        <f>SUM(K20:K24)</f>
        <v>60286</v>
      </c>
      <c r="L25" s="108">
        <f>SUM(L20:L24)</f>
        <v>67722</v>
      </c>
      <c r="M25" s="108">
        <f>SUM(M20:M24)</f>
        <v>74077</v>
      </c>
      <c r="N25" s="108"/>
      <c r="O25" s="108"/>
      <c r="P25" s="108"/>
      <c r="Q25" s="108"/>
      <c r="R25" s="108"/>
      <c r="S25" s="108"/>
      <c r="T25" s="108"/>
      <c r="U25" s="108"/>
      <c r="V25" s="108"/>
      <c r="W25" s="108"/>
      <c r="X25" s="108">
        <f>SUM(X20:X24)</f>
        <v>212904</v>
      </c>
      <c r="Y25" s="108">
        <f>SUM(Y20:Y24)</f>
        <v>233194</v>
      </c>
      <c r="Z25" s="108">
        <f>SUM(Z20:Z24)</f>
        <v>243078</v>
      </c>
      <c r="AA25" s="135"/>
      <c r="AB25" s="135"/>
    </row>
    <row r="26" spans="2:748" x14ac:dyDescent="0.25">
      <c r="B26" s="96" t="s">
        <v>61</v>
      </c>
      <c r="C26" s="108">
        <f t="shared" ref="C26:J26" si="14">C19-C25</f>
        <v>4774</v>
      </c>
      <c r="D26" s="108">
        <f t="shared" si="14"/>
        <v>7681</v>
      </c>
      <c r="E26" s="108">
        <f t="shared" si="14"/>
        <v>11188</v>
      </c>
      <c r="F26" s="108">
        <f t="shared" si="14"/>
        <v>13209</v>
      </c>
      <c r="G26" s="108">
        <f t="shared" si="14"/>
        <v>15307</v>
      </c>
      <c r="H26" s="108">
        <f t="shared" si="14"/>
        <v>14672</v>
      </c>
      <c r="I26" s="108">
        <f t="shared" si="14"/>
        <v>17411</v>
      </c>
      <c r="J26" s="108">
        <f t="shared" si="14"/>
        <v>21203</v>
      </c>
      <c r="K26" s="108">
        <f>K19-K25</f>
        <v>18405</v>
      </c>
      <c r="L26" s="108">
        <f>L19-L25</f>
        <v>19171</v>
      </c>
      <c r="M26" s="108">
        <f>M19-M25</f>
        <v>17422</v>
      </c>
      <c r="N26" s="108"/>
      <c r="O26" s="108"/>
      <c r="P26" s="108"/>
      <c r="Q26" s="108"/>
      <c r="R26" s="108"/>
      <c r="S26" s="108"/>
      <c r="T26" s="108"/>
      <c r="U26" s="108"/>
      <c r="V26" s="108"/>
      <c r="W26" s="108"/>
      <c r="X26" s="108">
        <f>+X19-X25</f>
        <v>12248</v>
      </c>
      <c r="Y26" s="108">
        <f>+Y19-Y25</f>
        <v>36852</v>
      </c>
      <c r="Z26" s="108">
        <f>+Z19-Z25</f>
        <v>68593</v>
      </c>
      <c r="AA26" s="135"/>
      <c r="AB26" s="135"/>
    </row>
    <row r="27" spans="2:748" x14ac:dyDescent="0.25">
      <c r="B27" s="133" t="s">
        <v>25</v>
      </c>
      <c r="C27" s="135">
        <f>611-823-443</f>
        <v>-655</v>
      </c>
      <c r="D27" s="135">
        <f>661-840+61</f>
        <v>-118</v>
      </c>
      <c r="E27" s="135">
        <f>776-806+1031</f>
        <v>1001</v>
      </c>
      <c r="F27" s="135">
        <f>901-713+289</f>
        <v>477</v>
      </c>
      <c r="G27" s="135">
        <f>993-644-2673</f>
        <v>-2324</v>
      </c>
      <c r="H27" s="135">
        <f>1180-589-18</f>
        <v>573</v>
      </c>
      <c r="I27" s="135">
        <f>1256-603-27</f>
        <v>626</v>
      </c>
      <c r="J27" s="135">
        <f>1248-570+468</f>
        <v>1146</v>
      </c>
      <c r="K27" s="135">
        <f>1066-541+2749</f>
        <v>3274</v>
      </c>
      <c r="L27" s="135">
        <f>1085-516+1117</f>
        <v>1686</v>
      </c>
      <c r="M27" s="135">
        <f>1100-538+10186</f>
        <v>10748</v>
      </c>
      <c r="N27" s="135"/>
      <c r="O27" s="135"/>
      <c r="P27" s="135"/>
      <c r="Q27" s="135"/>
      <c r="R27" s="135"/>
      <c r="S27" s="135"/>
      <c r="T27" s="135"/>
      <c r="U27" s="135"/>
      <c r="V27" s="135"/>
      <c r="W27" s="135"/>
      <c r="X27" s="135">
        <f>989-2367-16806</f>
        <v>-18184</v>
      </c>
      <c r="Y27" s="135">
        <f>2949-3182+938</f>
        <v>705</v>
      </c>
      <c r="Z27" s="135">
        <f>4677-2406-2250</f>
        <v>21</v>
      </c>
      <c r="AA27" s="135"/>
      <c r="AB27" s="135"/>
    </row>
    <row r="28" spans="2:748" x14ac:dyDescent="0.25">
      <c r="B28" s="96" t="s">
        <v>26</v>
      </c>
      <c r="C28" s="108">
        <f t="shared" ref="C28:J28" si="15">C26+C27</f>
        <v>4119</v>
      </c>
      <c r="D28" s="108">
        <f t="shared" si="15"/>
        <v>7563</v>
      </c>
      <c r="E28" s="108">
        <f t="shared" si="15"/>
        <v>12189</v>
      </c>
      <c r="F28" s="108">
        <f t="shared" si="15"/>
        <v>13686</v>
      </c>
      <c r="G28" s="108">
        <f t="shared" si="15"/>
        <v>12983</v>
      </c>
      <c r="H28" s="108">
        <f t="shared" si="15"/>
        <v>15245</v>
      </c>
      <c r="I28" s="108">
        <f t="shared" si="15"/>
        <v>18037</v>
      </c>
      <c r="J28" s="108">
        <f t="shared" si="15"/>
        <v>22349</v>
      </c>
      <c r="K28" s="108">
        <f>K26+K27</f>
        <v>21679</v>
      </c>
      <c r="L28" s="108">
        <f>L26+L27</f>
        <v>20857</v>
      </c>
      <c r="M28" s="108">
        <f>M26+M27</f>
        <v>28170</v>
      </c>
      <c r="N28" s="108"/>
      <c r="O28" s="108"/>
      <c r="P28" s="108"/>
      <c r="Q28" s="108"/>
      <c r="R28" s="108"/>
      <c r="S28" s="108"/>
      <c r="T28" s="108"/>
      <c r="U28" s="108"/>
      <c r="V28" s="108"/>
      <c r="W28" s="108"/>
      <c r="X28" s="108">
        <f>X26+X27</f>
        <v>-5936</v>
      </c>
      <c r="Y28" s="108">
        <f>Y26+Y27</f>
        <v>37557</v>
      </c>
      <c r="Z28" s="108">
        <f>Z26+Z27</f>
        <v>68614</v>
      </c>
      <c r="AA28" s="135"/>
      <c r="AB28" s="135"/>
    </row>
    <row r="29" spans="2:748" x14ac:dyDescent="0.25">
      <c r="B29" s="133" t="s">
        <v>27</v>
      </c>
      <c r="C29" s="135">
        <f>-948+1</f>
        <v>-947</v>
      </c>
      <c r="D29" s="135">
        <f>-804-9</f>
        <v>-813</v>
      </c>
      <c r="E29" s="135">
        <f>-2306-4</f>
        <v>-2310</v>
      </c>
      <c r="F29" s="135">
        <v>-3062</v>
      </c>
      <c r="G29" s="135">
        <f>-2467-85</f>
        <v>-2552</v>
      </c>
      <c r="H29" s="135">
        <f>-1767+7</f>
        <v>-1760</v>
      </c>
      <c r="I29" s="135">
        <f>-2706-3</f>
        <v>-2709</v>
      </c>
      <c r="J29" s="135">
        <f>-2325-20</f>
        <v>-2345</v>
      </c>
      <c r="K29" s="135">
        <f>-4553+1</f>
        <v>-4552</v>
      </c>
      <c r="L29" s="135">
        <f>-2678-15</f>
        <v>-2693</v>
      </c>
      <c r="M29" s="135">
        <v>-6910</v>
      </c>
      <c r="N29" s="135"/>
      <c r="O29" s="135"/>
      <c r="P29" s="135"/>
      <c r="Q29" s="135"/>
      <c r="R29" s="135"/>
      <c r="S29" s="135"/>
      <c r="T29" s="135"/>
      <c r="U29" s="135"/>
      <c r="V29" s="135"/>
      <c r="W29" s="135"/>
      <c r="X29" s="135">
        <f>-3217+3</f>
        <v>-3214</v>
      </c>
      <c r="Y29" s="135">
        <f>7120+12</f>
        <v>7132</v>
      </c>
      <c r="Z29" s="135">
        <f>9265+101</f>
        <v>9366</v>
      </c>
      <c r="AA29" s="135"/>
      <c r="AB29" s="135"/>
    </row>
    <row r="30" spans="2:748" x14ac:dyDescent="0.25">
      <c r="B30" s="133" t="s">
        <v>421</v>
      </c>
      <c r="C30" s="135">
        <v>514</v>
      </c>
      <c r="D30" s="135">
        <v>293</v>
      </c>
      <c r="E30" s="135">
        <v>-1323</v>
      </c>
      <c r="F30" s="135">
        <v>1963</v>
      </c>
      <c r="G30" s="135">
        <v>-558</v>
      </c>
      <c r="H30" s="135">
        <v>-395</v>
      </c>
      <c r="I30" s="135">
        <v>2075</v>
      </c>
      <c r="J30" s="135">
        <v>1884</v>
      </c>
      <c r="K30" s="135">
        <v>-880</v>
      </c>
      <c r="L30" s="135"/>
      <c r="M30" s="135">
        <v>-73</v>
      </c>
      <c r="N30" s="135"/>
      <c r="O30" s="135"/>
      <c r="P30" s="135"/>
      <c r="Q30" s="135"/>
      <c r="R30" s="135"/>
      <c r="S30" s="135"/>
      <c r="T30" s="135"/>
      <c r="U30" s="135"/>
      <c r="V30" s="135"/>
      <c r="W30" s="135"/>
      <c r="X30" s="135"/>
      <c r="Y30" s="135"/>
      <c r="Z30" s="135"/>
      <c r="AA30" s="135"/>
      <c r="AB30" s="135"/>
    </row>
    <row r="31" spans="2:748" s="108" customFormat="1" x14ac:dyDescent="0.25">
      <c r="B31" s="108" t="s">
        <v>28</v>
      </c>
      <c r="C31" s="108">
        <f t="shared" ref="C31:J31" si="16">+C28+C29+C30</f>
        <v>3686</v>
      </c>
      <c r="D31" s="108">
        <f t="shared" si="16"/>
        <v>7043</v>
      </c>
      <c r="E31" s="108">
        <f t="shared" si="16"/>
        <v>8556</v>
      </c>
      <c r="F31" s="108">
        <f t="shared" si="16"/>
        <v>12587</v>
      </c>
      <c r="G31" s="108">
        <f t="shared" si="16"/>
        <v>9873</v>
      </c>
      <c r="H31" s="108">
        <f t="shared" si="16"/>
        <v>13090</v>
      </c>
      <c r="I31" s="108">
        <f t="shared" si="16"/>
        <v>17403</v>
      </c>
      <c r="J31" s="108">
        <f t="shared" si="16"/>
        <v>21888</v>
      </c>
      <c r="K31" s="108">
        <f>+K28+K29+K30</f>
        <v>16247</v>
      </c>
      <c r="L31" s="108">
        <f>+L28+L29+L30</f>
        <v>18164</v>
      </c>
      <c r="M31" s="108">
        <f>+M28+M29+M30</f>
        <v>21187</v>
      </c>
      <c r="N31" s="108">
        <v>19780</v>
      </c>
      <c r="O31" s="108">
        <v>18380</v>
      </c>
      <c r="P31" s="108">
        <v>17670</v>
      </c>
      <c r="Q31" s="108">
        <v>20040</v>
      </c>
      <c r="R31" s="108">
        <v>23530</v>
      </c>
      <c r="S31" s="108">
        <v>24520</v>
      </c>
      <c r="T31" s="108">
        <v>24740</v>
      </c>
      <c r="X31" s="108">
        <f>X28-X29</f>
        <v>-2722</v>
      </c>
      <c r="Y31" s="108">
        <f>Y28-Y29</f>
        <v>30425</v>
      </c>
      <c r="Z31" s="108">
        <f>Z28-Z29</f>
        <v>59248</v>
      </c>
      <c r="AA31" s="108">
        <f>SUM(K31:N31)</f>
        <v>75378</v>
      </c>
      <c r="AB31" s="108">
        <f>SUM(O31:R31)</f>
        <v>79620</v>
      </c>
      <c r="AC31" s="108">
        <f>AC17*AC38</f>
        <v>92811.167076983649</v>
      </c>
      <c r="AD31" s="108">
        <f>AD17*AD38</f>
        <v>107868.77417065334</v>
      </c>
      <c r="AE31" s="108">
        <f t="shared" ref="AE31:AK31" si="17">AE17*AE38</f>
        <v>125036.72475009982</v>
      </c>
      <c r="AF31" s="108">
        <f t="shared" si="17"/>
        <v>141213.43628577466</v>
      </c>
      <c r="AG31" s="108">
        <f t="shared" si="17"/>
        <v>159391.87602855492</v>
      </c>
      <c r="AH31" s="108">
        <f t="shared" si="17"/>
        <v>179812.35670580177</v>
      </c>
      <c r="AI31" s="108">
        <f t="shared" si="17"/>
        <v>202743.41580234023</v>
      </c>
      <c r="AJ31" s="108">
        <f t="shared" si="17"/>
        <v>228485.07596055351</v>
      </c>
      <c r="AK31" s="108">
        <f t="shared" si="17"/>
        <v>257372.47713512037</v>
      </c>
      <c r="AL31" s="108">
        <f>+AK31*(1+AO35)</f>
        <v>254798.75236376916</v>
      </c>
      <c r="AM31" s="108">
        <f>AL31*1.02</f>
        <v>259894.72741104456</v>
      </c>
      <c r="AN31" s="108">
        <f t="shared" ref="AN31:AU31" si="18">AM31*1.02</f>
        <v>265092.62195926544</v>
      </c>
      <c r="AO31" s="108">
        <f t="shared" si="18"/>
        <v>270394.47439845075</v>
      </c>
      <c r="AP31" s="108">
        <f t="shared" si="18"/>
        <v>275802.3638864198</v>
      </c>
      <c r="AQ31" s="108">
        <f t="shared" si="18"/>
        <v>281318.41116414819</v>
      </c>
      <c r="AR31" s="108">
        <f t="shared" si="18"/>
        <v>286944.77938743116</v>
      </c>
      <c r="AS31" s="108">
        <f t="shared" si="18"/>
        <v>292683.67497517978</v>
      </c>
      <c r="AT31" s="108">
        <f t="shared" si="18"/>
        <v>298537.34847468336</v>
      </c>
      <c r="AU31" s="108">
        <f t="shared" si="18"/>
        <v>304508.09544417704</v>
      </c>
      <c r="AV31" s="108">
        <f>AU31*(1+$AO$35)</f>
        <v>301463.01448973524</v>
      </c>
      <c r="AW31" s="108">
        <f t="shared" ref="AW31:DH31" si="19">AV31*(1+$AO$35)</f>
        <v>298448.38434483786</v>
      </c>
      <c r="AX31" s="108">
        <f t="shared" si="19"/>
        <v>295463.90050138946</v>
      </c>
      <c r="AY31" s="108">
        <f t="shared" si="19"/>
        <v>292509.26149637555</v>
      </c>
      <c r="AZ31" s="108">
        <f t="shared" si="19"/>
        <v>289584.16888141178</v>
      </c>
      <c r="BA31" s="108">
        <f t="shared" si="19"/>
        <v>286688.32719259767</v>
      </c>
      <c r="BB31" s="108">
        <f t="shared" si="19"/>
        <v>283821.44392067171</v>
      </c>
      <c r="BC31" s="108">
        <f t="shared" si="19"/>
        <v>280983.22948146501</v>
      </c>
      <c r="BD31" s="108">
        <f t="shared" si="19"/>
        <v>278173.39718665037</v>
      </c>
      <c r="BE31" s="108">
        <f t="shared" si="19"/>
        <v>275391.66321478388</v>
      </c>
      <c r="BF31" s="108">
        <f t="shared" si="19"/>
        <v>272637.74658263603</v>
      </c>
      <c r="BG31" s="108">
        <f t="shared" si="19"/>
        <v>269911.36911680968</v>
      </c>
      <c r="BH31" s="108">
        <f t="shared" si="19"/>
        <v>267212.2554256416</v>
      </c>
      <c r="BI31" s="108">
        <f t="shared" si="19"/>
        <v>264540.1328713852</v>
      </c>
      <c r="BJ31" s="108">
        <f t="shared" si="19"/>
        <v>261894.73154267133</v>
      </c>
      <c r="BK31" s="108">
        <f t="shared" si="19"/>
        <v>259275.78422724461</v>
      </c>
      <c r="BL31" s="108">
        <f t="shared" si="19"/>
        <v>256683.02638497215</v>
      </c>
      <c r="BM31" s="108">
        <f t="shared" si="19"/>
        <v>254116.19612112243</v>
      </c>
      <c r="BN31" s="108">
        <f t="shared" si="19"/>
        <v>251575.03415991119</v>
      </c>
      <c r="BO31" s="108">
        <f t="shared" si="19"/>
        <v>249059.28381831208</v>
      </c>
      <c r="BP31" s="108">
        <f t="shared" si="19"/>
        <v>246568.69098012894</v>
      </c>
      <c r="BQ31" s="108">
        <f t="shared" si="19"/>
        <v>244103.00407032765</v>
      </c>
      <c r="BR31" s="108">
        <f t="shared" si="19"/>
        <v>241661.97402962437</v>
      </c>
      <c r="BS31" s="108">
        <f t="shared" si="19"/>
        <v>239245.35428932813</v>
      </c>
      <c r="BT31" s="108">
        <f t="shared" si="19"/>
        <v>236852.90074643484</v>
      </c>
      <c r="BU31" s="108">
        <f t="shared" si="19"/>
        <v>234484.37173897048</v>
      </c>
      <c r="BV31" s="108">
        <f t="shared" si="19"/>
        <v>232139.52802158077</v>
      </c>
      <c r="BW31" s="108">
        <f t="shared" si="19"/>
        <v>229818.13274136497</v>
      </c>
      <c r="BX31" s="108">
        <f t="shared" si="19"/>
        <v>227519.95141395132</v>
      </c>
      <c r="BY31" s="108">
        <f t="shared" si="19"/>
        <v>225244.75189981182</v>
      </c>
      <c r="BZ31" s="108">
        <f t="shared" si="19"/>
        <v>222992.3043808137</v>
      </c>
      <c r="CA31" s="108">
        <f t="shared" si="19"/>
        <v>220762.38133700556</v>
      </c>
      <c r="CB31" s="108">
        <f t="shared" si="19"/>
        <v>218554.75752363549</v>
      </c>
      <c r="CC31" s="108">
        <f t="shared" si="19"/>
        <v>216369.20994839913</v>
      </c>
      <c r="CD31" s="108">
        <f t="shared" si="19"/>
        <v>214205.51784891513</v>
      </c>
      <c r="CE31" s="108">
        <f t="shared" si="19"/>
        <v>212063.46267042597</v>
      </c>
      <c r="CF31" s="108">
        <f t="shared" si="19"/>
        <v>209942.8280437217</v>
      </c>
      <c r="CG31" s="108">
        <f t="shared" si="19"/>
        <v>207843.39976328448</v>
      </c>
      <c r="CH31" s="108">
        <f t="shared" si="19"/>
        <v>205764.96576565164</v>
      </c>
      <c r="CI31" s="108">
        <f t="shared" si="19"/>
        <v>203707.31610799511</v>
      </c>
      <c r="CJ31" s="108">
        <f t="shared" si="19"/>
        <v>201670.24294691515</v>
      </c>
      <c r="CK31" s="108">
        <f t="shared" si="19"/>
        <v>199653.540517446</v>
      </c>
      <c r="CL31" s="108">
        <f t="shared" si="19"/>
        <v>197657.00511227155</v>
      </c>
      <c r="CM31" s="108">
        <f t="shared" si="19"/>
        <v>195680.43506114883</v>
      </c>
      <c r="CN31" s="108">
        <f t="shared" si="19"/>
        <v>193723.63071053734</v>
      </c>
      <c r="CO31" s="108">
        <f t="shared" si="19"/>
        <v>191786.39440343197</v>
      </c>
      <c r="CP31" s="108">
        <f t="shared" si="19"/>
        <v>189868.53045939765</v>
      </c>
      <c r="CQ31" s="108">
        <f t="shared" si="19"/>
        <v>187969.84515480368</v>
      </c>
      <c r="CR31" s="108">
        <f t="shared" si="19"/>
        <v>186090.14670325565</v>
      </c>
      <c r="CS31" s="108">
        <f t="shared" si="19"/>
        <v>184229.2452362231</v>
      </c>
      <c r="CT31" s="108">
        <f t="shared" si="19"/>
        <v>182386.95278386088</v>
      </c>
      <c r="CU31" s="108">
        <f t="shared" si="19"/>
        <v>180563.08325602228</v>
      </c>
      <c r="CV31" s="108">
        <f t="shared" si="19"/>
        <v>178757.45242346206</v>
      </c>
      <c r="CW31" s="108">
        <f t="shared" si="19"/>
        <v>176969.87789922743</v>
      </c>
      <c r="CX31" s="108">
        <f t="shared" si="19"/>
        <v>175200.17912023515</v>
      </c>
      <c r="CY31" s="108">
        <f t="shared" si="19"/>
        <v>173448.1773290328</v>
      </c>
      <c r="CZ31" s="108">
        <f t="shared" si="19"/>
        <v>171713.69555574248</v>
      </c>
      <c r="DA31" s="108">
        <f t="shared" si="19"/>
        <v>169996.55860018506</v>
      </c>
      <c r="DB31" s="108">
        <f t="shared" si="19"/>
        <v>168296.59301418322</v>
      </c>
      <c r="DC31" s="108">
        <f t="shared" si="19"/>
        <v>166613.62708404139</v>
      </c>
      <c r="DD31" s="108">
        <f t="shared" si="19"/>
        <v>164947.49081320097</v>
      </c>
      <c r="DE31" s="108">
        <f t="shared" si="19"/>
        <v>163298.01590506895</v>
      </c>
      <c r="DF31" s="108">
        <f t="shared" si="19"/>
        <v>161665.03574601826</v>
      </c>
      <c r="DG31" s="108">
        <f t="shared" si="19"/>
        <v>160048.38538855806</v>
      </c>
      <c r="DH31" s="108">
        <f t="shared" si="19"/>
        <v>158447.90153467248</v>
      </c>
      <c r="DI31" s="108">
        <f t="shared" ref="DI31:FT31" si="20">DH31*(1+$AO$35)</f>
        <v>156863.42251932574</v>
      </c>
      <c r="DJ31" s="108">
        <f t="shared" si="20"/>
        <v>155294.78829413248</v>
      </c>
      <c r="DK31" s="108">
        <f t="shared" si="20"/>
        <v>153741.84041119117</v>
      </c>
      <c r="DL31" s="108">
        <f t="shared" si="20"/>
        <v>152204.42200707927</v>
      </c>
      <c r="DM31" s="108">
        <f t="shared" si="20"/>
        <v>150682.37778700847</v>
      </c>
      <c r="DN31" s="108">
        <f t="shared" si="20"/>
        <v>149175.55400913837</v>
      </c>
      <c r="DO31" s="108">
        <f t="shared" si="20"/>
        <v>147683.79846904697</v>
      </c>
      <c r="DP31" s="108">
        <f t="shared" si="20"/>
        <v>146206.9604843565</v>
      </c>
      <c r="DQ31" s="108">
        <f t="shared" si="20"/>
        <v>144744.89087951294</v>
      </c>
      <c r="DR31" s="108">
        <f t="shared" si="20"/>
        <v>143297.4419707178</v>
      </c>
      <c r="DS31" s="108">
        <f t="shared" si="20"/>
        <v>141864.46755101063</v>
      </c>
      <c r="DT31" s="108">
        <f t="shared" si="20"/>
        <v>140445.82287550051</v>
      </c>
      <c r="DU31" s="108">
        <f t="shared" si="20"/>
        <v>139041.3646467455</v>
      </c>
      <c r="DV31" s="108">
        <f t="shared" si="20"/>
        <v>137650.95100027803</v>
      </c>
      <c r="DW31" s="108">
        <f t="shared" si="20"/>
        <v>136274.44149027526</v>
      </c>
      <c r="DX31" s="108">
        <f t="shared" si="20"/>
        <v>134911.6970753725</v>
      </c>
      <c r="DY31" s="108">
        <f t="shared" si="20"/>
        <v>133562.58010461877</v>
      </c>
      <c r="DZ31" s="108">
        <f t="shared" si="20"/>
        <v>132226.95430357259</v>
      </c>
      <c r="EA31" s="108">
        <f t="shared" si="20"/>
        <v>130904.68476053687</v>
      </c>
      <c r="EB31" s="108">
        <f t="shared" si="20"/>
        <v>129595.6379129315</v>
      </c>
      <c r="EC31" s="108">
        <f t="shared" si="20"/>
        <v>128299.68153380218</v>
      </c>
      <c r="ED31" s="108">
        <f t="shared" si="20"/>
        <v>127016.68471846417</v>
      </c>
      <c r="EE31" s="108">
        <f t="shared" si="20"/>
        <v>125746.51787127952</v>
      </c>
      <c r="EF31" s="108">
        <f t="shared" si="20"/>
        <v>124489.05269256672</v>
      </c>
      <c r="EG31" s="108">
        <f t="shared" si="20"/>
        <v>123244.16216564106</v>
      </c>
      <c r="EH31" s="108">
        <f t="shared" si="20"/>
        <v>122011.72054398464</v>
      </c>
      <c r="EI31" s="108">
        <f t="shared" si="20"/>
        <v>120791.6033385448</v>
      </c>
      <c r="EJ31" s="108">
        <f t="shared" si="20"/>
        <v>119583.68730515934</v>
      </c>
      <c r="EK31" s="108">
        <f t="shared" si="20"/>
        <v>118387.85043210775</v>
      </c>
      <c r="EL31" s="108">
        <f t="shared" si="20"/>
        <v>117203.97192778667</v>
      </c>
      <c r="EM31" s="108">
        <f t="shared" si="20"/>
        <v>116031.93220850881</v>
      </c>
      <c r="EN31" s="108">
        <f t="shared" si="20"/>
        <v>114871.61288642371</v>
      </c>
      <c r="EO31" s="108">
        <f t="shared" si="20"/>
        <v>113722.89675755947</v>
      </c>
      <c r="EP31" s="108">
        <f t="shared" si="20"/>
        <v>112585.66778998388</v>
      </c>
      <c r="EQ31" s="108">
        <f t="shared" si="20"/>
        <v>111459.81111208405</v>
      </c>
      <c r="ER31" s="108">
        <f t="shared" si="20"/>
        <v>110345.21300096321</v>
      </c>
      <c r="ES31" s="108">
        <f t="shared" si="20"/>
        <v>109241.76087095357</v>
      </c>
      <c r="ET31" s="108">
        <f t="shared" si="20"/>
        <v>108149.34326224403</v>
      </c>
      <c r="EU31" s="108">
        <f t="shared" si="20"/>
        <v>107067.84982962158</v>
      </c>
      <c r="EV31" s="108">
        <f t="shared" si="20"/>
        <v>105997.17133132537</v>
      </c>
      <c r="EW31" s="108">
        <f t="shared" si="20"/>
        <v>104937.19961801212</v>
      </c>
      <c r="EX31" s="108">
        <f t="shared" si="20"/>
        <v>103887.827621832</v>
      </c>
      <c r="EY31" s="108">
        <f t="shared" si="20"/>
        <v>102848.94934561367</v>
      </c>
      <c r="EZ31" s="108">
        <f t="shared" si="20"/>
        <v>101820.45985215754</v>
      </c>
      <c r="FA31" s="108">
        <f t="shared" si="20"/>
        <v>100802.25525363596</v>
      </c>
      <c r="FB31" s="108">
        <f t="shared" si="20"/>
        <v>99794.232701099594</v>
      </c>
      <c r="FC31" s="108">
        <f t="shared" si="20"/>
        <v>98796.290374088596</v>
      </c>
      <c r="FD31" s="108">
        <f t="shared" si="20"/>
        <v>97808.327470347707</v>
      </c>
      <c r="FE31" s="108">
        <f t="shared" si="20"/>
        <v>96830.244195644234</v>
      </c>
      <c r="FF31" s="108">
        <f t="shared" si="20"/>
        <v>95861.941753687788</v>
      </c>
      <c r="FG31" s="108">
        <f t="shared" si="20"/>
        <v>94903.322336150915</v>
      </c>
      <c r="FH31" s="108">
        <f t="shared" si="20"/>
        <v>93954.289112789411</v>
      </c>
      <c r="FI31" s="108">
        <f t="shared" si="20"/>
        <v>93014.746221661509</v>
      </c>
      <c r="FJ31" s="108">
        <f t="shared" si="20"/>
        <v>92084.598759444896</v>
      </c>
      <c r="FK31" s="108">
        <f t="shared" si="20"/>
        <v>91163.752771850443</v>
      </c>
      <c r="FL31" s="108">
        <f t="shared" si="20"/>
        <v>90252.115244131943</v>
      </c>
      <c r="FM31" s="108">
        <f t="shared" si="20"/>
        <v>89349.594091690626</v>
      </c>
      <c r="FN31" s="108">
        <f t="shared" si="20"/>
        <v>88456.098150773716</v>
      </c>
      <c r="FO31" s="108">
        <f t="shared" si="20"/>
        <v>87571.537169265983</v>
      </c>
      <c r="FP31" s="108">
        <f t="shared" si="20"/>
        <v>86695.821797573328</v>
      </c>
      <c r="FQ31" s="108">
        <f t="shared" si="20"/>
        <v>85828.863579597601</v>
      </c>
      <c r="FR31" s="108">
        <f t="shared" si="20"/>
        <v>84970.574943801621</v>
      </c>
      <c r="FS31" s="108">
        <f t="shared" si="20"/>
        <v>84120.869194363608</v>
      </c>
      <c r="FT31" s="108">
        <f t="shared" si="20"/>
        <v>83279.660502419967</v>
      </c>
      <c r="FU31" s="108">
        <f t="shared" ref="FU31:IF31" si="21">FT31*(1+$AO$35)</f>
        <v>82446.863897395771</v>
      </c>
      <c r="FV31" s="108">
        <f t="shared" si="21"/>
        <v>81622.395258421806</v>
      </c>
      <c r="FW31" s="108">
        <f t="shared" si="21"/>
        <v>80806.17130583759</v>
      </c>
      <c r="FX31" s="108">
        <f t="shared" si="21"/>
        <v>79998.109592779219</v>
      </c>
      <c r="FY31" s="108">
        <f t="shared" si="21"/>
        <v>79198.128496851423</v>
      </c>
      <c r="FZ31" s="108">
        <f t="shared" si="21"/>
        <v>78406.147211882912</v>
      </c>
      <c r="GA31" s="108">
        <f t="shared" si="21"/>
        <v>77622.085739764079</v>
      </c>
      <c r="GB31" s="108">
        <f t="shared" si="21"/>
        <v>76845.864882366441</v>
      </c>
      <c r="GC31" s="108">
        <f t="shared" si="21"/>
        <v>76077.406233542773</v>
      </c>
      <c r="GD31" s="108">
        <f t="shared" si="21"/>
        <v>75316.63217120734</v>
      </c>
      <c r="GE31" s="108">
        <f t="shared" si="21"/>
        <v>74563.46584949526</v>
      </c>
      <c r="GF31" s="108">
        <f t="shared" si="21"/>
        <v>73817.83119100031</v>
      </c>
      <c r="GG31" s="108">
        <f t="shared" si="21"/>
        <v>73079.65287909031</v>
      </c>
      <c r="GH31" s="108">
        <f t="shared" si="21"/>
        <v>72348.856350299407</v>
      </c>
      <c r="GI31" s="108">
        <f t="shared" si="21"/>
        <v>71625.367786796414</v>
      </c>
      <c r="GJ31" s="108">
        <f t="shared" si="21"/>
        <v>70909.11410892845</v>
      </c>
      <c r="GK31" s="108">
        <f t="shared" si="21"/>
        <v>70200.022967839162</v>
      </c>
      <c r="GL31" s="108">
        <f t="shared" si="21"/>
        <v>69498.022738160769</v>
      </c>
      <c r="GM31" s="108">
        <f t="shared" si="21"/>
        <v>68803.042510779167</v>
      </c>
      <c r="GN31" s="108">
        <f t="shared" si="21"/>
        <v>68115.012085671377</v>
      </c>
      <c r="GO31" s="108">
        <f t="shared" si="21"/>
        <v>67433.861964814656</v>
      </c>
      <c r="GP31" s="108">
        <f t="shared" si="21"/>
        <v>66759.523345166512</v>
      </c>
      <c r="GQ31" s="108">
        <f t="shared" si="21"/>
        <v>66091.928111714849</v>
      </c>
      <c r="GR31" s="108">
        <f t="shared" si="21"/>
        <v>65431.008830597697</v>
      </c>
      <c r="GS31" s="108">
        <f t="shared" si="21"/>
        <v>64776.698742291723</v>
      </c>
      <c r="GT31" s="108">
        <f t="shared" si="21"/>
        <v>64128.931754868805</v>
      </c>
      <c r="GU31" s="108">
        <f t="shared" si="21"/>
        <v>63487.642437320115</v>
      </c>
      <c r="GV31" s="108">
        <f t="shared" si="21"/>
        <v>62852.766012946915</v>
      </c>
      <c r="GW31" s="108">
        <f t="shared" si="21"/>
        <v>62224.238352817447</v>
      </c>
      <c r="GX31" s="108">
        <f t="shared" si="21"/>
        <v>61601.995969289273</v>
      </c>
      <c r="GY31" s="108">
        <f t="shared" si="21"/>
        <v>60985.976009596379</v>
      </c>
      <c r="GZ31" s="108">
        <f t="shared" si="21"/>
        <v>60376.116249500417</v>
      </c>
      <c r="HA31" s="108">
        <f t="shared" si="21"/>
        <v>59772.35508700541</v>
      </c>
      <c r="HB31" s="108">
        <f t="shared" si="21"/>
        <v>59174.631536135355</v>
      </c>
      <c r="HC31" s="108">
        <f t="shared" si="21"/>
        <v>58582.885220773998</v>
      </c>
      <c r="HD31" s="108">
        <f t="shared" si="21"/>
        <v>57997.056368566256</v>
      </c>
      <c r="HE31" s="108">
        <f t="shared" si="21"/>
        <v>57417.085804880597</v>
      </c>
      <c r="HF31" s="108">
        <f t="shared" si="21"/>
        <v>56842.914946831792</v>
      </c>
      <c r="HG31" s="108">
        <f t="shared" si="21"/>
        <v>56274.485797363472</v>
      </c>
      <c r="HH31" s="108">
        <f t="shared" si="21"/>
        <v>55711.740939389834</v>
      </c>
      <c r="HI31" s="108">
        <f t="shared" si="21"/>
        <v>55154.623529995937</v>
      </c>
      <c r="HJ31" s="108">
        <f t="shared" si="21"/>
        <v>54603.077294695977</v>
      </c>
      <c r="HK31" s="108">
        <f t="shared" si="21"/>
        <v>54057.04652174902</v>
      </c>
      <c r="HL31" s="108">
        <f t="shared" si="21"/>
        <v>53516.47605653153</v>
      </c>
      <c r="HM31" s="108">
        <f t="shared" si="21"/>
        <v>52981.311295966218</v>
      </c>
      <c r="HN31" s="108">
        <f t="shared" si="21"/>
        <v>52451.498183006552</v>
      </c>
      <c r="HO31" s="108">
        <f t="shared" si="21"/>
        <v>51926.983201176488</v>
      </c>
      <c r="HP31" s="108">
        <f t="shared" si="21"/>
        <v>51407.713369164725</v>
      </c>
      <c r="HQ31" s="108">
        <f t="shared" si="21"/>
        <v>50893.636235473081</v>
      </c>
      <c r="HR31" s="108">
        <f t="shared" si="21"/>
        <v>50384.699873118348</v>
      </c>
      <c r="HS31" s="108">
        <f t="shared" si="21"/>
        <v>49880.852874387165</v>
      </c>
      <c r="HT31" s="108">
        <f t="shared" si="21"/>
        <v>49382.044345643291</v>
      </c>
      <c r="HU31" s="108">
        <f t="shared" si="21"/>
        <v>48888.223902186859</v>
      </c>
      <c r="HV31" s="108">
        <f t="shared" si="21"/>
        <v>48399.341663164989</v>
      </c>
      <c r="HW31" s="108">
        <f t="shared" si="21"/>
        <v>47915.348246533336</v>
      </c>
      <c r="HX31" s="108">
        <f t="shared" si="21"/>
        <v>47436.194764068001</v>
      </c>
      <c r="HY31" s="108">
        <f t="shared" si="21"/>
        <v>46961.832816427319</v>
      </c>
      <c r="HZ31" s="108">
        <f t="shared" si="21"/>
        <v>46492.214488263045</v>
      </c>
      <c r="IA31" s="108">
        <f t="shared" si="21"/>
        <v>46027.292343380417</v>
      </c>
      <c r="IB31" s="108">
        <f t="shared" si="21"/>
        <v>45567.019419946613</v>
      </c>
      <c r="IC31" s="108">
        <f t="shared" si="21"/>
        <v>45111.349225747144</v>
      </c>
      <c r="ID31" s="108">
        <f t="shared" si="21"/>
        <v>44660.235733489673</v>
      </c>
      <c r="IE31" s="108">
        <f t="shared" si="21"/>
        <v>44213.633376154779</v>
      </c>
      <c r="IF31" s="108">
        <f t="shared" si="21"/>
        <v>43771.497042393232</v>
      </c>
      <c r="IG31" s="108">
        <f t="shared" ref="IG31:KR31" si="22">IF31*(1+$AO$35)</f>
        <v>43333.782071969297</v>
      </c>
      <c r="IH31" s="108">
        <f t="shared" si="22"/>
        <v>42900.444251249603</v>
      </c>
      <c r="II31" s="108">
        <f t="shared" si="22"/>
        <v>42471.439808737108</v>
      </c>
      <c r="IJ31" s="108">
        <f t="shared" si="22"/>
        <v>42046.725410649735</v>
      </c>
      <c r="IK31" s="108">
        <f t="shared" si="22"/>
        <v>41626.258156543234</v>
      </c>
      <c r="IL31" s="108">
        <f t="shared" si="22"/>
        <v>41209.995574977802</v>
      </c>
      <c r="IM31" s="108">
        <f t="shared" si="22"/>
        <v>40797.895619228024</v>
      </c>
      <c r="IN31" s="108">
        <f t="shared" si="22"/>
        <v>40389.916663035743</v>
      </c>
      <c r="IO31" s="108">
        <f t="shared" si="22"/>
        <v>39986.017496405388</v>
      </c>
      <c r="IP31" s="108">
        <f t="shared" si="22"/>
        <v>39586.157321441337</v>
      </c>
      <c r="IQ31" s="108">
        <f t="shared" si="22"/>
        <v>39190.295748226919</v>
      </c>
      <c r="IR31" s="108">
        <f t="shared" si="22"/>
        <v>38798.392790744649</v>
      </c>
      <c r="IS31" s="108">
        <f t="shared" si="22"/>
        <v>38410.408862837205</v>
      </c>
      <c r="IT31" s="108">
        <f t="shared" si="22"/>
        <v>38026.304774208831</v>
      </c>
      <c r="IU31" s="108">
        <f t="shared" si="22"/>
        <v>37646.041726466741</v>
      </c>
      <c r="IV31" s="108">
        <f t="shared" si="22"/>
        <v>37269.581309202076</v>
      </c>
      <c r="IW31" s="108">
        <f t="shared" si="22"/>
        <v>36896.885496110059</v>
      </c>
      <c r="IX31" s="108">
        <f t="shared" si="22"/>
        <v>36527.916641148957</v>
      </c>
      <c r="IY31" s="108">
        <f t="shared" si="22"/>
        <v>36162.637474737465</v>
      </c>
      <c r="IZ31" s="108">
        <f t="shared" si="22"/>
        <v>35801.011099990086</v>
      </c>
      <c r="JA31" s="108">
        <f t="shared" si="22"/>
        <v>35443.000988990185</v>
      </c>
      <c r="JB31" s="108">
        <f t="shared" si="22"/>
        <v>35088.570979100281</v>
      </c>
      <c r="JC31" s="108">
        <f t="shared" si="22"/>
        <v>34737.685269309281</v>
      </c>
      <c r="JD31" s="108">
        <f t="shared" si="22"/>
        <v>34390.308416616186</v>
      </c>
      <c r="JE31" s="108">
        <f t="shared" si="22"/>
        <v>34046.405332450027</v>
      </c>
      <c r="JF31" s="108">
        <f t="shared" si="22"/>
        <v>33705.941279125524</v>
      </c>
      <c r="JG31" s="108">
        <f t="shared" si="22"/>
        <v>33368.881866334268</v>
      </c>
      <c r="JH31" s="108">
        <f t="shared" si="22"/>
        <v>33035.193047670924</v>
      </c>
      <c r="JI31" s="108">
        <f t="shared" si="22"/>
        <v>32704.841117194213</v>
      </c>
      <c r="JJ31" s="108">
        <f t="shared" si="22"/>
        <v>32377.792706022272</v>
      </c>
      <c r="JK31" s="108">
        <f t="shared" si="22"/>
        <v>32054.01477896205</v>
      </c>
      <c r="JL31" s="108">
        <f t="shared" si="22"/>
        <v>31733.47463117243</v>
      </c>
      <c r="JM31" s="108">
        <f t="shared" si="22"/>
        <v>31416.139884860706</v>
      </c>
      <c r="JN31" s="108">
        <f t="shared" si="22"/>
        <v>31101.9784860121</v>
      </c>
      <c r="JO31" s="108">
        <f t="shared" si="22"/>
        <v>30790.95870115198</v>
      </c>
      <c r="JP31" s="108">
        <f t="shared" si="22"/>
        <v>30483.04911414046</v>
      </c>
      <c r="JQ31" s="108">
        <f t="shared" si="22"/>
        <v>30178.218622999055</v>
      </c>
      <c r="JR31" s="108">
        <f t="shared" si="22"/>
        <v>29876.436436769065</v>
      </c>
      <c r="JS31" s="108">
        <f t="shared" si="22"/>
        <v>29577.672072401376</v>
      </c>
      <c r="JT31" s="108">
        <f t="shared" si="22"/>
        <v>29281.895351677362</v>
      </c>
      <c r="JU31" s="108">
        <f t="shared" si="22"/>
        <v>28989.076398160589</v>
      </c>
      <c r="JV31" s="108">
        <f t="shared" si="22"/>
        <v>28699.185634178983</v>
      </c>
      <c r="JW31" s="108">
        <f t="shared" si="22"/>
        <v>28412.193777837194</v>
      </c>
      <c r="JX31" s="108">
        <f t="shared" si="22"/>
        <v>28128.071840058823</v>
      </c>
      <c r="JY31" s="108">
        <f t="shared" si="22"/>
        <v>27846.791121658236</v>
      </c>
      <c r="JZ31" s="108">
        <f t="shared" si="22"/>
        <v>27568.323210441653</v>
      </c>
      <c r="KA31" s="108">
        <f t="shared" si="22"/>
        <v>27292.639978337236</v>
      </c>
      <c r="KB31" s="108">
        <f t="shared" si="22"/>
        <v>27019.713578553863</v>
      </c>
      <c r="KC31" s="108">
        <f t="shared" si="22"/>
        <v>26749.516442768323</v>
      </c>
      <c r="KD31" s="108">
        <f t="shared" si="22"/>
        <v>26482.021278340639</v>
      </c>
      <c r="KE31" s="108">
        <f t="shared" si="22"/>
        <v>26217.20106555723</v>
      </c>
      <c r="KF31" s="108">
        <f t="shared" si="22"/>
        <v>25955.029054901657</v>
      </c>
      <c r="KG31" s="108">
        <f t="shared" si="22"/>
        <v>25695.47876435264</v>
      </c>
      <c r="KH31" s="108">
        <f t="shared" si="22"/>
        <v>25438.523976709112</v>
      </c>
      <c r="KI31" s="108">
        <f t="shared" si="22"/>
        <v>25184.138736942019</v>
      </c>
      <c r="KJ31" s="108">
        <f t="shared" si="22"/>
        <v>24932.2973495726</v>
      </c>
      <c r="KK31" s="108">
        <f t="shared" si="22"/>
        <v>24682.974376076872</v>
      </c>
      <c r="KL31" s="108">
        <f t="shared" si="22"/>
        <v>24436.144632316104</v>
      </c>
      <c r="KM31" s="108">
        <f t="shared" si="22"/>
        <v>24191.783185992943</v>
      </c>
      <c r="KN31" s="108">
        <f t="shared" si="22"/>
        <v>23949.865354133013</v>
      </c>
      <c r="KO31" s="108">
        <f t="shared" si="22"/>
        <v>23710.366700591683</v>
      </c>
      <c r="KP31" s="108">
        <f t="shared" si="22"/>
        <v>23473.263033585765</v>
      </c>
      <c r="KQ31" s="108">
        <f t="shared" si="22"/>
        <v>23238.530403249908</v>
      </c>
      <c r="KR31" s="108">
        <f t="shared" si="22"/>
        <v>23006.14509921741</v>
      </c>
      <c r="KS31" s="108">
        <f t="shared" ref="KS31:ND31" si="23">KR31*(1+$AO$35)</f>
        <v>22776.083648225234</v>
      </c>
      <c r="KT31" s="108">
        <f t="shared" si="23"/>
        <v>22548.322811742983</v>
      </c>
      <c r="KU31" s="108">
        <f t="shared" si="23"/>
        <v>22322.839583625551</v>
      </c>
      <c r="KV31" s="108">
        <f t="shared" si="23"/>
        <v>22099.611187789294</v>
      </c>
      <c r="KW31" s="108">
        <f t="shared" si="23"/>
        <v>21878.615075911403</v>
      </c>
      <c r="KX31" s="108">
        <f t="shared" si="23"/>
        <v>21659.828925152287</v>
      </c>
      <c r="KY31" s="108">
        <f t="shared" si="23"/>
        <v>21443.230635900763</v>
      </c>
      <c r="KZ31" s="108">
        <f t="shared" si="23"/>
        <v>21228.798329541754</v>
      </c>
      <c r="LA31" s="108">
        <f t="shared" si="23"/>
        <v>21016.510346246338</v>
      </c>
      <c r="LB31" s="108">
        <f t="shared" si="23"/>
        <v>20806.345242783875</v>
      </c>
      <c r="LC31" s="108">
        <f t="shared" si="23"/>
        <v>20598.281790356035</v>
      </c>
      <c r="LD31" s="108">
        <f t="shared" si="23"/>
        <v>20392.298972452474</v>
      </c>
      <c r="LE31" s="108">
        <f t="shared" si="23"/>
        <v>20188.37598272795</v>
      </c>
      <c r="LF31" s="108">
        <f t="shared" si="23"/>
        <v>19986.49222290067</v>
      </c>
      <c r="LG31" s="108">
        <f t="shared" si="23"/>
        <v>19786.627300671662</v>
      </c>
      <c r="LH31" s="108">
        <f t="shared" si="23"/>
        <v>19588.761027664947</v>
      </c>
      <c r="LI31" s="108">
        <f t="shared" si="23"/>
        <v>19392.873417388299</v>
      </c>
      <c r="LJ31" s="108">
        <f t="shared" si="23"/>
        <v>19198.944683214417</v>
      </c>
      <c r="LK31" s="108">
        <f t="shared" si="23"/>
        <v>19006.955236382273</v>
      </c>
      <c r="LL31" s="108">
        <f t="shared" si="23"/>
        <v>18816.885684018449</v>
      </c>
      <c r="LM31" s="108">
        <f t="shared" si="23"/>
        <v>18628.716827178265</v>
      </c>
      <c r="LN31" s="108">
        <f t="shared" si="23"/>
        <v>18442.429658906483</v>
      </c>
      <c r="LO31" s="108">
        <f t="shared" si="23"/>
        <v>18258.005362317417</v>
      </c>
      <c r="LP31" s="108">
        <f t="shared" si="23"/>
        <v>18075.425308694244</v>
      </c>
      <c r="LQ31" s="108">
        <f t="shared" si="23"/>
        <v>17894.671055607301</v>
      </c>
      <c r="LR31" s="108">
        <f t="shared" si="23"/>
        <v>17715.724345051229</v>
      </c>
      <c r="LS31" s="108">
        <f t="shared" si="23"/>
        <v>17538.567101600715</v>
      </c>
      <c r="LT31" s="108">
        <f t="shared" si="23"/>
        <v>17363.181430584707</v>
      </c>
      <c r="LU31" s="108">
        <f t="shared" si="23"/>
        <v>17189.549616278859</v>
      </c>
      <c r="LV31" s="108">
        <f t="shared" si="23"/>
        <v>17017.654120116069</v>
      </c>
      <c r="LW31" s="108">
        <f t="shared" si="23"/>
        <v>16847.47757891491</v>
      </c>
      <c r="LX31" s="108">
        <f t="shared" si="23"/>
        <v>16679.002803125761</v>
      </c>
      <c r="LY31" s="108">
        <f t="shared" si="23"/>
        <v>16512.212775094504</v>
      </c>
      <c r="LZ31" s="108">
        <f t="shared" si="23"/>
        <v>16347.090647343559</v>
      </c>
      <c r="MA31" s="108">
        <f t="shared" si="23"/>
        <v>16183.619740870123</v>
      </c>
      <c r="MB31" s="108">
        <f t="shared" si="23"/>
        <v>16021.783543461421</v>
      </c>
      <c r="MC31" s="108">
        <f t="shared" si="23"/>
        <v>15861.565708026807</v>
      </c>
      <c r="MD31" s="108">
        <f t="shared" si="23"/>
        <v>15702.950050946538</v>
      </c>
      <c r="ME31" s="108">
        <f t="shared" si="23"/>
        <v>15545.920550437073</v>
      </c>
      <c r="MF31" s="108">
        <f t="shared" si="23"/>
        <v>15390.461344932703</v>
      </c>
      <c r="MG31" s="108">
        <f t="shared" si="23"/>
        <v>15236.556731483375</v>
      </c>
      <c r="MH31" s="108">
        <f t="shared" si="23"/>
        <v>15084.191164168542</v>
      </c>
      <c r="MI31" s="108">
        <f t="shared" si="23"/>
        <v>14933.349252526856</v>
      </c>
      <c r="MJ31" s="108">
        <f t="shared" si="23"/>
        <v>14784.015760001586</v>
      </c>
      <c r="MK31" s="108">
        <f t="shared" si="23"/>
        <v>14636.17560240157</v>
      </c>
      <c r="ML31" s="108">
        <f t="shared" si="23"/>
        <v>14489.813846377554</v>
      </c>
      <c r="MM31" s="108">
        <f t="shared" si="23"/>
        <v>14344.915707913779</v>
      </c>
      <c r="MN31" s="108">
        <f t="shared" si="23"/>
        <v>14201.466550834641</v>
      </c>
      <c r="MO31" s="108">
        <f t="shared" si="23"/>
        <v>14059.451885326294</v>
      </c>
      <c r="MP31" s="108">
        <f t="shared" si="23"/>
        <v>13918.857366473032</v>
      </c>
      <c r="MQ31" s="108">
        <f t="shared" si="23"/>
        <v>13779.668792808301</v>
      </c>
      <c r="MR31" s="108">
        <f t="shared" si="23"/>
        <v>13641.872104880218</v>
      </c>
      <c r="MS31" s="108">
        <f t="shared" si="23"/>
        <v>13505.453383831416</v>
      </c>
      <c r="MT31" s="108">
        <f t="shared" si="23"/>
        <v>13370.398849993102</v>
      </c>
      <c r="MU31" s="108">
        <f t="shared" si="23"/>
        <v>13236.694861493172</v>
      </c>
      <c r="MV31" s="108">
        <f t="shared" si="23"/>
        <v>13104.32791287824</v>
      </c>
      <c r="MW31" s="108">
        <f t="shared" si="23"/>
        <v>12973.284633749457</v>
      </c>
      <c r="MX31" s="108">
        <f t="shared" si="23"/>
        <v>12843.551787411963</v>
      </c>
      <c r="MY31" s="108">
        <f t="shared" si="23"/>
        <v>12715.116269537844</v>
      </c>
      <c r="MZ31" s="108">
        <f t="shared" si="23"/>
        <v>12587.965106842466</v>
      </c>
      <c r="NA31" s="108">
        <f t="shared" si="23"/>
        <v>12462.085455774042</v>
      </c>
      <c r="NB31" s="108">
        <f t="shared" si="23"/>
        <v>12337.464601216301</v>
      </c>
      <c r="NC31" s="108">
        <f t="shared" si="23"/>
        <v>12214.089955204137</v>
      </c>
      <c r="ND31" s="108">
        <f t="shared" si="23"/>
        <v>12091.949055652096</v>
      </c>
      <c r="NE31" s="108">
        <f t="shared" ref="NE31:PP31" si="24">ND31*(1+$AO$35)</f>
        <v>11971.029565095574</v>
      </c>
      <c r="NF31" s="108">
        <f t="shared" si="24"/>
        <v>11851.319269444619</v>
      </c>
      <c r="NG31" s="108">
        <f t="shared" si="24"/>
        <v>11732.806076750172</v>
      </c>
      <c r="NH31" s="108">
        <f t="shared" si="24"/>
        <v>11615.47801598267</v>
      </c>
      <c r="NI31" s="108">
        <f t="shared" si="24"/>
        <v>11499.323235822843</v>
      </c>
      <c r="NJ31" s="108">
        <f t="shared" si="24"/>
        <v>11384.330003464614</v>
      </c>
      <c r="NK31" s="108">
        <f t="shared" si="24"/>
        <v>11270.486703429968</v>
      </c>
      <c r="NL31" s="108">
        <f t="shared" si="24"/>
        <v>11157.781836395669</v>
      </c>
      <c r="NM31" s="108">
        <f t="shared" si="24"/>
        <v>11046.204018031713</v>
      </c>
      <c r="NN31" s="108">
        <f t="shared" si="24"/>
        <v>10935.741977851396</v>
      </c>
      <c r="NO31" s="108">
        <f t="shared" si="24"/>
        <v>10826.384558072881</v>
      </c>
      <c r="NP31" s="108">
        <f t="shared" si="24"/>
        <v>10718.120712492153</v>
      </c>
      <c r="NQ31" s="108">
        <f t="shared" si="24"/>
        <v>10610.939505367231</v>
      </c>
      <c r="NR31" s="108">
        <f t="shared" si="24"/>
        <v>10504.830110313558</v>
      </c>
      <c r="NS31" s="108">
        <f t="shared" si="24"/>
        <v>10399.781809210423</v>
      </c>
      <c r="NT31" s="108">
        <f t="shared" si="24"/>
        <v>10295.783991118318</v>
      </c>
      <c r="NU31" s="108">
        <f t="shared" si="24"/>
        <v>10192.826151207135</v>
      </c>
      <c r="NV31" s="108">
        <f t="shared" si="24"/>
        <v>10090.897889695063</v>
      </c>
      <c r="NW31" s="108">
        <f t="shared" si="24"/>
        <v>9989.9889107981126</v>
      </c>
      <c r="NX31" s="108">
        <f t="shared" si="24"/>
        <v>9890.0890216901316</v>
      </c>
      <c r="NY31" s="108">
        <f t="shared" si="24"/>
        <v>9791.1881314732309</v>
      </c>
      <c r="NZ31" s="108">
        <f t="shared" si="24"/>
        <v>9693.2762501584984</v>
      </c>
      <c r="OA31" s="108">
        <f t="shared" si="24"/>
        <v>9596.3434876569136</v>
      </c>
      <c r="OB31" s="108">
        <f t="shared" si="24"/>
        <v>9500.3800527803451</v>
      </c>
      <c r="OC31" s="108">
        <f t="shared" si="24"/>
        <v>9405.3762522525412</v>
      </c>
      <c r="OD31" s="108">
        <f t="shared" si="24"/>
        <v>9311.3224897300151</v>
      </c>
      <c r="OE31" s="108">
        <f t="shared" si="24"/>
        <v>9218.2092648327143</v>
      </c>
      <c r="OF31" s="108">
        <f t="shared" si="24"/>
        <v>9126.0271721843874</v>
      </c>
      <c r="OG31" s="108">
        <f t="shared" si="24"/>
        <v>9034.7669004625441</v>
      </c>
      <c r="OH31" s="108">
        <f t="shared" si="24"/>
        <v>8944.4192314579177</v>
      </c>
      <c r="OI31" s="108">
        <f t="shared" si="24"/>
        <v>8854.975039143339</v>
      </c>
      <c r="OJ31" s="108">
        <f t="shared" si="24"/>
        <v>8766.4252887519051</v>
      </c>
      <c r="OK31" s="108">
        <f t="shared" si="24"/>
        <v>8678.7610358643851</v>
      </c>
      <c r="OL31" s="108">
        <f t="shared" si="24"/>
        <v>8591.973425505741</v>
      </c>
      <c r="OM31" s="108">
        <f t="shared" si="24"/>
        <v>8506.0536912506832</v>
      </c>
      <c r="ON31" s="108">
        <f t="shared" si="24"/>
        <v>8420.9931543381754</v>
      </c>
      <c r="OO31" s="108">
        <f t="shared" si="24"/>
        <v>8336.7832227947929</v>
      </c>
      <c r="OP31" s="108">
        <f t="shared" si="24"/>
        <v>8253.4153905668445</v>
      </c>
      <c r="OQ31" s="108">
        <f t="shared" si="24"/>
        <v>8170.8812366611755</v>
      </c>
      <c r="OR31" s="108">
        <f t="shared" si="24"/>
        <v>8089.1724242945638</v>
      </c>
      <c r="OS31" s="108">
        <f t="shared" si="24"/>
        <v>8008.2807000516177</v>
      </c>
      <c r="OT31" s="108">
        <f t="shared" si="24"/>
        <v>7928.1978930511013</v>
      </c>
      <c r="OU31" s="108">
        <f t="shared" si="24"/>
        <v>7848.9159141205901</v>
      </c>
      <c r="OV31" s="108">
        <f t="shared" si="24"/>
        <v>7770.426754979384</v>
      </c>
      <c r="OW31" s="108">
        <f t="shared" si="24"/>
        <v>7692.7224874295898</v>
      </c>
      <c r="OX31" s="108">
        <f t="shared" si="24"/>
        <v>7615.7952625552934</v>
      </c>
      <c r="OY31" s="108">
        <f t="shared" si="24"/>
        <v>7539.6373099297407</v>
      </c>
      <c r="OZ31" s="108">
        <f t="shared" si="24"/>
        <v>7464.2409368304434</v>
      </c>
      <c r="PA31" s="108">
        <f t="shared" si="24"/>
        <v>7389.5985274621389</v>
      </c>
      <c r="PB31" s="108">
        <f t="shared" si="24"/>
        <v>7315.7025421875178</v>
      </c>
      <c r="PC31" s="108">
        <f t="shared" si="24"/>
        <v>7242.5455167656428</v>
      </c>
      <c r="PD31" s="108">
        <f t="shared" si="24"/>
        <v>7170.120061597986</v>
      </c>
      <c r="PE31" s="108">
        <f t="shared" si="24"/>
        <v>7098.4188609820058</v>
      </c>
      <c r="PF31" s="108">
        <f t="shared" si="24"/>
        <v>7027.4346723721856</v>
      </c>
      <c r="PG31" s="108">
        <f t="shared" si="24"/>
        <v>6957.1603256484641</v>
      </c>
      <c r="PH31" s="108">
        <f t="shared" si="24"/>
        <v>6887.588722391979</v>
      </c>
      <c r="PI31" s="108">
        <f t="shared" si="24"/>
        <v>6818.7128351680594</v>
      </c>
      <c r="PJ31" s="108">
        <f t="shared" si="24"/>
        <v>6750.5257068163792</v>
      </c>
      <c r="PK31" s="108">
        <f t="shared" si="24"/>
        <v>6683.0204497482155</v>
      </c>
      <c r="PL31" s="108">
        <f t="shared" si="24"/>
        <v>6616.1902452507329</v>
      </c>
      <c r="PM31" s="108">
        <f t="shared" si="24"/>
        <v>6550.0283427982258</v>
      </c>
      <c r="PN31" s="108">
        <f t="shared" si="24"/>
        <v>6484.5280593702437</v>
      </c>
      <c r="PO31" s="108">
        <f t="shared" si="24"/>
        <v>6419.6827787765415</v>
      </c>
      <c r="PP31" s="108">
        <f t="shared" si="24"/>
        <v>6355.4859509887756</v>
      </c>
      <c r="PQ31" s="108">
        <f t="shared" ref="PQ31:SB31" si="25">PP31*(1+$AO$35)</f>
        <v>6291.9310914788875</v>
      </c>
      <c r="PR31" s="108">
        <f t="shared" si="25"/>
        <v>6229.0117805640984</v>
      </c>
      <c r="PS31" s="108">
        <f t="shared" si="25"/>
        <v>6166.7216627584576</v>
      </c>
      <c r="PT31" s="108">
        <f t="shared" si="25"/>
        <v>6105.0544461308727</v>
      </c>
      <c r="PU31" s="108">
        <f t="shared" si="25"/>
        <v>6044.0039016695637</v>
      </c>
      <c r="PV31" s="108">
        <f t="shared" si="25"/>
        <v>5983.563862652868</v>
      </c>
      <c r="PW31" s="108">
        <f t="shared" si="25"/>
        <v>5923.7282240263394</v>
      </c>
      <c r="PX31" s="108">
        <f t="shared" si="25"/>
        <v>5864.4909417860763</v>
      </c>
      <c r="PY31" s="108">
        <f t="shared" si="25"/>
        <v>5805.8460323682157</v>
      </c>
      <c r="PZ31" s="108">
        <f t="shared" si="25"/>
        <v>5747.7875720445336</v>
      </c>
      <c r="QA31" s="108">
        <f t="shared" si="25"/>
        <v>5690.3096963240878</v>
      </c>
      <c r="QB31" s="108">
        <f t="shared" si="25"/>
        <v>5633.4065993608465</v>
      </c>
      <c r="QC31" s="108">
        <f t="shared" si="25"/>
        <v>5577.0725333672381</v>
      </c>
      <c r="QD31" s="108">
        <f t="shared" si="25"/>
        <v>5521.301808033566</v>
      </c>
      <c r="QE31" s="108">
        <f t="shared" si="25"/>
        <v>5466.0887899532299</v>
      </c>
      <c r="QF31" s="108">
        <f t="shared" si="25"/>
        <v>5411.4279020536978</v>
      </c>
      <c r="QG31" s="108">
        <f t="shared" si="25"/>
        <v>5357.3136230331611</v>
      </c>
      <c r="QH31" s="108">
        <f t="shared" si="25"/>
        <v>5303.7404868028298</v>
      </c>
      <c r="QI31" s="108">
        <f t="shared" si="25"/>
        <v>5250.703081934801</v>
      </c>
      <c r="QJ31" s="108">
        <f t="shared" si="25"/>
        <v>5198.196051115453</v>
      </c>
      <c r="QK31" s="108">
        <f t="shared" si="25"/>
        <v>5146.2140906042987</v>
      </c>
      <c r="QL31" s="108">
        <f t="shared" si="25"/>
        <v>5094.7519496982559</v>
      </c>
      <c r="QM31" s="108">
        <f t="shared" si="25"/>
        <v>5043.8044302012731</v>
      </c>
      <c r="QN31" s="108">
        <f t="shared" si="25"/>
        <v>4993.3663858992604</v>
      </c>
      <c r="QO31" s="108">
        <f t="shared" si="25"/>
        <v>4943.4327220402674</v>
      </c>
      <c r="QP31" s="108">
        <f t="shared" si="25"/>
        <v>4893.9983948198651</v>
      </c>
      <c r="QQ31" s="108">
        <f t="shared" si="25"/>
        <v>4845.0584108716666</v>
      </c>
      <c r="QR31" s="108">
        <f t="shared" si="25"/>
        <v>4796.60782676295</v>
      </c>
      <c r="QS31" s="108">
        <f t="shared" si="25"/>
        <v>4748.6417484953208</v>
      </c>
      <c r="QT31" s="108">
        <f t="shared" si="25"/>
        <v>4701.1553310103673</v>
      </c>
      <c r="QU31" s="108">
        <f t="shared" si="25"/>
        <v>4654.1437777002639</v>
      </c>
      <c r="QV31" s="108">
        <f t="shared" si="25"/>
        <v>4607.6023399232608</v>
      </c>
      <c r="QW31" s="108">
        <f t="shared" si="25"/>
        <v>4561.5263165240285</v>
      </c>
      <c r="QX31" s="108">
        <f t="shared" si="25"/>
        <v>4515.9110533587882</v>
      </c>
      <c r="QY31" s="108">
        <f t="shared" si="25"/>
        <v>4470.7519428251999</v>
      </c>
      <c r="QZ31" s="108">
        <f t="shared" si="25"/>
        <v>4426.0444233969474</v>
      </c>
      <c r="RA31" s="108">
        <f t="shared" si="25"/>
        <v>4381.7839791629776</v>
      </c>
      <c r="RB31" s="108">
        <f t="shared" si="25"/>
        <v>4337.9661393713477</v>
      </c>
      <c r="RC31" s="108">
        <f t="shared" si="25"/>
        <v>4294.5864779776339</v>
      </c>
      <c r="RD31" s="108">
        <f t="shared" si="25"/>
        <v>4251.6406131978574</v>
      </c>
      <c r="RE31" s="108">
        <f t="shared" si="25"/>
        <v>4209.1242070658791</v>
      </c>
      <c r="RF31" s="108">
        <f t="shared" si="25"/>
        <v>4167.03296499522</v>
      </c>
      <c r="RG31" s="108">
        <f t="shared" si="25"/>
        <v>4125.3626353452673</v>
      </c>
      <c r="RH31" s="108">
        <f t="shared" si="25"/>
        <v>4084.1090089918148</v>
      </c>
      <c r="RI31" s="108">
        <f t="shared" si="25"/>
        <v>4043.2679189018968</v>
      </c>
      <c r="RJ31" s="108">
        <f t="shared" si="25"/>
        <v>4002.8352397128779</v>
      </c>
      <c r="RK31" s="108">
        <f t="shared" si="25"/>
        <v>3962.806887315749</v>
      </c>
      <c r="RL31" s="108">
        <f t="shared" si="25"/>
        <v>3923.1788184425914</v>
      </c>
      <c r="RM31" s="108">
        <f t="shared" si="25"/>
        <v>3883.9470302581653</v>
      </c>
      <c r="RN31" s="108">
        <f t="shared" si="25"/>
        <v>3845.1075599555838</v>
      </c>
      <c r="RO31" s="108">
        <f t="shared" si="25"/>
        <v>3806.6564843560282</v>
      </c>
      <c r="RP31" s="108">
        <f t="shared" si="25"/>
        <v>3768.589919512468</v>
      </c>
      <c r="RQ31" s="108">
        <f t="shared" si="25"/>
        <v>3730.9040203173431</v>
      </c>
      <c r="RR31" s="108">
        <f t="shared" si="25"/>
        <v>3693.5949801141696</v>
      </c>
      <c r="RS31" s="108">
        <f t="shared" si="25"/>
        <v>3656.6590303130279</v>
      </c>
      <c r="RT31" s="108">
        <f t="shared" si="25"/>
        <v>3620.0924400098975</v>
      </c>
      <c r="RU31" s="108">
        <f t="shared" si="25"/>
        <v>3583.8915156097983</v>
      </c>
      <c r="RV31" s="108">
        <f t="shared" si="25"/>
        <v>3548.0526004537001</v>
      </c>
      <c r="RW31" s="108">
        <f t="shared" si="25"/>
        <v>3512.5720744491632</v>
      </c>
      <c r="RX31" s="108">
        <f t="shared" si="25"/>
        <v>3477.4463537046718</v>
      </c>
      <c r="RY31" s="108">
        <f t="shared" si="25"/>
        <v>3442.671890167625</v>
      </c>
      <c r="RZ31" s="108">
        <f t="shared" si="25"/>
        <v>3408.2451712659486</v>
      </c>
      <c r="SA31" s="108">
        <f t="shared" si="25"/>
        <v>3374.1627195532892</v>
      </c>
      <c r="SB31" s="108">
        <f t="shared" si="25"/>
        <v>3340.4210923577562</v>
      </c>
      <c r="SC31" s="108">
        <f t="shared" ref="SC31:UN31" si="26">SB31*(1+$AO$35)</f>
        <v>3307.0168814341787</v>
      </c>
      <c r="SD31" s="108">
        <f t="shared" si="26"/>
        <v>3273.9467126198369</v>
      </c>
      <c r="SE31" s="108">
        <f t="shared" si="26"/>
        <v>3241.2072454936388</v>
      </c>
      <c r="SF31" s="108">
        <f t="shared" si="26"/>
        <v>3208.7951730387022</v>
      </c>
      <c r="SG31" s="108">
        <f t="shared" si="26"/>
        <v>3176.7072213083152</v>
      </c>
      <c r="SH31" s="108">
        <f t="shared" si="26"/>
        <v>3144.9401490952318</v>
      </c>
      <c r="SI31" s="108">
        <f t="shared" si="26"/>
        <v>3113.4907476042795</v>
      </c>
      <c r="SJ31" s="108">
        <f t="shared" si="26"/>
        <v>3082.3558401282367</v>
      </c>
      <c r="SK31" s="108">
        <f t="shared" si="26"/>
        <v>3051.5322817269544</v>
      </c>
      <c r="SL31" s="108">
        <f t="shared" si="26"/>
        <v>3021.0169589096849</v>
      </c>
      <c r="SM31" s="108">
        <f t="shared" si="26"/>
        <v>2990.806789320588</v>
      </c>
      <c r="SN31" s="108">
        <f t="shared" si="26"/>
        <v>2960.898721427382</v>
      </c>
      <c r="SO31" s="108">
        <f t="shared" si="26"/>
        <v>2931.2897342131082</v>
      </c>
      <c r="SP31" s="108">
        <f t="shared" si="26"/>
        <v>2901.976836870977</v>
      </c>
      <c r="SQ31" s="108">
        <f t="shared" si="26"/>
        <v>2872.9570685022672</v>
      </c>
      <c r="SR31" s="108">
        <f t="shared" si="26"/>
        <v>2844.2274978172445</v>
      </c>
      <c r="SS31" s="108">
        <f t="shared" si="26"/>
        <v>2815.785222839072</v>
      </c>
      <c r="ST31" s="108">
        <f t="shared" si="26"/>
        <v>2787.6273706106813</v>
      </c>
      <c r="SU31" s="108">
        <f t="shared" si="26"/>
        <v>2759.7510969045743</v>
      </c>
      <c r="SV31" s="108">
        <f t="shared" si="26"/>
        <v>2732.1535859355286</v>
      </c>
      <c r="SW31" s="108">
        <f t="shared" si="26"/>
        <v>2704.8320500761733</v>
      </c>
      <c r="SX31" s="108">
        <f t="shared" si="26"/>
        <v>2677.7837295754116</v>
      </c>
      <c r="SY31" s="108">
        <f t="shared" si="26"/>
        <v>2651.0058922796575</v>
      </c>
      <c r="SZ31" s="108">
        <f t="shared" si="26"/>
        <v>2624.4958333568607</v>
      </c>
      <c r="TA31" s="108">
        <f t="shared" si="26"/>
        <v>2598.2508750232919</v>
      </c>
      <c r="TB31" s="108">
        <f t="shared" si="26"/>
        <v>2572.2683662730587</v>
      </c>
      <c r="TC31" s="108">
        <f t="shared" si="26"/>
        <v>2546.5456826103282</v>
      </c>
      <c r="TD31" s="108">
        <f t="shared" si="26"/>
        <v>2521.0802257842247</v>
      </c>
      <c r="TE31" s="108">
        <f t="shared" si="26"/>
        <v>2495.8694235263824</v>
      </c>
      <c r="TF31" s="108">
        <f t="shared" si="26"/>
        <v>2470.9107292911185</v>
      </c>
      <c r="TG31" s="108">
        <f t="shared" si="26"/>
        <v>2446.2016219982074</v>
      </c>
      <c r="TH31" s="108">
        <f t="shared" si="26"/>
        <v>2421.7396057782253</v>
      </c>
      <c r="TI31" s="108">
        <f t="shared" si="26"/>
        <v>2397.5222097204428</v>
      </c>
      <c r="TJ31" s="108">
        <f t="shared" si="26"/>
        <v>2373.5469876232382</v>
      </c>
      <c r="TK31" s="108">
        <f t="shared" si="26"/>
        <v>2349.8115177470058</v>
      </c>
      <c r="TL31" s="108">
        <f t="shared" si="26"/>
        <v>2326.3134025695358</v>
      </c>
      <c r="TM31" s="108">
        <f t="shared" si="26"/>
        <v>2303.0502685438405</v>
      </c>
      <c r="TN31" s="108">
        <f t="shared" si="26"/>
        <v>2280.019765858402</v>
      </c>
      <c r="TO31" s="108">
        <f t="shared" si="26"/>
        <v>2257.2195681998178</v>
      </c>
      <c r="TP31" s="108">
        <f t="shared" si="26"/>
        <v>2234.6473725178198</v>
      </c>
      <c r="TQ31" s="108">
        <f t="shared" si="26"/>
        <v>2212.3008987926414</v>
      </c>
      <c r="TR31" s="108">
        <f t="shared" si="26"/>
        <v>2190.1778898047151</v>
      </c>
      <c r="TS31" s="108">
        <f t="shared" si="26"/>
        <v>2168.2761109066678</v>
      </c>
      <c r="TT31" s="108">
        <f t="shared" si="26"/>
        <v>2146.5933497976011</v>
      </c>
      <c r="TU31" s="108">
        <f t="shared" si="26"/>
        <v>2125.1274162996251</v>
      </c>
      <c r="TV31" s="108">
        <f t="shared" si="26"/>
        <v>2103.8761421366289</v>
      </c>
      <c r="TW31" s="108">
        <f t="shared" si="26"/>
        <v>2082.8373807152625</v>
      </c>
      <c r="TX31" s="108">
        <f t="shared" si="26"/>
        <v>2062.0090069081098</v>
      </c>
      <c r="TY31" s="108">
        <f t="shared" si="26"/>
        <v>2041.3889168390288</v>
      </c>
      <c r="TZ31" s="108">
        <f t="shared" si="26"/>
        <v>2020.9750276706384</v>
      </c>
      <c r="UA31" s="108">
        <f t="shared" si="26"/>
        <v>2000.7652773939319</v>
      </c>
      <c r="UB31" s="108">
        <f t="shared" si="26"/>
        <v>1980.7576246199926</v>
      </c>
      <c r="UC31" s="108">
        <f t="shared" si="26"/>
        <v>1960.9500483737927</v>
      </c>
      <c r="UD31" s="108">
        <f t="shared" si="26"/>
        <v>1941.3405478900547</v>
      </c>
      <c r="UE31" s="108">
        <f t="shared" si="26"/>
        <v>1921.9271424111541</v>
      </c>
      <c r="UF31" s="108">
        <f t="shared" si="26"/>
        <v>1902.7078709870425</v>
      </c>
      <c r="UG31" s="108">
        <f t="shared" si="26"/>
        <v>1883.680792277172</v>
      </c>
      <c r="UH31" s="108">
        <f t="shared" si="26"/>
        <v>1864.8439843544004</v>
      </c>
      <c r="UI31" s="108">
        <f t="shared" si="26"/>
        <v>1846.1955445108563</v>
      </c>
      <c r="UJ31" s="108">
        <f t="shared" si="26"/>
        <v>1827.7335890657478</v>
      </c>
      <c r="UK31" s="108">
        <f t="shared" si="26"/>
        <v>1809.4562531750903</v>
      </c>
      <c r="UL31" s="108">
        <f t="shared" si="26"/>
        <v>1791.3616906433394</v>
      </c>
      <c r="UM31" s="108">
        <f t="shared" si="26"/>
        <v>1773.4480737369061</v>
      </c>
      <c r="UN31" s="108">
        <f t="shared" si="26"/>
        <v>1755.713592999537</v>
      </c>
      <c r="UO31" s="108">
        <f t="shared" ref="UO31:WZ31" si="27">UN31*(1+$AO$35)</f>
        <v>1738.1564570695416</v>
      </c>
      <c r="UP31" s="108">
        <f t="shared" si="27"/>
        <v>1720.7748924988462</v>
      </c>
      <c r="UQ31" s="108">
        <f t="shared" si="27"/>
        <v>1703.5671435738577</v>
      </c>
      <c r="UR31" s="108">
        <f t="shared" si="27"/>
        <v>1686.5314721381192</v>
      </c>
      <c r="US31" s="108">
        <f t="shared" si="27"/>
        <v>1669.6661574167379</v>
      </c>
      <c r="UT31" s="108">
        <f t="shared" si="27"/>
        <v>1652.9694958425705</v>
      </c>
      <c r="UU31" s="108">
        <f t="shared" si="27"/>
        <v>1636.4398008841447</v>
      </c>
      <c r="UV31" s="108">
        <f t="shared" si="27"/>
        <v>1620.0754028753033</v>
      </c>
      <c r="UW31" s="108">
        <f t="shared" si="27"/>
        <v>1603.8746488465504</v>
      </c>
      <c r="UX31" s="108">
        <f t="shared" si="27"/>
        <v>1587.8359023580849</v>
      </c>
      <c r="UY31" s="108">
        <f t="shared" si="27"/>
        <v>1571.957543334504</v>
      </c>
      <c r="UZ31" s="108">
        <f t="shared" si="27"/>
        <v>1556.237967901159</v>
      </c>
      <c r="VA31" s="108">
        <f t="shared" si="27"/>
        <v>1540.6755882221473</v>
      </c>
      <c r="VB31" s="108">
        <f t="shared" si="27"/>
        <v>1525.2688323399259</v>
      </c>
      <c r="VC31" s="108">
        <f t="shared" si="27"/>
        <v>1510.0161440165266</v>
      </c>
      <c r="VD31" s="108">
        <f t="shared" si="27"/>
        <v>1494.9159825763613</v>
      </c>
      <c r="VE31" s="108">
        <f t="shared" si="27"/>
        <v>1479.9668227505977</v>
      </c>
      <c r="VF31" s="108">
        <f t="shared" si="27"/>
        <v>1465.1671545230918</v>
      </c>
      <c r="VG31" s="108">
        <f t="shared" si="27"/>
        <v>1450.5154829778608</v>
      </c>
      <c r="VH31" s="108">
        <f t="shared" si="27"/>
        <v>1436.0103281480822</v>
      </c>
      <c r="VI31" s="108">
        <f t="shared" si="27"/>
        <v>1421.6502248666013</v>
      </c>
      <c r="VJ31" s="108">
        <f t="shared" si="27"/>
        <v>1407.4337226179352</v>
      </c>
      <c r="VK31" s="108">
        <f t="shared" si="27"/>
        <v>1393.3593853917559</v>
      </c>
      <c r="VL31" s="108">
        <f t="shared" si="27"/>
        <v>1379.4257915378384</v>
      </c>
      <c r="VM31" s="108">
        <f t="shared" si="27"/>
        <v>1365.63153362246</v>
      </c>
      <c r="VN31" s="108">
        <f t="shared" si="27"/>
        <v>1351.9752182862353</v>
      </c>
      <c r="VO31" s="108">
        <f t="shared" si="27"/>
        <v>1338.4554661033728</v>
      </c>
      <c r="VP31" s="108">
        <f t="shared" si="27"/>
        <v>1325.0709114423391</v>
      </c>
      <c r="VQ31" s="108">
        <f t="shared" si="27"/>
        <v>1311.8202023279157</v>
      </c>
      <c r="VR31" s="108">
        <f t="shared" si="27"/>
        <v>1298.7020003046366</v>
      </c>
      <c r="VS31" s="108">
        <f t="shared" si="27"/>
        <v>1285.7149803015902</v>
      </c>
      <c r="VT31" s="108">
        <f t="shared" si="27"/>
        <v>1272.8578304985742</v>
      </c>
      <c r="VU31" s="108">
        <f t="shared" si="27"/>
        <v>1260.1292521935884</v>
      </c>
      <c r="VV31" s="108">
        <f t="shared" si="27"/>
        <v>1247.5279596716525</v>
      </c>
      <c r="VW31" s="108">
        <f t="shared" si="27"/>
        <v>1235.052680074936</v>
      </c>
      <c r="VX31" s="108">
        <f t="shared" si="27"/>
        <v>1222.7021532741867</v>
      </c>
      <c r="VY31" s="108">
        <f t="shared" si="27"/>
        <v>1210.4751317414448</v>
      </c>
      <c r="VZ31" s="108">
        <f t="shared" si="27"/>
        <v>1198.3703804240304</v>
      </c>
      <c r="WA31" s="108">
        <f t="shared" si="27"/>
        <v>1186.38667661979</v>
      </c>
      <c r="WB31" s="108">
        <f t="shared" si="27"/>
        <v>1174.5228098535922</v>
      </c>
      <c r="WC31" s="108">
        <f t="shared" si="27"/>
        <v>1162.7775817550562</v>
      </c>
      <c r="WD31" s="108">
        <f t="shared" si="27"/>
        <v>1151.1498059375056</v>
      </c>
      <c r="WE31" s="108">
        <f t="shared" si="27"/>
        <v>1139.6383078781305</v>
      </c>
      <c r="WF31" s="108">
        <f t="shared" si="27"/>
        <v>1128.2419247993491</v>
      </c>
      <c r="WG31" s="108">
        <f t="shared" si="27"/>
        <v>1116.9595055513557</v>
      </c>
      <c r="WH31" s="108">
        <f t="shared" si="27"/>
        <v>1105.7899104958422</v>
      </c>
      <c r="WI31" s="108">
        <f t="shared" si="27"/>
        <v>1094.7320113908838</v>
      </c>
      <c r="WJ31" s="108">
        <f t="shared" si="27"/>
        <v>1083.7846912769751</v>
      </c>
      <c r="WK31" s="108">
        <f t="shared" si="27"/>
        <v>1072.9468443642054</v>
      </c>
      <c r="WL31" s="108">
        <f t="shared" si="27"/>
        <v>1062.2173759205634</v>
      </c>
      <c r="WM31" s="108">
        <f t="shared" si="27"/>
        <v>1051.5952021613577</v>
      </c>
      <c r="WN31" s="108">
        <f t="shared" si="27"/>
        <v>1041.0792501397441</v>
      </c>
      <c r="WO31" s="108">
        <f t="shared" si="27"/>
        <v>1030.6684576383466</v>
      </c>
      <c r="WP31" s="108">
        <f t="shared" si="27"/>
        <v>1020.361773061963</v>
      </c>
      <c r="WQ31" s="108">
        <f t="shared" si="27"/>
        <v>1010.1581553313434</v>
      </c>
      <c r="WR31" s="108">
        <f t="shared" si="27"/>
        <v>1000.05657377803</v>
      </c>
      <c r="WS31" s="108">
        <f t="shared" si="27"/>
        <v>990.05600804024971</v>
      </c>
      <c r="WT31" s="108">
        <f t="shared" si="27"/>
        <v>980.15544795984715</v>
      </c>
      <c r="WU31" s="108">
        <f t="shared" si="27"/>
        <v>970.35389348024864</v>
      </c>
      <c r="WV31" s="108">
        <f t="shared" si="27"/>
        <v>960.65035454544613</v>
      </c>
      <c r="WW31" s="108">
        <f t="shared" si="27"/>
        <v>951.04385099999172</v>
      </c>
      <c r="WX31" s="108">
        <f t="shared" si="27"/>
        <v>941.53341248999175</v>
      </c>
      <c r="WY31" s="108">
        <f t="shared" si="27"/>
        <v>932.11807836509183</v>
      </c>
      <c r="WZ31" s="108">
        <f t="shared" si="27"/>
        <v>922.79689758144093</v>
      </c>
      <c r="XA31" s="108">
        <f t="shared" ref="XA31:ZL31" si="28">WZ31*(1+$AO$35)</f>
        <v>913.56892860562652</v>
      </c>
      <c r="XB31" s="108">
        <f t="shared" si="28"/>
        <v>904.43323931957025</v>
      </c>
      <c r="XC31" s="108">
        <f t="shared" si="28"/>
        <v>895.38890692637449</v>
      </c>
      <c r="XD31" s="108">
        <f t="shared" si="28"/>
        <v>886.43501785711078</v>
      </c>
      <c r="XE31" s="108">
        <f t="shared" si="28"/>
        <v>877.57066767853962</v>
      </c>
      <c r="XF31" s="108">
        <f t="shared" si="28"/>
        <v>868.79496100175425</v>
      </c>
      <c r="XG31" s="108">
        <f t="shared" si="28"/>
        <v>860.10701139173671</v>
      </c>
      <c r="XH31" s="108">
        <f t="shared" si="28"/>
        <v>851.50594127781937</v>
      </c>
      <c r="XI31" s="108">
        <f t="shared" si="28"/>
        <v>842.99088186504116</v>
      </c>
      <c r="XJ31" s="108">
        <f t="shared" si="28"/>
        <v>834.5609730463907</v>
      </c>
      <c r="XK31" s="108">
        <f t="shared" si="28"/>
        <v>826.21536331592677</v>
      </c>
      <c r="XL31" s="108">
        <f t="shared" si="28"/>
        <v>817.95320968276746</v>
      </c>
      <c r="XM31" s="108">
        <f t="shared" si="28"/>
        <v>809.77367758593982</v>
      </c>
      <c r="XN31" s="108">
        <f t="shared" si="28"/>
        <v>801.67594081008042</v>
      </c>
      <c r="XO31" s="108">
        <f t="shared" si="28"/>
        <v>793.65918140197959</v>
      </c>
      <c r="XP31" s="108">
        <f t="shared" si="28"/>
        <v>785.72258958795976</v>
      </c>
      <c r="XQ31" s="108">
        <f t="shared" si="28"/>
        <v>777.86536369208011</v>
      </c>
      <c r="XR31" s="108">
        <f t="shared" si="28"/>
        <v>770.0867100551593</v>
      </c>
      <c r="XS31" s="108">
        <f t="shared" si="28"/>
        <v>762.38584295460771</v>
      </c>
      <c r="XT31" s="108">
        <f t="shared" si="28"/>
        <v>754.76198452506162</v>
      </c>
      <c r="XU31" s="108">
        <f t="shared" si="28"/>
        <v>747.21436467981096</v>
      </c>
      <c r="XV31" s="108">
        <f t="shared" si="28"/>
        <v>739.74222103301281</v>
      </c>
      <c r="XW31" s="108">
        <f t="shared" si="28"/>
        <v>732.34479882268272</v>
      </c>
      <c r="XX31" s="108">
        <f t="shared" si="28"/>
        <v>725.02135083445592</v>
      </c>
      <c r="XY31" s="108">
        <f t="shared" si="28"/>
        <v>717.77113732611133</v>
      </c>
      <c r="XZ31" s="108">
        <f t="shared" si="28"/>
        <v>710.59342595285023</v>
      </c>
      <c r="YA31" s="108">
        <f t="shared" si="28"/>
        <v>703.48749169332177</v>
      </c>
      <c r="YB31" s="108">
        <f t="shared" si="28"/>
        <v>696.4526167763886</v>
      </c>
      <c r="YC31" s="108">
        <f t="shared" si="28"/>
        <v>689.4880906086247</v>
      </c>
      <c r="YD31" s="108">
        <f t="shared" si="28"/>
        <v>682.5932097025385</v>
      </c>
      <c r="YE31" s="108">
        <f t="shared" si="28"/>
        <v>675.76727760551307</v>
      </c>
      <c r="YF31" s="108">
        <f t="shared" si="28"/>
        <v>669.00960482945788</v>
      </c>
      <c r="YG31" s="108">
        <f t="shared" si="28"/>
        <v>662.31950878116334</v>
      </c>
      <c r="YH31" s="108">
        <f t="shared" si="28"/>
        <v>655.69631369335173</v>
      </c>
      <c r="YI31" s="108">
        <f t="shared" si="28"/>
        <v>649.13935055641821</v>
      </c>
      <c r="YJ31" s="108">
        <f t="shared" si="28"/>
        <v>642.64795705085407</v>
      </c>
      <c r="YK31" s="108">
        <f t="shared" si="28"/>
        <v>636.22147748034558</v>
      </c>
      <c r="YL31" s="108">
        <f t="shared" si="28"/>
        <v>629.85926270554216</v>
      </c>
      <c r="YM31" s="108">
        <f t="shared" si="28"/>
        <v>623.56067007848674</v>
      </c>
      <c r="YN31" s="108">
        <f t="shared" si="28"/>
        <v>617.32506337770189</v>
      </c>
      <c r="YO31" s="108">
        <f t="shared" si="28"/>
        <v>611.15181274392489</v>
      </c>
      <c r="YP31" s="108">
        <f t="shared" si="28"/>
        <v>605.04029461648565</v>
      </c>
      <c r="YQ31" s="108">
        <f t="shared" si="28"/>
        <v>598.98989167032084</v>
      </c>
      <c r="YR31" s="108">
        <f t="shared" si="28"/>
        <v>592.99999275361768</v>
      </c>
      <c r="YS31" s="108">
        <f t="shared" si="28"/>
        <v>587.06999282608149</v>
      </c>
      <c r="YT31" s="108">
        <f t="shared" si="28"/>
        <v>581.19929289782067</v>
      </c>
      <c r="YU31" s="108">
        <f t="shared" si="28"/>
        <v>575.38729996884251</v>
      </c>
      <c r="YV31" s="108">
        <f t="shared" si="28"/>
        <v>569.63342696915413</v>
      </c>
      <c r="YW31" s="108">
        <f t="shared" si="28"/>
        <v>563.9370926994626</v>
      </c>
      <c r="YX31" s="108">
        <f t="shared" si="28"/>
        <v>558.29772177246798</v>
      </c>
      <c r="YY31" s="108">
        <f t="shared" si="28"/>
        <v>552.71474455474333</v>
      </c>
      <c r="YZ31" s="108">
        <f t="shared" si="28"/>
        <v>547.18759710919585</v>
      </c>
      <c r="ZA31" s="108">
        <f t="shared" si="28"/>
        <v>541.71572113810385</v>
      </c>
      <c r="ZB31" s="108">
        <f t="shared" si="28"/>
        <v>536.29856392672275</v>
      </c>
      <c r="ZC31" s="108">
        <f t="shared" si="28"/>
        <v>530.93557828745554</v>
      </c>
      <c r="ZD31" s="108">
        <f t="shared" si="28"/>
        <v>525.62622250458094</v>
      </c>
      <c r="ZE31" s="108">
        <f t="shared" si="28"/>
        <v>520.36996027953512</v>
      </c>
      <c r="ZF31" s="108">
        <f t="shared" si="28"/>
        <v>515.16626067673974</v>
      </c>
      <c r="ZG31" s="108">
        <f t="shared" si="28"/>
        <v>510.01459806997235</v>
      </c>
      <c r="ZH31" s="108">
        <f t="shared" si="28"/>
        <v>504.91445208927263</v>
      </c>
      <c r="ZI31" s="108">
        <f t="shared" si="28"/>
        <v>499.86530756837988</v>
      </c>
      <c r="ZJ31" s="108">
        <f t="shared" si="28"/>
        <v>494.86665449269606</v>
      </c>
      <c r="ZK31" s="108">
        <f t="shared" si="28"/>
        <v>489.91798794776912</v>
      </c>
      <c r="ZL31" s="108">
        <f t="shared" si="28"/>
        <v>485.01880806829143</v>
      </c>
      <c r="ZM31" s="108">
        <f t="shared" ref="ZM31:ABT31" si="29">ZL31*(1+$AO$35)</f>
        <v>480.16861998760851</v>
      </c>
      <c r="ZN31" s="108">
        <f t="shared" si="29"/>
        <v>475.36693378773242</v>
      </c>
      <c r="ZO31" s="108">
        <f t="shared" si="29"/>
        <v>470.61326444985508</v>
      </c>
      <c r="ZP31" s="108">
        <f t="shared" si="29"/>
        <v>465.90713180535653</v>
      </c>
      <c r="ZQ31" s="108">
        <f t="shared" si="29"/>
        <v>461.24806048730295</v>
      </c>
      <c r="ZR31" s="108">
        <f t="shared" si="29"/>
        <v>456.63557988242991</v>
      </c>
      <c r="ZS31" s="108">
        <f t="shared" si="29"/>
        <v>452.0692240836056</v>
      </c>
      <c r="ZT31" s="108">
        <f t="shared" si="29"/>
        <v>447.54853184276953</v>
      </c>
      <c r="ZU31" s="108">
        <f t="shared" si="29"/>
        <v>443.07304652434186</v>
      </c>
      <c r="ZV31" s="108">
        <f t="shared" si="29"/>
        <v>438.64231605909845</v>
      </c>
      <c r="ZW31" s="108">
        <f t="shared" si="29"/>
        <v>434.25589289850745</v>
      </c>
      <c r="ZX31" s="108">
        <f t="shared" si="29"/>
        <v>429.9133339695224</v>
      </c>
      <c r="ZY31" s="108">
        <f t="shared" si="29"/>
        <v>425.61420062982717</v>
      </c>
      <c r="ZZ31" s="108">
        <f t="shared" si="29"/>
        <v>421.3580586235289</v>
      </c>
      <c r="AAA31" s="108">
        <f t="shared" si="29"/>
        <v>417.1444780372936</v>
      </c>
      <c r="AAB31" s="108">
        <f t="shared" si="29"/>
        <v>412.97303325692064</v>
      </c>
      <c r="AAC31" s="108">
        <f t="shared" si="29"/>
        <v>408.84330292435141</v>
      </c>
      <c r="AAD31" s="108">
        <f t="shared" si="29"/>
        <v>404.7548698951079</v>
      </c>
      <c r="AAE31" s="108">
        <f t="shared" si="29"/>
        <v>400.70732119615684</v>
      </c>
      <c r="AAF31" s="108">
        <f t="shared" si="29"/>
        <v>396.70024798419524</v>
      </c>
      <c r="AAG31" s="108">
        <f t="shared" si="29"/>
        <v>392.73324550435331</v>
      </c>
      <c r="AAH31" s="108">
        <f t="shared" si="29"/>
        <v>388.80591304930977</v>
      </c>
      <c r="AAI31" s="108">
        <f t="shared" si="29"/>
        <v>384.91785391881666</v>
      </c>
      <c r="AAJ31" s="108">
        <f t="shared" si="29"/>
        <v>381.06867537962847</v>
      </c>
      <c r="AAK31" s="108">
        <f t="shared" si="29"/>
        <v>377.25798862583218</v>
      </c>
      <c r="AAL31" s="108">
        <f t="shared" si="29"/>
        <v>373.48540873957387</v>
      </c>
      <c r="AAM31" s="108">
        <f t="shared" si="29"/>
        <v>369.75055465217815</v>
      </c>
      <c r="AAN31" s="108">
        <f t="shared" si="29"/>
        <v>366.05304910565638</v>
      </c>
      <c r="AAO31" s="108">
        <f t="shared" si="29"/>
        <v>362.39251861459979</v>
      </c>
      <c r="AAP31" s="108">
        <f t="shared" si="29"/>
        <v>358.76859342845381</v>
      </c>
      <c r="AAQ31" s="108">
        <f t="shared" si="29"/>
        <v>355.18090749416928</v>
      </c>
      <c r="AAR31" s="108">
        <f t="shared" si="29"/>
        <v>351.6290984192276</v>
      </c>
      <c r="AAS31" s="108">
        <f t="shared" si="29"/>
        <v>348.11280743503534</v>
      </c>
      <c r="AAT31" s="108">
        <f t="shared" si="29"/>
        <v>344.63167936068498</v>
      </c>
      <c r="AAU31" s="108">
        <f t="shared" si="29"/>
        <v>341.18536256707813</v>
      </c>
      <c r="AAV31" s="108">
        <f t="shared" si="29"/>
        <v>337.77350894140733</v>
      </c>
      <c r="AAW31" s="108">
        <f t="shared" si="29"/>
        <v>334.39577385199323</v>
      </c>
      <c r="AAX31" s="108">
        <f t="shared" si="29"/>
        <v>331.05181611347331</v>
      </c>
      <c r="AAY31" s="108">
        <f t="shared" si="29"/>
        <v>327.74129795233858</v>
      </c>
      <c r="AAZ31" s="108">
        <f t="shared" si="29"/>
        <v>324.46388497281521</v>
      </c>
      <c r="ABA31" s="108">
        <f t="shared" si="29"/>
        <v>321.21924612308703</v>
      </c>
      <c r="ABB31" s="108">
        <f t="shared" si="29"/>
        <v>318.00705366185616</v>
      </c>
      <c r="ABC31" s="108">
        <f t="shared" si="29"/>
        <v>314.82698312523758</v>
      </c>
      <c r="ABD31" s="108">
        <f t="shared" si="29"/>
        <v>311.6787132939852</v>
      </c>
      <c r="ABE31" s="108">
        <f t="shared" si="29"/>
        <v>308.56192616104533</v>
      </c>
      <c r="ABF31" s="108">
        <f t="shared" si="29"/>
        <v>305.47630689943486</v>
      </c>
      <c r="ABG31" s="108">
        <f t="shared" si="29"/>
        <v>302.4215438304405</v>
      </c>
      <c r="ABH31" s="108">
        <f t="shared" si="29"/>
        <v>299.3973283921361</v>
      </c>
      <c r="ABI31" s="108">
        <f t="shared" si="29"/>
        <v>296.40335510821473</v>
      </c>
      <c r="ABJ31" s="108">
        <f t="shared" si="29"/>
        <v>293.43932155713259</v>
      </c>
      <c r="ABK31" s="108">
        <f t="shared" si="29"/>
        <v>290.50492834156125</v>
      </c>
      <c r="ABL31" s="108">
        <f t="shared" si="29"/>
        <v>287.59987905814563</v>
      </c>
      <c r="ABM31" s="108">
        <f t="shared" si="29"/>
        <v>284.7238802675642</v>
      </c>
      <c r="ABN31" s="108">
        <f t="shared" si="29"/>
        <v>281.87664146488856</v>
      </c>
      <c r="ABO31" s="108">
        <f t="shared" si="29"/>
        <v>279.05787505023966</v>
      </c>
      <c r="ABP31" s="108">
        <f t="shared" si="29"/>
        <v>276.26729629973727</v>
      </c>
      <c r="ABQ31" s="108">
        <f t="shared" si="29"/>
        <v>273.50462333673988</v>
      </c>
      <c r="ABR31" s="108">
        <f t="shared" si="29"/>
        <v>270.76957710337246</v>
      </c>
      <c r="ABS31" s="108">
        <f t="shared" si="29"/>
        <v>268.06188133233871</v>
      </c>
      <c r="ABT31" s="108">
        <f t="shared" si="29"/>
        <v>265.38126251901531</v>
      </c>
    </row>
    <row r="32" spans="2:748" x14ac:dyDescent="0.25">
      <c r="B32" s="133" t="s">
        <v>32</v>
      </c>
      <c r="C32" s="135">
        <v>10250</v>
      </c>
      <c r="D32" s="135">
        <v>10285</v>
      </c>
      <c r="E32" s="135">
        <v>10322</v>
      </c>
      <c r="F32" s="135">
        <v>10356</v>
      </c>
      <c r="G32" s="135">
        <v>10393</v>
      </c>
      <c r="H32" s="135">
        <v>10447</v>
      </c>
      <c r="I32" s="135">
        <v>10501</v>
      </c>
      <c r="J32" s="135">
        <v>10552</v>
      </c>
      <c r="K32" s="135">
        <v>10603</v>
      </c>
      <c r="L32" s="135">
        <v>10637</v>
      </c>
      <c r="M32" s="135">
        <v>10674</v>
      </c>
      <c r="N32" s="135"/>
      <c r="O32" s="135"/>
      <c r="P32" s="135"/>
      <c r="Q32" s="135"/>
      <c r="R32" s="135"/>
      <c r="S32" s="135"/>
      <c r="T32" s="135"/>
      <c r="U32" s="135"/>
      <c r="V32" s="135"/>
      <c r="W32" s="135"/>
      <c r="X32" s="135">
        <v>10180</v>
      </c>
      <c r="Y32" s="135">
        <v>10304</v>
      </c>
      <c r="Z32" s="135">
        <v>10473</v>
      </c>
      <c r="AA32" s="135">
        <f>Z32*1.02</f>
        <v>10682.460000000001</v>
      </c>
      <c r="AB32" s="135">
        <f t="shared" ref="AB32:AU32" si="30">AA32*1.02</f>
        <v>10896.109200000001</v>
      </c>
      <c r="AC32" s="135">
        <f t="shared" si="30"/>
        <v>11114.031384000002</v>
      </c>
      <c r="AD32" s="135">
        <f t="shared" si="30"/>
        <v>11336.312011680002</v>
      </c>
      <c r="AE32" s="135">
        <f t="shared" si="30"/>
        <v>11563.038251913602</v>
      </c>
      <c r="AF32" s="135">
        <f t="shared" si="30"/>
        <v>11794.299016951874</v>
      </c>
      <c r="AG32" s="135">
        <f t="shared" si="30"/>
        <v>12030.184997290911</v>
      </c>
      <c r="AH32" s="135">
        <f t="shared" si="30"/>
        <v>12270.788697236731</v>
      </c>
      <c r="AI32" s="135">
        <f t="shared" si="30"/>
        <v>12516.204471181465</v>
      </c>
      <c r="AJ32" s="135">
        <f t="shared" si="30"/>
        <v>12766.528560605095</v>
      </c>
      <c r="AK32" s="135">
        <f t="shared" si="30"/>
        <v>13021.859131817197</v>
      </c>
      <c r="AL32" s="135">
        <f t="shared" si="30"/>
        <v>13282.296314453541</v>
      </c>
      <c r="AM32" s="135">
        <f t="shared" si="30"/>
        <v>13547.942240742612</v>
      </c>
      <c r="AN32" s="135">
        <f t="shared" si="30"/>
        <v>13818.901085557465</v>
      </c>
      <c r="AO32" s="135">
        <f t="shared" si="30"/>
        <v>14095.279107268614</v>
      </c>
      <c r="AP32" s="135">
        <f t="shared" si="30"/>
        <v>14377.184689413987</v>
      </c>
      <c r="AQ32" s="135">
        <f t="shared" si="30"/>
        <v>14664.728383202268</v>
      </c>
      <c r="AR32" s="135">
        <f t="shared" si="30"/>
        <v>14958.022950866312</v>
      </c>
      <c r="AS32" s="135">
        <f t="shared" si="30"/>
        <v>15257.183409883639</v>
      </c>
      <c r="AT32" s="135">
        <f t="shared" si="30"/>
        <v>15562.327078081313</v>
      </c>
      <c r="AU32" s="135">
        <f t="shared" si="30"/>
        <v>15873.573619642939</v>
      </c>
    </row>
    <row r="33" spans="2:47" x14ac:dyDescent="0.25">
      <c r="B33" s="96" t="s">
        <v>31</v>
      </c>
      <c r="C33" s="110">
        <f t="shared" ref="C33:K33" si="31">C31/C32</f>
        <v>0.35960975609756096</v>
      </c>
      <c r="D33" s="110">
        <f t="shared" si="31"/>
        <v>0.68478366553232861</v>
      </c>
      <c r="E33" s="110">
        <f t="shared" si="31"/>
        <v>0.82890912613834533</v>
      </c>
      <c r="F33" s="110">
        <f t="shared" si="31"/>
        <v>1.2154306682116647</v>
      </c>
      <c r="G33" s="110">
        <f t="shared" si="31"/>
        <v>0.94996632348696242</v>
      </c>
      <c r="H33" s="110">
        <f t="shared" si="31"/>
        <v>1.2529912893653681</v>
      </c>
      <c r="I33" s="110">
        <f t="shared" si="31"/>
        <v>1.6572707361203696</v>
      </c>
      <c r="J33" s="110">
        <f t="shared" si="31"/>
        <v>2.0742987111448068</v>
      </c>
      <c r="K33" s="110">
        <f t="shared" si="31"/>
        <v>1.5323021786286899</v>
      </c>
      <c r="L33" s="110">
        <f t="shared" ref="L33:M33" si="32">L31/L32</f>
        <v>1.7076243301682805</v>
      </c>
      <c r="M33" s="110">
        <f t="shared" si="32"/>
        <v>1.984916619823871</v>
      </c>
      <c r="N33" s="110"/>
      <c r="O33" s="110"/>
      <c r="P33" s="110"/>
      <c r="Q33" s="110"/>
      <c r="R33" s="110"/>
      <c r="S33" s="110"/>
      <c r="T33" s="110"/>
      <c r="U33" s="110"/>
      <c r="V33" s="110"/>
      <c r="W33" s="110"/>
      <c r="X33" s="110">
        <f>X31/X32</f>
        <v>-0.26738703339882119</v>
      </c>
      <c r="Y33" s="110">
        <f>Y31/Y32</f>
        <v>2.9527368012422359</v>
      </c>
      <c r="Z33" s="110">
        <f>Z31/Z32</f>
        <v>5.6572137878353859</v>
      </c>
      <c r="AA33" s="110">
        <f t="shared" ref="AA33:AU33" si="33">AA31/AA32</f>
        <v>7.0562398548648897</v>
      </c>
      <c r="AB33" s="110">
        <f t="shared" si="33"/>
        <v>7.3071954895606215</v>
      </c>
      <c r="AC33" s="110">
        <f t="shared" si="33"/>
        <v>8.350810238901845</v>
      </c>
      <c r="AD33" s="110">
        <f t="shared" si="33"/>
        <v>9.5153321520715242</v>
      </c>
      <c r="AE33" s="110">
        <f t="shared" si="33"/>
        <v>10.813483621349009</v>
      </c>
      <c r="AF33" s="110">
        <f t="shared" si="33"/>
        <v>11.973024940508076</v>
      </c>
      <c r="AG33" s="110">
        <f t="shared" si="33"/>
        <v>13.24932875632823</v>
      </c>
      <c r="AH33" s="110">
        <f t="shared" si="33"/>
        <v>14.653691880970444</v>
      </c>
      <c r="AI33" s="110">
        <f t="shared" si="33"/>
        <v>16.198474247457089</v>
      </c>
      <c r="AJ33" s="110">
        <f t="shared" si="33"/>
        <v>17.897196945582522</v>
      </c>
      <c r="AK33" s="110">
        <f t="shared" si="33"/>
        <v>19.764649158756804</v>
      </c>
      <c r="AL33" s="110">
        <f t="shared" si="33"/>
        <v>19.183335948205134</v>
      </c>
      <c r="AM33" s="110">
        <f t="shared" si="33"/>
        <v>19.183335948205134</v>
      </c>
      <c r="AN33" s="110">
        <f t="shared" si="33"/>
        <v>19.18333594820513</v>
      </c>
      <c r="AO33" s="110">
        <f t="shared" si="33"/>
        <v>19.183335948205134</v>
      </c>
      <c r="AP33" s="110">
        <f t="shared" si="33"/>
        <v>19.183335948205134</v>
      </c>
      <c r="AQ33" s="110">
        <f t="shared" si="33"/>
        <v>19.183335948205134</v>
      </c>
      <c r="AR33" s="110">
        <f t="shared" si="33"/>
        <v>19.183335948205134</v>
      </c>
      <c r="AS33" s="110">
        <f t="shared" si="33"/>
        <v>19.183335948205134</v>
      </c>
      <c r="AT33" s="110">
        <f t="shared" si="33"/>
        <v>19.18333594820513</v>
      </c>
      <c r="AU33" s="110">
        <f t="shared" si="33"/>
        <v>19.183335948205134</v>
      </c>
    </row>
    <row r="34" spans="2:47" x14ac:dyDescent="0.25">
      <c r="C34" s="135"/>
      <c r="D34" s="135"/>
      <c r="E34" s="135"/>
      <c r="F34" s="135"/>
      <c r="G34" s="135"/>
      <c r="H34" s="135"/>
      <c r="I34" s="135"/>
      <c r="J34" s="135"/>
      <c r="K34" s="135"/>
      <c r="L34" s="135"/>
      <c r="M34" s="135"/>
      <c r="N34" s="135"/>
      <c r="O34" s="135"/>
      <c r="P34" s="135"/>
      <c r="Q34" s="135"/>
      <c r="R34" s="135"/>
      <c r="S34" s="135"/>
      <c r="T34" s="135"/>
      <c r="U34" s="135"/>
      <c r="V34" s="135"/>
      <c r="W34" s="135"/>
      <c r="X34" s="135"/>
      <c r="Y34" s="135"/>
      <c r="Z34" s="140"/>
      <c r="AA34" s="135"/>
      <c r="AB34" s="135"/>
    </row>
    <row r="35" spans="2:47" x14ac:dyDescent="0.25">
      <c r="C35" s="135"/>
      <c r="D35" s="135"/>
      <c r="E35" s="135"/>
      <c r="F35" s="135"/>
      <c r="G35" s="135"/>
      <c r="H35" s="135"/>
      <c r="I35" s="135"/>
      <c r="J35" s="135"/>
      <c r="K35" s="135"/>
      <c r="L35" s="135"/>
      <c r="M35" s="144"/>
      <c r="N35" s="135"/>
      <c r="O35" s="135"/>
      <c r="P35" s="135"/>
      <c r="Q35" s="135"/>
      <c r="R35" s="135"/>
      <c r="S35" s="135"/>
      <c r="T35" s="135"/>
      <c r="U35" s="135"/>
      <c r="V35" s="135"/>
      <c r="W35" s="135"/>
      <c r="X35" s="135"/>
      <c r="Y35" s="135"/>
      <c r="Z35" s="135"/>
      <c r="AA35" s="135"/>
      <c r="AB35" s="135"/>
      <c r="AN35" s="96" t="s">
        <v>570</v>
      </c>
      <c r="AO35" s="140">
        <v>-0.01</v>
      </c>
    </row>
    <row r="36" spans="2:47" x14ac:dyDescent="0.25">
      <c r="B36" s="96" t="s">
        <v>62</v>
      </c>
      <c r="C36" s="111">
        <f t="shared" ref="C36:K36" si="34">C19/C17</f>
        <v>0.46771306082067871</v>
      </c>
      <c r="D36" s="111">
        <f t="shared" si="34"/>
        <v>0.48376654785203488</v>
      </c>
      <c r="E36" s="111">
        <f t="shared" si="34"/>
        <v>0.47567495789157344</v>
      </c>
      <c r="F36" s="111">
        <f t="shared" si="34"/>
        <v>0.45544566106342044</v>
      </c>
      <c r="G36" s="111">
        <f t="shared" si="34"/>
        <v>0.49318624269954575</v>
      </c>
      <c r="H36" s="111">
        <f t="shared" si="34"/>
        <v>0.50137521371564497</v>
      </c>
      <c r="I36" s="111">
        <f t="shared" si="34"/>
        <v>0.49031640829069029</v>
      </c>
      <c r="J36" s="111">
        <f t="shared" si="34"/>
        <v>0.47339077276987307</v>
      </c>
      <c r="K36" s="111">
        <f t="shared" si="34"/>
        <v>0.50550855351487467</v>
      </c>
      <c r="L36" s="111">
        <f t="shared" ref="L36:M36" si="35">L19/L17</f>
        <v>0.51813931855314788</v>
      </c>
      <c r="M36" s="111">
        <f t="shared" si="35"/>
        <v>0.50785096215220149</v>
      </c>
      <c r="N36" s="111"/>
      <c r="O36" s="111"/>
      <c r="P36" s="111"/>
      <c r="Q36" s="111"/>
      <c r="R36" s="111"/>
      <c r="S36" s="111"/>
      <c r="T36" s="111"/>
      <c r="U36" s="111"/>
      <c r="V36" s="111"/>
      <c r="W36" s="111"/>
      <c r="X36" s="111">
        <f>X19/X17</f>
        <v>0.43805339865326287</v>
      </c>
      <c r="Y36" s="111">
        <f>Y19/Y17</f>
        <v>0.46982088955000567</v>
      </c>
      <c r="Z36" s="111">
        <f>Z19/Z17</f>
        <v>0.48854393464156787</v>
      </c>
      <c r="AA36" s="135"/>
      <c r="AB36" s="135"/>
      <c r="AN36" s="133" t="s">
        <v>398</v>
      </c>
      <c r="AO36" s="140">
        <v>0.06</v>
      </c>
    </row>
    <row r="37" spans="2:47" x14ac:dyDescent="0.25">
      <c r="B37" s="96" t="s">
        <v>24</v>
      </c>
      <c r="C37" s="111">
        <f t="shared" ref="C37" si="36">C25/C17</f>
        <v>0.4302281756937138</v>
      </c>
      <c r="D37" s="165">
        <f t="shared" ref="D37:K37" si="37">D26/D17</f>
        <v>5.7157527365812637E-2</v>
      </c>
      <c r="E37" s="165">
        <f t="shared" si="37"/>
        <v>7.8192377850618167E-2</v>
      </c>
      <c r="F37" s="165">
        <f t="shared" si="37"/>
        <v>7.771782938438819E-2</v>
      </c>
      <c r="G37" s="165">
        <f t="shared" si="37"/>
        <v>0.10680817511321374</v>
      </c>
      <c r="H37" s="165">
        <f t="shared" si="37"/>
        <v>9.9150543665569649E-2</v>
      </c>
      <c r="I37" s="165">
        <f t="shared" si="37"/>
        <v>0.1095879202150091</v>
      </c>
      <c r="J37" s="165">
        <f t="shared" si="37"/>
        <v>0.1129068330919315</v>
      </c>
      <c r="K37" s="165">
        <f t="shared" si="37"/>
        <v>0.11823315153500742</v>
      </c>
      <c r="L37" s="165">
        <f>L26/L17</f>
        <v>0.11431586981669867</v>
      </c>
      <c r="M37" s="165">
        <f>M26/M17</f>
        <v>9.6698100117112273E-2</v>
      </c>
      <c r="N37" s="111"/>
      <c r="O37" s="111"/>
      <c r="P37" s="111"/>
      <c r="Q37" s="111"/>
      <c r="R37" s="111"/>
      <c r="S37" s="111"/>
      <c r="T37" s="111"/>
      <c r="U37" s="111"/>
      <c r="V37" s="111"/>
      <c r="W37" s="111"/>
      <c r="X37" s="111">
        <f>X25/X17</f>
        <v>0.4142238167410206</v>
      </c>
      <c r="Y37" s="111">
        <f>Y25/Y17</f>
        <v>0.40570648155397238</v>
      </c>
      <c r="Z37" s="111">
        <f>Z25/Z17</f>
        <v>0.38102448589956406</v>
      </c>
      <c r="AA37" s="135"/>
      <c r="AB37" s="135"/>
      <c r="AN37" s="133" t="s">
        <v>92</v>
      </c>
      <c r="AO37" s="143">
        <f>NPV(AO36,AB31:ABT31)+AA31+AA49</f>
        <v>3606284.7677298952</v>
      </c>
    </row>
    <row r="38" spans="2:47" x14ac:dyDescent="0.25">
      <c r="B38" s="96" t="s">
        <v>29</v>
      </c>
      <c r="C38" s="111">
        <f t="shared" ref="C38:K38" si="38">C31/C17</f>
        <v>2.8942037406366306E-2</v>
      </c>
      <c r="D38" s="165">
        <f t="shared" si="38"/>
        <v>5.2409903038330742E-2</v>
      </c>
      <c r="E38" s="165">
        <f t="shared" si="38"/>
        <v>5.9797460215399452E-2</v>
      </c>
      <c r="F38" s="165">
        <f t="shared" si="38"/>
        <v>7.4058166285206603E-2</v>
      </c>
      <c r="G38" s="165">
        <f t="shared" si="38"/>
        <v>6.8891168282012097E-2</v>
      </c>
      <c r="H38" s="165">
        <f t="shared" si="38"/>
        <v>8.8459693060408032E-2</v>
      </c>
      <c r="I38" s="165">
        <f t="shared" si="38"/>
        <v>0.10953756679695613</v>
      </c>
      <c r="J38" s="165">
        <f t="shared" si="38"/>
        <v>0.11655448581409218</v>
      </c>
      <c r="K38" s="165">
        <f t="shared" si="38"/>
        <v>0.10437022618795248</v>
      </c>
      <c r="L38" s="165">
        <f t="shared" ref="L38:M38" si="39">L31/L17</f>
        <v>0.10831117100571251</v>
      </c>
      <c r="M38" s="165">
        <f t="shared" si="39"/>
        <v>0.11759514677885763</v>
      </c>
      <c r="N38" s="111"/>
      <c r="O38" s="111"/>
      <c r="P38" s="111"/>
      <c r="Q38" s="111"/>
      <c r="R38" s="111"/>
      <c r="S38" s="111"/>
      <c r="T38" s="111"/>
      <c r="U38" s="111"/>
      <c r="V38" s="111"/>
      <c r="W38" s="111"/>
      <c r="X38" s="111">
        <f>X31/X17</f>
        <v>-5.2958950004183018E-3</v>
      </c>
      <c r="Y38" s="111">
        <f>Y31/Y17</f>
        <v>5.2932835755978319E-2</v>
      </c>
      <c r="Z38" s="111">
        <f>Z31/Z17</f>
        <v>9.2871171971866534E-2</v>
      </c>
      <c r="AA38" s="144">
        <f t="shared" ref="AA38:AB38" si="40">AA31/AA17</f>
        <v>0.10642431361696961</v>
      </c>
      <c r="AB38" s="144">
        <f t="shared" si="40"/>
        <v>0.10449093152051235</v>
      </c>
      <c r="AC38" s="144">
        <f>+AB38+0.006</f>
        <v>0.11049093152051236</v>
      </c>
      <c r="AD38" s="144">
        <f t="shared" ref="AD38:AE38" si="41">+AC38+0.006</f>
        <v>0.11649093152051236</v>
      </c>
      <c r="AE38" s="144">
        <f t="shared" si="41"/>
        <v>0.12249093152051237</v>
      </c>
      <c r="AF38" s="144">
        <f>+AE38+0.003</f>
        <v>0.12549093152051236</v>
      </c>
      <c r="AG38" s="144">
        <f t="shared" ref="AG38:AK38" si="42">+AF38+0.003</f>
        <v>0.12849093152051236</v>
      </c>
      <c r="AH38" s="144">
        <f t="shared" si="42"/>
        <v>0.13149093152051236</v>
      </c>
      <c r="AI38" s="144">
        <f t="shared" si="42"/>
        <v>0.13449093152051236</v>
      </c>
      <c r="AJ38" s="144">
        <f t="shared" si="42"/>
        <v>0.13749093152051237</v>
      </c>
      <c r="AK38" s="144">
        <f t="shared" si="42"/>
        <v>0.14049093152051237</v>
      </c>
      <c r="AN38" s="133" t="s">
        <v>400</v>
      </c>
      <c r="AO38" s="138">
        <f>AO37/Main!I5</f>
        <v>337.85692034194261</v>
      </c>
    </row>
    <row r="39" spans="2:47" x14ac:dyDescent="0.25">
      <c r="B39" s="96" t="s">
        <v>30</v>
      </c>
      <c r="C39" s="111">
        <f t="shared" ref="C39:L39" si="43">-C29/C28</f>
        <v>0.22991017237193492</v>
      </c>
      <c r="D39" s="111">
        <f t="shared" si="43"/>
        <v>0.1074970249900833</v>
      </c>
      <c r="E39" s="111">
        <f t="shared" si="43"/>
        <v>0.18951513659857247</v>
      </c>
      <c r="F39" s="111">
        <f t="shared" si="43"/>
        <v>0.22373228116323249</v>
      </c>
      <c r="G39" s="111">
        <f t="shared" si="43"/>
        <v>0.19656473850419778</v>
      </c>
      <c r="H39" s="111">
        <f t="shared" si="43"/>
        <v>0.11544768776648082</v>
      </c>
      <c r="I39" s="111">
        <f t="shared" si="43"/>
        <v>0.15019127349337472</v>
      </c>
      <c r="J39" s="111">
        <f t="shared" si="43"/>
        <v>0.10492639491699852</v>
      </c>
      <c r="K39" s="111">
        <f t="shared" si="43"/>
        <v>0.20997278472254255</v>
      </c>
      <c r="L39" s="111">
        <f t="shared" si="43"/>
        <v>0.12911732272138851</v>
      </c>
      <c r="M39" s="111">
        <f>-M29/M28</f>
        <v>0.2452964146254881</v>
      </c>
      <c r="N39" s="111"/>
      <c r="O39" s="111"/>
      <c r="P39" s="111"/>
      <c r="Q39" s="111"/>
      <c r="R39" s="111"/>
      <c r="S39" s="111"/>
      <c r="T39" s="111"/>
      <c r="U39" s="111"/>
      <c r="V39" s="111"/>
      <c r="W39" s="111"/>
      <c r="X39" s="111">
        <f>X29/X28</f>
        <v>0.5414420485175202</v>
      </c>
      <c r="Y39" s="111">
        <f>Y29/Y28</f>
        <v>0.18989802167372261</v>
      </c>
      <c r="Z39" s="111">
        <f>Z29/Z28</f>
        <v>0.13650275453988983</v>
      </c>
      <c r="AA39" s="135"/>
      <c r="AB39" s="135"/>
      <c r="AN39" s="133" t="s">
        <v>401</v>
      </c>
      <c r="AO39" s="138">
        <f>+Main!I4</f>
        <v>246.21</v>
      </c>
    </row>
    <row r="40" spans="2:47" x14ac:dyDescent="0.25">
      <c r="C40" s="135"/>
      <c r="D40" s="135"/>
      <c r="E40" s="135"/>
      <c r="F40" s="135"/>
      <c r="G40" s="135"/>
      <c r="H40" s="135"/>
      <c r="I40" s="135"/>
      <c r="J40" s="135"/>
      <c r="K40" s="135"/>
      <c r="L40" s="135"/>
      <c r="M40" s="135"/>
      <c r="N40" s="135"/>
      <c r="O40" s="135"/>
      <c r="P40" s="135"/>
      <c r="Q40" s="135"/>
      <c r="R40" s="135"/>
      <c r="S40" s="135"/>
      <c r="T40" s="135"/>
      <c r="U40" s="135"/>
      <c r="V40" s="135"/>
      <c r="W40" s="135"/>
      <c r="X40" s="135"/>
      <c r="Y40" s="135"/>
      <c r="Z40" s="135"/>
      <c r="AA40" s="135"/>
      <c r="AB40" s="135"/>
      <c r="AN40" s="96" t="s">
        <v>940</v>
      </c>
      <c r="AO40" s="111">
        <f>AO38/AO39-1</f>
        <v>0.37223069876098691</v>
      </c>
    </row>
    <row r="41" spans="2:47" x14ac:dyDescent="0.25">
      <c r="B41" s="96" t="s">
        <v>34</v>
      </c>
      <c r="C41" s="111"/>
      <c r="D41" s="111"/>
      <c r="E41" s="111"/>
      <c r="F41" s="111"/>
      <c r="G41" s="111">
        <f t="shared" ref="G41:T41" si="44">G17/C17-1</f>
        <v>0.12527677884388888</v>
      </c>
      <c r="H41" s="111">
        <f t="shared" si="44"/>
        <v>0.10115862869559389</v>
      </c>
      <c r="I41" s="111">
        <f t="shared" si="44"/>
        <v>0.11038348371225104</v>
      </c>
      <c r="J41" s="111">
        <f t="shared" si="44"/>
        <v>0.10491230341078239</v>
      </c>
      <c r="K41" s="111">
        <f>K17/G17-1</f>
        <v>8.6202926461660834E-2</v>
      </c>
      <c r="L41" s="111">
        <f>L17/H17-1</f>
        <v>0.13329774221669588</v>
      </c>
      <c r="M41" s="111">
        <f>M17/I17-1</f>
        <v>0.13401562214795093</v>
      </c>
      <c r="N41" s="111">
        <f>N17/J17-1</f>
        <v>9.0248785890772787E-2</v>
      </c>
      <c r="O41" s="111">
        <f>O17/K17-1</f>
        <v>0.10074710760790673</v>
      </c>
      <c r="P41" s="111">
        <f t="shared" si="44"/>
        <v>5.8663581829674127E-2</v>
      </c>
      <c r="Q41" s="111">
        <f t="shared" si="44"/>
        <v>5.1734760141866731E-2</v>
      </c>
      <c r="R41" s="111">
        <f t="shared" si="44"/>
        <v>9.2116831102862173E-2</v>
      </c>
      <c r="S41" s="111">
        <f t="shared" si="44"/>
        <v>0.10895827254158164</v>
      </c>
      <c r="T41" s="111">
        <f t="shared" si="44"/>
        <v>0.10155457924974653</v>
      </c>
      <c r="U41" s="111"/>
      <c r="V41" s="111"/>
      <c r="W41" s="111"/>
      <c r="X41" s="111"/>
      <c r="Y41" s="111">
        <f>Y17/X17-1</f>
        <v>0.1182957412988368</v>
      </c>
      <c r="Z41" s="111">
        <f>Z17/Y17-1</f>
        <v>0.1099089224666614</v>
      </c>
      <c r="AA41" s="140">
        <f t="shared" ref="AA41:AK41" si="45">AA17/Z17-1</f>
        <v>0.11022495176022273</v>
      </c>
      <c r="AB41" s="140">
        <f t="shared" si="45"/>
        <v>7.5820511155224368E-2</v>
      </c>
      <c r="AC41" s="140">
        <f t="shared" si="45"/>
        <v>0.10237670280059841</v>
      </c>
      <c r="AD41" s="140">
        <f t="shared" si="45"/>
        <v>0.10237670280059841</v>
      </c>
      <c r="AE41" s="140">
        <f t="shared" si="45"/>
        <v>0.10237670280059841</v>
      </c>
      <c r="AF41" s="140">
        <f t="shared" si="45"/>
        <v>0.10237670280059841</v>
      </c>
      <c r="AG41" s="140">
        <f t="shared" si="45"/>
        <v>0.10237670280059841</v>
      </c>
      <c r="AH41" s="140">
        <f t="shared" si="45"/>
        <v>0.10237670280059841</v>
      </c>
      <c r="AI41" s="140">
        <f t="shared" si="45"/>
        <v>0.10237670280059841</v>
      </c>
      <c r="AJ41" s="140">
        <f t="shared" si="45"/>
        <v>0.10237670280059841</v>
      </c>
      <c r="AK41" s="140">
        <f t="shared" si="45"/>
        <v>0.10237670280059841</v>
      </c>
    </row>
    <row r="42" spans="2:47" x14ac:dyDescent="0.25">
      <c r="B42" s="96" t="s">
        <v>969</v>
      </c>
      <c r="C42" s="111"/>
      <c r="D42" s="111"/>
      <c r="E42" s="111"/>
      <c r="F42" s="111"/>
      <c r="G42" s="111">
        <f t="shared" ref="G42:T42" si="46">G31/C31-1</f>
        <v>1.6785132935431362</v>
      </c>
      <c r="H42" s="111">
        <f t="shared" si="46"/>
        <v>0.85858299020303841</v>
      </c>
      <c r="I42" s="111">
        <f t="shared" si="46"/>
        <v>1.0340112201963536</v>
      </c>
      <c r="J42" s="111">
        <f t="shared" si="46"/>
        <v>0.73893699849050609</v>
      </c>
      <c r="K42" s="111">
        <f>K31/G31-1</f>
        <v>0.64559910868023906</v>
      </c>
      <c r="L42" s="111">
        <f>L31/H31-1</f>
        <v>0.38762414056531713</v>
      </c>
      <c r="M42" s="111">
        <f>M31/I31-1</f>
        <v>0.21743377578578404</v>
      </c>
      <c r="N42" s="111">
        <f>N31/J31-1</f>
        <v>-9.6308479532163704E-2</v>
      </c>
      <c r="O42" s="111">
        <f>O31/K31-1</f>
        <v>0.1312857758355388</v>
      </c>
      <c r="P42" s="111">
        <f t="shared" si="46"/>
        <v>-2.7196652719665315E-2</v>
      </c>
      <c r="Q42" s="111">
        <f t="shared" si="46"/>
        <v>-5.4136970783971283E-2</v>
      </c>
      <c r="R42" s="111">
        <f t="shared" si="46"/>
        <v>0.1895854398382204</v>
      </c>
      <c r="S42" s="111">
        <f t="shared" si="46"/>
        <v>0.33405875952121877</v>
      </c>
      <c r="T42" s="111">
        <f t="shared" si="46"/>
        <v>0.40011318619128455</v>
      </c>
      <c r="U42" s="111"/>
      <c r="V42" s="111"/>
      <c r="W42" s="111"/>
      <c r="X42" s="111"/>
      <c r="Y42" s="111"/>
      <c r="Z42" s="111"/>
      <c r="AA42" s="135"/>
      <c r="AB42" s="135"/>
    </row>
    <row r="43" spans="2:47" x14ac:dyDescent="0.25">
      <c r="B43" s="96" t="s">
        <v>965</v>
      </c>
      <c r="C43" s="135"/>
      <c r="D43" s="135"/>
      <c r="E43" s="135"/>
      <c r="F43" s="135"/>
      <c r="G43" s="140">
        <f t="shared" ref="G43:J44" si="47">G15/C15-1</f>
        <v>6.9040557378775347E-2</v>
      </c>
      <c r="H43" s="140">
        <f t="shared" si="47"/>
        <v>4.2976690608483636E-2</v>
      </c>
      <c r="I43" s="140">
        <f t="shared" si="47"/>
        <v>7.0127115290243847E-2</v>
      </c>
      <c r="J43" s="140">
        <f t="shared" si="47"/>
        <v>7.200500632309037E-2</v>
      </c>
      <c r="K43" s="140">
        <f>K15/G15-1</f>
        <v>5.0151850939834208E-2</v>
      </c>
      <c r="L43" s="140">
        <f t="shared" ref="L43:M44" si="48">L15/H15-1</f>
        <v>0.10844743296139292</v>
      </c>
      <c r="M43" s="140">
        <f t="shared" si="48"/>
        <v>9.5516338515702515E-2</v>
      </c>
      <c r="N43" s="135"/>
      <c r="O43" s="135"/>
      <c r="P43" s="135"/>
      <c r="Q43" s="135"/>
      <c r="R43" s="135"/>
      <c r="S43" s="135"/>
      <c r="T43" s="135"/>
      <c r="U43" s="135"/>
      <c r="V43" s="135"/>
      <c r="W43" s="135"/>
      <c r="X43" s="135"/>
      <c r="Y43" s="135"/>
      <c r="Z43" s="135"/>
      <c r="AA43" s="135"/>
      <c r="AB43" s="135"/>
    </row>
    <row r="44" spans="2:47" x14ac:dyDescent="0.25">
      <c r="B44" s="96" t="s">
        <v>966</v>
      </c>
      <c r="C44" s="135"/>
      <c r="D44" s="135"/>
      <c r="E44" s="135"/>
      <c r="F44" s="135"/>
      <c r="G44" s="140">
        <f t="shared" si="47"/>
        <v>0.17080864486977276</v>
      </c>
      <c r="H44" s="140">
        <f t="shared" si="47"/>
        <v>0.14673992382317413</v>
      </c>
      <c r="I44" s="140">
        <f t="shared" si="47"/>
        <v>0.14220642706977671</v>
      </c>
      <c r="J44" s="140">
        <f t="shared" si="47"/>
        <v>0.13197795363400466</v>
      </c>
      <c r="K44" s="140">
        <f>K16/G16-1</f>
        <v>0.11285468093885775</v>
      </c>
      <c r="L44" s="140">
        <f t="shared" si="48"/>
        <v>0.15100453661697988</v>
      </c>
      <c r="M44" s="140">
        <f t="shared" si="48"/>
        <v>0.16252903282352427</v>
      </c>
      <c r="N44" s="135"/>
      <c r="O44" s="135"/>
      <c r="P44" s="135"/>
      <c r="Q44" s="135"/>
      <c r="R44" s="135"/>
      <c r="S44" s="135"/>
      <c r="T44" s="135"/>
      <c r="U44" s="135"/>
      <c r="V44" s="135"/>
      <c r="W44" s="135"/>
      <c r="X44" s="135"/>
      <c r="Y44" s="135"/>
      <c r="Z44" s="135"/>
      <c r="AA44" s="135"/>
      <c r="AB44" s="135"/>
    </row>
    <row r="45" spans="2:47" x14ac:dyDescent="0.25">
      <c r="B45" s="96" t="s">
        <v>967</v>
      </c>
      <c r="C45" s="140">
        <f t="shared" ref="C45:J45" si="49">C15/C$17</f>
        <v>0.44740809372006468</v>
      </c>
      <c r="D45" s="140">
        <f t="shared" si="49"/>
        <v>0.43928175438857592</v>
      </c>
      <c r="E45" s="140">
        <f t="shared" si="49"/>
        <v>0.44149899009665716</v>
      </c>
      <c r="F45" s="140">
        <f t="shared" si="49"/>
        <v>0.45129765063749921</v>
      </c>
      <c r="G45" s="140">
        <f t="shared" si="49"/>
        <v>0.42504866969500327</v>
      </c>
      <c r="H45" s="140">
        <f t="shared" si="49"/>
        <v>0.41607141650391616</v>
      </c>
      <c r="I45" s="140">
        <f t="shared" si="49"/>
        <v>0.42549267672476193</v>
      </c>
      <c r="J45" s="140">
        <f t="shared" si="49"/>
        <v>0.4378567777115106</v>
      </c>
      <c r="K45" s="140">
        <f>K15/K$17</f>
        <v>0.41094130419420943</v>
      </c>
      <c r="L45" s="140">
        <f t="shared" ref="L45:M45" si="50">L15/L$17</f>
        <v>0.4069480387830795</v>
      </c>
      <c r="M45" s="140">
        <f t="shared" si="50"/>
        <v>0.41104740549151075</v>
      </c>
      <c r="N45" s="135"/>
      <c r="O45" s="135"/>
      <c r="P45" s="135"/>
      <c r="Q45" s="135"/>
      <c r="R45" s="135"/>
      <c r="S45" s="135"/>
      <c r="T45" s="135"/>
      <c r="U45" s="135"/>
      <c r="V45" s="135"/>
      <c r="W45" s="135"/>
      <c r="X45" s="135"/>
      <c r="Y45" s="135"/>
      <c r="Z45" s="135"/>
      <c r="AA45" s="135"/>
      <c r="AB45" s="135"/>
    </row>
    <row r="46" spans="2:47" x14ac:dyDescent="0.25">
      <c r="B46" s="96" t="s">
        <v>968</v>
      </c>
      <c r="C46" s="140">
        <f t="shared" ref="C46:J46" si="51">C16/C$17</f>
        <v>0.55259190627993526</v>
      </c>
      <c r="D46" s="140">
        <f t="shared" si="51"/>
        <v>0.56071824561142403</v>
      </c>
      <c r="E46" s="140">
        <f t="shared" si="51"/>
        <v>0.55850100990334284</v>
      </c>
      <c r="F46" s="140">
        <f t="shared" si="51"/>
        <v>0.54870234936250084</v>
      </c>
      <c r="G46" s="140">
        <f t="shared" si="51"/>
        <v>0.57495133030499679</v>
      </c>
      <c r="H46" s="140">
        <f t="shared" si="51"/>
        <v>0.5839285834960839</v>
      </c>
      <c r="I46" s="140">
        <f t="shared" si="51"/>
        <v>0.57450732327523812</v>
      </c>
      <c r="J46" s="140">
        <f t="shared" si="51"/>
        <v>0.56214322228848934</v>
      </c>
      <c r="K46" s="140">
        <f>K16/K$17</f>
        <v>0.58905869580579051</v>
      </c>
      <c r="L46" s="140">
        <f>L16/L$17</f>
        <v>0.5930519612169205</v>
      </c>
      <c r="M46" s="140">
        <f>M16/M$17</f>
        <v>0.58895259450848925</v>
      </c>
      <c r="N46" s="135"/>
      <c r="O46" s="135"/>
      <c r="P46" s="135"/>
      <c r="Q46" s="135"/>
      <c r="R46" s="135"/>
      <c r="S46" s="135"/>
      <c r="T46" s="135"/>
      <c r="U46" s="135"/>
      <c r="V46" s="135"/>
      <c r="W46" s="135"/>
      <c r="X46" s="135"/>
      <c r="Y46" s="135"/>
      <c r="Z46" s="135"/>
      <c r="AA46" s="135"/>
      <c r="AB46" s="135"/>
    </row>
    <row r="47" spans="2:47" x14ac:dyDescent="0.25">
      <c r="C47" s="135"/>
      <c r="D47" s="135"/>
      <c r="E47" s="135"/>
      <c r="F47" s="135"/>
      <c r="G47" s="135"/>
      <c r="H47" s="135"/>
      <c r="I47" s="135"/>
      <c r="J47" s="135"/>
      <c r="K47" s="135"/>
      <c r="L47" s="135"/>
      <c r="M47" s="135"/>
      <c r="N47" s="135"/>
      <c r="O47" s="135"/>
      <c r="P47" s="135"/>
      <c r="Q47" s="135"/>
      <c r="R47" s="135"/>
      <c r="S47" s="135"/>
      <c r="T47" s="135"/>
      <c r="U47" s="135"/>
      <c r="V47" s="135"/>
      <c r="W47" s="135"/>
      <c r="X47" s="135"/>
      <c r="Y47" s="135"/>
      <c r="Z47" s="135"/>
      <c r="AA47" s="135"/>
      <c r="AB47" s="135"/>
    </row>
    <row r="48" spans="2:47" x14ac:dyDescent="0.25">
      <c r="B48" s="96" t="s">
        <v>37</v>
      </c>
    </row>
    <row r="49" spans="1:27" s="135" customFormat="1" x14ac:dyDescent="0.25">
      <c r="A49" s="108"/>
      <c r="B49" s="135" t="s">
        <v>93</v>
      </c>
      <c r="F49" s="135">
        <f>F50+F51-F63-F62</f>
        <v>-48831</v>
      </c>
      <c r="G49" s="135">
        <f t="shared" ref="G49:I49" si="52">G50+G51-G63-G62</f>
        <v>-49612</v>
      </c>
      <c r="H49" s="135">
        <f t="shared" si="52"/>
        <v>-43881</v>
      </c>
      <c r="I49" s="135">
        <f t="shared" si="52"/>
        <v>-46641</v>
      </c>
      <c r="J49" s="135">
        <f>J50+J51-J63-J62</f>
        <v>-29698</v>
      </c>
      <c r="K49" s="135">
        <f>K50+K51-K63-K62</f>
        <v>-38680</v>
      </c>
      <c r="L49" s="135">
        <f>L50+L51-L63-L62</f>
        <v>-40759</v>
      </c>
      <c r="M49" s="135">
        <f>M50+M51-M63-M62</f>
        <v>-41222</v>
      </c>
      <c r="Y49" s="135">
        <f>Y50+Y51-Y63-Y62</f>
        <v>-48831</v>
      </c>
      <c r="Z49" s="135">
        <f t="shared" ref="Z49:AA49" si="53">Z50+Z51-Z63-Z62</f>
        <v>-29698</v>
      </c>
      <c r="AA49" s="135">
        <f t="shared" si="53"/>
        <v>-38680</v>
      </c>
    </row>
    <row r="50" spans="1:27" s="135" customFormat="1" x14ac:dyDescent="0.25">
      <c r="B50" s="135" t="s">
        <v>955</v>
      </c>
      <c r="F50" s="135">
        <v>73387</v>
      </c>
      <c r="G50" s="135">
        <v>72852</v>
      </c>
      <c r="H50" s="135">
        <v>71178</v>
      </c>
      <c r="I50" s="135">
        <v>75091</v>
      </c>
      <c r="J50" s="135">
        <v>78779</v>
      </c>
      <c r="K50" s="135">
        <v>66207</v>
      </c>
      <c r="L50" s="135">
        <v>57741</v>
      </c>
      <c r="M50" s="135">
        <v>66922</v>
      </c>
      <c r="Y50" s="135">
        <v>73387</v>
      </c>
      <c r="Z50" s="135">
        <v>78779</v>
      </c>
      <c r="AA50" s="135">
        <v>66207</v>
      </c>
    </row>
    <row r="51" spans="1:27" x14ac:dyDescent="0.25">
      <c r="B51" s="133" t="s">
        <v>948</v>
      </c>
      <c r="C51" s="135"/>
      <c r="D51" s="135"/>
      <c r="E51" s="135"/>
      <c r="F51" s="135">
        <v>13393</v>
      </c>
      <c r="G51" s="135">
        <v>12222</v>
      </c>
      <c r="H51" s="135">
        <v>17914</v>
      </c>
      <c r="I51" s="135">
        <v>12960</v>
      </c>
      <c r="J51" s="135">
        <v>22423</v>
      </c>
      <c r="K51" s="135">
        <v>28358</v>
      </c>
      <c r="L51" s="135">
        <v>35439</v>
      </c>
      <c r="M51" s="135">
        <v>27275</v>
      </c>
      <c r="N51" s="135"/>
      <c r="Y51" s="135">
        <v>13393</v>
      </c>
      <c r="Z51" s="135">
        <v>22423</v>
      </c>
      <c r="AA51" s="135">
        <v>28358</v>
      </c>
    </row>
    <row r="52" spans="1:27" x14ac:dyDescent="0.25">
      <c r="B52" s="133" t="s">
        <v>39</v>
      </c>
      <c r="C52" s="135"/>
      <c r="D52" s="135"/>
      <c r="E52" s="135"/>
      <c r="F52" s="135">
        <v>33318</v>
      </c>
      <c r="G52" s="135">
        <v>31147</v>
      </c>
      <c r="H52" s="135">
        <v>34109</v>
      </c>
      <c r="I52" s="135">
        <v>36103</v>
      </c>
      <c r="J52" s="135">
        <v>34214</v>
      </c>
      <c r="K52" s="135">
        <v>35864</v>
      </c>
      <c r="L52" s="135">
        <v>40825</v>
      </c>
      <c r="M52" s="135">
        <v>41494</v>
      </c>
      <c r="N52" s="135"/>
      <c r="Y52" s="135">
        <v>33318</v>
      </c>
      <c r="Z52" s="135">
        <v>34214</v>
      </c>
      <c r="AA52" s="135">
        <v>35864</v>
      </c>
    </row>
    <row r="53" spans="1:27" x14ac:dyDescent="0.25">
      <c r="B53" s="133" t="s">
        <v>38</v>
      </c>
      <c r="C53" s="135"/>
      <c r="D53" s="135"/>
      <c r="E53" s="135"/>
      <c r="F53" s="135">
        <v>52253</v>
      </c>
      <c r="G53" s="135">
        <v>47768</v>
      </c>
      <c r="H53" s="135">
        <v>50106</v>
      </c>
      <c r="I53" s="135">
        <v>51638</v>
      </c>
      <c r="J53" s="135">
        <v>55451</v>
      </c>
      <c r="K53" s="135">
        <v>54216</v>
      </c>
      <c r="L53" s="135">
        <v>57415</v>
      </c>
      <c r="M53" s="135">
        <v>61175</v>
      </c>
      <c r="N53" s="135"/>
      <c r="Y53" s="135">
        <v>52253</v>
      </c>
      <c r="Z53" s="135">
        <v>55451</v>
      </c>
      <c r="AA53" s="135">
        <v>54216</v>
      </c>
    </row>
    <row r="54" spans="1:27" x14ac:dyDescent="0.25">
      <c r="B54" s="133" t="s">
        <v>64</v>
      </c>
      <c r="C54" s="135"/>
      <c r="D54" s="135"/>
      <c r="E54" s="135"/>
      <c r="F54" s="135">
        <v>204177</v>
      </c>
      <c r="G54" s="135">
        <v>209950</v>
      </c>
      <c r="H54" s="135">
        <v>220717</v>
      </c>
      <c r="I54" s="135">
        <v>237917</v>
      </c>
      <c r="J54" s="135">
        <v>252665</v>
      </c>
      <c r="K54" s="135">
        <v>272781</v>
      </c>
      <c r="L54" s="135">
        <v>297616</v>
      </c>
      <c r="M54" s="135">
        <v>324435</v>
      </c>
      <c r="N54" s="135"/>
      <c r="Y54" s="135">
        <v>204177</v>
      </c>
      <c r="Z54" s="135">
        <v>252665</v>
      </c>
      <c r="AA54" s="135">
        <v>272781</v>
      </c>
    </row>
    <row r="55" spans="1:27" x14ac:dyDescent="0.25">
      <c r="B55" s="133" t="s">
        <v>65</v>
      </c>
      <c r="C55" s="135"/>
      <c r="D55" s="135"/>
      <c r="E55" s="135"/>
      <c r="F55" s="135">
        <v>72513</v>
      </c>
      <c r="G55" s="135">
        <v>73313</v>
      </c>
      <c r="H55" s="135">
        <v>74575</v>
      </c>
      <c r="I55" s="135">
        <v>76527</v>
      </c>
      <c r="J55" s="135">
        <v>76141</v>
      </c>
      <c r="K55" s="135">
        <v>78495</v>
      </c>
      <c r="L55" s="135">
        <v>82125</v>
      </c>
      <c r="M55" s="135">
        <v>83456</v>
      </c>
      <c r="N55" s="135"/>
      <c r="Y55" s="135">
        <v>72513</v>
      </c>
      <c r="Z55" s="135">
        <v>76141</v>
      </c>
      <c r="AA55" s="135">
        <v>78495</v>
      </c>
    </row>
    <row r="56" spans="1:27" x14ac:dyDescent="0.25">
      <c r="B56" s="133" t="s">
        <v>66</v>
      </c>
      <c r="C56" s="135"/>
      <c r="D56" s="135"/>
      <c r="E56" s="135"/>
      <c r="F56" s="135">
        <v>22789</v>
      </c>
      <c r="G56" s="135">
        <v>22770</v>
      </c>
      <c r="H56" s="135">
        <v>22879</v>
      </c>
      <c r="I56" s="135">
        <v>23081</v>
      </c>
      <c r="J56" s="135">
        <v>23074</v>
      </c>
      <c r="K56" s="135">
        <v>23089</v>
      </c>
      <c r="L56" s="135">
        <v>23155</v>
      </c>
      <c r="M56" s="135">
        <v>23260</v>
      </c>
      <c r="N56" s="135"/>
      <c r="Y56" s="135">
        <v>22789</v>
      </c>
      <c r="Z56" s="135">
        <v>23074</v>
      </c>
      <c r="AA56" s="135">
        <v>23089</v>
      </c>
    </row>
    <row r="57" spans="1:27" x14ac:dyDescent="0.25">
      <c r="B57" s="133" t="s">
        <v>67</v>
      </c>
      <c r="C57" s="135"/>
      <c r="D57" s="135"/>
      <c r="E57" s="135"/>
      <c r="F57" s="135">
        <v>56024</v>
      </c>
      <c r="G57" s="135">
        <v>60947</v>
      </c>
      <c r="H57" s="135">
        <v>63340</v>
      </c>
      <c r="I57" s="135">
        <v>71309</v>
      </c>
      <c r="J57" s="135">
        <v>82147</v>
      </c>
      <c r="K57" s="135">
        <v>84246</v>
      </c>
      <c r="L57" s="135">
        <v>87854</v>
      </c>
      <c r="M57" s="135">
        <v>99904</v>
      </c>
      <c r="N57" s="135"/>
      <c r="Y57" s="135">
        <v>56024</v>
      </c>
      <c r="Z57" s="135">
        <v>82147</v>
      </c>
      <c r="AA57" s="135">
        <v>84246</v>
      </c>
    </row>
    <row r="58" spans="1:27" x14ac:dyDescent="0.25">
      <c r="B58" s="96" t="s">
        <v>44</v>
      </c>
      <c r="C58" s="108"/>
      <c r="D58" s="108"/>
      <c r="E58" s="108"/>
      <c r="F58" s="108">
        <f t="shared" ref="F58:K58" si="54">SUM(F50:F57)</f>
        <v>527854</v>
      </c>
      <c r="G58" s="108">
        <f t="shared" si="54"/>
        <v>530969</v>
      </c>
      <c r="H58" s="108">
        <f t="shared" si="54"/>
        <v>554818</v>
      </c>
      <c r="I58" s="108">
        <f t="shared" si="54"/>
        <v>584626</v>
      </c>
      <c r="J58" s="108">
        <f t="shared" si="54"/>
        <v>624894</v>
      </c>
      <c r="K58" s="108">
        <f t="shared" si="54"/>
        <v>643256</v>
      </c>
      <c r="L58" s="108">
        <f t="shared" ref="L58:M58" si="55">SUM(L50:L57)</f>
        <v>682170</v>
      </c>
      <c r="M58" s="108">
        <f t="shared" si="55"/>
        <v>727921</v>
      </c>
      <c r="N58" s="108"/>
      <c r="O58" s="96"/>
      <c r="P58" s="96"/>
      <c r="Q58" s="96"/>
      <c r="R58" s="96"/>
      <c r="S58" s="96"/>
      <c r="T58" s="96"/>
      <c r="U58" s="96"/>
      <c r="V58" s="96"/>
      <c r="W58" s="96"/>
      <c r="X58" s="96"/>
      <c r="Y58" s="108">
        <f>SUM(Y50:Y57)</f>
        <v>527854</v>
      </c>
      <c r="Z58" s="108">
        <f>SUM(Z50:Z57)</f>
        <v>624894</v>
      </c>
      <c r="AA58" s="108">
        <f>SUM(AA50:AA57)</f>
        <v>643256</v>
      </c>
    </row>
    <row r="59" spans="1:27" x14ac:dyDescent="0.25">
      <c r="B59" s="133" t="s">
        <v>45</v>
      </c>
      <c r="C59" s="135"/>
      <c r="D59" s="135"/>
      <c r="E59" s="135"/>
      <c r="F59" s="135">
        <v>84981</v>
      </c>
      <c r="G59" s="135">
        <v>73068</v>
      </c>
      <c r="H59" s="135">
        <v>81817</v>
      </c>
      <c r="I59" s="135">
        <v>84570</v>
      </c>
      <c r="J59" s="135">
        <v>94363</v>
      </c>
      <c r="K59" s="135">
        <v>89241</v>
      </c>
      <c r="L59" s="135">
        <v>98285</v>
      </c>
      <c r="M59" s="135">
        <v>106032</v>
      </c>
      <c r="N59" s="135"/>
      <c r="Y59" s="135">
        <v>84981</v>
      </c>
      <c r="Z59" s="135">
        <v>94363</v>
      </c>
      <c r="AA59" s="135">
        <v>89241</v>
      </c>
    </row>
    <row r="60" spans="1:27" x14ac:dyDescent="0.25">
      <c r="B60" s="133" t="s">
        <v>68</v>
      </c>
      <c r="C60" s="135"/>
      <c r="D60" s="135"/>
      <c r="E60" s="135"/>
      <c r="F60" s="135">
        <v>64709</v>
      </c>
      <c r="G60" s="135">
        <v>63970</v>
      </c>
      <c r="H60" s="135">
        <v>60351</v>
      </c>
      <c r="I60" s="135">
        <v>60602</v>
      </c>
      <c r="J60" s="135">
        <v>66965</v>
      </c>
      <c r="K60" s="135">
        <v>66331</v>
      </c>
      <c r="L60" s="135">
        <v>66974</v>
      </c>
      <c r="M60" s="135">
        <v>68051</v>
      </c>
      <c r="N60" s="135"/>
      <c r="Y60" s="135">
        <v>64709</v>
      </c>
      <c r="Z60" s="135">
        <v>66965</v>
      </c>
      <c r="AA60" s="135">
        <v>66331</v>
      </c>
    </row>
    <row r="61" spans="1:27" x14ac:dyDescent="0.25">
      <c r="B61" s="133" t="s">
        <v>69</v>
      </c>
      <c r="C61" s="135"/>
      <c r="D61" s="135"/>
      <c r="E61" s="135"/>
      <c r="F61" s="135">
        <v>15227</v>
      </c>
      <c r="G61" s="135">
        <v>15927</v>
      </c>
      <c r="H61" s="135">
        <v>16004</v>
      </c>
      <c r="I61" s="135">
        <v>16305</v>
      </c>
      <c r="J61" s="135">
        <v>18103</v>
      </c>
      <c r="K61" s="135">
        <v>20599</v>
      </c>
      <c r="L61" s="135">
        <v>21662</v>
      </c>
      <c r="M61" s="135">
        <v>21113</v>
      </c>
      <c r="N61" s="135"/>
      <c r="Y61" s="135">
        <v>15227</v>
      </c>
      <c r="Z61" s="135">
        <v>18103</v>
      </c>
      <c r="AA61" s="135">
        <v>20599</v>
      </c>
    </row>
    <row r="62" spans="1:27" x14ac:dyDescent="0.25">
      <c r="B62" s="133" t="s">
        <v>70</v>
      </c>
      <c r="C62" s="135"/>
      <c r="D62" s="135"/>
      <c r="E62" s="135"/>
      <c r="F62" s="135">
        <v>77297</v>
      </c>
      <c r="G62" s="135">
        <v>77052</v>
      </c>
      <c r="H62" s="135">
        <v>78084</v>
      </c>
      <c r="I62" s="135">
        <v>79802</v>
      </c>
      <c r="J62" s="135">
        <v>78277</v>
      </c>
      <c r="K62" s="135">
        <v>79871</v>
      </c>
      <c r="L62" s="135">
        <v>83221</v>
      </c>
      <c r="M62" s="135">
        <v>84677</v>
      </c>
      <c r="N62" s="135"/>
      <c r="Y62" s="135">
        <v>77297</v>
      </c>
      <c r="Z62" s="135">
        <v>78277</v>
      </c>
      <c r="AA62" s="135">
        <v>79871</v>
      </c>
    </row>
    <row r="63" spans="1:27" x14ac:dyDescent="0.25">
      <c r="B63" s="133" t="s">
        <v>4</v>
      </c>
      <c r="C63" s="135"/>
      <c r="D63" s="135"/>
      <c r="E63" s="135"/>
      <c r="F63" s="135">
        <v>58314</v>
      </c>
      <c r="G63" s="135">
        <v>57634</v>
      </c>
      <c r="H63" s="135">
        <v>54889</v>
      </c>
      <c r="I63" s="135">
        <v>54890</v>
      </c>
      <c r="J63" s="135">
        <v>52623</v>
      </c>
      <c r="K63" s="135">
        <v>53374</v>
      </c>
      <c r="L63" s="135">
        <v>50718</v>
      </c>
      <c r="M63" s="135">
        <v>50742</v>
      </c>
      <c r="N63" s="135"/>
      <c r="Y63" s="135">
        <v>58314</v>
      </c>
      <c r="Z63" s="135">
        <v>52623</v>
      </c>
      <c r="AA63" s="135">
        <v>53374</v>
      </c>
    </row>
    <row r="64" spans="1:27" x14ac:dyDescent="0.25">
      <c r="B64" s="133" t="s">
        <v>71</v>
      </c>
      <c r="C64" s="135"/>
      <c r="D64" s="135"/>
      <c r="E64" s="135"/>
      <c r="F64" s="135">
        <v>25451</v>
      </c>
      <c r="G64" s="135">
        <v>26657</v>
      </c>
      <c r="H64" s="135">
        <v>27226</v>
      </c>
      <c r="I64" s="135">
        <v>29306</v>
      </c>
      <c r="J64" s="135">
        <v>28593</v>
      </c>
      <c r="K64" s="135">
        <v>27973</v>
      </c>
      <c r="L64" s="135">
        <v>27535</v>
      </c>
      <c r="M64" s="135">
        <v>27675</v>
      </c>
      <c r="N64" s="135"/>
      <c r="Y64" s="135">
        <v>25451</v>
      </c>
      <c r="Z64" s="135">
        <v>28593</v>
      </c>
      <c r="AA64" s="135">
        <v>27973</v>
      </c>
    </row>
    <row r="65" spans="2:28" x14ac:dyDescent="0.25">
      <c r="B65" s="96" t="s">
        <v>49</v>
      </c>
      <c r="C65" s="108"/>
      <c r="D65" s="108"/>
      <c r="E65" s="108"/>
      <c r="F65" s="108">
        <f>SUM(F59:F64)</f>
        <v>325979</v>
      </c>
      <c r="G65" s="108">
        <f t="shared" ref="G65:I65" si="56">SUM(G59:G64)</f>
        <v>314308</v>
      </c>
      <c r="H65" s="108">
        <f t="shared" si="56"/>
        <v>318371</v>
      </c>
      <c r="I65" s="108">
        <f t="shared" si="56"/>
        <v>325475</v>
      </c>
      <c r="J65" s="108">
        <f>SUM(J59:J64)</f>
        <v>338924</v>
      </c>
      <c r="K65" s="108">
        <f>SUM(K59:K64)</f>
        <v>337389</v>
      </c>
      <c r="L65" s="108">
        <f>SUM(L59:L64)</f>
        <v>348395</v>
      </c>
      <c r="M65" s="108">
        <f>SUM(M59:M64)</f>
        <v>358290</v>
      </c>
      <c r="N65" s="108"/>
      <c r="O65" s="96"/>
      <c r="P65" s="96"/>
      <c r="Q65" s="96"/>
      <c r="R65" s="96"/>
      <c r="S65" s="96"/>
      <c r="T65" s="96"/>
      <c r="U65" s="96"/>
      <c r="V65" s="96"/>
      <c r="W65" s="96"/>
      <c r="X65" s="96"/>
      <c r="Y65" s="108">
        <f>SUM(Y59:Y64)</f>
        <v>325979</v>
      </c>
      <c r="Z65" s="108">
        <f>SUM(Z59:Z64)</f>
        <v>338924</v>
      </c>
      <c r="AA65" s="108">
        <f>SUM(AA59:AA64)</f>
        <v>337389</v>
      </c>
    </row>
    <row r="66" spans="2:28" x14ac:dyDescent="0.25">
      <c r="B66" s="133" t="s">
        <v>50</v>
      </c>
      <c r="C66" s="135"/>
      <c r="D66" s="135"/>
      <c r="E66" s="135"/>
      <c r="F66" s="135">
        <v>201875</v>
      </c>
      <c r="G66" s="135">
        <v>216661</v>
      </c>
      <c r="H66" s="135">
        <v>236447</v>
      </c>
      <c r="I66" s="135">
        <v>259151</v>
      </c>
      <c r="J66" s="135">
        <v>285970</v>
      </c>
      <c r="K66" s="135">
        <v>305867</v>
      </c>
      <c r="L66" s="135">
        <v>333775</v>
      </c>
      <c r="M66" s="135">
        <v>369631</v>
      </c>
      <c r="N66" s="135"/>
      <c r="Y66" s="135">
        <v>201875</v>
      </c>
      <c r="Z66" s="135">
        <v>285970</v>
      </c>
      <c r="AA66" s="135">
        <v>305867</v>
      </c>
    </row>
    <row r="67" spans="2:28" x14ac:dyDescent="0.25">
      <c r="B67" s="133" t="s">
        <v>51</v>
      </c>
      <c r="C67" s="108"/>
      <c r="D67" s="108"/>
      <c r="E67" s="108"/>
      <c r="F67" s="108">
        <f>F66+F65</f>
        <v>527854</v>
      </c>
      <c r="G67" s="108">
        <f t="shared" ref="G67:I67" si="57">SUM(G65:G66)</f>
        <v>530969</v>
      </c>
      <c r="H67" s="108">
        <f t="shared" si="57"/>
        <v>554818</v>
      </c>
      <c r="I67" s="108">
        <f t="shared" si="57"/>
        <v>584626</v>
      </c>
      <c r="J67" s="108">
        <f>J66+J65</f>
        <v>624894</v>
      </c>
      <c r="K67" s="108">
        <f>SUM(K65:K66)</f>
        <v>643256</v>
      </c>
      <c r="L67" s="108">
        <f>SUM(L65:L66)</f>
        <v>682170</v>
      </c>
      <c r="M67" s="108">
        <f>SUM(M65:M66)</f>
        <v>727921</v>
      </c>
      <c r="N67" s="108"/>
      <c r="Y67" s="108">
        <f>Y66+Y65</f>
        <v>527854</v>
      </c>
      <c r="Z67" s="108">
        <f>Z66+Z65</f>
        <v>624894</v>
      </c>
      <c r="AA67" s="108">
        <f>SUM(AA65:AA66)</f>
        <v>643256</v>
      </c>
    </row>
    <row r="69" spans="2:28" s="142" customFormat="1" x14ac:dyDescent="0.25">
      <c r="B69" s="142" t="s">
        <v>1057</v>
      </c>
      <c r="G69" s="142">
        <f t="shared" ref="G69:L69" si="58">G54/F54-1</f>
        <v>2.827448733206972E-2</v>
      </c>
      <c r="H69" s="142">
        <f t="shared" si="58"/>
        <v>5.1283638961657552E-2</v>
      </c>
      <c r="I69" s="142">
        <f t="shared" si="58"/>
        <v>7.7927844253047995E-2</v>
      </c>
      <c r="J69" s="142">
        <f t="shared" si="58"/>
        <v>6.1988004219958981E-2</v>
      </c>
      <c r="K69" s="142">
        <f t="shared" si="58"/>
        <v>7.9615300892486029E-2</v>
      </c>
      <c r="L69" s="142">
        <f t="shared" si="58"/>
        <v>9.1043731051649424E-2</v>
      </c>
      <c r="M69" s="142">
        <f>M54/L54-1</f>
        <v>9.0112762754690712E-2</v>
      </c>
      <c r="N69" s="142">
        <f t="shared" ref="N69" si="59">N54/M54-1</f>
        <v>-1</v>
      </c>
      <c r="Z69" s="142">
        <f t="shared" ref="Z69:AB69" si="60">Z54/Y54-1</f>
        <v>0.2374802254906283</v>
      </c>
      <c r="AA69" s="142">
        <f t="shared" si="60"/>
        <v>7.9615300892486029E-2</v>
      </c>
      <c r="AB69" s="142">
        <f t="shared" si="60"/>
        <v>-1</v>
      </c>
    </row>
    <row r="71" spans="2:28" x14ac:dyDescent="0.25">
      <c r="B71" s="96" t="s">
        <v>944</v>
      </c>
    </row>
    <row r="72" spans="2:28" x14ac:dyDescent="0.25">
      <c r="B72" s="133" t="s">
        <v>510</v>
      </c>
      <c r="C72" s="135">
        <f t="shared" ref="C72" si="61">C31</f>
        <v>3686</v>
      </c>
      <c r="D72" s="135">
        <f t="shared" ref="D72:E72" si="62">D31</f>
        <v>7043</v>
      </c>
      <c r="E72" s="135">
        <f t="shared" si="62"/>
        <v>8556</v>
      </c>
      <c r="F72" s="135">
        <f t="shared" ref="F72:J72" si="63">F31</f>
        <v>12587</v>
      </c>
      <c r="G72" s="135">
        <f t="shared" si="63"/>
        <v>9873</v>
      </c>
      <c r="H72" s="135">
        <f t="shared" si="63"/>
        <v>13090</v>
      </c>
      <c r="I72" s="135">
        <f t="shared" si="63"/>
        <v>17403</v>
      </c>
      <c r="J72" s="135">
        <f t="shared" si="63"/>
        <v>21888</v>
      </c>
      <c r="K72" s="135">
        <f>K31</f>
        <v>16247</v>
      </c>
      <c r="L72" s="135">
        <f>L31</f>
        <v>18164</v>
      </c>
      <c r="M72" s="135">
        <f>M31</f>
        <v>21187</v>
      </c>
      <c r="N72" s="135"/>
      <c r="O72" s="135"/>
      <c r="P72" s="135"/>
      <c r="Q72" s="135"/>
      <c r="R72" s="135"/>
      <c r="S72" s="135"/>
      <c r="T72" s="135"/>
      <c r="U72" s="135"/>
      <c r="V72" s="135"/>
      <c r="W72" s="135"/>
      <c r="X72" s="135">
        <f>X31</f>
        <v>-2722</v>
      </c>
      <c r="Y72" s="135">
        <f>Y31</f>
        <v>30425</v>
      </c>
      <c r="Z72" s="135">
        <f>Z31</f>
        <v>59248</v>
      </c>
      <c r="AA72" s="135">
        <f>AA31</f>
        <v>75378</v>
      </c>
    </row>
    <row r="73" spans="2:28" x14ac:dyDescent="0.25">
      <c r="B73" s="133" t="s">
        <v>957</v>
      </c>
      <c r="C73" s="135">
        <v>54253</v>
      </c>
      <c r="D73" s="135">
        <v>49734</v>
      </c>
      <c r="E73" s="135">
        <v>50067</v>
      </c>
      <c r="F73" s="135">
        <v>50081</v>
      </c>
      <c r="G73" s="135">
        <v>73890</v>
      </c>
      <c r="H73" s="135">
        <v>73332</v>
      </c>
      <c r="I73" s="135">
        <v>71673</v>
      </c>
      <c r="J73" s="135">
        <v>78677</v>
      </c>
      <c r="K73" s="135">
        <v>82312</v>
      </c>
      <c r="L73" s="135">
        <f>K98</f>
        <v>69893</v>
      </c>
      <c r="M73" s="135">
        <f>L98</f>
        <v>61453</v>
      </c>
      <c r="N73" s="135"/>
      <c r="O73" s="135"/>
      <c r="P73" s="135"/>
      <c r="Q73" s="135"/>
      <c r="R73" s="135"/>
      <c r="S73" s="135"/>
      <c r="T73" s="135"/>
      <c r="U73" s="135"/>
      <c r="V73" s="135"/>
      <c r="W73" s="135"/>
      <c r="X73" s="135"/>
      <c r="Y73" s="135">
        <f>C73</f>
        <v>54253</v>
      </c>
      <c r="Z73" s="135">
        <f>G73</f>
        <v>73890</v>
      </c>
      <c r="AA73" s="135">
        <v>82312</v>
      </c>
    </row>
    <row r="74" spans="2:28" x14ac:dyDescent="0.25">
      <c r="B74" s="133" t="s">
        <v>511</v>
      </c>
      <c r="C74" s="135">
        <v>3172</v>
      </c>
      <c r="D74" s="135">
        <v>6750</v>
      </c>
      <c r="E74" s="135">
        <v>9879</v>
      </c>
      <c r="F74" s="135">
        <v>10624</v>
      </c>
      <c r="G74" s="135">
        <v>10431</v>
      </c>
      <c r="H74" s="135">
        <v>13485</v>
      </c>
      <c r="I74" s="135">
        <v>15328</v>
      </c>
      <c r="J74" s="135">
        <v>20004</v>
      </c>
      <c r="K74" s="135">
        <v>17127</v>
      </c>
      <c r="L74" s="135">
        <v>18164</v>
      </c>
      <c r="M74" s="135">
        <v>21187</v>
      </c>
      <c r="N74" s="135"/>
      <c r="Y74" s="135">
        <f t="shared" ref="Y74:Y84" si="64">SUM(C74:F74)</f>
        <v>30425</v>
      </c>
      <c r="Z74" s="135">
        <f t="shared" ref="Z74:Z84" si="65">SUM(G74:J74)</f>
        <v>59248</v>
      </c>
      <c r="AA74" s="135">
        <v>17127</v>
      </c>
    </row>
    <row r="75" spans="2:28" x14ac:dyDescent="0.25">
      <c r="B75" s="133" t="s">
        <v>513</v>
      </c>
      <c r="C75" s="135">
        <v>11123</v>
      </c>
      <c r="D75" s="135">
        <v>11589</v>
      </c>
      <c r="E75" s="135">
        <v>12131</v>
      </c>
      <c r="F75" s="135">
        <v>13820</v>
      </c>
      <c r="G75" s="135">
        <v>11684</v>
      </c>
      <c r="H75" s="135">
        <v>12038</v>
      </c>
      <c r="I75" s="135">
        <v>13442</v>
      </c>
      <c r="J75" s="135">
        <v>15631</v>
      </c>
      <c r="K75" s="135">
        <v>14262</v>
      </c>
      <c r="L75" s="135">
        <v>15227</v>
      </c>
      <c r="M75" s="135">
        <v>16796</v>
      </c>
      <c r="N75" s="135"/>
      <c r="Y75" s="135">
        <f t="shared" si="64"/>
        <v>48663</v>
      </c>
      <c r="Z75" s="135">
        <f t="shared" si="65"/>
        <v>52795</v>
      </c>
      <c r="AA75" s="135">
        <v>14262</v>
      </c>
    </row>
    <row r="76" spans="2:28" x14ac:dyDescent="0.25">
      <c r="B76" s="133" t="s">
        <v>945</v>
      </c>
      <c r="C76" s="135">
        <v>4748</v>
      </c>
      <c r="D76" s="135">
        <v>7127</v>
      </c>
      <c r="E76" s="135">
        <v>5829</v>
      </c>
      <c r="F76" s="135">
        <v>6319</v>
      </c>
      <c r="G76" s="135">
        <v>4961</v>
      </c>
      <c r="H76" s="135">
        <v>6722</v>
      </c>
      <c r="I76" s="135">
        <v>5333</v>
      </c>
      <c r="J76" s="135">
        <v>4995</v>
      </c>
      <c r="K76" s="135">
        <v>3689</v>
      </c>
      <c r="L76" s="135">
        <v>6534</v>
      </c>
      <c r="M76" s="135">
        <v>4847</v>
      </c>
      <c r="N76" s="135"/>
      <c r="Y76" s="135">
        <f t="shared" si="64"/>
        <v>24023</v>
      </c>
      <c r="Z76" s="135">
        <f t="shared" si="65"/>
        <v>22011</v>
      </c>
      <c r="AA76" s="135">
        <v>3689</v>
      </c>
    </row>
    <row r="77" spans="2:28" x14ac:dyDescent="0.25">
      <c r="B77" s="133" t="s">
        <v>946</v>
      </c>
      <c r="C77" s="135">
        <v>534</v>
      </c>
      <c r="D77" s="135">
        <v>47</v>
      </c>
      <c r="E77" s="135">
        <v>-990</v>
      </c>
      <c r="F77" s="135">
        <v>-339</v>
      </c>
      <c r="G77" s="135">
        <v>2734</v>
      </c>
      <c r="H77" s="135">
        <v>-95</v>
      </c>
      <c r="I77" s="135">
        <v>-141</v>
      </c>
      <c r="J77" s="135">
        <v>-486</v>
      </c>
      <c r="K77" s="135">
        <v>-2817</v>
      </c>
      <c r="L77" s="135">
        <v>-1258</v>
      </c>
      <c r="M77" s="135">
        <v>-10112</v>
      </c>
      <c r="N77" s="135"/>
      <c r="Y77" s="135">
        <f t="shared" si="64"/>
        <v>-748</v>
      </c>
      <c r="Z77" s="135">
        <f t="shared" si="65"/>
        <v>2012</v>
      </c>
      <c r="AA77" s="135">
        <v>-2817</v>
      </c>
    </row>
    <row r="78" spans="2:28" x14ac:dyDescent="0.25">
      <c r="B78" s="133" t="s">
        <v>516</v>
      </c>
      <c r="C78" s="135">
        <v>-472</v>
      </c>
      <c r="D78" s="135">
        <v>-2744</v>
      </c>
      <c r="E78" s="135">
        <v>-1196</v>
      </c>
      <c r="F78" s="135">
        <v>-1464</v>
      </c>
      <c r="G78" s="135">
        <v>-938</v>
      </c>
      <c r="H78" s="135">
        <v>-785</v>
      </c>
      <c r="I78" s="135">
        <v>-1317</v>
      </c>
      <c r="J78" s="135">
        <v>-1608</v>
      </c>
      <c r="K78" s="135">
        <v>507</v>
      </c>
      <c r="L78" s="135">
        <v>11</v>
      </c>
      <c r="M78" s="135">
        <v>10130</v>
      </c>
      <c r="N78" s="135"/>
      <c r="Y78" s="135">
        <f t="shared" si="64"/>
        <v>-5876</v>
      </c>
      <c r="Z78" s="135">
        <f t="shared" si="65"/>
        <v>-4648</v>
      </c>
      <c r="AA78" s="135">
        <v>507</v>
      </c>
    </row>
    <row r="79" spans="2:28" x14ac:dyDescent="0.25">
      <c r="B79" s="133" t="s">
        <v>39</v>
      </c>
      <c r="C79" s="135">
        <v>371</v>
      </c>
      <c r="D79" s="135">
        <v>-2373</v>
      </c>
      <c r="E79" s="135">
        <v>808</v>
      </c>
      <c r="F79" s="135">
        <v>2643</v>
      </c>
      <c r="G79" s="135">
        <v>1776</v>
      </c>
      <c r="H79" s="135">
        <v>-3085</v>
      </c>
      <c r="I79" s="135">
        <v>-1509</v>
      </c>
      <c r="J79" s="135">
        <v>934</v>
      </c>
      <c r="K79" s="135">
        <v>-1222</v>
      </c>
      <c r="L79" s="135">
        <v>-4054</v>
      </c>
      <c r="M79" s="135">
        <v>-827</v>
      </c>
      <c r="N79" s="135"/>
      <c r="Y79" s="135">
        <f t="shared" si="64"/>
        <v>1449</v>
      </c>
      <c r="Z79" s="135">
        <f t="shared" si="65"/>
        <v>-1884</v>
      </c>
      <c r="AA79" s="135">
        <v>-1222</v>
      </c>
    </row>
    <row r="80" spans="2:28" x14ac:dyDescent="0.25">
      <c r="B80" s="133" t="s">
        <v>38</v>
      </c>
      <c r="C80" s="135">
        <v>4724</v>
      </c>
      <c r="D80" s="135">
        <v>-2041</v>
      </c>
      <c r="E80" s="135">
        <v>-3584</v>
      </c>
      <c r="F80" s="135">
        <v>-7447</v>
      </c>
      <c r="G80" s="135">
        <v>3684</v>
      </c>
      <c r="H80" s="135">
        <v>-2209</v>
      </c>
      <c r="I80" s="135">
        <v>-701</v>
      </c>
      <c r="J80" s="135">
        <v>-4023</v>
      </c>
      <c r="K80" s="135">
        <v>1247</v>
      </c>
      <c r="L80" s="135">
        <v>-1125</v>
      </c>
      <c r="M80" s="135">
        <v>-1977</v>
      </c>
      <c r="N80" s="135"/>
      <c r="Y80" s="135">
        <f t="shared" si="64"/>
        <v>-8348</v>
      </c>
      <c r="Z80" s="135">
        <f t="shared" si="65"/>
        <v>-3249</v>
      </c>
      <c r="AA80" s="135">
        <v>1247</v>
      </c>
    </row>
    <row r="81" spans="2:27" x14ac:dyDescent="0.25">
      <c r="B81" s="133" t="s">
        <v>67</v>
      </c>
      <c r="C81" s="135">
        <v>-3203</v>
      </c>
      <c r="D81" s="135">
        <v>-3126</v>
      </c>
      <c r="E81" s="135">
        <v>-3134</v>
      </c>
      <c r="F81" s="135">
        <v>-2802</v>
      </c>
      <c r="G81" s="135">
        <v>-2701</v>
      </c>
      <c r="H81" s="135">
        <v>-3055</v>
      </c>
      <c r="I81" s="135">
        <v>-4537</v>
      </c>
      <c r="J81" s="135">
        <v>-4190</v>
      </c>
      <c r="K81" s="135">
        <v>-3402</v>
      </c>
      <c r="L81" s="135">
        <v>-2971</v>
      </c>
      <c r="M81" s="135">
        <v>-4039</v>
      </c>
      <c r="N81" s="135"/>
      <c r="Y81" s="135">
        <f t="shared" si="64"/>
        <v>-12265</v>
      </c>
      <c r="Z81" s="135">
        <f t="shared" si="65"/>
        <v>-14483</v>
      </c>
      <c r="AA81" s="135">
        <v>-3402</v>
      </c>
    </row>
    <row r="82" spans="2:27" x14ac:dyDescent="0.25">
      <c r="B82" s="133" t="s">
        <v>45</v>
      </c>
      <c r="C82" s="135">
        <v>-11264</v>
      </c>
      <c r="D82" s="135">
        <v>3029</v>
      </c>
      <c r="E82" s="135">
        <v>2820</v>
      </c>
      <c r="F82" s="135">
        <v>10888</v>
      </c>
      <c r="G82" s="135">
        <v>-11282</v>
      </c>
      <c r="H82" s="135">
        <v>6005</v>
      </c>
      <c r="I82" s="135">
        <v>-477</v>
      </c>
      <c r="J82" s="135">
        <v>8726</v>
      </c>
      <c r="K82" s="135">
        <v>-9043</v>
      </c>
      <c r="L82" s="135">
        <v>7058</v>
      </c>
      <c r="M82" s="135">
        <v>2151</v>
      </c>
      <c r="N82" s="135"/>
      <c r="Y82" s="135">
        <f t="shared" si="64"/>
        <v>5473</v>
      </c>
      <c r="Z82" s="135">
        <f t="shared" si="65"/>
        <v>2972</v>
      </c>
      <c r="AA82" s="135">
        <v>-9043</v>
      </c>
    </row>
    <row r="83" spans="2:27" x14ac:dyDescent="0.25">
      <c r="B83" s="133" t="s">
        <v>68</v>
      </c>
      <c r="C83" s="135">
        <v>-5763</v>
      </c>
      <c r="D83" s="135">
        <v>-1938</v>
      </c>
      <c r="E83" s="135">
        <v>-1321</v>
      </c>
      <c r="F83" s="135">
        <v>6594</v>
      </c>
      <c r="G83" s="135">
        <v>-2928</v>
      </c>
      <c r="H83" s="135">
        <v>-4147</v>
      </c>
      <c r="I83" s="135">
        <v>129</v>
      </c>
      <c r="J83" s="135">
        <v>4042</v>
      </c>
      <c r="K83" s="135">
        <v>-4061</v>
      </c>
      <c r="L83" s="135">
        <v>-4952</v>
      </c>
      <c r="M83" s="135">
        <v>-1999</v>
      </c>
      <c r="N83" s="135"/>
      <c r="Y83" s="135">
        <f t="shared" si="64"/>
        <v>-2428</v>
      </c>
      <c r="Z83" s="135">
        <f t="shared" si="65"/>
        <v>-2904</v>
      </c>
      <c r="AA83" s="135">
        <v>-4061</v>
      </c>
    </row>
    <row r="84" spans="2:27" x14ac:dyDescent="0.25">
      <c r="B84" s="133" t="s">
        <v>69</v>
      </c>
      <c r="C84" s="135">
        <v>818</v>
      </c>
      <c r="D84" s="135">
        <v>156</v>
      </c>
      <c r="E84" s="135">
        <v>-25</v>
      </c>
      <c r="F84" s="135">
        <v>3629</v>
      </c>
      <c r="G84" s="135">
        <v>1568</v>
      </c>
      <c r="H84" s="135">
        <v>407</v>
      </c>
      <c r="I84" s="135">
        <v>421</v>
      </c>
      <c r="J84" s="135">
        <v>1611</v>
      </c>
      <c r="K84" s="135">
        <v>728</v>
      </c>
      <c r="L84" s="135">
        <v>-119</v>
      </c>
      <c r="M84" s="135">
        <v>-632</v>
      </c>
      <c r="N84" s="135"/>
      <c r="Y84" s="135">
        <f t="shared" si="64"/>
        <v>4578</v>
      </c>
      <c r="Z84" s="135">
        <f t="shared" si="65"/>
        <v>4007</v>
      </c>
      <c r="AA84" s="135">
        <v>728</v>
      </c>
    </row>
    <row r="85" spans="2:27" x14ac:dyDescent="0.25">
      <c r="B85" s="96" t="s">
        <v>512</v>
      </c>
      <c r="C85" s="108">
        <f t="shared" ref="C85:K85" si="66">SUM(C74:C84)</f>
        <v>4788</v>
      </c>
      <c r="D85" s="108">
        <f t="shared" si="66"/>
        <v>16476</v>
      </c>
      <c r="E85" s="108">
        <f t="shared" si="66"/>
        <v>21217</v>
      </c>
      <c r="F85" s="108">
        <f t="shared" si="66"/>
        <v>42465</v>
      </c>
      <c r="G85" s="108">
        <f t="shared" si="66"/>
        <v>18989</v>
      </c>
      <c r="H85" s="108">
        <f t="shared" si="66"/>
        <v>25281</v>
      </c>
      <c r="I85" s="108">
        <f t="shared" si="66"/>
        <v>25971</v>
      </c>
      <c r="J85" s="108">
        <f t="shared" si="66"/>
        <v>45636</v>
      </c>
      <c r="K85" s="108">
        <f t="shared" si="66"/>
        <v>17015</v>
      </c>
      <c r="L85" s="108">
        <f t="shared" ref="L85:M85" si="67">SUM(L74:L84)</f>
        <v>32515</v>
      </c>
      <c r="M85" s="108">
        <f t="shared" si="67"/>
        <v>35525</v>
      </c>
      <c r="N85" s="108"/>
      <c r="Y85" s="108">
        <f t="shared" ref="Y85:Z85" si="68">SUM(Y74:Y84)</f>
        <v>84946</v>
      </c>
      <c r="Z85" s="108">
        <f t="shared" si="68"/>
        <v>115877</v>
      </c>
      <c r="AA85" s="108">
        <f>SUM(AA74:AA84)</f>
        <v>17015</v>
      </c>
    </row>
    <row r="86" spans="2:27" x14ac:dyDescent="0.25">
      <c r="B86" s="133" t="s">
        <v>519</v>
      </c>
      <c r="C86" s="135">
        <v>-14207</v>
      </c>
      <c r="D86" s="135">
        <v>-11455</v>
      </c>
      <c r="E86" s="135">
        <v>-12479</v>
      </c>
      <c r="F86" s="135">
        <v>-14588</v>
      </c>
      <c r="G86" s="135">
        <v>-14925</v>
      </c>
      <c r="H86" s="135">
        <v>-17620</v>
      </c>
      <c r="I86" s="135">
        <v>-22620</v>
      </c>
      <c r="J86" s="135">
        <v>-27834</v>
      </c>
      <c r="K86" s="135">
        <v>-25019</v>
      </c>
      <c r="L86" s="135">
        <v>-32183</v>
      </c>
      <c r="M86" s="135">
        <v>-35095</v>
      </c>
      <c r="N86" s="135"/>
      <c r="Y86" s="135">
        <f>SUM(C86:F86)</f>
        <v>-52729</v>
      </c>
      <c r="Z86" s="135">
        <f>SUM(G86:J86)</f>
        <v>-82999</v>
      </c>
      <c r="AA86" s="135">
        <v>-25019</v>
      </c>
    </row>
    <row r="87" spans="2:27" x14ac:dyDescent="0.25">
      <c r="B87" s="133" t="s">
        <v>947</v>
      </c>
      <c r="C87" s="135">
        <v>1137</v>
      </c>
      <c r="D87" s="135">
        <v>1043</v>
      </c>
      <c r="E87" s="135">
        <v>1181</v>
      </c>
      <c r="F87" s="135">
        <v>1235</v>
      </c>
      <c r="G87" s="135">
        <v>990</v>
      </c>
      <c r="H87" s="135">
        <v>1227</v>
      </c>
      <c r="I87" s="135">
        <v>1342</v>
      </c>
      <c r="J87" s="135">
        <v>1782</v>
      </c>
      <c r="K87" s="135">
        <v>764</v>
      </c>
      <c r="L87" s="135">
        <v>815</v>
      </c>
      <c r="M87" s="135">
        <v>867</v>
      </c>
      <c r="N87" s="135"/>
      <c r="Y87" s="135">
        <f>SUM(C87:F87)</f>
        <v>4596</v>
      </c>
      <c r="Z87" s="135">
        <f>SUM(G87:J87)</f>
        <v>5341</v>
      </c>
      <c r="AA87" s="135">
        <v>764</v>
      </c>
    </row>
    <row r="88" spans="2:27" x14ac:dyDescent="0.25">
      <c r="B88" s="133" t="s">
        <v>854</v>
      </c>
      <c r="C88" s="135">
        <v>-3513</v>
      </c>
      <c r="D88" s="135">
        <v>-316</v>
      </c>
      <c r="E88" s="135">
        <v>-1629</v>
      </c>
      <c r="F88" s="135">
        <v>-381</v>
      </c>
      <c r="G88" s="135">
        <v>-3354</v>
      </c>
      <c r="H88" s="135">
        <v>-571</v>
      </c>
      <c r="I88" s="135">
        <v>-622</v>
      </c>
      <c r="J88" s="135">
        <v>-2535</v>
      </c>
      <c r="K88" s="135">
        <v>48</v>
      </c>
      <c r="L88" s="135">
        <v>-1700</v>
      </c>
      <c r="M88" s="135">
        <f>-786+16367</f>
        <v>15581</v>
      </c>
      <c r="N88" s="135"/>
      <c r="Y88" s="135">
        <f>SUM(C88:F88)</f>
        <v>-5839</v>
      </c>
      <c r="Z88" s="135">
        <f>SUM(G88:J88)</f>
        <v>-7082</v>
      </c>
      <c r="AA88" s="135">
        <v>48</v>
      </c>
    </row>
    <row r="89" spans="2:27" x14ac:dyDescent="0.25">
      <c r="B89" s="133" t="s">
        <v>948</v>
      </c>
      <c r="C89" s="135">
        <f>1115-338</f>
        <v>777</v>
      </c>
      <c r="D89" s="135">
        <f>1551-496</f>
        <v>1055</v>
      </c>
      <c r="E89" s="135">
        <f>1393-219</f>
        <v>1174</v>
      </c>
      <c r="F89" s="135">
        <f>1568-435</f>
        <v>1133</v>
      </c>
      <c r="G89" s="135">
        <f>1392-1965</f>
        <v>-573</v>
      </c>
      <c r="H89" s="135">
        <f>3265-8439</f>
        <v>-5174</v>
      </c>
      <c r="I89" s="135">
        <f>8069-3068</f>
        <v>5001</v>
      </c>
      <c r="J89" s="135">
        <f>3677-12533</f>
        <v>-8856</v>
      </c>
      <c r="K89" s="135">
        <f>7737-13333</f>
        <v>-5596</v>
      </c>
      <c r="L89" s="135">
        <f>11441-17797</f>
        <v>-6356</v>
      </c>
      <c r="M89" s="135">
        <v>-7426</v>
      </c>
      <c r="N89" s="135"/>
      <c r="Y89" s="135">
        <f>SUM(C89:F89)</f>
        <v>4139</v>
      </c>
      <c r="Z89" s="135">
        <f>SUM(G89:J89)</f>
        <v>-9602</v>
      </c>
      <c r="AA89" s="135">
        <f>7737-13333</f>
        <v>-5596</v>
      </c>
    </row>
    <row r="90" spans="2:27" x14ac:dyDescent="0.25">
      <c r="B90" s="96" t="s">
        <v>521</v>
      </c>
      <c r="C90" s="108">
        <f t="shared" ref="C90:K90" si="69">SUM(C86:C89)</f>
        <v>-15806</v>
      </c>
      <c r="D90" s="108">
        <f t="shared" si="69"/>
        <v>-9673</v>
      </c>
      <c r="E90" s="108">
        <f t="shared" si="69"/>
        <v>-11753</v>
      </c>
      <c r="F90" s="108">
        <f t="shared" si="69"/>
        <v>-12601</v>
      </c>
      <c r="G90" s="108">
        <f t="shared" si="69"/>
        <v>-17862</v>
      </c>
      <c r="H90" s="108">
        <f t="shared" si="69"/>
        <v>-22138</v>
      </c>
      <c r="I90" s="108">
        <f t="shared" si="69"/>
        <v>-16899</v>
      </c>
      <c r="J90" s="108">
        <f t="shared" si="69"/>
        <v>-37443</v>
      </c>
      <c r="K90" s="108">
        <f t="shared" si="69"/>
        <v>-29803</v>
      </c>
      <c r="L90" s="108">
        <f t="shared" ref="L90:M90" si="70">SUM(L86:L89)</f>
        <v>-39424</v>
      </c>
      <c r="M90" s="108">
        <f t="shared" si="70"/>
        <v>-26073</v>
      </c>
      <c r="N90" s="108"/>
      <c r="Y90" s="108">
        <f t="shared" ref="Y90" si="71">SUM(Y86:Y89)</f>
        <v>-49833</v>
      </c>
      <c r="Z90" s="108">
        <f t="shared" ref="Z90" si="72">SUM(Z86:Z89)</f>
        <v>-94342</v>
      </c>
      <c r="AA90" s="108">
        <f>SUM(AA86:AA89)</f>
        <v>-29803</v>
      </c>
    </row>
    <row r="91" spans="2:27" x14ac:dyDescent="0.25">
      <c r="B91" s="133" t="s">
        <v>949</v>
      </c>
      <c r="C91" s="135">
        <f>12780-3603</f>
        <v>9177</v>
      </c>
      <c r="D91" s="135">
        <f>4399-7641</f>
        <v>-3242</v>
      </c>
      <c r="E91" s="135">
        <f>216-8095</f>
        <v>-7879</v>
      </c>
      <c r="F91" s="135">
        <f>734-6338</f>
        <v>-5604</v>
      </c>
      <c r="G91" s="135">
        <f>338-404</f>
        <v>-66</v>
      </c>
      <c r="H91" s="135">
        <f>525-229</f>
        <v>296</v>
      </c>
      <c r="I91" s="135">
        <f>1725-1820</f>
        <v>-95</v>
      </c>
      <c r="J91" s="135">
        <f>2554-2607</f>
        <v>-53</v>
      </c>
      <c r="K91" s="135">
        <f>1815-2082</f>
        <v>-267</v>
      </c>
      <c r="L91" s="135">
        <f>2093-1392</f>
        <v>701</v>
      </c>
      <c r="M91" s="135">
        <f>3223-1826</f>
        <v>1397</v>
      </c>
      <c r="N91" s="135"/>
      <c r="Y91" s="135">
        <f>SUM(C91:F91)</f>
        <v>-7548</v>
      </c>
      <c r="Z91" s="135">
        <f>SUM(G91:J91)</f>
        <v>82</v>
      </c>
      <c r="AA91" s="135">
        <f>1815-2082</f>
        <v>-267</v>
      </c>
    </row>
    <row r="92" spans="2:27" x14ac:dyDescent="0.25">
      <c r="B92" s="133" t="s">
        <v>950</v>
      </c>
      <c r="C92" s="135">
        <v>-1386</v>
      </c>
      <c r="D92" s="135">
        <v>-2000</v>
      </c>
      <c r="E92" s="135"/>
      <c r="F92" s="135">
        <v>-290</v>
      </c>
      <c r="G92" s="135">
        <v>-330</v>
      </c>
      <c r="H92" s="135">
        <v>-4169</v>
      </c>
      <c r="I92" s="135">
        <v>-2183</v>
      </c>
      <c r="J92" s="135">
        <v>-2500</v>
      </c>
      <c r="K92" s="135">
        <v>746</v>
      </c>
      <c r="L92" s="135">
        <v>-2751</v>
      </c>
      <c r="M92" s="135">
        <v>-1008</v>
      </c>
      <c r="N92" s="135"/>
      <c r="Y92" s="135">
        <f>SUM(C92:F92)</f>
        <v>-3676</v>
      </c>
      <c r="Z92" s="135">
        <f>SUM(G92:J92)</f>
        <v>-9182</v>
      </c>
      <c r="AA92" s="135">
        <v>746</v>
      </c>
    </row>
    <row r="93" spans="2:27" x14ac:dyDescent="0.25">
      <c r="B93" s="133" t="s">
        <v>951</v>
      </c>
      <c r="C93" s="135">
        <v>-1380</v>
      </c>
      <c r="D93" s="135">
        <v>-1220</v>
      </c>
      <c r="E93" s="135">
        <v>-1005</v>
      </c>
      <c r="F93" s="135">
        <v>-779</v>
      </c>
      <c r="G93" s="135">
        <v>-770</v>
      </c>
      <c r="H93" s="135">
        <v>-538</v>
      </c>
      <c r="I93" s="135">
        <v>-402</v>
      </c>
      <c r="J93" s="135">
        <v>-333</v>
      </c>
      <c r="K93" s="135">
        <v>-410</v>
      </c>
      <c r="L93" s="135">
        <v>-411</v>
      </c>
      <c r="M93" s="135">
        <v>-351</v>
      </c>
      <c r="N93" s="135"/>
      <c r="Y93" s="135">
        <f>SUM(C93:F93)</f>
        <v>-4384</v>
      </c>
      <c r="Z93" s="135">
        <f>SUM(G93:J93)</f>
        <v>-2043</v>
      </c>
      <c r="AA93" s="135">
        <v>-410</v>
      </c>
    </row>
    <row r="94" spans="2:27" x14ac:dyDescent="0.25">
      <c r="B94" s="133" t="s">
        <v>952</v>
      </c>
      <c r="C94" s="135">
        <v>-57</v>
      </c>
      <c r="D94" s="135">
        <v>-77</v>
      </c>
      <c r="E94" s="135">
        <v>-64</v>
      </c>
      <c r="F94" s="135">
        <v>-73</v>
      </c>
      <c r="G94" s="135">
        <v>-90</v>
      </c>
      <c r="H94" s="135">
        <v>-79</v>
      </c>
      <c r="I94" s="135">
        <v>-78</v>
      </c>
      <c r="J94" s="135">
        <v>-422</v>
      </c>
      <c r="K94" s="135">
        <v>-116</v>
      </c>
      <c r="L94" s="135">
        <v>-78</v>
      </c>
      <c r="M94" s="135">
        <v>-82</v>
      </c>
      <c r="N94" s="135"/>
      <c r="Y94" s="135">
        <f>SUM(C94:F94)</f>
        <v>-271</v>
      </c>
      <c r="Z94" s="135">
        <f>SUM(G94:J94)</f>
        <v>-669</v>
      </c>
      <c r="AA94" s="135">
        <v>-116</v>
      </c>
    </row>
    <row r="95" spans="2:27" x14ac:dyDescent="0.25">
      <c r="B95" s="96" t="s">
        <v>518</v>
      </c>
      <c r="C95" s="108">
        <f t="shared" ref="C95:K95" si="73">SUM(C91:C94)</f>
        <v>6354</v>
      </c>
      <c r="D95" s="108">
        <f t="shared" si="73"/>
        <v>-6539</v>
      </c>
      <c r="E95" s="108">
        <f t="shared" si="73"/>
        <v>-8948</v>
      </c>
      <c r="F95" s="108">
        <f t="shared" si="73"/>
        <v>-6746</v>
      </c>
      <c r="G95" s="108">
        <f t="shared" si="73"/>
        <v>-1256</v>
      </c>
      <c r="H95" s="108">
        <f t="shared" si="73"/>
        <v>-4490</v>
      </c>
      <c r="I95" s="108">
        <f t="shared" si="73"/>
        <v>-2758</v>
      </c>
      <c r="J95" s="108">
        <f t="shared" si="73"/>
        <v>-3308</v>
      </c>
      <c r="K95" s="108">
        <f t="shared" si="73"/>
        <v>-47</v>
      </c>
      <c r="L95" s="108">
        <f t="shared" ref="L95:M95" si="74">SUM(L91:L94)</f>
        <v>-2539</v>
      </c>
      <c r="M95" s="108">
        <f t="shared" si="74"/>
        <v>-44</v>
      </c>
      <c r="N95" s="108"/>
      <c r="Y95" s="108">
        <f t="shared" ref="Y95" si="75">SUM(Y91:Y94)</f>
        <v>-15879</v>
      </c>
      <c r="Z95" s="108">
        <f t="shared" ref="Z95" si="76">SUM(Z91:Z94)</f>
        <v>-11812</v>
      </c>
      <c r="AA95" s="108">
        <f>SUM(AA91:AA94)</f>
        <v>-47</v>
      </c>
    </row>
    <row r="96" spans="2:27" x14ac:dyDescent="0.25">
      <c r="B96" s="133" t="s">
        <v>953</v>
      </c>
      <c r="C96" s="135">
        <v>145</v>
      </c>
      <c r="D96" s="135">
        <v>69</v>
      </c>
      <c r="E96" s="135">
        <v>-502</v>
      </c>
      <c r="F96" s="135">
        <v>691</v>
      </c>
      <c r="G96" s="135">
        <v>-429</v>
      </c>
      <c r="H96" s="135">
        <v>-312</v>
      </c>
      <c r="I96" s="135">
        <v>690</v>
      </c>
      <c r="J96" s="135">
        <v>-1250</v>
      </c>
      <c r="K96" s="135">
        <v>416</v>
      </c>
      <c r="L96" s="135">
        <v>1008</v>
      </c>
      <c r="M96" s="135">
        <v>-397</v>
      </c>
      <c r="N96" s="135"/>
      <c r="Y96" s="135">
        <f>SUM(C96:F96)</f>
        <v>403</v>
      </c>
      <c r="Z96" s="135">
        <f>SUM(G96:J96)</f>
        <v>-1301</v>
      </c>
      <c r="AA96" s="135">
        <v>416</v>
      </c>
    </row>
    <row r="97" spans="2:27" x14ac:dyDescent="0.25">
      <c r="B97" s="96" t="s">
        <v>522</v>
      </c>
      <c r="C97" s="108">
        <f t="shared" ref="C97:K97" si="77">C85+C90+C95+C96</f>
        <v>-4519</v>
      </c>
      <c r="D97" s="108">
        <f t="shared" si="77"/>
        <v>333</v>
      </c>
      <c r="E97" s="108">
        <f t="shared" si="77"/>
        <v>14</v>
      </c>
      <c r="F97" s="108">
        <f t="shared" si="77"/>
        <v>23809</v>
      </c>
      <c r="G97" s="108">
        <f t="shared" si="77"/>
        <v>-558</v>
      </c>
      <c r="H97" s="108">
        <f t="shared" si="77"/>
        <v>-1659</v>
      </c>
      <c r="I97" s="108">
        <f t="shared" si="77"/>
        <v>7004</v>
      </c>
      <c r="J97" s="108">
        <f t="shared" si="77"/>
        <v>3635</v>
      </c>
      <c r="K97" s="108">
        <f t="shared" si="77"/>
        <v>-12419</v>
      </c>
      <c r="L97" s="108">
        <f t="shared" ref="L97:M97" si="78">L85+L90+L95+L96</f>
        <v>-8440</v>
      </c>
      <c r="M97" s="108">
        <f t="shared" si="78"/>
        <v>9011</v>
      </c>
      <c r="N97" s="108"/>
      <c r="Y97" s="108">
        <f t="shared" ref="Y97" si="79">Y85+Y90+Y95+Y96</f>
        <v>19637</v>
      </c>
      <c r="Z97" s="108">
        <f t="shared" ref="Z97" si="80">Z85+Z90+Z95+Z96</f>
        <v>8422</v>
      </c>
      <c r="AA97" s="108">
        <f>AA85+AA90+AA95+AA96</f>
        <v>-12419</v>
      </c>
    </row>
    <row r="98" spans="2:27" x14ac:dyDescent="0.25">
      <c r="B98" s="133" t="s">
        <v>954</v>
      </c>
      <c r="C98" s="135">
        <f t="shared" ref="C98:K98" si="81">C73+C97</f>
        <v>49734</v>
      </c>
      <c r="D98" s="135">
        <f t="shared" si="81"/>
        <v>50067</v>
      </c>
      <c r="E98" s="135">
        <f t="shared" si="81"/>
        <v>50081</v>
      </c>
      <c r="F98" s="135">
        <f t="shared" si="81"/>
        <v>73890</v>
      </c>
      <c r="G98" s="135">
        <f t="shared" si="81"/>
        <v>73332</v>
      </c>
      <c r="H98" s="135">
        <f t="shared" si="81"/>
        <v>71673</v>
      </c>
      <c r="I98" s="135">
        <f t="shared" si="81"/>
        <v>78677</v>
      </c>
      <c r="J98" s="135">
        <f t="shared" si="81"/>
        <v>82312</v>
      </c>
      <c r="K98" s="135">
        <f t="shared" si="81"/>
        <v>69893</v>
      </c>
      <c r="L98" s="135">
        <f t="shared" ref="L98:M98" si="82">L73+L97</f>
        <v>61453</v>
      </c>
      <c r="M98" s="135">
        <f t="shared" si="82"/>
        <v>70464</v>
      </c>
      <c r="N98" s="135"/>
      <c r="Y98" s="135">
        <f>SUM(C98:F98)</f>
        <v>223772</v>
      </c>
      <c r="Z98" s="135">
        <f>SUM(G98:J98)</f>
        <v>305994</v>
      </c>
      <c r="AA98" s="135">
        <f>AA73+AA97</f>
        <v>69893</v>
      </c>
    </row>
    <row r="101" spans="2:27" x14ac:dyDescent="0.25">
      <c r="B101" s="133" t="s">
        <v>523</v>
      </c>
      <c r="C101" s="135">
        <f t="shared" ref="C101:I101" si="83">+C85+C86</f>
        <v>-9419</v>
      </c>
      <c r="D101" s="135">
        <f t="shared" si="83"/>
        <v>5021</v>
      </c>
      <c r="E101" s="135">
        <f t="shared" si="83"/>
        <v>8738</v>
      </c>
      <c r="F101" s="135">
        <f t="shared" si="83"/>
        <v>27877</v>
      </c>
      <c r="G101" s="135">
        <f t="shared" si="83"/>
        <v>4064</v>
      </c>
      <c r="H101" s="135">
        <f t="shared" si="83"/>
        <v>7661</v>
      </c>
      <c r="I101" s="135">
        <f t="shared" si="83"/>
        <v>3351</v>
      </c>
      <c r="J101" s="135">
        <f>+J85+J86</f>
        <v>17802</v>
      </c>
      <c r="K101" s="135">
        <f>+K85+K86</f>
        <v>-8004</v>
      </c>
      <c r="L101" s="135">
        <f>+L85+L86</f>
        <v>332</v>
      </c>
      <c r="M101" s="135">
        <f>+M85+M86</f>
        <v>430</v>
      </c>
      <c r="N101" s="135"/>
      <c r="Z101" s="135">
        <f t="shared" ref="Z101:AA101" si="84">+Z85+Z86</f>
        <v>32878</v>
      </c>
      <c r="AA101" s="135">
        <f t="shared" si="84"/>
        <v>-8004</v>
      </c>
    </row>
    <row r="102" spans="2:27" x14ac:dyDescent="0.25">
      <c r="B102" s="133" t="s">
        <v>956</v>
      </c>
      <c r="C102" s="144">
        <f t="shared" ref="C102:I102" si="85">-C86/C72</f>
        <v>3.8543136190992948</v>
      </c>
      <c r="D102" s="144">
        <f t="shared" si="85"/>
        <v>1.6264375976146528</v>
      </c>
      <c r="E102" s="144">
        <f t="shared" si="85"/>
        <v>1.4585086489013557</v>
      </c>
      <c r="F102" s="144">
        <f t="shared" si="85"/>
        <v>1.1589735441328355</v>
      </c>
      <c r="G102" s="144">
        <f t="shared" si="85"/>
        <v>1.5116985718626557</v>
      </c>
      <c r="H102" s="144">
        <f t="shared" si="85"/>
        <v>1.3460656990068756</v>
      </c>
      <c r="I102" s="144">
        <f t="shared" si="85"/>
        <v>1.2997759007067746</v>
      </c>
      <c r="J102" s="144">
        <f>-J86/J72</f>
        <v>1.2716557017543859</v>
      </c>
      <c r="K102" s="144">
        <f>-K86/K72</f>
        <v>1.5399150612420756</v>
      </c>
      <c r="L102" s="144">
        <f>-L86/L72</f>
        <v>1.7718013653380313</v>
      </c>
      <c r="M102" s="144">
        <f>-M86/M72</f>
        <v>1.6564402699768725</v>
      </c>
      <c r="N102" s="144"/>
      <c r="Z102" s="144">
        <f t="shared" ref="Z102:AA102" si="86">-Z86/Z72</f>
        <v>1.4008742911153118</v>
      </c>
      <c r="AA102" s="144">
        <f t="shared" si="86"/>
        <v>0.33191382100878242</v>
      </c>
    </row>
    <row r="104" spans="2:27" s="142" customFormat="1" x14ac:dyDescent="0.25">
      <c r="B104" s="142" t="s">
        <v>1056</v>
      </c>
      <c r="G104" s="142">
        <f t="shared" ref="G104:L104" si="87">G86/C86-1</f>
        <v>5.0538466952910532E-2</v>
      </c>
      <c r="H104" s="142">
        <f t="shared" si="87"/>
        <v>0.53819292885202974</v>
      </c>
      <c r="I104" s="142">
        <f t="shared" si="87"/>
        <v>0.81264524400993676</v>
      </c>
      <c r="J104" s="142">
        <f t="shared" si="87"/>
        <v>0.90800658075130247</v>
      </c>
      <c r="K104" s="142">
        <f t="shared" si="87"/>
        <v>0.67631490787269688</v>
      </c>
      <c r="L104" s="142">
        <f t="shared" si="87"/>
        <v>0.82650397275822929</v>
      </c>
      <c r="M104" s="142">
        <f>M86/I86-1</f>
        <v>0.5515030946065429</v>
      </c>
    </row>
  </sheetData>
  <phoneticPr fontId="12" type="noConversion"/>
  <hyperlinks>
    <hyperlink ref="A1" location="Main!I3" display="Main" xr:uid="{E56CD11E-45CA-46FD-A9B3-728094599393}"/>
  </hyperlinks>
  <pageMargins left="0.7" right="0.7" top="0.75" bottom="0.75" header="0.3" footer="0.3"/>
  <pageSetup orientation="portrait" r:id="rId1"/>
  <ignoredErrors>
    <ignoredError sqref="G27 G29 J27 J29 J67 Y97:Z97 Y95:Z95 Y90:Z90" formula="1"/>
    <ignoredError sqref="I85:K85 C85:H85 X11:Z11 Y74:Z84 Y86:Z89 Y96:Z96 Y91:Z94 AA85 AB17 AB31" formulaRange="1"/>
    <ignoredError sqref="Y85:Z85" formula="1"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3A6EA-56D7-49F4-B942-01B09B8B750A}">
  <dimension ref="A1:ABT216"/>
  <sheetViews>
    <sheetView zoomScale="84" zoomScaleNormal="55" workbookViewId="0">
      <pane xSplit="2" ySplit="2" topLeftCell="C3" activePane="bottomRight" state="frozen"/>
      <selection activeCell="AO39" sqref="AO39"/>
      <selection pane="topRight" activeCell="AO39" sqref="AO39"/>
      <selection pane="bottomLeft" activeCell="AO39" sqref="AO39"/>
      <selection pane="bottomRight" activeCell="O68" sqref="O68"/>
    </sheetView>
  </sheetViews>
  <sheetFormatPr defaultRowHeight="13.2" x14ac:dyDescent="0.25"/>
  <cols>
    <col min="1" max="1" width="8.88671875" style="133"/>
    <col min="2" max="2" width="30.77734375" style="133" bestFit="1" customWidth="1"/>
    <col min="3" max="6" width="10.33203125" style="133" customWidth="1"/>
    <col min="7" max="7" width="10.33203125" style="133" bestFit="1" customWidth="1"/>
    <col min="8" max="10" width="8.88671875" style="133"/>
    <col min="11" max="11" width="10.33203125" style="133" bestFit="1" customWidth="1"/>
    <col min="12" max="34" width="8.88671875" style="133"/>
    <col min="35" max="35" width="14.33203125" style="133" bestFit="1" customWidth="1"/>
    <col min="36" max="36" width="13.77734375" style="133" bestFit="1" customWidth="1"/>
    <col min="37" max="40" width="8.88671875" style="133"/>
    <col min="41" max="41" width="10" style="133" customWidth="1"/>
    <col min="42" max="16384" width="8.88671875" style="133"/>
  </cols>
  <sheetData>
    <row r="1" spans="1:282" x14ac:dyDescent="0.25">
      <c r="A1" s="94" t="s">
        <v>8</v>
      </c>
      <c r="C1" s="133" t="s">
        <v>73</v>
      </c>
      <c r="L1" s="133" t="s">
        <v>90</v>
      </c>
      <c r="U1" s="134"/>
      <c r="W1" s="133" t="s">
        <v>90</v>
      </c>
    </row>
    <row r="2" spans="1:282" x14ac:dyDescent="0.25">
      <c r="B2" s="96" t="s">
        <v>35</v>
      </c>
      <c r="C2" s="133" t="s">
        <v>72</v>
      </c>
      <c r="D2" s="133" t="s">
        <v>53</v>
      </c>
      <c r="E2" s="133" t="s">
        <v>52</v>
      </c>
      <c r="F2" s="133" t="s">
        <v>33</v>
      </c>
      <c r="G2" s="133" t="s">
        <v>10</v>
      </c>
      <c r="H2" s="133" t="s">
        <v>11</v>
      </c>
      <c r="I2" s="133" t="s">
        <v>12</v>
      </c>
      <c r="J2" s="133" t="s">
        <v>7</v>
      </c>
      <c r="K2" s="133" t="s">
        <v>13</v>
      </c>
      <c r="L2" s="133" t="s">
        <v>14</v>
      </c>
      <c r="M2" s="133" t="s">
        <v>15</v>
      </c>
      <c r="N2" s="133" t="s">
        <v>16</v>
      </c>
      <c r="O2" s="133" t="s">
        <v>89</v>
      </c>
      <c r="P2" s="169" t="s">
        <v>917</v>
      </c>
      <c r="T2" s="133" t="s">
        <v>74</v>
      </c>
      <c r="U2" s="134" t="s">
        <v>75</v>
      </c>
      <c r="V2" s="133" t="s">
        <v>76</v>
      </c>
      <c r="W2" s="133" t="s">
        <v>77</v>
      </c>
      <c r="X2" s="133" t="s">
        <v>78</v>
      </c>
      <c r="Y2" s="133" t="s">
        <v>80</v>
      </c>
      <c r="Z2" s="133" t="s">
        <v>81</v>
      </c>
      <c r="AA2" s="133" t="s">
        <v>82</v>
      </c>
      <c r="AB2" s="133" t="s">
        <v>83</v>
      </c>
      <c r="AC2" s="133" t="s">
        <v>84</v>
      </c>
      <c r="AD2" s="133" t="s">
        <v>85</v>
      </c>
      <c r="AE2" s="133" t="s">
        <v>86</v>
      </c>
      <c r="AF2" s="133" t="s">
        <v>87</v>
      </c>
      <c r="AG2" s="133" t="s">
        <v>88</v>
      </c>
      <c r="AH2" s="133" t="s">
        <v>98</v>
      </c>
      <c r="AI2" s="133" t="s">
        <v>99</v>
      </c>
      <c r="AJ2" s="133" t="s">
        <v>100</v>
      </c>
      <c r="AK2" s="133" t="s">
        <v>101</v>
      </c>
      <c r="AL2" s="133" t="s">
        <v>102</v>
      </c>
      <c r="AM2" s="133" t="s">
        <v>103</v>
      </c>
      <c r="AN2" s="133" t="s">
        <v>104</v>
      </c>
      <c r="AO2" s="133" t="s">
        <v>105</v>
      </c>
      <c r="AP2" s="133" t="s">
        <v>106</v>
      </c>
      <c r="AQ2" s="133" t="s">
        <v>107</v>
      </c>
      <c r="AR2" s="133" t="s">
        <v>108</v>
      </c>
      <c r="AS2" s="133" t="s">
        <v>109</v>
      </c>
      <c r="AT2" s="133" t="s">
        <v>110</v>
      </c>
      <c r="AU2" s="133" t="s">
        <v>111</v>
      </c>
      <c r="AV2" s="133" t="s">
        <v>112</v>
      </c>
      <c r="AW2" s="133" t="s">
        <v>113</v>
      </c>
      <c r="AX2" s="133" t="s">
        <v>114</v>
      </c>
      <c r="AY2" s="133" t="s">
        <v>115</v>
      </c>
      <c r="AZ2" s="133" t="s">
        <v>116</v>
      </c>
      <c r="BA2" s="133" t="s">
        <v>117</v>
      </c>
      <c r="BB2" s="133" t="s">
        <v>118</v>
      </c>
      <c r="BC2" s="133" t="s">
        <v>119</v>
      </c>
      <c r="BD2" s="133" t="s">
        <v>120</v>
      </c>
      <c r="BE2" s="133" t="s">
        <v>121</v>
      </c>
      <c r="BF2" s="133" t="s">
        <v>122</v>
      </c>
      <c r="BG2" s="133" t="s">
        <v>123</v>
      </c>
      <c r="BH2" s="133" t="s">
        <v>124</v>
      </c>
      <c r="BI2" s="133" t="s">
        <v>125</v>
      </c>
      <c r="BJ2" s="133" t="s">
        <v>126</v>
      </c>
      <c r="BK2" s="133" t="s">
        <v>127</v>
      </c>
      <c r="BL2" s="133" t="s">
        <v>128</v>
      </c>
      <c r="BM2" s="133" t="s">
        <v>129</v>
      </c>
      <c r="BN2" s="133" t="s">
        <v>130</v>
      </c>
      <c r="BO2" s="133" t="s">
        <v>131</v>
      </c>
      <c r="BP2" s="133" t="s">
        <v>132</v>
      </c>
      <c r="BQ2" s="133" t="s">
        <v>133</v>
      </c>
      <c r="BR2" s="133" t="s">
        <v>134</v>
      </c>
      <c r="BS2" s="133" t="s">
        <v>135</v>
      </c>
      <c r="BT2" s="133" t="s">
        <v>136</v>
      </c>
      <c r="BU2" s="133" t="s">
        <v>137</v>
      </c>
      <c r="BV2" s="133" t="s">
        <v>138</v>
      </c>
      <c r="BW2" s="133" t="s">
        <v>139</v>
      </c>
      <c r="BX2" s="133" t="s">
        <v>140</v>
      </c>
      <c r="BY2" s="133" t="s">
        <v>141</v>
      </c>
      <c r="BZ2" s="133" t="s">
        <v>142</v>
      </c>
      <c r="CA2" s="133" t="s">
        <v>143</v>
      </c>
      <c r="CB2" s="133" t="s">
        <v>144</v>
      </c>
      <c r="CC2" s="133" t="s">
        <v>145</v>
      </c>
      <c r="CD2" s="133" t="s">
        <v>146</v>
      </c>
      <c r="CE2" s="133" t="s">
        <v>147</v>
      </c>
      <c r="CF2" s="133" t="s">
        <v>148</v>
      </c>
      <c r="CG2" s="133" t="s">
        <v>149</v>
      </c>
      <c r="CH2" s="133" t="s">
        <v>150</v>
      </c>
      <c r="CI2" s="133" t="s">
        <v>151</v>
      </c>
      <c r="CJ2" s="133" t="s">
        <v>152</v>
      </c>
      <c r="CK2" s="133" t="s">
        <v>153</v>
      </c>
      <c r="CL2" s="133" t="s">
        <v>154</v>
      </c>
      <c r="CM2" s="133" t="s">
        <v>155</v>
      </c>
      <c r="CN2" s="133" t="s">
        <v>156</v>
      </c>
      <c r="CO2" s="133" t="s">
        <v>157</v>
      </c>
      <c r="CP2" s="133" t="s">
        <v>158</v>
      </c>
      <c r="CQ2" s="133" t="s">
        <v>159</v>
      </c>
      <c r="CR2" s="133" t="s">
        <v>160</v>
      </c>
      <c r="CS2" s="133" t="s">
        <v>161</v>
      </c>
      <c r="CT2" s="133" t="s">
        <v>162</v>
      </c>
      <c r="CU2" s="133" t="s">
        <v>163</v>
      </c>
      <c r="CV2" s="133" t="s">
        <v>164</v>
      </c>
      <c r="CW2" s="133" t="s">
        <v>165</v>
      </c>
      <c r="CX2" s="133" t="s">
        <v>166</v>
      </c>
      <c r="CY2" s="133" t="s">
        <v>167</v>
      </c>
      <c r="CZ2" s="133" t="s">
        <v>168</v>
      </c>
      <c r="DA2" s="133" t="s">
        <v>169</v>
      </c>
      <c r="DB2" s="133" t="s">
        <v>170</v>
      </c>
      <c r="DC2" s="133" t="s">
        <v>171</v>
      </c>
      <c r="DD2" s="133" t="s">
        <v>172</v>
      </c>
      <c r="DE2" s="133" t="s">
        <v>173</v>
      </c>
      <c r="DF2" s="133" t="s">
        <v>174</v>
      </c>
      <c r="DG2" s="133" t="s">
        <v>175</v>
      </c>
      <c r="DH2" s="133" t="s">
        <v>176</v>
      </c>
      <c r="DI2" s="133" t="s">
        <v>177</v>
      </c>
      <c r="DJ2" s="133" t="s">
        <v>178</v>
      </c>
      <c r="DK2" s="133" t="s">
        <v>179</v>
      </c>
      <c r="DL2" s="133" t="s">
        <v>180</v>
      </c>
      <c r="DM2" s="133" t="s">
        <v>181</v>
      </c>
      <c r="DN2" s="133" t="s">
        <v>182</v>
      </c>
      <c r="DO2" s="133" t="s">
        <v>183</v>
      </c>
      <c r="DP2" s="133" t="s">
        <v>184</v>
      </c>
      <c r="DQ2" s="133" t="s">
        <v>185</v>
      </c>
      <c r="DR2" s="133" t="s">
        <v>186</v>
      </c>
      <c r="DS2" s="133" t="s">
        <v>187</v>
      </c>
      <c r="DT2" s="133" t="s">
        <v>188</v>
      </c>
      <c r="DU2" s="133" t="s">
        <v>189</v>
      </c>
      <c r="DV2" s="133" t="s">
        <v>190</v>
      </c>
      <c r="DW2" s="133" t="s">
        <v>191</v>
      </c>
      <c r="DX2" s="133" t="s">
        <v>192</v>
      </c>
      <c r="DY2" s="133" t="s">
        <v>193</v>
      </c>
      <c r="DZ2" s="133" t="s">
        <v>194</v>
      </c>
      <c r="EA2" s="133" t="s">
        <v>195</v>
      </c>
      <c r="EB2" s="133" t="s">
        <v>196</v>
      </c>
      <c r="EC2" s="133" t="s">
        <v>197</v>
      </c>
      <c r="ED2" s="133" t="s">
        <v>198</v>
      </c>
      <c r="EE2" s="133" t="s">
        <v>199</v>
      </c>
      <c r="EF2" s="133" t="s">
        <v>200</v>
      </c>
      <c r="EG2" s="133" t="s">
        <v>201</v>
      </c>
      <c r="EH2" s="133" t="s">
        <v>202</v>
      </c>
      <c r="EI2" s="133" t="s">
        <v>203</v>
      </c>
      <c r="EJ2" s="133" t="s">
        <v>204</v>
      </c>
      <c r="EK2" s="133" t="s">
        <v>205</v>
      </c>
      <c r="EL2" s="133" t="s">
        <v>206</v>
      </c>
      <c r="EM2" s="133" t="s">
        <v>207</v>
      </c>
      <c r="EN2" s="133" t="s">
        <v>208</v>
      </c>
      <c r="EO2" s="133" t="s">
        <v>209</v>
      </c>
      <c r="EP2" s="133" t="s">
        <v>210</v>
      </c>
      <c r="EQ2" s="133" t="s">
        <v>211</v>
      </c>
      <c r="ER2" s="133" t="s">
        <v>212</v>
      </c>
      <c r="ES2" s="133" t="s">
        <v>213</v>
      </c>
      <c r="ET2" s="133" t="s">
        <v>214</v>
      </c>
      <c r="EU2" s="133" t="s">
        <v>215</v>
      </c>
      <c r="EV2" s="133" t="s">
        <v>216</v>
      </c>
      <c r="EW2" s="133" t="s">
        <v>217</v>
      </c>
      <c r="EX2" s="133" t="s">
        <v>218</v>
      </c>
      <c r="EY2" s="133" t="s">
        <v>219</v>
      </c>
      <c r="EZ2" s="133" t="s">
        <v>220</v>
      </c>
      <c r="FA2" s="133" t="s">
        <v>221</v>
      </c>
      <c r="FB2" s="133" t="s">
        <v>222</v>
      </c>
      <c r="FC2" s="133" t="s">
        <v>223</v>
      </c>
      <c r="FD2" s="133" t="s">
        <v>224</v>
      </c>
      <c r="FE2" s="133" t="s">
        <v>225</v>
      </c>
      <c r="FF2" s="133" t="s">
        <v>226</v>
      </c>
      <c r="FG2" s="133" t="s">
        <v>227</v>
      </c>
      <c r="FH2" s="133" t="s">
        <v>228</v>
      </c>
      <c r="FI2" s="133" t="s">
        <v>229</v>
      </c>
      <c r="FJ2" s="133" t="s">
        <v>230</v>
      </c>
      <c r="FK2" s="133" t="s">
        <v>231</v>
      </c>
      <c r="FL2" s="133" t="s">
        <v>232</v>
      </c>
      <c r="FM2" s="133" t="s">
        <v>233</v>
      </c>
      <c r="FN2" s="133" t="s">
        <v>234</v>
      </c>
      <c r="FO2" s="133" t="s">
        <v>235</v>
      </c>
      <c r="FP2" s="133" t="s">
        <v>236</v>
      </c>
      <c r="FQ2" s="133" t="s">
        <v>237</v>
      </c>
      <c r="FR2" s="133" t="s">
        <v>238</v>
      </c>
      <c r="FS2" s="133" t="s">
        <v>239</v>
      </c>
      <c r="FT2" s="133" t="s">
        <v>240</v>
      </c>
      <c r="FU2" s="133" t="s">
        <v>241</v>
      </c>
      <c r="FV2" s="133" t="s">
        <v>242</v>
      </c>
      <c r="FW2" s="133" t="s">
        <v>243</v>
      </c>
      <c r="FX2" s="133" t="s">
        <v>244</v>
      </c>
      <c r="FY2" s="133" t="s">
        <v>245</v>
      </c>
      <c r="FZ2" s="133" t="s">
        <v>246</v>
      </c>
      <c r="GA2" s="133" t="s">
        <v>247</v>
      </c>
      <c r="GB2" s="133" t="s">
        <v>248</v>
      </c>
      <c r="GC2" s="133" t="s">
        <v>249</v>
      </c>
      <c r="GD2" s="133" t="s">
        <v>250</v>
      </c>
      <c r="GE2" s="133" t="s">
        <v>251</v>
      </c>
      <c r="GF2" s="133" t="s">
        <v>252</v>
      </c>
      <c r="GG2" s="133" t="s">
        <v>253</v>
      </c>
      <c r="GH2" s="133" t="s">
        <v>254</v>
      </c>
      <c r="GI2" s="133" t="s">
        <v>255</v>
      </c>
      <c r="GJ2" s="133" t="s">
        <v>256</v>
      </c>
      <c r="GK2" s="133" t="s">
        <v>257</v>
      </c>
      <c r="GL2" s="133" t="s">
        <v>258</v>
      </c>
      <c r="GM2" s="133" t="s">
        <v>259</v>
      </c>
      <c r="GN2" s="133" t="s">
        <v>260</v>
      </c>
      <c r="GO2" s="133" t="s">
        <v>261</v>
      </c>
      <c r="GP2" s="133" t="s">
        <v>262</v>
      </c>
      <c r="GQ2" s="133" t="s">
        <v>263</v>
      </c>
      <c r="GR2" s="133" t="s">
        <v>264</v>
      </c>
      <c r="GS2" s="133" t="s">
        <v>265</v>
      </c>
      <c r="GT2" s="133" t="s">
        <v>266</v>
      </c>
      <c r="GU2" s="133" t="s">
        <v>267</v>
      </c>
      <c r="GV2" s="133" t="s">
        <v>268</v>
      </c>
      <c r="GW2" s="133" t="s">
        <v>269</v>
      </c>
      <c r="GX2" s="133" t="s">
        <v>270</v>
      </c>
      <c r="GY2" s="133" t="s">
        <v>271</v>
      </c>
      <c r="GZ2" s="133" t="s">
        <v>272</v>
      </c>
      <c r="HA2" s="133" t="s">
        <v>273</v>
      </c>
      <c r="HB2" s="133" t="s">
        <v>274</v>
      </c>
      <c r="HC2" s="133" t="s">
        <v>275</v>
      </c>
      <c r="HD2" s="133" t="s">
        <v>276</v>
      </c>
      <c r="HE2" s="133" t="s">
        <v>277</v>
      </c>
      <c r="HF2" s="133" t="s">
        <v>278</v>
      </c>
      <c r="HG2" s="133" t="s">
        <v>279</v>
      </c>
      <c r="HH2" s="133" t="s">
        <v>280</v>
      </c>
      <c r="HI2" s="133" t="s">
        <v>281</v>
      </c>
      <c r="HJ2" s="133" t="s">
        <v>282</v>
      </c>
      <c r="HK2" s="133" t="s">
        <v>283</v>
      </c>
      <c r="HL2" s="133" t="s">
        <v>284</v>
      </c>
      <c r="HM2" s="133" t="s">
        <v>285</v>
      </c>
      <c r="HN2" s="133" t="s">
        <v>286</v>
      </c>
      <c r="HO2" s="133" t="s">
        <v>287</v>
      </c>
      <c r="HP2" s="133" t="s">
        <v>288</v>
      </c>
      <c r="HQ2" s="133" t="s">
        <v>289</v>
      </c>
      <c r="HR2" s="133" t="s">
        <v>290</v>
      </c>
      <c r="HS2" s="133" t="s">
        <v>291</v>
      </c>
      <c r="HT2" s="133" t="s">
        <v>292</v>
      </c>
      <c r="HU2" s="133" t="s">
        <v>293</v>
      </c>
      <c r="HV2" s="133" t="s">
        <v>294</v>
      </c>
      <c r="HW2" s="133" t="s">
        <v>295</v>
      </c>
      <c r="HX2" s="133" t="s">
        <v>296</v>
      </c>
      <c r="HY2" s="133" t="s">
        <v>297</v>
      </c>
      <c r="HZ2" s="133" t="s">
        <v>298</v>
      </c>
      <c r="IA2" s="133" t="s">
        <v>299</v>
      </c>
      <c r="IB2" s="133" t="s">
        <v>300</v>
      </c>
      <c r="IC2" s="133" t="s">
        <v>301</v>
      </c>
      <c r="ID2" s="133" t="s">
        <v>302</v>
      </c>
      <c r="IE2" s="133" t="s">
        <v>303</v>
      </c>
      <c r="IF2" s="133" t="s">
        <v>304</v>
      </c>
      <c r="IG2" s="133" t="s">
        <v>305</v>
      </c>
      <c r="IH2" s="133" t="s">
        <v>306</v>
      </c>
      <c r="II2" s="133" t="s">
        <v>307</v>
      </c>
      <c r="IJ2" s="133" t="s">
        <v>308</v>
      </c>
      <c r="IK2" s="133" t="s">
        <v>309</v>
      </c>
      <c r="IL2" s="133" t="s">
        <v>310</v>
      </c>
      <c r="IM2" s="133" t="s">
        <v>311</v>
      </c>
      <c r="IN2" s="133" t="s">
        <v>312</v>
      </c>
      <c r="IO2" s="133" t="s">
        <v>313</v>
      </c>
      <c r="IP2" s="133" t="s">
        <v>314</v>
      </c>
      <c r="IQ2" s="133" t="s">
        <v>315</v>
      </c>
      <c r="IR2" s="133" t="s">
        <v>316</v>
      </c>
      <c r="IS2" s="133" t="s">
        <v>317</v>
      </c>
      <c r="IT2" s="133" t="s">
        <v>318</v>
      </c>
      <c r="IU2" s="133" t="s">
        <v>319</v>
      </c>
      <c r="IV2" s="133" t="s">
        <v>320</v>
      </c>
      <c r="IW2" s="133" t="s">
        <v>321</v>
      </c>
      <c r="IX2" s="133" t="s">
        <v>322</v>
      </c>
      <c r="IY2" s="133" t="s">
        <v>323</v>
      </c>
      <c r="IZ2" s="133" t="s">
        <v>324</v>
      </c>
      <c r="JA2" s="133" t="s">
        <v>325</v>
      </c>
      <c r="JB2" s="133" t="s">
        <v>326</v>
      </c>
      <c r="JC2" s="133" t="s">
        <v>327</v>
      </c>
      <c r="JD2" s="133" t="s">
        <v>328</v>
      </c>
      <c r="JE2" s="133" t="s">
        <v>329</v>
      </c>
      <c r="JF2" s="133" t="s">
        <v>330</v>
      </c>
      <c r="JG2" s="133" t="s">
        <v>331</v>
      </c>
      <c r="JH2" s="133" t="s">
        <v>332</v>
      </c>
      <c r="JI2" s="133" t="s">
        <v>333</v>
      </c>
      <c r="JJ2" s="133" t="s">
        <v>334</v>
      </c>
      <c r="JK2" s="133" t="s">
        <v>335</v>
      </c>
      <c r="JL2" s="133" t="s">
        <v>336</v>
      </c>
      <c r="JM2" s="133" t="s">
        <v>337</v>
      </c>
      <c r="JN2" s="133" t="s">
        <v>338</v>
      </c>
      <c r="JO2" s="133" t="s">
        <v>339</v>
      </c>
      <c r="JP2" s="133" t="s">
        <v>340</v>
      </c>
      <c r="JQ2" s="133" t="s">
        <v>341</v>
      </c>
      <c r="JR2" s="133" t="s">
        <v>342</v>
      </c>
      <c r="JS2" s="133" t="s">
        <v>343</v>
      </c>
      <c r="JT2" s="133" t="s">
        <v>344</v>
      </c>
      <c r="JU2" s="133" t="s">
        <v>345</v>
      </c>
      <c r="JV2" s="133" t="s">
        <v>346</v>
      </c>
    </row>
    <row r="3" spans="1:282" s="135" customFormat="1" x14ac:dyDescent="0.25">
      <c r="A3" s="133"/>
      <c r="B3" s="133" t="s">
        <v>981</v>
      </c>
      <c r="G3" s="135">
        <v>96458</v>
      </c>
      <c r="H3" s="135">
        <v>66886</v>
      </c>
      <c r="I3" s="135">
        <v>61564</v>
      </c>
      <c r="J3" s="135">
        <v>69958</v>
      </c>
      <c r="K3" s="135">
        <v>97960</v>
      </c>
      <c r="L3" s="135">
        <v>68714</v>
      </c>
      <c r="M3" s="135">
        <v>66613</v>
      </c>
      <c r="N3" s="135">
        <v>73716</v>
      </c>
      <c r="O3" s="135">
        <v>113743</v>
      </c>
      <c r="U3" s="136">
        <v>294866</v>
      </c>
      <c r="V3" s="135">
        <v>307003</v>
      </c>
    </row>
    <row r="4" spans="1:282" s="135" customFormat="1" x14ac:dyDescent="0.25">
      <c r="A4" s="133"/>
      <c r="B4" s="133" t="s">
        <v>378</v>
      </c>
      <c r="G4" s="135">
        <v>23117</v>
      </c>
      <c r="H4" s="135">
        <v>23867</v>
      </c>
      <c r="I4" s="135">
        <v>24213</v>
      </c>
      <c r="J4" s="135">
        <v>24972</v>
      </c>
      <c r="K4" s="135">
        <v>26340</v>
      </c>
      <c r="L4" s="135">
        <v>26645</v>
      </c>
      <c r="M4" s="135">
        <v>27423</v>
      </c>
      <c r="N4" s="135">
        <v>28750</v>
      </c>
      <c r="O4" s="135">
        <v>30013</v>
      </c>
      <c r="U4" s="136">
        <v>96169</v>
      </c>
      <c r="V4" s="135">
        <v>109158</v>
      </c>
    </row>
    <row r="5" spans="1:282" s="108" customFormat="1" x14ac:dyDescent="0.25">
      <c r="B5" s="108" t="s">
        <v>9</v>
      </c>
      <c r="C5" s="108">
        <v>117154</v>
      </c>
      <c r="D5" s="108">
        <f>73929+20907</f>
        <v>94836</v>
      </c>
      <c r="E5" s="108">
        <v>81797</v>
      </c>
      <c r="F5" s="108">
        <f>383285-SUM(C5:E5)</f>
        <v>89498</v>
      </c>
      <c r="G5" s="108">
        <v>119575</v>
      </c>
      <c r="H5" s="108">
        <f>SUM(H3:H4)</f>
        <v>90753</v>
      </c>
      <c r="I5" s="108">
        <f>SUM(I3:I4)</f>
        <v>85777</v>
      </c>
      <c r="J5" s="108">
        <f>SUM(J3:J4)</f>
        <v>94930</v>
      </c>
      <c r="K5" s="108">
        <v>124300</v>
      </c>
      <c r="L5" s="108">
        <f>SUM(L3:L4)</f>
        <v>95359</v>
      </c>
      <c r="M5" s="108">
        <f>SUM(M3:M4)</f>
        <v>94036</v>
      </c>
      <c r="N5" s="108">
        <f>SUM(N3:N4)</f>
        <v>102466</v>
      </c>
      <c r="O5" s="108">
        <f t="shared" ref="O5:P5" si="0">SUM(O3:O4)</f>
        <v>143756</v>
      </c>
      <c r="P5" s="108">
        <f t="shared" si="0"/>
        <v>0</v>
      </c>
      <c r="Q5" s="135"/>
      <c r="T5" s="108">
        <f>SUM(C5:F5)</f>
        <v>383285</v>
      </c>
      <c r="U5" s="137">
        <f>SUM(G5:J5)</f>
        <v>391035</v>
      </c>
      <c r="V5" s="108">
        <f>SUM(K5:N5)</f>
        <v>416161</v>
      </c>
      <c r="W5" s="108">
        <f>V5*1.015</f>
        <v>422403.41499999998</v>
      </c>
      <c r="X5" s="108">
        <f t="shared" ref="X5:AG5" si="1">W5*1.015</f>
        <v>428739.46622499992</v>
      </c>
      <c r="Y5" s="108">
        <f t="shared" si="1"/>
        <v>435170.55821837491</v>
      </c>
      <c r="Z5" s="108">
        <f t="shared" si="1"/>
        <v>441698.11659165047</v>
      </c>
      <c r="AA5" s="108">
        <f t="shared" si="1"/>
        <v>448323.58834052517</v>
      </c>
      <c r="AB5" s="108">
        <f t="shared" si="1"/>
        <v>455048.44216563302</v>
      </c>
      <c r="AC5" s="108">
        <f t="shared" si="1"/>
        <v>461874.16879811749</v>
      </c>
      <c r="AD5" s="108">
        <f t="shared" si="1"/>
        <v>468802.2813300892</v>
      </c>
      <c r="AE5" s="108">
        <f t="shared" si="1"/>
        <v>475834.31555004051</v>
      </c>
      <c r="AF5" s="108">
        <f t="shared" si="1"/>
        <v>482971.83028329106</v>
      </c>
      <c r="AG5" s="108">
        <f t="shared" si="1"/>
        <v>490216.40773754037</v>
      </c>
    </row>
    <row r="6" spans="1:282" s="135" customFormat="1" x14ac:dyDescent="0.25">
      <c r="B6" s="135" t="s">
        <v>981</v>
      </c>
      <c r="G6" s="135">
        <v>58440</v>
      </c>
      <c r="H6" s="135">
        <v>42424</v>
      </c>
      <c r="I6" s="135">
        <v>39803</v>
      </c>
      <c r="J6" s="135">
        <v>44566</v>
      </c>
      <c r="K6" s="135">
        <v>59447</v>
      </c>
      <c r="L6" s="135">
        <v>44030</v>
      </c>
      <c r="M6" s="135">
        <v>43620</v>
      </c>
      <c r="N6" s="135">
        <v>47019</v>
      </c>
      <c r="O6" s="135">
        <v>67478</v>
      </c>
      <c r="U6" s="136">
        <v>185233</v>
      </c>
      <c r="V6" s="135">
        <v>194116</v>
      </c>
    </row>
    <row r="7" spans="1:282" s="135" customFormat="1" x14ac:dyDescent="0.25">
      <c r="B7" s="135" t="s">
        <v>378</v>
      </c>
      <c r="G7" s="135">
        <v>6280</v>
      </c>
      <c r="H7" s="135">
        <v>6058</v>
      </c>
      <c r="I7" s="135">
        <v>6296</v>
      </c>
      <c r="J7" s="135">
        <v>6485</v>
      </c>
      <c r="K7" s="135">
        <v>6578</v>
      </c>
      <c r="L7" s="135">
        <v>6462</v>
      </c>
      <c r="M7" s="135">
        <v>6698</v>
      </c>
      <c r="N7" s="135">
        <v>7106</v>
      </c>
      <c r="O7" s="135">
        <v>7047</v>
      </c>
      <c r="U7" s="136">
        <v>25119</v>
      </c>
      <c r="V7" s="135">
        <v>26844</v>
      </c>
    </row>
    <row r="8" spans="1:282" s="108" customFormat="1" x14ac:dyDescent="0.25">
      <c r="B8" s="108" t="s">
        <v>17</v>
      </c>
      <c r="C8" s="108">
        <v>66822</v>
      </c>
      <c r="D8" s="108">
        <f>46795+6065</f>
        <v>52860</v>
      </c>
      <c r="E8" s="108">
        <v>45384</v>
      </c>
      <c r="F8" s="108">
        <f>214137-SUM(C8:E8)</f>
        <v>49071</v>
      </c>
      <c r="G8" s="108">
        <v>64720</v>
      </c>
      <c r="H8" s="108">
        <f t="shared" ref="H8:P8" si="2">SUM(H6:H7)</f>
        <v>48482</v>
      </c>
      <c r="I8" s="108">
        <f t="shared" si="2"/>
        <v>46099</v>
      </c>
      <c r="J8" s="108">
        <f t="shared" si="2"/>
        <v>51051</v>
      </c>
      <c r="K8" s="108">
        <f t="shared" si="2"/>
        <v>66025</v>
      </c>
      <c r="L8" s="108">
        <f t="shared" si="2"/>
        <v>50492</v>
      </c>
      <c r="M8" s="108">
        <f t="shared" si="2"/>
        <v>50318</v>
      </c>
      <c r="N8" s="108">
        <f t="shared" si="2"/>
        <v>54125</v>
      </c>
      <c r="O8" s="108">
        <f t="shared" si="2"/>
        <v>74525</v>
      </c>
      <c r="P8" s="108">
        <f t="shared" si="2"/>
        <v>0</v>
      </c>
      <c r="Q8" s="135"/>
      <c r="T8" s="108">
        <f>SUM(C8:F8)</f>
        <v>214137</v>
      </c>
      <c r="U8" s="108">
        <f t="shared" ref="U8" si="3">SUM(U6:U7)</f>
        <v>210352</v>
      </c>
      <c r="V8" s="108">
        <f>SUM(V6:V7)</f>
        <v>220960</v>
      </c>
      <c r="W8" s="108">
        <f>W5-W9</f>
        <v>226226.41</v>
      </c>
      <c r="X8" s="108">
        <f t="shared" ref="X8:AG8" si="4">X5-X9</f>
        <v>226677.15107499994</v>
      </c>
      <c r="Y8" s="108">
        <f t="shared" si="4"/>
        <v>227046.37361387492</v>
      </c>
      <c r="Z8" s="108">
        <f t="shared" si="4"/>
        <v>227330.20644901547</v>
      </c>
      <c r="AA8" s="108">
        <f t="shared" si="4"/>
        <v>227524.64089361113</v>
      </c>
      <c r="AB8" s="108">
        <f t="shared" si="4"/>
        <v>227625.52629531155</v>
      </c>
      <c r="AC8" s="108">
        <f t="shared" si="4"/>
        <v>227628.56545168636</v>
      </c>
      <c r="AD8" s="108">
        <f t="shared" si="4"/>
        <v>227529.30988326512</v>
      </c>
      <c r="AE8" s="108">
        <f t="shared" si="4"/>
        <v>227323.15495981168</v>
      </c>
      <c r="AF8" s="108">
        <f t="shared" si="4"/>
        <v>227005.33487535536</v>
      </c>
      <c r="AG8" s="108">
        <f t="shared" si="4"/>
        <v>226570.91746736661</v>
      </c>
    </row>
    <row r="9" spans="1:282" s="96" customFormat="1" x14ac:dyDescent="0.25">
      <c r="B9" s="96" t="s">
        <v>19</v>
      </c>
      <c r="C9" s="108">
        <f t="shared" ref="C9:O9" si="5">+C5-C8</f>
        <v>50332</v>
      </c>
      <c r="D9" s="108">
        <f t="shared" si="5"/>
        <v>41976</v>
      </c>
      <c r="E9" s="108">
        <f t="shared" si="5"/>
        <v>36413</v>
      </c>
      <c r="F9" s="108">
        <f>+F5-F8</f>
        <v>40427</v>
      </c>
      <c r="G9" s="108">
        <f t="shared" si="5"/>
        <v>54855</v>
      </c>
      <c r="H9" s="108">
        <f>+H5-H8</f>
        <v>42271</v>
      </c>
      <c r="I9" s="108">
        <f>+I5-I8</f>
        <v>39678</v>
      </c>
      <c r="J9" s="108">
        <f>+J5-J8</f>
        <v>43879</v>
      </c>
      <c r="K9" s="108">
        <f>+K5-K8</f>
        <v>58275</v>
      </c>
      <c r="L9" s="108">
        <f t="shared" si="5"/>
        <v>44867</v>
      </c>
      <c r="M9" s="108">
        <f t="shared" si="5"/>
        <v>43718</v>
      </c>
      <c r="N9" s="108">
        <f t="shared" ref="N9" si="6">+N5-N8</f>
        <v>48341</v>
      </c>
      <c r="O9" s="108">
        <f t="shared" si="5"/>
        <v>69231</v>
      </c>
      <c r="P9" s="108">
        <f t="shared" ref="P9" si="7">+P5-P8</f>
        <v>0</v>
      </c>
      <c r="Q9" s="135"/>
      <c r="T9" s="108">
        <f>T5-T8</f>
        <v>169148</v>
      </c>
      <c r="U9" s="108">
        <f t="shared" ref="U9:V9" si="8">+U5-U8</f>
        <v>180683</v>
      </c>
      <c r="V9" s="108">
        <f t="shared" si="8"/>
        <v>195201</v>
      </c>
      <c r="W9" s="108">
        <f>V9*1.005</f>
        <v>196177.00499999998</v>
      </c>
      <c r="X9" s="108">
        <f t="shared" ref="X9:AG9" si="9">W9*1.03</f>
        <v>202062.31514999998</v>
      </c>
      <c r="Y9" s="108">
        <f t="shared" si="9"/>
        <v>208124.18460449998</v>
      </c>
      <c r="Z9" s="108">
        <f t="shared" si="9"/>
        <v>214367.910142635</v>
      </c>
      <c r="AA9" s="108">
        <f t="shared" si="9"/>
        <v>220798.94744691404</v>
      </c>
      <c r="AB9" s="108">
        <f t="shared" si="9"/>
        <v>227422.91587032148</v>
      </c>
      <c r="AC9" s="108">
        <f t="shared" si="9"/>
        <v>234245.60334643113</v>
      </c>
      <c r="AD9" s="108">
        <f t="shared" si="9"/>
        <v>241272.97144682409</v>
      </c>
      <c r="AE9" s="108">
        <f t="shared" si="9"/>
        <v>248511.16059022883</v>
      </c>
      <c r="AF9" s="108">
        <f t="shared" si="9"/>
        <v>255966.4954079357</v>
      </c>
      <c r="AG9" s="108">
        <f t="shared" si="9"/>
        <v>263645.49027017376</v>
      </c>
    </row>
    <row r="10" spans="1:282" s="135" customFormat="1" x14ac:dyDescent="0.25">
      <c r="B10" s="135" t="s">
        <v>20</v>
      </c>
      <c r="C10" s="135">
        <v>7709</v>
      </c>
      <c r="D10" s="135">
        <v>7457</v>
      </c>
      <c r="E10" s="135">
        <v>7442</v>
      </c>
      <c r="F10" s="135">
        <f>29915-SUM(C10:E10)</f>
        <v>7307</v>
      </c>
      <c r="G10" s="135">
        <v>7696</v>
      </c>
      <c r="H10" s="135">
        <v>7903</v>
      </c>
      <c r="I10" s="135">
        <v>8006</v>
      </c>
      <c r="J10" s="135">
        <f>31370-SUM(G10:I10)</f>
        <v>7765</v>
      </c>
      <c r="K10" s="135">
        <v>8268</v>
      </c>
      <c r="L10" s="135">
        <v>8550</v>
      </c>
      <c r="M10" s="135">
        <v>8866</v>
      </c>
      <c r="N10" s="135">
        <v>8866</v>
      </c>
      <c r="O10" s="135">
        <v>10887</v>
      </c>
      <c r="T10" s="135">
        <f>SUM(C10:F10)</f>
        <v>29915</v>
      </c>
      <c r="U10" s="136">
        <v>31370</v>
      </c>
      <c r="V10" s="135">
        <v>34550</v>
      </c>
      <c r="W10" s="135">
        <f>V10*1.045</f>
        <v>36104.75</v>
      </c>
      <c r="X10" s="135">
        <f t="shared" ref="X10:AG10" si="10">W10*1.045</f>
        <v>37729.463749999995</v>
      </c>
      <c r="Y10" s="135">
        <f t="shared" si="10"/>
        <v>39427.289618749994</v>
      </c>
      <c r="Z10" s="135">
        <f t="shared" si="10"/>
        <v>41201.517651593742</v>
      </c>
      <c r="AA10" s="135">
        <f t="shared" si="10"/>
        <v>43055.58594591546</v>
      </c>
      <c r="AB10" s="135">
        <f t="shared" si="10"/>
        <v>44993.08731348165</v>
      </c>
      <c r="AC10" s="135">
        <f t="shared" si="10"/>
        <v>47017.776242588319</v>
      </c>
      <c r="AD10" s="135">
        <f t="shared" si="10"/>
        <v>49133.576173504793</v>
      </c>
      <c r="AE10" s="135">
        <f t="shared" si="10"/>
        <v>51344.587101312507</v>
      </c>
      <c r="AF10" s="135">
        <f t="shared" si="10"/>
        <v>53655.093520871567</v>
      </c>
      <c r="AG10" s="135">
        <f t="shared" si="10"/>
        <v>56069.572729310785</v>
      </c>
    </row>
    <row r="11" spans="1:282" s="135" customFormat="1" x14ac:dyDescent="0.25">
      <c r="B11" s="135" t="s">
        <v>21</v>
      </c>
      <c r="C11" s="135">
        <v>6607</v>
      </c>
      <c r="D11" s="135">
        <v>6201</v>
      </c>
      <c r="E11" s="135">
        <v>5973</v>
      </c>
      <c r="F11" s="135">
        <f>24932-SUM(C11:E11)</f>
        <v>6151</v>
      </c>
      <c r="G11" s="135">
        <v>6786</v>
      </c>
      <c r="H11" s="135">
        <v>6468</v>
      </c>
      <c r="I11" s="135">
        <v>6320</v>
      </c>
      <c r="J11" s="135">
        <f>26097-SUM(G11:I11)</f>
        <v>6523</v>
      </c>
      <c r="K11" s="135">
        <v>7175</v>
      </c>
      <c r="L11" s="135">
        <v>6728</v>
      </c>
      <c r="M11" s="135">
        <v>6650</v>
      </c>
      <c r="N11" s="135">
        <v>7048</v>
      </c>
      <c r="O11" s="135">
        <v>7492</v>
      </c>
      <c r="T11" s="135">
        <f>SUM(C11:F11)</f>
        <v>24932</v>
      </c>
      <c r="U11" s="136">
        <v>26097</v>
      </c>
      <c r="V11" s="135">
        <v>27601</v>
      </c>
      <c r="W11" s="135">
        <f>V11*1.045</f>
        <v>28843.044999999998</v>
      </c>
      <c r="X11" s="135">
        <f t="shared" ref="X11:AG11" si="11">W11*1.045</f>
        <v>30140.982024999998</v>
      </c>
      <c r="Y11" s="135">
        <f t="shared" si="11"/>
        <v>31497.326216124995</v>
      </c>
      <c r="Z11" s="135">
        <f t="shared" si="11"/>
        <v>32914.705895850617</v>
      </c>
      <c r="AA11" s="135">
        <f t="shared" si="11"/>
        <v>34395.867661163895</v>
      </c>
      <c r="AB11" s="135">
        <f t="shared" si="11"/>
        <v>35943.681705916264</v>
      </c>
      <c r="AC11" s="135">
        <f t="shared" si="11"/>
        <v>37561.147382682495</v>
      </c>
      <c r="AD11" s="135">
        <f t="shared" si="11"/>
        <v>39251.399014903203</v>
      </c>
      <c r="AE11" s="135">
        <f t="shared" si="11"/>
        <v>41017.711970573844</v>
      </c>
      <c r="AF11" s="135">
        <f t="shared" si="11"/>
        <v>42863.509009249661</v>
      </c>
      <c r="AG11" s="135">
        <f t="shared" si="11"/>
        <v>44792.366914665894</v>
      </c>
    </row>
    <row r="12" spans="1:282" s="108" customFormat="1" x14ac:dyDescent="0.25">
      <c r="B12" s="108" t="s">
        <v>22</v>
      </c>
      <c r="C12" s="108">
        <f t="shared" ref="C12:G12" si="12">+C10+C11</f>
        <v>14316</v>
      </c>
      <c r="D12" s="108">
        <f t="shared" si="12"/>
        <v>13658</v>
      </c>
      <c r="E12" s="108">
        <f t="shared" si="12"/>
        <v>13415</v>
      </c>
      <c r="F12" s="108">
        <f>+F10+F11</f>
        <v>13458</v>
      </c>
      <c r="G12" s="108">
        <f t="shared" si="12"/>
        <v>14482</v>
      </c>
      <c r="H12" s="108">
        <f>+H10+H11</f>
        <v>14371</v>
      </c>
      <c r="I12" s="108">
        <f>+I10+I11</f>
        <v>14326</v>
      </c>
      <c r="J12" s="108">
        <f>+J10+J11</f>
        <v>14288</v>
      </c>
      <c r="K12" s="108">
        <f>K10+K11</f>
        <v>15443</v>
      </c>
      <c r="L12" s="108">
        <f t="shared" ref="L12:O12" si="13">+L10+L11</f>
        <v>15278</v>
      </c>
      <c r="M12" s="108">
        <f t="shared" si="13"/>
        <v>15516</v>
      </c>
      <c r="N12" s="108">
        <f t="shared" ref="N12" si="14">+N10+N11</f>
        <v>15914</v>
      </c>
      <c r="O12" s="108">
        <f t="shared" si="13"/>
        <v>18379</v>
      </c>
      <c r="P12" s="108">
        <f t="shared" ref="P12" si="15">+P10+P11</f>
        <v>0</v>
      </c>
      <c r="Q12" s="135"/>
      <c r="T12" s="108">
        <f>SUM(T10:T11)</f>
        <v>54847</v>
      </c>
      <c r="U12" s="108">
        <f t="shared" ref="U12" si="16">SUM(U10:U11)</f>
        <v>57467</v>
      </c>
      <c r="V12" s="108">
        <f>SUM(V10:V11)</f>
        <v>62151</v>
      </c>
      <c r="W12" s="108">
        <f t="shared" ref="W12:AG12" si="17">SUM(W10:W11)</f>
        <v>64947.794999999998</v>
      </c>
      <c r="X12" s="108">
        <f t="shared" si="17"/>
        <v>67870.445775</v>
      </c>
      <c r="Y12" s="108">
        <f t="shared" si="17"/>
        <v>70924.615834874989</v>
      </c>
      <c r="Z12" s="108">
        <f t="shared" si="17"/>
        <v>74116.223547444359</v>
      </c>
      <c r="AA12" s="108">
        <f t="shared" si="17"/>
        <v>77451.453607079355</v>
      </c>
      <c r="AB12" s="108">
        <f t="shared" si="17"/>
        <v>80936.769019397907</v>
      </c>
      <c r="AC12" s="108">
        <f t="shared" si="17"/>
        <v>84578.923625270807</v>
      </c>
      <c r="AD12" s="108">
        <f t="shared" si="17"/>
        <v>88384.975188407989</v>
      </c>
      <c r="AE12" s="108">
        <f t="shared" si="17"/>
        <v>92362.299071886344</v>
      </c>
      <c r="AF12" s="108">
        <f t="shared" si="17"/>
        <v>96518.602530121221</v>
      </c>
      <c r="AG12" s="108">
        <f t="shared" si="17"/>
        <v>100861.93964397669</v>
      </c>
    </row>
    <row r="13" spans="1:282" s="108" customFormat="1" x14ac:dyDescent="0.25">
      <c r="B13" s="108" t="s">
        <v>23</v>
      </c>
      <c r="C13" s="108">
        <f t="shared" ref="C13:G13" si="18">+C9-C12</f>
        <v>36016</v>
      </c>
      <c r="D13" s="108">
        <f t="shared" si="18"/>
        <v>28318</v>
      </c>
      <c r="E13" s="108">
        <f t="shared" si="18"/>
        <v>22998</v>
      </c>
      <c r="F13" s="108">
        <f>+F9-F12</f>
        <v>26969</v>
      </c>
      <c r="G13" s="108">
        <f t="shared" si="18"/>
        <v>40373</v>
      </c>
      <c r="H13" s="108">
        <f>+H9-H12</f>
        <v>27900</v>
      </c>
      <c r="I13" s="108">
        <f>+I9-I12</f>
        <v>25352</v>
      </c>
      <c r="J13" s="108">
        <f>+J9-J12</f>
        <v>29591</v>
      </c>
      <c r="K13" s="108">
        <f>K9-K12</f>
        <v>42832</v>
      </c>
      <c r="L13" s="108">
        <f t="shared" ref="L13:O13" si="19">+L9-L12</f>
        <v>29589</v>
      </c>
      <c r="M13" s="108">
        <f t="shared" si="19"/>
        <v>28202</v>
      </c>
      <c r="N13" s="108">
        <f t="shared" ref="N13" si="20">+N9-N12</f>
        <v>32427</v>
      </c>
      <c r="O13" s="108">
        <f t="shared" si="19"/>
        <v>50852</v>
      </c>
      <c r="P13" s="108">
        <f t="shared" ref="P13" si="21">+P9-P12</f>
        <v>0</v>
      </c>
      <c r="Q13" s="135"/>
      <c r="T13" s="108">
        <f>T9-T12</f>
        <v>114301</v>
      </c>
      <c r="U13" s="108">
        <f t="shared" ref="U13" si="22">U9-U12</f>
        <v>123216</v>
      </c>
      <c r="V13" s="108">
        <f>V9-V12</f>
        <v>133050</v>
      </c>
      <c r="W13" s="108">
        <f t="shared" ref="W13:AG13" si="23">W9-W12</f>
        <v>131229.20999999996</v>
      </c>
      <c r="X13" s="108">
        <f t="shared" si="23"/>
        <v>134191.86937499998</v>
      </c>
      <c r="Y13" s="108">
        <f t="shared" si="23"/>
        <v>137199.56876962498</v>
      </c>
      <c r="Z13" s="108">
        <f t="shared" si="23"/>
        <v>140251.68659519064</v>
      </c>
      <c r="AA13" s="108">
        <f t="shared" si="23"/>
        <v>143347.4938398347</v>
      </c>
      <c r="AB13" s="108">
        <f t="shared" si="23"/>
        <v>146486.14685092357</v>
      </c>
      <c r="AC13" s="108">
        <f t="shared" si="23"/>
        <v>149666.67972116033</v>
      </c>
      <c r="AD13" s="108">
        <f t="shared" si="23"/>
        <v>152887.9962584161</v>
      </c>
      <c r="AE13" s="108">
        <f t="shared" si="23"/>
        <v>156148.86151834248</v>
      </c>
      <c r="AF13" s="108">
        <f t="shared" si="23"/>
        <v>159447.89287781448</v>
      </c>
      <c r="AG13" s="108">
        <f t="shared" si="23"/>
        <v>162783.55062619707</v>
      </c>
    </row>
    <row r="14" spans="1:282" s="135" customFormat="1" x14ac:dyDescent="0.25">
      <c r="B14" s="135" t="s">
        <v>25</v>
      </c>
      <c r="C14" s="135">
        <v>-393</v>
      </c>
      <c r="D14" s="135">
        <v>64</v>
      </c>
      <c r="E14" s="135">
        <v>-265</v>
      </c>
      <c r="F14" s="135">
        <f>-565-SUM(C14:E14)</f>
        <v>29</v>
      </c>
      <c r="G14" s="135">
        <v>-50</v>
      </c>
      <c r="H14" s="135">
        <v>158</v>
      </c>
      <c r="I14" s="135">
        <v>142</v>
      </c>
      <c r="J14" s="135">
        <f>269-SUM(G14:I14)</f>
        <v>19</v>
      </c>
      <c r="K14" s="135">
        <v>-248</v>
      </c>
      <c r="L14" s="135">
        <v>-279</v>
      </c>
      <c r="M14" s="135">
        <v>-171</v>
      </c>
      <c r="N14" s="135">
        <v>377</v>
      </c>
      <c r="O14" s="135">
        <v>150</v>
      </c>
      <c r="T14" s="135">
        <f>SUM(C14:F14)</f>
        <v>-565</v>
      </c>
      <c r="U14" s="136">
        <v>269</v>
      </c>
      <c r="V14" s="135">
        <v>-321</v>
      </c>
      <c r="W14" s="135">
        <f>-AVERAGE(T14:V14)*0.6</f>
        <v>123.39999999999999</v>
      </c>
      <c r="X14" s="135">
        <f>W14*0.95</f>
        <v>117.22999999999999</v>
      </c>
      <c r="Y14" s="135">
        <f t="shared" ref="Y14:AG14" si="24">X14*0.95</f>
        <v>111.36849999999998</v>
      </c>
      <c r="Z14" s="135">
        <f t="shared" si="24"/>
        <v>105.80007499999998</v>
      </c>
      <c r="AA14" s="135">
        <f t="shared" si="24"/>
        <v>100.51007124999998</v>
      </c>
      <c r="AB14" s="135">
        <f t="shared" si="24"/>
        <v>95.484567687499975</v>
      </c>
      <c r="AC14" s="135">
        <f t="shared" si="24"/>
        <v>90.710339303124968</v>
      </c>
      <c r="AD14" s="135">
        <f t="shared" si="24"/>
        <v>86.17482233796872</v>
      </c>
      <c r="AE14" s="135">
        <f t="shared" si="24"/>
        <v>81.866081221070274</v>
      </c>
      <c r="AF14" s="135">
        <f t="shared" si="24"/>
        <v>77.772777160016759</v>
      </c>
      <c r="AG14" s="135">
        <f t="shared" si="24"/>
        <v>73.884138302015913</v>
      </c>
    </row>
    <row r="15" spans="1:282" s="108" customFormat="1" x14ac:dyDescent="0.25">
      <c r="B15" s="108" t="s">
        <v>26</v>
      </c>
      <c r="C15" s="108">
        <f t="shared" ref="C15:O15" si="25">+C13+C14</f>
        <v>35623</v>
      </c>
      <c r="D15" s="108">
        <f t="shared" si="25"/>
        <v>28382</v>
      </c>
      <c r="E15" s="108">
        <f t="shared" si="25"/>
        <v>22733</v>
      </c>
      <c r="F15" s="108">
        <f>+F13+F14</f>
        <v>26998</v>
      </c>
      <c r="G15" s="108">
        <f t="shared" si="25"/>
        <v>40323</v>
      </c>
      <c r="H15" s="108">
        <f>+H13+H14</f>
        <v>28058</v>
      </c>
      <c r="I15" s="108">
        <f>+I13+I14</f>
        <v>25494</v>
      </c>
      <c r="J15" s="108">
        <f>+J13+J14</f>
        <v>29610</v>
      </c>
      <c r="K15" s="108">
        <f>K13+K14</f>
        <v>42584</v>
      </c>
      <c r="L15" s="108">
        <f t="shared" si="25"/>
        <v>29310</v>
      </c>
      <c r="M15" s="108">
        <f t="shared" si="25"/>
        <v>28031</v>
      </c>
      <c r="N15" s="108">
        <f t="shared" ref="N15" si="26">+N13+N14</f>
        <v>32804</v>
      </c>
      <c r="O15" s="108">
        <f t="shared" si="25"/>
        <v>51002</v>
      </c>
      <c r="P15" s="108">
        <f t="shared" ref="P15" si="27">+P13+P14</f>
        <v>0</v>
      </c>
      <c r="Q15" s="135"/>
      <c r="T15" s="108">
        <f>T13+T14</f>
        <v>113736</v>
      </c>
      <c r="U15" s="108">
        <f>U13+U14</f>
        <v>123485</v>
      </c>
      <c r="V15" s="108">
        <f>V13+V14</f>
        <v>132729</v>
      </c>
      <c r="W15" s="108">
        <f t="shared" ref="W15:AG15" si="28">W13+W14</f>
        <v>131352.60999999996</v>
      </c>
      <c r="X15" s="108">
        <f t="shared" si="28"/>
        <v>134309.09937499999</v>
      </c>
      <c r="Y15" s="108">
        <f t="shared" si="28"/>
        <v>137310.93726962499</v>
      </c>
      <c r="Z15" s="108">
        <f t="shared" si="28"/>
        <v>140357.48667019064</v>
      </c>
      <c r="AA15" s="108">
        <f t="shared" si="28"/>
        <v>143448.0039110847</v>
      </c>
      <c r="AB15" s="108">
        <f t="shared" si="28"/>
        <v>146581.63141861107</v>
      </c>
      <c r="AC15" s="108">
        <f t="shared" si="28"/>
        <v>149757.39006046345</v>
      </c>
      <c r="AD15" s="108">
        <f t="shared" si="28"/>
        <v>152974.17108075405</v>
      </c>
      <c r="AE15" s="108">
        <f t="shared" si="28"/>
        <v>156230.72759956354</v>
      </c>
      <c r="AF15" s="108">
        <f t="shared" si="28"/>
        <v>159525.66565497449</v>
      </c>
      <c r="AG15" s="108">
        <f t="shared" si="28"/>
        <v>162857.43476449908</v>
      </c>
    </row>
    <row r="16" spans="1:282" s="135" customFormat="1" x14ac:dyDescent="0.25">
      <c r="B16" s="135" t="s">
        <v>27</v>
      </c>
      <c r="C16" s="135">
        <v>5625</v>
      </c>
      <c r="D16" s="135">
        <v>4222</v>
      </c>
      <c r="E16" s="135">
        <v>2852</v>
      </c>
      <c r="F16" s="135">
        <f>16741-SUM(C16:E16)</f>
        <v>4042</v>
      </c>
      <c r="G16" s="135">
        <v>6407</v>
      </c>
      <c r="H16" s="135">
        <v>4422</v>
      </c>
      <c r="I16" s="135">
        <v>4046</v>
      </c>
      <c r="J16" s="135">
        <f>29749-SUM(G16:I16)</f>
        <v>14874</v>
      </c>
      <c r="K16" s="135">
        <v>6254</v>
      </c>
      <c r="L16" s="135">
        <v>4530</v>
      </c>
      <c r="M16" s="135">
        <v>4597</v>
      </c>
      <c r="N16" s="135">
        <v>5338</v>
      </c>
      <c r="O16" s="135">
        <v>8905</v>
      </c>
      <c r="T16" s="135">
        <f>SUM(C16:F16)</f>
        <v>16741</v>
      </c>
      <c r="U16" s="136">
        <v>29749</v>
      </c>
      <c r="V16" s="135">
        <v>20719</v>
      </c>
      <c r="W16" s="135">
        <f>W15*0.15</f>
        <v>19702.891499999994</v>
      </c>
      <c r="X16" s="135">
        <f t="shared" ref="X16:AG16" si="29">X15*0.15</f>
        <v>20146.364906249997</v>
      </c>
      <c r="Y16" s="135">
        <f t="shared" si="29"/>
        <v>20596.640590443749</v>
      </c>
      <c r="Z16" s="135">
        <f t="shared" si="29"/>
        <v>21053.623000528594</v>
      </c>
      <c r="AA16" s="135">
        <f t="shared" si="29"/>
        <v>21517.200586662704</v>
      </c>
      <c r="AB16" s="135">
        <f t="shared" si="29"/>
        <v>21987.24471279166</v>
      </c>
      <c r="AC16" s="135">
        <f t="shared" si="29"/>
        <v>22463.608509069516</v>
      </c>
      <c r="AD16" s="135">
        <f t="shared" si="29"/>
        <v>22946.125662113107</v>
      </c>
      <c r="AE16" s="135">
        <f t="shared" si="29"/>
        <v>23434.609139934531</v>
      </c>
      <c r="AF16" s="135">
        <f t="shared" si="29"/>
        <v>23928.849848246173</v>
      </c>
      <c r="AG16" s="135">
        <f t="shared" si="29"/>
        <v>24428.615214674861</v>
      </c>
    </row>
    <row r="17" spans="2:282" s="108" customFormat="1" x14ac:dyDescent="0.25">
      <c r="B17" s="108" t="s">
        <v>28</v>
      </c>
      <c r="C17" s="108">
        <f t="shared" ref="C17:O17" si="30">+C15-C16</f>
        <v>29998</v>
      </c>
      <c r="D17" s="108">
        <f t="shared" si="30"/>
        <v>24160</v>
      </c>
      <c r="E17" s="108">
        <f t="shared" si="30"/>
        <v>19881</v>
      </c>
      <c r="F17" s="108">
        <f>+F15-F16</f>
        <v>22956</v>
      </c>
      <c r="G17" s="108">
        <f t="shared" si="30"/>
        <v>33916</v>
      </c>
      <c r="H17" s="108">
        <f>+H15-H16</f>
        <v>23636</v>
      </c>
      <c r="I17" s="108">
        <f>+I15-I16</f>
        <v>21448</v>
      </c>
      <c r="J17" s="108">
        <f>+J15-J16</f>
        <v>14736</v>
      </c>
      <c r="K17" s="108">
        <f>+K15-K16</f>
        <v>36330</v>
      </c>
      <c r="L17" s="108">
        <f t="shared" si="30"/>
        <v>24780</v>
      </c>
      <c r="M17" s="108">
        <f t="shared" si="30"/>
        <v>23434</v>
      </c>
      <c r="N17" s="108">
        <f t="shared" ref="N17" si="31">+N15-N16</f>
        <v>27466</v>
      </c>
      <c r="O17" s="108">
        <f t="shared" si="30"/>
        <v>42097</v>
      </c>
      <c r="P17" s="108">
        <f t="shared" ref="P17" si="32">+P15-P16</f>
        <v>0</v>
      </c>
      <c r="Q17" s="135"/>
      <c r="T17" s="108">
        <f>T15-T16</f>
        <v>96995</v>
      </c>
      <c r="U17" s="108">
        <f t="shared" ref="U17" si="33">U15-U16</f>
        <v>93736</v>
      </c>
      <c r="V17" s="108">
        <f>V15-V16</f>
        <v>112010</v>
      </c>
      <c r="W17" s="108">
        <f>W15-W16</f>
        <v>111649.71849999996</v>
      </c>
      <c r="X17" s="108">
        <f t="shared" ref="X17:AG17" si="34">X15-X16</f>
        <v>114162.73446874999</v>
      </c>
      <c r="Y17" s="108">
        <f t="shared" si="34"/>
        <v>116714.29667918125</v>
      </c>
      <c r="Z17" s="108">
        <f t="shared" si="34"/>
        <v>119303.86366966205</v>
      </c>
      <c r="AA17" s="108">
        <f t="shared" si="34"/>
        <v>121930.803324422</v>
      </c>
      <c r="AB17" s="108">
        <f t="shared" si="34"/>
        <v>124594.3867058194</v>
      </c>
      <c r="AC17" s="108">
        <f t="shared" si="34"/>
        <v>127293.78155139394</v>
      </c>
      <c r="AD17" s="108">
        <f t="shared" si="34"/>
        <v>130028.04541864095</v>
      </c>
      <c r="AE17" s="108">
        <f t="shared" si="34"/>
        <v>132796.11845962901</v>
      </c>
      <c r="AF17" s="108">
        <f t="shared" si="34"/>
        <v>135596.81580672832</v>
      </c>
      <c r="AG17" s="108">
        <f t="shared" si="34"/>
        <v>138428.81954982423</v>
      </c>
      <c r="AH17" s="108">
        <f>AG17*(1+$AJ$22)</f>
        <v>136352.38725657685</v>
      </c>
      <c r="AI17" s="108">
        <f t="shared" ref="AI17:CT17" si="35">AH17*(1+$AJ$22)</f>
        <v>134307.1014477282</v>
      </c>
      <c r="AJ17" s="108">
        <f t="shared" si="35"/>
        <v>132292.49492601227</v>
      </c>
      <c r="AK17" s="108">
        <f t="shared" si="35"/>
        <v>130308.10750212207</v>
      </c>
      <c r="AL17" s="108">
        <f t="shared" si="35"/>
        <v>128353.48588959024</v>
      </c>
      <c r="AM17" s="108">
        <f t="shared" si="35"/>
        <v>126428.18360124639</v>
      </c>
      <c r="AN17" s="108">
        <f t="shared" si="35"/>
        <v>124531.76084722769</v>
      </c>
      <c r="AO17" s="108">
        <f t="shared" si="35"/>
        <v>122663.78443451927</v>
      </c>
      <c r="AP17" s="108">
        <f t="shared" si="35"/>
        <v>120823.82766800148</v>
      </c>
      <c r="AQ17" s="108">
        <f t="shared" si="35"/>
        <v>119011.47025298145</v>
      </c>
      <c r="AR17" s="108">
        <f t="shared" si="35"/>
        <v>117226.29819918673</v>
      </c>
      <c r="AS17" s="108">
        <f t="shared" si="35"/>
        <v>115467.90372619893</v>
      </c>
      <c r="AT17" s="108">
        <f t="shared" si="35"/>
        <v>113735.88517030595</v>
      </c>
      <c r="AU17" s="108">
        <f t="shared" si="35"/>
        <v>112029.84689275136</v>
      </c>
      <c r="AV17" s="108">
        <f t="shared" si="35"/>
        <v>110349.39918936009</v>
      </c>
      <c r="AW17" s="108">
        <f t="shared" si="35"/>
        <v>108694.15820151969</v>
      </c>
      <c r="AX17" s="108">
        <f t="shared" si="35"/>
        <v>107063.74582849689</v>
      </c>
      <c r="AY17" s="108">
        <f t="shared" si="35"/>
        <v>105457.78964106944</v>
      </c>
      <c r="AZ17" s="108">
        <f t="shared" si="35"/>
        <v>103875.92279645339</v>
      </c>
      <c r="BA17" s="108">
        <f t="shared" si="35"/>
        <v>102317.78395450659</v>
      </c>
      <c r="BB17" s="108">
        <f t="shared" si="35"/>
        <v>100783.01719518899</v>
      </c>
      <c r="BC17" s="108">
        <f t="shared" si="35"/>
        <v>99271.271937261161</v>
      </c>
      <c r="BD17" s="108">
        <f t="shared" si="35"/>
        <v>97782.202858202247</v>
      </c>
      <c r="BE17" s="108">
        <f t="shared" si="35"/>
        <v>96315.469815329212</v>
      </c>
      <c r="BF17" s="108">
        <f t="shared" si="35"/>
        <v>94870.737768099279</v>
      </c>
      <c r="BG17" s="108">
        <f t="shared" si="35"/>
        <v>93447.676701577788</v>
      </c>
      <c r="BH17" s="108">
        <f t="shared" si="35"/>
        <v>92045.961551054119</v>
      </c>
      <c r="BI17" s="108">
        <f t="shared" si="35"/>
        <v>90665.27212778831</v>
      </c>
      <c r="BJ17" s="108">
        <f t="shared" si="35"/>
        <v>89305.293045871484</v>
      </c>
      <c r="BK17" s="108">
        <f t="shared" si="35"/>
        <v>87965.713650183403</v>
      </c>
      <c r="BL17" s="108">
        <f t="shared" si="35"/>
        <v>86646.227945430655</v>
      </c>
      <c r="BM17" s="108">
        <f t="shared" si="35"/>
        <v>85346.53452624919</v>
      </c>
      <c r="BN17" s="108">
        <f t="shared" si="35"/>
        <v>84066.336508355453</v>
      </c>
      <c r="BO17" s="108">
        <f t="shared" si="35"/>
        <v>82805.341460730124</v>
      </c>
      <c r="BP17" s="108">
        <f t="shared" si="35"/>
        <v>81563.261338819168</v>
      </c>
      <c r="BQ17" s="108">
        <f t="shared" si="35"/>
        <v>80339.812418736881</v>
      </c>
      <c r="BR17" s="108">
        <f t="shared" si="35"/>
        <v>79134.715232455826</v>
      </c>
      <c r="BS17" s="108">
        <f t="shared" si="35"/>
        <v>77947.694503968989</v>
      </c>
      <c r="BT17" s="108">
        <f t="shared" si="35"/>
        <v>76778.479086409454</v>
      </c>
      <c r="BU17" s="108">
        <f t="shared" si="35"/>
        <v>75626.801900113307</v>
      </c>
      <c r="BV17" s="108">
        <f t="shared" si="35"/>
        <v>74492.399871611604</v>
      </c>
      <c r="BW17" s="108">
        <f t="shared" si="35"/>
        <v>73375.013873537435</v>
      </c>
      <c r="BX17" s="108">
        <f t="shared" si="35"/>
        <v>72274.388665434366</v>
      </c>
      <c r="BY17" s="108">
        <f t="shared" si="35"/>
        <v>71190.272835452852</v>
      </c>
      <c r="BZ17" s="108">
        <f t="shared" si="35"/>
        <v>70122.418742921058</v>
      </c>
      <c r="CA17" s="108">
        <f t="shared" si="35"/>
        <v>69070.582461777245</v>
      </c>
      <c r="CB17" s="108">
        <f t="shared" si="35"/>
        <v>68034.523724850587</v>
      </c>
      <c r="CC17" s="108">
        <f t="shared" si="35"/>
        <v>67014.005868977823</v>
      </c>
      <c r="CD17" s="108">
        <f t="shared" si="35"/>
        <v>66008.795780943154</v>
      </c>
      <c r="CE17" s="108">
        <f t="shared" si="35"/>
        <v>65018.663844229006</v>
      </c>
      <c r="CF17" s="108">
        <f t="shared" si="35"/>
        <v>64043.383886565571</v>
      </c>
      <c r="CG17" s="108">
        <f t="shared" si="35"/>
        <v>63082.733128267086</v>
      </c>
      <c r="CH17" s="108">
        <f t="shared" si="35"/>
        <v>62136.492131343075</v>
      </c>
      <c r="CI17" s="108">
        <f t="shared" si="35"/>
        <v>61204.444749372931</v>
      </c>
      <c r="CJ17" s="108">
        <f t="shared" si="35"/>
        <v>60286.378078132337</v>
      </c>
      <c r="CK17" s="108">
        <f t="shared" si="35"/>
        <v>59382.082406960348</v>
      </c>
      <c r="CL17" s="108">
        <f t="shared" si="35"/>
        <v>58491.351170855938</v>
      </c>
      <c r="CM17" s="108">
        <f t="shared" si="35"/>
        <v>57613.980903293101</v>
      </c>
      <c r="CN17" s="108">
        <f t="shared" si="35"/>
        <v>56749.771189743704</v>
      </c>
      <c r="CO17" s="108">
        <f t="shared" si="35"/>
        <v>55898.524621897544</v>
      </c>
      <c r="CP17" s="108">
        <f t="shared" si="35"/>
        <v>55060.046752569084</v>
      </c>
      <c r="CQ17" s="108">
        <f t="shared" si="35"/>
        <v>54234.14605128055</v>
      </c>
      <c r="CR17" s="108">
        <f t="shared" si="35"/>
        <v>53420.633860511341</v>
      </c>
      <c r="CS17" s="108">
        <f t="shared" si="35"/>
        <v>52619.324352603668</v>
      </c>
      <c r="CT17" s="108">
        <f t="shared" si="35"/>
        <v>51830.03448731461</v>
      </c>
      <c r="CU17" s="108">
        <f t="shared" ref="CU17:FF17" si="36">CT17*(1+$AJ$22)</f>
        <v>51052.583970004889</v>
      </c>
      <c r="CV17" s="108">
        <f t="shared" si="36"/>
        <v>50286.795210454817</v>
      </c>
      <c r="CW17" s="108">
        <f t="shared" si="36"/>
        <v>49532.493282297997</v>
      </c>
      <c r="CX17" s="108">
        <f t="shared" si="36"/>
        <v>48789.505883063524</v>
      </c>
      <c r="CY17" s="108">
        <f t="shared" si="36"/>
        <v>48057.663294817568</v>
      </c>
      <c r="CZ17" s="108">
        <f t="shared" si="36"/>
        <v>47336.798345395306</v>
      </c>
      <c r="DA17" s="108">
        <f t="shared" si="36"/>
        <v>46626.746370214372</v>
      </c>
      <c r="DB17" s="108">
        <f t="shared" si="36"/>
        <v>45927.345174661154</v>
      </c>
      <c r="DC17" s="108">
        <f t="shared" si="36"/>
        <v>45238.434997041237</v>
      </c>
      <c r="DD17" s="108">
        <f t="shared" si="36"/>
        <v>44559.858472085616</v>
      </c>
      <c r="DE17" s="108">
        <f t="shared" si="36"/>
        <v>43891.460595004333</v>
      </c>
      <c r="DF17" s="108">
        <f t="shared" si="36"/>
        <v>43233.088686079267</v>
      </c>
      <c r="DG17" s="108">
        <f t="shared" si="36"/>
        <v>42584.592355788074</v>
      </c>
      <c r="DH17" s="108">
        <f t="shared" si="36"/>
        <v>41945.823470451251</v>
      </c>
      <c r="DI17" s="108">
        <f t="shared" si="36"/>
        <v>41316.636118394483</v>
      </c>
      <c r="DJ17" s="108">
        <f t="shared" si="36"/>
        <v>40696.886576618563</v>
      </c>
      <c r="DK17" s="108">
        <f t="shared" si="36"/>
        <v>40086.433277969285</v>
      </c>
      <c r="DL17" s="108">
        <f t="shared" si="36"/>
        <v>39485.136778799744</v>
      </c>
      <c r="DM17" s="108">
        <f t="shared" si="36"/>
        <v>38892.85972711775</v>
      </c>
      <c r="DN17" s="108">
        <f t="shared" si="36"/>
        <v>38309.466831210986</v>
      </c>
      <c r="DO17" s="108">
        <f t="shared" si="36"/>
        <v>37734.824828742821</v>
      </c>
      <c r="DP17" s="108">
        <f t="shared" si="36"/>
        <v>37168.802456311678</v>
      </c>
      <c r="DQ17" s="108">
        <f t="shared" si="36"/>
        <v>36611.270419467</v>
      </c>
      <c r="DR17" s="108">
        <f t="shared" si="36"/>
        <v>36062.101363174996</v>
      </c>
      <c r="DS17" s="108">
        <f t="shared" si="36"/>
        <v>35521.169842727373</v>
      </c>
      <c r="DT17" s="108">
        <f t="shared" si="36"/>
        <v>34988.352295086464</v>
      </c>
      <c r="DU17" s="108">
        <f t="shared" si="36"/>
        <v>34463.527010660167</v>
      </c>
      <c r="DV17" s="108">
        <f t="shared" si="36"/>
        <v>33946.574105500265</v>
      </c>
      <c r="DW17" s="108">
        <f t="shared" si="36"/>
        <v>33437.37549391776</v>
      </c>
      <c r="DX17" s="108">
        <f t="shared" si="36"/>
        <v>32935.814861508996</v>
      </c>
      <c r="DY17" s="108">
        <f t="shared" si="36"/>
        <v>32441.777638586362</v>
      </c>
      <c r="DZ17" s="108">
        <f t="shared" si="36"/>
        <v>31955.150974007567</v>
      </c>
      <c r="EA17" s="108">
        <f t="shared" si="36"/>
        <v>31475.823709397453</v>
      </c>
      <c r="EB17" s="108">
        <f t="shared" si="36"/>
        <v>31003.68635375649</v>
      </c>
      <c r="EC17" s="108">
        <f t="shared" si="36"/>
        <v>30538.631058450141</v>
      </c>
      <c r="ED17" s="108">
        <f t="shared" si="36"/>
        <v>30080.551592573389</v>
      </c>
      <c r="EE17" s="108">
        <f t="shared" si="36"/>
        <v>29629.343318684787</v>
      </c>
      <c r="EF17" s="108">
        <f t="shared" si="36"/>
        <v>29184.903168904515</v>
      </c>
      <c r="EG17" s="108">
        <f t="shared" si="36"/>
        <v>28747.129621370947</v>
      </c>
      <c r="EH17" s="108">
        <f t="shared" si="36"/>
        <v>28315.922677050381</v>
      </c>
      <c r="EI17" s="108">
        <f t="shared" si="36"/>
        <v>27891.183836894626</v>
      </c>
      <c r="EJ17" s="108">
        <f t="shared" si="36"/>
        <v>27472.816079341206</v>
      </c>
      <c r="EK17" s="108">
        <f t="shared" si="36"/>
        <v>27060.723838151087</v>
      </c>
      <c r="EL17" s="108">
        <f t="shared" si="36"/>
        <v>26654.812980578819</v>
      </c>
      <c r="EM17" s="108">
        <f t="shared" si="36"/>
        <v>26254.990785870137</v>
      </c>
      <c r="EN17" s="108">
        <f t="shared" si="36"/>
        <v>25861.165924082085</v>
      </c>
      <c r="EO17" s="108">
        <f t="shared" si="36"/>
        <v>25473.248435220852</v>
      </c>
      <c r="EP17" s="108">
        <f t="shared" si="36"/>
        <v>25091.149708692537</v>
      </c>
      <c r="EQ17" s="108">
        <f t="shared" si="36"/>
        <v>24714.782463062151</v>
      </c>
      <c r="ER17" s="108">
        <f t="shared" si="36"/>
        <v>24344.060726116219</v>
      </c>
      <c r="ES17" s="108">
        <f t="shared" si="36"/>
        <v>23978.899815224475</v>
      </c>
      <c r="ET17" s="108">
        <f t="shared" si="36"/>
        <v>23619.216317996106</v>
      </c>
      <c r="EU17" s="108">
        <f t="shared" si="36"/>
        <v>23264.928073226165</v>
      </c>
      <c r="EV17" s="108">
        <f t="shared" si="36"/>
        <v>22915.954152127772</v>
      </c>
      <c r="EW17" s="108">
        <f t="shared" si="36"/>
        <v>22572.214839845856</v>
      </c>
      <c r="EX17" s="108">
        <f t="shared" si="36"/>
        <v>22233.631617248167</v>
      </c>
      <c r="EY17" s="108">
        <f t="shared" si="36"/>
        <v>21900.127142989444</v>
      </c>
      <c r="EZ17" s="108">
        <f t="shared" si="36"/>
        <v>21571.625235844604</v>
      </c>
      <c r="FA17" s="108">
        <f t="shared" si="36"/>
        <v>21248.050857306935</v>
      </c>
      <c r="FB17" s="108">
        <f t="shared" si="36"/>
        <v>20929.33009444733</v>
      </c>
      <c r="FC17" s="108">
        <f t="shared" si="36"/>
        <v>20615.390143030621</v>
      </c>
      <c r="FD17" s="108">
        <f t="shared" si="36"/>
        <v>20306.159290885164</v>
      </c>
      <c r="FE17" s="108">
        <f t="shared" si="36"/>
        <v>20001.566901521885</v>
      </c>
      <c r="FF17" s="108">
        <f t="shared" si="36"/>
        <v>19701.543397999056</v>
      </c>
      <c r="FG17" s="108">
        <f t="shared" ref="FG17:HR17" si="37">FF17*(1+$AJ$22)</f>
        <v>19406.020247029068</v>
      </c>
      <c r="FH17" s="108">
        <f t="shared" si="37"/>
        <v>19114.92994332363</v>
      </c>
      <c r="FI17" s="108">
        <f t="shared" si="37"/>
        <v>18828.205994173775</v>
      </c>
      <c r="FJ17" s="108">
        <f t="shared" si="37"/>
        <v>18545.78290426117</v>
      </c>
      <c r="FK17" s="108">
        <f t="shared" si="37"/>
        <v>18267.596160697252</v>
      </c>
      <c r="FL17" s="108">
        <f t="shared" si="37"/>
        <v>17993.582218286792</v>
      </c>
      <c r="FM17" s="108">
        <f t="shared" si="37"/>
        <v>17723.67848501249</v>
      </c>
      <c r="FN17" s="108">
        <f t="shared" si="37"/>
        <v>17457.823307737301</v>
      </c>
      <c r="FO17" s="108">
        <f t="shared" si="37"/>
        <v>17195.955958121242</v>
      </c>
      <c r="FP17" s="108">
        <f t="shared" si="37"/>
        <v>16938.016618749421</v>
      </c>
      <c r="FQ17" s="108">
        <f t="shared" si="37"/>
        <v>16683.94636946818</v>
      </c>
      <c r="FR17" s="108">
        <f t="shared" si="37"/>
        <v>16433.687173926159</v>
      </c>
      <c r="FS17" s="108">
        <f t="shared" si="37"/>
        <v>16187.181866317265</v>
      </c>
      <c r="FT17" s="108">
        <f t="shared" si="37"/>
        <v>15944.374138322506</v>
      </c>
      <c r="FU17" s="108">
        <f t="shared" si="37"/>
        <v>15705.208526247668</v>
      </c>
      <c r="FV17" s="108">
        <f t="shared" si="37"/>
        <v>15469.630398353953</v>
      </c>
      <c r="FW17" s="108">
        <f t="shared" si="37"/>
        <v>15237.585942378644</v>
      </c>
      <c r="FX17" s="108">
        <f t="shared" si="37"/>
        <v>15009.022153242964</v>
      </c>
      <c r="FY17" s="108">
        <f t="shared" si="37"/>
        <v>14783.886820944319</v>
      </c>
      <c r="FZ17" s="108">
        <f t="shared" si="37"/>
        <v>14562.128518630154</v>
      </c>
      <c r="GA17" s="108">
        <f t="shared" si="37"/>
        <v>14343.696590850701</v>
      </c>
      <c r="GB17" s="108">
        <f t="shared" si="37"/>
        <v>14128.54114198794</v>
      </c>
      <c r="GC17" s="108">
        <f t="shared" si="37"/>
        <v>13916.613024858121</v>
      </c>
      <c r="GD17" s="108">
        <f t="shared" si="37"/>
        <v>13707.86382948525</v>
      </c>
      <c r="GE17" s="108">
        <f t="shared" si="37"/>
        <v>13502.245872042971</v>
      </c>
      <c r="GF17" s="108">
        <f t="shared" si="37"/>
        <v>13299.712183962327</v>
      </c>
      <c r="GG17" s="108">
        <f t="shared" si="37"/>
        <v>13100.216501202893</v>
      </c>
      <c r="GH17" s="108">
        <f t="shared" si="37"/>
        <v>12903.713253684849</v>
      </c>
      <c r="GI17" s="108">
        <f t="shared" si="37"/>
        <v>12710.157554879577</v>
      </c>
      <c r="GJ17" s="108">
        <f t="shared" si="37"/>
        <v>12519.505191556384</v>
      </c>
      <c r="GK17" s="108">
        <f t="shared" si="37"/>
        <v>12331.712613683037</v>
      </c>
      <c r="GL17" s="108">
        <f t="shared" si="37"/>
        <v>12146.736924477791</v>
      </c>
      <c r="GM17" s="108">
        <f t="shared" si="37"/>
        <v>11964.535870610624</v>
      </c>
      <c r="GN17" s="108">
        <f t="shared" si="37"/>
        <v>11785.067832551464</v>
      </c>
      <c r="GO17" s="108">
        <f t="shared" si="37"/>
        <v>11608.291815063192</v>
      </c>
      <c r="GP17" s="108">
        <f t="shared" si="37"/>
        <v>11434.167437837245</v>
      </c>
      <c r="GQ17" s="108">
        <f t="shared" si="37"/>
        <v>11262.654926269686</v>
      </c>
      <c r="GR17" s="108">
        <f t="shared" si="37"/>
        <v>11093.715102375641</v>
      </c>
      <c r="GS17" s="108">
        <f t="shared" si="37"/>
        <v>10927.309375840006</v>
      </c>
      <c r="GT17" s="108">
        <f t="shared" si="37"/>
        <v>10763.399735202405</v>
      </c>
      <c r="GU17" s="108">
        <f t="shared" si="37"/>
        <v>10601.94873917437</v>
      </c>
      <c r="GV17" s="108">
        <f t="shared" si="37"/>
        <v>10442.919508086754</v>
      </c>
      <c r="GW17" s="108">
        <f t="shared" si="37"/>
        <v>10286.275715465452</v>
      </c>
      <c r="GX17" s="108">
        <f t="shared" si="37"/>
        <v>10131.98157973347</v>
      </c>
      <c r="GY17" s="108">
        <f t="shared" si="37"/>
        <v>9980.0018560374683</v>
      </c>
      <c r="GZ17" s="108">
        <f t="shared" si="37"/>
        <v>9830.3018281969053</v>
      </c>
      <c r="HA17" s="108">
        <f t="shared" si="37"/>
        <v>9682.8473007739522</v>
      </c>
      <c r="HB17" s="108">
        <f t="shared" si="37"/>
        <v>9537.6045912623431</v>
      </c>
      <c r="HC17" s="108">
        <f t="shared" si="37"/>
        <v>9394.5405223934085</v>
      </c>
      <c r="HD17" s="108">
        <f t="shared" si="37"/>
        <v>9253.622414557507</v>
      </c>
      <c r="HE17" s="108">
        <f t="shared" si="37"/>
        <v>9114.8180783391435</v>
      </c>
      <c r="HF17" s="108">
        <f t="shared" si="37"/>
        <v>8978.0958071640562</v>
      </c>
      <c r="HG17" s="108">
        <f t="shared" si="37"/>
        <v>8843.4243700565949</v>
      </c>
      <c r="HH17" s="108">
        <f t="shared" si="37"/>
        <v>8710.7730045057451</v>
      </c>
      <c r="HI17" s="108">
        <f t="shared" si="37"/>
        <v>8580.1114094381592</v>
      </c>
      <c r="HJ17" s="108">
        <f t="shared" si="37"/>
        <v>8451.4097382965865</v>
      </c>
      <c r="HK17" s="108">
        <f t="shared" si="37"/>
        <v>8324.638592222138</v>
      </c>
      <c r="HL17" s="108">
        <f t="shared" si="37"/>
        <v>8199.769013338806</v>
      </c>
      <c r="HM17" s="108">
        <f t="shared" si="37"/>
        <v>8076.7724781387242</v>
      </c>
      <c r="HN17" s="108">
        <f t="shared" si="37"/>
        <v>7955.6208909666429</v>
      </c>
      <c r="HO17" s="108">
        <f t="shared" si="37"/>
        <v>7836.2865776021436</v>
      </c>
      <c r="HP17" s="108">
        <f t="shared" si="37"/>
        <v>7718.7422789381117</v>
      </c>
      <c r="HQ17" s="108">
        <f t="shared" si="37"/>
        <v>7602.9611447540401</v>
      </c>
      <c r="HR17" s="108">
        <f t="shared" si="37"/>
        <v>7488.9167275827294</v>
      </c>
      <c r="HS17" s="108">
        <f t="shared" ref="HS17:JV17" si="38">HR17*(1+$AJ$22)</f>
        <v>7376.5829766689885</v>
      </c>
      <c r="HT17" s="108">
        <f t="shared" si="38"/>
        <v>7265.9342320189535</v>
      </c>
      <c r="HU17" s="108">
        <f t="shared" si="38"/>
        <v>7156.945218538669</v>
      </c>
      <c r="HV17" s="108">
        <f t="shared" si="38"/>
        <v>7049.5910402605887</v>
      </c>
      <c r="HW17" s="108">
        <f t="shared" si="38"/>
        <v>6943.8471746566802</v>
      </c>
      <c r="HX17" s="108">
        <f t="shared" si="38"/>
        <v>6839.6894670368301</v>
      </c>
      <c r="HY17" s="108">
        <f t="shared" si="38"/>
        <v>6737.0941250312771</v>
      </c>
      <c r="HZ17" s="108">
        <f t="shared" si="38"/>
        <v>6636.037713155808</v>
      </c>
      <c r="IA17" s="108">
        <f t="shared" si="38"/>
        <v>6536.4971474584709</v>
      </c>
      <c r="IB17" s="108">
        <f t="shared" si="38"/>
        <v>6438.4496902465935</v>
      </c>
      <c r="IC17" s="108">
        <f t="shared" si="38"/>
        <v>6341.8729448928943</v>
      </c>
      <c r="ID17" s="108">
        <f t="shared" si="38"/>
        <v>6246.7448507195004</v>
      </c>
      <c r="IE17" s="108">
        <f t="shared" si="38"/>
        <v>6153.043677958708</v>
      </c>
      <c r="IF17" s="108">
        <f t="shared" si="38"/>
        <v>6060.7480227893275</v>
      </c>
      <c r="IG17" s="108">
        <f t="shared" si="38"/>
        <v>5969.8368024474876</v>
      </c>
      <c r="IH17" s="108">
        <f t="shared" si="38"/>
        <v>5880.2892504107749</v>
      </c>
      <c r="II17" s="108">
        <f t="shared" si="38"/>
        <v>5792.0849116546133</v>
      </c>
      <c r="IJ17" s="108">
        <f t="shared" si="38"/>
        <v>5705.2036379797937</v>
      </c>
      <c r="IK17" s="108">
        <f t="shared" si="38"/>
        <v>5619.6255834100966</v>
      </c>
      <c r="IL17" s="108">
        <f t="shared" si="38"/>
        <v>5535.3311996589455</v>
      </c>
      <c r="IM17" s="108">
        <f t="shared" si="38"/>
        <v>5452.3012316640616</v>
      </c>
      <c r="IN17" s="108">
        <f t="shared" si="38"/>
        <v>5370.5167131891003</v>
      </c>
      <c r="IO17" s="108">
        <f t="shared" si="38"/>
        <v>5289.9589624912642</v>
      </c>
      <c r="IP17" s="108">
        <f t="shared" si="38"/>
        <v>5210.6095780538953</v>
      </c>
      <c r="IQ17" s="108">
        <f t="shared" si="38"/>
        <v>5132.4504343830868</v>
      </c>
      <c r="IR17" s="108">
        <f t="shared" si="38"/>
        <v>5055.4636778673403</v>
      </c>
      <c r="IS17" s="108">
        <f t="shared" si="38"/>
        <v>4979.6317226993297</v>
      </c>
      <c r="IT17" s="108">
        <f t="shared" si="38"/>
        <v>4904.9372468588399</v>
      </c>
      <c r="IU17" s="108">
        <f t="shared" si="38"/>
        <v>4831.3631881559577</v>
      </c>
      <c r="IV17" s="108">
        <f t="shared" si="38"/>
        <v>4758.8927403336183</v>
      </c>
      <c r="IW17" s="108">
        <f t="shared" si="38"/>
        <v>4687.5093492286142</v>
      </c>
      <c r="IX17" s="108">
        <f t="shared" si="38"/>
        <v>4617.1967089901846</v>
      </c>
      <c r="IY17" s="108">
        <f t="shared" si="38"/>
        <v>4547.9387583553316</v>
      </c>
      <c r="IZ17" s="108">
        <f t="shared" si="38"/>
        <v>4479.7196769800012</v>
      </c>
      <c r="JA17" s="108">
        <f t="shared" si="38"/>
        <v>4412.523881825301</v>
      </c>
      <c r="JB17" s="108">
        <f t="shared" si="38"/>
        <v>4346.3360235979217</v>
      </c>
      <c r="JC17" s="108">
        <f t="shared" si="38"/>
        <v>4281.1409832439531</v>
      </c>
      <c r="JD17" s="108">
        <f t="shared" si="38"/>
        <v>4216.9238684952934</v>
      </c>
      <c r="JE17" s="108">
        <f t="shared" si="38"/>
        <v>4153.6700104678639</v>
      </c>
      <c r="JF17" s="108">
        <f t="shared" si="38"/>
        <v>4091.3649603108461</v>
      </c>
      <c r="JG17" s="108">
        <f t="shared" si="38"/>
        <v>4029.9944859061834</v>
      </c>
      <c r="JH17" s="108">
        <f t="shared" si="38"/>
        <v>3969.5445686175908</v>
      </c>
      <c r="JI17" s="108">
        <f t="shared" si="38"/>
        <v>3910.001400088327</v>
      </c>
      <c r="JJ17" s="108">
        <f t="shared" si="38"/>
        <v>3851.351379087002</v>
      </c>
      <c r="JK17" s="108">
        <f t="shared" si="38"/>
        <v>3793.5811084006968</v>
      </c>
      <c r="JL17" s="108">
        <f t="shared" si="38"/>
        <v>3736.6773917746864</v>
      </c>
      <c r="JM17" s="108">
        <f t="shared" si="38"/>
        <v>3680.627230898066</v>
      </c>
      <c r="JN17" s="108">
        <f t="shared" si="38"/>
        <v>3625.4178224345951</v>
      </c>
      <c r="JO17" s="108">
        <f t="shared" si="38"/>
        <v>3571.036555098076</v>
      </c>
      <c r="JP17" s="108">
        <f t="shared" si="38"/>
        <v>3517.4710067716046</v>
      </c>
      <c r="JQ17" s="108">
        <f t="shared" si="38"/>
        <v>3464.7089416700305</v>
      </c>
      <c r="JR17" s="108">
        <f t="shared" si="38"/>
        <v>3412.7383075449802</v>
      </c>
      <c r="JS17" s="108">
        <f t="shared" si="38"/>
        <v>3361.5472329318054</v>
      </c>
      <c r="JT17" s="108">
        <f t="shared" si="38"/>
        <v>3311.1240244378282</v>
      </c>
      <c r="JU17" s="108">
        <f t="shared" si="38"/>
        <v>3261.4571640712606</v>
      </c>
      <c r="JV17" s="108">
        <f t="shared" si="38"/>
        <v>3212.5353066101916</v>
      </c>
    </row>
    <row r="18" spans="2:282" s="135" customFormat="1" x14ac:dyDescent="0.25">
      <c r="B18" s="135" t="s">
        <v>32</v>
      </c>
      <c r="C18" s="135">
        <v>15892.72</v>
      </c>
      <c r="D18" s="135">
        <v>15787.15</v>
      </c>
      <c r="E18" s="135">
        <v>15697.61</v>
      </c>
      <c r="F18" s="135">
        <v>15744.231</v>
      </c>
      <c r="G18" s="135">
        <v>15576.641</v>
      </c>
      <c r="H18" s="135">
        <v>15405.86</v>
      </c>
      <c r="I18" s="135">
        <v>15287.52</v>
      </c>
      <c r="J18" s="135">
        <v>15171.99</v>
      </c>
      <c r="K18" s="135">
        <v>15150.865</v>
      </c>
      <c r="L18" s="135">
        <v>14994</v>
      </c>
      <c r="M18" s="135">
        <v>14903</v>
      </c>
      <c r="N18" s="135">
        <v>14815.307000000001</v>
      </c>
      <c r="O18" s="135">
        <v>14748.157999999999</v>
      </c>
      <c r="T18" s="135">
        <v>15744.231</v>
      </c>
      <c r="U18" s="136">
        <v>15343.782999999999</v>
      </c>
      <c r="V18" s="135">
        <v>14948.5</v>
      </c>
      <c r="W18" s="135">
        <f>V18*0.99</f>
        <v>14799.014999999999</v>
      </c>
      <c r="X18" s="135">
        <f t="shared" ref="X18:AG18" si="39">W18*0.99</f>
        <v>14651.02485</v>
      </c>
      <c r="Y18" s="135">
        <f t="shared" si="39"/>
        <v>14504.514601499999</v>
      </c>
      <c r="Z18" s="135">
        <f t="shared" si="39"/>
        <v>14359.469455484999</v>
      </c>
      <c r="AA18" s="135">
        <f t="shared" si="39"/>
        <v>14215.87476093015</v>
      </c>
      <c r="AB18" s="135">
        <f t="shared" si="39"/>
        <v>14073.716013320849</v>
      </c>
      <c r="AC18" s="135">
        <f t="shared" si="39"/>
        <v>13932.97885318764</v>
      </c>
      <c r="AD18" s="135">
        <f t="shared" si="39"/>
        <v>13793.649064655763</v>
      </c>
      <c r="AE18" s="135">
        <f t="shared" si="39"/>
        <v>13655.712574009205</v>
      </c>
      <c r="AF18" s="135">
        <f t="shared" si="39"/>
        <v>13519.155448269114</v>
      </c>
      <c r="AG18" s="135">
        <f t="shared" si="39"/>
        <v>13383.963893786422</v>
      </c>
    </row>
    <row r="19" spans="2:282" s="135" customFormat="1" x14ac:dyDescent="0.25">
      <c r="B19" s="108" t="s">
        <v>31</v>
      </c>
      <c r="C19" s="138">
        <f t="shared" ref="C19:O19" si="40">+C17/C18</f>
        <v>1.8875308946486191</v>
      </c>
      <c r="D19" s="138">
        <f t="shared" si="40"/>
        <v>1.5303585511001037</v>
      </c>
      <c r="E19" s="138">
        <f t="shared" si="40"/>
        <v>1.2664985306680443</v>
      </c>
      <c r="F19" s="138">
        <f>+F17/F18</f>
        <v>1.4580578752941316</v>
      </c>
      <c r="G19" s="138">
        <f t="shared" si="40"/>
        <v>2.1773628858750742</v>
      </c>
      <c r="H19" s="138">
        <f>+H17/H18</f>
        <v>1.5342213936774707</v>
      </c>
      <c r="I19" s="138">
        <f>+I17/I18</f>
        <v>1.4029744523637582</v>
      </c>
      <c r="J19" s="138">
        <f>+J17/J18</f>
        <v>0.97126349279165092</v>
      </c>
      <c r="K19" s="138">
        <f t="shared" si="40"/>
        <v>2.3978828931549452</v>
      </c>
      <c r="L19" s="138">
        <f t="shared" si="40"/>
        <v>1.6526610644257702</v>
      </c>
      <c r="M19" s="138">
        <f t="shared" si="40"/>
        <v>1.5724350801851976</v>
      </c>
      <c r="N19" s="138">
        <f t="shared" ref="N19" si="41">+N17/N18</f>
        <v>1.8538934090262185</v>
      </c>
      <c r="O19" s="138">
        <f t="shared" si="40"/>
        <v>2.8543903584434069</v>
      </c>
      <c r="P19" s="138" t="e">
        <f t="shared" ref="P19" si="42">+P17/P18</f>
        <v>#DIV/0!</v>
      </c>
      <c r="T19" s="138">
        <f>AVERAGE(C19:F19)</f>
        <v>1.5356114629277247</v>
      </c>
      <c r="U19" s="139">
        <f>AVERAGE(G19:J19)</f>
        <v>1.5214555561769885</v>
      </c>
      <c r="V19" s="138">
        <f>V17/V18</f>
        <v>7.4930595042980901</v>
      </c>
      <c r="W19" s="138">
        <f>W17/W18</f>
        <v>7.5444020091877713</v>
      </c>
      <c r="X19" s="138">
        <f t="shared" ref="X19:AG19" si="43">X17/X18</f>
        <v>7.7921330171486254</v>
      </c>
      <c r="Y19" s="138">
        <f t="shared" si="43"/>
        <v>8.0467564676112033</v>
      </c>
      <c r="Z19" s="138">
        <f t="shared" si="43"/>
        <v>8.3083754618866248</v>
      </c>
      <c r="AA19" s="138">
        <f t="shared" si="43"/>
        <v>8.5770876133157508</v>
      </c>
      <c r="AB19" s="138">
        <f t="shared" si="43"/>
        <v>8.8529842855923864</v>
      </c>
      <c r="AC19" s="138">
        <f t="shared" si="43"/>
        <v>9.1361497704614099</v>
      </c>
      <c r="AD19" s="138">
        <f t="shared" si="43"/>
        <v>9.426660400678097</v>
      </c>
      <c r="AE19" s="138">
        <f t="shared" si="43"/>
        <v>9.7245835938564404</v>
      </c>
      <c r="AF19" s="138">
        <f t="shared" si="43"/>
        <v>10.029976822560249</v>
      </c>
      <c r="AG19" s="138">
        <f t="shared" si="43"/>
        <v>10.342886505700346</v>
      </c>
    </row>
    <row r="20" spans="2:282" s="135" customFormat="1" x14ac:dyDescent="0.25">
      <c r="C20" s="135" t="s">
        <v>6</v>
      </c>
      <c r="D20" s="135" t="s">
        <v>6</v>
      </c>
      <c r="E20" s="135" t="s">
        <v>6</v>
      </c>
      <c r="G20" s="135" t="s">
        <v>6</v>
      </c>
      <c r="H20" s="135" t="s">
        <v>6</v>
      </c>
      <c r="I20" s="135" t="s">
        <v>6</v>
      </c>
      <c r="K20" s="135" t="s">
        <v>6</v>
      </c>
      <c r="U20" s="136"/>
    </row>
    <row r="21" spans="2:282" x14ac:dyDescent="0.25">
      <c r="U21" s="134"/>
    </row>
    <row r="22" spans="2:282" x14ac:dyDescent="0.25">
      <c r="B22" s="96" t="s">
        <v>18</v>
      </c>
      <c r="C22" s="111">
        <f t="shared" ref="C22:O22" si="44">+C9/C5</f>
        <v>0.42962254809908323</v>
      </c>
      <c r="D22" s="111">
        <f t="shared" si="44"/>
        <v>0.44261672782487665</v>
      </c>
      <c r="E22" s="111">
        <f t="shared" si="44"/>
        <v>0.44516302553883397</v>
      </c>
      <c r="F22" s="111">
        <f>+F9/F5</f>
        <v>0.45170841806520817</v>
      </c>
      <c r="G22" s="111">
        <f t="shared" si="44"/>
        <v>0.45874973865774621</v>
      </c>
      <c r="H22" s="111">
        <f>+H9/H5</f>
        <v>0.46578074554009236</v>
      </c>
      <c r="I22" s="111">
        <f>+I9/I5</f>
        <v>0.46257155181458898</v>
      </c>
      <c r="J22" s="111">
        <f>+J9/J5</f>
        <v>0.4622247972190035</v>
      </c>
      <c r="K22" s="111">
        <f t="shared" si="44"/>
        <v>0.46882542236524538</v>
      </c>
      <c r="L22" s="111">
        <f t="shared" si="44"/>
        <v>0.47050619238876246</v>
      </c>
      <c r="M22" s="111">
        <f>+M9/M5</f>
        <v>0.46490705687183631</v>
      </c>
      <c r="N22" s="111">
        <f t="shared" si="44"/>
        <v>0.47177600374758455</v>
      </c>
      <c r="O22" s="111">
        <f t="shared" si="44"/>
        <v>0.4815868555051615</v>
      </c>
      <c r="P22" s="111" t="e">
        <f t="shared" ref="P22" si="45">+P9/P5</f>
        <v>#DIV/0!</v>
      </c>
      <c r="T22" s="140">
        <f>T9/T5</f>
        <v>0.44131129577207562</v>
      </c>
      <c r="U22" s="141">
        <f>U9/U5</f>
        <v>0.46206349815233932</v>
      </c>
      <c r="V22" s="140">
        <f t="shared" ref="V22:AG22" si="46">V9/V5</f>
        <v>0.46905164107160452</v>
      </c>
      <c r="W22" s="140">
        <f t="shared" si="46"/>
        <v>0.46443044263740146</v>
      </c>
      <c r="X22" s="140">
        <f t="shared" si="46"/>
        <v>0.47129394671578678</v>
      </c>
      <c r="Y22" s="140">
        <f t="shared" si="46"/>
        <v>0.47825888188892651</v>
      </c>
      <c r="Z22" s="140">
        <f t="shared" si="46"/>
        <v>0.48532674713851665</v>
      </c>
      <c r="AA22" s="140">
        <f t="shared" si="46"/>
        <v>0.49249906359869183</v>
      </c>
      <c r="AB22" s="140">
        <f t="shared" si="46"/>
        <v>0.49977737488340163</v>
      </c>
      <c r="AC22" s="140">
        <f t="shared" si="46"/>
        <v>0.5071632474186244</v>
      </c>
      <c r="AD22" s="140">
        <f t="shared" si="46"/>
        <v>0.51465827077949078</v>
      </c>
      <c r="AE22" s="140">
        <f t="shared" si="46"/>
        <v>0.52226405803238973</v>
      </c>
      <c r="AF22" s="140">
        <f t="shared" si="46"/>
        <v>0.52998224608212963</v>
      </c>
      <c r="AG22" s="140">
        <f t="shared" si="46"/>
        <v>0.53781449602423004</v>
      </c>
      <c r="AI22" s="133" t="s">
        <v>97</v>
      </c>
      <c r="AJ22" s="140">
        <v>-1.4999999999999999E-2</v>
      </c>
    </row>
    <row r="23" spans="2:282" x14ac:dyDescent="0.25">
      <c r="B23" s="108" t="s">
        <v>24</v>
      </c>
      <c r="C23" s="111">
        <f>+C13/C5</f>
        <v>0.30742441572630896</v>
      </c>
      <c r="D23" s="111">
        <f t="shared" ref="D23:G23" si="47">+D13/D5</f>
        <v>0.29859968788223878</v>
      </c>
      <c r="E23" s="111">
        <f t="shared" si="47"/>
        <v>0.28115945572576012</v>
      </c>
      <c r="F23" s="111">
        <f>+F13/F5</f>
        <v>0.30133634271156895</v>
      </c>
      <c r="G23" s="111">
        <f t="shared" si="47"/>
        <v>0.33763746602550698</v>
      </c>
      <c r="H23" s="111">
        <f>+H13/H5</f>
        <v>0.30742785362467356</v>
      </c>
      <c r="I23" s="111">
        <f>+I13/I5</f>
        <v>0.29555708406682446</v>
      </c>
      <c r="J23" s="111">
        <f>+J13/J5</f>
        <v>0.31171389444854103</v>
      </c>
      <c r="K23" s="111">
        <f>+K13/K5</f>
        <v>0.34458567980691873</v>
      </c>
      <c r="L23" s="111">
        <f t="shared" ref="L23:O23" si="48">+L13/L5</f>
        <v>0.31029058610094484</v>
      </c>
      <c r="M23" s="111">
        <f t="shared" si="48"/>
        <v>0.29990641881832492</v>
      </c>
      <c r="N23" s="111">
        <f t="shared" si="48"/>
        <v>0.31646594968086977</v>
      </c>
      <c r="O23" s="111">
        <f t="shared" si="48"/>
        <v>0.35373827875010433</v>
      </c>
      <c r="P23" s="111" t="e">
        <f t="shared" ref="P23" si="49">+P13/P5</f>
        <v>#DIV/0!</v>
      </c>
      <c r="T23" s="140">
        <f>T13/T5</f>
        <v>0.29821412265024722</v>
      </c>
      <c r="U23" s="141">
        <f>U13/U5</f>
        <v>0.31510222870075566</v>
      </c>
      <c r="V23" s="140">
        <f t="shared" ref="V23:AG23" si="50">V13/V5</f>
        <v>0.31970799762591884</v>
      </c>
      <c r="W23" s="140">
        <f t="shared" si="50"/>
        <v>0.31067270135588265</v>
      </c>
      <c r="X23" s="140">
        <f t="shared" si="50"/>
        <v>0.31299164165254822</v>
      </c>
      <c r="Y23" s="140">
        <f t="shared" si="50"/>
        <v>0.31527769096174985</v>
      </c>
      <c r="Z23" s="140">
        <f t="shared" si="50"/>
        <v>0.31752837815437912</v>
      </c>
      <c r="AA23" s="140">
        <f t="shared" si="50"/>
        <v>0.3197411369105897</v>
      </c>
      <c r="AB23" s="140">
        <f t="shared" si="50"/>
        <v>0.32191330257890233</v>
      </c>
      <c r="AC23" s="140">
        <f t="shared" si="50"/>
        <v>0.32404210893763741</v>
      </c>
      <c r="AD23" s="140">
        <f t="shared" si="50"/>
        <v>0.32612468485571611</v>
      </c>
      <c r="AE23" s="140">
        <f t="shared" si="50"/>
        <v>0.32815805084978428</v>
      </c>
      <c r="AF23" s="140">
        <f t="shared" si="50"/>
        <v>0.33013911553452097</v>
      </c>
      <c r="AG23" s="140">
        <f t="shared" si="50"/>
        <v>0.33206467196289896</v>
      </c>
      <c r="AI23" s="133" t="s">
        <v>91</v>
      </c>
      <c r="AJ23" s="142">
        <v>6.25E-2</v>
      </c>
    </row>
    <row r="24" spans="2:282" x14ac:dyDescent="0.25">
      <c r="B24" s="96" t="s">
        <v>29</v>
      </c>
      <c r="C24" s="111">
        <f t="shared" ref="C24:K24" si="51">+C17/C5</f>
        <v>0.2560561312460522</v>
      </c>
      <c r="D24" s="111">
        <f t="shared" si="51"/>
        <v>0.25475557805052934</v>
      </c>
      <c r="E24" s="111">
        <f t="shared" si="51"/>
        <v>0.24305292370135825</v>
      </c>
      <c r="F24" s="111">
        <f>+F17/F5</f>
        <v>0.25649735189613176</v>
      </c>
      <c r="G24" s="111">
        <f t="shared" si="51"/>
        <v>0.28363788417311309</v>
      </c>
      <c r="H24" s="111">
        <f>+H17/H5</f>
        <v>0.26044318094167684</v>
      </c>
      <c r="I24" s="111">
        <f>+I17/I5</f>
        <v>0.25004371801298714</v>
      </c>
      <c r="J24" s="111">
        <f>+J17/J5</f>
        <v>0.15523016959865163</v>
      </c>
      <c r="K24" s="111">
        <f t="shared" si="51"/>
        <v>0.29227674979887369</v>
      </c>
      <c r="L24" s="111">
        <f t="shared" ref="L24:O24" si="52">+L17/L5</f>
        <v>0.25986010759341016</v>
      </c>
      <c r="M24" s="111">
        <f t="shared" si="52"/>
        <v>0.24920243311072354</v>
      </c>
      <c r="N24" s="111">
        <f t="shared" si="52"/>
        <v>0.26804988971951671</v>
      </c>
      <c r="O24" s="111">
        <f t="shared" si="52"/>
        <v>0.29283647291243498</v>
      </c>
      <c r="P24" s="111" t="e">
        <f t="shared" ref="P24" si="53">+P17/P5</f>
        <v>#DIV/0!</v>
      </c>
      <c r="T24" s="140">
        <f>T17/T5</f>
        <v>0.25306234264320282</v>
      </c>
      <c r="U24" s="141">
        <f>U17/U5</f>
        <v>0.23971255769943867</v>
      </c>
      <c r="V24" s="140">
        <f t="shared" ref="V24:AG24" si="54">V17/V5</f>
        <v>0.26915064121818238</v>
      </c>
      <c r="W24" s="140">
        <f>W16/W5</f>
        <v>4.6644725871830356E-2</v>
      </c>
      <c r="X24" s="140">
        <f t="shared" si="54"/>
        <v>0.26627531044421754</v>
      </c>
      <c r="Y24" s="140">
        <f t="shared" si="54"/>
        <v>0.26820356863529432</v>
      </c>
      <c r="Z24" s="140">
        <f t="shared" si="54"/>
        <v>0.27010272217202674</v>
      </c>
      <c r="AA24" s="140">
        <f t="shared" si="54"/>
        <v>0.27197052864371968</v>
      </c>
      <c r="AB24" s="140">
        <f t="shared" si="54"/>
        <v>0.27380466596668035</v>
      </c>
      <c r="AC24" s="140">
        <f t="shared" si="54"/>
        <v>0.27560272938111269</v>
      </c>
      <c r="AD24" s="140">
        <f t="shared" si="54"/>
        <v>0.27736222837850627</v>
      </c>
      <c r="AE24" s="140">
        <f t="shared" si="54"/>
        <v>0.27908058355590304</v>
      </c>
      <c r="AF24" s="140">
        <f t="shared" si="54"/>
        <v>0.28075512339341385</v>
      </c>
      <c r="AG24" s="140">
        <f t="shared" si="54"/>
        <v>0.28238308095133852</v>
      </c>
      <c r="AI24" s="133" t="s">
        <v>92</v>
      </c>
      <c r="AJ24" s="143">
        <f>NPV(AJ23,W17:JV17)+V17</f>
        <v>1974195.5995792779</v>
      </c>
    </row>
    <row r="25" spans="2:282" x14ac:dyDescent="0.25">
      <c r="B25" s="96" t="s">
        <v>30</v>
      </c>
      <c r="C25" s="111">
        <f>+C16/C15</f>
        <v>0.15790360160570419</v>
      </c>
      <c r="D25" s="111">
        <f t="shared" ref="D25:G25" si="55">+D16/D15</f>
        <v>0.14875625396377987</v>
      </c>
      <c r="E25" s="111">
        <f t="shared" si="55"/>
        <v>0.12545638499098227</v>
      </c>
      <c r="F25" s="111">
        <f>+F16/F15</f>
        <v>0.14971479368842136</v>
      </c>
      <c r="G25" s="111">
        <f t="shared" si="55"/>
        <v>0.15889194752374575</v>
      </c>
      <c r="H25" s="111">
        <f>+H16/H15</f>
        <v>0.1576021099151757</v>
      </c>
      <c r="I25" s="111">
        <f>+I16/I15</f>
        <v>0.15870400878638111</v>
      </c>
      <c r="J25" s="111">
        <f>+J16/J15</f>
        <v>0.50233029381965555</v>
      </c>
      <c r="K25" s="111">
        <f>+K16/K15</f>
        <v>0.14686267142588766</v>
      </c>
      <c r="L25" s="111">
        <f t="shared" ref="L25:O25" si="56">+L16/L15</f>
        <v>0.15455475946775846</v>
      </c>
      <c r="M25" s="111">
        <f t="shared" si="56"/>
        <v>0.16399700331775535</v>
      </c>
      <c r="N25" s="111">
        <f t="shared" si="56"/>
        <v>0.16272405804170223</v>
      </c>
      <c r="O25" s="111">
        <f t="shared" si="56"/>
        <v>0.17460099603937101</v>
      </c>
      <c r="P25" s="111" t="e">
        <f t="shared" ref="P25" si="57">+P16/P15</f>
        <v>#DIV/0!</v>
      </c>
      <c r="T25" s="140">
        <f>T16/T15</f>
        <v>0.14719174228036858</v>
      </c>
      <c r="U25" s="141">
        <f>U16/U15</f>
        <v>0.24091185164189982</v>
      </c>
      <c r="V25" s="140">
        <f t="shared" ref="V25:AG25" si="58">V16/V15</f>
        <v>0.15610002335586043</v>
      </c>
      <c r="W25" s="140">
        <f>W16/W15</f>
        <v>0.15</v>
      </c>
      <c r="X25" s="140">
        <f t="shared" si="58"/>
        <v>0.15</v>
      </c>
      <c r="Y25" s="140">
        <f t="shared" si="58"/>
        <v>0.15</v>
      </c>
      <c r="Z25" s="140">
        <f t="shared" si="58"/>
        <v>0.15</v>
      </c>
      <c r="AA25" s="140">
        <f t="shared" si="58"/>
        <v>0.15</v>
      </c>
      <c r="AB25" s="140">
        <f t="shared" si="58"/>
        <v>0.15</v>
      </c>
      <c r="AC25" s="140">
        <f t="shared" si="58"/>
        <v>0.15</v>
      </c>
      <c r="AD25" s="140">
        <f t="shared" si="58"/>
        <v>0.15</v>
      </c>
      <c r="AE25" s="140">
        <f t="shared" si="58"/>
        <v>0.15</v>
      </c>
      <c r="AF25" s="140">
        <f t="shared" si="58"/>
        <v>0.15</v>
      </c>
      <c r="AG25" s="140">
        <f t="shared" si="58"/>
        <v>0.15</v>
      </c>
      <c r="AI25" s="133" t="s">
        <v>93</v>
      </c>
      <c r="AJ25" s="135">
        <f>Main!F7-Main!F8</f>
        <v>54286</v>
      </c>
    </row>
    <row r="26" spans="2:282" x14ac:dyDescent="0.25">
      <c r="B26" s="96"/>
      <c r="C26" s="111"/>
      <c r="D26" s="111"/>
      <c r="E26" s="111"/>
      <c r="F26" s="111"/>
      <c r="G26" s="111"/>
      <c r="H26" s="111"/>
      <c r="I26" s="111"/>
      <c r="J26" s="111"/>
      <c r="K26" s="111"/>
      <c r="L26" s="111"/>
      <c r="M26" s="111"/>
      <c r="N26" s="111"/>
      <c r="O26" s="111"/>
      <c r="P26" s="111"/>
      <c r="T26" s="140"/>
      <c r="U26" s="141"/>
      <c r="V26" s="140"/>
      <c r="W26" s="140"/>
      <c r="X26" s="140"/>
      <c r="Y26" s="140"/>
      <c r="Z26" s="140"/>
      <c r="AA26" s="140"/>
      <c r="AB26" s="140"/>
      <c r="AC26" s="140"/>
      <c r="AD26" s="140"/>
      <c r="AE26" s="140"/>
      <c r="AF26" s="140"/>
      <c r="AG26" s="140"/>
      <c r="AJ26" s="135"/>
    </row>
    <row r="27" spans="2:282" x14ac:dyDescent="0.25">
      <c r="B27" s="96" t="s">
        <v>985</v>
      </c>
      <c r="C27" s="111"/>
      <c r="D27" s="111"/>
      <c r="E27" s="111"/>
      <c r="F27" s="111"/>
      <c r="G27" s="111"/>
      <c r="H27" s="111">
        <f t="shared" ref="H27" si="59">(H3-H6)/H3</f>
        <v>0.36572675896301171</v>
      </c>
      <c r="I27" s="111">
        <f>(I3-I6)/I3</f>
        <v>0.35346956013254499</v>
      </c>
      <c r="J27" s="111">
        <f t="shared" ref="J27:L27" si="60">(J3-J6)/J3</f>
        <v>0.36296063352297092</v>
      </c>
      <c r="K27" s="111">
        <f t="shared" si="60"/>
        <v>0.39315026541445486</v>
      </c>
      <c r="L27" s="111">
        <f t="shared" si="60"/>
        <v>0.35922810489856505</v>
      </c>
      <c r="M27" s="111">
        <f>(M3-M6)/M3</f>
        <v>0.3451728641556453</v>
      </c>
      <c r="N27" s="111">
        <f t="shared" ref="N27:O27" si="61">(N3-N6)/N3</f>
        <v>0.36216018232134134</v>
      </c>
      <c r="O27" s="111">
        <f t="shared" si="61"/>
        <v>0.40675030551330632</v>
      </c>
      <c r="P27" s="111" t="e">
        <f t="shared" ref="P27" si="62">(P3-P6)/P3</f>
        <v>#DIV/0!</v>
      </c>
      <c r="T27" s="140"/>
      <c r="U27" s="141"/>
      <c r="V27" s="140"/>
      <c r="W27" s="140"/>
      <c r="X27" s="140"/>
      <c r="Y27" s="140"/>
      <c r="Z27" s="140"/>
      <c r="AA27" s="140"/>
      <c r="AB27" s="140"/>
      <c r="AC27" s="140"/>
      <c r="AD27" s="140"/>
      <c r="AE27" s="140"/>
      <c r="AF27" s="140"/>
      <c r="AG27" s="140"/>
      <c r="AJ27" s="135"/>
    </row>
    <row r="28" spans="2:282" x14ac:dyDescent="0.25">
      <c r="B28" s="96" t="s">
        <v>984</v>
      </c>
      <c r="C28" s="111"/>
      <c r="D28" s="111"/>
      <c r="E28" s="111"/>
      <c r="F28" s="111"/>
      <c r="G28" s="111"/>
      <c r="H28" s="111">
        <f t="shared" ref="H28" si="63">(H4-H7)/H4</f>
        <v>0.74617672937528801</v>
      </c>
      <c r="I28" s="111">
        <f>(I4-I7)/I4</f>
        <v>0.73997439392062114</v>
      </c>
      <c r="J28" s="111">
        <f t="shared" ref="J28:L28" si="64">(J4-J7)/J4</f>
        <v>0.74030914624379307</v>
      </c>
      <c r="K28" s="111">
        <f t="shared" si="64"/>
        <v>0.75026575550493546</v>
      </c>
      <c r="L28" s="111">
        <f t="shared" si="64"/>
        <v>0.75747795083505343</v>
      </c>
      <c r="M28" s="111">
        <f>(M4-M7)/M4</f>
        <v>0.75575247055391459</v>
      </c>
      <c r="N28" s="111">
        <f t="shared" ref="N28:O28" si="65">(N4-N7)/N4</f>
        <v>0.75283478260869563</v>
      </c>
      <c r="O28" s="111">
        <f t="shared" si="65"/>
        <v>0.76520174591010559</v>
      </c>
      <c r="P28" s="111" t="e">
        <f t="shared" ref="P28" si="66">(P4-P7)/P4</f>
        <v>#DIV/0!</v>
      </c>
      <c r="T28" s="140"/>
      <c r="U28" s="141"/>
      <c r="V28" s="140"/>
      <c r="W28" s="140"/>
      <c r="X28" s="140"/>
      <c r="Y28" s="140"/>
      <c r="Z28" s="140"/>
      <c r="AA28" s="140"/>
      <c r="AB28" s="140"/>
      <c r="AC28" s="140"/>
      <c r="AD28" s="140"/>
      <c r="AE28" s="140"/>
      <c r="AF28" s="140"/>
      <c r="AG28" s="140"/>
      <c r="AJ28" s="135"/>
    </row>
    <row r="29" spans="2:282" x14ac:dyDescent="0.25">
      <c r="U29" s="134"/>
      <c r="AI29" s="133" t="s">
        <v>94</v>
      </c>
      <c r="AJ29" s="143">
        <f>AJ24+AJ25</f>
        <v>2028481.5995792779</v>
      </c>
    </row>
    <row r="30" spans="2:282" x14ac:dyDescent="0.25">
      <c r="B30" s="96" t="s">
        <v>34</v>
      </c>
      <c r="C30" s="111"/>
      <c r="D30" s="111"/>
      <c r="E30" s="111"/>
      <c r="F30" s="111"/>
      <c r="G30" s="111">
        <f>G5/C5-1</f>
        <v>2.0665107465387411E-2</v>
      </c>
      <c r="H30" s="111">
        <f>H5/D5-1</f>
        <v>-4.3053270909781061E-2</v>
      </c>
      <c r="I30" s="111">
        <f>I5/E5-1</f>
        <v>4.8657041211780383E-2</v>
      </c>
      <c r="J30" s="111">
        <f>J5/F5-1</f>
        <v>6.0694093722764686E-2</v>
      </c>
      <c r="K30" s="111">
        <f>K5/G5-1</f>
        <v>3.9514948776918191E-2</v>
      </c>
      <c r="L30" s="111">
        <f t="shared" ref="L30:O30" si="67">L5/H5-1</f>
        <v>5.075314314678292E-2</v>
      </c>
      <c r="M30" s="111">
        <f t="shared" si="67"/>
        <v>9.628455180293094E-2</v>
      </c>
      <c r="N30" s="111">
        <f t="shared" si="67"/>
        <v>7.9384809859896821E-2</v>
      </c>
      <c r="O30" s="111">
        <f t="shared" si="67"/>
        <v>0.15652453740949324</v>
      </c>
      <c r="P30" s="111">
        <f t="shared" ref="P30" si="68">P5/L5-1</f>
        <v>-1</v>
      </c>
      <c r="U30" s="141">
        <f>U5/T5-1</f>
        <v>2.021994077514111E-2</v>
      </c>
      <c r="V30" s="140">
        <f t="shared" ref="V30:AG30" si="69">V5/U5-1</f>
        <v>6.425511782832749E-2</v>
      </c>
      <c r="W30" s="144">
        <f t="shared" si="69"/>
        <v>1.4999999999999902E-2</v>
      </c>
      <c r="X30" s="140">
        <f t="shared" si="69"/>
        <v>1.4999999999999902E-2</v>
      </c>
      <c r="Y30" s="140">
        <f t="shared" si="69"/>
        <v>1.4999999999999902E-2</v>
      </c>
      <c r="Z30" s="140">
        <f t="shared" si="69"/>
        <v>1.4999999999999902E-2</v>
      </c>
      <c r="AA30" s="140">
        <f t="shared" si="69"/>
        <v>1.4999999999999902E-2</v>
      </c>
      <c r="AB30" s="140">
        <f t="shared" si="69"/>
        <v>1.4999999999999902E-2</v>
      </c>
      <c r="AC30" s="140">
        <f t="shared" si="69"/>
        <v>1.4999999999999902E-2</v>
      </c>
      <c r="AD30" s="140">
        <f t="shared" si="69"/>
        <v>1.4999999999999902E-2</v>
      </c>
      <c r="AE30" s="140">
        <f t="shared" si="69"/>
        <v>1.4999999999999902E-2</v>
      </c>
      <c r="AF30" s="140">
        <f t="shared" si="69"/>
        <v>1.4999999999999902E-2</v>
      </c>
      <c r="AG30" s="140">
        <f t="shared" si="69"/>
        <v>1.4999999999999902E-2</v>
      </c>
      <c r="AI30" s="133" t="s">
        <v>95</v>
      </c>
      <c r="AJ30" s="138">
        <f>AJ29/Main!F5</f>
        <v>137.54135259327151</v>
      </c>
    </row>
    <row r="31" spans="2:282" x14ac:dyDescent="0.25">
      <c r="B31" s="96" t="s">
        <v>982</v>
      </c>
      <c r="C31" s="111"/>
      <c r="D31" s="111"/>
      <c r="E31" s="111"/>
      <c r="F31" s="111"/>
      <c r="G31" s="111"/>
      <c r="H31" s="111"/>
      <c r="I31" s="111"/>
      <c r="J31" s="111"/>
      <c r="K31" s="111">
        <f t="shared" ref="K31:K32" si="70">K3/G3-1</f>
        <v>1.5571544091729006E-2</v>
      </c>
      <c r="L31" s="111">
        <f>L3/H3-1</f>
        <v>2.7330084023562407E-2</v>
      </c>
      <c r="M31" s="111">
        <f>M3/I3-1</f>
        <v>8.2012214930803795E-2</v>
      </c>
      <c r="N31" s="111">
        <f t="shared" ref="N31:O31" si="71">N3/J3-1</f>
        <v>5.3717945052745852E-2</v>
      </c>
      <c r="O31" s="111">
        <f t="shared" si="71"/>
        <v>0.16111678236014693</v>
      </c>
      <c r="P31" s="111">
        <f t="shared" ref="P31:P32" si="72">P3/L3-1</f>
        <v>-1</v>
      </c>
      <c r="U31" s="141"/>
      <c r="V31" s="140"/>
      <c r="W31" s="144"/>
      <c r="X31" s="140"/>
      <c r="Y31" s="140"/>
      <c r="Z31" s="140"/>
      <c r="AA31" s="140"/>
      <c r="AB31" s="140"/>
      <c r="AC31" s="140"/>
      <c r="AD31" s="140"/>
      <c r="AE31" s="140"/>
      <c r="AF31" s="140"/>
      <c r="AG31" s="140"/>
      <c r="AJ31" s="138"/>
    </row>
    <row r="32" spans="2:282" x14ac:dyDescent="0.25">
      <c r="B32" s="96" t="s">
        <v>983</v>
      </c>
      <c r="C32" s="111"/>
      <c r="D32" s="111"/>
      <c r="E32" s="111"/>
      <c r="F32" s="111"/>
      <c r="G32" s="111"/>
      <c r="H32" s="111"/>
      <c r="I32" s="111"/>
      <c r="J32" s="111"/>
      <c r="K32" s="111">
        <f t="shared" si="70"/>
        <v>0.13942120517368162</v>
      </c>
      <c r="L32" s="111">
        <f>L4/H4-1</f>
        <v>0.11639502241588806</v>
      </c>
      <c r="M32" s="111">
        <f>M4/I4-1</f>
        <v>0.13257341097757402</v>
      </c>
      <c r="N32" s="111">
        <f t="shared" ref="N32:O32" si="73">N4/J4-1</f>
        <v>0.1512894441774788</v>
      </c>
      <c r="O32" s="111">
        <f t="shared" si="73"/>
        <v>0.13944570994684891</v>
      </c>
      <c r="P32" s="111">
        <f t="shared" si="72"/>
        <v>-1</v>
      </c>
      <c r="U32" s="141"/>
      <c r="V32" s="140"/>
      <c r="W32" s="144"/>
      <c r="X32" s="140"/>
      <c r="Y32" s="140"/>
      <c r="Z32" s="140"/>
      <c r="AA32" s="140"/>
      <c r="AB32" s="140"/>
      <c r="AC32" s="140"/>
      <c r="AD32" s="140"/>
      <c r="AE32" s="140"/>
      <c r="AF32" s="140"/>
      <c r="AG32" s="140"/>
      <c r="AJ32" s="138"/>
    </row>
    <row r="33" spans="1:36" x14ac:dyDescent="0.25">
      <c r="B33" s="96"/>
      <c r="C33" s="111"/>
      <c r="D33" s="111"/>
      <c r="E33" s="111"/>
      <c r="F33" s="111"/>
      <c r="G33" s="111"/>
      <c r="H33" s="111"/>
      <c r="I33" s="111"/>
      <c r="J33" s="111"/>
      <c r="K33" s="111"/>
      <c r="L33" s="111"/>
      <c r="M33" s="111"/>
      <c r="N33" s="111"/>
      <c r="O33" s="111"/>
      <c r="P33" s="111"/>
      <c r="U33" s="141"/>
      <c r="V33" s="140"/>
      <c r="W33" s="144"/>
      <c r="X33" s="140"/>
      <c r="Y33" s="140"/>
      <c r="Z33" s="140"/>
      <c r="AA33" s="140"/>
      <c r="AB33" s="140"/>
      <c r="AC33" s="140"/>
      <c r="AD33" s="140"/>
      <c r="AE33" s="140"/>
      <c r="AF33" s="140"/>
      <c r="AG33" s="140"/>
      <c r="AJ33" s="138"/>
    </row>
    <row r="34" spans="1:36" x14ac:dyDescent="0.25">
      <c r="B34" s="96" t="s">
        <v>975</v>
      </c>
      <c r="C34" s="145">
        <f t="shared" ref="C34:J34" si="74">C5/C11</f>
        <v>17.731799606477978</v>
      </c>
      <c r="D34" s="145">
        <f t="shared" si="74"/>
        <v>15.293662312530238</v>
      </c>
      <c r="E34" s="145">
        <f t="shared" si="74"/>
        <v>13.694458396115854</v>
      </c>
      <c r="F34" s="145">
        <f t="shared" si="74"/>
        <v>14.550154446431474</v>
      </c>
      <c r="G34" s="145">
        <f t="shared" si="74"/>
        <v>17.620837017388741</v>
      </c>
      <c r="H34" s="145">
        <f t="shared" si="74"/>
        <v>14.031076066790353</v>
      </c>
      <c r="I34" s="145">
        <f t="shared" si="74"/>
        <v>13.572310126582279</v>
      </c>
      <c r="J34" s="145">
        <f t="shared" si="74"/>
        <v>14.553119730185497</v>
      </c>
      <c r="K34" s="145">
        <f>K5/K11</f>
        <v>17.324041811846691</v>
      </c>
      <c r="L34" s="145">
        <f t="shared" ref="L34:O34" si="75">L5/L11</f>
        <v>14.173454221165279</v>
      </c>
      <c r="M34" s="145">
        <f t="shared" si="75"/>
        <v>14.140751879699248</v>
      </c>
      <c r="N34" s="145">
        <f t="shared" si="75"/>
        <v>14.538308740068105</v>
      </c>
      <c r="O34" s="145">
        <f t="shared" si="75"/>
        <v>19.187933796049119</v>
      </c>
      <c r="P34" s="145" t="e">
        <f t="shared" ref="P34" si="76">P5/P11</f>
        <v>#DIV/0!</v>
      </c>
      <c r="U34" s="134"/>
      <c r="AI34" s="133" t="s">
        <v>96</v>
      </c>
      <c r="AJ34" s="135">
        <f>Main!F4</f>
        <v>273.94</v>
      </c>
    </row>
    <row r="35" spans="1:36" x14ac:dyDescent="0.25">
      <c r="B35" s="96"/>
      <c r="C35" s="145"/>
      <c r="D35" s="145"/>
      <c r="E35" s="145"/>
      <c r="F35" s="145"/>
      <c r="G35" s="145"/>
      <c r="H35" s="145"/>
      <c r="I35" s="145"/>
      <c r="J35" s="145"/>
      <c r="K35" s="145"/>
      <c r="AJ35" s="135"/>
    </row>
    <row r="36" spans="1:36" s="135" customFormat="1" x14ac:dyDescent="0.25">
      <c r="A36" s="133"/>
      <c r="B36" s="96" t="s">
        <v>986</v>
      </c>
    </row>
    <row r="37" spans="1:36" s="135" customFormat="1" x14ac:dyDescent="0.25">
      <c r="A37" s="133"/>
      <c r="B37" s="133" t="s">
        <v>987</v>
      </c>
      <c r="G37" s="135">
        <v>50430</v>
      </c>
      <c r="H37" s="135">
        <v>37273</v>
      </c>
      <c r="I37" s="135">
        <v>37678</v>
      </c>
      <c r="J37" s="135">
        <v>41664</v>
      </c>
      <c r="K37" s="135">
        <v>52648</v>
      </c>
      <c r="L37" s="135">
        <v>40315</v>
      </c>
      <c r="M37" s="135">
        <v>41198</v>
      </c>
      <c r="N37" s="135">
        <v>44192</v>
      </c>
      <c r="O37" s="135">
        <v>58529</v>
      </c>
      <c r="U37" s="135">
        <v>167045</v>
      </c>
      <c r="V37" s="135">
        <v>178353</v>
      </c>
    </row>
    <row r="38" spans="1:36" s="135" customFormat="1" x14ac:dyDescent="0.25">
      <c r="A38" s="133"/>
      <c r="B38" s="133" t="s">
        <v>988</v>
      </c>
      <c r="G38" s="135">
        <v>30397</v>
      </c>
      <c r="H38" s="135">
        <v>24123</v>
      </c>
      <c r="I38" s="135">
        <v>21884</v>
      </c>
      <c r="J38" s="135">
        <v>24924</v>
      </c>
      <c r="K38" s="135">
        <v>33861</v>
      </c>
      <c r="L38" s="135">
        <v>24454</v>
      </c>
      <c r="M38" s="135">
        <v>24014</v>
      </c>
      <c r="N38" s="135">
        <v>28703</v>
      </c>
      <c r="O38" s="135">
        <v>38146</v>
      </c>
      <c r="U38" s="135">
        <v>101328</v>
      </c>
      <c r="V38" s="135">
        <v>111032</v>
      </c>
    </row>
    <row r="39" spans="1:36" s="135" customFormat="1" x14ac:dyDescent="0.25">
      <c r="A39" s="133"/>
      <c r="B39" s="133" t="s">
        <v>989</v>
      </c>
      <c r="G39" s="135">
        <v>20819</v>
      </c>
      <c r="H39" s="135">
        <v>16372</v>
      </c>
      <c r="I39" s="135">
        <v>14728</v>
      </c>
      <c r="J39" s="135">
        <v>15033</v>
      </c>
      <c r="K39" s="135">
        <v>18513</v>
      </c>
      <c r="L39" s="135">
        <v>16002</v>
      </c>
      <c r="M39" s="135">
        <v>15369</v>
      </c>
      <c r="N39" s="135">
        <v>14493</v>
      </c>
      <c r="O39" s="135">
        <v>25526</v>
      </c>
      <c r="U39" s="135">
        <v>66952</v>
      </c>
      <c r="V39" s="135">
        <v>64377</v>
      </c>
    </row>
    <row r="40" spans="1:36" s="135" customFormat="1" x14ac:dyDescent="0.25">
      <c r="A40" s="133"/>
      <c r="B40" s="133" t="s">
        <v>990</v>
      </c>
      <c r="G40" s="135">
        <v>7767</v>
      </c>
      <c r="H40" s="135">
        <v>6262</v>
      </c>
      <c r="I40" s="135">
        <v>5097</v>
      </c>
      <c r="J40" s="135">
        <v>5926</v>
      </c>
      <c r="K40" s="135">
        <v>8987</v>
      </c>
      <c r="L40" s="135">
        <v>7298</v>
      </c>
      <c r="M40" s="135">
        <v>5782</v>
      </c>
      <c r="N40" s="135">
        <v>6636</v>
      </c>
      <c r="O40" s="135">
        <v>9413</v>
      </c>
      <c r="U40" s="135">
        <v>25052</v>
      </c>
      <c r="V40" s="135">
        <v>28703</v>
      </c>
    </row>
    <row r="41" spans="1:36" s="135" customFormat="1" x14ac:dyDescent="0.25">
      <c r="A41" s="133"/>
      <c r="B41" s="133" t="s">
        <v>991</v>
      </c>
      <c r="G41" s="135">
        <v>10162</v>
      </c>
      <c r="H41" s="135">
        <v>6723</v>
      </c>
      <c r="I41" s="135">
        <v>6390</v>
      </c>
      <c r="J41" s="135">
        <v>7383</v>
      </c>
      <c r="K41" s="135">
        <v>10291</v>
      </c>
      <c r="L41" s="135">
        <v>7290</v>
      </c>
      <c r="M41" s="135">
        <v>7673</v>
      </c>
      <c r="N41" s="135">
        <v>8442</v>
      </c>
      <c r="O41" s="135">
        <v>12142</v>
      </c>
      <c r="U41" s="135">
        <v>30658</v>
      </c>
      <c r="V41" s="135">
        <v>33696</v>
      </c>
    </row>
    <row r="42" spans="1:36" s="108" customFormat="1" x14ac:dyDescent="0.25">
      <c r="A42" s="96"/>
      <c r="B42" s="96" t="s">
        <v>903</v>
      </c>
      <c r="G42" s="108">
        <f t="shared" ref="G42:K42" si="77">SUM(G37:G41)</f>
        <v>119575</v>
      </c>
      <c r="H42" s="108">
        <f t="shared" si="77"/>
        <v>90753</v>
      </c>
      <c r="I42" s="108">
        <f t="shared" si="77"/>
        <v>85777</v>
      </c>
      <c r="J42" s="108">
        <f t="shared" si="77"/>
        <v>94930</v>
      </c>
      <c r="K42" s="108">
        <f t="shared" si="77"/>
        <v>124300</v>
      </c>
      <c r="L42" s="108">
        <f>SUM(L37:L41)</f>
        <v>95359</v>
      </c>
      <c r="M42" s="108">
        <f>SUM(M37:M41)</f>
        <v>94036</v>
      </c>
      <c r="N42" s="108">
        <f>SUM(N37:N41)</f>
        <v>102466</v>
      </c>
      <c r="O42" s="108">
        <f t="shared" ref="O42:P42" si="78">SUM(O37:O41)</f>
        <v>143756</v>
      </c>
      <c r="P42" s="108">
        <f t="shared" si="78"/>
        <v>0</v>
      </c>
      <c r="Q42" s="135"/>
      <c r="R42" s="135"/>
      <c r="U42" s="108">
        <f t="shared" ref="U42:W42" si="79">SUM(U37:U41)</f>
        <v>391035</v>
      </c>
      <c r="V42" s="108">
        <f t="shared" si="79"/>
        <v>416161</v>
      </c>
      <c r="W42" s="108">
        <f t="shared" si="79"/>
        <v>0</v>
      </c>
    </row>
    <row r="43" spans="1:36" s="108" customFormat="1" x14ac:dyDescent="0.25">
      <c r="A43" s="96"/>
      <c r="B43" s="96"/>
      <c r="Q43" s="135"/>
      <c r="R43" s="135"/>
    </row>
    <row r="44" spans="1:36" s="108" customFormat="1" x14ac:dyDescent="0.25">
      <c r="A44" s="96"/>
      <c r="B44" s="96" t="s">
        <v>1052</v>
      </c>
      <c r="Q44" s="135"/>
      <c r="R44" s="135"/>
    </row>
    <row r="45" spans="1:36" s="142" customFormat="1" x14ac:dyDescent="0.25">
      <c r="B45" s="142" t="s">
        <v>987</v>
      </c>
      <c r="K45" s="142">
        <f t="shared" ref="K45:M49" si="80">K37/G37-1</f>
        <v>4.3981756890739687E-2</v>
      </c>
      <c r="L45" s="142">
        <f t="shared" si="80"/>
        <v>8.1614036970461212E-2</v>
      </c>
      <c r="M45" s="142">
        <f t="shared" si="80"/>
        <v>9.3423217792876434E-2</v>
      </c>
      <c r="N45" s="142">
        <f>N37/J37-1</f>
        <v>6.0675883256528396E-2</v>
      </c>
      <c r="O45" s="142">
        <f t="shared" ref="O45:O49" si="81">O37/K37-1</f>
        <v>0.11170414830572861</v>
      </c>
      <c r="P45" s="142">
        <f t="shared" ref="P45:P49" si="82">P37/L37-1</f>
        <v>-1</v>
      </c>
      <c r="V45" s="142">
        <f>V37/U37-1</f>
        <v>6.7694333862132972E-2</v>
      </c>
      <c r="W45" s="142">
        <f t="shared" ref="W45:W49" si="83">W37/V37-1</f>
        <v>-1</v>
      </c>
    </row>
    <row r="46" spans="1:36" s="142" customFormat="1" x14ac:dyDescent="0.25">
      <c r="B46" s="142" t="s">
        <v>988</v>
      </c>
      <c r="K46" s="142">
        <f t="shared" si="80"/>
        <v>0.1139586143369411</v>
      </c>
      <c r="L46" s="142">
        <f t="shared" si="80"/>
        <v>1.3721344774696442E-2</v>
      </c>
      <c r="M46" s="142">
        <f t="shared" si="80"/>
        <v>9.733138365929439E-2</v>
      </c>
      <c r="N46" s="142">
        <f t="shared" ref="N46:N49" si="84">N38/J38-1</f>
        <v>0.15162092761996471</v>
      </c>
      <c r="O46" s="142">
        <f t="shared" si="81"/>
        <v>0.12654676471456838</v>
      </c>
      <c r="P46" s="142">
        <f t="shared" si="82"/>
        <v>-1</v>
      </c>
      <c r="V46" s="142">
        <f t="shared" ref="V46" si="85">V38/U38-1</f>
        <v>9.5768198326227738E-2</v>
      </c>
      <c r="W46" s="142">
        <f t="shared" si="83"/>
        <v>-1</v>
      </c>
    </row>
    <row r="47" spans="1:36" s="142" customFormat="1" x14ac:dyDescent="0.25">
      <c r="B47" s="142" t="s">
        <v>989</v>
      </c>
      <c r="K47" s="142">
        <f t="shared" si="80"/>
        <v>-0.11076420577357227</v>
      </c>
      <c r="L47" s="142">
        <f t="shared" si="80"/>
        <v>-2.2599560224774051E-2</v>
      </c>
      <c r="M47" s="142">
        <f t="shared" si="80"/>
        <v>4.352254209668649E-2</v>
      </c>
      <c r="N47" s="142">
        <f t="shared" si="84"/>
        <v>-3.5920973857513472E-2</v>
      </c>
      <c r="O47" s="142">
        <f t="shared" si="81"/>
        <v>0.37881488683627729</v>
      </c>
      <c r="P47" s="142">
        <f t="shared" si="82"/>
        <v>-1</v>
      </c>
      <c r="V47" s="142">
        <f t="shared" ref="V47" si="86">V39/U39-1</f>
        <v>-3.8460389532799621E-2</v>
      </c>
      <c r="W47" s="142">
        <f t="shared" si="83"/>
        <v>-1</v>
      </c>
    </row>
    <row r="48" spans="1:36" s="142" customFormat="1" x14ac:dyDescent="0.25">
      <c r="B48" s="142" t="s">
        <v>990</v>
      </c>
      <c r="K48" s="142">
        <f t="shared" si="80"/>
        <v>0.15707480365649551</v>
      </c>
      <c r="L48" s="142">
        <f t="shared" si="80"/>
        <v>0.16544235068668156</v>
      </c>
      <c r="M48" s="142">
        <f t="shared" si="80"/>
        <v>0.13439278006670596</v>
      </c>
      <c r="N48" s="142">
        <f t="shared" si="84"/>
        <v>0.11981100236247055</v>
      </c>
      <c r="O48" s="142">
        <f t="shared" si="81"/>
        <v>4.7401802603761034E-2</v>
      </c>
      <c r="P48" s="142">
        <f t="shared" si="82"/>
        <v>-1</v>
      </c>
      <c r="V48" s="142">
        <f t="shared" ref="V48" si="87">V40/U40-1</f>
        <v>0.14573686731598268</v>
      </c>
      <c r="W48" s="142">
        <f t="shared" si="83"/>
        <v>-1</v>
      </c>
    </row>
    <row r="49" spans="1:36" s="142" customFormat="1" x14ac:dyDescent="0.25">
      <c r="B49" s="142" t="s">
        <v>991</v>
      </c>
      <c r="K49" s="142">
        <f t="shared" si="80"/>
        <v>1.2694351505609047E-2</v>
      </c>
      <c r="L49" s="142">
        <f t="shared" si="80"/>
        <v>8.43373493975903E-2</v>
      </c>
      <c r="M49" s="142">
        <f t="shared" si="80"/>
        <v>0.20078247261345861</v>
      </c>
      <c r="N49" s="142">
        <f t="shared" si="84"/>
        <v>0.14343762698090212</v>
      </c>
      <c r="O49" s="142">
        <f t="shared" si="81"/>
        <v>0.1798659022446798</v>
      </c>
      <c r="P49" s="142">
        <f t="shared" si="82"/>
        <v>-1</v>
      </c>
      <c r="V49" s="142">
        <f t="shared" ref="V49" si="88">V41/U41-1</f>
        <v>9.909322199752113E-2</v>
      </c>
      <c r="W49" s="142">
        <f t="shared" si="83"/>
        <v>-1</v>
      </c>
    </row>
    <row r="50" spans="1:36" s="135" customFormat="1" x14ac:dyDescent="0.25">
      <c r="A50" s="133"/>
      <c r="B50" s="133"/>
    </row>
    <row r="51" spans="1:36" s="135" customFormat="1" x14ac:dyDescent="0.25">
      <c r="A51" s="133"/>
      <c r="B51" s="108" t="s">
        <v>992</v>
      </c>
    </row>
    <row r="52" spans="1:36" s="135" customFormat="1" x14ac:dyDescent="0.25">
      <c r="A52" s="133"/>
      <c r="B52" s="135" t="s">
        <v>993</v>
      </c>
      <c r="G52" s="135">
        <v>69702</v>
      </c>
      <c r="H52" s="135">
        <v>45963</v>
      </c>
      <c r="I52" s="135">
        <v>39296</v>
      </c>
      <c r="J52" s="135">
        <v>46222</v>
      </c>
      <c r="K52" s="135">
        <v>69138</v>
      </c>
      <c r="L52" s="135">
        <v>46841</v>
      </c>
      <c r="M52" s="135">
        <v>44582</v>
      </c>
      <c r="N52" s="135">
        <v>49025</v>
      </c>
      <c r="O52" s="135">
        <v>85269</v>
      </c>
      <c r="U52" s="135">
        <v>201183</v>
      </c>
      <c r="V52" s="135">
        <v>209586</v>
      </c>
    </row>
    <row r="53" spans="1:36" s="135" customFormat="1" x14ac:dyDescent="0.25">
      <c r="A53" s="133"/>
      <c r="B53" s="135" t="s">
        <v>360</v>
      </c>
      <c r="G53" s="135">
        <v>7780</v>
      </c>
      <c r="H53" s="135">
        <v>7451</v>
      </c>
      <c r="I53" s="135">
        <v>7009</v>
      </c>
      <c r="J53" s="135">
        <v>7744</v>
      </c>
      <c r="K53" s="135">
        <v>8987</v>
      </c>
      <c r="L53" s="135">
        <v>7949</v>
      </c>
      <c r="M53" s="135">
        <v>8046</v>
      </c>
      <c r="N53" s="135">
        <v>8726</v>
      </c>
      <c r="O53" s="135">
        <v>8386</v>
      </c>
      <c r="U53" s="135">
        <v>29984</v>
      </c>
      <c r="V53" s="135">
        <v>33708</v>
      </c>
    </row>
    <row r="54" spans="1:36" s="135" customFormat="1" x14ac:dyDescent="0.25">
      <c r="A54" s="133"/>
      <c r="B54" s="135" t="s">
        <v>994</v>
      </c>
      <c r="G54" s="135">
        <v>7023</v>
      </c>
      <c r="H54" s="135">
        <v>5559</v>
      </c>
      <c r="I54" s="135">
        <v>7162</v>
      </c>
      <c r="J54" s="135">
        <v>6950</v>
      </c>
      <c r="K54" s="135">
        <v>8088</v>
      </c>
      <c r="L54" s="135">
        <v>6402</v>
      </c>
      <c r="M54" s="135">
        <v>6581</v>
      </c>
      <c r="N54" s="135">
        <v>6952</v>
      </c>
      <c r="O54" s="135">
        <v>8595</v>
      </c>
      <c r="U54" s="135">
        <v>26694</v>
      </c>
      <c r="V54" s="135">
        <v>28023</v>
      </c>
    </row>
    <row r="55" spans="1:36" s="135" customFormat="1" x14ac:dyDescent="0.25">
      <c r="A55" s="133"/>
      <c r="B55" s="135" t="s">
        <v>995</v>
      </c>
      <c r="G55" s="135">
        <v>11953</v>
      </c>
      <c r="H55" s="135">
        <v>7913</v>
      </c>
      <c r="I55" s="135">
        <v>8097</v>
      </c>
      <c r="J55" s="135">
        <v>9042</v>
      </c>
      <c r="K55" s="135">
        <v>11717</v>
      </c>
      <c r="L55" s="135">
        <v>7552</v>
      </c>
      <c r="M55" s="135">
        <v>7404</v>
      </c>
      <c r="N55" s="135">
        <v>9013</v>
      </c>
      <c r="O55" s="135">
        <v>11493</v>
      </c>
      <c r="U55" s="135">
        <v>37005</v>
      </c>
      <c r="V55" s="135">
        <v>35686</v>
      </c>
    </row>
    <row r="56" spans="1:36" s="135" customFormat="1" x14ac:dyDescent="0.25">
      <c r="A56" s="133"/>
      <c r="B56" s="135" t="s">
        <v>378</v>
      </c>
      <c r="G56" s="135">
        <v>23117</v>
      </c>
      <c r="H56" s="135">
        <v>23867</v>
      </c>
      <c r="I56" s="135">
        <v>24213</v>
      </c>
      <c r="J56" s="135">
        <v>24972</v>
      </c>
      <c r="K56" s="135">
        <v>26340</v>
      </c>
      <c r="L56" s="135">
        <v>26645</v>
      </c>
      <c r="M56" s="135">
        <v>27423</v>
      </c>
      <c r="N56" s="135">
        <v>28750</v>
      </c>
      <c r="O56" s="135">
        <v>30013</v>
      </c>
      <c r="U56" s="135">
        <v>96169</v>
      </c>
      <c r="V56" s="135">
        <v>109158</v>
      </c>
    </row>
    <row r="57" spans="1:36" s="108" customFormat="1" x14ac:dyDescent="0.25">
      <c r="A57" s="96"/>
      <c r="B57" s="108" t="s">
        <v>903</v>
      </c>
      <c r="G57" s="108">
        <f t="shared" ref="G57:H57" si="89">SUM(G52:G56)</f>
        <v>119575</v>
      </c>
      <c r="H57" s="108">
        <f t="shared" si="89"/>
        <v>90753</v>
      </c>
      <c r="I57" s="108">
        <f>SUM(I52:I56)</f>
        <v>85777</v>
      </c>
      <c r="J57" s="108">
        <f t="shared" ref="J57:P57" si="90">SUM(J52:J56)</f>
        <v>94930</v>
      </c>
      <c r="K57" s="108">
        <f t="shared" si="90"/>
        <v>124270</v>
      </c>
      <c r="L57" s="108">
        <f t="shared" si="90"/>
        <v>95389</v>
      </c>
      <c r="M57" s="108">
        <f t="shared" si="90"/>
        <v>94036</v>
      </c>
      <c r="N57" s="108">
        <f t="shared" si="90"/>
        <v>102466</v>
      </c>
      <c r="O57" s="108">
        <f t="shared" si="90"/>
        <v>143756</v>
      </c>
      <c r="P57" s="108">
        <f t="shared" si="90"/>
        <v>0</v>
      </c>
      <c r="Q57" s="135"/>
      <c r="R57" s="135"/>
      <c r="U57" s="108">
        <f t="shared" ref="U57" si="91">SUM(U52:U56)</f>
        <v>391035</v>
      </c>
      <c r="V57" s="108">
        <f t="shared" ref="V57" si="92">SUM(V52:V56)</f>
        <v>416161</v>
      </c>
      <c r="W57" s="108">
        <f t="shared" ref="W57" si="93">SUM(W52:W56)</f>
        <v>0</v>
      </c>
    </row>
    <row r="58" spans="1:36" s="108" customFormat="1" x14ac:dyDescent="0.25">
      <c r="A58" s="96"/>
      <c r="Q58" s="135"/>
      <c r="R58" s="135"/>
    </row>
    <row r="59" spans="1:36" s="108" customFormat="1" x14ac:dyDescent="0.25">
      <c r="A59" s="96"/>
      <c r="B59" s="96" t="s">
        <v>1052</v>
      </c>
      <c r="Q59" s="135"/>
      <c r="R59" s="135"/>
    </row>
    <row r="60" spans="1:36" s="108" customFormat="1" x14ac:dyDescent="0.25">
      <c r="A60" s="96"/>
      <c r="B60" s="135" t="s">
        <v>993</v>
      </c>
      <c r="K60" s="142">
        <f t="shared" ref="K60:K64" si="94">K52/G52-1</f>
        <v>-8.0915899113368495E-3</v>
      </c>
      <c r="L60" s="142">
        <f t="shared" ref="L60:L64" si="95">L52/H52-1</f>
        <v>1.9102321432456604E-2</v>
      </c>
      <c r="M60" s="142">
        <f t="shared" ref="M60:M64" si="96">M52/I52-1</f>
        <v>0.13451750814332253</v>
      </c>
      <c r="N60" s="142">
        <f t="shared" ref="N60:N64" si="97">N52/J52-1</f>
        <v>6.0642118471723405E-2</v>
      </c>
      <c r="O60" s="142">
        <f t="shared" ref="O60:O64" si="98">O52/K52-1</f>
        <v>0.23331597674216775</v>
      </c>
      <c r="P60" s="142">
        <f t="shared" ref="P60:P64" si="99">P52/L52-1</f>
        <v>-1</v>
      </c>
      <c r="Q60" s="135"/>
      <c r="R60" s="135"/>
      <c r="V60" s="142">
        <f>V52/U52-1</f>
        <v>4.1767942619406195E-2</v>
      </c>
      <c r="W60" s="142">
        <f t="shared" ref="W60:W64" si="100">W52/V52-1</f>
        <v>-1</v>
      </c>
    </row>
    <row r="61" spans="1:36" s="108" customFormat="1" x14ac:dyDescent="0.25">
      <c r="A61" s="96"/>
      <c r="B61" s="135" t="s">
        <v>360</v>
      </c>
      <c r="K61" s="142">
        <f t="shared" si="94"/>
        <v>0.15514138817480716</v>
      </c>
      <c r="L61" s="142">
        <f t="shared" si="95"/>
        <v>6.6836666219299401E-2</v>
      </c>
      <c r="M61" s="142">
        <f t="shared" si="96"/>
        <v>0.14795263232986167</v>
      </c>
      <c r="N61" s="142">
        <f t="shared" si="97"/>
        <v>0.12680785123966931</v>
      </c>
      <c r="O61" s="142">
        <f t="shared" si="98"/>
        <v>-6.6874374095916345E-2</v>
      </c>
      <c r="P61" s="142">
        <f t="shared" si="99"/>
        <v>-1</v>
      </c>
      <c r="Q61" s="135"/>
      <c r="R61" s="135"/>
      <c r="V61" s="142">
        <f t="shared" ref="V61" si="101">V53/U53-1</f>
        <v>0.12419957310565644</v>
      </c>
      <c r="W61" s="142">
        <f t="shared" si="100"/>
        <v>-1</v>
      </c>
    </row>
    <row r="62" spans="1:36" s="108" customFormat="1" x14ac:dyDescent="0.25">
      <c r="A62" s="96"/>
      <c r="B62" s="135" t="s">
        <v>994</v>
      </c>
      <c r="K62" s="142">
        <f t="shared" si="94"/>
        <v>0.15164459632635618</v>
      </c>
      <c r="L62" s="142">
        <f t="shared" si="95"/>
        <v>0.15164597949271452</v>
      </c>
      <c r="M62" s="142">
        <f t="shared" si="96"/>
        <v>-8.1122591454900861E-2</v>
      </c>
      <c r="N62" s="142">
        <f t="shared" si="97"/>
        <v>2.877697841725535E-4</v>
      </c>
      <c r="O62" s="142">
        <f t="shared" si="98"/>
        <v>6.2685459940652777E-2</v>
      </c>
      <c r="P62" s="142">
        <f t="shared" si="99"/>
        <v>-1</v>
      </c>
      <c r="Q62" s="135"/>
      <c r="R62" s="135"/>
      <c r="V62" s="142">
        <f t="shared" ref="V62" si="102">V54/U54-1</f>
        <v>4.9786468869408962E-2</v>
      </c>
      <c r="W62" s="142">
        <f t="shared" si="100"/>
        <v>-1</v>
      </c>
    </row>
    <row r="63" spans="1:36" s="108" customFormat="1" x14ac:dyDescent="0.25">
      <c r="A63" s="96"/>
      <c r="B63" s="135" t="s">
        <v>995</v>
      </c>
      <c r="K63" s="142">
        <f t="shared" si="94"/>
        <v>-1.9743997322847817E-2</v>
      </c>
      <c r="L63" s="142">
        <f t="shared" si="95"/>
        <v>-4.5621129786427406E-2</v>
      </c>
      <c r="M63" s="142">
        <f t="shared" si="96"/>
        <v>-8.5587254538718072E-2</v>
      </c>
      <c r="N63" s="142">
        <f t="shared" si="97"/>
        <v>-3.2072550320725313E-3</v>
      </c>
      <c r="O63" s="142">
        <f t="shared" si="98"/>
        <v>-1.9117521549884775E-2</v>
      </c>
      <c r="P63" s="142">
        <f t="shared" si="99"/>
        <v>-1</v>
      </c>
      <c r="Q63" s="135"/>
      <c r="R63" s="135"/>
      <c r="V63" s="142">
        <f t="shared" ref="V63" si="103">V55/U55-1</f>
        <v>-3.5643831914606183E-2</v>
      </c>
      <c r="W63" s="142">
        <f t="shared" si="100"/>
        <v>-1</v>
      </c>
    </row>
    <row r="64" spans="1:36" x14ac:dyDescent="0.25">
      <c r="B64" s="135" t="s">
        <v>378</v>
      </c>
      <c r="C64" s="145"/>
      <c r="D64" s="145"/>
      <c r="E64" s="145"/>
      <c r="F64" s="145"/>
      <c r="G64" s="145"/>
      <c r="H64" s="145"/>
      <c r="I64" s="145"/>
      <c r="J64" s="145"/>
      <c r="K64" s="142">
        <f t="shared" si="94"/>
        <v>0.13942120517368162</v>
      </c>
      <c r="L64" s="142">
        <f t="shared" si="95"/>
        <v>0.11639502241588806</v>
      </c>
      <c r="M64" s="142">
        <f t="shared" si="96"/>
        <v>0.13257341097757402</v>
      </c>
      <c r="N64" s="142">
        <f t="shared" si="97"/>
        <v>0.1512894441774788</v>
      </c>
      <c r="O64" s="142">
        <f t="shared" si="98"/>
        <v>0.13944570994684891</v>
      </c>
      <c r="P64" s="142">
        <f t="shared" si="99"/>
        <v>-1</v>
      </c>
      <c r="V64" s="142">
        <f t="shared" ref="V64" si="104">V56/U56-1</f>
        <v>0.13506431386413498</v>
      </c>
      <c r="W64" s="142">
        <f t="shared" si="100"/>
        <v>-1</v>
      </c>
      <c r="AJ64" s="135"/>
    </row>
    <row r="65" spans="2:748" x14ac:dyDescent="0.25">
      <c r="U65" s="140"/>
    </row>
    <row r="66" spans="2:748" x14ac:dyDescent="0.25">
      <c r="B66" s="96" t="s">
        <v>37</v>
      </c>
      <c r="E66" s="133" t="s">
        <v>79</v>
      </c>
      <c r="G66" s="133" t="s">
        <v>73</v>
      </c>
      <c r="U66" s="140"/>
    </row>
    <row r="67" spans="2:748" s="135" customFormat="1" x14ac:dyDescent="0.25">
      <c r="B67" s="135" t="s">
        <v>93</v>
      </c>
      <c r="E67" s="135">
        <f>E68-E79</f>
        <v>51011</v>
      </c>
      <c r="G67" s="135">
        <f t="shared" ref="G67:M67" si="105">G68-G79</f>
        <v>64535</v>
      </c>
      <c r="H67" s="135">
        <f t="shared" si="105"/>
        <v>57747</v>
      </c>
      <c r="I67" s="135">
        <f t="shared" si="105"/>
        <v>51737</v>
      </c>
      <c r="J67" s="135">
        <f t="shared" si="105"/>
        <v>50021</v>
      </c>
      <c r="K67" s="135">
        <f t="shared" si="105"/>
        <v>44569</v>
      </c>
      <c r="L67" s="135">
        <f t="shared" si="105"/>
        <v>34736</v>
      </c>
      <c r="M67" s="135">
        <f t="shared" si="105"/>
        <v>31288</v>
      </c>
      <c r="N67" s="135">
        <f>N68-N79</f>
        <v>33763</v>
      </c>
      <c r="O67" s="135">
        <f t="shared" ref="O67:P67" si="106">O68-O79</f>
        <v>54286</v>
      </c>
      <c r="P67" s="135">
        <f t="shared" si="106"/>
        <v>0</v>
      </c>
    </row>
    <row r="68" spans="2:748" s="135" customFormat="1" x14ac:dyDescent="0.25">
      <c r="B68" s="135" t="s">
        <v>3</v>
      </c>
      <c r="E68" s="135">
        <f>29965+31590+100544</f>
        <v>162099</v>
      </c>
      <c r="G68" s="135">
        <f>40760+32340+99475</f>
        <v>172575</v>
      </c>
      <c r="H68" s="135">
        <f>32695+34455+95187</f>
        <v>162337</v>
      </c>
      <c r="I68" s="135">
        <f>25565+36236+91240</f>
        <v>153041</v>
      </c>
      <c r="J68" s="135">
        <f>29943+35228+91479</f>
        <v>156650</v>
      </c>
      <c r="K68" s="135">
        <f>30299+23476+87593</f>
        <v>141368</v>
      </c>
      <c r="L68" s="135">
        <f>28162+20336+84424</f>
        <v>132922</v>
      </c>
      <c r="M68" s="135">
        <f>36269+19103+77614</f>
        <v>132986</v>
      </c>
      <c r="N68" s="135">
        <f>35934+18763+77723</f>
        <v>132420</v>
      </c>
      <c r="O68" s="135">
        <f>45317+21590+77888</f>
        <v>144795</v>
      </c>
    </row>
    <row r="69" spans="2:748" s="135" customFormat="1" x14ac:dyDescent="0.25">
      <c r="B69" s="135" t="s">
        <v>38</v>
      </c>
      <c r="E69" s="135">
        <v>29508</v>
      </c>
      <c r="G69" s="135">
        <v>23194</v>
      </c>
      <c r="H69" s="135">
        <v>21837</v>
      </c>
      <c r="I69" s="135">
        <v>22795</v>
      </c>
      <c r="J69" s="135">
        <v>33410</v>
      </c>
      <c r="K69" s="135">
        <v>29639</v>
      </c>
      <c r="L69" s="135">
        <v>26136</v>
      </c>
      <c r="M69" s="135">
        <v>27557</v>
      </c>
      <c r="N69" s="135">
        <v>39777</v>
      </c>
      <c r="O69" s="135">
        <v>39921</v>
      </c>
    </row>
    <row r="70" spans="2:748" s="135" customFormat="1" x14ac:dyDescent="0.25">
      <c r="B70" s="135" t="s">
        <v>39</v>
      </c>
      <c r="E70" s="135">
        <v>6331</v>
      </c>
      <c r="G70" s="135">
        <v>6511</v>
      </c>
      <c r="H70" s="135">
        <v>6232</v>
      </c>
      <c r="I70" s="135">
        <v>6165</v>
      </c>
      <c r="J70" s="135">
        <v>7286</v>
      </c>
      <c r="K70" s="135">
        <v>6911</v>
      </c>
      <c r="L70" s="135">
        <v>23662</v>
      </c>
      <c r="M70" s="135">
        <v>19278</v>
      </c>
      <c r="N70" s="135">
        <v>5718</v>
      </c>
      <c r="O70" s="135">
        <v>5875</v>
      </c>
    </row>
    <row r="71" spans="2:748" s="135" customFormat="1" x14ac:dyDescent="0.25">
      <c r="B71" s="135" t="s">
        <v>40</v>
      </c>
      <c r="E71" s="135">
        <v>31477</v>
      </c>
      <c r="G71" s="135">
        <v>26908</v>
      </c>
      <c r="H71" s="135">
        <v>19313</v>
      </c>
      <c r="I71" s="135">
        <v>20377</v>
      </c>
      <c r="J71" s="135">
        <v>32833</v>
      </c>
      <c r="K71" s="135">
        <v>29667</v>
      </c>
      <c r="L71" s="135">
        <v>6269</v>
      </c>
      <c r="M71" s="135">
        <v>5925</v>
      </c>
      <c r="N71" s="135">
        <v>33180</v>
      </c>
      <c r="O71" s="135">
        <v>30399</v>
      </c>
    </row>
    <row r="72" spans="2:748" s="135" customFormat="1" x14ac:dyDescent="0.25">
      <c r="B72" s="135" t="s">
        <v>41</v>
      </c>
      <c r="E72" s="135">
        <v>14695</v>
      </c>
      <c r="G72" s="135">
        <v>13979</v>
      </c>
      <c r="H72" s="135">
        <v>13884</v>
      </c>
      <c r="I72" s="135">
        <v>14297</v>
      </c>
      <c r="J72" s="135">
        <v>14287</v>
      </c>
      <c r="K72" s="135">
        <v>13248</v>
      </c>
      <c r="L72" s="135">
        <v>14109</v>
      </c>
      <c r="M72" s="135">
        <v>14359</v>
      </c>
      <c r="N72" s="135">
        <v>14585</v>
      </c>
      <c r="O72" s="135">
        <v>15002</v>
      </c>
      <c r="AV72" s="135" t="e">
        <f>AU72*(1+#REF!)</f>
        <v>#REF!</v>
      </c>
      <c r="AW72" s="135" t="e">
        <f>AV72*(1+#REF!)</f>
        <v>#REF!</v>
      </c>
      <c r="AX72" s="135" t="e">
        <f>AW72*(1+#REF!)</f>
        <v>#REF!</v>
      </c>
      <c r="AY72" s="135" t="e">
        <f>AX72*(1+#REF!)</f>
        <v>#REF!</v>
      </c>
      <c r="AZ72" s="135" t="e">
        <f>AY72*(1+#REF!)</f>
        <v>#REF!</v>
      </c>
      <c r="BA72" s="135" t="e">
        <f>AZ72*(1+#REF!)</f>
        <v>#REF!</v>
      </c>
      <c r="BB72" s="135" t="e">
        <f>BA72*(1+#REF!)</f>
        <v>#REF!</v>
      </c>
      <c r="BC72" s="135" t="e">
        <f>BB72*(1+#REF!)</f>
        <v>#REF!</v>
      </c>
      <c r="BD72" s="135" t="e">
        <f>BC72*(1+#REF!)</f>
        <v>#REF!</v>
      </c>
      <c r="BE72" s="135" t="e">
        <f>BD72*(1+#REF!)</f>
        <v>#REF!</v>
      </c>
      <c r="BF72" s="135" t="e">
        <f>BE72*(1+#REF!)</f>
        <v>#REF!</v>
      </c>
      <c r="BG72" s="135" t="e">
        <f>BF72*(1+#REF!)</f>
        <v>#REF!</v>
      </c>
      <c r="BH72" s="135" t="e">
        <f>BG72*(1+#REF!)</f>
        <v>#REF!</v>
      </c>
      <c r="BI72" s="135" t="e">
        <f>BH72*(1+#REF!)</f>
        <v>#REF!</v>
      </c>
      <c r="BJ72" s="135" t="e">
        <f>BI72*(1+#REF!)</f>
        <v>#REF!</v>
      </c>
      <c r="BK72" s="135" t="e">
        <f>BJ72*(1+#REF!)</f>
        <v>#REF!</v>
      </c>
      <c r="BL72" s="135" t="e">
        <f>BK72*(1+#REF!)</f>
        <v>#REF!</v>
      </c>
      <c r="BM72" s="135" t="e">
        <f>BL72*(1+#REF!)</f>
        <v>#REF!</v>
      </c>
      <c r="BN72" s="135" t="e">
        <f>BM72*(1+#REF!)</f>
        <v>#REF!</v>
      </c>
      <c r="BO72" s="135" t="e">
        <f>BN72*(1+#REF!)</f>
        <v>#REF!</v>
      </c>
      <c r="BP72" s="135" t="e">
        <f>BO72*(1+#REF!)</f>
        <v>#REF!</v>
      </c>
      <c r="BQ72" s="135" t="e">
        <f>BP72*(1+#REF!)</f>
        <v>#REF!</v>
      </c>
      <c r="BR72" s="135" t="e">
        <f>BQ72*(1+#REF!)</f>
        <v>#REF!</v>
      </c>
      <c r="BS72" s="135" t="e">
        <f>BR72*(1+#REF!)</f>
        <v>#REF!</v>
      </c>
      <c r="BT72" s="135" t="e">
        <f>BS72*(1+#REF!)</f>
        <v>#REF!</v>
      </c>
      <c r="BU72" s="135" t="e">
        <f>BT72*(1+#REF!)</f>
        <v>#REF!</v>
      </c>
      <c r="BV72" s="135" t="e">
        <f>BU72*(1+#REF!)</f>
        <v>#REF!</v>
      </c>
      <c r="BW72" s="135" t="e">
        <f>BV72*(1+#REF!)</f>
        <v>#REF!</v>
      </c>
      <c r="BX72" s="135" t="e">
        <f>BW72*(1+#REF!)</f>
        <v>#REF!</v>
      </c>
      <c r="BY72" s="135" t="e">
        <f>BX72*(1+#REF!)</f>
        <v>#REF!</v>
      </c>
      <c r="BZ72" s="135" t="e">
        <f>BY72*(1+#REF!)</f>
        <v>#REF!</v>
      </c>
      <c r="CA72" s="135" t="e">
        <f>BZ72*(1+#REF!)</f>
        <v>#REF!</v>
      </c>
      <c r="CB72" s="135" t="e">
        <f>CA72*(1+#REF!)</f>
        <v>#REF!</v>
      </c>
      <c r="CC72" s="135" t="e">
        <f>CB72*(1+#REF!)</f>
        <v>#REF!</v>
      </c>
      <c r="CD72" s="135" t="e">
        <f>CC72*(1+#REF!)</f>
        <v>#REF!</v>
      </c>
      <c r="CE72" s="135" t="e">
        <f>CD72*(1+#REF!)</f>
        <v>#REF!</v>
      </c>
      <c r="CF72" s="135" t="e">
        <f>CE72*(1+#REF!)</f>
        <v>#REF!</v>
      </c>
      <c r="CG72" s="135" t="e">
        <f>CF72*(1+#REF!)</f>
        <v>#REF!</v>
      </c>
      <c r="CH72" s="135" t="e">
        <f>CG72*(1+#REF!)</f>
        <v>#REF!</v>
      </c>
      <c r="CI72" s="135" t="e">
        <f>CH72*(1+#REF!)</f>
        <v>#REF!</v>
      </c>
      <c r="CJ72" s="135" t="e">
        <f>CI72*(1+#REF!)</f>
        <v>#REF!</v>
      </c>
      <c r="CK72" s="135" t="e">
        <f>CJ72*(1+#REF!)</f>
        <v>#REF!</v>
      </c>
      <c r="CL72" s="135" t="e">
        <f>CK72*(1+#REF!)</f>
        <v>#REF!</v>
      </c>
      <c r="CM72" s="135" t="e">
        <f>CL72*(1+#REF!)</f>
        <v>#REF!</v>
      </c>
      <c r="CN72" s="135" t="e">
        <f>CM72*(1+#REF!)</f>
        <v>#REF!</v>
      </c>
      <c r="CO72" s="135" t="e">
        <f>CN72*(1+#REF!)</f>
        <v>#REF!</v>
      </c>
      <c r="CP72" s="135" t="e">
        <f>CO72*(1+#REF!)</f>
        <v>#REF!</v>
      </c>
      <c r="CQ72" s="135" t="e">
        <f>CP72*(1+#REF!)</f>
        <v>#REF!</v>
      </c>
      <c r="CR72" s="135" t="e">
        <f>CQ72*(1+#REF!)</f>
        <v>#REF!</v>
      </c>
      <c r="CS72" s="135" t="e">
        <f>CR72*(1+#REF!)</f>
        <v>#REF!</v>
      </c>
      <c r="CT72" s="135" t="e">
        <f>CS72*(1+#REF!)</f>
        <v>#REF!</v>
      </c>
      <c r="CU72" s="135" t="e">
        <f>CT72*(1+#REF!)</f>
        <v>#REF!</v>
      </c>
      <c r="CV72" s="135" t="e">
        <f>CU72*(1+#REF!)</f>
        <v>#REF!</v>
      </c>
      <c r="CW72" s="135" t="e">
        <f>CV72*(1+#REF!)</f>
        <v>#REF!</v>
      </c>
      <c r="CX72" s="135" t="e">
        <f>CW72*(1+#REF!)</f>
        <v>#REF!</v>
      </c>
      <c r="CY72" s="135" t="e">
        <f>CX72*(1+#REF!)</f>
        <v>#REF!</v>
      </c>
      <c r="CZ72" s="135" t="e">
        <f>CY72*(1+#REF!)</f>
        <v>#REF!</v>
      </c>
      <c r="DA72" s="135" t="e">
        <f>CZ72*(1+#REF!)</f>
        <v>#REF!</v>
      </c>
      <c r="DB72" s="135" t="e">
        <f>DA72*(1+#REF!)</f>
        <v>#REF!</v>
      </c>
      <c r="DC72" s="135" t="e">
        <f>DB72*(1+#REF!)</f>
        <v>#REF!</v>
      </c>
      <c r="DD72" s="135" t="e">
        <f>DC72*(1+#REF!)</f>
        <v>#REF!</v>
      </c>
      <c r="DE72" s="135" t="e">
        <f>DD72*(1+#REF!)</f>
        <v>#REF!</v>
      </c>
      <c r="DF72" s="135" t="e">
        <f>DE72*(1+#REF!)</f>
        <v>#REF!</v>
      </c>
      <c r="DG72" s="135" t="e">
        <f>DF72*(1+#REF!)</f>
        <v>#REF!</v>
      </c>
      <c r="DH72" s="135" t="e">
        <f>DG72*(1+#REF!)</f>
        <v>#REF!</v>
      </c>
      <c r="DI72" s="135" t="e">
        <f>DH72*(1+#REF!)</f>
        <v>#REF!</v>
      </c>
      <c r="DJ72" s="135" t="e">
        <f>DI72*(1+#REF!)</f>
        <v>#REF!</v>
      </c>
      <c r="DK72" s="135" t="e">
        <f>DJ72*(1+#REF!)</f>
        <v>#REF!</v>
      </c>
      <c r="DL72" s="135" t="e">
        <f>DK72*(1+#REF!)</f>
        <v>#REF!</v>
      </c>
      <c r="DM72" s="135" t="e">
        <f>DL72*(1+#REF!)</f>
        <v>#REF!</v>
      </c>
      <c r="DN72" s="135" t="e">
        <f>DM72*(1+#REF!)</f>
        <v>#REF!</v>
      </c>
      <c r="DO72" s="135" t="e">
        <f>DN72*(1+#REF!)</f>
        <v>#REF!</v>
      </c>
      <c r="DP72" s="135" t="e">
        <f>DO72*(1+#REF!)</f>
        <v>#REF!</v>
      </c>
      <c r="DQ72" s="135" t="e">
        <f>DP72*(1+#REF!)</f>
        <v>#REF!</v>
      </c>
      <c r="DR72" s="135" t="e">
        <f>DQ72*(1+#REF!)</f>
        <v>#REF!</v>
      </c>
      <c r="DS72" s="135" t="e">
        <f>DR72*(1+#REF!)</f>
        <v>#REF!</v>
      </c>
      <c r="DT72" s="135" t="e">
        <f>DS72*(1+#REF!)</f>
        <v>#REF!</v>
      </c>
      <c r="DU72" s="135" t="e">
        <f>DT72*(1+#REF!)</f>
        <v>#REF!</v>
      </c>
      <c r="DV72" s="135" t="e">
        <f>DU72*(1+#REF!)</f>
        <v>#REF!</v>
      </c>
      <c r="DW72" s="135" t="e">
        <f>DV72*(1+#REF!)</f>
        <v>#REF!</v>
      </c>
      <c r="DX72" s="135" t="e">
        <f>DW72*(1+#REF!)</f>
        <v>#REF!</v>
      </c>
      <c r="DY72" s="135" t="e">
        <f>DX72*(1+#REF!)</f>
        <v>#REF!</v>
      </c>
      <c r="DZ72" s="135" t="e">
        <f>DY72*(1+#REF!)</f>
        <v>#REF!</v>
      </c>
      <c r="EA72" s="135" t="e">
        <f>DZ72*(1+#REF!)</f>
        <v>#REF!</v>
      </c>
      <c r="EB72" s="135" t="e">
        <f>EA72*(1+#REF!)</f>
        <v>#REF!</v>
      </c>
      <c r="EC72" s="135" t="e">
        <f>EB72*(1+#REF!)</f>
        <v>#REF!</v>
      </c>
      <c r="ED72" s="135" t="e">
        <f>EC72*(1+#REF!)</f>
        <v>#REF!</v>
      </c>
      <c r="EE72" s="135" t="e">
        <f>ED72*(1+#REF!)</f>
        <v>#REF!</v>
      </c>
      <c r="EF72" s="135" t="e">
        <f>EE72*(1+#REF!)</f>
        <v>#REF!</v>
      </c>
      <c r="EG72" s="135" t="e">
        <f>EF72*(1+#REF!)</f>
        <v>#REF!</v>
      </c>
      <c r="EH72" s="135" t="e">
        <f>EG72*(1+#REF!)</f>
        <v>#REF!</v>
      </c>
      <c r="EI72" s="135" t="e">
        <f>EH72*(1+#REF!)</f>
        <v>#REF!</v>
      </c>
      <c r="EJ72" s="135" t="e">
        <f>EI72*(1+#REF!)</f>
        <v>#REF!</v>
      </c>
      <c r="EK72" s="135" t="e">
        <f>EJ72*(1+#REF!)</f>
        <v>#REF!</v>
      </c>
      <c r="EL72" s="135" t="e">
        <f>EK72*(1+#REF!)</f>
        <v>#REF!</v>
      </c>
      <c r="EM72" s="135" t="e">
        <f>EL72*(1+#REF!)</f>
        <v>#REF!</v>
      </c>
      <c r="EN72" s="135" t="e">
        <f>EM72*(1+#REF!)</f>
        <v>#REF!</v>
      </c>
      <c r="EO72" s="135" t="e">
        <f>EN72*(1+#REF!)</f>
        <v>#REF!</v>
      </c>
      <c r="EP72" s="135" t="e">
        <f>EO72*(1+#REF!)</f>
        <v>#REF!</v>
      </c>
      <c r="EQ72" s="135" t="e">
        <f>EP72*(1+#REF!)</f>
        <v>#REF!</v>
      </c>
      <c r="ER72" s="135" t="e">
        <f>EQ72*(1+#REF!)</f>
        <v>#REF!</v>
      </c>
      <c r="ES72" s="135" t="e">
        <f>ER72*(1+#REF!)</f>
        <v>#REF!</v>
      </c>
      <c r="ET72" s="135" t="e">
        <f>ES72*(1+#REF!)</f>
        <v>#REF!</v>
      </c>
      <c r="EU72" s="135" t="e">
        <f>ET72*(1+#REF!)</f>
        <v>#REF!</v>
      </c>
      <c r="EV72" s="135" t="e">
        <f>EU72*(1+#REF!)</f>
        <v>#REF!</v>
      </c>
      <c r="EW72" s="135" t="e">
        <f>EV72*(1+#REF!)</f>
        <v>#REF!</v>
      </c>
      <c r="EX72" s="135" t="e">
        <f>EW72*(1+#REF!)</f>
        <v>#REF!</v>
      </c>
      <c r="EY72" s="135" t="e">
        <f>EX72*(1+#REF!)</f>
        <v>#REF!</v>
      </c>
      <c r="EZ72" s="135" t="e">
        <f>EY72*(1+#REF!)</f>
        <v>#REF!</v>
      </c>
      <c r="FA72" s="135" t="e">
        <f>EZ72*(1+#REF!)</f>
        <v>#REF!</v>
      </c>
      <c r="FB72" s="135" t="e">
        <f>FA72*(1+#REF!)</f>
        <v>#REF!</v>
      </c>
      <c r="FC72" s="135" t="e">
        <f>FB72*(1+#REF!)</f>
        <v>#REF!</v>
      </c>
      <c r="FD72" s="135" t="e">
        <f>FC72*(1+#REF!)</f>
        <v>#REF!</v>
      </c>
      <c r="FE72" s="135" t="e">
        <f>FD72*(1+#REF!)</f>
        <v>#REF!</v>
      </c>
      <c r="FF72" s="135" t="e">
        <f>FE72*(1+#REF!)</f>
        <v>#REF!</v>
      </c>
      <c r="FG72" s="135" t="e">
        <f>FF72*(1+#REF!)</f>
        <v>#REF!</v>
      </c>
      <c r="FH72" s="135" t="e">
        <f>FG72*(1+#REF!)</f>
        <v>#REF!</v>
      </c>
      <c r="FI72" s="135" t="e">
        <f>FH72*(1+#REF!)</f>
        <v>#REF!</v>
      </c>
      <c r="FJ72" s="135" t="e">
        <f>FI72*(1+#REF!)</f>
        <v>#REF!</v>
      </c>
      <c r="FK72" s="135" t="e">
        <f>FJ72*(1+#REF!)</f>
        <v>#REF!</v>
      </c>
      <c r="FL72" s="135" t="e">
        <f>FK72*(1+#REF!)</f>
        <v>#REF!</v>
      </c>
      <c r="FM72" s="135" t="e">
        <f>FL72*(1+#REF!)</f>
        <v>#REF!</v>
      </c>
      <c r="FN72" s="135" t="e">
        <f>FM72*(1+#REF!)</f>
        <v>#REF!</v>
      </c>
      <c r="FO72" s="135" t="e">
        <f>FN72*(1+#REF!)</f>
        <v>#REF!</v>
      </c>
      <c r="FP72" s="135" t="e">
        <f>FO72*(1+#REF!)</f>
        <v>#REF!</v>
      </c>
      <c r="FQ72" s="135" t="e">
        <f>FP72*(1+#REF!)</f>
        <v>#REF!</v>
      </c>
      <c r="FR72" s="135" t="e">
        <f>FQ72*(1+#REF!)</f>
        <v>#REF!</v>
      </c>
      <c r="FS72" s="135" t="e">
        <f>FR72*(1+#REF!)</f>
        <v>#REF!</v>
      </c>
      <c r="FT72" s="135" t="e">
        <f>FS72*(1+#REF!)</f>
        <v>#REF!</v>
      </c>
      <c r="FU72" s="135" t="e">
        <f>FT72*(1+#REF!)</f>
        <v>#REF!</v>
      </c>
      <c r="FV72" s="135" t="e">
        <f>FU72*(1+#REF!)</f>
        <v>#REF!</v>
      </c>
      <c r="FW72" s="135" t="e">
        <f>FV72*(1+#REF!)</f>
        <v>#REF!</v>
      </c>
      <c r="FX72" s="135" t="e">
        <f>FW72*(1+#REF!)</f>
        <v>#REF!</v>
      </c>
      <c r="FY72" s="135" t="e">
        <f>FX72*(1+#REF!)</f>
        <v>#REF!</v>
      </c>
      <c r="FZ72" s="135" t="e">
        <f>FY72*(1+#REF!)</f>
        <v>#REF!</v>
      </c>
      <c r="GA72" s="135" t="e">
        <f>FZ72*(1+#REF!)</f>
        <v>#REF!</v>
      </c>
      <c r="GB72" s="135" t="e">
        <f>GA72*(1+#REF!)</f>
        <v>#REF!</v>
      </c>
      <c r="GC72" s="135" t="e">
        <f>GB72*(1+#REF!)</f>
        <v>#REF!</v>
      </c>
      <c r="GD72" s="135" t="e">
        <f>GC72*(1+#REF!)</f>
        <v>#REF!</v>
      </c>
      <c r="GE72" s="135" t="e">
        <f>GD72*(1+#REF!)</f>
        <v>#REF!</v>
      </c>
      <c r="GF72" s="135" t="e">
        <f>GE72*(1+#REF!)</f>
        <v>#REF!</v>
      </c>
      <c r="GG72" s="135" t="e">
        <f>GF72*(1+#REF!)</f>
        <v>#REF!</v>
      </c>
      <c r="GH72" s="135" t="e">
        <f>GG72*(1+#REF!)</f>
        <v>#REF!</v>
      </c>
      <c r="GI72" s="135" t="e">
        <f>GH72*(1+#REF!)</f>
        <v>#REF!</v>
      </c>
      <c r="GJ72" s="135" t="e">
        <f>GI72*(1+#REF!)</f>
        <v>#REF!</v>
      </c>
      <c r="GK72" s="135" t="e">
        <f>GJ72*(1+#REF!)</f>
        <v>#REF!</v>
      </c>
      <c r="GL72" s="135" t="e">
        <f>GK72*(1+#REF!)</f>
        <v>#REF!</v>
      </c>
      <c r="GM72" s="135" t="e">
        <f>GL72*(1+#REF!)</f>
        <v>#REF!</v>
      </c>
      <c r="GN72" s="135" t="e">
        <f>GM72*(1+#REF!)</f>
        <v>#REF!</v>
      </c>
      <c r="GO72" s="135" t="e">
        <f>GN72*(1+#REF!)</f>
        <v>#REF!</v>
      </c>
      <c r="GP72" s="135" t="e">
        <f>GO72*(1+#REF!)</f>
        <v>#REF!</v>
      </c>
      <c r="GQ72" s="135" t="e">
        <f>GP72*(1+#REF!)</f>
        <v>#REF!</v>
      </c>
      <c r="GR72" s="135" t="e">
        <f>GQ72*(1+#REF!)</f>
        <v>#REF!</v>
      </c>
      <c r="GS72" s="135" t="e">
        <f>GR72*(1+#REF!)</f>
        <v>#REF!</v>
      </c>
      <c r="GT72" s="135" t="e">
        <f>GS72*(1+#REF!)</f>
        <v>#REF!</v>
      </c>
      <c r="GU72" s="135" t="e">
        <f>GT72*(1+#REF!)</f>
        <v>#REF!</v>
      </c>
      <c r="GV72" s="135" t="e">
        <f>GU72*(1+#REF!)</f>
        <v>#REF!</v>
      </c>
      <c r="GW72" s="135" t="e">
        <f>GV72*(1+#REF!)</f>
        <v>#REF!</v>
      </c>
      <c r="GX72" s="135" t="e">
        <f>GW72*(1+#REF!)</f>
        <v>#REF!</v>
      </c>
      <c r="GY72" s="135" t="e">
        <f>GX72*(1+#REF!)</f>
        <v>#REF!</v>
      </c>
      <c r="GZ72" s="135" t="e">
        <f>GY72*(1+#REF!)</f>
        <v>#REF!</v>
      </c>
      <c r="HA72" s="135" t="e">
        <f>GZ72*(1+#REF!)</f>
        <v>#REF!</v>
      </c>
      <c r="HB72" s="135" t="e">
        <f>HA72*(1+#REF!)</f>
        <v>#REF!</v>
      </c>
      <c r="HC72" s="135" t="e">
        <f>HB72*(1+#REF!)</f>
        <v>#REF!</v>
      </c>
      <c r="HD72" s="135" t="e">
        <f>HC72*(1+#REF!)</f>
        <v>#REF!</v>
      </c>
      <c r="HE72" s="135" t="e">
        <f>HD72*(1+#REF!)</f>
        <v>#REF!</v>
      </c>
      <c r="HF72" s="135" t="e">
        <f>HE72*(1+#REF!)</f>
        <v>#REF!</v>
      </c>
      <c r="HG72" s="135" t="e">
        <f>HF72*(1+#REF!)</f>
        <v>#REF!</v>
      </c>
      <c r="HH72" s="135" t="e">
        <f>HG72*(1+#REF!)</f>
        <v>#REF!</v>
      </c>
      <c r="HI72" s="135" t="e">
        <f>HH72*(1+#REF!)</f>
        <v>#REF!</v>
      </c>
      <c r="HJ72" s="135" t="e">
        <f>HI72*(1+#REF!)</f>
        <v>#REF!</v>
      </c>
      <c r="HK72" s="135" t="e">
        <f>HJ72*(1+#REF!)</f>
        <v>#REF!</v>
      </c>
      <c r="HL72" s="135" t="e">
        <f>HK72*(1+#REF!)</f>
        <v>#REF!</v>
      </c>
      <c r="HM72" s="135" t="e">
        <f>HL72*(1+#REF!)</f>
        <v>#REF!</v>
      </c>
      <c r="HN72" s="135" t="e">
        <f>HM72*(1+#REF!)</f>
        <v>#REF!</v>
      </c>
      <c r="HO72" s="135" t="e">
        <f>HN72*(1+#REF!)</f>
        <v>#REF!</v>
      </c>
      <c r="HP72" s="135" t="e">
        <f>HO72*(1+#REF!)</f>
        <v>#REF!</v>
      </c>
      <c r="HQ72" s="135" t="e">
        <f>HP72*(1+#REF!)</f>
        <v>#REF!</v>
      </c>
      <c r="HR72" s="135" t="e">
        <f>HQ72*(1+#REF!)</f>
        <v>#REF!</v>
      </c>
      <c r="HS72" s="135" t="e">
        <f>HR72*(1+#REF!)</f>
        <v>#REF!</v>
      </c>
      <c r="HT72" s="135" t="e">
        <f>HS72*(1+#REF!)</f>
        <v>#REF!</v>
      </c>
      <c r="HU72" s="135" t="e">
        <f>HT72*(1+#REF!)</f>
        <v>#REF!</v>
      </c>
      <c r="HV72" s="135" t="e">
        <f>HU72*(1+#REF!)</f>
        <v>#REF!</v>
      </c>
      <c r="HW72" s="135" t="e">
        <f>HV72*(1+#REF!)</f>
        <v>#REF!</v>
      </c>
      <c r="HX72" s="135" t="e">
        <f>HW72*(1+#REF!)</f>
        <v>#REF!</v>
      </c>
      <c r="HY72" s="135" t="e">
        <f>HX72*(1+#REF!)</f>
        <v>#REF!</v>
      </c>
      <c r="HZ72" s="135" t="e">
        <f>HY72*(1+#REF!)</f>
        <v>#REF!</v>
      </c>
      <c r="IA72" s="135" t="e">
        <f>HZ72*(1+#REF!)</f>
        <v>#REF!</v>
      </c>
      <c r="IB72" s="135" t="e">
        <f>IA72*(1+#REF!)</f>
        <v>#REF!</v>
      </c>
      <c r="IC72" s="135" t="e">
        <f>IB72*(1+#REF!)</f>
        <v>#REF!</v>
      </c>
      <c r="ID72" s="135" t="e">
        <f>IC72*(1+#REF!)</f>
        <v>#REF!</v>
      </c>
      <c r="IE72" s="135" t="e">
        <f>ID72*(1+#REF!)</f>
        <v>#REF!</v>
      </c>
      <c r="IF72" s="135" t="e">
        <f>IE72*(1+#REF!)</f>
        <v>#REF!</v>
      </c>
      <c r="IG72" s="135" t="e">
        <f>IF72*(1+#REF!)</f>
        <v>#REF!</v>
      </c>
      <c r="IH72" s="135" t="e">
        <f>IG72*(1+#REF!)</f>
        <v>#REF!</v>
      </c>
      <c r="II72" s="135" t="e">
        <f>IH72*(1+#REF!)</f>
        <v>#REF!</v>
      </c>
      <c r="IJ72" s="135" t="e">
        <f>II72*(1+#REF!)</f>
        <v>#REF!</v>
      </c>
      <c r="IK72" s="135" t="e">
        <f>IJ72*(1+#REF!)</f>
        <v>#REF!</v>
      </c>
      <c r="IL72" s="135" t="e">
        <f>IK72*(1+#REF!)</f>
        <v>#REF!</v>
      </c>
      <c r="IM72" s="135" t="e">
        <f>IL72*(1+#REF!)</f>
        <v>#REF!</v>
      </c>
      <c r="IN72" s="135" t="e">
        <f>IM72*(1+#REF!)</f>
        <v>#REF!</v>
      </c>
      <c r="IO72" s="135" t="e">
        <f>IN72*(1+#REF!)</f>
        <v>#REF!</v>
      </c>
      <c r="IP72" s="135" t="e">
        <f>IO72*(1+#REF!)</f>
        <v>#REF!</v>
      </c>
      <c r="IQ72" s="135" t="e">
        <f>IP72*(1+#REF!)</f>
        <v>#REF!</v>
      </c>
      <c r="IR72" s="135" t="e">
        <f>IQ72*(1+#REF!)</f>
        <v>#REF!</v>
      </c>
      <c r="IS72" s="135" t="e">
        <f>IR72*(1+#REF!)</f>
        <v>#REF!</v>
      </c>
      <c r="IT72" s="135" t="e">
        <f>IS72*(1+#REF!)</f>
        <v>#REF!</v>
      </c>
      <c r="IU72" s="135" t="e">
        <f>IT72*(1+#REF!)</f>
        <v>#REF!</v>
      </c>
      <c r="IV72" s="135" t="e">
        <f>IU72*(1+#REF!)</f>
        <v>#REF!</v>
      </c>
      <c r="IW72" s="135" t="e">
        <f>IV72*(1+#REF!)</f>
        <v>#REF!</v>
      </c>
      <c r="IX72" s="135" t="e">
        <f>IW72*(1+#REF!)</f>
        <v>#REF!</v>
      </c>
      <c r="IY72" s="135" t="e">
        <f>IX72*(1+#REF!)</f>
        <v>#REF!</v>
      </c>
      <c r="IZ72" s="135" t="e">
        <f>IY72*(1+#REF!)</f>
        <v>#REF!</v>
      </c>
      <c r="JA72" s="135" t="e">
        <f>IZ72*(1+#REF!)</f>
        <v>#REF!</v>
      </c>
      <c r="JB72" s="135" t="e">
        <f>JA72*(1+#REF!)</f>
        <v>#REF!</v>
      </c>
      <c r="JC72" s="135" t="e">
        <f>JB72*(1+#REF!)</f>
        <v>#REF!</v>
      </c>
      <c r="JD72" s="135" t="e">
        <f>JC72*(1+#REF!)</f>
        <v>#REF!</v>
      </c>
      <c r="JE72" s="135" t="e">
        <f>JD72*(1+#REF!)</f>
        <v>#REF!</v>
      </c>
      <c r="JF72" s="135" t="e">
        <f>JE72*(1+#REF!)</f>
        <v>#REF!</v>
      </c>
      <c r="JG72" s="135" t="e">
        <f>JF72*(1+#REF!)</f>
        <v>#REF!</v>
      </c>
      <c r="JH72" s="135" t="e">
        <f>JG72*(1+#REF!)</f>
        <v>#REF!</v>
      </c>
      <c r="JI72" s="135" t="e">
        <f>JH72*(1+#REF!)</f>
        <v>#REF!</v>
      </c>
      <c r="JJ72" s="135" t="e">
        <f>JI72*(1+#REF!)</f>
        <v>#REF!</v>
      </c>
      <c r="JK72" s="135" t="e">
        <f>JJ72*(1+#REF!)</f>
        <v>#REF!</v>
      </c>
      <c r="JL72" s="135" t="e">
        <f>JK72*(1+#REF!)</f>
        <v>#REF!</v>
      </c>
      <c r="JM72" s="135" t="e">
        <f>JL72*(1+#REF!)</f>
        <v>#REF!</v>
      </c>
      <c r="JN72" s="135" t="e">
        <f>JM72*(1+#REF!)</f>
        <v>#REF!</v>
      </c>
      <c r="JO72" s="135" t="e">
        <f>JN72*(1+#REF!)</f>
        <v>#REF!</v>
      </c>
      <c r="JP72" s="135" t="e">
        <f>JO72*(1+#REF!)</f>
        <v>#REF!</v>
      </c>
      <c r="JQ72" s="135" t="e">
        <f>JP72*(1+#REF!)</f>
        <v>#REF!</v>
      </c>
      <c r="JR72" s="135" t="e">
        <f>JQ72*(1+#REF!)</f>
        <v>#REF!</v>
      </c>
      <c r="JS72" s="135" t="e">
        <f>JR72*(1+#REF!)</f>
        <v>#REF!</v>
      </c>
      <c r="JT72" s="135" t="e">
        <f>JS72*(1+#REF!)</f>
        <v>#REF!</v>
      </c>
      <c r="JU72" s="135" t="e">
        <f>JT72*(1+#REF!)</f>
        <v>#REF!</v>
      </c>
      <c r="JV72" s="135" t="e">
        <f>JU72*(1+#REF!)</f>
        <v>#REF!</v>
      </c>
      <c r="JW72" s="135" t="e">
        <f>JV72*(1+#REF!)</f>
        <v>#REF!</v>
      </c>
      <c r="JX72" s="135" t="e">
        <f>JW72*(1+#REF!)</f>
        <v>#REF!</v>
      </c>
      <c r="JY72" s="135" t="e">
        <f>JX72*(1+#REF!)</f>
        <v>#REF!</v>
      </c>
      <c r="JZ72" s="135" t="e">
        <f>JY72*(1+#REF!)</f>
        <v>#REF!</v>
      </c>
      <c r="KA72" s="135" t="e">
        <f>JZ72*(1+#REF!)</f>
        <v>#REF!</v>
      </c>
      <c r="KB72" s="135" t="e">
        <f>KA72*(1+#REF!)</f>
        <v>#REF!</v>
      </c>
      <c r="KC72" s="135" t="e">
        <f>KB72*(1+#REF!)</f>
        <v>#REF!</v>
      </c>
      <c r="KD72" s="135" t="e">
        <f>KC72*(1+#REF!)</f>
        <v>#REF!</v>
      </c>
      <c r="KE72" s="135" t="e">
        <f>KD72*(1+#REF!)</f>
        <v>#REF!</v>
      </c>
      <c r="KF72" s="135" t="e">
        <f>KE72*(1+#REF!)</f>
        <v>#REF!</v>
      </c>
      <c r="KG72" s="135" t="e">
        <f>KF72*(1+#REF!)</f>
        <v>#REF!</v>
      </c>
      <c r="KH72" s="135" t="e">
        <f>KG72*(1+#REF!)</f>
        <v>#REF!</v>
      </c>
      <c r="KI72" s="135" t="e">
        <f>KH72*(1+#REF!)</f>
        <v>#REF!</v>
      </c>
      <c r="KJ72" s="135" t="e">
        <f>KI72*(1+#REF!)</f>
        <v>#REF!</v>
      </c>
      <c r="KK72" s="135" t="e">
        <f>KJ72*(1+#REF!)</f>
        <v>#REF!</v>
      </c>
      <c r="KL72" s="135" t="e">
        <f>KK72*(1+#REF!)</f>
        <v>#REF!</v>
      </c>
      <c r="KM72" s="135" t="e">
        <f>KL72*(1+#REF!)</f>
        <v>#REF!</v>
      </c>
      <c r="KN72" s="135" t="e">
        <f>KM72*(1+#REF!)</f>
        <v>#REF!</v>
      </c>
      <c r="KO72" s="135" t="e">
        <f>KN72*(1+#REF!)</f>
        <v>#REF!</v>
      </c>
      <c r="KP72" s="135" t="e">
        <f>KO72*(1+#REF!)</f>
        <v>#REF!</v>
      </c>
      <c r="KQ72" s="135" t="e">
        <f>KP72*(1+#REF!)</f>
        <v>#REF!</v>
      </c>
      <c r="KR72" s="135" t="e">
        <f>KQ72*(1+#REF!)</f>
        <v>#REF!</v>
      </c>
      <c r="KS72" s="135" t="e">
        <f>KR72*(1+#REF!)</f>
        <v>#REF!</v>
      </c>
      <c r="KT72" s="135" t="e">
        <f>KS72*(1+#REF!)</f>
        <v>#REF!</v>
      </c>
      <c r="KU72" s="135" t="e">
        <f>KT72*(1+#REF!)</f>
        <v>#REF!</v>
      </c>
      <c r="KV72" s="135" t="e">
        <f>KU72*(1+#REF!)</f>
        <v>#REF!</v>
      </c>
      <c r="KW72" s="135" t="e">
        <f>KV72*(1+#REF!)</f>
        <v>#REF!</v>
      </c>
      <c r="KX72" s="135" t="e">
        <f>KW72*(1+#REF!)</f>
        <v>#REF!</v>
      </c>
      <c r="KY72" s="135" t="e">
        <f>KX72*(1+#REF!)</f>
        <v>#REF!</v>
      </c>
      <c r="KZ72" s="135" t="e">
        <f>KY72*(1+#REF!)</f>
        <v>#REF!</v>
      </c>
      <c r="LA72" s="135" t="e">
        <f>KZ72*(1+#REF!)</f>
        <v>#REF!</v>
      </c>
      <c r="LB72" s="135" t="e">
        <f>LA72*(1+#REF!)</f>
        <v>#REF!</v>
      </c>
      <c r="LC72" s="135" t="e">
        <f>LB72*(1+#REF!)</f>
        <v>#REF!</v>
      </c>
      <c r="LD72" s="135" t="e">
        <f>LC72*(1+#REF!)</f>
        <v>#REF!</v>
      </c>
      <c r="LE72" s="135" t="e">
        <f>LD72*(1+#REF!)</f>
        <v>#REF!</v>
      </c>
      <c r="LF72" s="135" t="e">
        <f>LE72*(1+#REF!)</f>
        <v>#REF!</v>
      </c>
      <c r="LG72" s="135" t="e">
        <f>LF72*(1+#REF!)</f>
        <v>#REF!</v>
      </c>
      <c r="LH72" s="135" t="e">
        <f>LG72*(1+#REF!)</f>
        <v>#REF!</v>
      </c>
      <c r="LI72" s="135" t="e">
        <f>LH72*(1+#REF!)</f>
        <v>#REF!</v>
      </c>
      <c r="LJ72" s="135" t="e">
        <f>LI72*(1+#REF!)</f>
        <v>#REF!</v>
      </c>
      <c r="LK72" s="135" t="e">
        <f>LJ72*(1+#REF!)</f>
        <v>#REF!</v>
      </c>
      <c r="LL72" s="135" t="e">
        <f>LK72*(1+#REF!)</f>
        <v>#REF!</v>
      </c>
      <c r="LM72" s="135" t="e">
        <f>LL72*(1+#REF!)</f>
        <v>#REF!</v>
      </c>
      <c r="LN72" s="135" t="e">
        <f>LM72*(1+#REF!)</f>
        <v>#REF!</v>
      </c>
      <c r="LO72" s="135" t="e">
        <f>LN72*(1+#REF!)</f>
        <v>#REF!</v>
      </c>
      <c r="LP72" s="135" t="e">
        <f>LO72*(1+#REF!)</f>
        <v>#REF!</v>
      </c>
      <c r="LQ72" s="135" t="e">
        <f>LP72*(1+#REF!)</f>
        <v>#REF!</v>
      </c>
      <c r="LR72" s="135" t="e">
        <f>LQ72*(1+#REF!)</f>
        <v>#REF!</v>
      </c>
      <c r="LS72" s="135" t="e">
        <f>LR72*(1+#REF!)</f>
        <v>#REF!</v>
      </c>
      <c r="LT72" s="135" t="e">
        <f>LS72*(1+#REF!)</f>
        <v>#REF!</v>
      </c>
      <c r="LU72" s="135" t="e">
        <f>LT72*(1+#REF!)</f>
        <v>#REF!</v>
      </c>
      <c r="LV72" s="135" t="e">
        <f>LU72*(1+#REF!)</f>
        <v>#REF!</v>
      </c>
      <c r="LW72" s="135" t="e">
        <f>LV72*(1+#REF!)</f>
        <v>#REF!</v>
      </c>
      <c r="LX72" s="135" t="e">
        <f>LW72*(1+#REF!)</f>
        <v>#REF!</v>
      </c>
      <c r="LY72" s="135" t="e">
        <f>LX72*(1+#REF!)</f>
        <v>#REF!</v>
      </c>
      <c r="LZ72" s="135" t="e">
        <f>LY72*(1+#REF!)</f>
        <v>#REF!</v>
      </c>
      <c r="MA72" s="135" t="e">
        <f>LZ72*(1+#REF!)</f>
        <v>#REF!</v>
      </c>
      <c r="MB72" s="135" t="e">
        <f>MA72*(1+#REF!)</f>
        <v>#REF!</v>
      </c>
      <c r="MC72" s="135" t="e">
        <f>MB72*(1+#REF!)</f>
        <v>#REF!</v>
      </c>
      <c r="MD72" s="135" t="e">
        <f>MC72*(1+#REF!)</f>
        <v>#REF!</v>
      </c>
      <c r="ME72" s="135" t="e">
        <f>MD72*(1+#REF!)</f>
        <v>#REF!</v>
      </c>
      <c r="MF72" s="135" t="e">
        <f>ME72*(1+#REF!)</f>
        <v>#REF!</v>
      </c>
      <c r="MG72" s="135" t="e">
        <f>MF72*(1+#REF!)</f>
        <v>#REF!</v>
      </c>
      <c r="MH72" s="135" t="e">
        <f>MG72*(1+#REF!)</f>
        <v>#REF!</v>
      </c>
      <c r="MI72" s="135" t="e">
        <f>MH72*(1+#REF!)</f>
        <v>#REF!</v>
      </c>
      <c r="MJ72" s="135" t="e">
        <f>MI72*(1+#REF!)</f>
        <v>#REF!</v>
      </c>
      <c r="MK72" s="135" t="e">
        <f>MJ72*(1+#REF!)</f>
        <v>#REF!</v>
      </c>
      <c r="ML72" s="135" t="e">
        <f>MK72*(1+#REF!)</f>
        <v>#REF!</v>
      </c>
      <c r="MM72" s="135" t="e">
        <f>ML72*(1+#REF!)</f>
        <v>#REF!</v>
      </c>
      <c r="MN72" s="135" t="e">
        <f>MM72*(1+#REF!)</f>
        <v>#REF!</v>
      </c>
      <c r="MO72" s="135" t="e">
        <f>MN72*(1+#REF!)</f>
        <v>#REF!</v>
      </c>
      <c r="MP72" s="135" t="e">
        <f>MO72*(1+#REF!)</f>
        <v>#REF!</v>
      </c>
      <c r="MQ72" s="135" t="e">
        <f>MP72*(1+#REF!)</f>
        <v>#REF!</v>
      </c>
      <c r="MR72" s="135" t="e">
        <f>MQ72*(1+#REF!)</f>
        <v>#REF!</v>
      </c>
      <c r="MS72" s="135" t="e">
        <f>MR72*(1+#REF!)</f>
        <v>#REF!</v>
      </c>
      <c r="MT72" s="135" t="e">
        <f>MS72*(1+#REF!)</f>
        <v>#REF!</v>
      </c>
      <c r="MU72" s="135" t="e">
        <f>MT72*(1+#REF!)</f>
        <v>#REF!</v>
      </c>
      <c r="MV72" s="135" t="e">
        <f>MU72*(1+#REF!)</f>
        <v>#REF!</v>
      </c>
      <c r="MW72" s="135" t="e">
        <f>MV72*(1+#REF!)</f>
        <v>#REF!</v>
      </c>
      <c r="MX72" s="135" t="e">
        <f>MW72*(1+#REF!)</f>
        <v>#REF!</v>
      </c>
      <c r="MY72" s="135" t="e">
        <f>MX72*(1+#REF!)</f>
        <v>#REF!</v>
      </c>
      <c r="MZ72" s="135" t="e">
        <f>MY72*(1+#REF!)</f>
        <v>#REF!</v>
      </c>
      <c r="NA72" s="135" t="e">
        <f>MZ72*(1+#REF!)</f>
        <v>#REF!</v>
      </c>
      <c r="NB72" s="135" t="e">
        <f>NA72*(1+#REF!)</f>
        <v>#REF!</v>
      </c>
      <c r="NC72" s="135" t="e">
        <f>NB72*(1+#REF!)</f>
        <v>#REF!</v>
      </c>
      <c r="ND72" s="135" t="e">
        <f>NC72*(1+#REF!)</f>
        <v>#REF!</v>
      </c>
      <c r="NE72" s="135" t="e">
        <f>ND72*(1+#REF!)</f>
        <v>#REF!</v>
      </c>
      <c r="NF72" s="135" t="e">
        <f>NE72*(1+#REF!)</f>
        <v>#REF!</v>
      </c>
      <c r="NG72" s="135" t="e">
        <f>NF72*(1+#REF!)</f>
        <v>#REF!</v>
      </c>
      <c r="NH72" s="135" t="e">
        <f>NG72*(1+#REF!)</f>
        <v>#REF!</v>
      </c>
      <c r="NI72" s="135" t="e">
        <f>NH72*(1+#REF!)</f>
        <v>#REF!</v>
      </c>
      <c r="NJ72" s="135" t="e">
        <f>NI72*(1+#REF!)</f>
        <v>#REF!</v>
      </c>
      <c r="NK72" s="135" t="e">
        <f>NJ72*(1+#REF!)</f>
        <v>#REF!</v>
      </c>
      <c r="NL72" s="135" t="e">
        <f>NK72*(1+#REF!)</f>
        <v>#REF!</v>
      </c>
      <c r="NM72" s="135" t="e">
        <f>NL72*(1+#REF!)</f>
        <v>#REF!</v>
      </c>
      <c r="NN72" s="135" t="e">
        <f>NM72*(1+#REF!)</f>
        <v>#REF!</v>
      </c>
      <c r="NO72" s="135" t="e">
        <f>NN72*(1+#REF!)</f>
        <v>#REF!</v>
      </c>
      <c r="NP72" s="135" t="e">
        <f>NO72*(1+#REF!)</f>
        <v>#REF!</v>
      </c>
      <c r="NQ72" s="135" t="e">
        <f>NP72*(1+#REF!)</f>
        <v>#REF!</v>
      </c>
      <c r="NR72" s="135" t="e">
        <f>NQ72*(1+#REF!)</f>
        <v>#REF!</v>
      </c>
      <c r="NS72" s="135" t="e">
        <f>NR72*(1+#REF!)</f>
        <v>#REF!</v>
      </c>
      <c r="NT72" s="135" t="e">
        <f>NS72*(1+#REF!)</f>
        <v>#REF!</v>
      </c>
      <c r="NU72" s="135" t="e">
        <f>NT72*(1+#REF!)</f>
        <v>#REF!</v>
      </c>
      <c r="NV72" s="135" t="e">
        <f>NU72*(1+#REF!)</f>
        <v>#REF!</v>
      </c>
      <c r="NW72" s="135" t="e">
        <f>NV72*(1+#REF!)</f>
        <v>#REF!</v>
      </c>
      <c r="NX72" s="135" t="e">
        <f>NW72*(1+#REF!)</f>
        <v>#REF!</v>
      </c>
      <c r="NY72" s="135" t="e">
        <f>NX72*(1+#REF!)</f>
        <v>#REF!</v>
      </c>
      <c r="NZ72" s="135" t="e">
        <f>NY72*(1+#REF!)</f>
        <v>#REF!</v>
      </c>
      <c r="OA72" s="135" t="e">
        <f>NZ72*(1+#REF!)</f>
        <v>#REF!</v>
      </c>
      <c r="OB72" s="135" t="e">
        <f>OA72*(1+#REF!)</f>
        <v>#REF!</v>
      </c>
      <c r="OC72" s="135" t="e">
        <f>OB72*(1+#REF!)</f>
        <v>#REF!</v>
      </c>
      <c r="OD72" s="135" t="e">
        <f>OC72*(1+#REF!)</f>
        <v>#REF!</v>
      </c>
      <c r="OE72" s="135" t="e">
        <f>OD72*(1+#REF!)</f>
        <v>#REF!</v>
      </c>
      <c r="OF72" s="135" t="e">
        <f>OE72*(1+#REF!)</f>
        <v>#REF!</v>
      </c>
      <c r="OG72" s="135" t="e">
        <f>OF72*(1+#REF!)</f>
        <v>#REF!</v>
      </c>
      <c r="OH72" s="135" t="e">
        <f>OG72*(1+#REF!)</f>
        <v>#REF!</v>
      </c>
      <c r="OI72" s="135" t="e">
        <f>OH72*(1+#REF!)</f>
        <v>#REF!</v>
      </c>
      <c r="OJ72" s="135" t="e">
        <f>OI72*(1+#REF!)</f>
        <v>#REF!</v>
      </c>
      <c r="OK72" s="135" t="e">
        <f>OJ72*(1+#REF!)</f>
        <v>#REF!</v>
      </c>
      <c r="OL72" s="135" t="e">
        <f>OK72*(1+#REF!)</f>
        <v>#REF!</v>
      </c>
      <c r="OM72" s="135" t="e">
        <f>OL72*(1+#REF!)</f>
        <v>#REF!</v>
      </c>
      <c r="ON72" s="135" t="e">
        <f>OM72*(1+#REF!)</f>
        <v>#REF!</v>
      </c>
      <c r="OO72" s="135" t="e">
        <f>ON72*(1+#REF!)</f>
        <v>#REF!</v>
      </c>
      <c r="OP72" s="135" t="e">
        <f>OO72*(1+#REF!)</f>
        <v>#REF!</v>
      </c>
      <c r="OQ72" s="135" t="e">
        <f>OP72*(1+#REF!)</f>
        <v>#REF!</v>
      </c>
      <c r="OR72" s="135" t="e">
        <f>OQ72*(1+#REF!)</f>
        <v>#REF!</v>
      </c>
      <c r="OS72" s="135" t="e">
        <f>OR72*(1+#REF!)</f>
        <v>#REF!</v>
      </c>
      <c r="OT72" s="135" t="e">
        <f>OS72*(1+#REF!)</f>
        <v>#REF!</v>
      </c>
      <c r="OU72" s="135" t="e">
        <f>OT72*(1+#REF!)</f>
        <v>#REF!</v>
      </c>
      <c r="OV72" s="135" t="e">
        <f>OU72*(1+#REF!)</f>
        <v>#REF!</v>
      </c>
      <c r="OW72" s="135" t="e">
        <f>OV72*(1+#REF!)</f>
        <v>#REF!</v>
      </c>
      <c r="OX72" s="135" t="e">
        <f>OW72*(1+#REF!)</f>
        <v>#REF!</v>
      </c>
      <c r="OY72" s="135" t="e">
        <f>OX72*(1+#REF!)</f>
        <v>#REF!</v>
      </c>
      <c r="OZ72" s="135" t="e">
        <f>OY72*(1+#REF!)</f>
        <v>#REF!</v>
      </c>
      <c r="PA72" s="135" t="e">
        <f>OZ72*(1+#REF!)</f>
        <v>#REF!</v>
      </c>
      <c r="PB72" s="135" t="e">
        <f>PA72*(1+#REF!)</f>
        <v>#REF!</v>
      </c>
      <c r="PC72" s="135" t="e">
        <f>PB72*(1+#REF!)</f>
        <v>#REF!</v>
      </c>
      <c r="PD72" s="135" t="e">
        <f>PC72*(1+#REF!)</f>
        <v>#REF!</v>
      </c>
      <c r="PE72" s="135" t="e">
        <f>PD72*(1+#REF!)</f>
        <v>#REF!</v>
      </c>
      <c r="PF72" s="135" t="e">
        <f>PE72*(1+#REF!)</f>
        <v>#REF!</v>
      </c>
      <c r="PG72" s="135" t="e">
        <f>PF72*(1+#REF!)</f>
        <v>#REF!</v>
      </c>
      <c r="PH72" s="135" t="e">
        <f>PG72*(1+#REF!)</f>
        <v>#REF!</v>
      </c>
      <c r="PI72" s="135" t="e">
        <f>PH72*(1+#REF!)</f>
        <v>#REF!</v>
      </c>
      <c r="PJ72" s="135" t="e">
        <f>PI72*(1+#REF!)</f>
        <v>#REF!</v>
      </c>
      <c r="PK72" s="135" t="e">
        <f>PJ72*(1+#REF!)</f>
        <v>#REF!</v>
      </c>
      <c r="PL72" s="135" t="e">
        <f>PK72*(1+#REF!)</f>
        <v>#REF!</v>
      </c>
      <c r="PM72" s="135" t="e">
        <f>PL72*(1+#REF!)</f>
        <v>#REF!</v>
      </c>
      <c r="PN72" s="135" t="e">
        <f>PM72*(1+#REF!)</f>
        <v>#REF!</v>
      </c>
      <c r="PO72" s="135" t="e">
        <f>PN72*(1+#REF!)</f>
        <v>#REF!</v>
      </c>
      <c r="PP72" s="135" t="e">
        <f>PO72*(1+#REF!)</f>
        <v>#REF!</v>
      </c>
      <c r="PQ72" s="135" t="e">
        <f>PP72*(1+#REF!)</f>
        <v>#REF!</v>
      </c>
      <c r="PR72" s="135" t="e">
        <f>PQ72*(1+#REF!)</f>
        <v>#REF!</v>
      </c>
      <c r="PS72" s="135" t="e">
        <f>PR72*(1+#REF!)</f>
        <v>#REF!</v>
      </c>
      <c r="PT72" s="135" t="e">
        <f>PS72*(1+#REF!)</f>
        <v>#REF!</v>
      </c>
      <c r="PU72" s="135" t="e">
        <f>PT72*(1+#REF!)</f>
        <v>#REF!</v>
      </c>
      <c r="PV72" s="135" t="e">
        <f>PU72*(1+#REF!)</f>
        <v>#REF!</v>
      </c>
      <c r="PW72" s="135" t="e">
        <f>PV72*(1+#REF!)</f>
        <v>#REF!</v>
      </c>
      <c r="PX72" s="135" t="e">
        <f>PW72*(1+#REF!)</f>
        <v>#REF!</v>
      </c>
      <c r="PY72" s="135" t="e">
        <f>PX72*(1+#REF!)</f>
        <v>#REF!</v>
      </c>
      <c r="PZ72" s="135" t="e">
        <f>PY72*(1+#REF!)</f>
        <v>#REF!</v>
      </c>
      <c r="QA72" s="135" t="e">
        <f>PZ72*(1+#REF!)</f>
        <v>#REF!</v>
      </c>
      <c r="QB72" s="135" t="e">
        <f>QA72*(1+#REF!)</f>
        <v>#REF!</v>
      </c>
      <c r="QC72" s="135" t="e">
        <f>QB72*(1+#REF!)</f>
        <v>#REF!</v>
      </c>
      <c r="QD72" s="135" t="e">
        <f>QC72*(1+#REF!)</f>
        <v>#REF!</v>
      </c>
      <c r="QE72" s="135" t="e">
        <f>QD72*(1+#REF!)</f>
        <v>#REF!</v>
      </c>
      <c r="QF72" s="135" t="e">
        <f>QE72*(1+#REF!)</f>
        <v>#REF!</v>
      </c>
      <c r="QG72" s="135" t="e">
        <f>QF72*(1+#REF!)</f>
        <v>#REF!</v>
      </c>
      <c r="QH72" s="135" t="e">
        <f>QG72*(1+#REF!)</f>
        <v>#REF!</v>
      </c>
      <c r="QI72" s="135" t="e">
        <f>QH72*(1+#REF!)</f>
        <v>#REF!</v>
      </c>
      <c r="QJ72" s="135" t="e">
        <f>QI72*(1+#REF!)</f>
        <v>#REF!</v>
      </c>
      <c r="QK72" s="135" t="e">
        <f>QJ72*(1+#REF!)</f>
        <v>#REF!</v>
      </c>
      <c r="QL72" s="135" t="e">
        <f>QK72*(1+#REF!)</f>
        <v>#REF!</v>
      </c>
      <c r="QM72" s="135" t="e">
        <f>QL72*(1+#REF!)</f>
        <v>#REF!</v>
      </c>
      <c r="QN72" s="135" t="e">
        <f>QM72*(1+#REF!)</f>
        <v>#REF!</v>
      </c>
      <c r="QO72" s="135" t="e">
        <f>QN72*(1+#REF!)</f>
        <v>#REF!</v>
      </c>
      <c r="QP72" s="135" t="e">
        <f>QO72*(1+#REF!)</f>
        <v>#REF!</v>
      </c>
      <c r="QQ72" s="135" t="e">
        <f>QP72*(1+#REF!)</f>
        <v>#REF!</v>
      </c>
      <c r="QR72" s="135" t="e">
        <f>QQ72*(1+#REF!)</f>
        <v>#REF!</v>
      </c>
      <c r="QS72" s="135" t="e">
        <f>QR72*(1+#REF!)</f>
        <v>#REF!</v>
      </c>
      <c r="QT72" s="135" t="e">
        <f>QS72*(1+#REF!)</f>
        <v>#REF!</v>
      </c>
      <c r="QU72" s="135" t="e">
        <f>QT72*(1+#REF!)</f>
        <v>#REF!</v>
      </c>
      <c r="QV72" s="135" t="e">
        <f>QU72*(1+#REF!)</f>
        <v>#REF!</v>
      </c>
      <c r="QW72" s="135" t="e">
        <f>QV72*(1+#REF!)</f>
        <v>#REF!</v>
      </c>
      <c r="QX72" s="135" t="e">
        <f>QW72*(1+#REF!)</f>
        <v>#REF!</v>
      </c>
      <c r="QY72" s="135" t="e">
        <f>QX72*(1+#REF!)</f>
        <v>#REF!</v>
      </c>
      <c r="QZ72" s="135" t="e">
        <f>QY72*(1+#REF!)</f>
        <v>#REF!</v>
      </c>
      <c r="RA72" s="135" t="e">
        <f>QZ72*(1+#REF!)</f>
        <v>#REF!</v>
      </c>
      <c r="RB72" s="135" t="e">
        <f>RA72*(1+#REF!)</f>
        <v>#REF!</v>
      </c>
      <c r="RC72" s="135" t="e">
        <f>RB72*(1+#REF!)</f>
        <v>#REF!</v>
      </c>
      <c r="RD72" s="135" t="e">
        <f>RC72*(1+#REF!)</f>
        <v>#REF!</v>
      </c>
      <c r="RE72" s="135" t="e">
        <f>RD72*(1+#REF!)</f>
        <v>#REF!</v>
      </c>
      <c r="RF72" s="135" t="e">
        <f>RE72*(1+#REF!)</f>
        <v>#REF!</v>
      </c>
      <c r="RG72" s="135" t="e">
        <f>RF72*(1+#REF!)</f>
        <v>#REF!</v>
      </c>
      <c r="RH72" s="135" t="e">
        <f>RG72*(1+#REF!)</f>
        <v>#REF!</v>
      </c>
      <c r="RI72" s="135" t="e">
        <f>RH72*(1+#REF!)</f>
        <v>#REF!</v>
      </c>
      <c r="RJ72" s="135" t="e">
        <f>RI72*(1+#REF!)</f>
        <v>#REF!</v>
      </c>
      <c r="RK72" s="135" t="e">
        <f>RJ72*(1+#REF!)</f>
        <v>#REF!</v>
      </c>
      <c r="RL72" s="135" t="e">
        <f>RK72*(1+#REF!)</f>
        <v>#REF!</v>
      </c>
      <c r="RM72" s="135" t="e">
        <f>RL72*(1+#REF!)</f>
        <v>#REF!</v>
      </c>
      <c r="RN72" s="135" t="e">
        <f>RM72*(1+#REF!)</f>
        <v>#REF!</v>
      </c>
      <c r="RO72" s="135" t="e">
        <f>RN72*(1+#REF!)</f>
        <v>#REF!</v>
      </c>
      <c r="RP72" s="135" t="e">
        <f>RO72*(1+#REF!)</f>
        <v>#REF!</v>
      </c>
      <c r="RQ72" s="135" t="e">
        <f>RP72*(1+#REF!)</f>
        <v>#REF!</v>
      </c>
      <c r="RR72" s="135" t="e">
        <f>RQ72*(1+#REF!)</f>
        <v>#REF!</v>
      </c>
      <c r="RS72" s="135" t="e">
        <f>RR72*(1+#REF!)</f>
        <v>#REF!</v>
      </c>
      <c r="RT72" s="135" t="e">
        <f>RS72*(1+#REF!)</f>
        <v>#REF!</v>
      </c>
      <c r="RU72" s="135" t="e">
        <f>RT72*(1+#REF!)</f>
        <v>#REF!</v>
      </c>
      <c r="RV72" s="135" t="e">
        <f>RU72*(1+#REF!)</f>
        <v>#REF!</v>
      </c>
      <c r="RW72" s="135" t="e">
        <f>RV72*(1+#REF!)</f>
        <v>#REF!</v>
      </c>
      <c r="RX72" s="135" t="e">
        <f>RW72*(1+#REF!)</f>
        <v>#REF!</v>
      </c>
      <c r="RY72" s="135" t="e">
        <f>RX72*(1+#REF!)</f>
        <v>#REF!</v>
      </c>
      <c r="RZ72" s="135" t="e">
        <f>RY72*(1+#REF!)</f>
        <v>#REF!</v>
      </c>
      <c r="SA72" s="135" t="e">
        <f>RZ72*(1+#REF!)</f>
        <v>#REF!</v>
      </c>
      <c r="SB72" s="135" t="e">
        <f>SA72*(1+#REF!)</f>
        <v>#REF!</v>
      </c>
      <c r="SC72" s="135" t="e">
        <f>SB72*(1+#REF!)</f>
        <v>#REF!</v>
      </c>
      <c r="SD72" s="135" t="e">
        <f>SC72*(1+#REF!)</f>
        <v>#REF!</v>
      </c>
      <c r="SE72" s="135" t="e">
        <f>SD72*(1+#REF!)</f>
        <v>#REF!</v>
      </c>
      <c r="SF72" s="135" t="e">
        <f>SE72*(1+#REF!)</f>
        <v>#REF!</v>
      </c>
      <c r="SG72" s="135" t="e">
        <f>SF72*(1+#REF!)</f>
        <v>#REF!</v>
      </c>
      <c r="SH72" s="135" t="e">
        <f>SG72*(1+#REF!)</f>
        <v>#REF!</v>
      </c>
      <c r="SI72" s="135" t="e">
        <f>SH72*(1+#REF!)</f>
        <v>#REF!</v>
      </c>
      <c r="SJ72" s="135" t="e">
        <f>SI72*(1+#REF!)</f>
        <v>#REF!</v>
      </c>
      <c r="SK72" s="135" t="e">
        <f>SJ72*(1+#REF!)</f>
        <v>#REF!</v>
      </c>
      <c r="SL72" s="135" t="e">
        <f>SK72*(1+#REF!)</f>
        <v>#REF!</v>
      </c>
      <c r="SM72" s="135" t="e">
        <f>SL72*(1+#REF!)</f>
        <v>#REF!</v>
      </c>
      <c r="SN72" s="135" t="e">
        <f>SM72*(1+#REF!)</f>
        <v>#REF!</v>
      </c>
      <c r="SO72" s="135" t="e">
        <f>SN72*(1+#REF!)</f>
        <v>#REF!</v>
      </c>
      <c r="SP72" s="135" t="e">
        <f>SO72*(1+#REF!)</f>
        <v>#REF!</v>
      </c>
      <c r="SQ72" s="135" t="e">
        <f>SP72*(1+#REF!)</f>
        <v>#REF!</v>
      </c>
      <c r="SR72" s="135" t="e">
        <f>SQ72*(1+#REF!)</f>
        <v>#REF!</v>
      </c>
      <c r="SS72" s="135" t="e">
        <f>SR72*(1+#REF!)</f>
        <v>#REF!</v>
      </c>
      <c r="ST72" s="135" t="e">
        <f>SS72*(1+#REF!)</f>
        <v>#REF!</v>
      </c>
      <c r="SU72" s="135" t="e">
        <f>ST72*(1+#REF!)</f>
        <v>#REF!</v>
      </c>
      <c r="SV72" s="135" t="e">
        <f>SU72*(1+#REF!)</f>
        <v>#REF!</v>
      </c>
      <c r="SW72" s="135" t="e">
        <f>SV72*(1+#REF!)</f>
        <v>#REF!</v>
      </c>
      <c r="SX72" s="135" t="e">
        <f>SW72*(1+#REF!)</f>
        <v>#REF!</v>
      </c>
      <c r="SY72" s="135" t="e">
        <f>SX72*(1+#REF!)</f>
        <v>#REF!</v>
      </c>
      <c r="SZ72" s="135" t="e">
        <f>SY72*(1+#REF!)</f>
        <v>#REF!</v>
      </c>
      <c r="TA72" s="135" t="e">
        <f>SZ72*(1+#REF!)</f>
        <v>#REF!</v>
      </c>
      <c r="TB72" s="135" t="e">
        <f>TA72*(1+#REF!)</f>
        <v>#REF!</v>
      </c>
      <c r="TC72" s="135" t="e">
        <f>TB72*(1+#REF!)</f>
        <v>#REF!</v>
      </c>
      <c r="TD72" s="135" t="e">
        <f>TC72*(1+#REF!)</f>
        <v>#REF!</v>
      </c>
      <c r="TE72" s="135" t="e">
        <f>TD72*(1+#REF!)</f>
        <v>#REF!</v>
      </c>
      <c r="TF72" s="135" t="e">
        <f>TE72*(1+#REF!)</f>
        <v>#REF!</v>
      </c>
      <c r="TG72" s="135" t="e">
        <f>TF72*(1+#REF!)</f>
        <v>#REF!</v>
      </c>
      <c r="TH72" s="135" t="e">
        <f>TG72*(1+#REF!)</f>
        <v>#REF!</v>
      </c>
      <c r="TI72" s="135" t="e">
        <f>TH72*(1+#REF!)</f>
        <v>#REF!</v>
      </c>
      <c r="TJ72" s="135" t="e">
        <f>TI72*(1+#REF!)</f>
        <v>#REF!</v>
      </c>
      <c r="TK72" s="135" t="e">
        <f>TJ72*(1+#REF!)</f>
        <v>#REF!</v>
      </c>
      <c r="TL72" s="135" t="e">
        <f>TK72*(1+#REF!)</f>
        <v>#REF!</v>
      </c>
      <c r="TM72" s="135" t="e">
        <f>TL72*(1+#REF!)</f>
        <v>#REF!</v>
      </c>
      <c r="TN72" s="135" t="e">
        <f>TM72*(1+#REF!)</f>
        <v>#REF!</v>
      </c>
      <c r="TO72" s="135" t="e">
        <f>TN72*(1+#REF!)</f>
        <v>#REF!</v>
      </c>
      <c r="TP72" s="135" t="e">
        <f>TO72*(1+#REF!)</f>
        <v>#REF!</v>
      </c>
      <c r="TQ72" s="135" t="e">
        <f>TP72*(1+#REF!)</f>
        <v>#REF!</v>
      </c>
      <c r="TR72" s="135" t="e">
        <f>TQ72*(1+#REF!)</f>
        <v>#REF!</v>
      </c>
      <c r="TS72" s="135" t="e">
        <f>TR72*(1+#REF!)</f>
        <v>#REF!</v>
      </c>
      <c r="TT72" s="135" t="e">
        <f>TS72*(1+#REF!)</f>
        <v>#REF!</v>
      </c>
      <c r="TU72" s="135" t="e">
        <f>TT72*(1+#REF!)</f>
        <v>#REF!</v>
      </c>
      <c r="TV72" s="135" t="e">
        <f>TU72*(1+#REF!)</f>
        <v>#REF!</v>
      </c>
      <c r="TW72" s="135" t="e">
        <f>TV72*(1+#REF!)</f>
        <v>#REF!</v>
      </c>
      <c r="TX72" s="135" t="e">
        <f>TW72*(1+#REF!)</f>
        <v>#REF!</v>
      </c>
      <c r="TY72" s="135" t="e">
        <f>TX72*(1+#REF!)</f>
        <v>#REF!</v>
      </c>
      <c r="TZ72" s="135" t="e">
        <f>TY72*(1+#REF!)</f>
        <v>#REF!</v>
      </c>
      <c r="UA72" s="135" t="e">
        <f>TZ72*(1+#REF!)</f>
        <v>#REF!</v>
      </c>
      <c r="UB72" s="135" t="e">
        <f>UA72*(1+#REF!)</f>
        <v>#REF!</v>
      </c>
      <c r="UC72" s="135" t="e">
        <f>UB72*(1+#REF!)</f>
        <v>#REF!</v>
      </c>
      <c r="UD72" s="135" t="e">
        <f>UC72*(1+#REF!)</f>
        <v>#REF!</v>
      </c>
      <c r="UE72" s="135" t="e">
        <f>UD72*(1+#REF!)</f>
        <v>#REF!</v>
      </c>
      <c r="UF72" s="135" t="e">
        <f>UE72*(1+#REF!)</f>
        <v>#REF!</v>
      </c>
      <c r="UG72" s="135" t="e">
        <f>UF72*(1+#REF!)</f>
        <v>#REF!</v>
      </c>
      <c r="UH72" s="135" t="e">
        <f>UG72*(1+#REF!)</f>
        <v>#REF!</v>
      </c>
      <c r="UI72" s="135" t="e">
        <f>UH72*(1+#REF!)</f>
        <v>#REF!</v>
      </c>
      <c r="UJ72" s="135" t="e">
        <f>UI72*(1+#REF!)</f>
        <v>#REF!</v>
      </c>
      <c r="UK72" s="135" t="e">
        <f>UJ72*(1+#REF!)</f>
        <v>#REF!</v>
      </c>
      <c r="UL72" s="135" t="e">
        <f>UK72*(1+#REF!)</f>
        <v>#REF!</v>
      </c>
      <c r="UM72" s="135" t="e">
        <f>UL72*(1+#REF!)</f>
        <v>#REF!</v>
      </c>
      <c r="UN72" s="135" t="e">
        <f>UM72*(1+#REF!)</f>
        <v>#REF!</v>
      </c>
      <c r="UO72" s="135" t="e">
        <f>UN72*(1+#REF!)</f>
        <v>#REF!</v>
      </c>
      <c r="UP72" s="135" t="e">
        <f>UO72*(1+#REF!)</f>
        <v>#REF!</v>
      </c>
      <c r="UQ72" s="135" t="e">
        <f>UP72*(1+#REF!)</f>
        <v>#REF!</v>
      </c>
      <c r="UR72" s="135" t="e">
        <f>UQ72*(1+#REF!)</f>
        <v>#REF!</v>
      </c>
      <c r="US72" s="135" t="e">
        <f>UR72*(1+#REF!)</f>
        <v>#REF!</v>
      </c>
      <c r="UT72" s="135" t="e">
        <f>US72*(1+#REF!)</f>
        <v>#REF!</v>
      </c>
      <c r="UU72" s="135" t="e">
        <f>UT72*(1+#REF!)</f>
        <v>#REF!</v>
      </c>
      <c r="UV72" s="135" t="e">
        <f>UU72*(1+#REF!)</f>
        <v>#REF!</v>
      </c>
      <c r="UW72" s="135" t="e">
        <f>UV72*(1+#REF!)</f>
        <v>#REF!</v>
      </c>
      <c r="UX72" s="135" t="e">
        <f>UW72*(1+#REF!)</f>
        <v>#REF!</v>
      </c>
      <c r="UY72" s="135" t="e">
        <f>UX72*(1+#REF!)</f>
        <v>#REF!</v>
      </c>
      <c r="UZ72" s="135" t="e">
        <f>UY72*(1+#REF!)</f>
        <v>#REF!</v>
      </c>
      <c r="VA72" s="135" t="e">
        <f>UZ72*(1+#REF!)</f>
        <v>#REF!</v>
      </c>
      <c r="VB72" s="135" t="e">
        <f>VA72*(1+#REF!)</f>
        <v>#REF!</v>
      </c>
      <c r="VC72" s="135" t="e">
        <f>VB72*(1+#REF!)</f>
        <v>#REF!</v>
      </c>
      <c r="VD72" s="135" t="e">
        <f>VC72*(1+#REF!)</f>
        <v>#REF!</v>
      </c>
      <c r="VE72" s="135" t="e">
        <f>VD72*(1+#REF!)</f>
        <v>#REF!</v>
      </c>
      <c r="VF72" s="135" t="e">
        <f>VE72*(1+#REF!)</f>
        <v>#REF!</v>
      </c>
      <c r="VG72" s="135" t="e">
        <f>VF72*(1+#REF!)</f>
        <v>#REF!</v>
      </c>
      <c r="VH72" s="135" t="e">
        <f>VG72*(1+#REF!)</f>
        <v>#REF!</v>
      </c>
      <c r="VI72" s="135" t="e">
        <f>VH72*(1+#REF!)</f>
        <v>#REF!</v>
      </c>
      <c r="VJ72" s="135" t="e">
        <f>VI72*(1+#REF!)</f>
        <v>#REF!</v>
      </c>
      <c r="VK72" s="135" t="e">
        <f>VJ72*(1+#REF!)</f>
        <v>#REF!</v>
      </c>
      <c r="VL72" s="135" t="e">
        <f>VK72*(1+#REF!)</f>
        <v>#REF!</v>
      </c>
      <c r="VM72" s="135" t="e">
        <f>VL72*(1+#REF!)</f>
        <v>#REF!</v>
      </c>
      <c r="VN72" s="135" t="e">
        <f>VM72*(1+#REF!)</f>
        <v>#REF!</v>
      </c>
      <c r="VO72" s="135" t="e">
        <f>VN72*(1+#REF!)</f>
        <v>#REF!</v>
      </c>
      <c r="VP72" s="135" t="e">
        <f>VO72*(1+#REF!)</f>
        <v>#REF!</v>
      </c>
      <c r="VQ72" s="135" t="e">
        <f>VP72*(1+#REF!)</f>
        <v>#REF!</v>
      </c>
      <c r="VR72" s="135" t="e">
        <f>VQ72*(1+#REF!)</f>
        <v>#REF!</v>
      </c>
      <c r="VS72" s="135" t="e">
        <f>VR72*(1+#REF!)</f>
        <v>#REF!</v>
      </c>
      <c r="VT72" s="135" t="e">
        <f>VS72*(1+#REF!)</f>
        <v>#REF!</v>
      </c>
      <c r="VU72" s="135" t="e">
        <f>VT72*(1+#REF!)</f>
        <v>#REF!</v>
      </c>
      <c r="VV72" s="135" t="e">
        <f>VU72*(1+#REF!)</f>
        <v>#REF!</v>
      </c>
      <c r="VW72" s="135" t="e">
        <f>VV72*(1+#REF!)</f>
        <v>#REF!</v>
      </c>
      <c r="VX72" s="135" t="e">
        <f>VW72*(1+#REF!)</f>
        <v>#REF!</v>
      </c>
      <c r="VY72" s="135" t="e">
        <f>VX72*(1+#REF!)</f>
        <v>#REF!</v>
      </c>
      <c r="VZ72" s="135" t="e">
        <f>VY72*(1+#REF!)</f>
        <v>#REF!</v>
      </c>
      <c r="WA72" s="135" t="e">
        <f>VZ72*(1+#REF!)</f>
        <v>#REF!</v>
      </c>
      <c r="WB72" s="135" t="e">
        <f>WA72*(1+#REF!)</f>
        <v>#REF!</v>
      </c>
      <c r="WC72" s="135" t="e">
        <f>WB72*(1+#REF!)</f>
        <v>#REF!</v>
      </c>
      <c r="WD72" s="135" t="e">
        <f>WC72*(1+#REF!)</f>
        <v>#REF!</v>
      </c>
      <c r="WE72" s="135" t="e">
        <f>WD72*(1+#REF!)</f>
        <v>#REF!</v>
      </c>
      <c r="WF72" s="135" t="e">
        <f>WE72*(1+#REF!)</f>
        <v>#REF!</v>
      </c>
      <c r="WG72" s="135" t="e">
        <f>WF72*(1+#REF!)</f>
        <v>#REF!</v>
      </c>
      <c r="WH72" s="135" t="e">
        <f>WG72*(1+#REF!)</f>
        <v>#REF!</v>
      </c>
      <c r="WI72" s="135" t="e">
        <f>WH72*(1+#REF!)</f>
        <v>#REF!</v>
      </c>
      <c r="WJ72" s="135" t="e">
        <f>WI72*(1+#REF!)</f>
        <v>#REF!</v>
      </c>
      <c r="WK72" s="135" t="e">
        <f>WJ72*(1+#REF!)</f>
        <v>#REF!</v>
      </c>
      <c r="WL72" s="135" t="e">
        <f>WK72*(1+#REF!)</f>
        <v>#REF!</v>
      </c>
      <c r="WM72" s="135" t="e">
        <f>WL72*(1+#REF!)</f>
        <v>#REF!</v>
      </c>
      <c r="WN72" s="135" t="e">
        <f>WM72*(1+#REF!)</f>
        <v>#REF!</v>
      </c>
      <c r="WO72" s="135" t="e">
        <f>WN72*(1+#REF!)</f>
        <v>#REF!</v>
      </c>
      <c r="WP72" s="135" t="e">
        <f>WO72*(1+#REF!)</f>
        <v>#REF!</v>
      </c>
      <c r="WQ72" s="135" t="e">
        <f>WP72*(1+#REF!)</f>
        <v>#REF!</v>
      </c>
      <c r="WR72" s="135" t="e">
        <f>WQ72*(1+#REF!)</f>
        <v>#REF!</v>
      </c>
      <c r="WS72" s="135" t="e">
        <f>WR72*(1+#REF!)</f>
        <v>#REF!</v>
      </c>
      <c r="WT72" s="135" t="e">
        <f>WS72*(1+#REF!)</f>
        <v>#REF!</v>
      </c>
      <c r="WU72" s="135" t="e">
        <f>WT72*(1+#REF!)</f>
        <v>#REF!</v>
      </c>
      <c r="WV72" s="135" t="e">
        <f>WU72*(1+#REF!)</f>
        <v>#REF!</v>
      </c>
      <c r="WW72" s="135" t="e">
        <f>WV72*(1+#REF!)</f>
        <v>#REF!</v>
      </c>
      <c r="WX72" s="135" t="e">
        <f>WW72*(1+#REF!)</f>
        <v>#REF!</v>
      </c>
      <c r="WY72" s="135" t="e">
        <f>WX72*(1+#REF!)</f>
        <v>#REF!</v>
      </c>
      <c r="WZ72" s="135" t="e">
        <f>WY72*(1+#REF!)</f>
        <v>#REF!</v>
      </c>
      <c r="XA72" s="135" t="e">
        <f>WZ72*(1+#REF!)</f>
        <v>#REF!</v>
      </c>
      <c r="XB72" s="135" t="e">
        <f>XA72*(1+#REF!)</f>
        <v>#REF!</v>
      </c>
      <c r="XC72" s="135" t="e">
        <f>XB72*(1+#REF!)</f>
        <v>#REF!</v>
      </c>
      <c r="XD72" s="135" t="e">
        <f>XC72*(1+#REF!)</f>
        <v>#REF!</v>
      </c>
      <c r="XE72" s="135" t="e">
        <f>XD72*(1+#REF!)</f>
        <v>#REF!</v>
      </c>
      <c r="XF72" s="135" t="e">
        <f>XE72*(1+#REF!)</f>
        <v>#REF!</v>
      </c>
      <c r="XG72" s="135" t="e">
        <f>XF72*(1+#REF!)</f>
        <v>#REF!</v>
      </c>
      <c r="XH72" s="135" t="e">
        <f>XG72*(1+#REF!)</f>
        <v>#REF!</v>
      </c>
      <c r="XI72" s="135" t="e">
        <f>XH72*(1+#REF!)</f>
        <v>#REF!</v>
      </c>
      <c r="XJ72" s="135" t="e">
        <f>XI72*(1+#REF!)</f>
        <v>#REF!</v>
      </c>
      <c r="XK72" s="135" t="e">
        <f>XJ72*(1+#REF!)</f>
        <v>#REF!</v>
      </c>
      <c r="XL72" s="135" t="e">
        <f>XK72*(1+#REF!)</f>
        <v>#REF!</v>
      </c>
      <c r="XM72" s="135" t="e">
        <f>XL72*(1+#REF!)</f>
        <v>#REF!</v>
      </c>
      <c r="XN72" s="135" t="e">
        <f>XM72*(1+#REF!)</f>
        <v>#REF!</v>
      </c>
      <c r="XO72" s="135" t="e">
        <f>XN72*(1+#REF!)</f>
        <v>#REF!</v>
      </c>
      <c r="XP72" s="135" t="e">
        <f>XO72*(1+#REF!)</f>
        <v>#REF!</v>
      </c>
      <c r="XQ72" s="135" t="e">
        <f>XP72*(1+#REF!)</f>
        <v>#REF!</v>
      </c>
      <c r="XR72" s="135" t="e">
        <f>XQ72*(1+#REF!)</f>
        <v>#REF!</v>
      </c>
      <c r="XS72" s="135" t="e">
        <f>XR72*(1+#REF!)</f>
        <v>#REF!</v>
      </c>
      <c r="XT72" s="135" t="e">
        <f>XS72*(1+#REF!)</f>
        <v>#REF!</v>
      </c>
      <c r="XU72" s="135" t="e">
        <f>XT72*(1+#REF!)</f>
        <v>#REF!</v>
      </c>
      <c r="XV72" s="135" t="e">
        <f>XU72*(1+#REF!)</f>
        <v>#REF!</v>
      </c>
      <c r="XW72" s="135" t="e">
        <f>XV72*(1+#REF!)</f>
        <v>#REF!</v>
      </c>
      <c r="XX72" s="135" t="e">
        <f>XW72*(1+#REF!)</f>
        <v>#REF!</v>
      </c>
      <c r="XY72" s="135" t="e">
        <f>XX72*(1+#REF!)</f>
        <v>#REF!</v>
      </c>
      <c r="XZ72" s="135" t="e">
        <f>XY72*(1+#REF!)</f>
        <v>#REF!</v>
      </c>
      <c r="YA72" s="135" t="e">
        <f>XZ72*(1+#REF!)</f>
        <v>#REF!</v>
      </c>
      <c r="YB72" s="135" t="e">
        <f>YA72*(1+#REF!)</f>
        <v>#REF!</v>
      </c>
      <c r="YC72" s="135" t="e">
        <f>YB72*(1+#REF!)</f>
        <v>#REF!</v>
      </c>
      <c r="YD72" s="135" t="e">
        <f>YC72*(1+#REF!)</f>
        <v>#REF!</v>
      </c>
      <c r="YE72" s="135" t="e">
        <f>YD72*(1+#REF!)</f>
        <v>#REF!</v>
      </c>
      <c r="YF72" s="135" t="e">
        <f>YE72*(1+#REF!)</f>
        <v>#REF!</v>
      </c>
      <c r="YG72" s="135" t="e">
        <f>YF72*(1+#REF!)</f>
        <v>#REF!</v>
      </c>
      <c r="YH72" s="135" t="e">
        <f>YG72*(1+#REF!)</f>
        <v>#REF!</v>
      </c>
      <c r="YI72" s="135" t="e">
        <f>YH72*(1+#REF!)</f>
        <v>#REF!</v>
      </c>
      <c r="YJ72" s="135" t="e">
        <f>YI72*(1+#REF!)</f>
        <v>#REF!</v>
      </c>
      <c r="YK72" s="135" t="e">
        <f>YJ72*(1+#REF!)</f>
        <v>#REF!</v>
      </c>
      <c r="YL72" s="135" t="e">
        <f>YK72*(1+#REF!)</f>
        <v>#REF!</v>
      </c>
      <c r="YM72" s="135" t="e">
        <f>YL72*(1+#REF!)</f>
        <v>#REF!</v>
      </c>
      <c r="YN72" s="135" t="e">
        <f>YM72*(1+#REF!)</f>
        <v>#REF!</v>
      </c>
      <c r="YO72" s="135" t="e">
        <f>YN72*(1+#REF!)</f>
        <v>#REF!</v>
      </c>
      <c r="YP72" s="135" t="e">
        <f>YO72*(1+#REF!)</f>
        <v>#REF!</v>
      </c>
      <c r="YQ72" s="135" t="e">
        <f>YP72*(1+#REF!)</f>
        <v>#REF!</v>
      </c>
      <c r="YR72" s="135" t="e">
        <f>YQ72*(1+#REF!)</f>
        <v>#REF!</v>
      </c>
      <c r="YS72" s="135" t="e">
        <f>YR72*(1+#REF!)</f>
        <v>#REF!</v>
      </c>
      <c r="YT72" s="135" t="e">
        <f>YS72*(1+#REF!)</f>
        <v>#REF!</v>
      </c>
      <c r="YU72" s="135" t="e">
        <f>YT72*(1+#REF!)</f>
        <v>#REF!</v>
      </c>
      <c r="YV72" s="135" t="e">
        <f>YU72*(1+#REF!)</f>
        <v>#REF!</v>
      </c>
      <c r="YW72" s="135" t="e">
        <f>YV72*(1+#REF!)</f>
        <v>#REF!</v>
      </c>
      <c r="YX72" s="135" t="e">
        <f>YW72*(1+#REF!)</f>
        <v>#REF!</v>
      </c>
      <c r="YY72" s="135" t="e">
        <f>YX72*(1+#REF!)</f>
        <v>#REF!</v>
      </c>
      <c r="YZ72" s="135" t="e">
        <f>YY72*(1+#REF!)</f>
        <v>#REF!</v>
      </c>
      <c r="ZA72" s="135" t="e">
        <f>YZ72*(1+#REF!)</f>
        <v>#REF!</v>
      </c>
      <c r="ZB72" s="135" t="e">
        <f>ZA72*(1+#REF!)</f>
        <v>#REF!</v>
      </c>
      <c r="ZC72" s="135" t="e">
        <f>ZB72*(1+#REF!)</f>
        <v>#REF!</v>
      </c>
      <c r="ZD72" s="135" t="e">
        <f>ZC72*(1+#REF!)</f>
        <v>#REF!</v>
      </c>
      <c r="ZE72" s="135" t="e">
        <f>ZD72*(1+#REF!)</f>
        <v>#REF!</v>
      </c>
      <c r="ZF72" s="135" t="e">
        <f>ZE72*(1+#REF!)</f>
        <v>#REF!</v>
      </c>
      <c r="ZG72" s="135" t="e">
        <f>ZF72*(1+#REF!)</f>
        <v>#REF!</v>
      </c>
      <c r="ZH72" s="135" t="e">
        <f>ZG72*(1+#REF!)</f>
        <v>#REF!</v>
      </c>
      <c r="ZI72" s="135" t="e">
        <f>ZH72*(1+#REF!)</f>
        <v>#REF!</v>
      </c>
      <c r="ZJ72" s="135" t="e">
        <f>ZI72*(1+#REF!)</f>
        <v>#REF!</v>
      </c>
      <c r="ZK72" s="135" t="e">
        <f>ZJ72*(1+#REF!)</f>
        <v>#REF!</v>
      </c>
      <c r="ZL72" s="135" t="e">
        <f>ZK72*(1+#REF!)</f>
        <v>#REF!</v>
      </c>
      <c r="ZM72" s="135" t="e">
        <f>ZL72*(1+#REF!)</f>
        <v>#REF!</v>
      </c>
      <c r="ZN72" s="135" t="e">
        <f>ZM72*(1+#REF!)</f>
        <v>#REF!</v>
      </c>
      <c r="ZO72" s="135" t="e">
        <f>ZN72*(1+#REF!)</f>
        <v>#REF!</v>
      </c>
      <c r="ZP72" s="135" t="e">
        <f>ZO72*(1+#REF!)</f>
        <v>#REF!</v>
      </c>
      <c r="ZQ72" s="135" t="e">
        <f>ZP72*(1+#REF!)</f>
        <v>#REF!</v>
      </c>
      <c r="ZR72" s="135" t="e">
        <f>ZQ72*(1+#REF!)</f>
        <v>#REF!</v>
      </c>
      <c r="ZS72" s="135" t="e">
        <f>ZR72*(1+#REF!)</f>
        <v>#REF!</v>
      </c>
      <c r="ZT72" s="135" t="e">
        <f>ZS72*(1+#REF!)</f>
        <v>#REF!</v>
      </c>
      <c r="ZU72" s="135" t="e">
        <f>ZT72*(1+#REF!)</f>
        <v>#REF!</v>
      </c>
      <c r="ZV72" s="135" t="e">
        <f>ZU72*(1+#REF!)</f>
        <v>#REF!</v>
      </c>
      <c r="ZW72" s="135" t="e">
        <f>ZV72*(1+#REF!)</f>
        <v>#REF!</v>
      </c>
      <c r="ZX72" s="135" t="e">
        <f>ZW72*(1+#REF!)</f>
        <v>#REF!</v>
      </c>
      <c r="ZY72" s="135" t="e">
        <f>ZX72*(1+#REF!)</f>
        <v>#REF!</v>
      </c>
      <c r="ZZ72" s="135" t="e">
        <f>ZY72*(1+#REF!)</f>
        <v>#REF!</v>
      </c>
      <c r="AAA72" s="135" t="e">
        <f>ZZ72*(1+#REF!)</f>
        <v>#REF!</v>
      </c>
      <c r="AAB72" s="135" t="e">
        <f>AAA72*(1+#REF!)</f>
        <v>#REF!</v>
      </c>
      <c r="AAC72" s="135" t="e">
        <f>AAB72*(1+#REF!)</f>
        <v>#REF!</v>
      </c>
      <c r="AAD72" s="135" t="e">
        <f>AAC72*(1+#REF!)</f>
        <v>#REF!</v>
      </c>
      <c r="AAE72" s="135" t="e">
        <f>AAD72*(1+#REF!)</f>
        <v>#REF!</v>
      </c>
      <c r="AAF72" s="135" t="e">
        <f>AAE72*(1+#REF!)</f>
        <v>#REF!</v>
      </c>
      <c r="AAG72" s="135" t="e">
        <f>AAF72*(1+#REF!)</f>
        <v>#REF!</v>
      </c>
      <c r="AAH72" s="135" t="e">
        <f>AAG72*(1+#REF!)</f>
        <v>#REF!</v>
      </c>
      <c r="AAI72" s="135" t="e">
        <f>AAH72*(1+#REF!)</f>
        <v>#REF!</v>
      </c>
      <c r="AAJ72" s="135" t="e">
        <f>AAI72*(1+#REF!)</f>
        <v>#REF!</v>
      </c>
      <c r="AAK72" s="135" t="e">
        <f>AAJ72*(1+#REF!)</f>
        <v>#REF!</v>
      </c>
      <c r="AAL72" s="135" t="e">
        <f>AAK72*(1+#REF!)</f>
        <v>#REF!</v>
      </c>
      <c r="AAM72" s="135" t="e">
        <f>AAL72*(1+#REF!)</f>
        <v>#REF!</v>
      </c>
      <c r="AAN72" s="135" t="e">
        <f>AAM72*(1+#REF!)</f>
        <v>#REF!</v>
      </c>
      <c r="AAO72" s="135" t="e">
        <f>AAN72*(1+#REF!)</f>
        <v>#REF!</v>
      </c>
      <c r="AAP72" s="135" t="e">
        <f>AAO72*(1+#REF!)</f>
        <v>#REF!</v>
      </c>
      <c r="AAQ72" s="135" t="e">
        <f>AAP72*(1+#REF!)</f>
        <v>#REF!</v>
      </c>
      <c r="AAR72" s="135" t="e">
        <f>AAQ72*(1+#REF!)</f>
        <v>#REF!</v>
      </c>
      <c r="AAS72" s="135" t="e">
        <f>AAR72*(1+#REF!)</f>
        <v>#REF!</v>
      </c>
      <c r="AAT72" s="135" t="e">
        <f>AAS72*(1+#REF!)</f>
        <v>#REF!</v>
      </c>
      <c r="AAU72" s="135" t="e">
        <f>AAT72*(1+#REF!)</f>
        <v>#REF!</v>
      </c>
      <c r="AAV72" s="135" t="e">
        <f>AAU72*(1+#REF!)</f>
        <v>#REF!</v>
      </c>
      <c r="AAW72" s="135" t="e">
        <f>AAV72*(1+#REF!)</f>
        <v>#REF!</v>
      </c>
      <c r="AAX72" s="135" t="e">
        <f>AAW72*(1+#REF!)</f>
        <v>#REF!</v>
      </c>
      <c r="AAY72" s="135" t="e">
        <f>AAX72*(1+#REF!)</f>
        <v>#REF!</v>
      </c>
      <c r="AAZ72" s="135" t="e">
        <f>AAY72*(1+#REF!)</f>
        <v>#REF!</v>
      </c>
      <c r="ABA72" s="135" t="e">
        <f>AAZ72*(1+#REF!)</f>
        <v>#REF!</v>
      </c>
      <c r="ABB72" s="135" t="e">
        <f>ABA72*(1+#REF!)</f>
        <v>#REF!</v>
      </c>
      <c r="ABC72" s="135" t="e">
        <f>ABB72*(1+#REF!)</f>
        <v>#REF!</v>
      </c>
      <c r="ABD72" s="135" t="e">
        <f>ABC72*(1+#REF!)</f>
        <v>#REF!</v>
      </c>
      <c r="ABE72" s="135" t="e">
        <f>ABD72*(1+#REF!)</f>
        <v>#REF!</v>
      </c>
      <c r="ABF72" s="135" t="e">
        <f>ABE72*(1+#REF!)</f>
        <v>#REF!</v>
      </c>
      <c r="ABG72" s="135" t="e">
        <f>ABF72*(1+#REF!)</f>
        <v>#REF!</v>
      </c>
      <c r="ABH72" s="135" t="e">
        <f>ABG72*(1+#REF!)</f>
        <v>#REF!</v>
      </c>
      <c r="ABI72" s="135" t="e">
        <f>ABH72*(1+#REF!)</f>
        <v>#REF!</v>
      </c>
      <c r="ABJ72" s="135" t="e">
        <f>ABI72*(1+#REF!)</f>
        <v>#REF!</v>
      </c>
      <c r="ABK72" s="135" t="e">
        <f>ABJ72*(1+#REF!)</f>
        <v>#REF!</v>
      </c>
      <c r="ABL72" s="135" t="e">
        <f>ABK72*(1+#REF!)</f>
        <v>#REF!</v>
      </c>
      <c r="ABM72" s="135" t="e">
        <f>ABL72*(1+#REF!)</f>
        <v>#REF!</v>
      </c>
      <c r="ABN72" s="135" t="e">
        <f>ABM72*(1+#REF!)</f>
        <v>#REF!</v>
      </c>
      <c r="ABO72" s="135" t="e">
        <f>ABN72*(1+#REF!)</f>
        <v>#REF!</v>
      </c>
      <c r="ABP72" s="135" t="e">
        <f>ABO72*(1+#REF!)</f>
        <v>#REF!</v>
      </c>
      <c r="ABQ72" s="135" t="e">
        <f>ABP72*(1+#REF!)</f>
        <v>#REF!</v>
      </c>
      <c r="ABR72" s="135" t="e">
        <f>ABQ72*(1+#REF!)</f>
        <v>#REF!</v>
      </c>
      <c r="ABS72" s="135" t="e">
        <f>ABR72*(1+#REF!)</f>
        <v>#REF!</v>
      </c>
      <c r="ABT72" s="135" t="e">
        <f>ABS72*(1+#REF!)</f>
        <v>#REF!</v>
      </c>
    </row>
    <row r="73" spans="2:748" s="135" customFormat="1" x14ac:dyDescent="0.25">
      <c r="B73" s="135" t="s">
        <v>42</v>
      </c>
      <c r="E73" s="135">
        <v>43715</v>
      </c>
      <c r="G73" s="135">
        <v>43666</v>
      </c>
      <c r="H73" s="135">
        <v>43546</v>
      </c>
      <c r="I73" s="135">
        <v>44502</v>
      </c>
      <c r="J73" s="135">
        <v>45680</v>
      </c>
      <c r="K73" s="135">
        <v>46069</v>
      </c>
      <c r="L73" s="135">
        <v>46876</v>
      </c>
      <c r="M73" s="135">
        <v>48508</v>
      </c>
      <c r="N73" s="135">
        <v>49834</v>
      </c>
      <c r="O73" s="135">
        <v>50159</v>
      </c>
    </row>
    <row r="74" spans="2:748" s="135" customFormat="1" x14ac:dyDescent="0.25">
      <c r="B74" s="135" t="s">
        <v>43</v>
      </c>
      <c r="E74" s="135">
        <v>64758</v>
      </c>
      <c r="G74" s="135">
        <v>66681</v>
      </c>
      <c r="H74" s="135">
        <v>70262</v>
      </c>
      <c r="I74" s="135">
        <v>70435</v>
      </c>
      <c r="J74" s="135">
        <v>74834</v>
      </c>
      <c r="K74" s="135">
        <v>77183</v>
      </c>
      <c r="L74" s="135">
        <v>81259</v>
      </c>
      <c r="M74" s="135">
        <v>82882</v>
      </c>
      <c r="N74" s="135">
        <v>83727</v>
      </c>
      <c r="O74" s="135">
        <v>93146</v>
      </c>
    </row>
    <row r="75" spans="2:748" s="135" customFormat="1" x14ac:dyDescent="0.25">
      <c r="B75" s="108" t="s">
        <v>44</v>
      </c>
      <c r="C75" s="108"/>
      <c r="E75" s="108">
        <f>SUM(E68:E74)</f>
        <v>352583</v>
      </c>
      <c r="F75" s="108"/>
      <c r="G75" s="108">
        <f>SUM(G68:G74)</f>
        <v>353514</v>
      </c>
      <c r="H75" s="108">
        <f>SUM(H68:H74)</f>
        <v>337411</v>
      </c>
      <c r="I75" s="108">
        <f>SUM(I68:I74)</f>
        <v>331612</v>
      </c>
      <c r="J75" s="108">
        <f>SUM(J68:J74)</f>
        <v>364980</v>
      </c>
      <c r="K75" s="108">
        <f t="shared" ref="K75" si="107">SUM(K68:K74)</f>
        <v>344085</v>
      </c>
      <c r="L75" s="108">
        <f>SUM(L68:L74)</f>
        <v>331233</v>
      </c>
      <c r="M75" s="108">
        <f>SUM(M68:M74)</f>
        <v>331495</v>
      </c>
      <c r="N75" s="108">
        <f>SUM(N68:N74)</f>
        <v>359241</v>
      </c>
      <c r="O75" s="108">
        <f t="shared" ref="O75:P75" si="108">SUM(O68:O74)</f>
        <v>379297</v>
      </c>
      <c r="P75" s="108">
        <f t="shared" si="108"/>
        <v>0</v>
      </c>
    </row>
    <row r="76" spans="2:748" s="135" customFormat="1" x14ac:dyDescent="0.25">
      <c r="B76" s="135" t="s">
        <v>45</v>
      </c>
      <c r="E76" s="135">
        <v>62611</v>
      </c>
      <c r="G76" s="135">
        <v>58146</v>
      </c>
      <c r="H76" s="135">
        <v>45753</v>
      </c>
      <c r="I76" s="135">
        <v>47574</v>
      </c>
      <c r="J76" s="135">
        <v>68960</v>
      </c>
      <c r="K76" s="135">
        <v>61910</v>
      </c>
      <c r="L76" s="135">
        <v>54126</v>
      </c>
      <c r="M76" s="135">
        <v>50374</v>
      </c>
      <c r="N76" s="135">
        <v>69860</v>
      </c>
      <c r="O76" s="135">
        <v>70587</v>
      </c>
    </row>
    <row r="77" spans="2:748" s="135" customFormat="1" x14ac:dyDescent="0.25">
      <c r="B77" s="135" t="s">
        <v>46</v>
      </c>
      <c r="E77" s="135">
        <v>58829</v>
      </c>
      <c r="G77" s="135">
        <v>54611</v>
      </c>
      <c r="H77" s="135">
        <v>57298</v>
      </c>
      <c r="I77" s="135">
        <v>60889</v>
      </c>
      <c r="J77" s="135">
        <v>78304</v>
      </c>
      <c r="K77" s="135">
        <v>61151</v>
      </c>
      <c r="L77" s="135">
        <v>61849</v>
      </c>
      <c r="M77" s="135">
        <v>62499</v>
      </c>
      <c r="N77" s="135">
        <v>66387</v>
      </c>
      <c r="O77" s="135">
        <v>68543</v>
      </c>
      <c r="AO77" s="135" t="e">
        <f>NPV(AO76,AB72:ABT72)+AA72+AA96</f>
        <v>#REF!</v>
      </c>
    </row>
    <row r="78" spans="2:748" s="135" customFormat="1" x14ac:dyDescent="0.25">
      <c r="B78" s="135" t="s">
        <v>47</v>
      </c>
      <c r="E78" s="135">
        <v>8061</v>
      </c>
      <c r="G78" s="135">
        <v>8264</v>
      </c>
      <c r="H78" s="135">
        <v>8012</v>
      </c>
      <c r="I78" s="135">
        <v>8053</v>
      </c>
      <c r="J78" s="135">
        <v>8249</v>
      </c>
      <c r="K78" s="135">
        <v>8461</v>
      </c>
      <c r="L78" s="135">
        <v>8976</v>
      </c>
      <c r="M78" s="135">
        <v>8979</v>
      </c>
      <c r="N78" s="135">
        <v>9055</v>
      </c>
      <c r="O78" s="135">
        <v>9413</v>
      </c>
      <c r="AN78" s="135" t="s">
        <v>400</v>
      </c>
      <c r="AO78" s="135" t="e">
        <f>AO77/Main!I5</f>
        <v>#REF!</v>
      </c>
    </row>
    <row r="79" spans="2:748" s="135" customFormat="1" x14ac:dyDescent="0.25">
      <c r="B79" s="135" t="s">
        <v>4</v>
      </c>
      <c r="E79" s="135">
        <f>5985+9822+95281</f>
        <v>111088</v>
      </c>
      <c r="G79" s="135">
        <f>1998+10954+95088</f>
        <v>108040</v>
      </c>
      <c r="H79" s="135">
        <f>1997+10762+91831</f>
        <v>104590</v>
      </c>
      <c r="I79" s="135">
        <f>2994+12114+86196</f>
        <v>101304</v>
      </c>
      <c r="J79" s="135">
        <f>9967+10912+85750</f>
        <v>106629</v>
      </c>
      <c r="K79" s="135">
        <f>10848+1995+83956</f>
        <v>96799</v>
      </c>
      <c r="L79" s="135">
        <f>5982+13638+78566</f>
        <v>98186</v>
      </c>
      <c r="M79" s="135">
        <f>9923+9345+82430</f>
        <v>101698</v>
      </c>
      <c r="N79" s="135">
        <f>7979+12350+78328</f>
        <v>98657</v>
      </c>
      <c r="O79" s="135">
        <f>1997+11827+76685</f>
        <v>90509</v>
      </c>
      <c r="AN79" s="135" t="s">
        <v>401</v>
      </c>
    </row>
    <row r="80" spans="2:748" s="135" customFormat="1" x14ac:dyDescent="0.25">
      <c r="B80" s="135" t="s">
        <v>48</v>
      </c>
      <c r="E80" s="135">
        <v>49848</v>
      </c>
      <c r="G80" s="135">
        <v>50353</v>
      </c>
      <c r="H80" s="135">
        <v>47564</v>
      </c>
      <c r="I80" s="135">
        <v>47084</v>
      </c>
      <c r="J80" s="135">
        <v>45888</v>
      </c>
      <c r="K80" s="135">
        <v>49006</v>
      </c>
      <c r="L80" s="135">
        <v>41300</v>
      </c>
      <c r="M80" s="135">
        <v>42115</v>
      </c>
      <c r="N80" s="135">
        <v>41549</v>
      </c>
      <c r="O80" s="135">
        <v>52055</v>
      </c>
    </row>
    <row r="81" spans="1:23" s="135" customFormat="1" x14ac:dyDescent="0.25">
      <c r="B81" s="108" t="s">
        <v>49</v>
      </c>
      <c r="C81" s="108"/>
      <c r="E81" s="108">
        <f>SUM(E76:E80)</f>
        <v>290437</v>
      </c>
      <c r="F81" s="108"/>
      <c r="G81" s="108">
        <f>SUM(G76:G80)</f>
        <v>279414</v>
      </c>
      <c r="H81" s="108">
        <f>SUM(H76:H80)</f>
        <v>263217</v>
      </c>
      <c r="I81" s="108">
        <f>SUM(I76:I80)</f>
        <v>264904</v>
      </c>
      <c r="J81" s="108">
        <f>SUM(J76:J80)</f>
        <v>308030</v>
      </c>
      <c r="K81" s="108">
        <f t="shared" ref="K81:M81" si="109">SUM(K76:K80)</f>
        <v>277327</v>
      </c>
      <c r="L81" s="108">
        <f t="shared" ref="L81" si="110">SUM(L76:L80)</f>
        <v>264437</v>
      </c>
      <c r="M81" s="108">
        <f t="shared" si="109"/>
        <v>265665</v>
      </c>
      <c r="N81" s="108">
        <f t="shared" ref="N81:P81" si="111">SUM(N76:N80)</f>
        <v>285508</v>
      </c>
      <c r="O81" s="108">
        <f t="shared" si="111"/>
        <v>291107</v>
      </c>
      <c r="P81" s="108">
        <f t="shared" si="111"/>
        <v>0</v>
      </c>
    </row>
    <row r="82" spans="1:23" s="135" customFormat="1" x14ac:dyDescent="0.25">
      <c r="B82" s="135" t="s">
        <v>50</v>
      </c>
      <c r="E82" s="135">
        <v>62146</v>
      </c>
      <c r="G82" s="135">
        <v>74100</v>
      </c>
      <c r="H82" s="135">
        <v>74194</v>
      </c>
      <c r="I82" s="135">
        <v>66708</v>
      </c>
      <c r="J82" s="135">
        <v>56950</v>
      </c>
      <c r="K82" s="135">
        <v>66758</v>
      </c>
      <c r="L82" s="135">
        <v>66796</v>
      </c>
      <c r="M82" s="135">
        <v>65830</v>
      </c>
      <c r="N82" s="135">
        <v>73733</v>
      </c>
      <c r="O82" s="135">
        <v>88190</v>
      </c>
    </row>
    <row r="83" spans="1:23" s="135" customFormat="1" x14ac:dyDescent="0.25">
      <c r="B83" s="108" t="s">
        <v>51</v>
      </c>
      <c r="C83" s="108"/>
      <c r="E83" s="108">
        <f>+E81+E82</f>
        <v>352583</v>
      </c>
      <c r="F83" s="108"/>
      <c r="G83" s="108">
        <f>+G81+G82</f>
        <v>353514</v>
      </c>
      <c r="H83" s="108">
        <f>+H81+H82</f>
        <v>337411</v>
      </c>
      <c r="I83" s="108">
        <f>+I81+I82</f>
        <v>331612</v>
      </c>
      <c r="J83" s="108">
        <f>+J81+J82</f>
        <v>364980</v>
      </c>
      <c r="K83" s="108">
        <f t="shared" ref="K83:M83" si="112">+K81+K82</f>
        <v>344085</v>
      </c>
      <c r="L83" s="108">
        <f t="shared" ref="L83" si="113">+L81+L82</f>
        <v>331233</v>
      </c>
      <c r="M83" s="108">
        <f t="shared" si="112"/>
        <v>331495</v>
      </c>
      <c r="N83" s="108">
        <f t="shared" ref="N83:P83" si="114">+N81+N82</f>
        <v>359241</v>
      </c>
      <c r="O83" s="108">
        <f t="shared" si="114"/>
        <v>379297</v>
      </c>
      <c r="P83" s="108">
        <f t="shared" si="114"/>
        <v>0</v>
      </c>
      <c r="Q83" s="108"/>
    </row>
    <row r="85" spans="1:23" s="138" customFormat="1" x14ac:dyDescent="0.25">
      <c r="B85" s="138" t="s">
        <v>1053</v>
      </c>
      <c r="H85" s="138">
        <f t="shared" ref="H85:M85" si="115">(H68+H69+H70+H71+H72)/(H76+H77+H78)</f>
        <v>2.0132987583623709</v>
      </c>
      <c r="I85" s="138">
        <f t="shared" si="115"/>
        <v>1.8596158467506609</v>
      </c>
      <c r="J85" s="138">
        <f t="shared" si="115"/>
        <v>1.5719971963758657</v>
      </c>
      <c r="K85" s="138">
        <f t="shared" si="115"/>
        <v>1.6790574960843052</v>
      </c>
      <c r="L85" s="138">
        <f t="shared" si="115"/>
        <v>1.6254211650967179</v>
      </c>
      <c r="M85" s="138">
        <f t="shared" si="115"/>
        <v>1.6421970915536881</v>
      </c>
      <c r="N85" s="138">
        <f>(N68+N69+N70+N71+N72)/(N76+N77+N78)</f>
        <v>1.5531788963675655</v>
      </c>
      <c r="O85" s="138">
        <f>(O68+O69+O70+O71+O72)/(O76+O77+O78)</f>
        <v>1.588711686178413</v>
      </c>
      <c r="P85" s="138" t="e">
        <f>(P68+P69+P70+P71+P72)/(P76+P77+P78)</f>
        <v>#DIV/0!</v>
      </c>
    </row>
    <row r="86" spans="1:23" s="138" customFormat="1" x14ac:dyDescent="0.25">
      <c r="B86" s="138" t="s">
        <v>1054</v>
      </c>
      <c r="H86" s="138">
        <f t="shared" ref="H86:M86" si="116">+(H68)/(H76+H77+H78+20000)</f>
        <v>1.2386180691728406</v>
      </c>
      <c r="I86" s="138">
        <f t="shared" si="116"/>
        <v>1.1210480822760702</v>
      </c>
      <c r="J86" s="138">
        <f t="shared" si="116"/>
        <v>0.8925264795200355</v>
      </c>
      <c r="K86" s="138">
        <f t="shared" si="116"/>
        <v>0.93298662900436902</v>
      </c>
      <c r="L86" s="138">
        <f t="shared" si="116"/>
        <v>0.91701333554097597</v>
      </c>
      <c r="M86" s="138">
        <f t="shared" si="116"/>
        <v>0.93749823759975182</v>
      </c>
      <c r="N86" s="138">
        <f>+(N68)/(N76+N77+N78+20000)</f>
        <v>0.80107923679084347</v>
      </c>
      <c r="O86" s="138">
        <f>+(O68)/(O76+O77+O78+20000)</f>
        <v>0.85909827165767783</v>
      </c>
      <c r="P86" s="138">
        <f>+(P68)/(P76+P77+P78+20000)</f>
        <v>0</v>
      </c>
    </row>
    <row r="87" spans="1:23" s="138" customFormat="1" x14ac:dyDescent="0.25"/>
    <row r="88" spans="1:23" s="138" customFormat="1" x14ac:dyDescent="0.25">
      <c r="B88" s="138" t="s">
        <v>1055</v>
      </c>
      <c r="H88" s="138">
        <f t="shared" ref="H88:M88" si="117">H81/H82</f>
        <v>3.5476857966951507</v>
      </c>
      <c r="I88" s="138">
        <f t="shared" si="117"/>
        <v>3.97109791929004</v>
      </c>
      <c r="J88" s="138">
        <f t="shared" si="117"/>
        <v>5.408779631255487</v>
      </c>
      <c r="K88" s="138">
        <f t="shared" si="117"/>
        <v>4.1542137271937447</v>
      </c>
      <c r="L88" s="138">
        <f t="shared" si="117"/>
        <v>3.958874782921133</v>
      </c>
      <c r="M88" s="138">
        <f t="shared" si="117"/>
        <v>4.0356220568130032</v>
      </c>
      <c r="N88" s="138">
        <f>N81/N82</f>
        <v>3.8721874872852049</v>
      </c>
      <c r="O88" s="138">
        <f>O81/O82</f>
        <v>3.3009071323279282</v>
      </c>
      <c r="P88" s="138" t="e">
        <f>P81/P82</f>
        <v>#DIV/0!</v>
      </c>
    </row>
    <row r="89" spans="1:23" x14ac:dyDescent="0.25">
      <c r="O89" s="138"/>
    </row>
    <row r="92" spans="1:23" x14ac:dyDescent="0.25">
      <c r="B92" s="96" t="s">
        <v>996</v>
      </c>
    </row>
    <row r="93" spans="1:23" x14ac:dyDescent="0.25">
      <c r="B93" s="133" t="s">
        <v>510</v>
      </c>
      <c r="G93" s="135">
        <f t="shared" ref="G93:O93" si="118">G17</f>
        <v>33916</v>
      </c>
      <c r="H93" s="135">
        <f t="shared" si="118"/>
        <v>23636</v>
      </c>
      <c r="I93" s="135">
        <f t="shared" si="118"/>
        <v>21448</v>
      </c>
      <c r="J93" s="135">
        <f t="shared" si="118"/>
        <v>14736</v>
      </c>
      <c r="K93" s="135">
        <f t="shared" si="118"/>
        <v>36330</v>
      </c>
      <c r="L93" s="135">
        <f t="shared" si="118"/>
        <v>24780</v>
      </c>
      <c r="M93" s="135">
        <f t="shared" si="118"/>
        <v>23434</v>
      </c>
      <c r="N93" s="135">
        <f t="shared" si="118"/>
        <v>27466</v>
      </c>
      <c r="O93" s="135">
        <f t="shared" si="118"/>
        <v>42097</v>
      </c>
      <c r="P93" s="135">
        <f t="shared" ref="P93" si="119">P17</f>
        <v>0</v>
      </c>
      <c r="U93" s="135">
        <f t="shared" ref="U93:V93" si="120">U17</f>
        <v>93736</v>
      </c>
      <c r="V93" s="135">
        <f t="shared" si="120"/>
        <v>112010</v>
      </c>
      <c r="W93" s="135">
        <f>W17</f>
        <v>111649.71849999996</v>
      </c>
    </row>
    <row r="94" spans="1:23" x14ac:dyDescent="0.25">
      <c r="B94" s="133" t="s">
        <v>957</v>
      </c>
      <c r="G94" s="135">
        <v>30737</v>
      </c>
      <c r="H94" s="135">
        <f>G117</f>
        <v>41974</v>
      </c>
      <c r="I94" s="135">
        <f t="shared" ref="I94:J94" si="121">H117</f>
        <v>33921</v>
      </c>
      <c r="J94" s="135">
        <f t="shared" si="121"/>
        <v>26635</v>
      </c>
      <c r="K94" s="135">
        <v>29943</v>
      </c>
      <c r="L94" s="135">
        <f>K117</f>
        <v>30299</v>
      </c>
      <c r="M94" s="135">
        <f>L117</f>
        <v>28162</v>
      </c>
      <c r="N94" s="135">
        <f t="shared" ref="N94:O94" si="122">M117</f>
        <v>36269</v>
      </c>
      <c r="O94" s="135">
        <f t="shared" si="122"/>
        <v>35934</v>
      </c>
      <c r="P94" s="135">
        <f t="shared" ref="P94" si="123">O117</f>
        <v>45317</v>
      </c>
      <c r="U94" s="135">
        <v>30737</v>
      </c>
      <c r="V94" s="135">
        <f t="shared" ref="V94:W94" si="124">U117</f>
        <v>29943</v>
      </c>
      <c r="W94" s="135">
        <f t="shared" si="124"/>
        <v>35934</v>
      </c>
    </row>
    <row r="95" spans="1:23" s="135" customFormat="1" x14ac:dyDescent="0.25">
      <c r="A95" s="133"/>
      <c r="B95" s="135" t="s">
        <v>511</v>
      </c>
      <c r="G95" s="135">
        <v>33916</v>
      </c>
      <c r="H95" s="135">
        <v>23636</v>
      </c>
      <c r="I95" s="135">
        <v>21448</v>
      </c>
      <c r="J95" s="135">
        <v>14736</v>
      </c>
      <c r="K95" s="135">
        <v>36330</v>
      </c>
      <c r="L95" s="135">
        <v>24780</v>
      </c>
      <c r="M95" s="135">
        <v>23434</v>
      </c>
      <c r="N95" s="135">
        <v>27466</v>
      </c>
      <c r="O95" s="135">
        <v>42097</v>
      </c>
      <c r="U95" s="135">
        <v>93736</v>
      </c>
      <c r="V95" s="135">
        <v>112010</v>
      </c>
    </row>
    <row r="96" spans="1:23" s="135" customFormat="1" x14ac:dyDescent="0.25">
      <c r="A96" s="133"/>
      <c r="B96" s="135" t="s">
        <v>513</v>
      </c>
      <c r="G96" s="135">
        <v>2848</v>
      </c>
      <c r="H96" s="135">
        <v>2836</v>
      </c>
      <c r="I96" s="135">
        <v>2850</v>
      </c>
      <c r="J96" s="135">
        <v>2911</v>
      </c>
      <c r="K96" s="135">
        <v>3080</v>
      </c>
      <c r="L96" s="135">
        <v>2661</v>
      </c>
      <c r="M96" s="135">
        <v>2830</v>
      </c>
      <c r="N96" s="135">
        <v>3127</v>
      </c>
      <c r="O96" s="135">
        <v>3214</v>
      </c>
      <c r="U96" s="135">
        <v>11445</v>
      </c>
      <c r="V96" s="135">
        <v>11698</v>
      </c>
    </row>
    <row r="97" spans="1:23" s="135" customFormat="1" x14ac:dyDescent="0.25">
      <c r="A97" s="133"/>
      <c r="B97" s="135" t="s">
        <v>997</v>
      </c>
      <c r="G97" s="135">
        <v>2997</v>
      </c>
      <c r="H97" s="135">
        <v>2964</v>
      </c>
      <c r="I97" s="135">
        <v>2869</v>
      </c>
      <c r="J97" s="135">
        <v>2858</v>
      </c>
      <c r="K97" s="135">
        <v>3286</v>
      </c>
      <c r="L97" s="135">
        <v>3226</v>
      </c>
      <c r="M97" s="135">
        <v>3168</v>
      </c>
      <c r="N97" s="135">
        <v>3183</v>
      </c>
      <c r="O97" s="135">
        <v>3594</v>
      </c>
      <c r="U97" s="135">
        <v>11688</v>
      </c>
      <c r="V97" s="135">
        <v>12863</v>
      </c>
    </row>
    <row r="98" spans="1:23" s="135" customFormat="1" x14ac:dyDescent="0.25">
      <c r="A98" s="133"/>
      <c r="B98" s="135" t="s">
        <v>421</v>
      </c>
      <c r="G98" s="135">
        <v>-989</v>
      </c>
      <c r="H98" s="135">
        <v>-982</v>
      </c>
      <c r="I98" s="135">
        <v>7</v>
      </c>
      <c r="J98" s="135">
        <v>-302</v>
      </c>
      <c r="K98" s="135">
        <v>-2009</v>
      </c>
      <c r="L98" s="135">
        <v>-208</v>
      </c>
      <c r="M98" s="135">
        <v>469</v>
      </c>
      <c r="N98" s="135">
        <v>1659</v>
      </c>
      <c r="O98" s="135">
        <v>-528</v>
      </c>
      <c r="U98" s="135">
        <v>-2266</v>
      </c>
      <c r="V98" s="135">
        <v>-89</v>
      </c>
    </row>
    <row r="99" spans="1:23" s="135" customFormat="1" x14ac:dyDescent="0.25">
      <c r="A99" s="133"/>
      <c r="B99" s="135" t="s">
        <v>38</v>
      </c>
      <c r="G99" s="135">
        <v>6555</v>
      </c>
      <c r="H99" s="135">
        <v>1172</v>
      </c>
      <c r="I99" s="135">
        <v>-1030</v>
      </c>
      <c r="J99" s="135">
        <v>-10485</v>
      </c>
      <c r="K99" s="135">
        <v>3597</v>
      </c>
      <c r="L99" s="135">
        <v>3669</v>
      </c>
      <c r="M99" s="135">
        <v>-1581</v>
      </c>
      <c r="N99" s="135">
        <v>-12367</v>
      </c>
      <c r="O99" s="135">
        <v>-153</v>
      </c>
      <c r="U99" s="135">
        <v>-3788</v>
      </c>
      <c r="V99" s="135">
        <v>-6682</v>
      </c>
    </row>
    <row r="100" spans="1:23" s="135" customFormat="1" x14ac:dyDescent="0.25">
      <c r="A100" s="133"/>
      <c r="B100" s="135" t="s">
        <v>998</v>
      </c>
      <c r="G100" s="135">
        <v>4569</v>
      </c>
      <c r="H100" s="135">
        <v>7595</v>
      </c>
      <c r="I100" s="135">
        <v>-1064</v>
      </c>
      <c r="J100" s="135">
        <v>-12456</v>
      </c>
      <c r="K100" s="135">
        <v>3166</v>
      </c>
      <c r="L100" s="135">
        <v>6005</v>
      </c>
      <c r="M100" s="135">
        <v>4384</v>
      </c>
      <c r="N100" s="135">
        <v>-13902</v>
      </c>
      <c r="O100" s="135">
        <v>2781</v>
      </c>
      <c r="U100" s="135">
        <v>-1356</v>
      </c>
      <c r="V100" s="135">
        <v>-347</v>
      </c>
    </row>
    <row r="101" spans="1:23" s="135" customFormat="1" x14ac:dyDescent="0.25">
      <c r="A101" s="133"/>
      <c r="B101" s="135" t="s">
        <v>999</v>
      </c>
      <c r="G101" s="135">
        <v>-137</v>
      </c>
      <c r="H101" s="135">
        <v>190</v>
      </c>
      <c r="I101" s="135">
        <v>-12</v>
      </c>
      <c r="J101" s="135">
        <v>-1087</v>
      </c>
      <c r="K101" s="135">
        <v>215</v>
      </c>
      <c r="L101" s="135">
        <v>643</v>
      </c>
      <c r="M101" s="135">
        <v>365</v>
      </c>
      <c r="N101" s="135">
        <v>177</v>
      </c>
      <c r="O101" s="135">
        <v>-211</v>
      </c>
      <c r="U101" s="135">
        <v>-1046</v>
      </c>
      <c r="V101" s="135">
        <v>1400</v>
      </c>
    </row>
    <row r="102" spans="1:23" s="135" customFormat="1" x14ac:dyDescent="0.25">
      <c r="A102" s="133"/>
      <c r="B102" s="135" t="s">
        <v>67</v>
      </c>
      <c r="G102" s="135">
        <v>-1457</v>
      </c>
      <c r="H102" s="135">
        <v>-2981</v>
      </c>
      <c r="I102" s="135">
        <v>-1188</v>
      </c>
      <c r="J102" s="135">
        <v>-6105</v>
      </c>
      <c r="K102" s="135">
        <v>939</v>
      </c>
      <c r="L102" s="135">
        <v>-5310</v>
      </c>
      <c r="M102" s="135">
        <v>-1745</v>
      </c>
      <c r="N102" s="135">
        <v>-3081</v>
      </c>
      <c r="O102" s="135">
        <v>-10250</v>
      </c>
      <c r="U102" s="135">
        <v>-11731</v>
      </c>
      <c r="V102" s="135">
        <v>-9197</v>
      </c>
    </row>
    <row r="103" spans="1:23" s="135" customFormat="1" x14ac:dyDescent="0.25">
      <c r="A103" s="133"/>
      <c r="B103" s="135" t="s">
        <v>45</v>
      </c>
      <c r="G103" s="135">
        <v>-4542</v>
      </c>
      <c r="H103" s="135">
        <v>-12168</v>
      </c>
      <c r="I103" s="135">
        <v>1539</v>
      </c>
      <c r="J103" s="135">
        <v>21191</v>
      </c>
      <c r="K103" s="135">
        <v>-6671</v>
      </c>
      <c r="L103" s="135">
        <v>-7933</v>
      </c>
      <c r="M103" s="135">
        <v>-3875</v>
      </c>
      <c r="N103" s="135">
        <v>19381</v>
      </c>
      <c r="O103" s="135">
        <v>848</v>
      </c>
      <c r="U103" s="135">
        <v>6020</v>
      </c>
      <c r="V103" s="135">
        <v>902</v>
      </c>
    </row>
    <row r="104" spans="1:23" s="135" customFormat="1" x14ac:dyDescent="0.25">
      <c r="A104" s="133"/>
      <c r="B104" s="135" t="s">
        <v>475</v>
      </c>
      <c r="G104" s="135">
        <v>-3865</v>
      </c>
      <c r="H104" s="135">
        <v>428</v>
      </c>
      <c r="I104" s="135">
        <v>3439</v>
      </c>
      <c r="J104" s="135">
        <v>15550</v>
      </c>
      <c r="K104" s="135">
        <v>-11998</v>
      </c>
      <c r="L104" s="135">
        <v>-3581</v>
      </c>
      <c r="M104" s="135">
        <v>418</v>
      </c>
      <c r="N104" s="135">
        <v>4085</v>
      </c>
      <c r="O104" s="135">
        <v>12533</v>
      </c>
      <c r="U104" s="135">
        <v>15552</v>
      </c>
      <c r="V104" s="135">
        <v>-11076</v>
      </c>
    </row>
    <row r="105" spans="1:23" s="108" customFormat="1" x14ac:dyDescent="0.25">
      <c r="A105" s="96"/>
      <c r="B105" s="108" t="s">
        <v>512</v>
      </c>
      <c r="G105" s="108">
        <f t="shared" ref="G105:J105" si="125">SUM(G95:G104)</f>
        <v>39895</v>
      </c>
      <c r="H105" s="108">
        <f t="shared" si="125"/>
        <v>22690</v>
      </c>
      <c r="I105" s="108">
        <f t="shared" si="125"/>
        <v>28858</v>
      </c>
      <c r="J105" s="108">
        <f t="shared" si="125"/>
        <v>26811</v>
      </c>
      <c r="K105" s="108">
        <f>SUM(K95:K104)</f>
        <v>29935</v>
      </c>
      <c r="L105" s="108">
        <f t="shared" ref="L105:O105" si="126">SUM(L95:L104)</f>
        <v>23952</v>
      </c>
      <c r="M105" s="108">
        <f t="shared" si="126"/>
        <v>27867</v>
      </c>
      <c r="N105" s="108">
        <f t="shared" si="126"/>
        <v>29728</v>
      </c>
      <c r="O105" s="108">
        <f t="shared" si="126"/>
        <v>53925</v>
      </c>
      <c r="P105" s="108">
        <f t="shared" ref="P105" si="127">SUM(P95:P104)</f>
        <v>0</v>
      </c>
      <c r="Q105" s="135"/>
      <c r="R105" s="135"/>
      <c r="S105" s="135"/>
      <c r="T105" s="135"/>
      <c r="U105" s="108">
        <f t="shared" ref="U105:W105" si="128">SUM(U95:U104)</f>
        <v>118254</v>
      </c>
      <c r="V105" s="108">
        <f t="shared" si="128"/>
        <v>111482</v>
      </c>
      <c r="W105" s="108">
        <f t="shared" si="128"/>
        <v>0</v>
      </c>
    </row>
    <row r="106" spans="1:23" s="135" customFormat="1" x14ac:dyDescent="0.25">
      <c r="A106" s="133"/>
      <c r="B106" s="135" t="s">
        <v>948</v>
      </c>
      <c r="G106" s="135">
        <f>-9780+13046+1337</f>
        <v>4603</v>
      </c>
      <c r="H106" s="135">
        <v>2131</v>
      </c>
      <c r="I106" s="135">
        <v>2412</v>
      </c>
      <c r="J106" s="135">
        <v>4544</v>
      </c>
      <c r="K106" s="135">
        <f>-6124+15967+3492</f>
        <v>13335</v>
      </c>
      <c r="L106" s="135">
        <v>6020</v>
      </c>
      <c r="M106" s="135">
        <v>8875</v>
      </c>
      <c r="N106" s="135">
        <v>1160</v>
      </c>
      <c r="O106" s="135">
        <f>-12693+7510</f>
        <v>-5183</v>
      </c>
      <c r="U106" s="135">
        <f>-48656+51211+11135</f>
        <v>13690</v>
      </c>
      <c r="V106" s="135">
        <f>-24407+40907+12890</f>
        <v>29390</v>
      </c>
    </row>
    <row r="107" spans="1:23" s="135" customFormat="1" x14ac:dyDescent="0.25">
      <c r="A107" s="133"/>
      <c r="B107" s="135" t="s">
        <v>519</v>
      </c>
      <c r="G107" s="135">
        <v>-2392</v>
      </c>
      <c r="H107" s="135">
        <v>-1996</v>
      </c>
      <c r="I107" s="135">
        <v>-2151</v>
      </c>
      <c r="J107" s="135">
        <v>-2908</v>
      </c>
      <c r="K107" s="135">
        <v>-2940</v>
      </c>
      <c r="L107" s="135">
        <v>-3071</v>
      </c>
      <c r="M107" s="135">
        <v>-3462</v>
      </c>
      <c r="N107" s="135">
        <v>-3242</v>
      </c>
      <c r="O107" s="135">
        <f>2824-2373</f>
        <v>451</v>
      </c>
      <c r="U107" s="135">
        <v>-9447</v>
      </c>
      <c r="V107" s="135">
        <v>-12715</v>
      </c>
    </row>
    <row r="108" spans="1:23" s="135" customFormat="1" x14ac:dyDescent="0.25">
      <c r="A108" s="133"/>
      <c r="B108" s="135" t="s">
        <v>421</v>
      </c>
      <c r="G108" s="135">
        <v>-284</v>
      </c>
      <c r="H108" s="135">
        <v>-445</v>
      </c>
      <c r="I108" s="135">
        <v>-388</v>
      </c>
      <c r="J108" s="135">
        <v>-191</v>
      </c>
      <c r="K108" s="135">
        <v>-603</v>
      </c>
      <c r="L108" s="135">
        <v>-32</v>
      </c>
      <c r="M108" s="135">
        <v>-340</v>
      </c>
      <c r="N108" s="135">
        <v>-505</v>
      </c>
      <c r="O108" s="135">
        <v>-154</v>
      </c>
      <c r="U108" s="135">
        <v>-1308</v>
      </c>
      <c r="V108" s="135">
        <v>-1480</v>
      </c>
    </row>
    <row r="109" spans="1:23" s="108" customFormat="1" x14ac:dyDescent="0.25">
      <c r="A109" s="96"/>
      <c r="B109" s="108" t="s">
        <v>521</v>
      </c>
      <c r="G109" s="108">
        <f t="shared" ref="G109:J109" si="129">SUM(G106:G108)</f>
        <v>1927</v>
      </c>
      <c r="H109" s="108">
        <f t="shared" si="129"/>
        <v>-310</v>
      </c>
      <c r="I109" s="108">
        <f t="shared" si="129"/>
        <v>-127</v>
      </c>
      <c r="J109" s="108">
        <f t="shared" si="129"/>
        <v>1445</v>
      </c>
      <c r="K109" s="108">
        <f>SUM(K106:K108)</f>
        <v>9792</v>
      </c>
      <c r="L109" s="108">
        <f t="shared" ref="L109:O109" si="130">SUM(L106:L108)</f>
        <v>2917</v>
      </c>
      <c r="M109" s="108">
        <f t="shared" si="130"/>
        <v>5073</v>
      </c>
      <c r="N109" s="108">
        <f t="shared" si="130"/>
        <v>-2587</v>
      </c>
      <c r="O109" s="108">
        <f t="shared" si="130"/>
        <v>-4886</v>
      </c>
      <c r="P109" s="108">
        <f t="shared" ref="P109" si="131">SUM(P106:P108)</f>
        <v>0</v>
      </c>
      <c r="Q109" s="135"/>
      <c r="R109" s="135"/>
      <c r="S109" s="135"/>
      <c r="T109" s="135"/>
      <c r="U109" s="108">
        <f t="shared" ref="U109:W109" si="132">SUM(U106:U108)</f>
        <v>2935</v>
      </c>
      <c r="V109" s="108">
        <f t="shared" si="132"/>
        <v>15195</v>
      </c>
      <c r="W109" s="108">
        <f t="shared" si="132"/>
        <v>0</v>
      </c>
    </row>
    <row r="110" spans="1:23" s="135" customFormat="1" x14ac:dyDescent="0.25">
      <c r="A110" s="133"/>
      <c r="B110" s="135" t="s">
        <v>27</v>
      </c>
      <c r="G110" s="135">
        <v>-2591</v>
      </c>
      <c r="H110" s="135">
        <v>-284</v>
      </c>
      <c r="I110" s="135">
        <v>-2288</v>
      </c>
      <c r="J110" s="135">
        <v>-278</v>
      </c>
      <c r="K110" s="135">
        <v>-2921</v>
      </c>
      <c r="L110" s="135">
        <v>-284</v>
      </c>
      <c r="M110" s="135">
        <v>-2514</v>
      </c>
      <c r="N110" s="135">
        <v>-241</v>
      </c>
      <c r="O110" s="135">
        <v>-2922</v>
      </c>
      <c r="U110" s="135">
        <v>-5441</v>
      </c>
      <c r="V110" s="135">
        <v>-5960</v>
      </c>
    </row>
    <row r="111" spans="1:23" s="135" customFormat="1" x14ac:dyDescent="0.25">
      <c r="A111" s="133"/>
      <c r="B111" s="135" t="s">
        <v>790</v>
      </c>
      <c r="G111" s="135">
        <v>-3825</v>
      </c>
      <c r="H111" s="135">
        <v>-3710</v>
      </c>
      <c r="I111" s="135">
        <v>-3895</v>
      </c>
      <c r="J111" s="135">
        <v>-3804</v>
      </c>
      <c r="K111" s="135">
        <v>-3856</v>
      </c>
      <c r="L111" s="135">
        <v>-3758</v>
      </c>
      <c r="M111" s="135">
        <v>-3945</v>
      </c>
      <c r="N111" s="135">
        <v>-3862</v>
      </c>
      <c r="O111" s="135">
        <v>-3921</v>
      </c>
      <c r="U111" s="135">
        <v>-15234</v>
      </c>
      <c r="V111" s="135">
        <v>-15421</v>
      </c>
    </row>
    <row r="112" spans="1:23" s="135" customFormat="1" x14ac:dyDescent="0.25">
      <c r="A112" s="133"/>
      <c r="B112" s="135" t="s">
        <v>1000</v>
      </c>
      <c r="G112" s="135">
        <v>-20139</v>
      </c>
      <c r="H112" s="135">
        <v>-23205</v>
      </c>
      <c r="I112" s="135">
        <v>-26522</v>
      </c>
      <c r="J112" s="135">
        <v>-25083</v>
      </c>
      <c r="K112" s="135">
        <v>-23606</v>
      </c>
      <c r="L112" s="135">
        <v>-25898</v>
      </c>
      <c r="M112" s="135">
        <v>-21075</v>
      </c>
      <c r="N112" s="135">
        <v>-20132</v>
      </c>
      <c r="O112" s="135">
        <v>-24701</v>
      </c>
      <c r="U112" s="135">
        <v>-94949</v>
      </c>
      <c r="V112" s="135">
        <v>-90711</v>
      </c>
    </row>
    <row r="113" spans="1:23" s="135" customFormat="1" x14ac:dyDescent="0.25">
      <c r="A113" s="133"/>
      <c r="B113" s="135" t="s">
        <v>4</v>
      </c>
      <c r="G113" s="135">
        <v>-3984</v>
      </c>
      <c r="H113" s="135">
        <v>-3148</v>
      </c>
      <c r="I113" s="135">
        <v>-3253</v>
      </c>
      <c r="J113" s="135">
        <v>4387</v>
      </c>
      <c r="K113" s="135">
        <f>-1009-7944</f>
        <v>-8953</v>
      </c>
      <c r="L113" s="135">
        <v>976</v>
      </c>
      <c r="M113" s="135">
        <v>2711</v>
      </c>
      <c r="N113" s="135">
        <v>-3217</v>
      </c>
      <c r="O113" s="135">
        <f>-2164-5910</f>
        <v>-8074</v>
      </c>
      <c r="U113" s="135">
        <f>-9958+3960</f>
        <v>-5998</v>
      </c>
      <c r="V113" s="135">
        <f>4481-10932-2032</f>
        <v>-8483</v>
      </c>
    </row>
    <row r="114" spans="1:23" s="135" customFormat="1" x14ac:dyDescent="0.25">
      <c r="A114" s="133"/>
      <c r="B114" s="135" t="s">
        <v>421</v>
      </c>
      <c r="G114" s="135">
        <v>-46</v>
      </c>
      <c r="H114" s="135">
        <v>-86</v>
      </c>
      <c r="I114" s="135">
        <v>-59</v>
      </c>
      <c r="J114" s="135">
        <v>-170</v>
      </c>
      <c r="K114" s="135">
        <v>-35</v>
      </c>
      <c r="L114" s="135">
        <v>-42</v>
      </c>
      <c r="M114" s="135">
        <v>-10</v>
      </c>
      <c r="N114" s="135">
        <v>-24</v>
      </c>
      <c r="O114" s="135">
        <v>-38</v>
      </c>
      <c r="U114" s="135">
        <v>-361</v>
      </c>
      <c r="V114" s="135">
        <v>-111</v>
      </c>
    </row>
    <row r="115" spans="1:23" s="108" customFormat="1" x14ac:dyDescent="0.25">
      <c r="A115" s="96"/>
      <c r="B115" s="108" t="s">
        <v>518</v>
      </c>
      <c r="G115" s="108">
        <f t="shared" ref="G115:J115" si="133">SUM(G110:G114)</f>
        <v>-30585</v>
      </c>
      <c r="H115" s="108">
        <f t="shared" si="133"/>
        <v>-30433</v>
      </c>
      <c r="I115" s="108">
        <f t="shared" si="133"/>
        <v>-36017</v>
      </c>
      <c r="J115" s="108">
        <f t="shared" si="133"/>
        <v>-24948</v>
      </c>
      <c r="K115" s="108">
        <f>SUM(K110:K114)</f>
        <v>-39371</v>
      </c>
      <c r="L115" s="108">
        <f t="shared" ref="L115:O115" si="134">SUM(L110:L114)</f>
        <v>-29006</v>
      </c>
      <c r="M115" s="108">
        <f t="shared" si="134"/>
        <v>-24833</v>
      </c>
      <c r="N115" s="108">
        <f t="shared" si="134"/>
        <v>-27476</v>
      </c>
      <c r="O115" s="108">
        <f t="shared" si="134"/>
        <v>-39656</v>
      </c>
      <c r="P115" s="108">
        <f t="shared" ref="P115" si="135">SUM(P110:P114)</f>
        <v>0</v>
      </c>
      <c r="Q115" s="135"/>
      <c r="R115" s="135"/>
      <c r="S115" s="135"/>
      <c r="T115" s="135"/>
      <c r="U115" s="108">
        <f t="shared" ref="U115:W115" si="136">SUM(U110:U114)</f>
        <v>-121983</v>
      </c>
      <c r="V115" s="108">
        <f t="shared" si="136"/>
        <v>-120686</v>
      </c>
      <c r="W115" s="108">
        <f t="shared" si="136"/>
        <v>0</v>
      </c>
    </row>
    <row r="116" spans="1:23" s="108" customFormat="1" x14ac:dyDescent="0.25">
      <c r="A116" s="96"/>
      <c r="B116" s="108" t="s">
        <v>522</v>
      </c>
      <c r="G116" s="108">
        <f t="shared" ref="G116:O116" si="137">G105+G109+G115</f>
        <v>11237</v>
      </c>
      <c r="H116" s="108">
        <f t="shared" si="137"/>
        <v>-8053</v>
      </c>
      <c r="I116" s="108">
        <f t="shared" si="137"/>
        <v>-7286</v>
      </c>
      <c r="J116" s="108">
        <f t="shared" si="137"/>
        <v>3308</v>
      </c>
      <c r="K116" s="108">
        <f t="shared" si="137"/>
        <v>356</v>
      </c>
      <c r="L116" s="108">
        <f t="shared" si="137"/>
        <v>-2137</v>
      </c>
      <c r="M116" s="108">
        <f t="shared" si="137"/>
        <v>8107</v>
      </c>
      <c r="N116" s="108">
        <f t="shared" si="137"/>
        <v>-335</v>
      </c>
      <c r="O116" s="108">
        <f t="shared" si="137"/>
        <v>9383</v>
      </c>
      <c r="P116" s="108">
        <f t="shared" ref="P116" si="138">P105+P109+P115</f>
        <v>0</v>
      </c>
      <c r="Q116" s="135"/>
      <c r="R116" s="135"/>
      <c r="S116" s="135"/>
      <c r="T116" s="135"/>
      <c r="U116" s="108">
        <f t="shared" ref="U116:W116" si="139">U105+U109+U115</f>
        <v>-794</v>
      </c>
      <c r="V116" s="108">
        <f t="shared" si="139"/>
        <v>5991</v>
      </c>
      <c r="W116" s="108">
        <f t="shared" si="139"/>
        <v>0</v>
      </c>
    </row>
    <row r="117" spans="1:23" s="108" customFormat="1" x14ac:dyDescent="0.25">
      <c r="A117" s="96"/>
      <c r="B117" s="108" t="s">
        <v>954</v>
      </c>
      <c r="G117" s="108">
        <f>G94+G116</f>
        <v>41974</v>
      </c>
      <c r="H117" s="108">
        <f t="shared" ref="H117:M117" si="140">H94+H116</f>
        <v>33921</v>
      </c>
      <c r="I117" s="108">
        <f t="shared" si="140"/>
        <v>26635</v>
      </c>
      <c r="J117" s="108">
        <f t="shared" si="140"/>
        <v>29943</v>
      </c>
      <c r="K117" s="108">
        <f t="shared" si="140"/>
        <v>30299</v>
      </c>
      <c r="L117" s="108">
        <f t="shared" si="140"/>
        <v>28162</v>
      </c>
      <c r="M117" s="108">
        <f t="shared" si="140"/>
        <v>36269</v>
      </c>
      <c r="N117" s="108">
        <f t="shared" ref="N117" si="141">N94+N116</f>
        <v>35934</v>
      </c>
      <c r="O117" s="108">
        <f t="shared" ref="O117:P117" si="142">O94+O116</f>
        <v>45317</v>
      </c>
      <c r="P117" s="108">
        <f t="shared" si="142"/>
        <v>45317</v>
      </c>
      <c r="Q117" s="135"/>
      <c r="R117" s="135"/>
      <c r="U117" s="108">
        <f t="shared" ref="U117:W117" si="143">U94+U116</f>
        <v>29943</v>
      </c>
      <c r="V117" s="108">
        <f t="shared" si="143"/>
        <v>35934</v>
      </c>
      <c r="W117" s="108">
        <f t="shared" si="143"/>
        <v>35934</v>
      </c>
    </row>
    <row r="118" spans="1:23" s="135" customFormat="1" x14ac:dyDescent="0.25">
      <c r="A118" s="133"/>
    </row>
    <row r="119" spans="1:23" s="135" customFormat="1" x14ac:dyDescent="0.25">
      <c r="A119" s="133"/>
      <c r="B119" s="108" t="s">
        <v>523</v>
      </c>
      <c r="G119" s="135">
        <f>G105+G107</f>
        <v>37503</v>
      </c>
      <c r="H119" s="135">
        <f t="shared" ref="H119:O119" si="144">H105+H107</f>
        <v>20694</v>
      </c>
      <c r="I119" s="135">
        <f t="shared" si="144"/>
        <v>26707</v>
      </c>
      <c r="J119" s="135">
        <f t="shared" si="144"/>
        <v>23903</v>
      </c>
      <c r="K119" s="135">
        <f t="shared" si="144"/>
        <v>26995</v>
      </c>
      <c r="L119" s="135">
        <f t="shared" si="144"/>
        <v>20881</v>
      </c>
      <c r="M119" s="135">
        <f t="shared" si="144"/>
        <v>24405</v>
      </c>
      <c r="N119" s="135">
        <f t="shared" si="144"/>
        <v>26486</v>
      </c>
      <c r="O119" s="135">
        <f t="shared" si="144"/>
        <v>54376</v>
      </c>
      <c r="P119" s="135">
        <f t="shared" ref="P119" si="145">P105+P107</f>
        <v>0</v>
      </c>
      <c r="U119" s="135">
        <f t="shared" ref="U119:W119" si="146">U105+U107</f>
        <v>108807</v>
      </c>
      <c r="V119" s="135">
        <f t="shared" si="146"/>
        <v>98767</v>
      </c>
      <c r="W119" s="135">
        <f t="shared" si="146"/>
        <v>0</v>
      </c>
    </row>
    <row r="120" spans="1:23" s="142" customFormat="1" x14ac:dyDescent="0.25">
      <c r="B120" s="146" t="s">
        <v>956</v>
      </c>
      <c r="G120" s="142">
        <f t="shared" ref="G120:L120" si="147">-G107/G93</f>
        <v>7.0527184809529422E-2</v>
      </c>
      <c r="H120" s="142">
        <f t="shared" si="147"/>
        <v>8.444745303773904E-2</v>
      </c>
      <c r="I120" s="142">
        <f t="shared" si="147"/>
        <v>0.10028907124207385</v>
      </c>
      <c r="J120" s="142">
        <f t="shared" si="147"/>
        <v>0.19733984799131379</v>
      </c>
      <c r="K120" s="142">
        <f t="shared" si="147"/>
        <v>8.0924855491329481E-2</v>
      </c>
      <c r="L120" s="142">
        <f t="shared" si="147"/>
        <v>0.12393058918482647</v>
      </c>
      <c r="M120" s="142">
        <f>-M107/M93</f>
        <v>0.14773406161986857</v>
      </c>
      <c r="N120" s="142">
        <f t="shared" ref="N120:O120" si="148">-N107/N93</f>
        <v>0.11803684555450375</v>
      </c>
      <c r="O120" s="142">
        <f t="shared" si="148"/>
        <v>-1.0713352495427228E-2</v>
      </c>
      <c r="P120" s="142" t="e">
        <f t="shared" ref="P120" si="149">-P107/P93</f>
        <v>#DIV/0!</v>
      </c>
      <c r="U120" s="142">
        <f t="shared" ref="U120:W120" si="150">-U107/U93</f>
        <v>0.10078305026884014</v>
      </c>
      <c r="V120" s="142">
        <f t="shared" si="150"/>
        <v>0.11351665029908044</v>
      </c>
      <c r="W120" s="142">
        <f t="shared" si="150"/>
        <v>0</v>
      </c>
    </row>
    <row r="174" spans="3:15" ht="13.8" thickBot="1" x14ac:dyDescent="0.3"/>
    <row r="175" spans="3:15" x14ac:dyDescent="0.25">
      <c r="C175" s="147" t="s">
        <v>374</v>
      </c>
      <c r="D175" s="148"/>
      <c r="E175" s="148"/>
      <c r="F175" s="148"/>
      <c r="G175" s="149">
        <v>2020</v>
      </c>
      <c r="H175" s="148">
        <v>2021</v>
      </c>
      <c r="I175" s="148">
        <v>2022</v>
      </c>
      <c r="J175" s="148">
        <v>2023</v>
      </c>
      <c r="K175" s="148">
        <v>2024</v>
      </c>
      <c r="L175" s="148">
        <v>2025</v>
      </c>
      <c r="M175" s="148">
        <v>2026</v>
      </c>
      <c r="N175" s="148">
        <v>2027</v>
      </c>
      <c r="O175" s="150">
        <v>2028</v>
      </c>
    </row>
    <row r="176" spans="3:15" x14ac:dyDescent="0.25">
      <c r="C176" s="151"/>
      <c r="D176" s="133" t="s">
        <v>347</v>
      </c>
      <c r="G176" s="152"/>
      <c r="O176" s="153"/>
    </row>
    <row r="177" spans="3:15" x14ac:dyDescent="0.25">
      <c r="C177" s="151"/>
      <c r="E177" s="133" t="s">
        <v>353</v>
      </c>
      <c r="G177" s="154">
        <v>137.69999999999999</v>
      </c>
      <c r="H177" s="138">
        <v>191.9</v>
      </c>
      <c r="I177" s="138">
        <v>205.4</v>
      </c>
      <c r="J177" s="138">
        <v>200.5</v>
      </c>
      <c r="K177" s="138">
        <v>201.1</v>
      </c>
      <c r="O177" s="153"/>
    </row>
    <row r="178" spans="3:15" x14ac:dyDescent="0.25">
      <c r="C178" s="151"/>
      <c r="E178" s="133" t="s">
        <v>352</v>
      </c>
      <c r="G178" s="154">
        <v>196.9</v>
      </c>
      <c r="H178" s="138">
        <v>242</v>
      </c>
      <c r="I178" s="138">
        <v>232.2</v>
      </c>
      <c r="J178" s="138">
        <v>231.3</v>
      </c>
      <c r="K178" s="138">
        <v>232.1</v>
      </c>
      <c r="O178" s="153"/>
    </row>
    <row r="179" spans="3:15" x14ac:dyDescent="0.25">
      <c r="C179" s="151"/>
      <c r="E179" s="133" t="s">
        <v>354</v>
      </c>
      <c r="G179" s="154">
        <v>1042</v>
      </c>
      <c r="H179" s="138">
        <v>1231</v>
      </c>
      <c r="I179" s="138">
        <v>1334</v>
      </c>
      <c r="J179" s="138">
        <v>1382</v>
      </c>
      <c r="K179" s="138">
        <v>1404</v>
      </c>
      <c r="O179" s="153"/>
    </row>
    <row r="180" spans="3:15" x14ac:dyDescent="0.25">
      <c r="C180" s="151"/>
      <c r="D180" s="133" t="s">
        <v>349</v>
      </c>
      <c r="G180" s="154"/>
      <c r="H180" s="138"/>
      <c r="I180" s="138"/>
      <c r="J180" s="138"/>
      <c r="K180" s="138"/>
      <c r="O180" s="153"/>
    </row>
    <row r="181" spans="3:15" x14ac:dyDescent="0.25">
      <c r="C181" s="151"/>
      <c r="E181" s="133" t="s">
        <v>353</v>
      </c>
      <c r="G181" s="154">
        <v>23.7</v>
      </c>
      <c r="H181" s="138">
        <v>31.8</v>
      </c>
      <c r="I181" s="138">
        <v>29.2</v>
      </c>
      <c r="J181" s="138">
        <v>28.2</v>
      </c>
      <c r="K181" s="138">
        <v>26.6</v>
      </c>
      <c r="O181" s="153"/>
    </row>
    <row r="182" spans="3:15" x14ac:dyDescent="0.25">
      <c r="C182" s="151"/>
      <c r="E182" s="133" t="s">
        <v>352</v>
      </c>
      <c r="G182" s="154">
        <v>71.099999999999994</v>
      </c>
      <c r="H182" s="138">
        <v>57.8</v>
      </c>
      <c r="I182" s="138">
        <v>61.8</v>
      </c>
      <c r="J182" s="138">
        <v>49.5</v>
      </c>
      <c r="K182" s="138">
        <v>52.1</v>
      </c>
      <c r="O182" s="153"/>
    </row>
    <row r="183" spans="3:15" x14ac:dyDescent="0.25">
      <c r="C183" s="151"/>
      <c r="D183" s="133" t="s">
        <v>360</v>
      </c>
      <c r="G183" s="154"/>
      <c r="H183" s="138"/>
      <c r="I183" s="138"/>
      <c r="J183" s="138"/>
      <c r="K183" s="138"/>
      <c r="O183" s="153"/>
    </row>
    <row r="184" spans="3:15" x14ac:dyDescent="0.25">
      <c r="C184" s="151"/>
      <c r="E184" s="133" t="s">
        <v>353</v>
      </c>
      <c r="G184" s="154">
        <v>28.4</v>
      </c>
      <c r="H184" s="138">
        <v>35.1</v>
      </c>
      <c r="I184" s="138">
        <v>40</v>
      </c>
      <c r="J184" s="138">
        <v>29.2</v>
      </c>
      <c r="K184" s="138">
        <v>29.9</v>
      </c>
      <c r="O184" s="153"/>
    </row>
    <row r="185" spans="3:15" x14ac:dyDescent="0.25">
      <c r="C185" s="151"/>
      <c r="E185" s="133" t="s">
        <v>352</v>
      </c>
      <c r="G185" s="154">
        <v>20.2</v>
      </c>
      <c r="H185" s="138">
        <v>25.7</v>
      </c>
      <c r="I185" s="138">
        <v>26.1</v>
      </c>
      <c r="J185" s="138">
        <v>22.1</v>
      </c>
      <c r="K185" s="138">
        <v>22.4</v>
      </c>
      <c r="O185" s="153"/>
    </row>
    <row r="186" spans="3:15" x14ac:dyDescent="0.25">
      <c r="C186" s="151" t="s">
        <v>355</v>
      </c>
      <c r="G186" s="154"/>
      <c r="H186" s="138"/>
      <c r="I186" s="138"/>
      <c r="J186" s="138"/>
      <c r="K186" s="138"/>
      <c r="O186" s="153"/>
    </row>
    <row r="187" spans="3:15" x14ac:dyDescent="0.25">
      <c r="C187" s="151"/>
      <c r="D187" s="133" t="s">
        <v>353</v>
      </c>
      <c r="G187" s="154">
        <v>30.6</v>
      </c>
      <c r="H187" s="138">
        <v>38.299999999999997</v>
      </c>
      <c r="I187" s="138">
        <v>41.1</v>
      </c>
      <c r="J187" s="138">
        <v>39.6</v>
      </c>
      <c r="K187" s="138">
        <v>37</v>
      </c>
      <c r="O187" s="153"/>
    </row>
    <row r="188" spans="3:15" x14ac:dyDescent="0.25">
      <c r="C188" s="151"/>
      <c r="D188" s="133" t="s">
        <v>356</v>
      </c>
      <c r="G188" s="154"/>
      <c r="H188" s="138"/>
      <c r="I188" s="138"/>
      <c r="J188" s="138"/>
      <c r="K188" s="138"/>
      <c r="O188" s="153"/>
    </row>
    <row r="189" spans="3:15" x14ac:dyDescent="0.25">
      <c r="C189" s="151"/>
      <c r="E189" s="133" t="s">
        <v>352</v>
      </c>
      <c r="G189" s="154">
        <v>4301</v>
      </c>
      <c r="H189" s="138">
        <v>46.1</v>
      </c>
      <c r="I189" s="138">
        <v>53.9</v>
      </c>
      <c r="J189" s="138">
        <v>38.299999999999997</v>
      </c>
      <c r="K189" s="138">
        <v>39.799999999999997</v>
      </c>
      <c r="O189" s="153"/>
    </row>
    <row r="190" spans="3:15" x14ac:dyDescent="0.25">
      <c r="C190" s="151"/>
      <c r="D190" s="133" t="s">
        <v>350</v>
      </c>
      <c r="G190" s="154"/>
      <c r="H190" s="138"/>
      <c r="I190" s="138"/>
      <c r="J190" s="138"/>
      <c r="K190" s="138"/>
      <c r="O190" s="153"/>
    </row>
    <row r="191" spans="3:15" x14ac:dyDescent="0.25">
      <c r="C191" s="151"/>
      <c r="E191" s="133" t="s">
        <v>352</v>
      </c>
      <c r="G191" s="154">
        <v>114</v>
      </c>
      <c r="H191" s="138">
        <v>85</v>
      </c>
      <c r="I191" s="138">
        <v>82</v>
      </c>
      <c r="J191" s="138">
        <v>75</v>
      </c>
      <c r="K191" s="138">
        <v>66</v>
      </c>
      <c r="O191" s="153"/>
    </row>
    <row r="192" spans="3:15" x14ac:dyDescent="0.25">
      <c r="C192" s="151"/>
      <c r="D192" s="133" t="s">
        <v>357</v>
      </c>
      <c r="G192" s="154"/>
      <c r="H192" s="138"/>
      <c r="I192" s="138"/>
      <c r="J192" s="138"/>
      <c r="K192" s="138"/>
      <c r="O192" s="153"/>
    </row>
    <row r="193" spans="3:15" x14ac:dyDescent="0.25">
      <c r="C193" s="151"/>
      <c r="E193" s="133" t="s">
        <v>352</v>
      </c>
      <c r="G193" s="154">
        <v>9.8000000000000007</v>
      </c>
      <c r="H193" s="138">
        <v>14.8</v>
      </c>
      <c r="I193" s="138">
        <v>13.6</v>
      </c>
      <c r="J193" s="138">
        <v>9.5</v>
      </c>
      <c r="K193" s="138">
        <v>7</v>
      </c>
      <c r="O193" s="153"/>
    </row>
    <row r="194" spans="3:15" x14ac:dyDescent="0.25">
      <c r="C194" s="151"/>
      <c r="D194" s="133" t="s">
        <v>358</v>
      </c>
      <c r="G194" s="154"/>
      <c r="H194" s="138"/>
      <c r="I194" s="138"/>
      <c r="J194" s="138"/>
      <c r="K194" s="138"/>
      <c r="O194" s="153"/>
    </row>
    <row r="195" spans="3:15" x14ac:dyDescent="0.25">
      <c r="C195" s="151"/>
      <c r="E195" s="133" t="s">
        <v>359</v>
      </c>
      <c r="G195" s="154">
        <v>28.3</v>
      </c>
      <c r="H195" s="138">
        <v>29.9</v>
      </c>
      <c r="I195" s="138">
        <v>31.7</v>
      </c>
      <c r="J195" s="138">
        <v>32.299999999999997</v>
      </c>
      <c r="K195" s="138">
        <v>33</v>
      </c>
      <c r="O195" s="153"/>
    </row>
    <row r="196" spans="3:15" x14ac:dyDescent="0.25">
      <c r="C196" s="151" t="s">
        <v>348</v>
      </c>
      <c r="G196" s="154"/>
      <c r="H196" s="138"/>
      <c r="I196" s="138"/>
      <c r="J196" s="138"/>
      <c r="K196" s="138"/>
      <c r="O196" s="153"/>
    </row>
    <row r="197" spans="3:15" x14ac:dyDescent="0.25">
      <c r="C197" s="151"/>
      <c r="D197" s="133" t="s">
        <v>353</v>
      </c>
      <c r="G197" s="154">
        <v>53.6</v>
      </c>
      <c r="H197" s="138">
        <v>68.400000000000006</v>
      </c>
      <c r="I197" s="138">
        <v>78</v>
      </c>
      <c r="J197" s="138">
        <v>85.1</v>
      </c>
      <c r="K197" s="138">
        <v>96.1</v>
      </c>
      <c r="O197" s="153"/>
    </row>
    <row r="198" spans="3:15" x14ac:dyDescent="0.25">
      <c r="C198" s="151"/>
      <c r="D198" s="133" t="s">
        <v>361</v>
      </c>
      <c r="G198" s="154"/>
      <c r="H198" s="138"/>
      <c r="I198" s="138"/>
      <c r="J198" s="138"/>
      <c r="K198" s="138"/>
      <c r="O198" s="153"/>
    </row>
    <row r="199" spans="3:15" x14ac:dyDescent="0.25">
      <c r="C199" s="151"/>
      <c r="E199" s="133" t="s">
        <v>362</v>
      </c>
      <c r="G199" s="154">
        <v>620</v>
      </c>
      <c r="H199" s="138">
        <v>745</v>
      </c>
      <c r="I199" s="138">
        <v>900</v>
      </c>
      <c r="J199" s="138">
        <v>1050</v>
      </c>
      <c r="K199" s="138">
        <v>1160</v>
      </c>
      <c r="O199" s="153"/>
    </row>
    <row r="200" spans="3:15" x14ac:dyDescent="0.25">
      <c r="C200" s="151"/>
      <c r="D200" s="133" t="s">
        <v>363</v>
      </c>
      <c r="G200" s="154"/>
      <c r="H200" s="138"/>
      <c r="I200" s="138"/>
      <c r="J200" s="138"/>
      <c r="K200" s="138"/>
      <c r="O200" s="153"/>
    </row>
    <row r="201" spans="3:15" x14ac:dyDescent="0.25">
      <c r="C201" s="151"/>
      <c r="E201" s="133" t="s">
        <v>364</v>
      </c>
      <c r="G201" s="154">
        <v>507</v>
      </c>
      <c r="H201" s="138">
        <v>631</v>
      </c>
      <c r="I201" s="138">
        <v>701</v>
      </c>
      <c r="J201" s="138">
        <v>744</v>
      </c>
      <c r="K201" s="138">
        <v>785</v>
      </c>
      <c r="O201" s="153"/>
    </row>
    <row r="202" spans="3:15" x14ac:dyDescent="0.25">
      <c r="C202" s="151"/>
      <c r="D202" s="133" t="s">
        <v>351</v>
      </c>
      <c r="G202" s="154"/>
      <c r="H202" s="138"/>
      <c r="I202" s="138"/>
      <c r="J202" s="138"/>
      <c r="K202" s="138"/>
      <c r="O202" s="153"/>
    </row>
    <row r="203" spans="3:15" x14ac:dyDescent="0.25">
      <c r="C203" s="151"/>
      <c r="E203" s="133" t="s">
        <v>362</v>
      </c>
      <c r="G203" s="154">
        <v>72</v>
      </c>
      <c r="H203" s="138">
        <v>80</v>
      </c>
      <c r="I203" s="138">
        <v>88</v>
      </c>
      <c r="J203" s="138">
        <v>93</v>
      </c>
      <c r="K203" s="138">
        <v>95</v>
      </c>
      <c r="O203" s="153"/>
    </row>
    <row r="204" spans="3:15" x14ac:dyDescent="0.25">
      <c r="C204" s="151"/>
      <c r="D204" s="133" t="s">
        <v>365</v>
      </c>
      <c r="G204" s="154"/>
      <c r="H204" s="138"/>
      <c r="I204" s="138"/>
      <c r="J204" s="138"/>
      <c r="K204" s="138"/>
      <c r="O204" s="153"/>
    </row>
    <row r="205" spans="3:15" x14ac:dyDescent="0.25">
      <c r="C205" s="151"/>
      <c r="E205" s="133" t="s">
        <v>362</v>
      </c>
      <c r="G205" s="154">
        <v>33.6</v>
      </c>
      <c r="H205" s="138">
        <v>48</v>
      </c>
      <c r="I205" s="138">
        <v>55</v>
      </c>
      <c r="J205" s="138">
        <v>40</v>
      </c>
      <c r="K205" s="138">
        <v>30</v>
      </c>
      <c r="O205" s="153"/>
    </row>
    <row r="206" spans="3:15" x14ac:dyDescent="0.25">
      <c r="C206" s="151"/>
      <c r="D206" s="133" t="s">
        <v>366</v>
      </c>
      <c r="G206" s="154"/>
      <c r="H206" s="138"/>
      <c r="I206" s="138"/>
      <c r="J206" s="138"/>
      <c r="K206" s="138"/>
      <c r="O206" s="153"/>
    </row>
    <row r="207" spans="3:15" x14ac:dyDescent="0.25">
      <c r="C207" s="151"/>
      <c r="E207" s="133" t="s">
        <v>367</v>
      </c>
      <c r="G207" s="154">
        <v>100</v>
      </c>
      <c r="H207" s="138">
        <v>135</v>
      </c>
      <c r="I207" s="138">
        <v>160</v>
      </c>
      <c r="J207" s="138">
        <v>185</v>
      </c>
      <c r="K207" s="138">
        <v>195</v>
      </c>
      <c r="O207" s="153"/>
    </row>
    <row r="208" spans="3:15" x14ac:dyDescent="0.25">
      <c r="C208" s="151"/>
      <c r="D208" s="133" t="s">
        <v>368</v>
      </c>
      <c r="G208" s="154"/>
      <c r="H208" s="138"/>
      <c r="I208" s="138"/>
      <c r="J208" s="138"/>
      <c r="K208" s="138"/>
      <c r="O208" s="153"/>
    </row>
    <row r="209" spans="3:15" x14ac:dyDescent="0.25">
      <c r="C209" s="151"/>
      <c r="E209" s="133" t="s">
        <v>367</v>
      </c>
      <c r="G209" s="154">
        <v>600</v>
      </c>
      <c r="H209" s="138">
        <v>550</v>
      </c>
      <c r="I209" s="138">
        <v>485</v>
      </c>
      <c r="J209" s="138">
        <v>410</v>
      </c>
      <c r="K209" s="138">
        <v>450</v>
      </c>
      <c r="O209" s="153"/>
    </row>
    <row r="210" spans="3:15" x14ac:dyDescent="0.25">
      <c r="C210" s="151"/>
      <c r="G210" s="152"/>
      <c r="O210" s="153"/>
    </row>
    <row r="211" spans="3:15" x14ac:dyDescent="0.25">
      <c r="C211" s="155"/>
      <c r="D211" s="156" t="s">
        <v>369</v>
      </c>
      <c r="E211" s="156"/>
      <c r="F211" s="156"/>
      <c r="G211" s="157">
        <f>G197+G184+G187+G181+G177</f>
        <v>274</v>
      </c>
      <c r="H211" s="156">
        <f>H197+H184+H187+H181+H177</f>
        <v>365.5</v>
      </c>
      <c r="I211" s="156">
        <f>I197+I184+I187+I181+I177</f>
        <v>393.7</v>
      </c>
      <c r="J211" s="156">
        <f>J197+J184+J187+J181+J177</f>
        <v>382.6</v>
      </c>
      <c r="K211" s="156">
        <f>K197+K184+K187+K181+K177</f>
        <v>390.7</v>
      </c>
      <c r="L211" s="156"/>
      <c r="M211" s="156"/>
      <c r="N211" s="156"/>
      <c r="O211" s="158"/>
    </row>
    <row r="212" spans="3:15" x14ac:dyDescent="0.25">
      <c r="C212" s="151"/>
      <c r="D212" s="133" t="s">
        <v>370</v>
      </c>
      <c r="G212" s="159">
        <f>G177/G211</f>
        <v>0.50255474452554738</v>
      </c>
      <c r="H212" s="140">
        <f>H177/H211</f>
        <v>0.5250341997264022</v>
      </c>
      <c r="I212" s="140">
        <f>I177/I211</f>
        <v>0.52171704343408687</v>
      </c>
      <c r="J212" s="140">
        <f>J177/J211</f>
        <v>0.52404600104547827</v>
      </c>
      <c r="K212" s="140">
        <f>K177/K211</f>
        <v>0.51471717430253394</v>
      </c>
      <c r="O212" s="153"/>
    </row>
    <row r="213" spans="3:15" x14ac:dyDescent="0.25">
      <c r="C213" s="151"/>
      <c r="D213" s="133" t="s">
        <v>371</v>
      </c>
      <c r="G213" s="159">
        <f>G181/G211</f>
        <v>8.6496350364963503E-2</v>
      </c>
      <c r="H213" s="138">
        <f>H181/H211</f>
        <v>8.7004103967168261E-2</v>
      </c>
      <c r="I213" s="140">
        <f>I181/I211</f>
        <v>7.4168148336296674E-2</v>
      </c>
      <c r="J213" s="140">
        <f>J181/J211</f>
        <v>7.3706220595922634E-2</v>
      </c>
      <c r="K213" s="140">
        <f>K181/K211</f>
        <v>6.8082928077809066E-2</v>
      </c>
      <c r="O213" s="153"/>
    </row>
    <row r="214" spans="3:15" x14ac:dyDescent="0.25">
      <c r="C214" s="151"/>
      <c r="D214" s="133" t="s">
        <v>372</v>
      </c>
      <c r="G214" s="159">
        <f>G187/G211</f>
        <v>0.11167883211678832</v>
      </c>
      <c r="H214" s="140">
        <f>H187/H211</f>
        <v>0.10478796169630643</v>
      </c>
      <c r="I214" s="140">
        <f>I187/I211</f>
        <v>0.10439420878841758</v>
      </c>
      <c r="J214" s="140">
        <f>J187/J211</f>
        <v>0.10350235232618923</v>
      </c>
      <c r="K214" s="140">
        <f>K187/K211</f>
        <v>9.4701817251087797E-2</v>
      </c>
      <c r="O214" s="153"/>
    </row>
    <row r="215" spans="3:15" x14ac:dyDescent="0.25">
      <c r="C215" s="151"/>
      <c r="D215" s="133" t="s">
        <v>373</v>
      </c>
      <c r="G215" s="159">
        <f>G184/G211</f>
        <v>0.10364963503649635</v>
      </c>
      <c r="H215" s="140">
        <f>H184/H211</f>
        <v>9.60328317373461E-2</v>
      </c>
      <c r="I215" s="140">
        <f>I184/I211</f>
        <v>0.1016002032004064</v>
      </c>
      <c r="J215" s="140">
        <f>J184/J211</f>
        <v>7.631991636173549E-2</v>
      </c>
      <c r="K215" s="140">
        <f>K184/K211</f>
        <v>7.6529306373176342E-2</v>
      </c>
      <c r="O215" s="153"/>
    </row>
    <row r="216" spans="3:15" ht="13.8" thickBot="1" x14ac:dyDescent="0.3">
      <c r="C216" s="160"/>
      <c r="D216" s="161" t="s">
        <v>375</v>
      </c>
      <c r="E216" s="161"/>
      <c r="F216" s="161"/>
      <c r="G216" s="162">
        <f>G197/G211</f>
        <v>0.19562043795620437</v>
      </c>
      <c r="H216" s="163">
        <f t="shared" ref="H216:K216" si="151">H197/H211</f>
        <v>0.18714090287277704</v>
      </c>
      <c r="I216" s="163">
        <f t="shared" si="151"/>
        <v>0.19812039624079247</v>
      </c>
      <c r="J216" s="163">
        <f t="shared" si="151"/>
        <v>0.22242550967067432</v>
      </c>
      <c r="K216" s="163">
        <f t="shared" si="151"/>
        <v>0.24596877399539288</v>
      </c>
      <c r="L216" s="161"/>
      <c r="M216" s="161"/>
      <c r="N216" s="161"/>
      <c r="O216" s="164"/>
    </row>
  </sheetData>
  <phoneticPr fontId="12" type="noConversion"/>
  <hyperlinks>
    <hyperlink ref="A1" location="Main!E3" display="Main" xr:uid="{B4AFEC14-66C4-486E-857B-274BD12E5C91}"/>
  </hyperlinks>
  <pageMargins left="0.7" right="0.7" top="0.75" bottom="0.75" header="0.3" footer="0.3"/>
  <pageSetup orientation="portrait" r:id="rId1"/>
  <ignoredErrors>
    <ignoredError sqref="T15 T9 W24" formula="1"/>
    <ignoredError sqref="J16 J14 J10:J12 G105:K105"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8D022-D49C-491D-92D9-668CBCE9F361}">
  <dimension ref="A1:ABT70"/>
  <sheetViews>
    <sheetView zoomScale="88" zoomScaleNormal="88" workbookViewId="0">
      <pane xSplit="2" ySplit="2" topLeftCell="C3" activePane="bottomRight" state="frozen"/>
      <selection activeCell="AO39" sqref="AO39"/>
      <selection pane="topRight" activeCell="AO39" sqref="AO39"/>
      <selection pane="bottomLeft" activeCell="AO39" sqref="AO39"/>
      <selection pane="bottomRight" activeCell="Q21" sqref="Q21"/>
    </sheetView>
  </sheetViews>
  <sheetFormatPr defaultRowHeight="14.4" x14ac:dyDescent="0.3"/>
  <cols>
    <col min="2" max="2" width="18.6640625" bestFit="1" customWidth="1"/>
    <col min="3" max="3" width="8.88671875" style="2"/>
    <col min="12" max="12" width="8.88671875" style="2"/>
    <col min="24" max="24" width="8.33203125" customWidth="1"/>
    <col min="41" max="41" width="10" customWidth="1"/>
  </cols>
  <sheetData>
    <row r="1" spans="1:227" x14ac:dyDescent="0.3">
      <c r="A1" s="6" t="s">
        <v>8</v>
      </c>
      <c r="C1"/>
    </row>
    <row r="2" spans="1:227" x14ac:dyDescent="0.3">
      <c r="A2" s="6" t="s">
        <v>877</v>
      </c>
      <c r="C2" t="s">
        <v>494</v>
      </c>
      <c r="D2" t="s">
        <v>72</v>
      </c>
      <c r="E2" t="s">
        <v>53</v>
      </c>
      <c r="F2" t="s">
        <v>52</v>
      </c>
      <c r="G2" t="s">
        <v>33</v>
      </c>
      <c r="H2" t="s">
        <v>10</v>
      </c>
      <c r="I2" t="s">
        <v>11</v>
      </c>
      <c r="J2" t="s">
        <v>12</v>
      </c>
      <c r="K2" t="s">
        <v>7</v>
      </c>
      <c r="N2">
        <v>2022</v>
      </c>
      <c r="O2">
        <v>2023</v>
      </c>
      <c r="P2">
        <v>2024</v>
      </c>
      <c r="Q2">
        <v>2025</v>
      </c>
      <c r="R2">
        <v>2026</v>
      </c>
      <c r="S2">
        <v>2027</v>
      </c>
      <c r="T2">
        <v>2028</v>
      </c>
      <c r="U2">
        <v>2029</v>
      </c>
      <c r="V2">
        <v>2030</v>
      </c>
      <c r="W2">
        <v>2031</v>
      </c>
      <c r="X2">
        <v>2032</v>
      </c>
      <c r="Y2">
        <v>2033</v>
      </c>
      <c r="Z2">
        <v>2034</v>
      </c>
      <c r="AA2">
        <v>2034</v>
      </c>
      <c r="AB2">
        <v>2035</v>
      </c>
      <c r="AC2">
        <v>2036</v>
      </c>
      <c r="AD2">
        <v>2037</v>
      </c>
      <c r="AE2">
        <v>2038</v>
      </c>
      <c r="AF2">
        <v>2039</v>
      </c>
      <c r="AG2">
        <v>2040</v>
      </c>
      <c r="AH2">
        <v>2041</v>
      </c>
      <c r="AI2">
        <v>2042</v>
      </c>
      <c r="AJ2">
        <v>2043</v>
      </c>
      <c r="AK2">
        <v>2044</v>
      </c>
      <c r="AL2">
        <v>2045</v>
      </c>
      <c r="AM2">
        <v>2046</v>
      </c>
      <c r="AN2">
        <v>2047</v>
      </c>
      <c r="AO2">
        <v>2048</v>
      </c>
      <c r="AP2">
        <v>2049</v>
      </c>
      <c r="AQ2">
        <v>2050</v>
      </c>
      <c r="AR2">
        <v>2051</v>
      </c>
      <c r="AS2">
        <v>2052</v>
      </c>
      <c r="AT2">
        <v>2053</v>
      </c>
      <c r="AU2">
        <v>2054</v>
      </c>
      <c r="AV2">
        <v>2055</v>
      </c>
      <c r="AW2">
        <v>2056</v>
      </c>
      <c r="AX2">
        <v>2057</v>
      </c>
      <c r="AY2">
        <v>2058</v>
      </c>
      <c r="AZ2">
        <v>2059</v>
      </c>
      <c r="BA2">
        <v>2060</v>
      </c>
      <c r="BB2">
        <v>2061</v>
      </c>
      <c r="BC2">
        <v>2062</v>
      </c>
      <c r="BD2">
        <v>2063</v>
      </c>
      <c r="BE2">
        <v>2064</v>
      </c>
      <c r="BF2">
        <v>2065</v>
      </c>
      <c r="BG2">
        <v>2066</v>
      </c>
      <c r="BH2">
        <v>2067</v>
      </c>
      <c r="BI2">
        <v>2068</v>
      </c>
      <c r="BJ2">
        <v>2069</v>
      </c>
      <c r="BK2">
        <v>2070</v>
      </c>
      <c r="BL2">
        <v>2071</v>
      </c>
      <c r="BM2">
        <v>2072</v>
      </c>
      <c r="BN2">
        <v>2073</v>
      </c>
      <c r="BO2">
        <v>2074</v>
      </c>
      <c r="BP2">
        <v>2075</v>
      </c>
      <c r="BQ2">
        <v>2076</v>
      </c>
      <c r="BR2">
        <v>2077</v>
      </c>
      <c r="BS2">
        <v>2078</v>
      </c>
      <c r="BT2">
        <v>2079</v>
      </c>
      <c r="BU2">
        <v>2080</v>
      </c>
      <c r="BV2">
        <v>2081</v>
      </c>
      <c r="BW2">
        <v>2082</v>
      </c>
      <c r="BX2">
        <v>2083</v>
      </c>
      <c r="BY2">
        <v>2084</v>
      </c>
      <c r="BZ2">
        <v>2085</v>
      </c>
      <c r="CA2">
        <v>2086</v>
      </c>
      <c r="CB2">
        <v>2087</v>
      </c>
      <c r="CC2">
        <v>2088</v>
      </c>
      <c r="CD2">
        <v>2089</v>
      </c>
      <c r="CE2">
        <v>2090</v>
      </c>
      <c r="CF2">
        <v>2091</v>
      </c>
      <c r="CG2">
        <v>2092</v>
      </c>
      <c r="CH2">
        <v>2093</v>
      </c>
      <c r="CI2">
        <v>2094</v>
      </c>
      <c r="CJ2">
        <v>2095</v>
      </c>
      <c r="CK2">
        <v>2096</v>
      </c>
      <c r="CL2">
        <v>2097</v>
      </c>
      <c r="CM2">
        <v>2098</v>
      </c>
      <c r="CN2">
        <v>2099</v>
      </c>
      <c r="CO2">
        <v>2100</v>
      </c>
      <c r="CP2">
        <v>2101</v>
      </c>
      <c r="CQ2">
        <v>2102</v>
      </c>
      <c r="CR2">
        <v>2103</v>
      </c>
      <c r="CS2">
        <v>2104</v>
      </c>
      <c r="CT2">
        <v>2105</v>
      </c>
      <c r="CU2">
        <v>2106</v>
      </c>
      <c r="CV2">
        <v>2107</v>
      </c>
      <c r="CW2">
        <v>2108</v>
      </c>
      <c r="CX2">
        <v>2109</v>
      </c>
      <c r="CY2">
        <v>2110</v>
      </c>
      <c r="CZ2">
        <v>2111</v>
      </c>
      <c r="DA2">
        <v>2112</v>
      </c>
      <c r="DB2">
        <v>2113</v>
      </c>
      <c r="DC2">
        <v>2114</v>
      </c>
      <c r="DD2">
        <v>2115</v>
      </c>
      <c r="DE2">
        <v>2116</v>
      </c>
      <c r="DF2">
        <v>2117</v>
      </c>
      <c r="DG2">
        <v>2118</v>
      </c>
      <c r="DH2">
        <v>2119</v>
      </c>
      <c r="DI2">
        <v>2120</v>
      </c>
      <c r="DJ2">
        <v>2121</v>
      </c>
      <c r="DK2">
        <v>2122</v>
      </c>
      <c r="DL2">
        <v>2123</v>
      </c>
      <c r="DM2">
        <v>2124</v>
      </c>
      <c r="DN2">
        <v>2125</v>
      </c>
      <c r="DO2">
        <v>2126</v>
      </c>
      <c r="DP2">
        <v>2127</v>
      </c>
      <c r="DQ2">
        <v>2128</v>
      </c>
      <c r="DR2">
        <v>2129</v>
      </c>
      <c r="DS2">
        <v>2130</v>
      </c>
      <c r="DT2">
        <v>2131</v>
      </c>
      <c r="DU2">
        <v>2132</v>
      </c>
      <c r="DV2">
        <v>2133</v>
      </c>
      <c r="DW2">
        <v>2134</v>
      </c>
      <c r="DX2">
        <v>2135</v>
      </c>
      <c r="DY2">
        <v>2136</v>
      </c>
      <c r="DZ2">
        <v>2137</v>
      </c>
      <c r="EA2">
        <v>2138</v>
      </c>
      <c r="EB2">
        <v>2139</v>
      </c>
      <c r="EC2">
        <v>2140</v>
      </c>
      <c r="ED2">
        <v>2141</v>
      </c>
      <c r="EE2">
        <v>2142</v>
      </c>
      <c r="EF2">
        <v>2143</v>
      </c>
      <c r="EG2">
        <v>2144</v>
      </c>
      <c r="EH2">
        <v>2145</v>
      </c>
      <c r="EI2">
        <v>2146</v>
      </c>
      <c r="EJ2">
        <v>2147</v>
      </c>
      <c r="EK2">
        <v>2148</v>
      </c>
      <c r="EL2">
        <v>2149</v>
      </c>
      <c r="EM2">
        <v>2150</v>
      </c>
      <c r="EN2">
        <v>2151</v>
      </c>
      <c r="EO2">
        <v>2152</v>
      </c>
      <c r="EP2">
        <v>2153</v>
      </c>
      <c r="EQ2">
        <v>2154</v>
      </c>
      <c r="ER2">
        <v>2155</v>
      </c>
      <c r="ES2">
        <v>2156</v>
      </c>
      <c r="ET2">
        <v>2157</v>
      </c>
      <c r="EU2">
        <v>2158</v>
      </c>
      <c r="EV2">
        <v>2159</v>
      </c>
      <c r="EW2">
        <v>2160</v>
      </c>
      <c r="EX2">
        <v>2161</v>
      </c>
      <c r="EY2">
        <v>2162</v>
      </c>
      <c r="EZ2">
        <v>2163</v>
      </c>
      <c r="FA2">
        <v>2164</v>
      </c>
      <c r="FB2">
        <v>2165</v>
      </c>
      <c r="FC2">
        <v>2166</v>
      </c>
      <c r="FD2">
        <v>2167</v>
      </c>
      <c r="FE2">
        <v>2168</v>
      </c>
      <c r="FF2">
        <v>2169</v>
      </c>
      <c r="FG2">
        <v>2170</v>
      </c>
      <c r="FH2">
        <v>2171</v>
      </c>
      <c r="FI2">
        <v>2172</v>
      </c>
      <c r="FJ2">
        <v>2173</v>
      </c>
      <c r="FK2">
        <v>2174</v>
      </c>
      <c r="FL2">
        <v>2175</v>
      </c>
      <c r="FM2">
        <v>2176</v>
      </c>
      <c r="FN2">
        <v>2177</v>
      </c>
      <c r="FO2">
        <v>2178</v>
      </c>
      <c r="FP2">
        <v>2179</v>
      </c>
      <c r="FQ2">
        <v>2180</v>
      </c>
      <c r="FR2">
        <v>2181</v>
      </c>
      <c r="FS2">
        <v>2182</v>
      </c>
      <c r="FT2">
        <v>2183</v>
      </c>
      <c r="FU2">
        <v>2184</v>
      </c>
      <c r="FV2">
        <v>2185</v>
      </c>
      <c r="FW2">
        <v>2186</v>
      </c>
      <c r="FX2">
        <v>2187</v>
      </c>
      <c r="FY2">
        <v>2188</v>
      </c>
      <c r="FZ2">
        <v>2189</v>
      </c>
      <c r="GA2">
        <v>2190</v>
      </c>
      <c r="GB2">
        <v>2191</v>
      </c>
      <c r="GC2">
        <v>2192</v>
      </c>
      <c r="GD2">
        <v>2193</v>
      </c>
      <c r="GE2">
        <v>2194</v>
      </c>
      <c r="GF2">
        <v>2195</v>
      </c>
      <c r="GG2">
        <v>2196</v>
      </c>
      <c r="GH2">
        <v>2197</v>
      </c>
      <c r="GI2">
        <v>2198</v>
      </c>
      <c r="GJ2">
        <v>2199</v>
      </c>
      <c r="GK2">
        <v>2200</v>
      </c>
      <c r="GL2">
        <v>2201</v>
      </c>
      <c r="GM2">
        <v>2202</v>
      </c>
      <c r="GN2">
        <v>2203</v>
      </c>
      <c r="GO2">
        <v>2204</v>
      </c>
      <c r="GP2">
        <v>2205</v>
      </c>
      <c r="GQ2">
        <v>2206</v>
      </c>
      <c r="GR2">
        <v>2207</v>
      </c>
      <c r="GS2">
        <v>2208</v>
      </c>
      <c r="GT2">
        <v>2209</v>
      </c>
      <c r="GU2">
        <v>2210</v>
      </c>
      <c r="GV2">
        <v>2211</v>
      </c>
      <c r="GW2">
        <v>2212</v>
      </c>
      <c r="GX2">
        <v>2213</v>
      </c>
      <c r="GY2">
        <v>2214</v>
      </c>
      <c r="GZ2">
        <v>2215</v>
      </c>
      <c r="HA2">
        <v>2216</v>
      </c>
      <c r="HB2">
        <v>2217</v>
      </c>
      <c r="HC2">
        <v>2218</v>
      </c>
      <c r="HD2">
        <v>2219</v>
      </c>
      <c r="HE2">
        <v>2220</v>
      </c>
      <c r="HF2">
        <v>2221</v>
      </c>
      <c r="HG2">
        <v>2222</v>
      </c>
      <c r="HH2">
        <v>2223</v>
      </c>
      <c r="HI2">
        <v>2224</v>
      </c>
      <c r="HJ2">
        <v>2225</v>
      </c>
      <c r="HK2">
        <v>2226</v>
      </c>
      <c r="HL2">
        <v>2227</v>
      </c>
      <c r="HM2">
        <v>2228</v>
      </c>
      <c r="HN2">
        <v>2229</v>
      </c>
      <c r="HO2">
        <v>2230</v>
      </c>
      <c r="HP2">
        <v>2231</v>
      </c>
      <c r="HQ2">
        <v>2232</v>
      </c>
      <c r="HR2">
        <v>2233</v>
      </c>
      <c r="HS2">
        <v>2234</v>
      </c>
    </row>
    <row r="3" spans="1:227" x14ac:dyDescent="0.3">
      <c r="B3" t="s">
        <v>860</v>
      </c>
      <c r="C3" s="2">
        <v>2838</v>
      </c>
      <c r="D3" s="2">
        <v>2617</v>
      </c>
      <c r="E3" s="2">
        <v>2907</v>
      </c>
      <c r="F3" s="2">
        <v>2926</v>
      </c>
      <c r="G3" s="2">
        <v>2930</v>
      </c>
      <c r="H3" s="2">
        <v>2561</v>
      </c>
      <c r="I3" s="2">
        <v>2838</v>
      </c>
      <c r="J3" s="2">
        <v>2865</v>
      </c>
      <c r="K3" s="2">
        <v>2650</v>
      </c>
      <c r="N3" s="2">
        <v>10832</v>
      </c>
      <c r="O3" s="2">
        <f>SUM(D3:G3)</f>
        <v>11380</v>
      </c>
      <c r="P3" s="2">
        <v>10763</v>
      </c>
    </row>
    <row r="4" spans="1:227" x14ac:dyDescent="0.3">
      <c r="B4" t="s">
        <v>421</v>
      </c>
      <c r="C4" s="2">
        <v>1958</v>
      </c>
      <c r="D4" s="2">
        <v>1918</v>
      </c>
      <c r="E4" s="2">
        <v>1790</v>
      </c>
      <c r="F4" s="2">
        <v>1795</v>
      </c>
      <c r="G4" s="2">
        <v>1993</v>
      </c>
      <c r="H4" s="2">
        <v>1804</v>
      </c>
      <c r="I4" s="2">
        <v>1831</v>
      </c>
      <c r="J4" s="2">
        <v>1917</v>
      </c>
      <c r="K4" s="2">
        <v>2025</v>
      </c>
      <c r="N4" s="2">
        <v>7099</v>
      </c>
      <c r="O4" s="2">
        <f>SUM(D4:G4)</f>
        <v>7496</v>
      </c>
      <c r="P4" s="2">
        <v>7475</v>
      </c>
    </row>
    <row r="5" spans="1:227" s="5" customFormat="1" x14ac:dyDescent="0.3">
      <c r="B5" s="5" t="s">
        <v>9</v>
      </c>
      <c r="C5" s="5">
        <f>SUM(C3:C4)</f>
        <v>4796</v>
      </c>
      <c r="D5" s="5">
        <f>SUM(D3:D4)</f>
        <v>4535</v>
      </c>
      <c r="E5" s="5">
        <v>4697</v>
      </c>
      <c r="F5" s="5">
        <f t="shared" ref="F5:K5" si="0">SUM(F3:F4)</f>
        <v>4721</v>
      </c>
      <c r="G5" s="5">
        <f t="shared" si="0"/>
        <v>4923</v>
      </c>
      <c r="H5" s="5">
        <f t="shared" si="0"/>
        <v>4365</v>
      </c>
      <c r="I5" s="5">
        <f t="shared" si="0"/>
        <v>4669</v>
      </c>
      <c r="J5" s="5">
        <f t="shared" si="0"/>
        <v>4782</v>
      </c>
      <c r="K5" s="5">
        <f t="shared" si="0"/>
        <v>4675</v>
      </c>
      <c r="N5" s="5">
        <f>SUM(N3:N4)</f>
        <v>17931</v>
      </c>
      <c r="O5" s="5">
        <f t="shared" ref="O5:P5" si="1">SUM(O3:O4)</f>
        <v>18876</v>
      </c>
      <c r="P5" s="5">
        <f t="shared" si="1"/>
        <v>18238</v>
      </c>
      <c r="Q5" s="5">
        <f>139900*0.14</f>
        <v>19586.000000000004</v>
      </c>
      <c r="R5" s="5">
        <f>148100*0.14</f>
        <v>20734.000000000004</v>
      </c>
      <c r="S5" s="5">
        <f>156700*0.14</f>
        <v>21938.000000000004</v>
      </c>
      <c r="T5" s="5">
        <f>S5*1.06</f>
        <v>23254.280000000006</v>
      </c>
      <c r="U5" s="5">
        <f t="shared" ref="U5:AB5" si="2">T5*1.06</f>
        <v>24649.536800000009</v>
      </c>
      <c r="V5" s="5">
        <f t="shared" si="2"/>
        <v>26128.509008000012</v>
      </c>
      <c r="W5" s="5">
        <f t="shared" si="2"/>
        <v>27696.219548480014</v>
      </c>
      <c r="X5" s="5">
        <f t="shared" si="2"/>
        <v>29357.992721388815</v>
      </c>
      <c r="Y5" s="5">
        <f t="shared" si="2"/>
        <v>31119.472284672145</v>
      </c>
      <c r="Z5" s="5">
        <f t="shared" si="2"/>
        <v>32986.640621752478</v>
      </c>
      <c r="AA5" s="5">
        <f t="shared" si="2"/>
        <v>34965.839059057631</v>
      </c>
      <c r="AB5" s="5">
        <f t="shared" si="2"/>
        <v>37063.789402601091</v>
      </c>
      <c r="AC5" s="5">
        <f t="shared" ref="AC5:AI5" si="3">AB5*1.05</f>
        <v>38916.978872731146</v>
      </c>
      <c r="AD5" s="5">
        <f t="shared" si="3"/>
        <v>40862.827816367702</v>
      </c>
      <c r="AE5" s="5">
        <f t="shared" si="3"/>
        <v>42905.969207186092</v>
      </c>
      <c r="AF5" s="5">
        <f t="shared" si="3"/>
        <v>45051.267667545399</v>
      </c>
      <c r="AG5" s="5">
        <f t="shared" si="3"/>
        <v>47303.831050922672</v>
      </c>
      <c r="AH5" s="5">
        <f t="shared" si="3"/>
        <v>49669.022603468809</v>
      </c>
      <c r="AI5" s="5">
        <f t="shared" si="3"/>
        <v>52152.473733642255</v>
      </c>
      <c r="AJ5" s="5">
        <f>AI5*1.02</f>
        <v>53195.523208315099</v>
      </c>
      <c r="AK5" s="5">
        <f t="shared" ref="AK5:AQ5" si="4">AJ5*1.02</f>
        <v>54259.433672481398</v>
      </c>
      <c r="AL5" s="5">
        <f t="shared" si="4"/>
        <v>55344.622345931028</v>
      </c>
      <c r="AM5" s="5">
        <f t="shared" si="4"/>
        <v>56451.514792849652</v>
      </c>
      <c r="AN5" s="5">
        <f t="shared" si="4"/>
        <v>57580.545088706647</v>
      </c>
      <c r="AO5" s="5">
        <f t="shared" si="4"/>
        <v>58732.15599048078</v>
      </c>
      <c r="AP5" s="5">
        <f t="shared" si="4"/>
        <v>59906.799110290398</v>
      </c>
      <c r="AQ5" s="5">
        <f t="shared" si="4"/>
        <v>61104.935092496205</v>
      </c>
      <c r="AR5" s="5">
        <f t="shared" ref="AR5:AU5" si="5">AQ5*1.02</f>
        <v>62327.033794346127</v>
      </c>
      <c r="AS5" s="5">
        <f t="shared" si="5"/>
        <v>63573.574470233048</v>
      </c>
      <c r="AT5" s="5">
        <f t="shared" si="5"/>
        <v>64845.045959637711</v>
      </c>
      <c r="AU5" s="5">
        <f t="shared" si="5"/>
        <v>66141.946878830466</v>
      </c>
      <c r="AV5" s="5">
        <f t="shared" ref="AV5:CN5" si="6">AU5*0.98</f>
        <v>64819.107941253853</v>
      </c>
      <c r="AW5" s="5">
        <f t="shared" si="6"/>
        <v>63522.725782428774</v>
      </c>
      <c r="AX5" s="5">
        <f t="shared" si="6"/>
        <v>62252.271266780197</v>
      </c>
      <c r="AY5" s="5">
        <f t="shared" si="6"/>
        <v>61007.22584144459</v>
      </c>
      <c r="AZ5" s="5">
        <f t="shared" si="6"/>
        <v>59787.081324615698</v>
      </c>
      <c r="BA5" s="5">
        <f t="shared" si="6"/>
        <v>58591.339698123382</v>
      </c>
      <c r="BB5" s="5">
        <f t="shared" si="6"/>
        <v>57419.512904160911</v>
      </c>
      <c r="BC5" s="5">
        <f t="shared" si="6"/>
        <v>56271.122646077689</v>
      </c>
      <c r="BD5" s="5">
        <f t="shared" si="6"/>
        <v>55145.700193156132</v>
      </c>
      <c r="BE5" s="5">
        <f t="shared" si="6"/>
        <v>54042.786189293009</v>
      </c>
      <c r="BF5" s="5">
        <f t="shared" si="6"/>
        <v>52961.930465507146</v>
      </c>
      <c r="BG5" s="5">
        <f t="shared" si="6"/>
        <v>51902.691856197001</v>
      </c>
      <c r="BH5" s="5">
        <f t="shared" si="6"/>
        <v>50864.638019073063</v>
      </c>
      <c r="BI5" s="5">
        <f t="shared" si="6"/>
        <v>49847.345258691603</v>
      </c>
      <c r="BJ5" s="5">
        <f t="shared" si="6"/>
        <v>48850.398353517769</v>
      </c>
      <c r="BK5" s="5">
        <f t="shared" si="6"/>
        <v>47873.390386447412</v>
      </c>
      <c r="BL5" s="5">
        <f t="shared" si="6"/>
        <v>46915.922578718462</v>
      </c>
      <c r="BM5" s="5">
        <f t="shared" si="6"/>
        <v>45977.604127144092</v>
      </c>
      <c r="BN5" s="5">
        <f t="shared" si="6"/>
        <v>45058.052044601209</v>
      </c>
      <c r="BO5" s="5">
        <f t="shared" si="6"/>
        <v>44156.891003709185</v>
      </c>
      <c r="BP5" s="5">
        <f t="shared" si="6"/>
        <v>43273.753183635003</v>
      </c>
      <c r="BQ5" s="5">
        <f t="shared" si="6"/>
        <v>42408.278119962299</v>
      </c>
      <c r="BR5" s="5">
        <f t="shared" si="6"/>
        <v>41560.11255756305</v>
      </c>
      <c r="BS5" s="5">
        <f t="shared" si="6"/>
        <v>40728.910306411788</v>
      </c>
      <c r="BT5" s="5">
        <f t="shared" si="6"/>
        <v>39914.332100283551</v>
      </c>
      <c r="BU5" s="5">
        <f t="shared" si="6"/>
        <v>39116.045458277877</v>
      </c>
      <c r="BV5" s="5">
        <f t="shared" si="6"/>
        <v>38333.724549112318</v>
      </c>
      <c r="BW5" s="5">
        <f t="shared" si="6"/>
        <v>37567.050058130073</v>
      </c>
      <c r="BX5" s="5">
        <f t="shared" si="6"/>
        <v>36815.709056967469</v>
      </c>
      <c r="BY5" s="5">
        <f t="shared" si="6"/>
        <v>36079.394875828119</v>
      </c>
      <c r="BZ5" s="5">
        <f t="shared" si="6"/>
        <v>35357.806978311557</v>
      </c>
      <c r="CA5" s="5">
        <f t="shared" si="6"/>
        <v>34650.650838745329</v>
      </c>
      <c r="CB5" s="5">
        <f t="shared" si="6"/>
        <v>33957.63782197042</v>
      </c>
      <c r="CC5" s="5">
        <f t="shared" si="6"/>
        <v>33278.485065531015</v>
      </c>
      <c r="CD5" s="5">
        <f t="shared" si="6"/>
        <v>32612.915364220393</v>
      </c>
      <c r="CE5" s="5">
        <f t="shared" si="6"/>
        <v>31960.657056935983</v>
      </c>
      <c r="CF5" s="5">
        <f t="shared" si="6"/>
        <v>31321.443915797263</v>
      </c>
      <c r="CG5" s="5">
        <f t="shared" si="6"/>
        <v>30695.015037481317</v>
      </c>
      <c r="CH5" s="5">
        <f t="shared" si="6"/>
        <v>30081.114736731688</v>
      </c>
      <c r="CI5" s="5">
        <f t="shared" si="6"/>
        <v>29479.492441997052</v>
      </c>
      <c r="CJ5" s="5">
        <f t="shared" si="6"/>
        <v>28889.902593157112</v>
      </c>
      <c r="CK5" s="5">
        <f t="shared" si="6"/>
        <v>28312.104541293971</v>
      </c>
      <c r="CL5" s="5">
        <f t="shared" si="6"/>
        <v>27745.862450468092</v>
      </c>
      <c r="CM5" s="5">
        <f t="shared" si="6"/>
        <v>27190.94520145873</v>
      </c>
      <c r="CN5" s="5">
        <f t="shared" si="6"/>
        <v>26647.126297429553</v>
      </c>
      <c r="CO5" s="5">
        <f t="shared" ref="CO5:EZ5" si="7">CN5*0.98</f>
        <v>26114.183771480963</v>
      </c>
      <c r="CP5" s="5">
        <f t="shared" si="7"/>
        <v>25591.900096051344</v>
      </c>
      <c r="CQ5" s="5">
        <f t="shared" si="7"/>
        <v>25080.062094130317</v>
      </c>
      <c r="CR5" s="5">
        <f t="shared" si="7"/>
        <v>24578.46085224771</v>
      </c>
      <c r="CS5" s="5">
        <f t="shared" si="7"/>
        <v>24086.891635202755</v>
      </c>
      <c r="CT5" s="5">
        <f t="shared" si="7"/>
        <v>23605.153802498698</v>
      </c>
      <c r="CU5" s="5">
        <f t="shared" si="7"/>
        <v>23133.050726448724</v>
      </c>
      <c r="CV5" s="5">
        <f t="shared" si="7"/>
        <v>22670.38971191975</v>
      </c>
      <c r="CW5" s="5">
        <f t="shared" si="7"/>
        <v>22216.981917681354</v>
      </c>
      <c r="CX5" s="5">
        <f t="shared" si="7"/>
        <v>21772.642279327727</v>
      </c>
      <c r="CY5" s="5">
        <f t="shared" si="7"/>
        <v>21337.189433741172</v>
      </c>
      <c r="CZ5" s="5">
        <f t="shared" si="7"/>
        <v>20910.445645066349</v>
      </c>
      <c r="DA5" s="5">
        <f t="shared" si="7"/>
        <v>20492.236732165024</v>
      </c>
      <c r="DB5" s="5">
        <f t="shared" si="7"/>
        <v>20082.391997521721</v>
      </c>
      <c r="DC5" s="5">
        <f t="shared" si="7"/>
        <v>19680.744157571287</v>
      </c>
      <c r="DD5" s="5">
        <f t="shared" si="7"/>
        <v>19287.129274419862</v>
      </c>
      <c r="DE5" s="5">
        <f t="shared" si="7"/>
        <v>18901.386688931463</v>
      </c>
      <c r="DF5" s="5">
        <f t="shared" si="7"/>
        <v>18523.358955152835</v>
      </c>
      <c r="DG5" s="5">
        <f t="shared" si="7"/>
        <v>18152.891776049779</v>
      </c>
      <c r="DH5" s="5">
        <f t="shared" si="7"/>
        <v>17789.833940528784</v>
      </c>
      <c r="DI5" s="5">
        <f t="shared" si="7"/>
        <v>17434.037261718207</v>
      </c>
      <c r="DJ5" s="5">
        <f t="shared" si="7"/>
        <v>17085.356516483844</v>
      </c>
      <c r="DK5" s="5">
        <f t="shared" si="7"/>
        <v>16743.649386154168</v>
      </c>
      <c r="DL5" s="5">
        <f t="shared" si="7"/>
        <v>16408.776398431084</v>
      </c>
      <c r="DM5" s="5">
        <f t="shared" si="7"/>
        <v>16080.600870462462</v>
      </c>
      <c r="DN5" s="5">
        <f t="shared" si="7"/>
        <v>15758.988853053212</v>
      </c>
      <c r="DO5" s="5">
        <f t="shared" si="7"/>
        <v>15443.809075992147</v>
      </c>
      <c r="DP5" s="5">
        <f t="shared" si="7"/>
        <v>15134.932894472304</v>
      </c>
      <c r="DQ5" s="5">
        <f t="shared" si="7"/>
        <v>14832.234236582857</v>
      </c>
      <c r="DR5" s="5">
        <f t="shared" si="7"/>
        <v>14535.589551851201</v>
      </c>
      <c r="DS5" s="5">
        <f t="shared" si="7"/>
        <v>14244.877760814177</v>
      </c>
      <c r="DT5" s="5">
        <f t="shared" si="7"/>
        <v>13959.980205597893</v>
      </c>
      <c r="DU5" s="5">
        <f t="shared" si="7"/>
        <v>13680.780601485934</v>
      </c>
      <c r="DV5" s="5">
        <f t="shared" si="7"/>
        <v>13407.164989456216</v>
      </c>
      <c r="DW5" s="5">
        <f t="shared" si="7"/>
        <v>13139.021689667092</v>
      </c>
      <c r="DX5" s="5">
        <f t="shared" si="7"/>
        <v>12876.241255873751</v>
      </c>
      <c r="DY5" s="5">
        <f t="shared" si="7"/>
        <v>12618.716430756276</v>
      </c>
      <c r="DZ5" s="5">
        <f t="shared" si="7"/>
        <v>12366.34210214115</v>
      </c>
      <c r="EA5" s="5">
        <f t="shared" si="7"/>
        <v>12119.015260098327</v>
      </c>
      <c r="EB5" s="5">
        <f t="shared" si="7"/>
        <v>11876.634954896361</v>
      </c>
      <c r="EC5" s="5">
        <f t="shared" si="7"/>
        <v>11639.102255798434</v>
      </c>
      <c r="ED5" s="5">
        <f t="shared" si="7"/>
        <v>11406.320210682465</v>
      </c>
      <c r="EE5" s="5">
        <f t="shared" si="7"/>
        <v>11178.193806468815</v>
      </c>
      <c r="EF5" s="5">
        <f t="shared" si="7"/>
        <v>10954.629930339439</v>
      </c>
      <c r="EG5" s="5">
        <f t="shared" si="7"/>
        <v>10735.53733173265</v>
      </c>
      <c r="EH5" s="5">
        <f t="shared" si="7"/>
        <v>10520.826585097997</v>
      </c>
      <c r="EI5" s="5">
        <f t="shared" si="7"/>
        <v>10310.410053396037</v>
      </c>
      <c r="EJ5" s="5">
        <f t="shared" si="7"/>
        <v>10104.201852328117</v>
      </c>
      <c r="EK5" s="5">
        <f t="shared" si="7"/>
        <v>9902.1178152815537</v>
      </c>
      <c r="EL5" s="5">
        <f t="shared" si="7"/>
        <v>9704.0754589759217</v>
      </c>
      <c r="EM5" s="5">
        <f t="shared" si="7"/>
        <v>9509.9939497964024</v>
      </c>
      <c r="EN5" s="5">
        <f t="shared" si="7"/>
        <v>9319.7940708004735</v>
      </c>
      <c r="EO5" s="5">
        <f t="shared" si="7"/>
        <v>9133.398189384463</v>
      </c>
      <c r="EP5" s="5">
        <f t="shared" si="7"/>
        <v>8950.7302255967734</v>
      </c>
      <c r="EQ5" s="5">
        <f t="shared" si="7"/>
        <v>8771.715621084837</v>
      </c>
      <c r="ER5" s="5">
        <f t="shared" si="7"/>
        <v>8596.2813086631395</v>
      </c>
      <c r="ES5" s="5">
        <f t="shared" si="7"/>
        <v>8424.3556824898769</v>
      </c>
      <c r="ET5" s="5">
        <f t="shared" si="7"/>
        <v>8255.8685688400801</v>
      </c>
      <c r="EU5" s="5">
        <f t="shared" si="7"/>
        <v>8090.751197463278</v>
      </c>
      <c r="EV5" s="5">
        <f t="shared" si="7"/>
        <v>7928.9361735140119</v>
      </c>
      <c r="EW5" s="5">
        <f t="shared" si="7"/>
        <v>7770.3574500437317</v>
      </c>
      <c r="EX5" s="5">
        <f t="shared" si="7"/>
        <v>7614.9503010428571</v>
      </c>
      <c r="EY5" s="5">
        <f t="shared" si="7"/>
        <v>7462.6512950219994</v>
      </c>
      <c r="EZ5" s="5">
        <f t="shared" si="7"/>
        <v>7313.3982691215597</v>
      </c>
      <c r="FA5" s="5">
        <f t="shared" ref="FA5:HL5" si="8">EZ5*0.98</f>
        <v>7167.1303037391281</v>
      </c>
      <c r="FB5" s="5">
        <f t="shared" si="8"/>
        <v>7023.7876976643456</v>
      </c>
      <c r="FC5" s="5">
        <f t="shared" si="8"/>
        <v>6883.311943711059</v>
      </c>
      <c r="FD5" s="5">
        <f t="shared" si="8"/>
        <v>6745.6457048368375</v>
      </c>
      <c r="FE5" s="5">
        <f t="shared" si="8"/>
        <v>6610.7327907401004</v>
      </c>
      <c r="FF5" s="5">
        <f t="shared" si="8"/>
        <v>6478.518134925298</v>
      </c>
      <c r="FG5" s="5">
        <f t="shared" si="8"/>
        <v>6348.947772226792</v>
      </c>
      <c r="FH5" s="5">
        <f t="shared" si="8"/>
        <v>6221.968816782256</v>
      </c>
      <c r="FI5" s="5">
        <f t="shared" si="8"/>
        <v>6097.5294404466104</v>
      </c>
      <c r="FJ5" s="5">
        <f t="shared" si="8"/>
        <v>5975.5788516376779</v>
      </c>
      <c r="FK5" s="5">
        <f t="shared" si="8"/>
        <v>5856.067274604924</v>
      </c>
      <c r="FL5" s="5">
        <f t="shared" si="8"/>
        <v>5738.9459291128251</v>
      </c>
      <c r="FM5" s="5">
        <f t="shared" si="8"/>
        <v>5624.1670105305684</v>
      </c>
      <c r="FN5" s="5">
        <f t="shared" si="8"/>
        <v>5511.6836703199569</v>
      </c>
      <c r="FO5" s="5">
        <f t="shared" si="8"/>
        <v>5401.4499969135577</v>
      </c>
      <c r="FP5" s="5">
        <f t="shared" si="8"/>
        <v>5293.4209969752865</v>
      </c>
      <c r="FQ5" s="5">
        <f t="shared" si="8"/>
        <v>5187.5525770357808</v>
      </c>
      <c r="FR5" s="5">
        <f t="shared" si="8"/>
        <v>5083.8015254950651</v>
      </c>
      <c r="FS5" s="5">
        <f t="shared" si="8"/>
        <v>4982.1254949851636</v>
      </c>
      <c r="FT5" s="5">
        <f t="shared" si="8"/>
        <v>4882.4829850854603</v>
      </c>
      <c r="FU5" s="5">
        <f t="shared" si="8"/>
        <v>4784.8333253837509</v>
      </c>
      <c r="FV5" s="5">
        <f t="shared" si="8"/>
        <v>4689.1366588760757</v>
      </c>
      <c r="FW5" s="5">
        <f t="shared" si="8"/>
        <v>4595.3539256985541</v>
      </c>
      <c r="FX5" s="5">
        <f t="shared" si="8"/>
        <v>4503.446847184583</v>
      </c>
      <c r="FY5" s="5">
        <f t="shared" si="8"/>
        <v>4413.3779102408917</v>
      </c>
      <c r="FZ5" s="5">
        <f t="shared" si="8"/>
        <v>4325.1103520360739</v>
      </c>
      <c r="GA5" s="5">
        <f t="shared" si="8"/>
        <v>4238.6081449953526</v>
      </c>
      <c r="GB5" s="5">
        <f t="shared" si="8"/>
        <v>4153.8359820954456</v>
      </c>
      <c r="GC5" s="5">
        <f t="shared" si="8"/>
        <v>4070.7592624535368</v>
      </c>
      <c r="GD5" s="5">
        <f t="shared" si="8"/>
        <v>3989.344077204466</v>
      </c>
      <c r="GE5" s="5">
        <f t="shared" si="8"/>
        <v>3909.5571956603767</v>
      </c>
      <c r="GF5" s="5">
        <f t="shared" si="8"/>
        <v>3831.366051747169</v>
      </c>
      <c r="GG5" s="5">
        <f t="shared" si="8"/>
        <v>3754.7387307122253</v>
      </c>
      <c r="GH5" s="5">
        <f t="shared" si="8"/>
        <v>3679.6439560979807</v>
      </c>
      <c r="GI5" s="5">
        <f t="shared" si="8"/>
        <v>3606.0510769760208</v>
      </c>
      <c r="GJ5" s="5">
        <f t="shared" si="8"/>
        <v>3533.9300554365004</v>
      </c>
      <c r="GK5" s="5">
        <f t="shared" si="8"/>
        <v>3463.2514543277703</v>
      </c>
      <c r="GL5" s="5">
        <f t="shared" si="8"/>
        <v>3393.9864252412149</v>
      </c>
      <c r="GM5" s="5">
        <f t="shared" si="8"/>
        <v>3326.1066967363904</v>
      </c>
      <c r="GN5" s="5">
        <f t="shared" si="8"/>
        <v>3259.5845628016627</v>
      </c>
      <c r="GO5" s="5">
        <f t="shared" si="8"/>
        <v>3194.3928715456295</v>
      </c>
      <c r="GP5" s="5">
        <f t="shared" si="8"/>
        <v>3130.5050141147167</v>
      </c>
      <c r="GQ5" s="5">
        <f t="shared" si="8"/>
        <v>3067.8949138324224</v>
      </c>
      <c r="GR5" s="5">
        <f t="shared" si="8"/>
        <v>3006.5370155557739</v>
      </c>
      <c r="GS5" s="5">
        <f t="shared" si="8"/>
        <v>2946.4062752446584</v>
      </c>
      <c r="GT5" s="5">
        <f t="shared" si="8"/>
        <v>2887.4781497397653</v>
      </c>
      <c r="GU5" s="5">
        <f t="shared" si="8"/>
        <v>2829.72858674497</v>
      </c>
      <c r="GV5" s="5">
        <f t="shared" si="8"/>
        <v>2773.1340150100705</v>
      </c>
      <c r="GW5" s="5">
        <f t="shared" si="8"/>
        <v>2717.6713347098689</v>
      </c>
      <c r="GX5" s="5">
        <f t="shared" si="8"/>
        <v>2663.3179080156715</v>
      </c>
      <c r="GY5" s="5">
        <f t="shared" si="8"/>
        <v>2610.0515498553582</v>
      </c>
      <c r="GZ5" s="5">
        <f t="shared" si="8"/>
        <v>2557.8505188582508</v>
      </c>
      <c r="HA5" s="5">
        <f t="shared" si="8"/>
        <v>2506.6935084810857</v>
      </c>
      <c r="HB5" s="5">
        <f t="shared" si="8"/>
        <v>2456.5596383114639</v>
      </c>
      <c r="HC5" s="5">
        <f t="shared" si="8"/>
        <v>2407.4284455452348</v>
      </c>
      <c r="HD5" s="5">
        <f t="shared" si="8"/>
        <v>2359.2798766343299</v>
      </c>
      <c r="HE5" s="5">
        <f t="shared" si="8"/>
        <v>2312.0942791016432</v>
      </c>
      <c r="HF5" s="5">
        <f t="shared" si="8"/>
        <v>2265.8523935196104</v>
      </c>
      <c r="HG5" s="5">
        <f t="shared" si="8"/>
        <v>2220.535345649218</v>
      </c>
      <c r="HH5" s="5">
        <f t="shared" si="8"/>
        <v>2176.1246387362335</v>
      </c>
      <c r="HI5" s="5">
        <f t="shared" si="8"/>
        <v>2132.6021459615085</v>
      </c>
      <c r="HJ5" s="5">
        <f t="shared" si="8"/>
        <v>2089.9501030422784</v>
      </c>
      <c r="HK5" s="5">
        <f t="shared" si="8"/>
        <v>2048.151100981433</v>
      </c>
      <c r="HL5" s="5">
        <f t="shared" si="8"/>
        <v>2007.1880789618044</v>
      </c>
      <c r="HM5" s="5">
        <f t="shared" ref="HM5:HS5" si="9">HL5*0.98</f>
        <v>1967.0443173825684</v>
      </c>
      <c r="HN5" s="5">
        <f t="shared" si="9"/>
        <v>1927.703431034917</v>
      </c>
      <c r="HO5" s="5">
        <f t="shared" si="9"/>
        <v>1889.1493624142186</v>
      </c>
      <c r="HP5" s="5">
        <f t="shared" si="9"/>
        <v>1851.3663751659342</v>
      </c>
      <c r="HQ5" s="5">
        <f t="shared" si="9"/>
        <v>1814.3390476626155</v>
      </c>
      <c r="HR5" s="5">
        <f t="shared" si="9"/>
        <v>1778.052266709363</v>
      </c>
      <c r="HS5" s="5">
        <f t="shared" si="9"/>
        <v>1742.4912213751757</v>
      </c>
    </row>
    <row r="6" spans="1:227" x14ac:dyDescent="0.3">
      <c r="B6" t="s">
        <v>17</v>
      </c>
      <c r="C6" s="2">
        <v>2457</v>
      </c>
      <c r="D6" s="2">
        <v>2206</v>
      </c>
      <c r="E6" s="2">
        <v>2230</v>
      </c>
      <c r="F6" s="2">
        <v>2233</v>
      </c>
      <c r="G6" s="2">
        <v>2453</v>
      </c>
      <c r="H6" s="2">
        <v>2118</v>
      </c>
      <c r="I6" s="2">
        <v>2257</v>
      </c>
      <c r="J6" s="2">
        <v>2337</v>
      </c>
      <c r="K6" s="2">
        <v>2467</v>
      </c>
      <c r="N6" s="2">
        <v>9269</v>
      </c>
      <c r="O6" s="2">
        <f>SUM(D6:G6)</f>
        <v>9122</v>
      </c>
      <c r="P6" s="2">
        <v>9056</v>
      </c>
      <c r="Q6" s="2">
        <f>Q5-Q7</f>
        <v>9793.0000000000018</v>
      </c>
      <c r="R6" s="2">
        <f t="shared" ref="R6:S6" si="10">R5-R7</f>
        <v>10367.000000000002</v>
      </c>
      <c r="S6" s="2">
        <f t="shared" si="10"/>
        <v>10969.000000000002</v>
      </c>
    </row>
    <row r="7" spans="1:227" s="1" customFormat="1" x14ac:dyDescent="0.3">
      <c r="B7" s="1" t="s">
        <v>60</v>
      </c>
      <c r="C7" s="5">
        <f t="shared" ref="C7:K7" si="11">C5-C6</f>
        <v>2339</v>
      </c>
      <c r="D7" s="5">
        <f t="shared" si="11"/>
        <v>2329</v>
      </c>
      <c r="E7" s="5">
        <f t="shared" si="11"/>
        <v>2467</v>
      </c>
      <c r="F7" s="5">
        <f t="shared" si="11"/>
        <v>2488</v>
      </c>
      <c r="G7" s="5">
        <f t="shared" si="11"/>
        <v>2470</v>
      </c>
      <c r="H7" s="5">
        <f t="shared" si="11"/>
        <v>2247</v>
      </c>
      <c r="I7" s="5">
        <f t="shared" si="11"/>
        <v>2412</v>
      </c>
      <c r="J7" s="5">
        <f t="shared" si="11"/>
        <v>2445</v>
      </c>
      <c r="K7" s="5">
        <f t="shared" si="11"/>
        <v>2208</v>
      </c>
      <c r="L7" s="5"/>
      <c r="N7" s="5">
        <f>N5-N6</f>
        <v>8662</v>
      </c>
      <c r="O7" s="5">
        <f t="shared" ref="O7:P7" si="12">O5-O6</f>
        <v>9754</v>
      </c>
      <c r="P7" s="5">
        <f t="shared" si="12"/>
        <v>9182</v>
      </c>
      <c r="Q7" s="5">
        <f>Q5*Q27</f>
        <v>9793.0000000000018</v>
      </c>
      <c r="R7" s="5">
        <f>R5*R27</f>
        <v>10367.000000000002</v>
      </c>
      <c r="S7" s="5">
        <f>S5*S27</f>
        <v>10969.000000000002</v>
      </c>
    </row>
    <row r="8" spans="1:227" x14ac:dyDescent="0.3">
      <c r="B8" t="s">
        <v>377</v>
      </c>
      <c r="C8" s="2">
        <v>853</v>
      </c>
      <c r="D8" s="2">
        <v>814</v>
      </c>
      <c r="E8" s="2">
        <v>869</v>
      </c>
      <c r="F8" s="2">
        <v>792</v>
      </c>
      <c r="G8" s="2">
        <v>825</v>
      </c>
      <c r="H8" s="2">
        <v>745</v>
      </c>
      <c r="I8" s="2">
        <v>784</v>
      </c>
      <c r="J8" s="2">
        <v>836</v>
      </c>
      <c r="K8" s="2">
        <v>915</v>
      </c>
      <c r="N8" s="2">
        <v>2975</v>
      </c>
      <c r="O8" s="2">
        <f>SUM(D8:G8)</f>
        <v>3300</v>
      </c>
      <c r="P8" s="2">
        <v>3236</v>
      </c>
      <c r="Q8" s="2">
        <f>Q7*Q33</f>
        <v>3500.298914179918</v>
      </c>
      <c r="R8" s="2">
        <f>R7*R33</f>
        <v>3757.2979677630155</v>
      </c>
      <c r="S8" s="2">
        <f>S7*S33</f>
        <v>4030.3250239599224</v>
      </c>
    </row>
    <row r="9" spans="1:227" x14ac:dyDescent="0.3">
      <c r="B9" t="s">
        <v>20</v>
      </c>
      <c r="C9" s="2">
        <v>820</v>
      </c>
      <c r="D9" s="2">
        <v>790</v>
      </c>
      <c r="E9" s="2">
        <v>880</v>
      </c>
      <c r="F9" s="2">
        <v>836</v>
      </c>
      <c r="G9" s="2">
        <v>886</v>
      </c>
      <c r="H9" s="2">
        <v>742</v>
      </c>
      <c r="I9" s="2">
        <v>810</v>
      </c>
      <c r="J9" s="2">
        <v>765</v>
      </c>
      <c r="K9" s="2">
        <v>756</v>
      </c>
      <c r="N9" s="2">
        <v>3380</v>
      </c>
      <c r="O9" s="2">
        <f>SUM(D9:G9)</f>
        <v>3392</v>
      </c>
      <c r="P9" s="2">
        <v>3032</v>
      </c>
      <c r="Q9" s="2">
        <f>Q7*Q34</f>
        <v>3086.8640938793292</v>
      </c>
      <c r="R9" s="2">
        <f>R7*R34</f>
        <v>3112.2903702896974</v>
      </c>
      <c r="S9" s="2">
        <f>S7*S34</f>
        <v>3128.482562622522</v>
      </c>
    </row>
    <row r="10" spans="1:227" s="1" customFormat="1" x14ac:dyDescent="0.3">
      <c r="B10" s="1" t="s">
        <v>844</v>
      </c>
      <c r="C10" s="5">
        <f t="shared" ref="C10:K10" si="13">C9+C8</f>
        <v>1673</v>
      </c>
      <c r="D10" s="5">
        <f t="shared" si="13"/>
        <v>1604</v>
      </c>
      <c r="E10" s="5">
        <f t="shared" si="13"/>
        <v>1749</v>
      </c>
      <c r="F10" s="5">
        <f t="shared" si="13"/>
        <v>1628</v>
      </c>
      <c r="G10" s="5">
        <f t="shared" si="13"/>
        <v>1711</v>
      </c>
      <c r="H10" s="5">
        <f t="shared" si="13"/>
        <v>1487</v>
      </c>
      <c r="I10" s="5">
        <f t="shared" si="13"/>
        <v>1594</v>
      </c>
      <c r="J10" s="5">
        <f t="shared" si="13"/>
        <v>1601</v>
      </c>
      <c r="K10" s="5">
        <f t="shared" si="13"/>
        <v>1671</v>
      </c>
      <c r="L10" s="5"/>
      <c r="N10" s="5">
        <f>N9+N8</f>
        <v>6355</v>
      </c>
      <c r="O10" s="5">
        <f t="shared" ref="O10:P10" si="14">O9+O8</f>
        <v>6692</v>
      </c>
      <c r="P10" s="5">
        <f t="shared" si="14"/>
        <v>6268</v>
      </c>
      <c r="Q10" s="5">
        <f t="shared" ref="Q10" si="15">Q9+Q8</f>
        <v>6587.1630080592477</v>
      </c>
      <c r="R10" s="5">
        <f t="shared" ref="R10" si="16">R9+R8</f>
        <v>6869.588338052713</v>
      </c>
      <c r="S10" s="5">
        <f t="shared" ref="S10" si="17">S9+S8</f>
        <v>7158.8075865824449</v>
      </c>
    </row>
    <row r="11" spans="1:227" s="1" customFormat="1" x14ac:dyDescent="0.3">
      <c r="B11" s="1" t="s">
        <v>861</v>
      </c>
      <c r="C11" s="5">
        <f t="shared" ref="C11:K11" si="18">C7-C10</f>
        <v>666</v>
      </c>
      <c r="D11" s="5">
        <f t="shared" si="18"/>
        <v>725</v>
      </c>
      <c r="E11" s="5">
        <f t="shared" si="18"/>
        <v>718</v>
      </c>
      <c r="F11" s="5">
        <f t="shared" si="18"/>
        <v>860</v>
      </c>
      <c r="G11" s="5">
        <f t="shared" si="18"/>
        <v>759</v>
      </c>
      <c r="H11" s="5">
        <f t="shared" si="18"/>
        <v>760</v>
      </c>
      <c r="I11" s="5">
        <f t="shared" si="18"/>
        <v>818</v>
      </c>
      <c r="J11" s="5">
        <f t="shared" si="18"/>
        <v>844</v>
      </c>
      <c r="K11" s="5">
        <f t="shared" si="18"/>
        <v>537</v>
      </c>
      <c r="L11" s="5"/>
      <c r="N11" s="5">
        <f>N7-N10</f>
        <v>2307</v>
      </c>
      <c r="O11" s="5">
        <f t="shared" ref="O11:P11" si="19">O7-O10</f>
        <v>3062</v>
      </c>
      <c r="P11" s="5">
        <f t="shared" si="19"/>
        <v>2914</v>
      </c>
      <c r="Q11" s="5">
        <f>25800*0.14</f>
        <v>3612.0000000000005</v>
      </c>
      <c r="R11" s="5">
        <f>28500*0.14</f>
        <v>3990.0000000000005</v>
      </c>
      <c r="S11" s="5">
        <f>32400*0.14</f>
        <v>4536</v>
      </c>
    </row>
    <row r="12" spans="1:227" x14ac:dyDescent="0.3">
      <c r="B12" t="s">
        <v>778</v>
      </c>
      <c r="C12" s="2">
        <f>239-107</f>
        <v>132</v>
      </c>
      <c r="D12" s="2">
        <f>279-117</f>
        <v>162</v>
      </c>
      <c r="E12" s="2">
        <f>269-113</f>
        <v>156</v>
      </c>
      <c r="F12" s="2">
        <f>285-117</f>
        <v>168</v>
      </c>
      <c r="G12" s="2">
        <f>291-109</f>
        <v>182</v>
      </c>
      <c r="H12" s="2">
        <f>290-106</f>
        <v>184</v>
      </c>
      <c r="I12" s="2">
        <f>274-102</f>
        <v>172</v>
      </c>
      <c r="J12" s="2">
        <f>267-96</f>
        <v>171</v>
      </c>
      <c r="K12" s="2">
        <f>274-88</f>
        <v>186</v>
      </c>
      <c r="N12">
        <f>905-422</f>
        <v>483</v>
      </c>
      <c r="O12" s="2">
        <f>SUM(D12:G12)</f>
        <v>668</v>
      </c>
      <c r="P12" s="2">
        <f>1091-387</f>
        <v>704</v>
      </c>
      <c r="Q12" s="2"/>
      <c r="R12" s="2"/>
      <c r="S12" s="2"/>
    </row>
    <row r="13" spans="1:227" x14ac:dyDescent="0.3">
      <c r="B13" t="s">
        <v>862</v>
      </c>
      <c r="C13" s="2">
        <v>-49</v>
      </c>
      <c r="D13" s="2">
        <v>-15</v>
      </c>
      <c r="E13" s="2">
        <v>162</v>
      </c>
      <c r="F13" s="2">
        <v>-4</v>
      </c>
      <c r="G13" s="2">
        <v>-63</v>
      </c>
      <c r="H13" s="2">
        <v>56</v>
      </c>
      <c r="I13" s="2">
        <v>13</v>
      </c>
      <c r="J13" s="2">
        <v>-156</v>
      </c>
      <c r="K13" s="2">
        <v>230</v>
      </c>
      <c r="N13" s="2">
        <v>-215</v>
      </c>
      <c r="O13" s="2">
        <f>SUM(D13:G13)</f>
        <v>80</v>
      </c>
      <c r="P13" s="2">
        <v>147</v>
      </c>
      <c r="Q13" s="2"/>
      <c r="R13" s="2"/>
      <c r="S13" s="2"/>
    </row>
    <row r="14" spans="1:227" x14ac:dyDescent="0.3">
      <c r="B14" t="s">
        <v>515</v>
      </c>
      <c r="C14" s="2">
        <v>-76</v>
      </c>
      <c r="D14" s="2">
        <v>-7</v>
      </c>
      <c r="E14" s="2">
        <v>-53</v>
      </c>
      <c r="F14" s="2">
        <v>-55</v>
      </c>
      <c r="G14" s="2">
        <v>-418</v>
      </c>
      <c r="H14" s="2">
        <v>-28</v>
      </c>
      <c r="I14" s="2">
        <v>-16</v>
      </c>
      <c r="J14" s="2">
        <v>5</v>
      </c>
      <c r="K14" s="2">
        <v>-55</v>
      </c>
      <c r="N14" s="2">
        <v>-277</v>
      </c>
      <c r="O14" s="2">
        <f>SUM(D14:G14)</f>
        <v>-533</v>
      </c>
      <c r="P14" s="2">
        <v>-95</v>
      </c>
      <c r="Q14" s="2"/>
      <c r="R14" s="2"/>
      <c r="S14" s="2"/>
    </row>
    <row r="15" spans="1:227" x14ac:dyDescent="0.3">
      <c r="B15" t="s">
        <v>863</v>
      </c>
      <c r="C15" s="2">
        <v>251</v>
      </c>
      <c r="D15" s="2">
        <v>238</v>
      </c>
      <c r="E15" s="2">
        <v>-76</v>
      </c>
      <c r="F15" s="2">
        <v>152</v>
      </c>
      <c r="G15" s="2">
        <v>-57</v>
      </c>
      <c r="H15" s="2">
        <v>-39</v>
      </c>
      <c r="I15" s="2">
        <v>-63</v>
      </c>
      <c r="J15" s="2">
        <v>361</v>
      </c>
      <c r="K15" s="2">
        <v>3</v>
      </c>
      <c r="N15" s="2">
        <v>-832</v>
      </c>
      <c r="O15" s="2">
        <f>SUM(D15:G15)</f>
        <v>257</v>
      </c>
      <c r="P15" s="2">
        <v>251</v>
      </c>
      <c r="Q15" s="2"/>
      <c r="R15" s="2"/>
      <c r="S15" s="2"/>
    </row>
    <row r="16" spans="1:227" s="1" customFormat="1" x14ac:dyDescent="0.3">
      <c r="B16" s="1" t="s">
        <v>864</v>
      </c>
      <c r="C16" s="5">
        <f t="shared" ref="C16:K16" si="20">SUM(C12:C15)</f>
        <v>258</v>
      </c>
      <c r="D16" s="5">
        <f t="shared" si="20"/>
        <v>378</v>
      </c>
      <c r="E16" s="5">
        <f t="shared" si="20"/>
        <v>189</v>
      </c>
      <c r="F16" s="5">
        <f t="shared" si="20"/>
        <v>261</v>
      </c>
      <c r="G16" s="5">
        <f t="shared" si="20"/>
        <v>-356</v>
      </c>
      <c r="H16" s="5">
        <f t="shared" si="20"/>
        <v>173</v>
      </c>
      <c r="I16" s="5">
        <f t="shared" si="20"/>
        <v>106</v>
      </c>
      <c r="J16" s="5">
        <f t="shared" si="20"/>
        <v>381</v>
      </c>
      <c r="K16" s="5">
        <f t="shared" si="20"/>
        <v>364</v>
      </c>
      <c r="L16" s="5"/>
      <c r="N16" s="5">
        <f>SUM(N12:N15)</f>
        <v>-841</v>
      </c>
      <c r="O16" s="5">
        <f t="shared" ref="O16:P16" si="21">SUM(O12:O15)</f>
        <v>472</v>
      </c>
      <c r="P16" s="5">
        <f t="shared" si="21"/>
        <v>1007</v>
      </c>
      <c r="Q16" s="5">
        <f>$K$37*0.03</f>
        <v>991.56</v>
      </c>
      <c r="R16" s="5">
        <f t="shared" ref="R16:S16" si="22">$K$37*0.03</f>
        <v>991.56</v>
      </c>
      <c r="S16" s="5">
        <f t="shared" si="22"/>
        <v>991.56</v>
      </c>
    </row>
    <row r="17" spans="2:748" s="1" customFormat="1" x14ac:dyDescent="0.3">
      <c r="B17" s="1" t="s">
        <v>865</v>
      </c>
      <c r="C17" s="5">
        <f t="shared" ref="C17:K17" si="23">C11+C16</f>
        <v>924</v>
      </c>
      <c r="D17" s="5">
        <f t="shared" si="23"/>
        <v>1103</v>
      </c>
      <c r="E17" s="5">
        <f t="shared" si="23"/>
        <v>907</v>
      </c>
      <c r="F17" s="5">
        <f t="shared" si="23"/>
        <v>1121</v>
      </c>
      <c r="G17" s="5">
        <f t="shared" si="23"/>
        <v>403</v>
      </c>
      <c r="H17" s="5">
        <f t="shared" si="23"/>
        <v>933</v>
      </c>
      <c r="I17" s="5">
        <f t="shared" si="23"/>
        <v>924</v>
      </c>
      <c r="J17" s="5">
        <f t="shared" si="23"/>
        <v>1225</v>
      </c>
      <c r="K17" s="5">
        <f t="shared" si="23"/>
        <v>901</v>
      </c>
      <c r="L17" s="5"/>
      <c r="N17" s="5">
        <f>N11+N16</f>
        <v>1466</v>
      </c>
      <c r="O17" s="5">
        <f t="shared" ref="O17:P17" si="24">O11+O16</f>
        <v>3534</v>
      </c>
      <c r="P17" s="5">
        <f t="shared" si="24"/>
        <v>3921</v>
      </c>
      <c r="Q17" s="5">
        <f>Q11+Q16</f>
        <v>4603.5600000000004</v>
      </c>
      <c r="R17" s="5">
        <f t="shared" ref="R17:S17" si="25">R11+R16</f>
        <v>4981.5600000000004</v>
      </c>
      <c r="S17" s="5">
        <f t="shared" si="25"/>
        <v>5527.5599999999995</v>
      </c>
    </row>
    <row r="18" spans="2:748" x14ac:dyDescent="0.3">
      <c r="B18" t="s">
        <v>27</v>
      </c>
      <c r="C18" s="2">
        <f>181+25</f>
        <v>206</v>
      </c>
      <c r="D18" s="2">
        <f>174+81</f>
        <v>255</v>
      </c>
      <c r="E18" s="2">
        <f>175+14</f>
        <v>189</v>
      </c>
      <c r="F18" s="2">
        <f>175+30</f>
        <v>205</v>
      </c>
      <c r="G18" s="2">
        <f>-14+51</f>
        <v>37</v>
      </c>
      <c r="H18" s="2">
        <f>122+56</f>
        <v>178</v>
      </c>
      <c r="I18" s="2">
        <f>156+13</f>
        <v>169</v>
      </c>
      <c r="J18" s="2">
        <f>116+21</f>
        <v>137</v>
      </c>
      <c r="K18" s="2">
        <f>222-32</f>
        <v>190</v>
      </c>
      <c r="N18">
        <f>374-4</f>
        <v>370</v>
      </c>
      <c r="O18" s="2">
        <f>SUM(D18:G18)</f>
        <v>686</v>
      </c>
      <c r="P18" s="2">
        <f>609+57</f>
        <v>666</v>
      </c>
      <c r="Q18" s="2">
        <f>Q17*0.17</f>
        <v>782.60520000000008</v>
      </c>
      <c r="R18" s="2">
        <f t="shared" ref="R18:S18" si="26">R17*0.17</f>
        <v>846.86520000000007</v>
      </c>
      <c r="S18" s="2">
        <f t="shared" si="26"/>
        <v>939.68520000000001</v>
      </c>
    </row>
    <row r="19" spans="2:748" s="5" customFormat="1" x14ac:dyDescent="0.3">
      <c r="B19" s="5" t="s">
        <v>28</v>
      </c>
      <c r="C19" s="5">
        <f t="shared" ref="C19:K19" si="27">C17-C18</f>
        <v>718</v>
      </c>
      <c r="D19" s="5">
        <f t="shared" si="27"/>
        <v>848</v>
      </c>
      <c r="E19" s="5">
        <f t="shared" si="27"/>
        <v>718</v>
      </c>
      <c r="F19" s="5">
        <f t="shared" si="27"/>
        <v>916</v>
      </c>
      <c r="G19" s="5">
        <f t="shared" si="27"/>
        <v>366</v>
      </c>
      <c r="H19" s="5">
        <f t="shared" si="27"/>
        <v>755</v>
      </c>
      <c r="I19" s="5">
        <f t="shared" si="27"/>
        <v>755</v>
      </c>
      <c r="J19" s="5">
        <f t="shared" si="27"/>
        <v>1088</v>
      </c>
      <c r="K19" s="5">
        <f t="shared" si="27"/>
        <v>711</v>
      </c>
      <c r="N19" s="5">
        <f>N17-N18</f>
        <v>1096</v>
      </c>
      <c r="O19" s="5">
        <f t="shared" ref="O19:P19" si="28">O17-O18</f>
        <v>2848</v>
      </c>
      <c r="P19" s="5">
        <f t="shared" si="28"/>
        <v>3255</v>
      </c>
      <c r="Q19" s="5">
        <f>25800*0.14</f>
        <v>3612.0000000000005</v>
      </c>
      <c r="R19" s="5">
        <f>27900*0.14</f>
        <v>3906.0000000000005</v>
      </c>
      <c r="S19" s="5">
        <f>32800*0.14</f>
        <v>4592</v>
      </c>
      <c r="T19" s="5">
        <f>T5*0.25</f>
        <v>5813.5700000000015</v>
      </c>
      <c r="U19" s="5">
        <f t="shared" ref="U19:CF19" si="29">U5*0.25</f>
        <v>6162.3842000000022</v>
      </c>
      <c r="V19" s="5">
        <f t="shared" si="29"/>
        <v>6532.127252000003</v>
      </c>
      <c r="W19" s="5">
        <f t="shared" si="29"/>
        <v>6924.0548871200035</v>
      </c>
      <c r="X19" s="5">
        <f t="shared" si="29"/>
        <v>7339.4981803472037</v>
      </c>
      <c r="Y19" s="5">
        <f t="shared" si="29"/>
        <v>7779.8680711680363</v>
      </c>
      <c r="Z19" s="5">
        <f t="shared" si="29"/>
        <v>8246.6601554381195</v>
      </c>
      <c r="AA19" s="5">
        <f t="shared" si="29"/>
        <v>8741.4597647644077</v>
      </c>
      <c r="AB19" s="5">
        <f t="shared" si="29"/>
        <v>9265.9473506502727</v>
      </c>
      <c r="AC19" s="5">
        <f t="shared" si="29"/>
        <v>9729.2447181827865</v>
      </c>
      <c r="AD19" s="5">
        <f t="shared" si="29"/>
        <v>10215.706954091926</v>
      </c>
      <c r="AE19" s="5">
        <f t="shared" si="29"/>
        <v>10726.492301796523</v>
      </c>
      <c r="AF19" s="5">
        <f t="shared" si="29"/>
        <v>11262.81691688635</v>
      </c>
      <c r="AG19" s="5">
        <f t="shared" si="29"/>
        <v>11825.957762730668</v>
      </c>
      <c r="AH19" s="5">
        <f t="shared" si="29"/>
        <v>12417.255650867202</v>
      </c>
      <c r="AI19" s="5">
        <f t="shared" si="29"/>
        <v>13038.118433410564</v>
      </c>
      <c r="AJ19" s="5">
        <f t="shared" si="29"/>
        <v>13298.880802078775</v>
      </c>
      <c r="AK19" s="5">
        <f t="shared" si="29"/>
        <v>13564.85841812035</v>
      </c>
      <c r="AL19" s="5">
        <f t="shared" si="29"/>
        <v>13836.155586482757</v>
      </c>
      <c r="AM19" s="5">
        <f t="shared" si="29"/>
        <v>14112.878698212413</v>
      </c>
      <c r="AN19" s="5">
        <f t="shared" si="29"/>
        <v>14395.136272176662</v>
      </c>
      <c r="AO19" s="5">
        <f t="shared" si="29"/>
        <v>14683.038997620195</v>
      </c>
      <c r="AP19" s="5">
        <f t="shared" si="29"/>
        <v>14976.699777572599</v>
      </c>
      <c r="AQ19" s="5">
        <f t="shared" si="29"/>
        <v>15276.233773124051</v>
      </c>
      <c r="AR19" s="5">
        <f t="shared" si="29"/>
        <v>15581.758448586532</v>
      </c>
      <c r="AS19" s="5">
        <f t="shared" si="29"/>
        <v>15893.393617558262</v>
      </c>
      <c r="AT19" s="5">
        <f t="shared" si="29"/>
        <v>16211.261489909428</v>
      </c>
      <c r="AU19" s="5">
        <f t="shared" si="29"/>
        <v>16535.486719707616</v>
      </c>
      <c r="AV19" s="5">
        <f t="shared" si="29"/>
        <v>16204.776985313463</v>
      </c>
      <c r="AW19" s="5">
        <f t="shared" si="29"/>
        <v>15880.681445607193</v>
      </c>
      <c r="AX19" s="5">
        <f t="shared" si="29"/>
        <v>15563.067816695049</v>
      </c>
      <c r="AY19" s="5">
        <f t="shared" si="29"/>
        <v>15251.806460361147</v>
      </c>
      <c r="AZ19" s="5">
        <f t="shared" si="29"/>
        <v>14946.770331153924</v>
      </c>
      <c r="BA19" s="5">
        <f t="shared" si="29"/>
        <v>14647.834924530845</v>
      </c>
      <c r="BB19" s="5">
        <f t="shared" si="29"/>
        <v>14354.878226040228</v>
      </c>
      <c r="BC19" s="5">
        <f t="shared" si="29"/>
        <v>14067.780661519422</v>
      </c>
      <c r="BD19" s="5">
        <f t="shared" si="29"/>
        <v>13786.425048289033</v>
      </c>
      <c r="BE19" s="5">
        <f t="shared" si="29"/>
        <v>13510.696547323252</v>
      </c>
      <c r="BF19" s="5">
        <f t="shared" si="29"/>
        <v>13240.482616376787</v>
      </c>
      <c r="BG19" s="5">
        <f t="shared" si="29"/>
        <v>12975.67296404925</v>
      </c>
      <c r="BH19" s="5">
        <f t="shared" si="29"/>
        <v>12716.159504768266</v>
      </c>
      <c r="BI19" s="5">
        <f t="shared" si="29"/>
        <v>12461.836314672901</v>
      </c>
      <c r="BJ19" s="5">
        <f t="shared" si="29"/>
        <v>12212.599588379442</v>
      </c>
      <c r="BK19" s="5">
        <f t="shared" si="29"/>
        <v>11968.347596611853</v>
      </c>
      <c r="BL19" s="5">
        <f t="shared" si="29"/>
        <v>11728.980644679616</v>
      </c>
      <c r="BM19" s="5">
        <f t="shared" si="29"/>
        <v>11494.401031786023</v>
      </c>
      <c r="BN19" s="5">
        <f t="shared" si="29"/>
        <v>11264.513011150302</v>
      </c>
      <c r="BO19" s="5">
        <f t="shared" si="29"/>
        <v>11039.222750927296</v>
      </c>
      <c r="BP19" s="5">
        <f t="shared" si="29"/>
        <v>10818.438295908751</v>
      </c>
      <c r="BQ19" s="5">
        <f t="shared" si="29"/>
        <v>10602.069529990575</v>
      </c>
      <c r="BR19" s="5">
        <f t="shared" si="29"/>
        <v>10390.028139390763</v>
      </c>
      <c r="BS19" s="5">
        <f t="shared" si="29"/>
        <v>10182.227576602947</v>
      </c>
      <c r="BT19" s="5">
        <f t="shared" si="29"/>
        <v>9978.5830250708877</v>
      </c>
      <c r="BU19" s="5">
        <f t="shared" si="29"/>
        <v>9779.0113645694692</v>
      </c>
      <c r="BV19" s="5">
        <f t="shared" si="29"/>
        <v>9583.4311372780794</v>
      </c>
      <c r="BW19" s="5">
        <f t="shared" si="29"/>
        <v>9391.7625145325183</v>
      </c>
      <c r="BX19" s="5">
        <f t="shared" si="29"/>
        <v>9203.9272642418673</v>
      </c>
      <c r="BY19" s="5">
        <f t="shared" si="29"/>
        <v>9019.8487189570296</v>
      </c>
      <c r="BZ19" s="5">
        <f t="shared" si="29"/>
        <v>8839.4517445778893</v>
      </c>
      <c r="CA19" s="5">
        <f t="shared" si="29"/>
        <v>8662.6627096863322</v>
      </c>
      <c r="CB19" s="5">
        <f t="shared" si="29"/>
        <v>8489.409455492605</v>
      </c>
      <c r="CC19" s="5">
        <f t="shared" si="29"/>
        <v>8319.6212663827537</v>
      </c>
      <c r="CD19" s="5">
        <f t="shared" si="29"/>
        <v>8153.2288410550982</v>
      </c>
      <c r="CE19" s="5">
        <f t="shared" si="29"/>
        <v>7990.1642642339957</v>
      </c>
      <c r="CF19" s="5">
        <f t="shared" si="29"/>
        <v>7830.3609789493157</v>
      </c>
      <c r="CG19" s="5">
        <f t="shared" ref="CG19:ER19" si="30">CG5*0.25</f>
        <v>7673.7537593703291</v>
      </c>
      <c r="CH19" s="5">
        <f t="shared" si="30"/>
        <v>7520.278684182922</v>
      </c>
      <c r="CI19" s="5">
        <f t="shared" si="30"/>
        <v>7369.873110499263</v>
      </c>
      <c r="CJ19" s="5">
        <f t="shared" si="30"/>
        <v>7222.4756482892781</v>
      </c>
      <c r="CK19" s="5">
        <f t="shared" si="30"/>
        <v>7078.0261353234928</v>
      </c>
      <c r="CL19" s="5">
        <f t="shared" si="30"/>
        <v>6936.465612617023</v>
      </c>
      <c r="CM19" s="5">
        <f t="shared" si="30"/>
        <v>6797.7363003646824</v>
      </c>
      <c r="CN19" s="5">
        <f t="shared" si="30"/>
        <v>6661.7815743573883</v>
      </c>
      <c r="CO19" s="5">
        <f t="shared" si="30"/>
        <v>6528.5459428702407</v>
      </c>
      <c r="CP19" s="5">
        <f t="shared" si="30"/>
        <v>6397.975024012836</v>
      </c>
      <c r="CQ19" s="5">
        <f t="shared" si="30"/>
        <v>6270.0155235325792</v>
      </c>
      <c r="CR19" s="5">
        <f t="shared" si="30"/>
        <v>6144.6152130619275</v>
      </c>
      <c r="CS19" s="5">
        <f t="shared" si="30"/>
        <v>6021.7229088006889</v>
      </c>
      <c r="CT19" s="5">
        <f t="shared" si="30"/>
        <v>5901.2884506246746</v>
      </c>
      <c r="CU19" s="5">
        <f t="shared" si="30"/>
        <v>5783.262681612181</v>
      </c>
      <c r="CV19" s="5">
        <f t="shared" si="30"/>
        <v>5667.5974279799375</v>
      </c>
      <c r="CW19" s="5">
        <f t="shared" si="30"/>
        <v>5554.2454794203386</v>
      </c>
      <c r="CX19" s="5">
        <f t="shared" si="30"/>
        <v>5443.1605698319318</v>
      </c>
      <c r="CY19" s="5">
        <f t="shared" si="30"/>
        <v>5334.2973584352931</v>
      </c>
      <c r="CZ19" s="5">
        <f t="shared" si="30"/>
        <v>5227.6114112665873</v>
      </c>
      <c r="DA19" s="5">
        <f t="shared" si="30"/>
        <v>5123.0591830412559</v>
      </c>
      <c r="DB19" s="5">
        <f t="shared" si="30"/>
        <v>5020.5979993804303</v>
      </c>
      <c r="DC19" s="5">
        <f t="shared" si="30"/>
        <v>4920.1860393928218</v>
      </c>
      <c r="DD19" s="5">
        <f t="shared" si="30"/>
        <v>4821.7823186049654</v>
      </c>
      <c r="DE19" s="5">
        <f t="shared" si="30"/>
        <v>4725.3466722328658</v>
      </c>
      <c r="DF19" s="5">
        <f t="shared" si="30"/>
        <v>4630.8397387882087</v>
      </c>
      <c r="DG19" s="5">
        <f t="shared" si="30"/>
        <v>4538.2229440124447</v>
      </c>
      <c r="DH19" s="5">
        <f t="shared" si="30"/>
        <v>4447.4584851321961</v>
      </c>
      <c r="DI19" s="5">
        <f t="shared" si="30"/>
        <v>4358.5093154295519</v>
      </c>
      <c r="DJ19" s="5">
        <f t="shared" si="30"/>
        <v>4271.3391291209609</v>
      </c>
      <c r="DK19" s="5">
        <f t="shared" si="30"/>
        <v>4185.9123465385419</v>
      </c>
      <c r="DL19" s="5">
        <f t="shared" si="30"/>
        <v>4102.194099607771</v>
      </c>
      <c r="DM19" s="5">
        <f t="shared" si="30"/>
        <v>4020.1502176156155</v>
      </c>
      <c r="DN19" s="5">
        <f t="shared" si="30"/>
        <v>3939.7472132633029</v>
      </c>
      <c r="DO19" s="5">
        <f t="shared" si="30"/>
        <v>3860.9522689980367</v>
      </c>
      <c r="DP19" s="5">
        <f t="shared" si="30"/>
        <v>3783.733223618076</v>
      </c>
      <c r="DQ19" s="5">
        <f t="shared" si="30"/>
        <v>3708.0585591457143</v>
      </c>
      <c r="DR19" s="5">
        <f t="shared" si="30"/>
        <v>3633.8973879628002</v>
      </c>
      <c r="DS19" s="5">
        <f t="shared" si="30"/>
        <v>3561.2194402035443</v>
      </c>
      <c r="DT19" s="5">
        <f t="shared" si="30"/>
        <v>3489.9950513994731</v>
      </c>
      <c r="DU19" s="5">
        <f t="shared" si="30"/>
        <v>3420.1951503714836</v>
      </c>
      <c r="DV19" s="5">
        <f t="shared" si="30"/>
        <v>3351.791247364054</v>
      </c>
      <c r="DW19" s="5">
        <f t="shared" si="30"/>
        <v>3284.7554224167729</v>
      </c>
      <c r="DX19" s="5">
        <f t="shared" si="30"/>
        <v>3219.0603139684376</v>
      </c>
      <c r="DY19" s="5">
        <f t="shared" si="30"/>
        <v>3154.679107689069</v>
      </c>
      <c r="DZ19" s="5">
        <f t="shared" si="30"/>
        <v>3091.5855255352876</v>
      </c>
      <c r="EA19" s="5">
        <f t="shared" si="30"/>
        <v>3029.7538150245819</v>
      </c>
      <c r="EB19" s="5">
        <f t="shared" si="30"/>
        <v>2969.1587387240902</v>
      </c>
      <c r="EC19" s="5">
        <f t="shared" si="30"/>
        <v>2909.7755639496086</v>
      </c>
      <c r="ED19" s="5">
        <f t="shared" si="30"/>
        <v>2851.5800526706162</v>
      </c>
      <c r="EE19" s="5">
        <f t="shared" si="30"/>
        <v>2794.5484516172037</v>
      </c>
      <c r="EF19" s="5">
        <f t="shared" si="30"/>
        <v>2738.6574825848597</v>
      </c>
      <c r="EG19" s="5">
        <f t="shared" si="30"/>
        <v>2683.8843329331626</v>
      </c>
      <c r="EH19" s="5">
        <f t="shared" si="30"/>
        <v>2630.2066462744992</v>
      </c>
      <c r="EI19" s="5">
        <f t="shared" si="30"/>
        <v>2577.6025133490093</v>
      </c>
      <c r="EJ19" s="5">
        <f t="shared" si="30"/>
        <v>2526.0504630820292</v>
      </c>
      <c r="EK19" s="5">
        <f t="shared" si="30"/>
        <v>2475.5294538203884</v>
      </c>
      <c r="EL19" s="5">
        <f t="shared" si="30"/>
        <v>2426.0188647439804</v>
      </c>
      <c r="EM19" s="5">
        <f t="shared" si="30"/>
        <v>2377.4984874491006</v>
      </c>
      <c r="EN19" s="5">
        <f t="shared" si="30"/>
        <v>2329.9485177001184</v>
      </c>
      <c r="EO19" s="5">
        <f t="shared" si="30"/>
        <v>2283.3495473461157</v>
      </c>
      <c r="EP19" s="5">
        <f t="shared" si="30"/>
        <v>2237.6825563991933</v>
      </c>
      <c r="EQ19" s="5">
        <f t="shared" si="30"/>
        <v>2192.9289052712093</v>
      </c>
      <c r="ER19" s="5">
        <f t="shared" si="30"/>
        <v>2149.0703271657849</v>
      </c>
      <c r="ES19" s="5">
        <f t="shared" ref="ES19:HD19" si="31">ES5*0.25</f>
        <v>2106.0889206224692</v>
      </c>
      <c r="ET19" s="5">
        <f t="shared" si="31"/>
        <v>2063.96714221002</v>
      </c>
      <c r="EU19" s="5">
        <f t="shared" si="31"/>
        <v>2022.6877993658195</v>
      </c>
      <c r="EV19" s="5">
        <f t="shared" si="31"/>
        <v>1982.234043378503</v>
      </c>
      <c r="EW19" s="5">
        <f t="shared" si="31"/>
        <v>1942.5893625109329</v>
      </c>
      <c r="EX19" s="5">
        <f t="shared" si="31"/>
        <v>1903.7375752607143</v>
      </c>
      <c r="EY19" s="5">
        <f t="shared" si="31"/>
        <v>1865.6628237554999</v>
      </c>
      <c r="EZ19" s="5">
        <f t="shared" si="31"/>
        <v>1828.3495672803899</v>
      </c>
      <c r="FA19" s="5">
        <f t="shared" si="31"/>
        <v>1791.782575934782</v>
      </c>
      <c r="FB19" s="5">
        <f t="shared" si="31"/>
        <v>1755.9469244160864</v>
      </c>
      <c r="FC19" s="5">
        <f t="shared" si="31"/>
        <v>1720.8279859277648</v>
      </c>
      <c r="FD19" s="5">
        <f t="shared" si="31"/>
        <v>1686.4114262092094</v>
      </c>
      <c r="FE19" s="5">
        <f t="shared" si="31"/>
        <v>1652.6831976850251</v>
      </c>
      <c r="FF19" s="5">
        <f t="shared" si="31"/>
        <v>1619.6295337313245</v>
      </c>
      <c r="FG19" s="5">
        <f t="shared" si="31"/>
        <v>1587.236943056698</v>
      </c>
      <c r="FH19" s="5">
        <f t="shared" si="31"/>
        <v>1555.492204195564</v>
      </c>
      <c r="FI19" s="5">
        <f t="shared" si="31"/>
        <v>1524.3823601116526</v>
      </c>
      <c r="FJ19" s="5">
        <f t="shared" si="31"/>
        <v>1493.8947129094195</v>
      </c>
      <c r="FK19" s="5">
        <f t="shared" si="31"/>
        <v>1464.016818651231</v>
      </c>
      <c r="FL19" s="5">
        <f t="shared" si="31"/>
        <v>1434.7364822782063</v>
      </c>
      <c r="FM19" s="5">
        <f t="shared" si="31"/>
        <v>1406.0417526326421</v>
      </c>
      <c r="FN19" s="5">
        <f t="shared" si="31"/>
        <v>1377.9209175799892</v>
      </c>
      <c r="FO19" s="5">
        <f t="shared" si="31"/>
        <v>1350.3624992283894</v>
      </c>
      <c r="FP19" s="5">
        <f t="shared" si="31"/>
        <v>1323.3552492438216</v>
      </c>
      <c r="FQ19" s="5">
        <f t="shared" si="31"/>
        <v>1296.8881442589452</v>
      </c>
      <c r="FR19" s="5">
        <f t="shared" si="31"/>
        <v>1270.9503813737663</v>
      </c>
      <c r="FS19" s="5">
        <f t="shared" si="31"/>
        <v>1245.5313737462909</v>
      </c>
      <c r="FT19" s="5">
        <f t="shared" si="31"/>
        <v>1220.6207462713651</v>
      </c>
      <c r="FU19" s="5">
        <f t="shared" si="31"/>
        <v>1196.2083313459377</v>
      </c>
      <c r="FV19" s="5">
        <f t="shared" si="31"/>
        <v>1172.2841647190189</v>
      </c>
      <c r="FW19" s="5">
        <f t="shared" si="31"/>
        <v>1148.8384814246385</v>
      </c>
      <c r="FX19" s="5">
        <f t="shared" si="31"/>
        <v>1125.8617117961458</v>
      </c>
      <c r="FY19" s="5">
        <f t="shared" si="31"/>
        <v>1103.3444775602229</v>
      </c>
      <c r="FZ19" s="5">
        <f t="shared" si="31"/>
        <v>1081.2775880090185</v>
      </c>
      <c r="GA19" s="5">
        <f t="shared" si="31"/>
        <v>1059.6520362488382</v>
      </c>
      <c r="GB19" s="5">
        <f t="shared" si="31"/>
        <v>1038.4589955238614</v>
      </c>
      <c r="GC19" s="5">
        <f t="shared" si="31"/>
        <v>1017.6898156133842</v>
      </c>
      <c r="GD19" s="5">
        <f t="shared" si="31"/>
        <v>997.33601930111649</v>
      </c>
      <c r="GE19" s="5">
        <f t="shared" si="31"/>
        <v>977.38929891509417</v>
      </c>
      <c r="GF19" s="5">
        <f t="shared" si="31"/>
        <v>957.84151293679224</v>
      </c>
      <c r="GG19" s="5">
        <f t="shared" si="31"/>
        <v>938.68468267805633</v>
      </c>
      <c r="GH19" s="5">
        <f t="shared" si="31"/>
        <v>919.91098902449517</v>
      </c>
      <c r="GI19" s="5">
        <f t="shared" si="31"/>
        <v>901.5127692440052</v>
      </c>
      <c r="GJ19" s="5">
        <f t="shared" si="31"/>
        <v>883.48251385912511</v>
      </c>
      <c r="GK19" s="5">
        <f t="shared" si="31"/>
        <v>865.81286358194257</v>
      </c>
      <c r="GL19" s="5">
        <f t="shared" si="31"/>
        <v>848.49660631030372</v>
      </c>
      <c r="GM19" s="5">
        <f t="shared" si="31"/>
        <v>831.5266741840976</v>
      </c>
      <c r="GN19" s="5">
        <f t="shared" si="31"/>
        <v>814.89614070041569</v>
      </c>
      <c r="GO19" s="5">
        <f t="shared" si="31"/>
        <v>798.59821788640738</v>
      </c>
      <c r="GP19" s="5">
        <f t="shared" si="31"/>
        <v>782.62625352867917</v>
      </c>
      <c r="GQ19" s="5">
        <f t="shared" si="31"/>
        <v>766.9737284581056</v>
      </c>
      <c r="GR19" s="5">
        <f t="shared" si="31"/>
        <v>751.63425388894348</v>
      </c>
      <c r="GS19" s="5">
        <f t="shared" si="31"/>
        <v>736.60156881116461</v>
      </c>
      <c r="GT19" s="5">
        <f t="shared" si="31"/>
        <v>721.86953743494132</v>
      </c>
      <c r="GU19" s="5">
        <f t="shared" si="31"/>
        <v>707.4321466862425</v>
      </c>
      <c r="GV19" s="5">
        <f t="shared" si="31"/>
        <v>693.28350375251762</v>
      </c>
      <c r="GW19" s="5">
        <f t="shared" si="31"/>
        <v>679.41783367746723</v>
      </c>
      <c r="GX19" s="5">
        <f t="shared" si="31"/>
        <v>665.82947700391787</v>
      </c>
      <c r="GY19" s="5">
        <f t="shared" si="31"/>
        <v>652.51288746383955</v>
      </c>
      <c r="GZ19" s="5">
        <f t="shared" si="31"/>
        <v>639.46262971456269</v>
      </c>
      <c r="HA19" s="5">
        <f t="shared" si="31"/>
        <v>626.67337712027143</v>
      </c>
      <c r="HB19" s="5">
        <f t="shared" si="31"/>
        <v>614.13990957786598</v>
      </c>
      <c r="HC19" s="5">
        <f t="shared" si="31"/>
        <v>601.8571113863087</v>
      </c>
      <c r="HD19" s="5">
        <f t="shared" si="31"/>
        <v>589.81996915858247</v>
      </c>
      <c r="HE19" s="5">
        <f t="shared" ref="HE19:HS19" si="32">HE5*0.25</f>
        <v>578.02356977541081</v>
      </c>
      <c r="HF19" s="5">
        <f t="shared" si="32"/>
        <v>566.46309837990259</v>
      </c>
      <c r="HG19" s="5">
        <f t="shared" si="32"/>
        <v>555.1338364123045</v>
      </c>
      <c r="HH19" s="5">
        <f t="shared" si="32"/>
        <v>544.03115968405837</v>
      </c>
      <c r="HI19" s="5">
        <f t="shared" si="32"/>
        <v>533.15053649037714</v>
      </c>
      <c r="HJ19" s="5">
        <f t="shared" si="32"/>
        <v>522.48752576056961</v>
      </c>
      <c r="HK19" s="5">
        <f t="shared" si="32"/>
        <v>512.03777524535826</v>
      </c>
      <c r="HL19" s="5">
        <f t="shared" si="32"/>
        <v>501.79701974045111</v>
      </c>
      <c r="HM19" s="5">
        <f t="shared" si="32"/>
        <v>491.76107934564209</v>
      </c>
      <c r="HN19" s="5">
        <f t="shared" si="32"/>
        <v>481.92585775872925</v>
      </c>
      <c r="HO19" s="5">
        <f t="shared" si="32"/>
        <v>472.28734060355464</v>
      </c>
      <c r="HP19" s="5">
        <f t="shared" si="32"/>
        <v>462.84159379148355</v>
      </c>
      <c r="HQ19" s="5">
        <f t="shared" si="32"/>
        <v>453.58476191565387</v>
      </c>
      <c r="HR19" s="5">
        <f t="shared" si="32"/>
        <v>444.51306667734076</v>
      </c>
      <c r="HS19" s="5">
        <f t="shared" si="32"/>
        <v>435.62280534379391</v>
      </c>
    </row>
    <row r="20" spans="2:748" x14ac:dyDescent="0.3">
      <c r="B20" t="s">
        <v>1</v>
      </c>
      <c r="C20" s="2">
        <v>2758</v>
      </c>
      <c r="D20" s="2">
        <v>2798</v>
      </c>
      <c r="E20" s="2">
        <v>2804</v>
      </c>
      <c r="F20" s="2">
        <v>2814</v>
      </c>
      <c r="G20" s="2">
        <v>2812</v>
      </c>
      <c r="H20" s="2">
        <v>2804</v>
      </c>
      <c r="I20" s="2">
        <v>2796</v>
      </c>
      <c r="J20" s="2">
        <v>2785</v>
      </c>
      <c r="K20" s="2">
        <v>2775</v>
      </c>
      <c r="N20" s="2">
        <v>2782</v>
      </c>
      <c r="O20" s="2">
        <f>G20</f>
        <v>2812</v>
      </c>
      <c r="P20" s="2">
        <v>2790</v>
      </c>
      <c r="Q20" s="2"/>
      <c r="R20" s="2"/>
      <c r="S20" s="2"/>
    </row>
    <row r="21" spans="2:748" x14ac:dyDescent="0.3">
      <c r="B21" s="1" t="s">
        <v>31</v>
      </c>
      <c r="C21" s="3">
        <f t="shared" ref="C21:K21" si="33">C19/C20</f>
        <v>0.26033357505438726</v>
      </c>
      <c r="D21" s="3">
        <f t="shared" si="33"/>
        <v>0.3030736240171551</v>
      </c>
      <c r="E21" s="3">
        <f t="shared" si="33"/>
        <v>0.25606276747503565</v>
      </c>
      <c r="F21" s="3">
        <f t="shared" si="33"/>
        <v>0.32551528073916136</v>
      </c>
      <c r="G21" s="3">
        <f t="shared" si="33"/>
        <v>0.13015647226173541</v>
      </c>
      <c r="H21" s="3">
        <f t="shared" si="33"/>
        <v>0.26925820256776034</v>
      </c>
      <c r="I21" s="3">
        <f t="shared" si="33"/>
        <v>0.27002861230329039</v>
      </c>
      <c r="J21" s="3">
        <f t="shared" si="33"/>
        <v>0.39066427289048472</v>
      </c>
      <c r="K21" s="3">
        <f t="shared" si="33"/>
        <v>0.25621621621621621</v>
      </c>
      <c r="N21" s="3">
        <f>N19/N20</f>
        <v>0.393961179007908</v>
      </c>
      <c r="O21" s="3">
        <f t="shared" ref="O21:P21" si="34">O19/O20</f>
        <v>1.0128022759601707</v>
      </c>
      <c r="P21" s="3">
        <f t="shared" si="34"/>
        <v>1.1666666666666667</v>
      </c>
    </row>
    <row r="22" spans="2:748" x14ac:dyDescent="0.3">
      <c r="B22" s="1"/>
      <c r="C22" s="3"/>
      <c r="D22" s="3"/>
      <c r="E22" s="3"/>
      <c r="F22" s="3"/>
      <c r="G22" s="3"/>
      <c r="H22" s="3"/>
      <c r="I22" s="3"/>
      <c r="J22" s="3"/>
      <c r="K22" s="3"/>
      <c r="N22" s="3"/>
      <c r="O22" s="3"/>
      <c r="P22" s="3"/>
    </row>
    <row r="23" spans="2:748" x14ac:dyDescent="0.3">
      <c r="B23" s="1" t="s">
        <v>876</v>
      </c>
      <c r="C23" s="3"/>
      <c r="D23" s="3"/>
      <c r="E23" s="3"/>
      <c r="F23" s="3"/>
      <c r="G23" s="3"/>
      <c r="H23" s="3"/>
      <c r="I23" s="3"/>
      <c r="J23" s="3"/>
      <c r="K23" s="3"/>
      <c r="N23" s="3"/>
      <c r="O23" s="7">
        <f>O11/N11-1</f>
        <v>0.32726484612050277</v>
      </c>
      <c r="P23" s="7">
        <f t="shared" ref="P23:S23" si="35">P11/O11-1</f>
        <v>-4.833442194644022E-2</v>
      </c>
      <c r="Q23" s="7"/>
      <c r="R23" s="7">
        <f t="shared" si="35"/>
        <v>0.10465116279069764</v>
      </c>
      <c r="S23" s="7">
        <f t="shared" si="35"/>
        <v>0.13684210526315788</v>
      </c>
    </row>
    <row r="24" spans="2:748" x14ac:dyDescent="0.3">
      <c r="B24" s="1" t="s">
        <v>396</v>
      </c>
      <c r="C24" s="3"/>
      <c r="D24" s="3"/>
      <c r="E24" s="3"/>
      <c r="F24" s="3"/>
      <c r="G24" s="7">
        <f t="shared" ref="G24:J24" si="36">G5/C5-1</f>
        <v>2.6480400333611431E-2</v>
      </c>
      <c r="H24" s="7">
        <f t="shared" si="36"/>
        <v>-3.7486218302094865E-2</v>
      </c>
      <c r="I24" s="7">
        <f t="shared" si="36"/>
        <v>-5.9612518628912037E-3</v>
      </c>
      <c r="J24" s="7">
        <f t="shared" si="36"/>
        <v>1.2920991315399366E-2</v>
      </c>
      <c r="K24" s="7">
        <f>K5/G5-1</f>
        <v>-5.0375787121673787E-2</v>
      </c>
      <c r="N24" s="3"/>
      <c r="O24" s="7">
        <f t="shared" ref="O24" si="37">O5/N5-1</f>
        <v>5.2702024426970029E-2</v>
      </c>
      <c r="P24" s="7">
        <f>P5/O5-1</f>
        <v>-3.3799533799533821E-2</v>
      </c>
      <c r="Q24" s="7">
        <f t="shared" ref="Q24:S24" si="38">Q5/P5-1</f>
        <v>7.391161311547334E-2</v>
      </c>
      <c r="R24" s="7">
        <f t="shared" si="38"/>
        <v>5.8613295210864891E-2</v>
      </c>
      <c r="S24" s="7">
        <f t="shared" si="38"/>
        <v>5.8068872383524539E-2</v>
      </c>
      <c r="W24" t="s">
        <v>570</v>
      </c>
      <c r="X24" s="7">
        <v>0.02</v>
      </c>
    </row>
    <row r="25" spans="2:748" x14ac:dyDescent="0.3">
      <c r="B25" s="1" t="s">
        <v>873</v>
      </c>
      <c r="C25" s="3"/>
      <c r="D25" s="3"/>
      <c r="E25" s="3"/>
      <c r="F25" s="3"/>
      <c r="G25" s="7"/>
      <c r="H25" s="7"/>
      <c r="I25" s="7"/>
      <c r="J25" s="7"/>
      <c r="K25" s="7"/>
      <c r="N25" s="3"/>
      <c r="O25" s="7">
        <f>O19/N19-1</f>
        <v>1.5985401459854014</v>
      </c>
      <c r="P25" s="7">
        <f t="shared" ref="P25:S25" si="39">P19/O19-1</f>
        <v>0.14290730337078661</v>
      </c>
      <c r="Q25" s="7">
        <f t="shared" si="39"/>
        <v>0.10967741935483888</v>
      </c>
      <c r="R25" s="7">
        <f t="shared" si="39"/>
        <v>8.1395348837209225E-2</v>
      </c>
      <c r="S25" s="7">
        <f t="shared" si="39"/>
        <v>0.17562724014336895</v>
      </c>
      <c r="T25" s="7"/>
      <c r="U25" s="7"/>
      <c r="W25" t="s">
        <v>874</v>
      </c>
      <c r="X25" s="7">
        <v>7.2900000000000006E-2</v>
      </c>
      <c r="Z25" s="7"/>
      <c r="AA25" s="7"/>
      <c r="AB25" s="7"/>
      <c r="AC25" s="7"/>
      <c r="AD25" s="7"/>
      <c r="AE25" s="7"/>
      <c r="AF25" s="7"/>
      <c r="AG25" s="7"/>
      <c r="AH25" s="7"/>
      <c r="AI25" s="7"/>
      <c r="AJ25" s="7"/>
      <c r="AK25" s="7"/>
      <c r="AL25" s="7"/>
      <c r="AM25" s="7"/>
      <c r="AN25" s="7"/>
      <c r="AO25" s="7"/>
      <c r="AP25" s="7"/>
      <c r="AQ25" s="7"/>
      <c r="AR25" s="7"/>
      <c r="AS25" s="7"/>
      <c r="AT25" s="7"/>
    </row>
    <row r="26" spans="2:748" x14ac:dyDescent="0.3">
      <c r="B26" s="1"/>
      <c r="C26" s="3"/>
      <c r="D26" s="3"/>
      <c r="E26" s="3"/>
      <c r="F26" s="3"/>
      <c r="G26" s="7"/>
      <c r="H26" s="7"/>
      <c r="I26" s="7"/>
      <c r="J26" s="7"/>
      <c r="K26" s="7"/>
      <c r="N26" s="3"/>
      <c r="O26" s="7"/>
      <c r="P26" s="7"/>
      <c r="Q26" s="7"/>
      <c r="R26" s="7"/>
      <c r="S26" s="7"/>
      <c r="W26" t="s">
        <v>92</v>
      </c>
      <c r="X26" s="10">
        <f>NPV(X25,Q19:HS19)</f>
        <v>123442.73832783496</v>
      </c>
    </row>
    <row r="27" spans="2:748" x14ac:dyDescent="0.3">
      <c r="B27" s="1" t="s">
        <v>387</v>
      </c>
      <c r="C27" s="7">
        <f t="shared" ref="C27:K27" si="40">C7/C5</f>
        <v>0.48769808173477897</v>
      </c>
      <c r="D27" s="7">
        <f t="shared" si="40"/>
        <v>0.51356119073869899</v>
      </c>
      <c r="E27" s="7">
        <f t="shared" si="40"/>
        <v>0.52522886949116454</v>
      </c>
      <c r="F27" s="7">
        <f t="shared" si="40"/>
        <v>0.52700699004448215</v>
      </c>
      <c r="G27" s="7">
        <f t="shared" si="40"/>
        <v>0.50172658947796056</v>
      </c>
      <c r="H27" s="7">
        <f t="shared" si="40"/>
        <v>0.51477663230240545</v>
      </c>
      <c r="I27" s="7">
        <f t="shared" si="40"/>
        <v>0.51659884343542517</v>
      </c>
      <c r="J27" s="7">
        <f t="shared" si="40"/>
        <v>0.51129234629861986</v>
      </c>
      <c r="K27" s="7">
        <f t="shared" si="40"/>
        <v>0.4722994652406417</v>
      </c>
      <c r="N27" s="7">
        <f>N7/N5</f>
        <v>0.48307400591154981</v>
      </c>
      <c r="O27" s="7">
        <f>O7/O5</f>
        <v>0.5167408349226531</v>
      </c>
      <c r="P27" s="7">
        <f>P7/P5</f>
        <v>0.50345432613225138</v>
      </c>
      <c r="Q27" s="7">
        <v>0.5</v>
      </c>
      <c r="R27" s="7">
        <v>0.5</v>
      </c>
      <c r="S27" s="7">
        <v>0.5</v>
      </c>
      <c r="W27" t="s">
        <v>875</v>
      </c>
      <c r="X27" s="10">
        <f>X26+K37</f>
        <v>156494.73832783496</v>
      </c>
    </row>
    <row r="28" spans="2:748" x14ac:dyDescent="0.3">
      <c r="B28" s="1" t="s">
        <v>390</v>
      </c>
      <c r="C28" s="7">
        <f t="shared" ref="C28:K28" si="41">C11/C5</f>
        <v>0.13886572143452877</v>
      </c>
      <c r="D28" s="7">
        <f t="shared" si="41"/>
        <v>0.15986769570011025</v>
      </c>
      <c r="E28" s="7">
        <f t="shared" si="41"/>
        <v>0.15286352991271024</v>
      </c>
      <c r="F28" s="7">
        <f t="shared" si="41"/>
        <v>0.18216479559415377</v>
      </c>
      <c r="G28" s="7">
        <f t="shared" si="41"/>
        <v>0.15417428397318708</v>
      </c>
      <c r="H28" s="7">
        <f t="shared" si="41"/>
        <v>0.17411225658648338</v>
      </c>
      <c r="I28" s="7">
        <f t="shared" si="41"/>
        <v>0.17519811522810025</v>
      </c>
      <c r="J28" s="7">
        <f t="shared" si="41"/>
        <v>0.17649519029694688</v>
      </c>
      <c r="K28" s="7">
        <f t="shared" si="41"/>
        <v>0.11486631016042781</v>
      </c>
      <c r="N28" s="7">
        <f t="shared" ref="N28:S28" si="42">N11/N5</f>
        <v>0.12865986280742847</v>
      </c>
      <c r="O28" s="7">
        <f t="shared" si="42"/>
        <v>0.16221657130748041</v>
      </c>
      <c r="P28" s="7">
        <f t="shared" si="42"/>
        <v>0.15977629126000659</v>
      </c>
      <c r="Q28" s="7">
        <f t="shared" si="42"/>
        <v>0.18441744102930663</v>
      </c>
      <c r="R28" s="7">
        <f t="shared" si="42"/>
        <v>0.19243754220121539</v>
      </c>
      <c r="S28" s="7">
        <f t="shared" si="42"/>
        <v>0.20676451818761962</v>
      </c>
      <c r="W28" t="s">
        <v>92</v>
      </c>
      <c r="X28" s="3">
        <f>X27/P20</f>
        <v>56.091304060155899</v>
      </c>
    </row>
    <row r="29" spans="2:748" x14ac:dyDescent="0.3">
      <c r="B29" s="1" t="s">
        <v>391</v>
      </c>
      <c r="C29" s="7">
        <f t="shared" ref="C29:K29" si="43">C16/C19</f>
        <v>0.35933147632311979</v>
      </c>
      <c r="D29" s="7">
        <f t="shared" si="43"/>
        <v>0.44575471698113206</v>
      </c>
      <c r="E29" s="7">
        <f t="shared" si="43"/>
        <v>0.26323119777158777</v>
      </c>
      <c r="F29" s="7">
        <f t="shared" si="43"/>
        <v>0.28493449781659391</v>
      </c>
      <c r="G29" s="7">
        <f t="shared" si="43"/>
        <v>-0.97267759562841527</v>
      </c>
      <c r="H29" s="7">
        <f t="shared" si="43"/>
        <v>0.22913907284768212</v>
      </c>
      <c r="I29" s="7">
        <f t="shared" si="43"/>
        <v>0.1403973509933775</v>
      </c>
      <c r="J29" s="7">
        <f t="shared" si="43"/>
        <v>0.35018382352941174</v>
      </c>
      <c r="K29" s="7">
        <f t="shared" si="43"/>
        <v>0.51195499296765123</v>
      </c>
      <c r="M29" s="7"/>
      <c r="N29" s="7">
        <f>N16/N19</f>
        <v>-0.76733576642335766</v>
      </c>
      <c r="O29" s="7">
        <f>O16/O19</f>
        <v>0.16573033707865167</v>
      </c>
      <c r="P29" s="7">
        <f>P16/P19</f>
        <v>0.30937019969278035</v>
      </c>
      <c r="Q29" s="7">
        <f t="shared" ref="Q29:S29" si="44">Q16/Q19</f>
        <v>0.27451827242524912</v>
      </c>
      <c r="R29" s="7">
        <f t="shared" si="44"/>
        <v>0.25385560675883251</v>
      </c>
      <c r="S29" s="7">
        <f t="shared" si="44"/>
        <v>0.21593205574912891</v>
      </c>
    </row>
    <row r="30" spans="2:748" x14ac:dyDescent="0.3">
      <c r="B30" s="1" t="s">
        <v>799</v>
      </c>
      <c r="C30" s="7">
        <f>C16/C11</f>
        <v>0.38738738738738737</v>
      </c>
      <c r="D30" s="7">
        <f t="shared" ref="D30:K30" si="45">D16/D11</f>
        <v>0.52137931034482754</v>
      </c>
      <c r="E30" s="7">
        <f t="shared" si="45"/>
        <v>0.26323119777158777</v>
      </c>
      <c r="F30" s="7">
        <f t="shared" si="45"/>
        <v>0.30348837209302326</v>
      </c>
      <c r="G30" s="7">
        <f t="shared" si="45"/>
        <v>-0.46903820816864294</v>
      </c>
      <c r="H30" s="7">
        <f t="shared" si="45"/>
        <v>0.22763157894736843</v>
      </c>
      <c r="I30" s="7">
        <f t="shared" si="45"/>
        <v>0.1295843520782396</v>
      </c>
      <c r="J30" s="7">
        <f t="shared" si="45"/>
        <v>0.45142180094786732</v>
      </c>
      <c r="K30" s="7">
        <f t="shared" si="45"/>
        <v>0.67783985102420852</v>
      </c>
      <c r="N30" s="7">
        <f t="shared" ref="N30:S30" si="46">N16/N11</f>
        <v>-0.36454269614217599</v>
      </c>
      <c r="O30" s="7">
        <f t="shared" si="46"/>
        <v>0.1541476159372959</v>
      </c>
      <c r="P30" s="7">
        <f t="shared" si="46"/>
        <v>0.34557309540150993</v>
      </c>
      <c r="Q30" s="7">
        <f t="shared" si="46"/>
        <v>0.27451827242524912</v>
      </c>
      <c r="R30" s="7">
        <f t="shared" si="46"/>
        <v>0.24851127819548868</v>
      </c>
      <c r="S30" s="7">
        <f t="shared" si="46"/>
        <v>0.2185978835978836</v>
      </c>
    </row>
    <row r="31" spans="2:748" x14ac:dyDescent="0.3">
      <c r="C31"/>
      <c r="AV31">
        <f>AU31*(1+$AO$35)</f>
        <v>0</v>
      </c>
      <c r="AW31">
        <f t="shared" ref="AW31:DH31" si="47">AV31*(1+$AO$35)</f>
        <v>0</v>
      </c>
      <c r="AX31">
        <f t="shared" si="47"/>
        <v>0</v>
      </c>
      <c r="AY31">
        <f t="shared" si="47"/>
        <v>0</v>
      </c>
      <c r="AZ31">
        <f t="shared" si="47"/>
        <v>0</v>
      </c>
      <c r="BA31">
        <f t="shared" si="47"/>
        <v>0</v>
      </c>
      <c r="BB31">
        <f t="shared" si="47"/>
        <v>0</v>
      </c>
      <c r="BC31">
        <f t="shared" si="47"/>
        <v>0</v>
      </c>
      <c r="BD31">
        <f t="shared" si="47"/>
        <v>0</v>
      </c>
      <c r="BE31">
        <f t="shared" si="47"/>
        <v>0</v>
      </c>
      <c r="BF31">
        <f t="shared" si="47"/>
        <v>0</v>
      </c>
      <c r="BG31">
        <f t="shared" si="47"/>
        <v>0</v>
      </c>
      <c r="BH31">
        <f t="shared" si="47"/>
        <v>0</v>
      </c>
      <c r="BI31">
        <f t="shared" si="47"/>
        <v>0</v>
      </c>
      <c r="BJ31">
        <f t="shared" si="47"/>
        <v>0</v>
      </c>
      <c r="BK31">
        <f t="shared" si="47"/>
        <v>0</v>
      </c>
      <c r="BL31">
        <f t="shared" si="47"/>
        <v>0</v>
      </c>
      <c r="BM31">
        <f t="shared" si="47"/>
        <v>0</v>
      </c>
      <c r="BN31">
        <f t="shared" si="47"/>
        <v>0</v>
      </c>
      <c r="BO31">
        <f t="shared" si="47"/>
        <v>0</v>
      </c>
      <c r="BP31">
        <f t="shared" si="47"/>
        <v>0</v>
      </c>
      <c r="BQ31">
        <f t="shared" si="47"/>
        <v>0</v>
      </c>
      <c r="BR31">
        <f t="shared" si="47"/>
        <v>0</v>
      </c>
      <c r="BS31">
        <f t="shared" si="47"/>
        <v>0</v>
      </c>
      <c r="BT31">
        <f t="shared" si="47"/>
        <v>0</v>
      </c>
      <c r="BU31">
        <f t="shared" si="47"/>
        <v>0</v>
      </c>
      <c r="BV31">
        <f t="shared" si="47"/>
        <v>0</v>
      </c>
      <c r="BW31">
        <f t="shared" si="47"/>
        <v>0</v>
      </c>
      <c r="BX31">
        <f t="shared" si="47"/>
        <v>0</v>
      </c>
      <c r="BY31">
        <f t="shared" si="47"/>
        <v>0</v>
      </c>
      <c r="BZ31">
        <f t="shared" si="47"/>
        <v>0</v>
      </c>
      <c r="CA31">
        <f t="shared" si="47"/>
        <v>0</v>
      </c>
      <c r="CB31">
        <f t="shared" si="47"/>
        <v>0</v>
      </c>
      <c r="CC31">
        <f t="shared" si="47"/>
        <v>0</v>
      </c>
      <c r="CD31">
        <f t="shared" si="47"/>
        <v>0</v>
      </c>
      <c r="CE31">
        <f t="shared" si="47"/>
        <v>0</v>
      </c>
      <c r="CF31">
        <f t="shared" si="47"/>
        <v>0</v>
      </c>
      <c r="CG31">
        <f t="shared" si="47"/>
        <v>0</v>
      </c>
      <c r="CH31">
        <f t="shared" si="47"/>
        <v>0</v>
      </c>
      <c r="CI31">
        <f t="shared" si="47"/>
        <v>0</v>
      </c>
      <c r="CJ31">
        <f t="shared" si="47"/>
        <v>0</v>
      </c>
      <c r="CK31">
        <f t="shared" si="47"/>
        <v>0</v>
      </c>
      <c r="CL31">
        <f t="shared" si="47"/>
        <v>0</v>
      </c>
      <c r="CM31">
        <f t="shared" si="47"/>
        <v>0</v>
      </c>
      <c r="CN31">
        <f t="shared" si="47"/>
        <v>0</v>
      </c>
      <c r="CO31">
        <f t="shared" si="47"/>
        <v>0</v>
      </c>
      <c r="CP31">
        <f t="shared" si="47"/>
        <v>0</v>
      </c>
      <c r="CQ31">
        <f t="shared" si="47"/>
        <v>0</v>
      </c>
      <c r="CR31">
        <f t="shared" si="47"/>
        <v>0</v>
      </c>
      <c r="CS31">
        <f t="shared" si="47"/>
        <v>0</v>
      </c>
      <c r="CT31">
        <f t="shared" si="47"/>
        <v>0</v>
      </c>
      <c r="CU31">
        <f t="shared" si="47"/>
        <v>0</v>
      </c>
      <c r="CV31">
        <f t="shared" si="47"/>
        <v>0</v>
      </c>
      <c r="CW31">
        <f t="shared" si="47"/>
        <v>0</v>
      </c>
      <c r="CX31">
        <f t="shared" si="47"/>
        <v>0</v>
      </c>
      <c r="CY31">
        <f t="shared" si="47"/>
        <v>0</v>
      </c>
      <c r="CZ31">
        <f t="shared" si="47"/>
        <v>0</v>
      </c>
      <c r="DA31">
        <f t="shared" si="47"/>
        <v>0</v>
      </c>
      <c r="DB31">
        <f t="shared" si="47"/>
        <v>0</v>
      </c>
      <c r="DC31">
        <f t="shared" si="47"/>
        <v>0</v>
      </c>
      <c r="DD31">
        <f t="shared" si="47"/>
        <v>0</v>
      </c>
      <c r="DE31">
        <f t="shared" si="47"/>
        <v>0</v>
      </c>
      <c r="DF31">
        <f t="shared" si="47"/>
        <v>0</v>
      </c>
      <c r="DG31">
        <f t="shared" si="47"/>
        <v>0</v>
      </c>
      <c r="DH31">
        <f t="shared" si="47"/>
        <v>0</v>
      </c>
      <c r="DI31">
        <f t="shared" ref="DI31:FT31" si="48">DH31*(1+$AO$35)</f>
        <v>0</v>
      </c>
      <c r="DJ31">
        <f t="shared" si="48"/>
        <v>0</v>
      </c>
      <c r="DK31">
        <f t="shared" si="48"/>
        <v>0</v>
      </c>
      <c r="DL31">
        <f t="shared" si="48"/>
        <v>0</v>
      </c>
      <c r="DM31">
        <f t="shared" si="48"/>
        <v>0</v>
      </c>
      <c r="DN31">
        <f t="shared" si="48"/>
        <v>0</v>
      </c>
      <c r="DO31">
        <f t="shared" si="48"/>
        <v>0</v>
      </c>
      <c r="DP31">
        <f t="shared" si="48"/>
        <v>0</v>
      </c>
      <c r="DQ31">
        <f t="shared" si="48"/>
        <v>0</v>
      </c>
      <c r="DR31">
        <f t="shared" si="48"/>
        <v>0</v>
      </c>
      <c r="DS31">
        <f t="shared" si="48"/>
        <v>0</v>
      </c>
      <c r="DT31">
        <f t="shared" si="48"/>
        <v>0</v>
      </c>
      <c r="DU31">
        <f t="shared" si="48"/>
        <v>0</v>
      </c>
      <c r="DV31">
        <f t="shared" si="48"/>
        <v>0</v>
      </c>
      <c r="DW31">
        <f t="shared" si="48"/>
        <v>0</v>
      </c>
      <c r="DX31">
        <f t="shared" si="48"/>
        <v>0</v>
      </c>
      <c r="DY31">
        <f t="shared" si="48"/>
        <v>0</v>
      </c>
      <c r="DZ31">
        <f t="shared" si="48"/>
        <v>0</v>
      </c>
      <c r="EA31">
        <f t="shared" si="48"/>
        <v>0</v>
      </c>
      <c r="EB31">
        <f t="shared" si="48"/>
        <v>0</v>
      </c>
      <c r="EC31">
        <f t="shared" si="48"/>
        <v>0</v>
      </c>
      <c r="ED31">
        <f t="shared" si="48"/>
        <v>0</v>
      </c>
      <c r="EE31">
        <f t="shared" si="48"/>
        <v>0</v>
      </c>
      <c r="EF31">
        <f t="shared" si="48"/>
        <v>0</v>
      </c>
      <c r="EG31">
        <f t="shared" si="48"/>
        <v>0</v>
      </c>
      <c r="EH31">
        <f t="shared" si="48"/>
        <v>0</v>
      </c>
      <c r="EI31">
        <f t="shared" si="48"/>
        <v>0</v>
      </c>
      <c r="EJ31">
        <f t="shared" si="48"/>
        <v>0</v>
      </c>
      <c r="EK31">
        <f t="shared" si="48"/>
        <v>0</v>
      </c>
      <c r="EL31">
        <f t="shared" si="48"/>
        <v>0</v>
      </c>
      <c r="EM31">
        <f t="shared" si="48"/>
        <v>0</v>
      </c>
      <c r="EN31">
        <f t="shared" si="48"/>
        <v>0</v>
      </c>
      <c r="EO31">
        <f t="shared" si="48"/>
        <v>0</v>
      </c>
      <c r="EP31">
        <f t="shared" si="48"/>
        <v>0</v>
      </c>
      <c r="EQ31">
        <f t="shared" si="48"/>
        <v>0</v>
      </c>
      <c r="ER31">
        <f t="shared" si="48"/>
        <v>0</v>
      </c>
      <c r="ES31">
        <f t="shared" si="48"/>
        <v>0</v>
      </c>
      <c r="ET31">
        <f t="shared" si="48"/>
        <v>0</v>
      </c>
      <c r="EU31">
        <f t="shared" si="48"/>
        <v>0</v>
      </c>
      <c r="EV31">
        <f t="shared" si="48"/>
        <v>0</v>
      </c>
      <c r="EW31">
        <f t="shared" si="48"/>
        <v>0</v>
      </c>
      <c r="EX31">
        <f t="shared" si="48"/>
        <v>0</v>
      </c>
      <c r="EY31">
        <f t="shared" si="48"/>
        <v>0</v>
      </c>
      <c r="EZ31">
        <f t="shared" si="48"/>
        <v>0</v>
      </c>
      <c r="FA31">
        <f t="shared" si="48"/>
        <v>0</v>
      </c>
      <c r="FB31">
        <f t="shared" si="48"/>
        <v>0</v>
      </c>
      <c r="FC31">
        <f t="shared" si="48"/>
        <v>0</v>
      </c>
      <c r="FD31">
        <f t="shared" si="48"/>
        <v>0</v>
      </c>
      <c r="FE31">
        <f t="shared" si="48"/>
        <v>0</v>
      </c>
      <c r="FF31">
        <f t="shared" si="48"/>
        <v>0</v>
      </c>
      <c r="FG31">
        <f t="shared" si="48"/>
        <v>0</v>
      </c>
      <c r="FH31">
        <f t="shared" si="48"/>
        <v>0</v>
      </c>
      <c r="FI31">
        <f t="shared" si="48"/>
        <v>0</v>
      </c>
      <c r="FJ31">
        <f t="shared" si="48"/>
        <v>0</v>
      </c>
      <c r="FK31">
        <f t="shared" si="48"/>
        <v>0</v>
      </c>
      <c r="FL31">
        <f t="shared" si="48"/>
        <v>0</v>
      </c>
      <c r="FM31">
        <f t="shared" si="48"/>
        <v>0</v>
      </c>
      <c r="FN31">
        <f t="shared" si="48"/>
        <v>0</v>
      </c>
      <c r="FO31">
        <f t="shared" si="48"/>
        <v>0</v>
      </c>
      <c r="FP31">
        <f t="shared" si="48"/>
        <v>0</v>
      </c>
      <c r="FQ31">
        <f t="shared" si="48"/>
        <v>0</v>
      </c>
      <c r="FR31">
        <f t="shared" si="48"/>
        <v>0</v>
      </c>
      <c r="FS31">
        <f t="shared" si="48"/>
        <v>0</v>
      </c>
      <c r="FT31">
        <f t="shared" si="48"/>
        <v>0</v>
      </c>
      <c r="FU31">
        <f t="shared" ref="FU31:IF31" si="49">FT31*(1+$AO$35)</f>
        <v>0</v>
      </c>
      <c r="FV31">
        <f t="shared" si="49"/>
        <v>0</v>
      </c>
      <c r="FW31">
        <f t="shared" si="49"/>
        <v>0</v>
      </c>
      <c r="FX31">
        <f t="shared" si="49"/>
        <v>0</v>
      </c>
      <c r="FY31">
        <f t="shared" si="49"/>
        <v>0</v>
      </c>
      <c r="FZ31">
        <f t="shared" si="49"/>
        <v>0</v>
      </c>
      <c r="GA31">
        <f t="shared" si="49"/>
        <v>0</v>
      </c>
      <c r="GB31">
        <f t="shared" si="49"/>
        <v>0</v>
      </c>
      <c r="GC31">
        <f t="shared" si="49"/>
        <v>0</v>
      </c>
      <c r="GD31">
        <f t="shared" si="49"/>
        <v>0</v>
      </c>
      <c r="GE31">
        <f t="shared" si="49"/>
        <v>0</v>
      </c>
      <c r="GF31">
        <f t="shared" si="49"/>
        <v>0</v>
      </c>
      <c r="GG31">
        <f t="shared" si="49"/>
        <v>0</v>
      </c>
      <c r="GH31">
        <f t="shared" si="49"/>
        <v>0</v>
      </c>
      <c r="GI31">
        <f t="shared" si="49"/>
        <v>0</v>
      </c>
      <c r="GJ31">
        <f t="shared" si="49"/>
        <v>0</v>
      </c>
      <c r="GK31">
        <f t="shared" si="49"/>
        <v>0</v>
      </c>
      <c r="GL31">
        <f t="shared" si="49"/>
        <v>0</v>
      </c>
      <c r="GM31">
        <f t="shared" si="49"/>
        <v>0</v>
      </c>
      <c r="GN31">
        <f t="shared" si="49"/>
        <v>0</v>
      </c>
      <c r="GO31">
        <f t="shared" si="49"/>
        <v>0</v>
      </c>
      <c r="GP31">
        <f t="shared" si="49"/>
        <v>0</v>
      </c>
      <c r="GQ31">
        <f t="shared" si="49"/>
        <v>0</v>
      </c>
      <c r="GR31">
        <f t="shared" si="49"/>
        <v>0</v>
      </c>
      <c r="GS31">
        <f t="shared" si="49"/>
        <v>0</v>
      </c>
      <c r="GT31">
        <f t="shared" si="49"/>
        <v>0</v>
      </c>
      <c r="GU31">
        <f t="shared" si="49"/>
        <v>0</v>
      </c>
      <c r="GV31">
        <f t="shared" si="49"/>
        <v>0</v>
      </c>
      <c r="GW31">
        <f t="shared" si="49"/>
        <v>0</v>
      </c>
      <c r="GX31">
        <f t="shared" si="49"/>
        <v>0</v>
      </c>
      <c r="GY31">
        <f t="shared" si="49"/>
        <v>0</v>
      </c>
      <c r="GZ31">
        <f t="shared" si="49"/>
        <v>0</v>
      </c>
      <c r="HA31">
        <f t="shared" si="49"/>
        <v>0</v>
      </c>
      <c r="HB31">
        <f t="shared" si="49"/>
        <v>0</v>
      </c>
      <c r="HC31">
        <f t="shared" si="49"/>
        <v>0</v>
      </c>
      <c r="HD31">
        <f t="shared" si="49"/>
        <v>0</v>
      </c>
      <c r="HE31">
        <f t="shared" si="49"/>
        <v>0</v>
      </c>
      <c r="HF31">
        <f t="shared" si="49"/>
        <v>0</v>
      </c>
      <c r="HG31">
        <f t="shared" si="49"/>
        <v>0</v>
      </c>
      <c r="HH31">
        <f t="shared" si="49"/>
        <v>0</v>
      </c>
      <c r="HI31">
        <f t="shared" si="49"/>
        <v>0</v>
      </c>
      <c r="HJ31">
        <f t="shared" si="49"/>
        <v>0</v>
      </c>
      <c r="HK31">
        <f t="shared" si="49"/>
        <v>0</v>
      </c>
      <c r="HL31">
        <f t="shared" si="49"/>
        <v>0</v>
      </c>
      <c r="HM31">
        <f t="shared" si="49"/>
        <v>0</v>
      </c>
      <c r="HN31">
        <f t="shared" si="49"/>
        <v>0</v>
      </c>
      <c r="HO31">
        <f t="shared" si="49"/>
        <v>0</v>
      </c>
      <c r="HP31">
        <f t="shared" si="49"/>
        <v>0</v>
      </c>
      <c r="HQ31">
        <f t="shared" si="49"/>
        <v>0</v>
      </c>
      <c r="HR31">
        <f t="shared" si="49"/>
        <v>0</v>
      </c>
      <c r="HS31">
        <f t="shared" si="49"/>
        <v>0</v>
      </c>
      <c r="HT31">
        <f t="shared" si="49"/>
        <v>0</v>
      </c>
      <c r="HU31">
        <f t="shared" si="49"/>
        <v>0</v>
      </c>
      <c r="HV31">
        <f t="shared" si="49"/>
        <v>0</v>
      </c>
      <c r="HW31">
        <f t="shared" si="49"/>
        <v>0</v>
      </c>
      <c r="HX31">
        <f t="shared" si="49"/>
        <v>0</v>
      </c>
      <c r="HY31">
        <f t="shared" si="49"/>
        <v>0</v>
      </c>
      <c r="HZ31">
        <f t="shared" si="49"/>
        <v>0</v>
      </c>
      <c r="IA31">
        <f t="shared" si="49"/>
        <v>0</v>
      </c>
      <c r="IB31">
        <f t="shared" si="49"/>
        <v>0</v>
      </c>
      <c r="IC31">
        <f t="shared" si="49"/>
        <v>0</v>
      </c>
      <c r="ID31">
        <f t="shared" si="49"/>
        <v>0</v>
      </c>
      <c r="IE31">
        <f t="shared" si="49"/>
        <v>0</v>
      </c>
      <c r="IF31">
        <f t="shared" si="49"/>
        <v>0</v>
      </c>
      <c r="IG31">
        <f t="shared" ref="IG31:KR31" si="50">IF31*(1+$AO$35)</f>
        <v>0</v>
      </c>
      <c r="IH31">
        <f t="shared" si="50"/>
        <v>0</v>
      </c>
      <c r="II31">
        <f t="shared" si="50"/>
        <v>0</v>
      </c>
      <c r="IJ31">
        <f t="shared" si="50"/>
        <v>0</v>
      </c>
      <c r="IK31">
        <f t="shared" si="50"/>
        <v>0</v>
      </c>
      <c r="IL31">
        <f t="shared" si="50"/>
        <v>0</v>
      </c>
      <c r="IM31">
        <f t="shared" si="50"/>
        <v>0</v>
      </c>
      <c r="IN31">
        <f t="shared" si="50"/>
        <v>0</v>
      </c>
      <c r="IO31">
        <f t="shared" si="50"/>
        <v>0</v>
      </c>
      <c r="IP31">
        <f t="shared" si="50"/>
        <v>0</v>
      </c>
      <c r="IQ31">
        <f t="shared" si="50"/>
        <v>0</v>
      </c>
      <c r="IR31">
        <f t="shared" si="50"/>
        <v>0</v>
      </c>
      <c r="IS31">
        <f t="shared" si="50"/>
        <v>0</v>
      </c>
      <c r="IT31">
        <f t="shared" si="50"/>
        <v>0</v>
      </c>
      <c r="IU31">
        <f t="shared" si="50"/>
        <v>0</v>
      </c>
      <c r="IV31">
        <f t="shared" si="50"/>
        <v>0</v>
      </c>
      <c r="IW31">
        <f t="shared" si="50"/>
        <v>0</v>
      </c>
      <c r="IX31">
        <f t="shared" si="50"/>
        <v>0</v>
      </c>
      <c r="IY31">
        <f t="shared" si="50"/>
        <v>0</v>
      </c>
      <c r="IZ31">
        <f t="shared" si="50"/>
        <v>0</v>
      </c>
      <c r="JA31">
        <f t="shared" si="50"/>
        <v>0</v>
      </c>
      <c r="JB31">
        <f t="shared" si="50"/>
        <v>0</v>
      </c>
      <c r="JC31">
        <f t="shared" si="50"/>
        <v>0</v>
      </c>
      <c r="JD31">
        <f t="shared" si="50"/>
        <v>0</v>
      </c>
      <c r="JE31">
        <f t="shared" si="50"/>
        <v>0</v>
      </c>
      <c r="JF31">
        <f t="shared" si="50"/>
        <v>0</v>
      </c>
      <c r="JG31">
        <f t="shared" si="50"/>
        <v>0</v>
      </c>
      <c r="JH31">
        <f t="shared" si="50"/>
        <v>0</v>
      </c>
      <c r="JI31">
        <f t="shared" si="50"/>
        <v>0</v>
      </c>
      <c r="JJ31">
        <f t="shared" si="50"/>
        <v>0</v>
      </c>
      <c r="JK31">
        <f t="shared" si="50"/>
        <v>0</v>
      </c>
      <c r="JL31">
        <f t="shared" si="50"/>
        <v>0</v>
      </c>
      <c r="JM31">
        <f t="shared" si="50"/>
        <v>0</v>
      </c>
      <c r="JN31">
        <f t="shared" si="50"/>
        <v>0</v>
      </c>
      <c r="JO31">
        <f t="shared" si="50"/>
        <v>0</v>
      </c>
      <c r="JP31">
        <f t="shared" si="50"/>
        <v>0</v>
      </c>
      <c r="JQ31">
        <f t="shared" si="50"/>
        <v>0</v>
      </c>
      <c r="JR31">
        <f t="shared" si="50"/>
        <v>0</v>
      </c>
      <c r="JS31">
        <f t="shared" si="50"/>
        <v>0</v>
      </c>
      <c r="JT31">
        <f t="shared" si="50"/>
        <v>0</v>
      </c>
      <c r="JU31">
        <f t="shared" si="50"/>
        <v>0</v>
      </c>
      <c r="JV31">
        <f t="shared" si="50"/>
        <v>0</v>
      </c>
      <c r="JW31">
        <f t="shared" si="50"/>
        <v>0</v>
      </c>
      <c r="JX31">
        <f t="shared" si="50"/>
        <v>0</v>
      </c>
      <c r="JY31">
        <f t="shared" si="50"/>
        <v>0</v>
      </c>
      <c r="JZ31">
        <f t="shared" si="50"/>
        <v>0</v>
      </c>
      <c r="KA31">
        <f t="shared" si="50"/>
        <v>0</v>
      </c>
      <c r="KB31">
        <f t="shared" si="50"/>
        <v>0</v>
      </c>
      <c r="KC31">
        <f t="shared" si="50"/>
        <v>0</v>
      </c>
      <c r="KD31">
        <f t="shared" si="50"/>
        <v>0</v>
      </c>
      <c r="KE31">
        <f t="shared" si="50"/>
        <v>0</v>
      </c>
      <c r="KF31">
        <f t="shared" si="50"/>
        <v>0</v>
      </c>
      <c r="KG31">
        <f t="shared" si="50"/>
        <v>0</v>
      </c>
      <c r="KH31">
        <f t="shared" si="50"/>
        <v>0</v>
      </c>
      <c r="KI31">
        <f t="shared" si="50"/>
        <v>0</v>
      </c>
      <c r="KJ31">
        <f t="shared" si="50"/>
        <v>0</v>
      </c>
      <c r="KK31">
        <f t="shared" si="50"/>
        <v>0</v>
      </c>
      <c r="KL31">
        <f t="shared" si="50"/>
        <v>0</v>
      </c>
      <c r="KM31">
        <f t="shared" si="50"/>
        <v>0</v>
      </c>
      <c r="KN31">
        <f t="shared" si="50"/>
        <v>0</v>
      </c>
      <c r="KO31">
        <f t="shared" si="50"/>
        <v>0</v>
      </c>
      <c r="KP31">
        <f t="shared" si="50"/>
        <v>0</v>
      </c>
      <c r="KQ31">
        <f t="shared" si="50"/>
        <v>0</v>
      </c>
      <c r="KR31">
        <f t="shared" si="50"/>
        <v>0</v>
      </c>
      <c r="KS31">
        <f t="shared" ref="KS31:ND31" si="51">KR31*(1+$AO$35)</f>
        <v>0</v>
      </c>
      <c r="KT31">
        <f t="shared" si="51"/>
        <v>0</v>
      </c>
      <c r="KU31">
        <f t="shared" si="51"/>
        <v>0</v>
      </c>
      <c r="KV31">
        <f t="shared" si="51"/>
        <v>0</v>
      </c>
      <c r="KW31">
        <f t="shared" si="51"/>
        <v>0</v>
      </c>
      <c r="KX31">
        <f t="shared" si="51"/>
        <v>0</v>
      </c>
      <c r="KY31">
        <f t="shared" si="51"/>
        <v>0</v>
      </c>
      <c r="KZ31">
        <f t="shared" si="51"/>
        <v>0</v>
      </c>
      <c r="LA31">
        <f t="shared" si="51"/>
        <v>0</v>
      </c>
      <c r="LB31">
        <f t="shared" si="51"/>
        <v>0</v>
      </c>
      <c r="LC31">
        <f t="shared" si="51"/>
        <v>0</v>
      </c>
      <c r="LD31">
        <f t="shared" si="51"/>
        <v>0</v>
      </c>
      <c r="LE31">
        <f t="shared" si="51"/>
        <v>0</v>
      </c>
      <c r="LF31">
        <f t="shared" si="51"/>
        <v>0</v>
      </c>
      <c r="LG31">
        <f t="shared" si="51"/>
        <v>0</v>
      </c>
      <c r="LH31">
        <f t="shared" si="51"/>
        <v>0</v>
      </c>
      <c r="LI31">
        <f t="shared" si="51"/>
        <v>0</v>
      </c>
      <c r="LJ31">
        <f t="shared" si="51"/>
        <v>0</v>
      </c>
      <c r="LK31">
        <f t="shared" si="51"/>
        <v>0</v>
      </c>
      <c r="LL31">
        <f t="shared" si="51"/>
        <v>0</v>
      </c>
      <c r="LM31">
        <f t="shared" si="51"/>
        <v>0</v>
      </c>
      <c r="LN31">
        <f t="shared" si="51"/>
        <v>0</v>
      </c>
      <c r="LO31">
        <f t="shared" si="51"/>
        <v>0</v>
      </c>
      <c r="LP31">
        <f t="shared" si="51"/>
        <v>0</v>
      </c>
      <c r="LQ31">
        <f t="shared" si="51"/>
        <v>0</v>
      </c>
      <c r="LR31">
        <f t="shared" si="51"/>
        <v>0</v>
      </c>
      <c r="LS31">
        <f t="shared" si="51"/>
        <v>0</v>
      </c>
      <c r="LT31">
        <f t="shared" si="51"/>
        <v>0</v>
      </c>
      <c r="LU31">
        <f t="shared" si="51"/>
        <v>0</v>
      </c>
      <c r="LV31">
        <f t="shared" si="51"/>
        <v>0</v>
      </c>
      <c r="LW31">
        <f t="shared" si="51"/>
        <v>0</v>
      </c>
      <c r="LX31">
        <f t="shared" si="51"/>
        <v>0</v>
      </c>
      <c r="LY31">
        <f t="shared" si="51"/>
        <v>0</v>
      </c>
      <c r="LZ31">
        <f t="shared" si="51"/>
        <v>0</v>
      </c>
      <c r="MA31">
        <f t="shared" si="51"/>
        <v>0</v>
      </c>
      <c r="MB31">
        <f t="shared" si="51"/>
        <v>0</v>
      </c>
      <c r="MC31">
        <f t="shared" si="51"/>
        <v>0</v>
      </c>
      <c r="MD31">
        <f t="shared" si="51"/>
        <v>0</v>
      </c>
      <c r="ME31">
        <f t="shared" si="51"/>
        <v>0</v>
      </c>
      <c r="MF31">
        <f t="shared" si="51"/>
        <v>0</v>
      </c>
      <c r="MG31">
        <f t="shared" si="51"/>
        <v>0</v>
      </c>
      <c r="MH31">
        <f t="shared" si="51"/>
        <v>0</v>
      </c>
      <c r="MI31">
        <f t="shared" si="51"/>
        <v>0</v>
      </c>
      <c r="MJ31">
        <f t="shared" si="51"/>
        <v>0</v>
      </c>
      <c r="MK31">
        <f t="shared" si="51"/>
        <v>0</v>
      </c>
      <c r="ML31">
        <f t="shared" si="51"/>
        <v>0</v>
      </c>
      <c r="MM31">
        <f t="shared" si="51"/>
        <v>0</v>
      </c>
      <c r="MN31">
        <f t="shared" si="51"/>
        <v>0</v>
      </c>
      <c r="MO31">
        <f t="shared" si="51"/>
        <v>0</v>
      </c>
      <c r="MP31">
        <f t="shared" si="51"/>
        <v>0</v>
      </c>
      <c r="MQ31">
        <f t="shared" si="51"/>
        <v>0</v>
      </c>
      <c r="MR31">
        <f t="shared" si="51"/>
        <v>0</v>
      </c>
      <c r="MS31">
        <f t="shared" si="51"/>
        <v>0</v>
      </c>
      <c r="MT31">
        <f t="shared" si="51"/>
        <v>0</v>
      </c>
      <c r="MU31">
        <f t="shared" si="51"/>
        <v>0</v>
      </c>
      <c r="MV31">
        <f t="shared" si="51"/>
        <v>0</v>
      </c>
      <c r="MW31">
        <f t="shared" si="51"/>
        <v>0</v>
      </c>
      <c r="MX31">
        <f t="shared" si="51"/>
        <v>0</v>
      </c>
      <c r="MY31">
        <f t="shared" si="51"/>
        <v>0</v>
      </c>
      <c r="MZ31">
        <f t="shared" si="51"/>
        <v>0</v>
      </c>
      <c r="NA31">
        <f t="shared" si="51"/>
        <v>0</v>
      </c>
      <c r="NB31">
        <f t="shared" si="51"/>
        <v>0</v>
      </c>
      <c r="NC31">
        <f t="shared" si="51"/>
        <v>0</v>
      </c>
      <c r="ND31">
        <f t="shared" si="51"/>
        <v>0</v>
      </c>
      <c r="NE31">
        <f t="shared" ref="NE31:PP31" si="52">ND31*(1+$AO$35)</f>
        <v>0</v>
      </c>
      <c r="NF31">
        <f t="shared" si="52"/>
        <v>0</v>
      </c>
      <c r="NG31">
        <f t="shared" si="52"/>
        <v>0</v>
      </c>
      <c r="NH31">
        <f t="shared" si="52"/>
        <v>0</v>
      </c>
      <c r="NI31">
        <f t="shared" si="52"/>
        <v>0</v>
      </c>
      <c r="NJ31">
        <f t="shared" si="52"/>
        <v>0</v>
      </c>
      <c r="NK31">
        <f t="shared" si="52"/>
        <v>0</v>
      </c>
      <c r="NL31">
        <f t="shared" si="52"/>
        <v>0</v>
      </c>
      <c r="NM31">
        <f t="shared" si="52"/>
        <v>0</v>
      </c>
      <c r="NN31">
        <f t="shared" si="52"/>
        <v>0</v>
      </c>
      <c r="NO31">
        <f t="shared" si="52"/>
        <v>0</v>
      </c>
      <c r="NP31">
        <f t="shared" si="52"/>
        <v>0</v>
      </c>
      <c r="NQ31">
        <f t="shared" si="52"/>
        <v>0</v>
      </c>
      <c r="NR31">
        <f t="shared" si="52"/>
        <v>0</v>
      </c>
      <c r="NS31">
        <f t="shared" si="52"/>
        <v>0</v>
      </c>
      <c r="NT31">
        <f t="shared" si="52"/>
        <v>0</v>
      </c>
      <c r="NU31">
        <f t="shared" si="52"/>
        <v>0</v>
      </c>
      <c r="NV31">
        <f t="shared" si="52"/>
        <v>0</v>
      </c>
      <c r="NW31">
        <f t="shared" si="52"/>
        <v>0</v>
      </c>
      <c r="NX31">
        <f t="shared" si="52"/>
        <v>0</v>
      </c>
      <c r="NY31">
        <f t="shared" si="52"/>
        <v>0</v>
      </c>
      <c r="NZ31">
        <f t="shared" si="52"/>
        <v>0</v>
      </c>
      <c r="OA31">
        <f t="shared" si="52"/>
        <v>0</v>
      </c>
      <c r="OB31">
        <f t="shared" si="52"/>
        <v>0</v>
      </c>
      <c r="OC31">
        <f t="shared" si="52"/>
        <v>0</v>
      </c>
      <c r="OD31">
        <f t="shared" si="52"/>
        <v>0</v>
      </c>
      <c r="OE31">
        <f t="shared" si="52"/>
        <v>0</v>
      </c>
      <c r="OF31">
        <f t="shared" si="52"/>
        <v>0</v>
      </c>
      <c r="OG31">
        <f t="shared" si="52"/>
        <v>0</v>
      </c>
      <c r="OH31">
        <f t="shared" si="52"/>
        <v>0</v>
      </c>
      <c r="OI31">
        <f t="shared" si="52"/>
        <v>0</v>
      </c>
      <c r="OJ31">
        <f t="shared" si="52"/>
        <v>0</v>
      </c>
      <c r="OK31">
        <f t="shared" si="52"/>
        <v>0</v>
      </c>
      <c r="OL31">
        <f t="shared" si="52"/>
        <v>0</v>
      </c>
      <c r="OM31">
        <f t="shared" si="52"/>
        <v>0</v>
      </c>
      <c r="ON31">
        <f t="shared" si="52"/>
        <v>0</v>
      </c>
      <c r="OO31">
        <f t="shared" si="52"/>
        <v>0</v>
      </c>
      <c r="OP31">
        <f t="shared" si="52"/>
        <v>0</v>
      </c>
      <c r="OQ31">
        <f t="shared" si="52"/>
        <v>0</v>
      </c>
      <c r="OR31">
        <f t="shared" si="52"/>
        <v>0</v>
      </c>
      <c r="OS31">
        <f t="shared" si="52"/>
        <v>0</v>
      </c>
      <c r="OT31">
        <f t="shared" si="52"/>
        <v>0</v>
      </c>
      <c r="OU31">
        <f t="shared" si="52"/>
        <v>0</v>
      </c>
      <c r="OV31">
        <f t="shared" si="52"/>
        <v>0</v>
      </c>
      <c r="OW31">
        <f t="shared" si="52"/>
        <v>0</v>
      </c>
      <c r="OX31">
        <f t="shared" si="52"/>
        <v>0</v>
      </c>
      <c r="OY31">
        <f t="shared" si="52"/>
        <v>0</v>
      </c>
      <c r="OZ31">
        <f t="shared" si="52"/>
        <v>0</v>
      </c>
      <c r="PA31">
        <f t="shared" si="52"/>
        <v>0</v>
      </c>
      <c r="PB31">
        <f t="shared" si="52"/>
        <v>0</v>
      </c>
      <c r="PC31">
        <f t="shared" si="52"/>
        <v>0</v>
      </c>
      <c r="PD31">
        <f t="shared" si="52"/>
        <v>0</v>
      </c>
      <c r="PE31">
        <f t="shared" si="52"/>
        <v>0</v>
      </c>
      <c r="PF31">
        <f t="shared" si="52"/>
        <v>0</v>
      </c>
      <c r="PG31">
        <f t="shared" si="52"/>
        <v>0</v>
      </c>
      <c r="PH31">
        <f t="shared" si="52"/>
        <v>0</v>
      </c>
      <c r="PI31">
        <f t="shared" si="52"/>
        <v>0</v>
      </c>
      <c r="PJ31">
        <f t="shared" si="52"/>
        <v>0</v>
      </c>
      <c r="PK31">
        <f t="shared" si="52"/>
        <v>0</v>
      </c>
      <c r="PL31">
        <f t="shared" si="52"/>
        <v>0</v>
      </c>
      <c r="PM31">
        <f t="shared" si="52"/>
        <v>0</v>
      </c>
      <c r="PN31">
        <f t="shared" si="52"/>
        <v>0</v>
      </c>
      <c r="PO31">
        <f t="shared" si="52"/>
        <v>0</v>
      </c>
      <c r="PP31">
        <f t="shared" si="52"/>
        <v>0</v>
      </c>
      <c r="PQ31">
        <f t="shared" ref="PQ31:SB31" si="53">PP31*(1+$AO$35)</f>
        <v>0</v>
      </c>
      <c r="PR31">
        <f t="shared" si="53"/>
        <v>0</v>
      </c>
      <c r="PS31">
        <f t="shared" si="53"/>
        <v>0</v>
      </c>
      <c r="PT31">
        <f t="shared" si="53"/>
        <v>0</v>
      </c>
      <c r="PU31">
        <f t="shared" si="53"/>
        <v>0</v>
      </c>
      <c r="PV31">
        <f t="shared" si="53"/>
        <v>0</v>
      </c>
      <c r="PW31">
        <f t="shared" si="53"/>
        <v>0</v>
      </c>
      <c r="PX31">
        <f t="shared" si="53"/>
        <v>0</v>
      </c>
      <c r="PY31">
        <f t="shared" si="53"/>
        <v>0</v>
      </c>
      <c r="PZ31">
        <f t="shared" si="53"/>
        <v>0</v>
      </c>
      <c r="QA31">
        <f t="shared" si="53"/>
        <v>0</v>
      </c>
      <c r="QB31">
        <f t="shared" si="53"/>
        <v>0</v>
      </c>
      <c r="QC31">
        <f t="shared" si="53"/>
        <v>0</v>
      </c>
      <c r="QD31">
        <f t="shared" si="53"/>
        <v>0</v>
      </c>
      <c r="QE31">
        <f t="shared" si="53"/>
        <v>0</v>
      </c>
      <c r="QF31">
        <f t="shared" si="53"/>
        <v>0</v>
      </c>
      <c r="QG31">
        <f t="shared" si="53"/>
        <v>0</v>
      </c>
      <c r="QH31">
        <f t="shared" si="53"/>
        <v>0</v>
      </c>
      <c r="QI31">
        <f t="shared" si="53"/>
        <v>0</v>
      </c>
      <c r="QJ31">
        <f t="shared" si="53"/>
        <v>0</v>
      </c>
      <c r="QK31">
        <f t="shared" si="53"/>
        <v>0</v>
      </c>
      <c r="QL31">
        <f t="shared" si="53"/>
        <v>0</v>
      </c>
      <c r="QM31">
        <f t="shared" si="53"/>
        <v>0</v>
      </c>
      <c r="QN31">
        <f t="shared" si="53"/>
        <v>0</v>
      </c>
      <c r="QO31">
        <f t="shared" si="53"/>
        <v>0</v>
      </c>
      <c r="QP31">
        <f t="shared" si="53"/>
        <v>0</v>
      </c>
      <c r="QQ31">
        <f t="shared" si="53"/>
        <v>0</v>
      </c>
      <c r="QR31">
        <f t="shared" si="53"/>
        <v>0</v>
      </c>
      <c r="QS31">
        <f t="shared" si="53"/>
        <v>0</v>
      </c>
      <c r="QT31">
        <f t="shared" si="53"/>
        <v>0</v>
      </c>
      <c r="QU31">
        <f t="shared" si="53"/>
        <v>0</v>
      </c>
      <c r="QV31">
        <f t="shared" si="53"/>
        <v>0</v>
      </c>
      <c r="QW31">
        <f t="shared" si="53"/>
        <v>0</v>
      </c>
      <c r="QX31">
        <f t="shared" si="53"/>
        <v>0</v>
      </c>
      <c r="QY31">
        <f t="shared" si="53"/>
        <v>0</v>
      </c>
      <c r="QZ31">
        <f t="shared" si="53"/>
        <v>0</v>
      </c>
      <c r="RA31">
        <f t="shared" si="53"/>
        <v>0</v>
      </c>
      <c r="RB31">
        <f t="shared" si="53"/>
        <v>0</v>
      </c>
      <c r="RC31">
        <f t="shared" si="53"/>
        <v>0</v>
      </c>
      <c r="RD31">
        <f t="shared" si="53"/>
        <v>0</v>
      </c>
      <c r="RE31">
        <f t="shared" si="53"/>
        <v>0</v>
      </c>
      <c r="RF31">
        <f t="shared" si="53"/>
        <v>0</v>
      </c>
      <c r="RG31">
        <f t="shared" si="53"/>
        <v>0</v>
      </c>
      <c r="RH31">
        <f t="shared" si="53"/>
        <v>0</v>
      </c>
      <c r="RI31">
        <f t="shared" si="53"/>
        <v>0</v>
      </c>
      <c r="RJ31">
        <f t="shared" si="53"/>
        <v>0</v>
      </c>
      <c r="RK31">
        <f t="shared" si="53"/>
        <v>0</v>
      </c>
      <c r="RL31">
        <f t="shared" si="53"/>
        <v>0</v>
      </c>
      <c r="RM31">
        <f t="shared" si="53"/>
        <v>0</v>
      </c>
      <c r="RN31">
        <f t="shared" si="53"/>
        <v>0</v>
      </c>
      <c r="RO31">
        <f t="shared" si="53"/>
        <v>0</v>
      </c>
      <c r="RP31">
        <f t="shared" si="53"/>
        <v>0</v>
      </c>
      <c r="RQ31">
        <f t="shared" si="53"/>
        <v>0</v>
      </c>
      <c r="RR31">
        <f t="shared" si="53"/>
        <v>0</v>
      </c>
      <c r="RS31">
        <f t="shared" si="53"/>
        <v>0</v>
      </c>
      <c r="RT31">
        <f t="shared" si="53"/>
        <v>0</v>
      </c>
      <c r="RU31">
        <f t="shared" si="53"/>
        <v>0</v>
      </c>
      <c r="RV31">
        <f t="shared" si="53"/>
        <v>0</v>
      </c>
      <c r="RW31">
        <f t="shared" si="53"/>
        <v>0</v>
      </c>
      <c r="RX31">
        <f t="shared" si="53"/>
        <v>0</v>
      </c>
      <c r="RY31">
        <f t="shared" si="53"/>
        <v>0</v>
      </c>
      <c r="RZ31">
        <f t="shared" si="53"/>
        <v>0</v>
      </c>
      <c r="SA31">
        <f t="shared" si="53"/>
        <v>0</v>
      </c>
      <c r="SB31">
        <f t="shared" si="53"/>
        <v>0</v>
      </c>
      <c r="SC31">
        <f t="shared" ref="SC31:UN31" si="54">SB31*(1+$AO$35)</f>
        <v>0</v>
      </c>
      <c r="SD31">
        <f t="shared" si="54"/>
        <v>0</v>
      </c>
      <c r="SE31">
        <f t="shared" si="54"/>
        <v>0</v>
      </c>
      <c r="SF31">
        <f t="shared" si="54"/>
        <v>0</v>
      </c>
      <c r="SG31">
        <f t="shared" si="54"/>
        <v>0</v>
      </c>
      <c r="SH31">
        <f t="shared" si="54"/>
        <v>0</v>
      </c>
      <c r="SI31">
        <f t="shared" si="54"/>
        <v>0</v>
      </c>
      <c r="SJ31">
        <f t="shared" si="54"/>
        <v>0</v>
      </c>
      <c r="SK31">
        <f t="shared" si="54"/>
        <v>0</v>
      </c>
      <c r="SL31">
        <f t="shared" si="54"/>
        <v>0</v>
      </c>
      <c r="SM31">
        <f t="shared" si="54"/>
        <v>0</v>
      </c>
      <c r="SN31">
        <f t="shared" si="54"/>
        <v>0</v>
      </c>
      <c r="SO31">
        <f t="shared" si="54"/>
        <v>0</v>
      </c>
      <c r="SP31">
        <f t="shared" si="54"/>
        <v>0</v>
      </c>
      <c r="SQ31">
        <f t="shared" si="54"/>
        <v>0</v>
      </c>
      <c r="SR31">
        <f t="shared" si="54"/>
        <v>0</v>
      </c>
      <c r="SS31">
        <f t="shared" si="54"/>
        <v>0</v>
      </c>
      <c r="ST31">
        <f t="shared" si="54"/>
        <v>0</v>
      </c>
      <c r="SU31">
        <f t="shared" si="54"/>
        <v>0</v>
      </c>
      <c r="SV31">
        <f t="shared" si="54"/>
        <v>0</v>
      </c>
      <c r="SW31">
        <f t="shared" si="54"/>
        <v>0</v>
      </c>
      <c r="SX31">
        <f t="shared" si="54"/>
        <v>0</v>
      </c>
      <c r="SY31">
        <f t="shared" si="54"/>
        <v>0</v>
      </c>
      <c r="SZ31">
        <f t="shared" si="54"/>
        <v>0</v>
      </c>
      <c r="TA31">
        <f t="shared" si="54"/>
        <v>0</v>
      </c>
      <c r="TB31">
        <f t="shared" si="54"/>
        <v>0</v>
      </c>
      <c r="TC31">
        <f t="shared" si="54"/>
        <v>0</v>
      </c>
      <c r="TD31">
        <f t="shared" si="54"/>
        <v>0</v>
      </c>
      <c r="TE31">
        <f t="shared" si="54"/>
        <v>0</v>
      </c>
      <c r="TF31">
        <f t="shared" si="54"/>
        <v>0</v>
      </c>
      <c r="TG31">
        <f t="shared" si="54"/>
        <v>0</v>
      </c>
      <c r="TH31">
        <f t="shared" si="54"/>
        <v>0</v>
      </c>
      <c r="TI31">
        <f t="shared" si="54"/>
        <v>0</v>
      </c>
      <c r="TJ31">
        <f t="shared" si="54"/>
        <v>0</v>
      </c>
      <c r="TK31">
        <f t="shared" si="54"/>
        <v>0</v>
      </c>
      <c r="TL31">
        <f t="shared" si="54"/>
        <v>0</v>
      </c>
      <c r="TM31">
        <f t="shared" si="54"/>
        <v>0</v>
      </c>
      <c r="TN31">
        <f t="shared" si="54"/>
        <v>0</v>
      </c>
      <c r="TO31">
        <f t="shared" si="54"/>
        <v>0</v>
      </c>
      <c r="TP31">
        <f t="shared" si="54"/>
        <v>0</v>
      </c>
      <c r="TQ31">
        <f t="shared" si="54"/>
        <v>0</v>
      </c>
      <c r="TR31">
        <f t="shared" si="54"/>
        <v>0</v>
      </c>
      <c r="TS31">
        <f t="shared" si="54"/>
        <v>0</v>
      </c>
      <c r="TT31">
        <f t="shared" si="54"/>
        <v>0</v>
      </c>
      <c r="TU31">
        <f t="shared" si="54"/>
        <v>0</v>
      </c>
      <c r="TV31">
        <f t="shared" si="54"/>
        <v>0</v>
      </c>
      <c r="TW31">
        <f t="shared" si="54"/>
        <v>0</v>
      </c>
      <c r="TX31">
        <f t="shared" si="54"/>
        <v>0</v>
      </c>
      <c r="TY31">
        <f t="shared" si="54"/>
        <v>0</v>
      </c>
      <c r="TZ31">
        <f t="shared" si="54"/>
        <v>0</v>
      </c>
      <c r="UA31">
        <f t="shared" si="54"/>
        <v>0</v>
      </c>
      <c r="UB31">
        <f t="shared" si="54"/>
        <v>0</v>
      </c>
      <c r="UC31">
        <f t="shared" si="54"/>
        <v>0</v>
      </c>
      <c r="UD31">
        <f t="shared" si="54"/>
        <v>0</v>
      </c>
      <c r="UE31">
        <f t="shared" si="54"/>
        <v>0</v>
      </c>
      <c r="UF31">
        <f t="shared" si="54"/>
        <v>0</v>
      </c>
      <c r="UG31">
        <f t="shared" si="54"/>
        <v>0</v>
      </c>
      <c r="UH31">
        <f t="shared" si="54"/>
        <v>0</v>
      </c>
      <c r="UI31">
        <f t="shared" si="54"/>
        <v>0</v>
      </c>
      <c r="UJ31">
        <f t="shared" si="54"/>
        <v>0</v>
      </c>
      <c r="UK31">
        <f t="shared" si="54"/>
        <v>0</v>
      </c>
      <c r="UL31">
        <f t="shared" si="54"/>
        <v>0</v>
      </c>
      <c r="UM31">
        <f t="shared" si="54"/>
        <v>0</v>
      </c>
      <c r="UN31">
        <f t="shared" si="54"/>
        <v>0</v>
      </c>
      <c r="UO31">
        <f t="shared" ref="UO31:WZ31" si="55">UN31*(1+$AO$35)</f>
        <v>0</v>
      </c>
      <c r="UP31">
        <f t="shared" si="55"/>
        <v>0</v>
      </c>
      <c r="UQ31">
        <f t="shared" si="55"/>
        <v>0</v>
      </c>
      <c r="UR31">
        <f t="shared" si="55"/>
        <v>0</v>
      </c>
      <c r="US31">
        <f t="shared" si="55"/>
        <v>0</v>
      </c>
      <c r="UT31">
        <f t="shared" si="55"/>
        <v>0</v>
      </c>
      <c r="UU31">
        <f t="shared" si="55"/>
        <v>0</v>
      </c>
      <c r="UV31">
        <f t="shared" si="55"/>
        <v>0</v>
      </c>
      <c r="UW31">
        <f t="shared" si="55"/>
        <v>0</v>
      </c>
      <c r="UX31">
        <f t="shared" si="55"/>
        <v>0</v>
      </c>
      <c r="UY31">
        <f t="shared" si="55"/>
        <v>0</v>
      </c>
      <c r="UZ31">
        <f t="shared" si="55"/>
        <v>0</v>
      </c>
      <c r="VA31">
        <f t="shared" si="55"/>
        <v>0</v>
      </c>
      <c r="VB31">
        <f t="shared" si="55"/>
        <v>0</v>
      </c>
      <c r="VC31">
        <f t="shared" si="55"/>
        <v>0</v>
      </c>
      <c r="VD31">
        <f t="shared" si="55"/>
        <v>0</v>
      </c>
      <c r="VE31">
        <f t="shared" si="55"/>
        <v>0</v>
      </c>
      <c r="VF31">
        <f t="shared" si="55"/>
        <v>0</v>
      </c>
      <c r="VG31">
        <f t="shared" si="55"/>
        <v>0</v>
      </c>
      <c r="VH31">
        <f t="shared" si="55"/>
        <v>0</v>
      </c>
      <c r="VI31">
        <f t="shared" si="55"/>
        <v>0</v>
      </c>
      <c r="VJ31">
        <f t="shared" si="55"/>
        <v>0</v>
      </c>
      <c r="VK31">
        <f t="shared" si="55"/>
        <v>0</v>
      </c>
      <c r="VL31">
        <f t="shared" si="55"/>
        <v>0</v>
      </c>
      <c r="VM31">
        <f t="shared" si="55"/>
        <v>0</v>
      </c>
      <c r="VN31">
        <f t="shared" si="55"/>
        <v>0</v>
      </c>
      <c r="VO31">
        <f t="shared" si="55"/>
        <v>0</v>
      </c>
      <c r="VP31">
        <f t="shared" si="55"/>
        <v>0</v>
      </c>
      <c r="VQ31">
        <f t="shared" si="55"/>
        <v>0</v>
      </c>
      <c r="VR31">
        <f t="shared" si="55"/>
        <v>0</v>
      </c>
      <c r="VS31">
        <f t="shared" si="55"/>
        <v>0</v>
      </c>
      <c r="VT31">
        <f t="shared" si="55"/>
        <v>0</v>
      </c>
      <c r="VU31">
        <f t="shared" si="55"/>
        <v>0</v>
      </c>
      <c r="VV31">
        <f t="shared" si="55"/>
        <v>0</v>
      </c>
      <c r="VW31">
        <f t="shared" si="55"/>
        <v>0</v>
      </c>
      <c r="VX31">
        <f t="shared" si="55"/>
        <v>0</v>
      </c>
      <c r="VY31">
        <f t="shared" si="55"/>
        <v>0</v>
      </c>
      <c r="VZ31">
        <f t="shared" si="55"/>
        <v>0</v>
      </c>
      <c r="WA31">
        <f t="shared" si="55"/>
        <v>0</v>
      </c>
      <c r="WB31">
        <f t="shared" si="55"/>
        <v>0</v>
      </c>
      <c r="WC31">
        <f t="shared" si="55"/>
        <v>0</v>
      </c>
      <c r="WD31">
        <f t="shared" si="55"/>
        <v>0</v>
      </c>
      <c r="WE31">
        <f t="shared" si="55"/>
        <v>0</v>
      </c>
      <c r="WF31">
        <f t="shared" si="55"/>
        <v>0</v>
      </c>
      <c r="WG31">
        <f t="shared" si="55"/>
        <v>0</v>
      </c>
      <c r="WH31">
        <f t="shared" si="55"/>
        <v>0</v>
      </c>
      <c r="WI31">
        <f t="shared" si="55"/>
        <v>0</v>
      </c>
      <c r="WJ31">
        <f t="shared" si="55"/>
        <v>0</v>
      </c>
      <c r="WK31">
        <f t="shared" si="55"/>
        <v>0</v>
      </c>
      <c r="WL31">
        <f t="shared" si="55"/>
        <v>0</v>
      </c>
      <c r="WM31">
        <f t="shared" si="55"/>
        <v>0</v>
      </c>
      <c r="WN31">
        <f t="shared" si="55"/>
        <v>0</v>
      </c>
      <c r="WO31">
        <f t="shared" si="55"/>
        <v>0</v>
      </c>
      <c r="WP31">
        <f t="shared" si="55"/>
        <v>0</v>
      </c>
      <c r="WQ31">
        <f t="shared" si="55"/>
        <v>0</v>
      </c>
      <c r="WR31">
        <f t="shared" si="55"/>
        <v>0</v>
      </c>
      <c r="WS31">
        <f t="shared" si="55"/>
        <v>0</v>
      </c>
      <c r="WT31">
        <f t="shared" si="55"/>
        <v>0</v>
      </c>
      <c r="WU31">
        <f t="shared" si="55"/>
        <v>0</v>
      </c>
      <c r="WV31">
        <f t="shared" si="55"/>
        <v>0</v>
      </c>
      <c r="WW31">
        <f t="shared" si="55"/>
        <v>0</v>
      </c>
      <c r="WX31">
        <f t="shared" si="55"/>
        <v>0</v>
      </c>
      <c r="WY31">
        <f t="shared" si="55"/>
        <v>0</v>
      </c>
      <c r="WZ31">
        <f t="shared" si="55"/>
        <v>0</v>
      </c>
      <c r="XA31">
        <f t="shared" ref="XA31:ZL31" si="56">WZ31*(1+$AO$35)</f>
        <v>0</v>
      </c>
      <c r="XB31">
        <f t="shared" si="56"/>
        <v>0</v>
      </c>
      <c r="XC31">
        <f t="shared" si="56"/>
        <v>0</v>
      </c>
      <c r="XD31">
        <f t="shared" si="56"/>
        <v>0</v>
      </c>
      <c r="XE31">
        <f t="shared" si="56"/>
        <v>0</v>
      </c>
      <c r="XF31">
        <f t="shared" si="56"/>
        <v>0</v>
      </c>
      <c r="XG31">
        <f t="shared" si="56"/>
        <v>0</v>
      </c>
      <c r="XH31">
        <f t="shared" si="56"/>
        <v>0</v>
      </c>
      <c r="XI31">
        <f t="shared" si="56"/>
        <v>0</v>
      </c>
      <c r="XJ31">
        <f t="shared" si="56"/>
        <v>0</v>
      </c>
      <c r="XK31">
        <f t="shared" si="56"/>
        <v>0</v>
      </c>
      <c r="XL31">
        <f t="shared" si="56"/>
        <v>0</v>
      </c>
      <c r="XM31">
        <f t="shared" si="56"/>
        <v>0</v>
      </c>
      <c r="XN31">
        <f t="shared" si="56"/>
        <v>0</v>
      </c>
      <c r="XO31">
        <f t="shared" si="56"/>
        <v>0</v>
      </c>
      <c r="XP31">
        <f t="shared" si="56"/>
        <v>0</v>
      </c>
      <c r="XQ31">
        <f t="shared" si="56"/>
        <v>0</v>
      </c>
      <c r="XR31">
        <f t="shared" si="56"/>
        <v>0</v>
      </c>
      <c r="XS31">
        <f t="shared" si="56"/>
        <v>0</v>
      </c>
      <c r="XT31">
        <f t="shared" si="56"/>
        <v>0</v>
      </c>
      <c r="XU31">
        <f t="shared" si="56"/>
        <v>0</v>
      </c>
      <c r="XV31">
        <f t="shared" si="56"/>
        <v>0</v>
      </c>
      <c r="XW31">
        <f t="shared" si="56"/>
        <v>0</v>
      </c>
      <c r="XX31">
        <f t="shared" si="56"/>
        <v>0</v>
      </c>
      <c r="XY31">
        <f t="shared" si="56"/>
        <v>0</v>
      </c>
      <c r="XZ31">
        <f t="shared" si="56"/>
        <v>0</v>
      </c>
      <c r="YA31">
        <f t="shared" si="56"/>
        <v>0</v>
      </c>
      <c r="YB31">
        <f t="shared" si="56"/>
        <v>0</v>
      </c>
      <c r="YC31">
        <f t="shared" si="56"/>
        <v>0</v>
      </c>
      <c r="YD31">
        <f t="shared" si="56"/>
        <v>0</v>
      </c>
      <c r="YE31">
        <f t="shared" si="56"/>
        <v>0</v>
      </c>
      <c r="YF31">
        <f t="shared" si="56"/>
        <v>0</v>
      </c>
      <c r="YG31">
        <f t="shared" si="56"/>
        <v>0</v>
      </c>
      <c r="YH31">
        <f t="shared" si="56"/>
        <v>0</v>
      </c>
      <c r="YI31">
        <f t="shared" si="56"/>
        <v>0</v>
      </c>
      <c r="YJ31">
        <f t="shared" si="56"/>
        <v>0</v>
      </c>
      <c r="YK31">
        <f t="shared" si="56"/>
        <v>0</v>
      </c>
      <c r="YL31">
        <f t="shared" si="56"/>
        <v>0</v>
      </c>
      <c r="YM31">
        <f t="shared" si="56"/>
        <v>0</v>
      </c>
      <c r="YN31">
        <f t="shared" si="56"/>
        <v>0</v>
      </c>
      <c r="YO31">
        <f t="shared" si="56"/>
        <v>0</v>
      </c>
      <c r="YP31">
        <f t="shared" si="56"/>
        <v>0</v>
      </c>
      <c r="YQ31">
        <f t="shared" si="56"/>
        <v>0</v>
      </c>
      <c r="YR31">
        <f t="shared" si="56"/>
        <v>0</v>
      </c>
      <c r="YS31">
        <f t="shared" si="56"/>
        <v>0</v>
      </c>
      <c r="YT31">
        <f t="shared" si="56"/>
        <v>0</v>
      </c>
      <c r="YU31">
        <f t="shared" si="56"/>
        <v>0</v>
      </c>
      <c r="YV31">
        <f t="shared" si="56"/>
        <v>0</v>
      </c>
      <c r="YW31">
        <f t="shared" si="56"/>
        <v>0</v>
      </c>
      <c r="YX31">
        <f t="shared" si="56"/>
        <v>0</v>
      </c>
      <c r="YY31">
        <f t="shared" si="56"/>
        <v>0</v>
      </c>
      <c r="YZ31">
        <f t="shared" si="56"/>
        <v>0</v>
      </c>
      <c r="ZA31">
        <f t="shared" si="56"/>
        <v>0</v>
      </c>
      <c r="ZB31">
        <f t="shared" si="56"/>
        <v>0</v>
      </c>
      <c r="ZC31">
        <f t="shared" si="56"/>
        <v>0</v>
      </c>
      <c r="ZD31">
        <f t="shared" si="56"/>
        <v>0</v>
      </c>
      <c r="ZE31">
        <f t="shared" si="56"/>
        <v>0</v>
      </c>
      <c r="ZF31">
        <f t="shared" si="56"/>
        <v>0</v>
      </c>
      <c r="ZG31">
        <f t="shared" si="56"/>
        <v>0</v>
      </c>
      <c r="ZH31">
        <f t="shared" si="56"/>
        <v>0</v>
      </c>
      <c r="ZI31">
        <f t="shared" si="56"/>
        <v>0</v>
      </c>
      <c r="ZJ31">
        <f t="shared" si="56"/>
        <v>0</v>
      </c>
      <c r="ZK31">
        <f t="shared" si="56"/>
        <v>0</v>
      </c>
      <c r="ZL31">
        <f t="shared" si="56"/>
        <v>0</v>
      </c>
      <c r="ZM31">
        <f t="shared" ref="ZM31:ABT31" si="57">ZL31*(1+$AO$35)</f>
        <v>0</v>
      </c>
      <c r="ZN31">
        <f t="shared" si="57"/>
        <v>0</v>
      </c>
      <c r="ZO31">
        <f t="shared" si="57"/>
        <v>0</v>
      </c>
      <c r="ZP31">
        <f t="shared" si="57"/>
        <v>0</v>
      </c>
      <c r="ZQ31">
        <f t="shared" si="57"/>
        <v>0</v>
      </c>
      <c r="ZR31">
        <f t="shared" si="57"/>
        <v>0</v>
      </c>
      <c r="ZS31">
        <f t="shared" si="57"/>
        <v>0</v>
      </c>
      <c r="ZT31">
        <f t="shared" si="57"/>
        <v>0</v>
      </c>
      <c r="ZU31">
        <f t="shared" si="57"/>
        <v>0</v>
      </c>
      <c r="ZV31">
        <f t="shared" si="57"/>
        <v>0</v>
      </c>
      <c r="ZW31">
        <f t="shared" si="57"/>
        <v>0</v>
      </c>
      <c r="ZX31">
        <f t="shared" si="57"/>
        <v>0</v>
      </c>
      <c r="ZY31">
        <f t="shared" si="57"/>
        <v>0</v>
      </c>
      <c r="ZZ31">
        <f t="shared" si="57"/>
        <v>0</v>
      </c>
      <c r="AAA31">
        <f t="shared" si="57"/>
        <v>0</v>
      </c>
      <c r="AAB31">
        <f t="shared" si="57"/>
        <v>0</v>
      </c>
      <c r="AAC31">
        <f t="shared" si="57"/>
        <v>0</v>
      </c>
      <c r="AAD31">
        <f t="shared" si="57"/>
        <v>0</v>
      </c>
      <c r="AAE31">
        <f t="shared" si="57"/>
        <v>0</v>
      </c>
      <c r="AAF31">
        <f t="shared" si="57"/>
        <v>0</v>
      </c>
      <c r="AAG31">
        <f t="shared" si="57"/>
        <v>0</v>
      </c>
      <c r="AAH31">
        <f t="shared" si="57"/>
        <v>0</v>
      </c>
      <c r="AAI31">
        <f t="shared" si="57"/>
        <v>0</v>
      </c>
      <c r="AAJ31">
        <f t="shared" si="57"/>
        <v>0</v>
      </c>
      <c r="AAK31">
        <f t="shared" si="57"/>
        <v>0</v>
      </c>
      <c r="AAL31">
        <f t="shared" si="57"/>
        <v>0</v>
      </c>
      <c r="AAM31">
        <f t="shared" si="57"/>
        <v>0</v>
      </c>
      <c r="AAN31">
        <f t="shared" si="57"/>
        <v>0</v>
      </c>
      <c r="AAO31">
        <f t="shared" si="57"/>
        <v>0</v>
      </c>
      <c r="AAP31">
        <f t="shared" si="57"/>
        <v>0</v>
      </c>
      <c r="AAQ31">
        <f t="shared" si="57"/>
        <v>0</v>
      </c>
      <c r="AAR31">
        <f t="shared" si="57"/>
        <v>0</v>
      </c>
      <c r="AAS31">
        <f t="shared" si="57"/>
        <v>0</v>
      </c>
      <c r="AAT31">
        <f t="shared" si="57"/>
        <v>0</v>
      </c>
      <c r="AAU31">
        <f t="shared" si="57"/>
        <v>0</v>
      </c>
      <c r="AAV31">
        <f t="shared" si="57"/>
        <v>0</v>
      </c>
      <c r="AAW31">
        <f t="shared" si="57"/>
        <v>0</v>
      </c>
      <c r="AAX31">
        <f t="shared" si="57"/>
        <v>0</v>
      </c>
      <c r="AAY31">
        <f t="shared" si="57"/>
        <v>0</v>
      </c>
      <c r="AAZ31">
        <f t="shared" si="57"/>
        <v>0</v>
      </c>
      <c r="ABA31">
        <f t="shared" si="57"/>
        <v>0</v>
      </c>
      <c r="ABB31">
        <f t="shared" si="57"/>
        <v>0</v>
      </c>
      <c r="ABC31">
        <f t="shared" si="57"/>
        <v>0</v>
      </c>
      <c r="ABD31">
        <f t="shared" si="57"/>
        <v>0</v>
      </c>
      <c r="ABE31">
        <f t="shared" si="57"/>
        <v>0</v>
      </c>
      <c r="ABF31">
        <f t="shared" si="57"/>
        <v>0</v>
      </c>
      <c r="ABG31">
        <f t="shared" si="57"/>
        <v>0</v>
      </c>
      <c r="ABH31">
        <f t="shared" si="57"/>
        <v>0</v>
      </c>
      <c r="ABI31">
        <f t="shared" si="57"/>
        <v>0</v>
      </c>
      <c r="ABJ31">
        <f t="shared" si="57"/>
        <v>0</v>
      </c>
      <c r="ABK31">
        <f t="shared" si="57"/>
        <v>0</v>
      </c>
      <c r="ABL31">
        <f t="shared" si="57"/>
        <v>0</v>
      </c>
      <c r="ABM31">
        <f t="shared" si="57"/>
        <v>0</v>
      </c>
      <c r="ABN31">
        <f t="shared" si="57"/>
        <v>0</v>
      </c>
      <c r="ABO31">
        <f t="shared" si="57"/>
        <v>0</v>
      </c>
      <c r="ABP31">
        <f t="shared" si="57"/>
        <v>0</v>
      </c>
      <c r="ABQ31">
        <f t="shared" si="57"/>
        <v>0</v>
      </c>
      <c r="ABR31">
        <f t="shared" si="57"/>
        <v>0</v>
      </c>
      <c r="ABS31">
        <f t="shared" si="57"/>
        <v>0</v>
      </c>
      <c r="ABT31">
        <f t="shared" si="57"/>
        <v>0</v>
      </c>
    </row>
    <row r="32" spans="2:748" x14ac:dyDescent="0.3">
      <c r="B32" s="1" t="s">
        <v>845</v>
      </c>
      <c r="C32" s="7">
        <f t="shared" ref="C32:K32" si="58">C18/C17</f>
        <v>0.22294372294372294</v>
      </c>
      <c r="D32" s="7">
        <f t="shared" si="58"/>
        <v>0.23118766999093382</v>
      </c>
      <c r="E32" s="7">
        <f t="shared" si="58"/>
        <v>0.20837927232635062</v>
      </c>
      <c r="F32" s="7">
        <f t="shared" si="58"/>
        <v>0.18287243532560213</v>
      </c>
      <c r="G32" s="7">
        <f t="shared" si="58"/>
        <v>9.1811414392059559E-2</v>
      </c>
      <c r="H32" s="7">
        <f t="shared" si="58"/>
        <v>0.19078242229367631</v>
      </c>
      <c r="I32" s="7">
        <f t="shared" si="58"/>
        <v>0.1829004329004329</v>
      </c>
      <c r="J32" s="7">
        <f t="shared" si="58"/>
        <v>0.11183673469387755</v>
      </c>
      <c r="K32" s="7">
        <f t="shared" si="58"/>
        <v>0.21087680355160932</v>
      </c>
      <c r="N32" s="7">
        <f>N18/N17</f>
        <v>0.252387448840382</v>
      </c>
      <c r="O32" s="7">
        <f>O18/O17</f>
        <v>0.19411431805319751</v>
      </c>
      <c r="P32" s="7">
        <f>P18/P17</f>
        <v>0.16985462892119357</v>
      </c>
      <c r="Q32" s="7">
        <f t="shared" ref="Q32:S32" si="59">Q18/Q17</f>
        <v>0.17</v>
      </c>
      <c r="R32" s="7">
        <f t="shared" si="59"/>
        <v>0.17</v>
      </c>
      <c r="S32" s="7">
        <f t="shared" si="59"/>
        <v>0.17</v>
      </c>
    </row>
    <row r="33" spans="2:41" x14ac:dyDescent="0.3">
      <c r="B33" s="1" t="s">
        <v>797</v>
      </c>
      <c r="C33" s="7">
        <f t="shared" ref="C33:K33" si="60">C8/C7</f>
        <v>0.36468576314664386</v>
      </c>
      <c r="D33" s="7">
        <f t="shared" si="60"/>
        <v>0.34950622584800345</v>
      </c>
      <c r="E33" s="7">
        <f t="shared" si="60"/>
        <v>0.35224969598702877</v>
      </c>
      <c r="F33" s="7">
        <f t="shared" si="60"/>
        <v>0.31832797427652731</v>
      </c>
      <c r="G33" s="7">
        <f t="shared" si="60"/>
        <v>0.33400809716599189</v>
      </c>
      <c r="H33" s="7">
        <f t="shared" si="60"/>
        <v>0.33155318202047174</v>
      </c>
      <c r="I33" s="7">
        <f t="shared" si="60"/>
        <v>0.3250414593698176</v>
      </c>
      <c r="J33" s="7">
        <f t="shared" si="60"/>
        <v>0.34192229038854804</v>
      </c>
      <c r="K33" s="7">
        <f t="shared" si="60"/>
        <v>0.41440217391304346</v>
      </c>
      <c r="N33" s="7">
        <f>N8/N7</f>
        <v>0.34345416762872316</v>
      </c>
      <c r="O33" s="7">
        <f>O8/O7</f>
        <v>0.33832273938896862</v>
      </c>
      <c r="P33" s="7">
        <f>P8/P7</f>
        <v>0.35242866477891527</v>
      </c>
      <c r="Q33" s="7">
        <f>P33+0.005</f>
        <v>0.35742866477891527</v>
      </c>
      <c r="R33" s="7">
        <f t="shared" ref="R33:S33" si="61">Q33+0.005</f>
        <v>0.36242866477891528</v>
      </c>
      <c r="S33" s="7">
        <f t="shared" si="61"/>
        <v>0.36742866477891528</v>
      </c>
    </row>
    <row r="34" spans="2:41" x14ac:dyDescent="0.3">
      <c r="B34" s="1" t="s">
        <v>798</v>
      </c>
      <c r="C34" s="7">
        <f t="shared" ref="C34:K34" si="62">C9/C7</f>
        <v>0.35057716973065411</v>
      </c>
      <c r="D34" s="7">
        <f t="shared" si="62"/>
        <v>0.33920137398024902</v>
      </c>
      <c r="E34" s="7">
        <f t="shared" si="62"/>
        <v>0.35670855289825698</v>
      </c>
      <c r="F34" s="7">
        <f t="shared" si="62"/>
        <v>0.33601286173633438</v>
      </c>
      <c r="G34" s="7">
        <f t="shared" si="62"/>
        <v>0.35870445344129553</v>
      </c>
      <c r="H34" s="7">
        <f t="shared" si="62"/>
        <v>0.33021806853582553</v>
      </c>
      <c r="I34" s="7">
        <f t="shared" si="62"/>
        <v>0.33582089552238809</v>
      </c>
      <c r="J34" s="7">
        <f t="shared" si="62"/>
        <v>0.31288343558282211</v>
      </c>
      <c r="K34" s="7">
        <f t="shared" si="62"/>
        <v>0.34239130434782611</v>
      </c>
      <c r="N34" s="7">
        <f>N9/N7</f>
        <v>0.39021011313784343</v>
      </c>
      <c r="O34" s="7">
        <f>O9/O7</f>
        <v>0.34775476727496413</v>
      </c>
      <c r="P34" s="7">
        <f>P9/P7</f>
        <v>0.33021128294489216</v>
      </c>
      <c r="Q34" s="7">
        <f>+P34-0.015</f>
        <v>0.31521128294489215</v>
      </c>
      <c r="R34" s="7">
        <f t="shared" ref="R34:S34" si="63">+Q34-0.015</f>
        <v>0.30021128294489213</v>
      </c>
      <c r="S34" s="7">
        <f t="shared" si="63"/>
        <v>0.28521128294489212</v>
      </c>
    </row>
    <row r="35" spans="2:41" x14ac:dyDescent="0.3">
      <c r="B35" s="1"/>
      <c r="C35" s="7"/>
      <c r="D35" s="7"/>
      <c r="E35" s="7"/>
      <c r="F35" s="7"/>
      <c r="G35" s="7"/>
      <c r="H35" s="7"/>
      <c r="I35" s="7"/>
      <c r="J35" s="7"/>
      <c r="K35" s="7"/>
      <c r="N35" s="7"/>
      <c r="O35" s="7"/>
      <c r="P35" s="7"/>
    </row>
    <row r="36" spans="2:41" x14ac:dyDescent="0.3">
      <c r="B36" s="1"/>
      <c r="C36" s="7"/>
      <c r="D36" s="7"/>
      <c r="E36" s="7"/>
      <c r="F36" s="7"/>
      <c r="G36" s="7"/>
      <c r="H36" s="7"/>
      <c r="I36" s="7"/>
      <c r="J36" s="7"/>
      <c r="K36" s="7"/>
      <c r="N36" s="7"/>
      <c r="O36" s="7"/>
      <c r="P36" s="7"/>
    </row>
    <row r="37" spans="2:41" s="1" customFormat="1" x14ac:dyDescent="0.3">
      <c r="B37" s="1" t="s">
        <v>93</v>
      </c>
      <c r="C37" s="5">
        <f t="shared" ref="C37:J37" si="64">C38-C50</f>
        <v>33905</v>
      </c>
      <c r="D37" s="5">
        <f t="shared" si="64"/>
        <v>34421</v>
      </c>
      <c r="E37" s="5">
        <f t="shared" si="64"/>
        <v>0</v>
      </c>
      <c r="F37" s="5">
        <f t="shared" si="64"/>
        <v>0</v>
      </c>
      <c r="G37" s="5">
        <f t="shared" si="64"/>
        <v>34092</v>
      </c>
      <c r="H37" s="5">
        <f t="shared" si="64"/>
        <v>33808</v>
      </c>
      <c r="I37" s="5">
        <f t="shared" si="64"/>
        <v>33250</v>
      </c>
      <c r="J37" s="5">
        <f t="shared" si="64"/>
        <v>34129</v>
      </c>
      <c r="K37" s="5">
        <f>K38-K50</f>
        <v>33052</v>
      </c>
      <c r="L37" s="5"/>
      <c r="N37" s="5">
        <f t="shared" ref="N37:P37" si="65">N38-N50</f>
        <v>33905</v>
      </c>
      <c r="O37" s="5">
        <f t="shared" si="65"/>
        <v>34092</v>
      </c>
      <c r="P37" s="5">
        <f t="shared" si="65"/>
        <v>33052</v>
      </c>
      <c r="AO37" s="90">
        <f>NPV(AO36,AB31:ABT31)+AA31+AA49</f>
        <v>0</v>
      </c>
    </row>
    <row r="38" spans="2:41" x14ac:dyDescent="0.3">
      <c r="B38" t="s">
        <v>866</v>
      </c>
      <c r="C38" s="2">
        <f>7707+17520+3426+8017</f>
        <v>36670</v>
      </c>
      <c r="D38" s="2">
        <f>3442+23171+2719+8076</f>
        <v>37408</v>
      </c>
      <c r="E38" s="2"/>
      <c r="F38" s="2"/>
      <c r="G38" s="2">
        <f>3554+23757+6755+3474</f>
        <v>37540</v>
      </c>
      <c r="H38" s="2">
        <f>4213+20744+6502+6289</f>
        <v>37748</v>
      </c>
      <c r="I38" s="2">
        <f>5990+14699+6356+9976</f>
        <v>37021</v>
      </c>
      <c r="J38" s="2">
        <f>4087+14838+12618+6361</f>
        <v>37904</v>
      </c>
      <c r="K38" s="2">
        <f>3402+14057+5716+13499</f>
        <v>36674</v>
      </c>
      <c r="N38" s="2">
        <f>7707+17520+3426+8017</f>
        <v>36670</v>
      </c>
      <c r="O38" s="2">
        <f>3554+23757+6755+3474</f>
        <v>37540</v>
      </c>
      <c r="P38" s="2">
        <f>3402+14057+5716+13499</f>
        <v>36674</v>
      </c>
      <c r="AN38" t="s">
        <v>400</v>
      </c>
      <c r="AO38" s="3">
        <f>AO37/Main!I5</f>
        <v>0</v>
      </c>
    </row>
    <row r="39" spans="2:41" x14ac:dyDescent="0.3">
      <c r="B39" t="s">
        <v>867</v>
      </c>
      <c r="C39" s="2">
        <v>1643</v>
      </c>
      <c r="D39" s="2">
        <v>1638</v>
      </c>
      <c r="E39" s="2"/>
      <c r="F39" s="2"/>
      <c r="G39" s="2">
        <v>1620</v>
      </c>
      <c r="H39" s="2">
        <v>1605</v>
      </c>
      <c r="I39" s="2">
        <v>1603</v>
      </c>
      <c r="J39" s="2">
        <v>1662</v>
      </c>
      <c r="K39" s="2">
        <v>1602</v>
      </c>
      <c r="N39" s="2">
        <v>1643</v>
      </c>
      <c r="O39" s="2">
        <v>1620</v>
      </c>
      <c r="P39" s="2">
        <v>1602</v>
      </c>
      <c r="AN39" t="s">
        <v>401</v>
      </c>
    </row>
    <row r="40" spans="2:41" x14ac:dyDescent="0.3">
      <c r="B40" t="s">
        <v>38</v>
      </c>
      <c r="C40" s="2">
        <f>1701+788+9</f>
        <v>2498</v>
      </c>
      <c r="D40" s="2">
        <f>1572+759+14</f>
        <v>2345</v>
      </c>
      <c r="E40" s="2"/>
      <c r="F40" s="2"/>
      <c r="G40" s="2">
        <f>1528+201+27</f>
        <v>1756</v>
      </c>
      <c r="H40" s="2">
        <f>1514+162+40</f>
        <v>1716</v>
      </c>
      <c r="I40" s="2">
        <f>1529+192+29</f>
        <v>1750</v>
      </c>
      <c r="J40" s="2">
        <f>1403+197+17</f>
        <v>1617</v>
      </c>
      <c r="K40" s="2">
        <f>1384+108+19</f>
        <v>1511</v>
      </c>
      <c r="N40" s="2">
        <f>1701+788+9</f>
        <v>2498</v>
      </c>
      <c r="O40" s="2">
        <f>1528+201+27</f>
        <v>1756</v>
      </c>
      <c r="P40" s="2">
        <f>1384+108+19</f>
        <v>1511</v>
      </c>
    </row>
    <row r="41" spans="2:41" x14ac:dyDescent="0.3">
      <c r="B41" t="s">
        <v>41</v>
      </c>
      <c r="C41" s="2">
        <v>1501</v>
      </c>
      <c r="D41" s="2">
        <v>2793</v>
      </c>
      <c r="E41" s="2"/>
      <c r="F41" s="2"/>
      <c r="G41" s="2">
        <v>1772</v>
      </c>
      <c r="H41" s="2">
        <v>1882</v>
      </c>
      <c r="I41" s="2">
        <v>1756</v>
      </c>
      <c r="J41" s="2">
        <v>2339</v>
      </c>
      <c r="K41" s="2">
        <v>2580</v>
      </c>
      <c r="N41" s="2">
        <v>1501</v>
      </c>
      <c r="O41" s="2">
        <v>1772</v>
      </c>
      <c r="P41" s="2">
        <v>2580</v>
      </c>
    </row>
    <row r="42" spans="2:41" x14ac:dyDescent="0.3">
      <c r="B42" t="s">
        <v>868</v>
      </c>
      <c r="C42" s="2">
        <v>3476</v>
      </c>
      <c r="D42" s="2">
        <v>3345</v>
      </c>
      <c r="E42" s="2"/>
      <c r="F42" s="2"/>
      <c r="G42" s="2">
        <v>3938</v>
      </c>
      <c r="H42" s="2">
        <v>3900</v>
      </c>
      <c r="I42" s="2">
        <v>4012</v>
      </c>
      <c r="J42" s="2">
        <v>4232</v>
      </c>
      <c r="K42" s="2">
        <v>4124</v>
      </c>
      <c r="N42" s="2">
        <v>3476</v>
      </c>
      <c r="O42" s="2">
        <v>3938</v>
      </c>
      <c r="P42" s="2">
        <v>4124</v>
      </c>
    </row>
    <row r="43" spans="2:41" x14ac:dyDescent="0.3">
      <c r="B43" t="s">
        <v>469</v>
      </c>
      <c r="C43" s="2">
        <f>992+1885+182</f>
        <v>3059</v>
      </c>
      <c r="D43" s="2">
        <f>1835+976+172</f>
        <v>2983</v>
      </c>
      <c r="E43" s="2"/>
      <c r="F43" s="2"/>
      <c r="G43" s="2">
        <f>981+1884+124</f>
        <v>2989</v>
      </c>
      <c r="H43" s="2">
        <f>958+1885+121</f>
        <v>2964</v>
      </c>
      <c r="I43" s="2">
        <f>951+1970+112</f>
        <v>3033</v>
      </c>
      <c r="J43" s="2">
        <f>978+2040+107</f>
        <v>3125</v>
      </c>
      <c r="K43" s="2">
        <f>949+2013+106</f>
        <v>3068</v>
      </c>
      <c r="N43" s="2">
        <f>992+1885+182</f>
        <v>3059</v>
      </c>
      <c r="O43" s="2">
        <f>981+1884+124</f>
        <v>2989</v>
      </c>
      <c r="P43" s="2">
        <f>949+2013+106</f>
        <v>3068</v>
      </c>
    </row>
    <row r="44" spans="2:41" x14ac:dyDescent="0.3">
      <c r="B44" t="s">
        <v>66</v>
      </c>
      <c r="C44" s="2">
        <v>3259</v>
      </c>
      <c r="D44" s="2">
        <v>3289</v>
      </c>
      <c r="E44" s="2"/>
      <c r="F44" s="2"/>
      <c r="G44" s="2">
        <v>3181</v>
      </c>
      <c r="H44" s="2">
        <v>3128</v>
      </c>
      <c r="I44" s="2">
        <v>3108</v>
      </c>
      <c r="J44" s="2">
        <v>3218</v>
      </c>
      <c r="K44" s="2">
        <v>3094</v>
      </c>
      <c r="N44" s="2">
        <v>3259</v>
      </c>
      <c r="O44" s="2">
        <v>3181</v>
      </c>
      <c r="P44" s="2">
        <v>3094</v>
      </c>
    </row>
    <row r="45" spans="2:41" x14ac:dyDescent="0.3">
      <c r="B45" t="s">
        <v>869</v>
      </c>
      <c r="C45" s="2">
        <v>309</v>
      </c>
      <c r="D45" s="2">
        <v>304</v>
      </c>
      <c r="E45" s="2"/>
      <c r="F45" s="2"/>
      <c r="G45" s="2">
        <v>296</v>
      </c>
      <c r="H45" s="2">
        <v>312</v>
      </c>
      <c r="I45" s="2">
        <v>322</v>
      </c>
      <c r="J45" s="2">
        <v>406</v>
      </c>
      <c r="K45" s="2">
        <v>300</v>
      </c>
      <c r="N45" s="2">
        <v>309</v>
      </c>
      <c r="O45" s="2">
        <v>296</v>
      </c>
      <c r="P45" s="2">
        <v>300</v>
      </c>
    </row>
    <row r="46" spans="2:41" x14ac:dyDescent="0.3">
      <c r="B46" t="s">
        <v>507</v>
      </c>
      <c r="C46" s="2">
        <v>1503</v>
      </c>
      <c r="D46" s="2">
        <v>1483</v>
      </c>
      <c r="E46" s="2"/>
      <c r="F46" s="2"/>
      <c r="G46" s="2">
        <v>1528</v>
      </c>
      <c r="H46" s="2">
        <v>1481</v>
      </c>
      <c r="I46" s="2">
        <v>1503</v>
      </c>
      <c r="J46" s="2">
        <v>1524</v>
      </c>
      <c r="K46" s="2">
        <v>1493</v>
      </c>
      <c r="N46" s="2">
        <v>1503</v>
      </c>
      <c r="O46" s="2">
        <v>1528</v>
      </c>
      <c r="P46" s="2">
        <v>1493</v>
      </c>
    </row>
    <row r="47" spans="2:41" x14ac:dyDescent="0.3">
      <c r="B47" t="s">
        <v>870</v>
      </c>
      <c r="D47" s="2"/>
      <c r="E47" s="2"/>
      <c r="F47" s="2"/>
      <c r="H47" s="2"/>
      <c r="I47" s="2"/>
      <c r="J47" s="2"/>
      <c r="K47" s="2">
        <v>1856</v>
      </c>
      <c r="N47" s="2"/>
      <c r="P47" s="2">
        <v>1856</v>
      </c>
    </row>
    <row r="48" spans="2:41" x14ac:dyDescent="0.3">
      <c r="B48" t="s">
        <v>43</v>
      </c>
      <c r="C48" s="2">
        <v>2768</v>
      </c>
      <c r="D48" s="2">
        <v>2798</v>
      </c>
      <c r="E48" s="2"/>
      <c r="F48" s="2"/>
      <c r="G48" s="2">
        <v>2671</v>
      </c>
      <c r="H48" s="2">
        <v>2699</v>
      </c>
      <c r="I48" s="2">
        <v>3071</v>
      </c>
      <c r="J48" s="2">
        <v>3440</v>
      </c>
      <c r="K48" s="2">
        <v>2304</v>
      </c>
      <c r="N48" s="2">
        <v>2768</v>
      </c>
      <c r="O48" s="2">
        <v>2671</v>
      </c>
      <c r="P48" s="2">
        <v>2304</v>
      </c>
    </row>
    <row r="49" spans="2:16" s="1" customFormat="1" x14ac:dyDescent="0.3">
      <c r="B49" s="1" t="s">
        <v>871</v>
      </c>
      <c r="C49" s="5">
        <f>SUM(C38:C48)</f>
        <v>56686</v>
      </c>
      <c r="D49" s="5">
        <f>SUM(D38:D48)</f>
        <v>58386</v>
      </c>
      <c r="E49" s="5"/>
      <c r="F49" s="5"/>
      <c r="G49" s="5">
        <f>SUM(G38:G48)</f>
        <v>57291</v>
      </c>
      <c r="H49" s="5">
        <f>SUM(H38:H48)</f>
        <v>57435</v>
      </c>
      <c r="I49" s="5">
        <f>SUM(I38:I48)</f>
        <v>57179</v>
      </c>
      <c r="J49" s="5">
        <f>SUM(J38:J48)</f>
        <v>59467</v>
      </c>
      <c r="K49" s="5">
        <f>SUM(K38:K48)</f>
        <v>58606</v>
      </c>
      <c r="L49" s="5"/>
      <c r="N49" s="5">
        <f>SUM(N38:N48)</f>
        <v>56686</v>
      </c>
      <c r="O49" s="5">
        <f>SUM(O38:O48)</f>
        <v>57291</v>
      </c>
      <c r="P49" s="5">
        <f>SUM(P38:P48)</f>
        <v>58606</v>
      </c>
    </row>
    <row r="50" spans="2:16" x14ac:dyDescent="0.3">
      <c r="B50" t="s">
        <v>4</v>
      </c>
      <c r="C50" s="2">
        <f>775+1990</f>
        <v>2765</v>
      </c>
      <c r="D50" s="2">
        <f>995+1992</f>
        <v>2987</v>
      </c>
      <c r="E50" s="2"/>
      <c r="F50" s="2"/>
      <c r="G50" s="2">
        <f>1445+2003</f>
        <v>3448</v>
      </c>
      <c r="H50" s="2">
        <f>1900+3+2037</f>
        <v>3940</v>
      </c>
      <c r="I50" s="2">
        <f>1722+4+2045</f>
        <v>3771</v>
      </c>
      <c r="J50" s="2">
        <f>1706+2064+5</f>
        <v>3775</v>
      </c>
      <c r="K50" s="2">
        <f>1462+2137+23</f>
        <v>3622</v>
      </c>
      <c r="N50" s="2">
        <f>775+1990</f>
        <v>2765</v>
      </c>
      <c r="O50" s="2">
        <f>1445+2003</f>
        <v>3448</v>
      </c>
      <c r="P50" s="2">
        <f>1462+2137+23</f>
        <v>3622</v>
      </c>
    </row>
    <row r="51" spans="2:16" x14ac:dyDescent="0.3">
      <c r="B51" t="s">
        <v>45</v>
      </c>
      <c r="C51" s="2">
        <f>5512+735+14</f>
        <v>6261</v>
      </c>
      <c r="D51" s="2">
        <f>4957+759+14</f>
        <v>5730</v>
      </c>
      <c r="E51" s="2"/>
      <c r="F51" s="2"/>
      <c r="G51" s="2">
        <f>5312+226+11</f>
        <v>5549</v>
      </c>
      <c r="H51" s="2">
        <f>5089+204+10</f>
        <v>5303</v>
      </c>
      <c r="I51" s="2">
        <f>5227+252+9</f>
        <v>5488</v>
      </c>
      <c r="J51" s="2">
        <f>5557+279+9</f>
        <v>5845</v>
      </c>
      <c r="K51" s="2">
        <f>5677+246+8</f>
        <v>5931</v>
      </c>
      <c r="N51" s="2">
        <f>5512+735+14</f>
        <v>6261</v>
      </c>
      <c r="O51" s="2">
        <f>5312+226+11</f>
        <v>5549</v>
      </c>
      <c r="P51" s="2">
        <f>5677+246+8</f>
        <v>5931</v>
      </c>
    </row>
    <row r="52" spans="2:16" x14ac:dyDescent="0.3">
      <c r="B52" t="s">
        <v>47</v>
      </c>
      <c r="C52" s="2">
        <f>1902+10+23+48</f>
        <v>1983</v>
      </c>
      <c r="D52" s="2">
        <f>2026+21+17+55</f>
        <v>2119</v>
      </c>
      <c r="E52" s="2"/>
      <c r="F52" s="2"/>
      <c r="G52" s="2">
        <f>2060+43+28+68</f>
        <v>2199</v>
      </c>
      <c r="H52" s="2">
        <f>1889+32+27+70</f>
        <v>2018</v>
      </c>
      <c r="I52" s="2">
        <f>40+1932+39+72</f>
        <v>2083</v>
      </c>
      <c r="J52" s="2">
        <f>2039+43+38+76</f>
        <v>2196</v>
      </c>
      <c r="K52" s="2">
        <f>2003+94+32+80</f>
        <v>2209</v>
      </c>
      <c r="N52" s="2">
        <f>1902+10+23+48</f>
        <v>1983</v>
      </c>
      <c r="O52" s="2">
        <f>2060+43+28+68</f>
        <v>2199</v>
      </c>
      <c r="P52" s="2">
        <f>2003+94+32+80</f>
        <v>2209</v>
      </c>
    </row>
    <row r="53" spans="2:16" x14ac:dyDescent="0.3">
      <c r="B53" t="s">
        <v>430</v>
      </c>
      <c r="C53" s="2">
        <f>1204+1001+5784+1387</f>
        <v>9376</v>
      </c>
      <c r="D53" s="2">
        <f>1203+1000+5776+1699</f>
        <v>9678</v>
      </c>
      <c r="E53" s="2"/>
      <c r="F53" s="2"/>
      <c r="G53" s="2">
        <f>395+849+1147+4928</f>
        <v>7319</v>
      </c>
      <c r="H53" s="2">
        <f>395+850+4931+1157</f>
        <v>7333</v>
      </c>
      <c r="I53" s="2">
        <f>1099+398+3834+1157</f>
        <v>6488</v>
      </c>
      <c r="J53" s="2">
        <f>2+1099+1167+3835</f>
        <v>6103</v>
      </c>
      <c r="K53" s="2">
        <f>33+1100+3835+1144</f>
        <v>6112</v>
      </c>
      <c r="N53" s="2">
        <f>1204+1001+5784+1387</f>
        <v>9376</v>
      </c>
      <c r="O53" s="2">
        <f>395+849+1147+4928</f>
        <v>7319</v>
      </c>
      <c r="P53" s="2">
        <f>33+1100+3835+1144</f>
        <v>6112</v>
      </c>
    </row>
    <row r="54" spans="2:16" x14ac:dyDescent="0.3">
      <c r="B54" t="s">
        <v>793</v>
      </c>
      <c r="C54" s="2">
        <f>407+697</f>
        <v>1104</v>
      </c>
      <c r="D54" s="2">
        <f>407+677</f>
        <v>1084</v>
      </c>
      <c r="E54" s="2"/>
      <c r="F54" s="2"/>
      <c r="G54" s="2">
        <f>438+710</f>
        <v>1148</v>
      </c>
      <c r="H54" s="2">
        <f>431+677</f>
        <v>1108</v>
      </c>
      <c r="I54" s="2">
        <f>440+696</f>
        <v>1136</v>
      </c>
      <c r="J54" s="2">
        <f>445+700</f>
        <v>1145</v>
      </c>
      <c r="K54" s="2">
        <f>453+681</f>
        <v>1134</v>
      </c>
      <c r="N54" s="2">
        <f>407+697</f>
        <v>1104</v>
      </c>
      <c r="O54" s="2">
        <f>438+710</f>
        <v>1148</v>
      </c>
      <c r="P54" s="2">
        <f>453+681</f>
        <v>1134</v>
      </c>
    </row>
    <row r="55" spans="2:16" x14ac:dyDescent="0.3">
      <c r="B55" t="s">
        <v>869</v>
      </c>
      <c r="C55" s="2">
        <v>420</v>
      </c>
      <c r="D55" s="2">
        <v>439</v>
      </c>
      <c r="E55" s="2"/>
      <c r="F55" s="2"/>
      <c r="G55" s="2">
        <v>384</v>
      </c>
      <c r="H55" s="2">
        <v>390</v>
      </c>
      <c r="I55" s="2">
        <v>405</v>
      </c>
      <c r="J55" s="2">
        <v>411</v>
      </c>
      <c r="K55" s="2">
        <v>530</v>
      </c>
      <c r="N55" s="2">
        <v>420</v>
      </c>
      <c r="O55" s="2">
        <v>384</v>
      </c>
      <c r="P55" s="2">
        <v>530</v>
      </c>
    </row>
    <row r="56" spans="2:16" x14ac:dyDescent="0.3">
      <c r="B56" t="s">
        <v>48</v>
      </c>
      <c r="C56" s="2">
        <v>299</v>
      </c>
      <c r="D56" s="2">
        <v>300</v>
      </c>
      <c r="E56" s="2"/>
      <c r="F56" s="2"/>
      <c r="G56" s="2">
        <v>257</v>
      </c>
      <c r="H56" s="2">
        <v>258</v>
      </c>
      <c r="I56" s="2">
        <v>250</v>
      </c>
      <c r="J56" s="2">
        <v>208</v>
      </c>
      <c r="K56" s="2">
        <v>213</v>
      </c>
      <c r="N56" s="2">
        <v>299</v>
      </c>
      <c r="O56" s="2">
        <v>257</v>
      </c>
      <c r="P56" s="2">
        <v>213</v>
      </c>
    </row>
    <row r="57" spans="2:16" s="1" customFormat="1" x14ac:dyDescent="0.3">
      <c r="B57" s="1" t="s">
        <v>476</v>
      </c>
      <c r="C57" s="5">
        <f>SUM(C50:C56)</f>
        <v>22208</v>
      </c>
      <c r="D57" s="5">
        <f>SUM(D50:D56)</f>
        <v>22337</v>
      </c>
      <c r="E57" s="5"/>
      <c r="F57" s="5"/>
      <c r="G57" s="5">
        <f>SUM(G50:G56)</f>
        <v>20304</v>
      </c>
      <c r="H57" s="5">
        <f>SUM(H50:H56)</f>
        <v>20350</v>
      </c>
      <c r="I57" s="5">
        <f>SUM(I50:I56)</f>
        <v>19621</v>
      </c>
      <c r="J57" s="5">
        <f>SUM(J50:J56)</f>
        <v>19683</v>
      </c>
      <c r="K57" s="5">
        <f>SUM(K50:K56)</f>
        <v>19751</v>
      </c>
      <c r="L57" s="5"/>
      <c r="N57" s="5">
        <f>SUM(N50:N56)</f>
        <v>22208</v>
      </c>
      <c r="O57" s="5">
        <f>SUM(O50:O56)</f>
        <v>20304</v>
      </c>
      <c r="P57" s="5">
        <f>SUM(P50:P56)</f>
        <v>19751</v>
      </c>
    </row>
    <row r="58" spans="2:16" x14ac:dyDescent="0.3">
      <c r="B58" t="s">
        <v>477</v>
      </c>
      <c r="C58" s="2">
        <f>1217+33261</f>
        <v>34478</v>
      </c>
      <c r="D58" s="2">
        <f>1268+34781</f>
        <v>36049</v>
      </c>
      <c r="E58" s="2"/>
      <c r="F58" s="2"/>
      <c r="G58" s="2">
        <f>1333+35654</f>
        <v>36987</v>
      </c>
      <c r="H58" s="2">
        <f>1372+35713</f>
        <v>37085</v>
      </c>
      <c r="I58" s="2">
        <f>1391+36167</f>
        <v>37558</v>
      </c>
      <c r="J58" s="2">
        <f>1327+38457</f>
        <v>39784</v>
      </c>
      <c r="K58" s="2">
        <f>37503+1352</f>
        <v>38855</v>
      </c>
      <c r="N58" s="2">
        <f>1217+33261</f>
        <v>34478</v>
      </c>
      <c r="O58" s="2">
        <f>1333+35654</f>
        <v>36987</v>
      </c>
      <c r="P58" s="2">
        <f>37503+1352</f>
        <v>38855</v>
      </c>
    </row>
    <row r="59" spans="2:16" s="1" customFormat="1" x14ac:dyDescent="0.3">
      <c r="B59" s="1" t="s">
        <v>781</v>
      </c>
      <c r="C59" s="5">
        <f>C57+C58</f>
        <v>56686</v>
      </c>
      <c r="D59" s="5">
        <f>D57+D58</f>
        <v>58386</v>
      </c>
      <c r="E59" s="5"/>
      <c r="F59" s="5"/>
      <c r="G59" s="5">
        <f>G57+G58</f>
        <v>57291</v>
      </c>
      <c r="H59" s="5">
        <f>H57+H58</f>
        <v>57435</v>
      </c>
      <c r="I59" s="5">
        <f>I57+I58</f>
        <v>57179</v>
      </c>
      <c r="J59" s="5">
        <f>J57+J58</f>
        <v>59467</v>
      </c>
      <c r="K59" s="5">
        <f>K57+K58</f>
        <v>58606</v>
      </c>
      <c r="L59" s="5"/>
      <c r="N59" s="5">
        <f>N57+N58</f>
        <v>56686</v>
      </c>
      <c r="O59" s="5">
        <f>O57+O58</f>
        <v>57291</v>
      </c>
      <c r="P59" s="5">
        <f>P57+P58</f>
        <v>58606</v>
      </c>
    </row>
    <row r="61" spans="2:16" x14ac:dyDescent="0.3">
      <c r="B61" s="1" t="s">
        <v>510</v>
      </c>
      <c r="C61" s="2">
        <f t="shared" ref="C61:J61" si="66">C19</f>
        <v>718</v>
      </c>
      <c r="D61" s="2">
        <f t="shared" si="66"/>
        <v>848</v>
      </c>
      <c r="E61" s="2">
        <f t="shared" si="66"/>
        <v>718</v>
      </c>
      <c r="F61" s="2">
        <f t="shared" si="66"/>
        <v>916</v>
      </c>
      <c r="G61" s="2">
        <f t="shared" si="66"/>
        <v>366</v>
      </c>
      <c r="H61" s="2">
        <f t="shared" si="66"/>
        <v>755</v>
      </c>
      <c r="I61" s="2">
        <f t="shared" si="66"/>
        <v>755</v>
      </c>
      <c r="J61" s="2">
        <f t="shared" si="66"/>
        <v>1088</v>
      </c>
      <c r="K61" s="2">
        <f>K19</f>
        <v>711</v>
      </c>
    </row>
    <row r="62" spans="2:16" x14ac:dyDescent="0.3">
      <c r="B62" t="s">
        <v>512</v>
      </c>
      <c r="C62" s="2">
        <v>1139</v>
      </c>
      <c r="D62">
        <v>850</v>
      </c>
      <c r="E62">
        <v>1466</v>
      </c>
      <c r="F62">
        <v>1306</v>
      </c>
      <c r="G62">
        <v>1496</v>
      </c>
      <c r="H62">
        <v>861</v>
      </c>
      <c r="I62">
        <v>1153</v>
      </c>
      <c r="J62">
        <v>610</v>
      </c>
      <c r="K62">
        <v>323</v>
      </c>
      <c r="N62">
        <v>3794</v>
      </c>
      <c r="O62" s="2">
        <f>SUM(D62:G62)</f>
        <v>5118</v>
      </c>
      <c r="P62">
        <f>SUM(H62:K62)</f>
        <v>2947</v>
      </c>
    </row>
    <row r="63" spans="2:16" x14ac:dyDescent="0.3">
      <c r="B63" t="s">
        <v>521</v>
      </c>
      <c r="C63" s="2">
        <v>-772</v>
      </c>
      <c r="D63">
        <v>-4754</v>
      </c>
      <c r="E63">
        <v>950</v>
      </c>
      <c r="F63">
        <v>-1563</v>
      </c>
      <c r="G63">
        <v>-1864</v>
      </c>
      <c r="H63">
        <v>-432</v>
      </c>
      <c r="I63">
        <v>1946</v>
      </c>
      <c r="J63">
        <v>-1990</v>
      </c>
      <c r="K63">
        <v>-772</v>
      </c>
      <c r="N63">
        <v>-572</v>
      </c>
      <c r="O63" s="2">
        <f>SUM(D63:G63)</f>
        <v>-7231</v>
      </c>
      <c r="P63">
        <f>SUM(H63:K63)</f>
        <v>-1248</v>
      </c>
    </row>
    <row r="64" spans="2:16" x14ac:dyDescent="0.3">
      <c r="B64" t="s">
        <v>518</v>
      </c>
      <c r="C64" s="2">
        <v>-328</v>
      </c>
      <c r="D64">
        <v>-335</v>
      </c>
      <c r="E64">
        <v>101</v>
      </c>
      <c r="F64">
        <v>-683</v>
      </c>
      <c r="G64">
        <v>-1072</v>
      </c>
      <c r="H64">
        <v>331</v>
      </c>
      <c r="I64">
        <v>-1249</v>
      </c>
      <c r="J64">
        <v>-769</v>
      </c>
      <c r="K64">
        <v>-229</v>
      </c>
      <c r="N64">
        <v>-926</v>
      </c>
      <c r="O64" s="2">
        <f>SUM(D64:G64)</f>
        <v>-1989</v>
      </c>
      <c r="P64">
        <f>SUM(H64:K64)</f>
        <v>-1916</v>
      </c>
    </row>
    <row r="65" spans="2:16" s="1" customFormat="1" x14ac:dyDescent="0.3">
      <c r="B65" s="1" t="s">
        <v>522</v>
      </c>
      <c r="C65" s="1">
        <f t="shared" ref="C65:E65" si="67">C62+C63+C64</f>
        <v>39</v>
      </c>
      <c r="D65" s="1">
        <f t="shared" si="67"/>
        <v>-4239</v>
      </c>
      <c r="E65" s="1">
        <f t="shared" si="67"/>
        <v>2517</v>
      </c>
      <c r="F65" s="1">
        <f t="shared" ref="F65:K65" si="68">F62+F63+F64</f>
        <v>-940</v>
      </c>
      <c r="G65" s="1">
        <f t="shared" si="68"/>
        <v>-1440</v>
      </c>
      <c r="H65" s="1">
        <f t="shared" si="68"/>
        <v>760</v>
      </c>
      <c r="I65" s="1">
        <f t="shared" si="68"/>
        <v>1850</v>
      </c>
      <c r="J65" s="1">
        <f t="shared" si="68"/>
        <v>-2149</v>
      </c>
      <c r="K65" s="1">
        <f t="shared" si="68"/>
        <v>-678</v>
      </c>
      <c r="L65" s="5"/>
      <c r="N65" s="1">
        <f>N62+N63+N64</f>
        <v>2296</v>
      </c>
      <c r="O65" s="1">
        <f>O62+O63+O64</f>
        <v>-4102</v>
      </c>
      <c r="P65" s="1">
        <f>P62+P63+P64</f>
        <v>-217</v>
      </c>
    </row>
    <row r="67" spans="2:16" x14ac:dyDescent="0.3">
      <c r="B67" t="s">
        <v>852</v>
      </c>
      <c r="C67" s="2">
        <v>-280</v>
      </c>
      <c r="D67">
        <v>-189</v>
      </c>
      <c r="E67">
        <v>-373</v>
      </c>
      <c r="F67">
        <v>-484</v>
      </c>
      <c r="G67">
        <v>-516</v>
      </c>
      <c r="H67">
        <v>-282</v>
      </c>
      <c r="I67">
        <v>-291</v>
      </c>
      <c r="J67">
        <v>-234</v>
      </c>
      <c r="K67">
        <v>-320</v>
      </c>
      <c r="N67">
        <v>-1201</v>
      </c>
      <c r="O67" s="2">
        <f>SUM(D67:G67)</f>
        <v>-1562</v>
      </c>
      <c r="P67">
        <f>SUM(H67:K67)</f>
        <v>-1127</v>
      </c>
    </row>
    <row r="69" spans="2:16" s="1" customFormat="1" x14ac:dyDescent="0.3">
      <c r="B69" s="1" t="s">
        <v>523</v>
      </c>
      <c r="C69" s="1">
        <f t="shared" ref="C69:E69" si="69">C62+C67</f>
        <v>859</v>
      </c>
      <c r="D69" s="1">
        <f t="shared" si="69"/>
        <v>661</v>
      </c>
      <c r="E69" s="1">
        <f t="shared" si="69"/>
        <v>1093</v>
      </c>
      <c r="F69" s="1">
        <f t="shared" ref="F69:K69" si="70">F62+F67</f>
        <v>822</v>
      </c>
      <c r="G69" s="1">
        <f t="shared" si="70"/>
        <v>980</v>
      </c>
      <c r="H69" s="1">
        <f t="shared" si="70"/>
        <v>579</v>
      </c>
      <c r="I69" s="1">
        <f t="shared" si="70"/>
        <v>862</v>
      </c>
      <c r="J69" s="1">
        <f t="shared" si="70"/>
        <v>376</v>
      </c>
      <c r="K69" s="1">
        <f t="shared" si="70"/>
        <v>3</v>
      </c>
      <c r="L69" s="5"/>
      <c r="N69" s="1">
        <f>N62+N67</f>
        <v>2593</v>
      </c>
      <c r="O69" s="1">
        <f>O62+O67</f>
        <v>3556</v>
      </c>
      <c r="P69" s="1">
        <f>P62+P67</f>
        <v>1820</v>
      </c>
    </row>
    <row r="70" spans="2:16" x14ac:dyDescent="0.3">
      <c r="B70" t="s">
        <v>872</v>
      </c>
      <c r="O70" s="7">
        <f>O69/N69-1</f>
        <v>0.37138449672194374</v>
      </c>
      <c r="P70" s="7">
        <f>P69/O69-1</f>
        <v>-0.48818897637795278</v>
      </c>
    </row>
  </sheetData>
  <phoneticPr fontId="12" type="noConversion"/>
  <hyperlinks>
    <hyperlink ref="A1" location="Main!K13" display="Main" xr:uid="{7483027D-C51A-4E2D-85F9-16C32B1DD1A0}"/>
    <hyperlink ref="A2" r:id="rId1" xr:uid="{943B9DE2-092D-4CF8-A06B-6A81F2787B42}"/>
  </hyperlinks>
  <pageMargins left="0.7" right="0.7" top="0.75" bottom="0.75" header="0.3" footer="0.3"/>
  <pageSetup scale="10" orientation="portrait" r:id="rId2"/>
  <colBreaks count="2" manualBreakCount="2">
    <brk id="16" max="1048575" man="1"/>
    <brk id="117" max="69" man="1"/>
  </colBreaks>
  <ignoredErrors>
    <ignoredError sqref="E12 E18 O7" formula="1"/>
    <ignoredError sqref="O61:O64 O66:O67 P62:P64 P66:P67 O3:O4 O6 O8:O9 O12:O15 N5 P11" formulaRange="1"/>
    <ignoredError sqref="O5 P7 P5" formula="1"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91C5E-5C46-4165-A4B4-D09E3CB8575F}">
  <dimension ref="A1:AD39"/>
  <sheetViews>
    <sheetView zoomScaleNormal="130" workbookViewId="0">
      <selection activeCell="B8" sqref="B8"/>
    </sheetView>
  </sheetViews>
  <sheetFormatPr defaultRowHeight="14.4" x14ac:dyDescent="0.3"/>
  <cols>
    <col min="5" max="5" width="7.77734375" bestFit="1" customWidth="1"/>
    <col min="6" max="6" width="7.33203125" bestFit="1" customWidth="1"/>
    <col min="7" max="7" width="10" customWidth="1"/>
    <col min="15" max="18" width="11.6640625" bestFit="1" customWidth="1"/>
    <col min="19" max="19" width="11.44140625" bestFit="1" customWidth="1"/>
    <col min="20" max="20" width="9" customWidth="1"/>
    <col min="21" max="21" width="10.77734375" customWidth="1"/>
    <col min="22" max="22" width="9.6640625" customWidth="1"/>
    <col min="23" max="23" width="7.77734375" customWidth="1"/>
    <col min="24" max="24" width="50.44140625" customWidth="1"/>
    <col min="25" max="25" width="13.109375" customWidth="1"/>
    <col min="26" max="26" width="13.44140625" bestFit="1" customWidth="1"/>
    <col min="27" max="27" width="45.109375" customWidth="1"/>
    <col min="28" max="28" width="9.5546875" customWidth="1"/>
  </cols>
  <sheetData>
    <row r="1" spans="1:30" x14ac:dyDescent="0.3">
      <c r="A1" s="6" t="s">
        <v>376</v>
      </c>
    </row>
    <row r="2" spans="1:30" x14ac:dyDescent="0.3">
      <c r="G2" t="s">
        <v>454</v>
      </c>
    </row>
    <row r="4" spans="1:30" ht="15" thickBot="1" x14ac:dyDescent="0.35"/>
    <row r="5" spans="1:30" ht="15" thickBot="1" x14ac:dyDescent="0.35">
      <c r="B5" s="22" t="s">
        <v>407</v>
      </c>
      <c r="C5" s="23"/>
      <c r="D5" s="23"/>
      <c r="E5" s="23" t="s">
        <v>75</v>
      </c>
      <c r="F5" s="23" t="s">
        <v>74</v>
      </c>
      <c r="G5" s="23"/>
      <c r="H5" s="23"/>
      <c r="I5" s="24"/>
      <c r="K5" s="22" t="s">
        <v>407</v>
      </c>
      <c r="L5" s="23"/>
      <c r="M5" s="23"/>
      <c r="N5" s="23"/>
      <c r="O5" s="59" t="s">
        <v>10</v>
      </c>
      <c r="P5" s="59" t="s">
        <v>11</v>
      </c>
      <c r="Q5" s="24" t="s">
        <v>12</v>
      </c>
      <c r="R5" s="24" t="s">
        <v>7</v>
      </c>
    </row>
    <row r="6" spans="1:30" x14ac:dyDescent="0.3">
      <c r="B6" s="25" t="s">
        <v>9</v>
      </c>
      <c r="C6" t="s">
        <v>426</v>
      </c>
      <c r="I6" s="19"/>
      <c r="K6" s="25" t="s">
        <v>9</v>
      </c>
      <c r="L6" t="s">
        <v>426</v>
      </c>
      <c r="O6" s="60" t="s">
        <v>396</v>
      </c>
      <c r="P6" s="60" t="s">
        <v>396</v>
      </c>
      <c r="Q6" s="19" t="s">
        <v>396</v>
      </c>
      <c r="R6" s="19" t="s">
        <v>396</v>
      </c>
    </row>
    <row r="7" spans="1:30" x14ac:dyDescent="0.3">
      <c r="B7" s="37" t="s">
        <v>409</v>
      </c>
      <c r="C7" s="38"/>
      <c r="D7" s="38"/>
      <c r="E7" s="38">
        <v>27085</v>
      </c>
      <c r="F7" s="38">
        <v>25011</v>
      </c>
      <c r="G7" s="38"/>
      <c r="H7" s="38"/>
      <c r="I7" s="39"/>
      <c r="J7" s="2"/>
      <c r="K7" s="37" t="s">
        <v>409</v>
      </c>
      <c r="L7" s="38"/>
      <c r="M7" s="38"/>
      <c r="N7" s="38"/>
      <c r="O7" s="61">
        <v>5.5E-2</v>
      </c>
      <c r="P7" s="61">
        <v>7.0999999999999994E-2</v>
      </c>
      <c r="Q7" s="52">
        <v>9.7000000000000003E-2</v>
      </c>
      <c r="R7" s="52">
        <v>0.104</v>
      </c>
      <c r="S7" s="2"/>
    </row>
    <row r="8" spans="1:30" x14ac:dyDescent="0.3">
      <c r="B8" s="27" t="s">
        <v>410</v>
      </c>
      <c r="I8" s="19"/>
      <c r="K8" s="27" t="s">
        <v>410</v>
      </c>
      <c r="O8" s="62">
        <v>7.0000000000000007E-2</v>
      </c>
      <c r="P8" s="62">
        <v>0.05</v>
      </c>
      <c r="Q8" s="31">
        <v>0.1</v>
      </c>
      <c r="R8" s="31">
        <v>0.11</v>
      </c>
    </row>
    <row r="9" spans="1:30" x14ac:dyDescent="0.3">
      <c r="B9" s="27" t="s">
        <v>411</v>
      </c>
      <c r="I9" s="19"/>
      <c r="K9" s="27"/>
      <c r="L9" t="s">
        <v>447</v>
      </c>
      <c r="O9" s="62">
        <v>0.09</v>
      </c>
      <c r="P9" s="62">
        <v>7.0000000000000007E-2</v>
      </c>
      <c r="Q9" s="31">
        <v>0.14000000000000001</v>
      </c>
      <c r="R9" s="31">
        <v>0.16</v>
      </c>
      <c r="AA9" s="48"/>
    </row>
    <row r="10" spans="1:30" x14ac:dyDescent="0.3">
      <c r="B10" s="34" t="s">
        <v>427</v>
      </c>
      <c r="E10" s="9">
        <f>E7/E31</f>
        <v>0.4316128312590633</v>
      </c>
      <c r="F10" s="9">
        <f>F7/F31</f>
        <v>0.40430966198412571</v>
      </c>
      <c r="I10" s="19"/>
      <c r="K10" s="27"/>
      <c r="L10" t="s">
        <v>448</v>
      </c>
      <c r="O10" s="62">
        <v>0.13</v>
      </c>
      <c r="P10" s="62">
        <v>0.15</v>
      </c>
      <c r="Q10" s="31">
        <v>0.13</v>
      </c>
      <c r="R10" s="31">
        <v>0.15</v>
      </c>
    </row>
    <row r="11" spans="1:30" x14ac:dyDescent="0.3">
      <c r="B11" s="30" t="s">
        <v>422</v>
      </c>
      <c r="C11" s="8"/>
      <c r="D11" s="8"/>
      <c r="E11" s="8">
        <v>0.83699999999999997</v>
      </c>
      <c r="F11" s="8">
        <v>0.82899999999999996</v>
      </c>
      <c r="G11" s="8"/>
      <c r="H11" s="8"/>
      <c r="I11" s="31"/>
      <c r="J11" s="8"/>
      <c r="K11" s="27"/>
      <c r="L11" t="s">
        <v>449</v>
      </c>
      <c r="O11" s="62">
        <v>0.01</v>
      </c>
      <c r="P11" s="62">
        <v>0.03</v>
      </c>
      <c r="Q11" s="31">
        <v>0.05</v>
      </c>
      <c r="R11" s="31">
        <v>0.04</v>
      </c>
      <c r="S11" s="8"/>
    </row>
    <row r="12" spans="1:30" ht="15" thickBot="1" x14ac:dyDescent="0.35">
      <c r="B12" s="37" t="s">
        <v>412</v>
      </c>
      <c r="C12" s="38"/>
      <c r="D12" s="38"/>
      <c r="E12" s="38">
        <v>20692</v>
      </c>
      <c r="F12" s="38">
        <v>20884</v>
      </c>
      <c r="G12" s="38"/>
      <c r="H12" s="38"/>
      <c r="I12" s="39"/>
      <c r="J12" s="2"/>
      <c r="K12" s="27"/>
      <c r="L12" t="s">
        <v>450</v>
      </c>
      <c r="O12" s="62">
        <v>-0.03</v>
      </c>
      <c r="P12" s="62">
        <v>0.02</v>
      </c>
      <c r="Q12" s="31">
        <v>0.01</v>
      </c>
      <c r="R12" s="31">
        <v>0.04</v>
      </c>
      <c r="S12" s="2"/>
    </row>
    <row r="13" spans="1:30" ht="15" thickBot="1" x14ac:dyDescent="0.35">
      <c r="B13" s="27" t="s">
        <v>413</v>
      </c>
      <c r="E13" s="8"/>
      <c r="I13" s="19"/>
      <c r="K13" s="27" t="s">
        <v>411</v>
      </c>
      <c r="O13" s="62">
        <v>0.03</v>
      </c>
      <c r="P13" s="62">
        <v>0.11</v>
      </c>
      <c r="Q13" s="31">
        <v>0.09</v>
      </c>
      <c r="R13" s="31">
        <v>0.1</v>
      </c>
      <c r="U13" s="41" t="s">
        <v>407</v>
      </c>
      <c r="V13" s="23"/>
      <c r="W13" s="23"/>
      <c r="X13" s="23" t="s">
        <v>428</v>
      </c>
      <c r="Y13" s="23" t="s">
        <v>429</v>
      </c>
      <c r="Z13" s="23" t="s">
        <v>430</v>
      </c>
      <c r="AA13" s="42" t="s">
        <v>431</v>
      </c>
      <c r="AB13" s="23"/>
      <c r="AC13" s="23"/>
      <c r="AD13" s="24"/>
    </row>
    <row r="14" spans="1:30" ht="14.4" customHeight="1" x14ac:dyDescent="0.3">
      <c r="B14" s="27" t="s">
        <v>414</v>
      </c>
      <c r="I14" s="19"/>
      <c r="K14" s="34" t="s">
        <v>427</v>
      </c>
      <c r="N14" s="9"/>
      <c r="O14" s="62"/>
      <c r="P14" s="62"/>
      <c r="Q14" s="31"/>
      <c r="R14" s="31"/>
      <c r="U14" s="43" t="s">
        <v>409</v>
      </c>
      <c r="V14" s="17"/>
      <c r="W14" s="17"/>
      <c r="X14" s="219" t="s">
        <v>436</v>
      </c>
      <c r="Y14" s="46">
        <v>0.4316128312590633</v>
      </c>
      <c r="Z14" s="223"/>
      <c r="AA14" s="219" t="s">
        <v>432</v>
      </c>
      <c r="AB14" s="17"/>
      <c r="AC14" s="17"/>
      <c r="AD14" s="18"/>
    </row>
    <row r="15" spans="1:30" x14ac:dyDescent="0.3">
      <c r="B15" s="27" t="s">
        <v>415</v>
      </c>
      <c r="I15" s="19"/>
      <c r="K15" s="30" t="s">
        <v>422</v>
      </c>
      <c r="L15" s="8"/>
      <c r="M15" s="8"/>
      <c r="N15" s="8"/>
      <c r="O15" s="62"/>
      <c r="P15" s="62"/>
      <c r="Q15" s="31"/>
      <c r="R15" s="31"/>
      <c r="U15" s="27" t="s">
        <v>410</v>
      </c>
      <c r="X15" s="216"/>
      <c r="Z15" s="221"/>
      <c r="AA15" s="216"/>
      <c r="AD15" s="19"/>
    </row>
    <row r="16" spans="1:30" x14ac:dyDescent="0.3">
      <c r="B16" s="34" t="s">
        <v>427</v>
      </c>
      <c r="E16" s="9">
        <f>E12/E31</f>
        <v>0.32973722371838798</v>
      </c>
      <c r="F16" s="9">
        <f>F12/F31</f>
        <v>0.33759557718109956</v>
      </c>
      <c r="I16" s="19"/>
      <c r="K16" s="37" t="s">
        <v>412</v>
      </c>
      <c r="L16" s="38"/>
      <c r="M16" s="38"/>
      <c r="N16" s="38"/>
      <c r="O16" s="61">
        <v>-2E-3</v>
      </c>
      <c r="P16" s="61">
        <v>-8.9999999999999993E-3</v>
      </c>
      <c r="Q16" s="52">
        <v>-5.0000000000000001E-3</v>
      </c>
      <c r="R16" s="52">
        <v>-0.02</v>
      </c>
      <c r="U16" s="27" t="s">
        <v>411</v>
      </c>
      <c r="X16" s="218"/>
      <c r="Z16" s="222"/>
      <c r="AA16" s="218"/>
      <c r="AD16" s="19"/>
    </row>
    <row r="17" spans="2:30" ht="14.4" customHeight="1" x14ac:dyDescent="0.3">
      <c r="B17" s="26" t="s">
        <v>422</v>
      </c>
      <c r="C17" s="8"/>
      <c r="D17" s="8"/>
      <c r="E17" s="8">
        <v>0.27</v>
      </c>
      <c r="F17" s="8">
        <v>0.26800000000000002</v>
      </c>
      <c r="G17" s="8"/>
      <c r="H17" s="8"/>
      <c r="I17" s="31"/>
      <c r="J17" s="8"/>
      <c r="K17" s="27" t="s">
        <v>413</v>
      </c>
      <c r="N17" s="8"/>
      <c r="O17" s="62">
        <v>0.01</v>
      </c>
      <c r="P17" s="62">
        <v>0.03</v>
      </c>
      <c r="Q17" s="31">
        <v>0.02</v>
      </c>
      <c r="R17" s="31">
        <v>0.01</v>
      </c>
      <c r="S17" s="8"/>
      <c r="U17" s="37" t="s">
        <v>412</v>
      </c>
      <c r="V17" s="44"/>
      <c r="W17" s="44"/>
      <c r="X17" s="215" t="s">
        <v>437</v>
      </c>
      <c r="Y17" s="47">
        <v>0.32973722371838798</v>
      </c>
      <c r="Z17" s="220"/>
      <c r="AA17" s="215" t="s">
        <v>440</v>
      </c>
      <c r="AB17" s="44"/>
      <c r="AC17" s="44"/>
      <c r="AD17" s="45"/>
    </row>
    <row r="18" spans="2:30" x14ac:dyDescent="0.3">
      <c r="B18" s="37" t="s">
        <v>416</v>
      </c>
      <c r="C18" s="38"/>
      <c r="D18" s="38"/>
      <c r="E18" s="38">
        <v>14020</v>
      </c>
      <c r="F18" s="38">
        <v>14593</v>
      </c>
      <c r="G18" s="38"/>
      <c r="H18" s="38"/>
      <c r="I18" s="39"/>
      <c r="J18" s="2"/>
      <c r="K18" s="27" t="s">
        <v>414</v>
      </c>
      <c r="O18" s="62">
        <v>0.01</v>
      </c>
      <c r="P18" s="62">
        <v>-0.03</v>
      </c>
      <c r="Q18" s="31">
        <v>-0.04</v>
      </c>
      <c r="R18" s="31">
        <v>-7.0000000000000007E-2</v>
      </c>
      <c r="S18" s="2"/>
      <c r="U18" s="27" t="s">
        <v>413</v>
      </c>
      <c r="X18" s="216"/>
      <c r="Z18" s="221"/>
      <c r="AA18" s="216"/>
      <c r="AD18" s="19"/>
    </row>
    <row r="19" spans="2:30" x14ac:dyDescent="0.3">
      <c r="B19" s="27" t="s">
        <v>420</v>
      </c>
      <c r="I19" s="19"/>
      <c r="K19" s="27" t="s">
        <v>415</v>
      </c>
      <c r="O19" s="62">
        <v>-0.03</v>
      </c>
      <c r="P19" s="62">
        <v>-0.04</v>
      </c>
      <c r="Q19" s="31">
        <v>-0.01</v>
      </c>
      <c r="R19" s="31">
        <v>-0.04</v>
      </c>
      <c r="U19" s="27" t="s">
        <v>414</v>
      </c>
      <c r="X19" s="216"/>
      <c r="Z19" s="221"/>
      <c r="AA19" s="216"/>
      <c r="AD19" s="19"/>
    </row>
    <row r="20" spans="2:30" x14ac:dyDescent="0.3">
      <c r="B20" s="27" t="s">
        <v>417</v>
      </c>
      <c r="I20" s="19"/>
      <c r="K20" s="34" t="s">
        <v>427</v>
      </c>
      <c r="N20" s="9"/>
      <c r="O20" s="62"/>
      <c r="P20" s="62"/>
      <c r="Q20" s="31"/>
      <c r="R20" s="31"/>
      <c r="U20" s="27" t="s">
        <v>415</v>
      </c>
      <c r="X20" s="218"/>
      <c r="Z20" s="222"/>
      <c r="AA20" s="218"/>
      <c r="AD20" s="19"/>
    </row>
    <row r="21" spans="2:30" ht="14.4" customHeight="1" x14ac:dyDescent="0.3">
      <c r="B21" s="34" t="s">
        <v>427</v>
      </c>
      <c r="E21" s="9">
        <f>E18/E31</f>
        <v>0.22341561359616274</v>
      </c>
      <c r="F21" s="9">
        <f>F18/F31</f>
        <v>0.2358998399637898</v>
      </c>
      <c r="I21" s="19"/>
      <c r="K21" s="26" t="s">
        <v>422</v>
      </c>
      <c r="L21" s="8"/>
      <c r="M21" s="8"/>
      <c r="N21" s="8"/>
      <c r="O21" s="62"/>
      <c r="P21" s="62"/>
      <c r="Q21" s="31"/>
      <c r="R21" s="31"/>
      <c r="U21" s="37" t="s">
        <v>416</v>
      </c>
      <c r="V21" s="44"/>
      <c r="W21" s="44"/>
      <c r="X21" s="215" t="s">
        <v>438</v>
      </c>
      <c r="Y21" s="47">
        <v>0.22341561359616274</v>
      </c>
      <c r="Z21" s="220"/>
      <c r="AA21" s="215" t="s">
        <v>439</v>
      </c>
      <c r="AB21" s="44"/>
      <c r="AC21" s="44"/>
      <c r="AD21" s="45"/>
    </row>
    <row r="22" spans="2:30" x14ac:dyDescent="0.3">
      <c r="B22" s="30" t="s">
        <v>422</v>
      </c>
      <c r="C22" s="8"/>
      <c r="D22" s="8"/>
      <c r="E22" s="8">
        <v>0.55800000000000005</v>
      </c>
      <c r="F22" s="8">
        <v>0.56100000000000005</v>
      </c>
      <c r="G22" s="8"/>
      <c r="H22" s="8"/>
      <c r="I22" s="31"/>
      <c r="J22" s="8"/>
      <c r="K22" s="37" t="s">
        <v>416</v>
      </c>
      <c r="L22" s="38"/>
      <c r="M22" s="38"/>
      <c r="N22" s="38"/>
      <c r="O22" s="61">
        <v>-7.0000000000000001E-3</v>
      </c>
      <c r="P22" s="61">
        <v>7.0000000000000001E-3</v>
      </c>
      <c r="Q22" s="52">
        <v>-7.0000000000000007E-2</v>
      </c>
      <c r="R22" s="52">
        <v>-7.5999999999999998E-2</v>
      </c>
      <c r="S22" s="8"/>
      <c r="U22" s="27" t="s">
        <v>420</v>
      </c>
      <c r="X22" s="216"/>
      <c r="Z22" s="221"/>
      <c r="AA22" s="216"/>
      <c r="AD22" s="19"/>
    </row>
    <row r="23" spans="2:30" x14ac:dyDescent="0.3">
      <c r="B23" s="37" t="s">
        <v>380</v>
      </c>
      <c r="C23" s="38"/>
      <c r="D23" s="38"/>
      <c r="E23" s="38">
        <v>713</v>
      </c>
      <c r="F23" s="38">
        <v>741</v>
      </c>
      <c r="G23" s="38"/>
      <c r="H23" s="38"/>
      <c r="I23" s="39"/>
      <c r="J23" s="2"/>
      <c r="K23" s="27" t="s">
        <v>420</v>
      </c>
      <c r="O23" s="62">
        <v>0.05</v>
      </c>
      <c r="P23" s="62">
        <v>0.04</v>
      </c>
      <c r="Q23" s="31">
        <v>-0.09</v>
      </c>
      <c r="R23" s="31">
        <v>-0.1</v>
      </c>
      <c r="S23" s="2"/>
      <c r="U23" s="27" t="s">
        <v>417</v>
      </c>
      <c r="X23" s="218"/>
      <c r="Z23" s="222"/>
      <c r="AA23" s="218"/>
      <c r="AD23" s="19"/>
    </row>
    <row r="24" spans="2:30" ht="16.8" customHeight="1" x14ac:dyDescent="0.3">
      <c r="B24" s="27" t="s">
        <v>418</v>
      </c>
      <c r="I24" s="19"/>
      <c r="K24" s="27"/>
      <c r="L24" t="s">
        <v>451</v>
      </c>
      <c r="O24" s="62">
        <v>0.04</v>
      </c>
      <c r="P24" s="62">
        <v>0.06</v>
      </c>
      <c r="Q24" s="31">
        <v>-0.19</v>
      </c>
      <c r="R24" s="31">
        <v>-0.21</v>
      </c>
      <c r="U24" s="37" t="s">
        <v>380</v>
      </c>
      <c r="V24" s="44"/>
      <c r="W24" s="44"/>
      <c r="X24" s="215" t="s">
        <v>433</v>
      </c>
      <c r="Y24" s="47">
        <v>1.1362006597294153E-2</v>
      </c>
      <c r="Z24" s="215" t="s">
        <v>435</v>
      </c>
      <c r="AA24" s="215" t="s">
        <v>434</v>
      </c>
      <c r="AB24" s="44"/>
      <c r="AC24" s="44"/>
      <c r="AD24" s="45"/>
    </row>
    <row r="25" spans="2:30" x14ac:dyDescent="0.3">
      <c r="B25" s="27" t="s">
        <v>419</v>
      </c>
      <c r="I25" s="19"/>
      <c r="K25" s="27"/>
      <c r="L25" t="s">
        <v>452</v>
      </c>
      <c r="O25" s="62">
        <v>0.06</v>
      </c>
      <c r="P25" s="62">
        <v>0.03</v>
      </c>
      <c r="Q25" s="31">
        <v>-0.03</v>
      </c>
      <c r="R25" s="31">
        <v>0.02</v>
      </c>
      <c r="U25" s="27" t="s">
        <v>418</v>
      </c>
      <c r="X25" s="216"/>
      <c r="Z25" s="216"/>
      <c r="AA25" s="216"/>
      <c r="AD25" s="19"/>
    </row>
    <row r="26" spans="2:30" ht="15" thickBot="1" x14ac:dyDescent="0.35">
      <c r="B26" s="34" t="s">
        <v>427</v>
      </c>
      <c r="E26" s="9">
        <f>E23/E31</f>
        <v>1.1362006597294153E-2</v>
      </c>
      <c r="F26" s="9">
        <f>F23/F31</f>
        <v>1.197846785535313E-2</v>
      </c>
      <c r="I26" s="19"/>
      <c r="K26" s="27" t="s">
        <v>417</v>
      </c>
      <c r="O26" s="62">
        <v>-0.08</v>
      </c>
      <c r="P26" s="62">
        <v>-0.05</v>
      </c>
      <c r="Q26" s="31">
        <v>-0.04</v>
      </c>
      <c r="R26" s="31">
        <v>-0.02</v>
      </c>
      <c r="U26" s="28" t="s">
        <v>419</v>
      </c>
      <c r="V26" s="20"/>
      <c r="W26" s="20"/>
      <c r="X26" s="217"/>
      <c r="Y26" s="20"/>
      <c r="Z26" s="217"/>
      <c r="AA26" s="217"/>
      <c r="AB26" s="20"/>
      <c r="AC26" s="20"/>
      <c r="AD26" s="21"/>
    </row>
    <row r="27" spans="2:30" x14ac:dyDescent="0.3">
      <c r="B27" s="26" t="s">
        <v>422</v>
      </c>
      <c r="C27" s="8"/>
      <c r="D27" s="8"/>
      <c r="E27" s="8">
        <v>0.47899999999999998</v>
      </c>
      <c r="F27" s="8">
        <v>0.48099999999999998</v>
      </c>
      <c r="G27" s="8"/>
      <c r="H27" s="8"/>
      <c r="I27" s="31"/>
      <c r="J27" s="8"/>
      <c r="K27" s="34" t="s">
        <v>427</v>
      </c>
      <c r="N27" s="9"/>
      <c r="O27" s="62"/>
      <c r="P27" s="62"/>
      <c r="Q27" s="31"/>
      <c r="R27" s="31"/>
      <c r="S27" s="8"/>
      <c r="Y27" s="9"/>
    </row>
    <row r="28" spans="2:30" x14ac:dyDescent="0.3">
      <c r="B28" s="37" t="s">
        <v>421</v>
      </c>
      <c r="C28" s="38"/>
      <c r="D28" s="38"/>
      <c r="E28" s="38">
        <v>243</v>
      </c>
      <c r="F28" s="38">
        <v>632</v>
      </c>
      <c r="G28" s="38"/>
      <c r="H28" s="38"/>
      <c r="I28" s="39"/>
      <c r="J28" s="2"/>
      <c r="K28" s="30" t="s">
        <v>422</v>
      </c>
      <c r="L28" s="8"/>
      <c r="M28" s="8"/>
      <c r="N28" s="8"/>
      <c r="O28" s="62"/>
      <c r="P28" s="62"/>
      <c r="Q28" s="31"/>
      <c r="R28" s="31"/>
      <c r="S28" s="2"/>
    </row>
    <row r="29" spans="2:30" x14ac:dyDescent="0.3">
      <c r="B29" s="34" t="s">
        <v>427</v>
      </c>
      <c r="C29" s="2"/>
      <c r="D29" s="2"/>
      <c r="E29" s="9">
        <f>E28/E31</f>
        <v>3.8723248290918363E-3</v>
      </c>
      <c r="F29" s="9">
        <f>F28/F31</f>
        <v>1.0216453015631819E-2</v>
      </c>
      <c r="G29" s="2"/>
      <c r="H29" s="2"/>
      <c r="I29" s="35"/>
      <c r="J29" s="2"/>
      <c r="K29" s="37" t="s">
        <v>380</v>
      </c>
      <c r="L29" s="38"/>
      <c r="M29" s="38"/>
      <c r="N29" s="38"/>
      <c r="O29" s="61">
        <v>-1.6E-2</v>
      </c>
      <c r="P29" s="61">
        <v>-8.3000000000000004E-2</v>
      </c>
      <c r="Q29" s="52">
        <v>-2.5000000000000001E-2</v>
      </c>
      <c r="R29" s="52">
        <v>-2.5000000000000001E-2</v>
      </c>
      <c r="S29" s="2"/>
    </row>
    <row r="30" spans="2:30" x14ac:dyDescent="0.3">
      <c r="B30" s="30" t="s">
        <v>422</v>
      </c>
      <c r="C30" s="8"/>
      <c r="D30" s="8"/>
      <c r="E30" s="8">
        <v>-3.528</v>
      </c>
      <c r="F30" s="8">
        <v>-0.874</v>
      </c>
      <c r="G30" s="8"/>
      <c r="H30" s="8"/>
      <c r="I30" s="31"/>
      <c r="J30" s="8"/>
      <c r="K30" s="27" t="s">
        <v>418</v>
      </c>
      <c r="O30" s="62"/>
      <c r="P30" s="62"/>
      <c r="Q30" s="31"/>
      <c r="R30" s="31"/>
      <c r="S30" s="8"/>
    </row>
    <row r="31" spans="2:30" x14ac:dyDescent="0.3">
      <c r="B31" s="40" t="s">
        <v>423</v>
      </c>
      <c r="C31" s="38"/>
      <c r="D31" s="38"/>
      <c r="E31" s="38">
        <f>E28+E23+E18+E12+E7</f>
        <v>62753</v>
      </c>
      <c r="F31" s="38">
        <f>F28+F23+F18+F12+F7</f>
        <v>61861</v>
      </c>
      <c r="G31" s="38"/>
      <c r="H31" s="38"/>
      <c r="I31" s="39"/>
      <c r="J31" s="2"/>
      <c r="K31" s="27" t="s">
        <v>419</v>
      </c>
      <c r="O31" s="62"/>
      <c r="P31" s="62"/>
      <c r="Q31" s="31"/>
      <c r="R31" s="31"/>
      <c r="S31" s="2"/>
    </row>
    <row r="32" spans="2:30" x14ac:dyDescent="0.3">
      <c r="B32" s="36" t="s">
        <v>425</v>
      </c>
      <c r="C32" s="2"/>
      <c r="D32" s="2"/>
      <c r="E32" s="2">
        <f>35551</f>
        <v>35551</v>
      </c>
      <c r="F32" s="2">
        <v>34300</v>
      </c>
      <c r="G32" s="2"/>
      <c r="H32" s="2"/>
      <c r="I32" s="35"/>
      <c r="J32" s="2"/>
      <c r="K32" s="34" t="s">
        <v>427</v>
      </c>
      <c r="N32" s="9"/>
      <c r="O32" s="62"/>
      <c r="P32" s="62"/>
      <c r="Q32" s="31"/>
      <c r="R32" s="31"/>
      <c r="S32" s="2"/>
    </row>
    <row r="33" spans="2:19" ht="15" thickBot="1" x14ac:dyDescent="0.35">
      <c r="B33" s="29" t="s">
        <v>424</v>
      </c>
      <c r="C33" s="32"/>
      <c r="D33" s="32"/>
      <c r="E33" s="32">
        <f>E32/E31</f>
        <v>0.56652271604544802</v>
      </c>
      <c r="F33" s="32">
        <f>F32/F31</f>
        <v>0.55446888993065102</v>
      </c>
      <c r="G33" s="32"/>
      <c r="H33" s="32"/>
      <c r="I33" s="33"/>
      <c r="J33" s="8"/>
      <c r="K33" s="58" t="s">
        <v>422</v>
      </c>
      <c r="L33" s="32"/>
      <c r="M33" s="32"/>
      <c r="N33" s="32"/>
      <c r="O33" s="63"/>
      <c r="P33" s="63"/>
      <c r="Q33" s="33"/>
      <c r="R33" s="33"/>
      <c r="S33" s="8"/>
    </row>
    <row r="34" spans="2:19" x14ac:dyDescent="0.3">
      <c r="K34" s="2"/>
      <c r="L34" s="2"/>
      <c r="M34" s="2"/>
      <c r="N34" s="2"/>
      <c r="O34" s="8"/>
      <c r="P34" s="8"/>
      <c r="Q34" s="8"/>
    </row>
    <row r="35" spans="2:19" x14ac:dyDescent="0.3">
      <c r="K35" s="56"/>
      <c r="L35" s="2"/>
      <c r="M35" s="2"/>
      <c r="N35" s="9"/>
      <c r="O35" s="8"/>
      <c r="P35" s="8"/>
      <c r="Q35" s="8"/>
    </row>
    <row r="36" spans="2:19" x14ac:dyDescent="0.3">
      <c r="K36" s="57"/>
      <c r="L36" s="8"/>
      <c r="M36" s="8"/>
      <c r="N36" s="8"/>
      <c r="O36" s="8"/>
      <c r="P36" s="8"/>
      <c r="Q36" s="8"/>
    </row>
    <row r="37" spans="2:19" x14ac:dyDescent="0.3">
      <c r="K37" s="5"/>
      <c r="L37" s="2"/>
      <c r="M37" s="2"/>
      <c r="N37" s="2"/>
      <c r="O37" s="2"/>
      <c r="P37" s="2"/>
      <c r="Q37" s="8"/>
    </row>
    <row r="38" spans="2:19" x14ac:dyDescent="0.3">
      <c r="K38" s="54"/>
      <c r="L38" s="2"/>
      <c r="M38" s="2"/>
      <c r="N38" s="2"/>
      <c r="O38" s="2"/>
      <c r="P38" s="2"/>
      <c r="Q38" s="8"/>
    </row>
    <row r="39" spans="2:19" x14ac:dyDescent="0.3">
      <c r="K39" s="55"/>
      <c r="L39" s="8"/>
      <c r="M39" s="8"/>
      <c r="N39" s="8"/>
      <c r="O39" s="8"/>
      <c r="P39" s="8"/>
      <c r="Q39" s="8"/>
    </row>
  </sheetData>
  <mergeCells count="12">
    <mergeCell ref="AA24:AA26"/>
    <mergeCell ref="AA21:AA23"/>
    <mergeCell ref="AA17:AA20"/>
    <mergeCell ref="AA14:AA16"/>
    <mergeCell ref="X14:X16"/>
    <mergeCell ref="X17:X20"/>
    <mergeCell ref="X21:X23"/>
    <mergeCell ref="X24:X26"/>
    <mergeCell ref="Z24:Z26"/>
    <mergeCell ref="Z21:Z23"/>
    <mergeCell ref="Z17:Z20"/>
    <mergeCell ref="Z14:Z16"/>
  </mergeCells>
  <phoneticPr fontId="12" type="noConversion"/>
  <hyperlinks>
    <hyperlink ref="A1" location="IBM!B1" display="IBM" xr:uid="{5210D2D8-6A0B-4CC7-9B31-418F05A2BE22}"/>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CD375-595E-4DE0-84C2-156A8AF5AFBE}">
  <dimension ref="A1:TV112"/>
  <sheetViews>
    <sheetView zoomScale="95" zoomScaleNormal="100" workbookViewId="0">
      <pane xSplit="2" ySplit="2" topLeftCell="K73" activePane="bottomRight" state="frozen"/>
      <selection pane="topRight" activeCell="C1" sqref="C1"/>
      <selection pane="bottomLeft" activeCell="A3" sqref="A3"/>
      <selection pane="bottomRight" activeCell="V3" sqref="V3"/>
    </sheetView>
  </sheetViews>
  <sheetFormatPr defaultRowHeight="14.4" x14ac:dyDescent="0.3"/>
  <cols>
    <col min="2" max="2" width="24.33203125" bestFit="1" customWidth="1"/>
    <col min="9" max="9" width="10" bestFit="1" customWidth="1"/>
    <col min="39" max="39" width="11.77734375" bestFit="1" customWidth="1"/>
  </cols>
  <sheetData>
    <row r="1" spans="1:36" x14ac:dyDescent="0.3">
      <c r="A1" s="6" t="s">
        <v>8</v>
      </c>
      <c r="B1" s="6" t="s">
        <v>408</v>
      </c>
      <c r="W1" s="14" t="s">
        <v>90</v>
      </c>
    </row>
    <row r="2" spans="1:36" x14ac:dyDescent="0.3">
      <c r="B2" s="6"/>
      <c r="C2" t="s">
        <v>72</v>
      </c>
      <c r="D2" t="s">
        <v>53</v>
      </c>
      <c r="E2" t="s">
        <v>52</v>
      </c>
      <c r="F2" t="s">
        <v>33</v>
      </c>
      <c r="G2" t="s">
        <v>10</v>
      </c>
      <c r="H2" t="s">
        <v>11</v>
      </c>
      <c r="I2" t="s">
        <v>12</v>
      </c>
      <c r="J2" t="s">
        <v>7</v>
      </c>
      <c r="K2" t="s">
        <v>13</v>
      </c>
      <c r="L2" t="s">
        <v>14</v>
      </c>
      <c r="M2" t="s">
        <v>15</v>
      </c>
      <c r="N2" t="s">
        <v>16</v>
      </c>
      <c r="Q2" t="s">
        <v>403</v>
      </c>
      <c r="R2" t="s">
        <v>404</v>
      </c>
      <c r="S2" t="s">
        <v>405</v>
      </c>
      <c r="T2" t="s">
        <v>402</v>
      </c>
      <c r="U2" t="s">
        <v>74</v>
      </c>
      <c r="V2" t="s">
        <v>75</v>
      </c>
      <c r="W2" s="14" t="s">
        <v>76</v>
      </c>
      <c r="X2" t="s">
        <v>77</v>
      </c>
      <c r="Y2" t="s">
        <v>78</v>
      </c>
      <c r="Z2" t="s">
        <v>80</v>
      </c>
      <c r="AA2" t="s">
        <v>81</v>
      </c>
      <c r="AB2" t="s">
        <v>82</v>
      </c>
      <c r="AC2" t="s">
        <v>83</v>
      </c>
      <c r="AD2" t="s">
        <v>84</v>
      </c>
      <c r="AE2" t="s">
        <v>85</v>
      </c>
      <c r="AF2" t="s">
        <v>86</v>
      </c>
      <c r="AG2" t="s">
        <v>87</v>
      </c>
      <c r="AH2" t="s">
        <v>88</v>
      </c>
      <c r="AI2" t="s">
        <v>98</v>
      </c>
      <c r="AJ2" t="s">
        <v>99</v>
      </c>
    </row>
    <row r="3" spans="1:36" x14ac:dyDescent="0.3">
      <c r="B3" t="s">
        <v>378</v>
      </c>
      <c r="C3">
        <v>7524</v>
      </c>
      <c r="D3" s="2">
        <v>7553</v>
      </c>
      <c r="E3" s="2">
        <v>7541</v>
      </c>
      <c r="F3" s="2">
        <f>30378-SUM(C3:E3)</f>
        <v>7760</v>
      </c>
      <c r="G3" s="2">
        <v>7470</v>
      </c>
      <c r="H3" s="2">
        <v>7405</v>
      </c>
      <c r="I3" s="2">
        <v>7453</v>
      </c>
      <c r="J3" s="2">
        <f>29813-SUM(G3:I3)</f>
        <v>7485</v>
      </c>
      <c r="K3" s="2"/>
      <c r="Q3" s="2"/>
      <c r="R3" s="2"/>
      <c r="S3" s="2"/>
      <c r="T3" s="2"/>
      <c r="U3" s="2">
        <f>SUM(C3:F3)</f>
        <v>30378</v>
      </c>
      <c r="V3" s="68">
        <f>SUM(G3:J3)</f>
        <v>29813</v>
      </c>
      <c r="W3" s="2">
        <f>+W6*0.48</f>
        <v>31326.297600000002</v>
      </c>
    </row>
    <row r="4" spans="1:36" x14ac:dyDescent="0.3">
      <c r="B4" t="s">
        <v>379</v>
      </c>
      <c r="C4">
        <v>6532</v>
      </c>
      <c r="D4" s="2">
        <v>7739</v>
      </c>
      <c r="E4" s="2">
        <v>7025</v>
      </c>
      <c r="F4" s="2">
        <f>30745-SUM(C4:E4)</f>
        <v>9449</v>
      </c>
      <c r="G4" s="2">
        <v>6799</v>
      </c>
      <c r="H4" s="2">
        <v>8195</v>
      </c>
      <c r="I4" s="2">
        <v>7334</v>
      </c>
      <c r="J4" s="2">
        <f>32231-SUM(G4:I4)</f>
        <v>9903</v>
      </c>
      <c r="K4" s="2"/>
      <c r="Q4" s="2"/>
      <c r="R4" s="2"/>
      <c r="S4" s="2"/>
      <c r="T4" s="2"/>
      <c r="U4" s="2">
        <f>SUM(C4:F4)</f>
        <v>30745</v>
      </c>
      <c r="V4" s="2">
        <f>SUM(G4:J4)</f>
        <v>32231</v>
      </c>
      <c r="W4" s="14"/>
    </row>
    <row r="5" spans="1:36" x14ac:dyDescent="0.3">
      <c r="B5" t="s">
        <v>380</v>
      </c>
      <c r="C5">
        <v>196</v>
      </c>
      <c r="D5" s="2">
        <v>183</v>
      </c>
      <c r="E5" s="2">
        <v>186</v>
      </c>
      <c r="F5" s="2">
        <f>737-SUM(C5:E5)</f>
        <v>172</v>
      </c>
      <c r="G5" s="2">
        <v>192</v>
      </c>
      <c r="H5" s="2">
        <v>169</v>
      </c>
      <c r="I5" s="2">
        <v>180</v>
      </c>
      <c r="J5" s="2">
        <f>709-SUM(G5:I5)</f>
        <v>168</v>
      </c>
      <c r="K5" s="2"/>
      <c r="Q5" s="2"/>
      <c r="R5" s="2"/>
      <c r="S5" s="2"/>
      <c r="T5" s="2"/>
      <c r="U5" s="2">
        <f>SUM(C5:F5)</f>
        <v>737</v>
      </c>
      <c r="V5" s="2">
        <f>SUM(G5:J5)</f>
        <v>709</v>
      </c>
      <c r="W5" s="14"/>
    </row>
    <row r="6" spans="1:36" x14ac:dyDescent="0.3">
      <c r="B6" s="1" t="s">
        <v>9</v>
      </c>
      <c r="C6" s="5">
        <f t="shared" ref="C6:J6" si="0">SUM(C3:C5)</f>
        <v>14252</v>
      </c>
      <c r="D6" s="5">
        <f t="shared" si="0"/>
        <v>15475</v>
      </c>
      <c r="E6" s="5">
        <f t="shared" si="0"/>
        <v>14752</v>
      </c>
      <c r="F6" s="5">
        <f t="shared" si="0"/>
        <v>17381</v>
      </c>
      <c r="G6" s="5">
        <f t="shared" si="0"/>
        <v>14461</v>
      </c>
      <c r="H6" s="5">
        <f t="shared" si="0"/>
        <v>15769</v>
      </c>
      <c r="I6" s="5">
        <f t="shared" si="0"/>
        <v>14967</v>
      </c>
      <c r="J6" s="5">
        <f t="shared" si="0"/>
        <v>17556</v>
      </c>
      <c r="K6" s="2"/>
      <c r="Q6" s="5">
        <v>57714</v>
      </c>
      <c r="R6" s="5">
        <v>55179</v>
      </c>
      <c r="S6" s="5">
        <v>57350</v>
      </c>
      <c r="T6" s="5">
        <v>60530</v>
      </c>
      <c r="U6" s="5">
        <f>SUM(U3:U5)</f>
        <v>61860</v>
      </c>
      <c r="V6" s="50">
        <f>SUM(V3:V5)</f>
        <v>62753</v>
      </c>
      <c r="W6" s="2">
        <f>V6*1.04</f>
        <v>65263.12</v>
      </c>
      <c r="X6" s="2">
        <f t="shared" ref="X6:AJ6" si="1">W6*1.04</f>
        <v>67873.644800000009</v>
      </c>
      <c r="Y6" s="2">
        <f t="shared" si="1"/>
        <v>70588.590592000008</v>
      </c>
      <c r="Z6" s="2">
        <f t="shared" si="1"/>
        <v>73412.134215680009</v>
      </c>
      <c r="AA6" s="2">
        <f t="shared" si="1"/>
        <v>76348.619584307206</v>
      </c>
      <c r="AB6" s="2">
        <f t="shared" si="1"/>
        <v>79402.564367679501</v>
      </c>
      <c r="AC6" s="2">
        <f t="shared" si="1"/>
        <v>82578.666942386684</v>
      </c>
      <c r="AD6" s="2">
        <f t="shared" si="1"/>
        <v>85881.813620082161</v>
      </c>
      <c r="AE6" s="2">
        <f t="shared" si="1"/>
        <v>89317.086164885448</v>
      </c>
      <c r="AF6" s="2">
        <f t="shared" si="1"/>
        <v>92889.769611480864</v>
      </c>
      <c r="AG6" s="2">
        <f t="shared" si="1"/>
        <v>96605.360395940108</v>
      </c>
      <c r="AH6" s="2">
        <f t="shared" si="1"/>
        <v>100469.57481177771</v>
      </c>
      <c r="AI6" s="2">
        <f t="shared" si="1"/>
        <v>104488.35780424882</v>
      </c>
      <c r="AJ6" s="2">
        <f t="shared" si="1"/>
        <v>108667.89211641878</v>
      </c>
    </row>
    <row r="7" spans="1:36" x14ac:dyDescent="0.3">
      <c r="B7" t="s">
        <v>381</v>
      </c>
      <c r="C7" s="2">
        <v>5310</v>
      </c>
      <c r="D7" s="2">
        <v>5294</v>
      </c>
      <c r="E7" s="2">
        <v>5217</v>
      </c>
      <c r="F7" s="2">
        <f>21051-SUM(C7:E7)</f>
        <v>5230</v>
      </c>
      <c r="G7" s="2">
        <v>5239</v>
      </c>
      <c r="H7" s="2">
        <v>5126</v>
      </c>
      <c r="I7" s="2">
        <v>5048</v>
      </c>
      <c r="J7" s="2">
        <f>20529-SUM(G7:I7)</f>
        <v>5116</v>
      </c>
      <c r="K7" s="2"/>
      <c r="Q7" s="2"/>
      <c r="R7" s="2"/>
      <c r="S7" s="2"/>
      <c r="T7" s="2"/>
      <c r="U7" s="2">
        <f>SUM(C7:F7)</f>
        <v>21051</v>
      </c>
      <c r="V7" s="2">
        <f>SUM(G7:J7)</f>
        <v>20529</v>
      </c>
      <c r="W7" s="15"/>
      <c r="X7" s="2"/>
      <c r="Y7" s="2"/>
      <c r="Z7" s="2"/>
      <c r="AA7" s="2"/>
      <c r="AB7" s="2"/>
      <c r="AC7" s="2"/>
      <c r="AD7" s="2"/>
      <c r="AE7" s="2"/>
      <c r="AF7" s="2"/>
      <c r="AG7" s="2"/>
      <c r="AH7" s="2"/>
      <c r="AI7" s="2"/>
      <c r="AJ7" s="2"/>
    </row>
    <row r="8" spans="1:36" x14ac:dyDescent="0.3">
      <c r="B8" t="s">
        <v>382</v>
      </c>
      <c r="C8" s="2">
        <v>1322</v>
      </c>
      <c r="D8" s="2">
        <v>1587</v>
      </c>
      <c r="E8" s="2">
        <v>1419</v>
      </c>
      <c r="F8" s="2">
        <f>6127-SUM(C8:E8)</f>
        <v>1799</v>
      </c>
      <c r="G8" s="2">
        <v>1381</v>
      </c>
      <c r="H8" s="2">
        <v>1607</v>
      </c>
      <c r="I8" s="2">
        <v>1404</v>
      </c>
      <c r="J8" s="2">
        <f>6303-SUM(G8:I8)</f>
        <v>1911</v>
      </c>
      <c r="K8" s="2"/>
      <c r="Q8" s="2"/>
      <c r="R8" s="2"/>
      <c r="S8" s="2"/>
      <c r="T8" s="2"/>
      <c r="U8" s="2">
        <f>SUM(C8:F8)</f>
        <v>6127</v>
      </c>
      <c r="V8" s="2">
        <f>SUM(G8:J8)</f>
        <v>6303</v>
      </c>
      <c r="W8" s="15"/>
      <c r="X8" s="2"/>
      <c r="Y8" s="2"/>
      <c r="Z8" s="2"/>
      <c r="AA8" s="2"/>
      <c r="AB8" s="2"/>
      <c r="AC8" s="2"/>
      <c r="AD8" s="2"/>
      <c r="AE8" s="2"/>
      <c r="AF8" s="2"/>
      <c r="AG8" s="2"/>
      <c r="AH8" s="2"/>
      <c r="AI8" s="2"/>
      <c r="AJ8" s="2"/>
    </row>
    <row r="9" spans="1:36" x14ac:dyDescent="0.3">
      <c r="B9" t="s">
        <v>383</v>
      </c>
      <c r="C9" s="2">
        <v>110</v>
      </c>
      <c r="D9" s="2">
        <v>93</v>
      </c>
      <c r="E9" s="2">
        <v>94</v>
      </c>
      <c r="F9" s="2">
        <f>382-SUM(C9:E9)</f>
        <v>85</v>
      </c>
      <c r="G9" s="2">
        <v>99</v>
      </c>
      <c r="H9" s="2">
        <v>86</v>
      </c>
      <c r="I9" s="2">
        <v>95</v>
      </c>
      <c r="J9" s="2">
        <f>369-SUM(G9:I9)</f>
        <v>89</v>
      </c>
      <c r="K9" s="2"/>
      <c r="Q9" s="2"/>
      <c r="R9" s="2"/>
      <c r="S9" s="2"/>
      <c r="T9" s="2"/>
      <c r="U9" s="2">
        <f>SUM(C9:F9)</f>
        <v>382</v>
      </c>
      <c r="V9" s="2">
        <f>SUM(G9:J9)</f>
        <v>369</v>
      </c>
      <c r="W9" s="15"/>
      <c r="X9" s="2"/>
      <c r="Y9" s="2"/>
      <c r="Z9" s="2"/>
      <c r="AA9" s="2"/>
      <c r="AB9" s="2"/>
      <c r="AC9" s="2"/>
      <c r="AD9" s="2"/>
      <c r="AE9" s="2"/>
      <c r="AF9" s="2"/>
      <c r="AG9" s="2"/>
      <c r="AH9" s="2"/>
      <c r="AI9" s="2"/>
      <c r="AJ9" s="2"/>
    </row>
    <row r="10" spans="1:36" x14ac:dyDescent="0.3">
      <c r="B10" s="1" t="s">
        <v>17</v>
      </c>
      <c r="C10" s="5">
        <f t="shared" ref="C10:J10" si="2">SUM(C7:C9)</f>
        <v>6742</v>
      </c>
      <c r="D10" s="5">
        <f t="shared" si="2"/>
        <v>6974</v>
      </c>
      <c r="E10" s="5">
        <f t="shared" si="2"/>
        <v>6730</v>
      </c>
      <c r="F10" s="5">
        <f t="shared" si="2"/>
        <v>7114</v>
      </c>
      <c r="G10" s="5">
        <f t="shared" si="2"/>
        <v>6719</v>
      </c>
      <c r="H10" s="5">
        <f t="shared" si="2"/>
        <v>6819</v>
      </c>
      <c r="I10" s="5">
        <f t="shared" si="2"/>
        <v>6547</v>
      </c>
      <c r="J10" s="5">
        <f t="shared" si="2"/>
        <v>7116</v>
      </c>
      <c r="K10" s="2"/>
      <c r="Q10" s="2">
        <v>26181</v>
      </c>
      <c r="R10" s="2">
        <v>24314</v>
      </c>
      <c r="S10" s="2">
        <v>25865</v>
      </c>
      <c r="T10" s="2">
        <v>27842</v>
      </c>
      <c r="U10" s="5">
        <f t="shared" ref="U10:V10" si="3">SUM(U7:U9)</f>
        <v>27560</v>
      </c>
      <c r="V10" s="5">
        <f t="shared" si="3"/>
        <v>27201</v>
      </c>
      <c r="W10" s="15"/>
      <c r="X10" s="2"/>
      <c r="Y10" s="2"/>
      <c r="Z10" s="2"/>
      <c r="AA10" s="2"/>
      <c r="AB10" s="2"/>
      <c r="AC10" s="2"/>
      <c r="AD10" s="2"/>
      <c r="AE10" s="2"/>
      <c r="AF10" s="2"/>
      <c r="AG10" s="2"/>
      <c r="AH10" s="2"/>
      <c r="AI10" s="2"/>
      <c r="AJ10" s="2"/>
    </row>
    <row r="11" spans="1:36" x14ac:dyDescent="0.3">
      <c r="B11" s="1" t="s">
        <v>60</v>
      </c>
      <c r="C11" s="5">
        <f t="shared" ref="C11:J11" si="4">C6-C10</f>
        <v>7510</v>
      </c>
      <c r="D11" s="5">
        <f t="shared" si="4"/>
        <v>8501</v>
      </c>
      <c r="E11" s="5">
        <f t="shared" si="4"/>
        <v>8022</v>
      </c>
      <c r="F11" s="5">
        <f t="shared" si="4"/>
        <v>10267</v>
      </c>
      <c r="G11" s="5">
        <f t="shared" si="4"/>
        <v>7742</v>
      </c>
      <c r="H11" s="5">
        <f t="shared" si="4"/>
        <v>8950</v>
      </c>
      <c r="I11" s="5">
        <f t="shared" si="4"/>
        <v>8420</v>
      </c>
      <c r="J11" s="5">
        <f t="shared" si="4"/>
        <v>10440</v>
      </c>
      <c r="K11" s="2"/>
      <c r="Q11" s="5">
        <f t="shared" ref="Q11" si="5">Q6-Q10</f>
        <v>31533</v>
      </c>
      <c r="R11" s="5">
        <f t="shared" ref="R11" si="6">R6-R10</f>
        <v>30865</v>
      </c>
      <c r="S11" s="5">
        <f t="shared" ref="S11:V11" si="7">S6-S10</f>
        <v>31485</v>
      </c>
      <c r="T11" s="5">
        <f t="shared" si="7"/>
        <v>32688</v>
      </c>
      <c r="U11" s="5">
        <f t="shared" si="7"/>
        <v>34300</v>
      </c>
      <c r="V11" s="5">
        <f t="shared" si="7"/>
        <v>35552</v>
      </c>
      <c r="W11" s="15">
        <f>W6*0.58</f>
        <v>37852.609599999996</v>
      </c>
      <c r="X11" s="2">
        <f t="shared" ref="X11:AA11" si="8">X6*0.58</f>
        <v>39366.713984000002</v>
      </c>
      <c r="Y11" s="2">
        <f t="shared" si="8"/>
        <v>40941.38254336</v>
      </c>
      <c r="Z11" s="2">
        <f t="shared" si="8"/>
        <v>42579.037845094404</v>
      </c>
      <c r="AA11" s="2">
        <f t="shared" si="8"/>
        <v>44282.199358898179</v>
      </c>
      <c r="AB11" s="2">
        <f>AB6*0.6</f>
        <v>47641.538620607702</v>
      </c>
      <c r="AC11" s="2">
        <f t="shared" ref="AC11:AJ11" si="9">AC6*0.6</f>
        <v>49547.200165432012</v>
      </c>
      <c r="AD11" s="2">
        <f t="shared" si="9"/>
        <v>51529.088172049298</v>
      </c>
      <c r="AE11" s="2">
        <f t="shared" si="9"/>
        <v>53590.251698931264</v>
      </c>
      <c r="AF11" s="2">
        <f t="shared" si="9"/>
        <v>55733.86176688852</v>
      </c>
      <c r="AG11" s="2">
        <f t="shared" si="9"/>
        <v>57963.216237564062</v>
      </c>
      <c r="AH11" s="2">
        <f t="shared" si="9"/>
        <v>60281.744887066627</v>
      </c>
      <c r="AI11" s="2">
        <f t="shared" si="9"/>
        <v>62693.014682549292</v>
      </c>
      <c r="AJ11" s="2">
        <f t="shared" si="9"/>
        <v>65200.735269851262</v>
      </c>
    </row>
    <row r="12" spans="1:36" x14ac:dyDescent="0.3">
      <c r="B12" s="1" t="s">
        <v>384</v>
      </c>
      <c r="C12" s="5">
        <f t="shared" ref="C12:J12" si="10">C3-C7</f>
        <v>2214</v>
      </c>
      <c r="D12" s="5">
        <f t="shared" si="10"/>
        <v>2259</v>
      </c>
      <c r="E12" s="5">
        <f t="shared" si="10"/>
        <v>2324</v>
      </c>
      <c r="F12" s="5">
        <f t="shared" si="10"/>
        <v>2530</v>
      </c>
      <c r="G12" s="5">
        <f t="shared" si="10"/>
        <v>2231</v>
      </c>
      <c r="H12" s="5">
        <f t="shared" si="10"/>
        <v>2279</v>
      </c>
      <c r="I12" s="5">
        <f t="shared" si="10"/>
        <v>2405</v>
      </c>
      <c r="J12" s="5">
        <f t="shared" si="10"/>
        <v>2369</v>
      </c>
      <c r="K12" s="2"/>
      <c r="Q12" s="2"/>
      <c r="R12" s="2"/>
      <c r="S12" s="2"/>
      <c r="T12" s="2"/>
      <c r="U12" s="5">
        <f t="shared" ref="U12:V12" si="11">U3-U7</f>
        <v>9327</v>
      </c>
      <c r="V12" s="5">
        <f t="shared" si="11"/>
        <v>9284</v>
      </c>
      <c r="W12" s="15"/>
      <c r="X12" s="2"/>
      <c r="Y12" s="2"/>
      <c r="Z12" s="2"/>
      <c r="AA12" s="2"/>
      <c r="AB12" s="2"/>
      <c r="AC12" s="2"/>
      <c r="AD12" s="2"/>
      <c r="AE12" s="2"/>
      <c r="AF12" s="2"/>
      <c r="AG12" s="2"/>
      <c r="AH12" s="2"/>
      <c r="AI12" s="2"/>
      <c r="AJ12" s="2"/>
    </row>
    <row r="13" spans="1:36" x14ac:dyDescent="0.3">
      <c r="B13" s="1" t="s">
        <v>385</v>
      </c>
      <c r="C13" s="5">
        <f t="shared" ref="C13" si="12">C4-C8</f>
        <v>5210</v>
      </c>
      <c r="D13" s="5">
        <f t="shared" ref="D13:E14" si="13">D4-D8</f>
        <v>6152</v>
      </c>
      <c r="E13" s="5">
        <f t="shared" si="13"/>
        <v>5606</v>
      </c>
      <c r="F13" s="5">
        <f t="shared" ref="F13:J14" si="14">F4-F8</f>
        <v>7650</v>
      </c>
      <c r="G13" s="5">
        <f t="shared" si="14"/>
        <v>5418</v>
      </c>
      <c r="H13" s="5">
        <f t="shared" si="14"/>
        <v>6588</v>
      </c>
      <c r="I13" s="5">
        <f t="shared" si="14"/>
        <v>5930</v>
      </c>
      <c r="J13" s="5">
        <f t="shared" si="14"/>
        <v>7992</v>
      </c>
      <c r="K13" s="2"/>
      <c r="Q13" s="2"/>
      <c r="R13" s="2"/>
      <c r="S13" s="2"/>
      <c r="T13" s="2"/>
      <c r="U13" s="5">
        <f t="shared" ref="U13:V13" si="15">U4-U8</f>
        <v>24618</v>
      </c>
      <c r="V13" s="5">
        <f t="shared" si="15"/>
        <v>25928</v>
      </c>
      <c r="W13" s="15"/>
      <c r="X13" s="2"/>
      <c r="Y13" s="2"/>
      <c r="Z13" s="2"/>
      <c r="AA13" s="2"/>
      <c r="AB13" s="2"/>
      <c r="AC13" s="2"/>
      <c r="AD13" s="2"/>
      <c r="AE13" s="2"/>
      <c r="AF13" s="2"/>
      <c r="AG13" s="2"/>
      <c r="AH13" s="2"/>
      <c r="AI13" s="2"/>
      <c r="AJ13" s="2"/>
    </row>
    <row r="14" spans="1:36" x14ac:dyDescent="0.3">
      <c r="B14" s="1" t="s">
        <v>386</v>
      </c>
      <c r="C14" s="5">
        <f t="shared" ref="C14" si="16">C5-C9</f>
        <v>86</v>
      </c>
      <c r="D14" s="5">
        <f t="shared" si="13"/>
        <v>90</v>
      </c>
      <c r="E14" s="5">
        <f t="shared" si="13"/>
        <v>92</v>
      </c>
      <c r="F14" s="5">
        <f t="shared" si="14"/>
        <v>87</v>
      </c>
      <c r="G14" s="5">
        <f t="shared" si="14"/>
        <v>93</v>
      </c>
      <c r="H14" s="5">
        <f t="shared" si="14"/>
        <v>83</v>
      </c>
      <c r="I14" s="5">
        <f t="shared" si="14"/>
        <v>85</v>
      </c>
      <c r="J14" s="5">
        <f t="shared" si="14"/>
        <v>79</v>
      </c>
      <c r="K14" s="2"/>
      <c r="Q14" s="2"/>
      <c r="R14" s="2"/>
      <c r="S14" s="2"/>
      <c r="T14" s="2"/>
      <c r="U14" s="5">
        <f t="shared" ref="U14:V14" si="17">U5-U9</f>
        <v>355</v>
      </c>
      <c r="V14" s="5">
        <f t="shared" si="17"/>
        <v>340</v>
      </c>
      <c r="W14" s="15"/>
      <c r="X14" s="2"/>
      <c r="Y14" s="2"/>
      <c r="Z14" s="2"/>
      <c r="AA14" s="2"/>
      <c r="AB14" s="2"/>
      <c r="AC14" s="2"/>
      <c r="AD14" s="2"/>
      <c r="AE14" s="2"/>
      <c r="AF14" s="2"/>
      <c r="AG14" s="2"/>
      <c r="AH14" s="2"/>
      <c r="AI14" s="2"/>
      <c r="AJ14" s="2"/>
    </row>
    <row r="15" spans="1:36" x14ac:dyDescent="0.3">
      <c r="B15" t="s">
        <v>377</v>
      </c>
      <c r="C15" s="2">
        <v>4853</v>
      </c>
      <c r="D15" s="2">
        <v>4900</v>
      </c>
      <c r="E15" s="2">
        <v>4458</v>
      </c>
      <c r="F15" s="2">
        <f>19003-SUM(C15:E15)</f>
        <v>4792</v>
      </c>
      <c r="G15" s="2">
        <v>4974</v>
      </c>
      <c r="H15" s="2">
        <v>4938</v>
      </c>
      <c r="I15" s="2">
        <v>4911</v>
      </c>
      <c r="J15" s="2">
        <f>19688-SUM(G15:I15)</f>
        <v>4865</v>
      </c>
      <c r="K15" s="2"/>
      <c r="Q15" s="2">
        <v>18724</v>
      </c>
      <c r="R15" s="2">
        <v>20561</v>
      </c>
      <c r="S15" s="2">
        <v>18745</v>
      </c>
      <c r="T15" s="2">
        <v>18609</v>
      </c>
      <c r="U15" s="2">
        <f>SUM(C15:F15)</f>
        <v>19003</v>
      </c>
      <c r="V15" s="2">
        <f>SUM(G15:J15)</f>
        <v>19688</v>
      </c>
      <c r="W15" s="15"/>
      <c r="X15" s="2"/>
      <c r="Y15" s="2"/>
      <c r="Z15" s="2"/>
      <c r="AA15" s="2"/>
      <c r="AB15" s="2"/>
      <c r="AC15" s="2"/>
      <c r="AD15" s="2"/>
      <c r="AE15" s="2"/>
      <c r="AF15" s="2"/>
      <c r="AG15" s="2"/>
      <c r="AH15" s="2"/>
      <c r="AI15" s="2"/>
      <c r="AJ15" s="2"/>
    </row>
    <row r="16" spans="1:36" x14ac:dyDescent="0.3">
      <c r="B16" t="s">
        <v>20</v>
      </c>
      <c r="C16" s="2">
        <v>1655</v>
      </c>
      <c r="D16" s="2">
        <v>1687</v>
      </c>
      <c r="E16" s="2">
        <v>1685</v>
      </c>
      <c r="F16" s="2">
        <f>6775-SUM(C16:E16)</f>
        <v>1748</v>
      </c>
      <c r="G16" s="2">
        <v>1796</v>
      </c>
      <c r="H16" s="2">
        <v>1840</v>
      </c>
      <c r="I16" s="2">
        <v>1876</v>
      </c>
      <c r="J16" s="2">
        <f>7479-SUM(G16:I16)</f>
        <v>1967</v>
      </c>
      <c r="K16" s="2"/>
      <c r="Q16" s="2">
        <v>5910</v>
      </c>
      <c r="R16" s="2">
        <v>6262</v>
      </c>
      <c r="S16" s="2">
        <v>6488</v>
      </c>
      <c r="T16" s="2">
        <v>6567</v>
      </c>
      <c r="U16" s="2">
        <f>SUM(C16:F16)</f>
        <v>6775</v>
      </c>
      <c r="V16" s="2">
        <f>SUM(G16:J16)</f>
        <v>7479</v>
      </c>
      <c r="W16" s="14"/>
    </row>
    <row r="17" spans="2:542" x14ac:dyDescent="0.3">
      <c r="B17" s="1" t="s">
        <v>22</v>
      </c>
      <c r="C17" s="5">
        <f t="shared" ref="C17:J17" si="18">+C15+C16</f>
        <v>6508</v>
      </c>
      <c r="D17" s="5">
        <f t="shared" si="18"/>
        <v>6587</v>
      </c>
      <c r="E17" s="5">
        <f t="shared" si="18"/>
        <v>6143</v>
      </c>
      <c r="F17" s="5">
        <f t="shared" si="18"/>
        <v>6540</v>
      </c>
      <c r="G17" s="5">
        <f t="shared" si="18"/>
        <v>6770</v>
      </c>
      <c r="H17" s="5">
        <f t="shared" si="18"/>
        <v>6778</v>
      </c>
      <c r="I17" s="5">
        <f t="shared" si="18"/>
        <v>6787</v>
      </c>
      <c r="J17" s="5">
        <f t="shared" si="18"/>
        <v>6832</v>
      </c>
      <c r="K17" s="2"/>
      <c r="Q17" s="5">
        <f t="shared" ref="Q17:R17" si="19">+Q15+Q16</f>
        <v>24634</v>
      </c>
      <c r="R17" s="5">
        <f t="shared" si="19"/>
        <v>26823</v>
      </c>
      <c r="S17" s="5">
        <f>+S15+S16</f>
        <v>25233</v>
      </c>
      <c r="T17" s="5">
        <f>+T15+T16</f>
        <v>25176</v>
      </c>
      <c r="U17" s="5">
        <f>+U15+U16</f>
        <v>25778</v>
      </c>
      <c r="V17" s="5">
        <f>+V15+V16</f>
        <v>27167</v>
      </c>
      <c r="W17" s="15">
        <f>V17*1.01</f>
        <v>27438.670000000002</v>
      </c>
      <c r="X17" s="2">
        <f t="shared" ref="X17:AJ17" si="20">W17*1.01</f>
        <v>27713.056700000001</v>
      </c>
      <c r="Y17" s="2">
        <f t="shared" si="20"/>
        <v>27990.187267000001</v>
      </c>
      <c r="Z17" s="2">
        <f t="shared" si="20"/>
        <v>28270.089139670003</v>
      </c>
      <c r="AA17" s="2">
        <f t="shared" si="20"/>
        <v>28552.790031066703</v>
      </c>
      <c r="AB17" s="2">
        <f t="shared" si="20"/>
        <v>28838.317931377369</v>
      </c>
      <c r="AC17" s="2">
        <f t="shared" si="20"/>
        <v>29126.701110691141</v>
      </c>
      <c r="AD17" s="2">
        <f t="shared" si="20"/>
        <v>29417.968121798054</v>
      </c>
      <c r="AE17" s="2">
        <f t="shared" si="20"/>
        <v>29712.147803016036</v>
      </c>
      <c r="AF17" s="2">
        <f t="shared" si="20"/>
        <v>30009.269281046196</v>
      </c>
      <c r="AG17" s="2">
        <f t="shared" si="20"/>
        <v>30309.361973856659</v>
      </c>
      <c r="AH17" s="2">
        <f t="shared" si="20"/>
        <v>30612.455593595227</v>
      </c>
      <c r="AI17" s="2">
        <f t="shared" si="20"/>
        <v>30918.580149531179</v>
      </c>
      <c r="AJ17" s="2">
        <f t="shared" si="20"/>
        <v>31227.765951026489</v>
      </c>
    </row>
    <row r="18" spans="2:542" x14ac:dyDescent="0.3">
      <c r="B18" s="13" t="s">
        <v>388</v>
      </c>
      <c r="C18" s="5">
        <f t="shared" ref="C18:J18" si="21">C11-C17</f>
        <v>1002</v>
      </c>
      <c r="D18" s="5">
        <f t="shared" si="21"/>
        <v>1914</v>
      </c>
      <c r="E18" s="5">
        <f t="shared" si="21"/>
        <v>1879</v>
      </c>
      <c r="F18" s="5">
        <f t="shared" si="21"/>
        <v>3727</v>
      </c>
      <c r="G18" s="5">
        <f t="shared" si="21"/>
        <v>972</v>
      </c>
      <c r="H18" s="5">
        <f t="shared" si="21"/>
        <v>2172</v>
      </c>
      <c r="I18" s="5">
        <f t="shared" si="21"/>
        <v>1633</v>
      </c>
      <c r="J18" s="5">
        <f t="shared" si="21"/>
        <v>3608</v>
      </c>
      <c r="K18" s="2"/>
      <c r="Q18" s="5">
        <f t="shared" ref="Q18:R18" si="22">Q11-Q17</f>
        <v>6899</v>
      </c>
      <c r="R18" s="5">
        <f t="shared" si="22"/>
        <v>4042</v>
      </c>
      <c r="S18" s="5">
        <f>S11-S17</f>
        <v>6252</v>
      </c>
      <c r="T18" s="5">
        <f>T11-T17</f>
        <v>7512</v>
      </c>
      <c r="U18" s="5">
        <f>U11-U17</f>
        <v>8522</v>
      </c>
      <c r="V18" s="5">
        <f>V11-V17</f>
        <v>8385</v>
      </c>
      <c r="W18" s="15">
        <f>W11-W17</f>
        <v>10413.939599999994</v>
      </c>
      <c r="X18" s="2">
        <f t="shared" ref="X18:AJ18" si="23">X11-X17</f>
        <v>11653.657284000001</v>
      </c>
      <c r="Y18" s="2">
        <f t="shared" si="23"/>
        <v>12951.195276359998</v>
      </c>
      <c r="Z18" s="2">
        <f t="shared" si="23"/>
        <v>14308.948705424402</v>
      </c>
      <c r="AA18" s="2">
        <f t="shared" si="23"/>
        <v>15729.409327831476</v>
      </c>
      <c r="AB18" s="2">
        <f t="shared" si="23"/>
        <v>18803.220689230333</v>
      </c>
      <c r="AC18" s="2">
        <f t="shared" si="23"/>
        <v>20420.499054740871</v>
      </c>
      <c r="AD18" s="2">
        <f t="shared" si="23"/>
        <v>22111.120050251244</v>
      </c>
      <c r="AE18" s="2">
        <f t="shared" si="23"/>
        <v>23878.103895915228</v>
      </c>
      <c r="AF18" s="2">
        <f t="shared" si="23"/>
        <v>25724.592485842324</v>
      </c>
      <c r="AG18" s="2">
        <f t="shared" si="23"/>
        <v>27653.854263707402</v>
      </c>
      <c r="AH18" s="2">
        <f t="shared" si="23"/>
        <v>29669.2892934714</v>
      </c>
      <c r="AI18" s="2">
        <f t="shared" si="23"/>
        <v>31774.434533018113</v>
      </c>
      <c r="AJ18" s="2">
        <f t="shared" si="23"/>
        <v>33972.969318824777</v>
      </c>
    </row>
    <row r="19" spans="2:542" x14ac:dyDescent="0.3">
      <c r="B19" t="s">
        <v>479</v>
      </c>
      <c r="C19">
        <f>-180-245+367</f>
        <v>-58</v>
      </c>
      <c r="D19">
        <f>-248-261+423</f>
        <v>-86</v>
      </c>
      <c r="E19">
        <f>-190-215+412</f>
        <v>7</v>
      </c>
      <c r="F19" s="2">
        <f>-860-914+1607-SUM(C19:E19)</f>
        <v>-30</v>
      </c>
      <c r="G19">
        <f>-216-317+432</f>
        <v>-101</v>
      </c>
      <c r="H19">
        <f>-241-233+427</f>
        <v>-47</v>
      </c>
      <c r="I19">
        <f>-238+2244+429</f>
        <v>2435</v>
      </c>
      <c r="J19" s="2">
        <f>-996+1871+1712-SUM(G19:I19)</f>
        <v>300</v>
      </c>
      <c r="K19" s="2"/>
      <c r="Q19" s="2">
        <f>-639-1012+1344</f>
        <v>-307</v>
      </c>
      <c r="R19" s="2">
        <f>-620+802+1288</f>
        <v>1470</v>
      </c>
      <c r="S19" s="2">
        <f>-612+873+1155</f>
        <v>1416</v>
      </c>
      <c r="T19" s="2">
        <f>-665+5803+1216</f>
        <v>6354</v>
      </c>
      <c r="U19" s="2">
        <f>SUM(C19:F19)</f>
        <v>-167</v>
      </c>
      <c r="V19" s="2">
        <f>SUM(G19:J19)</f>
        <v>2587</v>
      </c>
      <c r="W19" s="15">
        <v>760</v>
      </c>
      <c r="X19" s="2">
        <f>W19*(1+$AM$25)</f>
        <v>782.80000000000007</v>
      </c>
      <c r="Y19" s="2">
        <f t="shared" ref="Y19:AJ19" si="24">X19*(1+$AM$25)</f>
        <v>806.28400000000011</v>
      </c>
      <c r="Z19" s="2">
        <f t="shared" si="24"/>
        <v>830.47252000000015</v>
      </c>
      <c r="AA19" s="2">
        <f t="shared" si="24"/>
        <v>855.38669560000017</v>
      </c>
      <c r="AB19" s="2">
        <f t="shared" si="24"/>
        <v>881.04829646800022</v>
      </c>
      <c r="AC19" s="2">
        <f t="shared" si="24"/>
        <v>907.47974536204026</v>
      </c>
      <c r="AD19" s="2">
        <f t="shared" si="24"/>
        <v>934.70413772290146</v>
      </c>
      <c r="AE19" s="2">
        <f t="shared" si="24"/>
        <v>962.74526185458853</v>
      </c>
      <c r="AF19" s="2">
        <f t="shared" si="24"/>
        <v>991.62761971022621</v>
      </c>
      <c r="AG19" s="2">
        <f t="shared" si="24"/>
        <v>1021.3764483015331</v>
      </c>
      <c r="AH19" s="2">
        <f t="shared" si="24"/>
        <v>1052.017741750579</v>
      </c>
      <c r="AI19" s="2">
        <f t="shared" si="24"/>
        <v>1083.5782740030963</v>
      </c>
      <c r="AJ19" s="2">
        <f t="shared" si="24"/>
        <v>1116.0856222231891</v>
      </c>
    </row>
    <row r="20" spans="2:542" x14ac:dyDescent="0.3">
      <c r="B20" s="1" t="s">
        <v>26</v>
      </c>
      <c r="C20" s="5">
        <f t="shared" ref="C20:J20" si="25">C18-C19</f>
        <v>1060</v>
      </c>
      <c r="D20" s="5">
        <f t="shared" si="25"/>
        <v>2000</v>
      </c>
      <c r="E20" s="5">
        <f t="shared" si="25"/>
        <v>1872</v>
      </c>
      <c r="F20" s="5">
        <f t="shared" si="25"/>
        <v>3757</v>
      </c>
      <c r="G20" s="5">
        <f t="shared" si="25"/>
        <v>1073</v>
      </c>
      <c r="H20" s="5">
        <f t="shared" si="25"/>
        <v>2219</v>
      </c>
      <c r="I20" s="5">
        <f t="shared" si="25"/>
        <v>-802</v>
      </c>
      <c r="J20" s="5">
        <f t="shared" si="25"/>
        <v>3308</v>
      </c>
      <c r="K20" s="2"/>
      <c r="Q20" s="5">
        <f t="shared" ref="Q20" si="26">Q18-Q19</f>
        <v>7206</v>
      </c>
      <c r="R20" s="5">
        <f t="shared" ref="R20" si="27">R18-R19</f>
        <v>2572</v>
      </c>
      <c r="S20" s="5">
        <f t="shared" ref="S20:V20" si="28">S18-S19</f>
        <v>4836</v>
      </c>
      <c r="T20" s="5">
        <f t="shared" si="28"/>
        <v>1158</v>
      </c>
      <c r="U20" s="5">
        <f t="shared" si="28"/>
        <v>8689</v>
      </c>
      <c r="V20" s="5">
        <f t="shared" si="28"/>
        <v>5798</v>
      </c>
      <c r="W20" s="15">
        <f>W18-W19</f>
        <v>9653.9395999999942</v>
      </c>
      <c r="X20" s="2">
        <f>X18-X19</f>
        <v>10870.857284000002</v>
      </c>
      <c r="Y20" s="2">
        <f t="shared" ref="Y20" si="29">Y18-Y19</f>
        <v>12144.911276359999</v>
      </c>
      <c r="Z20" s="2">
        <f t="shared" ref="Z20" si="30">Z18-Z19</f>
        <v>13478.476185424403</v>
      </c>
      <c r="AA20" s="2">
        <f t="shared" ref="AA20" si="31">AA18-AA19</f>
        <v>14874.022632231476</v>
      </c>
      <c r="AB20" s="2">
        <f t="shared" ref="AB20" si="32">AB18-AB19</f>
        <v>17922.172392762332</v>
      </c>
      <c r="AC20" s="2">
        <f t="shared" ref="AC20" si="33">AC18-AC19</f>
        <v>19513.019309378829</v>
      </c>
      <c r="AD20" s="2">
        <f t="shared" ref="AD20" si="34">AD18-AD19</f>
        <v>21176.415912528344</v>
      </c>
      <c r="AE20" s="2">
        <f t="shared" ref="AE20" si="35">AE18-AE19</f>
        <v>22915.358634060642</v>
      </c>
      <c r="AF20" s="2">
        <f t="shared" ref="AF20" si="36">AF18-AF19</f>
        <v>24732.964866132097</v>
      </c>
      <c r="AG20" s="2">
        <f t="shared" ref="AG20" si="37">AG18-AG19</f>
        <v>26632.477815405869</v>
      </c>
      <c r="AH20" s="2">
        <f t="shared" ref="AH20" si="38">AH18-AH19</f>
        <v>28617.27155172082</v>
      </c>
      <c r="AI20" s="2">
        <f t="shared" ref="AI20" si="39">AI18-AI19</f>
        <v>30690.856259015018</v>
      </c>
      <c r="AJ20" s="2">
        <f t="shared" ref="AJ20" si="40">AJ18-AJ19</f>
        <v>32856.883696601588</v>
      </c>
    </row>
    <row r="21" spans="2:542" x14ac:dyDescent="0.3">
      <c r="B21" t="s">
        <v>27</v>
      </c>
      <c r="C21">
        <v>124</v>
      </c>
      <c r="D21">
        <v>419</v>
      </c>
      <c r="E21">
        <v>159</v>
      </c>
      <c r="F21" s="2">
        <f>1176-SUM(C21:E21)</f>
        <v>474</v>
      </c>
      <c r="G21">
        <v>-502</v>
      </c>
      <c r="H21">
        <v>389</v>
      </c>
      <c r="I21">
        <v>-485</v>
      </c>
      <c r="J21" s="2">
        <f>-218-SUM(G21:I21)</f>
        <v>380</v>
      </c>
      <c r="K21" s="2"/>
      <c r="Q21" s="2">
        <v>60</v>
      </c>
      <c r="R21" s="2">
        <v>-1360</v>
      </c>
      <c r="S21" s="2">
        <v>124</v>
      </c>
      <c r="T21" s="2">
        <v>-626</v>
      </c>
      <c r="U21" s="2">
        <f>SUM(C21:F21)</f>
        <v>1176</v>
      </c>
      <c r="V21" s="2">
        <f>SUM(G21:J21)</f>
        <v>-218</v>
      </c>
      <c r="W21" s="15">
        <f>W20*0.08</f>
        <v>772.31516799999952</v>
      </c>
      <c r="X21" s="2">
        <f>X20*0.08</f>
        <v>869.66858272000013</v>
      </c>
      <c r="Y21" s="2">
        <f t="shared" ref="Y21:AJ21" si="41">Y20*0.08</f>
        <v>971.59290210879988</v>
      </c>
      <c r="Z21" s="2">
        <f t="shared" si="41"/>
        <v>1078.2780948339523</v>
      </c>
      <c r="AA21" s="2">
        <f t="shared" si="41"/>
        <v>1189.921810578518</v>
      </c>
      <c r="AB21" s="2">
        <f t="shared" si="41"/>
        <v>1433.7737914209865</v>
      </c>
      <c r="AC21" s="2">
        <f t="shared" si="41"/>
        <v>1561.0415447503065</v>
      </c>
      <c r="AD21" s="2">
        <f t="shared" si="41"/>
        <v>1694.1132730022675</v>
      </c>
      <c r="AE21" s="2">
        <f t="shared" si="41"/>
        <v>1833.2286907248513</v>
      </c>
      <c r="AF21" s="2">
        <f t="shared" si="41"/>
        <v>1978.6371892905679</v>
      </c>
      <c r="AG21" s="2">
        <f t="shared" si="41"/>
        <v>2130.5982252324698</v>
      </c>
      <c r="AH21" s="2">
        <f t="shared" si="41"/>
        <v>2289.3817241376655</v>
      </c>
      <c r="AI21" s="2">
        <f t="shared" si="41"/>
        <v>2455.2685007212017</v>
      </c>
      <c r="AJ21" s="2">
        <f t="shared" si="41"/>
        <v>2628.5506957281273</v>
      </c>
    </row>
    <row r="22" spans="2:542" x14ac:dyDescent="0.3">
      <c r="B22" s="1" t="s">
        <v>28</v>
      </c>
      <c r="C22" s="5">
        <f t="shared" ref="C22:J22" si="42">C20-C21</f>
        <v>936</v>
      </c>
      <c r="D22" s="5">
        <f t="shared" si="42"/>
        <v>1581</v>
      </c>
      <c r="E22" s="5">
        <f t="shared" si="42"/>
        <v>1713</v>
      </c>
      <c r="F22" s="5">
        <f t="shared" si="42"/>
        <v>3283</v>
      </c>
      <c r="G22" s="5">
        <f t="shared" si="42"/>
        <v>1575</v>
      </c>
      <c r="H22" s="5">
        <f t="shared" si="42"/>
        <v>1830</v>
      </c>
      <c r="I22" s="5">
        <f t="shared" si="42"/>
        <v>-317</v>
      </c>
      <c r="J22" s="5">
        <f t="shared" si="42"/>
        <v>2928</v>
      </c>
      <c r="K22" s="5"/>
      <c r="L22" s="1"/>
      <c r="M22" s="1"/>
      <c r="N22" s="1"/>
      <c r="O22" s="1"/>
      <c r="P22" s="1"/>
      <c r="Q22" s="5">
        <f t="shared" ref="Q22" si="43">Q20-Q21</f>
        <v>7146</v>
      </c>
      <c r="R22" s="5">
        <f t="shared" ref="R22" si="44">R20-R21</f>
        <v>3932</v>
      </c>
      <c r="S22" s="5">
        <f t="shared" ref="S22:V22" si="45">S20-S21</f>
        <v>4712</v>
      </c>
      <c r="T22" s="5">
        <f t="shared" si="45"/>
        <v>1784</v>
      </c>
      <c r="U22" s="5">
        <f t="shared" si="45"/>
        <v>7513</v>
      </c>
      <c r="V22" s="5">
        <f t="shared" si="45"/>
        <v>6016</v>
      </c>
      <c r="W22" s="15">
        <f>W20-W21</f>
        <v>8881.6244319999951</v>
      </c>
      <c r="X22" s="2">
        <f t="shared" ref="X22" si="46">X20-X21</f>
        <v>10001.188701280002</v>
      </c>
      <c r="Y22" s="2">
        <f t="shared" ref="Y22" si="47">Y20-Y21</f>
        <v>11173.318374251199</v>
      </c>
      <c r="Z22" s="2">
        <f t="shared" ref="Z22" si="48">Z20-Z21</f>
        <v>12400.198090590449</v>
      </c>
      <c r="AA22" s="2">
        <f t="shared" ref="AA22" si="49">AA20-AA21</f>
        <v>13684.100821652957</v>
      </c>
      <c r="AB22" s="2">
        <f t="shared" ref="AB22" si="50">AB20-AB21</f>
        <v>16488.398601341345</v>
      </c>
      <c r="AC22" s="2">
        <f t="shared" ref="AC22" si="51">AC20-AC21</f>
        <v>17951.977764628522</v>
      </c>
      <c r="AD22" s="2">
        <f t="shared" ref="AD22" si="52">AD20-AD21</f>
        <v>19482.302639526075</v>
      </c>
      <c r="AE22" s="2">
        <f t="shared" ref="AE22" si="53">AE20-AE21</f>
        <v>21082.129943335789</v>
      </c>
      <c r="AF22" s="2">
        <f t="shared" ref="AF22" si="54">AF20-AF21</f>
        <v>22754.327676841531</v>
      </c>
      <c r="AG22" s="2">
        <f t="shared" ref="AG22" si="55">AG20-AG21</f>
        <v>24501.879590173401</v>
      </c>
      <c r="AH22" s="2">
        <f t="shared" ref="AH22" si="56">AH20-AH21</f>
        <v>26327.889827583153</v>
      </c>
      <c r="AI22" s="2">
        <f t="shared" ref="AI22" si="57">AI20-AI21</f>
        <v>28235.587758293816</v>
      </c>
      <c r="AJ22" s="2">
        <f t="shared" ref="AJ22" si="58">AJ20-AJ21</f>
        <v>30228.333000873459</v>
      </c>
      <c r="AK22" s="2">
        <f t="shared" ref="AK22:CV22" si="59">AJ22*(1+$AM$26)</f>
        <v>29774.908005860358</v>
      </c>
      <c r="AL22" s="2">
        <f t="shared" si="59"/>
        <v>29328.284385772451</v>
      </c>
      <c r="AM22" s="2">
        <f t="shared" si="59"/>
        <v>28888.360119985864</v>
      </c>
      <c r="AN22" s="2">
        <f t="shared" si="59"/>
        <v>28455.034718186074</v>
      </c>
      <c r="AO22" s="2">
        <f t="shared" si="59"/>
        <v>28028.209197413282</v>
      </c>
      <c r="AP22" s="2">
        <f t="shared" si="59"/>
        <v>27607.786059452083</v>
      </c>
      <c r="AQ22" s="2">
        <f t="shared" si="59"/>
        <v>27193.669268560301</v>
      </c>
      <c r="AR22" s="2">
        <f t="shared" si="59"/>
        <v>26785.764229531895</v>
      </c>
      <c r="AS22" s="2">
        <f t="shared" si="59"/>
        <v>26383.977766088916</v>
      </c>
      <c r="AT22" s="2">
        <f t="shared" si="59"/>
        <v>25988.218099597583</v>
      </c>
      <c r="AU22" s="2">
        <f t="shared" si="59"/>
        <v>25598.394828103617</v>
      </c>
      <c r="AV22" s="2">
        <f t="shared" si="59"/>
        <v>25214.418905682061</v>
      </c>
      <c r="AW22" s="2">
        <f t="shared" si="59"/>
        <v>24836.202622096829</v>
      </c>
      <c r="AX22" s="2">
        <f t="shared" si="59"/>
        <v>24463.659582765376</v>
      </c>
      <c r="AY22" s="2">
        <f t="shared" si="59"/>
        <v>24096.704689023896</v>
      </c>
      <c r="AZ22" s="2">
        <f t="shared" si="59"/>
        <v>23735.254118688539</v>
      </c>
      <c r="BA22" s="2">
        <f t="shared" si="59"/>
        <v>23379.225306908211</v>
      </c>
      <c r="BB22" s="2">
        <f t="shared" si="59"/>
        <v>23028.536927304587</v>
      </c>
      <c r="BC22" s="2">
        <f t="shared" si="59"/>
        <v>22683.108873395016</v>
      </c>
      <c r="BD22" s="2">
        <f t="shared" si="59"/>
        <v>22342.862240294089</v>
      </c>
      <c r="BE22" s="2">
        <f t="shared" si="59"/>
        <v>22007.719306689676</v>
      </c>
      <c r="BF22" s="2">
        <f t="shared" si="59"/>
        <v>21677.60351708933</v>
      </c>
      <c r="BG22" s="2">
        <f t="shared" si="59"/>
        <v>21352.439464332991</v>
      </c>
      <c r="BH22" s="2">
        <f t="shared" si="59"/>
        <v>21032.152872367995</v>
      </c>
      <c r="BI22" s="2">
        <f t="shared" si="59"/>
        <v>20716.670579282476</v>
      </c>
      <c r="BJ22" s="2">
        <f t="shared" si="59"/>
        <v>20405.920520593238</v>
      </c>
      <c r="BK22" s="2">
        <f t="shared" si="59"/>
        <v>20099.83171278434</v>
      </c>
      <c r="BL22" s="2">
        <f t="shared" si="59"/>
        <v>19798.334237092575</v>
      </c>
      <c r="BM22" s="2">
        <f t="shared" si="59"/>
        <v>19501.359223536187</v>
      </c>
      <c r="BN22" s="2">
        <f t="shared" si="59"/>
        <v>19208.838835183142</v>
      </c>
      <c r="BO22" s="2">
        <f t="shared" si="59"/>
        <v>18920.706252655393</v>
      </c>
      <c r="BP22" s="2">
        <f t="shared" si="59"/>
        <v>18636.89565886556</v>
      </c>
      <c r="BQ22" s="2">
        <f t="shared" si="59"/>
        <v>18357.342223982578</v>
      </c>
      <c r="BR22" s="2">
        <f t="shared" si="59"/>
        <v>18081.982090622838</v>
      </c>
      <c r="BS22" s="2">
        <f t="shared" si="59"/>
        <v>17810.752359263493</v>
      </c>
      <c r="BT22" s="2">
        <f t="shared" si="59"/>
        <v>17543.591073874541</v>
      </c>
      <c r="BU22" s="2">
        <f t="shared" si="59"/>
        <v>17280.437207766423</v>
      </c>
      <c r="BV22" s="2">
        <f t="shared" si="59"/>
        <v>17021.230649649926</v>
      </c>
      <c r="BW22" s="2">
        <f t="shared" si="59"/>
        <v>16765.912189905175</v>
      </c>
      <c r="BX22" s="2">
        <f t="shared" si="59"/>
        <v>16514.423507056596</v>
      </c>
      <c r="BY22" s="2">
        <f t="shared" si="59"/>
        <v>16266.707154450747</v>
      </c>
      <c r="BZ22" s="2">
        <f t="shared" si="59"/>
        <v>16022.706547133987</v>
      </c>
      <c r="CA22" s="2">
        <f t="shared" si="59"/>
        <v>15782.365948926976</v>
      </c>
      <c r="CB22" s="2">
        <f t="shared" si="59"/>
        <v>15545.630459693071</v>
      </c>
      <c r="CC22" s="2">
        <f t="shared" si="59"/>
        <v>15312.446002797675</v>
      </c>
      <c r="CD22" s="2">
        <f t="shared" si="59"/>
        <v>15082.75931275571</v>
      </c>
      <c r="CE22" s="2">
        <f t="shared" si="59"/>
        <v>14856.517923064373</v>
      </c>
      <c r="CF22" s="2">
        <f t="shared" si="59"/>
        <v>14633.670154218407</v>
      </c>
      <c r="CG22" s="2">
        <f t="shared" si="59"/>
        <v>14414.165101905131</v>
      </c>
      <c r="CH22" s="2">
        <f t="shared" si="59"/>
        <v>14197.952625376554</v>
      </c>
      <c r="CI22" s="2">
        <f t="shared" si="59"/>
        <v>13984.983335995907</v>
      </c>
      <c r="CJ22" s="2">
        <f t="shared" si="59"/>
        <v>13775.208585955968</v>
      </c>
      <c r="CK22" s="2">
        <f t="shared" si="59"/>
        <v>13568.580457166629</v>
      </c>
      <c r="CL22" s="2">
        <f t="shared" si="59"/>
        <v>13365.051750309129</v>
      </c>
      <c r="CM22" s="2">
        <f t="shared" si="59"/>
        <v>13164.575974054491</v>
      </c>
      <c r="CN22" s="2">
        <f t="shared" si="59"/>
        <v>12967.107334443674</v>
      </c>
      <c r="CO22" s="2">
        <f t="shared" si="59"/>
        <v>12772.600724427019</v>
      </c>
      <c r="CP22" s="2">
        <f t="shared" si="59"/>
        <v>12581.011713560612</v>
      </c>
      <c r="CQ22" s="2">
        <f t="shared" si="59"/>
        <v>12392.296537857203</v>
      </c>
      <c r="CR22" s="2">
        <f t="shared" si="59"/>
        <v>12206.412089789344</v>
      </c>
      <c r="CS22" s="2">
        <f t="shared" si="59"/>
        <v>12023.315908442504</v>
      </c>
      <c r="CT22" s="2">
        <f t="shared" si="59"/>
        <v>11842.966169815867</v>
      </c>
      <c r="CU22" s="2">
        <f t="shared" si="59"/>
        <v>11665.321677268628</v>
      </c>
      <c r="CV22" s="2">
        <f t="shared" si="59"/>
        <v>11490.341852109599</v>
      </c>
      <c r="CW22" s="2">
        <f t="shared" ref="CW22:FH22" si="60">CV22*(1+$AM$26)</f>
        <v>11317.986724327955</v>
      </c>
      <c r="CX22" s="2">
        <f t="shared" si="60"/>
        <v>11148.216923463036</v>
      </c>
      <c r="CY22" s="2">
        <f t="shared" si="60"/>
        <v>10980.993669611091</v>
      </c>
      <c r="CZ22" s="2">
        <f t="shared" si="60"/>
        <v>10816.278764566925</v>
      </c>
      <c r="DA22" s="2">
        <f t="shared" si="60"/>
        <v>10654.034583098421</v>
      </c>
      <c r="DB22" s="2">
        <f t="shared" si="60"/>
        <v>10494.224064351944</v>
      </c>
      <c r="DC22" s="2">
        <f t="shared" si="60"/>
        <v>10336.810703386664</v>
      </c>
      <c r="DD22" s="2">
        <f t="shared" si="60"/>
        <v>10181.758542835863</v>
      </c>
      <c r="DE22" s="2">
        <f t="shared" si="60"/>
        <v>10029.032164693326</v>
      </c>
      <c r="DF22" s="2">
        <f t="shared" si="60"/>
        <v>9878.5966822229257</v>
      </c>
      <c r="DG22" s="2">
        <f t="shared" si="60"/>
        <v>9730.4177319895825</v>
      </c>
      <c r="DH22" s="2">
        <f t="shared" si="60"/>
        <v>9584.4614660097395</v>
      </c>
      <c r="DI22" s="2">
        <f t="shared" si="60"/>
        <v>9440.6945440195941</v>
      </c>
      <c r="DJ22" s="2">
        <f t="shared" si="60"/>
        <v>9299.0841258593009</v>
      </c>
      <c r="DK22" s="2">
        <f t="shared" si="60"/>
        <v>9159.5978639714122</v>
      </c>
      <c r="DL22" s="2">
        <f t="shared" si="60"/>
        <v>9022.2038960118407</v>
      </c>
      <c r="DM22" s="2">
        <f t="shared" si="60"/>
        <v>8886.8708375716633</v>
      </c>
      <c r="DN22" s="2">
        <f t="shared" si="60"/>
        <v>8753.5677750080886</v>
      </c>
      <c r="DO22" s="2">
        <f t="shared" si="60"/>
        <v>8622.2642583829675</v>
      </c>
      <c r="DP22" s="2">
        <f t="shared" si="60"/>
        <v>8492.9302945072232</v>
      </c>
      <c r="DQ22" s="2">
        <f t="shared" si="60"/>
        <v>8365.5363400896149</v>
      </c>
      <c r="DR22" s="2">
        <f t="shared" si="60"/>
        <v>8240.0532949882709</v>
      </c>
      <c r="DS22" s="2">
        <f t="shared" si="60"/>
        <v>8116.452495563447</v>
      </c>
      <c r="DT22" s="2">
        <f t="shared" si="60"/>
        <v>7994.7057081299954</v>
      </c>
      <c r="DU22" s="2">
        <f t="shared" si="60"/>
        <v>7874.7851225080458</v>
      </c>
      <c r="DV22" s="2">
        <f t="shared" si="60"/>
        <v>7756.6633456704249</v>
      </c>
      <c r="DW22" s="2">
        <f t="shared" si="60"/>
        <v>7640.3133954853683</v>
      </c>
      <c r="DX22" s="2">
        <f t="shared" si="60"/>
        <v>7525.7086945530873</v>
      </c>
      <c r="DY22" s="2">
        <f t="shared" si="60"/>
        <v>7412.8230641347909</v>
      </c>
      <c r="DZ22" s="2">
        <f t="shared" si="60"/>
        <v>7301.6307181727689</v>
      </c>
      <c r="EA22" s="2">
        <f t="shared" si="60"/>
        <v>7192.1062574001771</v>
      </c>
      <c r="EB22" s="2">
        <f t="shared" si="60"/>
        <v>7084.2246635391748</v>
      </c>
      <c r="EC22" s="2">
        <f t="shared" si="60"/>
        <v>6977.9612935860869</v>
      </c>
      <c r="ED22" s="2">
        <f t="shared" si="60"/>
        <v>6873.291874182295</v>
      </c>
      <c r="EE22" s="2">
        <f t="shared" si="60"/>
        <v>6770.1924960695605</v>
      </c>
      <c r="EF22" s="2">
        <f t="shared" si="60"/>
        <v>6668.6396086285167</v>
      </c>
      <c r="EG22" s="2">
        <f t="shared" si="60"/>
        <v>6568.6100144990887</v>
      </c>
      <c r="EH22" s="2">
        <f t="shared" si="60"/>
        <v>6470.0808642816019</v>
      </c>
      <c r="EI22" s="2">
        <f t="shared" si="60"/>
        <v>6373.029651317378</v>
      </c>
      <c r="EJ22" s="2">
        <f t="shared" si="60"/>
        <v>6277.4342065476176</v>
      </c>
      <c r="EK22" s="2">
        <f t="shared" si="60"/>
        <v>6183.2726934494031</v>
      </c>
      <c r="EL22" s="2">
        <f t="shared" si="60"/>
        <v>6090.5236030476617</v>
      </c>
      <c r="EM22" s="2">
        <f t="shared" si="60"/>
        <v>5999.165749001947</v>
      </c>
      <c r="EN22" s="2">
        <f t="shared" si="60"/>
        <v>5909.1782627669181</v>
      </c>
      <c r="EO22" s="2">
        <f t="shared" si="60"/>
        <v>5820.5405888254145</v>
      </c>
      <c r="EP22" s="2">
        <f t="shared" si="60"/>
        <v>5733.2324799930329</v>
      </c>
      <c r="EQ22" s="2">
        <f t="shared" si="60"/>
        <v>5647.2339927931371</v>
      </c>
      <c r="ER22" s="2">
        <f t="shared" si="60"/>
        <v>5562.5254829012401</v>
      </c>
      <c r="ES22" s="2">
        <f t="shared" si="60"/>
        <v>5479.0876006577219</v>
      </c>
      <c r="ET22" s="2">
        <f t="shared" si="60"/>
        <v>5396.9012866478561</v>
      </c>
      <c r="EU22" s="2">
        <f t="shared" si="60"/>
        <v>5315.9477673481379</v>
      </c>
      <c r="EV22" s="2">
        <f t="shared" si="60"/>
        <v>5236.2085508379159</v>
      </c>
      <c r="EW22" s="2">
        <f t="shared" si="60"/>
        <v>5157.6654225753473</v>
      </c>
      <c r="EX22" s="2">
        <f t="shared" si="60"/>
        <v>5080.3004412367172</v>
      </c>
      <c r="EY22" s="2">
        <f t="shared" si="60"/>
        <v>5004.0959346181662</v>
      </c>
      <c r="EZ22" s="2">
        <f t="shared" si="60"/>
        <v>4929.034495598894</v>
      </c>
      <c r="FA22" s="2">
        <f t="shared" si="60"/>
        <v>4855.0989781649105</v>
      </c>
      <c r="FB22" s="2">
        <f t="shared" si="60"/>
        <v>4782.2724934924372</v>
      </c>
      <c r="FC22" s="2">
        <f t="shared" si="60"/>
        <v>4710.5384060900506</v>
      </c>
      <c r="FD22" s="2">
        <f t="shared" si="60"/>
        <v>4639.8803299986994</v>
      </c>
      <c r="FE22" s="2">
        <f t="shared" si="60"/>
        <v>4570.2821250487186</v>
      </c>
      <c r="FF22" s="2">
        <f t="shared" si="60"/>
        <v>4501.7278931729879</v>
      </c>
      <c r="FG22" s="2">
        <f t="shared" si="60"/>
        <v>4434.201974775393</v>
      </c>
      <c r="FH22" s="2">
        <f t="shared" si="60"/>
        <v>4367.6889451537618</v>
      </c>
      <c r="FI22" s="2">
        <f t="shared" ref="FI22:HT22" si="61">FH22*(1+$AM$26)</f>
        <v>4302.1736109764552</v>
      </c>
      <c r="FJ22" s="2">
        <f t="shared" si="61"/>
        <v>4237.6410068118084</v>
      </c>
      <c r="FK22" s="2">
        <f t="shared" si="61"/>
        <v>4174.076391709631</v>
      </c>
      <c r="FL22" s="2">
        <f t="shared" si="61"/>
        <v>4111.465245833987</v>
      </c>
      <c r="FM22" s="2">
        <f t="shared" si="61"/>
        <v>4049.7932671464773</v>
      </c>
      <c r="FN22" s="2">
        <f t="shared" si="61"/>
        <v>3989.0463681392803</v>
      </c>
      <c r="FO22" s="2">
        <f t="shared" si="61"/>
        <v>3929.210672617191</v>
      </c>
      <c r="FP22" s="2">
        <f t="shared" si="61"/>
        <v>3870.272512527933</v>
      </c>
      <c r="FQ22" s="2">
        <f t="shared" si="61"/>
        <v>3812.218424840014</v>
      </c>
      <c r="FR22" s="2">
        <f t="shared" si="61"/>
        <v>3755.0351484674138</v>
      </c>
      <c r="FS22" s="2">
        <f t="shared" si="61"/>
        <v>3698.7096212404026</v>
      </c>
      <c r="FT22" s="2">
        <f t="shared" si="61"/>
        <v>3643.2289769217964</v>
      </c>
      <c r="FU22" s="2">
        <f t="shared" si="61"/>
        <v>3588.5805422679696</v>
      </c>
      <c r="FV22" s="2">
        <f t="shared" si="61"/>
        <v>3534.7518341339501</v>
      </c>
      <c r="FW22" s="2">
        <f t="shared" si="61"/>
        <v>3481.7305566219407</v>
      </c>
      <c r="FX22" s="2">
        <f t="shared" si="61"/>
        <v>3429.5045982726115</v>
      </c>
      <c r="FY22" s="2">
        <f t="shared" si="61"/>
        <v>3378.0620292985222</v>
      </c>
      <c r="FZ22" s="2">
        <f t="shared" si="61"/>
        <v>3327.3910988590442</v>
      </c>
      <c r="GA22" s="2">
        <f t="shared" si="61"/>
        <v>3277.4802323761583</v>
      </c>
      <c r="GB22" s="2">
        <f t="shared" si="61"/>
        <v>3228.318028890516</v>
      </c>
      <c r="GC22" s="2">
        <f t="shared" si="61"/>
        <v>3179.893258457158</v>
      </c>
      <c r="GD22" s="2">
        <f t="shared" si="61"/>
        <v>3132.1948595803005</v>
      </c>
      <c r="GE22" s="2">
        <f t="shared" si="61"/>
        <v>3085.2119366865959</v>
      </c>
      <c r="GF22" s="2">
        <f t="shared" si="61"/>
        <v>3038.9337576362968</v>
      </c>
      <c r="GG22" s="2">
        <f t="shared" si="61"/>
        <v>2993.3497512717522</v>
      </c>
      <c r="GH22" s="2">
        <f t="shared" si="61"/>
        <v>2948.4495050026758</v>
      </c>
      <c r="GI22" s="2">
        <f t="shared" si="61"/>
        <v>2904.2227624276356</v>
      </c>
      <c r="GJ22" s="2">
        <f t="shared" si="61"/>
        <v>2860.6594209912209</v>
      </c>
      <c r="GK22" s="2">
        <f t="shared" si="61"/>
        <v>2817.7495296763527</v>
      </c>
      <c r="GL22" s="2">
        <f t="shared" si="61"/>
        <v>2775.4832867312075</v>
      </c>
      <c r="GM22" s="2">
        <f t="shared" si="61"/>
        <v>2733.8510374302396</v>
      </c>
      <c r="GN22" s="2">
        <f t="shared" si="61"/>
        <v>2692.8432718687859</v>
      </c>
      <c r="GO22" s="2">
        <f t="shared" si="61"/>
        <v>2652.4506227907541</v>
      </c>
      <c r="GP22" s="2">
        <f t="shared" si="61"/>
        <v>2612.6638634488927</v>
      </c>
      <c r="GQ22" s="2">
        <f t="shared" si="61"/>
        <v>2573.4739054971592</v>
      </c>
      <c r="GR22" s="2">
        <f t="shared" si="61"/>
        <v>2534.8717969147019</v>
      </c>
      <c r="GS22" s="2">
        <f t="shared" si="61"/>
        <v>2496.8487199609813</v>
      </c>
      <c r="GT22" s="2">
        <f t="shared" si="61"/>
        <v>2459.3959891615664</v>
      </c>
      <c r="GU22" s="2">
        <f t="shared" si="61"/>
        <v>2422.5050493241429</v>
      </c>
      <c r="GV22" s="2">
        <f t="shared" si="61"/>
        <v>2386.1674735842807</v>
      </c>
      <c r="GW22" s="2">
        <f t="shared" si="61"/>
        <v>2350.3749614805165</v>
      </c>
      <c r="GX22" s="2">
        <f t="shared" si="61"/>
        <v>2315.1193370583087</v>
      </c>
      <c r="GY22" s="2">
        <f t="shared" si="61"/>
        <v>2280.3925470024342</v>
      </c>
      <c r="GZ22" s="2">
        <f t="shared" si="61"/>
        <v>2246.1866587973977</v>
      </c>
      <c r="HA22" s="2">
        <f t="shared" si="61"/>
        <v>2212.4938589154367</v>
      </c>
      <c r="HB22" s="2">
        <f t="shared" si="61"/>
        <v>2179.3064510317049</v>
      </c>
      <c r="HC22" s="2">
        <f t="shared" si="61"/>
        <v>2146.6168542662294</v>
      </c>
      <c r="HD22" s="2">
        <f t="shared" si="61"/>
        <v>2114.4176014522359</v>
      </c>
      <c r="HE22" s="2">
        <f t="shared" si="61"/>
        <v>2082.7013374304524</v>
      </c>
      <c r="HF22" s="2">
        <f t="shared" si="61"/>
        <v>2051.4608173689958</v>
      </c>
      <c r="HG22" s="2">
        <f t="shared" si="61"/>
        <v>2020.6889051084609</v>
      </c>
      <c r="HH22" s="2">
        <f t="shared" si="61"/>
        <v>1990.3785715318338</v>
      </c>
      <c r="HI22" s="2">
        <f t="shared" si="61"/>
        <v>1960.5228929588563</v>
      </c>
      <c r="HJ22" s="2">
        <f t="shared" si="61"/>
        <v>1931.1150495644736</v>
      </c>
      <c r="HK22" s="2">
        <f t="shared" si="61"/>
        <v>1902.1483238210064</v>
      </c>
      <c r="HL22" s="2">
        <f t="shared" si="61"/>
        <v>1873.6160989636912</v>
      </c>
      <c r="HM22" s="2">
        <f t="shared" si="61"/>
        <v>1845.5118574792359</v>
      </c>
      <c r="HN22" s="2">
        <f t="shared" si="61"/>
        <v>1817.8291796170474</v>
      </c>
      <c r="HO22" s="2">
        <f t="shared" si="61"/>
        <v>1790.5617419227917</v>
      </c>
      <c r="HP22" s="2">
        <f t="shared" si="61"/>
        <v>1763.7033157939497</v>
      </c>
      <c r="HQ22" s="2">
        <f t="shared" si="61"/>
        <v>1737.2477660570405</v>
      </c>
      <c r="HR22" s="2">
        <f t="shared" si="61"/>
        <v>1711.1890495661848</v>
      </c>
      <c r="HS22" s="2">
        <f t="shared" si="61"/>
        <v>1685.5212138226921</v>
      </c>
      <c r="HT22" s="2">
        <f t="shared" si="61"/>
        <v>1660.2383956153517</v>
      </c>
      <c r="HU22" s="2">
        <f t="shared" ref="HU22:KF22" si="62">HT22*(1+$AM$26)</f>
        <v>1635.3348196811214</v>
      </c>
      <c r="HV22" s="2">
        <f t="shared" si="62"/>
        <v>1610.8047973859045</v>
      </c>
      <c r="HW22" s="2">
        <f t="shared" si="62"/>
        <v>1586.6427254251159</v>
      </c>
      <c r="HX22" s="2">
        <f t="shared" si="62"/>
        <v>1562.8430845437392</v>
      </c>
      <c r="HY22" s="2">
        <f t="shared" si="62"/>
        <v>1539.4004382755832</v>
      </c>
      <c r="HZ22" s="2">
        <f t="shared" si="62"/>
        <v>1516.3094317014493</v>
      </c>
      <c r="IA22" s="2">
        <f t="shared" si="62"/>
        <v>1493.5647902259275</v>
      </c>
      <c r="IB22" s="2">
        <f t="shared" si="62"/>
        <v>1471.1613183725385</v>
      </c>
      <c r="IC22" s="2">
        <f t="shared" si="62"/>
        <v>1449.0938985969503</v>
      </c>
      <c r="ID22" s="2">
        <f t="shared" si="62"/>
        <v>1427.3574901179961</v>
      </c>
      <c r="IE22" s="2">
        <f t="shared" si="62"/>
        <v>1405.9471277662262</v>
      </c>
      <c r="IF22" s="2">
        <f t="shared" si="62"/>
        <v>1384.8579208497329</v>
      </c>
      <c r="IG22" s="2">
        <f t="shared" si="62"/>
        <v>1364.0850520369868</v>
      </c>
      <c r="IH22" s="2">
        <f t="shared" si="62"/>
        <v>1343.6237762564319</v>
      </c>
      <c r="II22" s="2">
        <f t="shared" si="62"/>
        <v>1323.4694196125854</v>
      </c>
      <c r="IJ22" s="2">
        <f t="shared" si="62"/>
        <v>1303.6173783183965</v>
      </c>
      <c r="IK22" s="2">
        <f t="shared" si="62"/>
        <v>1284.0631176436204</v>
      </c>
      <c r="IL22" s="2">
        <f t="shared" si="62"/>
        <v>1264.8021708789661</v>
      </c>
      <c r="IM22" s="2">
        <f t="shared" si="62"/>
        <v>1245.8301383157816</v>
      </c>
      <c r="IN22" s="2">
        <f t="shared" si="62"/>
        <v>1227.1426862410449</v>
      </c>
      <c r="IO22" s="2">
        <f t="shared" si="62"/>
        <v>1208.7355459474293</v>
      </c>
      <c r="IP22" s="2">
        <f t="shared" si="62"/>
        <v>1190.6045127582179</v>
      </c>
      <c r="IQ22" s="2">
        <f t="shared" si="62"/>
        <v>1172.7454450668447</v>
      </c>
      <c r="IR22" s="2">
        <f t="shared" si="62"/>
        <v>1155.1542633908421</v>
      </c>
      <c r="IS22" s="2">
        <f t="shared" si="62"/>
        <v>1137.8269494399794</v>
      </c>
      <c r="IT22" s="2">
        <f t="shared" si="62"/>
        <v>1120.7595451983798</v>
      </c>
      <c r="IU22" s="2">
        <f t="shared" si="62"/>
        <v>1103.948152020404</v>
      </c>
      <c r="IV22" s="2">
        <f t="shared" si="62"/>
        <v>1087.3889297400979</v>
      </c>
      <c r="IW22" s="2">
        <f t="shared" si="62"/>
        <v>1071.0780957939965</v>
      </c>
      <c r="IX22" s="2">
        <f t="shared" si="62"/>
        <v>1055.0119243570864</v>
      </c>
      <c r="IY22" s="2">
        <f t="shared" si="62"/>
        <v>1039.1867454917301</v>
      </c>
      <c r="IZ22" s="2">
        <f t="shared" si="62"/>
        <v>1023.5989443093541</v>
      </c>
      <c r="JA22" s="2">
        <f t="shared" si="62"/>
        <v>1008.2449601447138</v>
      </c>
      <c r="JB22" s="2">
        <f t="shared" si="62"/>
        <v>993.12128574254302</v>
      </c>
      <c r="JC22" s="2">
        <f t="shared" si="62"/>
        <v>978.22446645640491</v>
      </c>
      <c r="JD22" s="2">
        <f t="shared" si="62"/>
        <v>963.55109945955883</v>
      </c>
      <c r="JE22" s="2">
        <f t="shared" si="62"/>
        <v>949.09783296766545</v>
      </c>
      <c r="JF22" s="2">
        <f t="shared" si="62"/>
        <v>934.8613654731505</v>
      </c>
      <c r="JG22" s="2">
        <f t="shared" si="62"/>
        <v>920.83844499105328</v>
      </c>
      <c r="JH22" s="2">
        <f t="shared" si="62"/>
        <v>907.02586831618748</v>
      </c>
      <c r="JI22" s="2">
        <f t="shared" si="62"/>
        <v>893.42048029144462</v>
      </c>
      <c r="JJ22" s="2">
        <f t="shared" si="62"/>
        <v>880.01917308707289</v>
      </c>
      <c r="JK22" s="2">
        <f t="shared" si="62"/>
        <v>866.81888549076677</v>
      </c>
      <c r="JL22" s="2">
        <f t="shared" si="62"/>
        <v>853.81660220840524</v>
      </c>
      <c r="JM22" s="2">
        <f t="shared" si="62"/>
        <v>841.0093531752791</v>
      </c>
      <c r="JN22" s="2">
        <f t="shared" si="62"/>
        <v>828.39421287764992</v>
      </c>
      <c r="JO22" s="2">
        <f t="shared" si="62"/>
        <v>815.96829968448515</v>
      </c>
      <c r="JP22" s="2">
        <f t="shared" si="62"/>
        <v>803.72877518921791</v>
      </c>
      <c r="JQ22" s="2">
        <f t="shared" si="62"/>
        <v>791.67284356137964</v>
      </c>
      <c r="JR22" s="2">
        <f t="shared" si="62"/>
        <v>779.79775090795897</v>
      </c>
      <c r="JS22" s="2">
        <f t="shared" si="62"/>
        <v>768.10078464433957</v>
      </c>
      <c r="JT22" s="2">
        <f t="shared" si="62"/>
        <v>756.57927287467442</v>
      </c>
      <c r="JU22" s="2">
        <f t="shared" si="62"/>
        <v>745.23058378155429</v>
      </c>
      <c r="JV22" s="2">
        <f t="shared" si="62"/>
        <v>734.05212502483096</v>
      </c>
      <c r="JW22" s="2">
        <f t="shared" si="62"/>
        <v>723.0413431494585</v>
      </c>
      <c r="JX22" s="2">
        <f t="shared" si="62"/>
        <v>712.1957230022166</v>
      </c>
      <c r="JY22" s="2">
        <f t="shared" si="62"/>
        <v>701.51278715718331</v>
      </c>
      <c r="JZ22" s="2">
        <f t="shared" si="62"/>
        <v>690.99009534982554</v>
      </c>
      <c r="KA22" s="2">
        <f t="shared" si="62"/>
        <v>680.62524391957811</v>
      </c>
      <c r="KB22" s="2">
        <f t="shared" si="62"/>
        <v>670.41586526078447</v>
      </c>
      <c r="KC22" s="2">
        <f t="shared" si="62"/>
        <v>660.35962728187269</v>
      </c>
      <c r="KD22" s="2">
        <f t="shared" si="62"/>
        <v>650.45423287264464</v>
      </c>
      <c r="KE22" s="2">
        <f t="shared" si="62"/>
        <v>640.69741937955496</v>
      </c>
      <c r="KF22" s="2">
        <f t="shared" si="62"/>
        <v>631.08695808886159</v>
      </c>
      <c r="KG22" s="2">
        <f t="shared" ref="KG22:MR22" si="63">KF22*(1+$AM$26)</f>
        <v>621.62065371752863</v>
      </c>
      <c r="KH22" s="2">
        <f t="shared" si="63"/>
        <v>612.29634391176569</v>
      </c>
      <c r="KI22" s="2">
        <f t="shared" si="63"/>
        <v>603.11189875308924</v>
      </c>
      <c r="KJ22" s="2">
        <f t="shared" si="63"/>
        <v>594.0652202717929</v>
      </c>
      <c r="KK22" s="2">
        <f t="shared" si="63"/>
        <v>585.15424196771596</v>
      </c>
      <c r="KL22" s="2">
        <f t="shared" si="63"/>
        <v>576.37692833820017</v>
      </c>
      <c r="KM22" s="2">
        <f t="shared" si="63"/>
        <v>567.73127441312715</v>
      </c>
      <c r="KN22" s="2">
        <f t="shared" si="63"/>
        <v>559.21530529693018</v>
      </c>
      <c r="KO22" s="2">
        <f t="shared" si="63"/>
        <v>550.82707571747619</v>
      </c>
      <c r="KP22" s="2">
        <f t="shared" si="63"/>
        <v>542.56466958171404</v>
      </c>
      <c r="KQ22" s="2">
        <f t="shared" si="63"/>
        <v>534.42619953798828</v>
      </c>
      <c r="KR22" s="2">
        <f t="shared" si="63"/>
        <v>526.40980654491841</v>
      </c>
      <c r="KS22" s="2">
        <f t="shared" si="63"/>
        <v>518.51365944674467</v>
      </c>
      <c r="KT22" s="2">
        <f t="shared" si="63"/>
        <v>510.73595455504346</v>
      </c>
      <c r="KU22" s="2">
        <f t="shared" si="63"/>
        <v>503.0749152367178</v>
      </c>
      <c r="KV22" s="2">
        <f t="shared" si="63"/>
        <v>495.52879150816705</v>
      </c>
      <c r="KW22" s="2">
        <f t="shared" si="63"/>
        <v>488.09585963554451</v>
      </c>
      <c r="KX22" s="2">
        <f t="shared" si="63"/>
        <v>480.77442174101134</v>
      </c>
      <c r="KY22" s="2">
        <f t="shared" si="63"/>
        <v>473.56280541489616</v>
      </c>
      <c r="KZ22" s="2">
        <f t="shared" si="63"/>
        <v>466.45936333367268</v>
      </c>
      <c r="LA22" s="2">
        <f t="shared" si="63"/>
        <v>459.4624728836676</v>
      </c>
      <c r="LB22" s="2">
        <f t="shared" si="63"/>
        <v>452.57053579041258</v>
      </c>
      <c r="LC22" s="2">
        <f t="shared" si="63"/>
        <v>445.78197775355636</v>
      </c>
      <c r="LD22" s="2">
        <f t="shared" si="63"/>
        <v>439.09524808725303</v>
      </c>
      <c r="LE22" s="2">
        <f t="shared" si="63"/>
        <v>432.50881936594425</v>
      </c>
      <c r="LF22" s="2">
        <f t="shared" si="63"/>
        <v>426.02118707545509</v>
      </c>
      <c r="LG22" s="2">
        <f t="shared" si="63"/>
        <v>419.63086926932328</v>
      </c>
      <c r="LH22" s="2">
        <f t="shared" si="63"/>
        <v>413.33640623028344</v>
      </c>
      <c r="LI22" s="2">
        <f t="shared" si="63"/>
        <v>407.13636013682918</v>
      </c>
      <c r="LJ22" s="2">
        <f t="shared" si="63"/>
        <v>401.02931473477673</v>
      </c>
      <c r="LK22" s="2">
        <f t="shared" si="63"/>
        <v>395.01387501375507</v>
      </c>
      <c r="LL22" s="2">
        <f t="shared" si="63"/>
        <v>389.08866688854874</v>
      </c>
      <c r="LM22" s="2">
        <f t="shared" si="63"/>
        <v>383.25233688522053</v>
      </c>
      <c r="LN22" s="2">
        <f t="shared" si="63"/>
        <v>377.50355183194222</v>
      </c>
      <c r="LO22" s="2">
        <f t="shared" si="63"/>
        <v>371.84099855446306</v>
      </c>
      <c r="LP22" s="2">
        <f t="shared" si="63"/>
        <v>366.26338357614611</v>
      </c>
      <c r="LQ22" s="2">
        <f t="shared" si="63"/>
        <v>360.76943282250392</v>
      </c>
      <c r="LR22" s="2">
        <f t="shared" si="63"/>
        <v>355.35789133016635</v>
      </c>
      <c r="LS22" s="2">
        <f t="shared" si="63"/>
        <v>350.02752296021384</v>
      </c>
      <c r="LT22" s="2">
        <f t="shared" si="63"/>
        <v>344.77711011581061</v>
      </c>
      <c r="LU22" s="2">
        <f t="shared" si="63"/>
        <v>339.60545346407343</v>
      </c>
      <c r="LV22" s="2">
        <f t="shared" si="63"/>
        <v>334.51137166211231</v>
      </c>
      <c r="LW22" s="2">
        <f t="shared" si="63"/>
        <v>329.49370108718063</v>
      </c>
      <c r="LX22" s="2">
        <f t="shared" si="63"/>
        <v>324.55129557087292</v>
      </c>
      <c r="LY22" s="2">
        <f t="shared" si="63"/>
        <v>319.68302613730981</v>
      </c>
      <c r="LZ22" s="2">
        <f t="shared" si="63"/>
        <v>314.88778074525015</v>
      </c>
      <c r="MA22" s="2">
        <f t="shared" si="63"/>
        <v>310.16446403407139</v>
      </c>
      <c r="MB22" s="2">
        <f t="shared" si="63"/>
        <v>305.51199707356034</v>
      </c>
      <c r="MC22" s="2">
        <f t="shared" si="63"/>
        <v>300.92931711745695</v>
      </c>
      <c r="MD22" s="2">
        <f t="shared" si="63"/>
        <v>296.41537736069506</v>
      </c>
      <c r="ME22" s="2">
        <f t="shared" si="63"/>
        <v>291.96914670028463</v>
      </c>
      <c r="MF22" s="2">
        <f t="shared" si="63"/>
        <v>287.58960949978035</v>
      </c>
      <c r="MG22" s="2">
        <f t="shared" si="63"/>
        <v>283.27576535728366</v>
      </c>
      <c r="MH22" s="2">
        <f t="shared" si="63"/>
        <v>279.02662887692441</v>
      </c>
      <c r="MI22" s="2">
        <f t="shared" si="63"/>
        <v>274.84122944377054</v>
      </c>
      <c r="MJ22" s="2">
        <f t="shared" si="63"/>
        <v>270.71861100211396</v>
      </c>
      <c r="MK22" s="2">
        <f t="shared" si="63"/>
        <v>266.65783183708226</v>
      </c>
      <c r="ML22" s="2">
        <f t="shared" si="63"/>
        <v>262.65796435952603</v>
      </c>
      <c r="MM22" s="2">
        <f t="shared" si="63"/>
        <v>258.71809489413312</v>
      </c>
      <c r="MN22" s="2">
        <f t="shared" si="63"/>
        <v>254.83732347072112</v>
      </c>
      <c r="MO22" s="2">
        <f t="shared" si="63"/>
        <v>251.01476361866031</v>
      </c>
      <c r="MP22" s="2">
        <f t="shared" si="63"/>
        <v>247.24954216438041</v>
      </c>
      <c r="MQ22" s="2">
        <f t="shared" si="63"/>
        <v>243.5407990319147</v>
      </c>
      <c r="MR22" s="2">
        <f t="shared" si="63"/>
        <v>239.88768704643599</v>
      </c>
      <c r="MS22" s="2">
        <f t="shared" ref="MS22:PD22" si="64">MR22*(1+$AM$26)</f>
        <v>236.28937174073945</v>
      </c>
      <c r="MT22" s="2">
        <f t="shared" si="64"/>
        <v>232.74503116462836</v>
      </c>
      <c r="MU22" s="2">
        <f t="shared" si="64"/>
        <v>229.25385569715894</v>
      </c>
      <c r="MV22" s="2">
        <f t="shared" si="64"/>
        <v>225.81504786170154</v>
      </c>
      <c r="MW22" s="2">
        <f t="shared" si="64"/>
        <v>222.42782214377601</v>
      </c>
      <c r="MX22" s="2">
        <f t="shared" si="64"/>
        <v>219.09140481161936</v>
      </c>
      <c r="MY22" s="2">
        <f t="shared" si="64"/>
        <v>215.80503373944507</v>
      </c>
      <c r="MZ22" s="2">
        <f t="shared" si="64"/>
        <v>212.56795823335338</v>
      </c>
      <c r="NA22" s="2">
        <f t="shared" si="64"/>
        <v>209.37943885985308</v>
      </c>
      <c r="NB22" s="2">
        <f t="shared" si="64"/>
        <v>206.23874727695528</v>
      </c>
      <c r="NC22" s="2">
        <f t="shared" si="64"/>
        <v>203.14516606780094</v>
      </c>
      <c r="ND22" s="2">
        <f t="shared" si="64"/>
        <v>200.09798857678393</v>
      </c>
      <c r="NE22" s="2">
        <f t="shared" si="64"/>
        <v>197.09651874813218</v>
      </c>
      <c r="NF22" s="2">
        <f t="shared" si="64"/>
        <v>194.1400709669102</v>
      </c>
      <c r="NG22" s="2">
        <f t="shared" si="64"/>
        <v>191.22796990240656</v>
      </c>
      <c r="NH22" s="2">
        <f t="shared" si="64"/>
        <v>188.35955035387045</v>
      </c>
      <c r="NI22" s="2">
        <f t="shared" si="64"/>
        <v>185.53415709856239</v>
      </c>
      <c r="NJ22" s="2">
        <f t="shared" si="64"/>
        <v>182.75114474208394</v>
      </c>
      <c r="NK22" s="2">
        <f t="shared" si="64"/>
        <v>180.00987757095268</v>
      </c>
      <c r="NL22" s="2">
        <f t="shared" si="64"/>
        <v>177.3097294073884</v>
      </c>
      <c r="NM22" s="2">
        <f t="shared" si="64"/>
        <v>174.65008346627758</v>
      </c>
      <c r="NN22" s="2">
        <f t="shared" si="64"/>
        <v>172.03033221428342</v>
      </c>
      <c r="NO22" s="2">
        <f t="shared" si="64"/>
        <v>169.44987723106917</v>
      </c>
      <c r="NP22" s="2">
        <f t="shared" si="64"/>
        <v>166.90812907260312</v>
      </c>
      <c r="NQ22" s="2">
        <f t="shared" si="64"/>
        <v>164.40450713651407</v>
      </c>
      <c r="NR22" s="2">
        <f t="shared" si="64"/>
        <v>161.93843952946636</v>
      </c>
      <c r="NS22" s="2">
        <f t="shared" si="64"/>
        <v>159.50936293652435</v>
      </c>
      <c r="NT22" s="2">
        <f t="shared" si="64"/>
        <v>157.1167224924765</v>
      </c>
      <c r="NU22" s="2">
        <f t="shared" si="64"/>
        <v>154.75997165508934</v>
      </c>
      <c r="NV22" s="2">
        <f t="shared" si="64"/>
        <v>152.43857208026301</v>
      </c>
      <c r="NW22" s="2">
        <f t="shared" si="64"/>
        <v>150.15199349905907</v>
      </c>
      <c r="NX22" s="2">
        <f t="shared" si="64"/>
        <v>147.89971359657318</v>
      </c>
      <c r="NY22" s="2">
        <f t="shared" si="64"/>
        <v>145.68121789262457</v>
      </c>
      <c r="NZ22" s="2">
        <f t="shared" si="64"/>
        <v>143.4959996242352</v>
      </c>
      <c r="OA22" s="2">
        <f t="shared" si="64"/>
        <v>141.34355962987166</v>
      </c>
      <c r="OB22" s="2">
        <f t="shared" si="64"/>
        <v>139.2234062354236</v>
      </c>
      <c r="OC22" s="2">
        <f t="shared" si="64"/>
        <v>137.13505514189225</v>
      </c>
      <c r="OD22" s="2">
        <f t="shared" si="64"/>
        <v>135.07802931476385</v>
      </c>
      <c r="OE22" s="2">
        <f t="shared" si="64"/>
        <v>133.0518588750424</v>
      </c>
      <c r="OF22" s="2">
        <f t="shared" si="64"/>
        <v>131.05608099191676</v>
      </c>
      <c r="OG22" s="2">
        <f t="shared" si="64"/>
        <v>129.09023977703799</v>
      </c>
      <c r="OH22" s="2">
        <f t="shared" si="64"/>
        <v>127.15388618038241</v>
      </c>
      <c r="OI22" s="2">
        <f t="shared" si="64"/>
        <v>125.24657788767668</v>
      </c>
      <c r="OJ22" s="2">
        <f t="shared" si="64"/>
        <v>123.36787921936153</v>
      </c>
      <c r="OK22" s="2">
        <f t="shared" si="64"/>
        <v>121.5173610310711</v>
      </c>
      <c r="OL22" s="2">
        <f t="shared" si="64"/>
        <v>119.69460061560504</v>
      </c>
      <c r="OM22" s="2">
        <f t="shared" si="64"/>
        <v>117.89918160637096</v>
      </c>
      <c r="ON22" s="2">
        <f t="shared" si="64"/>
        <v>116.13069388227539</v>
      </c>
      <c r="OO22" s="2">
        <f t="shared" si="64"/>
        <v>114.38873347404126</v>
      </c>
      <c r="OP22" s="2">
        <f t="shared" si="64"/>
        <v>112.67290247193064</v>
      </c>
      <c r="OQ22" s="2">
        <f t="shared" si="64"/>
        <v>110.98280893485168</v>
      </c>
      <c r="OR22" s="2">
        <f t="shared" si="64"/>
        <v>109.3180668008289</v>
      </c>
      <c r="OS22" s="2">
        <f t="shared" si="64"/>
        <v>107.67829579881646</v>
      </c>
      <c r="OT22" s="2">
        <f t="shared" si="64"/>
        <v>106.06312136183422</v>
      </c>
      <c r="OU22" s="2">
        <f t="shared" si="64"/>
        <v>104.4721745414067</v>
      </c>
      <c r="OV22" s="2">
        <f t="shared" si="64"/>
        <v>102.9050919232856</v>
      </c>
      <c r="OW22" s="2">
        <f t="shared" si="64"/>
        <v>101.36151554443632</v>
      </c>
      <c r="OX22" s="2">
        <f t="shared" si="64"/>
        <v>99.841092811269775</v>
      </c>
      <c r="OY22" s="2">
        <f t="shared" si="64"/>
        <v>98.343476419100725</v>
      </c>
      <c r="OZ22" s="2">
        <f t="shared" si="64"/>
        <v>96.868324272814206</v>
      </c>
      <c r="PA22" s="2">
        <f t="shared" si="64"/>
        <v>95.415299408721992</v>
      </c>
      <c r="PB22" s="2">
        <f t="shared" si="64"/>
        <v>93.984069917591157</v>
      </c>
      <c r="PC22" s="2">
        <f t="shared" si="64"/>
        <v>92.574308868827288</v>
      </c>
      <c r="PD22" s="2">
        <f t="shared" si="64"/>
        <v>91.185694235794884</v>
      </c>
      <c r="PE22" s="2">
        <f t="shared" ref="PE22:RP22" si="65">PD22*(1+$AM$26)</f>
        <v>89.817908822257962</v>
      </c>
      <c r="PF22" s="2">
        <f t="shared" si="65"/>
        <v>88.470640189924097</v>
      </c>
      <c r="PG22" s="2">
        <f t="shared" si="65"/>
        <v>87.143580587075235</v>
      </c>
      <c r="PH22" s="2">
        <f t="shared" si="65"/>
        <v>85.836426878269108</v>
      </c>
      <c r="PI22" s="2">
        <f t="shared" si="65"/>
        <v>84.548880475095075</v>
      </c>
      <c r="PJ22" s="2">
        <f t="shared" si="65"/>
        <v>83.280647267968646</v>
      </c>
      <c r="PK22" s="2">
        <f t="shared" si="65"/>
        <v>82.031437558949122</v>
      </c>
      <c r="PL22" s="2">
        <f t="shared" si="65"/>
        <v>80.80096599556488</v>
      </c>
      <c r="PM22" s="2">
        <f t="shared" si="65"/>
        <v>79.5889515056314</v>
      </c>
      <c r="PN22" s="2">
        <f t="shared" si="65"/>
        <v>78.395117233046932</v>
      </c>
      <c r="PO22" s="2">
        <f t="shared" si="65"/>
        <v>77.219190474551226</v>
      </c>
      <c r="PP22" s="2">
        <f t="shared" si="65"/>
        <v>76.060902617432959</v>
      </c>
      <c r="PQ22" s="2">
        <f t="shared" si="65"/>
        <v>74.919989078171469</v>
      </c>
      <c r="PR22" s="2">
        <f t="shared" si="65"/>
        <v>73.796189241998889</v>
      </c>
      <c r="PS22" s="2">
        <f t="shared" si="65"/>
        <v>72.689246403368898</v>
      </c>
      <c r="PT22" s="2">
        <f t="shared" si="65"/>
        <v>71.598907707318361</v>
      </c>
      <c r="PU22" s="2">
        <f t="shared" si="65"/>
        <v>70.524924091708584</v>
      </c>
      <c r="PV22" s="2">
        <f t="shared" si="65"/>
        <v>69.467050230332958</v>
      </c>
      <c r="PW22" s="2">
        <f t="shared" si="65"/>
        <v>68.425044476877957</v>
      </c>
      <c r="PX22" s="2">
        <f t="shared" si="65"/>
        <v>67.398668809724782</v>
      </c>
      <c r="PY22" s="2">
        <f t="shared" si="65"/>
        <v>66.387688777578916</v>
      </c>
      <c r="PZ22" s="2">
        <f t="shared" si="65"/>
        <v>65.391873445915238</v>
      </c>
      <c r="QA22" s="2">
        <f t="shared" si="65"/>
        <v>64.410995344226507</v>
      </c>
      <c r="QB22" s="2">
        <f t="shared" si="65"/>
        <v>63.444830414063105</v>
      </c>
      <c r="QC22" s="2">
        <f t="shared" si="65"/>
        <v>62.493157957852155</v>
      </c>
      <c r="QD22" s="2">
        <f t="shared" si="65"/>
        <v>61.555760588484375</v>
      </c>
      <c r="QE22" s="2">
        <f t="shared" si="65"/>
        <v>60.632424179657107</v>
      </c>
      <c r="QF22" s="2">
        <f t="shared" si="65"/>
        <v>59.722937816962251</v>
      </c>
      <c r="QG22" s="2">
        <f t="shared" si="65"/>
        <v>58.827093749707814</v>
      </c>
      <c r="QH22" s="2">
        <f t="shared" si="65"/>
        <v>57.944687343462199</v>
      </c>
      <c r="QI22" s="2">
        <f t="shared" si="65"/>
        <v>57.075517033310263</v>
      </c>
      <c r="QJ22" s="2">
        <f t="shared" si="65"/>
        <v>56.219384277810605</v>
      </c>
      <c r="QK22" s="2">
        <f t="shared" si="65"/>
        <v>55.376093513643447</v>
      </c>
      <c r="QL22" s="2">
        <f t="shared" si="65"/>
        <v>54.545452110938797</v>
      </c>
      <c r="QM22" s="2">
        <f t="shared" si="65"/>
        <v>53.727270329274717</v>
      </c>
      <c r="QN22" s="2">
        <f t="shared" si="65"/>
        <v>52.921361274335595</v>
      </c>
      <c r="QO22" s="2">
        <f t="shared" si="65"/>
        <v>52.127540855220559</v>
      </c>
      <c r="QP22" s="2">
        <f t="shared" si="65"/>
        <v>51.345627742392253</v>
      </c>
      <c r="QQ22" s="2">
        <f t="shared" si="65"/>
        <v>50.575443326256369</v>
      </c>
      <c r="QR22" s="2">
        <f t="shared" si="65"/>
        <v>49.816811676362526</v>
      </c>
      <c r="QS22" s="2">
        <f t="shared" si="65"/>
        <v>49.069559501217086</v>
      </c>
      <c r="QT22" s="2">
        <f t="shared" si="65"/>
        <v>48.333516108698831</v>
      </c>
      <c r="QU22" s="2">
        <f t="shared" si="65"/>
        <v>47.608513367068348</v>
      </c>
      <c r="QV22" s="2">
        <f t="shared" si="65"/>
        <v>46.894385666562322</v>
      </c>
      <c r="QW22" s="2">
        <f t="shared" si="65"/>
        <v>46.190969881563888</v>
      </c>
      <c r="QX22" s="2">
        <f t="shared" si="65"/>
        <v>45.498105333340426</v>
      </c>
      <c r="QY22" s="2">
        <f t="shared" si="65"/>
        <v>44.815633753340322</v>
      </c>
      <c r="QZ22" s="2">
        <f t="shared" si="65"/>
        <v>44.143399247040215</v>
      </c>
      <c r="RA22" s="2">
        <f t="shared" si="65"/>
        <v>43.48124825833461</v>
      </c>
      <c r="RB22" s="2">
        <f t="shared" si="65"/>
        <v>42.829029534459593</v>
      </c>
      <c r="RC22" s="2">
        <f t="shared" si="65"/>
        <v>42.1865940914427</v>
      </c>
      <c r="RD22" s="2">
        <f t="shared" si="65"/>
        <v>41.553795180071056</v>
      </c>
      <c r="RE22" s="2">
        <f t="shared" si="65"/>
        <v>40.93048825236999</v>
      </c>
      <c r="RF22" s="2">
        <f t="shared" si="65"/>
        <v>40.316530928584442</v>
      </c>
      <c r="RG22" s="2">
        <f t="shared" si="65"/>
        <v>39.711782964655676</v>
      </c>
      <c r="RH22" s="2">
        <f t="shared" si="65"/>
        <v>39.116106220185841</v>
      </c>
      <c r="RI22" s="2">
        <f t="shared" si="65"/>
        <v>38.529364626883051</v>
      </c>
      <c r="RJ22" s="2">
        <f t="shared" si="65"/>
        <v>37.951424157479806</v>
      </c>
      <c r="RK22" s="2">
        <f t="shared" si="65"/>
        <v>37.382152795117612</v>
      </c>
      <c r="RL22" s="2">
        <f t="shared" si="65"/>
        <v>36.821420503190851</v>
      </c>
      <c r="RM22" s="2">
        <f t="shared" si="65"/>
        <v>36.269099195642987</v>
      </c>
      <c r="RN22" s="2">
        <f t="shared" si="65"/>
        <v>35.725062707708339</v>
      </c>
      <c r="RO22" s="2">
        <f t="shared" si="65"/>
        <v>35.189186767092714</v>
      </c>
      <c r="RP22" s="2">
        <f t="shared" si="65"/>
        <v>34.661348965586321</v>
      </c>
      <c r="RQ22" s="2">
        <f t="shared" ref="RQ22:TV22" si="66">RP22*(1+$AM$26)</f>
        <v>34.141428731102522</v>
      </c>
      <c r="RR22" s="2">
        <f t="shared" si="66"/>
        <v>33.629307300135984</v>
      </c>
      <c r="RS22" s="2">
        <f t="shared" si="66"/>
        <v>33.124867690633941</v>
      </c>
      <c r="RT22" s="2">
        <f t="shared" si="66"/>
        <v>32.627994675274429</v>
      </c>
      <c r="RU22" s="2">
        <f t="shared" si="66"/>
        <v>32.138574755145314</v>
      </c>
      <c r="RV22" s="2">
        <f t="shared" si="66"/>
        <v>31.656496133818134</v>
      </c>
      <c r="RW22" s="2">
        <f t="shared" si="66"/>
        <v>31.18164869181086</v>
      </c>
      <c r="RX22" s="2">
        <f t="shared" si="66"/>
        <v>30.713923961433697</v>
      </c>
      <c r="RY22" s="2">
        <f t="shared" si="66"/>
        <v>30.253215102012192</v>
      </c>
      <c r="RZ22" s="2">
        <f t="shared" si="66"/>
        <v>29.799416875482009</v>
      </c>
      <c r="SA22" s="2">
        <f t="shared" si="66"/>
        <v>29.352425622349777</v>
      </c>
      <c r="SB22" s="2">
        <f t="shared" si="66"/>
        <v>28.912139238014529</v>
      </c>
      <c r="SC22" s="2">
        <f t="shared" si="66"/>
        <v>28.47845714944431</v>
      </c>
      <c r="SD22" s="2">
        <f t="shared" si="66"/>
        <v>28.051280292202645</v>
      </c>
      <c r="SE22" s="2">
        <f t="shared" si="66"/>
        <v>27.630511087819606</v>
      </c>
      <c r="SF22" s="2">
        <f t="shared" si="66"/>
        <v>27.216053421502313</v>
      </c>
      <c r="SG22" s="2">
        <f t="shared" si="66"/>
        <v>26.807812620179778</v>
      </c>
      <c r="SH22" s="2">
        <f t="shared" si="66"/>
        <v>26.405695430877081</v>
      </c>
      <c r="SI22" s="2">
        <f t="shared" si="66"/>
        <v>26.009609999413925</v>
      </c>
      <c r="SJ22" s="2">
        <f t="shared" si="66"/>
        <v>25.619465849422717</v>
      </c>
      <c r="SK22" s="2">
        <f t="shared" si="66"/>
        <v>25.235173861681375</v>
      </c>
      <c r="SL22" s="2">
        <f t="shared" si="66"/>
        <v>24.856646253756153</v>
      </c>
      <c r="SM22" s="2">
        <f t="shared" si="66"/>
        <v>24.483796559949809</v>
      </c>
      <c r="SN22" s="2">
        <f t="shared" si="66"/>
        <v>24.116539611550561</v>
      </c>
      <c r="SO22" s="2">
        <f t="shared" si="66"/>
        <v>23.754791517377303</v>
      </c>
      <c r="SP22" s="2">
        <f t="shared" si="66"/>
        <v>23.398469644616643</v>
      </c>
      <c r="SQ22" s="2">
        <f t="shared" si="66"/>
        <v>23.047492599947393</v>
      </c>
      <c r="SR22" s="2">
        <f t="shared" si="66"/>
        <v>22.701780210948183</v>
      </c>
      <c r="SS22" s="2">
        <f t="shared" si="66"/>
        <v>22.36125350778396</v>
      </c>
      <c r="ST22" s="2">
        <f t="shared" si="66"/>
        <v>22.025834705167199</v>
      </c>
      <c r="SU22" s="2">
        <f t="shared" si="66"/>
        <v>21.695447184589689</v>
      </c>
      <c r="SV22" s="2">
        <f t="shared" si="66"/>
        <v>21.370015476820843</v>
      </c>
      <c r="SW22" s="2">
        <f t="shared" si="66"/>
        <v>21.049465244668529</v>
      </c>
      <c r="SX22" s="2">
        <f t="shared" si="66"/>
        <v>20.733723265998499</v>
      </c>
      <c r="SY22" s="2">
        <f t="shared" si="66"/>
        <v>20.422717417008521</v>
      </c>
      <c r="SZ22" s="2">
        <f t="shared" si="66"/>
        <v>20.116376655753392</v>
      </c>
      <c r="TA22" s="2">
        <f t="shared" si="66"/>
        <v>19.814631005917089</v>
      </c>
      <c r="TB22" s="2">
        <f t="shared" si="66"/>
        <v>19.517411540828334</v>
      </c>
      <c r="TC22" s="2">
        <f t="shared" si="66"/>
        <v>19.22465036771591</v>
      </c>
      <c r="TD22" s="2">
        <f t="shared" si="66"/>
        <v>18.936280612200171</v>
      </c>
      <c r="TE22" s="2">
        <f t="shared" si="66"/>
        <v>18.65223640301717</v>
      </c>
      <c r="TF22" s="2">
        <f t="shared" si="66"/>
        <v>18.372452856971911</v>
      </c>
      <c r="TG22" s="2">
        <f t="shared" si="66"/>
        <v>18.096866064117332</v>
      </c>
      <c r="TH22" s="2">
        <f t="shared" si="66"/>
        <v>17.825413073155573</v>
      </c>
      <c r="TI22" s="2">
        <f t="shared" si="66"/>
        <v>17.558031877058241</v>
      </c>
      <c r="TJ22" s="2">
        <f t="shared" si="66"/>
        <v>17.294661398902367</v>
      </c>
      <c r="TK22" s="2">
        <f t="shared" si="66"/>
        <v>17.035241477918831</v>
      </c>
      <c r="TL22" s="2">
        <f t="shared" si="66"/>
        <v>16.779712855750049</v>
      </c>
      <c r="TM22" s="2">
        <f t="shared" si="66"/>
        <v>16.528017162913798</v>
      </c>
      <c r="TN22" s="2">
        <f t="shared" si="66"/>
        <v>16.280096905470092</v>
      </c>
      <c r="TO22" s="2">
        <f t="shared" si="66"/>
        <v>16.035895451888042</v>
      </c>
      <c r="TP22" s="2">
        <f t="shared" si="66"/>
        <v>15.795357020109721</v>
      </c>
      <c r="TQ22" s="2">
        <f t="shared" si="66"/>
        <v>15.558426664808074</v>
      </c>
      <c r="TR22" s="2">
        <f t="shared" si="66"/>
        <v>15.325050264835953</v>
      </c>
      <c r="TS22" s="2">
        <f t="shared" si="66"/>
        <v>15.095174510863414</v>
      </c>
      <c r="TT22" s="2">
        <f t="shared" si="66"/>
        <v>14.868746893200463</v>
      </c>
      <c r="TU22" s="2">
        <f t="shared" si="66"/>
        <v>14.645715689802456</v>
      </c>
      <c r="TV22" s="2">
        <f t="shared" si="66"/>
        <v>14.426029954455419</v>
      </c>
    </row>
    <row r="23" spans="2:542" x14ac:dyDescent="0.3">
      <c r="B23" t="s">
        <v>32</v>
      </c>
      <c r="C23">
        <v>907.5</v>
      </c>
      <c r="D23">
        <v>909.9</v>
      </c>
      <c r="E23">
        <v>912.8</v>
      </c>
      <c r="F23" s="12">
        <v>911.21</v>
      </c>
      <c r="G23" s="12">
        <v>917.2</v>
      </c>
      <c r="H23" s="12">
        <v>920.3</v>
      </c>
      <c r="I23" s="12">
        <v>923.6</v>
      </c>
      <c r="J23" s="12">
        <v>921.76783399999999</v>
      </c>
      <c r="K23" s="12"/>
      <c r="Q23" s="12">
        <v>887.23500000000001</v>
      </c>
      <c r="R23" s="12">
        <v>902.66</v>
      </c>
      <c r="S23" s="12">
        <v>895.99</v>
      </c>
      <c r="T23" s="12">
        <v>902.66</v>
      </c>
      <c r="U23" s="12">
        <v>911.21</v>
      </c>
      <c r="V23" s="12">
        <v>921.76783399999999</v>
      </c>
      <c r="W23" s="14"/>
    </row>
    <row r="24" spans="2:542" x14ac:dyDescent="0.3">
      <c r="B24" s="1" t="s">
        <v>31</v>
      </c>
      <c r="C24" s="3">
        <f t="shared" ref="C24:J24" si="67">C22/C23</f>
        <v>1.0314049586776859</v>
      </c>
      <c r="D24" s="3">
        <f t="shared" si="67"/>
        <v>1.7375535773161885</v>
      </c>
      <c r="E24" s="3">
        <f t="shared" si="67"/>
        <v>1.8766432953549519</v>
      </c>
      <c r="F24" s="11">
        <f t="shared" si="67"/>
        <v>3.6029016362858175</v>
      </c>
      <c r="G24" s="11">
        <f t="shared" si="67"/>
        <v>1.7171827300479721</v>
      </c>
      <c r="H24" s="11">
        <f t="shared" si="67"/>
        <v>1.9884820167336739</v>
      </c>
      <c r="I24" s="11">
        <f t="shared" si="67"/>
        <v>-0.34322217410134254</v>
      </c>
      <c r="J24" s="11">
        <f t="shared" si="67"/>
        <v>3.1765048551260251</v>
      </c>
      <c r="K24" s="3"/>
      <c r="Q24" s="11">
        <f t="shared" ref="Q24:R24" si="68">Q22/Q23</f>
        <v>8.0542359126950576</v>
      </c>
      <c r="R24" s="11">
        <f t="shared" si="68"/>
        <v>4.3560144461923649</v>
      </c>
      <c r="S24" s="11">
        <f>S22/S23</f>
        <v>5.2589872654828733</v>
      </c>
      <c r="T24" s="11">
        <f>T22/T23</f>
        <v>1.9763809186183059</v>
      </c>
      <c r="U24" s="11">
        <f>U22/U23</f>
        <v>8.2450807168490243</v>
      </c>
      <c r="V24" s="11">
        <f>V22/V23</f>
        <v>6.526589210532161</v>
      </c>
      <c r="W24" s="14"/>
    </row>
    <row r="25" spans="2:542" x14ac:dyDescent="0.3">
      <c r="W25" s="14"/>
      <c r="AL25" t="s">
        <v>480</v>
      </c>
      <c r="AM25" s="8">
        <v>0.03</v>
      </c>
    </row>
    <row r="26" spans="2:542" x14ac:dyDescent="0.3">
      <c r="W26" s="15"/>
      <c r="AL26" t="s">
        <v>397</v>
      </c>
      <c r="AM26" s="8">
        <v>-1.4999999999999999E-2</v>
      </c>
    </row>
    <row r="27" spans="2:542" x14ac:dyDescent="0.3">
      <c r="W27" s="14"/>
      <c r="AL27" t="s">
        <v>398</v>
      </c>
      <c r="AM27" s="8">
        <v>7.1249999999999994E-2</v>
      </c>
      <c r="AN27" s="224" t="s">
        <v>406</v>
      </c>
      <c r="AO27" s="224"/>
      <c r="AP27" s="224"/>
      <c r="AQ27" s="224"/>
      <c r="AR27" s="224"/>
      <c r="AS27" s="224"/>
      <c r="AT27" s="224"/>
      <c r="AU27" s="224"/>
      <c r="AV27" s="224"/>
      <c r="AW27" s="224"/>
      <c r="AX27" s="224"/>
      <c r="AY27" s="224"/>
      <c r="AZ27" s="224"/>
    </row>
    <row r="28" spans="2:542" x14ac:dyDescent="0.3">
      <c r="B28" t="s">
        <v>387</v>
      </c>
      <c r="C28" s="7">
        <f t="shared" ref="C28:J28" si="69">C11/C6</f>
        <v>0.52694358686500142</v>
      </c>
      <c r="D28" s="7">
        <f t="shared" si="69"/>
        <v>0.54933764135702745</v>
      </c>
      <c r="E28" s="7">
        <f t="shared" si="69"/>
        <v>0.54379067245119306</v>
      </c>
      <c r="F28" s="7">
        <f t="shared" si="69"/>
        <v>0.59070249122605145</v>
      </c>
      <c r="G28" s="7">
        <f t="shared" si="69"/>
        <v>0.53537099785630315</v>
      </c>
      <c r="H28" s="7">
        <f t="shared" si="69"/>
        <v>0.56756928150168051</v>
      </c>
      <c r="I28" s="7">
        <f t="shared" si="69"/>
        <v>0.56257098951025586</v>
      </c>
      <c r="J28" s="7">
        <f t="shared" si="69"/>
        <v>0.59466848940533146</v>
      </c>
      <c r="Q28" s="7">
        <f t="shared" ref="Q28:T28" si="70">Q11/Q6</f>
        <v>0.54636656617111967</v>
      </c>
      <c r="R28" s="7">
        <f t="shared" si="70"/>
        <v>0.5593613512386959</v>
      </c>
      <c r="S28" s="7">
        <f t="shared" si="70"/>
        <v>0.54899738448125546</v>
      </c>
      <c r="T28" s="7">
        <f t="shared" si="70"/>
        <v>0.54002973732033699</v>
      </c>
      <c r="U28" s="7">
        <f>U11/U6</f>
        <v>0.55447785321694143</v>
      </c>
      <c r="V28" s="49">
        <f>V11/V6</f>
        <v>0.56653865153857186</v>
      </c>
      <c r="W28" s="8">
        <f t="shared" ref="W28:AJ28" si="71">W11/W6</f>
        <v>0.57999999999999996</v>
      </c>
      <c r="X28" s="8">
        <f t="shared" si="71"/>
        <v>0.57999999999999996</v>
      </c>
      <c r="Y28" s="8">
        <f t="shared" si="71"/>
        <v>0.57999999999999996</v>
      </c>
      <c r="Z28" s="8">
        <f t="shared" si="71"/>
        <v>0.57999999999999996</v>
      </c>
      <c r="AA28" s="8">
        <f t="shared" si="71"/>
        <v>0.57999999999999996</v>
      </c>
      <c r="AB28" s="8">
        <f t="shared" si="71"/>
        <v>0.6</v>
      </c>
      <c r="AC28" s="8">
        <f t="shared" si="71"/>
        <v>0.6</v>
      </c>
      <c r="AD28" s="8">
        <f t="shared" si="71"/>
        <v>0.6</v>
      </c>
      <c r="AE28" s="8">
        <f t="shared" si="71"/>
        <v>0.6</v>
      </c>
      <c r="AF28" s="8">
        <f t="shared" si="71"/>
        <v>0.6</v>
      </c>
      <c r="AG28" s="8">
        <f t="shared" si="71"/>
        <v>0.6</v>
      </c>
      <c r="AH28" s="8">
        <f t="shared" si="71"/>
        <v>0.6</v>
      </c>
      <c r="AI28" s="8">
        <f t="shared" si="71"/>
        <v>0.6</v>
      </c>
      <c r="AJ28" s="8">
        <f t="shared" si="71"/>
        <v>0.6</v>
      </c>
      <c r="AL28" t="s">
        <v>92</v>
      </c>
      <c r="AM28" s="10">
        <f>NPV(AM27,W22:TV22)</f>
        <v>279026.06903970602</v>
      </c>
      <c r="AO28" t="s">
        <v>442</v>
      </c>
    </row>
    <row r="29" spans="2:542" x14ac:dyDescent="0.3">
      <c r="B29" t="s">
        <v>390</v>
      </c>
      <c r="C29" s="7">
        <f>C18/C6</f>
        <v>7.0305921975863037E-2</v>
      </c>
      <c r="D29" s="7">
        <f t="shared" ref="D29:V29" si="72">D18/D6</f>
        <v>0.12368336025848142</v>
      </c>
      <c r="E29" s="7">
        <f t="shared" si="72"/>
        <v>0.12737255965292843</v>
      </c>
      <c r="F29" s="7">
        <f t="shared" si="72"/>
        <v>0.21442954950808354</v>
      </c>
      <c r="G29" s="7">
        <f t="shared" si="72"/>
        <v>6.7215268653620083E-2</v>
      </c>
      <c r="H29" s="7">
        <f t="shared" si="72"/>
        <v>0.13773860105269833</v>
      </c>
      <c r="I29" s="7">
        <f t="shared" si="72"/>
        <v>0.10910670140976815</v>
      </c>
      <c r="J29" s="7">
        <f t="shared" si="72"/>
        <v>0.20551378446115287</v>
      </c>
      <c r="K29" s="7"/>
      <c r="L29" s="7"/>
      <c r="M29" s="7"/>
      <c r="N29" s="7"/>
      <c r="O29" s="7"/>
      <c r="P29" s="7"/>
      <c r="Q29" s="7">
        <f t="shared" ref="Q29:T29" si="73">Q18/Q6</f>
        <v>0.11953772048376476</v>
      </c>
      <c r="R29" s="7">
        <f t="shared" si="73"/>
        <v>7.3252505482158073E-2</v>
      </c>
      <c r="S29" s="7">
        <f t="shared" si="73"/>
        <v>0.1090148212728858</v>
      </c>
      <c r="T29" s="7">
        <f t="shared" si="73"/>
        <v>0.12410375020650917</v>
      </c>
      <c r="U29" s="7">
        <f t="shared" si="72"/>
        <v>0.13776268994503718</v>
      </c>
      <c r="V29" s="7">
        <f t="shared" si="72"/>
        <v>0.13361910984335409</v>
      </c>
      <c r="W29" s="69">
        <f t="shared" ref="W29:AJ29" si="74">W18/W6</f>
        <v>0.1595685220075288</v>
      </c>
      <c r="X29" s="8">
        <f t="shared" si="74"/>
        <v>0.17169635310346557</v>
      </c>
      <c r="Y29" s="8">
        <f t="shared" si="74"/>
        <v>0.18347434291778864</v>
      </c>
      <c r="Z29" s="8">
        <f t="shared" si="74"/>
        <v>0.1949125830259294</v>
      </c>
      <c r="AA29" s="8">
        <f t="shared" si="74"/>
        <v>0.20602087390018142</v>
      </c>
      <c r="AB29" s="8">
        <f t="shared" si="74"/>
        <v>0.23680873330690702</v>
      </c>
      <c r="AC29" s="8">
        <f t="shared" si="74"/>
        <v>0.24728540446151551</v>
      </c>
      <c r="AD29" s="8">
        <f t="shared" si="74"/>
        <v>0.25745986394820258</v>
      </c>
      <c r="AE29" s="8">
        <f t="shared" si="74"/>
        <v>0.2673408294112351</v>
      </c>
      <c r="AF29" s="8">
        <f t="shared" si="74"/>
        <v>0.27693676702437264</v>
      </c>
      <c r="AG29" s="8">
        <f t="shared" si="74"/>
        <v>0.28625589874482338</v>
      </c>
      <c r="AH29" s="8">
        <f t="shared" si="74"/>
        <v>0.29530620935795349</v>
      </c>
      <c r="AI29" s="8">
        <f t="shared" si="74"/>
        <v>0.30409545331878174</v>
      </c>
      <c r="AJ29" s="8">
        <f t="shared" si="74"/>
        <v>0.31263116139612462</v>
      </c>
      <c r="AL29" t="s">
        <v>93</v>
      </c>
      <c r="AM29" s="2">
        <f>Main!L7-Main!L8</f>
        <v>-43805</v>
      </c>
      <c r="AO29" t="s">
        <v>5</v>
      </c>
      <c r="AP29" s="2">
        <f>Main!L10</f>
        <v>309928.62</v>
      </c>
    </row>
    <row r="30" spans="2:542" x14ac:dyDescent="0.3">
      <c r="B30" t="s">
        <v>391</v>
      </c>
      <c r="C30" s="7">
        <f>C22/C6</f>
        <v>6.5674992983440927E-2</v>
      </c>
      <c r="D30" s="7">
        <f t="shared" ref="D30:J30" si="75">D22/D6</f>
        <v>0.10216478190630049</v>
      </c>
      <c r="E30" s="7">
        <f t="shared" si="75"/>
        <v>0.11611984815618222</v>
      </c>
      <c r="F30" s="7">
        <f t="shared" si="75"/>
        <v>0.18888441401530406</v>
      </c>
      <c r="G30" s="7">
        <f t="shared" si="75"/>
        <v>0.10891362976281031</v>
      </c>
      <c r="H30" s="7">
        <f t="shared" si="75"/>
        <v>0.11605047878749446</v>
      </c>
      <c r="I30" s="7">
        <f t="shared" si="75"/>
        <v>-2.1179929177523885E-2</v>
      </c>
      <c r="J30" s="7">
        <f t="shared" si="75"/>
        <v>0.16678058783321942</v>
      </c>
      <c r="Q30" s="7">
        <f t="shared" ref="Q30:T30" si="76">Q22/Q6</f>
        <v>0.12381744464081505</v>
      </c>
      <c r="R30" s="7">
        <f t="shared" si="76"/>
        <v>7.1258993457655989E-2</v>
      </c>
      <c r="S30" s="7">
        <f t="shared" si="76"/>
        <v>8.2162162162162156E-2</v>
      </c>
      <c r="T30" s="7">
        <f t="shared" si="76"/>
        <v>2.9472988600693872E-2</v>
      </c>
      <c r="U30" s="7">
        <f t="shared" ref="U30:V30" si="77">U22/U6</f>
        <v>0.12145166505011316</v>
      </c>
      <c r="V30" s="7">
        <f t="shared" si="77"/>
        <v>9.5867926632989653E-2</v>
      </c>
      <c r="W30" s="69">
        <f t="shared" ref="W30:AJ30" si="78">W22/W6</f>
        <v>0.1360894856390561</v>
      </c>
      <c r="X30" s="8">
        <f t="shared" si="78"/>
        <v>0.14735010519547051</v>
      </c>
      <c r="Y30" s="8">
        <f t="shared" si="78"/>
        <v>0.15828788024445273</v>
      </c>
      <c r="Z30" s="8">
        <f t="shared" si="78"/>
        <v>0.16891210455971059</v>
      </c>
      <c r="AA30" s="8">
        <f t="shared" si="78"/>
        <v>0.17923180400848537</v>
      </c>
      <c r="AB30" s="8">
        <f t="shared" si="78"/>
        <v>0.20765574427786218</v>
      </c>
      <c r="AC30" s="8">
        <f t="shared" si="78"/>
        <v>0.21739243837822209</v>
      </c>
      <c r="AD30" s="8">
        <f t="shared" si="78"/>
        <v>0.22685015393026625</v>
      </c>
      <c r="AE30" s="8">
        <f t="shared" si="78"/>
        <v>0.2360369202418531</v>
      </c>
      <c r="AF30" s="8">
        <f t="shared" si="78"/>
        <v>0.24496053518071351</v>
      </c>
      <c r="AG30" s="8">
        <f t="shared" si="78"/>
        <v>0.25362857184892929</v>
      </c>
      <c r="AH30" s="8">
        <f t="shared" si="78"/>
        <v>0.26204838506489653</v>
      </c>
      <c r="AI30" s="8">
        <f t="shared" si="78"/>
        <v>0.27022711765832413</v>
      </c>
      <c r="AJ30" s="8">
        <f t="shared" si="78"/>
        <v>0.2781717065836618</v>
      </c>
      <c r="AL30" t="s">
        <v>399</v>
      </c>
      <c r="AM30" s="10">
        <f>AM28+AM29</f>
        <v>235221.06903970602</v>
      </c>
      <c r="AO30" t="s">
        <v>441</v>
      </c>
      <c r="AP30" s="2">
        <v>10786.123424000005</v>
      </c>
    </row>
    <row r="31" spans="2:542" x14ac:dyDescent="0.3">
      <c r="B31" t="s">
        <v>392</v>
      </c>
      <c r="C31" s="7">
        <f>C21/C20</f>
        <v>0.1169811320754717</v>
      </c>
      <c r="D31" s="7">
        <f t="shared" ref="D31:J31" si="79">D21/D20</f>
        <v>0.20949999999999999</v>
      </c>
      <c r="E31" s="7">
        <f t="shared" si="79"/>
        <v>8.4935897435897439E-2</v>
      </c>
      <c r="F31" s="7">
        <f t="shared" si="79"/>
        <v>0.12616449294649987</v>
      </c>
      <c r="G31" s="7">
        <f t="shared" si="79"/>
        <v>-0.46784715750232991</v>
      </c>
      <c r="H31" s="7">
        <f t="shared" si="79"/>
        <v>0.17530419107706174</v>
      </c>
      <c r="I31" s="7">
        <f t="shared" si="79"/>
        <v>0.60473815461346636</v>
      </c>
      <c r="J31" s="7">
        <f t="shared" si="79"/>
        <v>0.11487303506650544</v>
      </c>
      <c r="Q31" s="7">
        <f t="shared" ref="Q31:T31" si="80">Q21/Q20</f>
        <v>8.3263946711074101E-3</v>
      </c>
      <c r="R31" s="7">
        <f t="shared" si="80"/>
        <v>-0.52877138413685842</v>
      </c>
      <c r="S31" s="7">
        <f t="shared" si="80"/>
        <v>2.564102564102564E-2</v>
      </c>
      <c r="T31" s="7">
        <f t="shared" si="80"/>
        <v>-0.54058721934369602</v>
      </c>
      <c r="U31" s="7">
        <f t="shared" ref="U31:V31" si="81">U21/U20</f>
        <v>0.13534353780642192</v>
      </c>
      <c r="V31" s="7">
        <f t="shared" si="81"/>
        <v>-3.7599172128320112E-2</v>
      </c>
      <c r="W31" s="69">
        <f t="shared" ref="W31:AJ31" si="82">W21/W20</f>
        <v>0.08</v>
      </c>
      <c r="X31" s="8">
        <f t="shared" si="82"/>
        <v>0.08</v>
      </c>
      <c r="Y31" s="8">
        <f t="shared" si="82"/>
        <v>0.08</v>
      </c>
      <c r="Z31" s="8">
        <f t="shared" si="82"/>
        <v>0.08</v>
      </c>
      <c r="AA31" s="8">
        <f t="shared" si="82"/>
        <v>0.08</v>
      </c>
      <c r="AB31" s="8">
        <f t="shared" si="82"/>
        <v>0.08</v>
      </c>
      <c r="AC31" s="8">
        <f t="shared" si="82"/>
        <v>0.08</v>
      </c>
      <c r="AD31" s="8">
        <f t="shared" si="82"/>
        <v>0.08</v>
      </c>
      <c r="AE31" s="8">
        <f t="shared" si="82"/>
        <v>0.08</v>
      </c>
      <c r="AF31" s="8">
        <f t="shared" si="82"/>
        <v>0.08</v>
      </c>
      <c r="AG31" s="8">
        <f t="shared" si="82"/>
        <v>0.08</v>
      </c>
      <c r="AH31" s="8">
        <f t="shared" si="82"/>
        <v>0.08</v>
      </c>
      <c r="AI31" s="8">
        <f t="shared" si="82"/>
        <v>8.0000000000000016E-2</v>
      </c>
      <c r="AJ31" s="8">
        <f t="shared" si="82"/>
        <v>0.08</v>
      </c>
      <c r="AO31" t="s">
        <v>443</v>
      </c>
      <c r="AP31" s="11">
        <f>AP29/AP30</f>
        <v>28.734013863626252</v>
      </c>
    </row>
    <row r="32" spans="2:542" x14ac:dyDescent="0.3">
      <c r="W32" s="14"/>
      <c r="AO32" t="s">
        <v>444</v>
      </c>
      <c r="AP32" s="9">
        <f>AP30/AP29</f>
        <v>3.4801959960974259E-2</v>
      </c>
    </row>
    <row r="33" spans="2:42" x14ac:dyDescent="0.3">
      <c r="B33" t="s">
        <v>396</v>
      </c>
      <c r="G33" s="9">
        <f>G6/C6-1</f>
        <v>1.4664608476003371E-2</v>
      </c>
      <c r="H33" s="9">
        <f>H6/D6-1</f>
        <v>1.8998384491114795E-2</v>
      </c>
      <c r="I33" s="9">
        <f>I6/E6-1</f>
        <v>1.4574295010846061E-2</v>
      </c>
      <c r="J33" s="9">
        <f>J6/F6-1</f>
        <v>1.0068465565847839E-2</v>
      </c>
      <c r="K33" s="225" t="s">
        <v>481</v>
      </c>
      <c r="L33" s="225"/>
      <c r="M33" s="225"/>
      <c r="Q33" s="9"/>
      <c r="R33" s="9">
        <f t="shared" ref="R33:T33" si="83">R6/Q6-1</f>
        <v>-4.3923484769726628E-2</v>
      </c>
      <c r="S33" s="9">
        <f t="shared" si="83"/>
        <v>3.9344678229036312E-2</v>
      </c>
      <c r="T33" s="9">
        <f t="shared" si="83"/>
        <v>5.5448997384481169E-2</v>
      </c>
      <c r="U33" s="9">
        <f>U6/T6-1</f>
        <v>2.197257558235588E-2</v>
      </c>
      <c r="V33" s="9">
        <f>V6/U6-1</f>
        <v>1.4435822825735523E-2</v>
      </c>
      <c r="W33" s="16"/>
      <c r="AL33" t="s">
        <v>400</v>
      </c>
      <c r="AM33" s="11">
        <f>AM30/921.8</f>
        <v>255.17581800792584</v>
      </c>
      <c r="AP33" t="s">
        <v>6</v>
      </c>
    </row>
    <row r="34" spans="2:42" x14ac:dyDescent="0.3">
      <c r="B34" t="s">
        <v>446</v>
      </c>
      <c r="G34" s="9"/>
      <c r="H34" s="9"/>
      <c r="I34" s="9"/>
      <c r="J34" s="9">
        <v>0.02</v>
      </c>
      <c r="K34" s="225"/>
      <c r="L34" s="225"/>
      <c r="M34" s="225"/>
      <c r="Q34" s="9"/>
      <c r="R34" s="9"/>
      <c r="S34" s="9"/>
      <c r="T34" s="9"/>
      <c r="U34" s="9"/>
      <c r="V34" s="9">
        <v>0.03</v>
      </c>
      <c r="W34" s="16"/>
      <c r="AL34" t="s">
        <v>401</v>
      </c>
      <c r="AM34" s="2">
        <f>Main!L4</f>
        <v>287</v>
      </c>
      <c r="AO34" t="s">
        <v>445</v>
      </c>
      <c r="AP34" s="51">
        <v>5.8749999999999997E-2</v>
      </c>
    </row>
    <row r="35" spans="2:42" x14ac:dyDescent="0.3">
      <c r="B35" t="s">
        <v>395</v>
      </c>
      <c r="Q35" s="7"/>
      <c r="R35" s="7">
        <f t="shared" ref="R35:T35" si="84">R15/Q15-1</f>
        <v>9.8109378337962072E-2</v>
      </c>
      <c r="S35" s="7">
        <f t="shared" si="84"/>
        <v>-8.8322552405038612E-2</v>
      </c>
      <c r="T35" s="7">
        <f t="shared" si="84"/>
        <v>-7.2552680714856876E-3</v>
      </c>
      <c r="U35" s="7">
        <f>U15/T15-1</f>
        <v>2.1172550916223276E-2</v>
      </c>
      <c r="V35" s="7">
        <f>V15/U15-1</f>
        <v>3.6046939956848822E-2</v>
      </c>
      <c r="W35" s="14"/>
      <c r="AM35" s="7">
        <f>AM33/AM34-1</f>
        <v>-0.11088565154032803</v>
      </c>
    </row>
    <row r="36" spans="2:42" x14ac:dyDescent="0.3">
      <c r="B36" t="s">
        <v>394</v>
      </c>
      <c r="Q36" s="7"/>
      <c r="R36" s="7">
        <f t="shared" ref="R36:T36" si="85">R16/Q16-1</f>
        <v>5.9560067681895035E-2</v>
      </c>
      <c r="S36" s="7">
        <f t="shared" si="85"/>
        <v>3.6090705844778137E-2</v>
      </c>
      <c r="T36" s="7">
        <f t="shared" si="85"/>
        <v>1.2176325524044351E-2</v>
      </c>
      <c r="U36" s="7">
        <f>U16/T16-1</f>
        <v>3.1673519110705151E-2</v>
      </c>
      <c r="V36" s="7">
        <f>V16/U16-1</f>
        <v>0.10391143911439116</v>
      </c>
      <c r="W36" s="14"/>
    </row>
    <row r="37" spans="2:42" x14ac:dyDescent="0.3">
      <c r="B37" t="s">
        <v>393</v>
      </c>
      <c r="G37" s="9">
        <f>G22/C22-1</f>
        <v>0.68269230769230771</v>
      </c>
      <c r="H37" s="9">
        <f t="shared" ref="H37:J37" si="86">H22/D22-1</f>
        <v>0.1574952561669829</v>
      </c>
      <c r="I37" s="9">
        <f t="shared" si="86"/>
        <v>-1.1850554582603618</v>
      </c>
      <c r="J37" s="9">
        <f t="shared" si="86"/>
        <v>-0.10813280536095038</v>
      </c>
      <c r="Q37" s="9"/>
      <c r="R37" s="9">
        <f t="shared" ref="R37:T37" si="87">R22/Q22-1</f>
        <v>-0.44976210467394351</v>
      </c>
      <c r="S37" s="9">
        <f t="shared" si="87"/>
        <v>0.19837232960325535</v>
      </c>
      <c r="T37" s="9">
        <f t="shared" si="87"/>
        <v>-0.62139219015280134</v>
      </c>
      <c r="U37" s="9">
        <f>U22/T22-1</f>
        <v>3.2113228699551568</v>
      </c>
      <c r="V37" s="9">
        <f>V22/U22-1</f>
        <v>-0.19925462531611871</v>
      </c>
      <c r="W37" s="14"/>
    </row>
    <row r="38" spans="2:42" x14ac:dyDescent="0.3">
      <c r="V38" s="67"/>
    </row>
    <row r="39" spans="2:42" x14ac:dyDescent="0.3">
      <c r="V39" s="67"/>
    </row>
    <row r="40" spans="2:42" x14ac:dyDescent="0.3">
      <c r="V40" s="67"/>
    </row>
    <row r="41" spans="2:42" x14ac:dyDescent="0.3">
      <c r="V41" s="67"/>
      <c r="W41" s="2"/>
      <c r="X41" s="2"/>
      <c r="Y41" s="2"/>
      <c r="Z41" s="2"/>
      <c r="AA41" s="2"/>
      <c r="AB41" s="2"/>
      <c r="AC41" s="2"/>
      <c r="AD41" s="2"/>
      <c r="AE41" s="2"/>
      <c r="AF41" s="2"/>
      <c r="AG41" s="2"/>
      <c r="AH41" s="2"/>
      <c r="AI41" s="2"/>
      <c r="AJ41" s="2"/>
    </row>
    <row r="42" spans="2:42" x14ac:dyDescent="0.3">
      <c r="B42" t="s">
        <v>444</v>
      </c>
      <c r="V42" s="67"/>
      <c r="W42" s="8">
        <f>-W19/W43</f>
        <v>2.4126696469360644E-2</v>
      </c>
      <c r="X42" s="8">
        <f t="shared" ref="X42:AC42" si="88">-X19/X43</f>
        <v>3.6410679383030407E-2</v>
      </c>
      <c r="Y42" s="8">
        <f t="shared" si="88"/>
        <v>7.8083891983329559E-2</v>
      </c>
      <c r="Z42" s="8">
        <f t="shared" si="88"/>
        <v>-0.4003570699429892</v>
      </c>
      <c r="AA42" s="8">
        <f t="shared" si="88"/>
        <v>-5.4281211568292409E-2</v>
      </c>
      <c r="AB42" s="8">
        <f t="shared" si="88"/>
        <v>-2.7322013457232338E-2</v>
      </c>
      <c r="AC42" s="8">
        <f t="shared" si="88"/>
        <v>-1.807771545716795E-2</v>
      </c>
      <c r="AD42" s="8">
        <f>-AD19/AD43</f>
        <v>-1.341402491195012E-2</v>
      </c>
      <c r="AE42" s="8">
        <f t="shared" ref="AE42:AJ42" si="89">-AE19/AE43</f>
        <v>-1.0607215746726508E-2</v>
      </c>
      <c r="AF42" s="8">
        <f t="shared" si="89"/>
        <v>-8.7354551856561394E-3</v>
      </c>
      <c r="AG42" s="8">
        <f t="shared" si="89"/>
        <v>-7.4002357870483386E-3</v>
      </c>
      <c r="AH42" s="8">
        <f t="shared" si="89"/>
        <v>-6.4011852238695342E-3</v>
      </c>
      <c r="AI42" s="8">
        <f t="shared" si="89"/>
        <v>-5.626554266861295E-3</v>
      </c>
      <c r="AJ42" s="8">
        <f t="shared" si="89"/>
        <v>-5.00910787065532E-3</v>
      </c>
    </row>
    <row r="43" spans="2:42" x14ac:dyDescent="0.3">
      <c r="B43" t="s">
        <v>93</v>
      </c>
      <c r="J43" s="2">
        <f>J44-J61</f>
        <v>-40382</v>
      </c>
      <c r="U43">
        <f>13068+373-6426-50121</f>
        <v>-43106</v>
      </c>
      <c r="V43" s="68">
        <v>-40382</v>
      </c>
      <c r="W43" s="2">
        <f>W22+V43</f>
        <v>-31500.375568000003</v>
      </c>
      <c r="X43" s="2">
        <f>X22+W43</f>
        <v>-21499.186866720003</v>
      </c>
      <c r="Y43" s="2">
        <f t="shared" ref="Y43:AJ43" si="90">Y22+X43</f>
        <v>-10325.868492468804</v>
      </c>
      <c r="Z43" s="2">
        <f t="shared" si="90"/>
        <v>2074.3295981216452</v>
      </c>
      <c r="AA43" s="2">
        <f t="shared" si="90"/>
        <v>15758.430419774602</v>
      </c>
      <c r="AB43" s="2">
        <f t="shared" si="90"/>
        <v>32246.829021115947</v>
      </c>
      <c r="AC43" s="2">
        <f t="shared" si="90"/>
        <v>50198.806785744469</v>
      </c>
      <c r="AD43" s="2">
        <f t="shared" si="90"/>
        <v>69681.109425270552</v>
      </c>
      <c r="AE43" s="2">
        <f t="shared" si="90"/>
        <v>90763.239368606344</v>
      </c>
      <c r="AF43" s="2">
        <f t="shared" si="90"/>
        <v>113517.56704544788</v>
      </c>
      <c r="AG43" s="2">
        <f t="shared" si="90"/>
        <v>138019.44663562128</v>
      </c>
      <c r="AH43" s="2">
        <f t="shared" si="90"/>
        <v>164347.33646320444</v>
      </c>
      <c r="AI43" s="2">
        <f t="shared" si="90"/>
        <v>192582.92422149825</v>
      </c>
      <c r="AJ43" s="2">
        <f t="shared" si="90"/>
        <v>222811.2572223717</v>
      </c>
    </row>
    <row r="44" spans="2:42" x14ac:dyDescent="0.3">
      <c r="B44" t="s">
        <v>3</v>
      </c>
      <c r="C44" s="2"/>
      <c r="D44" s="2"/>
      <c r="E44" s="2"/>
      <c r="F44" s="2"/>
      <c r="G44" s="2"/>
      <c r="H44" s="2"/>
      <c r="I44" s="2"/>
      <c r="J44" s="2">
        <f>13947+644</f>
        <v>14591</v>
      </c>
      <c r="V44" s="67"/>
    </row>
    <row r="45" spans="2:42" x14ac:dyDescent="0.3">
      <c r="B45" t="s">
        <v>461</v>
      </c>
      <c r="C45" s="2"/>
      <c r="D45" s="2"/>
      <c r="E45" s="2"/>
      <c r="F45" s="2"/>
      <c r="G45" s="2"/>
      <c r="H45" s="2"/>
      <c r="I45" s="2"/>
      <c r="J45" s="2">
        <v>214</v>
      </c>
      <c r="V45" s="67"/>
    </row>
    <row r="46" spans="2:42" x14ac:dyDescent="0.3">
      <c r="B46" t="s">
        <v>38</v>
      </c>
      <c r="C46" s="2"/>
      <c r="D46" s="2"/>
      <c r="E46" s="2"/>
      <c r="F46" s="2"/>
      <c r="G46" s="2"/>
      <c r="H46" s="2"/>
      <c r="I46" s="2"/>
      <c r="J46" s="2">
        <v>6804</v>
      </c>
      <c r="V46" s="67"/>
    </row>
    <row r="47" spans="2:42" x14ac:dyDescent="0.3">
      <c r="B47" t="s">
        <v>463</v>
      </c>
      <c r="C47" s="2"/>
      <c r="D47" s="2"/>
      <c r="E47" s="2"/>
      <c r="F47" s="2"/>
      <c r="G47" s="2"/>
      <c r="H47" s="2"/>
      <c r="I47" s="2"/>
      <c r="J47" s="2">
        <v>6259</v>
      </c>
      <c r="V47" s="67"/>
    </row>
    <row r="48" spans="2:42" x14ac:dyDescent="0.3">
      <c r="B48" t="s">
        <v>462</v>
      </c>
      <c r="C48" s="2"/>
      <c r="D48" s="2"/>
      <c r="E48" s="2"/>
      <c r="F48" s="2"/>
      <c r="G48" s="2"/>
      <c r="H48" s="2"/>
      <c r="I48" s="2"/>
      <c r="J48" s="2">
        <v>900</v>
      </c>
      <c r="V48" s="67"/>
    </row>
    <row r="49" spans="2:22" x14ac:dyDescent="0.3">
      <c r="B49" t="s">
        <v>464</v>
      </c>
      <c r="C49" s="2"/>
      <c r="D49" s="2"/>
      <c r="E49" s="2"/>
      <c r="F49" s="2"/>
      <c r="G49" s="2"/>
      <c r="H49" s="2"/>
      <c r="I49" s="2"/>
      <c r="J49" s="2">
        <v>947</v>
      </c>
      <c r="V49" s="67"/>
    </row>
    <row r="50" spans="2:22" x14ac:dyDescent="0.3">
      <c r="B50" t="s">
        <v>465</v>
      </c>
      <c r="C50" s="2"/>
      <c r="D50" s="2"/>
      <c r="E50" s="2"/>
      <c r="F50" s="2"/>
      <c r="G50" s="2"/>
      <c r="H50" s="2"/>
      <c r="I50" s="2"/>
      <c r="J50" s="2">
        <v>1289</v>
      </c>
      <c r="V50" s="67"/>
    </row>
    <row r="51" spans="2:22" x14ac:dyDescent="0.3">
      <c r="B51" t="s">
        <v>41</v>
      </c>
      <c r="C51" s="2"/>
      <c r="D51" s="2"/>
      <c r="E51" s="2"/>
      <c r="F51" s="2"/>
      <c r="G51" s="2"/>
      <c r="H51" s="2"/>
      <c r="I51" s="2"/>
      <c r="J51" s="2">
        <v>2520</v>
      </c>
      <c r="V51" s="67"/>
    </row>
    <row r="52" spans="2:22" x14ac:dyDescent="0.3">
      <c r="B52" t="s">
        <v>64</v>
      </c>
      <c r="C52" s="2"/>
      <c r="D52" s="2"/>
      <c r="E52" s="2"/>
      <c r="F52" s="2"/>
      <c r="G52" s="2"/>
      <c r="H52" s="2"/>
      <c r="I52" s="2"/>
      <c r="J52" s="2">
        <v>17691</v>
      </c>
      <c r="V52" s="67"/>
    </row>
    <row r="53" spans="2:22" x14ac:dyDescent="0.3">
      <c r="B53" t="s">
        <v>466</v>
      </c>
      <c r="C53" s="2"/>
      <c r="D53" s="2"/>
      <c r="E53" s="2"/>
      <c r="F53" s="2"/>
      <c r="G53" s="2"/>
      <c r="H53" s="2"/>
      <c r="I53" s="2"/>
      <c r="J53" s="2">
        <v>-11959</v>
      </c>
      <c r="V53" s="67"/>
    </row>
    <row r="54" spans="2:22" x14ac:dyDescent="0.3">
      <c r="B54" t="s">
        <v>467</v>
      </c>
      <c r="C54" s="2"/>
      <c r="D54" s="2"/>
      <c r="E54" s="2"/>
      <c r="F54" s="2"/>
      <c r="G54" s="2"/>
      <c r="H54" s="2"/>
      <c r="I54" s="2"/>
      <c r="J54" s="2">
        <v>5353</v>
      </c>
      <c r="V54" s="67"/>
    </row>
    <row r="55" spans="2:22" x14ac:dyDescent="0.3">
      <c r="B55" t="s">
        <v>468</v>
      </c>
      <c r="C55" s="2"/>
      <c r="D55" s="2"/>
      <c r="E55" s="2"/>
      <c r="F55" s="2"/>
      <c r="G55" s="2"/>
      <c r="H55" s="2"/>
      <c r="I55" s="2"/>
      <c r="J55" s="2">
        <v>7492</v>
      </c>
      <c r="V55" s="67"/>
    </row>
    <row r="56" spans="2:22" x14ac:dyDescent="0.3">
      <c r="B56" t="s">
        <v>470</v>
      </c>
      <c r="C56" s="2"/>
      <c r="D56" s="2"/>
      <c r="E56" s="2"/>
      <c r="F56" s="2"/>
      <c r="G56" s="2"/>
      <c r="H56" s="2"/>
      <c r="I56" s="2"/>
      <c r="J56" s="2">
        <f>959+788+6978</f>
        <v>8725</v>
      </c>
      <c r="V56" s="67"/>
    </row>
    <row r="57" spans="2:22" x14ac:dyDescent="0.3">
      <c r="B57" t="s">
        <v>469</v>
      </c>
      <c r="C57" s="2"/>
      <c r="D57" s="2"/>
      <c r="E57" s="2"/>
      <c r="F57" s="2"/>
      <c r="G57" s="2"/>
      <c r="H57" s="2"/>
      <c r="I57" s="2"/>
      <c r="J57" s="2">
        <f>60706+10660+3197</f>
        <v>74563</v>
      </c>
      <c r="V57" s="67"/>
    </row>
    <row r="58" spans="2:22" x14ac:dyDescent="0.3">
      <c r="B58" t="s">
        <v>43</v>
      </c>
      <c r="C58" s="2"/>
      <c r="D58" s="2"/>
      <c r="E58" s="2"/>
      <c r="F58" s="2"/>
      <c r="G58" s="2"/>
      <c r="H58" s="2"/>
      <c r="I58" s="2"/>
      <c r="J58" s="2">
        <v>1787</v>
      </c>
      <c r="V58" s="67"/>
    </row>
    <row r="59" spans="2:22" x14ac:dyDescent="0.3">
      <c r="B59" s="1" t="s">
        <v>471</v>
      </c>
      <c r="C59" s="5"/>
      <c r="D59" s="5"/>
      <c r="E59" s="5"/>
      <c r="F59" s="5"/>
      <c r="G59" s="5"/>
      <c r="H59" s="5"/>
      <c r="I59" s="5"/>
      <c r="J59" s="5">
        <f>SUM(J44:J58)</f>
        <v>137176</v>
      </c>
      <c r="V59" s="67"/>
    </row>
    <row r="60" spans="2:22" x14ac:dyDescent="0.3">
      <c r="B60" t="s">
        <v>27</v>
      </c>
      <c r="C60" s="2"/>
      <c r="D60" s="2"/>
      <c r="E60" s="2"/>
      <c r="F60" s="2"/>
      <c r="G60" s="2"/>
      <c r="H60" s="2"/>
      <c r="I60" s="2"/>
      <c r="J60" s="2">
        <v>2033</v>
      </c>
      <c r="V60" s="67"/>
    </row>
    <row r="61" spans="2:22" x14ac:dyDescent="0.3">
      <c r="B61" t="s">
        <v>4</v>
      </c>
      <c r="C61" s="2"/>
      <c r="D61" s="2"/>
      <c r="E61" s="2"/>
      <c r="F61" s="2"/>
      <c r="G61" s="2"/>
      <c r="H61" s="2"/>
      <c r="I61" s="2"/>
      <c r="J61" s="2">
        <f>5089+49884</f>
        <v>54973</v>
      </c>
      <c r="V61" s="67"/>
    </row>
    <row r="62" spans="2:22" x14ac:dyDescent="0.3">
      <c r="B62" t="s">
        <v>45</v>
      </c>
      <c r="C62" s="2"/>
      <c r="D62" s="2"/>
      <c r="E62" s="2"/>
      <c r="F62" s="2"/>
      <c r="G62" s="2"/>
      <c r="H62" s="2"/>
      <c r="I62" s="2"/>
      <c r="J62" s="2">
        <v>4032</v>
      </c>
      <c r="V62" s="67"/>
    </row>
    <row r="63" spans="2:22" x14ac:dyDescent="0.3">
      <c r="B63" t="s">
        <v>472</v>
      </c>
      <c r="C63" s="2"/>
      <c r="D63" s="2"/>
      <c r="E63" s="2"/>
      <c r="F63" s="2"/>
      <c r="G63" s="2"/>
      <c r="H63" s="2"/>
      <c r="I63" s="2"/>
      <c r="J63" s="2">
        <f>3605+9432</f>
        <v>13037</v>
      </c>
      <c r="V63" s="67"/>
    </row>
    <row r="64" spans="2:22" x14ac:dyDescent="0.3">
      <c r="B64" t="s">
        <v>473</v>
      </c>
      <c r="C64" s="2"/>
      <c r="D64" s="2"/>
      <c r="E64" s="2"/>
      <c r="F64" s="2"/>
      <c r="G64" s="2"/>
      <c r="H64" s="2"/>
      <c r="I64" s="2"/>
      <c r="J64" s="2">
        <f>13907+3622</f>
        <v>17529</v>
      </c>
      <c r="V64" s="67"/>
    </row>
    <row r="65" spans="2:22" x14ac:dyDescent="0.3">
      <c r="B65" t="s">
        <v>474</v>
      </c>
      <c r="C65" s="2"/>
      <c r="D65" s="2"/>
      <c r="E65" s="2"/>
      <c r="F65" s="2"/>
      <c r="G65" s="2"/>
      <c r="H65" s="2"/>
      <c r="I65" s="2"/>
      <c r="J65" s="2">
        <f>768+2655</f>
        <v>3423</v>
      </c>
      <c r="V65" s="67"/>
    </row>
    <row r="66" spans="2:22" x14ac:dyDescent="0.3">
      <c r="B66" t="s">
        <v>46</v>
      </c>
      <c r="C66" s="2"/>
      <c r="D66" s="2"/>
      <c r="E66" s="2"/>
      <c r="F66" s="2"/>
      <c r="G66" s="2"/>
      <c r="H66" s="2"/>
      <c r="I66" s="2"/>
      <c r="J66" s="2">
        <v>3709</v>
      </c>
      <c r="V66" s="67"/>
    </row>
    <row r="67" spans="2:22" x14ac:dyDescent="0.3">
      <c r="B67" t="s">
        <v>475</v>
      </c>
      <c r="C67" s="2"/>
      <c r="D67" s="2"/>
      <c r="E67" s="2"/>
      <c r="F67" s="2"/>
      <c r="G67" s="2"/>
      <c r="H67" s="2"/>
      <c r="I67" s="2"/>
      <c r="J67" s="2">
        <v>11048</v>
      </c>
      <c r="V67" s="67"/>
    </row>
    <row r="68" spans="2:22" x14ac:dyDescent="0.3">
      <c r="B68" s="1" t="s">
        <v>476</v>
      </c>
      <c r="C68" s="5"/>
      <c r="D68" s="5"/>
      <c r="E68" s="5"/>
      <c r="F68" s="5"/>
      <c r="G68" s="5"/>
      <c r="H68" s="5"/>
      <c r="I68" s="5"/>
      <c r="J68" s="5">
        <f>SUM(J60:J67)</f>
        <v>109784</v>
      </c>
      <c r="V68" s="67"/>
    </row>
    <row r="69" spans="2:22" x14ac:dyDescent="0.3">
      <c r="B69" t="s">
        <v>477</v>
      </c>
      <c r="C69" s="2"/>
      <c r="D69" s="2"/>
      <c r="E69" s="2"/>
      <c r="F69" s="2"/>
      <c r="G69" s="2"/>
      <c r="H69" s="2"/>
      <c r="I69" s="2"/>
      <c r="J69" s="2">
        <v>27393</v>
      </c>
      <c r="V69" s="67"/>
    </row>
    <row r="70" spans="2:22" x14ac:dyDescent="0.3">
      <c r="B70" s="1" t="s">
        <v>478</v>
      </c>
      <c r="C70" s="5"/>
      <c r="D70" s="5"/>
      <c r="E70" s="5"/>
      <c r="F70" s="5"/>
      <c r="G70" s="5"/>
      <c r="H70" s="5"/>
      <c r="I70" s="5"/>
      <c r="J70" s="5">
        <f>J69+J68</f>
        <v>137177</v>
      </c>
      <c r="V70" s="67"/>
    </row>
    <row r="71" spans="2:22" x14ac:dyDescent="0.3">
      <c r="V71" s="67"/>
    </row>
    <row r="74" spans="2:22" x14ac:dyDescent="0.3">
      <c r="B74" t="s">
        <v>453</v>
      </c>
    </row>
    <row r="75" spans="2:22" x14ac:dyDescent="0.3">
      <c r="B75" s="86" t="s">
        <v>409</v>
      </c>
      <c r="C75" s="38">
        <v>5591</v>
      </c>
      <c r="D75" s="38">
        <v>6294</v>
      </c>
      <c r="E75" s="38">
        <v>5947</v>
      </c>
      <c r="F75" s="38">
        <v>7179</v>
      </c>
      <c r="G75" s="38">
        <v>5899</v>
      </c>
      <c r="H75" s="38">
        <v>6739</v>
      </c>
      <c r="I75" s="38">
        <v>6524</v>
      </c>
      <c r="J75" s="38">
        <v>7924</v>
      </c>
    </row>
    <row r="76" spans="2:22" x14ac:dyDescent="0.3">
      <c r="B76" s="53" t="s">
        <v>412</v>
      </c>
      <c r="C76" s="2">
        <v>5197</v>
      </c>
      <c r="D76" s="2">
        <v>5226</v>
      </c>
      <c r="E76" s="2">
        <v>5178</v>
      </c>
      <c r="F76" s="2">
        <v>5283</v>
      </c>
      <c r="G76" s="2">
        <v>5186</v>
      </c>
      <c r="H76" s="2">
        <v>5179</v>
      </c>
      <c r="I76" s="2">
        <v>5152</v>
      </c>
      <c r="J76" s="2">
        <v>5175</v>
      </c>
    </row>
    <row r="77" spans="2:22" x14ac:dyDescent="0.3">
      <c r="B77" s="53" t="s">
        <v>416</v>
      </c>
      <c r="C77" s="2">
        <v>3098</v>
      </c>
      <c r="D77" s="2">
        <v>3618</v>
      </c>
      <c r="E77" s="2">
        <v>3272</v>
      </c>
      <c r="F77" s="2">
        <v>4604</v>
      </c>
      <c r="G77" s="2">
        <v>3076</v>
      </c>
      <c r="H77" s="2">
        <v>3645</v>
      </c>
      <c r="I77" s="2">
        <v>3042</v>
      </c>
      <c r="J77" s="2">
        <v>4256</v>
      </c>
    </row>
    <row r="78" spans="2:22" x14ac:dyDescent="0.3">
      <c r="B78" s="53" t="s">
        <v>380</v>
      </c>
      <c r="C78" s="2">
        <v>196</v>
      </c>
      <c r="D78" s="2">
        <v>185</v>
      </c>
      <c r="E78" s="2">
        <v>186</v>
      </c>
      <c r="F78" s="2">
        <v>175</v>
      </c>
      <c r="G78" s="2">
        <v>193</v>
      </c>
      <c r="H78" s="2">
        <v>169</v>
      </c>
      <c r="I78" s="2">
        <v>181</v>
      </c>
      <c r="J78" s="2">
        <v>170</v>
      </c>
    </row>
    <row r="79" spans="2:22" x14ac:dyDescent="0.3">
      <c r="B79" s="53" t="s">
        <v>421</v>
      </c>
      <c r="C79" s="2">
        <v>169</v>
      </c>
      <c r="D79" s="2">
        <v>152</v>
      </c>
      <c r="E79" s="2">
        <v>170</v>
      </c>
      <c r="F79" s="2">
        <v>141</v>
      </c>
      <c r="G79" s="2">
        <v>108</v>
      </c>
      <c r="H79" s="2">
        <v>38</v>
      </c>
      <c r="I79" s="2">
        <v>68</v>
      </c>
      <c r="J79" s="2">
        <v>29</v>
      </c>
    </row>
    <row r="80" spans="2:22" x14ac:dyDescent="0.3">
      <c r="B80" t="s">
        <v>369</v>
      </c>
      <c r="C80" s="2">
        <f t="shared" ref="C80:J80" si="91">SUM(C75:C79)</f>
        <v>14251</v>
      </c>
      <c r="D80" s="2">
        <f t="shared" si="91"/>
        <v>15475</v>
      </c>
      <c r="E80" s="2">
        <f t="shared" si="91"/>
        <v>14753</v>
      </c>
      <c r="F80" s="2">
        <f t="shared" si="91"/>
        <v>17382</v>
      </c>
      <c r="G80" s="2">
        <f t="shared" si="91"/>
        <v>14462</v>
      </c>
      <c r="H80" s="2">
        <f t="shared" si="91"/>
        <v>15770</v>
      </c>
      <c r="I80" s="2">
        <f t="shared" si="91"/>
        <v>14967</v>
      </c>
      <c r="J80" s="2">
        <f t="shared" si="91"/>
        <v>17554</v>
      </c>
    </row>
    <row r="81" spans="2:10" x14ac:dyDescent="0.3">
      <c r="B81" t="s">
        <v>60</v>
      </c>
      <c r="C81" s="2">
        <v>7509</v>
      </c>
      <c r="D81" s="2">
        <v>8501</v>
      </c>
      <c r="E81" s="2">
        <v>8023</v>
      </c>
      <c r="F81" s="2">
        <v>10267</v>
      </c>
      <c r="G81" s="2">
        <v>7742</v>
      </c>
      <c r="H81" s="2">
        <v>8950</v>
      </c>
      <c r="I81" s="2">
        <v>8420</v>
      </c>
      <c r="J81" s="2">
        <v>10439</v>
      </c>
    </row>
    <row r="82" spans="2:10" x14ac:dyDescent="0.3">
      <c r="C82" s="2"/>
      <c r="D82" s="2"/>
      <c r="E82" s="2"/>
      <c r="F82" s="2"/>
      <c r="G82" s="2"/>
      <c r="H82" s="2"/>
      <c r="I82" s="2"/>
      <c r="J82" s="2"/>
    </row>
    <row r="83" spans="2:10" x14ac:dyDescent="0.3">
      <c r="B83" s="64" t="s">
        <v>455</v>
      </c>
      <c r="C83" s="64"/>
      <c r="D83" s="64"/>
      <c r="E83" s="64"/>
      <c r="F83" s="64"/>
      <c r="G83" s="64"/>
      <c r="H83" s="64"/>
      <c r="I83" s="64"/>
      <c r="J83" s="64"/>
    </row>
    <row r="84" spans="2:10" x14ac:dyDescent="0.3">
      <c r="B84" s="53" t="s">
        <v>409</v>
      </c>
      <c r="C84" s="8">
        <v>0.82599999999999996</v>
      </c>
      <c r="D84" s="8">
        <v>0.82099999999999995</v>
      </c>
      <c r="E84" s="8">
        <v>0.82299999999999995</v>
      </c>
      <c r="F84" s="8">
        <v>0.84099999999999997</v>
      </c>
      <c r="G84" s="8">
        <v>0.82399999999999995</v>
      </c>
      <c r="H84" s="8">
        <v>0.83599999999999997</v>
      </c>
      <c r="I84" s="8">
        <v>0.83199999999999996</v>
      </c>
      <c r="J84" s="8">
        <v>0.85</v>
      </c>
    </row>
    <row r="85" spans="2:10" x14ac:dyDescent="0.3">
      <c r="B85" s="53" t="s">
        <v>412</v>
      </c>
      <c r="C85" s="8">
        <v>0.255</v>
      </c>
      <c r="D85" s="8">
        <v>0.25900000000000001</v>
      </c>
      <c r="E85" s="8">
        <v>0.27600000000000002</v>
      </c>
      <c r="F85" s="8">
        <v>0.28100000000000003</v>
      </c>
      <c r="G85" s="8">
        <v>0.253</v>
      </c>
      <c r="H85" s="8">
        <v>0.26300000000000001</v>
      </c>
      <c r="I85" s="8">
        <v>0.28399999999999997</v>
      </c>
      <c r="J85" s="8">
        <v>0.28000000000000003</v>
      </c>
    </row>
    <row r="86" spans="2:10" x14ac:dyDescent="0.3">
      <c r="B86" s="53" t="s">
        <v>416</v>
      </c>
      <c r="C86" s="8">
        <v>0.51800000000000002</v>
      </c>
      <c r="D86" s="8">
        <v>0.56000000000000005</v>
      </c>
      <c r="E86" s="8">
        <v>0.53700000000000003</v>
      </c>
      <c r="F86" s="8">
        <v>0.60799999999999998</v>
      </c>
      <c r="G86" s="8">
        <v>0.54200000000000004</v>
      </c>
      <c r="H86" s="8">
        <v>0.56499999999999995</v>
      </c>
      <c r="I86" s="8">
        <v>0.55000000000000004</v>
      </c>
      <c r="J86" s="8">
        <v>0.56899999999999995</v>
      </c>
    </row>
    <row r="87" spans="2:10" x14ac:dyDescent="0.3">
      <c r="B87" s="53" t="s">
        <v>380</v>
      </c>
      <c r="C87" s="8">
        <v>0.439</v>
      </c>
      <c r="D87" s="8">
        <v>0.49199999999999999</v>
      </c>
      <c r="E87" s="8">
        <v>0.497</v>
      </c>
      <c r="F87" s="8">
        <v>0.502</v>
      </c>
      <c r="G87" s="8">
        <v>0.48499999999999999</v>
      </c>
      <c r="H87" s="8">
        <v>0.48899999999999999</v>
      </c>
      <c r="I87" s="8">
        <v>0.47199999999999998</v>
      </c>
      <c r="J87" s="8">
        <v>0.46899999999999997</v>
      </c>
    </row>
    <row r="88" spans="2:10" x14ac:dyDescent="0.3">
      <c r="B88" t="s">
        <v>456</v>
      </c>
      <c r="C88" s="8">
        <v>0.52700000000000002</v>
      </c>
      <c r="D88" s="8">
        <v>0.54900000000000004</v>
      </c>
      <c r="E88" s="8">
        <v>0.54400000000000004</v>
      </c>
      <c r="F88" s="8">
        <v>0.59099999999999997</v>
      </c>
      <c r="G88" s="8">
        <v>0.53500000000000003</v>
      </c>
      <c r="H88" s="8">
        <v>0.46800000000000003</v>
      </c>
      <c r="I88" s="8">
        <v>0.56299999999999994</v>
      </c>
      <c r="J88" s="8">
        <v>0.59499999999999997</v>
      </c>
    </row>
    <row r="89" spans="2:10" x14ac:dyDescent="0.3">
      <c r="G89" s="9"/>
      <c r="H89" s="9"/>
      <c r="I89" s="9"/>
      <c r="J89" s="9"/>
    </row>
    <row r="90" spans="2:10" x14ac:dyDescent="0.3">
      <c r="B90" s="64" t="s">
        <v>457</v>
      </c>
      <c r="C90" s="65"/>
      <c r="D90" s="65"/>
      <c r="E90" s="65"/>
      <c r="F90" s="65"/>
      <c r="G90" s="65"/>
      <c r="H90" s="65"/>
      <c r="I90" s="65"/>
      <c r="J90" s="65"/>
    </row>
    <row r="91" spans="2:10" x14ac:dyDescent="0.3">
      <c r="B91" s="53" t="s">
        <v>409</v>
      </c>
      <c r="C91" s="2">
        <v>1379</v>
      </c>
      <c r="D91" s="2">
        <v>1749</v>
      </c>
      <c r="E91" s="2">
        <v>1722</v>
      </c>
      <c r="F91" s="2">
        <v>2649</v>
      </c>
      <c r="G91" s="2">
        <v>1500</v>
      </c>
      <c r="H91" s="2">
        <v>2113</v>
      </c>
      <c r="I91" s="2">
        <v>1969</v>
      </c>
      <c r="J91" s="2">
        <v>3102</v>
      </c>
    </row>
    <row r="92" spans="2:10" x14ac:dyDescent="0.3">
      <c r="B92" s="53" t="s">
        <v>412</v>
      </c>
      <c r="C92" s="2">
        <v>427</v>
      </c>
      <c r="D92" s="2">
        <v>483</v>
      </c>
      <c r="E92" s="2">
        <v>566</v>
      </c>
      <c r="F92" s="2">
        <v>654</v>
      </c>
      <c r="G92" s="2">
        <v>424</v>
      </c>
      <c r="H92" s="2">
        <v>463</v>
      </c>
      <c r="I92" s="2">
        <v>559</v>
      </c>
      <c r="J92" s="2">
        <v>606</v>
      </c>
    </row>
    <row r="93" spans="2:10" x14ac:dyDescent="0.3">
      <c r="B93" s="53" t="s">
        <v>416</v>
      </c>
      <c r="C93" s="2">
        <v>307</v>
      </c>
      <c r="D93" s="2">
        <v>732</v>
      </c>
      <c r="E93" s="2">
        <v>490</v>
      </c>
      <c r="F93" s="2">
        <v>1299</v>
      </c>
      <c r="G93" s="2">
        <v>311</v>
      </c>
      <c r="H93" s="2">
        <v>654</v>
      </c>
      <c r="I93" s="2">
        <v>422</v>
      </c>
      <c r="J93" s="2">
        <v>1063</v>
      </c>
    </row>
    <row r="94" spans="2:10" x14ac:dyDescent="0.3">
      <c r="B94" s="53" t="s">
        <v>380</v>
      </c>
      <c r="C94" s="2">
        <v>100</v>
      </c>
      <c r="D94" s="2">
        <v>64</v>
      </c>
      <c r="E94" s="2">
        <v>91</v>
      </c>
      <c r="F94" s="2">
        <v>117</v>
      </c>
      <c r="G94" s="2">
        <v>92</v>
      </c>
      <c r="H94" s="2">
        <v>77</v>
      </c>
      <c r="I94" s="2">
        <v>86</v>
      </c>
      <c r="J94" s="2">
        <v>94</v>
      </c>
    </row>
    <row r="95" spans="2:10" x14ac:dyDescent="0.3">
      <c r="C95" s="2"/>
      <c r="D95" s="2"/>
      <c r="E95" s="2"/>
      <c r="F95" s="2"/>
      <c r="G95" s="2"/>
      <c r="H95" s="2"/>
      <c r="I95" s="2"/>
      <c r="J95" s="2"/>
    </row>
    <row r="96" spans="2:10" x14ac:dyDescent="0.3">
      <c r="B96" s="64" t="s">
        <v>458</v>
      </c>
      <c r="C96" s="64"/>
      <c r="D96" s="64"/>
      <c r="E96" s="64"/>
      <c r="F96" s="64"/>
      <c r="G96" s="64"/>
      <c r="H96" s="64"/>
      <c r="I96" s="64"/>
      <c r="J96" s="64"/>
    </row>
    <row r="97" spans="2:10" x14ac:dyDescent="0.3">
      <c r="B97" s="53" t="s">
        <v>409</v>
      </c>
      <c r="C97" s="8">
        <f t="shared" ref="C97:J100" si="92">C91/C75</f>
        <v>0.24664639599356109</v>
      </c>
      <c r="D97" s="8">
        <f t="shared" si="92"/>
        <v>0.2778836987607245</v>
      </c>
      <c r="E97" s="8">
        <f t="shared" si="92"/>
        <v>0.28955776021523455</v>
      </c>
      <c r="F97" s="8">
        <f t="shared" si="92"/>
        <v>0.36899289594651064</v>
      </c>
      <c r="G97" s="8">
        <f t="shared" si="92"/>
        <v>0.25428038650618751</v>
      </c>
      <c r="H97" s="8">
        <f t="shared" si="92"/>
        <v>0.31354800415491912</v>
      </c>
      <c r="I97" s="8">
        <f t="shared" si="92"/>
        <v>0.30180870631514406</v>
      </c>
      <c r="J97" s="8">
        <f t="shared" si="92"/>
        <v>0.39146895507319535</v>
      </c>
    </row>
    <row r="98" spans="2:10" x14ac:dyDescent="0.3">
      <c r="B98" s="53" t="s">
        <v>412</v>
      </c>
      <c r="C98" s="8">
        <f t="shared" si="92"/>
        <v>8.2162786222820861E-2</v>
      </c>
      <c r="D98" s="8">
        <f t="shared" si="92"/>
        <v>9.2422502870264059E-2</v>
      </c>
      <c r="E98" s="8">
        <f t="shared" si="92"/>
        <v>0.1093086133642333</v>
      </c>
      <c r="F98" s="8">
        <f t="shared" si="92"/>
        <v>0.12379329926178308</v>
      </c>
      <c r="G98" s="8">
        <f t="shared" si="92"/>
        <v>8.1758580794446589E-2</v>
      </c>
      <c r="H98" s="8">
        <f t="shared" si="92"/>
        <v>8.9399497972581579E-2</v>
      </c>
      <c r="I98" s="8">
        <f t="shared" si="92"/>
        <v>0.10850155279503106</v>
      </c>
      <c r="J98" s="8">
        <f t="shared" si="92"/>
        <v>0.11710144927536231</v>
      </c>
    </row>
    <row r="99" spans="2:10" x14ac:dyDescent="0.3">
      <c r="B99" s="53" t="s">
        <v>416</v>
      </c>
      <c r="C99" s="8">
        <f t="shared" si="92"/>
        <v>9.9096191091026464E-2</v>
      </c>
      <c r="D99" s="8">
        <f t="shared" si="92"/>
        <v>0.20232172470978441</v>
      </c>
      <c r="E99" s="8">
        <f t="shared" si="92"/>
        <v>0.1497555012224939</v>
      </c>
      <c r="F99" s="8">
        <f t="shared" si="92"/>
        <v>0.2821459600347524</v>
      </c>
      <c r="G99" s="8">
        <f t="shared" si="92"/>
        <v>0.10110533159947985</v>
      </c>
      <c r="H99" s="8">
        <f t="shared" si="92"/>
        <v>0.1794238683127572</v>
      </c>
      <c r="I99" s="8">
        <f t="shared" si="92"/>
        <v>0.13872452333990795</v>
      </c>
      <c r="J99" s="8">
        <f t="shared" si="92"/>
        <v>0.24976503759398497</v>
      </c>
    </row>
    <row r="100" spans="2:10" x14ac:dyDescent="0.3">
      <c r="B100" s="53" t="s">
        <v>380</v>
      </c>
      <c r="C100" s="8">
        <f t="shared" si="92"/>
        <v>0.51020408163265307</v>
      </c>
      <c r="D100" s="8">
        <f t="shared" si="92"/>
        <v>0.34594594594594597</v>
      </c>
      <c r="E100" s="8">
        <f t="shared" si="92"/>
        <v>0.489247311827957</v>
      </c>
      <c r="F100" s="8">
        <f t="shared" si="92"/>
        <v>0.66857142857142859</v>
      </c>
      <c r="G100" s="8">
        <f t="shared" si="92"/>
        <v>0.47668393782383417</v>
      </c>
      <c r="H100" s="8">
        <f t="shared" si="92"/>
        <v>0.45562130177514792</v>
      </c>
      <c r="I100" s="8">
        <f t="shared" si="92"/>
        <v>0.47513812154696133</v>
      </c>
      <c r="J100" s="8">
        <f t="shared" si="92"/>
        <v>0.55294117647058827</v>
      </c>
    </row>
    <row r="102" spans="2:10" x14ac:dyDescent="0.3">
      <c r="B102" s="64" t="s">
        <v>459</v>
      </c>
      <c r="C102" s="64"/>
      <c r="D102" s="64"/>
      <c r="E102" s="64"/>
      <c r="F102" s="64"/>
      <c r="G102" s="64"/>
      <c r="H102" s="64"/>
      <c r="I102" s="64"/>
      <c r="J102" s="64"/>
    </row>
    <row r="103" spans="2:10" x14ac:dyDescent="0.3">
      <c r="B103" s="53" t="s">
        <v>409</v>
      </c>
      <c r="G103" s="8">
        <f>G75/C75-1</f>
        <v>5.5088535145769946E-2</v>
      </c>
      <c r="H103" s="8">
        <f>H75/D75-1</f>
        <v>7.0702256116936812E-2</v>
      </c>
      <c r="I103" s="8">
        <f>I75/E75-1</f>
        <v>9.7023709433327721E-2</v>
      </c>
      <c r="J103" s="8">
        <f>J75/F75-1</f>
        <v>0.10377489901100434</v>
      </c>
    </row>
    <row r="104" spans="2:10" x14ac:dyDescent="0.3">
      <c r="B104" s="53" t="s">
        <v>412</v>
      </c>
      <c r="G104" s="8">
        <f t="shared" ref="G104:J106" si="93">G76/C76-1</f>
        <v>-2.1166057340773481E-3</v>
      </c>
      <c r="H104" s="8">
        <f t="shared" si="93"/>
        <v>-8.9934940681208886E-3</v>
      </c>
      <c r="I104" s="8">
        <f t="shared" si="93"/>
        <v>-5.0212437234453677E-3</v>
      </c>
      <c r="J104" s="8">
        <f t="shared" si="93"/>
        <v>-2.0442930153321992E-2</v>
      </c>
    </row>
    <row r="105" spans="2:10" x14ac:dyDescent="0.3">
      <c r="B105" s="53" t="s">
        <v>416</v>
      </c>
      <c r="G105" s="8">
        <f t="shared" si="93"/>
        <v>-7.1013557133634553E-3</v>
      </c>
      <c r="H105" s="8">
        <f t="shared" si="93"/>
        <v>7.4626865671640896E-3</v>
      </c>
      <c r="I105" s="8">
        <f t="shared" si="93"/>
        <v>-7.0293398533007312E-2</v>
      </c>
      <c r="J105" s="8">
        <f t="shared" si="93"/>
        <v>-7.5586446568201571E-2</v>
      </c>
    </row>
    <row r="106" spans="2:10" x14ac:dyDescent="0.3">
      <c r="B106" s="53" t="s">
        <v>380</v>
      </c>
      <c r="G106" s="8">
        <f t="shared" si="93"/>
        <v>-1.5306122448979553E-2</v>
      </c>
      <c r="H106" s="8">
        <f t="shared" si="93"/>
        <v>-8.6486486486486491E-2</v>
      </c>
      <c r="I106" s="8">
        <f t="shared" si="93"/>
        <v>-2.6881720430107503E-2</v>
      </c>
      <c r="J106" s="8">
        <f t="shared" si="93"/>
        <v>-2.8571428571428581E-2</v>
      </c>
    </row>
    <row r="108" spans="2:10" x14ac:dyDescent="0.3">
      <c r="B108" s="66" t="s">
        <v>460</v>
      </c>
      <c r="C108" s="64"/>
      <c r="D108" s="64"/>
      <c r="E108" s="64"/>
      <c r="F108" s="64"/>
      <c r="G108" s="64"/>
      <c r="H108" s="64"/>
      <c r="I108" s="64"/>
      <c r="J108" s="64"/>
    </row>
    <row r="109" spans="2:10" x14ac:dyDescent="0.3">
      <c r="B109" s="53" t="s">
        <v>409</v>
      </c>
      <c r="C109" s="8">
        <f t="shared" ref="C109:J112" si="94">C75/C$8</f>
        <v>4.2291981845688351</v>
      </c>
      <c r="D109" s="8">
        <f t="shared" si="94"/>
        <v>3.9659735349716447</v>
      </c>
      <c r="E109" s="8">
        <f t="shared" si="94"/>
        <v>4.1909795630725863</v>
      </c>
      <c r="F109" s="8">
        <f t="shared" si="94"/>
        <v>3.990550305725403</v>
      </c>
      <c r="G109" s="8">
        <f t="shared" si="94"/>
        <v>4.2715423606082545</v>
      </c>
      <c r="H109" s="8">
        <f t="shared" si="94"/>
        <v>4.193528313627878</v>
      </c>
      <c r="I109" s="8">
        <f t="shared" si="94"/>
        <v>4.6467236467236468</v>
      </c>
      <c r="J109" s="8">
        <f>J75/J$8</f>
        <v>4.1465201465201469</v>
      </c>
    </row>
    <row r="110" spans="2:10" x14ac:dyDescent="0.3">
      <c r="B110" s="53" t="s">
        <v>412</v>
      </c>
      <c r="C110" s="8">
        <f t="shared" si="94"/>
        <v>3.9311649016641455</v>
      </c>
      <c r="D110" s="8">
        <f t="shared" si="94"/>
        <v>3.2930056710775046</v>
      </c>
      <c r="E110" s="8">
        <f t="shared" si="94"/>
        <v>3.6490486257928119</v>
      </c>
      <c r="F110" s="8">
        <f t="shared" si="94"/>
        <v>2.9366314619232905</v>
      </c>
      <c r="G110" s="8">
        <f t="shared" si="94"/>
        <v>3.7552498189717598</v>
      </c>
      <c r="H110" s="8">
        <f t="shared" si="94"/>
        <v>3.2227753578095832</v>
      </c>
      <c r="I110" s="8">
        <f t="shared" si="94"/>
        <v>3.6695156695156697</v>
      </c>
      <c r="J110" s="8">
        <f t="shared" si="94"/>
        <v>2.7080062794348509</v>
      </c>
    </row>
    <row r="111" spans="2:10" x14ac:dyDescent="0.3">
      <c r="B111" s="53" t="s">
        <v>416</v>
      </c>
      <c r="C111" s="8">
        <f t="shared" si="94"/>
        <v>2.3434190620272313</v>
      </c>
      <c r="D111" s="8">
        <f t="shared" si="94"/>
        <v>2.279773156899811</v>
      </c>
      <c r="E111" s="8">
        <f t="shared" si="94"/>
        <v>2.3058491895701199</v>
      </c>
      <c r="F111" s="8">
        <f t="shared" si="94"/>
        <v>2.5591995553085045</v>
      </c>
      <c r="G111" s="8">
        <f t="shared" si="94"/>
        <v>2.2273714699493121</v>
      </c>
      <c r="H111" s="8">
        <f t="shared" si="94"/>
        <v>2.2682016179215929</v>
      </c>
      <c r="I111" s="8">
        <f t="shared" si="94"/>
        <v>2.1666666666666665</v>
      </c>
      <c r="J111" s="8">
        <f t="shared" si="94"/>
        <v>2.2271062271062272</v>
      </c>
    </row>
    <row r="112" spans="2:10" x14ac:dyDescent="0.3">
      <c r="B112" s="53" t="s">
        <v>380</v>
      </c>
      <c r="C112" s="8">
        <f t="shared" si="94"/>
        <v>0.14826021180030258</v>
      </c>
      <c r="D112" s="8">
        <f t="shared" si="94"/>
        <v>0.11657214870825457</v>
      </c>
      <c r="E112" s="8">
        <f t="shared" si="94"/>
        <v>0.13107822410147993</v>
      </c>
      <c r="F112" s="8">
        <f t="shared" si="94"/>
        <v>9.727626459143969E-2</v>
      </c>
      <c r="G112" s="8">
        <f t="shared" si="94"/>
        <v>0.13975380159304851</v>
      </c>
      <c r="H112" s="8">
        <f t="shared" si="94"/>
        <v>0.10516490354698195</v>
      </c>
      <c r="I112" s="8">
        <f t="shared" si="94"/>
        <v>0.12891737891737892</v>
      </c>
      <c r="J112" s="8">
        <f t="shared" si="94"/>
        <v>8.8958660387231811E-2</v>
      </c>
    </row>
  </sheetData>
  <mergeCells count="2">
    <mergeCell ref="AN27:AZ27"/>
    <mergeCell ref="K33:M34"/>
  </mergeCells>
  <phoneticPr fontId="12" type="noConversion"/>
  <hyperlinks>
    <hyperlink ref="B1" location="'IBM FA'!A1" display="Fundamental Analysis" xr:uid="{19EC2467-8828-4C5B-84DA-FD024738F419}"/>
    <hyperlink ref="A1" location="Main!L3" display="Main" xr:uid="{F21F9B77-54A7-4F45-A625-0B52AB36D986}"/>
  </hyperlinks>
  <pageMargins left="0.7" right="0.7" top="0.75" bottom="0.75" header="0.3" footer="0.3"/>
  <pageSetup orientation="portrait" r:id="rId1"/>
  <ignoredErrors>
    <ignoredError sqref="J21 F21 U6:V6 U20:V20 U21:V21 X18:AJ18 S19 W21:AJ21" formula="1"/>
  </ignoredError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Main</vt:lpstr>
      <vt:lpstr>GOOGL</vt:lpstr>
      <vt:lpstr>META</vt:lpstr>
      <vt:lpstr>MSFT</vt:lpstr>
      <vt:lpstr>AMZN</vt:lpstr>
      <vt:lpstr>AAPL</vt:lpstr>
      <vt:lpstr>BIDU</vt:lpstr>
      <vt:lpstr>IBM FA</vt:lpstr>
      <vt:lpstr>IBM</vt:lpstr>
      <vt:lpstr>BIDU!Print_Area</vt:lpstr>
      <vt:lpstr>GOOGL!Print_Area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Gega Mukhigulashvili</dc:creator>
  <cp:lastModifiedBy>Gega Mukhigulashvili</cp:lastModifiedBy>
  <dcterms:created xsi:type="dcterms:W3CDTF">2015-06-05T18:17:20Z</dcterms:created>
  <dcterms:modified xsi:type="dcterms:W3CDTF">2026-04-15T15:22:12Z</dcterms:modified>
</cp:coreProperties>
</file>