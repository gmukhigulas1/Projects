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56627261-71BA-4E04-8260-30A8C63F4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Business" sheetId="4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9" i="2" l="1"/>
  <c r="AM101" i="2"/>
  <c r="AN101" i="2" s="1"/>
  <c r="AO101" i="2" s="1"/>
  <c r="AP101" i="2" s="1"/>
  <c r="AQ101" i="2" s="1"/>
  <c r="AR101" i="2" s="1"/>
  <c r="AS101" i="2" s="1"/>
  <c r="AT101" i="2" s="1"/>
  <c r="AU101" i="2" s="1"/>
  <c r="AV101" i="2" s="1"/>
  <c r="AW101" i="2" s="1"/>
  <c r="AX101" i="2" s="1"/>
  <c r="AY101" i="2" s="1"/>
  <c r="AZ101" i="2" s="1"/>
  <c r="BA101" i="2" s="1"/>
  <c r="BB101" i="2" s="1"/>
  <c r="BC101" i="2" s="1"/>
  <c r="BD101" i="2" s="1"/>
  <c r="BE101" i="2" s="1"/>
  <c r="BF101" i="2" s="1"/>
  <c r="BG101" i="2" s="1"/>
  <c r="BH101" i="2" s="1"/>
  <c r="BI101" i="2" s="1"/>
  <c r="BJ101" i="2" s="1"/>
  <c r="BK101" i="2" s="1"/>
  <c r="BL101" i="2" s="1"/>
  <c r="BM101" i="2" s="1"/>
  <c r="BN101" i="2" s="1"/>
  <c r="BO101" i="2" s="1"/>
  <c r="BP101" i="2" s="1"/>
  <c r="BQ101" i="2" s="1"/>
  <c r="BR101" i="2" s="1"/>
  <c r="BS101" i="2" s="1"/>
  <c r="BT101" i="2" s="1"/>
  <c r="BU101" i="2" s="1"/>
  <c r="BV101" i="2" s="1"/>
  <c r="BW101" i="2" s="1"/>
  <c r="BX101" i="2" s="1"/>
  <c r="BY101" i="2" s="1"/>
  <c r="BZ101" i="2" s="1"/>
  <c r="CA101" i="2" s="1"/>
  <c r="CB101" i="2" s="1"/>
  <c r="CC101" i="2" s="1"/>
  <c r="CD101" i="2" s="1"/>
  <c r="CE101" i="2" s="1"/>
  <c r="CF101" i="2" s="1"/>
  <c r="CG101" i="2" s="1"/>
  <c r="CH101" i="2" s="1"/>
  <c r="CI101" i="2" s="1"/>
  <c r="CJ101" i="2" s="1"/>
  <c r="CK101" i="2" s="1"/>
  <c r="CL101" i="2" s="1"/>
  <c r="CM101" i="2" s="1"/>
  <c r="CN101" i="2" s="1"/>
  <c r="CO101" i="2" s="1"/>
  <c r="CP101" i="2" s="1"/>
  <c r="CQ101" i="2" s="1"/>
  <c r="CR101" i="2" s="1"/>
  <c r="CS101" i="2" s="1"/>
  <c r="CT101" i="2" s="1"/>
  <c r="CU101" i="2" s="1"/>
  <c r="CV101" i="2" s="1"/>
  <c r="CW101" i="2" s="1"/>
  <c r="CX101" i="2" s="1"/>
  <c r="CY101" i="2" s="1"/>
  <c r="CZ101" i="2" s="1"/>
  <c r="DA101" i="2" s="1"/>
  <c r="DB101" i="2" s="1"/>
  <c r="DC101" i="2" s="1"/>
  <c r="DD101" i="2" s="1"/>
  <c r="DE101" i="2" s="1"/>
  <c r="DF101" i="2" s="1"/>
  <c r="DG101" i="2" s="1"/>
  <c r="DH101" i="2" s="1"/>
  <c r="DI101" i="2" s="1"/>
  <c r="DJ101" i="2" s="1"/>
  <c r="DK101" i="2" s="1"/>
  <c r="DL101" i="2" s="1"/>
  <c r="DM101" i="2" s="1"/>
  <c r="DN101" i="2" s="1"/>
  <c r="DO101" i="2" s="1"/>
  <c r="DP101" i="2" s="1"/>
  <c r="DQ101" i="2" s="1"/>
  <c r="DR101" i="2" s="1"/>
  <c r="DS101" i="2" s="1"/>
  <c r="DT101" i="2" s="1"/>
  <c r="DU101" i="2" s="1"/>
  <c r="DV101" i="2" s="1"/>
  <c r="DW101" i="2" s="1"/>
  <c r="DX101" i="2" s="1"/>
  <c r="DY101" i="2" s="1"/>
  <c r="DZ101" i="2" s="1"/>
  <c r="EA101" i="2" s="1"/>
  <c r="EB101" i="2" s="1"/>
  <c r="EC101" i="2" s="1"/>
  <c r="ED101" i="2" s="1"/>
  <c r="EE101" i="2" s="1"/>
  <c r="EF101" i="2" s="1"/>
  <c r="EG101" i="2" s="1"/>
  <c r="EH101" i="2" s="1"/>
  <c r="EI101" i="2" s="1"/>
  <c r="EJ101" i="2" s="1"/>
  <c r="EK101" i="2" s="1"/>
  <c r="EL101" i="2" s="1"/>
  <c r="EM101" i="2" s="1"/>
  <c r="EN101" i="2" s="1"/>
  <c r="EO101" i="2" s="1"/>
  <c r="EP101" i="2" s="1"/>
  <c r="EQ101" i="2" s="1"/>
  <c r="ER101" i="2" s="1"/>
  <c r="ES101" i="2" s="1"/>
  <c r="ET101" i="2" s="1"/>
  <c r="EU101" i="2" s="1"/>
  <c r="EV101" i="2" s="1"/>
  <c r="EW101" i="2" s="1"/>
  <c r="EX101" i="2" s="1"/>
  <c r="EY101" i="2" s="1"/>
  <c r="EZ101" i="2" s="1"/>
  <c r="FA101" i="2" s="1"/>
  <c r="FB101" i="2" s="1"/>
  <c r="FC101" i="2" s="1"/>
  <c r="FD101" i="2" s="1"/>
  <c r="FE101" i="2" s="1"/>
  <c r="FF101" i="2" s="1"/>
  <c r="FG101" i="2" s="1"/>
  <c r="FH101" i="2" s="1"/>
  <c r="FI101" i="2" s="1"/>
  <c r="FJ101" i="2" s="1"/>
  <c r="FK101" i="2" s="1"/>
  <c r="FL101" i="2" s="1"/>
  <c r="FM101" i="2" s="1"/>
  <c r="FN101" i="2" s="1"/>
  <c r="FO101" i="2" s="1"/>
  <c r="FP101" i="2" s="1"/>
  <c r="FQ101" i="2" s="1"/>
  <c r="FR101" i="2" s="1"/>
  <c r="FS101" i="2" s="1"/>
  <c r="FT101" i="2" s="1"/>
  <c r="FU101" i="2" s="1"/>
  <c r="FV101" i="2" s="1"/>
  <c r="FW101" i="2" s="1"/>
  <c r="FX101" i="2" s="1"/>
  <c r="FY101" i="2" s="1"/>
  <c r="FZ101" i="2" s="1"/>
  <c r="GA101" i="2" s="1"/>
  <c r="GB101" i="2" s="1"/>
  <c r="GC101" i="2" s="1"/>
  <c r="GD101" i="2" s="1"/>
  <c r="GE101" i="2" s="1"/>
  <c r="GF101" i="2" s="1"/>
  <c r="GG101" i="2" s="1"/>
  <c r="GH101" i="2" s="1"/>
  <c r="GI101" i="2" s="1"/>
  <c r="GJ101" i="2" s="1"/>
  <c r="GK101" i="2" s="1"/>
  <c r="GL101" i="2" s="1"/>
  <c r="GM101" i="2" s="1"/>
  <c r="GN101" i="2" s="1"/>
  <c r="GO101" i="2" s="1"/>
  <c r="GP101" i="2" s="1"/>
  <c r="GQ101" i="2" s="1"/>
  <c r="GR101" i="2" s="1"/>
  <c r="GS101" i="2" s="1"/>
  <c r="GT101" i="2" s="1"/>
  <c r="GU101" i="2" s="1"/>
  <c r="GV101" i="2" s="1"/>
  <c r="GW101" i="2" s="1"/>
  <c r="GX101" i="2" s="1"/>
  <c r="GY101" i="2" s="1"/>
  <c r="GZ101" i="2" s="1"/>
  <c r="HA101" i="2" s="1"/>
  <c r="HB101" i="2" s="1"/>
  <c r="HC101" i="2" s="1"/>
  <c r="HD101" i="2" s="1"/>
  <c r="HE101" i="2" s="1"/>
  <c r="HF101" i="2" s="1"/>
  <c r="HG101" i="2" s="1"/>
  <c r="HH101" i="2" s="1"/>
  <c r="HI101" i="2" s="1"/>
  <c r="HJ101" i="2" s="1"/>
  <c r="HK101" i="2" s="1"/>
  <c r="HL101" i="2" s="1"/>
  <c r="HM101" i="2" s="1"/>
  <c r="HN101" i="2" s="1"/>
  <c r="HO101" i="2" s="1"/>
  <c r="HP101" i="2" s="1"/>
  <c r="HQ101" i="2" s="1"/>
  <c r="HR101" i="2" s="1"/>
  <c r="HS101" i="2" s="1"/>
  <c r="HT101" i="2" s="1"/>
  <c r="HU101" i="2" s="1"/>
  <c r="HV101" i="2" s="1"/>
  <c r="HW101" i="2" s="1"/>
  <c r="HX101" i="2" s="1"/>
  <c r="HY101" i="2" s="1"/>
  <c r="HZ101" i="2" s="1"/>
  <c r="IA101" i="2" s="1"/>
  <c r="IB101" i="2" s="1"/>
  <c r="IC101" i="2" s="1"/>
  <c r="ID101" i="2" s="1"/>
  <c r="IE101" i="2" s="1"/>
  <c r="IF101" i="2" s="1"/>
  <c r="IG101" i="2" s="1"/>
  <c r="IH101" i="2" s="1"/>
  <c r="II101" i="2" s="1"/>
  <c r="IJ101" i="2" s="1"/>
  <c r="IK101" i="2" s="1"/>
  <c r="IL101" i="2" s="1"/>
  <c r="IM101" i="2" s="1"/>
  <c r="IN101" i="2" s="1"/>
  <c r="IO101" i="2" s="1"/>
  <c r="IP101" i="2" s="1"/>
  <c r="IQ101" i="2" s="1"/>
  <c r="IR101" i="2" s="1"/>
  <c r="IS101" i="2" s="1"/>
  <c r="IT101" i="2" s="1"/>
  <c r="IU101" i="2" s="1"/>
  <c r="IV101" i="2" s="1"/>
  <c r="IW101" i="2" s="1"/>
  <c r="IX101" i="2" s="1"/>
  <c r="IY101" i="2" s="1"/>
  <c r="IZ101" i="2" s="1"/>
  <c r="JA101" i="2" s="1"/>
  <c r="JB101" i="2" s="1"/>
  <c r="JC101" i="2" s="1"/>
  <c r="JD101" i="2" s="1"/>
  <c r="JE101" i="2" s="1"/>
  <c r="JF101" i="2" s="1"/>
  <c r="JG101" i="2" s="1"/>
  <c r="JH101" i="2" s="1"/>
  <c r="JI101" i="2" s="1"/>
  <c r="JJ101" i="2" s="1"/>
  <c r="JK101" i="2" s="1"/>
  <c r="JL101" i="2" s="1"/>
  <c r="JM101" i="2" s="1"/>
  <c r="JN101" i="2" s="1"/>
  <c r="JO101" i="2" s="1"/>
  <c r="JP101" i="2" s="1"/>
  <c r="JQ101" i="2" s="1"/>
  <c r="JR101" i="2" s="1"/>
  <c r="JS101" i="2" s="1"/>
  <c r="JT101" i="2" s="1"/>
  <c r="JU101" i="2" s="1"/>
  <c r="JV101" i="2" s="1"/>
  <c r="JW101" i="2" s="1"/>
  <c r="JX101" i="2" s="1"/>
  <c r="JY101" i="2" s="1"/>
  <c r="JZ101" i="2" s="1"/>
  <c r="KA101" i="2" s="1"/>
  <c r="KB101" i="2" s="1"/>
  <c r="KC101" i="2" s="1"/>
  <c r="KD101" i="2" s="1"/>
  <c r="KE101" i="2" s="1"/>
  <c r="KF101" i="2" s="1"/>
  <c r="KG101" i="2" s="1"/>
  <c r="KH101" i="2" s="1"/>
  <c r="KI101" i="2" s="1"/>
  <c r="KJ101" i="2" s="1"/>
  <c r="KK101" i="2" s="1"/>
  <c r="KL101" i="2" s="1"/>
  <c r="KM101" i="2" s="1"/>
  <c r="KN101" i="2" s="1"/>
  <c r="KO101" i="2" s="1"/>
  <c r="KP101" i="2" s="1"/>
  <c r="KQ101" i="2" s="1"/>
  <c r="KR101" i="2" s="1"/>
  <c r="KS101" i="2" s="1"/>
  <c r="KT101" i="2" s="1"/>
  <c r="KU101" i="2" s="1"/>
  <c r="KV101" i="2" s="1"/>
  <c r="KW101" i="2" s="1"/>
  <c r="KX101" i="2" s="1"/>
  <c r="KY101" i="2" s="1"/>
  <c r="KZ101" i="2" s="1"/>
  <c r="LA101" i="2" s="1"/>
  <c r="LB101" i="2" s="1"/>
  <c r="LC101" i="2" s="1"/>
  <c r="LD101" i="2" s="1"/>
  <c r="LE101" i="2" s="1"/>
  <c r="LF101" i="2" s="1"/>
  <c r="LG101" i="2" s="1"/>
  <c r="LH101" i="2" s="1"/>
  <c r="LI101" i="2" s="1"/>
  <c r="LJ101" i="2" s="1"/>
  <c r="LK101" i="2" s="1"/>
  <c r="LL101" i="2" s="1"/>
  <c r="LM101" i="2" s="1"/>
  <c r="LN101" i="2" s="1"/>
  <c r="LO101" i="2" s="1"/>
  <c r="LP101" i="2" s="1"/>
  <c r="LQ101" i="2" s="1"/>
  <c r="LR101" i="2" s="1"/>
  <c r="LS101" i="2" s="1"/>
  <c r="LT101" i="2" s="1"/>
  <c r="LU101" i="2" s="1"/>
  <c r="LV101" i="2" s="1"/>
  <c r="LW101" i="2" s="1"/>
  <c r="LX101" i="2" s="1"/>
  <c r="LY101" i="2" s="1"/>
  <c r="LZ101" i="2" s="1"/>
  <c r="MA101" i="2" s="1"/>
  <c r="MB101" i="2" s="1"/>
  <c r="MC101" i="2" s="1"/>
  <c r="MD101" i="2" s="1"/>
  <c r="ME101" i="2" s="1"/>
  <c r="MF101" i="2" s="1"/>
  <c r="MG101" i="2" s="1"/>
  <c r="MH101" i="2" s="1"/>
  <c r="MI101" i="2" s="1"/>
  <c r="MJ101" i="2" s="1"/>
  <c r="MK101" i="2" s="1"/>
  <c r="ML101" i="2" s="1"/>
  <c r="MM101" i="2" s="1"/>
  <c r="MN101" i="2" s="1"/>
  <c r="MO101" i="2" s="1"/>
  <c r="MP101" i="2" s="1"/>
  <c r="MQ101" i="2" s="1"/>
  <c r="MR101" i="2" s="1"/>
  <c r="MS101" i="2" s="1"/>
  <c r="MT101" i="2" s="1"/>
  <c r="MU101" i="2" s="1"/>
  <c r="MV101" i="2" s="1"/>
  <c r="MW101" i="2" s="1"/>
  <c r="MX101" i="2" s="1"/>
  <c r="MY101" i="2" s="1"/>
  <c r="MZ101" i="2" s="1"/>
  <c r="NA101" i="2" s="1"/>
  <c r="NB101" i="2" s="1"/>
  <c r="NC101" i="2" s="1"/>
  <c r="ND101" i="2" s="1"/>
  <c r="NE101" i="2" s="1"/>
  <c r="NF101" i="2" s="1"/>
  <c r="NG101" i="2" s="1"/>
  <c r="NH101" i="2" s="1"/>
  <c r="NI101" i="2" s="1"/>
  <c r="NJ101" i="2" s="1"/>
  <c r="NK101" i="2" s="1"/>
  <c r="NL101" i="2" s="1"/>
  <c r="NM101" i="2" s="1"/>
  <c r="NN101" i="2" s="1"/>
  <c r="NO101" i="2" s="1"/>
  <c r="NP101" i="2" s="1"/>
  <c r="NQ101" i="2" s="1"/>
  <c r="NR101" i="2" s="1"/>
  <c r="NS101" i="2" s="1"/>
  <c r="NT101" i="2" s="1"/>
  <c r="NU101" i="2" s="1"/>
  <c r="NV101" i="2" s="1"/>
  <c r="NW101" i="2" s="1"/>
  <c r="NX101" i="2" s="1"/>
  <c r="NY101" i="2" s="1"/>
  <c r="NZ101" i="2" s="1"/>
  <c r="OA101" i="2" s="1"/>
  <c r="OB101" i="2" s="1"/>
  <c r="OC101" i="2" s="1"/>
  <c r="OD101" i="2" s="1"/>
  <c r="OE101" i="2" s="1"/>
  <c r="OF101" i="2" s="1"/>
  <c r="OG101" i="2" s="1"/>
  <c r="OH101" i="2" s="1"/>
  <c r="OI101" i="2" s="1"/>
  <c r="OJ101" i="2" s="1"/>
  <c r="OK101" i="2" s="1"/>
  <c r="OL101" i="2" s="1"/>
  <c r="OM101" i="2" s="1"/>
  <c r="ON101" i="2" s="1"/>
  <c r="OO101" i="2" s="1"/>
  <c r="OP101" i="2" s="1"/>
  <c r="OQ101" i="2" s="1"/>
  <c r="OR101" i="2" s="1"/>
  <c r="OS101" i="2" s="1"/>
  <c r="OT101" i="2" s="1"/>
  <c r="OU101" i="2" s="1"/>
  <c r="OV101" i="2" s="1"/>
  <c r="OW101" i="2" s="1"/>
  <c r="OX101" i="2" s="1"/>
  <c r="OY101" i="2" s="1"/>
  <c r="OZ101" i="2" s="1"/>
  <c r="PA101" i="2" s="1"/>
  <c r="PB101" i="2" s="1"/>
  <c r="PC101" i="2" s="1"/>
  <c r="PD101" i="2" s="1"/>
  <c r="PE101" i="2" s="1"/>
  <c r="PF101" i="2" s="1"/>
  <c r="PG101" i="2" s="1"/>
  <c r="PH101" i="2" s="1"/>
  <c r="PI101" i="2" s="1"/>
  <c r="PJ101" i="2" s="1"/>
  <c r="PK101" i="2" s="1"/>
  <c r="PL101" i="2" s="1"/>
  <c r="PM101" i="2" s="1"/>
  <c r="PN101" i="2" s="1"/>
  <c r="PO101" i="2" s="1"/>
  <c r="PP101" i="2" s="1"/>
  <c r="PQ101" i="2" s="1"/>
  <c r="PR101" i="2" s="1"/>
  <c r="PS101" i="2" s="1"/>
  <c r="PT101" i="2" s="1"/>
  <c r="PU101" i="2" s="1"/>
  <c r="PV101" i="2" s="1"/>
  <c r="PW101" i="2" s="1"/>
  <c r="PX101" i="2" s="1"/>
  <c r="PY101" i="2" s="1"/>
  <c r="PZ101" i="2" s="1"/>
  <c r="QA101" i="2" s="1"/>
  <c r="QB101" i="2" s="1"/>
  <c r="QC101" i="2" s="1"/>
  <c r="QD101" i="2" s="1"/>
  <c r="QE101" i="2" s="1"/>
  <c r="QF101" i="2" s="1"/>
  <c r="QG101" i="2" s="1"/>
  <c r="QH101" i="2" s="1"/>
  <c r="QI101" i="2" s="1"/>
  <c r="QJ101" i="2" s="1"/>
  <c r="QK101" i="2" s="1"/>
  <c r="QL101" i="2" s="1"/>
  <c r="QM101" i="2" s="1"/>
  <c r="QN101" i="2" s="1"/>
  <c r="QO101" i="2" s="1"/>
  <c r="QP101" i="2" s="1"/>
  <c r="QQ101" i="2" s="1"/>
  <c r="QR101" i="2" s="1"/>
  <c r="QS101" i="2" s="1"/>
  <c r="QT101" i="2" s="1"/>
  <c r="QU101" i="2" s="1"/>
  <c r="QV101" i="2" s="1"/>
  <c r="QW101" i="2" s="1"/>
  <c r="QX101" i="2" s="1"/>
  <c r="QY101" i="2" s="1"/>
  <c r="QZ101" i="2" s="1"/>
  <c r="RA101" i="2" s="1"/>
  <c r="RB101" i="2" s="1"/>
  <c r="RC101" i="2" s="1"/>
  <c r="RD101" i="2" s="1"/>
  <c r="RE101" i="2" s="1"/>
  <c r="RF101" i="2" s="1"/>
  <c r="RG101" i="2" s="1"/>
  <c r="RH101" i="2" s="1"/>
  <c r="RI101" i="2" s="1"/>
  <c r="RJ101" i="2" s="1"/>
  <c r="RK101" i="2" s="1"/>
  <c r="RL101" i="2" s="1"/>
  <c r="RM101" i="2" s="1"/>
  <c r="RN101" i="2" s="1"/>
  <c r="RO101" i="2" s="1"/>
  <c r="RP101" i="2" s="1"/>
  <c r="RQ101" i="2" s="1"/>
  <c r="RR101" i="2" s="1"/>
  <c r="RS101" i="2" s="1"/>
  <c r="RT101" i="2" s="1"/>
  <c r="RU101" i="2" s="1"/>
  <c r="RV101" i="2" s="1"/>
  <c r="RW101" i="2" s="1"/>
  <c r="RX101" i="2" s="1"/>
  <c r="RY101" i="2" s="1"/>
  <c r="RZ101" i="2" s="1"/>
  <c r="SA101" i="2" s="1"/>
  <c r="SB101" i="2" s="1"/>
  <c r="SC101" i="2" s="1"/>
  <c r="SD101" i="2" s="1"/>
  <c r="SE101" i="2" s="1"/>
  <c r="SF101" i="2" s="1"/>
  <c r="SG101" i="2" s="1"/>
  <c r="SH101" i="2" s="1"/>
  <c r="SI101" i="2" s="1"/>
  <c r="SJ101" i="2" s="1"/>
  <c r="SK101" i="2" s="1"/>
  <c r="SL101" i="2" s="1"/>
  <c r="SM101" i="2" s="1"/>
  <c r="SN101" i="2" s="1"/>
  <c r="SO101" i="2" s="1"/>
  <c r="SP101" i="2" s="1"/>
  <c r="SQ101" i="2" s="1"/>
  <c r="SR101" i="2" s="1"/>
  <c r="SS101" i="2" s="1"/>
  <c r="ST101" i="2" s="1"/>
  <c r="SU101" i="2" s="1"/>
  <c r="SV101" i="2" s="1"/>
  <c r="SW101" i="2" s="1"/>
  <c r="SX101" i="2" s="1"/>
  <c r="SY101" i="2" s="1"/>
  <c r="SZ101" i="2" s="1"/>
  <c r="TA101" i="2" s="1"/>
  <c r="TB101" i="2" s="1"/>
  <c r="TC101" i="2" s="1"/>
  <c r="TD101" i="2" s="1"/>
  <c r="TE101" i="2" s="1"/>
  <c r="TF101" i="2" s="1"/>
  <c r="TG101" i="2" s="1"/>
  <c r="TH101" i="2" s="1"/>
  <c r="TI101" i="2" s="1"/>
  <c r="TJ101" i="2" s="1"/>
  <c r="TK101" i="2" s="1"/>
  <c r="TL101" i="2" s="1"/>
  <c r="TM101" i="2" s="1"/>
  <c r="TN101" i="2" s="1"/>
  <c r="TO101" i="2" s="1"/>
  <c r="TP101" i="2" s="1"/>
  <c r="TQ101" i="2" s="1"/>
  <c r="TR101" i="2" s="1"/>
  <c r="TS101" i="2" s="1"/>
  <c r="TT101" i="2" s="1"/>
  <c r="TU101" i="2" s="1"/>
  <c r="TV101" i="2" s="1"/>
  <c r="TW101" i="2" s="1"/>
  <c r="TX101" i="2" s="1"/>
  <c r="TY101" i="2" s="1"/>
  <c r="TZ101" i="2" s="1"/>
  <c r="UA101" i="2" s="1"/>
  <c r="UB101" i="2" s="1"/>
  <c r="UC101" i="2" s="1"/>
  <c r="UD101" i="2" s="1"/>
  <c r="UE101" i="2" s="1"/>
  <c r="UF101" i="2" s="1"/>
  <c r="UG101" i="2" s="1"/>
  <c r="UH101" i="2" s="1"/>
  <c r="UI101" i="2" s="1"/>
  <c r="UJ101" i="2" s="1"/>
  <c r="UK101" i="2" s="1"/>
  <c r="UL101" i="2" s="1"/>
  <c r="UM101" i="2" s="1"/>
  <c r="UN101" i="2" s="1"/>
  <c r="UO101" i="2" s="1"/>
  <c r="UP101" i="2" s="1"/>
  <c r="UQ101" i="2" s="1"/>
  <c r="UR101" i="2" s="1"/>
  <c r="US101" i="2" s="1"/>
  <c r="UT101" i="2" s="1"/>
  <c r="UU101" i="2" s="1"/>
  <c r="UV101" i="2" s="1"/>
  <c r="UW101" i="2" s="1"/>
  <c r="UX101" i="2" s="1"/>
  <c r="UY101" i="2" s="1"/>
  <c r="UZ101" i="2" s="1"/>
  <c r="VA101" i="2" s="1"/>
  <c r="VB101" i="2" s="1"/>
  <c r="VC101" i="2" s="1"/>
  <c r="VD101" i="2" s="1"/>
  <c r="VE101" i="2" s="1"/>
  <c r="VF101" i="2" s="1"/>
  <c r="VG101" i="2" s="1"/>
  <c r="VH101" i="2" s="1"/>
  <c r="VI101" i="2" s="1"/>
  <c r="VJ101" i="2" s="1"/>
  <c r="VK101" i="2" s="1"/>
  <c r="VL101" i="2" s="1"/>
  <c r="VM101" i="2" s="1"/>
  <c r="VN101" i="2" s="1"/>
  <c r="VO101" i="2" s="1"/>
  <c r="VP101" i="2" s="1"/>
  <c r="VQ101" i="2" s="1"/>
  <c r="VR101" i="2" s="1"/>
  <c r="VS101" i="2" s="1"/>
  <c r="VT101" i="2" s="1"/>
  <c r="VU101" i="2" s="1"/>
  <c r="VV101" i="2" s="1"/>
  <c r="VW101" i="2" s="1"/>
  <c r="VX101" i="2" s="1"/>
  <c r="VY101" i="2" s="1"/>
  <c r="VZ101" i="2" s="1"/>
  <c r="WA101" i="2" s="1"/>
  <c r="WB101" i="2" s="1"/>
  <c r="WC101" i="2" s="1"/>
  <c r="WD101" i="2" s="1"/>
  <c r="WE101" i="2" s="1"/>
  <c r="WF101" i="2" s="1"/>
  <c r="WG101" i="2" s="1"/>
  <c r="WH101" i="2" s="1"/>
  <c r="WI101" i="2" s="1"/>
  <c r="WJ101" i="2" s="1"/>
  <c r="WK101" i="2" s="1"/>
  <c r="WL101" i="2" s="1"/>
  <c r="WM101" i="2" s="1"/>
  <c r="WN101" i="2" s="1"/>
  <c r="WO101" i="2" s="1"/>
  <c r="WP101" i="2" s="1"/>
  <c r="WQ101" i="2" s="1"/>
  <c r="WR101" i="2" s="1"/>
  <c r="WS101" i="2" s="1"/>
  <c r="WT101" i="2" s="1"/>
  <c r="WU101" i="2" s="1"/>
  <c r="WV101" i="2" s="1"/>
  <c r="WW101" i="2" s="1"/>
  <c r="WX101" i="2" s="1"/>
  <c r="WY101" i="2" s="1"/>
  <c r="WZ101" i="2" s="1"/>
  <c r="XA101" i="2" s="1"/>
  <c r="XB101" i="2" s="1"/>
  <c r="XC101" i="2" s="1"/>
  <c r="XD101" i="2" s="1"/>
  <c r="XE101" i="2" s="1"/>
  <c r="XF101" i="2" s="1"/>
  <c r="XG101" i="2" s="1"/>
  <c r="XH101" i="2" s="1"/>
  <c r="XI101" i="2" s="1"/>
  <c r="XJ101" i="2" s="1"/>
  <c r="XK101" i="2" s="1"/>
  <c r="XL101" i="2" s="1"/>
  <c r="XM101" i="2" s="1"/>
  <c r="XN101" i="2" s="1"/>
  <c r="AL101" i="2"/>
  <c r="AK101" i="2"/>
  <c r="AJ101" i="2"/>
  <c r="AI101" i="2"/>
  <c r="AH101" i="2"/>
  <c r="AG101" i="2"/>
  <c r="AF101" i="2"/>
  <c r="AE104" i="2"/>
  <c r="AD104" i="2"/>
  <c r="AC104" i="2"/>
  <c r="AB104" i="2"/>
  <c r="AA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O104" i="2"/>
  <c r="AQ30" i="2"/>
  <c r="AQ29" i="2"/>
  <c r="AQ28" i="2"/>
  <c r="AQ27" i="2"/>
  <c r="AZ20" i="2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Q20" i="2" s="1"/>
  <c r="ER20" i="2" s="1"/>
  <c r="ES20" i="2" s="1"/>
  <c r="ET20" i="2" s="1"/>
  <c r="EU20" i="2" s="1"/>
  <c r="EV20" i="2" s="1"/>
  <c r="EW20" i="2" s="1"/>
  <c r="EX20" i="2" s="1"/>
  <c r="EY20" i="2" s="1"/>
  <c r="EZ20" i="2" s="1"/>
  <c r="FA20" i="2" s="1"/>
  <c r="FB20" i="2" s="1"/>
  <c r="FC20" i="2" s="1"/>
  <c r="FD20" i="2" s="1"/>
  <c r="FE20" i="2" s="1"/>
  <c r="FF20" i="2" s="1"/>
  <c r="FG20" i="2" s="1"/>
  <c r="FH20" i="2" s="1"/>
  <c r="FI20" i="2" s="1"/>
  <c r="FJ20" i="2" s="1"/>
  <c r="FK20" i="2" s="1"/>
  <c r="FL20" i="2" s="1"/>
  <c r="FM20" i="2" s="1"/>
  <c r="FN20" i="2" s="1"/>
  <c r="FO20" i="2" s="1"/>
  <c r="FP20" i="2" s="1"/>
  <c r="FQ20" i="2" s="1"/>
  <c r="FR20" i="2" s="1"/>
  <c r="FS20" i="2" s="1"/>
  <c r="FT20" i="2" s="1"/>
  <c r="FU20" i="2" s="1"/>
  <c r="FV20" i="2" s="1"/>
  <c r="FW20" i="2" s="1"/>
  <c r="FX20" i="2" s="1"/>
  <c r="FY20" i="2" s="1"/>
  <c r="FZ20" i="2" s="1"/>
  <c r="GA20" i="2" s="1"/>
  <c r="GB20" i="2" s="1"/>
  <c r="GC20" i="2" s="1"/>
  <c r="GD20" i="2" s="1"/>
  <c r="GE20" i="2" s="1"/>
  <c r="GF20" i="2" s="1"/>
  <c r="GG20" i="2" s="1"/>
  <c r="GH20" i="2" s="1"/>
  <c r="GI20" i="2" s="1"/>
  <c r="GJ20" i="2" s="1"/>
  <c r="GK20" i="2" s="1"/>
  <c r="GL20" i="2" s="1"/>
  <c r="GM20" i="2" s="1"/>
  <c r="GN20" i="2" s="1"/>
  <c r="GO20" i="2" s="1"/>
  <c r="GP20" i="2" s="1"/>
  <c r="GQ20" i="2" s="1"/>
  <c r="GR20" i="2" s="1"/>
  <c r="GS20" i="2" s="1"/>
  <c r="GT20" i="2" s="1"/>
  <c r="GU20" i="2" s="1"/>
  <c r="GV20" i="2" s="1"/>
  <c r="GW20" i="2" s="1"/>
  <c r="GX20" i="2" s="1"/>
  <c r="GY20" i="2" s="1"/>
  <c r="GZ20" i="2" s="1"/>
  <c r="HA20" i="2" s="1"/>
  <c r="HB20" i="2" s="1"/>
  <c r="HC20" i="2" s="1"/>
  <c r="HD20" i="2" s="1"/>
  <c r="HE20" i="2" s="1"/>
  <c r="HF20" i="2" s="1"/>
  <c r="HG20" i="2" s="1"/>
  <c r="HH20" i="2" s="1"/>
  <c r="HI20" i="2" s="1"/>
  <c r="HJ20" i="2" s="1"/>
  <c r="HK20" i="2" s="1"/>
  <c r="HL20" i="2" s="1"/>
  <c r="HM20" i="2" s="1"/>
  <c r="HN20" i="2" s="1"/>
  <c r="HO20" i="2" s="1"/>
  <c r="HP20" i="2" s="1"/>
  <c r="HQ20" i="2" s="1"/>
  <c r="HR20" i="2" s="1"/>
  <c r="HS20" i="2" s="1"/>
  <c r="HT20" i="2" s="1"/>
  <c r="HU20" i="2" s="1"/>
  <c r="HV20" i="2" s="1"/>
  <c r="HW20" i="2" s="1"/>
  <c r="HX20" i="2" s="1"/>
  <c r="HY20" i="2" s="1"/>
  <c r="HZ20" i="2" s="1"/>
  <c r="IA20" i="2" s="1"/>
  <c r="IB20" i="2" s="1"/>
  <c r="IC20" i="2" s="1"/>
  <c r="ID20" i="2" s="1"/>
  <c r="IE20" i="2" s="1"/>
  <c r="IF20" i="2" s="1"/>
  <c r="IG20" i="2" s="1"/>
  <c r="IH20" i="2" s="1"/>
  <c r="II20" i="2" s="1"/>
  <c r="IJ20" i="2" s="1"/>
  <c r="IK20" i="2" s="1"/>
  <c r="IL20" i="2" s="1"/>
  <c r="IM20" i="2" s="1"/>
  <c r="IN20" i="2" s="1"/>
  <c r="IO20" i="2" s="1"/>
  <c r="IP20" i="2" s="1"/>
  <c r="IQ20" i="2" s="1"/>
  <c r="IR20" i="2" s="1"/>
  <c r="IS20" i="2" s="1"/>
  <c r="IT20" i="2" s="1"/>
  <c r="IU20" i="2" s="1"/>
  <c r="IV20" i="2" s="1"/>
  <c r="IW20" i="2" s="1"/>
  <c r="IX20" i="2" s="1"/>
  <c r="IY20" i="2" s="1"/>
  <c r="IZ20" i="2" s="1"/>
  <c r="JA20" i="2" s="1"/>
  <c r="JB20" i="2" s="1"/>
  <c r="JC20" i="2" s="1"/>
  <c r="JD20" i="2" s="1"/>
  <c r="JE20" i="2" s="1"/>
  <c r="JF20" i="2" s="1"/>
  <c r="JG20" i="2" s="1"/>
  <c r="JH20" i="2" s="1"/>
  <c r="JI20" i="2" s="1"/>
  <c r="JJ20" i="2" s="1"/>
  <c r="JK20" i="2" s="1"/>
  <c r="JL20" i="2" s="1"/>
  <c r="JM20" i="2" s="1"/>
  <c r="JN20" i="2" s="1"/>
  <c r="JO20" i="2" s="1"/>
  <c r="JP20" i="2" s="1"/>
  <c r="JQ20" i="2" s="1"/>
  <c r="JR20" i="2" s="1"/>
  <c r="JS20" i="2" s="1"/>
  <c r="JT20" i="2" s="1"/>
  <c r="JU20" i="2" s="1"/>
  <c r="JV20" i="2" s="1"/>
  <c r="JW20" i="2" s="1"/>
  <c r="JX20" i="2" s="1"/>
  <c r="JY20" i="2" s="1"/>
  <c r="JZ20" i="2" s="1"/>
  <c r="KA20" i="2" s="1"/>
  <c r="KB20" i="2" s="1"/>
  <c r="KC20" i="2" s="1"/>
  <c r="KD20" i="2" s="1"/>
  <c r="KE20" i="2" s="1"/>
  <c r="KF20" i="2" s="1"/>
  <c r="KG20" i="2" s="1"/>
  <c r="KH20" i="2" s="1"/>
  <c r="KI20" i="2" s="1"/>
  <c r="KJ20" i="2" s="1"/>
  <c r="KK20" i="2" s="1"/>
  <c r="KL20" i="2" s="1"/>
  <c r="KM20" i="2" s="1"/>
  <c r="KN20" i="2" s="1"/>
  <c r="KO20" i="2" s="1"/>
  <c r="KP20" i="2" s="1"/>
  <c r="KQ20" i="2" s="1"/>
  <c r="KR20" i="2" s="1"/>
  <c r="KS20" i="2" s="1"/>
  <c r="KT20" i="2" s="1"/>
  <c r="KU20" i="2" s="1"/>
  <c r="KV20" i="2" s="1"/>
  <c r="KW20" i="2" s="1"/>
  <c r="KX20" i="2" s="1"/>
  <c r="KY20" i="2" s="1"/>
  <c r="KZ20" i="2" s="1"/>
  <c r="LA20" i="2" s="1"/>
  <c r="LB20" i="2" s="1"/>
  <c r="LC20" i="2" s="1"/>
  <c r="LD20" i="2" s="1"/>
  <c r="LE20" i="2" s="1"/>
  <c r="LF20" i="2" s="1"/>
  <c r="LG20" i="2" s="1"/>
  <c r="LH20" i="2" s="1"/>
  <c r="LI20" i="2" s="1"/>
  <c r="LJ20" i="2" s="1"/>
  <c r="LK20" i="2" s="1"/>
  <c r="LL20" i="2" s="1"/>
  <c r="LM20" i="2" s="1"/>
  <c r="LN20" i="2" s="1"/>
  <c r="LO20" i="2" s="1"/>
  <c r="LP20" i="2" s="1"/>
  <c r="LQ20" i="2" s="1"/>
  <c r="LR20" i="2" s="1"/>
  <c r="LS20" i="2" s="1"/>
  <c r="LT20" i="2" s="1"/>
  <c r="LU20" i="2" s="1"/>
  <c r="LV20" i="2" s="1"/>
  <c r="LW20" i="2" s="1"/>
  <c r="LX20" i="2" s="1"/>
  <c r="LY20" i="2" s="1"/>
  <c r="LZ20" i="2" s="1"/>
  <c r="MA20" i="2" s="1"/>
  <c r="MB20" i="2" s="1"/>
  <c r="MC20" i="2" s="1"/>
  <c r="MD20" i="2" s="1"/>
  <c r="ME20" i="2" s="1"/>
  <c r="MF20" i="2" s="1"/>
  <c r="MG20" i="2" s="1"/>
  <c r="MH20" i="2" s="1"/>
  <c r="MI20" i="2" s="1"/>
  <c r="MJ20" i="2" s="1"/>
  <c r="MK20" i="2" s="1"/>
  <c r="ML20" i="2" s="1"/>
  <c r="MM20" i="2" s="1"/>
  <c r="MN20" i="2" s="1"/>
  <c r="MO20" i="2" s="1"/>
  <c r="MP20" i="2" s="1"/>
  <c r="MQ20" i="2" s="1"/>
  <c r="MR20" i="2" s="1"/>
  <c r="MS20" i="2" s="1"/>
  <c r="MT20" i="2" s="1"/>
  <c r="MU20" i="2" s="1"/>
  <c r="MV20" i="2" s="1"/>
  <c r="MW20" i="2" s="1"/>
  <c r="MX20" i="2" s="1"/>
  <c r="MY20" i="2" s="1"/>
  <c r="MZ20" i="2" s="1"/>
  <c r="NA20" i="2" s="1"/>
  <c r="NB20" i="2" s="1"/>
  <c r="NC20" i="2" s="1"/>
  <c r="ND20" i="2" s="1"/>
  <c r="NE20" i="2" s="1"/>
  <c r="NF20" i="2" s="1"/>
  <c r="NG20" i="2" s="1"/>
  <c r="NH20" i="2" s="1"/>
  <c r="NI20" i="2" s="1"/>
  <c r="NJ20" i="2" s="1"/>
  <c r="NK20" i="2" s="1"/>
  <c r="NL20" i="2" s="1"/>
  <c r="NM20" i="2" s="1"/>
  <c r="NN20" i="2" s="1"/>
  <c r="NO20" i="2" s="1"/>
  <c r="NP20" i="2" s="1"/>
  <c r="NQ20" i="2" s="1"/>
  <c r="NR20" i="2" s="1"/>
  <c r="NS20" i="2" s="1"/>
  <c r="NT20" i="2" s="1"/>
  <c r="NU20" i="2" s="1"/>
  <c r="NV20" i="2" s="1"/>
  <c r="NW20" i="2" s="1"/>
  <c r="NX20" i="2" s="1"/>
  <c r="NY20" i="2" s="1"/>
  <c r="NZ20" i="2" s="1"/>
  <c r="OA20" i="2" s="1"/>
  <c r="OB20" i="2" s="1"/>
  <c r="OC20" i="2" s="1"/>
  <c r="OD20" i="2" s="1"/>
  <c r="OE20" i="2" s="1"/>
  <c r="OF20" i="2" s="1"/>
  <c r="OG20" i="2" s="1"/>
  <c r="OH20" i="2" s="1"/>
  <c r="OI20" i="2" s="1"/>
  <c r="OJ20" i="2" s="1"/>
  <c r="OK20" i="2" s="1"/>
  <c r="OL20" i="2" s="1"/>
  <c r="OM20" i="2" s="1"/>
  <c r="ON20" i="2" s="1"/>
  <c r="OO20" i="2" s="1"/>
  <c r="OP20" i="2" s="1"/>
  <c r="OQ20" i="2" s="1"/>
  <c r="OR20" i="2" s="1"/>
  <c r="OS20" i="2" s="1"/>
  <c r="OT20" i="2" s="1"/>
  <c r="OU20" i="2" s="1"/>
  <c r="OV20" i="2" s="1"/>
  <c r="OW20" i="2" s="1"/>
  <c r="OX20" i="2" s="1"/>
  <c r="OY20" i="2" s="1"/>
  <c r="OZ20" i="2" s="1"/>
  <c r="PA20" i="2" s="1"/>
  <c r="PB20" i="2" s="1"/>
  <c r="PC20" i="2" s="1"/>
  <c r="PD20" i="2" s="1"/>
  <c r="PE20" i="2" s="1"/>
  <c r="PF20" i="2" s="1"/>
  <c r="PG20" i="2" s="1"/>
  <c r="PH20" i="2" s="1"/>
  <c r="PI20" i="2" s="1"/>
  <c r="PJ20" i="2" s="1"/>
  <c r="PK20" i="2" s="1"/>
  <c r="PL20" i="2" s="1"/>
  <c r="PM20" i="2" s="1"/>
  <c r="PN20" i="2" s="1"/>
  <c r="PO20" i="2" s="1"/>
  <c r="PP20" i="2" s="1"/>
  <c r="PQ20" i="2" s="1"/>
  <c r="PR20" i="2" s="1"/>
  <c r="PS20" i="2" s="1"/>
  <c r="PT20" i="2" s="1"/>
  <c r="PU20" i="2" s="1"/>
  <c r="PV20" i="2" s="1"/>
  <c r="PW20" i="2" s="1"/>
  <c r="PX20" i="2" s="1"/>
  <c r="PY20" i="2" s="1"/>
  <c r="PZ20" i="2" s="1"/>
  <c r="QA20" i="2" s="1"/>
  <c r="QB20" i="2" s="1"/>
  <c r="QC20" i="2" s="1"/>
  <c r="QD20" i="2" s="1"/>
  <c r="QE20" i="2" s="1"/>
  <c r="QF20" i="2" s="1"/>
  <c r="QG20" i="2" s="1"/>
  <c r="QH20" i="2" s="1"/>
  <c r="QI20" i="2" s="1"/>
  <c r="QJ20" i="2" s="1"/>
  <c r="QK20" i="2" s="1"/>
  <c r="QL20" i="2" s="1"/>
  <c r="QM20" i="2" s="1"/>
  <c r="QN20" i="2" s="1"/>
  <c r="QO20" i="2" s="1"/>
  <c r="QP20" i="2" s="1"/>
  <c r="QQ20" i="2" s="1"/>
  <c r="QR20" i="2" s="1"/>
  <c r="QS20" i="2" s="1"/>
  <c r="QT20" i="2" s="1"/>
  <c r="QU20" i="2" s="1"/>
  <c r="QV20" i="2" s="1"/>
  <c r="QW20" i="2" s="1"/>
  <c r="QX20" i="2" s="1"/>
  <c r="QY20" i="2" s="1"/>
  <c r="QZ20" i="2" s="1"/>
  <c r="RA20" i="2" s="1"/>
  <c r="RB20" i="2" s="1"/>
  <c r="RC20" i="2" s="1"/>
  <c r="RD20" i="2" s="1"/>
  <c r="RE20" i="2" s="1"/>
  <c r="RF20" i="2" s="1"/>
  <c r="RG20" i="2" s="1"/>
  <c r="RH20" i="2" s="1"/>
  <c r="RI20" i="2" s="1"/>
  <c r="RJ20" i="2" s="1"/>
  <c r="RK20" i="2" s="1"/>
  <c r="RL20" i="2" s="1"/>
  <c r="RM20" i="2" s="1"/>
  <c r="RN20" i="2" s="1"/>
  <c r="RO20" i="2" s="1"/>
  <c r="RP20" i="2" s="1"/>
  <c r="RQ20" i="2" s="1"/>
  <c r="RR20" i="2" s="1"/>
  <c r="RS20" i="2" s="1"/>
  <c r="RT20" i="2" s="1"/>
  <c r="RU20" i="2" s="1"/>
  <c r="RV20" i="2" s="1"/>
  <c r="RW20" i="2" s="1"/>
  <c r="RX20" i="2" s="1"/>
  <c r="RY20" i="2" s="1"/>
  <c r="RZ20" i="2" s="1"/>
  <c r="SA20" i="2" s="1"/>
  <c r="SB20" i="2" s="1"/>
  <c r="SC20" i="2" s="1"/>
  <c r="SD20" i="2" s="1"/>
  <c r="SE20" i="2" s="1"/>
  <c r="SF20" i="2" s="1"/>
  <c r="SG20" i="2" s="1"/>
  <c r="SH20" i="2" s="1"/>
  <c r="SI20" i="2" s="1"/>
  <c r="SJ20" i="2" s="1"/>
  <c r="SK20" i="2" s="1"/>
  <c r="SL20" i="2" s="1"/>
  <c r="SM20" i="2" s="1"/>
  <c r="SN20" i="2" s="1"/>
  <c r="SO20" i="2" s="1"/>
  <c r="SP20" i="2" s="1"/>
  <c r="SQ20" i="2" s="1"/>
  <c r="SR20" i="2" s="1"/>
  <c r="SS20" i="2" s="1"/>
  <c r="ST20" i="2" s="1"/>
  <c r="SU20" i="2" s="1"/>
  <c r="SV20" i="2" s="1"/>
  <c r="SW20" i="2" s="1"/>
  <c r="SX20" i="2" s="1"/>
  <c r="SY20" i="2" s="1"/>
  <c r="SZ20" i="2" s="1"/>
  <c r="TA20" i="2" s="1"/>
  <c r="TB20" i="2" s="1"/>
  <c r="TC20" i="2" s="1"/>
  <c r="TD20" i="2" s="1"/>
  <c r="TE20" i="2" s="1"/>
  <c r="TF20" i="2" s="1"/>
  <c r="TG20" i="2" s="1"/>
  <c r="TH20" i="2" s="1"/>
  <c r="TI20" i="2" s="1"/>
  <c r="TJ20" i="2" s="1"/>
  <c r="TK20" i="2" s="1"/>
  <c r="TL20" i="2" s="1"/>
  <c r="TM20" i="2" s="1"/>
  <c r="TN20" i="2" s="1"/>
  <c r="TO20" i="2" s="1"/>
  <c r="TP20" i="2" s="1"/>
  <c r="TQ20" i="2" s="1"/>
  <c r="TR20" i="2" s="1"/>
  <c r="TS20" i="2" s="1"/>
  <c r="TT20" i="2" s="1"/>
  <c r="TU20" i="2" s="1"/>
  <c r="TV20" i="2" s="1"/>
  <c r="TW20" i="2" s="1"/>
  <c r="TX20" i="2" s="1"/>
  <c r="TY20" i="2" s="1"/>
  <c r="TZ20" i="2" s="1"/>
  <c r="UA20" i="2" s="1"/>
  <c r="UB20" i="2" s="1"/>
  <c r="UC20" i="2" s="1"/>
  <c r="UD20" i="2" s="1"/>
  <c r="UE20" i="2" s="1"/>
  <c r="UF20" i="2" s="1"/>
  <c r="UG20" i="2" s="1"/>
  <c r="UH20" i="2" s="1"/>
  <c r="UI20" i="2" s="1"/>
  <c r="UJ20" i="2" s="1"/>
  <c r="UK20" i="2" s="1"/>
  <c r="UL20" i="2" s="1"/>
  <c r="UM20" i="2" s="1"/>
  <c r="UN20" i="2" s="1"/>
  <c r="UO20" i="2" s="1"/>
  <c r="UP20" i="2" s="1"/>
  <c r="UQ20" i="2" s="1"/>
  <c r="UR20" i="2" s="1"/>
  <c r="US20" i="2" s="1"/>
  <c r="UT20" i="2" s="1"/>
  <c r="UU20" i="2" s="1"/>
  <c r="UV20" i="2" s="1"/>
  <c r="UW20" i="2" s="1"/>
  <c r="UX20" i="2" s="1"/>
  <c r="UY20" i="2" s="1"/>
  <c r="UZ20" i="2" s="1"/>
  <c r="VA20" i="2" s="1"/>
  <c r="VB20" i="2" s="1"/>
  <c r="VC20" i="2" s="1"/>
  <c r="VD20" i="2" s="1"/>
  <c r="VE20" i="2" s="1"/>
  <c r="VF20" i="2" s="1"/>
  <c r="VG20" i="2" s="1"/>
  <c r="VH20" i="2" s="1"/>
  <c r="VI20" i="2" s="1"/>
  <c r="VJ20" i="2" s="1"/>
  <c r="VK20" i="2" s="1"/>
  <c r="VL20" i="2" s="1"/>
  <c r="VM20" i="2" s="1"/>
  <c r="VN20" i="2" s="1"/>
  <c r="VO20" i="2" s="1"/>
  <c r="VP20" i="2" s="1"/>
  <c r="VQ20" i="2" s="1"/>
  <c r="VR20" i="2" s="1"/>
  <c r="VS20" i="2" s="1"/>
  <c r="VT20" i="2" s="1"/>
  <c r="VU20" i="2" s="1"/>
  <c r="VV20" i="2" s="1"/>
  <c r="VW20" i="2" s="1"/>
  <c r="VX20" i="2" s="1"/>
  <c r="VY20" i="2" s="1"/>
  <c r="VZ20" i="2" s="1"/>
  <c r="WA20" i="2" s="1"/>
  <c r="WB20" i="2" s="1"/>
  <c r="WC20" i="2" s="1"/>
  <c r="WD20" i="2" s="1"/>
  <c r="WE20" i="2" s="1"/>
  <c r="WF20" i="2" s="1"/>
  <c r="WG20" i="2" s="1"/>
  <c r="WH20" i="2" s="1"/>
  <c r="WI20" i="2" s="1"/>
  <c r="WJ20" i="2" s="1"/>
  <c r="WK20" i="2" s="1"/>
  <c r="WL20" i="2" s="1"/>
  <c r="WM20" i="2" s="1"/>
  <c r="WN20" i="2" s="1"/>
  <c r="WO20" i="2" s="1"/>
  <c r="WP20" i="2" s="1"/>
  <c r="WQ20" i="2" s="1"/>
  <c r="WR20" i="2" s="1"/>
  <c r="WS20" i="2" s="1"/>
  <c r="WT20" i="2" s="1"/>
  <c r="WU20" i="2" s="1"/>
  <c r="WV20" i="2" s="1"/>
  <c r="WW20" i="2" s="1"/>
  <c r="WX20" i="2" s="1"/>
  <c r="WY20" i="2" s="1"/>
  <c r="WZ20" i="2" s="1"/>
  <c r="XA20" i="2" s="1"/>
  <c r="XB20" i="2" s="1"/>
  <c r="XC20" i="2" s="1"/>
  <c r="XD20" i="2" s="1"/>
  <c r="XE20" i="2" s="1"/>
  <c r="XF20" i="2" s="1"/>
  <c r="XG20" i="2" s="1"/>
  <c r="XH20" i="2" s="1"/>
  <c r="XI20" i="2" s="1"/>
  <c r="XJ20" i="2" s="1"/>
  <c r="XK20" i="2" s="1"/>
  <c r="XL20" i="2" s="1"/>
  <c r="XM20" i="2" s="1"/>
  <c r="XN20" i="2" s="1"/>
  <c r="XO20" i="2" s="1"/>
  <c r="XP20" i="2" s="1"/>
  <c r="XQ20" i="2" s="1"/>
  <c r="XR20" i="2" s="1"/>
  <c r="XS20" i="2" s="1"/>
  <c r="XT20" i="2" s="1"/>
  <c r="XU20" i="2" s="1"/>
  <c r="XV20" i="2" s="1"/>
  <c r="XW20" i="2" s="1"/>
  <c r="XX20" i="2" s="1"/>
  <c r="XY20" i="2" s="1"/>
  <c r="XZ20" i="2" s="1"/>
  <c r="YA20" i="2" s="1"/>
  <c r="YB20" i="2" s="1"/>
  <c r="YC20" i="2" s="1"/>
  <c r="YD20" i="2" s="1"/>
  <c r="YE20" i="2" s="1"/>
  <c r="YF20" i="2" s="1"/>
  <c r="YG20" i="2" s="1"/>
  <c r="YH20" i="2" s="1"/>
  <c r="YI20" i="2" s="1"/>
  <c r="YJ20" i="2" s="1"/>
  <c r="YK20" i="2" s="1"/>
  <c r="YL20" i="2" s="1"/>
  <c r="YM20" i="2" s="1"/>
  <c r="YN20" i="2" s="1"/>
  <c r="YO20" i="2" s="1"/>
  <c r="YP20" i="2" s="1"/>
  <c r="YQ20" i="2" s="1"/>
  <c r="YR20" i="2" s="1"/>
  <c r="YS20" i="2" s="1"/>
  <c r="YT20" i="2" s="1"/>
  <c r="YU20" i="2" s="1"/>
  <c r="YV20" i="2" s="1"/>
  <c r="YW20" i="2" s="1"/>
  <c r="YX20" i="2" s="1"/>
  <c r="YY20" i="2" s="1"/>
  <c r="YZ20" i="2" s="1"/>
  <c r="ZA20" i="2" s="1"/>
  <c r="ZB20" i="2" s="1"/>
  <c r="ZC20" i="2" s="1"/>
  <c r="ZD20" i="2" s="1"/>
  <c r="AY20" i="2"/>
  <c r="AX20" i="2"/>
  <c r="AU27" i="2" l="1"/>
  <c r="AU28" i="2" s="1"/>
  <c r="AU30" i="2" s="1"/>
  <c r="AO20" i="2"/>
  <c r="AP20" i="2" s="1"/>
  <c r="AQ20" i="2" s="1"/>
  <c r="AR20" i="2" s="1"/>
  <c r="AS20" i="2" s="1"/>
  <c r="AT20" i="2" s="1"/>
  <c r="AU20" i="2" s="1"/>
  <c r="AV20" i="2" s="1"/>
  <c r="AW20" i="2" s="1"/>
  <c r="AN20" i="2"/>
  <c r="AH20" i="2"/>
  <c r="AM20" i="2"/>
  <c r="AL20" i="2"/>
  <c r="AK20" i="2"/>
  <c r="AJ20" i="2"/>
  <c r="AI20" i="2"/>
  <c r="AG5" i="2"/>
  <c r="AH5" i="2" s="1"/>
  <c r="AI5" i="2" s="1"/>
  <c r="AJ5" i="2" s="1"/>
  <c r="AK5" i="2" s="1"/>
  <c r="AL5" i="2" s="1"/>
  <c r="AM5" i="2" s="1"/>
  <c r="AF5" i="2"/>
  <c r="AF20" i="2" s="1"/>
  <c r="AF70" i="2" s="1"/>
  <c r="AD36" i="2"/>
  <c r="AE36" i="2"/>
  <c r="AE14" i="2"/>
  <c r="AE8" i="2"/>
  <c r="AE9" i="2" s="1"/>
  <c r="AE15" i="2" s="1"/>
  <c r="AE18" i="2" s="1"/>
  <c r="AE5" i="2"/>
  <c r="AD40" i="2"/>
  <c r="AE40" i="2"/>
  <c r="AC128" i="2"/>
  <c r="AB128" i="2"/>
  <c r="AC127" i="2"/>
  <c r="AB127" i="2"/>
  <c r="AB126" i="2"/>
  <c r="AC126" i="2"/>
  <c r="AE124" i="2"/>
  <c r="AD124" i="2"/>
  <c r="AC124" i="2"/>
  <c r="AB124" i="2"/>
  <c r="AA124" i="2"/>
  <c r="AC123" i="2"/>
  <c r="AB123" i="2"/>
  <c r="AA123" i="2"/>
  <c r="AC122" i="2"/>
  <c r="AB122" i="2"/>
  <c r="AA122" i="2"/>
  <c r="AC121" i="2"/>
  <c r="AB121" i="2"/>
  <c r="AA121" i="2"/>
  <c r="AC118" i="2"/>
  <c r="AB118" i="2"/>
  <c r="AC117" i="2"/>
  <c r="AB117" i="2"/>
  <c r="AC116" i="2"/>
  <c r="AB116" i="2"/>
  <c r="AC115" i="2"/>
  <c r="AB115" i="2"/>
  <c r="AB114" i="2"/>
  <c r="AC114" i="2"/>
  <c r="AE112" i="2"/>
  <c r="AD112" i="2"/>
  <c r="AC112" i="2"/>
  <c r="AB112" i="2"/>
  <c r="AA112" i="2"/>
  <c r="AC111" i="2"/>
  <c r="AB111" i="2"/>
  <c r="AA111" i="2"/>
  <c r="AC110" i="2"/>
  <c r="AB110" i="2"/>
  <c r="AA110" i="2"/>
  <c r="AC109" i="2"/>
  <c r="AB109" i="2"/>
  <c r="AA109" i="2"/>
  <c r="AC108" i="2"/>
  <c r="AB108" i="2"/>
  <c r="AA108" i="2"/>
  <c r="AC107" i="2"/>
  <c r="AB107" i="2"/>
  <c r="AA107" i="2"/>
  <c r="AC103" i="2"/>
  <c r="AB103" i="2"/>
  <c r="AA98" i="2"/>
  <c r="AC96" i="2"/>
  <c r="AB96" i="2"/>
  <c r="AA96" i="2"/>
  <c r="AB83" i="2"/>
  <c r="AB90" i="2" s="1"/>
  <c r="AC94" i="2"/>
  <c r="AB94" i="2"/>
  <c r="AA94" i="2"/>
  <c r="AC93" i="2"/>
  <c r="AB93" i="2"/>
  <c r="AA93" i="2"/>
  <c r="AC92" i="2"/>
  <c r="AB92" i="2"/>
  <c r="AA92" i="2"/>
  <c r="AC91" i="2"/>
  <c r="AC95" i="2" s="1"/>
  <c r="AB91" i="2"/>
  <c r="AB95" i="2" s="1"/>
  <c r="AA91" i="2"/>
  <c r="AA95" i="2" s="1"/>
  <c r="AC89" i="2"/>
  <c r="AC102" i="2" s="1"/>
  <c r="AB89" i="2"/>
  <c r="AB102" i="2" s="1"/>
  <c r="AA89" i="2"/>
  <c r="AA102" i="2" s="1"/>
  <c r="AC88" i="2"/>
  <c r="AB88" i="2"/>
  <c r="AA88" i="2"/>
  <c r="AC87" i="2"/>
  <c r="AB87" i="2"/>
  <c r="AA87" i="2"/>
  <c r="AC86" i="2"/>
  <c r="AB86" i="2"/>
  <c r="AA86" i="2"/>
  <c r="AC85" i="2"/>
  <c r="AC90" i="2" s="1"/>
  <c r="AB85" i="2"/>
  <c r="AA85" i="2"/>
  <c r="AA90" i="2" s="1"/>
  <c r="AC84" i="2"/>
  <c r="AB84" i="2"/>
  <c r="AA84" i="2"/>
  <c r="AC83" i="2"/>
  <c r="AA83" i="2"/>
  <c r="AC101" i="2"/>
  <c r="AB101" i="2"/>
  <c r="AA101" i="2"/>
  <c r="AC82" i="2"/>
  <c r="AB82" i="2"/>
  <c r="AA82" i="2"/>
  <c r="AC81" i="2"/>
  <c r="AB81" i="2"/>
  <c r="AA81" i="2"/>
  <c r="AC80" i="2"/>
  <c r="AB80" i="2"/>
  <c r="AA80" i="2"/>
  <c r="AC79" i="2"/>
  <c r="AB79" i="2"/>
  <c r="AA79" i="2"/>
  <c r="AC78" i="2"/>
  <c r="AB78" i="2"/>
  <c r="AA78" i="2"/>
  <c r="AC77" i="2"/>
  <c r="AB77" i="2"/>
  <c r="AA77" i="2"/>
  <c r="AC76" i="2"/>
  <c r="AB76" i="2"/>
  <c r="AA76" i="2"/>
  <c r="AC75" i="2"/>
  <c r="AB75" i="2"/>
  <c r="AA75" i="2"/>
  <c r="AC74" i="2"/>
  <c r="AB74" i="2"/>
  <c r="AA74" i="2"/>
  <c r="AC73" i="2"/>
  <c r="AB73" i="2"/>
  <c r="AA73" i="2"/>
  <c r="AC72" i="2"/>
  <c r="AB72" i="2"/>
  <c r="AA72" i="2"/>
  <c r="AC71" i="2"/>
  <c r="AB71" i="2"/>
  <c r="AA71" i="2"/>
  <c r="AF102" i="2"/>
  <c r="AE102" i="2"/>
  <c r="AD102" i="2"/>
  <c r="AE101" i="2"/>
  <c r="AF103" i="2" s="1"/>
  <c r="AD101" i="2"/>
  <c r="AF95" i="2"/>
  <c r="AE95" i="2"/>
  <c r="AD95" i="2"/>
  <c r="AF90" i="2"/>
  <c r="AF97" i="2" s="1"/>
  <c r="AE90" i="2"/>
  <c r="AE97" i="2" s="1"/>
  <c r="AD90" i="2"/>
  <c r="AD97" i="2" s="1"/>
  <c r="AF82" i="2"/>
  <c r="AE64" i="2"/>
  <c r="AE66" i="2" s="1"/>
  <c r="AD64" i="2"/>
  <c r="AD66" i="2" s="1"/>
  <c r="AE57" i="2"/>
  <c r="AD57" i="2"/>
  <c r="AE44" i="2"/>
  <c r="AD44" i="2"/>
  <c r="AC70" i="2"/>
  <c r="AB70" i="2"/>
  <c r="AA70" i="2"/>
  <c r="AA64" i="2"/>
  <c r="AA66" i="2" s="1"/>
  <c r="AA61" i="2"/>
  <c r="AA57" i="2"/>
  <c r="AA44" i="2"/>
  <c r="AB61" i="2"/>
  <c r="AB64" i="2" s="1"/>
  <c r="AB66" i="2" s="1"/>
  <c r="AB57" i="2"/>
  <c r="AB44" i="2"/>
  <c r="AC64" i="2"/>
  <c r="AC66" i="2" s="1"/>
  <c r="AC57" i="2"/>
  <c r="AC44" i="2"/>
  <c r="AC40" i="2"/>
  <c r="AB40" i="2"/>
  <c r="AC39" i="2"/>
  <c r="AB39" i="2"/>
  <c r="AB38" i="2"/>
  <c r="AC38" i="2"/>
  <c r="AC21" i="2"/>
  <c r="AB21" i="2"/>
  <c r="AA21" i="2"/>
  <c r="AC19" i="2"/>
  <c r="AB19" i="2"/>
  <c r="AA19" i="2"/>
  <c r="AC17" i="2"/>
  <c r="AB17" i="2"/>
  <c r="AA17" i="2"/>
  <c r="AC16" i="2"/>
  <c r="AB16" i="2"/>
  <c r="AA16" i="2"/>
  <c r="AC13" i="2"/>
  <c r="AB13" i="2"/>
  <c r="AA13" i="2"/>
  <c r="AC12" i="2"/>
  <c r="AB12" i="2"/>
  <c r="AA12" i="2"/>
  <c r="AC11" i="2"/>
  <c r="AB11" i="2"/>
  <c r="AA11" i="2"/>
  <c r="AC10" i="2"/>
  <c r="AB10" i="2"/>
  <c r="AA10" i="2"/>
  <c r="AC7" i="2"/>
  <c r="AB7" i="2"/>
  <c r="AA7" i="2"/>
  <c r="AC6" i="2"/>
  <c r="AC8" i="2" s="1"/>
  <c r="AB6" i="2"/>
  <c r="AB8" i="2" s="1"/>
  <c r="AA6" i="2"/>
  <c r="AC4" i="2"/>
  <c r="AC26" i="2" s="1"/>
  <c r="AB4" i="2"/>
  <c r="AA4" i="2"/>
  <c r="AC3" i="2"/>
  <c r="AB3" i="2"/>
  <c r="AA3" i="2"/>
  <c r="AA25" i="2" s="1"/>
  <c r="AD14" i="2"/>
  <c r="AD8" i="2"/>
  <c r="AD5" i="2"/>
  <c r="F61" i="2"/>
  <c r="F64" i="2" s="1"/>
  <c r="F66" i="2" s="1"/>
  <c r="G93" i="2"/>
  <c r="G95" i="2" s="1"/>
  <c r="K61" i="2"/>
  <c r="K64" i="2" s="1"/>
  <c r="K66" i="2" s="1"/>
  <c r="H93" i="2"/>
  <c r="H95" i="2" s="1"/>
  <c r="L93" i="2"/>
  <c r="L95" i="2" s="1"/>
  <c r="I124" i="2"/>
  <c r="J61" i="2"/>
  <c r="J64" i="2" s="1"/>
  <c r="J66" i="2" s="1"/>
  <c r="V134" i="2"/>
  <c r="U134" i="2"/>
  <c r="T134" i="2"/>
  <c r="S134" i="2"/>
  <c r="R134" i="2"/>
  <c r="Q134" i="2"/>
  <c r="P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O134" i="2"/>
  <c r="V128" i="2"/>
  <c r="U128" i="2"/>
  <c r="T128" i="2"/>
  <c r="S128" i="2"/>
  <c r="R128" i="2"/>
  <c r="Q128" i="2"/>
  <c r="P128" i="2"/>
  <c r="O128" i="2"/>
  <c r="V127" i="2"/>
  <c r="U127" i="2"/>
  <c r="T127" i="2"/>
  <c r="S127" i="2"/>
  <c r="R127" i="2"/>
  <c r="Q127" i="2"/>
  <c r="P127" i="2"/>
  <c r="O127" i="2"/>
  <c r="V126" i="2"/>
  <c r="U126" i="2"/>
  <c r="T126" i="2"/>
  <c r="S126" i="2"/>
  <c r="R126" i="2"/>
  <c r="Q126" i="2"/>
  <c r="P126" i="2"/>
  <c r="N128" i="2"/>
  <c r="M128" i="2"/>
  <c r="L128" i="2"/>
  <c r="K128" i="2"/>
  <c r="J128" i="2"/>
  <c r="I128" i="2"/>
  <c r="H128" i="2"/>
  <c r="G128" i="2"/>
  <c r="N127" i="2"/>
  <c r="M127" i="2"/>
  <c r="L127" i="2"/>
  <c r="K127" i="2"/>
  <c r="J127" i="2"/>
  <c r="I127" i="2"/>
  <c r="H127" i="2"/>
  <c r="G127" i="2"/>
  <c r="N126" i="2"/>
  <c r="M126" i="2"/>
  <c r="L126" i="2"/>
  <c r="K126" i="2"/>
  <c r="J126" i="2"/>
  <c r="I126" i="2"/>
  <c r="H126" i="2"/>
  <c r="G126" i="2"/>
  <c r="O126" i="2"/>
  <c r="V124" i="2"/>
  <c r="U124" i="2"/>
  <c r="T124" i="2"/>
  <c r="S124" i="2"/>
  <c r="R124" i="2"/>
  <c r="Q124" i="2"/>
  <c r="P124" i="2"/>
  <c r="N124" i="2"/>
  <c r="M124" i="2"/>
  <c r="L124" i="2"/>
  <c r="K124" i="2"/>
  <c r="J124" i="2"/>
  <c r="H124" i="2"/>
  <c r="G124" i="2"/>
  <c r="F124" i="2"/>
  <c r="E124" i="2"/>
  <c r="D124" i="2"/>
  <c r="C124" i="2"/>
  <c r="O124" i="2"/>
  <c r="V118" i="2"/>
  <c r="U118" i="2"/>
  <c r="T118" i="2"/>
  <c r="S118" i="2"/>
  <c r="R118" i="2"/>
  <c r="Q118" i="2"/>
  <c r="P118" i="2"/>
  <c r="V117" i="2"/>
  <c r="U117" i="2"/>
  <c r="T117" i="2"/>
  <c r="S117" i="2"/>
  <c r="R117" i="2"/>
  <c r="Q117" i="2"/>
  <c r="P117" i="2"/>
  <c r="V116" i="2"/>
  <c r="U116" i="2"/>
  <c r="T116" i="2"/>
  <c r="S116" i="2"/>
  <c r="R116" i="2"/>
  <c r="Q116" i="2"/>
  <c r="P116" i="2"/>
  <c r="V115" i="2"/>
  <c r="U115" i="2"/>
  <c r="T115" i="2"/>
  <c r="S115" i="2"/>
  <c r="R115" i="2"/>
  <c r="Q115" i="2"/>
  <c r="P115" i="2"/>
  <c r="V114" i="2"/>
  <c r="U114" i="2"/>
  <c r="T114" i="2"/>
  <c r="S114" i="2"/>
  <c r="R114" i="2"/>
  <c r="Q114" i="2"/>
  <c r="P114" i="2"/>
  <c r="N118" i="2"/>
  <c r="M118" i="2"/>
  <c r="L118" i="2"/>
  <c r="K118" i="2"/>
  <c r="J118" i="2"/>
  <c r="I118" i="2"/>
  <c r="H118" i="2"/>
  <c r="G118" i="2"/>
  <c r="N117" i="2"/>
  <c r="M117" i="2"/>
  <c r="L117" i="2"/>
  <c r="K117" i="2"/>
  <c r="J117" i="2"/>
  <c r="I117" i="2"/>
  <c r="H117" i="2"/>
  <c r="G117" i="2"/>
  <c r="N116" i="2"/>
  <c r="M116" i="2"/>
  <c r="L116" i="2"/>
  <c r="K116" i="2"/>
  <c r="J116" i="2"/>
  <c r="I116" i="2"/>
  <c r="H116" i="2"/>
  <c r="G116" i="2"/>
  <c r="N115" i="2"/>
  <c r="M115" i="2"/>
  <c r="L115" i="2"/>
  <c r="K115" i="2"/>
  <c r="J115" i="2"/>
  <c r="I115" i="2"/>
  <c r="H115" i="2"/>
  <c r="G115" i="2"/>
  <c r="N114" i="2"/>
  <c r="M114" i="2"/>
  <c r="L114" i="2"/>
  <c r="K114" i="2"/>
  <c r="J114" i="2"/>
  <c r="I114" i="2"/>
  <c r="H114" i="2"/>
  <c r="G114" i="2"/>
  <c r="O118" i="2"/>
  <c r="O117" i="2"/>
  <c r="O116" i="2"/>
  <c r="O115" i="2"/>
  <c r="O114" i="2"/>
  <c r="V112" i="2"/>
  <c r="U112" i="2"/>
  <c r="T112" i="2"/>
  <c r="S112" i="2"/>
  <c r="R112" i="2"/>
  <c r="Q112" i="2"/>
  <c r="P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O112" i="2"/>
  <c r="V102" i="2"/>
  <c r="U102" i="2"/>
  <c r="T102" i="2"/>
  <c r="S102" i="2"/>
  <c r="R102" i="2"/>
  <c r="Q102" i="2"/>
  <c r="P102" i="2"/>
  <c r="R101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O102" i="2"/>
  <c r="V95" i="2"/>
  <c r="U95" i="2"/>
  <c r="T95" i="2"/>
  <c r="S95" i="2"/>
  <c r="R95" i="2"/>
  <c r="Q95" i="2"/>
  <c r="P95" i="2"/>
  <c r="N95" i="2"/>
  <c r="M95" i="2"/>
  <c r="K95" i="2"/>
  <c r="J95" i="2"/>
  <c r="I95" i="2"/>
  <c r="F95" i="2"/>
  <c r="E95" i="2"/>
  <c r="D95" i="2"/>
  <c r="C95" i="2"/>
  <c r="O95" i="2"/>
  <c r="V90" i="2"/>
  <c r="U90" i="2"/>
  <c r="T90" i="2"/>
  <c r="S90" i="2"/>
  <c r="R90" i="2"/>
  <c r="Q90" i="2"/>
  <c r="P90" i="2"/>
  <c r="N90" i="2"/>
  <c r="M90" i="2"/>
  <c r="L90" i="2"/>
  <c r="K90" i="2"/>
  <c r="J90" i="2"/>
  <c r="I90" i="2"/>
  <c r="H90" i="2"/>
  <c r="G90" i="2"/>
  <c r="F90" i="2"/>
  <c r="E90" i="2"/>
  <c r="D90" i="2"/>
  <c r="C90" i="2"/>
  <c r="O90" i="2"/>
  <c r="V82" i="2"/>
  <c r="U82" i="2"/>
  <c r="U101" i="2" s="1"/>
  <c r="T82" i="2"/>
  <c r="T101" i="2" s="1"/>
  <c r="S82" i="2"/>
  <c r="S101" i="2" s="1"/>
  <c r="R82" i="2"/>
  <c r="Q82" i="2"/>
  <c r="Q101" i="2" s="1"/>
  <c r="P82" i="2"/>
  <c r="P101" i="2" s="1"/>
  <c r="N82" i="2"/>
  <c r="N101" i="2" s="1"/>
  <c r="M82" i="2"/>
  <c r="M101" i="2" s="1"/>
  <c r="L82" i="2"/>
  <c r="L101" i="2" s="1"/>
  <c r="K82" i="2"/>
  <c r="K101" i="2" s="1"/>
  <c r="J82" i="2"/>
  <c r="J101" i="2" s="1"/>
  <c r="I82" i="2"/>
  <c r="I101" i="2" s="1"/>
  <c r="H82" i="2"/>
  <c r="G82" i="2"/>
  <c r="F82" i="2"/>
  <c r="E82" i="2"/>
  <c r="D82" i="2"/>
  <c r="C82" i="2"/>
  <c r="O82" i="2"/>
  <c r="V44" i="2"/>
  <c r="U44" i="2"/>
  <c r="T44" i="2"/>
  <c r="S44" i="2"/>
  <c r="R44" i="2"/>
  <c r="Q44" i="2"/>
  <c r="P44" i="2"/>
  <c r="N44" i="2"/>
  <c r="M44" i="2"/>
  <c r="L44" i="2"/>
  <c r="K44" i="2"/>
  <c r="I44" i="2"/>
  <c r="H44" i="2"/>
  <c r="G44" i="2"/>
  <c r="E44" i="2"/>
  <c r="D44" i="2"/>
  <c r="C44" i="2"/>
  <c r="J11" i="1"/>
  <c r="J10" i="1"/>
  <c r="O44" i="2"/>
  <c r="V64" i="2"/>
  <c r="V66" i="2" s="1"/>
  <c r="U64" i="2"/>
  <c r="U66" i="2" s="1"/>
  <c r="T64" i="2"/>
  <c r="T66" i="2" s="1"/>
  <c r="S64" i="2"/>
  <c r="S66" i="2" s="1"/>
  <c r="R64" i="2"/>
  <c r="R66" i="2" s="1"/>
  <c r="Q64" i="2"/>
  <c r="Q66" i="2" s="1"/>
  <c r="P64" i="2"/>
  <c r="P66" i="2" s="1"/>
  <c r="N64" i="2"/>
  <c r="N66" i="2" s="1"/>
  <c r="M64" i="2"/>
  <c r="M66" i="2" s="1"/>
  <c r="L64" i="2"/>
  <c r="L66" i="2" s="1"/>
  <c r="I64" i="2"/>
  <c r="I66" i="2" s="1"/>
  <c r="H64" i="2"/>
  <c r="H66" i="2" s="1"/>
  <c r="G64" i="2"/>
  <c r="G66" i="2" s="1"/>
  <c r="E64" i="2"/>
  <c r="E66" i="2" s="1"/>
  <c r="D64" i="2"/>
  <c r="D66" i="2" s="1"/>
  <c r="C64" i="2"/>
  <c r="C66" i="2" s="1"/>
  <c r="O64" i="2"/>
  <c r="O66" i="2" s="1"/>
  <c r="V57" i="2"/>
  <c r="U57" i="2"/>
  <c r="T57" i="2"/>
  <c r="S57" i="2"/>
  <c r="R57" i="2"/>
  <c r="Q57" i="2"/>
  <c r="P57" i="2"/>
  <c r="N57" i="2"/>
  <c r="M57" i="2"/>
  <c r="L57" i="2"/>
  <c r="K57" i="2"/>
  <c r="J57" i="2"/>
  <c r="I57" i="2"/>
  <c r="H57" i="2"/>
  <c r="G57" i="2"/>
  <c r="F57" i="2"/>
  <c r="E57" i="2"/>
  <c r="D57" i="2"/>
  <c r="C57" i="2"/>
  <c r="O5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O26" i="2"/>
  <c r="O25" i="2"/>
  <c r="N39" i="2"/>
  <c r="M39" i="2"/>
  <c r="L39" i="2"/>
  <c r="K39" i="2"/>
  <c r="J39" i="2"/>
  <c r="I39" i="2"/>
  <c r="H39" i="2"/>
  <c r="G39" i="2"/>
  <c r="N38" i="2"/>
  <c r="M38" i="2"/>
  <c r="L38" i="2"/>
  <c r="K38" i="2"/>
  <c r="J38" i="2"/>
  <c r="I38" i="2"/>
  <c r="H38" i="2"/>
  <c r="G38" i="2"/>
  <c r="O39" i="2"/>
  <c r="O38" i="2"/>
  <c r="V14" i="2"/>
  <c r="U14" i="2"/>
  <c r="T14" i="2"/>
  <c r="S14" i="2"/>
  <c r="R14" i="2"/>
  <c r="Q14" i="2"/>
  <c r="P14" i="2"/>
  <c r="N14" i="2"/>
  <c r="M14" i="2"/>
  <c r="L14" i="2"/>
  <c r="K14" i="2"/>
  <c r="J14" i="2"/>
  <c r="I14" i="2"/>
  <c r="H14" i="2"/>
  <c r="G14" i="2"/>
  <c r="F14" i="2"/>
  <c r="E14" i="2"/>
  <c r="D14" i="2"/>
  <c r="C14" i="2"/>
  <c r="O14" i="2"/>
  <c r="V8" i="2"/>
  <c r="U8" i="2"/>
  <c r="T8" i="2"/>
  <c r="S8" i="2"/>
  <c r="R8" i="2"/>
  <c r="Q8" i="2"/>
  <c r="P8" i="2"/>
  <c r="N8" i="2"/>
  <c r="M8" i="2"/>
  <c r="L8" i="2"/>
  <c r="K8" i="2"/>
  <c r="J8" i="2"/>
  <c r="I8" i="2"/>
  <c r="H8" i="2"/>
  <c r="G8" i="2"/>
  <c r="F8" i="2"/>
  <c r="E8" i="2"/>
  <c r="D8" i="2"/>
  <c r="C8" i="2"/>
  <c r="O8" i="2"/>
  <c r="V5" i="2"/>
  <c r="U5" i="2"/>
  <c r="T5" i="2"/>
  <c r="S5" i="2"/>
  <c r="R5" i="2"/>
  <c r="Q5" i="2"/>
  <c r="P5" i="2"/>
  <c r="N5" i="2"/>
  <c r="M5" i="2"/>
  <c r="L5" i="2"/>
  <c r="K5" i="2"/>
  <c r="J5" i="2"/>
  <c r="I5" i="2"/>
  <c r="H5" i="2"/>
  <c r="G5" i="2"/>
  <c r="F5" i="2"/>
  <c r="E5" i="2"/>
  <c r="D5" i="2"/>
  <c r="C5" i="2"/>
  <c r="O5" i="2"/>
  <c r="AG20" i="2" l="1"/>
  <c r="AE103" i="2"/>
  <c r="AD103" i="2"/>
  <c r="AE22" i="2"/>
  <c r="AE70" i="2"/>
  <c r="AB97" i="2"/>
  <c r="AC97" i="2"/>
  <c r="AA97" i="2"/>
  <c r="AA99" i="2" s="1"/>
  <c r="AB98" i="2" s="1"/>
  <c r="AB25" i="2"/>
  <c r="AC25" i="2"/>
  <c r="AA26" i="2"/>
  <c r="AB5" i="2"/>
  <c r="AA8" i="2"/>
  <c r="AD9" i="2"/>
  <c r="AD15" i="2" s="1"/>
  <c r="AD18" i="2" s="1"/>
  <c r="AA5" i="2"/>
  <c r="AA9" i="2" s="1"/>
  <c r="AA15" i="2" s="1"/>
  <c r="AA14" i="2"/>
  <c r="AB14" i="2"/>
  <c r="T97" i="2"/>
  <c r="O97" i="2"/>
  <c r="S97" i="2"/>
  <c r="AC14" i="2"/>
  <c r="U97" i="2"/>
  <c r="AB26" i="2"/>
  <c r="J44" i="2"/>
  <c r="R97" i="2"/>
  <c r="AB9" i="2"/>
  <c r="AB31" i="2" s="1"/>
  <c r="AC5" i="2"/>
  <c r="AC9" i="2" s="1"/>
  <c r="C97" i="2"/>
  <c r="C99" i="2" s="1"/>
  <c r="D98" i="2" s="1"/>
  <c r="D97" i="2"/>
  <c r="E97" i="2"/>
  <c r="F44" i="2"/>
  <c r="L97" i="2"/>
  <c r="P103" i="2"/>
  <c r="Q103" i="2"/>
  <c r="M103" i="2"/>
  <c r="O101" i="2"/>
  <c r="O103" i="2" s="1"/>
  <c r="R103" i="2"/>
  <c r="C101" i="2"/>
  <c r="H40" i="2"/>
  <c r="F97" i="2"/>
  <c r="D101" i="2"/>
  <c r="T103" i="2"/>
  <c r="G97" i="2"/>
  <c r="E101" i="2"/>
  <c r="I103" i="2" s="1"/>
  <c r="U103" i="2"/>
  <c r="H97" i="2"/>
  <c r="F101" i="2"/>
  <c r="J103" i="2" s="1"/>
  <c r="V97" i="2"/>
  <c r="M97" i="2"/>
  <c r="G101" i="2"/>
  <c r="K103" i="2" s="1"/>
  <c r="L40" i="2"/>
  <c r="N97" i="2"/>
  <c r="H101" i="2"/>
  <c r="L103" i="2" s="1"/>
  <c r="P97" i="2"/>
  <c r="Q97" i="2"/>
  <c r="N103" i="2"/>
  <c r="I97" i="2"/>
  <c r="G9" i="2"/>
  <c r="G15" i="2" s="1"/>
  <c r="G18" i="2" s="1"/>
  <c r="G20" i="2" s="1"/>
  <c r="G22" i="2" s="1"/>
  <c r="J97" i="2"/>
  <c r="T9" i="2"/>
  <c r="T15" i="2" s="1"/>
  <c r="T18" i="2" s="1"/>
  <c r="T20" i="2" s="1"/>
  <c r="T70" i="2" s="1"/>
  <c r="V101" i="2"/>
  <c r="V103" i="2" s="1"/>
  <c r="U9" i="2"/>
  <c r="U15" i="2" s="1"/>
  <c r="U18" i="2" s="1"/>
  <c r="U20" i="2" s="1"/>
  <c r="U22" i="2" s="1"/>
  <c r="I40" i="2"/>
  <c r="K97" i="2"/>
  <c r="G40" i="2"/>
  <c r="J9" i="2"/>
  <c r="J40" i="2"/>
  <c r="K40" i="2"/>
  <c r="G29" i="2"/>
  <c r="M9" i="2"/>
  <c r="M40" i="2"/>
  <c r="L9" i="2"/>
  <c r="O40" i="2"/>
  <c r="N9" i="2"/>
  <c r="C9" i="2"/>
  <c r="P9" i="2"/>
  <c r="P15" i="2" s="1"/>
  <c r="P18" i="2" s="1"/>
  <c r="P20" i="2" s="1"/>
  <c r="D9" i="2"/>
  <c r="Q9" i="2"/>
  <c r="Q15" i="2" s="1"/>
  <c r="Q18" i="2" s="1"/>
  <c r="Q20" i="2" s="1"/>
  <c r="H9" i="2"/>
  <c r="E9" i="2"/>
  <c r="R9" i="2"/>
  <c r="R15" i="2" s="1"/>
  <c r="R18" i="2" s="1"/>
  <c r="R20" i="2" s="1"/>
  <c r="I9" i="2"/>
  <c r="V9" i="2"/>
  <c r="V15" i="2" s="1"/>
  <c r="V18" i="2" s="1"/>
  <c r="V20" i="2" s="1"/>
  <c r="F9" i="2"/>
  <c r="S9" i="2"/>
  <c r="S15" i="2" s="1"/>
  <c r="S18" i="2" s="1"/>
  <c r="S20" i="2" s="1"/>
  <c r="N40" i="2"/>
  <c r="O9" i="2"/>
  <c r="K9" i="2"/>
  <c r="K15" i="2" s="1"/>
  <c r="AD22" i="2" l="1"/>
  <c r="AD70" i="2"/>
  <c r="AB99" i="2"/>
  <c r="AC98" i="2" s="1"/>
  <c r="AC99" i="2"/>
  <c r="AD98" i="2" s="1"/>
  <c r="AD99" i="2" s="1"/>
  <c r="AE98" i="2" s="1"/>
  <c r="AE99" i="2" s="1"/>
  <c r="AF98" i="2" s="1"/>
  <c r="AF99" i="2" s="1"/>
  <c r="T22" i="2"/>
  <c r="AC15" i="2"/>
  <c r="AC27" i="2"/>
  <c r="AC30" i="2"/>
  <c r="AC29" i="2"/>
  <c r="AC31" i="2"/>
  <c r="AA18" i="2"/>
  <c r="AA32" i="2"/>
  <c r="AA34" i="2"/>
  <c r="S103" i="2"/>
  <c r="AA30" i="2"/>
  <c r="AA27" i="2"/>
  <c r="AA29" i="2"/>
  <c r="G31" i="2"/>
  <c r="AB15" i="2"/>
  <c r="AB27" i="2"/>
  <c r="AB29" i="2"/>
  <c r="AA31" i="2"/>
  <c r="D99" i="2"/>
  <c r="E98" i="2" s="1"/>
  <c r="E99" i="2" s="1"/>
  <c r="F98" i="2" s="1"/>
  <c r="F99" i="2" s="1"/>
  <c r="G98" i="2" s="1"/>
  <c r="G99" i="2" s="1"/>
  <c r="H98" i="2" s="1"/>
  <c r="AB30" i="2"/>
  <c r="G35" i="2"/>
  <c r="G36" i="2"/>
  <c r="H103" i="2"/>
  <c r="U70" i="2"/>
  <c r="G103" i="2"/>
  <c r="G34" i="2"/>
  <c r="G30" i="2"/>
  <c r="G27" i="2"/>
  <c r="G32" i="2"/>
  <c r="G70" i="2"/>
  <c r="H15" i="2"/>
  <c r="H30" i="2"/>
  <c r="H29" i="2"/>
  <c r="H31" i="2"/>
  <c r="H27" i="2"/>
  <c r="Q22" i="2"/>
  <c r="Q70" i="2"/>
  <c r="M15" i="2"/>
  <c r="M31" i="2"/>
  <c r="M30" i="2"/>
  <c r="M29" i="2"/>
  <c r="M27" i="2"/>
  <c r="K31" i="2"/>
  <c r="K30" i="2"/>
  <c r="K29" i="2"/>
  <c r="K27" i="2"/>
  <c r="D15" i="2"/>
  <c r="D31" i="2"/>
  <c r="D30" i="2"/>
  <c r="D29" i="2"/>
  <c r="D27" i="2"/>
  <c r="O15" i="2"/>
  <c r="O31" i="2"/>
  <c r="O30" i="2"/>
  <c r="O29" i="2"/>
  <c r="O27" i="2"/>
  <c r="P22" i="2"/>
  <c r="P70" i="2"/>
  <c r="C15" i="2"/>
  <c r="C31" i="2"/>
  <c r="C30" i="2"/>
  <c r="C29" i="2"/>
  <c r="C27" i="2"/>
  <c r="N15" i="2"/>
  <c r="N31" i="2"/>
  <c r="N30" i="2"/>
  <c r="N29" i="2"/>
  <c r="N27" i="2"/>
  <c r="S22" i="2"/>
  <c r="S70" i="2"/>
  <c r="J15" i="2"/>
  <c r="J29" i="2"/>
  <c r="J31" i="2"/>
  <c r="J27" i="2"/>
  <c r="J30" i="2"/>
  <c r="F15" i="2"/>
  <c r="F31" i="2"/>
  <c r="F30" i="2"/>
  <c r="F29" i="2"/>
  <c r="F27" i="2"/>
  <c r="V22" i="2"/>
  <c r="V70" i="2"/>
  <c r="L15" i="2"/>
  <c r="L31" i="2"/>
  <c r="L30" i="2"/>
  <c r="L29" i="2"/>
  <c r="L27" i="2"/>
  <c r="I15" i="2"/>
  <c r="I29" i="2"/>
  <c r="I31" i="2"/>
  <c r="I27" i="2"/>
  <c r="I30" i="2"/>
  <c r="R22" i="2"/>
  <c r="R70" i="2"/>
  <c r="E15" i="2"/>
  <c r="E27" i="2"/>
  <c r="E30" i="2"/>
  <c r="E29" i="2"/>
  <c r="E31" i="2"/>
  <c r="K18" i="2"/>
  <c r="K34" i="2"/>
  <c r="K32" i="2"/>
  <c r="AA20" i="2" l="1"/>
  <c r="AA35" i="2"/>
  <c r="AB18" i="2"/>
  <c r="AB34" i="2"/>
  <c r="AB32" i="2"/>
  <c r="AC18" i="2"/>
  <c r="AC34" i="2"/>
  <c r="AC32" i="2"/>
  <c r="H99" i="2"/>
  <c r="I98" i="2" s="1"/>
  <c r="H18" i="2"/>
  <c r="H32" i="2"/>
  <c r="H34" i="2"/>
  <c r="K20" i="2"/>
  <c r="K35" i="2"/>
  <c r="I18" i="2"/>
  <c r="I32" i="2"/>
  <c r="I34" i="2"/>
  <c r="F18" i="2"/>
  <c r="F34" i="2"/>
  <c r="F32" i="2"/>
  <c r="N18" i="2"/>
  <c r="N34" i="2"/>
  <c r="N32" i="2"/>
  <c r="O18" i="2"/>
  <c r="O34" i="2"/>
  <c r="O32" i="2"/>
  <c r="M18" i="2"/>
  <c r="M34" i="2"/>
  <c r="M32" i="2"/>
  <c r="E18" i="2"/>
  <c r="E32" i="2"/>
  <c r="E34" i="2"/>
  <c r="L18" i="2"/>
  <c r="L34" i="2"/>
  <c r="L32" i="2"/>
  <c r="J18" i="2"/>
  <c r="J32" i="2"/>
  <c r="J34" i="2"/>
  <c r="C18" i="2"/>
  <c r="C34" i="2"/>
  <c r="C32" i="2"/>
  <c r="D18" i="2"/>
  <c r="D34" i="2"/>
  <c r="D32" i="2"/>
  <c r="AC20" i="2" l="1"/>
  <c r="AC35" i="2"/>
  <c r="AB20" i="2"/>
  <c r="AB35" i="2"/>
  <c r="AA22" i="2"/>
  <c r="AA36" i="2"/>
  <c r="I99" i="2"/>
  <c r="J98" i="2" s="1"/>
  <c r="L20" i="2"/>
  <c r="L35" i="2"/>
  <c r="N20" i="2"/>
  <c r="N35" i="2"/>
  <c r="D20" i="2"/>
  <c r="D35" i="2"/>
  <c r="E20" i="2"/>
  <c r="E35" i="2"/>
  <c r="F20" i="2"/>
  <c r="F35" i="2"/>
  <c r="C20" i="2"/>
  <c r="C35" i="2"/>
  <c r="M20" i="2"/>
  <c r="M35" i="2"/>
  <c r="I20" i="2"/>
  <c r="I35" i="2"/>
  <c r="K22" i="2"/>
  <c r="K36" i="2"/>
  <c r="K70" i="2"/>
  <c r="J20" i="2"/>
  <c r="J35" i="2"/>
  <c r="O20" i="2"/>
  <c r="O35" i="2"/>
  <c r="H20" i="2"/>
  <c r="H35" i="2"/>
  <c r="AC22" i="2" l="1"/>
  <c r="AC36" i="2"/>
  <c r="AB22" i="2"/>
  <c r="AB36" i="2"/>
  <c r="J99" i="2"/>
  <c r="K98" i="2" s="1"/>
  <c r="M22" i="2"/>
  <c r="M36" i="2"/>
  <c r="M70" i="2"/>
  <c r="L22" i="2"/>
  <c r="L36" i="2"/>
  <c r="L70" i="2"/>
  <c r="H22" i="2"/>
  <c r="H70" i="2"/>
  <c r="H36" i="2"/>
  <c r="C22" i="2"/>
  <c r="C36" i="2"/>
  <c r="C70" i="2"/>
  <c r="O22" i="2"/>
  <c r="O36" i="2"/>
  <c r="O70" i="2"/>
  <c r="F22" i="2"/>
  <c r="F36" i="2"/>
  <c r="F70" i="2"/>
  <c r="J22" i="2"/>
  <c r="J70" i="2"/>
  <c r="J36" i="2"/>
  <c r="E22" i="2"/>
  <c r="E70" i="2"/>
  <c r="E36" i="2"/>
  <c r="D22" i="2"/>
  <c r="D36" i="2"/>
  <c r="D70" i="2"/>
  <c r="I22" i="2"/>
  <c r="I70" i="2"/>
  <c r="I36" i="2"/>
  <c r="N22" i="2"/>
  <c r="N36" i="2"/>
  <c r="N70" i="2"/>
  <c r="K99" i="2" l="1"/>
  <c r="L98" i="2" s="1"/>
  <c r="L99" i="2" l="1"/>
  <c r="M98" i="2" s="1"/>
  <c r="M99" i="2" l="1"/>
  <c r="N98" i="2" s="1"/>
  <c r="J9" i="1"/>
  <c r="J13" i="1" s="1"/>
  <c r="N99" i="2" l="1"/>
  <c r="O98" i="2" s="1"/>
  <c r="O99" i="2" l="1"/>
  <c r="P98" i="2" s="1"/>
  <c r="P99" i="2" l="1"/>
  <c r="Q98" i="2" s="1"/>
  <c r="Q99" i="2" l="1"/>
  <c r="R98" i="2" s="1"/>
  <c r="R99" i="2" l="1"/>
  <c r="S98" i="2" s="1"/>
  <c r="S99" i="2" l="1"/>
  <c r="T98" i="2" s="1"/>
  <c r="T99" i="2" l="1"/>
  <c r="U98" i="2" s="1"/>
  <c r="U99" i="2" l="1"/>
  <c r="V98" i="2" s="1"/>
  <c r="V9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B132" authorId="0" shapeId="0" xr:uid="{F8722F61-EDE1-4E9D-9F06-6EEF567AA11D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Remaining Performance Obligation</t>
        </r>
      </text>
    </comment>
  </commentList>
</comments>
</file>

<file path=xl/sharedStrings.xml><?xml version="1.0" encoding="utf-8"?>
<sst xmlns="http://schemas.openxmlformats.org/spreadsheetml/2006/main" count="221" uniqueCount="199">
  <si>
    <t>Main</t>
  </si>
  <si>
    <t>Price</t>
  </si>
  <si>
    <t>S/O</t>
  </si>
  <si>
    <t>MC</t>
  </si>
  <si>
    <t>Cash</t>
  </si>
  <si>
    <t>Debt</t>
  </si>
  <si>
    <t>EV</t>
  </si>
  <si>
    <t>SaaS</t>
  </si>
  <si>
    <t>Q1FY26</t>
  </si>
  <si>
    <t>Q1FY23</t>
  </si>
  <si>
    <t>Q1FY24</t>
  </si>
  <si>
    <t>Q1FY25</t>
  </si>
  <si>
    <t>Q2FY23</t>
  </si>
  <si>
    <t>Q3FY23</t>
  </si>
  <si>
    <t>Q4FY23</t>
  </si>
  <si>
    <t>Q2FY24</t>
  </si>
  <si>
    <t>Q3FY24</t>
  </si>
  <si>
    <t>Q4FY24</t>
  </si>
  <si>
    <t>Q2FY25</t>
  </si>
  <si>
    <t>Q3FY25</t>
  </si>
  <si>
    <t>Q4FY25</t>
  </si>
  <si>
    <t>Q2FY26</t>
  </si>
  <si>
    <t>Q3FY26</t>
  </si>
  <si>
    <t>Q4FY26</t>
  </si>
  <si>
    <t>Q1FY27</t>
  </si>
  <si>
    <t>Q2FY27</t>
  </si>
  <si>
    <t>Q3FY27</t>
  </si>
  <si>
    <t>Q4FY27</t>
  </si>
  <si>
    <t>Subscriptioms</t>
  </si>
  <si>
    <t>Servoces</t>
  </si>
  <si>
    <t>Total revenues</t>
  </si>
  <si>
    <t>Total costs</t>
  </si>
  <si>
    <t>Gross profit</t>
  </si>
  <si>
    <t>R&amp;D</t>
  </si>
  <si>
    <t>S&amp;M</t>
  </si>
  <si>
    <t>G&amp;A</t>
  </si>
  <si>
    <t>Restructuring</t>
  </si>
  <si>
    <t>OpEx</t>
  </si>
  <si>
    <t>OpInc</t>
  </si>
  <si>
    <t>Gains on Inv.</t>
  </si>
  <si>
    <t>Other income</t>
  </si>
  <si>
    <t>Pretax income</t>
  </si>
  <si>
    <t>Taxes</t>
  </si>
  <si>
    <t>Net Income</t>
  </si>
  <si>
    <t>EPS</t>
  </si>
  <si>
    <t>Subscription Margin</t>
  </si>
  <si>
    <t>Services Margin</t>
  </si>
  <si>
    <t>Gross Margin</t>
  </si>
  <si>
    <t>R&amp;D Margin</t>
  </si>
  <si>
    <t>S&amp;M Margin</t>
  </si>
  <si>
    <t>G&amp;A Margin</t>
  </si>
  <si>
    <t>Op Margin</t>
  </si>
  <si>
    <t>Interest Margin</t>
  </si>
  <si>
    <t>Tax Margin</t>
  </si>
  <si>
    <t>Net Margin</t>
  </si>
  <si>
    <t>YoY Subscriptions</t>
  </si>
  <si>
    <t>YoY Services</t>
  </si>
  <si>
    <t>YoY Revenue</t>
  </si>
  <si>
    <t>Net Cash</t>
  </si>
  <si>
    <t>Securities</t>
  </si>
  <si>
    <t>A/R</t>
  </si>
  <si>
    <t>Capitalized costs</t>
  </si>
  <si>
    <t>Prepaids</t>
  </si>
  <si>
    <t>PP&amp;A</t>
  </si>
  <si>
    <t>Operating lease ROU</t>
  </si>
  <si>
    <t>Noncurrent capitalized costs</t>
  </si>
  <si>
    <t>Strategic investments</t>
  </si>
  <si>
    <t>Goodwill</t>
  </si>
  <si>
    <t>Intangibles</t>
  </si>
  <si>
    <t>DTA</t>
  </si>
  <si>
    <t>Total Assets</t>
  </si>
  <si>
    <t>A/P</t>
  </si>
  <si>
    <t>Operating lease, current</t>
  </si>
  <si>
    <t>Unearned revenue</t>
  </si>
  <si>
    <t>Noncurrent operating lease</t>
  </si>
  <si>
    <t>ONCL</t>
  </si>
  <si>
    <t>Total Liabilities</t>
  </si>
  <si>
    <t xml:space="preserve">SE  </t>
  </si>
  <si>
    <t>L+SE</t>
  </si>
  <si>
    <t>Model NI</t>
  </si>
  <si>
    <t>GAAP NI</t>
  </si>
  <si>
    <t>D&amp;A</t>
  </si>
  <si>
    <t>Amortization of capitalized costs</t>
  </si>
  <si>
    <t>Stock-based comp.</t>
  </si>
  <si>
    <t>Strat. Inv</t>
  </si>
  <si>
    <t>Operating lease liabilities</t>
  </si>
  <si>
    <t>CFFO</t>
  </si>
  <si>
    <t>Acquisitions</t>
  </si>
  <si>
    <t>Purch. of Strat. Inv</t>
  </si>
  <si>
    <t>Purch. of securities</t>
  </si>
  <si>
    <t>Sales of securities</t>
  </si>
  <si>
    <t>Sales of Start. Inv</t>
  </si>
  <si>
    <t>Maturities of securities</t>
  </si>
  <si>
    <t>CapEx</t>
  </si>
  <si>
    <t>CFFI</t>
  </si>
  <si>
    <t>Repurchases of stock</t>
  </si>
  <si>
    <t>Proceeds from employee stock plans</t>
  </si>
  <si>
    <t>Principal</t>
  </si>
  <si>
    <t>Dividends</t>
  </si>
  <si>
    <t>CFFF</t>
  </si>
  <si>
    <t>CF</t>
  </si>
  <si>
    <t>FX adj.</t>
  </si>
  <si>
    <t>FCF</t>
  </si>
  <si>
    <t>Capex Margin</t>
  </si>
  <si>
    <t>YoY FCF</t>
  </si>
  <si>
    <t>BOP Cash</t>
  </si>
  <si>
    <t>EOP Cash</t>
  </si>
  <si>
    <t>Sales</t>
  </si>
  <si>
    <t>Services</t>
  </si>
  <si>
    <t>Platform and Other</t>
  </si>
  <si>
    <t>Marketing and Commerce</t>
  </si>
  <si>
    <t>Integration and Analytics</t>
  </si>
  <si>
    <t>YoY Sales</t>
  </si>
  <si>
    <t>YoY Platform and Other</t>
  </si>
  <si>
    <t>YoY Marketing and Commerce</t>
  </si>
  <si>
    <t>YoY Integration and Analytics</t>
  </si>
  <si>
    <t>Americas</t>
  </si>
  <si>
    <t>Europe</t>
  </si>
  <si>
    <t>Asia Pacific</t>
  </si>
  <si>
    <t>YoY Americas</t>
  </si>
  <si>
    <t>YoY Europe</t>
  </si>
  <si>
    <t>YoY Asia Pacific</t>
  </si>
  <si>
    <t>FY26</t>
  </si>
  <si>
    <t>Current RPOs</t>
  </si>
  <si>
    <t>Noncurrent RPOs</t>
  </si>
  <si>
    <t>Total</t>
  </si>
  <si>
    <t>($ billions)</t>
  </si>
  <si>
    <t>Salesforce is a global leader in customer relationship management (“CRM”)</t>
  </si>
  <si>
    <t>Founded in 1999</t>
  </si>
  <si>
    <t>During Q3FY25 Agentforce was introduced</t>
  </si>
  <si>
    <t xml:space="preserve">Agentforce includes a suite of customizable agents for use across sales, service, marketing and commerce. </t>
  </si>
  <si>
    <t>Revenue Growth:</t>
  </si>
  <si>
    <t>Increase sales by expanding into new markets, gaining more enterprise and international customers, and developing new software solutions.</t>
  </si>
  <si>
    <t>They expect to spend more on sales and marketing upfront but anticipate higher revenue and customer retention as a result.</t>
  </si>
  <si>
    <t>Profitability:</t>
  </si>
  <si>
    <t>Reduce operating expenses through restructuring, including cutting staff and office space, to improve profit margins and achieve sustainable, long-term growth.</t>
  </si>
  <si>
    <t>The company generates almost all of its revenue (95%) from subscription and support.</t>
  </si>
  <si>
    <t>This revenue comes from three main sources:</t>
  </si>
  <si>
    <r>
      <rPr>
        <b/>
        <sz val="10"/>
        <color theme="1"/>
        <rFont val="Arial"/>
        <family val="2"/>
      </rPr>
      <t>Cloud Services:</t>
    </r>
    <r>
      <rPr>
        <sz val="10"/>
        <color theme="1"/>
        <rFont val="Arial"/>
        <family val="2"/>
      </rPr>
      <t xml:space="preserve"> Customers pay a subscription fee to use the company's software in the cloud, and this revenue is recognized evenly over the contract term.</t>
    </r>
  </si>
  <si>
    <t>This revenue is recognized at the time the software is made available, but it makes up less than 10% of total subscription and support revenue.</t>
  </si>
  <si>
    <r>
      <rPr>
        <b/>
        <sz val="10"/>
        <color theme="1"/>
        <rFont val="Arial"/>
        <family val="2"/>
      </rPr>
      <t>Term Software Licenses:</t>
    </r>
    <r>
      <rPr>
        <sz val="10"/>
        <color theme="1"/>
        <rFont val="Arial"/>
        <family val="2"/>
      </rPr>
      <t xml:space="preserve"> Customers get the right to use the software for a set period. </t>
    </r>
  </si>
  <si>
    <r>
      <rPr>
        <b/>
        <sz val="10"/>
        <color theme="1"/>
        <rFont val="Arial"/>
        <family val="2"/>
      </rPr>
      <t>Support and Updates</t>
    </r>
    <r>
      <rPr>
        <sz val="10"/>
        <color theme="1"/>
        <rFont val="Arial"/>
        <family val="2"/>
      </rPr>
      <t>: Fees for ongoing support are recognized over the contract term.</t>
    </r>
  </si>
  <si>
    <t>Informatica Acquisition:</t>
  </si>
  <si>
    <r>
      <t xml:space="preserve">The company has agreed to acquire </t>
    </r>
    <r>
      <rPr>
        <b/>
        <sz val="10"/>
        <color theme="1"/>
        <rFont val="Arial"/>
        <family val="2"/>
      </rPr>
      <t>Informatica Inc</t>
    </r>
    <r>
      <rPr>
        <sz val="10"/>
        <color theme="1"/>
        <rFont val="Arial"/>
        <family val="2"/>
      </rPr>
      <t xml:space="preserve">., an AI-powered data management platform, for an equity value of approximately </t>
    </r>
    <r>
      <rPr>
        <b/>
        <sz val="10"/>
        <color theme="1"/>
        <rFont val="Arial"/>
        <family val="2"/>
      </rPr>
      <t>$8 billion</t>
    </r>
    <r>
      <rPr>
        <sz val="10"/>
        <color theme="1"/>
        <rFont val="Arial"/>
        <family val="2"/>
      </rPr>
      <t>. The deal will be funded with a combination of cash and new debt.</t>
    </r>
  </si>
  <si>
    <r>
      <t xml:space="preserve">Under the agreement, Informatica shareholders will receive </t>
    </r>
    <r>
      <rPr>
        <b/>
        <sz val="10"/>
        <color theme="1"/>
        <rFont val="Arial"/>
        <family val="2"/>
      </rPr>
      <t>$25 in cash per share.</t>
    </r>
  </si>
  <si>
    <r>
      <t xml:space="preserve">The transaction is expected to close in </t>
    </r>
    <r>
      <rPr>
        <b/>
        <sz val="10"/>
        <color theme="1"/>
        <rFont val="Arial"/>
        <family val="2"/>
      </rPr>
      <t>early fiscal 2027</t>
    </r>
    <r>
      <rPr>
        <sz val="10"/>
        <color theme="1"/>
        <rFont val="Arial"/>
        <family val="2"/>
      </rPr>
      <t>, pending regulatory approval.</t>
    </r>
  </si>
  <si>
    <t>Shareholders representing about 63% of Informatica's voting power have already approved the deal.</t>
  </si>
  <si>
    <t>Products</t>
  </si>
  <si>
    <t>Description</t>
  </si>
  <si>
    <t>Sales Cloud</t>
  </si>
  <si>
    <t>Service Cloud</t>
  </si>
  <si>
    <t>Marketing Cloud</t>
  </si>
  <si>
    <t>Commerce Cloud</t>
  </si>
  <si>
    <t>Experience Cloud</t>
  </si>
  <si>
    <t>MuleSoft</t>
  </si>
  <si>
    <t>Tableau</t>
  </si>
  <si>
    <t>Slack</t>
  </si>
  <si>
    <t>Einstein</t>
  </si>
  <si>
    <t>A CRM platform for managing the sales process, from tracking leads to closing deals and forecasting.</t>
  </si>
  <si>
    <t xml:space="preserve">A customer service platform that helps companies manage support cases and interact with customers across various channels.
</t>
  </si>
  <si>
    <t>A digital marketing platform for creating and managing campaigns, from email marketing to social media.</t>
  </si>
  <si>
    <t>A platform for building and managing online stores and all aspects of e-commerce.</t>
  </si>
  <si>
    <t>A platform for creating online communities and portals for customers, partners, and employees.</t>
  </si>
  <si>
    <t>A tool for integrating different applications, data, and devices within a business.</t>
  </si>
  <si>
    <t>A business intelligence tool for visualizing and analyzing data to create clear dashboards and reports.</t>
  </si>
  <si>
    <t>A communication platform used for team collaboration.</t>
  </si>
  <si>
    <t>Salesforce's AI technology, which is built into its products to provide smart recommendations and automation.</t>
  </si>
  <si>
    <t>FY25</t>
  </si>
  <si>
    <t>FY23</t>
  </si>
  <si>
    <t>FY24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</si>
  <si>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</si>
  <si>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</si>
  <si>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</si>
  <si>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</si>
  <si>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</si>
  <si>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</si>
  <si>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</si>
  <si>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</si>
  <si>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</si>
  <si>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FY36</t>
  </si>
  <si>
    <t>FY37</t>
  </si>
  <si>
    <t>FY38</t>
  </si>
  <si>
    <t>FY39</t>
  </si>
  <si>
    <t>FY40</t>
  </si>
  <si>
    <t>FY41</t>
  </si>
  <si>
    <t>FY42</t>
  </si>
  <si>
    <t>FY43</t>
  </si>
  <si>
    <t>FY44</t>
  </si>
  <si>
    <t>FY45</t>
  </si>
  <si>
    <t>Maturity</t>
  </si>
  <si>
    <t>NI Model</t>
  </si>
  <si>
    <t>Discount</t>
  </si>
  <si>
    <t>NPV</t>
  </si>
  <si>
    <t>Share</t>
  </si>
  <si>
    <t>Current</t>
  </si>
  <si>
    <t>Return</t>
  </si>
  <si>
    <t>FCF Model</t>
  </si>
  <si>
    <t>FCF Margin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</si>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</sst>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71" formatCode="#,##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0" borderId="0" xfId="1"/>
    <xf numFmtId="0" fontId="5" fillId="0" borderId="0" xfId="1" applyFont="1"/>
    <xf numFmtId="15" fontId="1" fillId="0" borderId="0" xfId="0" applyNumberFormat="1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4" fontId="1" fillId="0" borderId="0" xfId="0" applyNumberFormat="1" applyFont="1"/>
    <xf numFmtId="166" fontId="1" fillId="0" borderId="0" xfId="0" applyNumberFormat="1" applyFont="1"/>
    <xf numFmtId="0" fontId="1" fillId="0" borderId="2" xfId="0" applyFont="1" applyBorder="1"/>
    <xf numFmtId="0" fontId="1" fillId="0" borderId="2" xfId="0" applyFont="1" applyBorder="1" applyAlignment="1"/>
    <xf numFmtId="0" fontId="0" fillId="0" borderId="3" xfId="0" applyBorder="1"/>
    <xf numFmtId="0" fontId="2" fillId="0" borderId="4" xfId="0" applyFont="1" applyBorder="1"/>
    <xf numFmtId="0" fontId="2" fillId="0" borderId="1" xfId="0" applyFont="1" applyBorder="1"/>
    <xf numFmtId="0" fontId="1" fillId="0" borderId="5" xfId="0" applyFont="1" applyBorder="1"/>
    <xf numFmtId="0" fontId="1" fillId="0" borderId="6" xfId="0" applyFont="1" applyBorder="1"/>
    <xf numFmtId="171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SaaS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="85" workbookViewId="0">
      <selection activeCell="K10" sqref="K10:K11"/>
    </sheetView>
  </sheetViews>
  <sheetFormatPr defaultRowHeight="13.2" x14ac:dyDescent="0.25"/>
  <cols>
    <col min="1" max="2" width="8.88671875" style="1"/>
    <col min="3" max="3" width="9.109375" style="1" customWidth="1"/>
    <col min="4" max="4" width="9.21875" style="1" customWidth="1"/>
    <col min="5" max="16384" width="8.88671875" style="1"/>
  </cols>
  <sheetData>
    <row r="1" spans="1:14" ht="14.4" x14ac:dyDescent="0.3">
      <c r="A1" s="2" t="s">
        <v>7</v>
      </c>
    </row>
    <row r="3" spans="1:14" x14ac:dyDescent="0.25">
      <c r="C3" s="1" t="s">
        <v>127</v>
      </c>
      <c r="N3" s="1" t="s">
        <v>8</v>
      </c>
    </row>
    <row r="4" spans="1:14" x14ac:dyDescent="0.25">
      <c r="C4" s="1" t="s">
        <v>128</v>
      </c>
      <c r="N4" s="5" t="s">
        <v>131</v>
      </c>
    </row>
    <row r="5" spans="1:14" x14ac:dyDescent="0.25">
      <c r="N5" s="1" t="s">
        <v>132</v>
      </c>
    </row>
    <row r="6" spans="1:14" x14ac:dyDescent="0.25">
      <c r="N6" s="1" t="s">
        <v>133</v>
      </c>
    </row>
    <row r="7" spans="1:14" x14ac:dyDescent="0.25">
      <c r="I7" s="1" t="s">
        <v>1</v>
      </c>
      <c r="J7" s="9">
        <v>233.6</v>
      </c>
    </row>
    <row r="8" spans="1:14" x14ac:dyDescent="0.25">
      <c r="I8" s="1" t="s">
        <v>2</v>
      </c>
      <c r="J8" s="6">
        <v>960</v>
      </c>
      <c r="K8" s="1" t="s">
        <v>198</v>
      </c>
      <c r="N8" s="5" t="s">
        <v>134</v>
      </c>
    </row>
    <row r="9" spans="1:14" x14ac:dyDescent="0.25">
      <c r="I9" s="1" t="s">
        <v>3</v>
      </c>
      <c r="J9" s="6">
        <f>+J7*J8</f>
        <v>224256</v>
      </c>
      <c r="N9" s="1" t="s">
        <v>135</v>
      </c>
    </row>
    <row r="10" spans="1:14" x14ac:dyDescent="0.25">
      <c r="I10" s="1" t="s">
        <v>4</v>
      </c>
      <c r="J10" s="6">
        <f>+Model!O45+Model!O46</f>
        <v>17408</v>
      </c>
      <c r="K10" s="1" t="s">
        <v>198</v>
      </c>
    </row>
    <row r="11" spans="1:14" x14ac:dyDescent="0.25">
      <c r="I11" s="1" t="s">
        <v>5</v>
      </c>
      <c r="J11" s="6">
        <f>+Model!O61</f>
        <v>8435</v>
      </c>
      <c r="K11" s="1" t="s">
        <v>198</v>
      </c>
      <c r="N11" s="5" t="s">
        <v>142</v>
      </c>
    </row>
    <row r="12" spans="1:14" x14ac:dyDescent="0.25">
      <c r="J12" s="6"/>
      <c r="N12" s="1" t="s">
        <v>143</v>
      </c>
    </row>
    <row r="13" spans="1:14" x14ac:dyDescent="0.25">
      <c r="I13" s="1" t="s">
        <v>6</v>
      </c>
      <c r="J13" s="6">
        <f>J9-J10+J11</f>
        <v>215283</v>
      </c>
      <c r="N13" s="1" t="s">
        <v>144</v>
      </c>
    </row>
    <row r="14" spans="1:14" x14ac:dyDescent="0.25">
      <c r="N14" s="1" t="s">
        <v>145</v>
      </c>
    </row>
    <row r="15" spans="1:14" x14ac:dyDescent="0.25">
      <c r="N15" s="1" t="s">
        <v>146</v>
      </c>
    </row>
    <row r="25" spans="2:2" x14ac:dyDescent="0.25">
      <c r="B25" s="5"/>
    </row>
  </sheetData>
  <hyperlinks>
    <hyperlink ref="A1" r:id="rId1" xr:uid="{D63E14D0-F737-433F-8A65-BED2BB43FD9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7691-BD31-44FD-886F-51BCA5A8D8D1}">
  <dimension ref="B2:P12"/>
  <sheetViews>
    <sheetView zoomScale="94" workbookViewId="0">
      <selection activeCell="I14" sqref="I1:I1048576"/>
    </sheetView>
  </sheetViews>
  <sheetFormatPr defaultRowHeight="14.4" x14ac:dyDescent="0.3"/>
  <cols>
    <col min="3" max="3" width="10.33203125" customWidth="1"/>
    <col min="4" max="4" width="10.44140625" customWidth="1"/>
    <col min="15" max="15" width="15.77734375" bestFit="1" customWidth="1"/>
    <col min="16" max="16" width="108.21875" bestFit="1" customWidth="1"/>
  </cols>
  <sheetData>
    <row r="2" spans="2:16" ht="15" thickBot="1" x14ac:dyDescent="0.35"/>
    <row r="3" spans="2:16" ht="15" thickBot="1" x14ac:dyDescent="0.35">
      <c r="B3" s="1" t="s">
        <v>129</v>
      </c>
      <c r="O3" s="15" t="s">
        <v>147</v>
      </c>
      <c r="P3" s="14" t="s">
        <v>148</v>
      </c>
    </row>
    <row r="4" spans="2:16" x14ac:dyDescent="0.3">
      <c r="B4" s="1" t="s">
        <v>130</v>
      </c>
      <c r="O4" s="16" t="s">
        <v>149</v>
      </c>
      <c r="P4" s="11" t="s">
        <v>158</v>
      </c>
    </row>
    <row r="5" spans="2:16" x14ac:dyDescent="0.3">
      <c r="B5" s="1"/>
      <c r="O5" s="16" t="s">
        <v>150</v>
      </c>
      <c r="P5" s="12" t="s">
        <v>159</v>
      </c>
    </row>
    <row r="6" spans="2:16" x14ac:dyDescent="0.3">
      <c r="B6" s="1"/>
      <c r="O6" s="16" t="s">
        <v>151</v>
      </c>
      <c r="P6" s="11" t="s">
        <v>160</v>
      </c>
    </row>
    <row r="7" spans="2:16" x14ac:dyDescent="0.3">
      <c r="B7" s="1" t="s">
        <v>136</v>
      </c>
      <c r="O7" s="16" t="s">
        <v>152</v>
      </c>
      <c r="P7" s="11" t="s">
        <v>161</v>
      </c>
    </row>
    <row r="8" spans="2:16" x14ac:dyDescent="0.3">
      <c r="B8" s="1" t="s">
        <v>137</v>
      </c>
      <c r="O8" s="16" t="s">
        <v>153</v>
      </c>
      <c r="P8" s="11" t="s">
        <v>162</v>
      </c>
    </row>
    <row r="9" spans="2:16" x14ac:dyDescent="0.3">
      <c r="B9" s="1" t="s">
        <v>138</v>
      </c>
      <c r="O9" s="16" t="s">
        <v>154</v>
      </c>
      <c r="P9" s="11" t="s">
        <v>163</v>
      </c>
    </row>
    <row r="10" spans="2:16" x14ac:dyDescent="0.3">
      <c r="B10" s="1" t="s">
        <v>140</v>
      </c>
      <c r="O10" s="16" t="s">
        <v>155</v>
      </c>
      <c r="P10" s="11" t="s">
        <v>164</v>
      </c>
    </row>
    <row r="11" spans="2:16" x14ac:dyDescent="0.3">
      <c r="B11" s="1" t="s">
        <v>139</v>
      </c>
      <c r="O11" s="16" t="s">
        <v>156</v>
      </c>
      <c r="P11" s="11" t="s">
        <v>165</v>
      </c>
    </row>
    <row r="12" spans="2:16" ht="15" thickBot="1" x14ac:dyDescent="0.35">
      <c r="B12" s="1" t="s">
        <v>141</v>
      </c>
      <c r="O12" s="17" t="s">
        <v>157</v>
      </c>
      <c r="P12" s="13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2862-6CFB-4087-901D-A9D626F7BBEF}">
  <dimension ref="A1:ZD134"/>
  <sheetViews>
    <sheetView zoomScale="62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O5" sqref="AO5"/>
    </sheetView>
  </sheetViews>
  <sheetFormatPr defaultRowHeight="13.2" x14ac:dyDescent="0.25"/>
  <cols>
    <col min="1" max="14" width="8.88671875" style="1"/>
    <col min="15" max="15" width="9.77734375" style="1" bestFit="1" customWidth="1"/>
    <col min="16" max="42" width="8.88671875" style="1"/>
    <col min="43" max="43" width="9.88671875" style="1" customWidth="1"/>
    <col min="44" max="16384" width="8.88671875" style="1"/>
  </cols>
  <sheetData>
    <row r="1" spans="1:49" x14ac:dyDescent="0.25">
      <c r="A1" s="3" t="s">
        <v>0</v>
      </c>
      <c r="O1" s="4">
        <v>45805</v>
      </c>
      <c r="P1" s="4">
        <v>45903</v>
      </c>
    </row>
    <row r="2" spans="1:49" x14ac:dyDescent="0.25">
      <c r="C2" s="1" t="s">
        <v>9</v>
      </c>
      <c r="D2" s="1" t="s">
        <v>12</v>
      </c>
      <c r="E2" s="1" t="s">
        <v>13</v>
      </c>
      <c r="F2" s="1" t="s">
        <v>14</v>
      </c>
      <c r="G2" s="1" t="s">
        <v>10</v>
      </c>
      <c r="H2" s="1" t="s">
        <v>15</v>
      </c>
      <c r="I2" s="1" t="s">
        <v>16</v>
      </c>
      <c r="J2" s="1" t="s">
        <v>17</v>
      </c>
      <c r="K2" s="1" t="s">
        <v>11</v>
      </c>
      <c r="L2" s="1" t="s">
        <v>18</v>
      </c>
      <c r="M2" s="1" t="s">
        <v>19</v>
      </c>
      <c r="N2" s="1" t="s">
        <v>20</v>
      </c>
      <c r="O2" s="1" t="s">
        <v>8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AA2" s="1" t="s">
        <v>168</v>
      </c>
      <c r="AB2" s="1" t="s">
        <v>169</v>
      </c>
      <c r="AC2" s="1" t="s">
        <v>167</v>
      </c>
      <c r="AD2" s="1" t="s">
        <v>122</v>
      </c>
      <c r="AE2" s="1" t="s">
        <v>170</v>
      </c>
      <c r="AF2" s="1" t="s">
        <v>171</v>
      </c>
      <c r="AG2" s="1" t="s">
        <v>172</v>
      </c>
      <c r="AH2" s="1" t="s">
        <v>173</v>
      </c>
      <c r="AI2" s="1" t="s">
        <v>174</v>
      </c>
      <c r="AJ2" s="1" t="s">
        <v>175</v>
      </c>
      <c r="AK2" s="1" t="s">
        <v>176</v>
      </c>
      <c r="AL2" s="1" t="s">
        <v>177</v>
      </c>
      <c r="AM2" s="1" t="s">
        <v>178</v>
      </c>
      <c r="AN2" s="1" t="s">
        <v>179</v>
      </c>
      <c r="AO2" s="1" t="s">
        <v>180</v>
      </c>
      <c r="AP2" s="1" t="s">
        <v>181</v>
      </c>
      <c r="AQ2" s="1" t="s">
        <v>182</v>
      </c>
      <c r="AR2" s="1" t="s">
        <v>183</v>
      </c>
      <c r="AS2" s="1" t="s">
        <v>184</v>
      </c>
      <c r="AT2" s="1" t="s">
        <v>185</v>
      </c>
      <c r="AU2" s="1" t="s">
        <v>186</v>
      </c>
      <c r="AV2" s="1" t="s">
        <v>187</v>
      </c>
      <c r="AW2" s="1" t="s">
        <v>188</v>
      </c>
    </row>
    <row r="3" spans="1:49" s="6" customFormat="1" x14ac:dyDescent="0.25">
      <c r="B3" s="6" t="s">
        <v>28</v>
      </c>
      <c r="C3" s="6">
        <v>6856</v>
      </c>
      <c r="D3" s="6">
        <v>7143</v>
      </c>
      <c r="E3" s="6">
        <v>7233</v>
      </c>
      <c r="F3" s="6">
        <v>7789</v>
      </c>
      <c r="G3" s="6">
        <v>7642</v>
      </c>
      <c r="H3" s="6">
        <v>8006</v>
      </c>
      <c r="I3" s="6">
        <v>8141</v>
      </c>
      <c r="J3" s="6">
        <v>8748</v>
      </c>
      <c r="K3" s="6">
        <v>8585</v>
      </c>
      <c r="L3" s="6">
        <v>8764</v>
      </c>
      <c r="M3" s="6">
        <v>8879</v>
      </c>
      <c r="N3" s="6">
        <v>9451</v>
      </c>
      <c r="O3" s="6">
        <v>9297</v>
      </c>
      <c r="AA3" s="6">
        <f>+C3+D3+E3+F3</f>
        <v>29021</v>
      </c>
      <c r="AB3" s="6">
        <f>+G3+H3+I3+J3</f>
        <v>32537</v>
      </c>
      <c r="AC3" s="6">
        <f>+K3+L3+M3+N3</f>
        <v>35679</v>
      </c>
      <c r="AD3" s="6">
        <v>41200</v>
      </c>
      <c r="AE3" s="6">
        <v>44940</v>
      </c>
    </row>
    <row r="4" spans="1:49" s="6" customFormat="1" x14ac:dyDescent="0.25">
      <c r="B4" s="6" t="s">
        <v>29</v>
      </c>
      <c r="C4" s="6">
        <v>555</v>
      </c>
      <c r="D4" s="6">
        <v>577</v>
      </c>
      <c r="E4" s="6">
        <v>604</v>
      </c>
      <c r="F4" s="6">
        <v>595</v>
      </c>
      <c r="G4" s="6">
        <v>605</v>
      </c>
      <c r="H4" s="6">
        <v>597</v>
      </c>
      <c r="I4" s="6">
        <v>579</v>
      </c>
      <c r="J4" s="6">
        <v>539</v>
      </c>
      <c r="K4" s="6">
        <v>548</v>
      </c>
      <c r="L4" s="6">
        <v>561</v>
      </c>
      <c r="M4" s="6">
        <v>565</v>
      </c>
      <c r="N4" s="6">
        <v>542</v>
      </c>
      <c r="O4" s="6">
        <v>532</v>
      </c>
      <c r="AA4" s="6">
        <f t="shared" ref="AA4" si="0">+C4+D4+E4+F4</f>
        <v>2331</v>
      </c>
      <c r="AB4" s="6">
        <f t="shared" ref="AB4" si="1">+G4+H4+I4+J4</f>
        <v>2320</v>
      </c>
      <c r="AC4" s="6">
        <f t="shared" ref="AC4" si="2">+K4+L4+M4+N4</f>
        <v>2216</v>
      </c>
    </row>
    <row r="5" spans="1:49" s="7" customFormat="1" x14ac:dyDescent="0.25">
      <c r="B5" s="7" t="s">
        <v>30</v>
      </c>
      <c r="C5" s="7">
        <f t="shared" ref="C5:N5" si="3">SUM(C3:C4)</f>
        <v>7411</v>
      </c>
      <c r="D5" s="7">
        <f t="shared" si="3"/>
        <v>7720</v>
      </c>
      <c r="E5" s="7">
        <f t="shared" si="3"/>
        <v>7837</v>
      </c>
      <c r="F5" s="7">
        <f t="shared" si="3"/>
        <v>8384</v>
      </c>
      <c r="G5" s="7">
        <f t="shared" si="3"/>
        <v>8247</v>
      </c>
      <c r="H5" s="7">
        <f t="shared" si="3"/>
        <v>8603</v>
      </c>
      <c r="I5" s="7">
        <f t="shared" si="3"/>
        <v>8720</v>
      </c>
      <c r="J5" s="7">
        <f t="shared" si="3"/>
        <v>9287</v>
      </c>
      <c r="K5" s="7">
        <f t="shared" si="3"/>
        <v>9133</v>
      </c>
      <c r="L5" s="7">
        <f t="shared" si="3"/>
        <v>9325</v>
      </c>
      <c r="M5" s="7">
        <f t="shared" si="3"/>
        <v>9444</v>
      </c>
      <c r="N5" s="7">
        <f t="shared" si="3"/>
        <v>9993</v>
      </c>
      <c r="O5" s="7">
        <f>SUM(O3:O4)</f>
        <v>9829</v>
      </c>
      <c r="P5" s="7">
        <f t="shared" ref="P5:V5" si="4">SUM(P3:P4)</f>
        <v>0</v>
      </c>
      <c r="Q5" s="7">
        <f t="shared" si="4"/>
        <v>0</v>
      </c>
      <c r="R5" s="7">
        <f t="shared" si="4"/>
        <v>0</v>
      </c>
      <c r="S5" s="7">
        <f t="shared" si="4"/>
        <v>0</v>
      </c>
      <c r="T5" s="7">
        <f t="shared" si="4"/>
        <v>0</v>
      </c>
      <c r="U5" s="7">
        <f t="shared" si="4"/>
        <v>0</v>
      </c>
      <c r="V5" s="7">
        <f t="shared" si="4"/>
        <v>0</v>
      </c>
      <c r="AA5" s="7">
        <f t="shared" ref="AA5" si="5">SUM(AA3:AA4)</f>
        <v>31352</v>
      </c>
      <c r="AB5" s="7">
        <f t="shared" ref="AB5" si="6">SUM(AB3:AB4)</f>
        <v>34857</v>
      </c>
      <c r="AC5" s="7">
        <f t="shared" ref="AC5" si="7">SUM(AC3:AC4)</f>
        <v>37895</v>
      </c>
      <c r="AD5" s="7">
        <f t="shared" ref="AD5" si="8">SUM(AD3:AD4)</f>
        <v>41200</v>
      </c>
      <c r="AE5" s="7">
        <f t="shared" ref="AE5" si="9">SUM(AE3:AE4)</f>
        <v>44940</v>
      </c>
      <c r="AF5" s="7">
        <f>+AE5*(1+AF40)</f>
        <v>48984.600000000006</v>
      </c>
      <c r="AG5" s="7">
        <f t="shared" ref="AG5:AM5" si="10">+AF5*(1+AG40)</f>
        <v>53148.291000000005</v>
      </c>
      <c r="AH5" s="7">
        <f t="shared" si="10"/>
        <v>57400.15428000001</v>
      </c>
      <c r="AI5" s="7">
        <f t="shared" si="10"/>
        <v>61705.165851000005</v>
      </c>
      <c r="AJ5" s="7">
        <f t="shared" si="10"/>
        <v>66024.527460570011</v>
      </c>
      <c r="AK5" s="7">
        <f t="shared" si="10"/>
        <v>70316.121745507058</v>
      </c>
      <c r="AL5" s="7">
        <f t="shared" si="10"/>
        <v>74535.089050237482</v>
      </c>
      <c r="AM5" s="7">
        <f t="shared" si="10"/>
        <v>78634.518948000536</v>
      </c>
    </row>
    <row r="6" spans="1:49" s="6" customFormat="1" x14ac:dyDescent="0.25">
      <c r="B6" s="6" t="s">
        <v>28</v>
      </c>
      <c r="C6" s="6">
        <v>1440</v>
      </c>
      <c r="D6" s="6">
        <v>1490</v>
      </c>
      <c r="E6" s="6">
        <v>1451</v>
      </c>
      <c r="F6" s="6">
        <v>1440</v>
      </c>
      <c r="G6" s="6">
        <v>1510</v>
      </c>
      <c r="H6" s="6">
        <v>1515</v>
      </c>
      <c r="I6" s="6">
        <v>1571</v>
      </c>
      <c r="J6" s="6">
        <v>1581</v>
      </c>
      <c r="K6" s="6">
        <v>1560</v>
      </c>
      <c r="L6" s="6">
        <v>1556</v>
      </c>
      <c r="M6" s="6">
        <v>1501</v>
      </c>
      <c r="N6" s="6">
        <v>1581</v>
      </c>
      <c r="O6" s="6">
        <v>1611</v>
      </c>
      <c r="AA6" s="6">
        <f t="shared" ref="AA6:AA7" si="11">+C6+D6+E6+F6</f>
        <v>5821</v>
      </c>
      <c r="AB6" s="6">
        <f t="shared" ref="AB6:AB7" si="12">+G6+H6+I6+J6</f>
        <v>6177</v>
      </c>
      <c r="AC6" s="6">
        <f t="shared" ref="AC6:AC7" si="13">+K6+L6+M6+N6</f>
        <v>6198</v>
      </c>
    </row>
    <row r="7" spans="1:49" s="6" customFormat="1" x14ac:dyDescent="0.25">
      <c r="B7" s="6" t="s">
        <v>29</v>
      </c>
      <c r="C7" s="6">
        <v>605</v>
      </c>
      <c r="D7" s="6">
        <v>637</v>
      </c>
      <c r="E7" s="6">
        <v>637</v>
      </c>
      <c r="F7" s="6">
        <v>660</v>
      </c>
      <c r="G7" s="6">
        <v>615</v>
      </c>
      <c r="H7" s="6">
        <v>598</v>
      </c>
      <c r="I7" s="6">
        <v>584</v>
      </c>
      <c r="J7" s="6">
        <v>567</v>
      </c>
      <c r="K7" s="6">
        <v>602</v>
      </c>
      <c r="L7" s="6">
        <v>603</v>
      </c>
      <c r="M7" s="6">
        <v>604</v>
      </c>
      <c r="N7" s="6">
        <v>636</v>
      </c>
      <c r="O7" s="6">
        <v>654</v>
      </c>
      <c r="AA7" s="6">
        <f t="shared" si="11"/>
        <v>2539</v>
      </c>
      <c r="AB7" s="6">
        <f t="shared" si="12"/>
        <v>2364</v>
      </c>
      <c r="AC7" s="6">
        <f t="shared" si="13"/>
        <v>2445</v>
      </c>
    </row>
    <row r="8" spans="1:49" s="7" customFormat="1" x14ac:dyDescent="0.25">
      <c r="B8" s="7" t="s">
        <v>31</v>
      </c>
      <c r="C8" s="7">
        <f t="shared" ref="C8:N8" si="14">SUM(C6:C7)</f>
        <v>2045</v>
      </c>
      <c r="D8" s="7">
        <f t="shared" si="14"/>
        <v>2127</v>
      </c>
      <c r="E8" s="7">
        <f t="shared" si="14"/>
        <v>2088</v>
      </c>
      <c r="F8" s="7">
        <f t="shared" si="14"/>
        <v>2100</v>
      </c>
      <c r="G8" s="7">
        <f t="shared" si="14"/>
        <v>2125</v>
      </c>
      <c r="H8" s="7">
        <f t="shared" si="14"/>
        <v>2113</v>
      </c>
      <c r="I8" s="7">
        <f t="shared" si="14"/>
        <v>2155</v>
      </c>
      <c r="J8" s="7">
        <f t="shared" si="14"/>
        <v>2148</v>
      </c>
      <c r="K8" s="7">
        <f t="shared" si="14"/>
        <v>2162</v>
      </c>
      <c r="L8" s="7">
        <f t="shared" si="14"/>
        <v>2159</v>
      </c>
      <c r="M8" s="7">
        <f t="shared" si="14"/>
        <v>2105</v>
      </c>
      <c r="N8" s="7">
        <f t="shared" si="14"/>
        <v>2217</v>
      </c>
      <c r="O8" s="7">
        <f>SUM(O6:O7)</f>
        <v>2265</v>
      </c>
      <c r="P8" s="7">
        <f t="shared" ref="P8:V8" si="15">SUM(P6:P7)</f>
        <v>0</v>
      </c>
      <c r="Q8" s="7">
        <f t="shared" si="15"/>
        <v>0</v>
      </c>
      <c r="R8" s="7">
        <f t="shared" si="15"/>
        <v>0</v>
      </c>
      <c r="S8" s="7">
        <f t="shared" si="15"/>
        <v>0</v>
      </c>
      <c r="T8" s="7">
        <f t="shared" si="15"/>
        <v>0</v>
      </c>
      <c r="U8" s="7">
        <f t="shared" si="15"/>
        <v>0</v>
      </c>
      <c r="V8" s="7">
        <f t="shared" si="15"/>
        <v>0</v>
      </c>
      <c r="AA8" s="7">
        <f t="shared" ref="AA8" si="16">SUM(AA6:AA7)</f>
        <v>8360</v>
      </c>
      <c r="AB8" s="7">
        <f t="shared" ref="AB8" si="17">SUM(AB6:AB7)</f>
        <v>8541</v>
      </c>
      <c r="AC8" s="7">
        <f t="shared" ref="AC8" si="18">SUM(AC6:AC7)</f>
        <v>8643</v>
      </c>
      <c r="AD8" s="7">
        <f t="shared" ref="AD8:AE8" si="19">SUM(AD6:AD7)</f>
        <v>0</v>
      </c>
      <c r="AE8" s="7">
        <f t="shared" si="19"/>
        <v>0</v>
      </c>
    </row>
    <row r="9" spans="1:49" s="7" customFormat="1" x14ac:dyDescent="0.25">
      <c r="B9" s="7" t="s">
        <v>32</v>
      </c>
      <c r="C9" s="7">
        <f t="shared" ref="C9:N9" si="20">C5-C8</f>
        <v>5366</v>
      </c>
      <c r="D9" s="7">
        <f t="shared" si="20"/>
        <v>5593</v>
      </c>
      <c r="E9" s="7">
        <f t="shared" si="20"/>
        <v>5749</v>
      </c>
      <c r="F9" s="7">
        <f t="shared" si="20"/>
        <v>6284</v>
      </c>
      <c r="G9" s="7">
        <f t="shared" si="20"/>
        <v>6122</v>
      </c>
      <c r="H9" s="7">
        <f t="shared" si="20"/>
        <v>6490</v>
      </c>
      <c r="I9" s="7">
        <f t="shared" si="20"/>
        <v>6565</v>
      </c>
      <c r="J9" s="7">
        <f t="shared" si="20"/>
        <v>7139</v>
      </c>
      <c r="K9" s="7">
        <f t="shared" si="20"/>
        <v>6971</v>
      </c>
      <c r="L9" s="7">
        <f t="shared" si="20"/>
        <v>7166</v>
      </c>
      <c r="M9" s="7">
        <f t="shared" si="20"/>
        <v>7339</v>
      </c>
      <c r="N9" s="7">
        <f t="shared" si="20"/>
        <v>7776</v>
      </c>
      <c r="O9" s="7">
        <f>O5-O8</f>
        <v>7564</v>
      </c>
      <c r="P9" s="7">
        <f t="shared" ref="P9:V9" si="21">P5-P8</f>
        <v>0</v>
      </c>
      <c r="Q9" s="7">
        <f t="shared" si="21"/>
        <v>0</v>
      </c>
      <c r="R9" s="7">
        <f t="shared" si="21"/>
        <v>0</v>
      </c>
      <c r="S9" s="7">
        <f t="shared" si="21"/>
        <v>0</v>
      </c>
      <c r="T9" s="7">
        <f t="shared" si="21"/>
        <v>0</v>
      </c>
      <c r="U9" s="7">
        <f t="shared" si="21"/>
        <v>0</v>
      </c>
      <c r="V9" s="7">
        <f t="shared" si="21"/>
        <v>0</v>
      </c>
      <c r="AA9" s="7">
        <f t="shared" ref="AA9" si="22">AA5-AA8</f>
        <v>22992</v>
      </c>
      <c r="AB9" s="7">
        <f t="shared" ref="AB9" si="23">AB5-AB8</f>
        <v>26316</v>
      </c>
      <c r="AC9" s="7">
        <f t="shared" ref="AC9" si="24">AC5-AC8</f>
        <v>29252</v>
      </c>
      <c r="AD9" s="7">
        <f t="shared" ref="AD9:AE9" si="25">AD5-AD8</f>
        <v>41200</v>
      </c>
      <c r="AE9" s="7">
        <f t="shared" si="25"/>
        <v>44940</v>
      </c>
    </row>
    <row r="10" spans="1:49" s="6" customFormat="1" x14ac:dyDescent="0.25">
      <c r="B10" s="6" t="s">
        <v>33</v>
      </c>
      <c r="C10" s="6">
        <v>1318</v>
      </c>
      <c r="D10" s="6">
        <v>1329</v>
      </c>
      <c r="E10" s="6">
        <v>1280</v>
      </c>
      <c r="F10" s="6">
        <v>1128</v>
      </c>
      <c r="G10" s="6">
        <v>1207</v>
      </c>
      <c r="H10" s="6">
        <v>1220</v>
      </c>
      <c r="I10" s="6">
        <v>1204</v>
      </c>
      <c r="J10" s="6">
        <v>1275</v>
      </c>
      <c r="K10" s="6">
        <v>1368</v>
      </c>
      <c r="L10" s="6">
        <v>1349</v>
      </c>
      <c r="M10" s="6">
        <v>1356</v>
      </c>
      <c r="N10" s="6">
        <v>1420</v>
      </c>
      <c r="O10" s="6">
        <v>1460</v>
      </c>
      <c r="AA10" s="6">
        <f t="shared" ref="AA10:AA13" si="26">+C10+D10+E10+F10</f>
        <v>5055</v>
      </c>
      <c r="AB10" s="6">
        <f t="shared" ref="AB10:AB13" si="27">+G10+H10+I10+J10</f>
        <v>4906</v>
      </c>
      <c r="AC10" s="6">
        <f t="shared" ref="AC10:AC13" si="28">+K10+L10+M10+N10</f>
        <v>5493</v>
      </c>
    </row>
    <row r="11" spans="1:49" s="6" customFormat="1" x14ac:dyDescent="0.25">
      <c r="B11" s="6" t="s">
        <v>34</v>
      </c>
      <c r="C11" s="6">
        <v>3372</v>
      </c>
      <c r="D11" s="6">
        <v>3424</v>
      </c>
      <c r="E11" s="6">
        <v>3345</v>
      </c>
      <c r="F11" s="6">
        <v>3385</v>
      </c>
      <c r="G11" s="6">
        <v>3154</v>
      </c>
      <c r="H11" s="6">
        <v>3113</v>
      </c>
      <c r="I11" s="6">
        <v>3173</v>
      </c>
      <c r="J11" s="6">
        <v>3437</v>
      </c>
      <c r="K11" s="6">
        <v>3239</v>
      </c>
      <c r="L11" s="6">
        <v>3224</v>
      </c>
      <c r="M11" s="6">
        <v>3323</v>
      </c>
      <c r="N11" s="6">
        <v>3471</v>
      </c>
      <c r="O11" s="6">
        <v>3429</v>
      </c>
      <c r="AA11" s="6">
        <f t="shared" si="26"/>
        <v>13526</v>
      </c>
      <c r="AB11" s="6">
        <f t="shared" si="27"/>
        <v>12877</v>
      </c>
      <c r="AC11" s="6">
        <f t="shared" si="28"/>
        <v>13257</v>
      </c>
    </row>
    <row r="12" spans="1:49" s="6" customFormat="1" x14ac:dyDescent="0.25">
      <c r="B12" s="6" t="s">
        <v>35</v>
      </c>
      <c r="C12" s="6">
        <v>656</v>
      </c>
      <c r="D12" s="6">
        <v>647</v>
      </c>
      <c r="E12" s="6">
        <v>664</v>
      </c>
      <c r="F12" s="6">
        <v>586</v>
      </c>
      <c r="G12" s="6">
        <v>638</v>
      </c>
      <c r="H12" s="6">
        <v>632</v>
      </c>
      <c r="I12" s="6">
        <v>632</v>
      </c>
      <c r="J12" s="6">
        <v>632</v>
      </c>
      <c r="K12" s="6">
        <v>647</v>
      </c>
      <c r="L12" s="6">
        <v>711</v>
      </c>
      <c r="M12" s="6">
        <v>711</v>
      </c>
      <c r="N12" s="6">
        <v>767</v>
      </c>
      <c r="O12" s="6">
        <v>697</v>
      </c>
      <c r="AA12" s="6">
        <f t="shared" si="26"/>
        <v>2553</v>
      </c>
      <c r="AB12" s="6">
        <f t="shared" si="27"/>
        <v>2534</v>
      </c>
      <c r="AC12" s="6">
        <f t="shared" si="28"/>
        <v>2836</v>
      </c>
    </row>
    <row r="13" spans="1:49" s="6" customFormat="1" x14ac:dyDescent="0.25">
      <c r="B13" s="6" t="s">
        <v>36</v>
      </c>
      <c r="F13" s="6">
        <v>828</v>
      </c>
      <c r="G13" s="6">
        <v>711</v>
      </c>
      <c r="H13" s="6">
        <v>49</v>
      </c>
      <c r="I13" s="6">
        <v>55</v>
      </c>
      <c r="J13" s="6">
        <v>173</v>
      </c>
      <c r="K13" s="6">
        <v>8</v>
      </c>
      <c r="L13" s="6">
        <v>99</v>
      </c>
      <c r="M13" s="6">
        <v>56</v>
      </c>
      <c r="N13" s="6">
        <v>298</v>
      </c>
      <c r="O13" s="6">
        <v>36</v>
      </c>
      <c r="AA13" s="6">
        <f t="shared" si="26"/>
        <v>828</v>
      </c>
      <c r="AB13" s="6">
        <f t="shared" si="27"/>
        <v>988</v>
      </c>
      <c r="AC13" s="6">
        <f t="shared" si="28"/>
        <v>461</v>
      </c>
    </row>
    <row r="14" spans="1:49" s="7" customFormat="1" x14ac:dyDescent="0.25">
      <c r="B14" s="7" t="s">
        <v>37</v>
      </c>
      <c r="C14" s="7">
        <f t="shared" ref="C14:N14" si="29">SUM(C10:C13)</f>
        <v>5346</v>
      </c>
      <c r="D14" s="7">
        <f t="shared" si="29"/>
        <v>5400</v>
      </c>
      <c r="E14" s="7">
        <f t="shared" si="29"/>
        <v>5289</v>
      </c>
      <c r="F14" s="7">
        <f t="shared" si="29"/>
        <v>5927</v>
      </c>
      <c r="G14" s="7">
        <f t="shared" si="29"/>
        <v>5710</v>
      </c>
      <c r="H14" s="7">
        <f t="shared" si="29"/>
        <v>5014</v>
      </c>
      <c r="I14" s="7">
        <f t="shared" si="29"/>
        <v>5064</v>
      </c>
      <c r="J14" s="7">
        <f t="shared" si="29"/>
        <v>5517</v>
      </c>
      <c r="K14" s="7">
        <f t="shared" si="29"/>
        <v>5262</v>
      </c>
      <c r="L14" s="7">
        <f t="shared" si="29"/>
        <v>5383</v>
      </c>
      <c r="M14" s="7">
        <f t="shared" si="29"/>
        <v>5446</v>
      </c>
      <c r="N14" s="7">
        <f t="shared" si="29"/>
        <v>5956</v>
      </c>
      <c r="O14" s="7">
        <f>SUM(O10:O13)</f>
        <v>5622</v>
      </c>
      <c r="P14" s="7">
        <f t="shared" ref="P14:V14" si="30">SUM(P10:P13)</f>
        <v>0</v>
      </c>
      <c r="Q14" s="7">
        <f t="shared" si="30"/>
        <v>0</v>
      </c>
      <c r="R14" s="7">
        <f t="shared" si="30"/>
        <v>0</v>
      </c>
      <c r="S14" s="7">
        <f t="shared" si="30"/>
        <v>0</v>
      </c>
      <c r="T14" s="7">
        <f t="shared" si="30"/>
        <v>0</v>
      </c>
      <c r="U14" s="7">
        <f t="shared" si="30"/>
        <v>0</v>
      </c>
      <c r="V14" s="7">
        <f t="shared" si="30"/>
        <v>0</v>
      </c>
      <c r="AA14" s="7">
        <f t="shared" ref="AA14" si="31">SUM(AA10:AA13)</f>
        <v>21962</v>
      </c>
      <c r="AB14" s="7">
        <f t="shared" ref="AB14" si="32">SUM(AB10:AB13)</f>
        <v>21305</v>
      </c>
      <c r="AC14" s="7">
        <f t="shared" ref="AC14" si="33">SUM(AC10:AC13)</f>
        <v>22047</v>
      </c>
      <c r="AD14" s="7">
        <f t="shared" ref="AD14:AE14" si="34">SUM(AD10:AD13)</f>
        <v>0</v>
      </c>
      <c r="AE14" s="7">
        <f t="shared" si="34"/>
        <v>0</v>
      </c>
    </row>
    <row r="15" spans="1:49" s="7" customFormat="1" x14ac:dyDescent="0.25">
      <c r="B15" s="7" t="s">
        <v>38</v>
      </c>
      <c r="C15" s="7">
        <f t="shared" ref="C15:N15" si="35">C9-C14</f>
        <v>20</v>
      </c>
      <c r="D15" s="7">
        <f t="shared" si="35"/>
        <v>193</v>
      </c>
      <c r="E15" s="7">
        <f t="shared" si="35"/>
        <v>460</v>
      </c>
      <c r="F15" s="7">
        <f t="shared" si="35"/>
        <v>357</v>
      </c>
      <c r="G15" s="7">
        <f t="shared" si="35"/>
        <v>412</v>
      </c>
      <c r="H15" s="7">
        <f t="shared" si="35"/>
        <v>1476</v>
      </c>
      <c r="I15" s="7">
        <f t="shared" si="35"/>
        <v>1501</v>
      </c>
      <c r="J15" s="7">
        <f t="shared" si="35"/>
        <v>1622</v>
      </c>
      <c r="K15" s="7">
        <f t="shared" si="35"/>
        <v>1709</v>
      </c>
      <c r="L15" s="7">
        <f t="shared" si="35"/>
        <v>1783</v>
      </c>
      <c r="M15" s="7">
        <f t="shared" si="35"/>
        <v>1893</v>
      </c>
      <c r="N15" s="7">
        <f t="shared" si="35"/>
        <v>1820</v>
      </c>
      <c r="O15" s="7">
        <f>O9-O14</f>
        <v>1942</v>
      </c>
      <c r="P15" s="7">
        <f t="shared" ref="P15:V15" si="36">P9-P14</f>
        <v>0</v>
      </c>
      <c r="Q15" s="7">
        <f t="shared" si="36"/>
        <v>0</v>
      </c>
      <c r="R15" s="7">
        <f t="shared" si="36"/>
        <v>0</v>
      </c>
      <c r="S15" s="7">
        <f t="shared" si="36"/>
        <v>0</v>
      </c>
      <c r="T15" s="7">
        <f t="shared" si="36"/>
        <v>0</v>
      </c>
      <c r="U15" s="7">
        <f t="shared" si="36"/>
        <v>0</v>
      </c>
      <c r="V15" s="7">
        <f t="shared" si="36"/>
        <v>0</v>
      </c>
      <c r="AA15" s="7">
        <f t="shared" ref="AA15" si="37">AA9-AA14</f>
        <v>1030</v>
      </c>
      <c r="AB15" s="7">
        <f t="shared" ref="AB15" si="38">AB9-AB14</f>
        <v>5011</v>
      </c>
      <c r="AC15" s="7">
        <f t="shared" ref="AC15" si="39">AC9-AC14</f>
        <v>7205</v>
      </c>
      <c r="AD15" s="7">
        <f t="shared" ref="AD15:AE15" si="40">AD9-AD14</f>
        <v>41200</v>
      </c>
      <c r="AE15" s="7">
        <f t="shared" si="40"/>
        <v>44940</v>
      </c>
    </row>
    <row r="16" spans="1:49" s="6" customFormat="1" x14ac:dyDescent="0.25">
      <c r="B16" s="6" t="s">
        <v>39</v>
      </c>
      <c r="C16" s="6">
        <v>7</v>
      </c>
      <c r="D16" s="6">
        <v>45</v>
      </c>
      <c r="E16" s="6">
        <v>23</v>
      </c>
      <c r="F16" s="6">
        <v>-314</v>
      </c>
      <c r="G16" s="6">
        <v>-141</v>
      </c>
      <c r="H16" s="6">
        <v>-29</v>
      </c>
      <c r="I16" s="6">
        <v>-72</v>
      </c>
      <c r="J16" s="6">
        <v>-35</v>
      </c>
      <c r="K16" s="6">
        <v>37</v>
      </c>
      <c r="L16" s="6">
        <v>-37</v>
      </c>
      <c r="M16" s="6">
        <v>-217</v>
      </c>
      <c r="N16" s="6">
        <v>96</v>
      </c>
      <c r="O16" s="6">
        <v>-63</v>
      </c>
      <c r="AA16" s="6">
        <f t="shared" ref="AA16:AA17" si="41">+C16+D16+E16+F16</f>
        <v>-239</v>
      </c>
      <c r="AB16" s="6">
        <f t="shared" ref="AB16:AB17" si="42">+G16+H16+I16+J16</f>
        <v>-277</v>
      </c>
      <c r="AC16" s="6">
        <f t="shared" ref="AC16:AC17" si="43">+K16+L16+M16+N16</f>
        <v>-121</v>
      </c>
    </row>
    <row r="17" spans="2:680" s="6" customFormat="1" x14ac:dyDescent="0.25">
      <c r="B17" s="6" t="s">
        <v>40</v>
      </c>
      <c r="C17" s="6">
        <v>-56</v>
      </c>
      <c r="D17" s="6">
        <v>-57</v>
      </c>
      <c r="E17" s="6">
        <v>-8</v>
      </c>
      <c r="F17" s="6">
        <v>-10</v>
      </c>
      <c r="G17" s="6">
        <v>55</v>
      </c>
      <c r="H17" s="6">
        <v>45</v>
      </c>
      <c r="I17" s="6">
        <v>58</v>
      </c>
      <c r="J17" s="6">
        <v>58</v>
      </c>
      <c r="K17" s="6">
        <v>121</v>
      </c>
      <c r="L17" s="6">
        <v>91</v>
      </c>
      <c r="M17" s="6">
        <v>70</v>
      </c>
      <c r="N17" s="6">
        <v>72</v>
      </c>
      <c r="O17" s="6">
        <v>95</v>
      </c>
      <c r="AA17" s="6">
        <f t="shared" si="41"/>
        <v>-131</v>
      </c>
      <c r="AB17" s="6">
        <f t="shared" si="42"/>
        <v>216</v>
      </c>
      <c r="AC17" s="6">
        <f t="shared" si="43"/>
        <v>354</v>
      </c>
    </row>
    <row r="18" spans="2:680" s="7" customFormat="1" x14ac:dyDescent="0.25">
      <c r="B18" s="7" t="s">
        <v>41</v>
      </c>
      <c r="C18" s="7">
        <f t="shared" ref="C18:N18" si="44">C15+SUM(C16:C17)</f>
        <v>-29</v>
      </c>
      <c r="D18" s="7">
        <f t="shared" si="44"/>
        <v>181</v>
      </c>
      <c r="E18" s="7">
        <f t="shared" si="44"/>
        <v>475</v>
      </c>
      <c r="F18" s="7">
        <f t="shared" si="44"/>
        <v>33</v>
      </c>
      <c r="G18" s="7">
        <f t="shared" si="44"/>
        <v>326</v>
      </c>
      <c r="H18" s="7">
        <f t="shared" si="44"/>
        <v>1492</v>
      </c>
      <c r="I18" s="7">
        <f t="shared" si="44"/>
        <v>1487</v>
      </c>
      <c r="J18" s="7">
        <f t="shared" si="44"/>
        <v>1645</v>
      </c>
      <c r="K18" s="7">
        <f t="shared" si="44"/>
        <v>1867</v>
      </c>
      <c r="L18" s="7">
        <f t="shared" si="44"/>
        <v>1837</v>
      </c>
      <c r="M18" s="7">
        <f t="shared" si="44"/>
        <v>1746</v>
      </c>
      <c r="N18" s="7">
        <f t="shared" si="44"/>
        <v>1988</v>
      </c>
      <c r="O18" s="7">
        <f>O15+SUM(O16:O17)</f>
        <v>1974</v>
      </c>
      <c r="P18" s="7">
        <f t="shared" ref="P18:V18" si="45">P15+SUM(P16:P17)</f>
        <v>0</v>
      </c>
      <c r="Q18" s="7">
        <f t="shared" si="45"/>
        <v>0</v>
      </c>
      <c r="R18" s="7">
        <f t="shared" si="45"/>
        <v>0</v>
      </c>
      <c r="S18" s="7">
        <f t="shared" si="45"/>
        <v>0</v>
      </c>
      <c r="T18" s="7">
        <f t="shared" si="45"/>
        <v>0</v>
      </c>
      <c r="U18" s="7">
        <f t="shared" si="45"/>
        <v>0</v>
      </c>
      <c r="V18" s="7">
        <f t="shared" si="45"/>
        <v>0</v>
      </c>
      <c r="AA18" s="7">
        <f t="shared" ref="AA18" si="46">AA15+SUM(AA16:AA17)</f>
        <v>660</v>
      </c>
      <c r="AB18" s="7">
        <f t="shared" ref="AB18" si="47">AB15+SUM(AB16:AB17)</f>
        <v>4950</v>
      </c>
      <c r="AC18" s="7">
        <f t="shared" ref="AC18" si="48">AC15+SUM(AC16:AC17)</f>
        <v>7438</v>
      </c>
      <c r="AD18" s="7">
        <f t="shared" ref="AD18:AE18" si="49">AD15+SUM(AD16:AD17)</f>
        <v>41200</v>
      </c>
      <c r="AE18" s="7">
        <f t="shared" si="49"/>
        <v>44940</v>
      </c>
    </row>
    <row r="19" spans="2:680" s="6" customFormat="1" x14ac:dyDescent="0.25">
      <c r="B19" s="6" t="s">
        <v>42</v>
      </c>
      <c r="C19" s="6">
        <v>57</v>
      </c>
      <c r="D19" s="6">
        <v>-113</v>
      </c>
      <c r="E19" s="6">
        <v>-265</v>
      </c>
      <c r="F19" s="6">
        <v>-131</v>
      </c>
      <c r="G19" s="6">
        <v>-127</v>
      </c>
      <c r="H19" s="6">
        <v>-225</v>
      </c>
      <c r="I19" s="6">
        <v>-263</v>
      </c>
      <c r="J19" s="6">
        <v>-199</v>
      </c>
      <c r="K19" s="6">
        <v>-334</v>
      </c>
      <c r="L19" s="6">
        <v>-408</v>
      </c>
      <c r="M19" s="6">
        <v>-219</v>
      </c>
      <c r="N19" s="6">
        <v>-280</v>
      </c>
      <c r="O19" s="6">
        <v>-433</v>
      </c>
      <c r="AA19" s="6">
        <f>+C19+D19+E19+F19</f>
        <v>-452</v>
      </c>
      <c r="AB19" s="6">
        <f>+G19+H19+I19+J19</f>
        <v>-814</v>
      </c>
      <c r="AC19" s="6">
        <f>+K19+L19+M19+N19</f>
        <v>-1241</v>
      </c>
    </row>
    <row r="20" spans="2:680" s="7" customFormat="1" x14ac:dyDescent="0.25">
      <c r="B20" s="7" t="s">
        <v>43</v>
      </c>
      <c r="C20" s="7">
        <f t="shared" ref="C20:N20" si="50">C18+C19</f>
        <v>28</v>
      </c>
      <c r="D20" s="7">
        <f t="shared" si="50"/>
        <v>68</v>
      </c>
      <c r="E20" s="7">
        <f t="shared" si="50"/>
        <v>210</v>
      </c>
      <c r="F20" s="7">
        <f t="shared" si="50"/>
        <v>-98</v>
      </c>
      <c r="G20" s="7">
        <f t="shared" si="50"/>
        <v>199</v>
      </c>
      <c r="H20" s="7">
        <f t="shared" si="50"/>
        <v>1267</v>
      </c>
      <c r="I20" s="7">
        <f t="shared" si="50"/>
        <v>1224</v>
      </c>
      <c r="J20" s="7">
        <f t="shared" si="50"/>
        <v>1446</v>
      </c>
      <c r="K20" s="7">
        <f t="shared" si="50"/>
        <v>1533</v>
      </c>
      <c r="L20" s="7">
        <f t="shared" si="50"/>
        <v>1429</v>
      </c>
      <c r="M20" s="7">
        <f t="shared" si="50"/>
        <v>1527</v>
      </c>
      <c r="N20" s="7">
        <f t="shared" si="50"/>
        <v>1708</v>
      </c>
      <c r="O20" s="7">
        <f>O18+O19</f>
        <v>1541</v>
      </c>
      <c r="P20" s="7">
        <f t="shared" ref="P20:V20" si="51">P18+P19</f>
        <v>0</v>
      </c>
      <c r="Q20" s="7">
        <f t="shared" si="51"/>
        <v>0</v>
      </c>
      <c r="R20" s="7">
        <f t="shared" si="51"/>
        <v>0</v>
      </c>
      <c r="S20" s="7">
        <f t="shared" si="51"/>
        <v>0</v>
      </c>
      <c r="T20" s="7">
        <f t="shared" si="51"/>
        <v>0</v>
      </c>
      <c r="U20" s="7">
        <f t="shared" si="51"/>
        <v>0</v>
      </c>
      <c r="V20" s="7">
        <f t="shared" si="51"/>
        <v>0</v>
      </c>
      <c r="AA20" s="7">
        <f t="shared" ref="AA20" si="52">AA18+AA19</f>
        <v>208</v>
      </c>
      <c r="AB20" s="7">
        <f t="shared" ref="AB20" si="53">AB18+AB19</f>
        <v>4136</v>
      </c>
      <c r="AC20" s="7">
        <f t="shared" ref="AC20" si="54">AC18+AC19</f>
        <v>6197</v>
      </c>
      <c r="AD20" s="7">
        <v>7030</v>
      </c>
      <c r="AE20" s="7">
        <v>8270</v>
      </c>
      <c r="AF20" s="7">
        <f>AF5*AF36</f>
        <v>9307.0740000000005</v>
      </c>
      <c r="AG20" s="7">
        <f t="shared" ref="AG20:AM20" si="55">AG5*AG36</f>
        <v>10629.658200000002</v>
      </c>
      <c r="AH20" s="7">
        <f>AH5*AH36</f>
        <v>11767.031627400002</v>
      </c>
      <c r="AI20" s="7">
        <f t="shared" si="55"/>
        <v>12958.08482871</v>
      </c>
      <c r="AJ20" s="7">
        <f t="shared" si="55"/>
        <v>13865.150766719702</v>
      </c>
      <c r="AK20" s="7">
        <f t="shared" si="55"/>
        <v>15117.966175284017</v>
      </c>
      <c r="AL20" s="7">
        <f t="shared" si="55"/>
        <v>16025.044145801059</v>
      </c>
      <c r="AM20" s="7">
        <f t="shared" si="55"/>
        <v>17299.594168560117</v>
      </c>
      <c r="AN20" s="7">
        <f>+AM20*1.02</f>
        <v>17645.586051931321</v>
      </c>
      <c r="AO20" s="7">
        <f t="shared" ref="AO20:AW20" si="56">+AN20*1.02</f>
        <v>17998.497772969949</v>
      </c>
      <c r="AP20" s="7">
        <f t="shared" si="56"/>
        <v>18358.46772842935</v>
      </c>
      <c r="AQ20" s="7">
        <f t="shared" si="56"/>
        <v>18725.637082997939</v>
      </c>
      <c r="AR20" s="7">
        <f t="shared" si="56"/>
        <v>19100.149824657899</v>
      </c>
      <c r="AS20" s="7">
        <f t="shared" si="56"/>
        <v>19482.152821151059</v>
      </c>
      <c r="AT20" s="7">
        <f t="shared" si="56"/>
        <v>19871.795877574081</v>
      </c>
      <c r="AU20" s="7">
        <f t="shared" si="56"/>
        <v>20269.231795125565</v>
      </c>
      <c r="AV20" s="7">
        <f t="shared" si="56"/>
        <v>20674.616431028076</v>
      </c>
      <c r="AW20" s="7">
        <f t="shared" si="56"/>
        <v>21088.10875964864</v>
      </c>
      <c r="AX20" s="7">
        <f>+AW20*(1+$AQ$25)</f>
        <v>20771.787128253909</v>
      </c>
      <c r="AY20" s="7">
        <f t="shared" ref="AY20:DJ20" si="57">+AX20*(1+$AQ$25)</f>
        <v>20460.210321330102</v>
      </c>
      <c r="AZ20" s="7">
        <f t="shared" si="57"/>
        <v>20153.307166510149</v>
      </c>
      <c r="BA20" s="7">
        <f t="shared" si="57"/>
        <v>19851.007559012498</v>
      </c>
      <c r="BB20" s="7">
        <f t="shared" si="57"/>
        <v>19553.242445627311</v>
      </c>
      <c r="BC20" s="7">
        <f t="shared" si="57"/>
        <v>19259.943808942902</v>
      </c>
      <c r="BD20" s="7">
        <f t="shared" si="57"/>
        <v>18971.044651808759</v>
      </c>
      <c r="BE20" s="7">
        <f t="shared" si="57"/>
        <v>18686.478982031629</v>
      </c>
      <c r="BF20" s="7">
        <f t="shared" si="57"/>
        <v>18406.181797301153</v>
      </c>
      <c r="BG20" s="7">
        <f t="shared" si="57"/>
        <v>18130.089070341637</v>
      </c>
      <c r="BH20" s="7">
        <f t="shared" si="57"/>
        <v>17858.137734286513</v>
      </c>
      <c r="BI20" s="7">
        <f t="shared" si="57"/>
        <v>17590.265668272215</v>
      </c>
      <c r="BJ20" s="7">
        <f t="shared" si="57"/>
        <v>17326.41168324813</v>
      </c>
      <c r="BK20" s="7">
        <f t="shared" si="57"/>
        <v>17066.515507999407</v>
      </c>
      <c r="BL20" s="7">
        <f t="shared" si="57"/>
        <v>16810.517775379416</v>
      </c>
      <c r="BM20" s="7">
        <f t="shared" si="57"/>
        <v>16558.360008748725</v>
      </c>
      <c r="BN20" s="7">
        <f t="shared" si="57"/>
        <v>16309.984608617493</v>
      </c>
      <c r="BO20" s="7">
        <f t="shared" si="57"/>
        <v>16065.334839488231</v>
      </c>
      <c r="BP20" s="7">
        <f t="shared" si="57"/>
        <v>15824.354816895906</v>
      </c>
      <c r="BQ20" s="7">
        <f t="shared" si="57"/>
        <v>15586.989494642467</v>
      </c>
      <c r="BR20" s="7">
        <f t="shared" si="57"/>
        <v>15353.18465222283</v>
      </c>
      <c r="BS20" s="7">
        <f t="shared" si="57"/>
        <v>15122.886882439487</v>
      </c>
      <c r="BT20" s="7">
        <f t="shared" si="57"/>
        <v>14896.043579202895</v>
      </c>
      <c r="BU20" s="7">
        <f t="shared" si="57"/>
        <v>14672.602925514851</v>
      </c>
      <c r="BV20" s="7">
        <f t="shared" si="57"/>
        <v>14452.513881632129</v>
      </c>
      <c r="BW20" s="7">
        <f t="shared" si="57"/>
        <v>14235.726173407647</v>
      </c>
      <c r="BX20" s="7">
        <f t="shared" si="57"/>
        <v>14022.190280806533</v>
      </c>
      <c r="BY20" s="7">
        <f t="shared" si="57"/>
        <v>13811.857426594435</v>
      </c>
      <c r="BZ20" s="7">
        <f t="shared" si="57"/>
        <v>13604.679565195518</v>
      </c>
      <c r="CA20" s="7">
        <f t="shared" si="57"/>
        <v>13400.609371717585</v>
      </c>
      <c r="CB20" s="7">
        <f t="shared" si="57"/>
        <v>13199.60023114182</v>
      </c>
      <c r="CC20" s="7">
        <f t="shared" si="57"/>
        <v>13001.606227674692</v>
      </c>
      <c r="CD20" s="7">
        <f t="shared" si="57"/>
        <v>12806.582134259572</v>
      </c>
      <c r="CE20" s="7">
        <f t="shared" si="57"/>
        <v>12614.483402245678</v>
      </c>
      <c r="CF20" s="7">
        <f t="shared" si="57"/>
        <v>12425.266151211992</v>
      </c>
      <c r="CG20" s="7">
        <f t="shared" si="57"/>
        <v>12238.887158943811</v>
      </c>
      <c r="CH20" s="7">
        <f t="shared" si="57"/>
        <v>12055.303851559655</v>
      </c>
      <c r="CI20" s="7">
        <f t="shared" si="57"/>
        <v>11874.474293786259</v>
      </c>
      <c r="CJ20" s="7">
        <f t="shared" si="57"/>
        <v>11696.357179379465</v>
      </c>
      <c r="CK20" s="7">
        <f t="shared" si="57"/>
        <v>11520.911821688773</v>
      </c>
      <c r="CL20" s="7">
        <f t="shared" si="57"/>
        <v>11348.098144363441</v>
      </c>
      <c r="CM20" s="7">
        <f t="shared" si="57"/>
        <v>11177.87667219799</v>
      </c>
      <c r="CN20" s="7">
        <f t="shared" si="57"/>
        <v>11010.208522115019</v>
      </c>
      <c r="CO20" s="7">
        <f t="shared" si="57"/>
        <v>10845.055394283294</v>
      </c>
      <c r="CP20" s="7">
        <f t="shared" si="57"/>
        <v>10682.379563369044</v>
      </c>
      <c r="CQ20" s="7">
        <f t="shared" si="57"/>
        <v>10522.143869918509</v>
      </c>
      <c r="CR20" s="7">
        <f t="shared" si="57"/>
        <v>10364.311711869732</v>
      </c>
      <c r="CS20" s="7">
        <f t="shared" si="57"/>
        <v>10208.847036191686</v>
      </c>
      <c r="CT20" s="7">
        <f t="shared" si="57"/>
        <v>10055.714330648811</v>
      </c>
      <c r="CU20" s="7">
        <f t="shared" si="57"/>
        <v>9904.8786156890783</v>
      </c>
      <c r="CV20" s="7">
        <f t="shared" si="57"/>
        <v>9756.305436453742</v>
      </c>
      <c r="CW20" s="7">
        <f t="shared" si="57"/>
        <v>9609.9608549069362</v>
      </c>
      <c r="CX20" s="7">
        <f t="shared" si="57"/>
        <v>9465.8114420833317</v>
      </c>
      <c r="CY20" s="7">
        <f t="shared" si="57"/>
        <v>9323.8242704520817</v>
      </c>
      <c r="CZ20" s="7">
        <f t="shared" si="57"/>
        <v>9183.9669063953006</v>
      </c>
      <c r="DA20" s="7">
        <f t="shared" si="57"/>
        <v>9046.2074027993713</v>
      </c>
      <c r="DB20" s="7">
        <f t="shared" si="57"/>
        <v>8910.5142917573812</v>
      </c>
      <c r="DC20" s="7">
        <f t="shared" si="57"/>
        <v>8776.8565773810205</v>
      </c>
      <c r="DD20" s="7">
        <f t="shared" si="57"/>
        <v>8645.2037287203057</v>
      </c>
      <c r="DE20" s="7">
        <f t="shared" si="57"/>
        <v>8515.5256727895012</v>
      </c>
      <c r="DF20" s="7">
        <f t="shared" si="57"/>
        <v>8387.7927876976592</v>
      </c>
      <c r="DG20" s="7">
        <f t="shared" si="57"/>
        <v>8261.9758958821949</v>
      </c>
      <c r="DH20" s="7">
        <f t="shared" si="57"/>
        <v>8138.0462574439616</v>
      </c>
      <c r="DI20" s="7">
        <f t="shared" si="57"/>
        <v>8015.9755635823021</v>
      </c>
      <c r="DJ20" s="7">
        <f t="shared" si="57"/>
        <v>7895.7359301285678</v>
      </c>
      <c r="DK20" s="7">
        <f t="shared" ref="DK20:FV20" si="58">+DJ20*(1+$AQ$25)</f>
        <v>7777.299891176639</v>
      </c>
      <c r="DL20" s="7">
        <f t="shared" si="58"/>
        <v>7660.6403928089894</v>
      </c>
      <c r="DM20" s="7">
        <f t="shared" si="58"/>
        <v>7545.7307869168544</v>
      </c>
      <c r="DN20" s="7">
        <f t="shared" si="58"/>
        <v>7432.5448251131011</v>
      </c>
      <c r="DO20" s="7">
        <f t="shared" si="58"/>
        <v>7321.0566527364044</v>
      </c>
      <c r="DP20" s="7">
        <f t="shared" si="58"/>
        <v>7211.2408029453582</v>
      </c>
      <c r="DQ20" s="7">
        <f t="shared" si="58"/>
        <v>7103.0721909011772</v>
      </c>
      <c r="DR20" s="7">
        <f t="shared" si="58"/>
        <v>6996.5261080376595</v>
      </c>
      <c r="DS20" s="7">
        <f t="shared" si="58"/>
        <v>6891.5782164170942</v>
      </c>
      <c r="DT20" s="7">
        <f t="shared" si="58"/>
        <v>6788.2045431708375</v>
      </c>
      <c r="DU20" s="7">
        <f t="shared" si="58"/>
        <v>6686.381475023275</v>
      </c>
      <c r="DV20" s="7">
        <f t="shared" si="58"/>
        <v>6586.0857528979259</v>
      </c>
      <c r="DW20" s="7">
        <f t="shared" si="58"/>
        <v>6487.2944666044568</v>
      </c>
      <c r="DX20" s="7">
        <f t="shared" si="58"/>
        <v>6389.9850496053896</v>
      </c>
      <c r="DY20" s="7">
        <f t="shared" si="58"/>
        <v>6294.1352738613086</v>
      </c>
      <c r="DZ20" s="7">
        <f t="shared" si="58"/>
        <v>6199.7232447533888</v>
      </c>
      <c r="EA20" s="7">
        <f t="shared" si="58"/>
        <v>6106.7273960820876</v>
      </c>
      <c r="EB20" s="7">
        <f t="shared" si="58"/>
        <v>6015.1264851408559</v>
      </c>
      <c r="EC20" s="7">
        <f t="shared" si="58"/>
        <v>5924.8995878637434</v>
      </c>
      <c r="ED20" s="7">
        <f t="shared" si="58"/>
        <v>5836.0260940457874</v>
      </c>
      <c r="EE20" s="7">
        <f t="shared" si="58"/>
        <v>5748.4857026351001</v>
      </c>
      <c r="EF20" s="7">
        <f t="shared" si="58"/>
        <v>5662.2584170955733</v>
      </c>
      <c r="EG20" s="7">
        <f t="shared" si="58"/>
        <v>5577.3245408391394</v>
      </c>
      <c r="EH20" s="7">
        <f t="shared" si="58"/>
        <v>5493.6646727265525</v>
      </c>
      <c r="EI20" s="7">
        <f t="shared" si="58"/>
        <v>5411.2597026356543</v>
      </c>
      <c r="EJ20" s="7">
        <f t="shared" si="58"/>
        <v>5330.0908070961195</v>
      </c>
      <c r="EK20" s="7">
        <f t="shared" si="58"/>
        <v>5250.1394449896779</v>
      </c>
      <c r="EL20" s="7">
        <f t="shared" si="58"/>
        <v>5171.3873533148326</v>
      </c>
      <c r="EM20" s="7">
        <f t="shared" si="58"/>
        <v>5093.8165430151103</v>
      </c>
      <c r="EN20" s="7">
        <f t="shared" si="58"/>
        <v>5017.4092948698835</v>
      </c>
      <c r="EO20" s="7">
        <f t="shared" si="58"/>
        <v>4942.1481554468355</v>
      </c>
      <c r="EP20" s="7">
        <f t="shared" si="58"/>
        <v>4868.0159331151326</v>
      </c>
      <c r="EQ20" s="7">
        <f t="shared" si="58"/>
        <v>4794.9956941184055</v>
      </c>
      <c r="ER20" s="7">
        <f t="shared" si="58"/>
        <v>4723.070758706629</v>
      </c>
      <c r="ES20" s="7">
        <f t="shared" si="58"/>
        <v>4652.2246973260299</v>
      </c>
      <c r="ET20" s="7">
        <f t="shared" si="58"/>
        <v>4582.4413268661392</v>
      </c>
      <c r="EU20" s="7">
        <f t="shared" si="58"/>
        <v>4513.7047069631471</v>
      </c>
      <c r="EV20" s="7">
        <f t="shared" si="58"/>
        <v>4445.9991363586996</v>
      </c>
      <c r="EW20" s="7">
        <f t="shared" si="58"/>
        <v>4379.3091493133188</v>
      </c>
      <c r="EX20" s="7">
        <f t="shared" si="58"/>
        <v>4313.6195120736193</v>
      </c>
      <c r="EY20" s="7">
        <f t="shared" si="58"/>
        <v>4248.9152193925147</v>
      </c>
      <c r="EZ20" s="7">
        <f t="shared" si="58"/>
        <v>4185.1814911016272</v>
      </c>
      <c r="FA20" s="7">
        <f t="shared" si="58"/>
        <v>4122.4037687351029</v>
      </c>
      <c r="FB20" s="7">
        <f t="shared" si="58"/>
        <v>4060.5677122040761</v>
      </c>
      <c r="FC20" s="7">
        <f t="shared" si="58"/>
        <v>3999.659196521015</v>
      </c>
      <c r="FD20" s="7">
        <f t="shared" si="58"/>
        <v>3939.6643085731998</v>
      </c>
      <c r="FE20" s="7">
        <f t="shared" si="58"/>
        <v>3880.5693439446018</v>
      </c>
      <c r="FF20" s="7">
        <f t="shared" si="58"/>
        <v>3822.3608037854328</v>
      </c>
      <c r="FG20" s="7">
        <f t="shared" si="58"/>
        <v>3765.0253917286514</v>
      </c>
      <c r="FH20" s="7">
        <f t="shared" si="58"/>
        <v>3708.5500108527217</v>
      </c>
      <c r="FI20" s="7">
        <f t="shared" si="58"/>
        <v>3652.921760689931</v>
      </c>
      <c r="FJ20" s="7">
        <f t="shared" si="58"/>
        <v>3598.127934279582</v>
      </c>
      <c r="FK20" s="7">
        <f t="shared" si="58"/>
        <v>3544.1560152653883</v>
      </c>
      <c r="FL20" s="7">
        <f t="shared" si="58"/>
        <v>3490.9936750364072</v>
      </c>
      <c r="FM20" s="7">
        <f t="shared" si="58"/>
        <v>3438.6287699108611</v>
      </c>
      <c r="FN20" s="7">
        <f t="shared" si="58"/>
        <v>3387.0493383621983</v>
      </c>
      <c r="FO20" s="7">
        <f t="shared" si="58"/>
        <v>3336.2435982867655</v>
      </c>
      <c r="FP20" s="7">
        <f t="shared" si="58"/>
        <v>3286.1999443124641</v>
      </c>
      <c r="FQ20" s="7">
        <f t="shared" si="58"/>
        <v>3236.9069451477772</v>
      </c>
      <c r="FR20" s="7">
        <f t="shared" si="58"/>
        <v>3188.3533409705606</v>
      </c>
      <c r="FS20" s="7">
        <f t="shared" si="58"/>
        <v>3140.528040856002</v>
      </c>
      <c r="FT20" s="7">
        <f t="shared" si="58"/>
        <v>3093.4201202431618</v>
      </c>
      <c r="FU20" s="7">
        <f t="shared" si="58"/>
        <v>3047.0188184395142</v>
      </c>
      <c r="FV20" s="7">
        <f t="shared" si="58"/>
        <v>3001.3135361629215</v>
      </c>
      <c r="FW20" s="7">
        <f t="shared" ref="FW20:IH20" si="59">+FV20*(1+$AQ$25)</f>
        <v>2956.2938331204778</v>
      </c>
      <c r="FX20" s="7">
        <f t="shared" si="59"/>
        <v>2911.9494256236708</v>
      </c>
      <c r="FY20" s="7">
        <f t="shared" si="59"/>
        <v>2868.2701842393158</v>
      </c>
      <c r="FZ20" s="7">
        <f t="shared" si="59"/>
        <v>2825.2461314757261</v>
      </c>
      <c r="GA20" s="7">
        <f t="shared" si="59"/>
        <v>2782.86743950359</v>
      </c>
      <c r="GB20" s="7">
        <f t="shared" si="59"/>
        <v>2741.124427911036</v>
      </c>
      <c r="GC20" s="7">
        <f t="shared" si="59"/>
        <v>2700.0075614923703</v>
      </c>
      <c r="GD20" s="7">
        <f t="shared" si="59"/>
        <v>2659.5074480699845</v>
      </c>
      <c r="GE20" s="7">
        <f t="shared" si="59"/>
        <v>2619.6148363489347</v>
      </c>
      <c r="GF20" s="7">
        <f t="shared" si="59"/>
        <v>2580.3206138037008</v>
      </c>
      <c r="GG20" s="7">
        <f t="shared" si="59"/>
        <v>2541.6158045966454</v>
      </c>
      <c r="GH20" s="7">
        <f t="shared" si="59"/>
        <v>2503.4915675276957</v>
      </c>
      <c r="GI20" s="7">
        <f t="shared" si="59"/>
        <v>2465.9391940147802</v>
      </c>
      <c r="GJ20" s="7">
        <f t="shared" si="59"/>
        <v>2428.9501061045585</v>
      </c>
      <c r="GK20" s="7">
        <f t="shared" si="59"/>
        <v>2392.5158545129902</v>
      </c>
      <c r="GL20" s="7">
        <f t="shared" si="59"/>
        <v>2356.6281166952954</v>
      </c>
      <c r="GM20" s="7">
        <f t="shared" si="59"/>
        <v>2321.2786949448659</v>
      </c>
      <c r="GN20" s="7">
        <f t="shared" si="59"/>
        <v>2286.4595145206931</v>
      </c>
      <c r="GO20" s="7">
        <f t="shared" si="59"/>
        <v>2252.1626218028828</v>
      </c>
      <c r="GP20" s="7">
        <f t="shared" si="59"/>
        <v>2218.3801824758393</v>
      </c>
      <c r="GQ20" s="7">
        <f t="shared" si="59"/>
        <v>2185.1044797387017</v>
      </c>
      <c r="GR20" s="7">
        <f t="shared" si="59"/>
        <v>2152.3279125426211</v>
      </c>
      <c r="GS20" s="7">
        <f t="shared" si="59"/>
        <v>2120.0429938544817</v>
      </c>
      <c r="GT20" s="7">
        <f t="shared" si="59"/>
        <v>2088.2423489466646</v>
      </c>
      <c r="GU20" s="7">
        <f t="shared" si="59"/>
        <v>2056.9187137124645</v>
      </c>
      <c r="GV20" s="7">
        <f t="shared" si="59"/>
        <v>2026.0649330067774</v>
      </c>
      <c r="GW20" s="7">
        <f t="shared" si="59"/>
        <v>1995.6739590116758</v>
      </c>
      <c r="GX20" s="7">
        <f t="shared" si="59"/>
        <v>1965.7388496265007</v>
      </c>
      <c r="GY20" s="7">
        <f t="shared" si="59"/>
        <v>1936.2527668821033</v>
      </c>
      <c r="GZ20" s="7">
        <f t="shared" si="59"/>
        <v>1907.2089753788716</v>
      </c>
      <c r="HA20" s="7">
        <f t="shared" si="59"/>
        <v>1878.6008407481886</v>
      </c>
      <c r="HB20" s="7">
        <f t="shared" si="59"/>
        <v>1850.4218281369658</v>
      </c>
      <c r="HC20" s="7">
        <f t="shared" si="59"/>
        <v>1822.6655007149113</v>
      </c>
      <c r="HD20" s="7">
        <f t="shared" si="59"/>
        <v>1795.3255182041876</v>
      </c>
      <c r="HE20" s="7">
        <f t="shared" si="59"/>
        <v>1768.3956354311247</v>
      </c>
      <c r="HF20" s="7">
        <f t="shared" si="59"/>
        <v>1741.8697008996578</v>
      </c>
      <c r="HG20" s="7">
        <f t="shared" si="59"/>
        <v>1715.7416553861628</v>
      </c>
      <c r="HH20" s="7">
        <f t="shared" si="59"/>
        <v>1690.0055305553703</v>
      </c>
      <c r="HI20" s="7">
        <f t="shared" si="59"/>
        <v>1664.6554475970397</v>
      </c>
      <c r="HJ20" s="7">
        <f t="shared" si="59"/>
        <v>1639.685615883084</v>
      </c>
      <c r="HK20" s="7">
        <f t="shared" si="59"/>
        <v>1615.0903316448378</v>
      </c>
      <c r="HL20" s="7">
        <f t="shared" si="59"/>
        <v>1590.8639766701651</v>
      </c>
      <c r="HM20" s="7">
        <f t="shared" si="59"/>
        <v>1567.0010170201126</v>
      </c>
      <c r="HN20" s="7">
        <f t="shared" si="59"/>
        <v>1543.4960017648109</v>
      </c>
      <c r="HO20" s="7">
        <f t="shared" si="59"/>
        <v>1520.3435617383386</v>
      </c>
      <c r="HP20" s="7">
        <f t="shared" si="59"/>
        <v>1497.5384083122635</v>
      </c>
      <c r="HQ20" s="7">
        <f t="shared" si="59"/>
        <v>1475.0753321875795</v>
      </c>
      <c r="HR20" s="7">
        <f t="shared" si="59"/>
        <v>1452.9492022047659</v>
      </c>
      <c r="HS20" s="7">
        <f t="shared" si="59"/>
        <v>1431.1549641716945</v>
      </c>
      <c r="HT20" s="7">
        <f t="shared" si="59"/>
        <v>1409.6876397091191</v>
      </c>
      <c r="HU20" s="7">
        <f t="shared" si="59"/>
        <v>1388.5423251134823</v>
      </c>
      <c r="HV20" s="7">
        <f t="shared" si="59"/>
        <v>1367.71419023678</v>
      </c>
      <c r="HW20" s="7">
        <f t="shared" si="59"/>
        <v>1347.1984773832282</v>
      </c>
      <c r="HX20" s="7">
        <f t="shared" si="59"/>
        <v>1326.9905002224798</v>
      </c>
      <c r="HY20" s="7">
        <f t="shared" si="59"/>
        <v>1307.0856427191425</v>
      </c>
      <c r="HZ20" s="7">
        <f t="shared" si="59"/>
        <v>1287.4793580783553</v>
      </c>
      <c r="IA20" s="7">
        <f t="shared" si="59"/>
        <v>1268.1671677071799</v>
      </c>
      <c r="IB20" s="7">
        <f t="shared" si="59"/>
        <v>1249.1446601915723</v>
      </c>
      <c r="IC20" s="7">
        <f t="shared" si="59"/>
        <v>1230.4074902886987</v>
      </c>
      <c r="ID20" s="7">
        <f t="shared" si="59"/>
        <v>1211.9513779343681</v>
      </c>
      <c r="IE20" s="7">
        <f t="shared" si="59"/>
        <v>1193.7721072653526</v>
      </c>
      <c r="IF20" s="7">
        <f t="shared" si="59"/>
        <v>1175.8655256563723</v>
      </c>
      <c r="IG20" s="7">
        <f t="shared" si="59"/>
        <v>1158.2275427715267</v>
      </c>
      <c r="IH20" s="7">
        <f t="shared" si="59"/>
        <v>1140.8541296299538</v>
      </c>
      <c r="II20" s="7">
        <f t="shared" ref="II20:KT20" si="60">+IH20*(1+$AQ$25)</f>
        <v>1123.7413176855046</v>
      </c>
      <c r="IJ20" s="7">
        <f t="shared" si="60"/>
        <v>1106.885197920222</v>
      </c>
      <c r="IK20" s="7">
        <f t="shared" si="60"/>
        <v>1090.2819199514188</v>
      </c>
      <c r="IL20" s="7">
        <f t="shared" si="60"/>
        <v>1073.9276911521474</v>
      </c>
      <c r="IM20" s="7">
        <f t="shared" si="60"/>
        <v>1057.8187757848652</v>
      </c>
      <c r="IN20" s="7">
        <f t="shared" si="60"/>
        <v>1041.9514941480923</v>
      </c>
      <c r="IO20" s="7">
        <f t="shared" si="60"/>
        <v>1026.3222217358709</v>
      </c>
      <c r="IP20" s="7">
        <f t="shared" si="60"/>
        <v>1010.9273884098328</v>
      </c>
      <c r="IQ20" s="7">
        <f t="shared" si="60"/>
        <v>995.76347758368536</v>
      </c>
      <c r="IR20" s="7">
        <f t="shared" si="60"/>
        <v>980.82702541993001</v>
      </c>
      <c r="IS20" s="7">
        <f t="shared" si="60"/>
        <v>966.11462003863107</v>
      </c>
      <c r="IT20" s="7">
        <f t="shared" si="60"/>
        <v>951.62290073805161</v>
      </c>
      <c r="IU20" s="7">
        <f t="shared" si="60"/>
        <v>937.3485572269808</v>
      </c>
      <c r="IV20" s="7">
        <f t="shared" si="60"/>
        <v>923.28832886857606</v>
      </c>
      <c r="IW20" s="7">
        <f t="shared" si="60"/>
        <v>909.43900393554736</v>
      </c>
      <c r="IX20" s="7">
        <f t="shared" si="60"/>
        <v>895.79741887651414</v>
      </c>
      <c r="IY20" s="7">
        <f t="shared" si="60"/>
        <v>882.36045759336639</v>
      </c>
      <c r="IZ20" s="7">
        <f t="shared" si="60"/>
        <v>869.1250507294659</v>
      </c>
      <c r="JA20" s="7">
        <f t="shared" si="60"/>
        <v>856.08817496852384</v>
      </c>
      <c r="JB20" s="7">
        <f t="shared" si="60"/>
        <v>843.24685234399601</v>
      </c>
      <c r="JC20" s="7">
        <f t="shared" si="60"/>
        <v>830.5981495588361</v>
      </c>
      <c r="JD20" s="7">
        <f t="shared" si="60"/>
        <v>818.13917731545359</v>
      </c>
      <c r="JE20" s="7">
        <f t="shared" si="60"/>
        <v>805.86708965572177</v>
      </c>
      <c r="JF20" s="7">
        <f t="shared" si="60"/>
        <v>793.77908331088588</v>
      </c>
      <c r="JG20" s="7">
        <f t="shared" si="60"/>
        <v>781.87239706122261</v>
      </c>
      <c r="JH20" s="7">
        <f t="shared" si="60"/>
        <v>770.14431110530427</v>
      </c>
      <c r="JI20" s="7">
        <f t="shared" si="60"/>
        <v>758.59214643872474</v>
      </c>
      <c r="JJ20" s="7">
        <f t="shared" si="60"/>
        <v>747.21326424214385</v>
      </c>
      <c r="JK20" s="7">
        <f t="shared" si="60"/>
        <v>736.00506527851167</v>
      </c>
      <c r="JL20" s="7">
        <f t="shared" si="60"/>
        <v>724.96498929933398</v>
      </c>
      <c r="JM20" s="7">
        <f t="shared" si="60"/>
        <v>714.09051445984392</v>
      </c>
      <c r="JN20" s="7">
        <f t="shared" si="60"/>
        <v>703.37915674294629</v>
      </c>
      <c r="JO20" s="7">
        <f t="shared" si="60"/>
        <v>692.82846939180206</v>
      </c>
      <c r="JP20" s="7">
        <f t="shared" si="60"/>
        <v>682.43604235092505</v>
      </c>
      <c r="JQ20" s="7">
        <f t="shared" si="60"/>
        <v>672.1995017156612</v>
      </c>
      <c r="JR20" s="7">
        <f t="shared" si="60"/>
        <v>662.11650918992632</v>
      </c>
      <c r="JS20" s="7">
        <f t="shared" si="60"/>
        <v>652.18476155207736</v>
      </c>
      <c r="JT20" s="7">
        <f t="shared" si="60"/>
        <v>642.40199012879623</v>
      </c>
      <c r="JU20" s="7">
        <f t="shared" si="60"/>
        <v>632.76596027686423</v>
      </c>
      <c r="JV20" s="7">
        <f t="shared" si="60"/>
        <v>623.27447087271128</v>
      </c>
      <c r="JW20" s="7">
        <f t="shared" si="60"/>
        <v>613.92535380962056</v>
      </c>
      <c r="JX20" s="7">
        <f t="shared" si="60"/>
        <v>604.71647350247622</v>
      </c>
      <c r="JY20" s="7">
        <f t="shared" si="60"/>
        <v>595.64572639993912</v>
      </c>
      <c r="JZ20" s="7">
        <f t="shared" si="60"/>
        <v>586.71104050394001</v>
      </c>
      <c r="KA20" s="7">
        <f t="shared" si="60"/>
        <v>577.91037489638086</v>
      </c>
      <c r="KB20" s="7">
        <f t="shared" si="60"/>
        <v>569.24171927293514</v>
      </c>
      <c r="KC20" s="7">
        <f t="shared" si="60"/>
        <v>560.70309348384114</v>
      </c>
      <c r="KD20" s="7">
        <f t="shared" si="60"/>
        <v>552.29254708158351</v>
      </c>
      <c r="KE20" s="7">
        <f t="shared" si="60"/>
        <v>544.00815887535975</v>
      </c>
      <c r="KF20" s="7">
        <f t="shared" si="60"/>
        <v>535.84803649222931</v>
      </c>
      <c r="KG20" s="7">
        <f t="shared" si="60"/>
        <v>527.81031594484591</v>
      </c>
      <c r="KH20" s="7">
        <f t="shared" si="60"/>
        <v>519.89316120567321</v>
      </c>
      <c r="KI20" s="7">
        <f t="shared" si="60"/>
        <v>512.09476378758814</v>
      </c>
      <c r="KJ20" s="7">
        <f t="shared" si="60"/>
        <v>504.4133423307743</v>
      </c>
      <c r="KK20" s="7">
        <f t="shared" si="60"/>
        <v>496.84714219581269</v>
      </c>
      <c r="KL20" s="7">
        <f t="shared" si="60"/>
        <v>489.39443506287552</v>
      </c>
      <c r="KM20" s="7">
        <f t="shared" si="60"/>
        <v>482.05351853693236</v>
      </c>
      <c r="KN20" s="7">
        <f t="shared" si="60"/>
        <v>474.82271575887836</v>
      </c>
      <c r="KO20" s="7">
        <f t="shared" si="60"/>
        <v>467.70037502249517</v>
      </c>
      <c r="KP20" s="7">
        <f t="shared" si="60"/>
        <v>460.68486939715774</v>
      </c>
      <c r="KQ20" s="7">
        <f t="shared" si="60"/>
        <v>453.77459635620039</v>
      </c>
      <c r="KR20" s="7">
        <f t="shared" si="60"/>
        <v>446.96797741085737</v>
      </c>
      <c r="KS20" s="7">
        <f t="shared" si="60"/>
        <v>440.26345774969451</v>
      </c>
      <c r="KT20" s="7">
        <f t="shared" si="60"/>
        <v>433.65950588344907</v>
      </c>
      <c r="KU20" s="7">
        <f t="shared" ref="KU20:NF20" si="61">+KT20*(1+$AQ$25)</f>
        <v>427.15461329519735</v>
      </c>
      <c r="KV20" s="7">
        <f t="shared" si="61"/>
        <v>420.7472940957694</v>
      </c>
      <c r="KW20" s="7">
        <f t="shared" si="61"/>
        <v>414.43608468433285</v>
      </c>
      <c r="KX20" s="7">
        <f t="shared" si="61"/>
        <v>408.21954341406786</v>
      </c>
      <c r="KY20" s="7">
        <f t="shared" si="61"/>
        <v>402.09625026285681</v>
      </c>
      <c r="KZ20" s="7">
        <f t="shared" si="61"/>
        <v>396.06480650891393</v>
      </c>
      <c r="LA20" s="7">
        <f t="shared" si="61"/>
        <v>390.1238344112802</v>
      </c>
      <c r="LB20" s="7">
        <f t="shared" si="61"/>
        <v>384.27197689511098</v>
      </c>
      <c r="LC20" s="7">
        <f t="shared" si="61"/>
        <v>378.5078972416843</v>
      </c>
      <c r="LD20" s="7">
        <f t="shared" si="61"/>
        <v>372.83027878305904</v>
      </c>
      <c r="LE20" s="7">
        <f t="shared" si="61"/>
        <v>367.23782460131315</v>
      </c>
      <c r="LF20" s="7">
        <f t="shared" si="61"/>
        <v>361.72925723229343</v>
      </c>
      <c r="LG20" s="7">
        <f t="shared" si="61"/>
        <v>356.30331837380902</v>
      </c>
      <c r="LH20" s="7">
        <f t="shared" si="61"/>
        <v>350.95876859820186</v>
      </c>
      <c r="LI20" s="7">
        <f t="shared" si="61"/>
        <v>345.69438706922881</v>
      </c>
      <c r="LJ20" s="7">
        <f t="shared" si="61"/>
        <v>340.50897126319035</v>
      </c>
      <c r="LK20" s="7">
        <f t="shared" si="61"/>
        <v>335.4013366942425</v>
      </c>
      <c r="LL20" s="7">
        <f t="shared" si="61"/>
        <v>330.37031664382886</v>
      </c>
      <c r="LM20" s="7">
        <f t="shared" si="61"/>
        <v>325.41476189417142</v>
      </c>
      <c r="LN20" s="7">
        <f t="shared" si="61"/>
        <v>320.53354046575885</v>
      </c>
      <c r="LO20" s="7">
        <f t="shared" si="61"/>
        <v>315.72553735877244</v>
      </c>
      <c r="LP20" s="7">
        <f t="shared" si="61"/>
        <v>310.98965429839086</v>
      </c>
      <c r="LQ20" s="7">
        <f t="shared" si="61"/>
        <v>306.32480948391498</v>
      </c>
      <c r="LR20" s="7">
        <f t="shared" si="61"/>
        <v>301.72993734165624</v>
      </c>
      <c r="LS20" s="7">
        <f t="shared" si="61"/>
        <v>297.20398828153139</v>
      </c>
      <c r="LT20" s="7">
        <f t="shared" si="61"/>
        <v>292.74592845730842</v>
      </c>
      <c r="LU20" s="7">
        <f t="shared" si="61"/>
        <v>288.3547395304488</v>
      </c>
      <c r="LV20" s="7">
        <f t="shared" si="61"/>
        <v>284.02941843749204</v>
      </c>
      <c r="LW20" s="7">
        <f t="shared" si="61"/>
        <v>279.76897716092964</v>
      </c>
      <c r="LX20" s="7">
        <f t="shared" si="61"/>
        <v>275.57244250351567</v>
      </c>
      <c r="LY20" s="7">
        <f t="shared" si="61"/>
        <v>271.43885586596292</v>
      </c>
      <c r="LZ20" s="7">
        <f t="shared" si="61"/>
        <v>267.36727302797345</v>
      </c>
      <c r="MA20" s="7">
        <f t="shared" si="61"/>
        <v>263.35676393255386</v>
      </c>
      <c r="MB20" s="7">
        <f t="shared" si="61"/>
        <v>259.40641247356552</v>
      </c>
      <c r="MC20" s="7">
        <f t="shared" si="61"/>
        <v>255.51531628646202</v>
      </c>
      <c r="MD20" s="7">
        <f t="shared" si="61"/>
        <v>251.6825865421651</v>
      </c>
      <c r="ME20" s="7">
        <f t="shared" si="61"/>
        <v>247.90734774403262</v>
      </c>
      <c r="MF20" s="7">
        <f t="shared" si="61"/>
        <v>244.18873752787212</v>
      </c>
      <c r="MG20" s="7">
        <f t="shared" si="61"/>
        <v>240.52590646495403</v>
      </c>
      <c r="MH20" s="7">
        <f t="shared" si="61"/>
        <v>236.91801786797973</v>
      </c>
      <c r="MI20" s="7">
        <f t="shared" si="61"/>
        <v>233.36424759996004</v>
      </c>
      <c r="MJ20" s="7">
        <f t="shared" si="61"/>
        <v>229.86378388596063</v>
      </c>
      <c r="MK20" s="7">
        <f t="shared" si="61"/>
        <v>226.41582712767121</v>
      </c>
      <c r="ML20" s="7">
        <f t="shared" si="61"/>
        <v>223.01958972075613</v>
      </c>
      <c r="MM20" s="7">
        <f t="shared" si="61"/>
        <v>219.67429587494479</v>
      </c>
      <c r="MN20" s="7">
        <f t="shared" si="61"/>
        <v>216.3791814368206</v>
      </c>
      <c r="MO20" s="7">
        <f t="shared" si="61"/>
        <v>213.13349371526829</v>
      </c>
      <c r="MP20" s="7">
        <f t="shared" si="61"/>
        <v>209.93649130953926</v>
      </c>
      <c r="MQ20" s="7">
        <f t="shared" si="61"/>
        <v>206.78744393989618</v>
      </c>
      <c r="MR20" s="7">
        <f t="shared" si="61"/>
        <v>203.68563228079773</v>
      </c>
      <c r="MS20" s="7">
        <f t="shared" si="61"/>
        <v>200.63034779658577</v>
      </c>
      <c r="MT20" s="7">
        <f t="shared" si="61"/>
        <v>197.62089257963697</v>
      </c>
      <c r="MU20" s="7">
        <f t="shared" si="61"/>
        <v>194.65657919094241</v>
      </c>
      <c r="MV20" s="7">
        <f t="shared" si="61"/>
        <v>191.73673050307826</v>
      </c>
      <c r="MW20" s="7">
        <f t="shared" si="61"/>
        <v>188.86067954553209</v>
      </c>
      <c r="MX20" s="7">
        <f t="shared" si="61"/>
        <v>186.02776935234911</v>
      </c>
      <c r="MY20" s="7">
        <f t="shared" si="61"/>
        <v>183.23735281206388</v>
      </c>
      <c r="MZ20" s="7">
        <f t="shared" si="61"/>
        <v>180.48879251988291</v>
      </c>
      <c r="NA20" s="7">
        <f t="shared" si="61"/>
        <v>177.78146063208467</v>
      </c>
      <c r="NB20" s="7">
        <f t="shared" si="61"/>
        <v>175.11473872260339</v>
      </c>
      <c r="NC20" s="7">
        <f t="shared" si="61"/>
        <v>172.48801764176434</v>
      </c>
      <c r="ND20" s="7">
        <f t="shared" si="61"/>
        <v>169.90069737713787</v>
      </c>
      <c r="NE20" s="7">
        <f t="shared" si="61"/>
        <v>167.3521869164808</v>
      </c>
      <c r="NF20" s="7">
        <f t="shared" si="61"/>
        <v>164.8419041127336</v>
      </c>
      <c r="NG20" s="7">
        <f t="shared" ref="NG20:PR20" si="62">+NF20*(1+$AQ$25)</f>
        <v>162.36927555104259</v>
      </c>
      <c r="NH20" s="7">
        <f t="shared" si="62"/>
        <v>159.93373641777694</v>
      </c>
      <c r="NI20" s="7">
        <f t="shared" si="62"/>
        <v>157.53473037151028</v>
      </c>
      <c r="NJ20" s="7">
        <f t="shared" si="62"/>
        <v>155.17170941593761</v>
      </c>
      <c r="NK20" s="7">
        <f t="shared" si="62"/>
        <v>152.84413377469855</v>
      </c>
      <c r="NL20" s="7">
        <f t="shared" si="62"/>
        <v>150.55147176807807</v>
      </c>
      <c r="NM20" s="7">
        <f t="shared" si="62"/>
        <v>148.29319969155691</v>
      </c>
      <c r="NN20" s="7">
        <f t="shared" si="62"/>
        <v>146.06880169618356</v>
      </c>
      <c r="NO20" s="7">
        <f t="shared" si="62"/>
        <v>143.8777696707408</v>
      </c>
      <c r="NP20" s="7">
        <f t="shared" si="62"/>
        <v>141.7196031256797</v>
      </c>
      <c r="NQ20" s="7">
        <f t="shared" si="62"/>
        <v>139.59380907879449</v>
      </c>
      <c r="NR20" s="7">
        <f t="shared" si="62"/>
        <v>137.49990194261258</v>
      </c>
      <c r="NS20" s="7">
        <f t="shared" si="62"/>
        <v>135.43740341347339</v>
      </c>
      <c r="NT20" s="7">
        <f t="shared" si="62"/>
        <v>133.4058423622713</v>
      </c>
      <c r="NU20" s="7">
        <f t="shared" si="62"/>
        <v>131.40475472683724</v>
      </c>
      <c r="NV20" s="7">
        <f t="shared" si="62"/>
        <v>129.43368340593469</v>
      </c>
      <c r="NW20" s="7">
        <f t="shared" si="62"/>
        <v>127.49217815484566</v>
      </c>
      <c r="NX20" s="7">
        <f t="shared" si="62"/>
        <v>125.57979548252297</v>
      </c>
      <c r="NY20" s="7">
        <f t="shared" si="62"/>
        <v>123.69609855028513</v>
      </c>
      <c r="NZ20" s="7">
        <f t="shared" si="62"/>
        <v>121.84065707203085</v>
      </c>
      <c r="OA20" s="7">
        <f t="shared" si="62"/>
        <v>120.01304721595038</v>
      </c>
      <c r="OB20" s="7">
        <f t="shared" si="62"/>
        <v>118.21285150771112</v>
      </c>
      <c r="OC20" s="7">
        <f t="shared" si="62"/>
        <v>116.43965873509545</v>
      </c>
      <c r="OD20" s="7">
        <f t="shared" si="62"/>
        <v>114.69306385406901</v>
      </c>
      <c r="OE20" s="7">
        <f t="shared" si="62"/>
        <v>112.97266789625797</v>
      </c>
      <c r="OF20" s="7">
        <f t="shared" si="62"/>
        <v>111.2780778778141</v>
      </c>
      <c r="OG20" s="7">
        <f t="shared" si="62"/>
        <v>109.60890670964689</v>
      </c>
      <c r="OH20" s="7">
        <f t="shared" si="62"/>
        <v>107.96477310900218</v>
      </c>
      <c r="OI20" s="7">
        <f t="shared" si="62"/>
        <v>106.34530151236714</v>
      </c>
      <c r="OJ20" s="7">
        <f t="shared" si="62"/>
        <v>104.75012198968163</v>
      </c>
      <c r="OK20" s="7">
        <f t="shared" si="62"/>
        <v>103.17887015983641</v>
      </c>
      <c r="OL20" s="7">
        <f t="shared" si="62"/>
        <v>101.63118710743886</v>
      </c>
      <c r="OM20" s="7">
        <f t="shared" si="62"/>
        <v>100.10671930082728</v>
      </c>
      <c r="ON20" s="7">
        <f t="shared" si="62"/>
        <v>98.60511851131487</v>
      </c>
      <c r="OO20" s="7">
        <f t="shared" si="62"/>
        <v>97.126041733645152</v>
      </c>
      <c r="OP20" s="7">
        <f t="shared" si="62"/>
        <v>95.669151107640474</v>
      </c>
      <c r="OQ20" s="7">
        <f t="shared" si="62"/>
        <v>94.234113841025859</v>
      </c>
      <c r="OR20" s="7">
        <f t="shared" si="62"/>
        <v>92.820602133410475</v>
      </c>
      <c r="OS20" s="7">
        <f t="shared" si="62"/>
        <v>91.428293101409309</v>
      </c>
      <c r="OT20" s="7">
        <f t="shared" si="62"/>
        <v>90.056868704888174</v>
      </c>
      <c r="OU20" s="7">
        <f t="shared" si="62"/>
        <v>88.706015674314855</v>
      </c>
      <c r="OV20" s="7">
        <f t="shared" si="62"/>
        <v>87.375425439200129</v>
      </c>
      <c r="OW20" s="7">
        <f t="shared" si="62"/>
        <v>86.064794057612119</v>
      </c>
      <c r="OX20" s="7">
        <f t="shared" si="62"/>
        <v>84.773822146747932</v>
      </c>
      <c r="OY20" s="7">
        <f t="shared" si="62"/>
        <v>83.502214814546718</v>
      </c>
      <c r="OZ20" s="7">
        <f t="shared" si="62"/>
        <v>82.249681592328514</v>
      </c>
      <c r="PA20" s="7">
        <f t="shared" si="62"/>
        <v>81.01593636844359</v>
      </c>
      <c r="PB20" s="7">
        <f t="shared" si="62"/>
        <v>79.800697322916932</v>
      </c>
      <c r="PC20" s="7">
        <f t="shared" si="62"/>
        <v>78.603686863073179</v>
      </c>
      <c r="PD20" s="7">
        <f t="shared" si="62"/>
        <v>77.424631560127082</v>
      </c>
      <c r="PE20" s="7">
        <f t="shared" si="62"/>
        <v>76.263262086725177</v>
      </c>
      <c r="PF20" s="7">
        <f t="shared" si="62"/>
        <v>75.119313155424294</v>
      </c>
      <c r="PG20" s="7">
        <f t="shared" si="62"/>
        <v>73.992523458092933</v>
      </c>
      <c r="PH20" s="7">
        <f t="shared" si="62"/>
        <v>72.882635606221541</v>
      </c>
      <c r="PI20" s="7">
        <f t="shared" si="62"/>
        <v>71.789396072128213</v>
      </c>
      <c r="PJ20" s="7">
        <f t="shared" si="62"/>
        <v>70.712555131046287</v>
      </c>
      <c r="PK20" s="7">
        <f t="shared" si="62"/>
        <v>69.651866804080598</v>
      </c>
      <c r="PL20" s="7">
        <f t="shared" si="62"/>
        <v>68.607088802019391</v>
      </c>
      <c r="PM20" s="7">
        <f t="shared" si="62"/>
        <v>67.577982469989095</v>
      </c>
      <c r="PN20" s="7">
        <f t="shared" si="62"/>
        <v>66.564312732939257</v>
      </c>
      <c r="PO20" s="7">
        <f t="shared" si="62"/>
        <v>65.565848041945173</v>
      </c>
      <c r="PP20" s="7">
        <f t="shared" si="62"/>
        <v>64.582360321315988</v>
      </c>
      <c r="PQ20" s="7">
        <f t="shared" si="62"/>
        <v>63.613624916496249</v>
      </c>
      <c r="PR20" s="7">
        <f t="shared" si="62"/>
        <v>62.659420542748805</v>
      </c>
      <c r="PS20" s="7">
        <f t="shared" ref="PS20:SD20" si="63">+PR20*(1+$AQ$25)</f>
        <v>61.71952923460757</v>
      </c>
      <c r="PT20" s="7">
        <f t="shared" si="63"/>
        <v>60.793736296088454</v>
      </c>
      <c r="PU20" s="7">
        <f t="shared" si="63"/>
        <v>59.881830251647123</v>
      </c>
      <c r="PV20" s="7">
        <f t="shared" si="63"/>
        <v>58.983602797872415</v>
      </c>
      <c r="PW20" s="7">
        <f t="shared" si="63"/>
        <v>58.098848755904328</v>
      </c>
      <c r="PX20" s="7">
        <f t="shared" si="63"/>
        <v>57.227366024565761</v>
      </c>
      <c r="PY20" s="7">
        <f t="shared" si="63"/>
        <v>56.368955534197276</v>
      </c>
      <c r="PZ20" s="7">
        <f t="shared" si="63"/>
        <v>55.52342120118432</v>
      </c>
      <c r="QA20" s="7">
        <f t="shared" si="63"/>
        <v>54.690569883166553</v>
      </c>
      <c r="QB20" s="7">
        <f t="shared" si="63"/>
        <v>53.870211334919055</v>
      </c>
      <c r="QC20" s="7">
        <f t="shared" si="63"/>
        <v>53.062158164895266</v>
      </c>
      <c r="QD20" s="7">
        <f t="shared" si="63"/>
        <v>52.266225792421835</v>
      </c>
      <c r="QE20" s="7">
        <f t="shared" si="63"/>
        <v>51.482232405535505</v>
      </c>
      <c r="QF20" s="7">
        <f t="shared" si="63"/>
        <v>50.709998919452474</v>
      </c>
      <c r="QG20" s="7">
        <f t="shared" si="63"/>
        <v>49.949348935660687</v>
      </c>
      <c r="QH20" s="7">
        <f t="shared" si="63"/>
        <v>49.200108701625773</v>
      </c>
      <c r="QI20" s="7">
        <f t="shared" si="63"/>
        <v>48.462107071101386</v>
      </c>
      <c r="QJ20" s="7">
        <f t="shared" si="63"/>
        <v>47.735175465034864</v>
      </c>
      <c r="QK20" s="7">
        <f t="shared" si="63"/>
        <v>47.019147833059343</v>
      </c>
      <c r="QL20" s="7">
        <f t="shared" si="63"/>
        <v>46.313860615563449</v>
      </c>
      <c r="QM20" s="7">
        <f t="shared" si="63"/>
        <v>45.619152706329999</v>
      </c>
      <c r="QN20" s="7">
        <f t="shared" si="63"/>
        <v>44.934865415735047</v>
      </c>
      <c r="QO20" s="7">
        <f t="shared" si="63"/>
        <v>44.260842434499018</v>
      </c>
      <c r="QP20" s="7">
        <f t="shared" si="63"/>
        <v>43.596929797981531</v>
      </c>
      <c r="QQ20" s="7">
        <f t="shared" si="63"/>
        <v>42.942975851011809</v>
      </c>
      <c r="QR20" s="7">
        <f t="shared" si="63"/>
        <v>42.298831213246629</v>
      </c>
      <c r="QS20" s="7">
        <f t="shared" si="63"/>
        <v>41.664348745047931</v>
      </c>
      <c r="QT20" s="7">
        <f t="shared" si="63"/>
        <v>41.03938351387221</v>
      </c>
      <c r="QU20" s="7">
        <f t="shared" si="63"/>
        <v>40.423792761164123</v>
      </c>
      <c r="QV20" s="7">
        <f t="shared" si="63"/>
        <v>39.81743586974666</v>
      </c>
      <c r="QW20" s="7">
        <f t="shared" si="63"/>
        <v>39.220174331700463</v>
      </c>
      <c r="QX20" s="7">
        <f t="shared" si="63"/>
        <v>38.631871716724959</v>
      </c>
      <c r="QY20" s="7">
        <f t="shared" si="63"/>
        <v>38.052393640974081</v>
      </c>
      <c r="QZ20" s="7">
        <f t="shared" si="63"/>
        <v>37.481607736359472</v>
      </c>
      <c r="RA20" s="7">
        <f t="shared" si="63"/>
        <v>36.919383620314079</v>
      </c>
      <c r="RB20" s="7">
        <f t="shared" si="63"/>
        <v>36.365592866009365</v>
      </c>
      <c r="RC20" s="7">
        <f t="shared" si="63"/>
        <v>35.820108973019224</v>
      </c>
      <c r="RD20" s="7">
        <f t="shared" si="63"/>
        <v>35.282807338423936</v>
      </c>
      <c r="RE20" s="7">
        <f t="shared" si="63"/>
        <v>34.753565228347576</v>
      </c>
      <c r="RF20" s="7">
        <f t="shared" si="63"/>
        <v>34.232261749922358</v>
      </c>
      <c r="RG20" s="7">
        <f t="shared" si="63"/>
        <v>33.71877782367352</v>
      </c>
      <c r="RH20" s="7">
        <f t="shared" si="63"/>
        <v>33.212996156318418</v>
      </c>
      <c r="RI20" s="7">
        <f t="shared" si="63"/>
        <v>32.714801213973644</v>
      </c>
      <c r="RJ20" s="7">
        <f t="shared" si="63"/>
        <v>32.224079195764041</v>
      </c>
      <c r="RK20" s="7">
        <f t="shared" si="63"/>
        <v>31.740718007827581</v>
      </c>
      <c r="RL20" s="7">
        <f t="shared" si="63"/>
        <v>31.264607237710166</v>
      </c>
      <c r="RM20" s="7">
        <f t="shared" si="63"/>
        <v>30.795638129144514</v>
      </c>
      <c r="RN20" s="7">
        <f t="shared" si="63"/>
        <v>30.333703557207347</v>
      </c>
      <c r="RO20" s="7">
        <f t="shared" si="63"/>
        <v>29.878698003849237</v>
      </c>
      <c r="RP20" s="7">
        <f t="shared" si="63"/>
        <v>29.430517533791498</v>
      </c>
      <c r="RQ20" s="7">
        <f t="shared" si="63"/>
        <v>28.989059770784625</v>
      </c>
      <c r="RR20" s="7">
        <f t="shared" si="63"/>
        <v>28.554223874222856</v>
      </c>
      <c r="RS20" s="7">
        <f t="shared" si="63"/>
        <v>28.125910516109514</v>
      </c>
      <c r="RT20" s="7">
        <f t="shared" si="63"/>
        <v>27.70402185836787</v>
      </c>
      <c r="RU20" s="7">
        <f t="shared" si="63"/>
        <v>27.288461530492352</v>
      </c>
      <c r="RV20" s="7">
        <f t="shared" si="63"/>
        <v>26.879134607534965</v>
      </c>
      <c r="RW20" s="7">
        <f t="shared" si="63"/>
        <v>26.475947588421942</v>
      </c>
      <c r="RX20" s="7">
        <f t="shared" si="63"/>
        <v>26.078808374595614</v>
      </c>
      <c r="RY20" s="7">
        <f t="shared" si="63"/>
        <v>25.687626248976677</v>
      </c>
      <c r="RZ20" s="7">
        <f t="shared" si="63"/>
        <v>25.302311855242028</v>
      </c>
      <c r="SA20" s="7">
        <f t="shared" si="63"/>
        <v>24.922777177413398</v>
      </c>
      <c r="SB20" s="7">
        <f t="shared" si="63"/>
        <v>24.548935519752195</v>
      </c>
      <c r="SC20" s="7">
        <f t="shared" si="63"/>
        <v>24.180701486955911</v>
      </c>
      <c r="SD20" s="7">
        <f t="shared" si="63"/>
        <v>23.817990964651571</v>
      </c>
      <c r="SE20" s="7">
        <f t="shared" ref="SE20:UP20" si="64">+SD20*(1+$AQ$25)</f>
        <v>23.460721100181797</v>
      </c>
      <c r="SF20" s="7">
        <f t="shared" si="64"/>
        <v>23.10881028367907</v>
      </c>
      <c r="SG20" s="7">
        <f t="shared" si="64"/>
        <v>22.762178129423884</v>
      </c>
      <c r="SH20" s="7">
        <f t="shared" si="64"/>
        <v>22.420745457482525</v>
      </c>
      <c r="SI20" s="7">
        <f t="shared" si="64"/>
        <v>22.084434275620286</v>
      </c>
      <c r="SJ20" s="7">
        <f t="shared" si="64"/>
        <v>21.75316776148598</v>
      </c>
      <c r="SK20" s="7">
        <f t="shared" si="64"/>
        <v>21.426870245063689</v>
      </c>
      <c r="SL20" s="7">
        <f t="shared" si="64"/>
        <v>21.105467191387735</v>
      </c>
      <c r="SM20" s="7">
        <f t="shared" si="64"/>
        <v>20.788885183516918</v>
      </c>
      <c r="SN20" s="7">
        <f t="shared" si="64"/>
        <v>20.477051905764164</v>
      </c>
      <c r="SO20" s="7">
        <f t="shared" si="64"/>
        <v>20.169896127177701</v>
      </c>
      <c r="SP20" s="7">
        <f t="shared" si="64"/>
        <v>19.867347685270037</v>
      </c>
      <c r="SQ20" s="7">
        <f t="shared" si="64"/>
        <v>19.569337469990987</v>
      </c>
      <c r="SR20" s="7">
        <f t="shared" si="64"/>
        <v>19.275797407941123</v>
      </c>
      <c r="SS20" s="7">
        <f t="shared" si="64"/>
        <v>18.986660446822007</v>
      </c>
      <c r="ST20" s="7">
        <f t="shared" si="64"/>
        <v>18.701860540119679</v>
      </c>
      <c r="SU20" s="7">
        <f t="shared" si="64"/>
        <v>18.421332632017883</v>
      </c>
      <c r="SV20" s="7">
        <f t="shared" si="64"/>
        <v>18.145012642537615</v>
      </c>
      <c r="SW20" s="7">
        <f t="shared" si="64"/>
        <v>17.87283745289955</v>
      </c>
      <c r="SX20" s="7">
        <f t="shared" si="64"/>
        <v>17.604744891106055</v>
      </c>
      <c r="SY20" s="7">
        <f t="shared" si="64"/>
        <v>17.340673717739463</v>
      </c>
      <c r="SZ20" s="7">
        <f t="shared" si="64"/>
        <v>17.080563611973371</v>
      </c>
      <c r="TA20" s="7">
        <f t="shared" si="64"/>
        <v>16.824355157793772</v>
      </c>
      <c r="TB20" s="7">
        <f t="shared" si="64"/>
        <v>16.571989830426865</v>
      </c>
      <c r="TC20" s="7">
        <f t="shared" si="64"/>
        <v>16.32340998297046</v>
      </c>
      <c r="TD20" s="7">
        <f t="shared" si="64"/>
        <v>16.078558833225902</v>
      </c>
      <c r="TE20" s="7">
        <f t="shared" si="64"/>
        <v>15.837380450727514</v>
      </c>
      <c r="TF20" s="7">
        <f t="shared" si="64"/>
        <v>15.5998197439666</v>
      </c>
      <c r="TG20" s="7">
        <f t="shared" si="64"/>
        <v>15.365822447807101</v>
      </c>
      <c r="TH20" s="7">
        <f t="shared" si="64"/>
        <v>15.135335111089995</v>
      </c>
      <c r="TI20" s="7">
        <f t="shared" si="64"/>
        <v>14.908305084423645</v>
      </c>
      <c r="TJ20" s="7">
        <f t="shared" si="64"/>
        <v>14.684680508157291</v>
      </c>
      <c r="TK20" s="7">
        <f t="shared" si="64"/>
        <v>14.464410300534931</v>
      </c>
      <c r="TL20" s="7">
        <f t="shared" si="64"/>
        <v>14.247444146026908</v>
      </c>
      <c r="TM20" s="7">
        <f t="shared" si="64"/>
        <v>14.033732483836504</v>
      </c>
      <c r="TN20" s="7">
        <f t="shared" si="64"/>
        <v>13.823226496578956</v>
      </c>
      <c r="TO20" s="7">
        <f t="shared" si="64"/>
        <v>13.615878099130271</v>
      </c>
      <c r="TP20" s="7">
        <f t="shared" si="64"/>
        <v>13.411639927643316</v>
      </c>
      <c r="TQ20" s="7">
        <f t="shared" si="64"/>
        <v>13.210465328728667</v>
      </c>
      <c r="TR20" s="7">
        <f t="shared" si="64"/>
        <v>13.012308348797736</v>
      </c>
      <c r="TS20" s="7">
        <f t="shared" si="64"/>
        <v>12.81712372356577</v>
      </c>
      <c r="TT20" s="7">
        <f t="shared" si="64"/>
        <v>12.624866867712283</v>
      </c>
      <c r="TU20" s="7">
        <f t="shared" si="64"/>
        <v>12.435493864696598</v>
      </c>
      <c r="TV20" s="7">
        <f t="shared" si="64"/>
        <v>12.248961456726148</v>
      </c>
      <c r="TW20" s="7">
        <f t="shared" si="64"/>
        <v>12.065227034875255</v>
      </c>
      <c r="TX20" s="7">
        <f t="shared" si="64"/>
        <v>11.884248629352125</v>
      </c>
      <c r="TY20" s="7">
        <f t="shared" si="64"/>
        <v>11.705984899911844</v>
      </c>
      <c r="TZ20" s="7">
        <f t="shared" si="64"/>
        <v>11.530395126413167</v>
      </c>
      <c r="UA20" s="7">
        <f t="shared" si="64"/>
        <v>11.357439199516969</v>
      </c>
      <c r="UB20" s="7">
        <f t="shared" si="64"/>
        <v>11.187077611524215</v>
      </c>
      <c r="UC20" s="7">
        <f t="shared" si="64"/>
        <v>11.019271447351352</v>
      </c>
      <c r="UD20" s="7">
        <f t="shared" si="64"/>
        <v>10.853982375641081</v>
      </c>
      <c r="UE20" s="7">
        <f t="shared" si="64"/>
        <v>10.691172640006465</v>
      </c>
      <c r="UF20" s="7">
        <f t="shared" si="64"/>
        <v>10.530805050406368</v>
      </c>
      <c r="UG20" s="7">
        <f t="shared" si="64"/>
        <v>10.372842974650272</v>
      </c>
      <c r="UH20" s="7">
        <f t="shared" si="64"/>
        <v>10.217250330030518</v>
      </c>
      <c r="UI20" s="7">
        <f t="shared" si="64"/>
        <v>10.06399157508006</v>
      </c>
      <c r="UJ20" s="7">
        <f t="shared" si="64"/>
        <v>9.9130317014538587</v>
      </c>
      <c r="UK20" s="7">
        <f t="shared" si="64"/>
        <v>9.7643362259320501</v>
      </c>
      <c r="UL20" s="7">
        <f t="shared" si="64"/>
        <v>9.6178711825430696</v>
      </c>
      <c r="UM20" s="7">
        <f t="shared" si="64"/>
        <v>9.4736031148049236</v>
      </c>
      <c r="UN20" s="7">
        <f t="shared" si="64"/>
        <v>9.3314990680828505</v>
      </c>
      <c r="UO20" s="7">
        <f t="shared" si="64"/>
        <v>9.1915265820616074</v>
      </c>
      <c r="UP20" s="7">
        <f t="shared" si="64"/>
        <v>9.0536536833306833</v>
      </c>
      <c r="UQ20" s="7">
        <f t="shared" ref="UQ20:XB20" si="65">+UP20*(1+$AQ$25)</f>
        <v>8.9178488780807221</v>
      </c>
      <c r="UR20" s="7">
        <f t="shared" si="65"/>
        <v>8.7840811449095106</v>
      </c>
      <c r="US20" s="7">
        <f t="shared" si="65"/>
        <v>8.6523199277358671</v>
      </c>
      <c r="UT20" s="7">
        <f t="shared" si="65"/>
        <v>8.522535128819829</v>
      </c>
      <c r="UU20" s="7">
        <f t="shared" si="65"/>
        <v>8.394697101887532</v>
      </c>
      <c r="UV20" s="7">
        <f t="shared" si="65"/>
        <v>8.2687766453592193</v>
      </c>
      <c r="UW20" s="7">
        <f t="shared" si="65"/>
        <v>8.1447449956788311</v>
      </c>
      <c r="UX20" s="7">
        <f t="shared" si="65"/>
        <v>8.0225738207436486</v>
      </c>
      <c r="UY20" s="7">
        <f t="shared" si="65"/>
        <v>7.902235213432494</v>
      </c>
      <c r="UZ20" s="7">
        <f t="shared" si="65"/>
        <v>7.7837016852310068</v>
      </c>
      <c r="VA20" s="7">
        <f t="shared" si="65"/>
        <v>7.6669461599525413</v>
      </c>
      <c r="VB20" s="7">
        <f t="shared" si="65"/>
        <v>7.5519419675532529</v>
      </c>
      <c r="VC20" s="7">
        <f t="shared" si="65"/>
        <v>7.4386628380399538</v>
      </c>
      <c r="VD20" s="7">
        <f t="shared" si="65"/>
        <v>7.3270828954693545</v>
      </c>
      <c r="VE20" s="7">
        <f t="shared" si="65"/>
        <v>7.2171766520373142</v>
      </c>
      <c r="VF20" s="7">
        <f t="shared" si="65"/>
        <v>7.1089190022567541</v>
      </c>
      <c r="VG20" s="7">
        <f t="shared" si="65"/>
        <v>7.0022852172229024</v>
      </c>
      <c r="VH20" s="7">
        <f t="shared" si="65"/>
        <v>6.8972509389645591</v>
      </c>
      <c r="VI20" s="7">
        <f t="shared" si="65"/>
        <v>6.7937921748800907</v>
      </c>
      <c r="VJ20" s="7">
        <f t="shared" si="65"/>
        <v>6.691885292256889</v>
      </c>
      <c r="VK20" s="7">
        <f t="shared" si="65"/>
        <v>6.591507012873036</v>
      </c>
      <c r="VL20" s="7">
        <f t="shared" si="65"/>
        <v>6.4926344076799403</v>
      </c>
      <c r="VM20" s="7">
        <f t="shared" si="65"/>
        <v>6.3952448915647411</v>
      </c>
      <c r="VN20" s="7">
        <f t="shared" si="65"/>
        <v>6.2993162181912696</v>
      </c>
      <c r="VO20" s="7">
        <f t="shared" si="65"/>
        <v>6.2048264749184003</v>
      </c>
      <c r="VP20" s="7">
        <f t="shared" si="65"/>
        <v>6.1117540777946244</v>
      </c>
      <c r="VQ20" s="7">
        <f t="shared" si="65"/>
        <v>6.020077766627705</v>
      </c>
      <c r="VR20" s="7">
        <f t="shared" si="65"/>
        <v>5.9297766001282897</v>
      </c>
      <c r="VS20" s="7">
        <f t="shared" si="65"/>
        <v>5.8408299511263655</v>
      </c>
      <c r="VT20" s="7">
        <f t="shared" si="65"/>
        <v>5.7532175018594698</v>
      </c>
      <c r="VU20" s="7">
        <f t="shared" si="65"/>
        <v>5.6669192393315777</v>
      </c>
      <c r="VV20" s="7">
        <f t="shared" si="65"/>
        <v>5.5819154507416036</v>
      </c>
      <c r="VW20" s="7">
        <f t="shared" si="65"/>
        <v>5.4981867189804792</v>
      </c>
      <c r="VX20" s="7">
        <f t="shared" si="65"/>
        <v>5.4157139181957721</v>
      </c>
      <c r="VY20" s="7">
        <f t="shared" si="65"/>
        <v>5.3344782094228353</v>
      </c>
      <c r="VZ20" s="7">
        <f t="shared" si="65"/>
        <v>5.2544610362814925</v>
      </c>
      <c r="WA20" s="7">
        <f t="shared" si="65"/>
        <v>5.1756441207372701</v>
      </c>
      <c r="WB20" s="7">
        <f t="shared" si="65"/>
        <v>5.098009458926211</v>
      </c>
      <c r="WC20" s="7">
        <f t="shared" si="65"/>
        <v>5.0215393170423175</v>
      </c>
      <c r="WD20" s="7">
        <f t="shared" si="65"/>
        <v>4.9462162272866825</v>
      </c>
      <c r="WE20" s="7">
        <f t="shared" si="65"/>
        <v>4.8720229838773825</v>
      </c>
      <c r="WF20" s="7">
        <f t="shared" si="65"/>
        <v>4.7989426391192218</v>
      </c>
      <c r="WG20" s="7">
        <f t="shared" si="65"/>
        <v>4.7269584995324339</v>
      </c>
      <c r="WH20" s="7">
        <f t="shared" si="65"/>
        <v>4.6560541220394471</v>
      </c>
      <c r="WI20" s="7">
        <f t="shared" si="65"/>
        <v>4.5862133102088549</v>
      </c>
      <c r="WJ20" s="7">
        <f t="shared" si="65"/>
        <v>4.5174201105557223</v>
      </c>
      <c r="WK20" s="7">
        <f t="shared" si="65"/>
        <v>4.4496588088973867</v>
      </c>
      <c r="WL20" s="7">
        <f t="shared" si="65"/>
        <v>4.3829139267639254</v>
      </c>
      <c r="WM20" s="7">
        <f t="shared" si="65"/>
        <v>4.3171702178624667</v>
      </c>
      <c r="WN20" s="7">
        <f t="shared" si="65"/>
        <v>4.2524126645945293</v>
      </c>
      <c r="WO20" s="7">
        <f t="shared" si="65"/>
        <v>4.188626474625611</v>
      </c>
      <c r="WP20" s="7">
        <f t="shared" si="65"/>
        <v>4.1257970775062267</v>
      </c>
      <c r="WQ20" s="7">
        <f t="shared" si="65"/>
        <v>4.0639101213436328</v>
      </c>
      <c r="WR20" s="7">
        <f t="shared" si="65"/>
        <v>4.0029514695234782</v>
      </c>
      <c r="WS20" s="7">
        <f t="shared" si="65"/>
        <v>3.942907197480626</v>
      </c>
      <c r="WT20" s="7">
        <f t="shared" si="65"/>
        <v>3.8837635895184164</v>
      </c>
      <c r="WU20" s="7">
        <f t="shared" si="65"/>
        <v>3.82550713567564</v>
      </c>
      <c r="WV20" s="7">
        <f t="shared" si="65"/>
        <v>3.7681245286405054</v>
      </c>
      <c r="WW20" s="7">
        <f t="shared" si="65"/>
        <v>3.7116026607108976</v>
      </c>
      <c r="WX20" s="7">
        <f t="shared" si="65"/>
        <v>3.6559286208002342</v>
      </c>
      <c r="WY20" s="7">
        <f t="shared" si="65"/>
        <v>3.6010896914882307</v>
      </c>
      <c r="WZ20" s="7">
        <f t="shared" si="65"/>
        <v>3.5470733461159072</v>
      </c>
      <c r="XA20" s="7">
        <f t="shared" si="65"/>
        <v>3.4938672459241684</v>
      </c>
      <c r="XB20" s="7">
        <f t="shared" si="65"/>
        <v>3.4414592372353057</v>
      </c>
      <c r="XC20" s="7">
        <f t="shared" ref="XC20:ZD20" si="66">+XB20*(1+$AQ$25)</f>
        <v>3.3898373486767759</v>
      </c>
      <c r="XD20" s="7">
        <f t="shared" si="66"/>
        <v>3.3389897884466242</v>
      </c>
      <c r="XE20" s="7">
        <f t="shared" si="66"/>
        <v>3.2889049416199247</v>
      </c>
      <c r="XF20" s="7">
        <f t="shared" si="66"/>
        <v>3.2395713674956257</v>
      </c>
      <c r="XG20" s="7">
        <f t="shared" si="66"/>
        <v>3.1909777969831912</v>
      </c>
      <c r="XH20" s="7">
        <f t="shared" si="66"/>
        <v>3.1431131300284432</v>
      </c>
      <c r="XI20" s="7">
        <f t="shared" si="66"/>
        <v>3.0959664330780163</v>
      </c>
      <c r="XJ20" s="7">
        <f t="shared" si="66"/>
        <v>3.049526936581846</v>
      </c>
      <c r="XK20" s="7">
        <f t="shared" si="66"/>
        <v>3.0037840325331184</v>
      </c>
      <c r="XL20" s="7">
        <f t="shared" si="66"/>
        <v>2.9587272720451216</v>
      </c>
      <c r="XM20" s="7">
        <f t="shared" si="66"/>
        <v>2.9143463629644448</v>
      </c>
      <c r="XN20" s="7">
        <f t="shared" si="66"/>
        <v>2.8706311675199783</v>
      </c>
      <c r="XO20" s="7">
        <f t="shared" si="66"/>
        <v>2.8275717000071787</v>
      </c>
      <c r="XP20" s="7">
        <f t="shared" si="66"/>
        <v>2.7851581245070709</v>
      </c>
      <c r="XQ20" s="7">
        <f t="shared" si="66"/>
        <v>2.7433807526394647</v>
      </c>
      <c r="XR20" s="7">
        <f t="shared" si="66"/>
        <v>2.7022300413498725</v>
      </c>
      <c r="XS20" s="7">
        <f t="shared" si="66"/>
        <v>2.6616965907296244</v>
      </c>
      <c r="XT20" s="7">
        <f t="shared" si="66"/>
        <v>2.6217711418686802</v>
      </c>
      <c r="XU20" s="7">
        <f t="shared" si="66"/>
        <v>2.5824445747406499</v>
      </c>
      <c r="XV20" s="7">
        <f t="shared" si="66"/>
        <v>2.5437079061195402</v>
      </c>
      <c r="XW20" s="7">
        <f t="shared" si="66"/>
        <v>2.5055522875277472</v>
      </c>
      <c r="XX20" s="7">
        <f t="shared" si="66"/>
        <v>2.4679690032148311</v>
      </c>
      <c r="XY20" s="7">
        <f t="shared" si="66"/>
        <v>2.4309494681666086</v>
      </c>
      <c r="XZ20" s="7">
        <f t="shared" si="66"/>
        <v>2.3944852261441096</v>
      </c>
      <c r="YA20" s="7">
        <f t="shared" si="66"/>
        <v>2.3585679477519479</v>
      </c>
      <c r="YB20" s="7">
        <f t="shared" si="66"/>
        <v>2.3231894285356685</v>
      </c>
      <c r="YC20" s="7">
        <f t="shared" si="66"/>
        <v>2.2883415871076336</v>
      </c>
      <c r="YD20" s="7">
        <f t="shared" si="66"/>
        <v>2.2540164633010189</v>
      </c>
      <c r="YE20" s="7">
        <f t="shared" si="66"/>
        <v>2.2202062163515035</v>
      </c>
      <c r="YF20" s="7">
        <f t="shared" si="66"/>
        <v>2.186903123106231</v>
      </c>
      <c r="YG20" s="7">
        <f t="shared" si="66"/>
        <v>2.1540995762596373</v>
      </c>
      <c r="YH20" s="7">
        <f t="shared" si="66"/>
        <v>2.1217880826157427</v>
      </c>
      <c r="YI20" s="7">
        <f t="shared" si="66"/>
        <v>2.0899612613765064</v>
      </c>
      <c r="YJ20" s="7">
        <f t="shared" si="66"/>
        <v>2.0586118424558588</v>
      </c>
      <c r="YK20" s="7">
        <f t="shared" si="66"/>
        <v>2.027732664819021</v>
      </c>
      <c r="YL20" s="7">
        <f t="shared" si="66"/>
        <v>1.9973166748467357</v>
      </c>
      <c r="YM20" s="7">
        <f t="shared" si="66"/>
        <v>1.9673569247240346</v>
      </c>
      <c r="YN20" s="7">
        <f t="shared" si="66"/>
        <v>1.937846570853174</v>
      </c>
      <c r="YO20" s="7">
        <f t="shared" si="66"/>
        <v>1.9087788722903765</v>
      </c>
      <c r="YP20" s="7">
        <f t="shared" si="66"/>
        <v>1.8801471892060209</v>
      </c>
      <c r="YQ20" s="7">
        <f t="shared" si="66"/>
        <v>1.8519449813679305</v>
      </c>
      <c r="YR20" s="7">
        <f t="shared" si="66"/>
        <v>1.8241658066474116</v>
      </c>
      <c r="YS20" s="7">
        <f t="shared" si="66"/>
        <v>1.7968033195477005</v>
      </c>
      <c r="YT20" s="7">
        <f t="shared" si="66"/>
        <v>1.7698512697544848</v>
      </c>
      <c r="YU20" s="7">
        <f t="shared" si="66"/>
        <v>1.7433035007081674</v>
      </c>
      <c r="YV20" s="7">
        <f t="shared" si="66"/>
        <v>1.7171539481975449</v>
      </c>
      <c r="YW20" s="7">
        <f t="shared" si="66"/>
        <v>1.6913966389745816</v>
      </c>
      <c r="YX20" s="7">
        <f t="shared" si="66"/>
        <v>1.6660256893899628</v>
      </c>
      <c r="YY20" s="7">
        <f t="shared" si="66"/>
        <v>1.6410353040491132</v>
      </c>
      <c r="YZ20" s="7">
        <f t="shared" si="66"/>
        <v>1.6164197744883766</v>
      </c>
      <c r="ZA20" s="7">
        <f t="shared" si="66"/>
        <v>1.592173477871051</v>
      </c>
      <c r="ZB20" s="7">
        <f t="shared" si="66"/>
        <v>1.5682908757029852</v>
      </c>
      <c r="ZC20" s="7">
        <f t="shared" si="66"/>
        <v>1.5447665125674404</v>
      </c>
      <c r="ZD20" s="7">
        <f t="shared" si="66"/>
        <v>1.5215950148789288</v>
      </c>
    </row>
    <row r="21" spans="2:680" s="6" customFormat="1" x14ac:dyDescent="0.25">
      <c r="B21" s="6" t="s">
        <v>2</v>
      </c>
      <c r="C21" s="6">
        <v>991</v>
      </c>
      <c r="D21" s="6">
        <v>997</v>
      </c>
      <c r="E21" s="6">
        <v>997</v>
      </c>
      <c r="F21" s="6">
        <v>984</v>
      </c>
      <c r="G21" s="6">
        <v>980</v>
      </c>
      <c r="H21" s="6">
        <v>975</v>
      </c>
      <c r="I21" s="6">
        <v>972</v>
      </c>
      <c r="J21" s="6">
        <v>970</v>
      </c>
      <c r="K21" s="6">
        <v>970</v>
      </c>
      <c r="L21" s="6">
        <v>964</v>
      </c>
      <c r="M21" s="6">
        <v>956</v>
      </c>
      <c r="N21" s="6">
        <v>959</v>
      </c>
      <c r="O21" s="6">
        <v>960</v>
      </c>
      <c r="AA21" s="6">
        <f>F21</f>
        <v>984</v>
      </c>
      <c r="AB21" s="6">
        <f>J21</f>
        <v>970</v>
      </c>
      <c r="AC21" s="6">
        <f>N21</f>
        <v>959</v>
      </c>
    </row>
    <row r="22" spans="2:680" s="8" customFormat="1" x14ac:dyDescent="0.25">
      <c r="B22" s="8" t="s">
        <v>44</v>
      </c>
      <c r="C22" s="8">
        <f t="shared" ref="C22:N22" si="67">C20/C21</f>
        <v>2.8254288597376387E-2</v>
      </c>
      <c r="D22" s="8">
        <f t="shared" si="67"/>
        <v>6.820461384152457E-2</v>
      </c>
      <c r="E22" s="8">
        <f t="shared" si="67"/>
        <v>0.21063189568706117</v>
      </c>
      <c r="F22" s="8">
        <f t="shared" si="67"/>
        <v>-9.959349593495935E-2</v>
      </c>
      <c r="G22" s="8">
        <f t="shared" si="67"/>
        <v>0.20306122448979591</v>
      </c>
      <c r="H22" s="8">
        <f t="shared" si="67"/>
        <v>1.2994871794871794</v>
      </c>
      <c r="I22" s="8">
        <f t="shared" si="67"/>
        <v>1.2592592592592593</v>
      </c>
      <c r="J22" s="8">
        <f t="shared" si="67"/>
        <v>1.4907216494845361</v>
      </c>
      <c r="K22" s="8">
        <f t="shared" si="67"/>
        <v>1.5804123711340206</v>
      </c>
      <c r="L22" s="8">
        <f t="shared" si="67"/>
        <v>1.4823651452282158</v>
      </c>
      <c r="M22" s="8">
        <f t="shared" si="67"/>
        <v>1.5972803347280335</v>
      </c>
      <c r="N22" s="8">
        <f t="shared" si="67"/>
        <v>1.781021897810219</v>
      </c>
      <c r="O22" s="8">
        <f>O20/O21</f>
        <v>1.6052083333333333</v>
      </c>
      <c r="P22" s="8" t="e">
        <f t="shared" ref="P22:V22" si="68">P20/P21</f>
        <v>#DIV/0!</v>
      </c>
      <c r="Q22" s="8" t="e">
        <f t="shared" si="68"/>
        <v>#DIV/0!</v>
      </c>
      <c r="R22" s="8" t="e">
        <f t="shared" si="68"/>
        <v>#DIV/0!</v>
      </c>
      <c r="S22" s="8" t="e">
        <f t="shared" si="68"/>
        <v>#DIV/0!</v>
      </c>
      <c r="T22" s="8" t="e">
        <f t="shared" si="68"/>
        <v>#DIV/0!</v>
      </c>
      <c r="U22" s="8" t="e">
        <f t="shared" si="68"/>
        <v>#DIV/0!</v>
      </c>
      <c r="V22" s="8" t="e">
        <f t="shared" si="68"/>
        <v>#DIV/0!</v>
      </c>
      <c r="AA22" s="8">
        <f t="shared" ref="AA22" si="69">AA20/AA21</f>
        <v>0.21138211382113822</v>
      </c>
      <c r="AB22" s="8">
        <f t="shared" ref="AB22" si="70">AB20/AB21</f>
        <v>4.2639175257731958</v>
      </c>
      <c r="AC22" s="8">
        <f t="shared" ref="AC22" si="71">AC20/AC21</f>
        <v>6.4619395203336811</v>
      </c>
      <c r="AD22" s="8" t="e">
        <f t="shared" ref="AD22:AE22" si="72">AD20/AD21</f>
        <v>#DIV/0!</v>
      </c>
      <c r="AE22" s="8" t="e">
        <f t="shared" si="72"/>
        <v>#DIV/0!</v>
      </c>
    </row>
    <row r="24" spans="2:680" x14ac:dyDescent="0.25">
      <c r="AP24" s="5" t="s">
        <v>190</v>
      </c>
      <c r="AT24" s="5" t="s">
        <v>196</v>
      </c>
    </row>
    <row r="25" spans="2:680" s="10" customFormat="1" x14ac:dyDescent="0.25">
      <c r="B25" s="10" t="s">
        <v>45</v>
      </c>
      <c r="C25" s="10">
        <f t="shared" ref="C25:N26" si="73">(C3-C6)/C3</f>
        <v>0.78996499416569432</v>
      </c>
      <c r="D25" s="10">
        <f t="shared" si="73"/>
        <v>0.79140417191656165</v>
      </c>
      <c r="E25" s="10">
        <f t="shared" si="73"/>
        <v>0.79939167703580816</v>
      </c>
      <c r="F25" s="10">
        <f t="shared" si="73"/>
        <v>0.81512389266914875</v>
      </c>
      <c r="G25" s="10">
        <f t="shared" si="73"/>
        <v>0.80240774666317716</v>
      </c>
      <c r="H25" s="10">
        <f t="shared" si="73"/>
        <v>0.81076692480639523</v>
      </c>
      <c r="I25" s="10">
        <f t="shared" si="73"/>
        <v>0.80702616386193338</v>
      </c>
      <c r="J25" s="10">
        <f t="shared" si="73"/>
        <v>0.81927297668038412</v>
      </c>
      <c r="K25" s="10">
        <f t="shared" si="73"/>
        <v>0.81828771112405363</v>
      </c>
      <c r="L25" s="10">
        <f t="shared" si="73"/>
        <v>0.82245549977179366</v>
      </c>
      <c r="M25" s="10">
        <f t="shared" si="73"/>
        <v>0.83094943124225706</v>
      </c>
      <c r="N25" s="10">
        <f t="shared" si="73"/>
        <v>0.83271611469685747</v>
      </c>
      <c r="O25" s="10">
        <f>(O3-O6)/O3</f>
        <v>0.82671829622458859</v>
      </c>
      <c r="AA25" s="10">
        <f t="shared" ref="AA25:AC26" si="74">(AA3-AA6)/AA3</f>
        <v>0.79942110885221052</v>
      </c>
      <c r="AB25" s="10">
        <f t="shared" si="74"/>
        <v>0.81015459323232009</v>
      </c>
      <c r="AC25" s="10">
        <f t="shared" si="74"/>
        <v>0.82628436895652901</v>
      </c>
      <c r="AP25" s="10" t="s">
        <v>189</v>
      </c>
      <c r="AQ25" s="10">
        <v>-1.4999999999999999E-2</v>
      </c>
      <c r="AT25" s="10" t="s">
        <v>189</v>
      </c>
      <c r="AU25" s="10">
        <v>-1.4999999999999999E-2</v>
      </c>
    </row>
    <row r="26" spans="2:680" s="10" customFormat="1" x14ac:dyDescent="0.25">
      <c r="B26" s="10" t="s">
        <v>46</v>
      </c>
      <c r="C26" s="10">
        <f t="shared" si="73"/>
        <v>-9.0090090090090086E-2</v>
      </c>
      <c r="D26" s="10">
        <f t="shared" si="73"/>
        <v>-0.10398613518197573</v>
      </c>
      <c r="E26" s="10">
        <f t="shared" si="73"/>
        <v>-5.4635761589403975E-2</v>
      </c>
      <c r="F26" s="10">
        <f t="shared" si="73"/>
        <v>-0.1092436974789916</v>
      </c>
      <c r="G26" s="10">
        <f t="shared" si="73"/>
        <v>-1.6528925619834711E-2</v>
      </c>
      <c r="H26" s="10">
        <f t="shared" si="73"/>
        <v>-1.6750418760469012E-3</v>
      </c>
      <c r="I26" s="10">
        <f t="shared" si="73"/>
        <v>-8.6355785837651123E-3</v>
      </c>
      <c r="J26" s="10">
        <f t="shared" si="73"/>
        <v>-5.1948051948051951E-2</v>
      </c>
      <c r="K26" s="10">
        <f t="shared" si="73"/>
        <v>-9.8540145985401464E-2</v>
      </c>
      <c r="L26" s="10">
        <f t="shared" si="73"/>
        <v>-7.4866310160427801E-2</v>
      </c>
      <c r="M26" s="10">
        <f t="shared" si="73"/>
        <v>-6.9026548672566371E-2</v>
      </c>
      <c r="N26" s="10">
        <f t="shared" si="73"/>
        <v>-0.17343173431734318</v>
      </c>
      <c r="O26" s="10">
        <f t="shared" ref="O26" si="75">(O4-O7)/O4</f>
        <v>-0.22932330827067668</v>
      </c>
      <c r="AA26" s="10">
        <f t="shared" si="74"/>
        <v>-8.9232089232089237E-2</v>
      </c>
      <c r="AB26" s="10">
        <f t="shared" si="74"/>
        <v>-1.896551724137931E-2</v>
      </c>
      <c r="AC26" s="10">
        <f t="shared" si="74"/>
        <v>-0.10333935018050541</v>
      </c>
      <c r="AP26" s="10" t="s">
        <v>191</v>
      </c>
      <c r="AQ26" s="10">
        <v>8.5000000000000006E-2</v>
      </c>
      <c r="AT26" s="10" t="s">
        <v>191</v>
      </c>
      <c r="AU26" s="10">
        <v>8.5000000000000006E-2</v>
      </c>
    </row>
    <row r="27" spans="2:680" s="10" customFormat="1" x14ac:dyDescent="0.25">
      <c r="B27" s="10" t="s">
        <v>47</v>
      </c>
      <c r="C27" s="10">
        <f t="shared" ref="C27:O27" si="76">C9/C5</f>
        <v>0.72405883146673866</v>
      </c>
      <c r="D27" s="10">
        <f t="shared" si="76"/>
        <v>0.72448186528497405</v>
      </c>
      <c r="E27" s="10">
        <f t="shared" si="76"/>
        <v>0.73357151971417633</v>
      </c>
      <c r="F27" s="10">
        <f t="shared" si="76"/>
        <v>0.74952290076335881</v>
      </c>
      <c r="G27" s="10">
        <f t="shared" si="76"/>
        <v>0.74233054444040258</v>
      </c>
      <c r="H27" s="10">
        <f t="shared" si="76"/>
        <v>0.75438800418458674</v>
      </c>
      <c r="I27" s="10">
        <f t="shared" si="76"/>
        <v>0.75286697247706424</v>
      </c>
      <c r="J27" s="10">
        <f t="shared" si="76"/>
        <v>0.76870894799181655</v>
      </c>
      <c r="K27" s="10">
        <f t="shared" si="76"/>
        <v>0.7632760319719698</v>
      </c>
      <c r="L27" s="10">
        <f t="shared" si="76"/>
        <v>0.76847184986595174</v>
      </c>
      <c r="M27" s="10">
        <f t="shared" si="76"/>
        <v>0.77710715798390517</v>
      </c>
      <c r="N27" s="10">
        <f t="shared" si="76"/>
        <v>0.77814470129090363</v>
      </c>
      <c r="O27" s="10">
        <f>O9/O5</f>
        <v>0.76955946688371146</v>
      </c>
      <c r="AA27" s="10">
        <f t="shared" ref="AA27:AC27" si="77">AA9/AA5</f>
        <v>0.73335034447563152</v>
      </c>
      <c r="AB27" s="10">
        <f t="shared" si="77"/>
        <v>0.75497030725535763</v>
      </c>
      <c r="AC27" s="10">
        <f t="shared" si="77"/>
        <v>0.77192241720543608</v>
      </c>
      <c r="AP27" s="10" t="s">
        <v>192</v>
      </c>
      <c r="AQ27" s="6">
        <f>NPV(AQ26,AE20:ZD20)+AD20+O44</f>
        <v>194770.283352069</v>
      </c>
      <c r="AT27" s="10" t="s">
        <v>192</v>
      </c>
      <c r="AU27" s="6">
        <f>NPV(AU26,AE101:XN101)+AD101+O44</f>
        <v>299399.33887733152</v>
      </c>
    </row>
    <row r="28" spans="2:680" s="10" customFormat="1" x14ac:dyDescent="0.25">
      <c r="AP28" s="10" t="s">
        <v>193</v>
      </c>
      <c r="AQ28" s="9">
        <f>AQ27/O21</f>
        <v>202.88571182507187</v>
      </c>
      <c r="AT28" s="10" t="s">
        <v>193</v>
      </c>
      <c r="AU28" s="9">
        <f>+AU27/O21</f>
        <v>311.87431133055367</v>
      </c>
    </row>
    <row r="29" spans="2:680" s="10" customFormat="1" x14ac:dyDescent="0.25">
      <c r="B29" s="10" t="s">
        <v>48</v>
      </c>
      <c r="C29" s="10">
        <f t="shared" ref="C29:O29" si="78">C10/C$9</f>
        <v>0.24562057398434589</v>
      </c>
      <c r="D29" s="10">
        <f t="shared" si="78"/>
        <v>0.23761845163597353</v>
      </c>
      <c r="E29" s="10">
        <f t="shared" si="78"/>
        <v>0.22264741694207688</v>
      </c>
      <c r="F29" s="10">
        <f t="shared" si="78"/>
        <v>0.17950350095480586</v>
      </c>
      <c r="G29" s="10">
        <f t="shared" si="78"/>
        <v>0.19715779157138191</v>
      </c>
      <c r="H29" s="10">
        <f t="shared" si="78"/>
        <v>0.18798151001540833</v>
      </c>
      <c r="I29" s="10">
        <f t="shared" si="78"/>
        <v>0.1833968012185834</v>
      </c>
      <c r="J29" s="10">
        <f t="shared" si="78"/>
        <v>0.17859644207872252</v>
      </c>
      <c r="K29" s="10">
        <f t="shared" si="78"/>
        <v>0.19624157222780089</v>
      </c>
      <c r="L29" s="10">
        <f t="shared" si="78"/>
        <v>0.18825006977393247</v>
      </c>
      <c r="M29" s="10">
        <f t="shared" si="78"/>
        <v>0.18476631693691239</v>
      </c>
      <c r="N29" s="10">
        <f t="shared" si="78"/>
        <v>0.18261316872427982</v>
      </c>
      <c r="O29" s="10">
        <f>O10/O$9</f>
        <v>0.1930195663670016</v>
      </c>
      <c r="AA29" s="10">
        <f t="shared" ref="AA29:AC29" si="79">AA10/AA$9</f>
        <v>0.21985908141962421</v>
      </c>
      <c r="AB29" s="10">
        <f t="shared" si="79"/>
        <v>0.18642650858793131</v>
      </c>
      <c r="AC29" s="10">
        <f t="shared" si="79"/>
        <v>0.18778203199781213</v>
      </c>
      <c r="AP29" s="10" t="s">
        <v>194</v>
      </c>
      <c r="AQ29" s="9">
        <f>Main!J7</f>
        <v>233.6</v>
      </c>
      <c r="AT29" s="10" t="s">
        <v>194</v>
      </c>
      <c r="AU29" s="9">
        <f>Main!J7</f>
        <v>233.6</v>
      </c>
    </row>
    <row r="30" spans="2:680" s="10" customFormat="1" x14ac:dyDescent="0.25">
      <c r="B30" s="10" t="s">
        <v>49</v>
      </c>
      <c r="C30" s="10">
        <f t="shared" ref="C30:O30" si="80">C11/C$9</f>
        <v>0.62840104360790161</v>
      </c>
      <c r="D30" s="10">
        <f t="shared" si="80"/>
        <v>0.61219381369569104</v>
      </c>
      <c r="E30" s="10">
        <f t="shared" si="80"/>
        <v>0.58184032005566189</v>
      </c>
      <c r="F30" s="10">
        <f t="shared" si="80"/>
        <v>0.5386696371737747</v>
      </c>
      <c r="G30" s="10">
        <f t="shared" si="80"/>
        <v>0.51519111401502782</v>
      </c>
      <c r="H30" s="10">
        <f t="shared" si="80"/>
        <v>0.47966101694915253</v>
      </c>
      <c r="I30" s="10">
        <f t="shared" si="80"/>
        <v>0.48332063975628331</v>
      </c>
      <c r="J30" s="10">
        <f t="shared" si="80"/>
        <v>0.48143997758789747</v>
      </c>
      <c r="K30" s="10">
        <f t="shared" si="80"/>
        <v>0.46463921962415722</v>
      </c>
      <c r="L30" s="10">
        <f t="shared" si="80"/>
        <v>0.44990231649455764</v>
      </c>
      <c r="M30" s="10">
        <f t="shared" si="80"/>
        <v>0.4527864831720943</v>
      </c>
      <c r="N30" s="10">
        <f t="shared" si="80"/>
        <v>0.44637345679012347</v>
      </c>
      <c r="O30" s="10">
        <f>O11/O$9</f>
        <v>0.4533315705975674</v>
      </c>
      <c r="AA30" s="10">
        <f t="shared" ref="AA30:AC30" si="81">AA11/AA$9</f>
        <v>0.58829157967988865</v>
      </c>
      <c r="AB30" s="10">
        <f t="shared" si="81"/>
        <v>0.48932208542331662</v>
      </c>
      <c r="AC30" s="10">
        <f t="shared" si="81"/>
        <v>0.45319978121154109</v>
      </c>
      <c r="AP30" s="10" t="s">
        <v>195</v>
      </c>
      <c r="AQ30" s="10">
        <f>AQ28/AQ29-1</f>
        <v>-0.1314823980091101</v>
      </c>
      <c r="AT30" s="10" t="s">
        <v>195</v>
      </c>
      <c r="AU30" s="10">
        <f>AU28/AU29-1</f>
        <v>0.33507838754517838</v>
      </c>
    </row>
    <row r="31" spans="2:680" s="10" customFormat="1" x14ac:dyDescent="0.25">
      <c r="B31" s="10" t="s">
        <v>50</v>
      </c>
      <c r="C31" s="10">
        <f t="shared" ref="C31:O31" si="82">C12/C$9</f>
        <v>0.12225121133060007</v>
      </c>
      <c r="D31" s="10">
        <f t="shared" si="82"/>
        <v>0.11568031467906312</v>
      </c>
      <c r="E31" s="10">
        <f t="shared" si="82"/>
        <v>0.11549834753870239</v>
      </c>
      <c r="F31" s="10">
        <f t="shared" si="82"/>
        <v>9.3252705283259074E-2</v>
      </c>
      <c r="G31" s="10">
        <f t="shared" si="82"/>
        <v>0.10421430904933028</v>
      </c>
      <c r="H31" s="10">
        <f t="shared" si="82"/>
        <v>9.738058551617873E-2</v>
      </c>
      <c r="I31" s="10">
        <f t="shared" si="82"/>
        <v>9.6268088347296263E-2</v>
      </c>
      <c r="J31" s="10">
        <f t="shared" si="82"/>
        <v>8.8527805014707944E-2</v>
      </c>
      <c r="K31" s="10">
        <f t="shared" si="82"/>
        <v>9.2813082771481856E-2</v>
      </c>
      <c r="L31" s="10">
        <f t="shared" si="82"/>
        <v>9.9218531956461062E-2</v>
      </c>
      <c r="M31" s="10">
        <f t="shared" si="82"/>
        <v>9.6879683880637696E-2</v>
      </c>
      <c r="N31" s="10">
        <f t="shared" si="82"/>
        <v>9.8636831275720163E-2</v>
      </c>
      <c r="O31" s="10">
        <f>O12/O$9</f>
        <v>9.2147012162876782E-2</v>
      </c>
      <c r="AA31" s="10">
        <f t="shared" ref="AA31:AC31" si="83">AA12/AA$9</f>
        <v>0.11103862212943633</v>
      </c>
      <c r="AB31" s="10">
        <f t="shared" si="83"/>
        <v>9.629122967016264E-2</v>
      </c>
      <c r="AC31" s="10">
        <f t="shared" si="83"/>
        <v>9.6950635853958703E-2</v>
      </c>
    </row>
    <row r="32" spans="2:680" s="10" customFormat="1" x14ac:dyDescent="0.25">
      <c r="B32" s="10" t="s">
        <v>51</v>
      </c>
      <c r="C32" s="10">
        <f t="shared" ref="C32:O32" si="84">C15/C5</f>
        <v>2.698691134799622E-3</v>
      </c>
      <c r="D32" s="10">
        <f t="shared" si="84"/>
        <v>2.5000000000000001E-2</v>
      </c>
      <c r="E32" s="10">
        <f t="shared" si="84"/>
        <v>5.8695929564884522E-2</v>
      </c>
      <c r="F32" s="10">
        <f t="shared" si="84"/>
        <v>4.2581106870229007E-2</v>
      </c>
      <c r="G32" s="10">
        <f t="shared" si="84"/>
        <v>4.9957560324966656E-2</v>
      </c>
      <c r="H32" s="10">
        <f t="shared" si="84"/>
        <v>0.17156805765430663</v>
      </c>
      <c r="I32" s="10">
        <f t="shared" si="84"/>
        <v>0.17213302752293577</v>
      </c>
      <c r="J32" s="10">
        <f t="shared" si="84"/>
        <v>0.17465274038979217</v>
      </c>
      <c r="K32" s="10">
        <f t="shared" si="84"/>
        <v>0.18712361765027921</v>
      </c>
      <c r="L32" s="10">
        <f t="shared" si="84"/>
        <v>0.1912064343163539</v>
      </c>
      <c r="M32" s="10">
        <f t="shared" si="84"/>
        <v>0.20044472681067343</v>
      </c>
      <c r="N32" s="10">
        <f t="shared" si="84"/>
        <v>0.18212748924246974</v>
      </c>
      <c r="O32" s="10">
        <f>O15/O5</f>
        <v>0.19757859395665886</v>
      </c>
      <c r="AA32" s="10">
        <f t="shared" ref="AA32:AC32" si="85">AA15/AA5</f>
        <v>3.2852768563409032E-2</v>
      </c>
      <c r="AB32" s="10">
        <f t="shared" si="85"/>
        <v>0.14375878589666352</v>
      </c>
      <c r="AC32" s="10">
        <f t="shared" si="85"/>
        <v>0.19013062409288825</v>
      </c>
    </row>
    <row r="33" spans="2:39" s="10" customFormat="1" x14ac:dyDescent="0.25"/>
    <row r="34" spans="2:39" s="10" customFormat="1" x14ac:dyDescent="0.25">
      <c r="B34" s="10" t="s">
        <v>52</v>
      </c>
      <c r="C34" s="10">
        <f t="shared" ref="C34:O34" si="86">SUM(C16:C17)/C15</f>
        <v>-2.4500000000000002</v>
      </c>
      <c r="D34" s="10">
        <f t="shared" si="86"/>
        <v>-6.2176165803108807E-2</v>
      </c>
      <c r="E34" s="10">
        <f t="shared" si="86"/>
        <v>3.2608695652173912E-2</v>
      </c>
      <c r="F34" s="10">
        <f t="shared" si="86"/>
        <v>-0.90756302521008403</v>
      </c>
      <c r="G34" s="10">
        <f t="shared" si="86"/>
        <v>-0.20873786407766989</v>
      </c>
      <c r="H34" s="10">
        <f t="shared" si="86"/>
        <v>1.0840108401084011E-2</v>
      </c>
      <c r="I34" s="10">
        <f t="shared" si="86"/>
        <v>-9.3271152564956689E-3</v>
      </c>
      <c r="J34" s="10">
        <f t="shared" si="86"/>
        <v>1.4180024660912454E-2</v>
      </c>
      <c r="K34" s="10">
        <f t="shared" si="86"/>
        <v>9.2451726155646577E-2</v>
      </c>
      <c r="L34" s="10">
        <f t="shared" si="86"/>
        <v>3.0286034772854738E-2</v>
      </c>
      <c r="M34" s="10">
        <f t="shared" si="86"/>
        <v>-7.7654516640253565E-2</v>
      </c>
      <c r="N34" s="10">
        <f t="shared" si="86"/>
        <v>9.2307692307692313E-2</v>
      </c>
      <c r="O34" s="10">
        <f>SUM(O16:O17)/O15</f>
        <v>1.6477857878475798E-2</v>
      </c>
      <c r="AA34" s="10">
        <f t="shared" ref="AA34:AC34" si="87">SUM(AA16:AA17)/AA15</f>
        <v>-0.35922330097087379</v>
      </c>
      <c r="AB34" s="10">
        <f t="shared" si="87"/>
        <v>-1.2173218918379565E-2</v>
      </c>
      <c r="AC34" s="10">
        <f t="shared" si="87"/>
        <v>3.2338653712699512E-2</v>
      </c>
    </row>
    <row r="35" spans="2:39" s="10" customFormat="1" x14ac:dyDescent="0.25">
      <c r="B35" s="10" t="s">
        <v>53</v>
      </c>
      <c r="C35" s="10">
        <f t="shared" ref="C35:O35" si="88">-C19/C18</f>
        <v>1.9655172413793103</v>
      </c>
      <c r="D35" s="10">
        <f t="shared" si="88"/>
        <v>0.62430939226519333</v>
      </c>
      <c r="E35" s="10">
        <f t="shared" si="88"/>
        <v>0.55789473684210522</v>
      </c>
      <c r="F35" s="10">
        <f t="shared" si="88"/>
        <v>3.9696969696969697</v>
      </c>
      <c r="G35" s="10">
        <f t="shared" si="88"/>
        <v>0.38957055214723929</v>
      </c>
      <c r="H35" s="10">
        <f t="shared" si="88"/>
        <v>0.15080428954423591</v>
      </c>
      <c r="I35" s="10">
        <f t="shared" si="88"/>
        <v>0.17686617350369871</v>
      </c>
      <c r="J35" s="10">
        <f t="shared" si="88"/>
        <v>0.1209726443768997</v>
      </c>
      <c r="K35" s="10">
        <f t="shared" si="88"/>
        <v>0.17889662560257097</v>
      </c>
      <c r="L35" s="10">
        <f t="shared" si="88"/>
        <v>0.22210125204137179</v>
      </c>
      <c r="M35" s="10">
        <f t="shared" si="88"/>
        <v>0.12542955326460481</v>
      </c>
      <c r="N35" s="10">
        <f t="shared" si="88"/>
        <v>0.14084507042253522</v>
      </c>
      <c r="O35" s="10">
        <f>-O19/O18</f>
        <v>0.21935157041540021</v>
      </c>
      <c r="AA35" s="10">
        <f t="shared" ref="AA35:AC35" si="89">-AA19/AA18</f>
        <v>0.68484848484848482</v>
      </c>
      <c r="AB35" s="10">
        <f t="shared" si="89"/>
        <v>0.16444444444444445</v>
      </c>
      <c r="AC35" s="10">
        <f t="shared" si="89"/>
        <v>0.16684592632428072</v>
      </c>
    </row>
    <row r="36" spans="2:39" s="10" customFormat="1" x14ac:dyDescent="0.25">
      <c r="B36" s="10" t="s">
        <v>54</v>
      </c>
      <c r="C36" s="10">
        <f t="shared" ref="C36:O36" si="90">C20/C5</f>
        <v>3.778167588719471E-3</v>
      </c>
      <c r="D36" s="10">
        <f t="shared" si="90"/>
        <v>8.8082901554404139E-3</v>
      </c>
      <c r="E36" s="10">
        <f t="shared" si="90"/>
        <v>2.6795967844838585E-2</v>
      </c>
      <c r="F36" s="10">
        <f t="shared" si="90"/>
        <v>-1.1688931297709924E-2</v>
      </c>
      <c r="G36" s="10">
        <f t="shared" si="90"/>
        <v>2.4129986661816417E-2</v>
      </c>
      <c r="H36" s="10">
        <f t="shared" si="90"/>
        <v>0.14727420667209112</v>
      </c>
      <c r="I36" s="10">
        <f t="shared" si="90"/>
        <v>0.14036697247706423</v>
      </c>
      <c r="J36" s="10">
        <f t="shared" si="90"/>
        <v>0.15570151825131906</v>
      </c>
      <c r="K36" s="10">
        <f t="shared" si="90"/>
        <v>0.16785284134457462</v>
      </c>
      <c r="L36" s="10">
        <f t="shared" si="90"/>
        <v>0.15324396782841823</v>
      </c>
      <c r="M36" s="10">
        <f t="shared" si="90"/>
        <v>0.16168996188055909</v>
      </c>
      <c r="N36" s="10">
        <f t="shared" si="90"/>
        <v>0.17091964375062543</v>
      </c>
      <c r="O36" s="10">
        <f>O20/O5</f>
        <v>0.15678095431885239</v>
      </c>
      <c r="AA36" s="10">
        <f t="shared" ref="AA36:AE36" si="91">AA20/AA5</f>
        <v>6.6343454963000764E-3</v>
      </c>
      <c r="AB36" s="10">
        <f t="shared" si="91"/>
        <v>0.11865622400091803</v>
      </c>
      <c r="AC36" s="10">
        <f t="shared" si="91"/>
        <v>0.16353080881382767</v>
      </c>
      <c r="AD36" s="10">
        <f t="shared" si="91"/>
        <v>0.17063106796116506</v>
      </c>
      <c r="AE36" s="10">
        <f t="shared" si="91"/>
        <v>0.18402314196706721</v>
      </c>
      <c r="AF36" s="10">
        <v>0.19</v>
      </c>
      <c r="AG36" s="10">
        <v>0.2</v>
      </c>
      <c r="AH36" s="10">
        <v>0.20499999999999999</v>
      </c>
      <c r="AI36" s="10">
        <v>0.21</v>
      </c>
      <c r="AJ36" s="10">
        <v>0.21</v>
      </c>
      <c r="AK36" s="10">
        <v>0.215</v>
      </c>
      <c r="AL36" s="10">
        <v>0.215</v>
      </c>
      <c r="AM36" s="10">
        <v>0.22</v>
      </c>
    </row>
    <row r="37" spans="2:39" s="10" customFormat="1" x14ac:dyDescent="0.25"/>
    <row r="38" spans="2:39" s="10" customFormat="1" x14ac:dyDescent="0.25">
      <c r="B38" s="10" t="s">
        <v>55</v>
      </c>
      <c r="G38" s="10">
        <f>G3/C3-1</f>
        <v>0.11464410735122521</v>
      </c>
      <c r="H38" s="10">
        <f>H3/D3-1</f>
        <v>0.12081758364832695</v>
      </c>
      <c r="I38" s="10">
        <f>I3/E3-1</f>
        <v>0.12553573897414627</v>
      </c>
      <c r="J38" s="10">
        <f>J3/F3-1</f>
        <v>0.12312235203492095</v>
      </c>
      <c r="K38" s="10">
        <f>K3/G3-1</f>
        <v>0.12339701648783041</v>
      </c>
      <c r="L38" s="10">
        <f>L3/H3-1</f>
        <v>9.4678990756932313E-2</v>
      </c>
      <c r="M38" s="10">
        <f>M3/I3-1</f>
        <v>9.0652254022847378E-2</v>
      </c>
      <c r="N38" s="10">
        <f>N3/J3-1</f>
        <v>8.0361225422953764E-2</v>
      </c>
      <c r="O38" s="10">
        <f>O3/K3-1</f>
        <v>8.2935352358765257E-2</v>
      </c>
      <c r="AB38" s="10">
        <f t="shared" ref="AB38:AC38" si="92">AB3/AA3-1</f>
        <v>0.12115364735880907</v>
      </c>
      <c r="AC38" s="10">
        <f>AC3/AB3-1</f>
        <v>9.6566985278298656E-2</v>
      </c>
    </row>
    <row r="39" spans="2:39" s="10" customFormat="1" x14ac:dyDescent="0.25">
      <c r="B39" s="10" t="s">
        <v>56</v>
      </c>
      <c r="G39" s="10">
        <f>G4/C4-1</f>
        <v>9.0090090090090058E-2</v>
      </c>
      <c r="H39" s="10">
        <f>H4/D4-1</f>
        <v>3.4662045060658508E-2</v>
      </c>
      <c r="I39" s="10">
        <f>I4/E4-1</f>
        <v>-4.1390728476821237E-2</v>
      </c>
      <c r="J39" s="10">
        <f>J4/F4-1</f>
        <v>-9.4117647058823528E-2</v>
      </c>
      <c r="K39" s="10">
        <f>K4/G4-1</f>
        <v>-9.4214876033057893E-2</v>
      </c>
      <c r="L39" s="10">
        <f>L4/H4-1</f>
        <v>-6.0301507537688481E-2</v>
      </c>
      <c r="M39" s="10">
        <f>M4/I4-1</f>
        <v>-2.4179620034542326E-2</v>
      </c>
      <c r="N39" s="10">
        <f>N4/J4-1</f>
        <v>5.5658627087198376E-3</v>
      </c>
      <c r="O39" s="10">
        <f>O4/K4-1</f>
        <v>-2.9197080291970767E-2</v>
      </c>
      <c r="AB39" s="10">
        <f t="shared" ref="AB39:AC39" si="93">AB4/AA4-1</f>
        <v>-4.7190047190047713E-3</v>
      </c>
      <c r="AC39" s="10">
        <f t="shared" si="93"/>
        <v>-4.482758620689653E-2</v>
      </c>
    </row>
    <row r="40" spans="2:39" s="10" customFormat="1" x14ac:dyDescent="0.25">
      <c r="B40" s="10" t="s">
        <v>57</v>
      </c>
      <c r="G40" s="10">
        <f>G5/C5-1</f>
        <v>0.11280528943462431</v>
      </c>
      <c r="H40" s="10">
        <f>H5/D5-1</f>
        <v>0.11437823834196892</v>
      </c>
      <c r="I40" s="10">
        <f>I5/E5-1</f>
        <v>0.11267066479520227</v>
      </c>
      <c r="J40" s="10">
        <f>J5/F5-1</f>
        <v>0.10770515267175562</v>
      </c>
      <c r="K40" s="10">
        <f>K5/G5-1</f>
        <v>0.10743300594155447</v>
      </c>
      <c r="L40" s="10">
        <f>L5/H5-1</f>
        <v>8.3924212484017158E-2</v>
      </c>
      <c r="M40" s="10">
        <f>M5/I5-1</f>
        <v>8.3027522935779752E-2</v>
      </c>
      <c r="N40" s="10">
        <f>N5/J5-1</f>
        <v>7.6020243350920724E-2</v>
      </c>
      <c r="O40" s="10">
        <f>O5/K5-1</f>
        <v>7.6207160845286337E-2</v>
      </c>
      <c r="AB40" s="10">
        <f t="shared" ref="AB40:AE40" si="94">AB5/AA5-1</f>
        <v>0.11179510079101806</v>
      </c>
      <c r="AC40" s="10">
        <f t="shared" si="94"/>
        <v>8.7156094902028247E-2</v>
      </c>
      <c r="AD40" s="10">
        <f>AD5/AC5-1</f>
        <v>8.7214672120332404E-2</v>
      </c>
      <c r="AE40" s="10">
        <f t="shared" si="94"/>
        <v>9.0776699029126107E-2</v>
      </c>
      <c r="AF40" s="10">
        <v>0.09</v>
      </c>
      <c r="AG40" s="10">
        <v>8.5000000000000006E-2</v>
      </c>
      <c r="AH40" s="10">
        <v>0.08</v>
      </c>
      <c r="AI40" s="10">
        <v>7.4999999999999997E-2</v>
      </c>
      <c r="AJ40" s="10">
        <v>7.0000000000000007E-2</v>
      </c>
      <c r="AK40" s="10">
        <v>6.5000000000000002E-2</v>
      </c>
      <c r="AL40" s="10">
        <v>0.06</v>
      </c>
      <c r="AM40" s="10">
        <v>5.5E-2</v>
      </c>
    </row>
    <row r="44" spans="2:39" s="6" customFormat="1" x14ac:dyDescent="0.25">
      <c r="B44" s="6" t="s">
        <v>58</v>
      </c>
      <c r="C44" s="6">
        <f t="shared" ref="C44:N44" si="95">+C45+C46-C61</f>
        <v>0</v>
      </c>
      <c r="D44" s="6">
        <f t="shared" si="95"/>
        <v>0</v>
      </c>
      <c r="E44" s="6">
        <f t="shared" si="95"/>
        <v>0</v>
      </c>
      <c r="F44" s="6">
        <f t="shared" si="95"/>
        <v>1907</v>
      </c>
      <c r="G44" s="6">
        <f t="shared" si="95"/>
        <v>0</v>
      </c>
      <c r="H44" s="6">
        <f t="shared" si="95"/>
        <v>0</v>
      </c>
      <c r="I44" s="6">
        <f t="shared" si="95"/>
        <v>0</v>
      </c>
      <c r="J44" s="6">
        <f t="shared" si="95"/>
        <v>4768</v>
      </c>
      <c r="K44" s="6">
        <f t="shared" si="95"/>
        <v>8241</v>
      </c>
      <c r="L44" s="6">
        <f t="shared" si="95"/>
        <v>4206</v>
      </c>
      <c r="M44" s="6">
        <f t="shared" si="95"/>
        <v>4325</v>
      </c>
      <c r="N44" s="6">
        <f t="shared" si="95"/>
        <v>5599</v>
      </c>
      <c r="O44" s="6">
        <f>+O45+O46-O61</f>
        <v>8973</v>
      </c>
      <c r="P44" s="6">
        <f t="shared" ref="P44:V44" si="96">+P45+P46-P61</f>
        <v>0</v>
      </c>
      <c r="Q44" s="6">
        <f t="shared" si="96"/>
        <v>0</v>
      </c>
      <c r="R44" s="6">
        <f t="shared" si="96"/>
        <v>0</v>
      </c>
      <c r="S44" s="6">
        <f t="shared" si="96"/>
        <v>0</v>
      </c>
      <c r="T44" s="6">
        <f t="shared" si="96"/>
        <v>0</v>
      </c>
      <c r="U44" s="6">
        <f t="shared" si="96"/>
        <v>0</v>
      </c>
      <c r="V44" s="6">
        <f t="shared" si="96"/>
        <v>0</v>
      </c>
      <c r="AA44" s="6">
        <f t="shared" ref="AA44" si="97">+AA45+AA46-AA61</f>
        <v>1907</v>
      </c>
      <c r="AB44" s="6">
        <f t="shared" ref="AB44" si="98">+AB45+AB46-AB61</f>
        <v>4768</v>
      </c>
      <c r="AC44" s="6">
        <f t="shared" ref="AC44" si="99">+AC45+AC46-AC61</f>
        <v>5599</v>
      </c>
      <c r="AD44" s="6">
        <f t="shared" ref="AD44" si="100">+AD45+AD46-AD61</f>
        <v>0</v>
      </c>
      <c r="AE44" s="6">
        <f t="shared" ref="AE44" si="101">+AE45+AE46-AE61</f>
        <v>0</v>
      </c>
    </row>
    <row r="45" spans="2:39" s="6" customFormat="1" x14ac:dyDescent="0.25">
      <c r="B45" s="6" t="s">
        <v>4</v>
      </c>
      <c r="F45" s="6">
        <v>7016</v>
      </c>
      <c r="J45" s="6">
        <v>8472</v>
      </c>
      <c r="K45" s="6">
        <v>9958</v>
      </c>
      <c r="L45" s="6">
        <v>7682</v>
      </c>
      <c r="M45" s="6">
        <v>7997</v>
      </c>
      <c r="N45" s="6">
        <v>8848</v>
      </c>
      <c r="O45" s="6">
        <v>10928</v>
      </c>
      <c r="AA45" s="6">
        <v>7016</v>
      </c>
      <c r="AB45" s="6">
        <v>8472</v>
      </c>
      <c r="AC45" s="6">
        <v>8848</v>
      </c>
    </row>
    <row r="46" spans="2:39" s="6" customFormat="1" x14ac:dyDescent="0.25">
      <c r="B46" s="6" t="s">
        <v>59</v>
      </c>
      <c r="F46" s="6">
        <v>5492</v>
      </c>
      <c r="J46" s="6">
        <v>5722</v>
      </c>
      <c r="K46" s="6">
        <v>7712</v>
      </c>
      <c r="L46" s="6">
        <v>4954</v>
      </c>
      <c r="M46" s="6">
        <v>4760</v>
      </c>
      <c r="N46" s="6">
        <v>5184</v>
      </c>
      <c r="O46" s="6">
        <v>6480</v>
      </c>
      <c r="AA46" s="6">
        <v>5492</v>
      </c>
      <c r="AB46" s="6">
        <v>5722</v>
      </c>
      <c r="AC46" s="6">
        <v>5184</v>
      </c>
    </row>
    <row r="47" spans="2:39" s="6" customFormat="1" x14ac:dyDescent="0.25">
      <c r="B47" s="6" t="s">
        <v>60</v>
      </c>
      <c r="F47" s="6">
        <v>10755</v>
      </c>
      <c r="J47" s="6">
        <v>11414</v>
      </c>
      <c r="K47" s="6">
        <v>4273</v>
      </c>
      <c r="L47" s="6">
        <v>5391</v>
      </c>
      <c r="M47" s="6">
        <v>4741</v>
      </c>
      <c r="N47" s="6">
        <v>11945</v>
      </c>
      <c r="O47" s="6">
        <v>4354</v>
      </c>
      <c r="AA47" s="6">
        <v>10755</v>
      </c>
      <c r="AB47" s="6">
        <v>11414</v>
      </c>
      <c r="AC47" s="6">
        <v>11945</v>
      </c>
    </row>
    <row r="48" spans="2:39" s="6" customFormat="1" x14ac:dyDescent="0.25">
      <c r="B48" s="6" t="s">
        <v>61</v>
      </c>
      <c r="F48" s="6">
        <v>1776</v>
      </c>
      <c r="J48" s="6">
        <v>1905</v>
      </c>
      <c r="K48" s="6">
        <v>1865</v>
      </c>
      <c r="L48" s="6">
        <v>1851</v>
      </c>
      <c r="M48" s="6">
        <v>1836</v>
      </c>
      <c r="N48" s="6">
        <v>1971</v>
      </c>
      <c r="O48" s="6">
        <v>1924</v>
      </c>
      <c r="AA48" s="6">
        <v>1776</v>
      </c>
      <c r="AB48" s="6">
        <v>1905</v>
      </c>
      <c r="AC48" s="6">
        <v>1971</v>
      </c>
    </row>
    <row r="49" spans="2:31" s="6" customFormat="1" x14ac:dyDescent="0.25">
      <c r="B49" s="6" t="s">
        <v>62</v>
      </c>
      <c r="F49" s="6">
        <v>1356</v>
      </c>
      <c r="J49" s="6">
        <v>1561</v>
      </c>
      <c r="K49" s="6">
        <v>1796</v>
      </c>
      <c r="L49" s="6">
        <v>1984</v>
      </c>
      <c r="M49" s="6">
        <v>2091</v>
      </c>
      <c r="N49" s="6">
        <v>1779</v>
      </c>
      <c r="O49" s="6">
        <v>2180</v>
      </c>
      <c r="AA49" s="6">
        <v>1356</v>
      </c>
      <c r="AB49" s="6">
        <v>1561</v>
      </c>
      <c r="AC49" s="6">
        <v>1779</v>
      </c>
    </row>
    <row r="50" spans="2:31" s="6" customFormat="1" x14ac:dyDescent="0.25">
      <c r="B50" s="6" t="s">
        <v>63</v>
      </c>
      <c r="F50" s="6">
        <v>3702</v>
      </c>
      <c r="J50" s="6">
        <v>3689</v>
      </c>
      <c r="K50" s="6">
        <v>3506</v>
      </c>
      <c r="L50" s="6">
        <v>3580</v>
      </c>
      <c r="M50" s="6">
        <v>3416</v>
      </c>
      <c r="N50" s="6">
        <v>3236</v>
      </c>
      <c r="O50" s="6">
        <v>3131</v>
      </c>
      <c r="AA50" s="6">
        <v>3702</v>
      </c>
      <c r="AB50" s="6">
        <v>3689</v>
      </c>
      <c r="AC50" s="6">
        <v>3236</v>
      </c>
    </row>
    <row r="51" spans="2:31" s="6" customFormat="1" x14ac:dyDescent="0.25">
      <c r="B51" s="6" t="s">
        <v>64</v>
      </c>
      <c r="F51" s="6">
        <v>2890</v>
      </c>
      <c r="J51" s="6">
        <v>2366</v>
      </c>
      <c r="K51" s="6">
        <v>2255</v>
      </c>
      <c r="L51" s="6">
        <v>2130</v>
      </c>
      <c r="M51" s="6">
        <v>2167</v>
      </c>
      <c r="N51" s="6">
        <v>2157</v>
      </c>
      <c r="O51" s="6">
        <v>2129</v>
      </c>
      <c r="AA51" s="6">
        <v>2890</v>
      </c>
      <c r="AB51" s="6">
        <v>2366</v>
      </c>
      <c r="AC51" s="6">
        <v>2157</v>
      </c>
    </row>
    <row r="52" spans="2:31" s="6" customFormat="1" x14ac:dyDescent="0.25">
      <c r="B52" s="6" t="s">
        <v>65</v>
      </c>
      <c r="F52" s="6">
        <v>2697</v>
      </c>
      <c r="J52" s="6">
        <v>2515</v>
      </c>
      <c r="K52" s="6">
        <v>2286</v>
      </c>
      <c r="L52" s="6">
        <v>2201</v>
      </c>
      <c r="M52" s="6">
        <v>2121</v>
      </c>
      <c r="N52" s="6">
        <v>2475</v>
      </c>
      <c r="O52" s="6">
        <v>2342</v>
      </c>
      <c r="AA52" s="6">
        <v>2697</v>
      </c>
      <c r="AB52" s="6">
        <v>2515</v>
      </c>
      <c r="AC52" s="6">
        <v>2475</v>
      </c>
    </row>
    <row r="53" spans="2:31" s="6" customFormat="1" x14ac:dyDescent="0.25">
      <c r="B53" s="6" t="s">
        <v>66</v>
      </c>
      <c r="F53" s="6">
        <v>4672</v>
      </c>
      <c r="J53" s="6">
        <v>4848</v>
      </c>
      <c r="K53" s="6">
        <v>4978</v>
      </c>
      <c r="L53" s="6">
        <v>5017</v>
      </c>
      <c r="M53" s="6">
        <v>4845</v>
      </c>
      <c r="N53" s="6">
        <v>4852</v>
      </c>
      <c r="O53" s="6">
        <v>4941</v>
      </c>
      <c r="AA53" s="6">
        <v>4672</v>
      </c>
      <c r="AB53" s="6">
        <v>4848</v>
      </c>
      <c r="AC53" s="6">
        <v>4852</v>
      </c>
    </row>
    <row r="54" spans="2:31" s="6" customFormat="1" x14ac:dyDescent="0.25">
      <c r="B54" s="6" t="s">
        <v>67</v>
      </c>
      <c r="F54" s="6">
        <v>48568</v>
      </c>
      <c r="J54" s="6">
        <v>48620</v>
      </c>
      <c r="K54" s="6">
        <v>48940</v>
      </c>
      <c r="L54" s="6">
        <v>48941</v>
      </c>
      <c r="M54" s="6">
        <v>49093</v>
      </c>
      <c r="N54" s="6">
        <v>51283</v>
      </c>
      <c r="O54" s="6">
        <v>51281</v>
      </c>
      <c r="AA54" s="6">
        <v>48568</v>
      </c>
      <c r="AB54" s="6">
        <v>48620</v>
      </c>
      <c r="AC54" s="6">
        <v>51283</v>
      </c>
    </row>
    <row r="55" spans="2:31" s="6" customFormat="1" x14ac:dyDescent="0.25">
      <c r="B55" s="6" t="s">
        <v>68</v>
      </c>
      <c r="F55" s="6">
        <v>7125</v>
      </c>
      <c r="J55" s="6">
        <v>5278</v>
      </c>
      <c r="K55" s="6">
        <v>4869</v>
      </c>
      <c r="L55" s="6">
        <v>4415</v>
      </c>
      <c r="M55" s="6">
        <v>4119</v>
      </c>
      <c r="N55" s="6">
        <v>4428</v>
      </c>
      <c r="O55" s="6">
        <v>4033</v>
      </c>
      <c r="AA55" s="6">
        <v>7125</v>
      </c>
      <c r="AB55" s="6">
        <v>5278</v>
      </c>
      <c r="AC55" s="6">
        <v>4428</v>
      </c>
    </row>
    <row r="56" spans="2:31" s="6" customFormat="1" x14ac:dyDescent="0.25">
      <c r="B56" s="6" t="s">
        <v>69</v>
      </c>
      <c r="F56" s="6">
        <v>2800</v>
      </c>
      <c r="J56" s="6">
        <v>3433</v>
      </c>
      <c r="K56" s="6">
        <v>3742</v>
      </c>
      <c r="L56" s="6">
        <v>4034</v>
      </c>
      <c r="M56" s="6">
        <v>4209</v>
      </c>
      <c r="N56" s="6">
        <v>4770</v>
      </c>
      <c r="O56" s="6">
        <v>4887</v>
      </c>
      <c r="AA56" s="6">
        <v>2800</v>
      </c>
      <c r="AB56" s="6">
        <v>3433</v>
      </c>
      <c r="AC56" s="6">
        <v>4770</v>
      </c>
    </row>
    <row r="57" spans="2:31" s="7" customFormat="1" x14ac:dyDescent="0.25">
      <c r="B57" s="7" t="s">
        <v>70</v>
      </c>
      <c r="C57" s="7">
        <f t="shared" ref="C57:N57" si="102">SUM(C45:C56)</f>
        <v>0</v>
      </c>
      <c r="D57" s="7">
        <f t="shared" si="102"/>
        <v>0</v>
      </c>
      <c r="E57" s="7">
        <f t="shared" si="102"/>
        <v>0</v>
      </c>
      <c r="F57" s="7">
        <f t="shared" si="102"/>
        <v>98849</v>
      </c>
      <c r="G57" s="7">
        <f t="shared" si="102"/>
        <v>0</v>
      </c>
      <c r="H57" s="7">
        <f t="shared" si="102"/>
        <v>0</v>
      </c>
      <c r="I57" s="7">
        <f t="shared" si="102"/>
        <v>0</v>
      </c>
      <c r="J57" s="7">
        <f t="shared" si="102"/>
        <v>99823</v>
      </c>
      <c r="K57" s="7">
        <f t="shared" si="102"/>
        <v>96180</v>
      </c>
      <c r="L57" s="7">
        <f t="shared" si="102"/>
        <v>92180</v>
      </c>
      <c r="M57" s="7">
        <f t="shared" si="102"/>
        <v>91395</v>
      </c>
      <c r="N57" s="7">
        <f t="shared" si="102"/>
        <v>102928</v>
      </c>
      <c r="O57" s="7">
        <f>SUM(O45:O56)</f>
        <v>98610</v>
      </c>
      <c r="P57" s="7">
        <f t="shared" ref="P57:V57" si="103">SUM(P45:P56)</f>
        <v>0</v>
      </c>
      <c r="Q57" s="7">
        <f t="shared" si="103"/>
        <v>0</v>
      </c>
      <c r="R57" s="7">
        <f t="shared" si="103"/>
        <v>0</v>
      </c>
      <c r="S57" s="7">
        <f t="shared" si="103"/>
        <v>0</v>
      </c>
      <c r="T57" s="7">
        <f t="shared" si="103"/>
        <v>0</v>
      </c>
      <c r="U57" s="7">
        <f t="shared" si="103"/>
        <v>0</v>
      </c>
      <c r="V57" s="7">
        <f t="shared" si="103"/>
        <v>0</v>
      </c>
      <c r="AA57" s="7">
        <f t="shared" ref="AA57" si="104">SUM(AA45:AA56)</f>
        <v>98849</v>
      </c>
      <c r="AB57" s="7">
        <f t="shared" ref="AB57" si="105">SUM(AB45:AB56)</f>
        <v>99823</v>
      </c>
      <c r="AC57" s="7">
        <f t="shared" ref="AC57" si="106">SUM(AC45:AC56)</f>
        <v>102928</v>
      </c>
      <c r="AD57" s="7">
        <f t="shared" ref="AD57" si="107">SUM(AD45:AD56)</f>
        <v>0</v>
      </c>
      <c r="AE57" s="7">
        <f t="shared" ref="AE57" si="108">SUM(AE45:AE56)</f>
        <v>0</v>
      </c>
    </row>
    <row r="58" spans="2:31" s="6" customFormat="1" x14ac:dyDescent="0.25">
      <c r="B58" s="6" t="s">
        <v>71</v>
      </c>
      <c r="F58" s="6">
        <v>6743</v>
      </c>
      <c r="J58" s="6">
        <v>6111</v>
      </c>
      <c r="K58" s="6">
        <v>5520</v>
      </c>
      <c r="L58" s="6">
        <v>5220</v>
      </c>
      <c r="M58" s="6">
        <v>5331</v>
      </c>
      <c r="N58" s="6">
        <v>6658</v>
      </c>
      <c r="O58" s="6">
        <v>5804</v>
      </c>
      <c r="AA58" s="6">
        <v>6743</v>
      </c>
      <c r="AB58" s="6">
        <v>6111</v>
      </c>
      <c r="AC58" s="6">
        <v>6658</v>
      </c>
    </row>
    <row r="59" spans="2:31" s="6" customFormat="1" x14ac:dyDescent="0.25">
      <c r="B59" s="6" t="s">
        <v>72</v>
      </c>
      <c r="F59" s="6">
        <v>590</v>
      </c>
      <c r="J59" s="6">
        <v>518</v>
      </c>
      <c r="K59" s="6">
        <v>568</v>
      </c>
      <c r="L59" s="6">
        <v>559</v>
      </c>
      <c r="M59" s="6">
        <v>572</v>
      </c>
      <c r="N59" s="6">
        <v>579</v>
      </c>
      <c r="O59" s="6">
        <v>593</v>
      </c>
      <c r="AA59" s="6">
        <v>590</v>
      </c>
      <c r="AB59" s="6">
        <v>518</v>
      </c>
      <c r="AC59" s="6">
        <v>579</v>
      </c>
    </row>
    <row r="60" spans="2:31" s="6" customFormat="1" x14ac:dyDescent="0.25">
      <c r="B60" s="6" t="s">
        <v>73</v>
      </c>
      <c r="F60" s="6">
        <v>17376</v>
      </c>
      <c r="J60" s="6">
        <v>19003</v>
      </c>
      <c r="K60" s="6">
        <v>16061</v>
      </c>
      <c r="L60" s="6">
        <v>15222</v>
      </c>
      <c r="M60" s="6">
        <v>13472</v>
      </c>
      <c r="N60" s="6">
        <v>20743</v>
      </c>
      <c r="O60" s="6">
        <v>17799</v>
      </c>
      <c r="AA60" s="6">
        <v>17376</v>
      </c>
      <c r="AB60" s="6">
        <v>19003</v>
      </c>
      <c r="AC60" s="6">
        <v>20743</v>
      </c>
    </row>
    <row r="61" spans="2:31" s="6" customFormat="1" x14ac:dyDescent="0.25">
      <c r="B61" s="6" t="s">
        <v>5</v>
      </c>
      <c r="F61" s="6">
        <f>1182+9419</f>
        <v>10601</v>
      </c>
      <c r="J61" s="6">
        <f>999+8427</f>
        <v>9426</v>
      </c>
      <c r="K61" s="6">
        <f>1000+8429</f>
        <v>9429</v>
      </c>
      <c r="L61" s="6">
        <v>8430</v>
      </c>
      <c r="M61" s="6">
        <v>8432</v>
      </c>
      <c r="N61" s="6">
        <v>8433</v>
      </c>
      <c r="O61" s="6">
        <v>8435</v>
      </c>
      <c r="AA61" s="6">
        <f>1182+9419</f>
        <v>10601</v>
      </c>
      <c r="AB61" s="6">
        <f>999+8427</f>
        <v>9426</v>
      </c>
      <c r="AC61" s="6">
        <v>8433</v>
      </c>
    </row>
    <row r="62" spans="2:31" s="6" customFormat="1" x14ac:dyDescent="0.25">
      <c r="B62" s="6" t="s">
        <v>74</v>
      </c>
      <c r="F62" s="6">
        <v>2897</v>
      </c>
      <c r="J62" s="6">
        <v>2644</v>
      </c>
      <c r="K62" s="6">
        <v>2519</v>
      </c>
      <c r="L62" s="6">
        <v>2404</v>
      </c>
      <c r="M62" s="6">
        <v>2420</v>
      </c>
      <c r="N62" s="6">
        <v>2380</v>
      </c>
      <c r="O62" s="6">
        <v>2341</v>
      </c>
      <c r="AA62" s="6">
        <v>2897</v>
      </c>
      <c r="AB62" s="6">
        <v>2644</v>
      </c>
      <c r="AC62" s="6">
        <v>2380</v>
      </c>
    </row>
    <row r="63" spans="2:31" s="6" customFormat="1" x14ac:dyDescent="0.25">
      <c r="B63" s="6" t="s">
        <v>75</v>
      </c>
      <c r="F63" s="6">
        <v>2283</v>
      </c>
      <c r="J63" s="6">
        <v>2475</v>
      </c>
      <c r="K63" s="6">
        <v>2400</v>
      </c>
      <c r="L63" s="6">
        <v>2712</v>
      </c>
      <c r="M63" s="6">
        <v>2643</v>
      </c>
      <c r="N63" s="6">
        <v>2962</v>
      </c>
      <c r="O63" s="6">
        <v>2972</v>
      </c>
      <c r="AA63" s="6">
        <v>2283</v>
      </c>
      <c r="AB63" s="6">
        <v>2475</v>
      </c>
      <c r="AC63" s="6">
        <v>2962</v>
      </c>
    </row>
    <row r="64" spans="2:31" s="7" customFormat="1" x14ac:dyDescent="0.25">
      <c r="B64" s="7" t="s">
        <v>76</v>
      </c>
      <c r="C64" s="7">
        <f t="shared" ref="C64:N64" si="109">SUM(C58:C63)</f>
        <v>0</v>
      </c>
      <c r="D64" s="7">
        <f t="shared" si="109"/>
        <v>0</v>
      </c>
      <c r="E64" s="7">
        <f t="shared" si="109"/>
        <v>0</v>
      </c>
      <c r="F64" s="7">
        <f t="shared" si="109"/>
        <v>40490</v>
      </c>
      <c r="G64" s="7">
        <f t="shared" si="109"/>
        <v>0</v>
      </c>
      <c r="H64" s="7">
        <f t="shared" si="109"/>
        <v>0</v>
      </c>
      <c r="I64" s="7">
        <f t="shared" si="109"/>
        <v>0</v>
      </c>
      <c r="J64" s="7">
        <f t="shared" si="109"/>
        <v>40177</v>
      </c>
      <c r="K64" s="7">
        <f t="shared" si="109"/>
        <v>36497</v>
      </c>
      <c r="L64" s="7">
        <f t="shared" si="109"/>
        <v>34547</v>
      </c>
      <c r="M64" s="7">
        <f t="shared" si="109"/>
        <v>32870</v>
      </c>
      <c r="N64" s="7">
        <f t="shared" si="109"/>
        <v>41755</v>
      </c>
      <c r="O64" s="7">
        <f>SUM(O58:O63)</f>
        <v>37944</v>
      </c>
      <c r="P64" s="7">
        <f t="shared" ref="P64:V64" si="110">SUM(P58:P63)</f>
        <v>0</v>
      </c>
      <c r="Q64" s="7">
        <f t="shared" si="110"/>
        <v>0</v>
      </c>
      <c r="R64" s="7">
        <f t="shared" si="110"/>
        <v>0</v>
      </c>
      <c r="S64" s="7">
        <f t="shared" si="110"/>
        <v>0</v>
      </c>
      <c r="T64" s="7">
        <f t="shared" si="110"/>
        <v>0</v>
      </c>
      <c r="U64" s="7">
        <f t="shared" si="110"/>
        <v>0</v>
      </c>
      <c r="V64" s="7">
        <f t="shared" si="110"/>
        <v>0</v>
      </c>
      <c r="AA64" s="7">
        <f t="shared" ref="AA64" si="111">SUM(AA58:AA63)</f>
        <v>40490</v>
      </c>
      <c r="AB64" s="7">
        <f t="shared" ref="AB64" si="112">SUM(AB58:AB63)</f>
        <v>40177</v>
      </c>
      <c r="AC64" s="7">
        <f t="shared" ref="AC64" si="113">SUM(AC58:AC63)</f>
        <v>41755</v>
      </c>
      <c r="AD64" s="7">
        <f t="shared" ref="AD64" si="114">SUM(AD58:AD63)</f>
        <v>0</v>
      </c>
      <c r="AE64" s="7">
        <f t="shared" ref="AE64" si="115">SUM(AE58:AE63)</f>
        <v>0</v>
      </c>
    </row>
    <row r="65" spans="2:32" s="6" customFormat="1" x14ac:dyDescent="0.25">
      <c r="B65" s="6" t="s">
        <v>77</v>
      </c>
      <c r="F65" s="6">
        <v>58359</v>
      </c>
      <c r="J65" s="6">
        <v>59646</v>
      </c>
      <c r="K65" s="6">
        <v>59683</v>
      </c>
      <c r="L65" s="6">
        <v>57633</v>
      </c>
      <c r="M65" s="6">
        <v>58525</v>
      </c>
      <c r="N65" s="6">
        <v>61173</v>
      </c>
      <c r="O65" s="6">
        <v>60666</v>
      </c>
      <c r="AA65" s="6">
        <v>58359</v>
      </c>
      <c r="AB65" s="6">
        <v>59646</v>
      </c>
      <c r="AC65" s="6">
        <v>61173</v>
      </c>
    </row>
    <row r="66" spans="2:32" s="7" customFormat="1" x14ac:dyDescent="0.25">
      <c r="B66" s="7" t="s">
        <v>78</v>
      </c>
      <c r="C66" s="7">
        <f t="shared" ref="C66:N66" si="116">C64+C65</f>
        <v>0</v>
      </c>
      <c r="D66" s="7">
        <f t="shared" si="116"/>
        <v>0</v>
      </c>
      <c r="E66" s="7">
        <f t="shared" si="116"/>
        <v>0</v>
      </c>
      <c r="F66" s="7">
        <f t="shared" si="116"/>
        <v>98849</v>
      </c>
      <c r="G66" s="7">
        <f t="shared" si="116"/>
        <v>0</v>
      </c>
      <c r="H66" s="7">
        <f t="shared" si="116"/>
        <v>0</v>
      </c>
      <c r="I66" s="7">
        <f t="shared" si="116"/>
        <v>0</v>
      </c>
      <c r="J66" s="7">
        <f t="shared" si="116"/>
        <v>99823</v>
      </c>
      <c r="K66" s="7">
        <f t="shared" si="116"/>
        <v>96180</v>
      </c>
      <c r="L66" s="7">
        <f t="shared" si="116"/>
        <v>92180</v>
      </c>
      <c r="M66" s="7">
        <f t="shared" si="116"/>
        <v>91395</v>
      </c>
      <c r="N66" s="7">
        <f t="shared" si="116"/>
        <v>102928</v>
      </c>
      <c r="O66" s="7">
        <f>O64+O65</f>
        <v>98610</v>
      </c>
      <c r="P66" s="7">
        <f t="shared" ref="P66:V66" si="117">P64+P65</f>
        <v>0</v>
      </c>
      <c r="Q66" s="7">
        <f t="shared" si="117"/>
        <v>0</v>
      </c>
      <c r="R66" s="7">
        <f t="shared" si="117"/>
        <v>0</v>
      </c>
      <c r="S66" s="7">
        <f t="shared" si="117"/>
        <v>0</v>
      </c>
      <c r="T66" s="7">
        <f t="shared" si="117"/>
        <v>0</v>
      </c>
      <c r="U66" s="7">
        <f t="shared" si="117"/>
        <v>0</v>
      </c>
      <c r="V66" s="7">
        <f t="shared" si="117"/>
        <v>0</v>
      </c>
      <c r="AA66" s="7">
        <f t="shared" ref="AA66" si="118">AA64+AA65</f>
        <v>98849</v>
      </c>
      <c r="AB66" s="7">
        <f t="shared" ref="AB66" si="119">AB64+AB65</f>
        <v>99823</v>
      </c>
      <c r="AC66" s="7">
        <f t="shared" ref="AC66" si="120">AC64+AC65</f>
        <v>102928</v>
      </c>
      <c r="AD66" s="7">
        <f t="shared" ref="AD66" si="121">AD64+AD65</f>
        <v>0</v>
      </c>
      <c r="AE66" s="7">
        <f t="shared" ref="AE66" si="122">AE64+AE65</f>
        <v>0</v>
      </c>
    </row>
    <row r="70" spans="2:32" s="6" customFormat="1" x14ac:dyDescent="0.25">
      <c r="B70" s="6" t="s">
        <v>79</v>
      </c>
      <c r="C70" s="6">
        <f>+C20</f>
        <v>28</v>
      </c>
      <c r="D70" s="6">
        <f t="shared" ref="D70:V70" si="123">+D20</f>
        <v>68</v>
      </c>
      <c r="E70" s="6">
        <f t="shared" si="123"/>
        <v>210</v>
      </c>
      <c r="F70" s="6">
        <f t="shared" si="123"/>
        <v>-98</v>
      </c>
      <c r="G70" s="6">
        <f t="shared" si="123"/>
        <v>199</v>
      </c>
      <c r="H70" s="6">
        <f t="shared" si="123"/>
        <v>1267</v>
      </c>
      <c r="I70" s="6">
        <f t="shared" si="123"/>
        <v>1224</v>
      </c>
      <c r="J70" s="6">
        <f t="shared" si="123"/>
        <v>1446</v>
      </c>
      <c r="K70" s="6">
        <f t="shared" si="123"/>
        <v>1533</v>
      </c>
      <c r="L70" s="6">
        <f t="shared" si="123"/>
        <v>1429</v>
      </c>
      <c r="M70" s="6">
        <f t="shared" si="123"/>
        <v>1527</v>
      </c>
      <c r="N70" s="6">
        <f t="shared" si="123"/>
        <v>1708</v>
      </c>
      <c r="O70" s="6">
        <f t="shared" si="123"/>
        <v>1541</v>
      </c>
      <c r="P70" s="6">
        <f t="shared" si="123"/>
        <v>0</v>
      </c>
      <c r="Q70" s="6">
        <f t="shared" si="123"/>
        <v>0</v>
      </c>
      <c r="R70" s="6">
        <f t="shared" si="123"/>
        <v>0</v>
      </c>
      <c r="S70" s="6">
        <f t="shared" si="123"/>
        <v>0</v>
      </c>
      <c r="T70" s="6">
        <f t="shared" si="123"/>
        <v>0</v>
      </c>
      <c r="U70" s="6">
        <f t="shared" si="123"/>
        <v>0</v>
      </c>
      <c r="V70" s="6">
        <f t="shared" si="123"/>
        <v>0</v>
      </c>
      <c r="AA70" s="6">
        <f t="shared" ref="AA70:AF70" si="124">+AA20</f>
        <v>208</v>
      </c>
      <c r="AB70" s="6">
        <f t="shared" si="124"/>
        <v>4136</v>
      </c>
      <c r="AC70" s="6">
        <f t="shared" si="124"/>
        <v>6197</v>
      </c>
      <c r="AD70" s="6">
        <f t="shared" si="124"/>
        <v>7030</v>
      </c>
      <c r="AE70" s="6">
        <f t="shared" si="124"/>
        <v>8270</v>
      </c>
      <c r="AF70" s="6">
        <f t="shared" si="124"/>
        <v>9307.0740000000005</v>
      </c>
    </row>
    <row r="71" spans="2:32" s="6" customFormat="1" x14ac:dyDescent="0.25">
      <c r="B71" s="6" t="s">
        <v>80</v>
      </c>
      <c r="C71" s="6">
        <v>28</v>
      </c>
      <c r="D71" s="6">
        <v>68</v>
      </c>
      <c r="E71" s="6">
        <v>210</v>
      </c>
      <c r="F71" s="6">
        <v>-98</v>
      </c>
      <c r="G71" s="6">
        <v>199</v>
      </c>
      <c r="H71" s="6">
        <v>1267</v>
      </c>
      <c r="I71" s="6">
        <v>1224</v>
      </c>
      <c r="J71" s="6">
        <v>1446</v>
      </c>
      <c r="K71" s="6">
        <v>1533</v>
      </c>
      <c r="L71" s="6">
        <v>1429</v>
      </c>
      <c r="M71" s="6">
        <v>1527</v>
      </c>
      <c r="N71" s="6">
        <v>1708</v>
      </c>
      <c r="O71" s="6">
        <v>1541</v>
      </c>
      <c r="AA71" s="6">
        <f t="shared" ref="AA71:AA81" si="125">+C71+D71+E71+F71</f>
        <v>208</v>
      </c>
      <c r="AB71" s="6">
        <f t="shared" ref="AB71:AB81" si="126">+G71+H71+I71+J71</f>
        <v>4136</v>
      </c>
      <c r="AC71" s="6">
        <f t="shared" ref="AC71:AC81" si="127">+K71+L71+M71+N71</f>
        <v>6197</v>
      </c>
    </row>
    <row r="72" spans="2:32" s="6" customFormat="1" x14ac:dyDescent="0.25">
      <c r="B72" s="6" t="s">
        <v>81</v>
      </c>
      <c r="C72" s="6">
        <v>906</v>
      </c>
      <c r="D72" s="6">
        <v>907</v>
      </c>
      <c r="E72" s="6">
        <v>941</v>
      </c>
      <c r="F72" s="6">
        <v>1032</v>
      </c>
      <c r="G72" s="6">
        <v>1254</v>
      </c>
      <c r="H72" s="6">
        <v>890</v>
      </c>
      <c r="I72" s="6">
        <v>862</v>
      </c>
      <c r="J72" s="6">
        <v>953</v>
      </c>
      <c r="K72" s="6">
        <v>879</v>
      </c>
      <c r="L72" s="6">
        <v>907</v>
      </c>
      <c r="M72" s="6">
        <v>814</v>
      </c>
      <c r="N72" s="6">
        <v>877</v>
      </c>
      <c r="O72" s="6">
        <v>843</v>
      </c>
      <c r="AA72" s="6">
        <f t="shared" si="125"/>
        <v>3786</v>
      </c>
      <c r="AB72" s="6">
        <f t="shared" si="126"/>
        <v>3959</v>
      </c>
      <c r="AC72" s="6">
        <f t="shared" si="127"/>
        <v>3477</v>
      </c>
    </row>
    <row r="73" spans="2:32" s="6" customFormat="1" x14ac:dyDescent="0.25">
      <c r="B73" s="6" t="s">
        <v>82</v>
      </c>
      <c r="C73" s="6">
        <v>394</v>
      </c>
      <c r="D73" s="6">
        <v>408</v>
      </c>
      <c r="E73" s="6">
        <v>423</v>
      </c>
      <c r="F73" s="6">
        <v>443</v>
      </c>
      <c r="G73" s="6">
        <v>470</v>
      </c>
      <c r="H73" s="6">
        <v>476</v>
      </c>
      <c r="I73" s="6">
        <v>482</v>
      </c>
      <c r="J73" s="6">
        <v>497</v>
      </c>
      <c r="K73" s="6">
        <v>517</v>
      </c>
      <c r="L73" s="6">
        <v>526</v>
      </c>
      <c r="M73" s="6">
        <v>525</v>
      </c>
      <c r="N73" s="6">
        <v>527</v>
      </c>
      <c r="O73" s="6">
        <v>545</v>
      </c>
      <c r="AA73" s="6">
        <f t="shared" si="125"/>
        <v>1668</v>
      </c>
      <c r="AB73" s="6">
        <f t="shared" si="126"/>
        <v>1925</v>
      </c>
      <c r="AC73" s="6">
        <f t="shared" si="127"/>
        <v>2095</v>
      </c>
    </row>
    <row r="74" spans="2:32" s="6" customFormat="1" x14ac:dyDescent="0.25">
      <c r="B74" s="6" t="s">
        <v>83</v>
      </c>
      <c r="C74" s="6">
        <v>776</v>
      </c>
      <c r="D74" s="6">
        <v>851</v>
      </c>
      <c r="E74" s="6">
        <v>843</v>
      </c>
      <c r="F74" s="6">
        <v>809</v>
      </c>
      <c r="G74" s="6">
        <v>696</v>
      </c>
      <c r="H74" s="6">
        <v>724</v>
      </c>
      <c r="I74" s="6">
        <v>693</v>
      </c>
      <c r="J74" s="6">
        <v>674</v>
      </c>
      <c r="K74" s="6">
        <v>750</v>
      </c>
      <c r="L74" s="6">
        <v>810</v>
      </c>
      <c r="M74" s="6">
        <v>820</v>
      </c>
      <c r="N74" s="6">
        <v>803</v>
      </c>
      <c r="O74" s="6">
        <v>814</v>
      </c>
      <c r="AA74" s="6">
        <f t="shared" si="125"/>
        <v>3279</v>
      </c>
      <c r="AB74" s="6">
        <f t="shared" si="126"/>
        <v>2787</v>
      </c>
      <c r="AC74" s="6">
        <f t="shared" si="127"/>
        <v>3183</v>
      </c>
    </row>
    <row r="75" spans="2:32" s="6" customFormat="1" x14ac:dyDescent="0.25">
      <c r="B75" s="6" t="s">
        <v>84</v>
      </c>
      <c r="C75" s="6">
        <v>-7</v>
      </c>
      <c r="D75" s="6">
        <v>-45</v>
      </c>
      <c r="E75" s="6">
        <v>-23</v>
      </c>
      <c r="F75" s="6">
        <v>314</v>
      </c>
      <c r="G75" s="6">
        <v>141</v>
      </c>
      <c r="H75" s="6">
        <v>29</v>
      </c>
      <c r="I75" s="6">
        <v>72</v>
      </c>
      <c r="J75" s="6">
        <v>35</v>
      </c>
      <c r="K75" s="6">
        <v>-37</v>
      </c>
      <c r="L75" s="6">
        <v>37</v>
      </c>
      <c r="M75" s="6">
        <v>217</v>
      </c>
      <c r="N75" s="6">
        <v>-96</v>
      </c>
      <c r="O75" s="6">
        <v>63</v>
      </c>
      <c r="AA75" s="6">
        <f t="shared" si="125"/>
        <v>239</v>
      </c>
      <c r="AB75" s="6">
        <f t="shared" si="126"/>
        <v>277</v>
      </c>
      <c r="AC75" s="6">
        <f t="shared" si="127"/>
        <v>121</v>
      </c>
    </row>
    <row r="76" spans="2:32" s="6" customFormat="1" x14ac:dyDescent="0.25">
      <c r="B76" s="6" t="s">
        <v>60</v>
      </c>
      <c r="C76" s="6">
        <v>5805</v>
      </c>
      <c r="D76" s="6">
        <v>-790</v>
      </c>
      <c r="E76" s="6">
        <v>471</v>
      </c>
      <c r="F76" s="6">
        <v>-6481</v>
      </c>
      <c r="G76" s="6">
        <v>6123</v>
      </c>
      <c r="H76" s="6">
        <v>-768</v>
      </c>
      <c r="I76" s="6">
        <v>550</v>
      </c>
      <c r="J76" s="6">
        <v>-6564</v>
      </c>
      <c r="K76" s="6">
        <v>7162</v>
      </c>
      <c r="L76" s="6">
        <v>-1136</v>
      </c>
      <c r="M76" s="6">
        <v>655</v>
      </c>
      <c r="N76" s="6">
        <v>-7171</v>
      </c>
      <c r="O76" s="6">
        <v>7591</v>
      </c>
      <c r="AA76" s="6">
        <f t="shared" si="125"/>
        <v>-995</v>
      </c>
      <c r="AB76" s="6">
        <f t="shared" si="126"/>
        <v>-659</v>
      </c>
      <c r="AC76" s="6">
        <f t="shared" si="127"/>
        <v>-490</v>
      </c>
    </row>
    <row r="77" spans="2:32" s="6" customFormat="1" x14ac:dyDescent="0.25">
      <c r="B77" s="6" t="s">
        <v>61</v>
      </c>
      <c r="C77" s="6">
        <v>-399</v>
      </c>
      <c r="D77" s="6">
        <v>-505</v>
      </c>
      <c r="E77" s="6">
        <v>-375</v>
      </c>
      <c r="F77" s="6">
        <v>-1066</v>
      </c>
      <c r="G77" s="6">
        <v>-275</v>
      </c>
      <c r="H77" s="6">
        <v>-331</v>
      </c>
      <c r="I77" s="6">
        <v>-300</v>
      </c>
      <c r="J77" s="6">
        <v>-966</v>
      </c>
      <c r="K77" s="6">
        <v>-248</v>
      </c>
      <c r="L77" s="6">
        <v>-427</v>
      </c>
      <c r="M77" s="6">
        <v>-430</v>
      </c>
      <c r="N77" s="6">
        <v>-1016</v>
      </c>
      <c r="O77" s="6">
        <v>-365</v>
      </c>
      <c r="AA77" s="6">
        <f t="shared" si="125"/>
        <v>-2345</v>
      </c>
      <c r="AB77" s="6">
        <f t="shared" si="126"/>
        <v>-1872</v>
      </c>
      <c r="AC77" s="6">
        <f t="shared" si="127"/>
        <v>-2121</v>
      </c>
    </row>
    <row r="78" spans="2:32" s="6" customFormat="1" x14ac:dyDescent="0.25">
      <c r="B78" s="6" t="s">
        <v>62</v>
      </c>
      <c r="C78" s="6">
        <v>-409</v>
      </c>
      <c r="D78" s="6">
        <v>113</v>
      </c>
      <c r="E78" s="6">
        <v>-63</v>
      </c>
      <c r="F78" s="6">
        <v>57</v>
      </c>
      <c r="G78" s="6">
        <v>-291</v>
      </c>
      <c r="H78" s="6">
        <v>-52</v>
      </c>
      <c r="I78" s="6">
        <v>-407</v>
      </c>
      <c r="J78" s="6">
        <v>-93</v>
      </c>
      <c r="K78" s="6">
        <v>-514</v>
      </c>
      <c r="L78" s="6">
        <v>-477</v>
      </c>
      <c r="M78" s="6">
        <v>-272</v>
      </c>
      <c r="N78" s="6">
        <v>-232</v>
      </c>
      <c r="O78" s="6">
        <v>-481</v>
      </c>
      <c r="AA78" s="6">
        <f t="shared" si="125"/>
        <v>-302</v>
      </c>
      <c r="AB78" s="6">
        <f t="shared" si="126"/>
        <v>-843</v>
      </c>
      <c r="AC78" s="6">
        <f t="shared" si="127"/>
        <v>-1495</v>
      </c>
    </row>
    <row r="79" spans="2:32" s="6" customFormat="1" x14ac:dyDescent="0.25">
      <c r="B79" s="6" t="s">
        <v>71</v>
      </c>
      <c r="C79" s="6">
        <v>-1222</v>
      </c>
      <c r="D79" s="6">
        <v>326</v>
      </c>
      <c r="E79" s="6">
        <v>-309</v>
      </c>
      <c r="F79" s="6">
        <v>1733</v>
      </c>
      <c r="G79" s="6">
        <v>-1403</v>
      </c>
      <c r="H79" s="6">
        <v>-376</v>
      </c>
      <c r="I79" s="6">
        <v>172</v>
      </c>
      <c r="J79" s="6">
        <v>1129</v>
      </c>
      <c r="K79" s="6">
        <v>-755</v>
      </c>
      <c r="L79" s="6">
        <v>220</v>
      </c>
      <c r="M79" s="6">
        <v>32</v>
      </c>
      <c r="N79" s="6">
        <v>1592</v>
      </c>
      <c r="O79" s="6">
        <v>-1007</v>
      </c>
      <c r="AA79" s="6">
        <f t="shared" si="125"/>
        <v>528</v>
      </c>
      <c r="AB79" s="6">
        <f t="shared" si="126"/>
        <v>-478</v>
      </c>
      <c r="AC79" s="6">
        <f t="shared" si="127"/>
        <v>1089</v>
      </c>
    </row>
    <row r="80" spans="2:32" s="6" customFormat="1" x14ac:dyDescent="0.25">
      <c r="B80" s="6" t="s">
        <v>85</v>
      </c>
      <c r="C80" s="6">
        <v>-202</v>
      </c>
      <c r="D80" s="6">
        <v>-186</v>
      </c>
      <c r="E80" s="6">
        <v>-173</v>
      </c>
      <c r="F80" s="6">
        <v>-138</v>
      </c>
      <c r="G80" s="6">
        <v>-168</v>
      </c>
      <c r="H80" s="6">
        <v>-167</v>
      </c>
      <c r="I80" s="6">
        <v>-139</v>
      </c>
      <c r="J80" s="6">
        <v>-147</v>
      </c>
      <c r="K80" s="6">
        <v>-85</v>
      </c>
      <c r="L80" s="6">
        <v>-158</v>
      </c>
      <c r="M80" s="6">
        <v>-144</v>
      </c>
      <c r="N80" s="6">
        <v>-161</v>
      </c>
      <c r="O80" s="6">
        <v>-124</v>
      </c>
      <c r="AA80" s="6">
        <f t="shared" si="125"/>
        <v>-699</v>
      </c>
      <c r="AB80" s="6">
        <f t="shared" si="126"/>
        <v>-621</v>
      </c>
      <c r="AC80" s="6">
        <f t="shared" si="127"/>
        <v>-548</v>
      </c>
    </row>
    <row r="81" spans="2:32" s="6" customFormat="1" x14ac:dyDescent="0.25">
      <c r="B81" s="6" t="s">
        <v>73</v>
      </c>
      <c r="C81" s="6">
        <v>-1994</v>
      </c>
      <c r="D81" s="6">
        <v>-813</v>
      </c>
      <c r="E81" s="6">
        <v>-1632</v>
      </c>
      <c r="F81" s="6">
        <v>6183</v>
      </c>
      <c r="G81" s="6">
        <v>-2255</v>
      </c>
      <c r="H81" s="6">
        <v>-884</v>
      </c>
      <c r="I81" s="6">
        <v>-1677</v>
      </c>
      <c r="J81" s="6">
        <v>6439</v>
      </c>
      <c r="K81" s="6">
        <v>-2955</v>
      </c>
      <c r="L81" s="6">
        <v>-839</v>
      </c>
      <c r="M81" s="6">
        <v>-1761</v>
      </c>
      <c r="N81" s="6">
        <v>7139</v>
      </c>
      <c r="O81" s="6">
        <v>-2944</v>
      </c>
      <c r="AA81" s="6">
        <f t="shared" si="125"/>
        <v>1744</v>
      </c>
      <c r="AB81" s="6">
        <f t="shared" si="126"/>
        <v>1623</v>
      </c>
      <c r="AC81" s="6">
        <f t="shared" si="127"/>
        <v>1584</v>
      </c>
    </row>
    <row r="82" spans="2:32" s="7" customFormat="1" x14ac:dyDescent="0.25">
      <c r="B82" s="7" t="s">
        <v>86</v>
      </c>
      <c r="C82" s="7">
        <f t="shared" ref="C82:N82" si="128">SUM(C71:C81)</f>
        <v>3676</v>
      </c>
      <c r="D82" s="7">
        <f t="shared" si="128"/>
        <v>334</v>
      </c>
      <c r="E82" s="7">
        <f t="shared" si="128"/>
        <v>313</v>
      </c>
      <c r="F82" s="7">
        <f t="shared" si="128"/>
        <v>2788</v>
      </c>
      <c r="G82" s="7">
        <f t="shared" si="128"/>
        <v>4491</v>
      </c>
      <c r="H82" s="7">
        <f t="shared" si="128"/>
        <v>808</v>
      </c>
      <c r="I82" s="7">
        <f t="shared" si="128"/>
        <v>1532</v>
      </c>
      <c r="J82" s="7">
        <f t="shared" si="128"/>
        <v>3403</v>
      </c>
      <c r="K82" s="7">
        <f t="shared" si="128"/>
        <v>6247</v>
      </c>
      <c r="L82" s="7">
        <f t="shared" si="128"/>
        <v>892</v>
      </c>
      <c r="M82" s="7">
        <f t="shared" si="128"/>
        <v>1983</v>
      </c>
      <c r="N82" s="7">
        <f t="shared" si="128"/>
        <v>3970</v>
      </c>
      <c r="O82" s="7">
        <f>SUM(O71:O81)</f>
        <v>6476</v>
      </c>
      <c r="P82" s="7">
        <f t="shared" ref="P82:V82" si="129">SUM(P71:P81)</f>
        <v>0</v>
      </c>
      <c r="Q82" s="7">
        <f t="shared" si="129"/>
        <v>0</v>
      </c>
      <c r="R82" s="7">
        <f t="shared" si="129"/>
        <v>0</v>
      </c>
      <c r="S82" s="7">
        <f t="shared" si="129"/>
        <v>0</v>
      </c>
      <c r="T82" s="7">
        <f t="shared" si="129"/>
        <v>0</v>
      </c>
      <c r="U82" s="7">
        <f t="shared" si="129"/>
        <v>0</v>
      </c>
      <c r="V82" s="7">
        <f t="shared" si="129"/>
        <v>0</v>
      </c>
      <c r="AA82" s="7">
        <f t="shared" ref="AA82" si="130">SUM(AA71:AA81)</f>
        <v>7111</v>
      </c>
      <c r="AB82" s="7">
        <f t="shared" ref="AB82" si="131">SUM(AB71:AB81)</f>
        <v>10234</v>
      </c>
      <c r="AC82" s="7">
        <f t="shared" ref="AC82" si="132">SUM(AC71:AC81)</f>
        <v>13092</v>
      </c>
      <c r="AD82" s="7">
        <v>14460</v>
      </c>
      <c r="AE82" s="7">
        <v>16290</v>
      </c>
      <c r="AF82" s="7">
        <f t="shared" ref="AF82" si="133">SUM(AF71:AF81)</f>
        <v>0</v>
      </c>
    </row>
    <row r="83" spans="2:32" s="6" customFormat="1" x14ac:dyDescent="0.25">
      <c r="B83" s="6" t="s">
        <v>87</v>
      </c>
      <c r="C83" s="6">
        <v>-414</v>
      </c>
      <c r="D83" s="6">
        <v>-25</v>
      </c>
      <c r="G83" s="6">
        <v>0</v>
      </c>
      <c r="H83" s="6">
        <v>0</v>
      </c>
      <c r="I83" s="6">
        <v>-82</v>
      </c>
      <c r="J83" s="6">
        <v>0</v>
      </c>
      <c r="K83" s="6">
        <v>-338</v>
      </c>
      <c r="L83" s="6">
        <v>0</v>
      </c>
      <c r="M83" s="6">
        <v>-179</v>
      </c>
      <c r="N83" s="6">
        <v>-2217</v>
      </c>
      <c r="O83" s="6">
        <v>0</v>
      </c>
      <c r="AA83" s="6">
        <f t="shared" ref="AA83:AA89" si="134">+C83+D83+E83+F83</f>
        <v>-439</v>
      </c>
      <c r="AB83" s="6">
        <f>+G83+H83+I83+J83</f>
        <v>-82</v>
      </c>
      <c r="AC83" s="6">
        <f t="shared" ref="AC83:AC89" si="135">+K83+L83+M83+N83</f>
        <v>-2734</v>
      </c>
    </row>
    <row r="84" spans="2:32" s="6" customFormat="1" x14ac:dyDescent="0.25">
      <c r="B84" s="6" t="s">
        <v>88</v>
      </c>
      <c r="C84" s="6">
        <v>-223</v>
      </c>
      <c r="D84" s="6">
        <v>-208</v>
      </c>
      <c r="E84" s="6">
        <v>-44</v>
      </c>
      <c r="F84" s="6">
        <v>-75</v>
      </c>
      <c r="G84" s="6">
        <v>-105</v>
      </c>
      <c r="H84" s="6">
        <v>-182</v>
      </c>
      <c r="I84" s="6">
        <v>-103</v>
      </c>
      <c r="J84" s="6">
        <v>-106</v>
      </c>
      <c r="K84" s="6">
        <v>-203</v>
      </c>
      <c r="L84" s="6">
        <v>-104</v>
      </c>
      <c r="M84" s="6">
        <v>-67</v>
      </c>
      <c r="N84" s="6">
        <v>-165</v>
      </c>
      <c r="O84" s="6">
        <v>-149</v>
      </c>
      <c r="AA84" s="6">
        <f t="shared" si="134"/>
        <v>-550</v>
      </c>
      <c r="AB84" s="6">
        <f t="shared" ref="AB83:AB89" si="136">+G84+H84+I84+J84</f>
        <v>-496</v>
      </c>
      <c r="AC84" s="6">
        <f t="shared" si="135"/>
        <v>-539</v>
      </c>
    </row>
    <row r="85" spans="2:32" s="6" customFormat="1" x14ac:dyDescent="0.25">
      <c r="B85" s="6" t="s">
        <v>91</v>
      </c>
      <c r="C85" s="6">
        <v>45</v>
      </c>
      <c r="D85" s="6">
        <v>38</v>
      </c>
      <c r="E85" s="6">
        <v>98</v>
      </c>
      <c r="F85" s="6">
        <v>174</v>
      </c>
      <c r="G85" s="6">
        <v>9</v>
      </c>
      <c r="H85" s="6">
        <v>13</v>
      </c>
      <c r="I85" s="6">
        <v>80</v>
      </c>
      <c r="J85" s="6">
        <v>6</v>
      </c>
      <c r="K85" s="6">
        <v>53</v>
      </c>
      <c r="L85" s="6">
        <v>52</v>
      </c>
      <c r="M85" s="6">
        <v>13</v>
      </c>
      <c r="N85" s="6">
        <v>8</v>
      </c>
      <c r="O85" s="6">
        <v>6</v>
      </c>
      <c r="AA85" s="6">
        <f t="shared" si="134"/>
        <v>355</v>
      </c>
      <c r="AB85" s="6">
        <f t="shared" si="136"/>
        <v>108</v>
      </c>
      <c r="AC85" s="6">
        <f t="shared" si="135"/>
        <v>126</v>
      </c>
    </row>
    <row r="86" spans="2:32" s="6" customFormat="1" x14ac:dyDescent="0.25">
      <c r="B86" s="6" t="s">
        <v>89</v>
      </c>
      <c r="C86" s="6">
        <v>-2572</v>
      </c>
      <c r="D86" s="6">
        <v>-1152</v>
      </c>
      <c r="E86" s="6">
        <v>-408</v>
      </c>
      <c r="F86" s="6">
        <v>-645</v>
      </c>
      <c r="G86" s="6">
        <v>-368</v>
      </c>
      <c r="H86" s="6">
        <v>-1798</v>
      </c>
      <c r="I86" s="6">
        <v>-661</v>
      </c>
      <c r="J86" s="6">
        <v>-934</v>
      </c>
      <c r="K86" s="6">
        <v>-3252</v>
      </c>
      <c r="L86" s="6">
        <v>-550</v>
      </c>
      <c r="M86" s="6">
        <v>-1239</v>
      </c>
      <c r="N86" s="6">
        <v>-1838</v>
      </c>
      <c r="O86" s="6">
        <v>-2086</v>
      </c>
      <c r="AA86" s="6">
        <f t="shared" si="134"/>
        <v>-4777</v>
      </c>
      <c r="AB86" s="6">
        <f t="shared" si="136"/>
        <v>-3761</v>
      </c>
      <c r="AC86" s="6">
        <f t="shared" si="135"/>
        <v>-6879</v>
      </c>
    </row>
    <row r="87" spans="2:32" s="6" customFormat="1" x14ac:dyDescent="0.25">
      <c r="B87" s="6" t="s">
        <v>90</v>
      </c>
      <c r="C87" s="6">
        <v>441</v>
      </c>
      <c r="D87" s="6">
        <v>451</v>
      </c>
      <c r="E87" s="6">
        <v>500</v>
      </c>
      <c r="F87" s="6">
        <v>379</v>
      </c>
      <c r="G87" s="6">
        <v>269</v>
      </c>
      <c r="H87" s="6">
        <v>533</v>
      </c>
      <c r="I87" s="6">
        <v>315</v>
      </c>
      <c r="J87" s="6">
        <v>394</v>
      </c>
      <c r="K87" s="6">
        <v>616</v>
      </c>
      <c r="L87" s="6">
        <v>2482</v>
      </c>
      <c r="M87" s="6">
        <v>554</v>
      </c>
      <c r="N87" s="6">
        <v>491</v>
      </c>
      <c r="O87" s="6">
        <v>405</v>
      </c>
      <c r="AA87" s="6">
        <f t="shared" si="134"/>
        <v>1771</v>
      </c>
      <c r="AB87" s="6">
        <f t="shared" si="136"/>
        <v>1511</v>
      </c>
      <c r="AC87" s="6">
        <f t="shared" si="135"/>
        <v>4143</v>
      </c>
    </row>
    <row r="88" spans="2:32" s="6" customFormat="1" x14ac:dyDescent="0.25">
      <c r="B88" s="6" t="s">
        <v>92</v>
      </c>
      <c r="C88" s="6">
        <v>445</v>
      </c>
      <c r="D88" s="6">
        <v>722</v>
      </c>
      <c r="E88" s="6">
        <v>585</v>
      </c>
      <c r="F88" s="6">
        <v>697</v>
      </c>
      <c r="G88" s="6">
        <v>785</v>
      </c>
      <c r="H88" s="6">
        <v>462</v>
      </c>
      <c r="I88" s="6">
        <v>563</v>
      </c>
      <c r="J88" s="6">
        <v>319</v>
      </c>
      <c r="K88" s="6">
        <v>636</v>
      </c>
      <c r="L88" s="6">
        <v>898</v>
      </c>
      <c r="M88" s="6">
        <v>905</v>
      </c>
      <c r="N88" s="6">
        <v>939</v>
      </c>
      <c r="O88" s="6">
        <v>436</v>
      </c>
      <c r="AA88" s="6">
        <f t="shared" si="134"/>
        <v>2449</v>
      </c>
      <c r="AB88" s="6">
        <f t="shared" si="136"/>
        <v>2129</v>
      </c>
      <c r="AC88" s="6">
        <f t="shared" si="135"/>
        <v>3378</v>
      </c>
    </row>
    <row r="89" spans="2:32" s="6" customFormat="1" x14ac:dyDescent="0.25">
      <c r="B89" s="6" t="s">
        <v>93</v>
      </c>
      <c r="C89" s="6">
        <v>-179</v>
      </c>
      <c r="D89" s="6">
        <v>-203</v>
      </c>
      <c r="E89" s="6">
        <v>-198</v>
      </c>
      <c r="F89" s="6">
        <v>-218</v>
      </c>
      <c r="G89" s="6">
        <v>-243</v>
      </c>
      <c r="H89" s="6">
        <v>-180</v>
      </c>
      <c r="I89" s="6">
        <v>-166</v>
      </c>
      <c r="J89" s="6">
        <v>-147</v>
      </c>
      <c r="K89" s="6">
        <v>-163</v>
      </c>
      <c r="L89" s="6">
        <v>-137</v>
      </c>
      <c r="M89" s="6">
        <v>-204</v>
      </c>
      <c r="N89" s="6">
        <v>-154</v>
      </c>
      <c r="O89" s="6">
        <v>-179</v>
      </c>
      <c r="AA89" s="6">
        <f t="shared" si="134"/>
        <v>-798</v>
      </c>
      <c r="AB89" s="6">
        <f t="shared" si="136"/>
        <v>-736</v>
      </c>
      <c r="AC89" s="6">
        <f t="shared" si="135"/>
        <v>-658</v>
      </c>
      <c r="AD89" s="6">
        <v>-800</v>
      </c>
      <c r="AE89" s="6">
        <v>-900</v>
      </c>
    </row>
    <row r="90" spans="2:32" s="7" customFormat="1" x14ac:dyDescent="0.25">
      <c r="B90" s="7" t="s">
        <v>94</v>
      </c>
      <c r="C90" s="7">
        <f t="shared" ref="C90:N90" si="137">SUM(C83:C89)</f>
        <v>-2457</v>
      </c>
      <c r="D90" s="7">
        <f t="shared" si="137"/>
        <v>-377</v>
      </c>
      <c r="E90" s="7">
        <f t="shared" si="137"/>
        <v>533</v>
      </c>
      <c r="F90" s="7">
        <f t="shared" si="137"/>
        <v>312</v>
      </c>
      <c r="G90" s="7">
        <f t="shared" si="137"/>
        <v>347</v>
      </c>
      <c r="H90" s="7">
        <f t="shared" si="137"/>
        <v>-1152</v>
      </c>
      <c r="I90" s="7">
        <f t="shared" si="137"/>
        <v>-54</v>
      </c>
      <c r="J90" s="7">
        <f t="shared" si="137"/>
        <v>-468</v>
      </c>
      <c r="K90" s="7">
        <f t="shared" si="137"/>
        <v>-2651</v>
      </c>
      <c r="L90" s="7">
        <f t="shared" si="137"/>
        <v>2641</v>
      </c>
      <c r="M90" s="7">
        <f t="shared" si="137"/>
        <v>-217</v>
      </c>
      <c r="N90" s="7">
        <f t="shared" si="137"/>
        <v>-2936</v>
      </c>
      <c r="O90" s="7">
        <f>SUM(O83:O89)</f>
        <v>-1567</v>
      </c>
      <c r="P90" s="7">
        <f t="shared" ref="P90:V90" si="138">SUM(P83:P89)</f>
        <v>0</v>
      </c>
      <c r="Q90" s="7">
        <f t="shared" si="138"/>
        <v>0</v>
      </c>
      <c r="R90" s="7">
        <f t="shared" si="138"/>
        <v>0</v>
      </c>
      <c r="S90" s="7">
        <f t="shared" si="138"/>
        <v>0</v>
      </c>
      <c r="T90" s="7">
        <f t="shared" si="138"/>
        <v>0</v>
      </c>
      <c r="U90" s="7">
        <f t="shared" si="138"/>
        <v>0</v>
      </c>
      <c r="V90" s="7">
        <f t="shared" si="138"/>
        <v>0</v>
      </c>
      <c r="AA90" s="7">
        <f t="shared" ref="AA90" si="139">SUM(AA83:AA89)</f>
        <v>-1989</v>
      </c>
      <c r="AB90" s="7">
        <f>SUM(AB83:AB89)</f>
        <v>-1327</v>
      </c>
      <c r="AC90" s="7">
        <f t="shared" ref="AC90" si="140">SUM(AC83:AC89)</f>
        <v>-3163</v>
      </c>
      <c r="AD90" s="7">
        <f t="shared" ref="AD90" si="141">SUM(AD83:AD89)</f>
        <v>-800</v>
      </c>
      <c r="AE90" s="7">
        <f t="shared" ref="AE90" si="142">SUM(AE83:AE89)</f>
        <v>-900</v>
      </c>
      <c r="AF90" s="7">
        <f t="shared" ref="AF90" si="143">SUM(AF83:AF89)</f>
        <v>0</v>
      </c>
    </row>
    <row r="91" spans="2:32" s="6" customFormat="1" x14ac:dyDescent="0.25">
      <c r="B91" s="6" t="s">
        <v>95</v>
      </c>
      <c r="E91" s="6">
        <v>-1677</v>
      </c>
      <c r="F91" s="6">
        <v>-2323</v>
      </c>
      <c r="G91" s="6">
        <v>-2054</v>
      </c>
      <c r="H91" s="6">
        <v>-1949</v>
      </c>
      <c r="I91" s="6">
        <v>-1925</v>
      </c>
      <c r="J91" s="6">
        <v>-1692</v>
      </c>
      <c r="K91" s="6">
        <v>-2133</v>
      </c>
      <c r="L91" s="6">
        <v>-4335</v>
      </c>
      <c r="M91" s="6">
        <v>-1285</v>
      </c>
      <c r="N91" s="6">
        <v>-76</v>
      </c>
      <c r="O91" s="6">
        <v>-2633</v>
      </c>
      <c r="AA91" s="6">
        <f t="shared" ref="AA91:AA94" si="144">+C91+D91+E91+F91</f>
        <v>-4000</v>
      </c>
      <c r="AB91" s="6">
        <f t="shared" ref="AB91:AB94" si="145">+G91+H91+I91+J91</f>
        <v>-7620</v>
      </c>
      <c r="AC91" s="6">
        <f t="shared" ref="AC91:AC94" si="146">+K91+L91+M91+N91</f>
        <v>-7829</v>
      </c>
    </row>
    <row r="92" spans="2:32" s="6" customFormat="1" x14ac:dyDescent="0.25">
      <c r="B92" s="6" t="s">
        <v>96</v>
      </c>
      <c r="C92" s="6">
        <v>274</v>
      </c>
      <c r="D92" s="6">
        <v>181</v>
      </c>
      <c r="E92" s="6">
        <v>233</v>
      </c>
      <c r="F92" s="6">
        <v>173</v>
      </c>
      <c r="G92" s="6">
        <v>449</v>
      </c>
      <c r="H92" s="6">
        <v>362</v>
      </c>
      <c r="I92" s="6">
        <v>274</v>
      </c>
      <c r="J92" s="6">
        <v>869</v>
      </c>
      <c r="K92" s="6">
        <v>533</v>
      </c>
      <c r="L92" s="6">
        <v>202</v>
      </c>
      <c r="M92" s="6">
        <v>321</v>
      </c>
      <c r="N92" s="6">
        <v>484</v>
      </c>
      <c r="O92" s="6">
        <v>294</v>
      </c>
      <c r="AA92" s="6">
        <f t="shared" si="144"/>
        <v>861</v>
      </c>
      <c r="AB92" s="6">
        <f t="shared" si="145"/>
        <v>1954</v>
      </c>
      <c r="AC92" s="6">
        <f t="shared" si="146"/>
        <v>1540</v>
      </c>
    </row>
    <row r="93" spans="2:32" s="6" customFormat="1" x14ac:dyDescent="0.25">
      <c r="B93" s="6" t="s">
        <v>97</v>
      </c>
      <c r="C93" s="6">
        <v>-72</v>
      </c>
      <c r="D93" s="6">
        <v>-44</v>
      </c>
      <c r="E93" s="6">
        <v>-233</v>
      </c>
      <c r="F93" s="6">
        <v>-70</v>
      </c>
      <c r="G93" s="6">
        <f>-110-1001</f>
        <v>-1111</v>
      </c>
      <c r="H93" s="6">
        <f>-282-181</f>
        <v>-463</v>
      </c>
      <c r="I93" s="6">
        <v>-114</v>
      </c>
      <c r="J93" s="6">
        <v>-123</v>
      </c>
      <c r="K93" s="6">
        <v>-120</v>
      </c>
      <c r="L93" s="6">
        <f>-285-1000</f>
        <v>-1285</v>
      </c>
      <c r="M93" s="6">
        <v>-100</v>
      </c>
      <c r="N93" s="6">
        <v>-98</v>
      </c>
      <c r="O93" s="6">
        <v>-179</v>
      </c>
      <c r="AA93" s="6">
        <f t="shared" si="144"/>
        <v>-419</v>
      </c>
      <c r="AB93" s="6">
        <f t="shared" si="145"/>
        <v>-1811</v>
      </c>
      <c r="AC93" s="6">
        <f t="shared" si="146"/>
        <v>-1603</v>
      </c>
    </row>
    <row r="94" spans="2:32" s="6" customFormat="1" x14ac:dyDescent="0.25">
      <c r="B94" s="6" t="s">
        <v>98</v>
      </c>
      <c r="C94" s="6">
        <v>-1</v>
      </c>
      <c r="D94" s="6">
        <v>-1</v>
      </c>
      <c r="E94" s="6">
        <v>-1</v>
      </c>
      <c r="F94" s="6">
        <v>-1</v>
      </c>
      <c r="K94" s="6">
        <v>-388</v>
      </c>
      <c r="L94" s="6">
        <v>-384</v>
      </c>
      <c r="M94" s="6">
        <v>-382</v>
      </c>
      <c r="N94" s="6">
        <v>-383</v>
      </c>
      <c r="O94" s="6">
        <v>-402</v>
      </c>
      <c r="AA94" s="6">
        <f t="shared" si="144"/>
        <v>-4</v>
      </c>
      <c r="AB94" s="6">
        <f t="shared" si="145"/>
        <v>0</v>
      </c>
      <c r="AC94" s="6">
        <f t="shared" si="146"/>
        <v>-1537</v>
      </c>
    </row>
    <row r="95" spans="2:32" s="7" customFormat="1" x14ac:dyDescent="0.25">
      <c r="B95" s="7" t="s">
        <v>99</v>
      </c>
      <c r="C95" s="7">
        <f t="shared" ref="C95:N95" si="147">SUM(C91:C94)</f>
        <v>201</v>
      </c>
      <c r="D95" s="7">
        <f t="shared" si="147"/>
        <v>136</v>
      </c>
      <c r="E95" s="7">
        <f t="shared" si="147"/>
        <v>-1678</v>
      </c>
      <c r="F95" s="7">
        <f t="shared" si="147"/>
        <v>-2221</v>
      </c>
      <c r="G95" s="7">
        <f t="shared" si="147"/>
        <v>-2716</v>
      </c>
      <c r="H95" s="7">
        <f t="shared" si="147"/>
        <v>-2050</v>
      </c>
      <c r="I95" s="7">
        <f t="shared" si="147"/>
        <v>-1765</v>
      </c>
      <c r="J95" s="7">
        <f t="shared" si="147"/>
        <v>-946</v>
      </c>
      <c r="K95" s="7">
        <f t="shared" si="147"/>
        <v>-2108</v>
      </c>
      <c r="L95" s="7">
        <f t="shared" si="147"/>
        <v>-5802</v>
      </c>
      <c r="M95" s="7">
        <f t="shared" si="147"/>
        <v>-1446</v>
      </c>
      <c r="N95" s="7">
        <f t="shared" si="147"/>
        <v>-73</v>
      </c>
      <c r="O95" s="7">
        <f>SUM(O91:O94)</f>
        <v>-2920</v>
      </c>
      <c r="P95" s="7">
        <f t="shared" ref="P95:V95" si="148">SUM(P91:P94)</f>
        <v>0</v>
      </c>
      <c r="Q95" s="7">
        <f t="shared" si="148"/>
        <v>0</v>
      </c>
      <c r="R95" s="7">
        <f t="shared" si="148"/>
        <v>0</v>
      </c>
      <c r="S95" s="7">
        <f t="shared" si="148"/>
        <v>0</v>
      </c>
      <c r="T95" s="7">
        <f t="shared" si="148"/>
        <v>0</v>
      </c>
      <c r="U95" s="7">
        <f t="shared" si="148"/>
        <v>0</v>
      </c>
      <c r="V95" s="7">
        <f t="shared" si="148"/>
        <v>0</v>
      </c>
      <c r="AA95" s="7">
        <f t="shared" ref="AA95" si="149">SUM(AA91:AA94)</f>
        <v>-3562</v>
      </c>
      <c r="AB95" s="7">
        <f t="shared" ref="AB95" si="150">SUM(AB91:AB94)</f>
        <v>-7477</v>
      </c>
      <c r="AC95" s="7">
        <f t="shared" ref="AC95" si="151">SUM(AC91:AC94)</f>
        <v>-9429</v>
      </c>
      <c r="AD95" s="7">
        <f t="shared" ref="AD95" si="152">SUM(AD91:AD94)</f>
        <v>0</v>
      </c>
      <c r="AE95" s="7">
        <f t="shared" ref="AE95" si="153">SUM(AE91:AE94)</f>
        <v>0</v>
      </c>
      <c r="AF95" s="7">
        <f t="shared" ref="AF95" si="154">SUM(AF91:AF94)</f>
        <v>0</v>
      </c>
    </row>
    <row r="96" spans="2:32" s="6" customFormat="1" x14ac:dyDescent="0.25">
      <c r="B96" s="6" t="s">
        <v>101</v>
      </c>
      <c r="C96" s="6">
        <v>-25</v>
      </c>
      <c r="D96" s="6">
        <v>-21</v>
      </c>
      <c r="E96" s="6">
        <v>-23</v>
      </c>
      <c r="F96" s="6">
        <v>61</v>
      </c>
      <c r="G96" s="6">
        <v>17</v>
      </c>
      <c r="H96" s="6">
        <v>11</v>
      </c>
      <c r="I96" s="6">
        <v>-32</v>
      </c>
      <c r="J96" s="6">
        <v>30</v>
      </c>
      <c r="K96" s="6">
        <v>-2</v>
      </c>
      <c r="L96" s="6">
        <v>-7</v>
      </c>
      <c r="M96" s="6">
        <v>-5</v>
      </c>
      <c r="N96" s="6">
        <v>-110</v>
      </c>
      <c r="O96" s="6">
        <v>91</v>
      </c>
      <c r="AA96" s="6">
        <f t="shared" ref="AA96" si="155">+C96+D96+E96+F96</f>
        <v>-8</v>
      </c>
      <c r="AB96" s="6">
        <f t="shared" ref="AB96" si="156">+G96+H96+I96+J96</f>
        <v>26</v>
      </c>
      <c r="AC96" s="6">
        <f t="shared" ref="AC96" si="157">+K96+L96+M96+N96</f>
        <v>-124</v>
      </c>
    </row>
    <row r="97" spans="2:638" s="7" customFormat="1" x14ac:dyDescent="0.25">
      <c r="B97" s="7" t="s">
        <v>100</v>
      </c>
      <c r="C97" s="7">
        <f t="shared" ref="C97:N97" si="158">C82+C90+C95+C96</f>
        <v>1395</v>
      </c>
      <c r="D97" s="7">
        <f t="shared" si="158"/>
        <v>72</v>
      </c>
      <c r="E97" s="7">
        <f t="shared" si="158"/>
        <v>-855</v>
      </c>
      <c r="F97" s="7">
        <f t="shared" si="158"/>
        <v>940</v>
      </c>
      <c r="G97" s="7">
        <f t="shared" si="158"/>
        <v>2139</v>
      </c>
      <c r="H97" s="7">
        <f t="shared" si="158"/>
        <v>-2383</v>
      </c>
      <c r="I97" s="7">
        <f t="shared" si="158"/>
        <v>-319</v>
      </c>
      <c r="J97" s="7">
        <f t="shared" si="158"/>
        <v>2019</v>
      </c>
      <c r="K97" s="7">
        <f t="shared" si="158"/>
        <v>1486</v>
      </c>
      <c r="L97" s="7">
        <f t="shared" si="158"/>
        <v>-2276</v>
      </c>
      <c r="M97" s="7">
        <f t="shared" si="158"/>
        <v>315</v>
      </c>
      <c r="N97" s="7">
        <f t="shared" si="158"/>
        <v>851</v>
      </c>
      <c r="O97" s="7">
        <f>O82+O90+O95+O96</f>
        <v>2080</v>
      </c>
      <c r="P97" s="7">
        <f t="shared" ref="P97:V97" si="159">P82+P90+P95+P96</f>
        <v>0</v>
      </c>
      <c r="Q97" s="7">
        <f t="shared" si="159"/>
        <v>0</v>
      </c>
      <c r="R97" s="7">
        <f t="shared" si="159"/>
        <v>0</v>
      </c>
      <c r="S97" s="7">
        <f t="shared" si="159"/>
        <v>0</v>
      </c>
      <c r="T97" s="7">
        <f t="shared" si="159"/>
        <v>0</v>
      </c>
      <c r="U97" s="7">
        <f t="shared" si="159"/>
        <v>0</v>
      </c>
      <c r="V97" s="7">
        <f t="shared" si="159"/>
        <v>0</v>
      </c>
      <c r="AA97" s="7">
        <f t="shared" ref="AA97" si="160">AA82+AA90+AA95+AA96</f>
        <v>1552</v>
      </c>
      <c r="AB97" s="7">
        <f t="shared" ref="AB97" si="161">AB82+AB90+AB95+AB96</f>
        <v>1456</v>
      </c>
      <c r="AC97" s="7">
        <f t="shared" ref="AC97" si="162">AC82+AC90+AC95+AC96</f>
        <v>376</v>
      </c>
      <c r="AD97" s="7">
        <f t="shared" ref="AD97" si="163">AD82+AD90+AD95+AD96</f>
        <v>13660</v>
      </c>
      <c r="AE97" s="7">
        <f t="shared" ref="AE97" si="164">AE82+AE90+AE95+AE96</f>
        <v>15390</v>
      </c>
      <c r="AF97" s="7">
        <f t="shared" ref="AF97" si="165">AF82+AF90+AF95+AF96</f>
        <v>0</v>
      </c>
    </row>
    <row r="98" spans="2:638" s="6" customFormat="1" x14ac:dyDescent="0.25">
      <c r="B98" s="6" t="s">
        <v>105</v>
      </c>
      <c r="C98" s="6">
        <v>5464</v>
      </c>
      <c r="D98" s="6">
        <f>+C99</f>
        <v>6859</v>
      </c>
      <c r="E98" s="6">
        <f t="shared" ref="E98:V98" si="166">+D99</f>
        <v>6931</v>
      </c>
      <c r="F98" s="6">
        <f t="shared" si="166"/>
        <v>6076</v>
      </c>
      <c r="G98" s="6">
        <f t="shared" si="166"/>
        <v>7016</v>
      </c>
      <c r="H98" s="6">
        <f t="shared" si="166"/>
        <v>9155</v>
      </c>
      <c r="I98" s="6">
        <f t="shared" si="166"/>
        <v>6772</v>
      </c>
      <c r="J98" s="6">
        <f t="shared" si="166"/>
        <v>6453</v>
      </c>
      <c r="K98" s="6">
        <f t="shared" si="166"/>
        <v>8472</v>
      </c>
      <c r="L98" s="6">
        <f t="shared" si="166"/>
        <v>9958</v>
      </c>
      <c r="M98" s="6">
        <f t="shared" si="166"/>
        <v>7682</v>
      </c>
      <c r="N98" s="6">
        <f t="shared" si="166"/>
        <v>7997</v>
      </c>
      <c r="O98" s="6">
        <f t="shared" si="166"/>
        <v>8848</v>
      </c>
      <c r="P98" s="6">
        <f t="shared" si="166"/>
        <v>10928</v>
      </c>
      <c r="Q98" s="6">
        <f t="shared" si="166"/>
        <v>10928</v>
      </c>
      <c r="R98" s="6">
        <f t="shared" si="166"/>
        <v>10928</v>
      </c>
      <c r="S98" s="6">
        <f t="shared" si="166"/>
        <v>10928</v>
      </c>
      <c r="T98" s="6">
        <f t="shared" si="166"/>
        <v>10928</v>
      </c>
      <c r="U98" s="6">
        <f t="shared" si="166"/>
        <v>10928</v>
      </c>
      <c r="V98" s="6">
        <f t="shared" si="166"/>
        <v>10928</v>
      </c>
      <c r="AA98" s="6">
        <f>+C98</f>
        <v>5464</v>
      </c>
      <c r="AB98" s="6">
        <f t="shared" ref="AA98:AC98" si="167">+AA99</f>
        <v>7016</v>
      </c>
      <c r="AC98" s="6">
        <f t="shared" si="167"/>
        <v>8472</v>
      </c>
      <c r="AD98" s="6">
        <f t="shared" ref="AD98:AF98" si="168">+AC99</f>
        <v>8848</v>
      </c>
      <c r="AE98" s="6">
        <f t="shared" si="168"/>
        <v>22508</v>
      </c>
      <c r="AF98" s="6">
        <f t="shared" si="168"/>
        <v>37898</v>
      </c>
    </row>
    <row r="99" spans="2:638" s="6" customFormat="1" x14ac:dyDescent="0.25">
      <c r="B99" s="6" t="s">
        <v>106</v>
      </c>
      <c r="C99" s="6">
        <f t="shared" ref="C99:N99" si="169">C97+C98</f>
        <v>6859</v>
      </c>
      <c r="D99" s="6">
        <f t="shared" si="169"/>
        <v>6931</v>
      </c>
      <c r="E99" s="6">
        <f t="shared" si="169"/>
        <v>6076</v>
      </c>
      <c r="F99" s="6">
        <f t="shared" si="169"/>
        <v>7016</v>
      </c>
      <c r="G99" s="6">
        <f t="shared" si="169"/>
        <v>9155</v>
      </c>
      <c r="H99" s="6">
        <f t="shared" si="169"/>
        <v>6772</v>
      </c>
      <c r="I99" s="6">
        <f t="shared" si="169"/>
        <v>6453</v>
      </c>
      <c r="J99" s="6">
        <f t="shared" si="169"/>
        <v>8472</v>
      </c>
      <c r="K99" s="6">
        <f t="shared" si="169"/>
        <v>9958</v>
      </c>
      <c r="L99" s="6">
        <f t="shared" si="169"/>
        <v>7682</v>
      </c>
      <c r="M99" s="6">
        <f t="shared" si="169"/>
        <v>7997</v>
      </c>
      <c r="N99" s="6">
        <f t="shared" si="169"/>
        <v>8848</v>
      </c>
      <c r="O99" s="6">
        <f>O97+O98</f>
        <v>10928</v>
      </c>
      <c r="P99" s="6">
        <f t="shared" ref="P99:V99" si="170">P97+P98</f>
        <v>10928</v>
      </c>
      <c r="Q99" s="6">
        <f t="shared" si="170"/>
        <v>10928</v>
      </c>
      <c r="R99" s="6">
        <f t="shared" si="170"/>
        <v>10928</v>
      </c>
      <c r="S99" s="6">
        <f t="shared" si="170"/>
        <v>10928</v>
      </c>
      <c r="T99" s="6">
        <f t="shared" si="170"/>
        <v>10928</v>
      </c>
      <c r="U99" s="6">
        <f t="shared" si="170"/>
        <v>10928</v>
      </c>
      <c r="V99" s="6">
        <f t="shared" si="170"/>
        <v>10928</v>
      </c>
      <c r="AA99" s="6">
        <f t="shared" ref="AA99" si="171">AA97+AA98</f>
        <v>7016</v>
      </c>
      <c r="AB99" s="6">
        <f t="shared" ref="AB99" si="172">AB97+AB98</f>
        <v>8472</v>
      </c>
      <c r="AC99" s="6">
        <f t="shared" ref="AC99" si="173">AC97+AC98</f>
        <v>8848</v>
      </c>
      <c r="AD99" s="6">
        <f t="shared" ref="AD99" si="174">AD97+AD98</f>
        <v>22508</v>
      </c>
      <c r="AE99" s="6">
        <f t="shared" ref="AE99" si="175">AE97+AE98</f>
        <v>37898</v>
      </c>
      <c r="AF99" s="6">
        <f t="shared" ref="AF99" si="176">AF97+AF98</f>
        <v>37898</v>
      </c>
    </row>
    <row r="100" spans="2:638" s="6" customFormat="1" x14ac:dyDescent="0.25"/>
    <row r="101" spans="2:638" s="6" customFormat="1" x14ac:dyDescent="0.25">
      <c r="B101" s="6" t="s">
        <v>102</v>
      </c>
      <c r="C101" s="6">
        <f t="shared" ref="C101:O101" si="177">C82+C89</f>
        <v>3497</v>
      </c>
      <c r="D101" s="6">
        <f t="shared" si="177"/>
        <v>131</v>
      </c>
      <c r="E101" s="6">
        <f t="shared" si="177"/>
        <v>115</v>
      </c>
      <c r="F101" s="6">
        <f t="shared" si="177"/>
        <v>2570</v>
      </c>
      <c r="G101" s="6">
        <f t="shared" si="177"/>
        <v>4248</v>
      </c>
      <c r="H101" s="6">
        <f t="shared" si="177"/>
        <v>628</v>
      </c>
      <c r="I101" s="6">
        <f t="shared" si="177"/>
        <v>1366</v>
      </c>
      <c r="J101" s="6">
        <f t="shared" si="177"/>
        <v>3256</v>
      </c>
      <c r="K101" s="6">
        <f t="shared" si="177"/>
        <v>6084</v>
      </c>
      <c r="L101" s="6">
        <f t="shared" si="177"/>
        <v>755</v>
      </c>
      <c r="M101" s="6">
        <f t="shared" si="177"/>
        <v>1779</v>
      </c>
      <c r="N101" s="6">
        <f t="shared" si="177"/>
        <v>3816</v>
      </c>
      <c r="O101" s="6">
        <f>O82+O89</f>
        <v>6297</v>
      </c>
      <c r="P101" s="6">
        <f t="shared" ref="P101:V101" si="178">P82+P89</f>
        <v>0</v>
      </c>
      <c r="Q101" s="6">
        <f t="shared" si="178"/>
        <v>0</v>
      </c>
      <c r="R101" s="6">
        <f t="shared" si="178"/>
        <v>0</v>
      </c>
      <c r="S101" s="6">
        <f t="shared" si="178"/>
        <v>0</v>
      </c>
      <c r="T101" s="6">
        <f t="shared" si="178"/>
        <v>0</v>
      </c>
      <c r="U101" s="6">
        <f t="shared" si="178"/>
        <v>0</v>
      </c>
      <c r="V101" s="6">
        <f t="shared" si="178"/>
        <v>0</v>
      </c>
      <c r="AA101" s="6">
        <f t="shared" ref="AA101:AC101" si="179">AA82+AA89</f>
        <v>6313</v>
      </c>
      <c r="AB101" s="6">
        <f t="shared" si="179"/>
        <v>9498</v>
      </c>
      <c r="AC101" s="6">
        <f t="shared" si="179"/>
        <v>12434</v>
      </c>
      <c r="AD101" s="6">
        <f t="shared" ref="AD101:AF101" si="180">AD82+AD89</f>
        <v>13660</v>
      </c>
      <c r="AE101" s="6">
        <f t="shared" si="180"/>
        <v>15390</v>
      </c>
      <c r="AF101" s="6">
        <f>+AF5*AF104</f>
        <v>16164.918000000003</v>
      </c>
      <c r="AG101" s="6">
        <f t="shared" ref="AG101:AM101" si="181">+AG5*AG104</f>
        <v>17538.936030000001</v>
      </c>
      <c r="AH101" s="6">
        <f t="shared" si="181"/>
        <v>18942.050912400005</v>
      </c>
      <c r="AI101" s="6">
        <f t="shared" si="181"/>
        <v>20362.704730830003</v>
      </c>
      <c r="AJ101" s="6">
        <f t="shared" si="181"/>
        <v>21788.094061988104</v>
      </c>
      <c r="AK101" s="6">
        <f t="shared" si="181"/>
        <v>23204.320176017329</v>
      </c>
      <c r="AL101" s="6">
        <f t="shared" si="181"/>
        <v>24596.579386578371</v>
      </c>
      <c r="AM101" s="6">
        <f t="shared" si="181"/>
        <v>25949.391252840178</v>
      </c>
      <c r="AN101" s="6">
        <f>+AM101*1.02</f>
        <v>26468.379077896981</v>
      </c>
      <c r="AO101" s="6">
        <f t="shared" ref="AO101:AW101" si="182">+AN101*1.02</f>
        <v>26997.746659454922</v>
      </c>
      <c r="AP101" s="6">
        <f t="shared" si="182"/>
        <v>27537.701592644022</v>
      </c>
      <c r="AQ101" s="6">
        <f t="shared" si="182"/>
        <v>28088.455624496903</v>
      </c>
      <c r="AR101" s="6">
        <f t="shared" si="182"/>
        <v>28650.224736986842</v>
      </c>
      <c r="AS101" s="6">
        <f t="shared" si="182"/>
        <v>29223.229231726578</v>
      </c>
      <c r="AT101" s="6">
        <f t="shared" si="182"/>
        <v>29807.693816361112</v>
      </c>
      <c r="AU101" s="6">
        <f t="shared" si="182"/>
        <v>30403.847692688334</v>
      </c>
      <c r="AV101" s="6">
        <f t="shared" si="182"/>
        <v>31011.924646542102</v>
      </c>
      <c r="AW101" s="6">
        <f t="shared" si="182"/>
        <v>31632.163139472945</v>
      </c>
      <c r="AX101" s="6">
        <f>+AW101*(1+$AU$25)</f>
        <v>31157.680692380851</v>
      </c>
      <c r="AY101" s="6">
        <f t="shared" ref="AY101:DJ101" si="183">+AX101*(1+$AU$25)</f>
        <v>30690.315481995138</v>
      </c>
      <c r="AZ101" s="6">
        <f t="shared" si="183"/>
        <v>30229.96074976521</v>
      </c>
      <c r="BA101" s="6">
        <f t="shared" si="183"/>
        <v>29776.511338518732</v>
      </c>
      <c r="BB101" s="6">
        <f t="shared" si="183"/>
        <v>29329.86366844095</v>
      </c>
      <c r="BC101" s="6">
        <f t="shared" si="183"/>
        <v>28889.915713414335</v>
      </c>
      <c r="BD101" s="6">
        <f t="shared" si="183"/>
        <v>28456.566977713119</v>
      </c>
      <c r="BE101" s="6">
        <f t="shared" si="183"/>
        <v>28029.718473047422</v>
      </c>
      <c r="BF101" s="6">
        <f t="shared" si="183"/>
        <v>27609.272695951709</v>
      </c>
      <c r="BG101" s="6">
        <f t="shared" si="183"/>
        <v>27195.133605512434</v>
      </c>
      <c r="BH101" s="6">
        <f t="shared" si="183"/>
        <v>26787.206601429745</v>
      </c>
      <c r="BI101" s="6">
        <f t="shared" si="183"/>
        <v>26385.398502408298</v>
      </c>
      <c r="BJ101" s="6">
        <f t="shared" si="183"/>
        <v>25989.617524872174</v>
      </c>
      <c r="BK101" s="6">
        <f t="shared" si="183"/>
        <v>25599.773261999089</v>
      </c>
      <c r="BL101" s="6">
        <f t="shared" si="183"/>
        <v>25215.776663069104</v>
      </c>
      <c r="BM101" s="6">
        <f t="shared" si="183"/>
        <v>24837.540013123067</v>
      </c>
      <c r="BN101" s="6">
        <f t="shared" si="183"/>
        <v>24464.97691292622</v>
      </c>
      <c r="BO101" s="6">
        <f t="shared" si="183"/>
        <v>24098.002259232326</v>
      </c>
      <c r="BP101" s="6">
        <f t="shared" si="183"/>
        <v>23736.532225343839</v>
      </c>
      <c r="BQ101" s="6">
        <f t="shared" si="183"/>
        <v>23380.484241963681</v>
      </c>
      <c r="BR101" s="6">
        <f t="shared" si="183"/>
        <v>23029.776978334226</v>
      </c>
      <c r="BS101" s="6">
        <f t="shared" si="183"/>
        <v>22684.330323659211</v>
      </c>
      <c r="BT101" s="6">
        <f t="shared" si="183"/>
        <v>22344.065368804324</v>
      </c>
      <c r="BU101" s="6">
        <f t="shared" si="183"/>
        <v>22008.904388272258</v>
      </c>
      <c r="BV101" s="6">
        <f t="shared" si="183"/>
        <v>21678.770822448172</v>
      </c>
      <c r="BW101" s="6">
        <f t="shared" si="183"/>
        <v>21353.58926011145</v>
      </c>
      <c r="BX101" s="6">
        <f t="shared" si="183"/>
        <v>21033.285421209777</v>
      </c>
      <c r="BY101" s="6">
        <f t="shared" si="183"/>
        <v>20717.786139891632</v>
      </c>
      <c r="BZ101" s="6">
        <f t="shared" si="183"/>
        <v>20407.019347793259</v>
      </c>
      <c r="CA101" s="6">
        <f t="shared" si="183"/>
        <v>20100.914057576359</v>
      </c>
      <c r="CB101" s="6">
        <f t="shared" si="183"/>
        <v>19799.400346712715</v>
      </c>
      <c r="CC101" s="6">
        <f t="shared" si="183"/>
        <v>19502.409341512022</v>
      </c>
      <c r="CD101" s="6">
        <f t="shared" si="183"/>
        <v>19209.873201389342</v>
      </c>
      <c r="CE101" s="6">
        <f t="shared" si="183"/>
        <v>18921.725103368502</v>
      </c>
      <c r="CF101" s="6">
        <f t="shared" si="183"/>
        <v>18637.899226817975</v>
      </c>
      <c r="CG101" s="6">
        <f t="shared" si="183"/>
        <v>18358.330738415705</v>
      </c>
      <c r="CH101" s="6">
        <f t="shared" si="183"/>
        <v>18082.95577733947</v>
      </c>
      <c r="CI101" s="6">
        <f t="shared" si="183"/>
        <v>17811.711440679377</v>
      </c>
      <c r="CJ101" s="6">
        <f t="shared" si="183"/>
        <v>17544.535769069185</v>
      </c>
      <c r="CK101" s="6">
        <f t="shared" si="183"/>
        <v>17281.367732533148</v>
      </c>
      <c r="CL101" s="6">
        <f t="shared" si="183"/>
        <v>17022.147216545152</v>
      </c>
      <c r="CM101" s="6">
        <f t="shared" si="183"/>
        <v>16766.815008296973</v>
      </c>
      <c r="CN101" s="6">
        <f t="shared" si="183"/>
        <v>16515.312783172518</v>
      </c>
      <c r="CO101" s="6">
        <f t="shared" si="183"/>
        <v>16267.583091424929</v>
      </c>
      <c r="CP101" s="6">
        <f t="shared" si="183"/>
        <v>16023.569345053555</v>
      </c>
      <c r="CQ101" s="6">
        <f t="shared" si="183"/>
        <v>15783.215804877751</v>
      </c>
      <c r="CR101" s="6">
        <f t="shared" si="183"/>
        <v>15546.467567804584</v>
      </c>
      <c r="CS101" s="6">
        <f t="shared" si="183"/>
        <v>15313.270554287516</v>
      </c>
      <c r="CT101" s="6">
        <f t="shared" si="183"/>
        <v>15083.571495973203</v>
      </c>
      <c r="CU101" s="6">
        <f t="shared" si="183"/>
        <v>14857.317923533605</v>
      </c>
      <c r="CV101" s="6">
        <f t="shared" si="183"/>
        <v>14634.4581546806</v>
      </c>
      <c r="CW101" s="6">
        <f t="shared" si="183"/>
        <v>14414.941282360391</v>
      </c>
      <c r="CX101" s="6">
        <f t="shared" si="183"/>
        <v>14198.717163124984</v>
      </c>
      <c r="CY101" s="6">
        <f t="shared" si="183"/>
        <v>13985.73640567811</v>
      </c>
      <c r="CZ101" s="6">
        <f t="shared" si="183"/>
        <v>13775.950359592938</v>
      </c>
      <c r="DA101" s="6">
        <f t="shared" si="183"/>
        <v>13569.311104199043</v>
      </c>
      <c r="DB101" s="6">
        <f t="shared" si="183"/>
        <v>13365.771437636058</v>
      </c>
      <c r="DC101" s="6">
        <f t="shared" si="183"/>
        <v>13165.284866071517</v>
      </c>
      <c r="DD101" s="6">
        <f t="shared" si="183"/>
        <v>12967.805593080444</v>
      </c>
      <c r="DE101" s="6">
        <f t="shared" si="183"/>
        <v>12773.288509184236</v>
      </c>
      <c r="DF101" s="6">
        <f t="shared" si="183"/>
        <v>12581.689181546473</v>
      </c>
      <c r="DG101" s="6">
        <f t="shared" si="183"/>
        <v>12392.963843823276</v>
      </c>
      <c r="DH101" s="6">
        <f t="shared" si="183"/>
        <v>12207.069386165927</v>
      </c>
      <c r="DI101" s="6">
        <f t="shared" si="183"/>
        <v>12023.963345373439</v>
      </c>
      <c r="DJ101" s="6">
        <f t="shared" si="183"/>
        <v>11843.603895192837</v>
      </c>
      <c r="DK101" s="6">
        <f t="shared" ref="DK101:FV101" si="184">+DJ101*(1+$AU$25)</f>
        <v>11665.949836764945</v>
      </c>
      <c r="DL101" s="6">
        <f t="shared" si="184"/>
        <v>11490.960589213471</v>
      </c>
      <c r="DM101" s="6">
        <f t="shared" si="184"/>
        <v>11318.596180375269</v>
      </c>
      <c r="DN101" s="6">
        <f t="shared" si="184"/>
        <v>11148.81723766964</v>
      </c>
      <c r="DO101" s="6">
        <f t="shared" si="184"/>
        <v>10981.584979104595</v>
      </c>
      <c r="DP101" s="6">
        <f t="shared" si="184"/>
        <v>10816.861204418026</v>
      </c>
      <c r="DQ101" s="6">
        <f t="shared" si="184"/>
        <v>10654.608286351755</v>
      </c>
      <c r="DR101" s="6">
        <f t="shared" si="184"/>
        <v>10494.789162056479</v>
      </c>
      <c r="DS101" s="6">
        <f t="shared" si="184"/>
        <v>10337.367324625631</v>
      </c>
      <c r="DT101" s="6">
        <f t="shared" si="184"/>
        <v>10182.306814756246</v>
      </c>
      <c r="DU101" s="6">
        <f t="shared" si="184"/>
        <v>10029.572212534902</v>
      </c>
      <c r="DV101" s="6">
        <f t="shared" si="184"/>
        <v>9879.1286293468784</v>
      </c>
      <c r="DW101" s="6">
        <f t="shared" si="184"/>
        <v>9730.9416999066743</v>
      </c>
      <c r="DX101" s="6">
        <f t="shared" si="184"/>
        <v>9584.9775744080744</v>
      </c>
      <c r="DY101" s="6">
        <f t="shared" si="184"/>
        <v>9441.2029107919534</v>
      </c>
      <c r="DZ101" s="6">
        <f t="shared" si="184"/>
        <v>9299.5848671300737</v>
      </c>
      <c r="EA101" s="6">
        <f t="shared" si="184"/>
        <v>9160.0910941231232</v>
      </c>
      <c r="EB101" s="6">
        <f t="shared" si="184"/>
        <v>9022.6897277112766</v>
      </c>
      <c r="EC101" s="6">
        <f t="shared" si="184"/>
        <v>8887.3493817956078</v>
      </c>
      <c r="ED101" s="6">
        <f t="shared" si="184"/>
        <v>8754.0391410686734</v>
      </c>
      <c r="EE101" s="6">
        <f t="shared" si="184"/>
        <v>8622.7285539526438</v>
      </c>
      <c r="EF101" s="6">
        <f t="shared" si="184"/>
        <v>8493.3876256433541</v>
      </c>
      <c r="EG101" s="6">
        <f t="shared" si="184"/>
        <v>8365.9868112587028</v>
      </c>
      <c r="EH101" s="6">
        <f t="shared" si="184"/>
        <v>8240.4970090898223</v>
      </c>
      <c r="EI101" s="6">
        <f t="shared" si="184"/>
        <v>8116.8895539534751</v>
      </c>
      <c r="EJ101" s="6">
        <f t="shared" si="184"/>
        <v>7995.1362106441729</v>
      </c>
      <c r="EK101" s="6">
        <f t="shared" si="184"/>
        <v>7875.2091674845105</v>
      </c>
      <c r="EL101" s="6">
        <f t="shared" si="184"/>
        <v>7757.0810299722425</v>
      </c>
      <c r="EM101" s="6">
        <f t="shared" si="184"/>
        <v>7640.7248145226586</v>
      </c>
      <c r="EN101" s="6">
        <f t="shared" si="184"/>
        <v>7526.1139423048189</v>
      </c>
      <c r="EO101" s="6">
        <f t="shared" si="184"/>
        <v>7413.2222331702469</v>
      </c>
      <c r="EP101" s="6">
        <f t="shared" si="184"/>
        <v>7302.023899672693</v>
      </c>
      <c r="EQ101" s="6">
        <f t="shared" si="184"/>
        <v>7192.4935411776023</v>
      </c>
      <c r="ER101" s="6">
        <f t="shared" si="184"/>
        <v>7084.6061380599385</v>
      </c>
      <c r="ES101" s="6">
        <f t="shared" si="184"/>
        <v>6978.3370459890393</v>
      </c>
      <c r="ET101" s="6">
        <f t="shared" si="184"/>
        <v>6873.6619902992034</v>
      </c>
      <c r="EU101" s="6">
        <f t="shared" si="184"/>
        <v>6770.5570604447148</v>
      </c>
      <c r="EV101" s="6">
        <f t="shared" si="184"/>
        <v>6668.998704538044</v>
      </c>
      <c r="EW101" s="6">
        <f t="shared" si="184"/>
        <v>6568.9637239699732</v>
      </c>
      <c r="EX101" s="6">
        <f t="shared" si="184"/>
        <v>6470.4292681104234</v>
      </c>
      <c r="EY101" s="6">
        <f t="shared" si="184"/>
        <v>6373.3728290887666</v>
      </c>
      <c r="EZ101" s="6">
        <f t="shared" si="184"/>
        <v>6277.7722366524349</v>
      </c>
      <c r="FA101" s="6">
        <f t="shared" si="184"/>
        <v>6183.6056531026479</v>
      </c>
      <c r="FB101" s="6">
        <f t="shared" si="184"/>
        <v>6090.8515683061078</v>
      </c>
      <c r="FC101" s="6">
        <f t="shared" si="184"/>
        <v>5999.4887947815159</v>
      </c>
      <c r="FD101" s="6">
        <f t="shared" si="184"/>
        <v>5909.4964628597927</v>
      </c>
      <c r="FE101" s="6">
        <f t="shared" si="184"/>
        <v>5820.8540159168961</v>
      </c>
      <c r="FF101" s="6">
        <f t="shared" si="184"/>
        <v>5733.5412056781424</v>
      </c>
      <c r="FG101" s="6">
        <f t="shared" si="184"/>
        <v>5647.5380875929704</v>
      </c>
      <c r="FH101" s="6">
        <f t="shared" si="184"/>
        <v>5562.8250162790755</v>
      </c>
      <c r="FI101" s="6">
        <f t="shared" si="184"/>
        <v>5479.3826410348893</v>
      </c>
      <c r="FJ101" s="6">
        <f t="shared" si="184"/>
        <v>5397.1919014193654</v>
      </c>
      <c r="FK101" s="6">
        <f t="shared" si="184"/>
        <v>5316.2340228980747</v>
      </c>
      <c r="FL101" s="6">
        <f t="shared" si="184"/>
        <v>5236.4905125546038</v>
      </c>
      <c r="FM101" s="6">
        <f t="shared" si="184"/>
        <v>5157.9431548662851</v>
      </c>
      <c r="FN101" s="6">
        <f t="shared" si="184"/>
        <v>5080.5740075432905</v>
      </c>
      <c r="FO101" s="6">
        <f t="shared" si="184"/>
        <v>5004.3653974301415</v>
      </c>
      <c r="FP101" s="6">
        <f t="shared" si="184"/>
        <v>4929.2999164686889</v>
      </c>
      <c r="FQ101" s="6">
        <f t="shared" si="184"/>
        <v>4855.3604177216585</v>
      </c>
      <c r="FR101" s="6">
        <f t="shared" si="184"/>
        <v>4782.5300114558331</v>
      </c>
      <c r="FS101" s="6">
        <f t="shared" si="184"/>
        <v>4710.7920612839953</v>
      </c>
      <c r="FT101" s="6">
        <f t="shared" si="184"/>
        <v>4640.1301803647357</v>
      </c>
      <c r="FU101" s="6">
        <f t="shared" si="184"/>
        <v>4570.5282276592643</v>
      </c>
      <c r="FV101" s="6">
        <f t="shared" si="184"/>
        <v>4501.9703042443753</v>
      </c>
      <c r="FW101" s="6">
        <f t="shared" ref="FW101:IH101" si="185">+FV101*(1+$AU$25)</f>
        <v>4434.4407496807098</v>
      </c>
      <c r="FX101" s="6">
        <f t="shared" si="185"/>
        <v>4367.9241384354991</v>
      </c>
      <c r="FY101" s="6">
        <f t="shared" si="185"/>
        <v>4302.4052763589661</v>
      </c>
      <c r="FZ101" s="6">
        <f t="shared" si="185"/>
        <v>4237.8691972135812</v>
      </c>
      <c r="GA101" s="6">
        <f t="shared" si="185"/>
        <v>4174.3011592553776</v>
      </c>
      <c r="GB101" s="6">
        <f t="shared" si="185"/>
        <v>4111.6866418665468</v>
      </c>
      <c r="GC101" s="6">
        <f t="shared" si="185"/>
        <v>4050.0113422385484</v>
      </c>
      <c r="GD101" s="6">
        <f t="shared" si="185"/>
        <v>3989.2611721049702</v>
      </c>
      <c r="GE101" s="6">
        <f t="shared" si="185"/>
        <v>3929.4222545233956</v>
      </c>
      <c r="GF101" s="6">
        <f t="shared" si="185"/>
        <v>3870.4809207055446</v>
      </c>
      <c r="GG101" s="6">
        <f t="shared" si="185"/>
        <v>3812.4237068949615</v>
      </c>
      <c r="GH101" s="6">
        <f t="shared" si="185"/>
        <v>3755.2373512915369</v>
      </c>
      <c r="GI101" s="6">
        <f t="shared" si="185"/>
        <v>3698.9087910221638</v>
      </c>
      <c r="GJ101" s="6">
        <f t="shared" si="185"/>
        <v>3643.4251591568313</v>
      </c>
      <c r="GK101" s="6">
        <f t="shared" si="185"/>
        <v>3588.7737817694788</v>
      </c>
      <c r="GL101" s="6">
        <f t="shared" si="185"/>
        <v>3534.9421750429365</v>
      </c>
      <c r="GM101" s="6">
        <f t="shared" si="185"/>
        <v>3481.9180424172923</v>
      </c>
      <c r="GN101" s="6">
        <f t="shared" si="185"/>
        <v>3429.6892717810329</v>
      </c>
      <c r="GO101" s="6">
        <f t="shared" si="185"/>
        <v>3378.2439327043171</v>
      </c>
      <c r="GP101" s="6">
        <f t="shared" si="185"/>
        <v>3327.5702737137522</v>
      </c>
      <c r="GQ101" s="6">
        <f t="shared" si="185"/>
        <v>3277.6567196080459</v>
      </c>
      <c r="GR101" s="6">
        <f t="shared" si="185"/>
        <v>3228.4918688139251</v>
      </c>
      <c r="GS101" s="6">
        <f t="shared" si="185"/>
        <v>3180.0644907817164</v>
      </c>
      <c r="GT101" s="6">
        <f t="shared" si="185"/>
        <v>3132.3635234199905</v>
      </c>
      <c r="GU101" s="6">
        <f t="shared" si="185"/>
        <v>3085.3780705686904</v>
      </c>
      <c r="GV101" s="6">
        <f t="shared" si="185"/>
        <v>3039.0973995101599</v>
      </c>
      <c r="GW101" s="6">
        <f t="shared" si="185"/>
        <v>2993.5109385175074</v>
      </c>
      <c r="GX101" s="6">
        <f t="shared" si="185"/>
        <v>2948.6082744397449</v>
      </c>
      <c r="GY101" s="6">
        <f t="shared" si="185"/>
        <v>2904.3791503231487</v>
      </c>
      <c r="GZ101" s="6">
        <f t="shared" si="185"/>
        <v>2860.8134630683012</v>
      </c>
      <c r="HA101" s="6">
        <f t="shared" si="185"/>
        <v>2817.9012611222765</v>
      </c>
      <c r="HB101" s="6">
        <f t="shared" si="185"/>
        <v>2775.6327422054424</v>
      </c>
      <c r="HC101" s="6">
        <f t="shared" si="185"/>
        <v>2733.9982510723607</v>
      </c>
      <c r="HD101" s="6">
        <f t="shared" si="185"/>
        <v>2692.9882773062754</v>
      </c>
      <c r="HE101" s="6">
        <f t="shared" si="185"/>
        <v>2652.5934531466814</v>
      </c>
      <c r="HF101" s="6">
        <f t="shared" si="185"/>
        <v>2612.8045513494812</v>
      </c>
      <c r="HG101" s="6">
        <f t="shared" si="185"/>
        <v>2573.6124830792392</v>
      </c>
      <c r="HH101" s="6">
        <f t="shared" si="185"/>
        <v>2535.0082958330504</v>
      </c>
      <c r="HI101" s="6">
        <f t="shared" si="185"/>
        <v>2496.9831713955546</v>
      </c>
      <c r="HJ101" s="6">
        <f t="shared" si="185"/>
        <v>2459.5284238246213</v>
      </c>
      <c r="HK101" s="6">
        <f t="shared" si="185"/>
        <v>2422.6354974672518</v>
      </c>
      <c r="HL101" s="6">
        <f t="shared" si="185"/>
        <v>2386.295965005243</v>
      </c>
      <c r="HM101" s="6">
        <f t="shared" si="185"/>
        <v>2350.5015255301641</v>
      </c>
      <c r="HN101" s="6">
        <f t="shared" si="185"/>
        <v>2315.2440026472118</v>
      </c>
      <c r="HO101" s="6">
        <f t="shared" si="185"/>
        <v>2280.5153426075035</v>
      </c>
      <c r="HP101" s="6">
        <f t="shared" si="185"/>
        <v>2246.3076124683907</v>
      </c>
      <c r="HQ101" s="6">
        <f t="shared" si="185"/>
        <v>2212.612998281365</v>
      </c>
      <c r="HR101" s="6">
        <f t="shared" si="185"/>
        <v>2179.4238033071447</v>
      </c>
      <c r="HS101" s="6">
        <f t="shared" si="185"/>
        <v>2146.7324462575375</v>
      </c>
      <c r="HT101" s="6">
        <f t="shared" si="185"/>
        <v>2114.5314595636746</v>
      </c>
      <c r="HU101" s="6">
        <f t="shared" si="185"/>
        <v>2082.8134876702193</v>
      </c>
      <c r="HV101" s="6">
        <f t="shared" si="185"/>
        <v>2051.5712853551659</v>
      </c>
      <c r="HW101" s="6">
        <f t="shared" si="185"/>
        <v>2020.7977160748383</v>
      </c>
      <c r="HX101" s="6">
        <f t="shared" si="185"/>
        <v>1990.4857503337157</v>
      </c>
      <c r="HY101" s="6">
        <f t="shared" si="185"/>
        <v>1960.6284640787098</v>
      </c>
      <c r="HZ101" s="6">
        <f t="shared" si="185"/>
        <v>1931.2190371175291</v>
      </c>
      <c r="IA101" s="6">
        <f t="shared" si="185"/>
        <v>1902.250751560766</v>
      </c>
      <c r="IB101" s="6">
        <f t="shared" si="185"/>
        <v>1873.7169902873545</v>
      </c>
      <c r="IC101" s="6">
        <f t="shared" si="185"/>
        <v>1845.6112354330442</v>
      </c>
      <c r="ID101" s="6">
        <f t="shared" si="185"/>
        <v>1817.9270669015484</v>
      </c>
      <c r="IE101" s="6">
        <f t="shared" si="185"/>
        <v>1790.6581608980252</v>
      </c>
      <c r="IF101" s="6">
        <f t="shared" si="185"/>
        <v>1763.7982884845549</v>
      </c>
      <c r="IG101" s="6">
        <f t="shared" si="185"/>
        <v>1737.3413141572864</v>
      </c>
      <c r="IH101" s="6">
        <f t="shared" si="185"/>
        <v>1711.2811944449272</v>
      </c>
      <c r="II101" s="6">
        <f t="shared" ref="II101:KT101" si="186">+IH101*(1+$AU$25)</f>
        <v>1685.6119765282533</v>
      </c>
      <c r="IJ101" s="6">
        <f t="shared" si="186"/>
        <v>1660.3277968803295</v>
      </c>
      <c r="IK101" s="6">
        <f t="shared" si="186"/>
        <v>1635.4228799271245</v>
      </c>
      <c r="IL101" s="6">
        <f t="shared" si="186"/>
        <v>1610.8915367282177</v>
      </c>
      <c r="IM101" s="6">
        <f t="shared" si="186"/>
        <v>1586.7281636772943</v>
      </c>
      <c r="IN101" s="6">
        <f t="shared" si="186"/>
        <v>1562.9272412221349</v>
      </c>
      <c r="IO101" s="6">
        <f t="shared" si="186"/>
        <v>1539.4833326038029</v>
      </c>
      <c r="IP101" s="6">
        <f t="shared" si="186"/>
        <v>1516.3910826147458</v>
      </c>
      <c r="IQ101" s="6">
        <f t="shared" si="186"/>
        <v>1493.6452163755246</v>
      </c>
      <c r="IR101" s="6">
        <f t="shared" si="186"/>
        <v>1471.2405381298918</v>
      </c>
      <c r="IS101" s="6">
        <f t="shared" si="186"/>
        <v>1449.1719300579434</v>
      </c>
      <c r="IT101" s="6">
        <f t="shared" si="186"/>
        <v>1427.4343511070742</v>
      </c>
      <c r="IU101" s="6">
        <f t="shared" si="186"/>
        <v>1406.0228358404681</v>
      </c>
      <c r="IV101" s="6">
        <f t="shared" si="186"/>
        <v>1384.9324933028611</v>
      </c>
      <c r="IW101" s="6">
        <f t="shared" si="186"/>
        <v>1364.1585059033182</v>
      </c>
      <c r="IX101" s="6">
        <f t="shared" si="186"/>
        <v>1343.6961283147684</v>
      </c>
      <c r="IY101" s="6">
        <f t="shared" si="186"/>
        <v>1323.5406863900469</v>
      </c>
      <c r="IZ101" s="6">
        <f t="shared" si="186"/>
        <v>1303.6875760941962</v>
      </c>
      <c r="JA101" s="6">
        <f t="shared" si="186"/>
        <v>1284.1322624527832</v>
      </c>
      <c r="JB101" s="6">
        <f t="shared" si="186"/>
        <v>1264.8702785159915</v>
      </c>
      <c r="JC101" s="6">
        <f t="shared" si="186"/>
        <v>1245.8972243382516</v>
      </c>
      <c r="JD101" s="6">
        <f t="shared" si="186"/>
        <v>1227.2087659731778</v>
      </c>
      <c r="JE101" s="6">
        <f t="shared" si="186"/>
        <v>1208.8006344835801</v>
      </c>
      <c r="JF101" s="6">
        <f t="shared" si="186"/>
        <v>1190.6686249663264</v>
      </c>
      <c r="JG101" s="6">
        <f t="shared" si="186"/>
        <v>1172.8085955918316</v>
      </c>
      <c r="JH101" s="6">
        <f t="shared" si="186"/>
        <v>1155.216466657954</v>
      </c>
      <c r="JI101" s="6">
        <f t="shared" si="186"/>
        <v>1137.8882196580846</v>
      </c>
      <c r="JJ101" s="6">
        <f t="shared" si="186"/>
        <v>1120.8198963632133</v>
      </c>
      <c r="JK101" s="6">
        <f t="shared" si="186"/>
        <v>1104.007597917765</v>
      </c>
      <c r="JL101" s="6">
        <f t="shared" si="186"/>
        <v>1087.4474839489985</v>
      </c>
      <c r="JM101" s="6">
        <f t="shared" si="186"/>
        <v>1071.1357716897635</v>
      </c>
      <c r="JN101" s="6">
        <f t="shared" si="186"/>
        <v>1055.068735114417</v>
      </c>
      <c r="JO101" s="6">
        <f t="shared" si="186"/>
        <v>1039.2427040877008</v>
      </c>
      <c r="JP101" s="6">
        <f t="shared" si="186"/>
        <v>1023.6540635263852</v>
      </c>
      <c r="JQ101" s="6">
        <f t="shared" si="186"/>
        <v>1008.2992525734894</v>
      </c>
      <c r="JR101" s="6">
        <f t="shared" si="186"/>
        <v>993.17476378488709</v>
      </c>
      <c r="JS101" s="6">
        <f t="shared" si="186"/>
        <v>978.27714232811377</v>
      </c>
      <c r="JT101" s="6">
        <f t="shared" si="186"/>
        <v>963.60298519319201</v>
      </c>
      <c r="JU101" s="6">
        <f t="shared" si="186"/>
        <v>949.14894041529408</v>
      </c>
      <c r="JV101" s="6">
        <f t="shared" si="186"/>
        <v>934.9117063090647</v>
      </c>
      <c r="JW101" s="6">
        <f t="shared" si="186"/>
        <v>920.88803071442874</v>
      </c>
      <c r="JX101" s="6">
        <f t="shared" si="186"/>
        <v>907.07471025371228</v>
      </c>
      <c r="JY101" s="6">
        <f t="shared" si="186"/>
        <v>893.46858959990664</v>
      </c>
      <c r="JZ101" s="6">
        <f t="shared" si="186"/>
        <v>880.06656075590797</v>
      </c>
      <c r="KA101" s="6">
        <f t="shared" si="186"/>
        <v>866.8655623445693</v>
      </c>
      <c r="KB101" s="6">
        <f t="shared" si="186"/>
        <v>853.86257890940078</v>
      </c>
      <c r="KC101" s="6">
        <f t="shared" si="186"/>
        <v>841.05464022575973</v>
      </c>
      <c r="KD101" s="6">
        <f t="shared" si="186"/>
        <v>828.43882062237333</v>
      </c>
      <c r="KE101" s="6">
        <f t="shared" si="186"/>
        <v>816.01223831303776</v>
      </c>
      <c r="KF101" s="6">
        <f t="shared" si="186"/>
        <v>803.77205473834215</v>
      </c>
      <c r="KG101" s="6">
        <f t="shared" si="186"/>
        <v>791.71547391726699</v>
      </c>
      <c r="KH101" s="6">
        <f t="shared" si="186"/>
        <v>779.83974180850794</v>
      </c>
      <c r="KI101" s="6">
        <f t="shared" si="186"/>
        <v>768.14214568138027</v>
      </c>
      <c r="KJ101" s="6">
        <f t="shared" si="186"/>
        <v>756.62001349615957</v>
      </c>
      <c r="KK101" s="6">
        <f t="shared" si="186"/>
        <v>745.27071329371722</v>
      </c>
      <c r="KL101" s="6">
        <f t="shared" si="186"/>
        <v>734.09165259431143</v>
      </c>
      <c r="KM101" s="6">
        <f t="shared" si="186"/>
        <v>723.08027780539669</v>
      </c>
      <c r="KN101" s="6">
        <f t="shared" si="186"/>
        <v>712.23407363831575</v>
      </c>
      <c r="KO101" s="6">
        <f t="shared" si="186"/>
        <v>701.55056253374096</v>
      </c>
      <c r="KP101" s="6">
        <f t="shared" si="186"/>
        <v>691.02730409573485</v>
      </c>
      <c r="KQ101" s="6">
        <f t="shared" si="186"/>
        <v>680.66189453429877</v>
      </c>
      <c r="KR101" s="6">
        <f t="shared" si="186"/>
        <v>670.45196611628432</v>
      </c>
      <c r="KS101" s="6">
        <f t="shared" si="186"/>
        <v>660.39518662454009</v>
      </c>
      <c r="KT101" s="6">
        <f t="shared" si="186"/>
        <v>650.48925882517199</v>
      </c>
      <c r="KU101" s="6">
        <f t="shared" ref="KU101:NF101" si="187">+KT101*(1+$AU$25)</f>
        <v>640.73191994279443</v>
      </c>
      <c r="KV101" s="6">
        <f t="shared" si="187"/>
        <v>631.12094114365254</v>
      </c>
      <c r="KW101" s="6">
        <f t="shared" si="187"/>
        <v>621.6541270264978</v>
      </c>
      <c r="KX101" s="6">
        <f t="shared" si="187"/>
        <v>612.32931512110031</v>
      </c>
      <c r="KY101" s="6">
        <f t="shared" si="187"/>
        <v>603.14437539428377</v>
      </c>
      <c r="KZ101" s="6">
        <f t="shared" si="187"/>
        <v>594.09720976336951</v>
      </c>
      <c r="LA101" s="6">
        <f t="shared" si="187"/>
        <v>585.18575161691899</v>
      </c>
      <c r="LB101" s="6">
        <f t="shared" si="187"/>
        <v>576.40796534266519</v>
      </c>
      <c r="LC101" s="6">
        <f t="shared" si="187"/>
        <v>567.76184586252521</v>
      </c>
      <c r="LD101" s="6">
        <f t="shared" si="187"/>
        <v>559.24541817458737</v>
      </c>
      <c r="LE101" s="6">
        <f t="shared" si="187"/>
        <v>550.85673690196859</v>
      </c>
      <c r="LF101" s="6">
        <f t="shared" si="187"/>
        <v>542.59388584843907</v>
      </c>
      <c r="LG101" s="6">
        <f t="shared" si="187"/>
        <v>534.45497756071245</v>
      </c>
      <c r="LH101" s="6">
        <f t="shared" si="187"/>
        <v>526.43815289730173</v>
      </c>
      <c r="LI101" s="6">
        <f t="shared" si="187"/>
        <v>518.54158060384225</v>
      </c>
      <c r="LJ101" s="6">
        <f t="shared" si="187"/>
        <v>510.76345689478461</v>
      </c>
      <c r="LK101" s="6">
        <f t="shared" si="187"/>
        <v>503.10200504136282</v>
      </c>
      <c r="LL101" s="6">
        <f t="shared" si="187"/>
        <v>495.55547496574235</v>
      </c>
      <c r="LM101" s="6">
        <f t="shared" si="187"/>
        <v>488.12214284125622</v>
      </c>
      <c r="LN101" s="6">
        <f t="shared" si="187"/>
        <v>480.80031069863736</v>
      </c>
      <c r="LO101" s="6">
        <f t="shared" si="187"/>
        <v>473.58830603815778</v>
      </c>
      <c r="LP101" s="6">
        <f t="shared" si="187"/>
        <v>466.48448144758538</v>
      </c>
      <c r="LQ101" s="6">
        <f t="shared" si="187"/>
        <v>459.48721422587158</v>
      </c>
      <c r="LR101" s="6">
        <f t="shared" si="187"/>
        <v>452.59490601248348</v>
      </c>
      <c r="LS101" s="6">
        <f t="shared" si="187"/>
        <v>445.80598242229621</v>
      </c>
      <c r="LT101" s="6">
        <f t="shared" si="187"/>
        <v>439.11889268596178</v>
      </c>
      <c r="LU101" s="6">
        <f t="shared" si="187"/>
        <v>432.53210929567234</v>
      </c>
      <c r="LV101" s="6">
        <f t="shared" si="187"/>
        <v>426.04412765623727</v>
      </c>
      <c r="LW101" s="6">
        <f t="shared" si="187"/>
        <v>419.65346574139369</v>
      </c>
      <c r="LX101" s="6">
        <f t="shared" si="187"/>
        <v>413.3586637552728</v>
      </c>
      <c r="LY101" s="6">
        <f t="shared" si="187"/>
        <v>407.15828379894373</v>
      </c>
      <c r="LZ101" s="6">
        <f t="shared" si="187"/>
        <v>401.05090954195958</v>
      </c>
      <c r="MA101" s="6">
        <f t="shared" si="187"/>
        <v>395.03514589883019</v>
      </c>
      <c r="MB101" s="6">
        <f t="shared" si="187"/>
        <v>389.10961871034772</v>
      </c>
      <c r="MC101" s="6">
        <f t="shared" si="187"/>
        <v>383.27297442969251</v>
      </c>
      <c r="MD101" s="6">
        <f t="shared" si="187"/>
        <v>377.52387981324711</v>
      </c>
      <c r="ME101" s="6">
        <f t="shared" si="187"/>
        <v>371.86102161604839</v>
      </c>
      <c r="MF101" s="6">
        <f t="shared" si="187"/>
        <v>366.28310629180766</v>
      </c>
      <c r="MG101" s="6">
        <f t="shared" si="187"/>
        <v>360.78885969743055</v>
      </c>
      <c r="MH101" s="6">
        <f t="shared" si="187"/>
        <v>355.37702680196907</v>
      </c>
      <c r="MI101" s="6">
        <f t="shared" si="187"/>
        <v>350.04637139993952</v>
      </c>
      <c r="MJ101" s="6">
        <f t="shared" si="187"/>
        <v>344.79567582894043</v>
      </c>
      <c r="MK101" s="6">
        <f t="shared" si="187"/>
        <v>339.62374069150633</v>
      </c>
      <c r="ML101" s="6">
        <f t="shared" si="187"/>
        <v>334.52938458113374</v>
      </c>
      <c r="MM101" s="6">
        <f t="shared" si="187"/>
        <v>329.51144381241676</v>
      </c>
      <c r="MN101" s="6">
        <f t="shared" si="187"/>
        <v>324.56877215523048</v>
      </c>
      <c r="MO101" s="6">
        <f t="shared" si="187"/>
        <v>319.70024057290203</v>
      </c>
      <c r="MP101" s="6">
        <f t="shared" si="187"/>
        <v>314.90473696430848</v>
      </c>
      <c r="MQ101" s="6">
        <f t="shared" si="187"/>
        <v>310.18116590984386</v>
      </c>
      <c r="MR101" s="6">
        <f t="shared" si="187"/>
        <v>305.52844842119617</v>
      </c>
      <c r="MS101" s="6">
        <f t="shared" si="187"/>
        <v>300.94552169487821</v>
      </c>
      <c r="MT101" s="6">
        <f t="shared" si="187"/>
        <v>296.43133886945503</v>
      </c>
      <c r="MU101" s="6">
        <f t="shared" si="187"/>
        <v>291.98486878641319</v>
      </c>
      <c r="MV101" s="6">
        <f t="shared" si="187"/>
        <v>287.60509575461697</v>
      </c>
      <c r="MW101" s="6">
        <f t="shared" si="187"/>
        <v>283.29101931829769</v>
      </c>
      <c r="MX101" s="6">
        <f t="shared" si="187"/>
        <v>279.04165402852323</v>
      </c>
      <c r="MY101" s="6">
        <f t="shared" si="187"/>
        <v>274.85602921809539</v>
      </c>
      <c r="MZ101" s="6">
        <f t="shared" si="187"/>
        <v>270.73318877982393</v>
      </c>
      <c r="NA101" s="6">
        <f t="shared" si="187"/>
        <v>266.67219094812657</v>
      </c>
      <c r="NB101" s="6">
        <f t="shared" si="187"/>
        <v>262.67210808390467</v>
      </c>
      <c r="NC101" s="6">
        <f t="shared" si="187"/>
        <v>258.7320264626461</v>
      </c>
      <c r="ND101" s="6">
        <f t="shared" si="187"/>
        <v>254.85104606570641</v>
      </c>
      <c r="NE101" s="6">
        <f t="shared" si="187"/>
        <v>251.02828037472082</v>
      </c>
      <c r="NF101" s="6">
        <f t="shared" si="187"/>
        <v>247.26285616910002</v>
      </c>
      <c r="NG101" s="6">
        <f t="shared" ref="NG101:PR101" si="188">+NF101*(1+$AU$25)</f>
        <v>243.5539133265635</v>
      </c>
      <c r="NH101" s="6">
        <f t="shared" si="188"/>
        <v>239.90060462666506</v>
      </c>
      <c r="NI101" s="6">
        <f t="shared" si="188"/>
        <v>236.30209555726509</v>
      </c>
      <c r="NJ101" s="6">
        <f t="shared" si="188"/>
        <v>232.75756412390612</v>
      </c>
      <c r="NK101" s="6">
        <f t="shared" si="188"/>
        <v>229.26620066204754</v>
      </c>
      <c r="NL101" s="6">
        <f t="shared" si="188"/>
        <v>225.82720765211681</v>
      </c>
      <c r="NM101" s="6">
        <f t="shared" si="188"/>
        <v>222.43979953733506</v>
      </c>
      <c r="NN101" s="6">
        <f t="shared" si="188"/>
        <v>219.10320254427504</v>
      </c>
      <c r="NO101" s="6">
        <f t="shared" si="188"/>
        <v>215.81665450611089</v>
      </c>
      <c r="NP101" s="6">
        <f t="shared" si="188"/>
        <v>212.57940468851922</v>
      </c>
      <c r="NQ101" s="6">
        <f t="shared" si="188"/>
        <v>209.39071361819143</v>
      </c>
      <c r="NR101" s="6">
        <f t="shared" si="188"/>
        <v>206.24985291391855</v>
      </c>
      <c r="NS101" s="6">
        <f t="shared" si="188"/>
        <v>203.15610512020976</v>
      </c>
      <c r="NT101" s="6">
        <f t="shared" si="188"/>
        <v>200.10876354340661</v>
      </c>
      <c r="NU101" s="6">
        <f t="shared" si="188"/>
        <v>197.1071320902555</v>
      </c>
      <c r="NV101" s="6">
        <f t="shared" si="188"/>
        <v>194.15052510890166</v>
      </c>
      <c r="NW101" s="6">
        <f t="shared" si="188"/>
        <v>191.23826723226813</v>
      </c>
      <c r="NX101" s="6">
        <f t="shared" si="188"/>
        <v>188.36969322378411</v>
      </c>
      <c r="NY101" s="6">
        <f t="shared" si="188"/>
        <v>185.54414782542736</v>
      </c>
      <c r="NZ101" s="6">
        <f t="shared" si="188"/>
        <v>182.76098560804596</v>
      </c>
      <c r="OA101" s="6">
        <f t="shared" si="188"/>
        <v>180.01957082392528</v>
      </c>
      <c r="OB101" s="6">
        <f t="shared" si="188"/>
        <v>177.31927726156638</v>
      </c>
      <c r="OC101" s="6">
        <f t="shared" si="188"/>
        <v>174.65948810264288</v>
      </c>
      <c r="OD101" s="6">
        <f t="shared" si="188"/>
        <v>172.03959578110323</v>
      </c>
      <c r="OE101" s="6">
        <f t="shared" si="188"/>
        <v>169.45900184438668</v>
      </c>
      <c r="OF101" s="6">
        <f t="shared" si="188"/>
        <v>166.91711681672086</v>
      </c>
      <c r="OG101" s="6">
        <f t="shared" si="188"/>
        <v>164.41336006447006</v>
      </c>
      <c r="OH101" s="6">
        <f t="shared" si="188"/>
        <v>161.94715966350302</v>
      </c>
      <c r="OI101" s="6">
        <f t="shared" si="188"/>
        <v>159.51795226855046</v>
      </c>
      <c r="OJ101" s="6">
        <f t="shared" si="188"/>
        <v>157.12518298452221</v>
      </c>
      <c r="OK101" s="6">
        <f t="shared" si="188"/>
        <v>154.76830523975437</v>
      </c>
      <c r="OL101" s="6">
        <f t="shared" si="188"/>
        <v>152.44678066115804</v>
      </c>
      <c r="OM101" s="6">
        <f t="shared" si="188"/>
        <v>150.16007895124068</v>
      </c>
      <c r="ON101" s="6">
        <f t="shared" si="188"/>
        <v>147.90767776697206</v>
      </c>
      <c r="OO101" s="6">
        <f t="shared" si="188"/>
        <v>145.68906260046748</v>
      </c>
      <c r="OP101" s="6">
        <f t="shared" si="188"/>
        <v>143.50372666146046</v>
      </c>
      <c r="OQ101" s="6">
        <f t="shared" si="188"/>
        <v>141.35117076153855</v>
      </c>
      <c r="OR101" s="6">
        <f t="shared" si="188"/>
        <v>139.23090320011548</v>
      </c>
      <c r="OS101" s="6">
        <f t="shared" si="188"/>
        <v>137.14243965211375</v>
      </c>
      <c r="OT101" s="6">
        <f t="shared" si="188"/>
        <v>135.08530305733206</v>
      </c>
      <c r="OU101" s="6">
        <f t="shared" si="188"/>
        <v>133.05902351147208</v>
      </c>
      <c r="OV101" s="6">
        <f t="shared" si="188"/>
        <v>131.0631381588</v>
      </c>
      <c r="OW101" s="6">
        <f t="shared" si="188"/>
        <v>129.09719108641801</v>
      </c>
      <c r="OX101" s="6">
        <f t="shared" si="188"/>
        <v>127.16073322012174</v>
      </c>
      <c r="OY101" s="6">
        <f t="shared" si="188"/>
        <v>125.25332222181991</v>
      </c>
      <c r="OZ101" s="6">
        <f t="shared" si="188"/>
        <v>123.37452238849261</v>
      </c>
      <c r="PA101" s="6">
        <f t="shared" si="188"/>
        <v>121.52390455266521</v>
      </c>
      <c r="PB101" s="6">
        <f t="shared" si="188"/>
        <v>119.70104598437524</v>
      </c>
      <c r="PC101" s="6">
        <f t="shared" si="188"/>
        <v>117.9055302946096</v>
      </c>
      <c r="PD101" s="6">
        <f t="shared" si="188"/>
        <v>116.13694734019046</v>
      </c>
      <c r="PE101" s="6">
        <f t="shared" si="188"/>
        <v>114.3948931300876</v>
      </c>
      <c r="PF101" s="6">
        <f t="shared" si="188"/>
        <v>112.67896973313628</v>
      </c>
      <c r="PG101" s="6">
        <f t="shared" si="188"/>
        <v>110.98878518713924</v>
      </c>
      <c r="PH101" s="6">
        <f t="shared" si="188"/>
        <v>109.32395340933215</v>
      </c>
      <c r="PI101" s="6">
        <f t="shared" si="188"/>
        <v>107.68409410819217</v>
      </c>
      <c r="PJ101" s="6">
        <f t="shared" si="188"/>
        <v>106.06883269656929</v>
      </c>
      <c r="PK101" s="6">
        <f t="shared" si="188"/>
        <v>104.47780020612075</v>
      </c>
      <c r="PL101" s="6">
        <f t="shared" si="188"/>
        <v>102.91063320302894</v>
      </c>
      <c r="PM101" s="6">
        <f t="shared" si="188"/>
        <v>101.36697370498351</v>
      </c>
      <c r="PN101" s="6">
        <f t="shared" si="188"/>
        <v>99.84646909940875</v>
      </c>
      <c r="PO101" s="6">
        <f t="shared" si="188"/>
        <v>98.348772062917618</v>
      </c>
      <c r="PP101" s="6">
        <f t="shared" si="188"/>
        <v>96.873540481973848</v>
      </c>
      <c r="PQ101" s="6">
        <f t="shared" si="188"/>
        <v>95.420437374744239</v>
      </c>
      <c r="PR101" s="6">
        <f t="shared" si="188"/>
        <v>93.989130814123072</v>
      </c>
      <c r="PS101" s="6">
        <f t="shared" ref="PS101:SD101" si="189">+PR101*(1+$AU$25)</f>
        <v>92.579293851911231</v>
      </c>
      <c r="PT101" s="6">
        <f t="shared" si="189"/>
        <v>91.190604444132561</v>
      </c>
      <c r="PU101" s="6">
        <f t="shared" si="189"/>
        <v>89.822745377470568</v>
      </c>
      <c r="PV101" s="6">
        <f t="shared" si="189"/>
        <v>88.475404196808512</v>
      </c>
      <c r="PW101" s="6">
        <f t="shared" si="189"/>
        <v>87.148273133856378</v>
      </c>
      <c r="PX101" s="6">
        <f t="shared" si="189"/>
        <v>85.841049036848531</v>
      </c>
      <c r="PY101" s="6">
        <f t="shared" si="189"/>
        <v>84.553433301295797</v>
      </c>
      <c r="PZ101" s="6">
        <f t="shared" si="189"/>
        <v>83.285131801776359</v>
      </c>
      <c r="QA101" s="6">
        <f t="shared" si="189"/>
        <v>82.035854824749705</v>
      </c>
      <c r="QB101" s="6">
        <f t="shared" si="189"/>
        <v>80.805317002378459</v>
      </c>
      <c r="QC101" s="6">
        <f t="shared" si="189"/>
        <v>79.593237247342785</v>
      </c>
      <c r="QD101" s="6">
        <f t="shared" si="189"/>
        <v>78.399338688632639</v>
      </c>
      <c r="QE101" s="6">
        <f t="shared" si="189"/>
        <v>77.223348608303155</v>
      </c>
      <c r="QF101" s="6">
        <f t="shared" si="189"/>
        <v>76.064998379178604</v>
      </c>
      <c r="QG101" s="6">
        <f t="shared" si="189"/>
        <v>74.924023403490921</v>
      </c>
      <c r="QH101" s="6">
        <f t="shared" si="189"/>
        <v>73.800163052438549</v>
      </c>
      <c r="QI101" s="6">
        <f t="shared" si="189"/>
        <v>72.693160606651972</v>
      </c>
      <c r="QJ101" s="6">
        <f t="shared" si="189"/>
        <v>71.602763197552193</v>
      </c>
      <c r="QK101" s="6">
        <f t="shared" si="189"/>
        <v>70.528721749588911</v>
      </c>
      <c r="QL101" s="6">
        <f t="shared" si="189"/>
        <v>69.470790923345078</v>
      </c>
      <c r="QM101" s="6">
        <f t="shared" si="189"/>
        <v>68.428729059494898</v>
      </c>
      <c r="QN101" s="6">
        <f t="shared" si="189"/>
        <v>67.402298123602478</v>
      </c>
      <c r="QO101" s="6">
        <f t="shared" si="189"/>
        <v>66.391263651748446</v>
      </c>
      <c r="QP101" s="6">
        <f t="shared" si="189"/>
        <v>65.395394696972218</v>
      </c>
      <c r="QQ101" s="6">
        <f t="shared" si="189"/>
        <v>64.414463776517636</v>
      </c>
      <c r="QR101" s="6">
        <f t="shared" si="189"/>
        <v>63.448246819869873</v>
      </c>
      <c r="QS101" s="6">
        <f t="shared" si="189"/>
        <v>62.496523117571826</v>
      </c>
      <c r="QT101" s="6">
        <f t="shared" si="189"/>
        <v>61.55907527080825</v>
      </c>
      <c r="QU101" s="6">
        <f t="shared" si="189"/>
        <v>60.635689141746127</v>
      </c>
      <c r="QV101" s="6">
        <f t="shared" si="189"/>
        <v>59.726153804619933</v>
      </c>
      <c r="QW101" s="6">
        <f t="shared" si="189"/>
        <v>58.83026149755063</v>
      </c>
      <c r="QX101" s="6">
        <f t="shared" si="189"/>
        <v>57.947807575087367</v>
      </c>
      <c r="QY101" s="6">
        <f t="shared" si="189"/>
        <v>57.078590461461054</v>
      </c>
      <c r="QZ101" s="6">
        <f t="shared" si="189"/>
        <v>56.22241160453914</v>
      </c>
      <c r="RA101" s="6">
        <f t="shared" si="189"/>
        <v>55.379075430471055</v>
      </c>
      <c r="RB101" s="6">
        <f t="shared" si="189"/>
        <v>54.548389299013991</v>
      </c>
      <c r="RC101" s="6">
        <f t="shared" si="189"/>
        <v>53.730163459528782</v>
      </c>
      <c r="RD101" s="6">
        <f t="shared" si="189"/>
        <v>52.924211007635847</v>
      </c>
      <c r="RE101" s="6">
        <f t="shared" si="189"/>
        <v>52.13034784252131</v>
      </c>
      <c r="RF101" s="6">
        <f t="shared" si="189"/>
        <v>51.348392624883488</v>
      </c>
      <c r="RG101" s="6">
        <f t="shared" si="189"/>
        <v>50.578166735510237</v>
      </c>
      <c r="RH101" s="6">
        <f t="shared" si="189"/>
        <v>49.819494234477581</v>
      </c>
      <c r="RI101" s="6">
        <f t="shared" si="189"/>
        <v>49.072201820960416</v>
      </c>
      <c r="RJ101" s="6">
        <f t="shared" si="189"/>
        <v>48.336118793646008</v>
      </c>
      <c r="RK101" s="6">
        <f t="shared" si="189"/>
        <v>47.611077011741315</v>
      </c>
      <c r="RL101" s="6">
        <f t="shared" si="189"/>
        <v>46.896910856565192</v>
      </c>
      <c r="RM101" s="6">
        <f t="shared" si="189"/>
        <v>46.193457193716711</v>
      </c>
      <c r="RN101" s="6">
        <f t="shared" si="189"/>
        <v>45.500555335810958</v>
      </c>
      <c r="RO101" s="6">
        <f t="shared" si="189"/>
        <v>44.818047005773792</v>
      </c>
      <c r="RP101" s="6">
        <f t="shared" si="189"/>
        <v>44.145776300687182</v>
      </c>
      <c r="RQ101" s="6">
        <f t="shared" si="189"/>
        <v>43.483589656176875</v>
      </c>
      <c r="RR101" s="6">
        <f t="shared" si="189"/>
        <v>42.83133581133422</v>
      </c>
      <c r="RS101" s="6">
        <f t="shared" si="189"/>
        <v>42.188865774164206</v>
      </c>
      <c r="RT101" s="6">
        <f t="shared" si="189"/>
        <v>41.556032787551743</v>
      </c>
      <c r="RU101" s="6">
        <f t="shared" si="189"/>
        <v>40.93269229573847</v>
      </c>
      <c r="RV101" s="6">
        <f t="shared" si="189"/>
        <v>40.318701911302391</v>
      </c>
      <c r="RW101" s="6">
        <f t="shared" si="189"/>
        <v>39.713921382632854</v>
      </c>
      <c r="RX101" s="6">
        <f t="shared" si="189"/>
        <v>39.118212561893358</v>
      </c>
      <c r="RY101" s="6">
        <f t="shared" si="189"/>
        <v>38.531439373464956</v>
      </c>
      <c r="RZ101" s="6">
        <f t="shared" si="189"/>
        <v>37.95346778286298</v>
      </c>
      <c r="SA101" s="6">
        <f t="shared" si="189"/>
        <v>37.384165766120034</v>
      </c>
      <c r="SB101" s="6">
        <f t="shared" si="189"/>
        <v>36.823403279628231</v>
      </c>
      <c r="SC101" s="6">
        <f t="shared" si="189"/>
        <v>36.27105223043381</v>
      </c>
      <c r="SD101" s="6">
        <f t="shared" si="189"/>
        <v>35.7269864469773</v>
      </c>
      <c r="SE101" s="6">
        <f t="shared" ref="SE101:UP101" si="190">+SD101*(1+$AU$25)</f>
        <v>35.191081650272636</v>
      </c>
      <c r="SF101" s="6">
        <f t="shared" si="190"/>
        <v>34.663215425518544</v>
      </c>
      <c r="SG101" s="6">
        <f t="shared" si="190"/>
        <v>34.143267194135767</v>
      </c>
      <c r="SH101" s="6">
        <f t="shared" si="190"/>
        <v>33.631118186223731</v>
      </c>
      <c r="SI101" s="6">
        <f t="shared" si="190"/>
        <v>33.126651413430373</v>
      </c>
      <c r="SJ101" s="6">
        <f t="shared" si="190"/>
        <v>32.629751642228918</v>
      </c>
      <c r="SK101" s="6">
        <f t="shared" si="190"/>
        <v>32.140305367595481</v>
      </c>
      <c r="SL101" s="6">
        <f t="shared" si="190"/>
        <v>31.658200787081547</v>
      </c>
      <c r="SM101" s="6">
        <f t="shared" si="190"/>
        <v>31.183327775275323</v>
      </c>
      <c r="SN101" s="6">
        <f t="shared" si="190"/>
        <v>30.715577858646192</v>
      </c>
      <c r="SO101" s="6">
        <f t="shared" si="190"/>
        <v>30.254844190766498</v>
      </c>
      <c r="SP101" s="6">
        <f t="shared" si="190"/>
        <v>29.801021527905</v>
      </c>
      <c r="SQ101" s="6">
        <f t="shared" si="190"/>
        <v>29.354006204986426</v>
      </c>
      <c r="SR101" s="6">
        <f t="shared" si="190"/>
        <v>28.91369611191163</v>
      </c>
      <c r="SS101" s="6">
        <f t="shared" si="190"/>
        <v>28.479990670232954</v>
      </c>
      <c r="ST101" s="6">
        <f t="shared" si="190"/>
        <v>28.052790810179459</v>
      </c>
      <c r="SU101" s="6">
        <f t="shared" si="190"/>
        <v>27.631998948026766</v>
      </c>
      <c r="SV101" s="6">
        <f t="shared" si="190"/>
        <v>27.217518963806363</v>
      </c>
      <c r="SW101" s="6">
        <f t="shared" si="190"/>
        <v>26.809256179349266</v>
      </c>
      <c r="SX101" s="6">
        <f t="shared" si="190"/>
        <v>26.407117336659027</v>
      </c>
      <c r="SY101" s="6">
        <f t="shared" si="190"/>
        <v>26.011010576609142</v>
      </c>
      <c r="SZ101" s="6">
        <f t="shared" si="190"/>
        <v>25.620845417960005</v>
      </c>
      <c r="TA101" s="6">
        <f t="shared" si="190"/>
        <v>25.236532736690606</v>
      </c>
      <c r="TB101" s="6">
        <f t="shared" si="190"/>
        <v>24.857984745640245</v>
      </c>
      <c r="TC101" s="6">
        <f t="shared" si="190"/>
        <v>24.485114974455641</v>
      </c>
      <c r="TD101" s="6">
        <f t="shared" si="190"/>
        <v>24.117838249838805</v>
      </c>
      <c r="TE101" s="6">
        <f t="shared" si="190"/>
        <v>23.756070676091223</v>
      </c>
      <c r="TF101" s="6">
        <f t="shared" si="190"/>
        <v>23.399729615949855</v>
      </c>
      <c r="TG101" s="6">
        <f t="shared" si="190"/>
        <v>23.048733671710607</v>
      </c>
      <c r="TH101" s="6">
        <f t="shared" si="190"/>
        <v>22.703002666634948</v>
      </c>
      <c r="TI101" s="6">
        <f t="shared" si="190"/>
        <v>22.362457626635422</v>
      </c>
      <c r="TJ101" s="6">
        <f t="shared" si="190"/>
        <v>22.027020762235889</v>
      </c>
      <c r="TK101" s="6">
        <f t="shared" si="190"/>
        <v>21.696615450802351</v>
      </c>
      <c r="TL101" s="6">
        <f t="shared" si="190"/>
        <v>21.371166219040315</v>
      </c>
      <c r="TM101" s="6">
        <f t="shared" si="190"/>
        <v>21.05059872575471</v>
      </c>
      <c r="TN101" s="6">
        <f t="shared" si="190"/>
        <v>20.734839744868388</v>
      </c>
      <c r="TO101" s="6">
        <f t="shared" si="190"/>
        <v>20.423817148695363</v>
      </c>
      <c r="TP101" s="6">
        <f t="shared" si="190"/>
        <v>20.117459891464932</v>
      </c>
      <c r="TQ101" s="6">
        <f t="shared" si="190"/>
        <v>19.815697993092957</v>
      </c>
      <c r="TR101" s="6">
        <f t="shared" si="190"/>
        <v>19.518462523196561</v>
      </c>
      <c r="TS101" s="6">
        <f t="shared" si="190"/>
        <v>19.225685585348611</v>
      </c>
      <c r="TT101" s="6">
        <f t="shared" si="190"/>
        <v>18.937300301568381</v>
      </c>
      <c r="TU101" s="6">
        <f t="shared" si="190"/>
        <v>18.653240797044855</v>
      </c>
      <c r="TV101" s="6">
        <f t="shared" si="190"/>
        <v>18.373442185089182</v>
      </c>
      <c r="TW101" s="6">
        <f t="shared" si="190"/>
        <v>18.097840552312846</v>
      </c>
      <c r="TX101" s="6">
        <f t="shared" si="190"/>
        <v>17.826372944028154</v>
      </c>
      <c r="TY101" s="6">
        <f t="shared" si="190"/>
        <v>17.558977349867732</v>
      </c>
      <c r="TZ101" s="6">
        <f t="shared" si="190"/>
        <v>17.295592689619717</v>
      </c>
      <c r="UA101" s="6">
        <f t="shared" si="190"/>
        <v>17.03615879927542</v>
      </c>
      <c r="UB101" s="6">
        <f t="shared" si="190"/>
        <v>16.780616417286289</v>
      </c>
      <c r="UC101" s="6">
        <f t="shared" si="190"/>
        <v>16.528907171026994</v>
      </c>
      <c r="UD101" s="6">
        <f t="shared" si="190"/>
        <v>16.28097356346159</v>
      </c>
      <c r="UE101" s="6">
        <f t="shared" si="190"/>
        <v>16.036758960009667</v>
      </c>
      <c r="UF101" s="6">
        <f t="shared" si="190"/>
        <v>15.796207575609522</v>
      </c>
      <c r="UG101" s="6">
        <f t="shared" si="190"/>
        <v>15.559264461975379</v>
      </c>
      <c r="UH101" s="6">
        <f t="shared" si="190"/>
        <v>15.325875495045748</v>
      </c>
      <c r="UI101" s="6">
        <f t="shared" si="190"/>
        <v>15.095987362620061</v>
      </c>
      <c r="UJ101" s="6">
        <f t="shared" si="190"/>
        <v>14.869547552180761</v>
      </c>
      <c r="UK101" s="6">
        <f t="shared" si="190"/>
        <v>14.646504338898049</v>
      </c>
      <c r="UL101" s="6">
        <f t="shared" si="190"/>
        <v>14.426806773814578</v>
      </c>
      <c r="UM101" s="6">
        <f t="shared" si="190"/>
        <v>14.210404672207359</v>
      </c>
      <c r="UN101" s="6">
        <f t="shared" si="190"/>
        <v>13.997248602124248</v>
      </c>
      <c r="UO101" s="6">
        <f t="shared" si="190"/>
        <v>13.787289873092384</v>
      </c>
      <c r="UP101" s="6">
        <f t="shared" si="190"/>
        <v>13.580480524995998</v>
      </c>
      <c r="UQ101" s="6">
        <f t="shared" ref="UQ101:XB101" si="191">+UP101*(1+$AU$25)</f>
        <v>13.376773317121058</v>
      </c>
      <c r="UR101" s="6">
        <f t="shared" si="191"/>
        <v>13.176121717364243</v>
      </c>
      <c r="US101" s="6">
        <f t="shared" si="191"/>
        <v>12.978479891603779</v>
      </c>
      <c r="UT101" s="6">
        <f t="shared" si="191"/>
        <v>12.783802693229722</v>
      </c>
      <c r="UU101" s="6">
        <f t="shared" si="191"/>
        <v>12.592045652831276</v>
      </c>
      <c r="UV101" s="6">
        <f t="shared" si="191"/>
        <v>12.403164968038807</v>
      </c>
      <c r="UW101" s="6">
        <f t="shared" si="191"/>
        <v>12.217117493518224</v>
      </c>
      <c r="UX101" s="6">
        <f t="shared" si="191"/>
        <v>12.03386073111545</v>
      </c>
      <c r="UY101" s="6">
        <f t="shared" si="191"/>
        <v>11.853352820148718</v>
      </c>
      <c r="UZ101" s="6">
        <f t="shared" si="191"/>
        <v>11.675552527846486</v>
      </c>
      <c r="VA101" s="6">
        <f t="shared" si="191"/>
        <v>11.500419239928789</v>
      </c>
      <c r="VB101" s="6">
        <f t="shared" si="191"/>
        <v>11.327912951329857</v>
      </c>
      <c r="VC101" s="6">
        <f t="shared" si="191"/>
        <v>11.15799425705991</v>
      </c>
      <c r="VD101" s="6">
        <f t="shared" si="191"/>
        <v>10.990624343204011</v>
      </c>
      <c r="VE101" s="6">
        <f t="shared" si="191"/>
        <v>10.82576497805595</v>
      </c>
      <c r="VF101" s="6">
        <f t="shared" si="191"/>
        <v>10.663378503385111</v>
      </c>
      <c r="VG101" s="6">
        <f t="shared" si="191"/>
        <v>10.503427825834335</v>
      </c>
      <c r="VH101" s="6">
        <f t="shared" si="191"/>
        <v>10.34587640844682</v>
      </c>
      <c r="VI101" s="6">
        <f t="shared" si="191"/>
        <v>10.190688262320117</v>
      </c>
      <c r="VJ101" s="6">
        <f t="shared" si="191"/>
        <v>10.037827938385316</v>
      </c>
      <c r="VK101" s="6">
        <f t="shared" si="191"/>
        <v>9.8872605193095371</v>
      </c>
      <c r="VL101" s="6">
        <f t="shared" si="191"/>
        <v>9.7389516115198944</v>
      </c>
      <c r="VM101" s="6">
        <f t="shared" si="191"/>
        <v>9.5928673373470961</v>
      </c>
      <c r="VN101" s="6">
        <f t="shared" si="191"/>
        <v>9.4489743272868889</v>
      </c>
      <c r="VO101" s="6">
        <f t="shared" si="191"/>
        <v>9.3072397123775854</v>
      </c>
      <c r="VP101" s="6">
        <f t="shared" si="191"/>
        <v>9.167631116691922</v>
      </c>
      <c r="VQ101" s="6">
        <f t="shared" si="191"/>
        <v>9.0301166499415437</v>
      </c>
      <c r="VR101" s="6">
        <f t="shared" si="191"/>
        <v>8.8946649001924207</v>
      </c>
      <c r="VS101" s="6">
        <f t="shared" si="191"/>
        <v>8.7612449266895336</v>
      </c>
      <c r="VT101" s="6">
        <f t="shared" si="191"/>
        <v>8.62982625278919</v>
      </c>
      <c r="VU101" s="6">
        <f t="shared" si="191"/>
        <v>8.5003788589973528</v>
      </c>
      <c r="VV101" s="6">
        <f t="shared" si="191"/>
        <v>8.3728731761123925</v>
      </c>
      <c r="VW101" s="6">
        <f t="shared" si="191"/>
        <v>8.2472800784707072</v>
      </c>
      <c r="VX101" s="6">
        <f t="shared" si="191"/>
        <v>8.1235708772936466</v>
      </c>
      <c r="VY101" s="6">
        <f t="shared" si="191"/>
        <v>8.0017173141342415</v>
      </c>
      <c r="VZ101" s="6">
        <f t="shared" si="191"/>
        <v>7.8816915544222281</v>
      </c>
      <c r="WA101" s="6">
        <f t="shared" si="191"/>
        <v>7.7634661811058949</v>
      </c>
      <c r="WB101" s="6">
        <f t="shared" si="191"/>
        <v>7.6470141883893064</v>
      </c>
      <c r="WC101" s="6">
        <f t="shared" si="191"/>
        <v>7.5323089755634669</v>
      </c>
      <c r="WD101" s="6">
        <f t="shared" si="191"/>
        <v>7.4193243409300145</v>
      </c>
      <c r="WE101" s="6">
        <f t="shared" si="191"/>
        <v>7.308034475816064</v>
      </c>
      <c r="WF101" s="6">
        <f t="shared" si="191"/>
        <v>7.1984139586788229</v>
      </c>
      <c r="WG101" s="6">
        <f t="shared" si="191"/>
        <v>7.0904377492986406</v>
      </c>
      <c r="WH101" s="6">
        <f t="shared" si="191"/>
        <v>6.9840811830591605</v>
      </c>
      <c r="WI101" s="6">
        <f t="shared" si="191"/>
        <v>6.8793199653132726</v>
      </c>
      <c r="WJ101" s="6">
        <f t="shared" si="191"/>
        <v>6.7761301658335737</v>
      </c>
      <c r="WK101" s="6">
        <f t="shared" si="191"/>
        <v>6.6744882133460699</v>
      </c>
      <c r="WL101" s="6">
        <f t="shared" si="191"/>
        <v>6.5743708901458788</v>
      </c>
      <c r="WM101" s="6">
        <f t="shared" si="191"/>
        <v>6.4757553267936903</v>
      </c>
      <c r="WN101" s="6">
        <f t="shared" si="191"/>
        <v>6.3786189968917846</v>
      </c>
      <c r="WO101" s="6">
        <f t="shared" si="191"/>
        <v>6.2829397119384076</v>
      </c>
      <c r="WP101" s="6">
        <f t="shared" si="191"/>
        <v>6.1886956162593316</v>
      </c>
      <c r="WQ101" s="6">
        <f t="shared" si="191"/>
        <v>6.0958651820154417</v>
      </c>
      <c r="WR101" s="6">
        <f t="shared" si="191"/>
        <v>6.0044272042852098</v>
      </c>
      <c r="WS101" s="6">
        <f t="shared" si="191"/>
        <v>5.9143607962209312</v>
      </c>
      <c r="WT101" s="6">
        <f t="shared" si="191"/>
        <v>5.8256453842776175</v>
      </c>
      <c r="WU101" s="6">
        <f t="shared" si="191"/>
        <v>5.7382607035134532</v>
      </c>
      <c r="WV101" s="6">
        <f t="shared" si="191"/>
        <v>5.6521867929607517</v>
      </c>
      <c r="WW101" s="6">
        <f t="shared" si="191"/>
        <v>5.5674039910663407</v>
      </c>
      <c r="WX101" s="6">
        <f t="shared" si="191"/>
        <v>5.4838929312003453</v>
      </c>
      <c r="WY101" s="6">
        <f t="shared" si="191"/>
        <v>5.40163453723234</v>
      </c>
      <c r="WZ101" s="6">
        <f t="shared" si="191"/>
        <v>5.3206100191738548</v>
      </c>
      <c r="XA101" s="6">
        <f t="shared" si="191"/>
        <v>5.2408008688862466</v>
      </c>
      <c r="XB101" s="6">
        <f t="shared" si="191"/>
        <v>5.1621888558529525</v>
      </c>
      <c r="XC101" s="6">
        <f t="shared" ref="XC101:XN101" si="192">+XB101*(1+$AU$25)</f>
        <v>5.0847560230151583</v>
      </c>
      <c r="XD101" s="6">
        <f t="shared" si="192"/>
        <v>5.0084846826699305</v>
      </c>
      <c r="XE101" s="6">
        <f t="shared" si="192"/>
        <v>4.9333574124298814</v>
      </c>
      <c r="XF101" s="6">
        <f t="shared" si="192"/>
        <v>4.8593570512434328</v>
      </c>
      <c r="XG101" s="6">
        <f t="shared" si="192"/>
        <v>4.7864666954747808</v>
      </c>
      <c r="XH101" s="6">
        <f t="shared" si="192"/>
        <v>4.7146696950426588</v>
      </c>
      <c r="XI101" s="6">
        <f t="shared" si="192"/>
        <v>4.6439496496170189</v>
      </c>
      <c r="XJ101" s="6">
        <f t="shared" si="192"/>
        <v>4.5742904048727633</v>
      </c>
      <c r="XK101" s="6">
        <f t="shared" si="192"/>
        <v>4.5056760487996721</v>
      </c>
      <c r="XL101" s="6">
        <f t="shared" si="192"/>
        <v>4.4380909080676769</v>
      </c>
      <c r="XM101" s="6">
        <f t="shared" si="192"/>
        <v>4.3715195444466621</v>
      </c>
      <c r="XN101" s="6">
        <f t="shared" si="192"/>
        <v>4.3059467512799623</v>
      </c>
    </row>
    <row r="102" spans="2:638" s="10" customFormat="1" x14ac:dyDescent="0.25">
      <c r="B102" s="10" t="s">
        <v>103</v>
      </c>
      <c r="C102" s="10">
        <f t="shared" ref="C102:O102" si="193">-C89/C71</f>
        <v>6.3928571428571432</v>
      </c>
      <c r="D102" s="10">
        <f t="shared" si="193"/>
        <v>2.9852941176470589</v>
      </c>
      <c r="E102" s="10">
        <f t="shared" si="193"/>
        <v>0.94285714285714284</v>
      </c>
      <c r="F102" s="10">
        <f t="shared" si="193"/>
        <v>-2.2244897959183674</v>
      </c>
      <c r="G102" s="10">
        <f t="shared" si="193"/>
        <v>1.221105527638191</v>
      </c>
      <c r="H102" s="10">
        <f t="shared" si="193"/>
        <v>0.1420678768745067</v>
      </c>
      <c r="I102" s="10">
        <f t="shared" si="193"/>
        <v>0.13562091503267973</v>
      </c>
      <c r="J102" s="10">
        <f t="shared" si="193"/>
        <v>0.1016597510373444</v>
      </c>
      <c r="K102" s="10">
        <f t="shared" si="193"/>
        <v>0.10632746249184605</v>
      </c>
      <c r="L102" s="10">
        <f t="shared" si="193"/>
        <v>9.5871238628411473E-2</v>
      </c>
      <c r="M102" s="10">
        <f t="shared" si="193"/>
        <v>0.13359528487229863</v>
      </c>
      <c r="N102" s="10">
        <f t="shared" si="193"/>
        <v>9.0163934426229511E-2</v>
      </c>
      <c r="O102" s="10">
        <f>-O89/O71</f>
        <v>0.11615833874107723</v>
      </c>
      <c r="P102" s="10" t="e">
        <f t="shared" ref="P102:V102" si="194">-P89/P71</f>
        <v>#DIV/0!</v>
      </c>
      <c r="Q102" s="10" t="e">
        <f t="shared" si="194"/>
        <v>#DIV/0!</v>
      </c>
      <c r="R102" s="10" t="e">
        <f t="shared" si="194"/>
        <v>#DIV/0!</v>
      </c>
      <c r="S102" s="10" t="e">
        <f t="shared" si="194"/>
        <v>#DIV/0!</v>
      </c>
      <c r="T102" s="10" t="e">
        <f t="shared" si="194"/>
        <v>#DIV/0!</v>
      </c>
      <c r="U102" s="10" t="e">
        <f t="shared" si="194"/>
        <v>#DIV/0!</v>
      </c>
      <c r="V102" s="10" t="e">
        <f t="shared" si="194"/>
        <v>#DIV/0!</v>
      </c>
      <c r="AA102" s="10">
        <f t="shared" ref="AA102:AC102" si="195">-AA89/AA71</f>
        <v>3.8365384615384617</v>
      </c>
      <c r="AB102" s="10">
        <f t="shared" si="195"/>
        <v>0.17794970986460348</v>
      </c>
      <c r="AC102" s="10">
        <f t="shared" si="195"/>
        <v>0.10618040987574633</v>
      </c>
      <c r="AD102" s="10" t="e">
        <f t="shared" ref="AD102:AF102" si="196">-AD89/AD71</f>
        <v>#DIV/0!</v>
      </c>
      <c r="AE102" s="10" t="e">
        <f t="shared" si="196"/>
        <v>#DIV/0!</v>
      </c>
      <c r="AF102" s="10" t="e">
        <f t="shared" si="196"/>
        <v>#DIV/0!</v>
      </c>
    </row>
    <row r="103" spans="2:638" s="10" customFormat="1" x14ac:dyDescent="0.25">
      <c r="B103" s="10" t="s">
        <v>104</v>
      </c>
      <c r="G103" s="10">
        <f t="shared" ref="G103:N103" si="197">G101/C101-1</f>
        <v>0.21475550471833005</v>
      </c>
      <c r="H103" s="10">
        <f t="shared" si="197"/>
        <v>3.7938931297709928</v>
      </c>
      <c r="I103" s="10">
        <f t="shared" si="197"/>
        <v>10.878260869565217</v>
      </c>
      <c r="J103" s="10">
        <f t="shared" si="197"/>
        <v>0.26692607003891045</v>
      </c>
      <c r="K103" s="10">
        <f t="shared" si="197"/>
        <v>0.43220338983050843</v>
      </c>
      <c r="L103" s="10">
        <f t="shared" si="197"/>
        <v>0.20222929936305722</v>
      </c>
      <c r="M103" s="10">
        <f t="shared" si="197"/>
        <v>0.30234260614934105</v>
      </c>
      <c r="N103" s="10">
        <f t="shared" si="197"/>
        <v>0.17199017199017197</v>
      </c>
      <c r="O103" s="10">
        <f>O101/K101-1</f>
        <v>3.5009861932938868E-2</v>
      </c>
      <c r="P103" s="10">
        <f t="shared" ref="P103:V103" si="198">P101/L101-1</f>
        <v>-1</v>
      </c>
      <c r="Q103" s="10">
        <f t="shared" si="198"/>
        <v>-1</v>
      </c>
      <c r="R103" s="10">
        <f t="shared" si="198"/>
        <v>-1</v>
      </c>
      <c r="S103" s="10">
        <f t="shared" si="198"/>
        <v>-1</v>
      </c>
      <c r="T103" s="10" t="e">
        <f t="shared" si="198"/>
        <v>#DIV/0!</v>
      </c>
      <c r="U103" s="10" t="e">
        <f t="shared" si="198"/>
        <v>#DIV/0!</v>
      </c>
      <c r="V103" s="10" t="e">
        <f t="shared" si="198"/>
        <v>#DIV/0!</v>
      </c>
      <c r="AB103" s="10">
        <f>+AB101/AA101-1</f>
        <v>0.50451449390147318</v>
      </c>
      <c r="AC103" s="10">
        <f t="shared" ref="AC103:AF103" si="199">+AC101/AB101-1</f>
        <v>0.30911770899136659</v>
      </c>
      <c r="AD103" s="10">
        <f t="shared" si="199"/>
        <v>9.8600611227280144E-2</v>
      </c>
      <c r="AE103" s="10">
        <f t="shared" si="199"/>
        <v>0.1266471449487554</v>
      </c>
      <c r="AF103" s="10">
        <f t="shared" si="199"/>
        <v>5.0352046783626037E-2</v>
      </c>
    </row>
    <row r="104" spans="2:638" s="10" customFormat="1" x14ac:dyDescent="0.25">
      <c r="B104" s="10" t="s">
        <v>197</v>
      </c>
      <c r="C104" s="10">
        <f t="shared" ref="C104:O104" si="200">C101/C5</f>
        <v>0.47186614491971396</v>
      </c>
      <c r="D104" s="10">
        <f t="shared" si="200"/>
        <v>1.6968911917098446E-2</v>
      </c>
      <c r="E104" s="10">
        <f t="shared" si="200"/>
        <v>1.467398239122113E-2</v>
      </c>
      <c r="F104" s="10">
        <f t="shared" si="200"/>
        <v>0.30653625954198471</v>
      </c>
      <c r="G104" s="10">
        <f t="shared" si="200"/>
        <v>0.51509639869043289</v>
      </c>
      <c r="H104" s="10">
        <f t="shared" si="200"/>
        <v>7.2997791468092529E-2</v>
      </c>
      <c r="I104" s="10">
        <f t="shared" si="200"/>
        <v>0.15665137614678898</v>
      </c>
      <c r="J104" s="10">
        <f t="shared" si="200"/>
        <v>0.35059760956175301</v>
      </c>
      <c r="K104" s="10">
        <f t="shared" si="200"/>
        <v>0.66615569911310635</v>
      </c>
      <c r="L104" s="10">
        <f t="shared" si="200"/>
        <v>8.0965147453083114E-2</v>
      </c>
      <c r="M104" s="10">
        <f t="shared" si="200"/>
        <v>0.18837357052096571</v>
      </c>
      <c r="N104" s="10">
        <f t="shared" si="200"/>
        <v>0.38186730711498046</v>
      </c>
      <c r="O104" s="10">
        <f>O101/O5</f>
        <v>0.6406552039881982</v>
      </c>
      <c r="AA104" s="10">
        <f t="shared" ref="AA104:AE104" si="201">AA101/AA5</f>
        <v>0.20135876499106914</v>
      </c>
      <c r="AB104" s="10">
        <f t="shared" si="201"/>
        <v>0.27248472329804629</v>
      </c>
      <c r="AC104" s="10">
        <f t="shared" si="201"/>
        <v>0.32811716585301492</v>
      </c>
      <c r="AD104" s="10">
        <f t="shared" si="201"/>
        <v>0.3315533980582524</v>
      </c>
      <c r="AE104" s="10">
        <f t="shared" si="201"/>
        <v>0.342456608811749</v>
      </c>
      <c r="AF104" s="10">
        <v>0.33</v>
      </c>
      <c r="AG104" s="10">
        <v>0.33</v>
      </c>
      <c r="AH104" s="10">
        <v>0.33</v>
      </c>
      <c r="AI104" s="10">
        <v>0.33</v>
      </c>
      <c r="AJ104" s="10">
        <v>0.33</v>
      </c>
      <c r="AK104" s="10">
        <v>0.33</v>
      </c>
      <c r="AL104" s="10">
        <v>0.33</v>
      </c>
      <c r="AM104" s="10">
        <v>0.33</v>
      </c>
    </row>
    <row r="107" spans="2:638" s="6" customFormat="1" x14ac:dyDescent="0.25">
      <c r="B107" s="6" t="s">
        <v>107</v>
      </c>
      <c r="C107" s="6">
        <v>1632</v>
      </c>
      <c r="D107" s="6">
        <v>1695</v>
      </c>
      <c r="E107" s="6">
        <v>1717</v>
      </c>
      <c r="F107" s="6">
        <v>1787</v>
      </c>
      <c r="G107" s="6">
        <v>1810</v>
      </c>
      <c r="H107" s="6">
        <v>1895</v>
      </c>
      <c r="I107" s="6">
        <v>1906</v>
      </c>
      <c r="J107" s="6">
        <v>1969</v>
      </c>
      <c r="K107" s="6">
        <v>1998</v>
      </c>
      <c r="L107" s="6">
        <v>2071</v>
      </c>
      <c r="M107" s="6">
        <v>2119</v>
      </c>
      <c r="N107" s="6">
        <v>2134</v>
      </c>
      <c r="O107" s="6">
        <v>2131</v>
      </c>
      <c r="AA107" s="6">
        <f t="shared" ref="AA107:AA111" si="202">+C107+D107+E107+F107</f>
        <v>6831</v>
      </c>
      <c r="AB107" s="6">
        <f t="shared" ref="AB107:AB111" si="203">+G107+H107+I107+J107</f>
        <v>7580</v>
      </c>
      <c r="AC107" s="6">
        <f t="shared" ref="AC107:AC111" si="204">+K107+L107+M107+N107</f>
        <v>8322</v>
      </c>
    </row>
    <row r="108" spans="2:638" s="6" customFormat="1" x14ac:dyDescent="0.25">
      <c r="B108" s="6" t="s">
        <v>108</v>
      </c>
      <c r="C108" s="6">
        <v>1761</v>
      </c>
      <c r="D108" s="6">
        <v>1828</v>
      </c>
      <c r="E108" s="6">
        <v>1856</v>
      </c>
      <c r="F108" s="6">
        <v>1924</v>
      </c>
      <c r="G108" s="6">
        <v>1964</v>
      </c>
      <c r="H108" s="6">
        <v>2049</v>
      </c>
      <c r="I108" s="6">
        <v>2074</v>
      </c>
      <c r="J108" s="6">
        <v>2158</v>
      </c>
      <c r="K108" s="6">
        <v>2182</v>
      </c>
      <c r="L108" s="6">
        <v>2257</v>
      </c>
      <c r="M108" s="6">
        <v>2288</v>
      </c>
      <c r="N108" s="6">
        <v>2327</v>
      </c>
      <c r="O108" s="6">
        <v>2334</v>
      </c>
      <c r="AA108" s="6">
        <f t="shared" si="202"/>
        <v>7369</v>
      </c>
      <c r="AB108" s="6">
        <f t="shared" si="203"/>
        <v>8245</v>
      </c>
      <c r="AC108" s="6">
        <f t="shared" si="204"/>
        <v>9054</v>
      </c>
    </row>
    <row r="109" spans="2:638" s="6" customFormat="1" x14ac:dyDescent="0.25">
      <c r="B109" s="6" t="s">
        <v>109</v>
      </c>
      <c r="C109" s="6">
        <v>1419</v>
      </c>
      <c r="D109" s="6">
        <v>1478</v>
      </c>
      <c r="E109" s="6">
        <v>1513</v>
      </c>
      <c r="F109" s="6">
        <v>1557</v>
      </c>
      <c r="G109" s="6">
        <v>1567</v>
      </c>
      <c r="H109" s="6">
        <v>1638</v>
      </c>
      <c r="I109" s="6">
        <v>1686</v>
      </c>
      <c r="J109" s="6">
        <v>1720</v>
      </c>
      <c r="K109" s="6">
        <v>1718</v>
      </c>
      <c r="L109" s="6">
        <v>1786</v>
      </c>
      <c r="M109" s="6">
        <v>1825</v>
      </c>
      <c r="N109" s="6">
        <v>1918</v>
      </c>
      <c r="O109" s="6">
        <v>1963</v>
      </c>
      <c r="AA109" s="6">
        <f t="shared" si="202"/>
        <v>5967</v>
      </c>
      <c r="AB109" s="6">
        <f t="shared" si="203"/>
        <v>6611</v>
      </c>
      <c r="AC109" s="6">
        <f t="shared" si="204"/>
        <v>7247</v>
      </c>
    </row>
    <row r="110" spans="2:638" s="6" customFormat="1" x14ac:dyDescent="0.25">
      <c r="B110" s="6" t="s">
        <v>110</v>
      </c>
      <c r="C110" s="6">
        <v>1089</v>
      </c>
      <c r="D110" s="6">
        <v>1121</v>
      </c>
      <c r="E110" s="6">
        <v>1129</v>
      </c>
      <c r="F110" s="6">
        <v>1177</v>
      </c>
      <c r="G110" s="6">
        <v>1170</v>
      </c>
      <c r="H110" s="6">
        <v>1238</v>
      </c>
      <c r="I110" s="6">
        <v>1230</v>
      </c>
      <c r="J110" s="6">
        <v>1274</v>
      </c>
      <c r="K110" s="6">
        <v>1282</v>
      </c>
      <c r="L110" s="6">
        <v>1308</v>
      </c>
      <c r="M110" s="6">
        <v>1334</v>
      </c>
      <c r="N110" s="6">
        <v>1357</v>
      </c>
      <c r="O110" s="6">
        <v>1325</v>
      </c>
      <c r="AA110" s="6">
        <f t="shared" si="202"/>
        <v>4516</v>
      </c>
      <c r="AB110" s="6">
        <f t="shared" si="203"/>
        <v>4912</v>
      </c>
      <c r="AC110" s="6">
        <f t="shared" si="204"/>
        <v>5281</v>
      </c>
    </row>
    <row r="111" spans="2:638" s="6" customFormat="1" x14ac:dyDescent="0.25">
      <c r="B111" s="6" t="s">
        <v>111</v>
      </c>
      <c r="C111" s="6">
        <v>955</v>
      </c>
      <c r="D111" s="6">
        <v>1021</v>
      </c>
      <c r="E111" s="6">
        <v>1018</v>
      </c>
      <c r="F111" s="6">
        <v>1344</v>
      </c>
      <c r="G111" s="6">
        <v>1131</v>
      </c>
      <c r="H111" s="6">
        <v>1186</v>
      </c>
      <c r="I111" s="6">
        <v>1245</v>
      </c>
      <c r="J111" s="6">
        <v>1627</v>
      </c>
      <c r="K111" s="6">
        <v>1405</v>
      </c>
      <c r="L111" s="6">
        <v>1342</v>
      </c>
      <c r="M111" s="6">
        <v>1313</v>
      </c>
      <c r="N111" s="6">
        <v>1715</v>
      </c>
      <c r="O111" s="6">
        <v>1544</v>
      </c>
      <c r="AA111" s="6">
        <f t="shared" si="202"/>
        <v>4338</v>
      </c>
      <c r="AB111" s="6">
        <f t="shared" si="203"/>
        <v>5189</v>
      </c>
      <c r="AC111" s="6">
        <f t="shared" si="204"/>
        <v>5775</v>
      </c>
    </row>
    <row r="112" spans="2:638" s="7" customFormat="1" x14ac:dyDescent="0.25">
      <c r="B112" s="7" t="s">
        <v>30</v>
      </c>
      <c r="C112" s="7">
        <f t="shared" ref="C112:N112" si="205">SUM(C107:C111)</f>
        <v>6856</v>
      </c>
      <c r="D112" s="7">
        <f t="shared" si="205"/>
        <v>7143</v>
      </c>
      <c r="E112" s="7">
        <f t="shared" si="205"/>
        <v>7233</v>
      </c>
      <c r="F112" s="7">
        <f t="shared" si="205"/>
        <v>7789</v>
      </c>
      <c r="G112" s="7">
        <f t="shared" si="205"/>
        <v>7642</v>
      </c>
      <c r="H112" s="7">
        <f t="shared" si="205"/>
        <v>8006</v>
      </c>
      <c r="I112" s="7">
        <f t="shared" si="205"/>
        <v>8141</v>
      </c>
      <c r="J112" s="7">
        <f t="shared" si="205"/>
        <v>8748</v>
      </c>
      <c r="K112" s="7">
        <f t="shared" si="205"/>
        <v>8585</v>
      </c>
      <c r="L112" s="7">
        <f t="shared" si="205"/>
        <v>8764</v>
      </c>
      <c r="M112" s="7">
        <f t="shared" si="205"/>
        <v>8879</v>
      </c>
      <c r="N112" s="7">
        <f t="shared" si="205"/>
        <v>9451</v>
      </c>
      <c r="O112" s="7">
        <f>SUM(O107:O111)</f>
        <v>9297</v>
      </c>
      <c r="P112" s="7">
        <f t="shared" ref="P112:V112" si="206">SUM(P107:P111)</f>
        <v>0</v>
      </c>
      <c r="Q112" s="7">
        <f t="shared" si="206"/>
        <v>0</v>
      </c>
      <c r="R112" s="7">
        <f t="shared" si="206"/>
        <v>0</v>
      </c>
      <c r="S112" s="7">
        <f t="shared" si="206"/>
        <v>0</v>
      </c>
      <c r="T112" s="7">
        <f t="shared" si="206"/>
        <v>0</v>
      </c>
      <c r="U112" s="7">
        <f t="shared" si="206"/>
        <v>0</v>
      </c>
      <c r="V112" s="7">
        <f t="shared" si="206"/>
        <v>0</v>
      </c>
      <c r="AA112" s="7">
        <f t="shared" ref="AA112" si="207">SUM(AA107:AA111)</f>
        <v>29021</v>
      </c>
      <c r="AB112" s="7">
        <f t="shared" ref="AB112" si="208">SUM(AB107:AB111)</f>
        <v>32537</v>
      </c>
      <c r="AC112" s="7">
        <f t="shared" ref="AC112" si="209">SUM(AC107:AC111)</f>
        <v>35679</v>
      </c>
      <c r="AD112" s="7">
        <f t="shared" ref="AD112" si="210">SUM(AD107:AD111)</f>
        <v>0</v>
      </c>
      <c r="AE112" s="7">
        <f t="shared" ref="AE112" si="211">SUM(AE107:AE111)</f>
        <v>0</v>
      </c>
    </row>
    <row r="114" spans="2:31" s="10" customFormat="1" x14ac:dyDescent="0.25">
      <c r="B114" s="10" t="s">
        <v>112</v>
      </c>
      <c r="G114" s="10">
        <f t="shared" ref="G114:N118" si="212">G107/C107-1</f>
        <v>0.10906862745098045</v>
      </c>
      <c r="H114" s="10">
        <f t="shared" si="212"/>
        <v>0.11799410029498536</v>
      </c>
      <c r="I114" s="10">
        <f t="shared" si="212"/>
        <v>0.11007571345369827</v>
      </c>
      <c r="J114" s="10">
        <f t="shared" si="212"/>
        <v>0.10184667039731399</v>
      </c>
      <c r="K114" s="10">
        <f t="shared" si="212"/>
        <v>0.10386740331491717</v>
      </c>
      <c r="L114" s="10">
        <f t="shared" si="212"/>
        <v>9.2875989445910356E-2</v>
      </c>
      <c r="M114" s="10">
        <f t="shared" si="212"/>
        <v>0.11175236096537255</v>
      </c>
      <c r="N114" s="10">
        <f t="shared" si="212"/>
        <v>8.3798882681564324E-2</v>
      </c>
      <c r="O114" s="10">
        <f>O107/K107-1</f>
        <v>6.6566566566566676E-2</v>
      </c>
      <c r="P114" s="10">
        <f t="shared" ref="P114:V118" si="213">P107/L107-1</f>
        <v>-1</v>
      </c>
      <c r="Q114" s="10">
        <f t="shared" si="213"/>
        <v>-1</v>
      </c>
      <c r="R114" s="10">
        <f t="shared" si="213"/>
        <v>-1</v>
      </c>
      <c r="S114" s="10">
        <f t="shared" si="213"/>
        <v>-1</v>
      </c>
      <c r="T114" s="10" t="e">
        <f t="shared" si="213"/>
        <v>#DIV/0!</v>
      </c>
      <c r="U114" s="10" t="e">
        <f t="shared" si="213"/>
        <v>#DIV/0!</v>
      </c>
      <c r="V114" s="10" t="e">
        <f t="shared" si="213"/>
        <v>#DIV/0!</v>
      </c>
      <c r="AB114" s="10">
        <f t="shared" ref="AB114:AC114" si="214">AB107/AA107-1</f>
        <v>0.10964719660371824</v>
      </c>
      <c r="AC114" s="10">
        <f>AC107/AB107-1</f>
        <v>9.7889182058047419E-2</v>
      </c>
    </row>
    <row r="115" spans="2:31" s="10" customFormat="1" x14ac:dyDescent="0.25">
      <c r="B115" s="10" t="s">
        <v>56</v>
      </c>
      <c r="G115" s="10">
        <f t="shared" si="212"/>
        <v>0.1152754116978989</v>
      </c>
      <c r="H115" s="10">
        <f t="shared" si="212"/>
        <v>0.12089715536105028</v>
      </c>
      <c r="I115" s="10">
        <f t="shared" si="212"/>
        <v>0.1174568965517242</v>
      </c>
      <c r="J115" s="10">
        <f t="shared" si="212"/>
        <v>0.12162162162162171</v>
      </c>
      <c r="K115" s="10">
        <f t="shared" si="212"/>
        <v>0.11099796334012213</v>
      </c>
      <c r="L115" s="10">
        <f t="shared" si="212"/>
        <v>0.10151293313811616</v>
      </c>
      <c r="M115" s="10">
        <f t="shared" si="212"/>
        <v>0.10318225650916113</v>
      </c>
      <c r="N115" s="10">
        <f t="shared" si="212"/>
        <v>7.8313253012048278E-2</v>
      </c>
      <c r="O115" s="10">
        <f t="shared" ref="O115:O118" si="215">O108/K108-1</f>
        <v>6.9660861594867063E-2</v>
      </c>
      <c r="P115" s="10">
        <f t="shared" si="213"/>
        <v>-1</v>
      </c>
      <c r="Q115" s="10">
        <f t="shared" si="213"/>
        <v>-1</v>
      </c>
      <c r="R115" s="10">
        <f t="shared" si="213"/>
        <v>-1</v>
      </c>
      <c r="S115" s="10">
        <f t="shared" si="213"/>
        <v>-1</v>
      </c>
      <c r="T115" s="10" t="e">
        <f t="shared" si="213"/>
        <v>#DIV/0!</v>
      </c>
      <c r="U115" s="10" t="e">
        <f t="shared" si="213"/>
        <v>#DIV/0!</v>
      </c>
      <c r="V115" s="10" t="e">
        <f t="shared" si="213"/>
        <v>#DIV/0!</v>
      </c>
      <c r="AB115" s="10">
        <f t="shared" ref="AB115:AC115" si="216">AB108/AA108-1</f>
        <v>0.11887637399918582</v>
      </c>
      <c r="AC115" s="10">
        <f t="shared" si="216"/>
        <v>9.8120072771376687E-2</v>
      </c>
    </row>
    <row r="116" spans="2:31" s="10" customFormat="1" x14ac:dyDescent="0.25">
      <c r="B116" s="10" t="s">
        <v>113</v>
      </c>
      <c r="G116" s="10">
        <f t="shared" si="212"/>
        <v>0.1042988019732205</v>
      </c>
      <c r="H116" s="10">
        <f t="shared" si="212"/>
        <v>0.10825439783491198</v>
      </c>
      <c r="I116" s="10">
        <f t="shared" si="212"/>
        <v>0.1143423661599472</v>
      </c>
      <c r="J116" s="10">
        <f t="shared" si="212"/>
        <v>0.10468850353243409</v>
      </c>
      <c r="K116" s="10">
        <f t="shared" si="212"/>
        <v>9.6362476068921454E-2</v>
      </c>
      <c r="L116" s="10">
        <f t="shared" si="212"/>
        <v>9.0354090354090255E-2</v>
      </c>
      <c r="M116" s="10">
        <f t="shared" si="212"/>
        <v>8.2443653618030854E-2</v>
      </c>
      <c r="N116" s="10">
        <f t="shared" si="212"/>
        <v>0.11511627906976751</v>
      </c>
      <c r="O116" s="10">
        <f t="shared" si="215"/>
        <v>0.14260768335273566</v>
      </c>
      <c r="P116" s="10">
        <f t="shared" si="213"/>
        <v>-1</v>
      </c>
      <c r="Q116" s="10">
        <f t="shared" si="213"/>
        <v>-1</v>
      </c>
      <c r="R116" s="10">
        <f t="shared" si="213"/>
        <v>-1</v>
      </c>
      <c r="S116" s="10">
        <f t="shared" si="213"/>
        <v>-1</v>
      </c>
      <c r="T116" s="10" t="e">
        <f t="shared" si="213"/>
        <v>#DIV/0!</v>
      </c>
      <c r="U116" s="10" t="e">
        <f t="shared" si="213"/>
        <v>#DIV/0!</v>
      </c>
      <c r="V116" s="10" t="e">
        <f t="shared" si="213"/>
        <v>#DIV/0!</v>
      </c>
      <c r="AB116" s="10">
        <f t="shared" ref="AB116:AC116" si="217">AB109/AA109-1</f>
        <v>0.10792693145634313</v>
      </c>
      <c r="AC116" s="10">
        <f t="shared" si="217"/>
        <v>9.6203297534412258E-2</v>
      </c>
    </row>
    <row r="117" spans="2:31" s="10" customFormat="1" x14ac:dyDescent="0.25">
      <c r="B117" s="10" t="s">
        <v>114</v>
      </c>
      <c r="G117" s="10">
        <f t="shared" si="212"/>
        <v>7.4380165289256173E-2</v>
      </c>
      <c r="H117" s="10">
        <f t="shared" si="212"/>
        <v>0.10437109723461191</v>
      </c>
      <c r="I117" s="10">
        <f t="shared" si="212"/>
        <v>8.9459698848538549E-2</v>
      </c>
      <c r="J117" s="10">
        <f t="shared" si="212"/>
        <v>8.2412914188615183E-2</v>
      </c>
      <c r="K117" s="10">
        <f t="shared" si="212"/>
        <v>9.572649572649583E-2</v>
      </c>
      <c r="L117" s="10">
        <f t="shared" si="212"/>
        <v>5.6542810985460434E-2</v>
      </c>
      <c r="M117" s="10">
        <f t="shared" si="212"/>
        <v>8.4552845528455212E-2</v>
      </c>
      <c r="N117" s="10">
        <f t="shared" si="212"/>
        <v>6.5149136577707933E-2</v>
      </c>
      <c r="O117" s="10">
        <f t="shared" si="215"/>
        <v>3.3541341653666068E-2</v>
      </c>
      <c r="P117" s="10">
        <f t="shared" si="213"/>
        <v>-1</v>
      </c>
      <c r="Q117" s="10">
        <f t="shared" si="213"/>
        <v>-1</v>
      </c>
      <c r="R117" s="10">
        <f t="shared" si="213"/>
        <v>-1</v>
      </c>
      <c r="S117" s="10">
        <f t="shared" si="213"/>
        <v>-1</v>
      </c>
      <c r="T117" s="10" t="e">
        <f t="shared" si="213"/>
        <v>#DIV/0!</v>
      </c>
      <c r="U117" s="10" t="e">
        <f t="shared" si="213"/>
        <v>#DIV/0!</v>
      </c>
      <c r="V117" s="10" t="e">
        <f t="shared" si="213"/>
        <v>#DIV/0!</v>
      </c>
      <c r="AB117" s="10">
        <f t="shared" ref="AB117:AC117" si="218">AB110/AA110-1</f>
        <v>8.7688219663418998E-2</v>
      </c>
      <c r="AC117" s="10">
        <f t="shared" si="218"/>
        <v>7.5122149837133501E-2</v>
      </c>
    </row>
    <row r="118" spans="2:31" s="10" customFormat="1" x14ac:dyDescent="0.25">
      <c r="B118" s="10" t="s">
        <v>115</v>
      </c>
      <c r="G118" s="10">
        <f t="shared" si="212"/>
        <v>0.18429319371727759</v>
      </c>
      <c r="H118" s="10">
        <f t="shared" si="212"/>
        <v>0.16160626836434866</v>
      </c>
      <c r="I118" s="10">
        <f t="shared" si="212"/>
        <v>0.22298624754420437</v>
      </c>
      <c r="J118" s="10">
        <f t="shared" si="212"/>
        <v>0.21056547619047628</v>
      </c>
      <c r="K118" s="10">
        <f t="shared" si="212"/>
        <v>0.24226348364279393</v>
      </c>
      <c r="L118" s="10">
        <f t="shared" si="212"/>
        <v>0.13153456998313651</v>
      </c>
      <c r="M118" s="10">
        <f t="shared" si="212"/>
        <v>5.4618473895582387E-2</v>
      </c>
      <c r="N118" s="10">
        <f t="shared" si="212"/>
        <v>5.4087277197295558E-2</v>
      </c>
      <c r="O118" s="10">
        <f t="shared" si="215"/>
        <v>9.8932384341636981E-2</v>
      </c>
      <c r="P118" s="10">
        <f t="shared" si="213"/>
        <v>-1</v>
      </c>
      <c r="Q118" s="10">
        <f t="shared" si="213"/>
        <v>-1</v>
      </c>
      <c r="R118" s="10">
        <f t="shared" si="213"/>
        <v>-1</v>
      </c>
      <c r="S118" s="10">
        <f t="shared" si="213"/>
        <v>-1</v>
      </c>
      <c r="T118" s="10" t="e">
        <f t="shared" si="213"/>
        <v>#DIV/0!</v>
      </c>
      <c r="U118" s="10" t="e">
        <f t="shared" si="213"/>
        <v>#DIV/0!</v>
      </c>
      <c r="V118" s="10" t="e">
        <f t="shared" si="213"/>
        <v>#DIV/0!</v>
      </c>
      <c r="AB118" s="10">
        <f t="shared" ref="AB118:AC118" si="219">AB111/AA111-1</f>
        <v>0.1961733517750115</v>
      </c>
      <c r="AC118" s="10">
        <f t="shared" si="219"/>
        <v>0.11293120061668915</v>
      </c>
    </row>
    <row r="121" spans="2:31" s="6" customFormat="1" x14ac:dyDescent="0.25">
      <c r="B121" s="6" t="s">
        <v>116</v>
      </c>
      <c r="C121" s="6">
        <v>4971</v>
      </c>
      <c r="D121" s="6">
        <v>5261</v>
      </c>
      <c r="E121" s="6">
        <v>5361</v>
      </c>
      <c r="F121" s="6">
        <v>5657</v>
      </c>
      <c r="G121" s="6">
        <v>5482</v>
      </c>
      <c r="H121" s="6">
        <v>5769</v>
      </c>
      <c r="I121" s="6">
        <v>5862</v>
      </c>
      <c r="J121" s="6">
        <v>6176</v>
      </c>
      <c r="K121" s="6">
        <v>6062</v>
      </c>
      <c r="L121" s="6">
        <v>6201</v>
      </c>
      <c r="M121" s="6">
        <v>6220</v>
      </c>
      <c r="N121" s="6">
        <v>6660</v>
      </c>
      <c r="O121" s="6">
        <v>6469</v>
      </c>
      <c r="AA121" s="6">
        <f t="shared" ref="AA121:AA123" si="220">+C121+D121+E121+F121</f>
        <v>21250</v>
      </c>
      <c r="AB121" s="6">
        <f t="shared" ref="AB121:AB123" si="221">+G121+H121+I121+J121</f>
        <v>23289</v>
      </c>
      <c r="AC121" s="6">
        <f t="shared" ref="AC121:AC123" si="222">+K121+L121+M121+N121</f>
        <v>25143</v>
      </c>
    </row>
    <row r="122" spans="2:31" s="6" customFormat="1" x14ac:dyDescent="0.25">
      <c r="B122" s="6" t="s">
        <v>117</v>
      </c>
      <c r="C122" s="6">
        <v>1738</v>
      </c>
      <c r="D122" s="6">
        <v>1745</v>
      </c>
      <c r="E122" s="6">
        <v>1745</v>
      </c>
      <c r="F122" s="6">
        <v>1935</v>
      </c>
      <c r="G122" s="6">
        <v>1951</v>
      </c>
      <c r="H122" s="6">
        <v>1974</v>
      </c>
      <c r="I122" s="6">
        <v>1998</v>
      </c>
      <c r="J122" s="6">
        <v>2205</v>
      </c>
      <c r="K122" s="6">
        <v>2145</v>
      </c>
      <c r="L122" s="6">
        <v>2184</v>
      </c>
      <c r="M122" s="6">
        <v>2228</v>
      </c>
      <c r="N122" s="6">
        <v>2334</v>
      </c>
      <c r="O122" s="6">
        <v>2337</v>
      </c>
      <c r="AA122" s="6">
        <f t="shared" si="220"/>
        <v>7163</v>
      </c>
      <c r="AB122" s="6">
        <f t="shared" si="221"/>
        <v>8128</v>
      </c>
      <c r="AC122" s="6">
        <f t="shared" si="222"/>
        <v>8891</v>
      </c>
    </row>
    <row r="123" spans="2:31" s="6" customFormat="1" x14ac:dyDescent="0.25">
      <c r="B123" s="6" t="s">
        <v>118</v>
      </c>
      <c r="C123" s="6">
        <v>702</v>
      </c>
      <c r="D123" s="6">
        <v>714</v>
      </c>
      <c r="E123" s="6">
        <v>731</v>
      </c>
      <c r="F123" s="6">
        <v>792</v>
      </c>
      <c r="G123" s="6">
        <v>814</v>
      </c>
      <c r="H123" s="6">
        <v>860</v>
      </c>
      <c r="I123" s="6">
        <v>860</v>
      </c>
      <c r="J123" s="6">
        <v>906</v>
      </c>
      <c r="K123" s="6">
        <v>926</v>
      </c>
      <c r="L123" s="6">
        <v>940</v>
      </c>
      <c r="M123" s="6">
        <v>996</v>
      </c>
      <c r="N123" s="6">
        <v>999</v>
      </c>
      <c r="O123" s="6">
        <v>1023</v>
      </c>
      <c r="AA123" s="6">
        <f t="shared" si="220"/>
        <v>2939</v>
      </c>
      <c r="AB123" s="6">
        <f t="shared" si="221"/>
        <v>3440</v>
      </c>
      <c r="AC123" s="6">
        <f t="shared" si="222"/>
        <v>3861</v>
      </c>
    </row>
    <row r="124" spans="2:31" s="7" customFormat="1" x14ac:dyDescent="0.25">
      <c r="B124" s="7" t="s">
        <v>30</v>
      </c>
      <c r="C124" s="7">
        <f t="shared" ref="C124:N124" si="223">SUM(C121:C123)</f>
        <v>7411</v>
      </c>
      <c r="D124" s="7">
        <f t="shared" si="223"/>
        <v>7720</v>
      </c>
      <c r="E124" s="7">
        <f t="shared" si="223"/>
        <v>7837</v>
      </c>
      <c r="F124" s="7">
        <f t="shared" si="223"/>
        <v>8384</v>
      </c>
      <c r="G124" s="7">
        <f t="shared" si="223"/>
        <v>8247</v>
      </c>
      <c r="H124" s="7">
        <f t="shared" si="223"/>
        <v>8603</v>
      </c>
      <c r="I124" s="7">
        <f t="shared" si="223"/>
        <v>8720</v>
      </c>
      <c r="J124" s="7">
        <f t="shared" si="223"/>
        <v>9287</v>
      </c>
      <c r="K124" s="7">
        <f t="shared" si="223"/>
        <v>9133</v>
      </c>
      <c r="L124" s="7">
        <f t="shared" si="223"/>
        <v>9325</v>
      </c>
      <c r="M124" s="7">
        <f t="shared" si="223"/>
        <v>9444</v>
      </c>
      <c r="N124" s="7">
        <f t="shared" si="223"/>
        <v>9993</v>
      </c>
      <c r="O124" s="7">
        <f>SUM(O121:O123)</f>
        <v>9829</v>
      </c>
      <c r="P124" s="7">
        <f t="shared" ref="P124:V124" si="224">SUM(P121:P123)</f>
        <v>0</v>
      </c>
      <c r="Q124" s="7">
        <f t="shared" si="224"/>
        <v>0</v>
      </c>
      <c r="R124" s="7">
        <f t="shared" si="224"/>
        <v>0</v>
      </c>
      <c r="S124" s="7">
        <f t="shared" si="224"/>
        <v>0</v>
      </c>
      <c r="T124" s="7">
        <f t="shared" si="224"/>
        <v>0</v>
      </c>
      <c r="U124" s="7">
        <f t="shared" si="224"/>
        <v>0</v>
      </c>
      <c r="V124" s="7">
        <f t="shared" si="224"/>
        <v>0</v>
      </c>
      <c r="AA124" s="7">
        <f t="shared" ref="AA124" si="225">SUM(AA121:AA123)</f>
        <v>31352</v>
      </c>
      <c r="AB124" s="7">
        <f t="shared" ref="AB124" si="226">SUM(AB121:AB123)</f>
        <v>34857</v>
      </c>
      <c r="AC124" s="7">
        <f t="shared" ref="AC124" si="227">SUM(AC121:AC123)</f>
        <v>37895</v>
      </c>
      <c r="AD124" s="7">
        <f t="shared" ref="AD124" si="228">SUM(AD121:AD123)</f>
        <v>0</v>
      </c>
      <c r="AE124" s="7">
        <f t="shared" ref="AE124" si="229">SUM(AE121:AE123)</f>
        <v>0</v>
      </c>
    </row>
    <row r="126" spans="2:31" s="10" customFormat="1" x14ac:dyDescent="0.25">
      <c r="B126" s="10" t="s">
        <v>119</v>
      </c>
      <c r="G126" s="10">
        <f t="shared" ref="G126:N126" si="230">G121/C121-1</f>
        <v>0.10279621806477568</v>
      </c>
      <c r="H126" s="10">
        <f t="shared" si="230"/>
        <v>9.6559589431667092E-2</v>
      </c>
      <c r="I126" s="10">
        <f t="shared" si="230"/>
        <v>9.3452714045886953E-2</v>
      </c>
      <c r="J126" s="10">
        <f t="shared" si="230"/>
        <v>9.1744741028813914E-2</v>
      </c>
      <c r="K126" s="10">
        <f t="shared" si="230"/>
        <v>0.10580080262677849</v>
      </c>
      <c r="L126" s="10">
        <f t="shared" si="230"/>
        <v>7.4882995319812684E-2</v>
      </c>
      <c r="M126" s="10">
        <f t="shared" si="230"/>
        <v>6.1071306721255603E-2</v>
      </c>
      <c r="N126" s="10">
        <f t="shared" si="230"/>
        <v>7.836787564766845E-2</v>
      </c>
      <c r="O126" s="10">
        <f>O121/K121-1</f>
        <v>6.7139557901682689E-2</v>
      </c>
      <c r="P126" s="10">
        <f t="shared" ref="P126:V126" si="231">P121/L121-1</f>
        <v>-1</v>
      </c>
      <c r="Q126" s="10">
        <f t="shared" si="231"/>
        <v>-1</v>
      </c>
      <c r="R126" s="10">
        <f t="shared" si="231"/>
        <v>-1</v>
      </c>
      <c r="S126" s="10">
        <f t="shared" si="231"/>
        <v>-1</v>
      </c>
      <c r="T126" s="10" t="e">
        <f t="shared" si="231"/>
        <v>#DIV/0!</v>
      </c>
      <c r="U126" s="10" t="e">
        <f t="shared" si="231"/>
        <v>#DIV/0!</v>
      </c>
      <c r="V126" s="10" t="e">
        <f t="shared" si="231"/>
        <v>#DIV/0!</v>
      </c>
      <c r="AB126" s="10">
        <f t="shared" ref="AB126:AC126" si="232">AB121/AA121-1</f>
        <v>9.5952941176470574E-2</v>
      </c>
      <c r="AC126" s="10">
        <f>AC121/AB121-1</f>
        <v>7.9608398814891235E-2</v>
      </c>
    </row>
    <row r="127" spans="2:31" s="10" customFormat="1" x14ac:dyDescent="0.25">
      <c r="B127" s="10" t="s">
        <v>120</v>
      </c>
      <c r="G127" s="10">
        <f t="shared" ref="G127:V127" si="233">G122/C122-1</f>
        <v>0.12255466052934416</v>
      </c>
      <c r="H127" s="10">
        <f t="shared" si="233"/>
        <v>0.13123209169054451</v>
      </c>
      <c r="I127" s="10">
        <f t="shared" si="233"/>
        <v>0.14498567335243551</v>
      </c>
      <c r="J127" s="10">
        <f t="shared" si="233"/>
        <v>0.13953488372093026</v>
      </c>
      <c r="K127" s="10">
        <f t="shared" si="233"/>
        <v>9.9436186570989182E-2</v>
      </c>
      <c r="L127" s="10">
        <f t="shared" si="233"/>
        <v>0.1063829787234043</v>
      </c>
      <c r="M127" s="10">
        <f t="shared" si="233"/>
        <v>0.11511511511511507</v>
      </c>
      <c r="N127" s="10">
        <f t="shared" si="233"/>
        <v>5.8503401360544327E-2</v>
      </c>
      <c r="O127" s="10">
        <f t="shared" si="233"/>
        <v>8.9510489510489455E-2</v>
      </c>
      <c r="P127" s="10">
        <f t="shared" si="233"/>
        <v>-1</v>
      </c>
      <c r="Q127" s="10">
        <f t="shared" si="233"/>
        <v>-1</v>
      </c>
      <c r="R127" s="10">
        <f t="shared" si="233"/>
        <v>-1</v>
      </c>
      <c r="S127" s="10">
        <f t="shared" si="233"/>
        <v>-1</v>
      </c>
      <c r="T127" s="10" t="e">
        <f t="shared" si="233"/>
        <v>#DIV/0!</v>
      </c>
      <c r="U127" s="10" t="e">
        <f t="shared" si="233"/>
        <v>#DIV/0!</v>
      </c>
      <c r="V127" s="10" t="e">
        <f t="shared" si="233"/>
        <v>#DIV/0!</v>
      </c>
      <c r="AB127" s="10">
        <f t="shared" ref="AB127:AC127" si="234">AB122/AA122-1</f>
        <v>0.13472008934803847</v>
      </c>
      <c r="AC127" s="10">
        <f t="shared" si="234"/>
        <v>9.3873031496062964E-2</v>
      </c>
    </row>
    <row r="128" spans="2:31" s="10" customFormat="1" x14ac:dyDescent="0.25">
      <c r="B128" s="10" t="s">
        <v>121</v>
      </c>
      <c r="G128" s="10">
        <f t="shared" ref="G128:V128" si="235">G123/C123-1</f>
        <v>0.15954415954415957</v>
      </c>
      <c r="H128" s="10">
        <f t="shared" si="235"/>
        <v>0.20448179271708677</v>
      </c>
      <c r="I128" s="10">
        <f t="shared" si="235"/>
        <v>0.17647058823529416</v>
      </c>
      <c r="J128" s="10">
        <f t="shared" si="235"/>
        <v>0.14393939393939403</v>
      </c>
      <c r="K128" s="10">
        <f t="shared" si="235"/>
        <v>0.13759213759213762</v>
      </c>
      <c r="L128" s="10">
        <f t="shared" si="235"/>
        <v>9.3023255813953432E-2</v>
      </c>
      <c r="M128" s="10">
        <f t="shared" si="235"/>
        <v>0.1581395348837209</v>
      </c>
      <c r="N128" s="10">
        <f t="shared" si="235"/>
        <v>0.10264900662251653</v>
      </c>
      <c r="O128" s="10">
        <f t="shared" si="235"/>
        <v>0.10475161987041037</v>
      </c>
      <c r="P128" s="10">
        <f t="shared" si="235"/>
        <v>-1</v>
      </c>
      <c r="Q128" s="10">
        <f t="shared" si="235"/>
        <v>-1</v>
      </c>
      <c r="R128" s="10">
        <f t="shared" si="235"/>
        <v>-1</v>
      </c>
      <c r="S128" s="10">
        <f t="shared" si="235"/>
        <v>-1</v>
      </c>
      <c r="T128" s="10" t="e">
        <f t="shared" si="235"/>
        <v>#DIV/0!</v>
      </c>
      <c r="U128" s="10" t="e">
        <f t="shared" si="235"/>
        <v>#DIV/0!</v>
      </c>
      <c r="V128" s="10" t="e">
        <f t="shared" si="235"/>
        <v>#DIV/0!</v>
      </c>
      <c r="AB128" s="10">
        <f t="shared" ref="AB128:AC128" si="236">AB123/AA123-1</f>
        <v>0.17046614494726087</v>
      </c>
      <c r="AC128" s="10">
        <f t="shared" si="236"/>
        <v>0.12238372093023253</v>
      </c>
    </row>
    <row r="131" spans="2:22" x14ac:dyDescent="0.25">
      <c r="B131" s="5" t="s">
        <v>126</v>
      </c>
    </row>
    <row r="132" spans="2:22" s="18" customFormat="1" x14ac:dyDescent="0.25">
      <c r="B132" s="18" t="s">
        <v>123</v>
      </c>
      <c r="C132" s="18">
        <v>21.5</v>
      </c>
      <c r="D132" s="18">
        <v>21.5</v>
      </c>
      <c r="E132" s="18">
        <v>20.9</v>
      </c>
      <c r="F132" s="18">
        <v>24.6</v>
      </c>
      <c r="G132" s="18">
        <v>24.1</v>
      </c>
      <c r="H132" s="18">
        <v>24.1</v>
      </c>
      <c r="I132" s="18">
        <v>23.9</v>
      </c>
      <c r="J132" s="18">
        <v>27.6</v>
      </c>
      <c r="K132" s="18">
        <v>26.4</v>
      </c>
      <c r="L132" s="18">
        <v>26.5</v>
      </c>
      <c r="M132" s="18">
        <v>26.4</v>
      </c>
      <c r="N132" s="18">
        <v>30.2</v>
      </c>
      <c r="O132" s="18">
        <v>29.6</v>
      </c>
    </row>
    <row r="133" spans="2:22" s="18" customFormat="1" x14ac:dyDescent="0.25">
      <c r="B133" s="18" t="s">
        <v>124</v>
      </c>
      <c r="C133" s="18">
        <v>20.5</v>
      </c>
      <c r="D133" s="18">
        <v>20.100000000000001</v>
      </c>
      <c r="E133" s="18">
        <v>19.100000000000001</v>
      </c>
      <c r="F133" s="18">
        <v>24</v>
      </c>
      <c r="G133" s="18">
        <v>22.6</v>
      </c>
      <c r="H133" s="18">
        <v>22.5</v>
      </c>
      <c r="I133" s="18">
        <v>24.4</v>
      </c>
      <c r="J133" s="18">
        <v>29.3</v>
      </c>
      <c r="K133" s="18">
        <v>27.5</v>
      </c>
      <c r="L133" s="18">
        <v>27</v>
      </c>
      <c r="M133" s="18">
        <v>26.7</v>
      </c>
      <c r="N133" s="18">
        <v>33.200000000000003</v>
      </c>
      <c r="O133" s="18">
        <v>31.3</v>
      </c>
    </row>
    <row r="134" spans="2:22" s="5" customFormat="1" x14ac:dyDescent="0.25">
      <c r="B134" s="5" t="s">
        <v>125</v>
      </c>
      <c r="C134" s="5">
        <f t="shared" ref="C134:N134" si="237">SUM(C132:C133)</f>
        <v>42</v>
      </c>
      <c r="D134" s="5">
        <f t="shared" si="237"/>
        <v>41.6</v>
      </c>
      <c r="E134" s="5">
        <f t="shared" si="237"/>
        <v>40</v>
      </c>
      <c r="F134" s="5">
        <f t="shared" si="237"/>
        <v>48.6</v>
      </c>
      <c r="G134" s="5">
        <f t="shared" si="237"/>
        <v>46.7</v>
      </c>
      <c r="H134" s="5">
        <f t="shared" si="237"/>
        <v>46.6</v>
      </c>
      <c r="I134" s="5">
        <f t="shared" si="237"/>
        <v>48.3</v>
      </c>
      <c r="J134" s="5">
        <f t="shared" si="237"/>
        <v>56.900000000000006</v>
      </c>
      <c r="K134" s="5">
        <f t="shared" si="237"/>
        <v>53.9</v>
      </c>
      <c r="L134" s="5">
        <f t="shared" si="237"/>
        <v>53.5</v>
      </c>
      <c r="M134" s="5">
        <f t="shared" si="237"/>
        <v>53.099999999999994</v>
      </c>
      <c r="N134" s="5">
        <f t="shared" si="237"/>
        <v>63.400000000000006</v>
      </c>
      <c r="O134" s="5">
        <f>SUM(O132:O133)</f>
        <v>60.900000000000006</v>
      </c>
      <c r="P134" s="5">
        <f t="shared" ref="P134:V134" si="238">SUM(P132:P133)</f>
        <v>0</v>
      </c>
      <c r="Q134" s="5">
        <f t="shared" si="238"/>
        <v>0</v>
      </c>
      <c r="R134" s="5">
        <f t="shared" si="238"/>
        <v>0</v>
      </c>
      <c r="S134" s="5">
        <f t="shared" si="238"/>
        <v>0</v>
      </c>
      <c r="T134" s="5">
        <f t="shared" si="238"/>
        <v>0</v>
      </c>
      <c r="U134" s="5">
        <f t="shared" si="238"/>
        <v>0</v>
      </c>
      <c r="V134" s="5">
        <f t="shared" si="238"/>
        <v>0</v>
      </c>
    </row>
  </sheetData>
  <phoneticPr fontId="4" type="noConversion"/>
  <hyperlinks>
    <hyperlink ref="A1" location="Main!A1" display="Main" xr:uid="{0C04AD66-4AB9-4295-9EFE-6A50E024B901}"/>
  </hyperlinks>
  <pageMargins left="0.7" right="0.7" top="0.75" bottom="0.75" header="0.3" footer="0.3"/>
  <ignoredErrors>
    <ignoredError sqref="AA18:AC20 AA5:AC5 AA82:AC95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Business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2025-08-12T14:46:54Z</dcterms:modified>
</cp:coreProperties>
</file>