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C63E0060-E80B-4A1F-9AF6-79A0E06BA7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  <sheet name="Weights &amp; Bias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29" i="2" l="1"/>
  <c r="T128" i="2"/>
  <c r="S129" i="2"/>
  <c r="R129" i="2"/>
  <c r="Q129" i="2"/>
  <c r="P129" i="2"/>
  <c r="K129" i="2"/>
  <c r="J129" i="2"/>
  <c r="I129" i="2"/>
  <c r="H129" i="2"/>
  <c r="G129" i="2"/>
  <c r="F129" i="2"/>
  <c r="E129" i="2"/>
  <c r="D129" i="2"/>
  <c r="C129" i="2"/>
  <c r="P128" i="2"/>
  <c r="R128" i="2"/>
  <c r="Q128" i="2"/>
  <c r="K128" i="2"/>
  <c r="J128" i="2"/>
  <c r="I128" i="2"/>
  <c r="H128" i="2"/>
  <c r="G128" i="2"/>
  <c r="F128" i="2"/>
  <c r="E128" i="2"/>
  <c r="D128" i="2"/>
  <c r="C128" i="2"/>
  <c r="T127" i="2"/>
  <c r="R127" i="2"/>
  <c r="J127" i="2"/>
  <c r="K127" i="2"/>
  <c r="I127" i="2"/>
  <c r="H127" i="2"/>
  <c r="G127" i="2"/>
  <c r="F127" i="2"/>
  <c r="H173" i="2"/>
  <c r="S117" i="2"/>
  <c r="S116" i="2"/>
  <c r="S115" i="2"/>
  <c r="S114" i="2"/>
  <c r="S113" i="2"/>
  <c r="S112" i="2"/>
  <c r="S111" i="2"/>
  <c r="S110" i="2"/>
  <c r="S109" i="2"/>
  <c r="S108" i="2"/>
  <c r="S107" i="2"/>
  <c r="S105" i="2"/>
  <c r="S104" i="2"/>
  <c r="S103" i="2"/>
  <c r="S102" i="2"/>
  <c r="S101" i="2"/>
  <c r="S100" i="2"/>
  <c r="S99" i="2"/>
  <c r="S98" i="2"/>
  <c r="S97" i="2"/>
  <c r="S128" i="2" s="1"/>
  <c r="S95" i="2"/>
  <c r="S94" i="2"/>
  <c r="S93" i="2"/>
  <c r="S92" i="2"/>
  <c r="S91" i="2"/>
  <c r="S90" i="2"/>
  <c r="S88" i="2"/>
  <c r="S87" i="2"/>
  <c r="S86" i="2"/>
  <c r="S85" i="2"/>
  <c r="S84" i="2"/>
  <c r="S83" i="2"/>
  <c r="S127" i="2" s="1"/>
  <c r="T78" i="2"/>
  <c r="T77" i="2"/>
  <c r="T76" i="2"/>
  <c r="T74" i="2"/>
  <c r="T73" i="2"/>
  <c r="T72" i="2"/>
  <c r="T70" i="2"/>
  <c r="T69" i="2"/>
  <c r="S82" i="2"/>
  <c r="S17" i="2"/>
  <c r="S15" i="2"/>
  <c r="S13" i="2"/>
  <c r="S12" i="2"/>
  <c r="S11" i="2"/>
  <c r="S8" i="2"/>
  <c r="S7" i="2"/>
  <c r="S6" i="2"/>
  <c r="S4" i="2"/>
  <c r="S3" i="2"/>
  <c r="S26" i="2" s="1"/>
  <c r="J12" i="1"/>
  <c r="S65" i="2"/>
  <c r="S59" i="2"/>
  <c r="S73" i="2" s="1"/>
  <c r="S33" i="2"/>
  <c r="S44" i="2" s="1"/>
  <c r="S76" i="2" s="1"/>
  <c r="K70" i="2"/>
  <c r="K69" i="2"/>
  <c r="J33" i="2"/>
  <c r="J11" i="1" s="1"/>
  <c r="K26" i="2"/>
  <c r="J26" i="2"/>
  <c r="J9" i="1"/>
  <c r="Y166" i="2"/>
  <c r="Y168" i="2" s="1"/>
  <c r="S168" i="2"/>
  <c r="K173" i="2"/>
  <c r="J173" i="2"/>
  <c r="I173" i="2"/>
  <c r="G173" i="2"/>
  <c r="F173" i="2"/>
  <c r="D173" i="2"/>
  <c r="C173" i="2"/>
  <c r="E173" i="2"/>
  <c r="H168" i="2"/>
  <c r="G168" i="2"/>
  <c r="F168" i="2"/>
  <c r="E168" i="2"/>
  <c r="D168" i="2"/>
  <c r="C168" i="2"/>
  <c r="K168" i="2"/>
  <c r="J168" i="2"/>
  <c r="I168" i="2"/>
  <c r="S74" i="2" l="1"/>
  <c r="S70" i="2"/>
  <c r="S72" i="2"/>
  <c r="S78" i="2"/>
  <c r="S69" i="2"/>
  <c r="S77" i="2"/>
  <c r="S32" i="2"/>
  <c r="S66" i="2"/>
  <c r="J44" i="2"/>
  <c r="J59" i="2"/>
  <c r="J70" i="2"/>
  <c r="K140" i="2"/>
  <c r="J140" i="2"/>
  <c r="K139" i="2"/>
  <c r="J139" i="2"/>
  <c r="K137" i="2"/>
  <c r="J137" i="2"/>
  <c r="K136" i="2"/>
  <c r="J136" i="2"/>
  <c r="K135" i="2"/>
  <c r="J135" i="2"/>
  <c r="K134" i="2"/>
  <c r="J134" i="2"/>
  <c r="I89" i="2"/>
  <c r="I63" i="2"/>
  <c r="I65" i="2" s="1"/>
  <c r="I33" i="2"/>
  <c r="I32" i="2" s="1"/>
  <c r="J10" i="1"/>
  <c r="I59" i="2"/>
  <c r="R70" i="2"/>
  <c r="Q70" i="2"/>
  <c r="R69" i="2"/>
  <c r="Q69" i="2"/>
  <c r="G70" i="2"/>
  <c r="F70" i="2"/>
  <c r="E70" i="2"/>
  <c r="G69" i="2"/>
  <c r="F69" i="2"/>
  <c r="E69" i="2"/>
  <c r="H70" i="2"/>
  <c r="H69" i="2"/>
  <c r="F118" i="2"/>
  <c r="F136" i="2"/>
  <c r="F140" i="2"/>
  <c r="R95" i="2"/>
  <c r="R89" i="2"/>
  <c r="S9" i="2"/>
  <c r="S5" i="2"/>
  <c r="S20" i="2" s="1"/>
  <c r="F139" i="2"/>
  <c r="F135" i="2"/>
  <c r="F9" i="2"/>
  <c r="F5" i="2"/>
  <c r="S135" i="2"/>
  <c r="Q26" i="2"/>
  <c r="R26" i="2"/>
  <c r="R61" i="2"/>
  <c r="R65" i="2" s="1"/>
  <c r="R59" i="2"/>
  <c r="R44" i="2"/>
  <c r="R77" i="2" s="1"/>
  <c r="R32" i="2"/>
  <c r="E118" i="2"/>
  <c r="E136" i="2"/>
  <c r="E140" i="2"/>
  <c r="P95" i="2"/>
  <c r="P96" i="2" s="1"/>
  <c r="Q114" i="2"/>
  <c r="Q118" i="2" s="1"/>
  <c r="P105" i="2"/>
  <c r="P106" i="2" s="1"/>
  <c r="Q95" i="2"/>
  <c r="Q96" i="2" s="1"/>
  <c r="T118" i="2"/>
  <c r="S118" i="2"/>
  <c r="R118" i="2"/>
  <c r="P118" i="2"/>
  <c r="T106" i="2"/>
  <c r="S106" i="2"/>
  <c r="R106" i="2"/>
  <c r="Q106" i="2"/>
  <c r="T96" i="2"/>
  <c r="T81" i="2"/>
  <c r="Q61" i="2"/>
  <c r="Q65" i="2" s="1"/>
  <c r="E61" i="2"/>
  <c r="E65" i="2" s="1"/>
  <c r="Q59" i="2"/>
  <c r="Q44" i="2"/>
  <c r="Q73" i="2" s="1"/>
  <c r="Q32" i="2"/>
  <c r="C5" i="2"/>
  <c r="C20" i="2" s="1"/>
  <c r="C9" i="2"/>
  <c r="S140" i="2"/>
  <c r="R140" i="2"/>
  <c r="S139" i="2"/>
  <c r="R139" i="2"/>
  <c r="S137" i="2"/>
  <c r="R137" i="2"/>
  <c r="S136" i="2"/>
  <c r="R136" i="2"/>
  <c r="R135" i="2"/>
  <c r="S134" i="2"/>
  <c r="R134" i="2"/>
  <c r="Q141" i="2"/>
  <c r="Q142" i="2" s="1"/>
  <c r="P141" i="2"/>
  <c r="P142" i="2" s="1"/>
  <c r="K9" i="2"/>
  <c r="K5" i="2"/>
  <c r="K20" i="2" s="1"/>
  <c r="I26" i="2"/>
  <c r="R9" i="2"/>
  <c r="Q9" i="2"/>
  <c r="P9" i="2"/>
  <c r="R5" i="2"/>
  <c r="R20" i="2" s="1"/>
  <c r="Q5" i="2"/>
  <c r="Q20" i="2" s="1"/>
  <c r="P5" i="2"/>
  <c r="P20" i="2" s="1"/>
  <c r="H118" i="2"/>
  <c r="H106" i="2"/>
  <c r="D106" i="2"/>
  <c r="D136" i="2"/>
  <c r="D96" i="2"/>
  <c r="D124" i="2" s="1"/>
  <c r="K118" i="2"/>
  <c r="J118" i="2"/>
  <c r="I118" i="2"/>
  <c r="G118" i="2"/>
  <c r="D118" i="2"/>
  <c r="C118" i="2"/>
  <c r="K106" i="2"/>
  <c r="J106" i="2"/>
  <c r="I106" i="2"/>
  <c r="G106" i="2"/>
  <c r="F106" i="2"/>
  <c r="E106" i="2"/>
  <c r="C106" i="2"/>
  <c r="K96" i="2"/>
  <c r="K123" i="2" s="1"/>
  <c r="J96" i="2"/>
  <c r="J123" i="2" s="1"/>
  <c r="H96" i="2"/>
  <c r="G96" i="2"/>
  <c r="F96" i="2"/>
  <c r="E96" i="2"/>
  <c r="E124" i="2" s="1"/>
  <c r="C96" i="2"/>
  <c r="C124" i="2" s="1"/>
  <c r="G61" i="2"/>
  <c r="G65" i="2" s="1"/>
  <c r="G138" i="2"/>
  <c r="G140" i="2"/>
  <c r="D140" i="2"/>
  <c r="C140" i="2"/>
  <c r="G139" i="2"/>
  <c r="E139" i="2"/>
  <c r="D139" i="2"/>
  <c r="C139" i="2"/>
  <c r="G137" i="2"/>
  <c r="F137" i="2"/>
  <c r="E137" i="2"/>
  <c r="D137" i="2"/>
  <c r="C137" i="2"/>
  <c r="G136" i="2"/>
  <c r="C136" i="2"/>
  <c r="G135" i="2"/>
  <c r="E135" i="2"/>
  <c r="D135" i="2"/>
  <c r="C135" i="2"/>
  <c r="G134" i="2"/>
  <c r="F134" i="2"/>
  <c r="E134" i="2"/>
  <c r="D134" i="2"/>
  <c r="C134" i="2"/>
  <c r="I140" i="2"/>
  <c r="I139" i="2"/>
  <c r="I137" i="2"/>
  <c r="I136" i="2"/>
  <c r="I135" i="2"/>
  <c r="I134" i="2"/>
  <c r="H140" i="2"/>
  <c r="H139" i="2"/>
  <c r="H137" i="2"/>
  <c r="H136" i="2"/>
  <c r="H134" i="2"/>
  <c r="H135" i="2"/>
  <c r="Q27" i="3"/>
  <c r="Q20" i="3"/>
  <c r="Q11" i="3"/>
  <c r="E29" i="1"/>
  <c r="K32" i="2"/>
  <c r="J32" i="2"/>
  <c r="G32" i="2"/>
  <c r="F32" i="2"/>
  <c r="E32" i="2"/>
  <c r="D32" i="2"/>
  <c r="C32" i="2"/>
  <c r="H32" i="2"/>
  <c r="F61" i="2"/>
  <c r="F65" i="2" s="1"/>
  <c r="H60" i="2"/>
  <c r="H61" i="2"/>
  <c r="K65" i="2"/>
  <c r="J65" i="2"/>
  <c r="D65" i="2"/>
  <c r="C65" i="2"/>
  <c r="K59" i="2"/>
  <c r="G59" i="2"/>
  <c r="F59" i="2"/>
  <c r="E59" i="2"/>
  <c r="D59" i="2"/>
  <c r="C59" i="2"/>
  <c r="H59" i="2"/>
  <c r="K44" i="2"/>
  <c r="G44" i="2"/>
  <c r="G77" i="2" s="1"/>
  <c r="F44" i="2"/>
  <c r="F76" i="2" s="1"/>
  <c r="E44" i="2"/>
  <c r="E77" i="2" s="1"/>
  <c r="D44" i="2"/>
  <c r="C44" i="2"/>
  <c r="H44" i="2"/>
  <c r="H77" i="2" s="1"/>
  <c r="G26" i="2"/>
  <c r="H26" i="2"/>
  <c r="J9" i="2"/>
  <c r="I9" i="2"/>
  <c r="G9" i="2"/>
  <c r="E9" i="2"/>
  <c r="D9" i="2"/>
  <c r="H9" i="2"/>
  <c r="J5" i="2"/>
  <c r="J20" i="2" s="1"/>
  <c r="I5" i="2"/>
  <c r="I20" i="2" s="1"/>
  <c r="G5" i="2"/>
  <c r="E5" i="2"/>
  <c r="E20" i="2" s="1"/>
  <c r="D5" i="2"/>
  <c r="D20" i="2" s="1"/>
  <c r="H5" i="2"/>
  <c r="H20" i="2" s="1"/>
  <c r="K74" i="2" l="1"/>
  <c r="R96" i="2"/>
  <c r="R119" i="2" s="1"/>
  <c r="I96" i="2"/>
  <c r="I119" i="2" s="1"/>
  <c r="S89" i="2"/>
  <c r="S96" i="2" s="1"/>
  <c r="S119" i="2" s="1"/>
  <c r="H125" i="2"/>
  <c r="K125" i="2"/>
  <c r="I125" i="2"/>
  <c r="I124" i="2"/>
  <c r="K73" i="2"/>
  <c r="K72" i="2"/>
  <c r="J125" i="2"/>
  <c r="E76" i="2"/>
  <c r="K78" i="2"/>
  <c r="K77" i="2"/>
  <c r="K76" i="2"/>
  <c r="G76" i="2"/>
  <c r="Q76" i="2"/>
  <c r="E72" i="2"/>
  <c r="J76" i="2"/>
  <c r="J77" i="2"/>
  <c r="J78" i="2"/>
  <c r="J74" i="2"/>
  <c r="J69" i="2"/>
  <c r="F125" i="2"/>
  <c r="G125" i="2"/>
  <c r="I72" i="2"/>
  <c r="I69" i="2"/>
  <c r="R76" i="2"/>
  <c r="I70" i="2"/>
  <c r="E78" i="2"/>
  <c r="F73" i="2"/>
  <c r="Q72" i="2"/>
  <c r="F78" i="2"/>
  <c r="G78" i="2"/>
  <c r="F72" i="2"/>
  <c r="Q78" i="2"/>
  <c r="F124" i="2"/>
  <c r="R78" i="2"/>
  <c r="G124" i="2"/>
  <c r="H73" i="2"/>
  <c r="H78" i="2"/>
  <c r="H124" i="2"/>
  <c r="H76" i="2"/>
  <c r="J124" i="2"/>
  <c r="K124" i="2"/>
  <c r="J73" i="2"/>
  <c r="J72" i="2"/>
  <c r="I44" i="2"/>
  <c r="I73" i="2" s="1"/>
  <c r="F77" i="2"/>
  <c r="E74" i="2"/>
  <c r="E73" i="2"/>
  <c r="F74" i="2"/>
  <c r="R74" i="2"/>
  <c r="G74" i="2"/>
  <c r="Q74" i="2"/>
  <c r="G73" i="2"/>
  <c r="R73" i="2"/>
  <c r="Q77" i="2"/>
  <c r="G72" i="2"/>
  <c r="G119" i="2"/>
  <c r="R72" i="2"/>
  <c r="H10" i="2"/>
  <c r="J119" i="2"/>
  <c r="K119" i="2"/>
  <c r="K10" i="2"/>
  <c r="K28" i="2" s="1"/>
  <c r="C10" i="2"/>
  <c r="T119" i="2"/>
  <c r="S10" i="2"/>
  <c r="R66" i="2"/>
  <c r="C119" i="2"/>
  <c r="C121" i="2" s="1"/>
  <c r="D120" i="2" s="1"/>
  <c r="F119" i="2"/>
  <c r="Q143" i="2"/>
  <c r="E119" i="2"/>
  <c r="Q119" i="2"/>
  <c r="P119" i="2"/>
  <c r="P121" i="2" s="1"/>
  <c r="Q120" i="2" s="1"/>
  <c r="Q66" i="2"/>
  <c r="P10" i="2"/>
  <c r="Q10" i="2"/>
  <c r="R10" i="2"/>
  <c r="H119" i="2"/>
  <c r="D119" i="2"/>
  <c r="Q21" i="3"/>
  <c r="J14" i="1"/>
  <c r="F10" i="2"/>
  <c r="J10" i="2"/>
  <c r="J28" i="2" s="1"/>
  <c r="H65" i="2"/>
  <c r="G10" i="2"/>
  <c r="D66" i="2"/>
  <c r="E66" i="2"/>
  <c r="E10" i="2"/>
  <c r="E28" i="2" s="1"/>
  <c r="K66" i="2"/>
  <c r="C66" i="2"/>
  <c r="F66" i="2"/>
  <c r="G66" i="2"/>
  <c r="I66" i="2"/>
  <c r="J66" i="2"/>
  <c r="F20" i="2"/>
  <c r="G20" i="2"/>
  <c r="I10" i="2"/>
  <c r="I28" i="2" s="1"/>
  <c r="D10" i="2"/>
  <c r="D28" i="2" s="1"/>
  <c r="F14" i="2" l="1"/>
  <c r="F16" i="2" s="1"/>
  <c r="F28" i="2"/>
  <c r="H14" i="2"/>
  <c r="H16" i="2" s="1"/>
  <c r="H28" i="2"/>
  <c r="C14" i="2"/>
  <c r="C28" i="2"/>
  <c r="G14" i="2"/>
  <c r="G23" i="2" s="1"/>
  <c r="G28" i="2"/>
  <c r="I74" i="2"/>
  <c r="E14" i="2"/>
  <c r="D14" i="2"/>
  <c r="I14" i="2"/>
  <c r="I76" i="2"/>
  <c r="I78" i="2"/>
  <c r="I77" i="2"/>
  <c r="J14" i="2"/>
  <c r="J16" i="2" s="1"/>
  <c r="J133" i="2" s="1"/>
  <c r="J141" i="2" s="1"/>
  <c r="J29" i="2" s="1"/>
  <c r="H23" i="2"/>
  <c r="C16" i="2"/>
  <c r="C18" i="2" s="1"/>
  <c r="G22" i="2"/>
  <c r="K14" i="2"/>
  <c r="K16" i="2" s="1"/>
  <c r="K133" i="2" s="1"/>
  <c r="K141" i="2" s="1"/>
  <c r="K29" i="2" s="1"/>
  <c r="H21" i="2"/>
  <c r="H22" i="2"/>
  <c r="H66" i="2"/>
  <c r="H72" i="2"/>
  <c r="H74" i="2"/>
  <c r="F22" i="2"/>
  <c r="S22" i="2"/>
  <c r="S21" i="2"/>
  <c r="S14" i="2"/>
  <c r="F21" i="2"/>
  <c r="J21" i="2"/>
  <c r="D121" i="2"/>
  <c r="E120" i="2" s="1"/>
  <c r="E121" i="2"/>
  <c r="F120" i="2" s="1"/>
  <c r="F121" i="2" s="1"/>
  <c r="G120" i="2" s="1"/>
  <c r="G121" i="2" s="1"/>
  <c r="H120" i="2" s="1"/>
  <c r="H121" i="2" s="1"/>
  <c r="I120" i="2" s="1"/>
  <c r="I121" i="2" s="1"/>
  <c r="Q121" i="2"/>
  <c r="R120" i="2" s="1"/>
  <c r="R121" i="2" s="1"/>
  <c r="R21" i="2"/>
  <c r="R14" i="2"/>
  <c r="R22" i="2"/>
  <c r="Q22" i="2"/>
  <c r="Q21" i="2"/>
  <c r="Q14" i="2"/>
  <c r="P22" i="2"/>
  <c r="P21" i="2"/>
  <c r="P14" i="2"/>
  <c r="C22" i="2"/>
  <c r="C21" i="2"/>
  <c r="G21" i="2"/>
  <c r="K22" i="2"/>
  <c r="K21" i="2"/>
  <c r="J22" i="2"/>
  <c r="E22" i="2"/>
  <c r="E21" i="2"/>
  <c r="D21" i="2"/>
  <c r="D22" i="2"/>
  <c r="I22" i="2"/>
  <c r="I21" i="2"/>
  <c r="K23" i="2"/>
  <c r="F23" i="2" l="1"/>
  <c r="S120" i="2"/>
  <c r="S121" i="2" s="1"/>
  <c r="T120" i="2" s="1"/>
  <c r="T121" i="2" s="1"/>
  <c r="J120" i="2"/>
  <c r="J121" i="2" s="1"/>
  <c r="K120" i="2" s="1"/>
  <c r="K121" i="2" s="1"/>
  <c r="J18" i="2"/>
  <c r="J24" i="2"/>
  <c r="J81" i="2"/>
  <c r="K142" i="2"/>
  <c r="C133" i="2"/>
  <c r="C141" i="2" s="1"/>
  <c r="C29" i="2" s="1"/>
  <c r="C23" i="2"/>
  <c r="J142" i="2"/>
  <c r="J23" i="2"/>
  <c r="K81" i="2"/>
  <c r="G16" i="2"/>
  <c r="G18" i="2" s="1"/>
  <c r="S23" i="2"/>
  <c r="S16" i="2"/>
  <c r="F133" i="2"/>
  <c r="F141" i="2" s="1"/>
  <c r="F29" i="2" s="1"/>
  <c r="F81" i="2"/>
  <c r="H81" i="2"/>
  <c r="H133" i="2"/>
  <c r="H141" i="2" s="1"/>
  <c r="H29" i="2" s="1"/>
  <c r="P16" i="2"/>
  <c r="P81" i="2" s="1"/>
  <c r="P23" i="2"/>
  <c r="Q16" i="2"/>
  <c r="Q81" i="2" s="1"/>
  <c r="Q23" i="2"/>
  <c r="R23" i="2"/>
  <c r="R16" i="2"/>
  <c r="C81" i="2"/>
  <c r="C24" i="2"/>
  <c r="E16" i="2"/>
  <c r="E23" i="2"/>
  <c r="K18" i="2"/>
  <c r="K24" i="2"/>
  <c r="H18" i="2"/>
  <c r="H24" i="2"/>
  <c r="I16" i="2"/>
  <c r="I23" i="2"/>
  <c r="F18" i="2"/>
  <c r="F24" i="2"/>
  <c r="D16" i="2"/>
  <c r="D23" i="2"/>
  <c r="G81" i="2" l="1"/>
  <c r="G133" i="2"/>
  <c r="G141" i="2" s="1"/>
  <c r="G24" i="2"/>
  <c r="C142" i="2"/>
  <c r="F142" i="2"/>
  <c r="J143" i="2"/>
  <c r="S24" i="2"/>
  <c r="S133" i="2"/>
  <c r="S141" i="2" s="1"/>
  <c r="S142" i="2" s="1"/>
  <c r="S18" i="2"/>
  <c r="S81" i="2"/>
  <c r="R133" i="2"/>
  <c r="R141" i="2" s="1"/>
  <c r="R142" i="2" s="1"/>
  <c r="R143" i="2" s="1"/>
  <c r="R81" i="2"/>
  <c r="D133" i="2"/>
  <c r="D141" i="2" s="1"/>
  <c r="D29" i="2" s="1"/>
  <c r="D81" i="2"/>
  <c r="H142" i="2"/>
  <c r="I81" i="2"/>
  <c r="I133" i="2"/>
  <c r="I141" i="2" s="1"/>
  <c r="I29" i="2" s="1"/>
  <c r="E133" i="2"/>
  <c r="E141" i="2" s="1"/>
  <c r="E29" i="2" s="1"/>
  <c r="E81" i="2"/>
  <c r="R24" i="2"/>
  <c r="R18" i="2"/>
  <c r="Q24" i="2"/>
  <c r="Q18" i="2"/>
  <c r="P18" i="2"/>
  <c r="P24" i="2"/>
  <c r="E24" i="2"/>
  <c r="E18" i="2"/>
  <c r="I18" i="2"/>
  <c r="I24" i="2"/>
  <c r="D24" i="2"/>
  <c r="D18" i="2"/>
  <c r="G142" i="2" l="1"/>
  <c r="G29" i="2"/>
  <c r="G143" i="2"/>
  <c r="S143" i="2"/>
  <c r="K143" i="2"/>
  <c r="D142" i="2"/>
  <c r="I142" i="2"/>
  <c r="H143" i="2"/>
  <c r="E142" i="2"/>
  <c r="I1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B72" authorId="0" shapeId="0" xr:uid="{F29318C2-7F14-4AF9-B465-879249606CBE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Shows leverage; how much debt funds operations vs. equity. Crypto firms often have high due to borrowings. &lt;2: Conservative; &gt;3: High risk, especially with volatile digital assets.</t>
        </r>
      </text>
    </comment>
    <comment ref="B73" authorId="0" shapeId="0" xr:uid="{849A2B93-1D84-4A8D-BC4C-7EA7E7CCF96C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Measures asset financing by debt. &lt;0.5: Low leverage; higher indicates reliance on borrowed funds/digital assets.</t>
        </r>
      </text>
    </comment>
    <comment ref="B74" authorId="0" shapeId="0" xr:uid="{AE058493-32A2-456D-968F-ED8CB7B75125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Proportion of assets owned by shareholders. &gt;0.5: Strong owner funding; low values signal debt-heavy structure (common in Galaxy's pivot to AI infrastructure).</t>
        </r>
      </text>
    </comment>
    <comment ref="B76" authorId="0" shapeId="0" xr:uid="{98136B01-EB25-4F80-8016-836B1C12DFE9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Focus on infrastructure (e.g., data centers). &gt;0.3: Heavy capex (e.g., Helios retrofit); assess if justified by future EBITDA from leases.</t>
        </r>
      </text>
    </comment>
    <comment ref="B78" authorId="0" shapeId="0" xr:uid="{B32B6AF4-3679-479E-B154-2E4FB1182BEA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How efficiently a company uses its assets to generate revenue.</t>
        </r>
      </text>
    </comment>
  </commentList>
</comments>
</file>

<file path=xl/sharedStrings.xml><?xml version="1.0" encoding="utf-8"?>
<sst xmlns="http://schemas.openxmlformats.org/spreadsheetml/2006/main" count="346" uniqueCount="275">
  <si>
    <t>Main</t>
  </si>
  <si>
    <t>P</t>
  </si>
  <si>
    <t>S/O</t>
  </si>
  <si>
    <t>MC</t>
  </si>
  <si>
    <t>C</t>
  </si>
  <si>
    <t>D</t>
  </si>
  <si>
    <t>EV</t>
  </si>
  <si>
    <t>Q225</t>
  </si>
  <si>
    <t>Q124</t>
  </si>
  <si>
    <t>Q224</t>
  </si>
  <si>
    <t>Q324</t>
  </si>
  <si>
    <t>Q424</t>
  </si>
  <si>
    <t>Q125</t>
  </si>
  <si>
    <t>Revenue</t>
  </si>
  <si>
    <t>COGS</t>
  </si>
  <si>
    <t>Gross Profit</t>
  </si>
  <si>
    <t>T&amp;I</t>
  </si>
  <si>
    <t>S&amp;M</t>
  </si>
  <si>
    <t>G&amp;A</t>
  </si>
  <si>
    <t>OpEx</t>
  </si>
  <si>
    <t>IntExp</t>
  </si>
  <si>
    <t>Fair val. adj.</t>
  </si>
  <si>
    <t>Other income</t>
  </si>
  <si>
    <t>Pretax Income</t>
  </si>
  <si>
    <t>Taxes</t>
  </si>
  <si>
    <t>Net Income</t>
  </si>
  <si>
    <t>EPS</t>
  </si>
  <si>
    <t>Q325</t>
  </si>
  <si>
    <t>Q425</t>
  </si>
  <si>
    <t>Q126</t>
  </si>
  <si>
    <t>Gross Maring</t>
  </si>
  <si>
    <t>Op Margin</t>
  </si>
  <si>
    <t>Interest Marign</t>
  </si>
  <si>
    <t>Tax Margin</t>
  </si>
  <si>
    <t>Net Margin</t>
  </si>
  <si>
    <t>YoY Revenue</t>
  </si>
  <si>
    <t>Net Cash</t>
  </si>
  <si>
    <t>Cash</t>
  </si>
  <si>
    <t>Restricted cash</t>
  </si>
  <si>
    <t>A/R</t>
  </si>
  <si>
    <t>Prepaids</t>
  </si>
  <si>
    <t>Restricted cash, NC</t>
  </si>
  <si>
    <t>Restricted securities,NC</t>
  </si>
  <si>
    <t>Operating lease ROU</t>
  </si>
  <si>
    <t>PP&amp;A</t>
  </si>
  <si>
    <t>Intangible assets</t>
  </si>
  <si>
    <t>Goodwill</t>
  </si>
  <si>
    <t>ONCA</t>
  </si>
  <si>
    <t>Total assets</t>
  </si>
  <si>
    <t>A/P</t>
  </si>
  <si>
    <t>Accrued liabilities</t>
  </si>
  <si>
    <t>Debt, current</t>
  </si>
  <si>
    <t>Deferred revenue</t>
  </si>
  <si>
    <t>Operating lease liabilities</t>
  </si>
  <si>
    <t>Finance lease liabilities</t>
  </si>
  <si>
    <t>OCL</t>
  </si>
  <si>
    <t>Debt, NC</t>
  </si>
  <si>
    <t>Derivative and warrant liabilities</t>
  </si>
  <si>
    <t>Deferred revenue, NC</t>
  </si>
  <si>
    <t>Operating lease liabilities, NC</t>
  </si>
  <si>
    <t>Finance lease liabilities, NC</t>
  </si>
  <si>
    <t>Deferred tax, NC</t>
  </si>
  <si>
    <t>ONCL</t>
  </si>
  <si>
    <t>Total Liabilities</t>
  </si>
  <si>
    <t>Additional paid-in capital</t>
  </si>
  <si>
    <t>Accumulated other comperhensive income</t>
  </si>
  <si>
    <t>Accumulated deficit</t>
  </si>
  <si>
    <t>Total SE</t>
  </si>
  <si>
    <t>L+SE</t>
  </si>
  <si>
    <t>Q225 EC</t>
  </si>
  <si>
    <t>470 MW active power</t>
  </si>
  <si>
    <t>Increase total contracted power from 600MW to 2.2 GW</t>
  </si>
  <si>
    <t>On-track to deliver 900 MW active power by the EOY</t>
  </si>
  <si>
    <t>Reedemable convertible preferred and common stock</t>
  </si>
  <si>
    <t>Other stock</t>
  </si>
  <si>
    <t>Model NI</t>
  </si>
  <si>
    <t>GAAP NI</t>
  </si>
  <si>
    <t>D&amp;A</t>
  </si>
  <si>
    <t>Non-cash lease</t>
  </si>
  <si>
    <t>Stock-based comp.</t>
  </si>
  <si>
    <t>Other non-cash reconciling items</t>
  </si>
  <si>
    <t>A/P and accrued expenses</t>
  </si>
  <si>
    <t>Prepaids and OCA</t>
  </si>
  <si>
    <t>Lease liabilities</t>
  </si>
  <si>
    <t>CFFO</t>
  </si>
  <si>
    <t>CapEx</t>
  </si>
  <si>
    <t>Sales of securities</t>
  </si>
  <si>
    <t>Maturities</t>
  </si>
  <si>
    <t>Purchase of restricted securities</t>
  </si>
  <si>
    <t>Purchase of strategic investments</t>
  </si>
  <si>
    <t>Sale of warrants received as lease incentive</t>
  </si>
  <si>
    <t>Busness combination, net of cash acquired</t>
  </si>
  <si>
    <t>Issuance of notes receivables</t>
  </si>
  <si>
    <t>Other</t>
  </si>
  <si>
    <t>CFFI</t>
  </si>
  <si>
    <t>Issuance of debt</t>
  </si>
  <si>
    <t>Repayment of debt</t>
  </si>
  <si>
    <t>Debt issuance costs</t>
  </si>
  <si>
    <t>Issuance of redeemable convertible preferred stock</t>
  </si>
  <si>
    <t>Redeemable convertible preferred stock dividends</t>
  </si>
  <si>
    <t>Proceeds from exerciese of stock options</t>
  </si>
  <si>
    <t>Proceeds from IPO</t>
  </si>
  <si>
    <t>Issuance of common stock</t>
  </si>
  <si>
    <t>Payment of tax witholdings on settlement of RSUs and RSAs</t>
  </si>
  <si>
    <t>Deferred offering costs paid</t>
  </si>
  <si>
    <t>CFFF</t>
  </si>
  <si>
    <t>CF</t>
  </si>
  <si>
    <t>BOP Cash</t>
  </si>
  <si>
    <t>EOP Cash</t>
  </si>
  <si>
    <t>FCF</t>
  </si>
  <si>
    <t>Total</t>
  </si>
  <si>
    <t>FCF Margin</t>
  </si>
  <si>
    <t>YoY FCF</t>
  </si>
  <si>
    <t>Business</t>
  </si>
  <si>
    <t>IPO-ed in March 2025, and sold 36.59M class A common stock, $40 per share, generated $1.4B in net proceeds.</t>
  </si>
  <si>
    <t>In April 2025, the underwriters bought an additional 1.76M shares, bringing in another $68M.</t>
  </si>
  <si>
    <t>IPO</t>
  </si>
  <si>
    <t>All outstanding shares of Series Seed, A, B, B-1 redeemable convertible preferred stock were converted into 155.11M share of Class A common stock. All Series C was converted into 29.87M shares of redeemable Class A.</t>
  </si>
  <si>
    <t>The IPO triggered stock-based compensation expense of $177M. These awards were net-settled by withholding 392,135 shares to cover a $16 million tax obligation, and issued 518,785 shares.</t>
  </si>
  <si>
    <t>Stock Split</t>
  </si>
  <si>
    <t>In March 2025, 20/1</t>
  </si>
  <si>
    <t>Strategic customer agreement</t>
  </si>
  <si>
    <t>In March 2025, the company entered a commercial agreement with OpenAI to provide them with cloud computing capacity.</t>
  </si>
  <si>
    <t>OpenAI will pay up to $11.9B through October 2030, provided that service requirements are met.</t>
  </si>
  <si>
    <t>To fund the necessary infrastructure, the company created a special purpose vehicle (SPV) that will incur debt. OpenAI has a security interest in the equity of this SPV.</t>
  </si>
  <si>
    <t>As part of the deal, the company issued 8.75 million shares of Class A common stock to OpenAI at the IPO price, with an aggregate value of $350 million.</t>
  </si>
  <si>
    <t>Remaining Performance Obligations ("RPO")</t>
  </si>
  <si>
    <t>As of June 30, 2025 the company had $30.1B of unsatisfied RPO</t>
  </si>
  <si>
    <t>50% is expected to be recognized over the initial 24 months ending June 30, 2027, 40% between months 25 and 48, and the remaining balance recognized between months 49 and 72.</t>
  </si>
  <si>
    <t>On May 5, 2025, the company acquired Weights &amp; Biases, an AI developer platform, for a total purchase price of $1.029 billion.</t>
  </si>
  <si>
    <t>Acquisition</t>
  </si>
  <si>
    <t>To expand the company's application software services by adding developer-focused capabilities for AI model training and application development.</t>
  </si>
  <si>
    <t>Cash paid by the company</t>
  </si>
  <si>
    <t>Total purchase price</t>
  </si>
  <si>
    <t>Class A common stock fair value</t>
  </si>
  <si>
    <t>Replacement restricted stock units fair value</t>
  </si>
  <si>
    <t>Prepaid and OCA</t>
  </si>
  <si>
    <t>Total assets acquired</t>
  </si>
  <si>
    <t>Operating lease, NC</t>
  </si>
  <si>
    <t>Operating lease</t>
  </si>
  <si>
    <t>Total liabilities assumed</t>
  </si>
  <si>
    <t>Customer relationships</t>
  </si>
  <si>
    <t>Develped technology</t>
  </si>
  <si>
    <t>Trade name</t>
  </si>
  <si>
    <t>Fair Value</t>
  </si>
  <si>
    <t>Useful Lives (in years)</t>
  </si>
  <si>
    <t>5-7</t>
  </si>
  <si>
    <t>?</t>
  </si>
  <si>
    <r>
      <t xml:space="preserve">Aattributable to the </t>
    </r>
    <r>
      <rPr>
        <b/>
        <sz val="11"/>
        <color theme="1"/>
        <rFont val="Calibri"/>
        <family val="2"/>
        <scheme val="minor"/>
      </rPr>
      <t>assembled workforce</t>
    </r>
    <r>
      <rPr>
        <sz val="11"/>
        <color theme="1"/>
        <rFont val="Calibri"/>
        <family val="2"/>
        <scheme val="minor"/>
      </rPr>
      <t xml:space="preserve"> as well as the </t>
    </r>
    <r>
      <rPr>
        <b/>
        <sz val="11"/>
        <color theme="1"/>
        <rFont val="Calibri"/>
        <family val="2"/>
        <scheme val="minor"/>
      </rPr>
      <t>anticipated synergies</t>
    </r>
    <r>
      <rPr>
        <sz val="11"/>
        <color theme="1"/>
        <rFont val="Calibri"/>
        <family val="2"/>
        <scheme val="minor"/>
      </rPr>
      <t xml:space="preserve"> from the integration of Weights &amp; Biases’ technology with the Company’s technology.</t>
    </r>
  </si>
  <si>
    <t>Partners</t>
  </si>
  <si>
    <t>Cloud &amp; AI infrastructure providers</t>
  </si>
  <si>
    <t>Amazon AWS</t>
  </si>
  <si>
    <t>Microsoft Azure</t>
  </si>
  <si>
    <t>Google Cloud</t>
  </si>
  <si>
    <t>NVDIA</t>
  </si>
  <si>
    <t>CoreWeave</t>
  </si>
  <si>
    <t>Lambda</t>
  </si>
  <si>
    <t>Nebius</t>
  </si>
  <si>
    <t>Together.ai</t>
  </si>
  <si>
    <t>Snowflake</t>
  </si>
  <si>
    <t>Cerebras</t>
  </si>
  <si>
    <t>Fireworks AI</t>
  </si>
  <si>
    <t>Groq</t>
  </si>
  <si>
    <t>LLM providers</t>
  </si>
  <si>
    <t>OpenAI</t>
  </si>
  <si>
    <t>Mistral AI</t>
  </si>
  <si>
    <t>Cohere</t>
  </si>
  <si>
    <t>Gemini</t>
  </si>
  <si>
    <t>Meta AI</t>
  </si>
  <si>
    <t>Anthropic</t>
  </si>
  <si>
    <t>Hugging Face</t>
  </si>
  <si>
    <t>Amazon Bedrock</t>
  </si>
  <si>
    <t>Amazon SageMaker</t>
  </si>
  <si>
    <t>Azure AI Foundry Labs</t>
  </si>
  <si>
    <t>Vertex AI Platform</t>
  </si>
  <si>
    <t>AI tools &amp; frameworks</t>
  </si>
  <si>
    <t>Anyscale</t>
  </si>
  <si>
    <t>Union</t>
  </si>
  <si>
    <t>LangChain</t>
  </si>
  <si>
    <t>LlamaIndex</t>
  </si>
  <si>
    <t>Run Ai</t>
  </si>
  <si>
    <t>Streamlit</t>
  </si>
  <si>
    <t>AI consulting</t>
  </si>
  <si>
    <t>Provectus</t>
  </si>
  <si>
    <t>https://wandb.ai/site/partners#cloud</t>
  </si>
  <si>
    <t>AVAHI</t>
  </si>
  <si>
    <t>Mark lll systems</t>
  </si>
  <si>
    <t>KUNGFU.AI</t>
  </si>
  <si>
    <t>ePlus</t>
  </si>
  <si>
    <t>AI developer platform that provides tools to help machine learning engineers and teams build, track, and manage their AI models.</t>
  </si>
  <si>
    <t>Its features include experiment tracking, collaboration dashboards, model and dataset versioning, data visualization, and hyperparameter optimization.</t>
  </si>
  <si>
    <t>San Francisco-based company founded in 2017 by Lukas Biewald (ex-CEO of CrowdFlower/Figure Eight, with experience at OpenAI), Chris Van Pelt, and Shawn Lewis.</t>
  </si>
  <si>
    <r>
      <t xml:space="preserve">As of August 2025, W&amp;B has over </t>
    </r>
    <r>
      <rPr>
        <b/>
        <sz val="11"/>
        <color theme="1"/>
        <rFont val="Calibri"/>
        <family val="2"/>
        <scheme val="minor"/>
      </rPr>
      <t>180 employees</t>
    </r>
  </si>
  <si>
    <r>
      <t xml:space="preserve">The platform is an </t>
    </r>
    <r>
      <rPr>
        <b/>
        <sz val="11"/>
        <color theme="1"/>
        <rFont val="Calibri"/>
        <family val="2"/>
        <scheme val="minor"/>
      </rPr>
      <t xml:space="preserve">end-to-end MLOps (Machine Learning Operations) solution. </t>
    </r>
  </si>
  <si>
    <t>Funding History: Raised $250M across 10 rounds (3 early-stage, 2 late-stage), with the largest being a Series C in 2021. Investors include NVIDIA, Coatue, Insight Partners, and Bond.</t>
  </si>
  <si>
    <r>
      <t>Estimated annual r</t>
    </r>
    <r>
      <rPr>
        <b/>
        <sz val="11"/>
        <color theme="1"/>
        <rFont val="Calibri"/>
        <family val="2"/>
        <scheme val="minor"/>
      </rPr>
      <t xml:space="preserve">evenue of $35-60M </t>
    </r>
    <r>
      <rPr>
        <sz val="11"/>
        <color theme="1"/>
        <rFont val="Calibri"/>
        <family val="2"/>
        <scheme val="minor"/>
      </rPr>
      <t>as of mid-2025, driven by enterprise subscriptions (paid tiers for teams/big companies) and a freemium model (free for academics/students).</t>
    </r>
  </si>
  <si>
    <t>Enterprise adoption: Thousands of paying customers, with case studies showing 50% faster iteration cycles.</t>
  </si>
  <si>
    <r>
      <rPr>
        <b/>
        <sz val="11"/>
        <color theme="1"/>
        <rFont val="Calibri"/>
        <family val="2"/>
        <scheme val="minor"/>
      </rPr>
      <t>Competitors</t>
    </r>
    <r>
      <rPr>
        <sz val="11"/>
        <color theme="1"/>
        <rFont val="Calibri"/>
        <family val="2"/>
        <scheme val="minor"/>
      </rPr>
      <t>: Direct rivals include MLflow (Databricks—more integrated with data platforms), Comet.ml (focus on visualization), Neptune.ai (affordable alternative),</t>
    </r>
  </si>
  <si>
    <t>and TensorBoard (free but limited). Broader: AWS SageMaker, Google Vertex AI. W&amp;B differentiates via ease-of-use and community, but lacks full infra (addressed by CoreWeave acquisition).</t>
  </si>
  <si>
    <t>Strong moat in developer mindshare (e.g., 1M+ users), but commoditization risk in MLOps.</t>
  </si>
  <si>
    <t>Acquisition could create a "full-stack" AI offering (tools + compute), boosting competitiveness against Big Tech—monitor customer churn if integrations favor CoreWeave GPUs.</t>
  </si>
  <si>
    <t>Acquired Sematic (Feb 2024) for better workflow orchestration. No major layoffs or pivots noted, but AI hype could drive overvaluation risks if growth slows.</t>
  </si>
  <si>
    <r>
      <t>Positive momentum in 2025 (e.g., integrations with rising AI trends), but tied to</t>
    </r>
    <r>
      <rPr>
        <b/>
        <sz val="11"/>
        <color theme="1"/>
        <rFont val="Calibri"/>
        <family val="2"/>
        <scheme val="minor"/>
      </rPr>
      <t xml:space="preserve"> AI market cycles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scheme val="minor"/>
      </rPr>
      <t xml:space="preserve"> Risks: Over-reliance on enterprise AI spend; competitors like Databricks raising billions.</t>
    </r>
  </si>
  <si>
    <t>NI</t>
  </si>
  <si>
    <t>Acquisition related</t>
  </si>
  <si>
    <t>OtherExp</t>
  </si>
  <si>
    <t>Adj. EBITDA</t>
  </si>
  <si>
    <t>Adj. EBITDA Margin</t>
  </si>
  <si>
    <t>YoY</t>
  </si>
  <si>
    <t>Employees</t>
  </si>
  <si>
    <t>U.S employees</t>
  </si>
  <si>
    <t>Q3 Guidance</t>
  </si>
  <si>
    <t>$1.26-1.30B</t>
  </si>
  <si>
    <t>Adj. EBIT</t>
  </si>
  <si>
    <t>$160-190M</t>
  </si>
  <si>
    <t>$350-390M</t>
  </si>
  <si>
    <t>$2.9-3.4B</t>
  </si>
  <si>
    <t>Full Year</t>
  </si>
  <si>
    <t>$5.15-5.35B</t>
  </si>
  <si>
    <t>$800-830M</t>
  </si>
  <si>
    <t>$20-23B</t>
  </si>
  <si>
    <t>Current Ratio</t>
  </si>
  <si>
    <t>Quick Ratio</t>
  </si>
  <si>
    <t>Cash Ratio</t>
  </si>
  <si>
    <t>Debt-to-Equity</t>
  </si>
  <si>
    <t>Debt-to-Assets</t>
  </si>
  <si>
    <t>Equity Ratio</t>
  </si>
  <si>
    <t>Fixed Asset Ratio</t>
  </si>
  <si>
    <t>Asset Turnover Ratio</t>
  </si>
  <si>
    <t>DTL, NC</t>
  </si>
  <si>
    <t>SBC</t>
  </si>
  <si>
    <t>Amortization of debt discount</t>
  </si>
  <si>
    <t>DTL</t>
  </si>
  <si>
    <t>Interest Coverage, EBIT</t>
  </si>
  <si>
    <t>Interest Coverage, Adj. EBITDA</t>
  </si>
  <si>
    <t>Customer B</t>
  </si>
  <si>
    <t>Customer C</t>
  </si>
  <si>
    <t>Custoemr D</t>
  </si>
  <si>
    <t>Custoemr E</t>
  </si>
  <si>
    <t>Customer A (probably OpenAI)</t>
  </si>
  <si>
    <t>*</t>
  </si>
  <si>
    <t>Revenue by customer:</t>
  </si>
  <si>
    <t>A/R by customer:</t>
  </si>
  <si>
    <t>Operating lease cost</t>
  </si>
  <si>
    <t>Variable lease cost</t>
  </si>
  <si>
    <t>Total lease cost</t>
  </si>
  <si>
    <t>Weighted-average remaining lease term (in years):</t>
  </si>
  <si>
    <t>Weighted-average discount rate on op. lease:</t>
  </si>
  <si>
    <t>Lease interest expense</t>
  </si>
  <si>
    <t>Thereafter</t>
  </si>
  <si>
    <t>Sum</t>
  </si>
  <si>
    <t>Imputed Interest</t>
  </si>
  <si>
    <t>Op lease cost 9m25</t>
  </si>
  <si>
    <t>PV (Lease liability on BS)</t>
  </si>
  <si>
    <t>Remaining for 2025 (undiscounted)</t>
  </si>
  <si>
    <t>Formating</t>
  </si>
  <si>
    <t>Active Data Centers</t>
  </si>
  <si>
    <t>Active Power (MW)</t>
  </si>
  <si>
    <t>Contracted Power (GW)</t>
  </si>
  <si>
    <t>Revenue Backlog (Bn)</t>
  </si>
  <si>
    <t>&lt; 24 months</t>
  </si>
  <si>
    <t>25-48 months</t>
  </si>
  <si>
    <t>&gt; 48 months</t>
  </si>
  <si>
    <t>1.9-2.0 bn</t>
  </si>
  <si>
    <t>Q126 Guide</t>
  </si>
  <si>
    <t>Interest Expense</t>
  </si>
  <si>
    <t>510-590mn</t>
  </si>
  <si>
    <t>6-7 bn</t>
  </si>
  <si>
    <t>FY26 Guidance</t>
  </si>
  <si>
    <t>12-13 bn</t>
  </si>
  <si>
    <t>30-35 bn</t>
  </si>
  <si>
    <t>EBIT</t>
  </si>
  <si>
    <t>D&amp;A as % of prior year fixed assets</t>
  </si>
  <si>
    <t>Capex as % of sales</t>
  </si>
  <si>
    <t>Capex/D&amp;A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</si>
</sst>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* #,##0,;* \(#,##0,,\);* &quot;—&quot;;_(@_)"/>
    <numFmt numFmtId="165" formatCode="* #,##0,;* \(#,##0,\);* &quot;—&quot;;_(@_)"/>
    <numFmt numFmtId="166" formatCode="0.0"/>
    <numFmt numFmtId="167" formatCode="0.0%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0">
    <xf numFmtId="0" fontId="0" fillId="0" borderId="0" xfId="0"/>
    <xf numFmtId="0" fontId="9" fillId="0" borderId="0" xfId="0" applyFont="1"/>
    <xf numFmtId="0" fontId="11" fillId="0" borderId="0" xfId="1"/>
    <xf numFmtId="3" fontId="9" fillId="0" borderId="0" xfId="0" applyNumberFormat="1" applyFont="1"/>
    <xf numFmtId="0" fontId="10" fillId="0" borderId="0" xfId="0" applyFont="1"/>
    <xf numFmtId="3" fontId="10" fillId="0" borderId="0" xfId="0" applyNumberFormat="1" applyFont="1"/>
    <xf numFmtId="4" fontId="10" fillId="0" borderId="0" xfId="0" applyNumberFormat="1" applyFont="1"/>
    <xf numFmtId="10" fontId="9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0" fillId="0" borderId="0" xfId="0" applyNumberFormat="1"/>
    <xf numFmtId="3" fontId="14" fillId="0" borderId="0" xfId="0" applyNumberFormat="1" applyFont="1"/>
    <xf numFmtId="0" fontId="14" fillId="0" borderId="0" xfId="0" applyFont="1" applyAlignment="1">
      <alignment horizontal="left" inden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8" fillId="0" borderId="0" xfId="0" applyFont="1"/>
    <xf numFmtId="3" fontId="8" fillId="0" borderId="0" xfId="0" applyNumberFormat="1" applyFont="1"/>
    <xf numFmtId="10" fontId="8" fillId="0" borderId="0" xfId="0" applyNumberFormat="1" applyFont="1"/>
    <xf numFmtId="4" fontId="8" fillId="0" borderId="0" xfId="0" applyNumberFormat="1" applyFont="1"/>
    <xf numFmtId="4" fontId="9" fillId="0" borderId="0" xfId="0" applyNumberFormat="1" applyFont="1"/>
    <xf numFmtId="4" fontId="7" fillId="0" borderId="0" xfId="0" applyNumberFormat="1" applyFont="1"/>
    <xf numFmtId="0" fontId="7" fillId="0" borderId="0" xfId="0" applyFont="1"/>
    <xf numFmtId="9" fontId="9" fillId="0" borderId="0" xfId="0" applyNumberFormat="1" applyFont="1"/>
    <xf numFmtId="0" fontId="6" fillId="0" borderId="0" xfId="0" applyFont="1"/>
    <xf numFmtId="3" fontId="6" fillId="0" borderId="0" xfId="0" applyNumberFormat="1" applyFont="1"/>
    <xf numFmtId="2" fontId="9" fillId="0" borderId="0" xfId="0" applyNumberFormat="1" applyFont="1"/>
    <xf numFmtId="4" fontId="6" fillId="0" borderId="0" xfId="0" applyNumberFormat="1" applyFont="1"/>
    <xf numFmtId="0" fontId="5" fillId="0" borderId="0" xfId="0" applyFont="1"/>
    <xf numFmtId="9" fontId="5" fillId="0" borderId="0" xfId="0" applyNumberFormat="1" applyFont="1"/>
    <xf numFmtId="3" fontId="5" fillId="0" borderId="0" xfId="0" applyNumberFormat="1" applyFont="1"/>
    <xf numFmtId="16" fontId="4" fillId="0" borderId="0" xfId="0" applyNumberFormat="1" applyFont="1"/>
    <xf numFmtId="0" fontId="4" fillId="0" borderId="0" xfId="0" applyFont="1"/>
    <xf numFmtId="164" fontId="10" fillId="2" borderId="9" xfId="0" applyNumberFormat="1" applyFont="1" applyFill="1" applyBorder="1"/>
    <xf numFmtId="0" fontId="9" fillId="2" borderId="9" xfId="0" applyFont="1" applyFill="1" applyBorder="1"/>
    <xf numFmtId="164" fontId="9" fillId="2" borderId="9" xfId="0" applyNumberFormat="1" applyFont="1" applyFill="1" applyBorder="1"/>
    <xf numFmtId="10" fontId="9" fillId="2" borderId="9" xfId="0" applyNumberFormat="1" applyFont="1" applyFill="1" applyBorder="1"/>
    <xf numFmtId="4" fontId="9" fillId="2" borderId="9" xfId="0" applyNumberFormat="1" applyFont="1" applyFill="1" applyBorder="1"/>
    <xf numFmtId="3" fontId="9" fillId="2" borderId="9" xfId="0" applyNumberFormat="1" applyFont="1" applyFill="1" applyBorder="1"/>
    <xf numFmtId="3" fontId="10" fillId="2" borderId="9" xfId="0" applyNumberFormat="1" applyFont="1" applyFill="1" applyBorder="1"/>
    <xf numFmtId="2" fontId="9" fillId="2" borderId="9" xfId="0" applyNumberFormat="1" applyFont="1" applyFill="1" applyBorder="1"/>
    <xf numFmtId="9" fontId="9" fillId="2" borderId="9" xfId="0" applyNumberFormat="1" applyFont="1" applyFill="1" applyBorder="1"/>
    <xf numFmtId="0" fontId="6" fillId="2" borderId="9" xfId="0" applyFont="1" applyFill="1" applyBorder="1"/>
    <xf numFmtId="0" fontId="4" fillId="2" borderId="9" xfId="0" applyFont="1" applyFill="1" applyBorder="1"/>
    <xf numFmtId="3" fontId="3" fillId="0" borderId="0" xfId="0" applyNumberFormat="1" applyFont="1"/>
    <xf numFmtId="0" fontId="3" fillId="0" borderId="0" xfId="0" applyFont="1"/>
    <xf numFmtId="9" fontId="3" fillId="0" borderId="0" xfId="0" applyNumberFormat="1" applyFont="1" applyAlignment="1">
      <alignment horizontal="left" indent="1"/>
    </xf>
    <xf numFmtId="165" fontId="9" fillId="2" borderId="9" xfId="0" applyNumberFormat="1" applyFont="1" applyFill="1" applyBorder="1"/>
    <xf numFmtId="165" fontId="10" fillId="2" borderId="9" xfId="0" applyNumberFormat="1" applyFont="1" applyFill="1" applyBorder="1"/>
    <xf numFmtId="2" fontId="10" fillId="2" borderId="9" xfId="0" applyNumberFormat="1" applyFont="1" applyFill="1" applyBorder="1"/>
    <xf numFmtId="2" fontId="10" fillId="0" borderId="0" xfId="0" applyNumberFormat="1" applyFont="1"/>
    <xf numFmtId="165" fontId="8" fillId="2" borderId="9" xfId="0" applyNumberFormat="1" applyFont="1" applyFill="1" applyBorder="1"/>
    <xf numFmtId="166" fontId="3" fillId="0" borderId="0" xfId="0" applyNumberFormat="1" applyFont="1"/>
    <xf numFmtId="166" fontId="9" fillId="2" borderId="9" xfId="0" applyNumberFormat="1" applyFont="1" applyFill="1" applyBorder="1"/>
    <xf numFmtId="166" fontId="9" fillId="0" borderId="0" xfId="0" applyNumberFormat="1" applyFont="1"/>
    <xf numFmtId="9" fontId="2" fillId="2" borderId="9" xfId="0" applyNumberFormat="1" applyFont="1" applyFill="1" applyBorder="1"/>
    <xf numFmtId="9" fontId="2" fillId="0" borderId="0" xfId="0" applyNumberFormat="1" applyFont="1"/>
    <xf numFmtId="9" fontId="6" fillId="0" borderId="0" xfId="0" applyNumberFormat="1" applyFont="1"/>
    <xf numFmtId="9" fontId="6" fillId="2" borderId="9" xfId="0" applyNumberFormat="1" applyFont="1" applyFill="1" applyBorder="1"/>
    <xf numFmtId="4" fontId="9" fillId="2" borderId="10" xfId="0" applyNumberFormat="1" applyFont="1" applyFill="1" applyBorder="1"/>
    <xf numFmtId="0" fontId="1" fillId="0" borderId="0" xfId="0" applyFont="1"/>
    <xf numFmtId="167" fontId="1" fillId="0" borderId="0" xfId="0" applyNumberFormat="1" applyFont="1"/>
    <xf numFmtId="167" fontId="9" fillId="2" borderId="9" xfId="0" applyNumberFormat="1" applyFont="1" applyFill="1" applyBorder="1"/>
    <xf numFmtId="167" fontId="9" fillId="0" borderId="0" xfId="0" applyNumberFormat="1" applyFont="1"/>
    <xf numFmtId="167" fontId="9" fillId="2" borderId="10" xfId="0" applyNumberFormat="1" applyFont="1" applyFill="1" applyBorder="1"/>
    <xf numFmtId="167" fontId="9" fillId="0" borderId="0" xfId="0" applyNumberFormat="1" applyFont="1" applyFill="1" applyBorder="1"/>
    <xf numFmtId="4" fontId="9" fillId="0" borderId="0" xfId="0" applyNumberFormat="1" applyFont="1" applyFill="1" applyBorder="1"/>
    <xf numFmtId="43" fontId="9" fillId="2" borderId="9" xfId="0" applyNumberFormat="1" applyFont="1" applyFill="1" applyBorder="1"/>
    <xf numFmtId="43" fontId="9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ndb.ai/site/partn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29"/>
  <sheetViews>
    <sheetView workbookViewId="0">
      <selection activeCell="L11" sqref="L11"/>
    </sheetView>
  </sheetViews>
  <sheetFormatPr defaultRowHeight="13.2" x14ac:dyDescent="0.25"/>
  <cols>
    <col min="1" max="13" width="8.88671875" style="1"/>
    <col min="14" max="14" width="12" style="1" bestFit="1" customWidth="1"/>
    <col min="15" max="16384" width="8.88671875" style="1"/>
  </cols>
  <sheetData>
    <row r="3" spans="2:16" x14ac:dyDescent="0.25">
      <c r="B3" s="8" t="s">
        <v>116</v>
      </c>
    </row>
    <row r="4" spans="2:16" x14ac:dyDescent="0.25">
      <c r="B4" s="1" t="s">
        <v>114</v>
      </c>
    </row>
    <row r="5" spans="2:16" x14ac:dyDescent="0.25">
      <c r="B5" s="1" t="s">
        <v>115</v>
      </c>
    </row>
    <row r="6" spans="2:16" x14ac:dyDescent="0.25">
      <c r="B6" s="1" t="s">
        <v>117</v>
      </c>
    </row>
    <row r="7" spans="2:16" x14ac:dyDescent="0.25">
      <c r="B7" s="1" t="s">
        <v>118</v>
      </c>
      <c r="N7" s="1" t="s">
        <v>69</v>
      </c>
    </row>
    <row r="8" spans="2:16" x14ac:dyDescent="0.25">
      <c r="I8" s="4" t="s">
        <v>1</v>
      </c>
      <c r="J8" s="1">
        <v>80.47</v>
      </c>
      <c r="K8" s="42">
        <v>46080</v>
      </c>
      <c r="N8" s="1" t="s">
        <v>70</v>
      </c>
    </row>
    <row r="9" spans="2:16" x14ac:dyDescent="0.25">
      <c r="B9" s="8" t="s">
        <v>119</v>
      </c>
      <c r="I9" s="4" t="s">
        <v>2</v>
      </c>
      <c r="J9" s="3">
        <f>Model!J17</f>
        <v>506</v>
      </c>
      <c r="K9" s="43" t="s">
        <v>28</v>
      </c>
      <c r="N9" s="1" t="s">
        <v>71</v>
      </c>
    </row>
    <row r="10" spans="2:16" x14ac:dyDescent="0.25">
      <c r="B10" s="1" t="s">
        <v>120</v>
      </c>
      <c r="I10" s="4" t="s">
        <v>3</v>
      </c>
      <c r="J10" s="3">
        <f>+J8*J9</f>
        <v>40717.82</v>
      </c>
      <c r="N10" s="1" t="s">
        <v>72</v>
      </c>
    </row>
    <row r="11" spans="2:16" x14ac:dyDescent="0.25">
      <c r="I11" s="4" t="s">
        <v>4</v>
      </c>
      <c r="J11" s="3">
        <f>+(Model!J33+Model!J34+Model!J37+Model!J38)</f>
        <v>4164</v>
      </c>
      <c r="K11" s="43" t="s">
        <v>28</v>
      </c>
    </row>
    <row r="12" spans="2:16" x14ac:dyDescent="0.25">
      <c r="B12" s="8" t="s">
        <v>121</v>
      </c>
      <c r="I12" s="4" t="s">
        <v>5</v>
      </c>
      <c r="J12" s="3">
        <f>+(Model!J47+Model!J52)</f>
        <v>21373</v>
      </c>
      <c r="K12" s="43" t="s">
        <v>28</v>
      </c>
    </row>
    <row r="13" spans="2:16" x14ac:dyDescent="0.25">
      <c r="B13" s="1" t="s">
        <v>122</v>
      </c>
      <c r="I13" s="4"/>
      <c r="J13" s="3"/>
    </row>
    <row r="14" spans="2:16" x14ac:dyDescent="0.25">
      <c r="B14" s="1" t="s">
        <v>123</v>
      </c>
      <c r="I14" s="4" t="s">
        <v>6</v>
      </c>
      <c r="J14" s="3">
        <f>+J10-J11+J12</f>
        <v>57926.82</v>
      </c>
      <c r="N14" s="4" t="s">
        <v>211</v>
      </c>
      <c r="P14" s="4" t="s">
        <v>217</v>
      </c>
    </row>
    <row r="15" spans="2:16" x14ac:dyDescent="0.25">
      <c r="B15" s="1" t="s">
        <v>124</v>
      </c>
      <c r="M15" s="27" t="s">
        <v>13</v>
      </c>
      <c r="N15" s="27" t="s">
        <v>212</v>
      </c>
      <c r="P15" s="27" t="s">
        <v>218</v>
      </c>
    </row>
    <row r="16" spans="2:16" x14ac:dyDescent="0.25">
      <c r="B16" s="1" t="s">
        <v>125</v>
      </c>
      <c r="M16" s="27" t="s">
        <v>213</v>
      </c>
      <c r="N16" s="27" t="s">
        <v>214</v>
      </c>
      <c r="P16" s="27" t="s">
        <v>219</v>
      </c>
    </row>
    <row r="17" spans="2:16" x14ac:dyDescent="0.25">
      <c r="M17" s="27" t="s">
        <v>20</v>
      </c>
      <c r="N17" s="27" t="s">
        <v>215</v>
      </c>
    </row>
    <row r="18" spans="2:16" ht="14.4" x14ac:dyDescent="0.3">
      <c r="B18" s="10" t="s">
        <v>126</v>
      </c>
      <c r="M18" s="27" t="s">
        <v>85</v>
      </c>
      <c r="N18" s="27" t="s">
        <v>216</v>
      </c>
      <c r="P18" s="27" t="s">
        <v>220</v>
      </c>
    </row>
    <row r="19" spans="2:16" x14ac:dyDescent="0.25">
      <c r="B19" s="1" t="s">
        <v>127</v>
      </c>
    </row>
    <row r="20" spans="2:16" x14ac:dyDescent="0.25">
      <c r="B20" s="1" t="s">
        <v>128</v>
      </c>
    </row>
    <row r="22" spans="2:16" ht="14.4" x14ac:dyDescent="0.3">
      <c r="B22" s="2" t="s">
        <v>130</v>
      </c>
    </row>
    <row r="23" spans="2:16" x14ac:dyDescent="0.25">
      <c r="B23" s="1" t="s">
        <v>129</v>
      </c>
    </row>
    <row r="24" spans="2:16" x14ac:dyDescent="0.25">
      <c r="B24" s="1" t="s">
        <v>131</v>
      </c>
    </row>
    <row r="26" spans="2:16" x14ac:dyDescent="0.25">
      <c r="B26" s="1" t="s">
        <v>132</v>
      </c>
      <c r="E26" s="3">
        <v>96498</v>
      </c>
    </row>
    <row r="27" spans="2:16" x14ac:dyDescent="0.25">
      <c r="B27" s="1" t="s">
        <v>134</v>
      </c>
      <c r="E27" s="3">
        <v>928900</v>
      </c>
    </row>
    <row r="28" spans="2:16" x14ac:dyDescent="0.25">
      <c r="B28" s="1" t="s">
        <v>135</v>
      </c>
      <c r="E28" s="3">
        <v>3861</v>
      </c>
    </row>
    <row r="29" spans="2:16" x14ac:dyDescent="0.25">
      <c r="B29" s="1" t="s">
        <v>133</v>
      </c>
      <c r="E29" s="3">
        <f>SUM(E26:E28)</f>
        <v>1029259</v>
      </c>
    </row>
  </sheetData>
  <hyperlinks>
    <hyperlink ref="B22" location="'Weights &amp; Biases'!A1" display="Acquisition" xr:uid="{075A96AC-E6A5-44A1-AF04-D486A1115E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716E-32AE-4036-A0DA-AE532B0B0F0D}">
  <dimension ref="A1:Y185"/>
  <sheetViews>
    <sheetView tabSelected="1" zoomScale="85" zoomScaleNormal="98" workbookViewId="0">
      <pane xSplit="2" ySplit="2" topLeftCell="C112" activePane="bottomRight" state="frozen"/>
      <selection pane="topRight" activeCell="C1" sqref="C1"/>
      <selection pane="bottomLeft" activeCell="A3" sqref="A3"/>
      <selection pane="bottomRight" activeCell="B129" sqref="B127:B129"/>
    </sheetView>
  </sheetViews>
  <sheetFormatPr defaultRowHeight="13.2" x14ac:dyDescent="0.25"/>
  <cols>
    <col min="1" max="1" width="8.88671875" style="1"/>
    <col min="2" max="2" width="50.44140625" style="1" bestFit="1" customWidth="1"/>
    <col min="3" max="7" width="12.21875" style="45" bestFit="1" customWidth="1"/>
    <col min="8" max="9" width="13.21875" style="45" bestFit="1" customWidth="1"/>
    <col min="10" max="10" width="11.33203125" style="1" bestFit="1" customWidth="1"/>
    <col min="11" max="11" width="8.88671875" style="1"/>
    <col min="12" max="13" width="9.77734375" style="1" bestFit="1" customWidth="1"/>
    <col min="14" max="15" width="8.88671875" style="1"/>
    <col min="16" max="16" width="8.88671875" style="45"/>
    <col min="17" max="17" width="9.77734375" style="45" bestFit="1" customWidth="1"/>
    <col min="18" max="18" width="10.109375" style="45" bestFit="1" customWidth="1"/>
    <col min="19" max="19" width="9.33203125" style="1" customWidth="1"/>
    <col min="20" max="23" width="8.88671875" style="1"/>
    <col min="24" max="25" width="9.109375" style="1" bestFit="1" customWidth="1"/>
    <col min="26" max="16384" width="8.88671875" style="1"/>
  </cols>
  <sheetData>
    <row r="1" spans="1:25" ht="14.4" x14ac:dyDescent="0.3">
      <c r="A1" s="2" t="s">
        <v>0</v>
      </c>
      <c r="I1" s="54" t="s">
        <v>255</v>
      </c>
      <c r="R1" s="54" t="s">
        <v>255</v>
      </c>
    </row>
    <row r="2" spans="1:25" x14ac:dyDescent="0.25">
      <c r="C2" s="45" t="s">
        <v>8</v>
      </c>
      <c r="D2" s="45" t="s">
        <v>9</v>
      </c>
      <c r="E2" s="45" t="s">
        <v>10</v>
      </c>
      <c r="F2" s="45" t="s">
        <v>11</v>
      </c>
      <c r="G2" s="45" t="s">
        <v>12</v>
      </c>
      <c r="H2" s="45" t="s">
        <v>7</v>
      </c>
      <c r="I2" s="45" t="s">
        <v>27</v>
      </c>
      <c r="J2" s="1" t="s">
        <v>28</v>
      </c>
      <c r="K2" s="1" t="s">
        <v>29</v>
      </c>
      <c r="M2" s="56" t="s">
        <v>264</v>
      </c>
      <c r="N2" s="56" t="s">
        <v>268</v>
      </c>
      <c r="P2" s="45">
        <v>2022</v>
      </c>
      <c r="Q2" s="45">
        <v>2023</v>
      </c>
      <c r="R2" s="45">
        <v>2024</v>
      </c>
      <c r="S2" s="1">
        <v>2025</v>
      </c>
      <c r="T2" s="1">
        <v>2026</v>
      </c>
      <c r="U2" s="1">
        <v>2027</v>
      </c>
      <c r="V2" s="1">
        <v>2028</v>
      </c>
      <c r="W2" s="1">
        <v>2029</v>
      </c>
      <c r="X2" s="1">
        <v>2030</v>
      </c>
      <c r="Y2" s="1">
        <v>2031</v>
      </c>
    </row>
    <row r="3" spans="1:25" s="3" customFormat="1" x14ac:dyDescent="0.25">
      <c r="B3" s="3" t="s">
        <v>13</v>
      </c>
      <c r="C3" s="58">
        <v>188684</v>
      </c>
      <c r="D3" s="58">
        <v>395371</v>
      </c>
      <c r="E3" s="58">
        <v>583941</v>
      </c>
      <c r="F3" s="58">
        <v>747430</v>
      </c>
      <c r="G3" s="58">
        <v>981632</v>
      </c>
      <c r="H3" s="58">
        <v>1212788</v>
      </c>
      <c r="I3" s="58">
        <v>1364676</v>
      </c>
      <c r="J3" s="3">
        <v>1572</v>
      </c>
      <c r="L3" s="55" t="s">
        <v>13</v>
      </c>
      <c r="M3" s="55" t="s">
        <v>263</v>
      </c>
      <c r="N3" s="55" t="s">
        <v>269</v>
      </c>
      <c r="P3" s="58">
        <v>15830</v>
      </c>
      <c r="Q3" s="58">
        <v>228943</v>
      </c>
      <c r="R3" s="58">
        <v>1915426</v>
      </c>
      <c r="S3" s="3">
        <f>SUM(G3:I3)/1000+J3</f>
        <v>5131.0959999999995</v>
      </c>
    </row>
    <row r="4" spans="1:25" s="3" customFormat="1" x14ac:dyDescent="0.25">
      <c r="B4" s="3" t="s">
        <v>14</v>
      </c>
      <c r="C4" s="58">
        <v>59220</v>
      </c>
      <c r="D4" s="58">
        <v>108838</v>
      </c>
      <c r="E4" s="58">
        <v>143134</v>
      </c>
      <c r="F4" s="58">
        <v>182158</v>
      </c>
      <c r="G4" s="58">
        <v>262394</v>
      </c>
      <c r="H4" s="58">
        <v>312667</v>
      </c>
      <c r="I4" s="58">
        <v>368824</v>
      </c>
      <c r="J4" s="3">
        <v>509</v>
      </c>
      <c r="L4" s="55" t="s">
        <v>265</v>
      </c>
      <c r="M4" s="55" t="s">
        <v>266</v>
      </c>
      <c r="P4" s="58">
        <v>12122</v>
      </c>
      <c r="Q4" s="58">
        <v>68780</v>
      </c>
      <c r="R4" s="58">
        <v>493350</v>
      </c>
      <c r="S4" s="3">
        <f t="shared" ref="S4:S8" si="0">SUM(G4:I4)/1000+J4</f>
        <v>1452.885</v>
      </c>
    </row>
    <row r="5" spans="1:25" s="5" customFormat="1" x14ac:dyDescent="0.25">
      <c r="B5" s="5" t="s">
        <v>15</v>
      </c>
      <c r="C5" s="59">
        <f t="shared" ref="C5:G5" si="1">+C3-C4</f>
        <v>129464</v>
      </c>
      <c r="D5" s="59">
        <f t="shared" si="1"/>
        <v>286533</v>
      </c>
      <c r="E5" s="59">
        <f t="shared" si="1"/>
        <v>440807</v>
      </c>
      <c r="F5" s="59">
        <f t="shared" si="1"/>
        <v>565272</v>
      </c>
      <c r="G5" s="59">
        <f t="shared" si="1"/>
        <v>719238</v>
      </c>
      <c r="H5" s="59">
        <f>+H3-H4</f>
        <v>900121</v>
      </c>
      <c r="I5" s="59">
        <f t="shared" ref="I5:J5" si="2">+I3-I4</f>
        <v>995852</v>
      </c>
      <c r="J5" s="5">
        <f t="shared" si="2"/>
        <v>1063</v>
      </c>
      <c r="K5" s="5">
        <f>+K3-K4</f>
        <v>0</v>
      </c>
      <c r="L5" s="55" t="s">
        <v>85</v>
      </c>
      <c r="M5" s="5" t="s">
        <v>267</v>
      </c>
      <c r="N5" s="5" t="s">
        <v>270</v>
      </c>
      <c r="P5" s="59">
        <f t="shared" ref="P5:S5" si="3">+P3-P4</f>
        <v>3708</v>
      </c>
      <c r="Q5" s="59">
        <f t="shared" si="3"/>
        <v>160163</v>
      </c>
      <c r="R5" s="59">
        <f t="shared" si="3"/>
        <v>1422076</v>
      </c>
      <c r="S5" s="5">
        <f t="shared" si="3"/>
        <v>3678.2109999999993</v>
      </c>
    </row>
    <row r="6" spans="1:25" s="3" customFormat="1" x14ac:dyDescent="0.25">
      <c r="B6" s="3" t="s">
        <v>16</v>
      </c>
      <c r="C6" s="58">
        <v>92881</v>
      </c>
      <c r="D6" s="58">
        <v>182886</v>
      </c>
      <c r="E6" s="58">
        <v>285509</v>
      </c>
      <c r="F6" s="58">
        <v>399409</v>
      </c>
      <c r="G6" s="58">
        <v>561402</v>
      </c>
      <c r="H6" s="58">
        <v>669913</v>
      </c>
      <c r="I6" s="58">
        <v>747479</v>
      </c>
      <c r="J6" s="3">
        <v>950</v>
      </c>
      <c r="P6" s="58">
        <v>18106</v>
      </c>
      <c r="Q6" s="58">
        <v>131855</v>
      </c>
      <c r="R6" s="58">
        <v>960685</v>
      </c>
      <c r="S6" s="3">
        <f t="shared" si="0"/>
        <v>2928.7939999999999</v>
      </c>
    </row>
    <row r="7" spans="1:25" s="3" customFormat="1" x14ac:dyDescent="0.25">
      <c r="B7" s="3" t="s">
        <v>17</v>
      </c>
      <c r="C7" s="58">
        <v>4050</v>
      </c>
      <c r="D7" s="58">
        <v>4172</v>
      </c>
      <c r="E7" s="58">
        <v>4554</v>
      </c>
      <c r="F7" s="58">
        <v>5613</v>
      </c>
      <c r="G7" s="58">
        <v>10549</v>
      </c>
      <c r="H7" s="58">
        <v>36799</v>
      </c>
      <c r="I7" s="58">
        <v>44645</v>
      </c>
      <c r="J7" s="3">
        <v>52</v>
      </c>
      <c r="P7" s="58">
        <v>2481</v>
      </c>
      <c r="Q7" s="58">
        <v>12917</v>
      </c>
      <c r="R7" s="58">
        <v>18389</v>
      </c>
      <c r="S7" s="3">
        <f t="shared" si="0"/>
        <v>143.99299999999999</v>
      </c>
    </row>
    <row r="8" spans="1:25" s="3" customFormat="1" x14ac:dyDescent="0.25">
      <c r="B8" s="3" t="s">
        <v>18</v>
      </c>
      <c r="C8" s="58">
        <v>15686</v>
      </c>
      <c r="D8" s="58">
        <v>21754</v>
      </c>
      <c r="E8" s="58">
        <v>33628</v>
      </c>
      <c r="F8" s="58">
        <v>47576</v>
      </c>
      <c r="G8" s="58">
        <v>174757</v>
      </c>
      <c r="H8" s="58">
        <v>174200</v>
      </c>
      <c r="I8" s="58">
        <v>151878</v>
      </c>
      <c r="J8" s="3">
        <v>150</v>
      </c>
      <c r="P8" s="58">
        <v>6001</v>
      </c>
      <c r="Q8" s="58">
        <v>29842</v>
      </c>
      <c r="R8" s="58">
        <v>118644</v>
      </c>
      <c r="S8" s="3">
        <f t="shared" si="0"/>
        <v>650.83500000000004</v>
      </c>
    </row>
    <row r="9" spans="1:25" s="5" customFormat="1" x14ac:dyDescent="0.25">
      <c r="B9" s="5" t="s">
        <v>19</v>
      </c>
      <c r="C9" s="59">
        <f t="shared" ref="C9:G9" si="4">C6+C7+C8</f>
        <v>112617</v>
      </c>
      <c r="D9" s="59">
        <f t="shared" si="4"/>
        <v>208812</v>
      </c>
      <c r="E9" s="59">
        <f t="shared" si="4"/>
        <v>323691</v>
      </c>
      <c r="F9" s="59">
        <f t="shared" si="4"/>
        <v>452598</v>
      </c>
      <c r="G9" s="59">
        <f t="shared" si="4"/>
        <v>746708</v>
      </c>
      <c r="H9" s="59">
        <f>H6+H7+H8</f>
        <v>880912</v>
      </c>
      <c r="I9" s="59">
        <f t="shared" ref="I9:J9" si="5">I6+I7+I8</f>
        <v>944002</v>
      </c>
      <c r="J9" s="5">
        <f t="shared" si="5"/>
        <v>1152</v>
      </c>
      <c r="K9" s="5">
        <f t="shared" ref="K9" si="6">K6+K7+K8</f>
        <v>0</v>
      </c>
      <c r="L9" s="3"/>
      <c r="P9" s="59">
        <f t="shared" ref="P9:S9" si="7">P6+P7+P8</f>
        <v>26588</v>
      </c>
      <c r="Q9" s="59">
        <f t="shared" si="7"/>
        <v>174614</v>
      </c>
      <c r="R9" s="59">
        <f t="shared" si="7"/>
        <v>1097718</v>
      </c>
      <c r="S9" s="5">
        <f t="shared" si="7"/>
        <v>3723.6219999999998</v>
      </c>
    </row>
    <row r="10" spans="1:25" s="5" customFormat="1" x14ac:dyDescent="0.25">
      <c r="B10" s="5" t="s">
        <v>271</v>
      </c>
      <c r="C10" s="59">
        <f t="shared" ref="C10:G10" si="8">C5-C9</f>
        <v>16847</v>
      </c>
      <c r="D10" s="59">
        <f t="shared" si="8"/>
        <v>77721</v>
      </c>
      <c r="E10" s="59">
        <f t="shared" si="8"/>
        <v>117116</v>
      </c>
      <c r="F10" s="59">
        <f t="shared" si="8"/>
        <v>112674</v>
      </c>
      <c r="G10" s="59">
        <f t="shared" si="8"/>
        <v>-27470</v>
      </c>
      <c r="H10" s="59">
        <f>H5-H9</f>
        <v>19209</v>
      </c>
      <c r="I10" s="59">
        <f t="shared" ref="I10:J10" si="9">I5-I9</f>
        <v>51850</v>
      </c>
      <c r="J10" s="5">
        <f t="shared" si="9"/>
        <v>-89</v>
      </c>
      <c r="K10" s="5">
        <f t="shared" ref="K10" si="10">K5-K9</f>
        <v>0</v>
      </c>
      <c r="L10" s="3"/>
      <c r="P10" s="59">
        <f t="shared" ref="P10:S10" si="11">P5-P9</f>
        <v>-22880</v>
      </c>
      <c r="Q10" s="59">
        <f t="shared" si="11"/>
        <v>-14451</v>
      </c>
      <c r="R10" s="59">
        <f t="shared" si="11"/>
        <v>324358</v>
      </c>
      <c r="S10" s="5">
        <f t="shared" si="11"/>
        <v>-45.411000000000513</v>
      </c>
    </row>
    <row r="11" spans="1:25" s="3" customFormat="1" x14ac:dyDescent="0.25">
      <c r="B11" s="3" t="s">
        <v>21</v>
      </c>
      <c r="C11" s="58">
        <v>-97500</v>
      </c>
      <c r="D11" s="58">
        <v>-310231</v>
      </c>
      <c r="E11" s="58">
        <v>-341133</v>
      </c>
      <c r="F11" s="58">
        <v>-7065</v>
      </c>
      <c r="G11" s="58">
        <v>26837</v>
      </c>
      <c r="H11" s="58">
        <v>0</v>
      </c>
      <c r="I11" s="58">
        <v>0</v>
      </c>
      <c r="J11" s="3">
        <v>0</v>
      </c>
      <c r="P11" s="58">
        <v>-2884</v>
      </c>
      <c r="Q11" s="58">
        <v>-533952</v>
      </c>
      <c r="R11" s="58">
        <v>-755929</v>
      </c>
      <c r="S11" s="3">
        <f t="shared" ref="S11:S13" si="12">SUM(G11:I11)/1000+J11</f>
        <v>26.837</v>
      </c>
    </row>
    <row r="12" spans="1:25" s="3" customFormat="1" x14ac:dyDescent="0.25">
      <c r="B12" s="3" t="s">
        <v>20</v>
      </c>
      <c r="C12" s="58">
        <v>-40656</v>
      </c>
      <c r="D12" s="58">
        <v>-66766</v>
      </c>
      <c r="E12" s="58">
        <v>-104375</v>
      </c>
      <c r="F12" s="58">
        <v>-149027</v>
      </c>
      <c r="G12" s="58">
        <v>-263835</v>
      </c>
      <c r="H12" s="58">
        <v>-266966</v>
      </c>
      <c r="I12" s="58">
        <v>-310555</v>
      </c>
      <c r="J12" s="3">
        <v>-388</v>
      </c>
      <c r="P12" s="58">
        <v>-9444</v>
      </c>
      <c r="Q12" s="58">
        <v>-28404</v>
      </c>
      <c r="R12" s="58">
        <v>-360824</v>
      </c>
      <c r="S12" s="3">
        <f t="shared" si="12"/>
        <v>-1229.356</v>
      </c>
    </row>
    <row r="13" spans="1:25" s="3" customFormat="1" x14ac:dyDescent="0.25">
      <c r="B13" s="3" t="s">
        <v>22</v>
      </c>
      <c r="C13" s="58">
        <v>7460</v>
      </c>
      <c r="D13" s="58">
        <v>16406</v>
      </c>
      <c r="E13" s="58">
        <v>10244</v>
      </c>
      <c r="F13" s="58">
        <v>14084</v>
      </c>
      <c r="G13" s="58">
        <v>-4137</v>
      </c>
      <c r="H13" s="58">
        <v>5023</v>
      </c>
      <c r="I13" s="58">
        <v>21901</v>
      </c>
      <c r="J13" s="3">
        <v>10</v>
      </c>
      <c r="P13" s="58">
        <v>192</v>
      </c>
      <c r="Q13" s="58">
        <v>18760</v>
      </c>
      <c r="R13" s="58">
        <v>48194</v>
      </c>
      <c r="S13" s="3">
        <f t="shared" si="12"/>
        <v>32.786999999999999</v>
      </c>
    </row>
    <row r="14" spans="1:25" s="5" customFormat="1" x14ac:dyDescent="0.25">
      <c r="B14" s="5" t="s">
        <v>23</v>
      </c>
      <c r="C14" s="59">
        <f t="shared" ref="C14:G14" si="13">C10+C11+C12+C13</f>
        <v>-113849</v>
      </c>
      <c r="D14" s="59">
        <f t="shared" si="13"/>
        <v>-282870</v>
      </c>
      <c r="E14" s="59">
        <f t="shared" si="13"/>
        <v>-318148</v>
      </c>
      <c r="F14" s="59">
        <f t="shared" si="13"/>
        <v>-29334</v>
      </c>
      <c r="G14" s="59">
        <f t="shared" si="13"/>
        <v>-268605</v>
      </c>
      <c r="H14" s="59">
        <f>H10+H11+H12+H13</f>
        <v>-242734</v>
      </c>
      <c r="I14" s="59">
        <f>I10+I11+I12+I13</f>
        <v>-236804</v>
      </c>
      <c r="J14" s="5">
        <f t="shared" ref="J14" si="14">J10+J11+J12+J13</f>
        <v>-467</v>
      </c>
      <c r="K14" s="5">
        <f t="shared" ref="K14" si="15">K10+K11+K12+K13</f>
        <v>0</v>
      </c>
      <c r="L14" s="3"/>
      <c r="P14" s="59">
        <f t="shared" ref="P14:S14" si="16">P10+P11+P12+P13</f>
        <v>-35016</v>
      </c>
      <c r="Q14" s="59">
        <f t="shared" si="16"/>
        <v>-558047</v>
      </c>
      <c r="R14" s="59">
        <f t="shared" si="16"/>
        <v>-744201</v>
      </c>
      <c r="S14" s="5">
        <f t="shared" si="16"/>
        <v>-1215.1430000000005</v>
      </c>
    </row>
    <row r="15" spans="1:25" s="3" customFormat="1" x14ac:dyDescent="0.25">
      <c r="B15" s="3" t="s">
        <v>24</v>
      </c>
      <c r="C15" s="58">
        <v>15399</v>
      </c>
      <c r="D15" s="58">
        <v>40151</v>
      </c>
      <c r="E15" s="58">
        <v>41659</v>
      </c>
      <c r="F15" s="58">
        <v>22038</v>
      </c>
      <c r="G15" s="58">
        <v>46036</v>
      </c>
      <c r="H15" s="58">
        <v>47775</v>
      </c>
      <c r="I15" s="58">
        <v>-126680</v>
      </c>
      <c r="J15" s="3">
        <v>-15</v>
      </c>
      <c r="P15" s="58">
        <v>-4150</v>
      </c>
      <c r="Q15" s="58">
        <v>35701</v>
      </c>
      <c r="R15" s="58">
        <v>119247</v>
      </c>
      <c r="S15" s="3">
        <f t="shared" ref="S15" si="17">SUM(G15:I15)/1000+J15</f>
        <v>-47.869</v>
      </c>
    </row>
    <row r="16" spans="1:25" s="5" customFormat="1" x14ac:dyDescent="0.25">
      <c r="B16" s="5" t="s">
        <v>25</v>
      </c>
      <c r="C16" s="59">
        <f t="shared" ref="C16:G16" si="18">+C14-C15</f>
        <v>-129248</v>
      </c>
      <c r="D16" s="59">
        <f t="shared" si="18"/>
        <v>-323021</v>
      </c>
      <c r="E16" s="59">
        <f t="shared" si="18"/>
        <v>-359807</v>
      </c>
      <c r="F16" s="59">
        <f t="shared" si="18"/>
        <v>-51372</v>
      </c>
      <c r="G16" s="59">
        <f t="shared" si="18"/>
        <v>-314641</v>
      </c>
      <c r="H16" s="59">
        <f>+H14-H15</f>
        <v>-290509</v>
      </c>
      <c r="I16" s="59">
        <f t="shared" ref="I16:J16" si="19">+I14-I15</f>
        <v>-110124</v>
      </c>
      <c r="J16" s="5">
        <f t="shared" si="19"/>
        <v>-452</v>
      </c>
      <c r="K16" s="5">
        <f t="shared" ref="K16" si="20">+K14-K15</f>
        <v>0</v>
      </c>
      <c r="L16" s="3"/>
      <c r="P16" s="59">
        <f t="shared" ref="P16:S16" si="21">+P14-P15</f>
        <v>-30866</v>
      </c>
      <c r="Q16" s="59">
        <f t="shared" si="21"/>
        <v>-593748</v>
      </c>
      <c r="R16" s="59">
        <f t="shared" si="21"/>
        <v>-863448</v>
      </c>
      <c r="S16" s="5">
        <f t="shared" si="21"/>
        <v>-1167.2740000000006</v>
      </c>
    </row>
    <row r="17" spans="2:19" s="3" customFormat="1" x14ac:dyDescent="0.25">
      <c r="B17" s="3" t="s">
        <v>2</v>
      </c>
      <c r="C17" s="58">
        <v>209228</v>
      </c>
      <c r="D17" s="58">
        <v>209626</v>
      </c>
      <c r="E17" s="58"/>
      <c r="F17" s="58"/>
      <c r="G17" s="58">
        <v>245608</v>
      </c>
      <c r="H17" s="58">
        <v>486591</v>
      </c>
      <c r="I17" s="58">
        <v>497886</v>
      </c>
      <c r="J17" s="3">
        <v>506</v>
      </c>
      <c r="P17" s="58">
        <v>9032</v>
      </c>
      <c r="Q17" s="58">
        <v>9608</v>
      </c>
      <c r="R17" s="58">
        <v>10893</v>
      </c>
      <c r="S17" s="3">
        <f t="shared" ref="S17" si="22">SUM(G17:I17)/1000+J17</f>
        <v>1736.085</v>
      </c>
    </row>
    <row r="18" spans="2:19" s="6" customFormat="1" x14ac:dyDescent="0.25">
      <c r="B18" s="6" t="s">
        <v>26</v>
      </c>
      <c r="C18" s="44">
        <f t="shared" ref="C18:G18" si="23">C16/C17</f>
        <v>-0.61773758770336662</v>
      </c>
      <c r="D18" s="44">
        <f t="shared" si="23"/>
        <v>-1.5409395781057693</v>
      </c>
      <c r="E18" s="44" t="e">
        <f t="shared" si="23"/>
        <v>#DIV/0!</v>
      </c>
      <c r="F18" s="44" t="e">
        <f t="shared" si="23"/>
        <v>#DIV/0!</v>
      </c>
      <c r="G18" s="44">
        <f t="shared" si="23"/>
        <v>-1.2810698348587994</v>
      </c>
      <c r="H18" s="44">
        <f>H16/H17</f>
        <v>-0.59702912713141021</v>
      </c>
      <c r="I18" s="44">
        <f t="shared" ref="I18:K18" si="24">I16/I17</f>
        <v>-0.22118316241067232</v>
      </c>
      <c r="J18" s="6">
        <f t="shared" si="24"/>
        <v>-0.89328063241106714</v>
      </c>
      <c r="K18" s="6" t="e">
        <f t="shared" si="24"/>
        <v>#DIV/0!</v>
      </c>
      <c r="P18" s="60">
        <f t="shared" ref="P18:S18" si="25">P16/P17</f>
        <v>-3.4174047829937999</v>
      </c>
      <c r="Q18" s="60">
        <f t="shared" si="25"/>
        <v>-61.797252289758532</v>
      </c>
      <c r="R18" s="60">
        <f t="shared" si="25"/>
        <v>-79.26631781878271</v>
      </c>
      <c r="S18" s="61">
        <f t="shared" si="25"/>
        <v>-0.67235993629344215</v>
      </c>
    </row>
    <row r="20" spans="2:19" s="7" customFormat="1" x14ac:dyDescent="0.25">
      <c r="B20" s="7" t="s">
        <v>30</v>
      </c>
      <c r="C20" s="47">
        <f t="shared" ref="C20:G20" si="26">C5/C3</f>
        <v>0.68614190922388751</v>
      </c>
      <c r="D20" s="47">
        <f t="shared" si="26"/>
        <v>0.7247193142643239</v>
      </c>
      <c r="E20" s="47">
        <f t="shared" si="26"/>
        <v>0.75488277069087462</v>
      </c>
      <c r="F20" s="47">
        <f t="shared" si="26"/>
        <v>0.75628754532196996</v>
      </c>
      <c r="G20" s="47">
        <f t="shared" si="26"/>
        <v>0.73269616312426655</v>
      </c>
      <c r="H20" s="47">
        <f>H5/H3</f>
        <v>0.74219154543085852</v>
      </c>
      <c r="I20" s="47">
        <f t="shared" ref="I20:J20" si="27">I5/I3</f>
        <v>0.72973511661376034</v>
      </c>
      <c r="J20" s="7">
        <f t="shared" si="27"/>
        <v>0.67620865139949105</v>
      </c>
      <c r="K20" s="7" t="e">
        <f>K5/K3</f>
        <v>#DIV/0!</v>
      </c>
      <c r="P20" s="47">
        <f t="shared" ref="P20:S20" si="28">P5/P3</f>
        <v>0.23423878711307644</v>
      </c>
      <c r="Q20" s="47">
        <f t="shared" si="28"/>
        <v>0.69957587696500878</v>
      </c>
      <c r="R20" s="47">
        <f t="shared" si="28"/>
        <v>0.74243327593966046</v>
      </c>
      <c r="S20" s="7">
        <f t="shared" si="28"/>
        <v>0.71684704398436505</v>
      </c>
    </row>
    <row r="21" spans="2:19" s="7" customFormat="1" x14ac:dyDescent="0.25">
      <c r="B21" s="7" t="s">
        <v>31</v>
      </c>
      <c r="C21" s="47">
        <f t="shared" ref="C21:G21" si="29">C10/C3</f>
        <v>8.9286849971380727E-2</v>
      </c>
      <c r="D21" s="47">
        <f t="shared" si="29"/>
        <v>0.19657739186738532</v>
      </c>
      <c r="E21" s="47">
        <f t="shared" si="29"/>
        <v>0.20056135808240902</v>
      </c>
      <c r="F21" s="47">
        <f t="shared" si="29"/>
        <v>0.15074856508301782</v>
      </c>
      <c r="G21" s="47">
        <f t="shared" si="29"/>
        <v>-2.7984010301212673E-2</v>
      </c>
      <c r="H21" s="47">
        <f>H10/H3</f>
        <v>1.5838712124460336E-2</v>
      </c>
      <c r="I21" s="47">
        <f t="shared" ref="I21:J21" si="30">I10/I3</f>
        <v>3.7994366428368342E-2</v>
      </c>
      <c r="J21" s="7">
        <f t="shared" si="30"/>
        <v>-5.6615776081424936E-2</v>
      </c>
      <c r="K21" s="7" t="e">
        <f>K10/K3</f>
        <v>#DIV/0!</v>
      </c>
      <c r="P21" s="47">
        <f t="shared" ref="P21:S21" si="31">P10/P3</f>
        <v>-1.4453569172457359</v>
      </c>
      <c r="Q21" s="47">
        <f t="shared" si="31"/>
        <v>-6.3120514713269238E-2</v>
      </c>
      <c r="R21" s="47">
        <f t="shared" si="31"/>
        <v>0.16933987530711184</v>
      </c>
      <c r="S21" s="7">
        <f t="shared" si="31"/>
        <v>-8.8501559900653805E-3</v>
      </c>
    </row>
    <row r="22" spans="2:19" s="7" customFormat="1" x14ac:dyDescent="0.25">
      <c r="B22" s="7" t="s">
        <v>32</v>
      </c>
      <c r="C22" s="47">
        <f t="shared" ref="C22:G22" si="32">(C11+C12+C13)/C10</f>
        <v>-7.75782038345106</v>
      </c>
      <c r="D22" s="47">
        <f t="shared" si="32"/>
        <v>-4.6395568765198592</v>
      </c>
      <c r="E22" s="47">
        <f t="shared" si="32"/>
        <v>-3.7165203729635574</v>
      </c>
      <c r="F22" s="47">
        <f t="shared" si="32"/>
        <v>-1.2603440012780234</v>
      </c>
      <c r="G22" s="47">
        <f t="shared" si="32"/>
        <v>8.7781215871860212</v>
      </c>
      <c r="H22" s="47">
        <f>(H11+H12+H13)/H10</f>
        <v>-13.636472486855119</v>
      </c>
      <c r="I22" s="47">
        <f t="shared" ref="I22:K22" si="33">(I11+I12+I13)/I10</f>
        <v>-5.5670973963355834</v>
      </c>
      <c r="J22" s="7">
        <f t="shared" si="33"/>
        <v>4.2471910112359552</v>
      </c>
      <c r="K22" s="7" t="e">
        <f t="shared" si="33"/>
        <v>#DIV/0!</v>
      </c>
      <c r="P22" s="47">
        <f t="shared" ref="P22:S22" si="34">(P11+P12+P13)/P10</f>
        <v>0.53041958041958037</v>
      </c>
      <c r="Q22" s="47">
        <f t="shared" si="34"/>
        <v>37.61649712822642</v>
      </c>
      <c r="R22" s="47">
        <f t="shared" si="34"/>
        <v>-3.2943815167191808</v>
      </c>
      <c r="S22" s="7">
        <f t="shared" si="34"/>
        <v>25.758780912113515</v>
      </c>
    </row>
    <row r="23" spans="2:19" s="7" customFormat="1" x14ac:dyDescent="0.25">
      <c r="B23" s="7" t="s">
        <v>33</v>
      </c>
      <c r="C23" s="47">
        <f t="shared" ref="C23:G23" si="35">C15/C14</f>
        <v>-0.13525810503386063</v>
      </c>
      <c r="D23" s="47">
        <f t="shared" si="35"/>
        <v>-0.1419415279103475</v>
      </c>
      <c r="E23" s="47">
        <f t="shared" si="35"/>
        <v>-0.1309422029998617</v>
      </c>
      <c r="F23" s="47">
        <f t="shared" si="35"/>
        <v>-0.75127838003681735</v>
      </c>
      <c r="G23" s="47">
        <f t="shared" si="35"/>
        <v>-0.17138921464604159</v>
      </c>
      <c r="H23" s="47">
        <f>H15/H14</f>
        <v>-0.19682038774955302</v>
      </c>
      <c r="I23" s="47">
        <f t="shared" ref="I23:K23" si="36">I15/I14</f>
        <v>0.53495717977736867</v>
      </c>
      <c r="J23" s="7">
        <f t="shared" si="36"/>
        <v>3.2119914346895075E-2</v>
      </c>
      <c r="K23" s="7" t="e">
        <f t="shared" si="36"/>
        <v>#DIV/0!</v>
      </c>
      <c r="P23" s="47">
        <f t="shared" ref="P23:S23" si="37">P15/P14</f>
        <v>0.11851724925748229</v>
      </c>
      <c r="Q23" s="47">
        <f t="shared" si="37"/>
        <v>-6.397489817165937E-2</v>
      </c>
      <c r="R23" s="47">
        <f t="shared" si="37"/>
        <v>-0.16023493652924412</v>
      </c>
      <c r="S23" s="7">
        <f t="shared" si="37"/>
        <v>3.9393717447246936E-2</v>
      </c>
    </row>
    <row r="24" spans="2:19" s="7" customFormat="1" x14ac:dyDescent="0.25">
      <c r="B24" s="7" t="s">
        <v>34</v>
      </c>
      <c r="C24" s="47">
        <f t="shared" ref="C24:G24" si="38">C16/C3</f>
        <v>-0.68499713807212059</v>
      </c>
      <c r="D24" s="47">
        <f t="shared" si="38"/>
        <v>-0.81700731717804287</v>
      </c>
      <c r="E24" s="47">
        <f t="shared" si="38"/>
        <v>-0.61617012677650651</v>
      </c>
      <c r="F24" s="47">
        <f t="shared" si="38"/>
        <v>-6.8731520008562669E-2</v>
      </c>
      <c r="G24" s="47">
        <f t="shared" si="38"/>
        <v>-0.32052846687964531</v>
      </c>
      <c r="H24" s="47">
        <f>H16/H3</f>
        <v>-0.23953815506090101</v>
      </c>
      <c r="I24" s="47">
        <f t="shared" ref="I24:J24" si="39">I16/I3</f>
        <v>-8.0696077310658351E-2</v>
      </c>
      <c r="J24" s="7">
        <f t="shared" si="39"/>
        <v>-0.2875318066157761</v>
      </c>
      <c r="K24" s="7" t="e">
        <f>K16/K3</f>
        <v>#DIV/0!</v>
      </c>
      <c r="P24" s="47">
        <f t="shared" ref="P24:S24" si="40">P16/P3</f>
        <v>-1.949842072015161</v>
      </c>
      <c r="Q24" s="47">
        <f t="shared" si="40"/>
        <v>-2.5934315528319276</v>
      </c>
      <c r="R24" s="47">
        <f t="shared" si="40"/>
        <v>-0.45078640469535236</v>
      </c>
      <c r="S24" s="7">
        <f t="shared" si="40"/>
        <v>-0.22749018923052711</v>
      </c>
    </row>
    <row r="25" spans="2:19" s="7" customFormat="1" x14ac:dyDescent="0.25">
      <c r="C25" s="47"/>
      <c r="D25" s="47"/>
      <c r="E25" s="47"/>
      <c r="F25" s="47"/>
      <c r="G25" s="47"/>
      <c r="H25" s="47"/>
      <c r="I25" s="47"/>
      <c r="P25" s="47"/>
      <c r="Q25" s="47"/>
      <c r="R25" s="47"/>
    </row>
    <row r="26" spans="2:19" s="7" customFormat="1" x14ac:dyDescent="0.25">
      <c r="B26" s="7" t="s">
        <v>35</v>
      </c>
      <c r="C26" s="47"/>
      <c r="D26" s="47"/>
      <c r="E26" s="47"/>
      <c r="F26" s="47"/>
      <c r="G26" s="47">
        <f t="shared" ref="G26" si="41">G3/C3-1</f>
        <v>4.2025184965338873</v>
      </c>
      <c r="H26" s="47">
        <f>H3/D3-1</f>
        <v>2.0674682766313159</v>
      </c>
      <c r="I26" s="47">
        <f t="shared" ref="I26" si="42">I3/E3-1</f>
        <v>1.3370100746479525</v>
      </c>
      <c r="J26" s="7">
        <f>J3/F3*1000-1</f>
        <v>1.1032069892832777</v>
      </c>
      <c r="K26" s="7">
        <f>K3/G3*1000-1</f>
        <v>-1</v>
      </c>
      <c r="P26" s="47"/>
      <c r="Q26" s="47">
        <f t="shared" ref="Q26" si="43">Q3/P3-1</f>
        <v>13.462602653190146</v>
      </c>
      <c r="R26" s="47">
        <f>R3/Q3-1</f>
        <v>7.366388140279458</v>
      </c>
      <c r="S26" s="7">
        <f>S3/R3*1000-1</f>
        <v>1.6788275819582692</v>
      </c>
    </row>
    <row r="28" spans="2:19" s="31" customFormat="1" x14ac:dyDescent="0.25">
      <c r="B28" s="38" t="s">
        <v>233</v>
      </c>
      <c r="C28" s="48">
        <f>C10/-(C12-C173)</f>
        <v>0.37560374841259647</v>
      </c>
      <c r="D28" s="48">
        <f>D10/-(D12-D173)</f>
        <v>1.0410031004670255</v>
      </c>
      <c r="E28" s="48">
        <f>E10/-(E12-E173)</f>
        <v>1.0197041572822005</v>
      </c>
      <c r="F28" s="48">
        <f>F10/-(F12-F173)</f>
        <v>0.75606433733484535</v>
      </c>
      <c r="G28" s="48">
        <f>G10/-(G12-G173)</f>
        <v>-9.7259167960033033E-2</v>
      </c>
      <c r="H28" s="48">
        <f>H10/-(H12-H173)</f>
        <v>6.6554639318134573E-2</v>
      </c>
      <c r="I28" s="70">
        <f>I10/-(I12-I173)</f>
        <v>0.15567549157050989</v>
      </c>
      <c r="J28" s="31">
        <f>J10/-(J12-J173)</f>
        <v>-0.22938144329896906</v>
      </c>
      <c r="K28" s="31" t="e">
        <f>K10/-(K12-K173)</f>
        <v>#DIV/0!</v>
      </c>
      <c r="P28" s="48"/>
      <c r="Q28" s="48"/>
      <c r="R28" s="48"/>
    </row>
    <row r="29" spans="2:19" s="31" customFormat="1" x14ac:dyDescent="0.25">
      <c r="B29" s="38" t="s">
        <v>234</v>
      </c>
      <c r="C29" s="48">
        <f>C141/-(C12-C173)</f>
        <v>2.3308523465034314</v>
      </c>
      <c r="D29" s="48">
        <f>D141/-(D12-D173)</f>
        <v>3.3463961557852078</v>
      </c>
      <c r="E29" s="48">
        <f>E141/-(E12-E173)</f>
        <v>3.2977568180243044</v>
      </c>
      <c r="F29" s="48">
        <f>F141/-(F12-F173)</f>
        <v>3.261918981124226</v>
      </c>
      <c r="G29" s="48">
        <f>G141/-(G12-G173)</f>
        <v>2.1460392965276602</v>
      </c>
      <c r="H29" s="48">
        <f>H141/-(H12-H173)</f>
        <v>2.6095523525743194</v>
      </c>
      <c r="I29" s="70">
        <f>I141/-(I12-I173)</f>
        <v>2.5164004956035111</v>
      </c>
      <c r="J29" s="31">
        <f>J141/-(J12-J173)</f>
        <v>2.2912371134020617</v>
      </c>
      <c r="K29" s="31" t="e">
        <f>K141/-(K12-K173)</f>
        <v>#DIV/0!</v>
      </c>
      <c r="P29" s="48"/>
      <c r="Q29" s="48"/>
      <c r="R29" s="48"/>
    </row>
    <row r="32" spans="2:19" s="3" customFormat="1" x14ac:dyDescent="0.25">
      <c r="B32" s="3" t="s">
        <v>36</v>
      </c>
      <c r="C32" s="46">
        <f t="shared" ref="C32:G32" si="44">C33+C34+C37+C38-C47-C52</f>
        <v>0</v>
      </c>
      <c r="D32" s="46">
        <f t="shared" si="44"/>
        <v>0</v>
      </c>
      <c r="E32" s="58">
        <f t="shared" si="44"/>
        <v>-2425372</v>
      </c>
      <c r="F32" s="58">
        <f t="shared" si="44"/>
        <v>-5861199</v>
      </c>
      <c r="G32" s="58">
        <f t="shared" si="44"/>
        <v>-6193850</v>
      </c>
      <c r="H32" s="58">
        <f>H33+H34+H37+H38-H47-H52</f>
        <v>-8997918</v>
      </c>
      <c r="I32" s="58">
        <f>I33+I34+I36+I37-I47-I52</f>
        <v>-10485365</v>
      </c>
      <c r="J32" s="3">
        <f t="shared" ref="J32:K32" si="45">J33+J34+J37+J38-J47-J52</f>
        <v>-17209</v>
      </c>
      <c r="K32" s="3">
        <f t="shared" si="45"/>
        <v>0</v>
      </c>
      <c r="P32" s="49"/>
      <c r="Q32" s="58">
        <f t="shared" ref="Q32:S32" si="46">Q33+Q34+Q37+Q38-Q47-Q52</f>
        <v>-871445</v>
      </c>
      <c r="R32" s="58">
        <f t="shared" si="46"/>
        <v>-5861199</v>
      </c>
      <c r="S32" s="3">
        <f t="shared" si="46"/>
        <v>-17209</v>
      </c>
    </row>
    <row r="33" spans="2:19" s="3" customFormat="1" x14ac:dyDescent="0.25">
      <c r="B33" s="3" t="s">
        <v>37</v>
      </c>
      <c r="C33" s="49"/>
      <c r="D33" s="49"/>
      <c r="E33" s="58">
        <v>1355216</v>
      </c>
      <c r="F33" s="58">
        <v>1361083</v>
      </c>
      <c r="G33" s="58">
        <v>1276456</v>
      </c>
      <c r="H33" s="58">
        <v>1152883</v>
      </c>
      <c r="I33" s="58">
        <f>1894399+47449</f>
        <v>1941848</v>
      </c>
      <c r="J33" s="3">
        <f>3127+34</f>
        <v>3161</v>
      </c>
      <c r="P33" s="49"/>
      <c r="Q33" s="58">
        <v>217147</v>
      </c>
      <c r="R33" s="58">
        <v>1361083</v>
      </c>
      <c r="S33" s="3">
        <f>3127+34</f>
        <v>3161</v>
      </c>
    </row>
    <row r="34" spans="2:19" s="3" customFormat="1" x14ac:dyDescent="0.25">
      <c r="B34" s="3" t="s">
        <v>38</v>
      </c>
      <c r="C34" s="49"/>
      <c r="D34" s="49"/>
      <c r="E34" s="58">
        <v>69576</v>
      </c>
      <c r="F34" s="58">
        <v>37394</v>
      </c>
      <c r="G34" s="58">
        <v>624250</v>
      </c>
      <c r="H34" s="58">
        <v>560173</v>
      </c>
      <c r="I34" s="58">
        <v>596777</v>
      </c>
      <c r="J34" s="3">
        <v>819</v>
      </c>
      <c r="P34" s="49"/>
      <c r="Q34" s="58">
        <v>42940</v>
      </c>
      <c r="R34" s="58">
        <v>37394</v>
      </c>
      <c r="S34" s="3">
        <v>819</v>
      </c>
    </row>
    <row r="35" spans="2:19" s="3" customFormat="1" x14ac:dyDescent="0.25">
      <c r="B35" s="3" t="s">
        <v>39</v>
      </c>
      <c r="C35" s="49"/>
      <c r="D35" s="49"/>
      <c r="E35" s="58">
        <v>498145</v>
      </c>
      <c r="F35" s="58">
        <v>416526</v>
      </c>
      <c r="G35" s="58">
        <v>1055208</v>
      </c>
      <c r="H35" s="58">
        <v>1933698</v>
      </c>
      <c r="I35" s="58">
        <v>1659229</v>
      </c>
      <c r="J35" s="3">
        <v>3169</v>
      </c>
      <c r="P35" s="49"/>
      <c r="Q35" s="58">
        <v>165379</v>
      </c>
      <c r="R35" s="58">
        <v>416526</v>
      </c>
      <c r="S35" s="3">
        <v>3169</v>
      </c>
    </row>
    <row r="36" spans="2:19" s="3" customFormat="1" x14ac:dyDescent="0.25">
      <c r="B36" s="3" t="s">
        <v>40</v>
      </c>
      <c r="C36" s="49"/>
      <c r="D36" s="49"/>
      <c r="E36" s="58">
        <v>129908</v>
      </c>
      <c r="F36" s="58">
        <v>101246</v>
      </c>
      <c r="G36" s="58">
        <v>146733</v>
      </c>
      <c r="H36" s="58">
        <v>299229</v>
      </c>
      <c r="I36" s="58">
        <v>533429</v>
      </c>
      <c r="J36" s="3">
        <v>339</v>
      </c>
      <c r="P36" s="49"/>
      <c r="Q36" s="58">
        <v>76526</v>
      </c>
      <c r="R36" s="58">
        <v>101246</v>
      </c>
      <c r="S36" s="3">
        <v>339</v>
      </c>
    </row>
    <row r="37" spans="2:19" s="3" customFormat="1" x14ac:dyDescent="0.25">
      <c r="B37" s="3" t="s">
        <v>41</v>
      </c>
      <c r="C37" s="49"/>
      <c r="D37" s="49"/>
      <c r="E37" s="58">
        <v>497258</v>
      </c>
      <c r="F37" s="58">
        <v>637356</v>
      </c>
      <c r="G37" s="58">
        <v>617110</v>
      </c>
      <c r="H37" s="58">
        <v>340527</v>
      </c>
      <c r="I37" s="58">
        <v>477515</v>
      </c>
      <c r="J37" s="3">
        <v>184</v>
      </c>
      <c r="P37" s="49"/>
      <c r="Q37" s="58">
        <v>219988</v>
      </c>
      <c r="R37" s="58">
        <v>637356</v>
      </c>
      <c r="S37" s="3">
        <v>184</v>
      </c>
    </row>
    <row r="38" spans="2:19" s="3" customFormat="1" x14ac:dyDescent="0.25">
      <c r="B38" s="3" t="s">
        <v>42</v>
      </c>
      <c r="C38" s="49"/>
      <c r="D38" s="49"/>
      <c r="E38" s="58">
        <v>103650</v>
      </c>
      <c r="F38" s="58">
        <v>29308</v>
      </c>
      <c r="G38" s="58">
        <v>0</v>
      </c>
      <c r="H38" s="58">
        <v>0</v>
      </c>
      <c r="I38" s="58">
        <v>0</v>
      </c>
      <c r="J38" s="3">
        <v>0</v>
      </c>
      <c r="P38" s="49"/>
      <c r="Q38" s="58">
        <v>171734</v>
      </c>
      <c r="R38" s="58">
        <v>29308</v>
      </c>
      <c r="S38" s="3">
        <v>0</v>
      </c>
    </row>
    <row r="39" spans="2:19" s="3" customFormat="1" x14ac:dyDescent="0.25">
      <c r="B39" s="3" t="s">
        <v>44</v>
      </c>
      <c r="C39" s="49"/>
      <c r="D39" s="49"/>
      <c r="E39" s="58">
        <v>9116590</v>
      </c>
      <c r="F39" s="58">
        <v>11914774</v>
      </c>
      <c r="G39" s="58">
        <v>14210992</v>
      </c>
      <c r="H39" s="58">
        <v>16631510</v>
      </c>
      <c r="I39" s="58">
        <v>20659181</v>
      </c>
      <c r="J39" s="3">
        <v>30557</v>
      </c>
      <c r="P39" s="49"/>
      <c r="Q39" s="58">
        <v>3483990</v>
      </c>
      <c r="R39" s="58">
        <v>11914774</v>
      </c>
      <c r="S39" s="3">
        <v>30557</v>
      </c>
    </row>
    <row r="40" spans="2:19" s="3" customFormat="1" x14ac:dyDescent="0.25">
      <c r="B40" s="3" t="s">
        <v>43</v>
      </c>
      <c r="C40" s="49"/>
      <c r="D40" s="49"/>
      <c r="E40" s="58">
        <v>1792885</v>
      </c>
      <c r="F40" s="58">
        <v>2589547</v>
      </c>
      <c r="G40" s="58">
        <v>3063220</v>
      </c>
      <c r="H40" s="58">
        <v>3380201</v>
      </c>
      <c r="I40" s="58">
        <v>4677057</v>
      </c>
      <c r="J40" s="3">
        <v>8231</v>
      </c>
      <c r="P40" s="49"/>
      <c r="Q40" s="58">
        <v>461966</v>
      </c>
      <c r="R40" s="58">
        <v>2589547</v>
      </c>
      <c r="S40" s="3">
        <v>8231</v>
      </c>
    </row>
    <row r="41" spans="2:19" s="3" customFormat="1" x14ac:dyDescent="0.25">
      <c r="B41" s="3" t="s">
        <v>45</v>
      </c>
      <c r="C41" s="49"/>
      <c r="D41" s="49"/>
      <c r="E41" s="58">
        <v>5430</v>
      </c>
      <c r="F41" s="58">
        <v>4909</v>
      </c>
      <c r="G41" s="58">
        <v>4395</v>
      </c>
      <c r="H41" s="58">
        <v>205895</v>
      </c>
      <c r="I41" s="58">
        <v>200001</v>
      </c>
      <c r="J41" s="3">
        <v>235</v>
      </c>
      <c r="P41" s="49"/>
      <c r="Q41" s="58">
        <v>7003</v>
      </c>
      <c r="R41" s="58">
        <v>4909</v>
      </c>
      <c r="S41" s="3">
        <v>235</v>
      </c>
    </row>
    <row r="42" spans="2:19" s="3" customFormat="1" x14ac:dyDescent="0.25">
      <c r="B42" s="3" t="s">
        <v>46</v>
      </c>
      <c r="C42" s="49"/>
      <c r="D42" s="49"/>
      <c r="E42" s="58">
        <v>19544</v>
      </c>
      <c r="F42" s="58">
        <v>19544</v>
      </c>
      <c r="G42" s="58">
        <v>19544</v>
      </c>
      <c r="H42" s="58">
        <v>812970</v>
      </c>
      <c r="I42" s="58">
        <v>829979</v>
      </c>
      <c r="J42" s="3">
        <v>1101</v>
      </c>
      <c r="P42" s="49"/>
      <c r="Q42" s="58">
        <v>19544</v>
      </c>
      <c r="R42" s="58">
        <v>19544</v>
      </c>
      <c r="S42" s="3">
        <v>1101</v>
      </c>
    </row>
    <row r="43" spans="2:19" s="3" customFormat="1" x14ac:dyDescent="0.25">
      <c r="B43" s="3" t="s">
        <v>47</v>
      </c>
      <c r="C43" s="49"/>
      <c r="D43" s="49"/>
      <c r="E43" s="58">
        <v>548171</v>
      </c>
      <c r="F43" s="58">
        <v>720912</v>
      </c>
      <c r="G43" s="58">
        <v>842475</v>
      </c>
      <c r="H43" s="58">
        <v>924277</v>
      </c>
      <c r="I43" s="58">
        <v>1335482</v>
      </c>
      <c r="J43" s="3">
        <v>1506</v>
      </c>
      <c r="P43" s="49"/>
      <c r="Q43" s="58">
        <v>110758</v>
      </c>
      <c r="R43" s="58">
        <v>720912</v>
      </c>
      <c r="S43" s="3">
        <v>1506</v>
      </c>
    </row>
    <row r="44" spans="2:19" s="5" customFormat="1" x14ac:dyDescent="0.25">
      <c r="B44" s="5" t="s">
        <v>48</v>
      </c>
      <c r="C44" s="50">
        <f t="shared" ref="C44:G44" si="47">SUM(C33:C43)</f>
        <v>0</v>
      </c>
      <c r="D44" s="50">
        <f t="shared" si="47"/>
        <v>0</v>
      </c>
      <c r="E44" s="59">
        <f t="shared" si="47"/>
        <v>14136373</v>
      </c>
      <c r="F44" s="59">
        <f t="shared" si="47"/>
        <v>17832599</v>
      </c>
      <c r="G44" s="59">
        <f t="shared" si="47"/>
        <v>21860383</v>
      </c>
      <c r="H44" s="59">
        <f>SUM(H33:H43)</f>
        <v>26241363</v>
      </c>
      <c r="I44" s="59">
        <f t="shared" ref="I44:K44" si="48">SUM(I33:I43)</f>
        <v>32910498</v>
      </c>
      <c r="J44" s="5">
        <f t="shared" si="48"/>
        <v>49302</v>
      </c>
      <c r="K44" s="5">
        <f t="shared" si="48"/>
        <v>0</v>
      </c>
      <c r="P44" s="50"/>
      <c r="Q44" s="59">
        <f t="shared" ref="Q44:S44" si="49">SUM(Q33:Q43)</f>
        <v>4976975</v>
      </c>
      <c r="R44" s="59">
        <f t="shared" si="49"/>
        <v>17832599</v>
      </c>
      <c r="S44" s="5">
        <f t="shared" si="49"/>
        <v>49302</v>
      </c>
    </row>
    <row r="45" spans="2:19" s="3" customFormat="1" x14ac:dyDescent="0.25">
      <c r="B45" s="3" t="s">
        <v>49</v>
      </c>
      <c r="C45" s="49"/>
      <c r="D45" s="49"/>
      <c r="E45" s="58">
        <v>1009375</v>
      </c>
      <c r="F45" s="58">
        <v>868259</v>
      </c>
      <c r="G45" s="58">
        <v>1242100</v>
      </c>
      <c r="H45" s="58">
        <v>1226579</v>
      </c>
      <c r="I45" s="58">
        <v>1156978</v>
      </c>
      <c r="J45" s="3">
        <v>1623</v>
      </c>
      <c r="P45" s="49"/>
      <c r="Q45" s="58">
        <v>455563</v>
      </c>
      <c r="R45" s="58">
        <v>868259</v>
      </c>
      <c r="S45" s="3">
        <v>1623</v>
      </c>
    </row>
    <row r="46" spans="2:19" s="3" customFormat="1" x14ac:dyDescent="0.25">
      <c r="B46" s="3" t="s">
        <v>50</v>
      </c>
      <c r="C46" s="49"/>
      <c r="D46" s="49"/>
      <c r="E46" s="58">
        <v>423918</v>
      </c>
      <c r="F46" s="58">
        <v>355821</v>
      </c>
      <c r="G46" s="58">
        <v>1377013</v>
      </c>
      <c r="H46" s="58">
        <v>1411237</v>
      </c>
      <c r="I46" s="58">
        <v>3172274</v>
      </c>
      <c r="J46" s="3">
        <v>5773</v>
      </c>
      <c r="P46" s="49"/>
      <c r="Q46" s="58">
        <v>77782</v>
      </c>
      <c r="R46" s="58">
        <v>355821</v>
      </c>
      <c r="S46" s="3">
        <v>5773</v>
      </c>
    </row>
    <row r="47" spans="2:19" s="3" customFormat="1" x14ac:dyDescent="0.25">
      <c r="B47" s="3" t="s">
        <v>51</v>
      </c>
      <c r="C47" s="49"/>
      <c r="D47" s="49"/>
      <c r="E47" s="58">
        <v>1005352</v>
      </c>
      <c r="F47" s="58">
        <v>2468425</v>
      </c>
      <c r="G47" s="58">
        <v>3776595</v>
      </c>
      <c r="H47" s="58">
        <v>3627664</v>
      </c>
      <c r="I47" s="58">
        <v>3712177</v>
      </c>
      <c r="J47" s="3">
        <v>6708</v>
      </c>
      <c r="P47" s="49"/>
      <c r="Q47" s="58">
        <v>171865</v>
      </c>
      <c r="R47" s="58">
        <v>2468425</v>
      </c>
      <c r="S47" s="3">
        <v>6708</v>
      </c>
    </row>
    <row r="48" spans="2:19" s="3" customFormat="1" x14ac:dyDescent="0.25">
      <c r="B48" s="3" t="s">
        <v>52</v>
      </c>
      <c r="C48" s="49"/>
      <c r="D48" s="49"/>
      <c r="E48" s="58">
        <v>1079111</v>
      </c>
      <c r="F48" s="58">
        <v>768927</v>
      </c>
      <c r="G48" s="58">
        <v>436530</v>
      </c>
      <c r="H48" s="58">
        <v>951346</v>
      </c>
      <c r="I48" s="58">
        <v>1107580</v>
      </c>
      <c r="J48" s="3">
        <v>1709</v>
      </c>
      <c r="P48" s="49"/>
      <c r="Q48" s="58">
        <v>249831</v>
      </c>
      <c r="R48" s="58">
        <v>768927</v>
      </c>
      <c r="S48" s="3">
        <v>1709</v>
      </c>
    </row>
    <row r="49" spans="2:19" s="3" customFormat="1" x14ac:dyDescent="0.25">
      <c r="B49" s="3" t="s">
        <v>53</v>
      </c>
      <c r="C49" s="49"/>
      <c r="D49" s="49"/>
      <c r="E49" s="58">
        <v>151421</v>
      </c>
      <c r="F49" s="58">
        <v>213104</v>
      </c>
      <c r="G49" s="58">
        <v>239549</v>
      </c>
      <c r="H49" s="58">
        <v>279080</v>
      </c>
      <c r="I49" s="58">
        <v>345472</v>
      </c>
      <c r="J49" s="3">
        <v>427</v>
      </c>
      <c r="P49" s="49"/>
      <c r="Q49" s="58">
        <v>39789</v>
      </c>
      <c r="R49" s="58">
        <v>213104</v>
      </c>
      <c r="S49" s="3">
        <v>427</v>
      </c>
    </row>
    <row r="50" spans="2:19" s="3" customFormat="1" x14ac:dyDescent="0.25">
      <c r="B50" s="3" t="s">
        <v>54</v>
      </c>
      <c r="C50" s="49"/>
      <c r="D50" s="49"/>
      <c r="E50" s="58">
        <v>16446</v>
      </c>
      <c r="F50" s="58">
        <v>57801</v>
      </c>
      <c r="G50" s="58">
        <v>59010</v>
      </c>
      <c r="H50" s="58">
        <v>60396</v>
      </c>
      <c r="I50" s="58">
        <v>48990</v>
      </c>
      <c r="J50" s="3">
        <v>38</v>
      </c>
      <c r="P50" s="49"/>
      <c r="Q50" s="58">
        <v>3534</v>
      </c>
      <c r="R50" s="58">
        <v>57801</v>
      </c>
      <c r="S50" s="3">
        <v>38</v>
      </c>
    </row>
    <row r="51" spans="2:19" s="3" customFormat="1" x14ac:dyDescent="0.25">
      <c r="B51" s="3" t="s">
        <v>55</v>
      </c>
      <c r="C51" s="49"/>
      <c r="D51" s="49"/>
      <c r="E51" s="58">
        <v>282601</v>
      </c>
      <c r="F51" s="58">
        <v>230244</v>
      </c>
      <c r="G51" s="58">
        <v>0</v>
      </c>
      <c r="H51" s="58">
        <v>53</v>
      </c>
      <c r="I51" s="58">
        <v>171401</v>
      </c>
      <c r="J51" s="3">
        <v>162</v>
      </c>
      <c r="P51" s="49"/>
      <c r="Q51" s="58">
        <v>97</v>
      </c>
      <c r="R51" s="58">
        <v>230244</v>
      </c>
      <c r="S51" s="3">
        <v>162</v>
      </c>
    </row>
    <row r="52" spans="2:19" s="3" customFormat="1" x14ac:dyDescent="0.25">
      <c r="B52" s="3" t="s">
        <v>56</v>
      </c>
      <c r="C52" s="49"/>
      <c r="D52" s="49"/>
      <c r="E52" s="58">
        <v>3445720</v>
      </c>
      <c r="F52" s="58">
        <v>5457915</v>
      </c>
      <c r="G52" s="58">
        <v>4935071</v>
      </c>
      <c r="H52" s="58">
        <v>7423837</v>
      </c>
      <c r="I52" s="58">
        <v>10322757</v>
      </c>
      <c r="J52" s="3">
        <v>14665</v>
      </c>
      <c r="P52" s="49"/>
      <c r="Q52" s="58">
        <v>1351389</v>
      </c>
      <c r="R52" s="58">
        <v>5457915</v>
      </c>
      <c r="S52" s="3">
        <v>14665</v>
      </c>
    </row>
    <row r="53" spans="2:19" s="3" customFormat="1" x14ac:dyDescent="0.25">
      <c r="B53" s="3" t="s">
        <v>57</v>
      </c>
      <c r="C53" s="49"/>
      <c r="D53" s="49"/>
      <c r="E53" s="58">
        <v>194330</v>
      </c>
      <c r="F53" s="58">
        <v>200089</v>
      </c>
      <c r="G53" s="58">
        <v>491</v>
      </c>
      <c r="H53" s="58">
        <v>698</v>
      </c>
      <c r="I53" s="58">
        <v>1710</v>
      </c>
      <c r="J53" s="3">
        <v>1</v>
      </c>
      <c r="P53" s="49"/>
      <c r="Q53" s="58">
        <v>527047</v>
      </c>
      <c r="R53" s="58">
        <v>200089</v>
      </c>
      <c r="S53" s="3">
        <v>1</v>
      </c>
    </row>
    <row r="54" spans="2:19" s="3" customFormat="1" x14ac:dyDescent="0.25">
      <c r="B54" s="3" t="s">
        <v>58</v>
      </c>
      <c r="C54" s="49"/>
      <c r="D54" s="49"/>
      <c r="E54" s="58">
        <v>3350236</v>
      </c>
      <c r="F54" s="58">
        <v>3294977</v>
      </c>
      <c r="G54" s="58">
        <v>3611469</v>
      </c>
      <c r="H54" s="58">
        <v>3896173</v>
      </c>
      <c r="I54" s="58">
        <v>4228222</v>
      </c>
      <c r="J54" s="3">
        <v>6476</v>
      </c>
      <c r="P54" s="49"/>
      <c r="Q54" s="58">
        <v>1754873</v>
      </c>
      <c r="R54" s="58">
        <v>3294977</v>
      </c>
      <c r="S54" s="3">
        <v>6476</v>
      </c>
    </row>
    <row r="55" spans="2:19" s="3" customFormat="1" x14ac:dyDescent="0.25">
      <c r="B55" s="3" t="s">
        <v>59</v>
      </c>
      <c r="C55" s="49"/>
      <c r="D55" s="49"/>
      <c r="E55" s="58">
        <v>1642410</v>
      </c>
      <c r="F55" s="58">
        <v>2388912</v>
      </c>
      <c r="G55" s="58">
        <v>2867838</v>
      </c>
      <c r="H55" s="58">
        <v>3168392</v>
      </c>
      <c r="I55" s="58">
        <v>4378869</v>
      </c>
      <c r="J55" s="3">
        <v>7768</v>
      </c>
      <c r="P55" s="49"/>
      <c r="Q55" s="58">
        <v>432653</v>
      </c>
      <c r="R55" s="58">
        <v>2388912</v>
      </c>
      <c r="S55" s="3">
        <v>7768</v>
      </c>
    </row>
    <row r="56" spans="2:19" s="3" customFormat="1" x14ac:dyDescent="0.25">
      <c r="B56" s="3" t="s">
        <v>60</v>
      </c>
      <c r="C56" s="49"/>
      <c r="D56" s="49"/>
      <c r="E56" s="58">
        <v>16250</v>
      </c>
      <c r="F56" s="58">
        <v>34120</v>
      </c>
      <c r="G56" s="58">
        <v>18814</v>
      </c>
      <c r="H56" s="58">
        <v>3112</v>
      </c>
      <c r="I56" s="58">
        <v>12</v>
      </c>
      <c r="J56" s="3">
        <v>216</v>
      </c>
      <c r="P56" s="49"/>
      <c r="Q56" s="58">
        <v>510</v>
      </c>
      <c r="R56" s="58">
        <v>34120</v>
      </c>
      <c r="S56" s="3">
        <v>216</v>
      </c>
    </row>
    <row r="57" spans="2:19" s="3" customFormat="1" x14ac:dyDescent="0.25">
      <c r="B57" s="36" t="s">
        <v>229</v>
      </c>
      <c r="C57" s="49"/>
      <c r="D57" s="49"/>
      <c r="E57" s="58">
        <v>116699</v>
      </c>
      <c r="F57" s="58">
        <v>149232</v>
      </c>
      <c r="G57" s="58">
        <v>193849</v>
      </c>
      <c r="H57" s="58">
        <v>245659</v>
      </c>
      <c r="I57" s="58">
        <v>117633</v>
      </c>
      <c r="J57" s="31">
        <v>115</v>
      </c>
      <c r="P57" s="49"/>
      <c r="Q57" s="58">
        <v>36447</v>
      </c>
      <c r="R57" s="58">
        <v>149232</v>
      </c>
      <c r="S57" s="31">
        <v>115</v>
      </c>
    </row>
    <row r="58" spans="2:19" s="3" customFormat="1" x14ac:dyDescent="0.25">
      <c r="B58" s="3" t="s">
        <v>62</v>
      </c>
      <c r="C58" s="49"/>
      <c r="D58" s="49"/>
      <c r="E58" s="58">
        <v>24142</v>
      </c>
      <c r="F58" s="58">
        <v>36260</v>
      </c>
      <c r="G58" s="58">
        <v>32772</v>
      </c>
      <c r="H58" s="58">
        <v>126331</v>
      </c>
      <c r="I58" s="58">
        <v>268409</v>
      </c>
      <c r="J58" s="3">
        <v>286</v>
      </c>
      <c r="P58" s="49"/>
      <c r="Q58" s="58">
        <v>7496</v>
      </c>
      <c r="R58" s="58">
        <v>36260</v>
      </c>
      <c r="S58" s="3">
        <v>286</v>
      </c>
    </row>
    <row r="59" spans="2:19" s="5" customFormat="1" x14ac:dyDescent="0.25">
      <c r="B59" s="5" t="s">
        <v>63</v>
      </c>
      <c r="C59" s="50">
        <f t="shared" ref="C59:G59" si="50">SUM(C45:C58)</f>
        <v>0</v>
      </c>
      <c r="D59" s="50">
        <f t="shared" si="50"/>
        <v>0</v>
      </c>
      <c r="E59" s="59">
        <f t="shared" si="50"/>
        <v>12758011</v>
      </c>
      <c r="F59" s="59">
        <f t="shared" si="50"/>
        <v>16524086</v>
      </c>
      <c r="G59" s="59">
        <f t="shared" si="50"/>
        <v>18791101</v>
      </c>
      <c r="H59" s="59">
        <f>SUM(H45:H58)</f>
        <v>22420557</v>
      </c>
      <c r="I59" s="59">
        <f t="shared" ref="I59:K59" si="51">SUM(I45:I58)</f>
        <v>29032484</v>
      </c>
      <c r="J59" s="5">
        <f t="shared" si="51"/>
        <v>45967</v>
      </c>
      <c r="K59" s="5">
        <f t="shared" si="51"/>
        <v>0</v>
      </c>
      <c r="P59" s="50"/>
      <c r="Q59" s="59">
        <f t="shared" ref="Q59:S59" si="52">SUM(Q45:Q58)</f>
        <v>5108876</v>
      </c>
      <c r="R59" s="59">
        <f t="shared" si="52"/>
        <v>16524086</v>
      </c>
      <c r="S59" s="5">
        <f t="shared" si="52"/>
        <v>45967</v>
      </c>
    </row>
    <row r="60" spans="2:19" s="3" customFormat="1" x14ac:dyDescent="0.25">
      <c r="B60" s="3" t="s">
        <v>73</v>
      </c>
      <c r="C60" s="49"/>
      <c r="D60" s="49"/>
      <c r="E60" s="58">
        <v>1722389</v>
      </c>
      <c r="F60" s="58">
        <v>1722111</v>
      </c>
      <c r="G60" s="58">
        <v>1163159</v>
      </c>
      <c r="H60" s="58">
        <f>1163159</f>
        <v>1163159</v>
      </c>
      <c r="I60" s="58">
        <v>0</v>
      </c>
      <c r="J60" s="3">
        <v>0</v>
      </c>
      <c r="P60" s="49"/>
      <c r="Q60" s="58">
        <v>464690</v>
      </c>
      <c r="R60" s="58">
        <v>1722111</v>
      </c>
      <c r="S60" s="3">
        <v>0</v>
      </c>
    </row>
    <row r="61" spans="2:19" s="3" customFormat="1" x14ac:dyDescent="0.25">
      <c r="B61" s="3" t="s">
        <v>74</v>
      </c>
      <c r="C61" s="49"/>
      <c r="D61" s="49"/>
      <c r="E61" s="58">
        <f>1-33524</f>
        <v>-33523</v>
      </c>
      <c r="F61" s="58">
        <f>1-33524</f>
        <v>-33523</v>
      </c>
      <c r="G61" s="58">
        <f>2-33524</f>
        <v>-33522</v>
      </c>
      <c r="H61" s="58">
        <f>2-33524</f>
        <v>-33522</v>
      </c>
      <c r="I61" s="58">
        <v>-33522</v>
      </c>
      <c r="J61" s="3">
        <v>-34</v>
      </c>
      <c r="P61" s="49"/>
      <c r="Q61" s="58">
        <f>1-32054</f>
        <v>-32053</v>
      </c>
      <c r="R61" s="58">
        <f>1-33524</f>
        <v>-33523</v>
      </c>
      <c r="S61" s="3">
        <v>-34</v>
      </c>
    </row>
    <row r="62" spans="2:19" s="3" customFormat="1" x14ac:dyDescent="0.25">
      <c r="B62" s="3" t="s">
        <v>64</v>
      </c>
      <c r="C62" s="49"/>
      <c r="D62" s="49"/>
      <c r="E62" s="58">
        <v>1114349</v>
      </c>
      <c r="F62" s="58">
        <v>1096160</v>
      </c>
      <c r="G62" s="58">
        <v>3730521</v>
      </c>
      <c r="H62" s="58">
        <v>4772825</v>
      </c>
      <c r="I62" s="58">
        <v>6104329</v>
      </c>
      <c r="J62" s="3">
        <v>6012</v>
      </c>
      <c r="P62" s="49"/>
      <c r="Q62" s="58">
        <v>48397</v>
      </c>
      <c r="R62" s="58">
        <v>1096160</v>
      </c>
      <c r="S62" s="3">
        <v>6012</v>
      </c>
    </row>
    <row r="63" spans="2:19" s="3" customFormat="1" x14ac:dyDescent="0.25">
      <c r="B63" s="3" t="s">
        <v>65</v>
      </c>
      <c r="C63" s="49"/>
      <c r="D63" s="49"/>
      <c r="E63" s="58">
        <v>10</v>
      </c>
      <c r="F63" s="58">
        <v>0</v>
      </c>
      <c r="G63" s="62">
        <v>0</v>
      </c>
      <c r="H63" s="58">
        <v>-271</v>
      </c>
      <c r="I63" s="58">
        <f>-1284</f>
        <v>-1284</v>
      </c>
      <c r="P63" s="49"/>
      <c r="Q63" s="58">
        <v>-148</v>
      </c>
      <c r="R63" s="58">
        <v>0</v>
      </c>
    </row>
    <row r="64" spans="2:19" s="3" customFormat="1" x14ac:dyDescent="0.25">
      <c r="B64" s="3" t="s">
        <v>66</v>
      </c>
      <c r="C64" s="49"/>
      <c r="D64" s="49"/>
      <c r="E64" s="58">
        <v>-1424863</v>
      </c>
      <c r="F64" s="58">
        <v>-1476235</v>
      </c>
      <c r="G64" s="58">
        <v>-1790876</v>
      </c>
      <c r="H64" s="58">
        <v>-2081385</v>
      </c>
      <c r="I64" s="58">
        <v>-2191509</v>
      </c>
      <c r="J64" s="3">
        <v>-2643</v>
      </c>
      <c r="P64" s="49"/>
      <c r="Q64" s="58">
        <v>-612787</v>
      </c>
      <c r="R64" s="58">
        <v>-1476235</v>
      </c>
      <c r="S64" s="3">
        <v>-2643</v>
      </c>
    </row>
    <row r="65" spans="2:20" s="5" customFormat="1" x14ac:dyDescent="0.25">
      <c r="B65" s="5" t="s">
        <v>67</v>
      </c>
      <c r="C65" s="50">
        <f t="shared" ref="C65:G65" si="53">SUM(C60:C64)</f>
        <v>0</v>
      </c>
      <c r="D65" s="50">
        <f t="shared" si="53"/>
        <v>0</v>
      </c>
      <c r="E65" s="59">
        <f t="shared" si="53"/>
        <v>1378362</v>
      </c>
      <c r="F65" s="59">
        <f t="shared" si="53"/>
        <v>1308513</v>
      </c>
      <c r="G65" s="59">
        <f t="shared" si="53"/>
        <v>3069282</v>
      </c>
      <c r="H65" s="59">
        <f>SUM(H60:H64)</f>
        <v>3820806</v>
      </c>
      <c r="I65" s="59">
        <f t="shared" ref="I65:K65" si="54">SUM(I60:I64)</f>
        <v>3878014</v>
      </c>
      <c r="J65" s="5">
        <f t="shared" si="54"/>
        <v>3335</v>
      </c>
      <c r="K65" s="5">
        <f t="shared" si="54"/>
        <v>0</v>
      </c>
      <c r="P65" s="50"/>
      <c r="Q65" s="59">
        <f t="shared" ref="Q65:S65" si="55">SUM(Q60:Q64)</f>
        <v>-131901</v>
      </c>
      <c r="R65" s="59">
        <f t="shared" si="55"/>
        <v>1308513</v>
      </c>
      <c r="S65" s="5">
        <f t="shared" si="55"/>
        <v>3335</v>
      </c>
    </row>
    <row r="66" spans="2:20" s="5" customFormat="1" x14ac:dyDescent="0.25">
      <c r="B66" s="5" t="s">
        <v>68</v>
      </c>
      <c r="C66" s="50">
        <f t="shared" ref="C66:G66" si="56">+C59+C65</f>
        <v>0</v>
      </c>
      <c r="D66" s="50">
        <f t="shared" si="56"/>
        <v>0</v>
      </c>
      <c r="E66" s="59">
        <f t="shared" si="56"/>
        <v>14136373</v>
      </c>
      <c r="F66" s="59">
        <f t="shared" si="56"/>
        <v>17832599</v>
      </c>
      <c r="G66" s="59">
        <f t="shared" si="56"/>
        <v>21860383</v>
      </c>
      <c r="H66" s="59">
        <f>+H59+H65</f>
        <v>26241363</v>
      </c>
      <c r="I66" s="59">
        <f t="shared" ref="I66:K66" si="57">+I59+I65</f>
        <v>32910498</v>
      </c>
      <c r="J66" s="5">
        <f t="shared" si="57"/>
        <v>49302</v>
      </c>
      <c r="K66" s="5">
        <f t="shared" si="57"/>
        <v>0</v>
      </c>
      <c r="P66" s="50"/>
      <c r="Q66" s="59">
        <f t="shared" ref="Q66:S66" si="58">+Q59+Q65</f>
        <v>4976975</v>
      </c>
      <c r="R66" s="59">
        <f t="shared" si="58"/>
        <v>17832599</v>
      </c>
      <c r="S66" s="5">
        <f t="shared" si="58"/>
        <v>49302</v>
      </c>
    </row>
    <row r="69" spans="2:20" s="31" customFormat="1" x14ac:dyDescent="0.25">
      <c r="B69" s="30" t="s">
        <v>221</v>
      </c>
      <c r="C69" s="48"/>
      <c r="D69" s="48"/>
      <c r="E69" s="48">
        <f t="shared" ref="E69:G69" si="59">(E33+E34+E35+E36)/(E45+E46+E47+E48+E49+E50+E51)</f>
        <v>0.51732084680703505</v>
      </c>
      <c r="F69" s="48">
        <f t="shared" si="59"/>
        <v>0.38613959147467819</v>
      </c>
      <c r="G69" s="48">
        <f t="shared" si="59"/>
        <v>0.43510522035615373</v>
      </c>
      <c r="H69" s="48">
        <f>(H33+H34+H35+H36)/(H45+H46+H47+H48+H49+H50+H51)</f>
        <v>0.52220720175269686</v>
      </c>
      <c r="I69" s="48">
        <f t="shared" ref="I69:J69" si="60">(I33+I34+I35+I36)/(I45+I46+I47+I48+I49+I50+I51)</f>
        <v>0.48701444548111389</v>
      </c>
      <c r="J69" s="31">
        <f t="shared" si="60"/>
        <v>0.4554744525547445</v>
      </c>
      <c r="K69" s="31" t="e">
        <f t="shared" ref="K69" si="61">(K33+K34+K35+K36)/(K45+K46+K47+K48+K49+K50+K51)</f>
        <v>#DIV/0!</v>
      </c>
      <c r="P69" s="48"/>
      <c r="Q69" s="48">
        <f t="shared" ref="Q69:R69" si="62">(Q33+Q34+Q35+Q36)/(Q45+Q46+Q47+Q48+Q49+Q50+Q51)</f>
        <v>0.50276575649925237</v>
      </c>
      <c r="R69" s="70">
        <f t="shared" si="62"/>
        <v>0.38613959147467819</v>
      </c>
      <c r="S69" s="77">
        <f t="shared" ref="S69:T69" si="63">(S33+S34+S35+S36)/(S45+S46+S47+S48+S49+S50+S51)</f>
        <v>0.4554744525547445</v>
      </c>
      <c r="T69" s="77" t="e">
        <f t="shared" si="63"/>
        <v>#DIV/0!</v>
      </c>
    </row>
    <row r="70" spans="2:20" s="31" customFormat="1" x14ac:dyDescent="0.25">
      <c r="B70" s="30" t="s">
        <v>222</v>
      </c>
      <c r="C70" s="48"/>
      <c r="D70" s="48"/>
      <c r="E70" s="48">
        <f t="shared" ref="E70:G70" si="64">(E33+E34+E35)/(E45+E46+E47+E48+E49+E50+E51)</f>
        <v>0.4845837835767336</v>
      </c>
      <c r="F70" s="48">
        <f t="shared" si="64"/>
        <v>0.3657377078580682</v>
      </c>
      <c r="G70" s="48">
        <f t="shared" si="64"/>
        <v>0.41452785712452617</v>
      </c>
      <c r="H70" s="48">
        <f>(H33+H34+H35)/(H45+H46+H47+H48+H49+H50+H51)</f>
        <v>0.48260755350959555</v>
      </c>
      <c r="I70" s="48">
        <f t="shared" ref="I70:J70" si="65">(I33+I34+I35)/(I45+I46+I47+I48+I49+I50+I51)</f>
        <v>0.43210595054674933</v>
      </c>
      <c r="J70" s="31">
        <f t="shared" si="65"/>
        <v>0.43485401459854017</v>
      </c>
      <c r="K70" s="31" t="e">
        <f t="shared" ref="K70" si="66">(K33+K34+K35)/(K45+K46+K47+K48+K49+K50+K51)</f>
        <v>#DIV/0!</v>
      </c>
      <c r="P70" s="48"/>
      <c r="Q70" s="48">
        <f t="shared" ref="Q70:R70" si="67">(Q33+Q34+Q35)/(Q45+Q46+Q47+Q48+Q49+Q50+Q51)</f>
        <v>0.42612180145243528</v>
      </c>
      <c r="R70" s="70">
        <f t="shared" si="67"/>
        <v>0.3657377078580682</v>
      </c>
      <c r="S70" s="77">
        <f t="shared" ref="S70:T70" si="68">(S33+S34+S35)/(S45+S46+S47+S48+S49+S50+S51)</f>
        <v>0.43485401459854017</v>
      </c>
      <c r="T70" s="77" t="e">
        <f t="shared" si="68"/>
        <v>#DIV/0!</v>
      </c>
    </row>
    <row r="71" spans="2:20" s="31" customFormat="1" x14ac:dyDescent="0.25">
      <c r="B71" s="30"/>
      <c r="C71" s="48"/>
      <c r="D71" s="48"/>
      <c r="E71" s="48"/>
      <c r="F71" s="48"/>
      <c r="G71" s="48"/>
      <c r="H71" s="48"/>
      <c r="I71" s="48"/>
      <c r="P71" s="48"/>
      <c r="Q71" s="48"/>
      <c r="R71" s="70"/>
      <c r="S71" s="77"/>
      <c r="T71" s="77"/>
    </row>
    <row r="72" spans="2:20" s="31" customFormat="1" x14ac:dyDescent="0.25">
      <c r="B72" s="32" t="s">
        <v>224</v>
      </c>
      <c r="C72" s="48"/>
      <c r="D72" s="48"/>
      <c r="E72" s="48">
        <f t="shared" ref="E72:G72" si="69">E59/E65</f>
        <v>9.255921884091407</v>
      </c>
      <c r="F72" s="48">
        <f t="shared" si="69"/>
        <v>12.628140492299273</v>
      </c>
      <c r="G72" s="48">
        <f t="shared" si="69"/>
        <v>6.1223116676799334</v>
      </c>
      <c r="H72" s="48">
        <f>H59/H65</f>
        <v>5.8680176381632565</v>
      </c>
      <c r="I72" s="48">
        <f t="shared" ref="I72:J72" si="70">I59/I65</f>
        <v>7.4864309411982521</v>
      </c>
      <c r="J72" s="31">
        <f t="shared" si="70"/>
        <v>13.783208395802099</v>
      </c>
      <c r="K72" s="31" t="e">
        <f t="shared" ref="K72" si="71">K59/K65</f>
        <v>#DIV/0!</v>
      </c>
      <c r="P72" s="48"/>
      <c r="Q72" s="48">
        <f>Q59/Q65</f>
        <v>-38.732655552270266</v>
      </c>
      <c r="R72" s="70">
        <f>R59/R65</f>
        <v>12.628140492299273</v>
      </c>
      <c r="S72" s="77">
        <f t="shared" ref="S72:T72" si="72">S59/S65</f>
        <v>13.783208395802099</v>
      </c>
      <c r="T72" s="77" t="e">
        <f t="shared" si="72"/>
        <v>#DIV/0!</v>
      </c>
    </row>
    <row r="73" spans="2:20" s="31" customFormat="1" x14ac:dyDescent="0.25">
      <c r="B73" s="32" t="s">
        <v>225</v>
      </c>
      <c r="C73" s="48"/>
      <c r="D73" s="48"/>
      <c r="E73" s="48">
        <f t="shared" ref="E73:G73" si="73">E59/E44</f>
        <v>0.90249535718957052</v>
      </c>
      <c r="F73" s="48">
        <f t="shared" si="73"/>
        <v>0.92662241774179976</v>
      </c>
      <c r="G73" s="48">
        <f t="shared" si="73"/>
        <v>0.85959614705744181</v>
      </c>
      <c r="H73" s="48">
        <f>H59/H44</f>
        <v>0.85439757835749619</v>
      </c>
      <c r="I73" s="48">
        <f t="shared" ref="I73:J73" si="74">I59/I44</f>
        <v>0.88216483384724231</v>
      </c>
      <c r="J73" s="31">
        <f t="shared" si="74"/>
        <v>0.93235568536773361</v>
      </c>
      <c r="K73" s="31" t="e">
        <f t="shared" ref="K73" si="75">K59/K44</f>
        <v>#DIV/0!</v>
      </c>
      <c r="P73" s="48"/>
      <c r="Q73" s="48">
        <f t="shared" ref="Q73:R73" si="76">Q59/Q44</f>
        <v>1.026502242828224</v>
      </c>
      <c r="R73" s="70">
        <f t="shared" si="76"/>
        <v>0.92662241774179976</v>
      </c>
      <c r="S73" s="77">
        <f t="shared" ref="S73:T73" si="77">S59/S44</f>
        <v>0.93235568536773361</v>
      </c>
      <c r="T73" s="77" t="e">
        <f t="shared" si="77"/>
        <v>#DIV/0!</v>
      </c>
    </row>
    <row r="74" spans="2:20" s="31" customFormat="1" x14ac:dyDescent="0.25">
      <c r="B74" s="32" t="s">
        <v>226</v>
      </c>
      <c r="C74" s="48"/>
      <c r="D74" s="48"/>
      <c r="E74" s="48">
        <f t="shared" ref="E74:G74" si="78">E65/E44</f>
        <v>9.7504642810429518E-2</v>
      </c>
      <c r="F74" s="48">
        <f t="shared" si="78"/>
        <v>7.3377582258200277E-2</v>
      </c>
      <c r="G74" s="48">
        <f t="shared" si="78"/>
        <v>0.14040385294255822</v>
      </c>
      <c r="H74" s="48">
        <f>H65/H44</f>
        <v>0.14560242164250387</v>
      </c>
      <c r="I74" s="48">
        <f t="shared" ref="I74:J74" si="79">I65/I44</f>
        <v>0.1178351661527577</v>
      </c>
      <c r="J74" s="31">
        <f t="shared" si="79"/>
        <v>6.7644314632266445E-2</v>
      </c>
      <c r="K74" s="31" t="e">
        <f t="shared" ref="K74" si="80">K65/K44</f>
        <v>#DIV/0!</v>
      </c>
      <c r="P74" s="48"/>
      <c r="Q74" s="48">
        <f t="shared" ref="Q74:R74" si="81">Q65/Q44</f>
        <v>-2.6502242828223971E-2</v>
      </c>
      <c r="R74" s="70">
        <f t="shared" si="81"/>
        <v>7.3377582258200277E-2</v>
      </c>
      <c r="S74" s="77">
        <f t="shared" ref="S74:T74" si="82">S65/S44</f>
        <v>6.7644314632266445E-2</v>
      </c>
      <c r="T74" s="77" t="e">
        <f t="shared" si="82"/>
        <v>#DIV/0!</v>
      </c>
    </row>
    <row r="75" spans="2:20" s="31" customFormat="1" x14ac:dyDescent="0.25">
      <c r="B75" s="30"/>
      <c r="C75" s="48"/>
      <c r="D75" s="48"/>
      <c r="E75" s="48"/>
      <c r="F75" s="48"/>
      <c r="G75" s="48"/>
      <c r="H75" s="48"/>
      <c r="I75" s="48"/>
      <c r="P75" s="48"/>
      <c r="Q75" s="48"/>
      <c r="R75" s="70"/>
      <c r="S75" s="77"/>
      <c r="T75" s="77"/>
    </row>
    <row r="76" spans="2:20" s="31" customFormat="1" x14ac:dyDescent="0.25">
      <c r="B76" s="32" t="s">
        <v>227</v>
      </c>
      <c r="C76" s="48"/>
      <c r="D76" s="48"/>
      <c r="E76" s="48">
        <f t="shared" ref="E76:G76" si="83">(E39+E42+E43+E40)/E44</f>
        <v>0.81189071623958986</v>
      </c>
      <c r="F76" s="48">
        <f t="shared" si="83"/>
        <v>0.85488251039570839</v>
      </c>
      <c r="G76" s="48">
        <f t="shared" si="83"/>
        <v>0.82963921537879737</v>
      </c>
      <c r="H76" s="48">
        <f>(H39+H42+H43+H40)/H44</f>
        <v>0.82880443367213819</v>
      </c>
      <c r="I76" s="48">
        <f t="shared" ref="I76:J76" si="84">(I39+I42+I43+I40)/I44</f>
        <v>0.83565125632556514</v>
      </c>
      <c r="J76" s="31">
        <f t="shared" si="84"/>
        <v>0.83962111070544809</v>
      </c>
      <c r="K76" s="31" t="e">
        <f t="shared" ref="K76" si="85">(K39+K42+K43+K40)/K44</f>
        <v>#DIV/0!</v>
      </c>
      <c r="P76" s="48"/>
      <c r="Q76" s="48">
        <f t="shared" ref="Q76:R76" si="86">(Q39+Q42+Q43+Q40)/Q44</f>
        <v>0.81902320184449384</v>
      </c>
      <c r="R76" s="70">
        <f t="shared" si="86"/>
        <v>0.85488251039570839</v>
      </c>
      <c r="S76" s="77">
        <f t="shared" ref="S76:T76" si="87">(S39+S42+S43+S40)/S44</f>
        <v>0.83962111070544809</v>
      </c>
      <c r="T76" s="77" t="e">
        <f t="shared" si="87"/>
        <v>#DIV/0!</v>
      </c>
    </row>
    <row r="77" spans="2:20" s="31" customFormat="1" x14ac:dyDescent="0.25">
      <c r="B77" s="30" t="s">
        <v>223</v>
      </c>
      <c r="C77" s="48"/>
      <c r="D77" s="48"/>
      <c r="E77" s="48">
        <f t="shared" ref="E77:H77" si="88">E33/E44</f>
        <v>9.5867306274388775E-2</v>
      </c>
      <c r="F77" s="48">
        <f t="shared" si="88"/>
        <v>7.6325554115807798E-2</v>
      </c>
      <c r="G77" s="48">
        <f t="shared" si="88"/>
        <v>5.8391291680479705E-2</v>
      </c>
      <c r="H77" s="48">
        <f t="shared" si="88"/>
        <v>4.3933807858989642E-2</v>
      </c>
      <c r="I77" s="48">
        <f t="shared" ref="I77:J77" si="89">I33/I44</f>
        <v>5.9003908114669067E-2</v>
      </c>
      <c r="J77" s="31">
        <f t="shared" si="89"/>
        <v>6.411504604275689E-2</v>
      </c>
      <c r="K77" s="31" t="e">
        <f t="shared" ref="K77" si="90">K33/K44</f>
        <v>#DIV/0!</v>
      </c>
      <c r="P77" s="48"/>
      <c r="Q77" s="48">
        <f>Q33/Q44</f>
        <v>4.3630317612606051E-2</v>
      </c>
      <c r="R77" s="70">
        <f>R33/R44</f>
        <v>7.6325554115807798E-2</v>
      </c>
      <c r="S77" s="77">
        <f t="shared" ref="S77:T77" si="91">S33/S44</f>
        <v>6.411504604275689E-2</v>
      </c>
      <c r="T77" s="77" t="e">
        <f t="shared" si="91"/>
        <v>#DIV/0!</v>
      </c>
    </row>
    <row r="78" spans="2:20" s="31" customFormat="1" x14ac:dyDescent="0.25">
      <c r="B78" s="33" t="s">
        <v>228</v>
      </c>
      <c r="C78" s="48"/>
      <c r="D78" s="48"/>
      <c r="E78" s="48">
        <f t="shared" ref="E78:G78" si="92">E3/E44</f>
        <v>4.1307696111300966E-2</v>
      </c>
      <c r="F78" s="48">
        <f t="shared" si="92"/>
        <v>4.1913688520669366E-2</v>
      </c>
      <c r="G78" s="48">
        <f t="shared" si="92"/>
        <v>4.4904611232108788E-2</v>
      </c>
      <c r="H78" s="48">
        <f>H3/H44</f>
        <v>4.6216654218761428E-2</v>
      </c>
      <c r="I78" s="48">
        <f t="shared" ref="I78:J78" si="93">I3/I44</f>
        <v>4.1466282278682015E-2</v>
      </c>
      <c r="J78" s="31">
        <f t="shared" si="93"/>
        <v>3.188511622246562E-2</v>
      </c>
      <c r="K78" s="31" t="e">
        <f>K3/K44</f>
        <v>#DIV/0!</v>
      </c>
      <c r="P78" s="48"/>
      <c r="Q78" s="48">
        <f t="shared" ref="Q78:R78" si="94">Q3/Q44</f>
        <v>4.6000431989310774E-2</v>
      </c>
      <c r="R78" s="70">
        <f t="shared" si="94"/>
        <v>0.10741148836465172</v>
      </c>
      <c r="S78" s="77">
        <f t="shared" ref="S78:T78" si="95">S3/S44</f>
        <v>0.10407480426757534</v>
      </c>
      <c r="T78" s="77" t="e">
        <f t="shared" si="95"/>
        <v>#DIV/0!</v>
      </c>
    </row>
    <row r="79" spans="2:20" s="31" customFormat="1" x14ac:dyDescent="0.25">
      <c r="C79" s="48"/>
      <c r="D79" s="48"/>
      <c r="E79" s="48"/>
      <c r="F79" s="48"/>
      <c r="G79" s="48"/>
      <c r="H79" s="48"/>
      <c r="I79" s="48"/>
      <c r="P79" s="48"/>
      <c r="Q79" s="48"/>
      <c r="R79" s="48"/>
    </row>
    <row r="81" spans="2:20" s="3" customFormat="1" x14ac:dyDescent="0.25">
      <c r="B81" s="3" t="s">
        <v>75</v>
      </c>
      <c r="C81" s="58">
        <f t="shared" ref="C81:K81" si="96">C16</f>
        <v>-129248</v>
      </c>
      <c r="D81" s="58">
        <f t="shared" si="96"/>
        <v>-323021</v>
      </c>
      <c r="E81" s="58">
        <f t="shared" si="96"/>
        <v>-359807</v>
      </c>
      <c r="F81" s="58">
        <f t="shared" si="96"/>
        <v>-51372</v>
      </c>
      <c r="G81" s="58">
        <f t="shared" si="96"/>
        <v>-314641</v>
      </c>
      <c r="H81" s="58">
        <f t="shared" si="96"/>
        <v>-290509</v>
      </c>
      <c r="I81" s="58">
        <f t="shared" si="96"/>
        <v>-110124</v>
      </c>
      <c r="J81" s="3">
        <f t="shared" si="96"/>
        <v>-452</v>
      </c>
      <c r="K81" s="3">
        <f t="shared" si="96"/>
        <v>0</v>
      </c>
      <c r="P81" s="58">
        <f>P16</f>
        <v>-30866</v>
      </c>
      <c r="Q81" s="58">
        <f>Q16</f>
        <v>-593748</v>
      </c>
      <c r="R81" s="58">
        <f>R16</f>
        <v>-863448</v>
      </c>
      <c r="S81" s="3">
        <f>S16</f>
        <v>-1167.2740000000006</v>
      </c>
      <c r="T81" s="3">
        <f>T16</f>
        <v>0</v>
      </c>
    </row>
    <row r="82" spans="2:20" s="3" customFormat="1" x14ac:dyDescent="0.25">
      <c r="B82" s="3" t="s">
        <v>76</v>
      </c>
      <c r="C82" s="58">
        <v>-129248</v>
      </c>
      <c r="D82" s="58">
        <v>-323021</v>
      </c>
      <c r="E82" s="58">
        <v>-359807</v>
      </c>
      <c r="F82" s="58">
        <v>-51372</v>
      </c>
      <c r="G82" s="58">
        <v>-314641</v>
      </c>
      <c r="H82" s="58">
        <v>-290509</v>
      </c>
      <c r="I82" s="58">
        <v>-110124</v>
      </c>
      <c r="J82" s="3">
        <v>-452</v>
      </c>
      <c r="P82" s="58">
        <v>-30866</v>
      </c>
      <c r="Q82" s="58">
        <v>-593748</v>
      </c>
      <c r="R82" s="58">
        <v>-863448</v>
      </c>
      <c r="S82" s="3">
        <f t="shared" ref="S82:S117" si="97">SUM(G82:I82)/1000+J82</f>
        <v>-1167.2739999999999</v>
      </c>
    </row>
    <row r="83" spans="2:20" s="3" customFormat="1" x14ac:dyDescent="0.25">
      <c r="B83" s="3" t="s">
        <v>77</v>
      </c>
      <c r="C83" s="58">
        <v>79510</v>
      </c>
      <c r="D83" s="58">
        <v>164460</v>
      </c>
      <c r="E83" s="58">
        <v>254024</v>
      </c>
      <c r="F83" s="58">
        <v>365419</v>
      </c>
      <c r="G83" s="58">
        <v>443497</v>
      </c>
      <c r="H83" s="58">
        <v>559481</v>
      </c>
      <c r="I83" s="58">
        <v>630479</v>
      </c>
      <c r="J83" s="3">
        <v>821</v>
      </c>
      <c r="P83" s="58">
        <v>11695</v>
      </c>
      <c r="Q83" s="58">
        <v>103210</v>
      </c>
      <c r="R83" s="58">
        <v>863413</v>
      </c>
      <c r="S83" s="3">
        <f t="shared" si="97"/>
        <v>2454.4570000000003</v>
      </c>
    </row>
    <row r="84" spans="2:20" s="3" customFormat="1" x14ac:dyDescent="0.25">
      <c r="B84" s="3" t="s">
        <v>78</v>
      </c>
      <c r="C84" s="58">
        <v>15090</v>
      </c>
      <c r="D84" s="58">
        <v>26925</v>
      </c>
      <c r="E84" s="58">
        <v>37455</v>
      </c>
      <c r="F84" s="58">
        <v>43278</v>
      </c>
      <c r="G84" s="58">
        <v>66869</v>
      </c>
      <c r="H84" s="58">
        <v>77244</v>
      </c>
      <c r="I84" s="58">
        <v>89723</v>
      </c>
      <c r="J84" s="3">
        <v>123</v>
      </c>
      <c r="P84" s="58">
        <v>16</v>
      </c>
      <c r="Q84" s="58">
        <v>20404</v>
      </c>
      <c r="R84" s="58">
        <v>122748</v>
      </c>
      <c r="S84" s="3">
        <f t="shared" si="97"/>
        <v>356.83600000000001</v>
      </c>
    </row>
    <row r="85" spans="2:20" s="3" customFormat="1" x14ac:dyDescent="0.25">
      <c r="B85" s="36" t="s">
        <v>231</v>
      </c>
      <c r="C85" s="58">
        <v>8058</v>
      </c>
      <c r="D85" s="58">
        <v>7547</v>
      </c>
      <c r="E85" s="58">
        <v>7397</v>
      </c>
      <c r="F85" s="58">
        <v>10374</v>
      </c>
      <c r="G85" s="58">
        <v>37691</v>
      </c>
      <c r="H85" s="58">
        <v>29036</v>
      </c>
      <c r="I85" s="58">
        <v>21049</v>
      </c>
      <c r="J85" s="3">
        <v>22</v>
      </c>
      <c r="P85" s="58">
        <v>3803</v>
      </c>
      <c r="Q85" s="58">
        <v>16533</v>
      </c>
      <c r="R85" s="58">
        <v>33376</v>
      </c>
      <c r="S85" s="3">
        <f t="shared" si="97"/>
        <v>109.776</v>
      </c>
    </row>
    <row r="86" spans="2:20" s="3" customFormat="1" x14ac:dyDescent="0.25">
      <c r="B86" s="3" t="s">
        <v>21</v>
      </c>
      <c r="C86" s="58">
        <v>97500</v>
      </c>
      <c r="D86" s="58">
        <v>310231</v>
      </c>
      <c r="E86" s="58">
        <v>341133</v>
      </c>
      <c r="F86" s="58">
        <v>7065</v>
      </c>
      <c r="G86" s="58">
        <v>-26837</v>
      </c>
      <c r="H86" s="58">
        <v>0</v>
      </c>
      <c r="I86" s="58">
        <v>0</v>
      </c>
      <c r="J86" s="3">
        <v>0</v>
      </c>
      <c r="P86" s="58">
        <v>2884</v>
      </c>
      <c r="Q86" s="58">
        <v>533952</v>
      </c>
      <c r="R86" s="58">
        <v>755929</v>
      </c>
      <c r="S86" s="3">
        <f t="shared" si="97"/>
        <v>-26.837</v>
      </c>
    </row>
    <row r="87" spans="2:20" s="3" customFormat="1" x14ac:dyDescent="0.25">
      <c r="B87" s="36" t="s">
        <v>230</v>
      </c>
      <c r="C87" s="58">
        <v>8189</v>
      </c>
      <c r="D87" s="58">
        <v>7660</v>
      </c>
      <c r="E87" s="58">
        <v>7617</v>
      </c>
      <c r="F87" s="58">
        <v>8021</v>
      </c>
      <c r="G87" s="58">
        <v>183973</v>
      </c>
      <c r="H87" s="58">
        <v>145005</v>
      </c>
      <c r="I87" s="58">
        <v>144431</v>
      </c>
      <c r="J87" s="3">
        <v>157</v>
      </c>
      <c r="P87" s="58">
        <v>1490</v>
      </c>
      <c r="Q87" s="58">
        <v>15154</v>
      </c>
      <c r="R87" s="58">
        <v>31487</v>
      </c>
      <c r="S87" s="3">
        <f t="shared" si="97"/>
        <v>630.40899999999999</v>
      </c>
    </row>
    <row r="88" spans="2:20" s="3" customFormat="1" x14ac:dyDescent="0.25">
      <c r="B88" s="36" t="s">
        <v>232</v>
      </c>
      <c r="C88" s="58">
        <v>14686</v>
      </c>
      <c r="D88" s="58">
        <v>28521</v>
      </c>
      <c r="E88" s="58">
        <v>37045</v>
      </c>
      <c r="F88" s="58">
        <v>32533</v>
      </c>
      <c r="G88" s="58">
        <v>44617</v>
      </c>
      <c r="H88" s="58">
        <v>46267</v>
      </c>
      <c r="I88" s="58">
        <v>-128025</v>
      </c>
      <c r="J88" s="3">
        <v>-16</v>
      </c>
      <c r="P88" s="58">
        <v>-1284</v>
      </c>
      <c r="Q88" s="58">
        <v>35816</v>
      </c>
      <c r="R88" s="58">
        <v>112785</v>
      </c>
      <c r="S88" s="3">
        <f t="shared" si="97"/>
        <v>-53.140999999999998</v>
      </c>
    </row>
    <row r="89" spans="2:20" s="3" customFormat="1" x14ac:dyDescent="0.25">
      <c r="B89" s="3" t="s">
        <v>80</v>
      </c>
      <c r="C89" s="58">
        <v>-886</v>
      </c>
      <c r="D89" s="58">
        <v>-2962</v>
      </c>
      <c r="E89" s="58">
        <v>16631</v>
      </c>
      <c r="F89" s="58">
        <v>2211</v>
      </c>
      <c r="G89" s="58">
        <v>22723</v>
      </c>
      <c r="H89" s="58">
        <v>17409</v>
      </c>
      <c r="I89" s="58">
        <f>9256+14486</f>
        <v>23742</v>
      </c>
      <c r="J89" s="3">
        <v>57</v>
      </c>
      <c r="P89" s="58">
        <v>0</v>
      </c>
      <c r="Q89" s="58">
        <v>632</v>
      </c>
      <c r="R89" s="58">
        <f>3286+11708</f>
        <v>14994</v>
      </c>
      <c r="S89" s="3">
        <f t="shared" si="97"/>
        <v>120.874</v>
      </c>
    </row>
    <row r="90" spans="2:20" s="3" customFormat="1" x14ac:dyDescent="0.25">
      <c r="B90" s="3" t="s">
        <v>39</v>
      </c>
      <c r="C90" s="58">
        <v>54328</v>
      </c>
      <c r="D90" s="58">
        <v>-235076</v>
      </c>
      <c r="E90" s="58">
        <v>-151599</v>
      </c>
      <c r="F90" s="58">
        <v>52627</v>
      </c>
      <c r="G90" s="58">
        <v>-638750</v>
      </c>
      <c r="H90" s="58">
        <v>-865946</v>
      </c>
      <c r="I90" s="58">
        <v>252189</v>
      </c>
      <c r="J90" s="3">
        <v>-1496</v>
      </c>
      <c r="P90" s="58">
        <v>-1893</v>
      </c>
      <c r="Q90" s="58">
        <v>-162413</v>
      </c>
      <c r="R90" s="58">
        <v>-279720</v>
      </c>
      <c r="S90" s="3">
        <f t="shared" si="97"/>
        <v>-2748.5070000000001</v>
      </c>
    </row>
    <row r="91" spans="2:20" s="3" customFormat="1" x14ac:dyDescent="0.25">
      <c r="B91" s="3" t="s">
        <v>82</v>
      </c>
      <c r="C91" s="58">
        <v>23228</v>
      </c>
      <c r="D91" s="58">
        <v>-21592</v>
      </c>
      <c r="E91" s="58">
        <v>-56174</v>
      </c>
      <c r="F91" s="58">
        <v>25338</v>
      </c>
      <c r="G91" s="58">
        <v>-9929</v>
      </c>
      <c r="H91" s="58">
        <v>-110519</v>
      </c>
      <c r="I91" s="58">
        <v>-50586</v>
      </c>
      <c r="J91" s="3">
        <v>-268</v>
      </c>
      <c r="P91" s="58">
        <v>-1047</v>
      </c>
      <c r="Q91" s="58">
        <v>-71964</v>
      </c>
      <c r="R91" s="58">
        <v>-29200</v>
      </c>
      <c r="S91" s="3">
        <f t="shared" si="97"/>
        <v>-439.03399999999999</v>
      </c>
    </row>
    <row r="92" spans="2:20" s="3" customFormat="1" x14ac:dyDescent="0.25">
      <c r="B92" s="3" t="s">
        <v>81</v>
      </c>
      <c r="C92" s="58">
        <v>515295</v>
      </c>
      <c r="D92" s="58">
        <v>182553</v>
      </c>
      <c r="E92" s="58">
        <v>-361501</v>
      </c>
      <c r="F92" s="58">
        <v>174221</v>
      </c>
      <c r="G92" s="58">
        <v>62327</v>
      </c>
      <c r="H92" s="58">
        <v>-351500</v>
      </c>
      <c r="I92" s="58">
        <v>622384</v>
      </c>
      <c r="J92" s="3">
        <v>-80</v>
      </c>
      <c r="P92" s="58">
        <v>1404</v>
      </c>
      <c r="Q92" s="58">
        <v>26807</v>
      </c>
      <c r="R92" s="58">
        <v>510568</v>
      </c>
      <c r="S92" s="3">
        <f t="shared" si="97"/>
        <v>253.21100000000001</v>
      </c>
    </row>
    <row r="93" spans="2:20" s="3" customFormat="1" x14ac:dyDescent="0.25">
      <c r="B93" s="3" t="s">
        <v>52</v>
      </c>
      <c r="C93" s="58">
        <v>1439571</v>
      </c>
      <c r="D93" s="58">
        <v>84916</v>
      </c>
      <c r="E93" s="58">
        <v>892523</v>
      </c>
      <c r="F93" s="58">
        <v>-367942</v>
      </c>
      <c r="G93" s="58">
        <v>-15904</v>
      </c>
      <c r="H93" s="58">
        <v>758796</v>
      </c>
      <c r="I93" s="58">
        <v>659272</v>
      </c>
      <c r="J93" s="3">
        <v>2772</v>
      </c>
      <c r="P93" s="58">
        <v>9354</v>
      </c>
      <c r="Q93" s="58">
        <v>1986304</v>
      </c>
      <c r="R93" s="58">
        <v>2049068</v>
      </c>
      <c r="S93" s="3">
        <f t="shared" si="97"/>
        <v>4174.1639999999998</v>
      </c>
    </row>
    <row r="94" spans="2:20" s="3" customFormat="1" x14ac:dyDescent="0.25">
      <c r="B94" s="3" t="s">
        <v>83</v>
      </c>
      <c r="C94" s="58">
        <v>-5819</v>
      </c>
      <c r="D94" s="58">
        <v>-14889</v>
      </c>
      <c r="E94" s="58">
        <v>-24411</v>
      </c>
      <c r="F94" s="58">
        <v>-42492</v>
      </c>
      <c r="G94" s="58">
        <v>-51109</v>
      </c>
      <c r="H94" s="58">
        <v>-59342</v>
      </c>
      <c r="I94" s="58">
        <v>-70610</v>
      </c>
      <c r="J94" s="3">
        <v>-81</v>
      </c>
      <c r="P94" s="58">
        <v>0</v>
      </c>
      <c r="Q94" s="58">
        <v>-9302</v>
      </c>
      <c r="R94" s="58">
        <v>-87611</v>
      </c>
      <c r="S94" s="3">
        <f t="shared" si="97"/>
        <v>-262.06100000000004</v>
      </c>
    </row>
    <row r="95" spans="2:20" s="3" customFormat="1" x14ac:dyDescent="0.25">
      <c r="B95" s="3" t="s">
        <v>47</v>
      </c>
      <c r="C95" s="58">
        <v>-80464</v>
      </c>
      <c r="D95" s="58">
        <v>-333097</v>
      </c>
      <c r="E95" s="58">
        <v>889</v>
      </c>
      <c r="F95" s="58">
        <v>-72549</v>
      </c>
      <c r="G95" s="58">
        <v>256641</v>
      </c>
      <c r="H95" s="58">
        <v>-206673</v>
      </c>
      <c r="I95" s="58">
        <v>-394790</v>
      </c>
      <c r="J95" s="3">
        <v>0</v>
      </c>
      <c r="P95" s="58">
        <f>87+5267</f>
        <v>5354</v>
      </c>
      <c r="Q95" s="58">
        <f>-67317-1418</f>
        <v>-68735</v>
      </c>
      <c r="R95" s="58">
        <f>-485332+111</f>
        <v>-485221</v>
      </c>
      <c r="S95" s="3">
        <f t="shared" si="97"/>
        <v>-344.822</v>
      </c>
    </row>
    <row r="96" spans="2:20" s="5" customFormat="1" x14ac:dyDescent="0.25">
      <c r="B96" s="5" t="s">
        <v>84</v>
      </c>
      <c r="C96" s="59">
        <f t="shared" ref="C96:K96" si="98">SUM(C82:C95)</f>
        <v>2039038</v>
      </c>
      <c r="D96" s="59">
        <f t="shared" si="98"/>
        <v>-117824</v>
      </c>
      <c r="E96" s="59">
        <f t="shared" si="98"/>
        <v>641222</v>
      </c>
      <c r="F96" s="59">
        <f t="shared" si="98"/>
        <v>186732</v>
      </c>
      <c r="G96" s="59">
        <f t="shared" si="98"/>
        <v>61168</v>
      </c>
      <c r="H96" s="59">
        <f t="shared" si="98"/>
        <v>-251251</v>
      </c>
      <c r="I96" s="59">
        <f t="shared" si="98"/>
        <v>1689134</v>
      </c>
      <c r="J96" s="5">
        <f t="shared" si="98"/>
        <v>1559</v>
      </c>
      <c r="K96" s="5">
        <f t="shared" si="98"/>
        <v>0</v>
      </c>
      <c r="L96" s="3"/>
      <c r="M96" s="3"/>
      <c r="N96" s="3"/>
      <c r="O96" s="3"/>
      <c r="P96" s="59">
        <f t="shared" ref="P96:T96" si="99">SUM(P82:P95)</f>
        <v>910</v>
      </c>
      <c r="Q96" s="59">
        <f t="shared" si="99"/>
        <v>1832650</v>
      </c>
      <c r="R96" s="59">
        <f t="shared" si="99"/>
        <v>2749168</v>
      </c>
      <c r="S96" s="5">
        <f t="shared" si="99"/>
        <v>3058.0509999999999</v>
      </c>
      <c r="T96" s="5">
        <f t="shared" si="99"/>
        <v>0</v>
      </c>
    </row>
    <row r="97" spans="2:20" s="3" customFormat="1" x14ac:dyDescent="0.25">
      <c r="B97" s="3" t="s">
        <v>85</v>
      </c>
      <c r="C97" s="58">
        <v>-1741935</v>
      </c>
      <c r="D97" s="58">
        <v>-2247161</v>
      </c>
      <c r="E97" s="58">
        <v>-1215155</v>
      </c>
      <c r="F97" s="58">
        <v>-3497827</v>
      </c>
      <c r="G97" s="58">
        <v>-1407359</v>
      </c>
      <c r="H97" s="58">
        <v>-2452992</v>
      </c>
      <c r="I97" s="58">
        <v>-3278786</v>
      </c>
      <c r="J97" s="3">
        <v>-4060</v>
      </c>
      <c r="P97" s="58">
        <v>-72404</v>
      </c>
      <c r="Q97" s="58">
        <v>-2943130</v>
      </c>
      <c r="R97" s="58">
        <v>-8702078</v>
      </c>
      <c r="S97" s="3">
        <f t="shared" si="97"/>
        <v>-11199.136999999999</v>
      </c>
    </row>
    <row r="98" spans="2:20" s="3" customFormat="1" x14ac:dyDescent="0.25">
      <c r="B98" s="3" t="s">
        <v>86</v>
      </c>
      <c r="C98" s="58">
        <v>0</v>
      </c>
      <c r="D98" s="58">
        <v>840</v>
      </c>
      <c r="E98" s="58">
        <v>430</v>
      </c>
      <c r="F98" s="58">
        <v>1200</v>
      </c>
      <c r="G98" s="58">
        <v>0</v>
      </c>
      <c r="H98" s="58">
        <v>0</v>
      </c>
      <c r="I98" s="58">
        <v>0</v>
      </c>
      <c r="J98" s="3">
        <v>0</v>
      </c>
      <c r="P98" s="58">
        <v>7000</v>
      </c>
      <c r="Q98" s="58">
        <v>5689</v>
      </c>
      <c r="R98" s="58">
        <v>2470</v>
      </c>
      <c r="S98" s="3">
        <f t="shared" si="97"/>
        <v>0</v>
      </c>
    </row>
    <row r="99" spans="2:20" s="3" customFormat="1" x14ac:dyDescent="0.25">
      <c r="B99" s="3" t="s">
        <v>87</v>
      </c>
      <c r="C99" s="62">
        <v>0</v>
      </c>
      <c r="D99" s="58">
        <v>47822</v>
      </c>
      <c r="E99" s="58">
        <v>46816</v>
      </c>
      <c r="F99" s="58">
        <v>90580</v>
      </c>
      <c r="G99" s="58">
        <v>29308</v>
      </c>
      <c r="H99" s="58">
        <v>0</v>
      </c>
      <c r="I99" s="58">
        <v>0</v>
      </c>
      <c r="J99" s="3">
        <v>14</v>
      </c>
      <c r="P99" s="58">
        <v>0</v>
      </c>
      <c r="Q99" s="58">
        <v>0</v>
      </c>
      <c r="R99" s="58">
        <v>185218</v>
      </c>
      <c r="S99" s="3">
        <f t="shared" si="97"/>
        <v>43.308</v>
      </c>
    </row>
    <row r="100" spans="2:20" s="3" customFormat="1" x14ac:dyDescent="0.25">
      <c r="B100" s="3" t="s">
        <v>88</v>
      </c>
      <c r="C100" s="58">
        <v>-29308</v>
      </c>
      <c r="D100" s="58">
        <v>0</v>
      </c>
      <c r="E100" s="58">
        <v>-4745</v>
      </c>
      <c r="F100" s="58">
        <v>0</v>
      </c>
      <c r="G100" s="58">
        <v>0</v>
      </c>
      <c r="H100" s="58">
        <v>0</v>
      </c>
      <c r="I100" s="58">
        <v>-47246</v>
      </c>
      <c r="J100" s="3">
        <v>0</v>
      </c>
      <c r="P100" s="58">
        <v>0</v>
      </c>
      <c r="Q100" s="58">
        <v>-171734</v>
      </c>
      <c r="R100" s="58">
        <v>-34053</v>
      </c>
      <c r="S100" s="3">
        <f t="shared" si="97"/>
        <v>-47.246000000000002</v>
      </c>
    </row>
    <row r="101" spans="2:20" s="3" customFormat="1" x14ac:dyDescent="0.25">
      <c r="B101" s="3" t="s">
        <v>89</v>
      </c>
      <c r="C101" s="58">
        <v>0</v>
      </c>
      <c r="D101" s="58">
        <v>-50000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3">
        <v>0</v>
      </c>
      <c r="P101" s="58">
        <v>0</v>
      </c>
      <c r="Q101" s="58">
        <v>-33000</v>
      </c>
      <c r="R101" s="58">
        <v>-50000</v>
      </c>
      <c r="S101" s="3">
        <f t="shared" si="97"/>
        <v>0</v>
      </c>
    </row>
    <row r="102" spans="2:20" s="3" customFormat="1" x14ac:dyDescent="0.25">
      <c r="B102" s="3" t="s">
        <v>90</v>
      </c>
      <c r="C102" s="58">
        <v>0</v>
      </c>
      <c r="D102" s="58">
        <v>0</v>
      </c>
      <c r="E102" s="58">
        <v>0</v>
      </c>
      <c r="F102" s="58">
        <v>0</v>
      </c>
      <c r="G102" s="58">
        <v>0</v>
      </c>
      <c r="H102" s="58">
        <v>100645</v>
      </c>
      <c r="I102" s="58">
        <v>0</v>
      </c>
      <c r="J102" s="3">
        <v>153</v>
      </c>
      <c r="P102" s="58">
        <v>0</v>
      </c>
      <c r="Q102" s="58">
        <v>0</v>
      </c>
      <c r="R102" s="58">
        <v>0</v>
      </c>
      <c r="S102" s="3">
        <f t="shared" si="97"/>
        <v>253.64499999999998</v>
      </c>
    </row>
    <row r="103" spans="2:20" s="3" customFormat="1" x14ac:dyDescent="0.25">
      <c r="B103" s="3" t="s">
        <v>91</v>
      </c>
      <c r="C103" s="58">
        <v>0</v>
      </c>
      <c r="D103" s="58">
        <v>0</v>
      </c>
      <c r="E103" s="58">
        <v>0</v>
      </c>
      <c r="F103" s="58">
        <v>0</v>
      </c>
      <c r="G103" s="58">
        <v>0</v>
      </c>
      <c r="H103" s="58">
        <v>-45706</v>
      </c>
      <c r="I103" s="58">
        <v>-10212</v>
      </c>
      <c r="J103" s="3">
        <v>-52</v>
      </c>
      <c r="P103" s="58">
        <v>0</v>
      </c>
      <c r="Q103" s="58">
        <v>0</v>
      </c>
      <c r="R103" s="58">
        <v>0</v>
      </c>
      <c r="S103" s="3">
        <f t="shared" si="97"/>
        <v>-107.91800000000001</v>
      </c>
    </row>
    <row r="104" spans="2:20" s="3" customFormat="1" x14ac:dyDescent="0.25">
      <c r="B104" s="3" t="s">
        <v>92</v>
      </c>
      <c r="C104" s="58">
        <v>0</v>
      </c>
      <c r="D104" s="58">
        <v>0</v>
      </c>
      <c r="E104" s="58">
        <v>0</v>
      </c>
      <c r="F104" s="58">
        <v>-59615</v>
      </c>
      <c r="G104" s="58">
        <v>-55000</v>
      </c>
      <c r="H104" s="58">
        <v>-18000</v>
      </c>
      <c r="I104" s="58">
        <v>0</v>
      </c>
      <c r="J104" s="3">
        <v>-17</v>
      </c>
      <c r="P104" s="58">
        <v>0</v>
      </c>
      <c r="Q104" s="58">
        <v>0</v>
      </c>
      <c r="R104" s="58">
        <v>-59615</v>
      </c>
      <c r="S104" s="3">
        <f t="shared" si="97"/>
        <v>-90</v>
      </c>
    </row>
    <row r="105" spans="2:20" s="3" customFormat="1" x14ac:dyDescent="0.25">
      <c r="B105" s="3" t="s">
        <v>93</v>
      </c>
      <c r="C105" s="58">
        <v>0</v>
      </c>
      <c r="D105" s="58">
        <v>-1433</v>
      </c>
      <c r="E105" s="58">
        <v>0</v>
      </c>
      <c r="F105" s="58">
        <v>1433</v>
      </c>
      <c r="G105" s="58">
        <v>0</v>
      </c>
      <c r="H105" s="58">
        <v>-26109</v>
      </c>
      <c r="I105" s="58">
        <v>-23740</v>
      </c>
      <c r="J105" s="3">
        <v>36</v>
      </c>
      <c r="P105" s="58">
        <f>-14852+1073</f>
        <v>-13779</v>
      </c>
      <c r="Q105" s="58">
        <v>-5535</v>
      </c>
      <c r="R105" s="58">
        <v>0</v>
      </c>
      <c r="S105" s="3">
        <f t="shared" si="97"/>
        <v>-13.848999999999997</v>
      </c>
    </row>
    <row r="106" spans="2:20" s="5" customFormat="1" x14ac:dyDescent="0.25">
      <c r="B106" s="5" t="s">
        <v>94</v>
      </c>
      <c r="C106" s="59">
        <f t="shared" ref="C106:K106" si="100">SUM(C97:C105)</f>
        <v>-1771243</v>
      </c>
      <c r="D106" s="59">
        <f t="shared" si="100"/>
        <v>-2249932</v>
      </c>
      <c r="E106" s="59">
        <f t="shared" si="100"/>
        <v>-1172654</v>
      </c>
      <c r="F106" s="59">
        <f t="shared" si="100"/>
        <v>-3464229</v>
      </c>
      <c r="G106" s="59">
        <f t="shared" si="100"/>
        <v>-1433051</v>
      </c>
      <c r="H106" s="59">
        <f t="shared" si="100"/>
        <v>-2442162</v>
      </c>
      <c r="I106" s="59">
        <f t="shared" si="100"/>
        <v>-3359984</v>
      </c>
      <c r="J106" s="5">
        <f t="shared" si="100"/>
        <v>-3926</v>
      </c>
      <c r="K106" s="5">
        <f t="shared" si="100"/>
        <v>0</v>
      </c>
      <c r="L106" s="3"/>
      <c r="M106" s="3"/>
      <c r="N106" s="3"/>
      <c r="O106" s="3"/>
      <c r="P106" s="59">
        <f t="shared" ref="P106:T106" si="101">SUM(P97:P105)</f>
        <v>-79183</v>
      </c>
      <c r="Q106" s="59">
        <f t="shared" si="101"/>
        <v>-3147710</v>
      </c>
      <c r="R106" s="59">
        <f t="shared" si="101"/>
        <v>-8658058</v>
      </c>
      <c r="S106" s="5">
        <f t="shared" si="101"/>
        <v>-11161.196999999996</v>
      </c>
      <c r="T106" s="5">
        <f t="shared" si="101"/>
        <v>0</v>
      </c>
    </row>
    <row r="107" spans="2:20" s="3" customFormat="1" x14ac:dyDescent="0.25">
      <c r="B107" s="3" t="s">
        <v>95</v>
      </c>
      <c r="C107" s="58">
        <v>931647</v>
      </c>
      <c r="D107" s="58">
        <v>889894</v>
      </c>
      <c r="E107" s="58">
        <v>1507580</v>
      </c>
      <c r="F107" s="58">
        <v>3693170</v>
      </c>
      <c r="G107" s="58">
        <v>784956</v>
      </c>
      <c r="H107" s="58">
        <v>3647767</v>
      </c>
      <c r="I107" s="58">
        <v>4019861</v>
      </c>
      <c r="J107" s="3">
        <v>4312</v>
      </c>
      <c r="P107" s="58">
        <v>90000</v>
      </c>
      <c r="Q107" s="58">
        <v>1415862</v>
      </c>
      <c r="R107" s="58">
        <v>7022291</v>
      </c>
      <c r="S107" s="3">
        <f t="shared" si="97"/>
        <v>12764.584000000001</v>
      </c>
    </row>
    <row r="108" spans="2:20" s="3" customFormat="1" x14ac:dyDescent="0.25">
      <c r="B108" s="3" t="s">
        <v>96</v>
      </c>
      <c r="C108" s="58">
        <v>-4956</v>
      </c>
      <c r="D108" s="58">
        <v>-69460</v>
      </c>
      <c r="E108" s="58">
        <v>-289711</v>
      </c>
      <c r="F108" s="58">
        <v>-224428</v>
      </c>
      <c r="G108" s="58">
        <v>-271104</v>
      </c>
      <c r="H108" s="58">
        <v>-1303763</v>
      </c>
      <c r="I108" s="58">
        <v>-1403983</v>
      </c>
      <c r="J108" s="3">
        <v>-420</v>
      </c>
      <c r="P108" s="58">
        <v>-3055</v>
      </c>
      <c r="Q108" s="58">
        <v>-2180</v>
      </c>
      <c r="R108" s="58">
        <v>-588555</v>
      </c>
      <c r="S108" s="3">
        <f t="shared" si="97"/>
        <v>-3398.85</v>
      </c>
    </row>
    <row r="109" spans="2:20" s="3" customFormat="1" x14ac:dyDescent="0.25">
      <c r="B109" s="3" t="s">
        <v>97</v>
      </c>
      <c r="C109" s="58">
        <v>0</v>
      </c>
      <c r="D109" s="58">
        <v>-3479</v>
      </c>
      <c r="E109" s="58">
        <v>0</v>
      </c>
      <c r="F109" s="58">
        <v>-307</v>
      </c>
      <c r="G109" s="58">
        <v>0</v>
      </c>
      <c r="H109" s="58">
        <v>-36536</v>
      </c>
      <c r="I109" s="58">
        <v>-9550</v>
      </c>
      <c r="J109" s="3">
        <v>0</v>
      </c>
      <c r="P109" s="58">
        <v>-1651</v>
      </c>
      <c r="Q109" s="58">
        <v>-12053</v>
      </c>
      <c r="R109" s="58">
        <v>-3786</v>
      </c>
      <c r="S109" s="3">
        <f t="shared" si="97"/>
        <v>-46.085999999999999</v>
      </c>
    </row>
    <row r="110" spans="2:20" s="3" customFormat="1" x14ac:dyDescent="0.25">
      <c r="B110" s="3" t="s">
        <v>98</v>
      </c>
      <c r="C110" s="58">
        <v>25000</v>
      </c>
      <c r="D110" s="58">
        <v>1147476</v>
      </c>
      <c r="E110" s="58">
        <v>0</v>
      </c>
      <c r="F110" s="58">
        <v>0</v>
      </c>
      <c r="G110" s="58">
        <v>0</v>
      </c>
      <c r="H110" s="58">
        <v>0</v>
      </c>
      <c r="I110" s="58">
        <v>0</v>
      </c>
      <c r="J110" s="3">
        <v>-340</v>
      </c>
      <c r="P110" s="58">
        <v>0</v>
      </c>
      <c r="Q110" s="58">
        <v>420765</v>
      </c>
      <c r="R110" s="58">
        <v>1172476</v>
      </c>
      <c r="S110" s="3">
        <f t="shared" si="97"/>
        <v>-340</v>
      </c>
    </row>
    <row r="111" spans="2:20" s="3" customFormat="1" x14ac:dyDescent="0.25">
      <c r="B111" s="3" t="s">
        <v>99</v>
      </c>
      <c r="C111" s="58">
        <v>0</v>
      </c>
      <c r="D111" s="58">
        <v>0</v>
      </c>
      <c r="E111" s="58">
        <v>-29331</v>
      </c>
      <c r="F111" s="58">
        <v>-28414</v>
      </c>
      <c r="G111" s="58">
        <v>-26101</v>
      </c>
      <c r="H111" s="58">
        <v>-2592</v>
      </c>
      <c r="I111" s="58">
        <v>0</v>
      </c>
      <c r="J111" s="55">
        <v>0</v>
      </c>
      <c r="P111" s="58">
        <v>0</v>
      </c>
      <c r="Q111" s="58">
        <v>0</v>
      </c>
      <c r="R111" s="58">
        <v>-57745</v>
      </c>
      <c r="S111" s="3">
        <f t="shared" si="97"/>
        <v>-28.693000000000001</v>
      </c>
    </row>
    <row r="112" spans="2:20" s="3" customFormat="1" x14ac:dyDescent="0.25">
      <c r="B112" s="3" t="s">
        <v>100</v>
      </c>
      <c r="C112" s="58">
        <v>45</v>
      </c>
      <c r="D112" s="58">
        <v>597</v>
      </c>
      <c r="E112" s="58">
        <v>685</v>
      </c>
      <c r="F112" s="58">
        <v>1563</v>
      </c>
      <c r="G112" s="58">
        <v>2794</v>
      </c>
      <c r="H112" s="58">
        <v>1744</v>
      </c>
      <c r="I112" s="58">
        <v>12981</v>
      </c>
      <c r="J112" s="55">
        <v>0</v>
      </c>
      <c r="P112" s="58">
        <v>0</v>
      </c>
      <c r="Q112" s="58">
        <v>1669</v>
      </c>
      <c r="R112" s="58">
        <v>2890</v>
      </c>
      <c r="S112" s="3">
        <f t="shared" si="97"/>
        <v>17.518999999999998</v>
      </c>
    </row>
    <row r="113" spans="2:20" s="3" customFormat="1" x14ac:dyDescent="0.25">
      <c r="B113" s="3" t="s">
        <v>101</v>
      </c>
      <c r="C113" s="58">
        <v>0</v>
      </c>
      <c r="D113" s="58">
        <v>0</v>
      </c>
      <c r="E113" s="58">
        <v>0</v>
      </c>
      <c r="F113" s="58">
        <v>0</v>
      </c>
      <c r="G113" s="58">
        <v>1422619</v>
      </c>
      <c r="H113" s="58">
        <v>0</v>
      </c>
      <c r="I113" s="58">
        <v>0</v>
      </c>
      <c r="J113" s="55">
        <v>0</v>
      </c>
      <c r="P113" s="58">
        <v>0</v>
      </c>
      <c r="Q113" s="58">
        <v>0</v>
      </c>
      <c r="R113" s="58">
        <v>0</v>
      </c>
      <c r="S113" s="3">
        <f t="shared" si="97"/>
        <v>1422.6189999999999</v>
      </c>
    </row>
    <row r="114" spans="2:20" s="3" customFormat="1" x14ac:dyDescent="0.25">
      <c r="B114" s="3" t="s">
        <v>102</v>
      </c>
      <c r="C114" s="58">
        <v>0</v>
      </c>
      <c r="D114" s="58">
        <v>0</v>
      </c>
      <c r="E114" s="58">
        <v>-1470</v>
      </c>
      <c r="F114" s="58">
        <v>0</v>
      </c>
      <c r="G114" s="58">
        <v>0</v>
      </c>
      <c r="H114" s="58">
        <v>67669</v>
      </c>
      <c r="I114" s="58">
        <v>0</v>
      </c>
      <c r="J114" s="55">
        <v>0</v>
      </c>
      <c r="P114" s="58">
        <v>0</v>
      </c>
      <c r="Q114" s="58">
        <f>-32054+14837</f>
        <v>-17217</v>
      </c>
      <c r="R114" s="58">
        <v>-1470</v>
      </c>
      <c r="S114" s="3">
        <f t="shared" si="97"/>
        <v>67.668999999999997</v>
      </c>
    </row>
    <row r="115" spans="2:20" s="3" customFormat="1" x14ac:dyDescent="0.25">
      <c r="B115" s="3" t="s">
        <v>103</v>
      </c>
      <c r="C115" s="58">
        <v>0</v>
      </c>
      <c r="D115" s="58">
        <v>0</v>
      </c>
      <c r="E115" s="58">
        <v>0</v>
      </c>
      <c r="F115" s="58">
        <v>0</v>
      </c>
      <c r="G115" s="58">
        <v>-15685</v>
      </c>
      <c r="H115" s="58">
        <v>-116873</v>
      </c>
      <c r="I115" s="58">
        <v>-11485</v>
      </c>
      <c r="J115" s="55">
        <v>0</v>
      </c>
      <c r="P115" s="58">
        <v>0</v>
      </c>
      <c r="Q115" s="58">
        <v>0</v>
      </c>
      <c r="R115" s="58">
        <v>0</v>
      </c>
      <c r="S115" s="3">
        <f t="shared" si="97"/>
        <v>-144.04300000000001</v>
      </c>
    </row>
    <row r="116" spans="2:20" s="3" customFormat="1" x14ac:dyDescent="0.25">
      <c r="B116" s="3" t="s">
        <v>104</v>
      </c>
      <c r="C116" s="58">
        <v>0</v>
      </c>
      <c r="D116" s="58">
        <v>0</v>
      </c>
      <c r="E116" s="58">
        <v>0</v>
      </c>
      <c r="F116" s="58">
        <v>0</v>
      </c>
      <c r="G116" s="58">
        <v>-16870</v>
      </c>
      <c r="H116" s="58">
        <v>-10893</v>
      </c>
      <c r="I116" s="58">
        <v>-1006</v>
      </c>
      <c r="J116" s="55">
        <v>0</v>
      </c>
      <c r="P116" s="58">
        <v>0</v>
      </c>
      <c r="Q116" s="58">
        <v>0</v>
      </c>
      <c r="R116" s="58">
        <v>0</v>
      </c>
      <c r="S116" s="3">
        <f t="shared" si="97"/>
        <v>-28.768999999999998</v>
      </c>
    </row>
    <row r="117" spans="2:20" s="3" customFormat="1" x14ac:dyDescent="0.25">
      <c r="B117" s="3" t="s">
        <v>93</v>
      </c>
      <c r="C117" s="58">
        <v>-32241</v>
      </c>
      <c r="D117" s="58">
        <v>-24739</v>
      </c>
      <c r="E117" s="58">
        <v>25831</v>
      </c>
      <c r="F117" s="58">
        <v>-50304</v>
      </c>
      <c r="G117" s="58">
        <v>-26743</v>
      </c>
      <c r="H117" s="58">
        <v>-17343</v>
      </c>
      <c r="I117" s="58">
        <v>-20860</v>
      </c>
      <c r="J117" s="3">
        <v>-24</v>
      </c>
      <c r="P117" s="58">
        <v>-3840</v>
      </c>
      <c r="Q117" s="58">
        <v>-19095</v>
      </c>
      <c r="R117" s="58">
        <v>-81453</v>
      </c>
      <c r="S117" s="3">
        <f t="shared" si="97"/>
        <v>-88.945999999999998</v>
      </c>
    </row>
    <row r="118" spans="2:20" s="5" customFormat="1" x14ac:dyDescent="0.25">
      <c r="B118" s="5" t="s">
        <v>105</v>
      </c>
      <c r="C118" s="59">
        <f t="shared" ref="C118:K118" si="102">SUM(C107:C117)</f>
        <v>919495</v>
      </c>
      <c r="D118" s="59">
        <f t="shared" si="102"/>
        <v>1940289</v>
      </c>
      <c r="E118" s="59">
        <f t="shared" si="102"/>
        <v>1213584</v>
      </c>
      <c r="F118" s="59">
        <f t="shared" si="102"/>
        <v>3391280</v>
      </c>
      <c r="G118" s="59">
        <f t="shared" si="102"/>
        <v>1853866</v>
      </c>
      <c r="H118" s="59">
        <f t="shared" si="102"/>
        <v>2229180</v>
      </c>
      <c r="I118" s="59">
        <f t="shared" si="102"/>
        <v>2585958</v>
      </c>
      <c r="J118" s="5">
        <f t="shared" si="102"/>
        <v>3528</v>
      </c>
      <c r="K118" s="5">
        <f t="shared" si="102"/>
        <v>0</v>
      </c>
      <c r="N118" s="3"/>
      <c r="O118" s="3"/>
      <c r="P118" s="59">
        <f t="shared" ref="P118:T118" si="103">SUM(P107:P117)</f>
        <v>81454</v>
      </c>
      <c r="Q118" s="59">
        <f t="shared" si="103"/>
        <v>1787751</v>
      </c>
      <c r="R118" s="59">
        <f t="shared" si="103"/>
        <v>7464648</v>
      </c>
      <c r="S118" s="5">
        <f t="shared" si="103"/>
        <v>10197.004000000003</v>
      </c>
      <c r="T118" s="5">
        <f t="shared" si="103"/>
        <v>0</v>
      </c>
    </row>
    <row r="119" spans="2:20" s="5" customFormat="1" x14ac:dyDescent="0.25">
      <c r="B119" s="5" t="s">
        <v>106</v>
      </c>
      <c r="C119" s="59">
        <f t="shared" ref="C119:K119" si="104">C96+C106+C118</f>
        <v>1187290</v>
      </c>
      <c r="D119" s="59">
        <f t="shared" si="104"/>
        <v>-427467</v>
      </c>
      <c r="E119" s="59">
        <f t="shared" si="104"/>
        <v>682152</v>
      </c>
      <c r="F119" s="59">
        <f t="shared" si="104"/>
        <v>113783</v>
      </c>
      <c r="G119" s="59">
        <f t="shared" si="104"/>
        <v>481983</v>
      </c>
      <c r="H119" s="59">
        <f t="shared" si="104"/>
        <v>-464233</v>
      </c>
      <c r="I119" s="59">
        <f t="shared" si="104"/>
        <v>915108</v>
      </c>
      <c r="J119" s="5">
        <f t="shared" si="104"/>
        <v>1161</v>
      </c>
      <c r="K119" s="5">
        <f t="shared" si="104"/>
        <v>0</v>
      </c>
      <c r="N119" s="3"/>
      <c r="O119" s="3"/>
      <c r="P119" s="59">
        <f t="shared" ref="P119:T119" si="105">P96+P106+P118</f>
        <v>3181</v>
      </c>
      <c r="Q119" s="59">
        <f t="shared" si="105"/>
        <v>472691</v>
      </c>
      <c r="R119" s="59">
        <f t="shared" si="105"/>
        <v>1555758</v>
      </c>
      <c r="S119" s="5">
        <f t="shared" si="105"/>
        <v>2093.8580000000056</v>
      </c>
      <c r="T119" s="5">
        <f t="shared" si="105"/>
        <v>0</v>
      </c>
    </row>
    <row r="120" spans="2:20" s="3" customFormat="1" x14ac:dyDescent="0.25">
      <c r="B120" s="3" t="s">
        <v>107</v>
      </c>
      <c r="C120" s="58">
        <v>480075</v>
      </c>
      <c r="D120" s="58">
        <f>+C121</f>
        <v>1667365</v>
      </c>
      <c r="E120" s="58">
        <f t="shared" ref="E120:K120" si="106">+D121</f>
        <v>1239898</v>
      </c>
      <c r="F120" s="58">
        <f t="shared" si="106"/>
        <v>1922050</v>
      </c>
      <c r="G120" s="58">
        <f t="shared" si="106"/>
        <v>2035833</v>
      </c>
      <c r="H120" s="58">
        <f t="shared" si="106"/>
        <v>2517816</v>
      </c>
      <c r="I120" s="58">
        <f t="shared" si="106"/>
        <v>2053583</v>
      </c>
      <c r="J120" s="3">
        <f>+I121/1000</f>
        <v>2968.6909999999998</v>
      </c>
      <c r="K120" s="3">
        <f t="shared" si="106"/>
        <v>4129.6909999999998</v>
      </c>
      <c r="P120" s="58">
        <v>4203</v>
      </c>
      <c r="Q120" s="58">
        <f t="shared" ref="Q120:T120" si="107">+P121</f>
        <v>7384</v>
      </c>
      <c r="R120" s="58">
        <f t="shared" si="107"/>
        <v>480075</v>
      </c>
      <c r="S120" s="3">
        <f>+R121/1000</f>
        <v>2035.8330000000001</v>
      </c>
      <c r="T120" s="3">
        <f t="shared" si="107"/>
        <v>4129.6910000000062</v>
      </c>
    </row>
    <row r="121" spans="2:20" s="3" customFormat="1" x14ac:dyDescent="0.25">
      <c r="B121" s="3" t="s">
        <v>108</v>
      </c>
      <c r="C121" s="58">
        <f>C119+C120</f>
        <v>1667365</v>
      </c>
      <c r="D121" s="58">
        <f t="shared" ref="D121:K121" si="108">D119+D120</f>
        <v>1239898</v>
      </c>
      <c r="E121" s="58">
        <f t="shared" si="108"/>
        <v>1922050</v>
      </c>
      <c r="F121" s="58">
        <f t="shared" si="108"/>
        <v>2035833</v>
      </c>
      <c r="G121" s="58">
        <f t="shared" si="108"/>
        <v>2517816</v>
      </c>
      <c r="H121" s="58">
        <f t="shared" si="108"/>
        <v>2053583</v>
      </c>
      <c r="I121" s="58">
        <f t="shared" si="108"/>
        <v>2968691</v>
      </c>
      <c r="J121" s="3">
        <f t="shared" si="108"/>
        <v>4129.6909999999998</v>
      </c>
      <c r="K121" s="3">
        <f t="shared" si="108"/>
        <v>4129.6909999999998</v>
      </c>
      <c r="P121" s="58">
        <f t="shared" ref="P121" si="109">P119+P120</f>
        <v>7384</v>
      </c>
      <c r="Q121" s="58">
        <f t="shared" ref="Q121" si="110">Q119+Q120</f>
        <v>480075</v>
      </c>
      <c r="R121" s="58">
        <f t="shared" ref="R121" si="111">R119+R120</f>
        <v>2035833</v>
      </c>
      <c r="S121" s="3">
        <f>S119+S120</f>
        <v>4129.6910000000062</v>
      </c>
      <c r="T121" s="3">
        <f t="shared" ref="T121" si="112">T119+T120</f>
        <v>4129.6910000000062</v>
      </c>
    </row>
    <row r="122" spans="2:20" s="3" customFormat="1" x14ac:dyDescent="0.25">
      <c r="C122" s="58"/>
      <c r="D122" s="58"/>
      <c r="E122" s="58"/>
      <c r="F122" s="58"/>
      <c r="G122" s="58"/>
      <c r="H122" s="58"/>
      <c r="I122" s="58"/>
      <c r="P122" s="49"/>
      <c r="Q122" s="49"/>
      <c r="R122" s="49"/>
    </row>
    <row r="123" spans="2:20" s="3" customFormat="1" x14ac:dyDescent="0.25">
      <c r="B123" s="3" t="s">
        <v>109</v>
      </c>
      <c r="C123" s="58">
        <v>406382.59340659401</v>
      </c>
      <c r="D123" s="58">
        <v>-54168.835164835204</v>
      </c>
      <c r="E123" s="58">
        <v>115938.802197802</v>
      </c>
      <c r="F123" s="58">
        <v>-104049.56043955999</v>
      </c>
      <c r="G123" s="58">
        <v>-11982.967032967001</v>
      </c>
      <c r="H123" s="58">
        <v>-114560.92307692301</v>
      </c>
      <c r="I123" s="58">
        <v>-66855.571428571595</v>
      </c>
      <c r="J123" s="3">
        <f t="shared" ref="J123:K123" si="113">J96+J97</f>
        <v>-2501</v>
      </c>
      <c r="K123" s="3">
        <f t="shared" si="113"/>
        <v>0</v>
      </c>
      <c r="P123" s="49"/>
      <c r="Q123" s="49"/>
      <c r="R123" s="49"/>
    </row>
    <row r="124" spans="2:20" s="37" customFormat="1" x14ac:dyDescent="0.25">
      <c r="B124" s="37" t="s">
        <v>111</v>
      </c>
      <c r="C124" s="51">
        <f t="shared" ref="C124:H124" si="114">C123/C82</f>
        <v>-3.1442079831532714</v>
      </c>
      <c r="D124" s="51">
        <f t="shared" si="114"/>
        <v>0.16769446929096005</v>
      </c>
      <c r="E124" s="51">
        <f t="shared" si="114"/>
        <v>-0.32222497671752354</v>
      </c>
      <c r="F124" s="51">
        <f t="shared" si="114"/>
        <v>2.0254138526738301</v>
      </c>
      <c r="G124" s="51">
        <f t="shared" si="114"/>
        <v>3.8084569502916027E-2</v>
      </c>
      <c r="H124" s="51">
        <f t="shared" si="114"/>
        <v>0.39434552140182577</v>
      </c>
      <c r="I124" s="51">
        <f>I123/I82</f>
        <v>0.60709356206250764</v>
      </c>
      <c r="J124" s="37">
        <f t="shared" ref="J124:K124" si="115">J123/J82</f>
        <v>5.533185840707965</v>
      </c>
      <c r="K124" s="37" t="e">
        <f t="shared" si="115"/>
        <v>#DIV/0!</v>
      </c>
      <c r="P124" s="51"/>
      <c r="Q124" s="51"/>
      <c r="R124" s="51"/>
    </row>
    <row r="125" spans="2:20" s="7" customFormat="1" x14ac:dyDescent="0.25">
      <c r="B125" s="7" t="s">
        <v>112</v>
      </c>
      <c r="C125" s="47"/>
      <c r="D125" s="47"/>
      <c r="E125" s="47"/>
      <c r="F125" s="47">
        <f>F123/C123-1</f>
        <v>-1.2560384281406864</v>
      </c>
      <c r="G125" s="47">
        <f>G123/D123-1</f>
        <v>-0.77878484932336178</v>
      </c>
      <c r="H125" s="47">
        <f>H123/E123-1</f>
        <v>-1.9881154618233143</v>
      </c>
      <c r="I125" s="47">
        <f>I123/F123-1</f>
        <v>-0.35746416278801618</v>
      </c>
      <c r="J125" s="7">
        <f>J123/G123-1</f>
        <v>-0.79128708331422748</v>
      </c>
      <c r="K125" s="7">
        <f>K123/H123-1</f>
        <v>-1</v>
      </c>
      <c r="P125" s="47"/>
      <c r="Q125" s="47"/>
      <c r="R125" s="47"/>
    </row>
    <row r="127" spans="2:20" s="74" customFormat="1" x14ac:dyDescent="0.25">
      <c r="B127" s="72" t="s">
        <v>272</v>
      </c>
      <c r="C127" s="73"/>
      <c r="D127" s="73"/>
      <c r="E127" s="73"/>
      <c r="F127" s="73">
        <f>F83/(E39+E41)</f>
        <v>4.0059000089892369E-2</v>
      </c>
      <c r="G127" s="73">
        <f>G83/(F39+F41)</f>
        <v>3.7207113645555845E-2</v>
      </c>
      <c r="H127" s="73">
        <f>H83/(G39+G41)</f>
        <v>3.9357423051514531E-2</v>
      </c>
      <c r="I127" s="75">
        <f>I83/(H39+H41)</f>
        <v>3.7445140744669383E-2</v>
      </c>
      <c r="J127" s="76">
        <f>J83*1000/(I39+I41)</f>
        <v>3.9359165666227949E-2</v>
      </c>
      <c r="K127" s="76">
        <f>K83/(J39+J41)</f>
        <v>0</v>
      </c>
      <c r="P127" s="73"/>
      <c r="Q127" s="75"/>
      <c r="R127" s="75">
        <f>R83/(Q39+Q41)</f>
        <v>0.24732590411954422</v>
      </c>
      <c r="S127" s="74">
        <f>S83*1000/(R39+R41)</f>
        <v>0.20591629827739549</v>
      </c>
      <c r="T127" s="74">
        <f>T83/(S39+S41)</f>
        <v>0</v>
      </c>
    </row>
    <row r="128" spans="2:20" x14ac:dyDescent="0.25">
      <c r="B128" s="71" t="s">
        <v>273</v>
      </c>
      <c r="C128" s="78">
        <f>-C97/C3</f>
        <v>9.2320228530241035</v>
      </c>
      <c r="D128" s="78">
        <f t="shared" ref="D128:K128" si="116">-D97/D3</f>
        <v>5.6836768503506834</v>
      </c>
      <c r="E128" s="78">
        <f t="shared" si="116"/>
        <v>2.0809550964909125</v>
      </c>
      <c r="F128" s="78">
        <f t="shared" si="116"/>
        <v>4.6798054667326703</v>
      </c>
      <c r="G128" s="78">
        <f t="shared" si="116"/>
        <v>1.4336930743904028</v>
      </c>
      <c r="H128" s="78">
        <f t="shared" si="116"/>
        <v>2.0226057645689108</v>
      </c>
      <c r="I128" s="78">
        <f t="shared" si="116"/>
        <v>2.402611315799501</v>
      </c>
      <c r="J128" s="79">
        <f t="shared" si="116"/>
        <v>2.5826972010178118</v>
      </c>
      <c r="K128" s="79" t="e">
        <f t="shared" si="116"/>
        <v>#DIV/0!</v>
      </c>
      <c r="P128" s="78">
        <f t="shared" ref="P128:S128" si="117">-P97/P3</f>
        <v>4.5738471257106763</v>
      </c>
      <c r="Q128" s="78">
        <f t="shared" si="117"/>
        <v>12.855295859668127</v>
      </c>
      <c r="R128" s="78">
        <f t="shared" si="117"/>
        <v>4.5431554129473026</v>
      </c>
      <c r="S128" s="79">
        <f t="shared" si="117"/>
        <v>2.182601338973194</v>
      </c>
      <c r="T128" s="79" t="e">
        <f t="shared" ref="T128" si="118">-T97/T3</f>
        <v>#DIV/0!</v>
      </c>
    </row>
    <row r="129" spans="2:20" x14ac:dyDescent="0.25">
      <c r="B129" s="71" t="s">
        <v>274</v>
      </c>
      <c r="C129" s="78">
        <f>-C97/C83</f>
        <v>21.908376304867311</v>
      </c>
      <c r="D129" s="78">
        <f t="shared" ref="D129:K129" si="119">-D97/D83</f>
        <v>13.663875714459444</v>
      </c>
      <c r="E129" s="78">
        <f t="shared" si="119"/>
        <v>4.7836228072937992</v>
      </c>
      <c r="F129" s="78">
        <f t="shared" si="119"/>
        <v>9.5720994255908973</v>
      </c>
      <c r="G129" s="78">
        <f t="shared" si="119"/>
        <v>3.1733224801971605</v>
      </c>
      <c r="H129" s="78">
        <f t="shared" si="119"/>
        <v>4.3844062622323188</v>
      </c>
      <c r="I129" s="78">
        <f t="shared" si="119"/>
        <v>5.2004682154362003</v>
      </c>
      <c r="J129" s="79">
        <f t="shared" si="119"/>
        <v>4.9451887941534718</v>
      </c>
      <c r="K129" s="79" t="e">
        <f t="shared" si="119"/>
        <v>#DIV/0!</v>
      </c>
      <c r="P129" s="78">
        <f t="shared" ref="P129:S129" si="120">-P97/P83</f>
        <v>6.1910218041898251</v>
      </c>
      <c r="Q129" s="78">
        <f t="shared" si="120"/>
        <v>28.515938378064142</v>
      </c>
      <c r="R129" s="78">
        <f t="shared" si="120"/>
        <v>10.078696985104463</v>
      </c>
      <c r="S129" s="79">
        <f t="shared" si="120"/>
        <v>4.56277579929084</v>
      </c>
      <c r="T129" s="79" t="e">
        <f t="shared" ref="T129" si="121">-T97/T83</f>
        <v>#DIV/0!</v>
      </c>
    </row>
    <row r="130" spans="2:20" x14ac:dyDescent="0.25">
      <c r="B130" s="71"/>
      <c r="C130" s="78"/>
      <c r="D130" s="78"/>
      <c r="E130" s="78"/>
      <c r="F130" s="78"/>
      <c r="G130" s="78"/>
      <c r="H130" s="78"/>
      <c r="I130" s="78"/>
      <c r="J130" s="79"/>
      <c r="K130" s="79"/>
      <c r="P130" s="78"/>
      <c r="Q130" s="78"/>
      <c r="R130" s="78"/>
      <c r="S130" s="79"/>
    </row>
    <row r="131" spans="2:20" x14ac:dyDescent="0.25">
      <c r="B131" s="71"/>
      <c r="C131" s="78"/>
      <c r="D131" s="78"/>
      <c r="E131" s="78"/>
      <c r="F131" s="78"/>
      <c r="G131" s="78"/>
      <c r="H131" s="78"/>
      <c r="I131" s="78"/>
      <c r="J131" s="79"/>
      <c r="K131" s="79"/>
      <c r="P131" s="78"/>
      <c r="Q131" s="78"/>
      <c r="R131" s="78"/>
      <c r="S131" s="79"/>
    </row>
    <row r="133" spans="2:20" s="3" customFormat="1" x14ac:dyDescent="0.25">
      <c r="B133" s="28" t="s">
        <v>203</v>
      </c>
      <c r="C133" s="58">
        <f>C16</f>
        <v>-129248</v>
      </c>
      <c r="D133" s="58">
        <f>D16</f>
        <v>-323021</v>
      </c>
      <c r="E133" s="58">
        <f>E16</f>
        <v>-359807</v>
      </c>
      <c r="F133" s="58">
        <f>F16</f>
        <v>-51372</v>
      </c>
      <c r="G133" s="58">
        <f>G16</f>
        <v>-314641</v>
      </c>
      <c r="H133" s="58">
        <f>H16</f>
        <v>-290509</v>
      </c>
      <c r="I133" s="58">
        <f>I16</f>
        <v>-110124</v>
      </c>
      <c r="J133" s="3">
        <f>J16</f>
        <v>-452</v>
      </c>
      <c r="K133" s="3">
        <f>K16</f>
        <v>0</v>
      </c>
      <c r="P133" s="58">
        <v>-31055</v>
      </c>
      <c r="Q133" s="58">
        <v>-593748</v>
      </c>
      <c r="R133" s="58">
        <f>R16</f>
        <v>-863448</v>
      </c>
      <c r="S133" s="3">
        <f>S16</f>
        <v>-1167.2740000000006</v>
      </c>
    </row>
    <row r="134" spans="2:20" s="3" customFormat="1" x14ac:dyDescent="0.25">
      <c r="B134" s="28" t="s">
        <v>77</v>
      </c>
      <c r="C134" s="58">
        <f>C83</f>
        <v>79510</v>
      </c>
      <c r="D134" s="58">
        <f>D83</f>
        <v>164460</v>
      </c>
      <c r="E134" s="58">
        <f>E83</f>
        <v>254024</v>
      </c>
      <c r="F134" s="58">
        <f>F83</f>
        <v>365419</v>
      </c>
      <c r="G134" s="58">
        <f>G83</f>
        <v>443497</v>
      </c>
      <c r="H134" s="58">
        <f>H83</f>
        <v>559481</v>
      </c>
      <c r="I134" s="58">
        <f>I83</f>
        <v>630479</v>
      </c>
      <c r="J134" s="3">
        <f>J83</f>
        <v>821</v>
      </c>
      <c r="K134" s="3">
        <f>K83</f>
        <v>0</v>
      </c>
      <c r="P134" s="58">
        <v>2884</v>
      </c>
      <c r="Q134" s="58">
        <v>533952</v>
      </c>
      <c r="R134" s="58">
        <f>R83</f>
        <v>863413</v>
      </c>
      <c r="S134" s="3">
        <f>S83</f>
        <v>2454.4570000000003</v>
      </c>
    </row>
    <row r="135" spans="2:20" s="3" customFormat="1" x14ac:dyDescent="0.25">
      <c r="B135" s="28" t="s">
        <v>20</v>
      </c>
      <c r="C135" s="58">
        <f>-C12</f>
        <v>40656</v>
      </c>
      <c r="D135" s="58">
        <f>-D12</f>
        <v>66766</v>
      </c>
      <c r="E135" s="58">
        <f>-E12</f>
        <v>104375</v>
      </c>
      <c r="F135" s="58">
        <f>-F12</f>
        <v>149027</v>
      </c>
      <c r="G135" s="58">
        <f>-G12</f>
        <v>263835</v>
      </c>
      <c r="H135" s="58">
        <f>-H12</f>
        <v>266966</v>
      </c>
      <c r="I135" s="58">
        <f>-I12</f>
        <v>310555</v>
      </c>
      <c r="J135" s="3">
        <f>-J12</f>
        <v>388</v>
      </c>
      <c r="K135" s="3">
        <f>-K12</f>
        <v>0</v>
      </c>
      <c r="P135" s="58">
        <v>11695</v>
      </c>
      <c r="Q135" s="58">
        <v>103210</v>
      </c>
      <c r="R135" s="58">
        <f>-R12</f>
        <v>360824</v>
      </c>
      <c r="S135" s="3">
        <f>-S12</f>
        <v>1229.356</v>
      </c>
    </row>
    <row r="136" spans="2:20" s="3" customFormat="1" x14ac:dyDescent="0.25">
      <c r="B136" s="28" t="s">
        <v>79</v>
      </c>
      <c r="C136" s="58">
        <f>C87</f>
        <v>8189</v>
      </c>
      <c r="D136" s="58">
        <f>D87</f>
        <v>7660</v>
      </c>
      <c r="E136" s="58">
        <f>E87</f>
        <v>7617</v>
      </c>
      <c r="F136" s="58">
        <f>F87</f>
        <v>8021</v>
      </c>
      <c r="G136" s="58">
        <f>G87</f>
        <v>183973</v>
      </c>
      <c r="H136" s="58">
        <f>H87</f>
        <v>145005</v>
      </c>
      <c r="I136" s="58">
        <f>I87</f>
        <v>144431</v>
      </c>
      <c r="J136" s="3">
        <f>J87</f>
        <v>157</v>
      </c>
      <c r="K136" s="3">
        <f>K87</f>
        <v>0</v>
      </c>
      <c r="P136" s="58">
        <v>9444</v>
      </c>
      <c r="Q136" s="58">
        <v>28404</v>
      </c>
      <c r="R136" s="58">
        <f>R87</f>
        <v>31487</v>
      </c>
      <c r="S136" s="3">
        <f>S87</f>
        <v>630.40899999999999</v>
      </c>
    </row>
    <row r="137" spans="2:20" s="3" customFormat="1" x14ac:dyDescent="0.25">
      <c r="B137" s="28" t="s">
        <v>24</v>
      </c>
      <c r="C137" s="58">
        <f>C15</f>
        <v>15399</v>
      </c>
      <c r="D137" s="58">
        <f>D15</f>
        <v>40151</v>
      </c>
      <c r="E137" s="58">
        <f>E15</f>
        <v>41659</v>
      </c>
      <c r="F137" s="58">
        <f>F15</f>
        <v>22038</v>
      </c>
      <c r="G137" s="58">
        <f>G15</f>
        <v>46036</v>
      </c>
      <c r="H137" s="58">
        <f>H15</f>
        <v>47775</v>
      </c>
      <c r="I137" s="58">
        <f>I15</f>
        <v>-126680</v>
      </c>
      <c r="J137" s="3">
        <f>J15</f>
        <v>-15</v>
      </c>
      <c r="K137" s="3">
        <f>K15</f>
        <v>0</v>
      </c>
      <c r="P137" s="58">
        <v>1490</v>
      </c>
      <c r="Q137" s="58">
        <v>15154</v>
      </c>
      <c r="R137" s="58">
        <f>R15</f>
        <v>119247</v>
      </c>
      <c r="S137" s="3">
        <f>S15</f>
        <v>-47.869</v>
      </c>
    </row>
    <row r="138" spans="2:20" s="3" customFormat="1" x14ac:dyDescent="0.25">
      <c r="B138" s="28" t="s">
        <v>204</v>
      </c>
      <c r="C138" s="58">
        <v>0</v>
      </c>
      <c r="D138" s="58">
        <v>0</v>
      </c>
      <c r="E138" s="58"/>
      <c r="F138" s="58"/>
      <c r="G138" s="58">
        <f>35604-H138</f>
        <v>6130</v>
      </c>
      <c r="H138" s="58">
        <v>29474</v>
      </c>
      <c r="I138" s="58">
        <v>11364</v>
      </c>
      <c r="P138" s="58">
        <v>-192</v>
      </c>
      <c r="Q138" s="58">
        <v>-18760</v>
      </c>
      <c r="R138" s="58"/>
    </row>
    <row r="139" spans="2:20" s="3" customFormat="1" x14ac:dyDescent="0.25">
      <c r="B139" s="28" t="s">
        <v>205</v>
      </c>
      <c r="C139" s="58">
        <f>-C13</f>
        <v>-7460</v>
      </c>
      <c r="D139" s="58">
        <f>-D13</f>
        <v>-16406</v>
      </c>
      <c r="E139" s="58">
        <f>-E13</f>
        <v>-10244</v>
      </c>
      <c r="F139" s="58">
        <f>-F13</f>
        <v>-14084</v>
      </c>
      <c r="G139" s="58">
        <f>-G13</f>
        <v>4137</v>
      </c>
      <c r="H139" s="58">
        <f>-H13</f>
        <v>-5023</v>
      </c>
      <c r="I139" s="58">
        <f>-I13</f>
        <v>-21901</v>
      </c>
      <c r="J139" s="3">
        <f>-J13</f>
        <v>-10</v>
      </c>
      <c r="K139" s="3">
        <f>-K13</f>
        <v>0</v>
      </c>
      <c r="P139" s="58">
        <v>-4150</v>
      </c>
      <c r="Q139" s="58">
        <v>35701</v>
      </c>
      <c r="R139" s="58">
        <f>-R13</f>
        <v>-48194</v>
      </c>
      <c r="S139" s="3">
        <f>-S13</f>
        <v>-32.786999999999999</v>
      </c>
    </row>
    <row r="140" spans="2:20" s="3" customFormat="1" x14ac:dyDescent="0.25">
      <c r="B140" s="28" t="s">
        <v>21</v>
      </c>
      <c r="C140" s="58">
        <f>C86</f>
        <v>97500</v>
      </c>
      <c r="D140" s="58">
        <f>D86</f>
        <v>310231</v>
      </c>
      <c r="E140" s="58">
        <f>E86</f>
        <v>341133</v>
      </c>
      <c r="F140" s="58">
        <f>F86</f>
        <v>7065</v>
      </c>
      <c r="G140" s="58">
        <f>G86</f>
        <v>-26837</v>
      </c>
      <c r="H140" s="58">
        <f>H86</f>
        <v>0</v>
      </c>
      <c r="I140" s="58">
        <f>I86</f>
        <v>0</v>
      </c>
      <c r="J140" s="3">
        <f>J86</f>
        <v>0</v>
      </c>
      <c r="K140" s="3">
        <f>K86</f>
        <v>0</v>
      </c>
      <c r="P140" s="58">
        <v>0</v>
      </c>
      <c r="Q140" s="62">
        <v>0</v>
      </c>
      <c r="R140" s="58">
        <f>R86</f>
        <v>755929</v>
      </c>
      <c r="S140" s="3">
        <f>S86</f>
        <v>-26.837</v>
      </c>
    </row>
    <row r="141" spans="2:20" s="5" customFormat="1" x14ac:dyDescent="0.25">
      <c r="B141" s="5" t="s">
        <v>206</v>
      </c>
      <c r="C141" s="59">
        <f t="shared" ref="C141:G141" si="122">SUM(C133:C140)</f>
        <v>104546</v>
      </c>
      <c r="D141" s="59">
        <f t="shared" si="122"/>
        <v>249841</v>
      </c>
      <c r="E141" s="59">
        <f t="shared" si="122"/>
        <v>378757</v>
      </c>
      <c r="F141" s="59">
        <f t="shared" si="122"/>
        <v>486114</v>
      </c>
      <c r="G141" s="59">
        <f t="shared" si="122"/>
        <v>606130</v>
      </c>
      <c r="H141" s="59">
        <f>SUM(H133:H140)</f>
        <v>753169</v>
      </c>
      <c r="I141" s="59">
        <f t="shared" ref="I141:K141" si="123">SUM(I133:I140)</f>
        <v>838124</v>
      </c>
      <c r="J141" s="5">
        <f t="shared" si="123"/>
        <v>889</v>
      </c>
      <c r="K141" s="5">
        <f t="shared" si="123"/>
        <v>0</v>
      </c>
      <c r="P141" s="59">
        <f t="shared" ref="P141:Q141" si="124">SUM(P133:P140)</f>
        <v>-9884</v>
      </c>
      <c r="Q141" s="59">
        <f t="shared" si="124"/>
        <v>103913</v>
      </c>
      <c r="R141" s="59">
        <f t="shared" ref="R141" si="125">SUM(R133:R140)</f>
        <v>1219258</v>
      </c>
      <c r="S141" s="5">
        <f t="shared" ref="S141" si="126">SUM(S133:S140)</f>
        <v>3039.4549999999999</v>
      </c>
    </row>
    <row r="142" spans="2:20" s="7" customFormat="1" x14ac:dyDescent="0.25">
      <c r="B142" s="29" t="s">
        <v>207</v>
      </c>
      <c r="C142" s="47">
        <f>C141/C3</f>
        <v>0.55407983718810283</v>
      </c>
      <c r="D142" s="47">
        <f>D141/D3</f>
        <v>0.63191534027533636</v>
      </c>
      <c r="E142" s="47">
        <f>E141/E3</f>
        <v>0.64862203544536179</v>
      </c>
      <c r="F142" s="47">
        <f>F141/F3</f>
        <v>0.65038063765168641</v>
      </c>
      <c r="G142" s="47">
        <f>G141/G3</f>
        <v>0.61747172056330679</v>
      </c>
      <c r="H142" s="47">
        <f>H141/H3</f>
        <v>0.62102280035752333</v>
      </c>
      <c r="I142" s="47">
        <f>I141/I3</f>
        <v>0.61415603410626407</v>
      </c>
      <c r="J142" s="7">
        <f>J141/J3</f>
        <v>0.56552162849872778</v>
      </c>
      <c r="K142" s="7" t="e">
        <f>K141/K3</f>
        <v>#DIV/0!</v>
      </c>
      <c r="P142" s="47">
        <f>P141/P3</f>
        <v>-0.62438408085912822</v>
      </c>
      <c r="Q142" s="47">
        <f>Q141/Q3</f>
        <v>0.45388153383156504</v>
      </c>
      <c r="R142" s="47">
        <f>R141/R3</f>
        <v>0.63654664810856698</v>
      </c>
      <c r="S142" s="7">
        <f>S141/S3</f>
        <v>0.59235979993358145</v>
      </c>
    </row>
    <row r="143" spans="2:20" s="7" customFormat="1" x14ac:dyDescent="0.25">
      <c r="B143" s="29" t="s">
        <v>208</v>
      </c>
      <c r="C143" s="47"/>
      <c r="D143" s="47"/>
      <c r="E143" s="47"/>
      <c r="F143" s="47"/>
      <c r="G143" s="47">
        <f t="shared" ref="G143" si="127">G141/C141-1</f>
        <v>4.797734968339296</v>
      </c>
      <c r="H143" s="47">
        <f>H141/D141-1</f>
        <v>2.0145932813269241</v>
      </c>
      <c r="I143" s="47">
        <f t="shared" ref="I143" si="128">I141/E141-1</f>
        <v>1.2128277497181572</v>
      </c>
      <c r="J143" s="7">
        <f>J141/F141*1000-1</f>
        <v>0.8287891317674454</v>
      </c>
      <c r="K143" s="7">
        <f t="shared" ref="K143" si="129">K141/G141-1</f>
        <v>-1</v>
      </c>
      <c r="P143" s="47"/>
      <c r="Q143" s="47">
        <f t="shared" ref="Q143:R143" si="130">Q142/P142-1</f>
        <v>-1.7269268191575957</v>
      </c>
      <c r="R143" s="47">
        <f t="shared" si="130"/>
        <v>0.40245108175030708</v>
      </c>
      <c r="S143" s="7">
        <f>S142/R142*1000-1</f>
        <v>929.58348778320931</v>
      </c>
    </row>
    <row r="147" spans="2:18" x14ac:dyDescent="0.25">
      <c r="B147" s="27" t="s">
        <v>209</v>
      </c>
      <c r="F147" s="45">
        <v>881</v>
      </c>
      <c r="R147" s="45">
        <v>881</v>
      </c>
    </row>
    <row r="148" spans="2:18" x14ac:dyDescent="0.25">
      <c r="B148" s="27" t="s">
        <v>210</v>
      </c>
      <c r="F148" s="45">
        <v>791</v>
      </c>
      <c r="R148" s="45">
        <v>791</v>
      </c>
    </row>
    <row r="150" spans="2:18" x14ac:dyDescent="0.25">
      <c r="B150" s="4" t="s">
        <v>241</v>
      </c>
    </row>
    <row r="151" spans="2:18" s="67" customFormat="1" x14ac:dyDescent="0.25">
      <c r="B151" s="67" t="s">
        <v>239</v>
      </c>
      <c r="C151" s="66">
        <v>0.33</v>
      </c>
      <c r="D151" s="66">
        <v>0.59</v>
      </c>
      <c r="E151" s="66">
        <v>0.65</v>
      </c>
      <c r="F151" s="66"/>
      <c r="G151" s="66">
        <v>0.72</v>
      </c>
      <c r="H151" s="66">
        <v>0.71</v>
      </c>
      <c r="I151" s="66">
        <v>0.67</v>
      </c>
      <c r="P151" s="66"/>
      <c r="Q151" s="66"/>
      <c r="R151" s="66"/>
    </row>
    <row r="152" spans="2:18" x14ac:dyDescent="0.25">
      <c r="B152" s="35" t="s">
        <v>235</v>
      </c>
      <c r="C152" s="45">
        <v>18</v>
      </c>
      <c r="D152" s="52">
        <v>0.2</v>
      </c>
      <c r="E152" s="52">
        <v>0.12</v>
      </c>
      <c r="G152" s="53" t="s">
        <v>240</v>
      </c>
      <c r="H152" s="53" t="s">
        <v>240</v>
      </c>
      <c r="I152" s="53" t="s">
        <v>240</v>
      </c>
    </row>
    <row r="153" spans="2:18" x14ac:dyDescent="0.25">
      <c r="B153" s="35" t="s">
        <v>236</v>
      </c>
      <c r="C153" s="45">
        <v>32</v>
      </c>
      <c r="D153" s="53" t="s">
        <v>240</v>
      </c>
      <c r="E153" s="53" t="s">
        <v>240</v>
      </c>
      <c r="G153" s="53" t="s">
        <v>240</v>
      </c>
      <c r="H153" s="53" t="s">
        <v>240</v>
      </c>
      <c r="I153" s="53" t="s">
        <v>240</v>
      </c>
    </row>
    <row r="154" spans="2:18" x14ac:dyDescent="0.25">
      <c r="B154" s="35" t="s">
        <v>237</v>
      </c>
      <c r="C154" s="53" t="s">
        <v>240</v>
      </c>
      <c r="D154" s="53" t="s">
        <v>240</v>
      </c>
      <c r="E154" s="53" t="s">
        <v>240</v>
      </c>
      <c r="G154" s="53" t="s">
        <v>240</v>
      </c>
      <c r="H154" s="53" t="s">
        <v>240</v>
      </c>
      <c r="I154" s="53" t="s">
        <v>240</v>
      </c>
    </row>
    <row r="155" spans="2:18" x14ac:dyDescent="0.25">
      <c r="B155" s="35" t="s">
        <v>238</v>
      </c>
      <c r="C155" s="53" t="s">
        <v>240</v>
      </c>
      <c r="D155" s="53" t="s">
        <v>240</v>
      </c>
      <c r="E155" s="53" t="s">
        <v>240</v>
      </c>
      <c r="G155" s="53" t="s">
        <v>240</v>
      </c>
      <c r="H155" s="53" t="s">
        <v>240</v>
      </c>
      <c r="I155" s="53" t="s">
        <v>240</v>
      </c>
    </row>
    <row r="156" spans="2:18" x14ac:dyDescent="0.25">
      <c r="B156" s="35"/>
    </row>
    <row r="157" spans="2:18" x14ac:dyDescent="0.25">
      <c r="B157" s="35" t="s">
        <v>242</v>
      </c>
    </row>
    <row r="158" spans="2:18" s="34" customFormat="1" x14ac:dyDescent="0.25">
      <c r="B158" s="68" t="s">
        <v>239</v>
      </c>
      <c r="C158" s="52">
        <v>0.66</v>
      </c>
      <c r="D158" s="52">
        <v>0.66</v>
      </c>
      <c r="E158" s="52">
        <v>0.66</v>
      </c>
      <c r="F158" s="52"/>
      <c r="G158" s="52">
        <v>0.4</v>
      </c>
      <c r="H158" s="52">
        <v>0.39</v>
      </c>
      <c r="I158" s="52">
        <v>0.35</v>
      </c>
      <c r="P158" s="52"/>
      <c r="Q158" s="52"/>
      <c r="R158" s="52"/>
    </row>
    <row r="159" spans="2:18" s="34" customFormat="1" x14ac:dyDescent="0.25">
      <c r="B159" s="68" t="s">
        <v>235</v>
      </c>
      <c r="C159" s="52"/>
      <c r="D159" s="69" t="s">
        <v>240</v>
      </c>
      <c r="E159" s="69" t="s">
        <v>240</v>
      </c>
      <c r="F159" s="52"/>
      <c r="G159" s="52"/>
      <c r="H159" s="69" t="s">
        <v>240</v>
      </c>
      <c r="I159" s="69" t="s">
        <v>240</v>
      </c>
      <c r="P159" s="52"/>
      <c r="Q159" s="52"/>
      <c r="R159" s="52"/>
    </row>
    <row r="160" spans="2:18" s="34" customFormat="1" x14ac:dyDescent="0.25">
      <c r="B160" s="68" t="s">
        <v>236</v>
      </c>
      <c r="C160" s="52"/>
      <c r="D160" s="69" t="s">
        <v>240</v>
      </c>
      <c r="E160" s="69" t="s">
        <v>240</v>
      </c>
      <c r="F160" s="52"/>
      <c r="G160" s="69" t="s">
        <v>240</v>
      </c>
      <c r="H160" s="52">
        <v>0.25</v>
      </c>
      <c r="I160" s="52">
        <v>0.31</v>
      </c>
      <c r="P160" s="52"/>
      <c r="Q160" s="52"/>
      <c r="R160" s="52"/>
    </row>
    <row r="161" spans="2:25" s="34" customFormat="1" x14ac:dyDescent="0.25">
      <c r="B161" s="68" t="s">
        <v>237</v>
      </c>
      <c r="C161" s="52"/>
      <c r="D161" s="69" t="s">
        <v>240</v>
      </c>
      <c r="E161" s="69" t="s">
        <v>240</v>
      </c>
      <c r="F161" s="52"/>
      <c r="G161" s="52">
        <v>0.43</v>
      </c>
      <c r="H161" s="52">
        <v>0.25</v>
      </c>
      <c r="I161" s="52">
        <v>0.1</v>
      </c>
      <c r="P161" s="52"/>
      <c r="Q161" s="52"/>
      <c r="R161" s="52"/>
    </row>
    <row r="162" spans="2:25" s="34" customFormat="1" x14ac:dyDescent="0.25">
      <c r="B162" s="68" t="s">
        <v>238</v>
      </c>
      <c r="C162" s="52"/>
      <c r="D162" s="69" t="s">
        <v>240</v>
      </c>
      <c r="E162" s="69" t="s">
        <v>240</v>
      </c>
      <c r="F162" s="52"/>
      <c r="G162" s="69" t="s">
        <v>240</v>
      </c>
      <c r="H162" s="69" t="s">
        <v>240</v>
      </c>
      <c r="I162" s="52">
        <v>0.1</v>
      </c>
      <c r="P162" s="52"/>
      <c r="Q162" s="52"/>
      <c r="R162" s="52"/>
    </row>
    <row r="165" spans="2:25" x14ac:dyDescent="0.25">
      <c r="S165" s="41" t="s">
        <v>254</v>
      </c>
      <c r="X165" s="39" t="s">
        <v>249</v>
      </c>
      <c r="Y165" s="39" t="s">
        <v>250</v>
      </c>
    </row>
    <row r="166" spans="2:25" s="3" customFormat="1" x14ac:dyDescent="0.25">
      <c r="B166" s="41" t="s">
        <v>243</v>
      </c>
      <c r="C166" s="58">
        <v>34976</v>
      </c>
      <c r="D166" s="58">
        <v>65781</v>
      </c>
      <c r="E166" s="58">
        <v>87316</v>
      </c>
      <c r="F166" s="58"/>
      <c r="G166" s="58">
        <v>155052</v>
      </c>
      <c r="H166" s="58">
        <v>180450</v>
      </c>
      <c r="I166" s="58">
        <v>204633</v>
      </c>
      <c r="P166" s="49"/>
      <c r="Q166" s="49"/>
      <c r="R166" s="49"/>
      <c r="S166" s="3">
        <v>208724</v>
      </c>
      <c r="T166" s="3">
        <v>845764</v>
      </c>
      <c r="U166" s="3">
        <v>871894</v>
      </c>
      <c r="V166" s="3">
        <v>894792</v>
      </c>
      <c r="W166" s="3">
        <v>835114</v>
      </c>
      <c r="X166" s="3">
        <v>4027407</v>
      </c>
      <c r="Y166" s="3">
        <f>SUM(S166:X166)</f>
        <v>7683695</v>
      </c>
    </row>
    <row r="167" spans="2:25" s="3" customFormat="1" x14ac:dyDescent="0.25">
      <c r="B167" s="41" t="s">
        <v>244</v>
      </c>
      <c r="C167" s="58">
        <v>2914</v>
      </c>
      <c r="D167" s="58">
        <v>10524</v>
      </c>
      <c r="E167" s="58">
        <v>36059</v>
      </c>
      <c r="F167" s="58"/>
      <c r="G167" s="58">
        <v>43929</v>
      </c>
      <c r="H167" s="58">
        <v>57851</v>
      </c>
      <c r="I167" s="58">
        <v>67075</v>
      </c>
      <c r="P167" s="49"/>
      <c r="Q167" s="49"/>
      <c r="R167" s="49"/>
      <c r="S167" s="41" t="s">
        <v>252</v>
      </c>
      <c r="X167" s="41" t="s">
        <v>251</v>
      </c>
      <c r="Y167" s="3">
        <v>2959244</v>
      </c>
    </row>
    <row r="168" spans="2:25" s="5" customFormat="1" x14ac:dyDescent="0.25">
      <c r="B168" s="5" t="s">
        <v>245</v>
      </c>
      <c r="C168" s="59">
        <f t="shared" ref="C168:H168" si="131">SUM(C166:C167)</f>
        <v>37890</v>
      </c>
      <c r="D168" s="59">
        <f t="shared" si="131"/>
        <v>76305</v>
      </c>
      <c r="E168" s="59">
        <f t="shared" si="131"/>
        <v>123375</v>
      </c>
      <c r="F168" s="59">
        <f t="shared" si="131"/>
        <v>0</v>
      </c>
      <c r="G168" s="59">
        <f t="shared" si="131"/>
        <v>198981</v>
      </c>
      <c r="H168" s="59">
        <f t="shared" si="131"/>
        <v>238301</v>
      </c>
      <c r="I168" s="59">
        <f>SUM(I166:I167)</f>
        <v>271708</v>
      </c>
      <c r="J168" s="5">
        <f t="shared" ref="J168:K168" si="132">SUM(J166:J167)</f>
        <v>0</v>
      </c>
      <c r="K168" s="5">
        <f t="shared" si="132"/>
        <v>0</v>
      </c>
      <c r="P168" s="50"/>
      <c r="Q168" s="50"/>
      <c r="R168" s="50"/>
      <c r="S168" s="3">
        <f>540135+208724</f>
        <v>748859</v>
      </c>
      <c r="X168" s="5" t="s">
        <v>253</v>
      </c>
      <c r="Y168" s="5">
        <f>Y166-Y167</f>
        <v>4724451</v>
      </c>
    </row>
    <row r="170" spans="2:25" x14ac:dyDescent="0.25">
      <c r="B170" s="39" t="s">
        <v>246</v>
      </c>
      <c r="C170" s="45">
        <v>9</v>
      </c>
      <c r="D170" s="45">
        <v>9</v>
      </c>
      <c r="E170" s="45">
        <v>9</v>
      </c>
      <c r="F170" s="45">
        <v>9</v>
      </c>
      <c r="G170" s="45">
        <v>9</v>
      </c>
      <c r="H170" s="45">
        <v>9</v>
      </c>
      <c r="I170" s="45">
        <v>9</v>
      </c>
    </row>
    <row r="171" spans="2:25" s="34" customFormat="1" x14ac:dyDescent="0.25">
      <c r="B171" s="40" t="s">
        <v>247</v>
      </c>
      <c r="C171" s="52">
        <v>0.12</v>
      </c>
      <c r="D171" s="52">
        <v>0.12</v>
      </c>
      <c r="E171" s="52">
        <v>0.12</v>
      </c>
      <c r="F171" s="52">
        <v>0.12</v>
      </c>
      <c r="G171" s="52">
        <v>0.12</v>
      </c>
      <c r="H171" s="52">
        <v>0.12</v>
      </c>
      <c r="I171" s="52">
        <v>0.11</v>
      </c>
      <c r="P171" s="52"/>
      <c r="Q171" s="52"/>
      <c r="R171" s="52"/>
    </row>
    <row r="173" spans="2:25" s="3" customFormat="1" x14ac:dyDescent="0.25">
      <c r="B173" s="41" t="s">
        <v>248</v>
      </c>
      <c r="C173" s="58">
        <f t="shared" ref="C173:D173" si="133">C166*C171</f>
        <v>4197.12</v>
      </c>
      <c r="D173" s="58">
        <f t="shared" si="133"/>
        <v>7893.7199999999993</v>
      </c>
      <c r="E173" s="58">
        <f>E166*E171</f>
        <v>10477.92</v>
      </c>
      <c r="F173" s="58">
        <f t="shared" ref="F173:K173" si="134">F166*F171</f>
        <v>0</v>
      </c>
      <c r="G173" s="58">
        <f t="shared" si="134"/>
        <v>18606.239999999998</v>
      </c>
      <c r="H173" s="58">
        <f>H166*H171</f>
        <v>21654</v>
      </c>
      <c r="I173" s="58">
        <f t="shared" si="134"/>
        <v>22509.63</v>
      </c>
      <c r="J173" s="3">
        <f t="shared" si="134"/>
        <v>0</v>
      </c>
      <c r="K173" s="3">
        <f t="shared" si="134"/>
        <v>0</v>
      </c>
      <c r="P173" s="49"/>
      <c r="Q173" s="49"/>
      <c r="R173" s="49"/>
    </row>
    <row r="178" spans="2:18" s="65" customFormat="1" x14ac:dyDescent="0.25">
      <c r="B178" s="63" t="s">
        <v>259</v>
      </c>
      <c r="C178" s="64">
        <v>15.9</v>
      </c>
      <c r="D178" s="64">
        <v>16.2</v>
      </c>
      <c r="E178" s="64">
        <v>15</v>
      </c>
      <c r="F178" s="64">
        <v>15.1</v>
      </c>
      <c r="G178" s="64">
        <v>25.9</v>
      </c>
      <c r="H178" s="64">
        <v>30.1</v>
      </c>
      <c r="I178" s="64">
        <v>55.6</v>
      </c>
      <c r="J178" s="65">
        <v>66.8</v>
      </c>
      <c r="P178" s="64"/>
      <c r="Q178" s="64"/>
      <c r="R178" s="64"/>
    </row>
    <row r="179" spans="2:18" s="34" customFormat="1" x14ac:dyDescent="0.25">
      <c r="B179" s="57" t="s">
        <v>260</v>
      </c>
      <c r="C179" s="52"/>
      <c r="D179" s="52">
        <v>0.45</v>
      </c>
      <c r="E179" s="52">
        <v>0.5</v>
      </c>
      <c r="F179" s="52">
        <v>0.54</v>
      </c>
      <c r="G179" s="52"/>
      <c r="H179" s="52">
        <v>0.5</v>
      </c>
      <c r="I179" s="52">
        <v>0.4</v>
      </c>
      <c r="J179" s="34">
        <v>0.42</v>
      </c>
      <c r="P179" s="52"/>
      <c r="Q179" s="52"/>
      <c r="R179" s="52"/>
    </row>
    <row r="180" spans="2:18" s="34" customFormat="1" x14ac:dyDescent="0.25">
      <c r="B180" s="57" t="s">
        <v>261</v>
      </c>
      <c r="C180" s="52"/>
      <c r="D180" s="52">
        <v>0.4</v>
      </c>
      <c r="E180" s="52">
        <v>0.42</v>
      </c>
      <c r="F180" s="52">
        <v>0.42</v>
      </c>
      <c r="G180" s="52"/>
      <c r="H180" s="52">
        <v>0.4</v>
      </c>
      <c r="I180" s="52">
        <v>0.39</v>
      </c>
      <c r="J180" s="34">
        <v>0.37</v>
      </c>
      <c r="P180" s="52"/>
      <c r="Q180" s="52"/>
      <c r="R180" s="52"/>
    </row>
    <row r="181" spans="2:18" s="34" customFormat="1" x14ac:dyDescent="0.25">
      <c r="B181" s="57" t="s">
        <v>262</v>
      </c>
      <c r="C181" s="52"/>
      <c r="D181" s="52">
        <v>0.15</v>
      </c>
      <c r="E181" s="52">
        <v>0.08</v>
      </c>
      <c r="F181" s="52">
        <v>0.04</v>
      </c>
      <c r="G181" s="52"/>
      <c r="H181" s="52">
        <v>0.1</v>
      </c>
      <c r="I181" s="52">
        <v>0.21</v>
      </c>
      <c r="J181" s="34">
        <v>0.21</v>
      </c>
      <c r="P181" s="52"/>
      <c r="Q181" s="52"/>
      <c r="R181" s="52"/>
    </row>
    <row r="182" spans="2:18" x14ac:dyDescent="0.25">
      <c r="B182" s="56"/>
    </row>
    <row r="183" spans="2:18" x14ac:dyDescent="0.25">
      <c r="B183" s="56" t="s">
        <v>257</v>
      </c>
      <c r="G183" s="45">
        <v>33</v>
      </c>
      <c r="H183" s="45">
        <v>470</v>
      </c>
      <c r="I183" s="45">
        <v>590</v>
      </c>
      <c r="J183" s="1">
        <v>850</v>
      </c>
    </row>
    <row r="184" spans="2:18" x14ac:dyDescent="0.25">
      <c r="B184" s="56" t="s">
        <v>258</v>
      </c>
      <c r="G184" s="45">
        <v>1.6</v>
      </c>
      <c r="H184" s="45">
        <v>2.2000000000000002</v>
      </c>
      <c r="I184" s="45">
        <v>2.9</v>
      </c>
      <c r="J184" s="1">
        <v>3.1</v>
      </c>
    </row>
    <row r="185" spans="2:18" x14ac:dyDescent="0.25">
      <c r="B185" s="56" t="s">
        <v>256</v>
      </c>
      <c r="F185" s="45">
        <v>32</v>
      </c>
      <c r="G185" s="45">
        <v>33</v>
      </c>
      <c r="H185" s="45">
        <v>33</v>
      </c>
      <c r="I185" s="45">
        <v>41</v>
      </c>
      <c r="J185" s="1">
        <v>43</v>
      </c>
    </row>
  </sheetData>
  <phoneticPr fontId="12" type="noConversion"/>
  <hyperlinks>
    <hyperlink ref="A1" location="Main!A1" display="Main" xr:uid="{E8D28310-C5B4-4115-98C2-A8732303A93A}"/>
  </hyperlinks>
  <pageMargins left="0.7" right="0.7" top="0.75" bottom="0.75" header="0.3" footer="0.3"/>
  <pageSetup orientation="portrait" r:id="rId1"/>
  <ignoredErrors>
    <ignoredError sqref="I32 J120 J127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0644-C215-47B6-AE06-E87C4E0CBB9F}">
  <dimension ref="A1:R41"/>
  <sheetViews>
    <sheetView zoomScaleNormal="100" workbookViewId="0">
      <pane xSplit="16" ySplit="2" topLeftCell="Q3" activePane="bottomRight" state="frozen"/>
      <selection pane="topRight" activeCell="L1" sqref="L1"/>
      <selection pane="bottomLeft" activeCell="A3" sqref="A3"/>
      <selection pane="bottomRight" activeCell="P23" sqref="P23:Q27"/>
    </sheetView>
  </sheetViews>
  <sheetFormatPr defaultRowHeight="14.4" x14ac:dyDescent="0.3"/>
  <cols>
    <col min="2" max="2" width="14" customWidth="1"/>
    <col min="3" max="3" width="18.5546875" customWidth="1"/>
    <col min="4" max="4" width="11.33203125" customWidth="1"/>
    <col min="5" max="5" width="14.88671875" customWidth="1"/>
    <col min="16" max="16" width="21" bestFit="1" customWidth="1"/>
    <col min="17" max="17" width="9.109375" bestFit="1" customWidth="1"/>
    <col min="18" max="18" width="9" bestFit="1" customWidth="1"/>
  </cols>
  <sheetData>
    <row r="1" spans="1:17" x14ac:dyDescent="0.3">
      <c r="A1" s="2" t="s">
        <v>0</v>
      </c>
    </row>
    <row r="3" spans="1:17" x14ac:dyDescent="0.3">
      <c r="B3" s="10" t="s">
        <v>113</v>
      </c>
      <c r="P3" t="s">
        <v>37</v>
      </c>
      <c r="Q3" s="11">
        <v>50792</v>
      </c>
    </row>
    <row r="4" spans="1:17" x14ac:dyDescent="0.3">
      <c r="B4" t="s">
        <v>191</v>
      </c>
      <c r="P4" t="s">
        <v>39</v>
      </c>
      <c r="Q4" s="11">
        <v>13418</v>
      </c>
    </row>
    <row r="5" spans="1:17" x14ac:dyDescent="0.3">
      <c r="B5" t="s">
        <v>189</v>
      </c>
      <c r="P5" t="s">
        <v>136</v>
      </c>
      <c r="Q5" s="11">
        <v>2205</v>
      </c>
    </row>
    <row r="6" spans="1:17" x14ac:dyDescent="0.3">
      <c r="B6" t="s">
        <v>193</v>
      </c>
      <c r="P6" t="s">
        <v>44</v>
      </c>
      <c r="Q6" s="11">
        <v>858</v>
      </c>
    </row>
    <row r="7" spans="1:17" x14ac:dyDescent="0.3">
      <c r="B7" t="s">
        <v>190</v>
      </c>
      <c r="P7" t="s">
        <v>43</v>
      </c>
      <c r="Q7" s="11">
        <v>1080</v>
      </c>
    </row>
    <row r="8" spans="1:17" x14ac:dyDescent="0.3">
      <c r="B8" t="s">
        <v>192</v>
      </c>
      <c r="P8" t="s">
        <v>45</v>
      </c>
      <c r="Q8" s="11">
        <v>207600</v>
      </c>
    </row>
    <row r="9" spans="1:17" x14ac:dyDescent="0.3">
      <c r="B9" t="s">
        <v>195</v>
      </c>
      <c r="P9" t="s">
        <v>46</v>
      </c>
      <c r="Q9" s="11">
        <v>793426</v>
      </c>
    </row>
    <row r="10" spans="1:17" x14ac:dyDescent="0.3">
      <c r="B10" t="s">
        <v>194</v>
      </c>
      <c r="P10" t="s">
        <v>47</v>
      </c>
      <c r="Q10" s="11">
        <v>178</v>
      </c>
    </row>
    <row r="11" spans="1:17" x14ac:dyDescent="0.3">
      <c r="B11" t="s">
        <v>196</v>
      </c>
      <c r="P11" s="9" t="s">
        <v>137</v>
      </c>
      <c r="Q11" s="12">
        <f>SUM(Q3:Q10)</f>
        <v>1069557</v>
      </c>
    </row>
    <row r="12" spans="1:17" x14ac:dyDescent="0.3">
      <c r="P12" t="s">
        <v>49</v>
      </c>
      <c r="Q12" s="11">
        <v>885</v>
      </c>
    </row>
    <row r="13" spans="1:17" x14ac:dyDescent="0.3">
      <c r="B13" t="s">
        <v>197</v>
      </c>
      <c r="P13" t="s">
        <v>50</v>
      </c>
      <c r="Q13" s="11">
        <v>7036</v>
      </c>
    </row>
    <row r="14" spans="1:17" x14ac:dyDescent="0.3">
      <c r="B14" t="s">
        <v>198</v>
      </c>
      <c r="P14" t="s">
        <v>52</v>
      </c>
      <c r="Q14" s="11">
        <v>25414</v>
      </c>
    </row>
    <row r="15" spans="1:17" x14ac:dyDescent="0.3">
      <c r="P15" t="s">
        <v>139</v>
      </c>
      <c r="Q15" s="11">
        <v>283</v>
      </c>
    </row>
    <row r="16" spans="1:17" x14ac:dyDescent="0.3">
      <c r="B16" t="s">
        <v>199</v>
      </c>
      <c r="P16" t="s">
        <v>55</v>
      </c>
      <c r="Q16" s="11">
        <v>31</v>
      </c>
    </row>
    <row r="17" spans="2:18" x14ac:dyDescent="0.3">
      <c r="B17" t="s">
        <v>200</v>
      </c>
      <c r="P17" t="s">
        <v>52</v>
      </c>
      <c r="Q17" s="11">
        <v>309</v>
      </c>
    </row>
    <row r="18" spans="2:18" x14ac:dyDescent="0.3">
      <c r="P18" t="s">
        <v>138</v>
      </c>
      <c r="Q18" s="11">
        <v>797</v>
      </c>
    </row>
    <row r="19" spans="2:18" x14ac:dyDescent="0.3">
      <c r="B19" t="s">
        <v>201</v>
      </c>
      <c r="P19" t="s">
        <v>61</v>
      </c>
      <c r="Q19" s="11">
        <v>5543</v>
      </c>
    </row>
    <row r="20" spans="2:18" x14ac:dyDescent="0.3">
      <c r="P20" s="9" t="s">
        <v>140</v>
      </c>
      <c r="Q20" s="12">
        <f>SUM(Q12:Q19)</f>
        <v>40298</v>
      </c>
    </row>
    <row r="21" spans="2:18" x14ac:dyDescent="0.3">
      <c r="B21" t="s">
        <v>202</v>
      </c>
      <c r="P21" s="9" t="s">
        <v>133</v>
      </c>
      <c r="Q21" s="12">
        <f>Q11-Q20</f>
        <v>1029259</v>
      </c>
    </row>
    <row r="23" spans="2:18" x14ac:dyDescent="0.3">
      <c r="Q23" s="9" t="s">
        <v>144</v>
      </c>
      <c r="R23" s="9" t="s">
        <v>145</v>
      </c>
    </row>
    <row r="24" spans="2:18" x14ac:dyDescent="0.3">
      <c r="P24" t="s">
        <v>141</v>
      </c>
      <c r="Q24" s="11">
        <v>36100</v>
      </c>
      <c r="R24" s="14">
        <v>12</v>
      </c>
    </row>
    <row r="25" spans="2:18" x14ac:dyDescent="0.3">
      <c r="B25" s="10" t="s">
        <v>46</v>
      </c>
      <c r="P25" t="s">
        <v>142</v>
      </c>
      <c r="Q25" s="11">
        <v>161800</v>
      </c>
      <c r="R25" s="15" t="s">
        <v>146</v>
      </c>
    </row>
    <row r="26" spans="2:18" x14ac:dyDescent="0.3">
      <c r="B26" t="s">
        <v>148</v>
      </c>
      <c r="P26" t="s">
        <v>143</v>
      </c>
      <c r="Q26" s="11">
        <v>9700</v>
      </c>
      <c r="R26" s="14" t="s">
        <v>147</v>
      </c>
    </row>
    <row r="27" spans="2:18" x14ac:dyDescent="0.3">
      <c r="P27" s="13" t="s">
        <v>110</v>
      </c>
      <c r="Q27" s="11">
        <f>SUM(Q24:Q26)</f>
        <v>207600</v>
      </c>
      <c r="R27" s="14"/>
    </row>
    <row r="28" spans="2:18" ht="15" thickBot="1" x14ac:dyDescent="0.35">
      <c r="B28" s="10" t="s">
        <v>149</v>
      </c>
      <c r="C28" s="2" t="s">
        <v>184</v>
      </c>
    </row>
    <row r="29" spans="2:18" ht="43.8" thickBot="1" x14ac:dyDescent="0.35">
      <c r="B29" s="24" t="s">
        <v>150</v>
      </c>
      <c r="C29" s="25" t="s">
        <v>163</v>
      </c>
      <c r="D29" s="25" t="s">
        <v>175</v>
      </c>
      <c r="E29" s="26" t="s">
        <v>182</v>
      </c>
    </row>
    <row r="30" spans="2:18" x14ac:dyDescent="0.3">
      <c r="B30" s="21" t="s">
        <v>151</v>
      </c>
      <c r="C30" s="22" t="s">
        <v>164</v>
      </c>
      <c r="D30" s="22" t="s">
        <v>176</v>
      </c>
      <c r="E30" s="23" t="s">
        <v>183</v>
      </c>
    </row>
    <row r="31" spans="2:18" x14ac:dyDescent="0.3">
      <c r="B31" s="16" t="s">
        <v>152</v>
      </c>
      <c r="C31" t="s">
        <v>165</v>
      </c>
      <c r="D31" t="s">
        <v>177</v>
      </c>
      <c r="E31" s="17" t="s">
        <v>185</v>
      </c>
    </row>
    <row r="32" spans="2:18" x14ac:dyDescent="0.3">
      <c r="B32" s="16" t="s">
        <v>153</v>
      </c>
      <c r="C32" t="s">
        <v>166</v>
      </c>
      <c r="D32" t="s">
        <v>178</v>
      </c>
      <c r="E32" s="17" t="s">
        <v>186</v>
      </c>
    </row>
    <row r="33" spans="2:5" x14ac:dyDescent="0.3">
      <c r="B33" s="16" t="s">
        <v>154</v>
      </c>
      <c r="C33" t="s">
        <v>167</v>
      </c>
      <c r="D33" t="s">
        <v>179</v>
      </c>
      <c r="E33" s="17" t="s">
        <v>187</v>
      </c>
    </row>
    <row r="34" spans="2:5" x14ac:dyDescent="0.3">
      <c r="B34" s="16" t="s">
        <v>155</v>
      </c>
      <c r="C34" t="s">
        <v>168</v>
      </c>
      <c r="D34" t="s">
        <v>180</v>
      </c>
      <c r="E34" s="17" t="s">
        <v>188</v>
      </c>
    </row>
    <row r="35" spans="2:5" x14ac:dyDescent="0.3">
      <c r="B35" s="16" t="s">
        <v>156</v>
      </c>
      <c r="C35" t="s">
        <v>169</v>
      </c>
      <c r="D35" t="s">
        <v>181</v>
      </c>
      <c r="E35" s="17"/>
    </row>
    <row r="36" spans="2:5" x14ac:dyDescent="0.3">
      <c r="B36" s="16" t="s">
        <v>157</v>
      </c>
      <c r="C36" t="s">
        <v>170</v>
      </c>
      <c r="E36" s="17"/>
    </row>
    <row r="37" spans="2:5" x14ac:dyDescent="0.3">
      <c r="B37" s="16" t="s">
        <v>158</v>
      </c>
      <c r="C37" t="s">
        <v>171</v>
      </c>
      <c r="E37" s="17"/>
    </row>
    <row r="38" spans="2:5" x14ac:dyDescent="0.3">
      <c r="B38" s="16" t="s">
        <v>159</v>
      </c>
      <c r="C38" t="s">
        <v>172</v>
      </c>
      <c r="E38" s="17"/>
    </row>
    <row r="39" spans="2:5" x14ac:dyDescent="0.3">
      <c r="B39" s="16" t="s">
        <v>160</v>
      </c>
      <c r="C39" t="s">
        <v>173</v>
      </c>
      <c r="E39" s="17"/>
    </row>
    <row r="40" spans="2:5" x14ac:dyDescent="0.3">
      <c r="B40" s="16" t="s">
        <v>161</v>
      </c>
      <c r="C40" t="s">
        <v>174</v>
      </c>
      <c r="E40" s="17"/>
    </row>
    <row r="41" spans="2:5" ht="15" thickBot="1" x14ac:dyDescent="0.35">
      <c r="B41" s="18" t="s">
        <v>162</v>
      </c>
      <c r="C41" s="19"/>
      <c r="D41" s="19"/>
      <c r="E41" s="20"/>
    </row>
  </sheetData>
  <hyperlinks>
    <hyperlink ref="A1" location="Main!B23" display="Main" xr:uid="{BD55A6EB-9BB0-46A8-A417-00C25032BF49}"/>
    <hyperlink ref="C28" r:id="rId1" location="cloud" xr:uid="{86C04080-2203-450C-8164-3FE2FF4A79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Weights &amp; Biases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2026-03-04T09:18:13Z</dcterms:modified>
</cp:coreProperties>
</file>