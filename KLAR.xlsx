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456B59E8-EAF9-4295-A9DD-9B3C9BFE7937}" xr6:coauthVersionLast="47" xr6:coauthVersionMax="47" xr10:uidLastSave="{00000000-0000-0000-0000-000000000000}"/>
  <bookViews>
    <workbookView xWindow="22932" yWindow="-108" windowWidth="19416" windowHeight="10296" firstSheet="1" activeTab="1" xr2:uid="{00000000-000D-0000-FFFF-FFFF00000000}"/>
  </bookViews>
  <sheets>
    <sheet name="Model" sheetId="6" r:id="rId1"/>
    <sheet name="Profit and Loss (Non-IFRS)" sheetId="1" r:id="rId2"/>
    <sheet name="Profit and Loss (IFRS) " sheetId="2" r:id="rId3"/>
    <sheet name="Balance Sheet " sheetId="3" r:id="rId4"/>
    <sheet name="Cashflow YTD" sheetId="4" r:id="rId5"/>
    <sheet name="IFRS to Non-IFRS reconcilations" sheetId="5" r:id="rId6"/>
  </sheets>
  <calcPr calcId="191029"/>
  <extLst>
    <ext uri="GoogleSheetsCustomDataVersion2">
      <go:sheetsCustomData xmlns:go="http://customooxmlschemas.google.com/" r:id="rId9" roundtripDataChecksum="2gfptDGLxzleQYi1deELJN5i45b1aSPj8Q+jboRGGiM="/>
    </ext>
  </extLst>
</workbook>
</file>

<file path=xl/calcChain.xml><?xml version="1.0" encoding="utf-8"?>
<calcChain xmlns="http://schemas.openxmlformats.org/spreadsheetml/2006/main">
  <c r="M35" i="1" l="1"/>
  <c r="L35" i="1"/>
  <c r="N35" i="1"/>
  <c r="H35" i="1"/>
  <c r="G35" i="1"/>
  <c r="F35" i="1"/>
  <c r="I35" i="1"/>
  <c r="K10" i="6"/>
</calcChain>
</file>

<file path=xl/sharedStrings.xml><?xml version="1.0" encoding="utf-8"?>
<sst xmlns="http://schemas.openxmlformats.org/spreadsheetml/2006/main" count="220" uniqueCount="165">
  <si>
    <t>Amounts in USD millions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</si>
  <si>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</si>
  <si>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</si>
  <si>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</si>
  <si>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</si>
  <si>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</si>
  <si>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</si>
  <si>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</si>
  <si>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</si>
  <si>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Transaction and service revenue</t>
  </si>
  <si>
    <t>Gain on sale of consumer receivables</t>
  </si>
  <si>
    <t>Interest income</t>
  </si>
  <si>
    <t>Total revenue</t>
  </si>
  <si>
    <t>Processing and servicing</t>
  </si>
  <si>
    <t>Provision for credit losses</t>
  </si>
  <si>
    <t>Funding costs</t>
  </si>
  <si>
    <t>Transaction costs</t>
  </si>
  <si>
    <t>Transaction margin dollars</t>
  </si>
  <si>
    <t>Technology and product development</t>
  </si>
  <si>
    <t>Sales and marketing</t>
  </si>
  <si>
    <t>Customer service and operations</t>
  </si>
  <si>
    <t>General and administrative</t>
  </si>
  <si>
    <t>Adjusted operating expenses</t>
  </si>
  <si>
    <t>Adjusted operating profit (loss)</t>
  </si>
  <si>
    <t>- Depreciation, amortization and impairments</t>
  </si>
  <si>
    <t>- Share based payments</t>
  </si>
  <si>
    <t>- Restructuring and other</t>
  </si>
  <si>
    <t>Operating profit (loss)</t>
  </si>
  <si>
    <t>Other income (expense)</t>
  </si>
  <si>
    <t>Profit (Loss) before income tax</t>
  </si>
  <si>
    <t>Income tax</t>
  </si>
  <si>
    <t>Net income (loss)</t>
  </si>
  <si>
    <t>Consolidated Statements of Profit or Loss</t>
  </si>
  <si>
    <t>Amounts in USD thousands (except per share), December YE</t>
  </si>
  <si>
    <t>Processing and servicing costs</t>
  </si>
  <si>
    <t>Depreciation, amortization and impairments</t>
  </si>
  <si>
    <t>Operating expenses</t>
  </si>
  <si>
    <t>Operating Profit (loss)</t>
  </si>
  <si>
    <t>Profit (Loss) before taxes</t>
  </si>
  <si>
    <t>Tax (expense) benefit</t>
  </si>
  <si>
    <t>Net Profit (loss)</t>
  </si>
  <si>
    <t>Whereof attributable to:</t>
  </si>
  <si>
    <t>Shareholders of Klarna Group plc</t>
  </si>
  <si>
    <t>Non-controlling interests</t>
  </si>
  <si>
    <t>Other equity holders</t>
  </si>
  <si>
    <t>Total</t>
  </si>
  <si>
    <t>Net loss per share attributable to shareholders of Klarna Group plc</t>
  </si>
  <si>
    <t>Basic</t>
  </si>
  <si>
    <t>Diluted</t>
  </si>
  <si>
    <t>Consolidated Balance Sheet</t>
  </si>
  <si>
    <t>Amounts in USD thousands, December YE</t>
  </si>
  <si>
    <t>Assets</t>
  </si>
  <si>
    <t>Cash and cash equivalents</t>
  </si>
  <si>
    <t>Assets held for sale</t>
  </si>
  <si>
    <t>Debt securities</t>
  </si>
  <si>
    <t>Consumer receivables</t>
  </si>
  <si>
    <t>Consumer receivables at fair value through OCI</t>
  </si>
  <si>
    <t>Consumer receivables at fair value through profit and loss</t>
  </si>
  <si>
    <t>Settlement and trade receivables</t>
  </si>
  <si>
    <t>Property and equipment</t>
  </si>
  <si>
    <t>Goodwill</t>
  </si>
  <si>
    <t>Intangible assets</t>
  </si>
  <si>
    <t>Deferred tax assets</t>
  </si>
  <si>
    <t>Other assets</t>
  </si>
  <si>
    <t>Total Assets</t>
  </si>
  <si>
    <t>Liabilities</t>
  </si>
  <si>
    <t>Accounts payable and accrued expenses</t>
  </si>
  <si>
    <t>Consumer deposits</t>
  </si>
  <si>
    <t>Payables to merchants</t>
  </si>
  <si>
    <t>Notes payable and other borrowings</t>
  </si>
  <si>
    <t>Deferred tax liabilities</t>
  </si>
  <si>
    <t>Liabilities held for sale</t>
  </si>
  <si>
    <t>Other liabilities</t>
  </si>
  <si>
    <t>Total Liabilities</t>
  </si>
  <si>
    <t>Equity</t>
  </si>
  <si>
    <t>Share capital</t>
  </si>
  <si>
    <t>Additional paid in capital</t>
  </si>
  <si>
    <t>Other equity instruments</t>
  </si>
  <si>
    <t>Reserves</t>
  </si>
  <si>
    <t>Retained Earnings (Accumulated deficit)</t>
  </si>
  <si>
    <t>Total equity excluding non-controlling interests</t>
  </si>
  <si>
    <t>Total equity</t>
  </si>
  <si>
    <t>Total equity and liabilities</t>
  </si>
  <si>
    <t>Consolidated Statements of Cash Flow</t>
  </si>
  <si>
    <t>Q1'24 YTD</t>
  </si>
  <si>
    <t>Q2'24 YTD</t>
  </si>
  <si>
    <t>Q3'24 YTD</t>
  </si>
  <si>
    <t>Q4'24 YTD</t>
  </si>
  <si>
    <t>Q1'25 YTD</t>
  </si>
  <si>
    <t>Q2'25 YTD</t>
  </si>
  <si>
    <t>Q3'25 YTD</t>
  </si>
  <si>
    <t>Q4'25 YTD</t>
  </si>
  <si>
    <t>Operating activities</t>
  </si>
  <si>
    <t>Profit (loss) before taxes</t>
  </si>
  <si>
    <t>Income taxes paid</t>
  </si>
  <si>
    <t>Interest expense paid</t>
  </si>
  <si>
    <t>Interest income received</t>
  </si>
  <si>
    <t>Adjustments for non-cash items in operating activities</t>
  </si>
  <si>
    <t>Depreciation, amortization and impairment</t>
  </si>
  <si>
    <t>Share-based payments</t>
  </si>
  <si>
    <t>Provisions excluding credit losses</t>
  </si>
  <si>
    <t>Net gain from divestment</t>
  </si>
  <si>
    <t>Net losses from divestment of shares in equity investments</t>
  </si>
  <si>
    <t>Financial items including fair value effects</t>
  </si>
  <si>
    <t>Changes in the assets and liabilities of operating activities</t>
  </si>
  <si>
    <t>Change in Consumer receivables at fair value through OCI</t>
  </si>
  <si>
    <t>Change in consumer receivable at FV through P&amp;L</t>
  </si>
  <si>
    <t>Change in consumer receivables</t>
  </si>
  <si>
    <t>Change in settlement and trade receivables</t>
  </si>
  <si>
    <t>Change in notes payable and other borrowings</t>
  </si>
  <si>
    <t>Change in consumer deposits</t>
  </si>
  <si>
    <t>Change in bonds and treasury bills with maturity &gt; 90 days</t>
  </si>
  <si>
    <t>Change in other assets and liabilities</t>
  </si>
  <si>
    <t>Cash flow from operating activities</t>
  </si>
  <si>
    <t>Investing activities</t>
  </si>
  <si>
    <t>Investment in Bonds and Treasury bills with maturity &gt; 90 days</t>
  </si>
  <si>
    <t>Investments in intangible assets</t>
  </si>
  <si>
    <t>Investments in property and equipment</t>
  </si>
  <si>
    <t>Sale of fixed assets</t>
  </si>
  <si>
    <t>Consideration paid in business combinations, net of cash acquired</t>
  </si>
  <si>
    <t>Divestment, net of cash disposed</t>
  </si>
  <si>
    <t>Net purchase of equity investments</t>
  </si>
  <si>
    <t>Cash flow from investing activities</t>
  </si>
  <si>
    <t>Financing activities</t>
  </si>
  <si>
    <t>New share issuance</t>
  </si>
  <si>
    <t>New share warrants</t>
  </si>
  <si>
    <t>Other equity instruments issued</t>
  </si>
  <si>
    <t>Other equity instruments redeemed</t>
  </si>
  <si>
    <t>Convertible promissory notes issued</t>
  </si>
  <si>
    <t>Convertible promissory notes redeemed</t>
  </si>
  <si>
    <t>Subordinated debt issued</t>
  </si>
  <si>
    <t>Subordinated debt redeemed</t>
  </si>
  <si>
    <t>Notes payable and other borrowings issued</t>
  </si>
  <si>
    <t>Notes payable and other borrowings redeemed</t>
  </si>
  <si>
    <t>Purchase of non-controlling interest</t>
  </si>
  <si>
    <t>Principal payments of lease liabilities</t>
  </si>
  <si>
    <t>Cash flow from financing activities</t>
  </si>
  <si>
    <t>Cash flow for the period</t>
  </si>
  <si>
    <t>Cash and cash equivalents at the beginning of the period</t>
  </si>
  <si>
    <t>Exchange rate difference in cash and cash equivalents</t>
  </si>
  <si>
    <t>Cash and cash equivalents at the end of the period</t>
  </si>
  <si>
    <t>Profit or Loss (IFRS to Non-IFRS reconcilations)</t>
  </si>
  <si>
    <t>IFRS to Non-IFRS Operating Expenses</t>
  </si>
  <si>
    <t>Technology and product development (IFRS)</t>
  </si>
  <si>
    <t>Share based payments</t>
  </si>
  <si>
    <t>Restructuring and other</t>
  </si>
  <si>
    <t>Technology and product development (Non-IFRS)</t>
  </si>
  <si>
    <t>Sales and marketing costs (IFRS)</t>
  </si>
  <si>
    <t>Sales and marketing costs (Non-IFRS)</t>
  </si>
  <si>
    <t>Customer service and operations (IFRS)</t>
  </si>
  <si>
    <t>Customer service and operations (Non-IFRS)</t>
  </si>
  <si>
    <t>General and administrative (IFRS)</t>
  </si>
  <si>
    <t>General and administrative (Non-IFRS)</t>
  </si>
  <si>
    <t>Depreciation, amortization (excl. software) and impairments (IFRS)</t>
  </si>
  <si>
    <t>Depreciation, amortization (excl. software) and impairments (Non-IFRS)</t>
  </si>
  <si>
    <t xml:space="preserve">Operating profit (loss) to Transaction Margin Dollars </t>
  </si>
  <si>
    <t>Sales and marketing costs</t>
  </si>
  <si>
    <t>Depreciation, amortization (excl. software) and impairments</t>
  </si>
  <si>
    <t>Price</t>
  </si>
  <si>
    <t>S/O</t>
  </si>
  <si>
    <t>MC</t>
  </si>
  <si>
    <t>Cash</t>
  </si>
  <si>
    <t>Debt</t>
  </si>
  <si>
    <t>EV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</si>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</sst>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0;&quot;-&quot;#0;#0;_(@_)"/>
    <numFmt numFmtId="165" formatCode="* #,##0,,;* \(#,##0,,\);* &quot;—&quot;;_(@_)"/>
    <numFmt numFmtId="166" formatCode="&quot;$&quot;* #,##0.00_);&quot;$&quot;* \(#,##0.00\);&quot;$&quot;* #,##0.00_);_(@_)"/>
    <numFmt numFmtId="167" formatCode="#,##0,,;&quot;-&quot;#,##0,,;#,##0,,;_(@_)"/>
    <numFmt numFmtId="168" formatCode="#0.#######################;&quot;-&quot;#0.#######################;#0.#######################;_(@_)"/>
    <numFmt numFmtId="169" formatCode="* #,##0;* \(#,##0\);* &quot;—&quot;;_(@_)"/>
    <numFmt numFmtId="170" formatCode="0.0%"/>
  </numFmts>
  <fonts count="17">
    <font>
      <sz val="10"/>
      <color rgb="FF000000"/>
      <name val="Arial"/>
      <scheme val="minor"/>
    </font>
    <font>
      <b/>
      <sz val="25"/>
      <color rgb="FF000000"/>
      <name val="Klarna Text"/>
    </font>
    <font>
      <b/>
      <sz val="8"/>
      <color rgb="FFFFFFFF"/>
      <name val="Klarna Text"/>
    </font>
    <font>
      <sz val="10"/>
      <color rgb="FF000000"/>
      <name val="Klarna Text"/>
    </font>
    <font>
      <sz val="8"/>
      <color theme="1"/>
      <name val="Klarna Text"/>
    </font>
    <font>
      <b/>
      <sz val="10"/>
      <color rgb="FF000000"/>
      <name val="Klarna Text"/>
    </font>
    <font>
      <b/>
      <sz val="8"/>
      <color theme="1"/>
      <name val="Klarna Text"/>
    </font>
    <font>
      <b/>
      <u/>
      <sz val="10"/>
      <color rgb="FF000000"/>
      <name val="Klarna Text"/>
    </font>
    <font>
      <sz val="8"/>
      <color rgb="FF000000"/>
      <name val="Klarna Text"/>
    </font>
    <font>
      <b/>
      <sz val="8"/>
      <color rgb="FF000000"/>
      <name val="Klarna Text"/>
    </font>
    <font>
      <sz val="10"/>
      <color theme="1"/>
      <name val="Klarna Text"/>
    </font>
    <font>
      <sz val="10"/>
      <color theme="1"/>
      <name val="Arial"/>
    </font>
    <font>
      <b/>
      <sz val="10"/>
      <color rgb="FFFFFFFF"/>
      <name val="Klarna Text"/>
    </font>
    <font>
      <b/>
      <sz val="10"/>
      <color theme="1"/>
      <name val="Klarna Text"/>
    </font>
    <font>
      <b/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165" fontId="4" fillId="0" borderId="0" xfId="0" applyNumberFormat="1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165" fontId="4" fillId="0" borderId="3" xfId="0" applyNumberFormat="1" applyFont="1" applyBorder="1" applyAlignment="1">
      <alignment wrapText="1"/>
    </xf>
    <xf numFmtId="0" fontId="5" fillId="0" borderId="0" xfId="0" applyFont="1" applyAlignment="1">
      <alignment horizontal="left" wrapText="1"/>
    </xf>
    <xf numFmtId="165" fontId="6" fillId="0" borderId="4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3" xfId="0" applyFont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wrapText="1"/>
    </xf>
    <xf numFmtId="166" fontId="4" fillId="0" borderId="0" xfId="0" applyNumberFormat="1" applyFont="1" applyAlignment="1">
      <alignment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8" fillId="0" borderId="4" xfId="0" applyFont="1" applyBorder="1" applyAlignment="1">
      <alignment vertical="center" wrapText="1"/>
    </xf>
    <xf numFmtId="167" fontId="4" fillId="0" borderId="0" xfId="0" applyNumberFormat="1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165" fontId="8" fillId="0" borderId="0" xfId="0" applyNumberFormat="1" applyFont="1" applyAlignment="1">
      <alignment wrapText="1"/>
    </xf>
    <xf numFmtId="165" fontId="8" fillId="0" borderId="3" xfId="0" applyNumberFormat="1" applyFont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8" fillId="0" borderId="0" xfId="0" applyFont="1" applyAlignment="1">
      <alignment wrapText="1"/>
    </xf>
    <xf numFmtId="165" fontId="9" fillId="0" borderId="5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9" fillId="0" borderId="7" xfId="0" applyNumberFormat="1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9" fillId="0" borderId="8" xfId="0" applyFont="1" applyBorder="1" applyAlignment="1">
      <alignment wrapText="1"/>
    </xf>
    <xf numFmtId="165" fontId="9" fillId="0" borderId="3" xfId="0" applyNumberFormat="1" applyFont="1" applyBorder="1" applyAlignment="1">
      <alignment wrapText="1"/>
    </xf>
    <xf numFmtId="165" fontId="8" fillId="0" borderId="4" xfId="0" applyNumberFormat="1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165" fontId="11" fillId="0" borderId="0" xfId="0" applyNumberFormat="1" applyFont="1"/>
    <xf numFmtId="0" fontId="10" fillId="0" borderId="0" xfId="0" applyFont="1"/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65" fontId="13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3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wrapText="1"/>
    </xf>
    <xf numFmtId="168" fontId="15" fillId="0" borderId="0" xfId="0" applyNumberFormat="1" applyFont="1" applyAlignment="1">
      <alignment wrapText="1"/>
    </xf>
    <xf numFmtId="169" fontId="10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4" fontId="0" fillId="0" borderId="0" xfId="0" applyNumberFormat="1"/>
    <xf numFmtId="0" fontId="16" fillId="0" borderId="0" xfId="0" applyFont="1"/>
    <xf numFmtId="165" fontId="10" fillId="0" borderId="3" xfId="0" applyNumberFormat="1" applyFont="1" applyBorder="1" applyAlignment="1">
      <alignment wrapText="1"/>
    </xf>
    <xf numFmtId="165" fontId="13" fillId="0" borderId="4" xfId="0" applyNumberFormat="1" applyFont="1" applyBorder="1" applyAlignment="1">
      <alignment wrapText="1"/>
    </xf>
    <xf numFmtId="165" fontId="13" fillId="0" borderId="5" xfId="0" applyNumberFormat="1" applyFont="1" applyBorder="1" applyAlignment="1">
      <alignment wrapText="1"/>
    </xf>
    <xf numFmtId="170" fontId="16" fillId="0" borderId="0" xfId="0" applyNumberFormat="1" applyFont="1"/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1D63-D934-4E97-8C66-4370B2E6E63A}">
  <dimension ref="J8:K14"/>
  <sheetViews>
    <sheetView topLeftCell="A3" workbookViewId="0">
      <selection activeCell="D25" sqref="D25"/>
    </sheetView>
  </sheetViews>
  <sheetFormatPr defaultRowHeight="13.2"/>
  <cols>
    <col min="1" max="16384" width="8.88671875" style="55"/>
  </cols>
  <sheetData>
    <row r="8" spans="10:11">
      <c r="J8" s="55" t="s">
        <v>158</v>
      </c>
      <c r="K8" s="55">
        <v>13.86</v>
      </c>
    </row>
    <row r="9" spans="10:11">
      <c r="J9" s="55" t="s">
        <v>159</v>
      </c>
      <c r="K9" s="55">
        <v>377.3</v>
      </c>
    </row>
    <row r="10" spans="10:11">
      <c r="J10" s="55" t="s">
        <v>160</v>
      </c>
      <c r="K10" s="55">
        <f>K8*K9</f>
        <v>5229.3779999999997</v>
      </c>
    </row>
    <row r="11" spans="10:11">
      <c r="J11" s="55" t="s">
        <v>161</v>
      </c>
      <c r="K11" s="55">
        <v>3803</v>
      </c>
    </row>
    <row r="12" spans="10:11">
      <c r="J12" s="55" t="s">
        <v>162</v>
      </c>
      <c r="K12" s="55">
        <v>1359</v>
      </c>
    </row>
    <row r="14" spans="10:11">
      <c r="J14" s="55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tabSelected="1" workbookViewId="0">
      <pane xSplit="1" ySplit="3" topLeftCell="B4" activePane="bottomRight" state="frozen"/>
      <selection pane="topRight" activeCell="B1" sqref="B1"/>
      <selection pane="bottomLeft" activeCell="A6" sqref="A6"/>
      <selection pane="bottomRight" activeCell="H16" sqref="H16"/>
    </sheetView>
  </sheetViews>
  <sheetFormatPr defaultColWidth="12.6640625" defaultRowHeight="15" customHeight="1"/>
  <cols>
    <col min="1" max="1" width="51.44140625" style="56" customWidth="1"/>
    <col min="2" max="9" width="7.109375" style="56" customWidth="1"/>
    <col min="10" max="10" width="2" style="56" customWidth="1"/>
    <col min="11" max="13" width="7.109375" style="56" customWidth="1"/>
    <col min="14" max="14" width="8.44140625" style="56" customWidth="1"/>
    <col min="15" max="26" width="12.88671875" style="56" customWidth="1"/>
    <col min="27" max="16384" width="12.6640625" style="56"/>
  </cols>
  <sheetData>
    <row r="1" spans="1:14" ht="12.75" customHeight="1"/>
    <row r="2" spans="1:14" ht="12.75" customHeight="1"/>
    <row r="3" spans="1:14" ht="12.75" customHeight="1">
      <c r="A3" s="42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44" t="s">
        <v>7</v>
      </c>
      <c r="I3" s="44" t="s">
        <v>8</v>
      </c>
      <c r="K3" s="45">
        <v>2022</v>
      </c>
      <c r="L3" s="45">
        <v>2023</v>
      </c>
      <c r="M3" s="45">
        <v>2024</v>
      </c>
      <c r="N3" s="45">
        <v>2025</v>
      </c>
    </row>
    <row r="4" spans="1:14" ht="12.75" customHeight="1">
      <c r="A4" s="3" t="s">
        <v>9</v>
      </c>
      <c r="B4" s="51">
        <v>486000000</v>
      </c>
      <c r="C4" s="51">
        <v>518000000</v>
      </c>
      <c r="D4" s="51">
        <v>532000000</v>
      </c>
      <c r="E4" s="51">
        <v>600000000</v>
      </c>
      <c r="F4" s="51">
        <v>519000000</v>
      </c>
      <c r="G4" s="51">
        <v>604000000</v>
      </c>
      <c r="H4" s="51">
        <v>634000000</v>
      </c>
      <c r="I4" s="51">
        <v>743000000</v>
      </c>
      <c r="K4" s="51">
        <v>1468000000</v>
      </c>
      <c r="L4" s="51">
        <v>1768000000</v>
      </c>
      <c r="M4" s="51">
        <v>2136000000</v>
      </c>
      <c r="N4" s="51">
        <v>2500000000</v>
      </c>
    </row>
    <row r="5" spans="1:14" ht="12.75" customHeight="1">
      <c r="A5" s="5" t="s">
        <v>10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1">
        <v>0</v>
      </c>
      <c r="I5" s="51">
        <v>73000000</v>
      </c>
      <c r="J5" s="6"/>
      <c r="K5" s="51">
        <v>0</v>
      </c>
      <c r="L5" s="51">
        <v>0</v>
      </c>
      <c r="M5" s="51">
        <v>0</v>
      </c>
      <c r="N5" s="51">
        <v>73000000</v>
      </c>
    </row>
    <row r="6" spans="1:14" ht="12.75" customHeight="1">
      <c r="A6" s="3" t="s">
        <v>11</v>
      </c>
      <c r="B6" s="57">
        <v>157000000</v>
      </c>
      <c r="C6" s="57">
        <v>164000000</v>
      </c>
      <c r="D6" s="57">
        <v>174000000</v>
      </c>
      <c r="E6" s="57">
        <v>181000000</v>
      </c>
      <c r="F6" s="57">
        <v>182000000</v>
      </c>
      <c r="G6" s="57">
        <v>219000000</v>
      </c>
      <c r="H6" s="57">
        <v>269000000</v>
      </c>
      <c r="I6" s="57">
        <v>267000000</v>
      </c>
      <c r="K6" s="57">
        <v>436000000</v>
      </c>
      <c r="L6" s="57">
        <v>508000000</v>
      </c>
      <c r="M6" s="57">
        <v>675000000</v>
      </c>
      <c r="N6" s="57">
        <v>937000000</v>
      </c>
    </row>
    <row r="7" spans="1:14" ht="12.75" customHeight="1">
      <c r="A7" s="8" t="s">
        <v>12</v>
      </c>
      <c r="B7" s="58">
        <v>643000000</v>
      </c>
      <c r="C7" s="58">
        <v>682000000</v>
      </c>
      <c r="D7" s="58">
        <v>706000000</v>
      </c>
      <c r="E7" s="58">
        <v>781000000</v>
      </c>
      <c r="F7" s="58">
        <v>701000000</v>
      </c>
      <c r="G7" s="58">
        <v>823000000</v>
      </c>
      <c r="H7" s="58">
        <v>903000000</v>
      </c>
      <c r="I7" s="58">
        <v>1082000000</v>
      </c>
      <c r="K7" s="58">
        <v>1904000000</v>
      </c>
      <c r="L7" s="58">
        <v>2276000000</v>
      </c>
      <c r="M7" s="58">
        <v>2811000000</v>
      </c>
      <c r="N7" s="58">
        <v>3509000000</v>
      </c>
    </row>
    <row r="8" spans="1:14" ht="12.75" customHeight="1">
      <c r="I8" s="46"/>
      <c r="N8" s="46"/>
    </row>
    <row r="9" spans="1:14" ht="12.75" customHeight="1">
      <c r="A9" s="3" t="s">
        <v>13</v>
      </c>
      <c r="B9" s="51">
        <v>-136000000</v>
      </c>
      <c r="C9" s="51">
        <v>-148000000</v>
      </c>
      <c r="D9" s="51">
        <v>-151000000</v>
      </c>
      <c r="E9" s="51">
        <v>-161000000</v>
      </c>
      <c r="F9" s="51">
        <v>-164000000</v>
      </c>
      <c r="G9" s="51">
        <v>-187000000</v>
      </c>
      <c r="H9" s="51">
        <v>-208000000</v>
      </c>
      <c r="I9" s="51">
        <v>-250000000</v>
      </c>
      <c r="K9" s="51">
        <v>-520000000</v>
      </c>
      <c r="L9" s="51">
        <v>-541000000</v>
      </c>
      <c r="M9" s="51">
        <v>-596000000</v>
      </c>
      <c r="N9" s="51">
        <v>-809000000</v>
      </c>
    </row>
    <row r="10" spans="1:14" ht="12.75" customHeight="1">
      <c r="A10" s="3" t="s">
        <v>14</v>
      </c>
      <c r="B10" s="51">
        <v>-117000000</v>
      </c>
      <c r="C10" s="51">
        <v>-106000000</v>
      </c>
      <c r="D10" s="51">
        <v>-116000000</v>
      </c>
      <c r="E10" s="51">
        <v>-156000000</v>
      </c>
      <c r="F10" s="51">
        <v>-136000000</v>
      </c>
      <c r="G10" s="51">
        <v>-174000000</v>
      </c>
      <c r="H10" s="51">
        <v>-235000000</v>
      </c>
      <c r="I10" s="51">
        <v>-250000000</v>
      </c>
      <c r="K10" s="51">
        <v>-550000000</v>
      </c>
      <c r="L10" s="51">
        <v>-353000000</v>
      </c>
      <c r="M10" s="51">
        <v>-495000000</v>
      </c>
      <c r="N10" s="51">
        <v>-794000000</v>
      </c>
    </row>
    <row r="11" spans="1:14" ht="12.75" customHeight="1">
      <c r="A11" s="3" t="s">
        <v>15</v>
      </c>
      <c r="B11" s="57">
        <v>-113000000</v>
      </c>
      <c r="C11" s="57">
        <v>-120000000</v>
      </c>
      <c r="D11" s="57">
        <v>-123000000</v>
      </c>
      <c r="E11" s="57">
        <v>-147000000</v>
      </c>
      <c r="F11" s="57">
        <v>-130000000</v>
      </c>
      <c r="G11" s="57">
        <v>-147000000</v>
      </c>
      <c r="H11" s="57">
        <v>-180000000</v>
      </c>
      <c r="I11" s="57">
        <v>-210000000</v>
      </c>
      <c r="K11" s="57">
        <v>-147000000</v>
      </c>
      <c r="L11" s="57">
        <v>-297000000</v>
      </c>
      <c r="M11" s="57">
        <v>-503000000</v>
      </c>
      <c r="N11" s="57">
        <v>-667000000</v>
      </c>
    </row>
    <row r="12" spans="1:14" ht="12.75" customHeight="1">
      <c r="A12" s="8" t="s">
        <v>16</v>
      </c>
      <c r="B12" s="59">
        <v>-366000000</v>
      </c>
      <c r="C12" s="59">
        <v>-374000000</v>
      </c>
      <c r="D12" s="59">
        <v>-390000000</v>
      </c>
      <c r="E12" s="59">
        <v>-464000000</v>
      </c>
      <c r="F12" s="59">
        <v>-430000000</v>
      </c>
      <c r="G12" s="59">
        <v>-508000000</v>
      </c>
      <c r="H12" s="59">
        <v>-623000000</v>
      </c>
      <c r="I12" s="59">
        <v>-710000000</v>
      </c>
      <c r="K12" s="59">
        <v>-1217000000</v>
      </c>
      <c r="L12" s="59">
        <v>-1191000000</v>
      </c>
      <c r="M12" s="59">
        <v>-1594000000</v>
      </c>
      <c r="N12" s="59">
        <v>-2271000000</v>
      </c>
    </row>
    <row r="13" spans="1:14" ht="12.75" customHeight="1">
      <c r="A13" s="8" t="s">
        <v>17</v>
      </c>
      <c r="B13" s="58">
        <v>277000000</v>
      </c>
      <c r="C13" s="58">
        <v>308000000</v>
      </c>
      <c r="D13" s="58">
        <v>316000000</v>
      </c>
      <c r="E13" s="58">
        <v>317000000</v>
      </c>
      <c r="F13" s="58">
        <v>271000000</v>
      </c>
      <c r="G13" s="58">
        <v>315000000</v>
      </c>
      <c r="H13" s="58">
        <v>280000000</v>
      </c>
      <c r="I13" s="58">
        <v>372000000</v>
      </c>
      <c r="K13" s="58">
        <v>687000000</v>
      </c>
      <c r="L13" s="58">
        <v>1085000000</v>
      </c>
      <c r="M13" s="58">
        <v>1217000000</v>
      </c>
      <c r="N13" s="58">
        <v>1238000000</v>
      </c>
    </row>
    <row r="14" spans="1:14" ht="12.75" customHeight="1">
      <c r="I14" s="6"/>
      <c r="N14" s="6"/>
    </row>
    <row r="15" spans="1:14" ht="12.75" customHeight="1">
      <c r="A15" s="3" t="s">
        <v>18</v>
      </c>
      <c r="B15" s="51">
        <v>-78000000</v>
      </c>
      <c r="C15" s="51">
        <v>-81000000</v>
      </c>
      <c r="D15" s="51">
        <v>-78000000</v>
      </c>
      <c r="E15" s="51">
        <v>-71000000</v>
      </c>
      <c r="F15" s="51">
        <v>-83000000</v>
      </c>
      <c r="G15" s="51">
        <v>-93000000</v>
      </c>
      <c r="H15" s="51">
        <v>-97000000</v>
      </c>
      <c r="I15" s="51">
        <v>-102000000</v>
      </c>
      <c r="K15" s="51">
        <v>-354000000</v>
      </c>
      <c r="L15" s="51">
        <v>-275000000</v>
      </c>
      <c r="M15" s="51">
        <v>-308000000</v>
      </c>
      <c r="N15" s="51">
        <v>-375000000</v>
      </c>
    </row>
    <row r="16" spans="1:14" ht="12.75" customHeight="1">
      <c r="A16" s="3" t="s">
        <v>19</v>
      </c>
      <c r="B16" s="51">
        <v>-77000000</v>
      </c>
      <c r="C16" s="51">
        <v>-77000000</v>
      </c>
      <c r="D16" s="51">
        <v>-65000000</v>
      </c>
      <c r="E16" s="51">
        <v>-91000000</v>
      </c>
      <c r="F16" s="51">
        <v>-80000000</v>
      </c>
      <c r="G16" s="51">
        <v>-83000000</v>
      </c>
      <c r="H16" s="51">
        <v>-85000000</v>
      </c>
      <c r="I16" s="51">
        <v>-106000000</v>
      </c>
      <c r="K16" s="51">
        <v>-524000000</v>
      </c>
      <c r="L16" s="51">
        <v>-371000000</v>
      </c>
      <c r="M16" s="51">
        <v>-309000000</v>
      </c>
      <c r="N16" s="51">
        <v>-354000000</v>
      </c>
    </row>
    <row r="17" spans="1:14" ht="12.75" customHeight="1">
      <c r="A17" s="3" t="s">
        <v>20</v>
      </c>
      <c r="B17" s="51">
        <v>-57000000</v>
      </c>
      <c r="C17" s="51">
        <v>-47000000</v>
      </c>
      <c r="D17" s="51">
        <v>-42000000</v>
      </c>
      <c r="E17" s="51">
        <v>-45000000</v>
      </c>
      <c r="F17" s="51">
        <v>-51000000</v>
      </c>
      <c r="G17" s="51">
        <v>-48000000</v>
      </c>
      <c r="H17" s="51">
        <v>-50000000</v>
      </c>
      <c r="I17" s="51">
        <v>-51000000</v>
      </c>
      <c r="K17" s="51">
        <v>-286000000</v>
      </c>
      <c r="L17" s="51">
        <v>-238000000</v>
      </c>
      <c r="M17" s="51">
        <v>-192000000</v>
      </c>
      <c r="N17" s="51">
        <v>-199000000</v>
      </c>
    </row>
    <row r="18" spans="1:14" ht="12.75" customHeight="1">
      <c r="A18" s="3" t="s">
        <v>21</v>
      </c>
      <c r="B18" s="57">
        <v>-51000000</v>
      </c>
      <c r="C18" s="57">
        <v>-58000000</v>
      </c>
      <c r="D18" s="57">
        <v>-52000000</v>
      </c>
      <c r="E18" s="57">
        <v>-67000000</v>
      </c>
      <c r="F18" s="57">
        <v>-54000000</v>
      </c>
      <c r="G18" s="57">
        <v>-62000000</v>
      </c>
      <c r="H18" s="57">
        <v>-63000000</v>
      </c>
      <c r="I18" s="57">
        <v>-66000000</v>
      </c>
      <c r="K18" s="57">
        <v>-248000000</v>
      </c>
      <c r="L18" s="57">
        <v>-242000000</v>
      </c>
      <c r="M18" s="57">
        <v>-227000000</v>
      </c>
      <c r="N18" s="57">
        <v>-245000000</v>
      </c>
    </row>
    <row r="19" spans="1:14" ht="12.75" customHeight="1">
      <c r="A19" s="8" t="s">
        <v>22</v>
      </c>
      <c r="B19" s="58">
        <v>-263000000</v>
      </c>
      <c r="C19" s="58">
        <v>-263000000</v>
      </c>
      <c r="D19" s="58">
        <v>-237000000</v>
      </c>
      <c r="E19" s="58">
        <v>-274000000</v>
      </c>
      <c r="F19" s="58">
        <v>-268000000</v>
      </c>
      <c r="G19" s="58">
        <v>-286000000</v>
      </c>
      <c r="H19" s="58">
        <v>-295000000</v>
      </c>
      <c r="I19" s="58">
        <v>-325000000</v>
      </c>
      <c r="K19" s="58">
        <v>-1412000000</v>
      </c>
      <c r="L19" s="58">
        <v>-1126000000</v>
      </c>
      <c r="M19" s="58">
        <v>-1036000000</v>
      </c>
      <c r="N19" s="58">
        <v>-1173000000</v>
      </c>
    </row>
    <row r="20" spans="1:14" ht="12.75" customHeight="1">
      <c r="I20" s="11"/>
      <c r="N20" s="11"/>
    </row>
    <row r="21" spans="1:14" ht="12.75" customHeight="1">
      <c r="A21" s="8" t="s">
        <v>23</v>
      </c>
      <c r="B21" s="58">
        <v>14000000</v>
      </c>
      <c r="C21" s="58">
        <v>45000000</v>
      </c>
      <c r="D21" s="58">
        <v>79000000</v>
      </c>
      <c r="E21" s="58">
        <v>43000000</v>
      </c>
      <c r="F21" s="58">
        <v>3000000</v>
      </c>
      <c r="G21" s="58">
        <v>29000000</v>
      </c>
      <c r="H21" s="58">
        <v>-15000000</v>
      </c>
      <c r="I21" s="58">
        <v>47000000</v>
      </c>
      <c r="K21" s="58">
        <v>-725000000</v>
      </c>
      <c r="L21" s="58">
        <v>-41000000</v>
      </c>
      <c r="M21" s="58">
        <v>181000000</v>
      </c>
      <c r="N21" s="58">
        <v>65000000</v>
      </c>
    </row>
    <row r="22" spans="1:14" ht="12.75" customHeight="1">
      <c r="I22" s="6"/>
      <c r="N22" s="6"/>
    </row>
    <row r="23" spans="1:14" ht="12.75" customHeight="1">
      <c r="A23" s="3" t="s">
        <v>24</v>
      </c>
      <c r="B23" s="51">
        <v>-36000000</v>
      </c>
      <c r="C23" s="51">
        <v>-38000000</v>
      </c>
      <c r="D23" s="51">
        <v>-34000000</v>
      </c>
      <c r="E23" s="51">
        <v>-77000000</v>
      </c>
      <c r="F23" s="51">
        <v>-26000000</v>
      </c>
      <c r="G23" s="51">
        <v>-27000000</v>
      </c>
      <c r="H23" s="51">
        <v>-25000000</v>
      </c>
      <c r="I23" s="51">
        <v>-28000000</v>
      </c>
      <c r="K23" s="51">
        <v>-149000000</v>
      </c>
      <c r="L23" s="51">
        <v>-162000000</v>
      </c>
      <c r="M23" s="51">
        <v>-185000000</v>
      </c>
      <c r="N23" s="51">
        <v>-106000000</v>
      </c>
    </row>
    <row r="24" spans="1:14" ht="12.75" customHeight="1">
      <c r="A24" s="3" t="s">
        <v>25</v>
      </c>
      <c r="B24" s="51">
        <v>-5000000</v>
      </c>
      <c r="C24" s="51">
        <v>-9000000</v>
      </c>
      <c r="D24" s="51">
        <v>-20000000</v>
      </c>
      <c r="E24" s="51">
        <v>-57000000</v>
      </c>
      <c r="F24" s="51">
        <v>-59000000</v>
      </c>
      <c r="G24" s="51">
        <v>-26000000</v>
      </c>
      <c r="H24" s="51">
        <v>-39000000</v>
      </c>
      <c r="I24" s="51">
        <v>-33000000</v>
      </c>
      <c r="K24" s="51">
        <v>-56000000</v>
      </c>
      <c r="L24" s="51">
        <v>-43000000</v>
      </c>
      <c r="M24" s="51">
        <v>-92000000</v>
      </c>
      <c r="N24" s="51">
        <v>-157000000</v>
      </c>
    </row>
    <row r="25" spans="1:14" ht="12.75" customHeight="1">
      <c r="A25" s="3" t="s">
        <v>26</v>
      </c>
      <c r="B25" s="57">
        <v>-2000000</v>
      </c>
      <c r="C25" s="57">
        <v>-3000000</v>
      </c>
      <c r="D25" s="57">
        <v>-12000000</v>
      </c>
      <c r="E25" s="57">
        <v>-8000000</v>
      </c>
      <c r="F25" s="57">
        <v>-8000000</v>
      </c>
      <c r="G25" s="57">
        <v>-21000000</v>
      </c>
      <c r="H25" s="57">
        <v>-5000000</v>
      </c>
      <c r="I25" s="57">
        <v>2000000</v>
      </c>
      <c r="K25" s="57">
        <v>-49000000</v>
      </c>
      <c r="L25" s="57">
        <v>-77000000</v>
      </c>
      <c r="M25" s="57">
        <v>-20000000</v>
      </c>
      <c r="N25" s="57">
        <v>-36000000</v>
      </c>
    </row>
    <row r="26" spans="1:14" ht="12.75" customHeight="1">
      <c r="A26" s="8" t="s">
        <v>27</v>
      </c>
      <c r="B26" s="58">
        <v>-28000000</v>
      </c>
      <c r="C26" s="58">
        <v>-4000000</v>
      </c>
      <c r="D26" s="58">
        <v>13000000</v>
      </c>
      <c r="E26" s="58">
        <v>-101000000</v>
      </c>
      <c r="F26" s="58">
        <v>-90000000</v>
      </c>
      <c r="G26" s="58">
        <v>-46000000</v>
      </c>
      <c r="H26" s="58">
        <v>-83000000</v>
      </c>
      <c r="I26" s="58">
        <v>-11000000</v>
      </c>
      <c r="K26" s="58">
        <v>-980000000</v>
      </c>
      <c r="L26" s="58">
        <v>-323000000</v>
      </c>
      <c r="M26" s="58">
        <v>-121000000</v>
      </c>
      <c r="N26" s="58">
        <v>-230000000</v>
      </c>
    </row>
    <row r="27" spans="1:14" ht="12.75" customHeight="1">
      <c r="I27" s="6"/>
      <c r="N27" s="6"/>
    </row>
    <row r="28" spans="1:14" ht="12.75" customHeight="1">
      <c r="A28" s="3" t="s">
        <v>28</v>
      </c>
      <c r="B28" s="57">
        <v>3000000</v>
      </c>
      <c r="C28" s="57">
        <v>2000000</v>
      </c>
      <c r="D28" s="57">
        <v>2000000</v>
      </c>
      <c r="E28" s="57">
        <v>147000000</v>
      </c>
      <c r="F28" s="57">
        <v>-2000000</v>
      </c>
      <c r="G28" s="57">
        <v>0</v>
      </c>
      <c r="H28" s="57">
        <v>-4000000</v>
      </c>
      <c r="I28" s="57">
        <v>-5000000</v>
      </c>
      <c r="K28" s="57">
        <v>-58000000</v>
      </c>
      <c r="L28" s="57">
        <v>19000000</v>
      </c>
      <c r="M28" s="57">
        <v>154000000</v>
      </c>
      <c r="N28" s="57">
        <v>-11000000</v>
      </c>
    </row>
    <row r="29" spans="1:14" ht="12.75" customHeight="1">
      <c r="A29" s="8" t="s">
        <v>29</v>
      </c>
      <c r="B29" s="58">
        <v>-25000000</v>
      </c>
      <c r="C29" s="58">
        <v>-2000000</v>
      </c>
      <c r="D29" s="58">
        <v>15000000</v>
      </c>
      <c r="E29" s="58">
        <v>46000000</v>
      </c>
      <c r="F29" s="58">
        <v>-92000000</v>
      </c>
      <c r="G29" s="58">
        <v>-46000000</v>
      </c>
      <c r="H29" s="58">
        <v>-87000000</v>
      </c>
      <c r="I29" s="58">
        <v>-16000000</v>
      </c>
      <c r="K29" s="58">
        <v>-1038000000</v>
      </c>
      <c r="L29" s="58">
        <v>-304000000</v>
      </c>
      <c r="M29" s="58">
        <v>33000000</v>
      </c>
      <c r="N29" s="58">
        <v>-241000000</v>
      </c>
    </row>
    <row r="30" spans="1:14" ht="12.75" customHeight="1">
      <c r="I30" s="6"/>
      <c r="N30" s="6"/>
    </row>
    <row r="31" spans="1:14" ht="12.75" customHeight="1">
      <c r="A31" s="3" t="s">
        <v>30</v>
      </c>
      <c r="B31" s="57">
        <v>-5000000</v>
      </c>
      <c r="C31" s="57">
        <v>1000000</v>
      </c>
      <c r="D31" s="57">
        <v>-2000000</v>
      </c>
      <c r="E31" s="57">
        <v>-6000000</v>
      </c>
      <c r="F31" s="57">
        <v>-7000000</v>
      </c>
      <c r="G31" s="57">
        <v>-7000000</v>
      </c>
      <c r="H31" s="57">
        <v>-8000000</v>
      </c>
      <c r="I31" s="57">
        <v>-10000000</v>
      </c>
      <c r="K31" s="57">
        <v>3000000</v>
      </c>
      <c r="L31" s="57">
        <v>60000000</v>
      </c>
      <c r="M31" s="57">
        <v>-12000000</v>
      </c>
      <c r="N31" s="57">
        <v>-32000000</v>
      </c>
    </row>
    <row r="32" spans="1:14" ht="12.75" customHeight="1">
      <c r="A32" s="8" t="s">
        <v>31</v>
      </c>
      <c r="B32" s="58">
        <v>-30000000</v>
      </c>
      <c r="C32" s="58">
        <v>-1000000</v>
      </c>
      <c r="D32" s="58">
        <v>12000000</v>
      </c>
      <c r="E32" s="58">
        <v>40000000</v>
      </c>
      <c r="F32" s="58">
        <v>-99000000</v>
      </c>
      <c r="G32" s="58">
        <v>-53000000</v>
      </c>
      <c r="H32" s="58">
        <v>-95000000</v>
      </c>
      <c r="I32" s="58">
        <v>-26000000</v>
      </c>
      <c r="K32" s="58">
        <v>-1035000000</v>
      </c>
      <c r="L32" s="58">
        <v>-244000000</v>
      </c>
      <c r="M32" s="58">
        <v>21000000</v>
      </c>
      <c r="N32" s="58">
        <v>-273000000</v>
      </c>
    </row>
    <row r="33" spans="1:14" ht="12.75" customHeight="1">
      <c r="N33" s="6"/>
    </row>
    <row r="34" spans="1:14" ht="12.75" customHeight="1"/>
    <row r="35" spans="1:14" s="60" customFormat="1" ht="12.75" customHeight="1">
      <c r="A35" s="60" t="s">
        <v>164</v>
      </c>
      <c r="F35" s="60">
        <f t="shared" ref="F35:H35" si="0">F7/B7-1</f>
        <v>9.020217729393476E-2</v>
      </c>
      <c r="G35" s="60">
        <f t="shared" si="0"/>
        <v>0.20674486803519065</v>
      </c>
      <c r="H35" s="60">
        <f t="shared" si="0"/>
        <v>0.27903682719546752</v>
      </c>
      <c r="I35" s="60">
        <f>I7/E7-1</f>
        <v>0.38540332906530095</v>
      </c>
      <c r="L35" s="60">
        <f t="shared" ref="L35:M35" si="1">L7/K7-1</f>
        <v>0.19537815126050417</v>
      </c>
      <c r="M35" s="60">
        <f t="shared" si="1"/>
        <v>0.23506151142355014</v>
      </c>
      <c r="N35" s="60">
        <f>N7/M7-1</f>
        <v>0.24831020988971897</v>
      </c>
    </row>
    <row r="36" spans="1:14" ht="12.75" customHeight="1"/>
    <row r="37" spans="1:14" ht="12.75" customHeight="1"/>
    <row r="38" spans="1:14" ht="12.75" customHeight="1"/>
    <row r="39" spans="1:14" ht="12.75" customHeight="1"/>
    <row r="40" spans="1:14" ht="12.75" customHeight="1"/>
    <row r="41" spans="1:14" ht="12.75" customHeight="1"/>
    <row r="42" spans="1:14" ht="12.75" customHeight="1"/>
    <row r="43" spans="1:14" ht="12.75" customHeight="1"/>
    <row r="44" spans="1:14" ht="12.75" customHeight="1"/>
    <row r="45" spans="1:14" ht="12.75" customHeight="1"/>
    <row r="46" spans="1:14" ht="12.75" customHeight="1"/>
    <row r="47" spans="1:14" ht="12.75" customHeight="1"/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B1" workbookViewId="0">
      <selection activeCell="I32" sqref="I32"/>
    </sheetView>
  </sheetViews>
  <sheetFormatPr defaultColWidth="12.6640625" defaultRowHeight="15" customHeight="1"/>
  <cols>
    <col min="1" max="1" width="54" customWidth="1"/>
    <col min="2" max="9" width="10.6640625" customWidth="1"/>
    <col min="10" max="10" width="2" customWidth="1"/>
    <col min="11" max="13" width="10.6640625" customWidth="1"/>
    <col min="14" max="14" width="13" customWidth="1"/>
    <col min="15" max="26" width="12.88671875" customWidth="1"/>
  </cols>
  <sheetData>
    <row r="1" spans="1:14" ht="12.75" customHeight="1">
      <c r="N1" s="6"/>
    </row>
    <row r="2" spans="1:14" ht="12.75" customHeight="1">
      <c r="N2" s="6"/>
    </row>
    <row r="3" spans="1:14" ht="13.2">
      <c r="A3" s="61" t="s">
        <v>32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ht="12.75" customHeight="1">
      <c r="N4" s="6"/>
    </row>
    <row r="5" spans="1:14" ht="12.75" customHeight="1">
      <c r="A5" s="1" t="s">
        <v>33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K5" s="12">
        <v>2022</v>
      </c>
      <c r="L5" s="12">
        <v>2023</v>
      </c>
      <c r="M5" s="12">
        <v>2024</v>
      </c>
      <c r="N5" s="12">
        <v>2025</v>
      </c>
    </row>
    <row r="6" spans="1:14" ht="12.75" customHeight="1">
      <c r="A6" s="5" t="s">
        <v>9</v>
      </c>
      <c r="B6" s="4">
        <v>486000000</v>
      </c>
      <c r="C6" s="4">
        <v>518000000</v>
      </c>
      <c r="D6" s="4">
        <v>532000000</v>
      </c>
      <c r="E6" s="4">
        <v>600000000</v>
      </c>
      <c r="F6" s="4">
        <v>519000000</v>
      </c>
      <c r="G6" s="4">
        <v>604000000</v>
      </c>
      <c r="H6" s="4">
        <v>634000000</v>
      </c>
      <c r="I6" s="4">
        <v>743000000</v>
      </c>
      <c r="K6" s="4">
        <v>1468000000</v>
      </c>
      <c r="L6" s="4">
        <v>1768000000</v>
      </c>
      <c r="M6" s="4">
        <v>2136000000</v>
      </c>
      <c r="N6" s="4">
        <v>2500000000</v>
      </c>
    </row>
    <row r="7" spans="1:14" ht="12.75" customHeight="1">
      <c r="A7" s="5" t="s">
        <v>10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73000000</v>
      </c>
      <c r="N7" s="4">
        <v>73000000</v>
      </c>
    </row>
    <row r="8" spans="1:14" ht="12.75" customHeight="1">
      <c r="A8" s="5" t="s">
        <v>11</v>
      </c>
      <c r="B8" s="7">
        <v>157000000</v>
      </c>
      <c r="C8" s="7">
        <v>164000000</v>
      </c>
      <c r="D8" s="7">
        <v>174000000</v>
      </c>
      <c r="E8" s="7">
        <v>181000000</v>
      </c>
      <c r="F8" s="7">
        <v>182000000</v>
      </c>
      <c r="G8" s="7">
        <v>219000000</v>
      </c>
      <c r="H8" s="7">
        <v>269000000</v>
      </c>
      <c r="I8" s="7">
        <v>267000000</v>
      </c>
      <c r="K8" s="7">
        <v>436000000</v>
      </c>
      <c r="L8" s="7">
        <v>508000000</v>
      </c>
      <c r="M8" s="7">
        <v>675000000</v>
      </c>
      <c r="N8" s="7">
        <v>937000000</v>
      </c>
    </row>
    <row r="9" spans="1:14" ht="12.75" customHeight="1">
      <c r="A9" s="13" t="s">
        <v>12</v>
      </c>
      <c r="B9" s="9">
        <v>643000000</v>
      </c>
      <c r="C9" s="9">
        <v>682000000</v>
      </c>
      <c r="D9" s="9">
        <v>706000000</v>
      </c>
      <c r="E9" s="9">
        <v>781000000</v>
      </c>
      <c r="F9" s="9">
        <v>701000000</v>
      </c>
      <c r="G9" s="9">
        <v>823000000</v>
      </c>
      <c r="H9" s="9">
        <v>903000000</v>
      </c>
      <c r="I9" s="9">
        <v>1082000000</v>
      </c>
      <c r="K9" s="9">
        <v>1904000000</v>
      </c>
      <c r="L9" s="9">
        <v>2276000000</v>
      </c>
      <c r="M9" s="9">
        <v>2811000000</v>
      </c>
      <c r="N9" s="9">
        <v>3509000000</v>
      </c>
    </row>
    <row r="10" spans="1:14" ht="12.75" customHeight="1">
      <c r="N10" s="10"/>
    </row>
    <row r="11" spans="1:14" ht="12.75" customHeight="1">
      <c r="A11" s="5" t="s">
        <v>34</v>
      </c>
      <c r="B11" s="4">
        <v>-136000000</v>
      </c>
      <c r="C11" s="4">
        <v>-148000000</v>
      </c>
      <c r="D11" s="4">
        <v>-151000000</v>
      </c>
      <c r="E11" s="4">
        <v>-161000000</v>
      </c>
      <c r="F11" s="4">
        <v>-164000000</v>
      </c>
      <c r="G11" s="4">
        <v>-187000000</v>
      </c>
      <c r="H11" s="4">
        <v>-208000000</v>
      </c>
      <c r="I11" s="4">
        <v>-250000000</v>
      </c>
      <c r="K11" s="4">
        <v>-520000000</v>
      </c>
      <c r="L11" s="4">
        <v>-541000000</v>
      </c>
      <c r="M11" s="4">
        <v>-596000000</v>
      </c>
      <c r="N11" s="4">
        <v>-809000000</v>
      </c>
    </row>
    <row r="12" spans="1:14" ht="12.75" customHeight="1">
      <c r="A12" s="5" t="s">
        <v>14</v>
      </c>
      <c r="B12" s="4">
        <v>-117000000</v>
      </c>
      <c r="C12" s="4">
        <v>-106000000</v>
      </c>
      <c r="D12" s="4">
        <v>-116000000</v>
      </c>
      <c r="E12" s="4">
        <v>-156000000</v>
      </c>
      <c r="F12" s="4">
        <v>-136000000</v>
      </c>
      <c r="G12" s="4">
        <v>-174000000</v>
      </c>
      <c r="H12" s="4">
        <v>-235000000</v>
      </c>
      <c r="I12" s="4">
        <v>-250000000</v>
      </c>
      <c r="K12" s="4">
        <v>-550000000</v>
      </c>
      <c r="L12" s="4">
        <v>-353000000</v>
      </c>
      <c r="M12" s="4">
        <v>-495000000</v>
      </c>
      <c r="N12" s="4">
        <v>-794000000</v>
      </c>
    </row>
    <row r="13" spans="1:14" ht="12.75" customHeight="1">
      <c r="A13" s="5" t="s">
        <v>15</v>
      </c>
      <c r="B13" s="4">
        <v>-113000000</v>
      </c>
      <c r="C13" s="4">
        <v>-120000000</v>
      </c>
      <c r="D13" s="4">
        <v>-123000000</v>
      </c>
      <c r="E13" s="4">
        <v>-147000000</v>
      </c>
      <c r="F13" s="4">
        <v>-130000000</v>
      </c>
      <c r="G13" s="4">
        <v>-147000000</v>
      </c>
      <c r="H13" s="4">
        <v>-180000000</v>
      </c>
      <c r="I13" s="4">
        <v>-210000000</v>
      </c>
      <c r="K13" s="4">
        <v>-147000000</v>
      </c>
      <c r="L13" s="4">
        <v>-297000000</v>
      </c>
      <c r="M13" s="4">
        <v>-503000000</v>
      </c>
      <c r="N13" s="4">
        <v>-667000000</v>
      </c>
    </row>
    <row r="14" spans="1:14" ht="12.75" customHeight="1">
      <c r="A14" s="5" t="s">
        <v>18</v>
      </c>
      <c r="B14" s="4">
        <v>-99000000</v>
      </c>
      <c r="C14" s="4">
        <v>-103000000</v>
      </c>
      <c r="D14" s="4">
        <v>-107000000</v>
      </c>
      <c r="E14" s="4">
        <v>-135000000</v>
      </c>
      <c r="F14" s="4">
        <v>-115000000</v>
      </c>
      <c r="G14" s="4">
        <v>-120000000</v>
      </c>
      <c r="H14" s="4">
        <v>-123000000</v>
      </c>
      <c r="I14" s="4">
        <v>-128000000</v>
      </c>
      <c r="K14" s="4">
        <v>-430000000</v>
      </c>
      <c r="L14" s="4">
        <v>-389000000</v>
      </c>
      <c r="M14" s="4">
        <v>-444000000</v>
      </c>
      <c r="N14" s="4">
        <v>-486000000</v>
      </c>
    </row>
    <row r="15" spans="1:14" ht="12.75" customHeight="1">
      <c r="A15" s="5" t="s">
        <v>19</v>
      </c>
      <c r="B15" s="4">
        <v>-79000000</v>
      </c>
      <c r="C15" s="4">
        <v>-78000000</v>
      </c>
      <c r="D15" s="4">
        <v>-70000000</v>
      </c>
      <c r="E15" s="4">
        <v>-101000000</v>
      </c>
      <c r="F15" s="4">
        <v>-91000000</v>
      </c>
      <c r="G15" s="4">
        <v>-93000000</v>
      </c>
      <c r="H15" s="4">
        <v>-102000000</v>
      </c>
      <c r="I15" s="4">
        <v>-128000000</v>
      </c>
      <c r="K15" s="4">
        <v>-531000000</v>
      </c>
      <c r="L15" s="4">
        <v>-381000000</v>
      </c>
      <c r="M15" s="4">
        <v>-328000000</v>
      </c>
      <c r="N15" s="4">
        <v>-414000000</v>
      </c>
    </row>
    <row r="16" spans="1:14" ht="12.75" customHeight="1">
      <c r="A16" s="5" t="s">
        <v>20</v>
      </c>
      <c r="B16" s="4">
        <v>-57000000</v>
      </c>
      <c r="C16" s="4">
        <v>-48000000</v>
      </c>
      <c r="D16" s="4">
        <v>-44000000</v>
      </c>
      <c r="E16" s="4">
        <v>-54000000</v>
      </c>
      <c r="F16" s="4">
        <v>-51000000</v>
      </c>
      <c r="G16" s="4">
        <v>-51000000</v>
      </c>
      <c r="H16" s="4">
        <v>-53000000</v>
      </c>
      <c r="I16" s="4">
        <v>-52000000</v>
      </c>
      <c r="K16" s="4">
        <v>-287000000</v>
      </c>
      <c r="L16" s="4">
        <v>-240000000</v>
      </c>
      <c r="M16" s="4">
        <v>-203000000</v>
      </c>
      <c r="N16" s="4">
        <v>-207000000</v>
      </c>
    </row>
    <row r="17" spans="1:14" ht="12.75" customHeight="1">
      <c r="A17" s="5" t="s">
        <v>21</v>
      </c>
      <c r="B17" s="4">
        <v>-51000000</v>
      </c>
      <c r="C17" s="4">
        <v>-64000000</v>
      </c>
      <c r="D17" s="4">
        <v>-65000000</v>
      </c>
      <c r="E17" s="4">
        <v>-101000000</v>
      </c>
      <c r="F17" s="4">
        <v>-94000000</v>
      </c>
      <c r="G17" s="4">
        <v>-65000000</v>
      </c>
      <c r="H17" s="4">
        <v>-77000000</v>
      </c>
      <c r="I17" s="4">
        <v>-70000000</v>
      </c>
      <c r="K17" s="4">
        <v>-320000000</v>
      </c>
      <c r="L17" s="4">
        <v>-270000000</v>
      </c>
      <c r="M17" s="4">
        <v>-281000000</v>
      </c>
      <c r="N17" s="4">
        <v>-306000000</v>
      </c>
    </row>
    <row r="18" spans="1:14" ht="12.75" customHeight="1">
      <c r="A18" s="5" t="s">
        <v>35</v>
      </c>
      <c r="B18" s="7">
        <v>-19000000</v>
      </c>
      <c r="C18" s="7">
        <v>-19000000</v>
      </c>
      <c r="D18" s="7">
        <v>-17000000</v>
      </c>
      <c r="E18" s="7">
        <v>-27000000</v>
      </c>
      <c r="F18" s="7">
        <v>-10000000</v>
      </c>
      <c r="G18" s="7">
        <v>-32000000</v>
      </c>
      <c r="H18" s="7">
        <v>-8000000</v>
      </c>
      <c r="I18" s="7">
        <v>-4000000</v>
      </c>
      <c r="K18" s="7">
        <v>-99000000</v>
      </c>
      <c r="L18" s="7">
        <v>-128000000</v>
      </c>
      <c r="M18" s="7">
        <v>-82000000</v>
      </c>
      <c r="N18" s="7">
        <v>-55000000</v>
      </c>
    </row>
    <row r="19" spans="1:14" ht="12.75" customHeight="1">
      <c r="A19" s="13" t="s">
        <v>36</v>
      </c>
      <c r="B19" s="9">
        <v>-671000000</v>
      </c>
      <c r="C19" s="9">
        <v>-686000000</v>
      </c>
      <c r="D19" s="9">
        <v>-693000000</v>
      </c>
      <c r="E19" s="9">
        <v>-882000000</v>
      </c>
      <c r="F19" s="9">
        <v>-791000000</v>
      </c>
      <c r="G19" s="9">
        <v>-869000000</v>
      </c>
      <c r="H19" s="9">
        <v>-986000000</v>
      </c>
      <c r="I19" s="9">
        <v>-1093000000</v>
      </c>
      <c r="K19" s="9">
        <v>-2884000000</v>
      </c>
      <c r="L19" s="9">
        <v>-2599000000</v>
      </c>
      <c r="M19" s="9">
        <v>-2932000000</v>
      </c>
      <c r="N19" s="9">
        <v>-3739000000</v>
      </c>
    </row>
    <row r="20" spans="1:14" ht="12.75" customHeight="1">
      <c r="N20" s="14"/>
    </row>
    <row r="21" spans="1:14" ht="12.75" customHeight="1">
      <c r="A21" s="13" t="s">
        <v>37</v>
      </c>
      <c r="B21" s="9">
        <v>-28000000</v>
      </c>
      <c r="C21" s="9">
        <v>-4000000</v>
      </c>
      <c r="D21" s="9">
        <v>13000000</v>
      </c>
      <c r="E21" s="9">
        <v>-101000000</v>
      </c>
      <c r="F21" s="9">
        <v>-90000000</v>
      </c>
      <c r="G21" s="9">
        <v>-46000000</v>
      </c>
      <c r="H21" s="9">
        <v>-83000000</v>
      </c>
      <c r="I21" s="9">
        <v>-11000000</v>
      </c>
      <c r="K21" s="9">
        <v>-980000000</v>
      </c>
      <c r="L21" s="9">
        <v>-323000000</v>
      </c>
      <c r="M21" s="9">
        <v>-121000000</v>
      </c>
      <c r="N21" s="9">
        <v>-230000000</v>
      </c>
    </row>
    <row r="22" spans="1:14" ht="12.75" customHeight="1">
      <c r="A22" s="5" t="s">
        <v>28</v>
      </c>
      <c r="B22" s="7">
        <v>3000000</v>
      </c>
      <c r="C22" s="7">
        <v>2000000</v>
      </c>
      <c r="D22" s="7">
        <v>2000000</v>
      </c>
      <c r="E22" s="7">
        <v>147000000</v>
      </c>
      <c r="F22" s="7">
        <v>-2000000</v>
      </c>
      <c r="G22" s="7">
        <v>0</v>
      </c>
      <c r="H22" s="7">
        <v>-4000000</v>
      </c>
      <c r="I22" s="7">
        <v>-5000000</v>
      </c>
      <c r="K22" s="7">
        <v>-58000000</v>
      </c>
      <c r="L22" s="7">
        <v>19000000</v>
      </c>
      <c r="M22" s="7">
        <v>154000000</v>
      </c>
      <c r="N22" s="7">
        <v>-11000000</v>
      </c>
    </row>
    <row r="23" spans="1:14" ht="12.75" customHeight="1">
      <c r="A23" s="13" t="s">
        <v>38</v>
      </c>
      <c r="B23" s="9">
        <v>-25000000</v>
      </c>
      <c r="C23" s="9">
        <v>-2000000</v>
      </c>
      <c r="D23" s="9">
        <v>15000000</v>
      </c>
      <c r="E23" s="9">
        <v>46000000</v>
      </c>
      <c r="F23" s="9">
        <v>-92000000</v>
      </c>
      <c r="G23" s="9">
        <v>-46000000</v>
      </c>
      <c r="H23" s="9">
        <v>-87000000</v>
      </c>
      <c r="I23" s="9">
        <v>-16000000</v>
      </c>
      <c r="K23" s="9">
        <v>-1038000000</v>
      </c>
      <c r="L23" s="9">
        <v>-304000000</v>
      </c>
      <c r="M23" s="9">
        <v>33000000</v>
      </c>
      <c r="N23" s="9">
        <v>-241000000</v>
      </c>
    </row>
    <row r="24" spans="1:14" ht="12.75" customHeight="1">
      <c r="A24" s="5" t="s">
        <v>39</v>
      </c>
      <c r="B24" s="7">
        <v>-5000000</v>
      </c>
      <c r="C24" s="7">
        <v>1000000</v>
      </c>
      <c r="D24" s="7">
        <v>-2000000</v>
      </c>
      <c r="E24" s="7">
        <v>-6000000</v>
      </c>
      <c r="F24" s="7">
        <v>-7000000</v>
      </c>
      <c r="G24" s="7">
        <v>-7000000</v>
      </c>
      <c r="H24" s="7">
        <v>-8000000</v>
      </c>
      <c r="I24" s="7">
        <v>-10000000</v>
      </c>
      <c r="K24" s="7">
        <v>3000000</v>
      </c>
      <c r="L24" s="7">
        <v>60000000</v>
      </c>
      <c r="M24" s="7">
        <v>-12000000</v>
      </c>
      <c r="N24" s="7">
        <v>-32000000</v>
      </c>
    </row>
    <row r="25" spans="1:14" ht="12.75" customHeight="1">
      <c r="A25" s="13" t="s">
        <v>40</v>
      </c>
      <c r="B25" s="9">
        <v>-30000000</v>
      </c>
      <c r="C25" s="9">
        <v>-1000000</v>
      </c>
      <c r="D25" s="9">
        <v>12000000</v>
      </c>
      <c r="E25" s="9">
        <v>40000000</v>
      </c>
      <c r="F25" s="9">
        <v>-99000000</v>
      </c>
      <c r="G25" s="9">
        <v>-53000000</v>
      </c>
      <c r="H25" s="9">
        <v>-95000000</v>
      </c>
      <c r="I25" s="9">
        <v>-26000000</v>
      </c>
      <c r="K25" s="9">
        <v>-1035000000</v>
      </c>
      <c r="L25" s="9">
        <v>-244000000</v>
      </c>
      <c r="M25" s="9">
        <v>21000000</v>
      </c>
      <c r="N25" s="9">
        <v>-273000000</v>
      </c>
    </row>
    <row r="26" spans="1:14" ht="12.75" customHeight="1">
      <c r="N26" s="10"/>
    </row>
    <row r="27" spans="1:14" ht="12.75" customHeight="1">
      <c r="A27" s="13" t="s">
        <v>41</v>
      </c>
      <c r="N27" s="10"/>
    </row>
    <row r="28" spans="1:14" ht="12.75" customHeight="1">
      <c r="A28" s="5" t="s">
        <v>42</v>
      </c>
      <c r="B28" s="4">
        <v>-31000000</v>
      </c>
      <c r="C28" s="4">
        <v>-7000000</v>
      </c>
      <c r="D28" s="4">
        <v>18000000</v>
      </c>
      <c r="E28" s="4">
        <v>35000000</v>
      </c>
      <c r="F28" s="4">
        <v>-101000000</v>
      </c>
      <c r="G28" s="4">
        <v>-51000000</v>
      </c>
      <c r="H28" s="4">
        <v>-95000000</v>
      </c>
      <c r="I28" s="4">
        <v>-47000000</v>
      </c>
      <c r="K28" s="4">
        <v>-1038000000</v>
      </c>
      <c r="L28" s="4">
        <v>-249000000</v>
      </c>
      <c r="M28" s="4">
        <v>3000000</v>
      </c>
      <c r="N28" s="4">
        <v>-294000000</v>
      </c>
    </row>
    <row r="29" spans="1:14" ht="12.75" customHeight="1">
      <c r="A29" s="5" t="s">
        <v>43</v>
      </c>
      <c r="B29" s="4">
        <v>0</v>
      </c>
      <c r="C29" s="4">
        <v>1000000</v>
      </c>
      <c r="D29" s="4">
        <v>-5000000</v>
      </c>
      <c r="E29" s="4">
        <v>5000000</v>
      </c>
      <c r="F29" s="4">
        <v>2000000</v>
      </c>
      <c r="G29" s="4">
        <v>-2000000</v>
      </c>
      <c r="H29" s="4">
        <v>0</v>
      </c>
      <c r="I29" s="4">
        <v>21000000</v>
      </c>
      <c r="K29" s="4">
        <v>-1000000</v>
      </c>
      <c r="L29" s="4">
        <v>0</v>
      </c>
      <c r="M29" s="4">
        <v>12000000</v>
      </c>
      <c r="N29" s="4">
        <v>21000000</v>
      </c>
    </row>
    <row r="30" spans="1:14" ht="12.75" customHeight="1">
      <c r="A30" s="5" t="s">
        <v>44</v>
      </c>
      <c r="B30" s="7">
        <v>1000000</v>
      </c>
      <c r="C30" s="7">
        <v>5000000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K30" s="7">
        <v>4000000</v>
      </c>
      <c r="L30" s="7">
        <v>5000000</v>
      </c>
      <c r="M30" s="7">
        <v>6000000</v>
      </c>
      <c r="N30" s="7">
        <v>0</v>
      </c>
    </row>
    <row r="31" spans="1:14" ht="12.75" customHeight="1">
      <c r="A31" s="13" t="s">
        <v>45</v>
      </c>
      <c r="B31" s="9">
        <v>-30000000</v>
      </c>
      <c r="C31" s="9">
        <v>-1000000</v>
      </c>
      <c r="D31" s="9">
        <v>12000000</v>
      </c>
      <c r="E31" s="9">
        <v>40000000</v>
      </c>
      <c r="F31" s="9">
        <v>-99000000</v>
      </c>
      <c r="G31" s="9">
        <v>-53000000</v>
      </c>
      <c r="H31" s="9">
        <v>-95000000</v>
      </c>
      <c r="I31" s="9">
        <v>-26000000</v>
      </c>
      <c r="K31" s="9">
        <v>-1035000000</v>
      </c>
      <c r="L31" s="9">
        <v>-244000000</v>
      </c>
      <c r="M31" s="9">
        <v>21000000</v>
      </c>
      <c r="N31" s="9">
        <v>-273000000</v>
      </c>
    </row>
    <row r="32" spans="1:14" ht="12.75" customHeight="1">
      <c r="N32" s="6"/>
    </row>
    <row r="33" spans="1:14" ht="12.75" customHeight="1">
      <c r="A33" s="13" t="s">
        <v>46</v>
      </c>
      <c r="B33" s="6"/>
      <c r="C33" s="6"/>
      <c r="D33" s="6"/>
      <c r="E33" s="6"/>
      <c r="F33" s="6"/>
      <c r="G33" s="6"/>
      <c r="H33" s="6"/>
      <c r="I33" s="6"/>
      <c r="N33" s="6"/>
    </row>
    <row r="34" spans="1:14" ht="12.75" customHeight="1">
      <c r="A34" s="5" t="s">
        <v>47</v>
      </c>
      <c r="B34" s="10"/>
      <c r="C34" s="10"/>
      <c r="D34" s="10"/>
      <c r="E34" s="10"/>
      <c r="F34" s="10"/>
      <c r="G34" s="10"/>
      <c r="H34" s="10"/>
      <c r="I34" s="6"/>
      <c r="K34" s="15">
        <v>-3.09</v>
      </c>
      <c r="L34" s="15">
        <v>-0.69</v>
      </c>
      <c r="M34" s="15">
        <v>0.01</v>
      </c>
      <c r="N34" s="15">
        <v>-0.79</v>
      </c>
    </row>
    <row r="35" spans="1:14" ht="12.75" customHeight="1">
      <c r="A35" s="5" t="s">
        <v>48</v>
      </c>
      <c r="B35" s="10"/>
      <c r="C35" s="10"/>
      <c r="D35" s="10"/>
      <c r="E35" s="10"/>
      <c r="F35" s="10"/>
      <c r="G35" s="10"/>
      <c r="H35" s="10"/>
      <c r="I35" s="6"/>
      <c r="K35" s="15">
        <v>-3.09</v>
      </c>
      <c r="L35" s="15">
        <v>-0.69</v>
      </c>
      <c r="M35" s="15">
        <v>0.01</v>
      </c>
      <c r="N35" s="15">
        <v>-0.79</v>
      </c>
    </row>
    <row r="36" spans="1:14" ht="12.75" customHeight="1">
      <c r="N36" s="6"/>
    </row>
    <row r="37" spans="1:14" ht="12.75" customHeight="1">
      <c r="N37" s="6"/>
    </row>
    <row r="38" spans="1:14" ht="12.75" customHeight="1">
      <c r="N38" s="6"/>
    </row>
    <row r="39" spans="1:14" ht="12.75" customHeight="1">
      <c r="N39" s="6"/>
    </row>
    <row r="40" spans="1:14" ht="12.75" customHeight="1">
      <c r="N40" s="6"/>
    </row>
    <row r="41" spans="1:14" ht="12.75" customHeight="1">
      <c r="N41" s="6"/>
    </row>
    <row r="42" spans="1:14" ht="12.75" customHeight="1">
      <c r="N42" s="6"/>
    </row>
    <row r="43" spans="1:14" ht="12.75" customHeight="1">
      <c r="N43" s="6"/>
    </row>
    <row r="44" spans="1:14" ht="12.75" customHeight="1">
      <c r="N44" s="6"/>
    </row>
    <row r="45" spans="1:14" ht="12.75" customHeight="1">
      <c r="N45" s="6"/>
    </row>
    <row r="46" spans="1:14" ht="12.75" customHeight="1">
      <c r="N46" s="6"/>
    </row>
    <row r="47" spans="1:14" ht="12.75" customHeight="1">
      <c r="N47" s="6"/>
    </row>
    <row r="48" spans="1:14" ht="12.75" customHeight="1">
      <c r="N48" s="6"/>
    </row>
    <row r="49" spans="14:14" ht="12.75" customHeight="1">
      <c r="N49" s="6"/>
    </row>
    <row r="50" spans="14:14" ht="12.75" customHeight="1">
      <c r="N50" s="6"/>
    </row>
    <row r="51" spans="14:14" ht="12.75" customHeight="1">
      <c r="N51" s="6"/>
    </row>
    <row r="52" spans="14:14" ht="12.75" customHeight="1">
      <c r="N52" s="6"/>
    </row>
    <row r="53" spans="14:14" ht="12.75" customHeight="1">
      <c r="N53" s="6"/>
    </row>
    <row r="54" spans="14:14" ht="12.75" customHeight="1">
      <c r="N54" s="6"/>
    </row>
    <row r="55" spans="14:14" ht="12.75" customHeight="1">
      <c r="N55" s="6"/>
    </row>
    <row r="56" spans="14:14" ht="12.75" customHeight="1">
      <c r="N56" s="6"/>
    </row>
    <row r="57" spans="14:14" ht="12.75" customHeight="1">
      <c r="N57" s="6"/>
    </row>
    <row r="58" spans="14:14" ht="12.75" customHeight="1">
      <c r="N58" s="6"/>
    </row>
    <row r="59" spans="14:14" ht="12.75" customHeight="1">
      <c r="N59" s="6"/>
    </row>
    <row r="60" spans="14:14" ht="12.75" customHeight="1">
      <c r="N60" s="6"/>
    </row>
    <row r="61" spans="14:14" ht="12.75" customHeight="1">
      <c r="N61" s="6"/>
    </row>
    <row r="62" spans="14:14" ht="12.75" customHeight="1">
      <c r="N62" s="6"/>
    </row>
    <row r="63" spans="14:14" ht="12.75" customHeight="1">
      <c r="N63" s="6"/>
    </row>
    <row r="64" spans="14:14" ht="12.75" customHeight="1">
      <c r="N64" s="6"/>
    </row>
    <row r="65" spans="14:14" ht="12.75" customHeight="1">
      <c r="N65" s="6"/>
    </row>
    <row r="66" spans="14:14" ht="12.75" customHeight="1">
      <c r="N66" s="6"/>
    </row>
    <row r="67" spans="14:14" ht="12.75" customHeight="1">
      <c r="N67" s="6"/>
    </row>
    <row r="68" spans="14:14" ht="12.75" customHeight="1">
      <c r="N68" s="6"/>
    </row>
    <row r="69" spans="14:14" ht="12.75" customHeight="1">
      <c r="N69" s="6"/>
    </row>
    <row r="70" spans="14:14" ht="12.75" customHeight="1">
      <c r="N70" s="6"/>
    </row>
    <row r="71" spans="14:14" ht="12.75" customHeight="1">
      <c r="N71" s="6"/>
    </row>
    <row r="72" spans="14:14" ht="12.75" customHeight="1">
      <c r="N72" s="6"/>
    </row>
    <row r="73" spans="14:14" ht="12.75" customHeight="1">
      <c r="N73" s="6"/>
    </row>
    <row r="74" spans="14:14" ht="12.75" customHeight="1">
      <c r="N74" s="6"/>
    </row>
    <row r="75" spans="14:14" ht="12.75" customHeight="1">
      <c r="N75" s="6"/>
    </row>
    <row r="76" spans="14:14" ht="12.75" customHeight="1">
      <c r="N76" s="6"/>
    </row>
    <row r="77" spans="14:14" ht="12.75" customHeight="1">
      <c r="N77" s="6"/>
    </row>
    <row r="78" spans="14:14" ht="12.75" customHeight="1">
      <c r="N78" s="6"/>
    </row>
    <row r="79" spans="14:14" ht="12.75" customHeight="1">
      <c r="N79" s="6"/>
    </row>
    <row r="80" spans="14:14" ht="12.75" customHeight="1">
      <c r="N80" s="6"/>
    </row>
    <row r="81" spans="14:14" ht="12.75" customHeight="1">
      <c r="N81" s="6"/>
    </row>
    <row r="82" spans="14:14" ht="12.75" customHeight="1">
      <c r="N82" s="6"/>
    </row>
    <row r="83" spans="14:14" ht="12.75" customHeight="1">
      <c r="N83" s="6"/>
    </row>
    <row r="84" spans="14:14" ht="12.75" customHeight="1">
      <c r="N84" s="6"/>
    </row>
    <row r="85" spans="14:14" ht="12.75" customHeight="1">
      <c r="N85" s="6"/>
    </row>
    <row r="86" spans="14:14" ht="12.75" customHeight="1">
      <c r="N86" s="6"/>
    </row>
    <row r="87" spans="14:14" ht="12.75" customHeight="1">
      <c r="N87" s="6"/>
    </row>
    <row r="88" spans="14:14" ht="12.75" customHeight="1">
      <c r="N88" s="6"/>
    </row>
    <row r="89" spans="14:14" ht="12.75" customHeight="1">
      <c r="N89" s="6"/>
    </row>
    <row r="90" spans="14:14" ht="12.75" customHeight="1">
      <c r="N90" s="6"/>
    </row>
    <row r="91" spans="14:14" ht="12.75" customHeight="1">
      <c r="N91" s="6"/>
    </row>
    <row r="92" spans="14:14" ht="12.75" customHeight="1">
      <c r="N92" s="6"/>
    </row>
    <row r="93" spans="14:14" ht="12.75" customHeight="1">
      <c r="N93" s="6"/>
    </row>
    <row r="94" spans="14:14" ht="12.75" customHeight="1">
      <c r="N94" s="6"/>
    </row>
    <row r="95" spans="14:14" ht="12.75" customHeight="1">
      <c r="N95" s="6"/>
    </row>
    <row r="96" spans="14:14" ht="12.75" customHeight="1">
      <c r="N96" s="6"/>
    </row>
    <row r="97" spans="14:14" ht="12.75" customHeight="1">
      <c r="N97" s="6"/>
    </row>
    <row r="98" spans="14:14" ht="12.75" customHeight="1">
      <c r="N98" s="6"/>
    </row>
    <row r="99" spans="14:14" ht="12.75" customHeight="1">
      <c r="N99" s="6"/>
    </row>
    <row r="100" spans="14:14" ht="12.75" customHeight="1">
      <c r="N100" s="6"/>
    </row>
    <row r="101" spans="14:14" ht="12.75" customHeight="1">
      <c r="N101" s="6"/>
    </row>
    <row r="102" spans="14:14" ht="12.75" customHeight="1">
      <c r="N102" s="6"/>
    </row>
    <row r="103" spans="14:14" ht="12.75" customHeight="1">
      <c r="N103" s="6"/>
    </row>
    <row r="104" spans="14:14" ht="12.75" customHeight="1">
      <c r="N104" s="6"/>
    </row>
    <row r="105" spans="14:14" ht="12.75" customHeight="1">
      <c r="N105" s="6"/>
    </row>
    <row r="106" spans="14:14" ht="12.75" customHeight="1">
      <c r="N106" s="6"/>
    </row>
    <row r="107" spans="14:14" ht="12.75" customHeight="1">
      <c r="N107" s="6"/>
    </row>
    <row r="108" spans="14:14" ht="12.75" customHeight="1">
      <c r="N108" s="6"/>
    </row>
    <row r="109" spans="14:14" ht="12.75" customHeight="1">
      <c r="N109" s="6"/>
    </row>
    <row r="110" spans="14:14" ht="12.75" customHeight="1">
      <c r="N110" s="6"/>
    </row>
    <row r="111" spans="14:14" ht="12.75" customHeight="1">
      <c r="N111" s="6"/>
    </row>
    <row r="112" spans="14:14" ht="12.75" customHeight="1">
      <c r="N112" s="6"/>
    </row>
    <row r="113" spans="14:14" ht="12.75" customHeight="1">
      <c r="N113" s="6"/>
    </row>
    <row r="114" spans="14:14" ht="12.75" customHeight="1">
      <c r="N114" s="6"/>
    </row>
    <row r="115" spans="14:14" ht="12.75" customHeight="1">
      <c r="N115" s="6"/>
    </row>
    <row r="116" spans="14:14" ht="12.75" customHeight="1">
      <c r="N116" s="6"/>
    </row>
    <row r="117" spans="14:14" ht="12.75" customHeight="1">
      <c r="N117" s="6"/>
    </row>
    <row r="118" spans="14:14" ht="12.75" customHeight="1">
      <c r="N118" s="6"/>
    </row>
    <row r="119" spans="14:14" ht="12.75" customHeight="1">
      <c r="N119" s="6"/>
    </row>
    <row r="120" spans="14:14" ht="12.75" customHeight="1">
      <c r="N120" s="6"/>
    </row>
    <row r="121" spans="14:14" ht="12.75" customHeight="1">
      <c r="N121" s="6"/>
    </row>
    <row r="122" spans="14:14" ht="12.75" customHeight="1">
      <c r="N122" s="6"/>
    </row>
    <row r="123" spans="14:14" ht="12.75" customHeight="1">
      <c r="N123" s="6"/>
    </row>
    <row r="124" spans="14:14" ht="12.75" customHeight="1">
      <c r="N124" s="6"/>
    </row>
    <row r="125" spans="14:14" ht="12.75" customHeight="1">
      <c r="N125" s="6"/>
    </row>
    <row r="126" spans="14:14" ht="12.75" customHeight="1">
      <c r="N126" s="6"/>
    </row>
    <row r="127" spans="14:14" ht="12.75" customHeight="1">
      <c r="N127" s="6"/>
    </row>
    <row r="128" spans="14:14" ht="12.75" customHeight="1">
      <c r="N128" s="6"/>
    </row>
    <row r="129" spans="14:14" ht="12.75" customHeight="1">
      <c r="N129" s="6"/>
    </row>
    <row r="130" spans="14:14" ht="12.75" customHeight="1">
      <c r="N130" s="6"/>
    </row>
    <row r="131" spans="14:14" ht="12.75" customHeight="1">
      <c r="N131" s="6"/>
    </row>
    <row r="132" spans="14:14" ht="12.75" customHeight="1">
      <c r="N132" s="6"/>
    </row>
    <row r="133" spans="14:14" ht="12.75" customHeight="1">
      <c r="N133" s="6"/>
    </row>
    <row r="134" spans="14:14" ht="12.75" customHeight="1">
      <c r="N134" s="6"/>
    </row>
    <row r="135" spans="14:14" ht="12.75" customHeight="1">
      <c r="N135" s="6"/>
    </row>
    <row r="136" spans="14:14" ht="12.75" customHeight="1">
      <c r="N136" s="6"/>
    </row>
    <row r="137" spans="14:14" ht="12.75" customHeight="1">
      <c r="N137" s="6"/>
    </row>
    <row r="138" spans="14:14" ht="12.75" customHeight="1">
      <c r="N138" s="6"/>
    </row>
    <row r="139" spans="14:14" ht="12.75" customHeight="1">
      <c r="N139" s="6"/>
    </row>
    <row r="140" spans="14:14" ht="12.75" customHeight="1">
      <c r="N140" s="6"/>
    </row>
    <row r="141" spans="14:14" ht="12.75" customHeight="1">
      <c r="N141" s="6"/>
    </row>
    <row r="142" spans="14:14" ht="12.75" customHeight="1">
      <c r="N142" s="6"/>
    </row>
    <row r="143" spans="14:14" ht="12.75" customHeight="1">
      <c r="N143" s="6"/>
    </row>
    <row r="144" spans="14:14" ht="12.75" customHeight="1">
      <c r="N144" s="6"/>
    </row>
    <row r="145" spans="14:14" ht="12.75" customHeight="1">
      <c r="N145" s="6"/>
    </row>
    <row r="146" spans="14:14" ht="12.75" customHeight="1">
      <c r="N146" s="6"/>
    </row>
    <row r="147" spans="14:14" ht="12.75" customHeight="1">
      <c r="N147" s="6"/>
    </row>
    <row r="148" spans="14:14" ht="12.75" customHeight="1">
      <c r="N148" s="6"/>
    </row>
    <row r="149" spans="14:14" ht="12.75" customHeight="1">
      <c r="N149" s="6"/>
    </row>
    <row r="150" spans="14:14" ht="12.75" customHeight="1">
      <c r="N150" s="6"/>
    </row>
    <row r="151" spans="14:14" ht="12.75" customHeight="1">
      <c r="N151" s="6"/>
    </row>
    <row r="152" spans="14:14" ht="12.75" customHeight="1">
      <c r="N152" s="6"/>
    </row>
    <row r="153" spans="14:14" ht="12.75" customHeight="1">
      <c r="N153" s="6"/>
    </row>
    <row r="154" spans="14:14" ht="12.75" customHeight="1">
      <c r="N154" s="6"/>
    </row>
    <row r="155" spans="14:14" ht="12.75" customHeight="1">
      <c r="N155" s="6"/>
    </row>
    <row r="156" spans="14:14" ht="12.75" customHeight="1">
      <c r="N156" s="6"/>
    </row>
    <row r="157" spans="14:14" ht="12.75" customHeight="1">
      <c r="N157" s="6"/>
    </row>
    <row r="158" spans="14:14" ht="12.75" customHeight="1">
      <c r="N158" s="6"/>
    </row>
    <row r="159" spans="14:14" ht="12.75" customHeight="1">
      <c r="N159" s="6"/>
    </row>
    <row r="160" spans="14:14" ht="12.75" customHeight="1">
      <c r="N160" s="6"/>
    </row>
    <row r="161" spans="14:14" ht="12.75" customHeight="1">
      <c r="N161" s="6"/>
    </row>
    <row r="162" spans="14:14" ht="12.75" customHeight="1">
      <c r="N162" s="6"/>
    </row>
    <row r="163" spans="14:14" ht="12.75" customHeight="1">
      <c r="N163" s="6"/>
    </row>
    <row r="164" spans="14:14" ht="12.75" customHeight="1">
      <c r="N164" s="6"/>
    </row>
    <row r="165" spans="14:14" ht="12.75" customHeight="1">
      <c r="N165" s="6"/>
    </row>
    <row r="166" spans="14:14" ht="12.75" customHeight="1">
      <c r="N166" s="6"/>
    </row>
    <row r="167" spans="14:14" ht="12.75" customHeight="1">
      <c r="N167" s="6"/>
    </row>
    <row r="168" spans="14:14" ht="12.75" customHeight="1">
      <c r="N168" s="6"/>
    </row>
    <row r="169" spans="14:14" ht="12.75" customHeight="1">
      <c r="N169" s="6"/>
    </row>
    <row r="170" spans="14:14" ht="12.75" customHeight="1">
      <c r="N170" s="6"/>
    </row>
    <row r="171" spans="14:14" ht="12.75" customHeight="1">
      <c r="N171" s="6"/>
    </row>
    <row r="172" spans="14:14" ht="12.75" customHeight="1">
      <c r="N172" s="6"/>
    </row>
    <row r="173" spans="14:14" ht="12.75" customHeight="1">
      <c r="N173" s="6"/>
    </row>
    <row r="174" spans="14:14" ht="12.75" customHeight="1">
      <c r="N174" s="6"/>
    </row>
    <row r="175" spans="14:14" ht="12.75" customHeight="1">
      <c r="N175" s="6"/>
    </row>
    <row r="176" spans="14:14" ht="12.75" customHeight="1">
      <c r="N176" s="6"/>
    </row>
    <row r="177" spans="14:14" ht="12.75" customHeight="1">
      <c r="N177" s="6"/>
    </row>
    <row r="178" spans="14:14" ht="12.75" customHeight="1">
      <c r="N178" s="6"/>
    </row>
    <row r="179" spans="14:14" ht="12.75" customHeight="1">
      <c r="N179" s="6"/>
    </row>
    <row r="180" spans="14:14" ht="12.75" customHeight="1">
      <c r="N180" s="6"/>
    </row>
    <row r="181" spans="14:14" ht="12.75" customHeight="1">
      <c r="N181" s="6"/>
    </row>
    <row r="182" spans="14:14" ht="12.75" customHeight="1">
      <c r="N182" s="6"/>
    </row>
    <row r="183" spans="14:14" ht="12.75" customHeight="1">
      <c r="N183" s="6"/>
    </row>
    <row r="184" spans="14:14" ht="12.75" customHeight="1">
      <c r="N184" s="6"/>
    </row>
    <row r="185" spans="14:14" ht="12.75" customHeight="1">
      <c r="N185" s="6"/>
    </row>
    <row r="186" spans="14:14" ht="12.75" customHeight="1">
      <c r="N186" s="6"/>
    </row>
    <row r="187" spans="14:14" ht="12.75" customHeight="1">
      <c r="N187" s="6"/>
    </row>
    <row r="188" spans="14:14" ht="12.75" customHeight="1">
      <c r="N188" s="6"/>
    </row>
    <row r="189" spans="14:14" ht="12.75" customHeight="1">
      <c r="N189" s="6"/>
    </row>
    <row r="190" spans="14:14" ht="12.75" customHeight="1">
      <c r="N190" s="6"/>
    </row>
    <row r="191" spans="14:14" ht="12.75" customHeight="1">
      <c r="N191" s="6"/>
    </row>
    <row r="192" spans="14:14" ht="12.75" customHeight="1">
      <c r="N192" s="6"/>
    </row>
    <row r="193" spans="14:14" ht="12.75" customHeight="1">
      <c r="N193" s="6"/>
    </row>
    <row r="194" spans="14:14" ht="12.75" customHeight="1">
      <c r="N194" s="6"/>
    </row>
    <row r="195" spans="14:14" ht="12.75" customHeight="1">
      <c r="N195" s="6"/>
    </row>
    <row r="196" spans="14:14" ht="12.75" customHeight="1">
      <c r="N196" s="6"/>
    </row>
    <row r="197" spans="14:14" ht="12.75" customHeight="1">
      <c r="N197" s="6"/>
    </row>
    <row r="198" spans="14:14" ht="12.75" customHeight="1">
      <c r="N198" s="6"/>
    </row>
    <row r="199" spans="14:14" ht="12.75" customHeight="1">
      <c r="N199" s="6"/>
    </row>
    <row r="200" spans="14:14" ht="12.75" customHeight="1">
      <c r="N200" s="6"/>
    </row>
    <row r="201" spans="14:14" ht="12.75" customHeight="1">
      <c r="N201" s="6"/>
    </row>
    <row r="202" spans="14:14" ht="12.75" customHeight="1">
      <c r="N202" s="6"/>
    </row>
    <row r="203" spans="14:14" ht="12.75" customHeight="1">
      <c r="N203" s="6"/>
    </row>
    <row r="204" spans="14:14" ht="12.75" customHeight="1">
      <c r="N204" s="6"/>
    </row>
    <row r="205" spans="14:14" ht="12.75" customHeight="1">
      <c r="N205" s="6"/>
    </row>
    <row r="206" spans="14:14" ht="12.75" customHeight="1">
      <c r="N206" s="6"/>
    </row>
    <row r="207" spans="14:14" ht="12.75" customHeight="1">
      <c r="N207" s="6"/>
    </row>
    <row r="208" spans="14:14" ht="12.75" customHeight="1">
      <c r="N208" s="6"/>
    </row>
    <row r="209" spans="14:14" ht="12.75" customHeight="1">
      <c r="N209" s="6"/>
    </row>
    <row r="210" spans="14:14" ht="12.75" customHeight="1">
      <c r="N210" s="6"/>
    </row>
    <row r="211" spans="14:14" ht="12.75" customHeight="1">
      <c r="N211" s="6"/>
    </row>
    <row r="212" spans="14:14" ht="12.75" customHeight="1">
      <c r="N212" s="6"/>
    </row>
    <row r="213" spans="14:14" ht="12.75" customHeight="1">
      <c r="N213" s="6"/>
    </row>
    <row r="214" spans="14:14" ht="12.75" customHeight="1">
      <c r="N214" s="6"/>
    </row>
    <row r="215" spans="14:14" ht="12.75" customHeight="1">
      <c r="N215" s="6"/>
    </row>
    <row r="216" spans="14:14" ht="12.75" customHeight="1">
      <c r="N216" s="6"/>
    </row>
    <row r="217" spans="14:14" ht="12.75" customHeight="1">
      <c r="N217" s="6"/>
    </row>
    <row r="218" spans="14:14" ht="12.75" customHeight="1">
      <c r="N218" s="6"/>
    </row>
    <row r="219" spans="14:14" ht="12.75" customHeight="1">
      <c r="N219" s="6"/>
    </row>
    <row r="220" spans="14:14" ht="12.75" customHeight="1">
      <c r="N220" s="6"/>
    </row>
    <row r="221" spans="14:14" ht="12.75" customHeight="1">
      <c r="N221" s="6"/>
    </row>
    <row r="222" spans="14:14" ht="12.75" customHeight="1">
      <c r="N222" s="6"/>
    </row>
    <row r="223" spans="14:14" ht="12.75" customHeight="1">
      <c r="N223" s="6"/>
    </row>
    <row r="224" spans="14:14" ht="12.75" customHeight="1">
      <c r="N224" s="6"/>
    </row>
    <row r="225" spans="14:14" ht="12.75" customHeight="1">
      <c r="N225" s="6"/>
    </row>
    <row r="226" spans="14:14" ht="12.75" customHeight="1">
      <c r="N226" s="6"/>
    </row>
    <row r="227" spans="14:14" ht="12.75" customHeight="1">
      <c r="N227" s="6"/>
    </row>
    <row r="228" spans="14:14" ht="12.75" customHeight="1">
      <c r="N228" s="6"/>
    </row>
    <row r="229" spans="14:14" ht="12.75" customHeight="1">
      <c r="N229" s="6"/>
    </row>
    <row r="230" spans="14:14" ht="12.75" customHeight="1">
      <c r="N230" s="6"/>
    </row>
    <row r="231" spans="14:14" ht="12.75" customHeight="1">
      <c r="N231" s="6"/>
    </row>
    <row r="232" spans="14:14" ht="12.75" customHeight="1">
      <c r="N232" s="6"/>
    </row>
    <row r="233" spans="14:14" ht="12.75" customHeight="1">
      <c r="N233" s="6"/>
    </row>
    <row r="234" spans="14:14" ht="12.75" customHeight="1">
      <c r="N234" s="6"/>
    </row>
    <row r="235" spans="14:14" ht="12.75" customHeight="1">
      <c r="N235" s="6"/>
    </row>
    <row r="236" spans="14:14" ht="12.75" customHeight="1"/>
    <row r="237" spans="14:14" ht="12.75" customHeight="1"/>
    <row r="238" spans="14:14" ht="12.75" customHeight="1"/>
    <row r="239" spans="14:14" ht="12.75" customHeight="1"/>
    <row r="240" spans="14:14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N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opLeftCell="A22" workbookViewId="0">
      <selection activeCell="E25" sqref="A25:XFD25"/>
    </sheetView>
  </sheetViews>
  <sheetFormatPr defaultColWidth="12.6640625" defaultRowHeight="15" customHeight="1"/>
  <cols>
    <col min="1" max="1" width="47.109375" customWidth="1"/>
    <col min="2" max="6" width="10.6640625" customWidth="1"/>
    <col min="7" max="7" width="2" customWidth="1"/>
    <col min="8" max="10" width="10.6640625" customWidth="1"/>
    <col min="11" max="13" width="13" customWidth="1"/>
    <col min="14" max="26" width="12.88671875" customWidth="1"/>
  </cols>
  <sheetData>
    <row r="1" spans="1:14" ht="12.75" customHeight="1">
      <c r="K1" s="6"/>
    </row>
    <row r="2" spans="1:14" ht="12.75" customHeight="1">
      <c r="K2" s="6"/>
    </row>
    <row r="3" spans="1:14" ht="13.2">
      <c r="A3" s="61" t="s">
        <v>49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ht="12.75" customHeight="1">
      <c r="K4" s="11"/>
    </row>
    <row r="5" spans="1:14" ht="12.75" customHeight="1">
      <c r="A5" s="1" t="s">
        <v>50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H5" s="16">
        <v>2022</v>
      </c>
      <c r="I5" s="16">
        <v>2023</v>
      </c>
      <c r="J5" s="16">
        <v>2024</v>
      </c>
      <c r="K5" s="16">
        <v>2025</v>
      </c>
    </row>
    <row r="6" spans="1:14" ht="12.75" customHeight="1">
      <c r="A6" s="17" t="s">
        <v>51</v>
      </c>
      <c r="H6" s="18"/>
      <c r="I6" s="18"/>
      <c r="J6" s="18"/>
      <c r="K6" s="18"/>
    </row>
    <row r="7" spans="1:14" ht="12.75" customHeight="1">
      <c r="A7" s="3" t="s">
        <v>52</v>
      </c>
      <c r="B7" s="19">
        <v>3243000000</v>
      </c>
      <c r="C7" s="19">
        <v>4105000000</v>
      </c>
      <c r="D7" s="19">
        <v>5504000000</v>
      </c>
      <c r="E7" s="19">
        <v>6795000000</v>
      </c>
      <c r="F7" s="19">
        <v>3803000000</v>
      </c>
      <c r="H7" s="19">
        <v>1694000000</v>
      </c>
      <c r="I7" s="19">
        <v>2391000000</v>
      </c>
      <c r="J7" s="19">
        <v>3243000000</v>
      </c>
      <c r="K7" s="19">
        <v>3803000000</v>
      </c>
      <c r="M7" s="20"/>
    </row>
    <row r="8" spans="1:14" ht="12.75" customHeight="1">
      <c r="A8" s="3" t="s">
        <v>53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H8" s="4">
        <v>0</v>
      </c>
      <c r="I8" s="4">
        <v>0</v>
      </c>
      <c r="J8" s="4">
        <v>0</v>
      </c>
      <c r="K8" s="4">
        <v>0</v>
      </c>
      <c r="M8" s="20"/>
    </row>
    <row r="9" spans="1:14" ht="12.75" customHeight="1">
      <c r="A9" s="3" t="s">
        <v>54</v>
      </c>
      <c r="B9" s="4">
        <v>454000000</v>
      </c>
      <c r="C9" s="4">
        <v>1188000000</v>
      </c>
      <c r="D9" s="4">
        <v>1381000000</v>
      </c>
      <c r="E9" s="4">
        <v>1657000000</v>
      </c>
      <c r="F9" s="4">
        <v>1518000000</v>
      </c>
      <c r="H9" s="4">
        <v>1121000000</v>
      </c>
      <c r="I9" s="4">
        <v>799000000</v>
      </c>
      <c r="J9" s="4">
        <v>454000000</v>
      </c>
      <c r="K9" s="4">
        <v>1518000000</v>
      </c>
      <c r="M9" s="20"/>
    </row>
    <row r="10" spans="1:14" ht="12.75" customHeight="1">
      <c r="A10" s="3" t="s">
        <v>55</v>
      </c>
      <c r="B10" s="4">
        <v>8141000000</v>
      </c>
      <c r="C10" s="4">
        <v>8124000000</v>
      </c>
      <c r="D10" s="4">
        <v>9950000000</v>
      </c>
      <c r="E10" s="4">
        <v>10095000000</v>
      </c>
      <c r="F10" s="4">
        <v>10459000000</v>
      </c>
      <c r="H10" s="4">
        <v>6757000000</v>
      </c>
      <c r="I10" s="4">
        <v>8083000000</v>
      </c>
      <c r="J10" s="4">
        <v>8141000000</v>
      </c>
      <c r="K10" s="4">
        <v>10459000000</v>
      </c>
      <c r="M10" s="20"/>
    </row>
    <row r="11" spans="1:14" ht="12.75" customHeight="1">
      <c r="A11" s="3" t="s">
        <v>56</v>
      </c>
      <c r="B11" s="4">
        <v>0</v>
      </c>
      <c r="C11" s="4">
        <v>0</v>
      </c>
      <c r="D11" s="4">
        <v>0</v>
      </c>
      <c r="E11" s="4">
        <v>0</v>
      </c>
      <c r="F11" s="4">
        <v>386000000</v>
      </c>
      <c r="K11" s="4">
        <v>386000000</v>
      </c>
      <c r="M11" s="20"/>
    </row>
    <row r="12" spans="1:14" ht="26.25" customHeight="1">
      <c r="A12" s="3" t="s">
        <v>57</v>
      </c>
      <c r="B12" s="4">
        <v>2000000</v>
      </c>
      <c r="C12" s="4">
        <v>0</v>
      </c>
      <c r="D12" s="4">
        <v>0</v>
      </c>
      <c r="E12" s="4">
        <v>0</v>
      </c>
      <c r="F12" s="4">
        <v>400000000</v>
      </c>
      <c r="K12" s="4">
        <v>400000000</v>
      </c>
      <c r="M12" s="20"/>
    </row>
    <row r="13" spans="1:14" ht="12.75" customHeight="1">
      <c r="A13" s="3" t="s">
        <v>58</v>
      </c>
      <c r="B13" s="4">
        <v>493000000</v>
      </c>
      <c r="C13" s="4">
        <v>501000000</v>
      </c>
      <c r="D13" s="4">
        <v>699000000</v>
      </c>
      <c r="E13" s="4">
        <v>553000000</v>
      </c>
      <c r="F13" s="4">
        <v>580000000</v>
      </c>
      <c r="H13" s="4">
        <v>540000000</v>
      </c>
      <c r="I13" s="4">
        <v>714000000</v>
      </c>
      <c r="J13" s="4">
        <v>493000000</v>
      </c>
      <c r="K13" s="4">
        <v>580000000</v>
      </c>
      <c r="M13" s="20"/>
    </row>
    <row r="14" spans="1:14" ht="12.75" customHeight="1">
      <c r="A14" s="3" t="s">
        <v>59</v>
      </c>
      <c r="B14" s="4">
        <v>85000000</v>
      </c>
      <c r="C14" s="4">
        <v>87000000</v>
      </c>
      <c r="D14" s="4">
        <v>64000000</v>
      </c>
      <c r="E14" s="4">
        <v>54000000</v>
      </c>
      <c r="F14" s="4">
        <v>60000000</v>
      </c>
      <c r="H14" s="4">
        <v>196000000</v>
      </c>
      <c r="I14" s="4">
        <v>122000000</v>
      </c>
      <c r="J14" s="4">
        <v>85000000</v>
      </c>
      <c r="K14" s="4">
        <v>60000000</v>
      </c>
      <c r="M14" s="20"/>
    </row>
    <row r="15" spans="1:14" ht="12.75" customHeight="1">
      <c r="A15" s="3" t="s">
        <v>60</v>
      </c>
      <c r="B15" s="4">
        <v>613000000</v>
      </c>
      <c r="C15" s="4">
        <v>643000000</v>
      </c>
      <c r="D15" s="4">
        <v>680000000</v>
      </c>
      <c r="E15" s="4">
        <v>681000000</v>
      </c>
      <c r="F15" s="4">
        <v>685000000</v>
      </c>
      <c r="H15" s="4">
        <v>658000000</v>
      </c>
      <c r="I15" s="4">
        <v>667000000</v>
      </c>
      <c r="J15" s="4">
        <v>613000000</v>
      </c>
      <c r="K15" s="4">
        <v>685000000</v>
      </c>
      <c r="M15" s="20"/>
    </row>
    <row r="16" spans="1:14" ht="12.75" customHeight="1">
      <c r="A16" s="3" t="s">
        <v>61</v>
      </c>
      <c r="B16" s="4">
        <v>376000000</v>
      </c>
      <c r="C16" s="4">
        <v>397000000</v>
      </c>
      <c r="D16" s="4">
        <v>402000000</v>
      </c>
      <c r="E16" s="4">
        <v>392000000</v>
      </c>
      <c r="F16" s="4">
        <v>383000000</v>
      </c>
      <c r="H16" s="4">
        <v>568000000</v>
      </c>
      <c r="I16" s="4">
        <v>533000000</v>
      </c>
      <c r="J16" s="4">
        <v>376000000</v>
      </c>
      <c r="K16" s="4">
        <v>383000000</v>
      </c>
      <c r="M16" s="20"/>
    </row>
    <row r="17" spans="1:13" ht="12.75" customHeight="1">
      <c r="A17" s="3" t="s">
        <v>62</v>
      </c>
      <c r="B17" s="4">
        <v>33000000</v>
      </c>
      <c r="C17" s="4">
        <v>34000000</v>
      </c>
      <c r="D17" s="4">
        <v>28000000</v>
      </c>
      <c r="E17" s="4">
        <v>36000000</v>
      </c>
      <c r="F17" s="4">
        <v>36000000</v>
      </c>
      <c r="H17" s="4">
        <v>25000000</v>
      </c>
      <c r="I17" s="4">
        <v>25000000</v>
      </c>
      <c r="J17" s="4">
        <v>33000000</v>
      </c>
      <c r="K17" s="4">
        <v>36000000</v>
      </c>
      <c r="M17" s="20"/>
    </row>
    <row r="18" spans="1:13" ht="12.75" customHeight="1">
      <c r="A18" s="3" t="s">
        <v>63</v>
      </c>
      <c r="B18" s="7">
        <v>364000000</v>
      </c>
      <c r="C18" s="7">
        <v>447000000</v>
      </c>
      <c r="D18" s="7">
        <v>481000000</v>
      </c>
      <c r="E18" s="7">
        <v>519000000</v>
      </c>
      <c r="F18" s="7">
        <v>487000000</v>
      </c>
      <c r="H18" s="7">
        <v>450000000</v>
      </c>
      <c r="I18" s="7">
        <v>414000000</v>
      </c>
      <c r="J18" s="7">
        <v>366000000</v>
      </c>
      <c r="K18" s="7">
        <v>487000000</v>
      </c>
      <c r="M18" s="20"/>
    </row>
    <row r="19" spans="1:13" ht="12.75" customHeight="1">
      <c r="A19" s="8" t="s">
        <v>64</v>
      </c>
      <c r="B19" s="9">
        <v>13804000000</v>
      </c>
      <c r="C19" s="9">
        <v>15526000000</v>
      </c>
      <c r="D19" s="9">
        <v>19189000000</v>
      </c>
      <c r="E19" s="9">
        <v>20782000000</v>
      </c>
      <c r="F19" s="9">
        <v>18797000000</v>
      </c>
      <c r="G19" s="21"/>
      <c r="H19" s="9">
        <v>12009000000</v>
      </c>
      <c r="I19" s="9">
        <v>13748000000</v>
      </c>
      <c r="J19" s="9">
        <v>13804000000</v>
      </c>
      <c r="K19" s="9">
        <v>18797000000</v>
      </c>
      <c r="M19" s="20"/>
    </row>
    <row r="20" spans="1:13" ht="12.75" customHeight="1">
      <c r="F20" s="10"/>
      <c r="K20" s="10"/>
      <c r="M20" s="20"/>
    </row>
    <row r="21" spans="1:13" ht="12.75" customHeight="1">
      <c r="A21" s="17" t="s">
        <v>65</v>
      </c>
      <c r="F21" s="10"/>
      <c r="K21" s="10"/>
      <c r="M21" s="20"/>
    </row>
    <row r="22" spans="1:13" ht="12.75" customHeight="1">
      <c r="A22" s="3" t="s">
        <v>66</v>
      </c>
      <c r="B22" s="4">
        <v>572000000</v>
      </c>
      <c r="C22" s="4">
        <v>524000000</v>
      </c>
      <c r="D22" s="4">
        <v>547000000</v>
      </c>
      <c r="E22" s="4">
        <v>562000000</v>
      </c>
      <c r="F22" s="4">
        <v>655000000</v>
      </c>
      <c r="H22" s="4">
        <v>437000000</v>
      </c>
      <c r="I22" s="4">
        <v>596000000</v>
      </c>
      <c r="J22" s="4">
        <v>572000000</v>
      </c>
      <c r="K22" s="4">
        <v>655000000</v>
      </c>
      <c r="M22" s="20"/>
    </row>
    <row r="23" spans="1:13" ht="12.75" customHeight="1">
      <c r="A23" s="3" t="s">
        <v>67</v>
      </c>
      <c r="B23" s="4">
        <v>9510000000</v>
      </c>
      <c r="C23" s="4">
        <v>10843000000</v>
      </c>
      <c r="D23" s="4">
        <v>13970000000</v>
      </c>
      <c r="E23" s="4">
        <v>13972000000</v>
      </c>
      <c r="F23" s="4">
        <v>13003000000</v>
      </c>
      <c r="H23" s="4">
        <v>7660000000</v>
      </c>
      <c r="I23" s="4">
        <v>9478000000</v>
      </c>
      <c r="J23" s="4">
        <v>9510000000</v>
      </c>
      <c r="K23" s="4">
        <v>13003000000</v>
      </c>
      <c r="M23" s="20"/>
    </row>
    <row r="24" spans="1:13" ht="12.75" customHeight="1">
      <c r="A24" s="3" t="s">
        <v>68</v>
      </c>
      <c r="B24" s="4">
        <v>696000000</v>
      </c>
      <c r="C24" s="4">
        <v>987000000</v>
      </c>
      <c r="D24" s="4">
        <v>1168000000</v>
      </c>
      <c r="E24" s="4">
        <v>753000000</v>
      </c>
      <c r="F24" s="4">
        <v>736000000</v>
      </c>
      <c r="H24" s="4">
        <v>660000000</v>
      </c>
      <c r="I24" s="4">
        <v>857000000</v>
      </c>
      <c r="J24" s="4">
        <v>696000000</v>
      </c>
      <c r="K24" s="4">
        <v>736000000</v>
      </c>
      <c r="M24" s="20"/>
    </row>
    <row r="25" spans="1:13" ht="12.75" customHeight="1">
      <c r="A25" s="3" t="s">
        <v>69</v>
      </c>
      <c r="B25" s="4">
        <v>513000000</v>
      </c>
      <c r="C25" s="4">
        <v>534000000</v>
      </c>
      <c r="D25" s="4">
        <v>727000000</v>
      </c>
      <c r="E25" s="4">
        <v>2623000000</v>
      </c>
      <c r="F25" s="4">
        <v>1359000000</v>
      </c>
      <c r="H25" s="4">
        <v>466000000</v>
      </c>
      <c r="I25" s="4">
        <v>324000000</v>
      </c>
      <c r="J25" s="4">
        <v>513000000</v>
      </c>
      <c r="K25" s="4">
        <v>1359000000</v>
      </c>
      <c r="M25" s="20"/>
    </row>
    <row r="26" spans="1:13" ht="12.75" customHeight="1">
      <c r="A26" s="3" t="s">
        <v>70</v>
      </c>
      <c r="B26" s="4">
        <v>1000000</v>
      </c>
      <c r="C26" s="4">
        <v>1000000</v>
      </c>
      <c r="D26" s="4">
        <v>1000000</v>
      </c>
      <c r="E26" s="4">
        <v>3000000</v>
      </c>
      <c r="F26" s="4">
        <v>2000000</v>
      </c>
      <c r="H26" s="4">
        <v>75000000</v>
      </c>
      <c r="I26" s="4">
        <v>1000000</v>
      </c>
      <c r="J26" s="4">
        <v>1000000</v>
      </c>
      <c r="K26" s="4">
        <v>2000000</v>
      </c>
      <c r="M26" s="20"/>
    </row>
    <row r="27" spans="1:13" ht="12.75" customHeight="1">
      <c r="A27" s="3" t="s">
        <v>71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H27" s="22">
        <v>0</v>
      </c>
      <c r="I27" s="22">
        <v>0</v>
      </c>
      <c r="J27" s="22">
        <v>0</v>
      </c>
      <c r="K27" s="22">
        <v>0</v>
      </c>
      <c r="M27" s="20"/>
    </row>
    <row r="28" spans="1:13" ht="12.75" customHeight="1">
      <c r="A28" s="3" t="s">
        <v>72</v>
      </c>
      <c r="B28" s="23">
        <v>255000000</v>
      </c>
      <c r="C28" s="23">
        <v>294000000</v>
      </c>
      <c r="D28" s="23">
        <v>266000000</v>
      </c>
      <c r="E28" s="23">
        <v>249000000</v>
      </c>
      <c r="F28" s="23">
        <v>358000000</v>
      </c>
      <c r="H28" s="23">
        <v>384000000</v>
      </c>
      <c r="I28" s="23">
        <v>295000000</v>
      </c>
      <c r="J28" s="23">
        <v>255000000</v>
      </c>
      <c r="K28" s="23">
        <v>358000000</v>
      </c>
      <c r="M28" s="20"/>
    </row>
    <row r="29" spans="1:13" ht="12.75" customHeight="1">
      <c r="A29" s="8" t="s">
        <v>73</v>
      </c>
      <c r="B29" s="24">
        <v>11547000000</v>
      </c>
      <c r="C29" s="24">
        <v>13183000000</v>
      </c>
      <c r="D29" s="24">
        <v>16679000000</v>
      </c>
      <c r="E29" s="24">
        <v>18162000000</v>
      </c>
      <c r="F29" s="24">
        <v>16113000000</v>
      </c>
      <c r="G29" s="25"/>
      <c r="H29" s="24">
        <v>9682000000</v>
      </c>
      <c r="I29" s="24">
        <v>11551000000</v>
      </c>
      <c r="J29" s="24">
        <v>11547000000</v>
      </c>
      <c r="K29" s="24">
        <v>16113000000</v>
      </c>
      <c r="M29" s="20"/>
    </row>
    <row r="30" spans="1:13" ht="12.75" customHeight="1">
      <c r="F30" s="26"/>
      <c r="K30" s="26"/>
      <c r="M30" s="20"/>
    </row>
    <row r="31" spans="1:13" ht="12.75" customHeight="1">
      <c r="A31" s="17" t="s">
        <v>74</v>
      </c>
      <c r="F31" s="26"/>
      <c r="K31" s="26"/>
      <c r="M31" s="20"/>
    </row>
    <row r="32" spans="1:13" ht="12.75" customHeight="1">
      <c r="A32" s="3" t="s">
        <v>75</v>
      </c>
      <c r="B32" s="22">
        <v>0</v>
      </c>
      <c r="C32" s="22">
        <v>0</v>
      </c>
      <c r="D32" s="22">
        <v>0</v>
      </c>
      <c r="E32" s="22">
        <v>4199000000</v>
      </c>
      <c r="F32" s="22">
        <v>0</v>
      </c>
      <c r="H32" s="22">
        <v>0</v>
      </c>
      <c r="I32" s="22">
        <v>0</v>
      </c>
      <c r="J32" s="22">
        <v>0</v>
      </c>
      <c r="K32" s="22">
        <v>0</v>
      </c>
      <c r="M32" s="20"/>
    </row>
    <row r="33" spans="1:13" ht="12.75" customHeight="1">
      <c r="A33" s="3" t="s">
        <v>76</v>
      </c>
      <c r="B33" s="22">
        <v>4646000000</v>
      </c>
      <c r="C33" s="22">
        <v>4654000000</v>
      </c>
      <c r="D33" s="22">
        <v>4805000000</v>
      </c>
      <c r="E33" s="22">
        <v>892000000</v>
      </c>
      <c r="F33" s="22">
        <v>427000000</v>
      </c>
      <c r="H33" s="22">
        <v>4577000000</v>
      </c>
      <c r="I33" s="22">
        <v>4625000000</v>
      </c>
      <c r="J33" s="22">
        <v>4646000000</v>
      </c>
      <c r="K33" s="22">
        <v>427000000</v>
      </c>
      <c r="M33" s="20"/>
    </row>
    <row r="34" spans="1:13" ht="12.75" customHeight="1">
      <c r="A34" s="3" t="s">
        <v>77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H34" s="22">
        <v>61000000</v>
      </c>
      <c r="I34" s="22">
        <v>37000000</v>
      </c>
      <c r="J34" s="22">
        <v>0</v>
      </c>
      <c r="K34" s="22">
        <v>0</v>
      </c>
      <c r="M34" s="20"/>
    </row>
    <row r="35" spans="1:13" ht="12.75" customHeight="1">
      <c r="A35" s="3" t="s">
        <v>78</v>
      </c>
      <c r="B35" s="22">
        <v>-479000000</v>
      </c>
      <c r="C35" s="22">
        <v>-282000000</v>
      </c>
      <c r="D35" s="22">
        <v>-184000000</v>
      </c>
      <c r="E35" s="22">
        <v>-170000000</v>
      </c>
      <c r="F35" s="22">
        <v>-90000000</v>
      </c>
      <c r="H35" s="22">
        <v>-369000000</v>
      </c>
      <c r="I35" s="22">
        <v>-311000000</v>
      </c>
      <c r="J35" s="22">
        <v>-479000000</v>
      </c>
      <c r="K35" s="22">
        <v>-90000000</v>
      </c>
      <c r="M35" s="20"/>
    </row>
    <row r="36" spans="1:13" ht="12.75" customHeight="1">
      <c r="A36" s="3" t="s">
        <v>79</v>
      </c>
      <c r="B36" s="23">
        <v>-2081000000</v>
      </c>
      <c r="C36" s="23">
        <v>-2202000000</v>
      </c>
      <c r="D36" s="23">
        <v>-2283000000</v>
      </c>
      <c r="E36" s="23">
        <v>-2472000000</v>
      </c>
      <c r="F36" s="23">
        <v>2170000000</v>
      </c>
      <c r="H36" s="23">
        <v>-1948000000</v>
      </c>
      <c r="I36" s="23">
        <v>-2159000000</v>
      </c>
      <c r="J36" s="23">
        <v>-2081000000</v>
      </c>
      <c r="K36" s="23">
        <v>2170000000</v>
      </c>
      <c r="M36" s="20"/>
    </row>
    <row r="37" spans="1:13" ht="12.75" customHeight="1">
      <c r="A37" s="8" t="s">
        <v>80</v>
      </c>
      <c r="B37" s="24">
        <v>2086000000</v>
      </c>
      <c r="C37" s="24">
        <v>2170000000</v>
      </c>
      <c r="D37" s="24">
        <v>2338000000</v>
      </c>
      <c r="E37" s="24">
        <v>2449000000</v>
      </c>
      <c r="F37" s="24">
        <v>2507000000</v>
      </c>
      <c r="G37" s="25"/>
      <c r="H37" s="24">
        <v>2321000000</v>
      </c>
      <c r="I37" s="24">
        <v>2192000000</v>
      </c>
      <c r="J37" s="24">
        <v>2086000000</v>
      </c>
      <c r="K37" s="24">
        <v>2507000000</v>
      </c>
      <c r="M37" s="20"/>
    </row>
    <row r="38" spans="1:13" ht="12.75" customHeight="1">
      <c r="A38" s="3" t="s">
        <v>43</v>
      </c>
      <c r="B38" s="23">
        <v>171000000</v>
      </c>
      <c r="C38" s="23">
        <v>173000000</v>
      </c>
      <c r="D38" s="23">
        <v>172000000</v>
      </c>
      <c r="E38" s="23">
        <v>171000000</v>
      </c>
      <c r="F38" s="23">
        <v>177000000</v>
      </c>
      <c r="H38" s="23">
        <v>6000000</v>
      </c>
      <c r="I38" s="23">
        <v>5000000</v>
      </c>
      <c r="J38" s="23">
        <v>171000000</v>
      </c>
      <c r="K38" s="23">
        <v>177000000</v>
      </c>
      <c r="M38" s="20"/>
    </row>
    <row r="39" spans="1:13" ht="12.75" customHeight="1">
      <c r="A39" s="8" t="s">
        <v>81</v>
      </c>
      <c r="B39" s="27">
        <v>2257000000</v>
      </c>
      <c r="C39" s="27">
        <v>2343000000</v>
      </c>
      <c r="D39" s="27">
        <v>2510000000</v>
      </c>
      <c r="E39" s="27">
        <v>2620000000</v>
      </c>
      <c r="F39" s="27">
        <v>2684000000</v>
      </c>
      <c r="G39" s="28"/>
      <c r="H39" s="27">
        <v>2327000000</v>
      </c>
      <c r="I39" s="27">
        <v>2197000000</v>
      </c>
      <c r="J39" s="27">
        <v>2257000000</v>
      </c>
      <c r="K39" s="27">
        <v>2684000000</v>
      </c>
      <c r="M39" s="20"/>
    </row>
    <row r="40" spans="1:13" ht="12.75" customHeight="1">
      <c r="A40" s="8" t="s">
        <v>82</v>
      </c>
      <c r="B40" s="27">
        <v>13804000000</v>
      </c>
      <c r="C40" s="27">
        <v>15526000000</v>
      </c>
      <c r="D40" s="27">
        <v>19189000000</v>
      </c>
      <c r="E40" s="27">
        <v>20782000000</v>
      </c>
      <c r="F40" s="27">
        <v>18797000000</v>
      </c>
      <c r="G40" s="28"/>
      <c r="H40" s="27">
        <v>12009000000</v>
      </c>
      <c r="I40" s="27">
        <v>13748000000</v>
      </c>
      <c r="J40" s="27">
        <v>13804000000</v>
      </c>
      <c r="K40" s="27">
        <v>18797000000</v>
      </c>
      <c r="M40" s="20"/>
    </row>
    <row r="41" spans="1:13" ht="12.75" customHeight="1">
      <c r="B41" s="29"/>
      <c r="C41" s="29"/>
      <c r="D41" s="29"/>
      <c r="E41" s="29"/>
      <c r="F41" s="29"/>
      <c r="G41" s="29"/>
      <c r="H41" s="29"/>
      <c r="I41" s="29"/>
      <c r="J41" s="29"/>
      <c r="K41" s="29"/>
      <c r="M41" s="20"/>
    </row>
    <row r="42" spans="1:13" ht="12.75" customHeight="1">
      <c r="K42" s="6"/>
    </row>
    <row r="43" spans="1:13" ht="12.75" customHeight="1">
      <c r="K43" s="6"/>
    </row>
    <row r="44" spans="1:13" ht="12.75" customHeight="1">
      <c r="K44" s="6"/>
    </row>
    <row r="45" spans="1:13" ht="12.75" customHeight="1">
      <c r="K45" s="6"/>
    </row>
    <row r="46" spans="1:13" ht="12.75" customHeight="1">
      <c r="K46" s="6"/>
    </row>
    <row r="47" spans="1:13" ht="12.75" customHeight="1">
      <c r="K47" s="6"/>
    </row>
    <row r="48" spans="1:13" ht="12.75" customHeight="1">
      <c r="K48" s="6"/>
    </row>
    <row r="49" spans="11:11" ht="12.75" customHeight="1">
      <c r="K49" s="6"/>
    </row>
    <row r="50" spans="11:11" ht="12.75" customHeight="1">
      <c r="K50" s="6"/>
    </row>
    <row r="51" spans="11:11" ht="12.75" customHeight="1">
      <c r="K51" s="6"/>
    </row>
    <row r="52" spans="11:11" ht="12.75" customHeight="1">
      <c r="K52" s="6"/>
    </row>
    <row r="53" spans="11:11" ht="12.75" customHeight="1">
      <c r="K53" s="6"/>
    </row>
    <row r="54" spans="11:11" ht="12.75" customHeight="1">
      <c r="K54" s="6"/>
    </row>
    <row r="55" spans="11:11" ht="12.75" customHeight="1">
      <c r="K55" s="6"/>
    </row>
    <row r="56" spans="11:11" ht="12.75" customHeight="1">
      <c r="K56" s="6"/>
    </row>
    <row r="57" spans="11:11" ht="12.75" customHeight="1">
      <c r="K57" s="6"/>
    </row>
    <row r="58" spans="11:11" ht="12.75" customHeight="1">
      <c r="K58" s="6"/>
    </row>
    <row r="59" spans="11:11" ht="12.75" customHeight="1">
      <c r="K59" s="6"/>
    </row>
    <row r="60" spans="11:11" ht="12.75" customHeight="1">
      <c r="K60" s="6"/>
    </row>
    <row r="61" spans="11:11" ht="12.75" customHeight="1">
      <c r="K61" s="6"/>
    </row>
    <row r="62" spans="11:11" ht="12.75" customHeight="1">
      <c r="K62" s="6"/>
    </row>
    <row r="63" spans="11:11" ht="12.75" customHeight="1">
      <c r="K63" s="6"/>
    </row>
    <row r="64" spans="11:11" ht="12.75" customHeight="1">
      <c r="K64" s="6"/>
    </row>
    <row r="65" spans="11:11" ht="12.75" customHeight="1">
      <c r="K65" s="6"/>
    </row>
    <row r="66" spans="11:11" ht="12.75" customHeight="1">
      <c r="K66" s="6"/>
    </row>
    <row r="67" spans="11:11" ht="12.75" customHeight="1">
      <c r="K67" s="6"/>
    </row>
    <row r="68" spans="11:11" ht="12.75" customHeight="1">
      <c r="K68" s="6"/>
    </row>
    <row r="69" spans="11:11" ht="12.75" customHeight="1">
      <c r="K69" s="6"/>
    </row>
    <row r="70" spans="11:11" ht="12.75" customHeight="1">
      <c r="K70" s="6"/>
    </row>
    <row r="71" spans="11:11" ht="12.75" customHeight="1">
      <c r="K71" s="6"/>
    </row>
    <row r="72" spans="11:11" ht="12.75" customHeight="1">
      <c r="K72" s="6"/>
    </row>
    <row r="73" spans="11:11" ht="12.75" customHeight="1">
      <c r="K73" s="6"/>
    </row>
    <row r="74" spans="11:11" ht="12.75" customHeight="1">
      <c r="K74" s="6"/>
    </row>
    <row r="75" spans="11:11" ht="12.75" customHeight="1">
      <c r="K75" s="6"/>
    </row>
    <row r="76" spans="11:11" ht="12.75" customHeight="1">
      <c r="K76" s="6"/>
    </row>
    <row r="77" spans="11:11" ht="12.75" customHeight="1">
      <c r="K77" s="6"/>
    </row>
    <row r="78" spans="11:11" ht="12.75" customHeight="1">
      <c r="K78" s="6"/>
    </row>
    <row r="79" spans="11:11" ht="12.75" customHeight="1">
      <c r="K79" s="6"/>
    </row>
    <row r="80" spans="11:11" ht="12.75" customHeight="1">
      <c r="K80" s="6"/>
    </row>
    <row r="81" spans="11:11" ht="12.75" customHeight="1">
      <c r="K81" s="6"/>
    </row>
    <row r="82" spans="11:11" ht="12.75" customHeight="1">
      <c r="K82" s="6"/>
    </row>
    <row r="83" spans="11:11" ht="12.75" customHeight="1">
      <c r="K83" s="6"/>
    </row>
    <row r="84" spans="11:11" ht="12.75" customHeight="1">
      <c r="K84" s="6"/>
    </row>
    <row r="85" spans="11:11" ht="12.75" customHeight="1">
      <c r="K85" s="6"/>
    </row>
    <row r="86" spans="11:11" ht="12.75" customHeight="1">
      <c r="K86" s="6"/>
    </row>
    <row r="87" spans="11:11" ht="12.75" customHeight="1">
      <c r="K87" s="6"/>
    </row>
    <row r="88" spans="11:11" ht="12.75" customHeight="1">
      <c r="K88" s="6"/>
    </row>
    <row r="89" spans="11:11" ht="12.75" customHeight="1">
      <c r="K89" s="6"/>
    </row>
    <row r="90" spans="11:11" ht="12.75" customHeight="1">
      <c r="K90" s="6"/>
    </row>
    <row r="91" spans="11:11" ht="12.75" customHeight="1">
      <c r="K91" s="6"/>
    </row>
    <row r="92" spans="11:11" ht="12.75" customHeight="1">
      <c r="K92" s="6"/>
    </row>
    <row r="93" spans="11:11" ht="12.75" customHeight="1">
      <c r="K93" s="6"/>
    </row>
    <row r="94" spans="11:11" ht="12.75" customHeight="1">
      <c r="K94" s="6"/>
    </row>
    <row r="95" spans="11:11" ht="12.75" customHeight="1">
      <c r="K95" s="6"/>
    </row>
    <row r="96" spans="11:11" ht="12.75" customHeight="1">
      <c r="K96" s="6"/>
    </row>
    <row r="97" spans="11:11" ht="12.75" customHeight="1">
      <c r="K97" s="6"/>
    </row>
    <row r="98" spans="11:11" ht="12.75" customHeight="1">
      <c r="K98" s="6"/>
    </row>
    <row r="99" spans="11:11" ht="12.75" customHeight="1">
      <c r="K99" s="6"/>
    </row>
    <row r="100" spans="11:11" ht="12.75" customHeight="1">
      <c r="K100" s="6"/>
    </row>
    <row r="101" spans="11:11" ht="12.75" customHeight="1">
      <c r="K101" s="6"/>
    </row>
    <row r="102" spans="11:11" ht="12.75" customHeight="1">
      <c r="K102" s="6"/>
    </row>
    <row r="103" spans="11:11" ht="12.75" customHeight="1">
      <c r="K103" s="6"/>
    </row>
    <row r="104" spans="11:11" ht="12.75" customHeight="1">
      <c r="K104" s="6"/>
    </row>
    <row r="105" spans="11:11" ht="12.75" customHeight="1">
      <c r="K105" s="6"/>
    </row>
    <row r="106" spans="11:11" ht="12.75" customHeight="1">
      <c r="K106" s="6"/>
    </row>
    <row r="107" spans="11:11" ht="12.75" customHeight="1">
      <c r="K107" s="6"/>
    </row>
    <row r="108" spans="11:11" ht="12.75" customHeight="1">
      <c r="K108" s="6"/>
    </row>
    <row r="109" spans="11:11" ht="12.75" customHeight="1">
      <c r="K109" s="6"/>
    </row>
    <row r="110" spans="11:11" ht="12.75" customHeight="1">
      <c r="K110" s="6"/>
    </row>
    <row r="111" spans="11:11" ht="12.75" customHeight="1">
      <c r="K111" s="6"/>
    </row>
    <row r="112" spans="11:11" ht="12.75" customHeight="1">
      <c r="K112" s="6"/>
    </row>
    <row r="113" spans="11:11" ht="12.75" customHeight="1">
      <c r="K113" s="6"/>
    </row>
    <row r="114" spans="11:11" ht="12.75" customHeight="1">
      <c r="K114" s="6"/>
    </row>
    <row r="115" spans="11:11" ht="12.75" customHeight="1">
      <c r="K115" s="6"/>
    </row>
    <row r="116" spans="11:11" ht="12.75" customHeight="1">
      <c r="K116" s="6"/>
    </row>
    <row r="117" spans="11:11" ht="12.75" customHeight="1">
      <c r="K117" s="6"/>
    </row>
    <row r="118" spans="11:11" ht="12.75" customHeight="1">
      <c r="K118" s="6"/>
    </row>
    <row r="119" spans="11:11" ht="12.75" customHeight="1">
      <c r="K119" s="6"/>
    </row>
    <row r="120" spans="11:11" ht="12.75" customHeight="1">
      <c r="K120" s="6"/>
    </row>
    <row r="121" spans="11:11" ht="12.75" customHeight="1">
      <c r="K121" s="6"/>
    </row>
    <row r="122" spans="11:11" ht="12.75" customHeight="1">
      <c r="K122" s="6"/>
    </row>
    <row r="123" spans="11:11" ht="12.75" customHeight="1">
      <c r="K123" s="6"/>
    </row>
    <row r="124" spans="11:11" ht="12.75" customHeight="1">
      <c r="K124" s="6"/>
    </row>
    <row r="125" spans="11:11" ht="12.75" customHeight="1">
      <c r="K125" s="6"/>
    </row>
    <row r="126" spans="11:11" ht="12.75" customHeight="1">
      <c r="K126" s="6"/>
    </row>
    <row r="127" spans="11:11" ht="12.75" customHeight="1">
      <c r="K127" s="6"/>
    </row>
    <row r="128" spans="11:11" ht="12.75" customHeight="1">
      <c r="K128" s="6"/>
    </row>
    <row r="129" spans="11:11" ht="12.75" customHeight="1">
      <c r="K129" s="6"/>
    </row>
    <row r="130" spans="11:11" ht="12.75" customHeight="1">
      <c r="K130" s="6"/>
    </row>
    <row r="131" spans="11:11" ht="12.75" customHeight="1">
      <c r="K131" s="6"/>
    </row>
    <row r="132" spans="11:11" ht="12.75" customHeight="1">
      <c r="K132" s="6"/>
    </row>
    <row r="133" spans="11:11" ht="12.75" customHeight="1">
      <c r="K133" s="6"/>
    </row>
    <row r="134" spans="11:11" ht="12.75" customHeight="1">
      <c r="K134" s="6"/>
    </row>
    <row r="135" spans="11:11" ht="12.75" customHeight="1">
      <c r="K135" s="6"/>
    </row>
    <row r="136" spans="11:11" ht="12.75" customHeight="1">
      <c r="K136" s="6"/>
    </row>
    <row r="137" spans="11:11" ht="12.75" customHeight="1">
      <c r="K137" s="6"/>
    </row>
    <row r="138" spans="11:11" ht="12.75" customHeight="1">
      <c r="K138" s="6"/>
    </row>
    <row r="139" spans="11:11" ht="12.75" customHeight="1">
      <c r="K139" s="6"/>
    </row>
    <row r="140" spans="11:11" ht="12.75" customHeight="1">
      <c r="K140" s="6"/>
    </row>
    <row r="141" spans="11:11" ht="12.75" customHeight="1">
      <c r="K141" s="6"/>
    </row>
    <row r="142" spans="11:11" ht="12.75" customHeight="1">
      <c r="K142" s="6"/>
    </row>
    <row r="143" spans="11:11" ht="12.75" customHeight="1">
      <c r="K143" s="6"/>
    </row>
    <row r="144" spans="11:11" ht="12.75" customHeight="1">
      <c r="K144" s="6"/>
    </row>
    <row r="145" spans="11:11" ht="12.75" customHeight="1">
      <c r="K145" s="6"/>
    </row>
    <row r="146" spans="11:11" ht="12.75" customHeight="1">
      <c r="K146" s="6"/>
    </row>
    <row r="147" spans="11:11" ht="12.75" customHeight="1">
      <c r="K147" s="6"/>
    </row>
    <row r="148" spans="11:11" ht="12.75" customHeight="1">
      <c r="K148" s="6"/>
    </row>
    <row r="149" spans="11:11" ht="12.75" customHeight="1">
      <c r="K149" s="6"/>
    </row>
    <row r="150" spans="11:11" ht="12.75" customHeight="1">
      <c r="K150" s="6"/>
    </row>
    <row r="151" spans="11:11" ht="12.75" customHeight="1">
      <c r="K151" s="6"/>
    </row>
    <row r="152" spans="11:11" ht="12.75" customHeight="1">
      <c r="K152" s="6"/>
    </row>
    <row r="153" spans="11:11" ht="12.75" customHeight="1">
      <c r="K153" s="6"/>
    </row>
    <row r="154" spans="11:11" ht="12.75" customHeight="1">
      <c r="K154" s="6"/>
    </row>
    <row r="155" spans="11:11" ht="12.75" customHeight="1">
      <c r="K155" s="6"/>
    </row>
    <row r="156" spans="11:11" ht="12.75" customHeight="1">
      <c r="K156" s="6"/>
    </row>
    <row r="157" spans="11:11" ht="12.75" customHeight="1">
      <c r="K157" s="6"/>
    </row>
    <row r="158" spans="11:11" ht="12.75" customHeight="1">
      <c r="K158" s="6"/>
    </row>
    <row r="159" spans="11:11" ht="12.75" customHeight="1">
      <c r="K159" s="6"/>
    </row>
    <row r="160" spans="11:11" ht="12.75" customHeight="1">
      <c r="K160" s="6"/>
    </row>
    <row r="161" spans="11:11" ht="12.75" customHeight="1">
      <c r="K161" s="6"/>
    </row>
    <row r="162" spans="11:11" ht="12.75" customHeight="1">
      <c r="K162" s="6"/>
    </row>
    <row r="163" spans="11:11" ht="12.75" customHeight="1">
      <c r="K163" s="6"/>
    </row>
    <row r="164" spans="11:11" ht="12.75" customHeight="1">
      <c r="K164" s="6"/>
    </row>
    <row r="165" spans="11:11" ht="12.75" customHeight="1">
      <c r="K165" s="6"/>
    </row>
    <row r="166" spans="11:11" ht="12.75" customHeight="1">
      <c r="K166" s="6"/>
    </row>
    <row r="167" spans="11:11" ht="12.75" customHeight="1">
      <c r="K167" s="6"/>
    </row>
    <row r="168" spans="11:11" ht="12.75" customHeight="1">
      <c r="K168" s="6"/>
    </row>
    <row r="169" spans="11:11" ht="12.75" customHeight="1">
      <c r="K169" s="6"/>
    </row>
    <row r="170" spans="11:11" ht="12.75" customHeight="1">
      <c r="K170" s="6"/>
    </row>
    <row r="171" spans="11:11" ht="12.75" customHeight="1">
      <c r="K171" s="6"/>
    </row>
    <row r="172" spans="11:11" ht="12.75" customHeight="1">
      <c r="K172" s="6"/>
    </row>
    <row r="173" spans="11:11" ht="12.75" customHeight="1">
      <c r="K173" s="6"/>
    </row>
    <row r="174" spans="11:11" ht="12.75" customHeight="1">
      <c r="K174" s="6"/>
    </row>
    <row r="175" spans="11:11" ht="12.75" customHeight="1">
      <c r="K175" s="6"/>
    </row>
    <row r="176" spans="11:11" ht="12.75" customHeight="1">
      <c r="K176" s="6"/>
    </row>
    <row r="177" spans="11:11" ht="12.75" customHeight="1">
      <c r="K177" s="6"/>
    </row>
    <row r="178" spans="11:11" ht="12.75" customHeight="1">
      <c r="K178" s="6"/>
    </row>
    <row r="179" spans="11:11" ht="12.75" customHeight="1">
      <c r="K179" s="6"/>
    </row>
    <row r="180" spans="11:11" ht="12.75" customHeight="1">
      <c r="K180" s="6"/>
    </row>
    <row r="181" spans="11:11" ht="12.75" customHeight="1">
      <c r="K181" s="6"/>
    </row>
    <row r="182" spans="11:11" ht="12.75" customHeight="1">
      <c r="K182" s="6"/>
    </row>
    <row r="183" spans="11:11" ht="12.75" customHeight="1">
      <c r="K183" s="6"/>
    </row>
    <row r="184" spans="11:11" ht="12.75" customHeight="1">
      <c r="K184" s="6"/>
    </row>
    <row r="185" spans="11:11" ht="12.75" customHeight="1">
      <c r="K185" s="6"/>
    </row>
    <row r="186" spans="11:11" ht="12.75" customHeight="1">
      <c r="K186" s="6"/>
    </row>
    <row r="187" spans="11:11" ht="12.75" customHeight="1">
      <c r="K187" s="6"/>
    </row>
    <row r="188" spans="11:11" ht="12.75" customHeight="1">
      <c r="K188" s="6"/>
    </row>
    <row r="189" spans="11:11" ht="12.75" customHeight="1">
      <c r="K189" s="6"/>
    </row>
    <row r="190" spans="11:11" ht="12.75" customHeight="1">
      <c r="K190" s="6"/>
    </row>
    <row r="191" spans="11:11" ht="12.75" customHeight="1">
      <c r="K191" s="6"/>
    </row>
    <row r="192" spans="11:11" ht="12.75" customHeight="1">
      <c r="K192" s="6"/>
    </row>
    <row r="193" spans="11:11" ht="12.75" customHeight="1">
      <c r="K193" s="6"/>
    </row>
    <row r="194" spans="11:11" ht="12.75" customHeight="1">
      <c r="K194" s="6"/>
    </row>
    <row r="195" spans="11:11" ht="12.75" customHeight="1">
      <c r="K195" s="6"/>
    </row>
    <row r="196" spans="11:11" ht="12.75" customHeight="1">
      <c r="K196" s="6"/>
    </row>
    <row r="197" spans="11:11" ht="12.75" customHeight="1">
      <c r="K197" s="6"/>
    </row>
    <row r="198" spans="11:11" ht="12.75" customHeight="1">
      <c r="K198" s="6"/>
    </row>
    <row r="199" spans="11:11" ht="12.75" customHeight="1">
      <c r="K199" s="6"/>
    </row>
    <row r="200" spans="11:11" ht="12.75" customHeight="1">
      <c r="K200" s="6"/>
    </row>
    <row r="201" spans="11:11" ht="12.75" customHeight="1">
      <c r="K201" s="6"/>
    </row>
    <row r="202" spans="11:11" ht="12.75" customHeight="1">
      <c r="K202" s="6"/>
    </row>
    <row r="203" spans="11:11" ht="12.75" customHeight="1">
      <c r="K203" s="6"/>
    </row>
    <row r="204" spans="11:11" ht="12.75" customHeight="1">
      <c r="K204" s="6"/>
    </row>
    <row r="205" spans="11:11" ht="12.75" customHeight="1">
      <c r="K205" s="6"/>
    </row>
    <row r="206" spans="11:11" ht="12.75" customHeight="1">
      <c r="K206" s="6"/>
    </row>
    <row r="207" spans="11:11" ht="12.75" customHeight="1">
      <c r="K207" s="6"/>
    </row>
    <row r="208" spans="11:11" ht="12.75" customHeight="1">
      <c r="K208" s="6"/>
    </row>
    <row r="209" spans="11:11" ht="12.75" customHeight="1">
      <c r="K209" s="6"/>
    </row>
    <row r="210" spans="11:11" ht="12.75" customHeight="1">
      <c r="K210" s="6"/>
    </row>
    <row r="211" spans="11:11" ht="12.75" customHeight="1">
      <c r="K211" s="6"/>
    </row>
    <row r="212" spans="11:11" ht="12.75" customHeight="1">
      <c r="K212" s="6"/>
    </row>
    <row r="213" spans="11:11" ht="12.75" customHeight="1">
      <c r="K213" s="6"/>
    </row>
    <row r="214" spans="11:11" ht="12.75" customHeight="1">
      <c r="K214" s="6"/>
    </row>
    <row r="215" spans="11:11" ht="12.75" customHeight="1">
      <c r="K215" s="6"/>
    </row>
    <row r="216" spans="11:11" ht="12.75" customHeight="1">
      <c r="K216" s="6"/>
    </row>
    <row r="217" spans="11:11" ht="12.75" customHeight="1">
      <c r="K217" s="6"/>
    </row>
    <row r="218" spans="11:11" ht="12.75" customHeight="1">
      <c r="K218" s="6"/>
    </row>
    <row r="219" spans="11:11" ht="12.75" customHeight="1">
      <c r="K219" s="6"/>
    </row>
    <row r="220" spans="11:11" ht="12.75" customHeight="1">
      <c r="K220" s="6"/>
    </row>
    <row r="221" spans="11:11" ht="12.75" customHeight="1">
      <c r="K221" s="6"/>
    </row>
    <row r="222" spans="11:11" ht="12.75" customHeight="1">
      <c r="K222" s="6"/>
    </row>
    <row r="223" spans="11:11" ht="12.75" customHeight="1">
      <c r="K223" s="6"/>
    </row>
    <row r="224" spans="11:11" ht="12.75" customHeight="1">
      <c r="K224" s="6"/>
    </row>
    <row r="225" spans="11:11" ht="12.75" customHeight="1">
      <c r="K225" s="6"/>
    </row>
    <row r="226" spans="11:11" ht="12.75" customHeight="1">
      <c r="K226" s="6"/>
    </row>
    <row r="227" spans="11:11" ht="12.75" customHeight="1">
      <c r="K227" s="6"/>
    </row>
    <row r="228" spans="11:11" ht="12.75" customHeight="1">
      <c r="K228" s="6"/>
    </row>
    <row r="229" spans="11:11" ht="12.75" customHeight="1">
      <c r="K229" s="6"/>
    </row>
    <row r="230" spans="11:11" ht="12.75" customHeight="1">
      <c r="K230" s="6"/>
    </row>
    <row r="231" spans="11:11" ht="12.75" customHeight="1">
      <c r="K231" s="6"/>
    </row>
    <row r="232" spans="11:11" ht="12.75" customHeight="1">
      <c r="K232" s="6"/>
    </row>
    <row r="233" spans="11:11" ht="12.75" customHeight="1">
      <c r="K233" s="6"/>
    </row>
    <row r="234" spans="11:11" ht="12.75" customHeight="1">
      <c r="K234" s="6"/>
    </row>
    <row r="235" spans="11:11" ht="12.75" customHeight="1">
      <c r="K235" s="6"/>
    </row>
    <row r="236" spans="11:11" ht="12.75" customHeight="1">
      <c r="K236" s="6"/>
    </row>
    <row r="237" spans="11:11" ht="12.75" customHeight="1">
      <c r="K237" s="6"/>
    </row>
    <row r="238" spans="11:11" ht="12.75" customHeight="1">
      <c r="K238" s="6"/>
    </row>
    <row r="239" spans="11:11" ht="12.75" customHeight="1">
      <c r="K239" s="6"/>
    </row>
    <row r="240" spans="11:11" ht="12.75" customHeight="1">
      <c r="K240" s="6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N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opLeftCell="B7" workbookViewId="0">
      <selection activeCell="M28" sqref="M28"/>
    </sheetView>
  </sheetViews>
  <sheetFormatPr defaultColWidth="12.6640625" defaultRowHeight="15" customHeight="1"/>
  <cols>
    <col min="1" max="1" width="65.88671875" customWidth="1"/>
    <col min="2" max="9" width="10.6640625" customWidth="1"/>
    <col min="10" max="10" width="2" customWidth="1"/>
    <col min="11" max="13" width="10.6640625" customWidth="1"/>
    <col min="14" max="16" width="13" customWidth="1"/>
    <col min="17" max="26" width="12.88671875" customWidth="1"/>
  </cols>
  <sheetData>
    <row r="1" spans="1:16" ht="12.75" customHeight="1"/>
    <row r="2" spans="1:16" ht="12.75" customHeight="1"/>
    <row r="3" spans="1:16" ht="33" customHeight="1">
      <c r="A3" s="61" t="s">
        <v>83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6" ht="12.75" customHeight="1"/>
    <row r="5" spans="1:16" ht="12.75" customHeight="1">
      <c r="A5" s="1" t="s">
        <v>50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  <c r="H5" s="2" t="s">
        <v>90</v>
      </c>
      <c r="I5" s="2" t="s">
        <v>91</v>
      </c>
      <c r="K5" s="12">
        <v>2022</v>
      </c>
      <c r="L5" s="12">
        <v>2023</v>
      </c>
      <c r="M5" s="12">
        <v>2024</v>
      </c>
      <c r="N5" s="12">
        <v>2025</v>
      </c>
    </row>
    <row r="6" spans="1:16" ht="12.75" customHeight="1">
      <c r="A6" s="17" t="s">
        <v>92</v>
      </c>
    </row>
    <row r="7" spans="1:16" ht="12.75" customHeight="1">
      <c r="A7" s="3" t="s">
        <v>93</v>
      </c>
      <c r="B7" s="22">
        <v>-25000000</v>
      </c>
      <c r="C7" s="22">
        <v>-27000000</v>
      </c>
      <c r="D7" s="22">
        <v>-14000000</v>
      </c>
      <c r="E7" s="22">
        <v>33000000</v>
      </c>
      <c r="F7" s="22">
        <v>-92000000</v>
      </c>
      <c r="G7" s="22">
        <v>-138000000</v>
      </c>
      <c r="H7" s="22">
        <v>-224000000</v>
      </c>
      <c r="I7" s="22">
        <v>-241000000</v>
      </c>
      <c r="J7" s="30"/>
      <c r="K7" s="22">
        <v>-1038000000</v>
      </c>
      <c r="L7" s="22">
        <v>-304000000</v>
      </c>
      <c r="M7" s="22">
        <v>33000000</v>
      </c>
      <c r="N7" s="22">
        <v>-241000000</v>
      </c>
      <c r="P7" s="20"/>
    </row>
    <row r="8" spans="1:16" ht="12.75" customHeight="1">
      <c r="A8" s="3" t="s">
        <v>94</v>
      </c>
      <c r="B8" s="22">
        <v>-5000000</v>
      </c>
      <c r="C8" s="22">
        <v>-14000000</v>
      </c>
      <c r="D8" s="22">
        <v>-21000000</v>
      </c>
      <c r="E8" s="22">
        <v>-15000000</v>
      </c>
      <c r="F8" s="22">
        <v>0</v>
      </c>
      <c r="G8" s="22">
        <v>-36000000</v>
      </c>
      <c r="H8" s="22">
        <v>-48000000</v>
      </c>
      <c r="I8" s="22">
        <v>-53000000</v>
      </c>
      <c r="J8" s="30"/>
      <c r="K8" s="22">
        <v>-21000000</v>
      </c>
      <c r="L8" s="22">
        <v>-11000000</v>
      </c>
      <c r="M8" s="22">
        <v>-15000000</v>
      </c>
      <c r="N8" s="22">
        <v>-53000000</v>
      </c>
      <c r="P8" s="20"/>
    </row>
    <row r="9" spans="1:16" ht="12.75" customHeight="1">
      <c r="A9" s="3" t="s">
        <v>95</v>
      </c>
      <c r="B9" s="22">
        <v>-76000000</v>
      </c>
      <c r="C9" s="22">
        <v>-130000000</v>
      </c>
      <c r="D9" s="22">
        <v>-171000000</v>
      </c>
      <c r="E9" s="22">
        <v>-312000000</v>
      </c>
      <c r="F9" s="22">
        <v>-109000000</v>
      </c>
      <c r="G9" s="22">
        <v>-212000000</v>
      </c>
      <c r="H9" s="22">
        <v>-345000000</v>
      </c>
      <c r="I9" s="22">
        <v>-425000000</v>
      </c>
      <c r="J9" s="30"/>
      <c r="K9" s="22">
        <v>-81000000</v>
      </c>
      <c r="L9" s="22">
        <v>-214000000</v>
      </c>
      <c r="M9" s="22">
        <v>-312000000</v>
      </c>
      <c r="N9" s="22">
        <v>-425000000</v>
      </c>
      <c r="P9" s="20"/>
    </row>
    <row r="10" spans="1:16" ht="12.75" customHeight="1">
      <c r="A10" s="3" t="s">
        <v>96</v>
      </c>
      <c r="B10" s="22">
        <v>138000000</v>
      </c>
      <c r="C10" s="22">
        <v>277000000</v>
      </c>
      <c r="D10" s="22">
        <v>414000000</v>
      </c>
      <c r="E10" s="22">
        <v>558000000</v>
      </c>
      <c r="F10" s="22">
        <v>158000000</v>
      </c>
      <c r="G10" s="22">
        <v>326000000</v>
      </c>
      <c r="H10" s="22">
        <v>464000000</v>
      </c>
      <c r="I10" s="22">
        <v>1022000000</v>
      </c>
      <c r="J10" s="30"/>
      <c r="K10" s="22">
        <v>385000000</v>
      </c>
      <c r="L10" s="22">
        <v>412000000</v>
      </c>
      <c r="M10" s="22">
        <v>558000000</v>
      </c>
      <c r="N10" s="22">
        <v>1022000000</v>
      </c>
      <c r="P10" s="20"/>
    </row>
    <row r="11" spans="1:16" ht="12.75" customHeight="1">
      <c r="A11" s="8" t="s">
        <v>97</v>
      </c>
      <c r="H11" s="26"/>
      <c r="I11" s="26"/>
      <c r="J11" s="30"/>
      <c r="N11" s="26"/>
      <c r="P11" s="20"/>
    </row>
    <row r="12" spans="1:16" ht="12.75" customHeight="1">
      <c r="A12" s="3" t="s">
        <v>98</v>
      </c>
      <c r="B12" s="22">
        <v>36000000</v>
      </c>
      <c r="C12" s="22">
        <v>74000000</v>
      </c>
      <c r="D12" s="22">
        <v>111000000</v>
      </c>
      <c r="E12" s="22">
        <v>189000000</v>
      </c>
      <c r="F12" s="22">
        <v>26000000</v>
      </c>
      <c r="G12" s="22">
        <v>77000000</v>
      </c>
      <c r="H12" s="22">
        <v>102000000</v>
      </c>
      <c r="I12" s="22">
        <v>125000000</v>
      </c>
      <c r="J12" s="30"/>
      <c r="K12" s="22">
        <v>162000000</v>
      </c>
      <c r="L12" s="22">
        <v>227000000</v>
      </c>
      <c r="M12" s="22">
        <v>189000000</v>
      </c>
      <c r="N12" s="22">
        <v>125000000</v>
      </c>
      <c r="P12" s="20"/>
    </row>
    <row r="13" spans="1:16" ht="12.75" customHeight="1">
      <c r="A13" s="3" t="s">
        <v>99</v>
      </c>
      <c r="B13" s="22">
        <v>5000000</v>
      </c>
      <c r="C13" s="22">
        <v>14000000</v>
      </c>
      <c r="D13" s="22">
        <v>34000000</v>
      </c>
      <c r="E13" s="22">
        <v>92000000</v>
      </c>
      <c r="F13" s="22">
        <v>59000000</v>
      </c>
      <c r="G13" s="22">
        <v>85000000</v>
      </c>
      <c r="H13" s="22">
        <v>124000000</v>
      </c>
      <c r="I13" s="22">
        <v>157000000</v>
      </c>
      <c r="J13" s="30"/>
      <c r="K13" s="22">
        <v>56000000</v>
      </c>
      <c r="L13" s="22">
        <v>43000000</v>
      </c>
      <c r="M13" s="22">
        <v>92000000</v>
      </c>
      <c r="N13" s="22">
        <v>157000000</v>
      </c>
      <c r="P13" s="20"/>
    </row>
    <row r="14" spans="1:16" ht="12.75" customHeight="1">
      <c r="A14" s="3" t="s">
        <v>100</v>
      </c>
      <c r="B14" s="22">
        <v>0</v>
      </c>
      <c r="C14" s="22">
        <v>0</v>
      </c>
      <c r="D14" s="22">
        <v>0</v>
      </c>
      <c r="E14" s="22">
        <v>1000000</v>
      </c>
      <c r="G14" s="22">
        <v>0</v>
      </c>
      <c r="H14" s="22">
        <v>0</v>
      </c>
      <c r="I14" s="22">
        <v>0</v>
      </c>
      <c r="J14" s="30"/>
      <c r="K14" s="22">
        <v>15000000</v>
      </c>
      <c r="L14" s="22">
        <v>1000000</v>
      </c>
      <c r="M14" s="22">
        <v>1000000</v>
      </c>
      <c r="N14" s="22">
        <v>0</v>
      </c>
      <c r="P14" s="20"/>
    </row>
    <row r="15" spans="1:16" ht="12.75" customHeight="1">
      <c r="A15" s="3" t="s">
        <v>14</v>
      </c>
      <c r="B15" s="22">
        <v>160000000</v>
      </c>
      <c r="C15" s="22">
        <v>307000000</v>
      </c>
      <c r="D15" s="22">
        <v>468000000</v>
      </c>
      <c r="E15" s="22">
        <v>671000000</v>
      </c>
      <c r="F15" s="22">
        <v>178000000</v>
      </c>
      <c r="G15" s="22">
        <v>398000000</v>
      </c>
      <c r="H15" s="22">
        <v>676000000</v>
      </c>
      <c r="I15" s="22">
        <v>794000000</v>
      </c>
      <c r="J15" s="30"/>
      <c r="K15" s="22">
        <v>710000000</v>
      </c>
      <c r="L15" s="22">
        <v>506000000</v>
      </c>
      <c r="M15" s="22">
        <v>671000000</v>
      </c>
      <c r="N15" s="22">
        <v>794000000</v>
      </c>
      <c r="P15" s="20"/>
    </row>
    <row r="16" spans="1:16" ht="12.75" customHeight="1">
      <c r="A16" s="3" t="s">
        <v>101</v>
      </c>
      <c r="C16" s="22">
        <v>0</v>
      </c>
      <c r="D16" s="22">
        <v>0</v>
      </c>
      <c r="E16" s="22">
        <v>-190000000</v>
      </c>
      <c r="F16" s="22">
        <v>0</v>
      </c>
      <c r="G16" s="22">
        <v>0</v>
      </c>
      <c r="H16" s="22">
        <v>0</v>
      </c>
      <c r="I16" s="22">
        <v>0</v>
      </c>
      <c r="J16" s="30"/>
      <c r="K16" s="22">
        <v>0</v>
      </c>
      <c r="L16" s="22">
        <v>0</v>
      </c>
      <c r="M16" s="22">
        <v>-190000000</v>
      </c>
      <c r="N16" s="22">
        <v>0</v>
      </c>
      <c r="P16" s="20"/>
    </row>
    <row r="17" spans="1:16" ht="12.75" customHeight="1">
      <c r="A17" s="3" t="s">
        <v>102</v>
      </c>
      <c r="B17" s="22">
        <v>0</v>
      </c>
      <c r="C17" s="22">
        <v>-1000000</v>
      </c>
      <c r="D17" s="22">
        <v>-3000000</v>
      </c>
      <c r="E17" s="22">
        <v>7000000</v>
      </c>
      <c r="F17" s="22">
        <v>3000000</v>
      </c>
      <c r="G17" s="22">
        <v>0</v>
      </c>
      <c r="H17" s="22">
        <v>0</v>
      </c>
      <c r="I17" s="22">
        <v>0</v>
      </c>
      <c r="J17" s="30"/>
      <c r="K17" s="22">
        <v>0</v>
      </c>
      <c r="L17" s="22">
        <v>0</v>
      </c>
      <c r="M17" s="22">
        <v>7000000</v>
      </c>
      <c r="N17" s="22">
        <v>0</v>
      </c>
      <c r="P17" s="20"/>
    </row>
    <row r="18" spans="1:16" ht="12.75" customHeight="1">
      <c r="A18" s="3" t="s">
        <v>103</v>
      </c>
      <c r="B18" s="22">
        <v>-94000000</v>
      </c>
      <c r="C18" s="22">
        <v>-166000000</v>
      </c>
      <c r="D18" s="22">
        <v>-33000000</v>
      </c>
      <c r="E18" s="22">
        <v>-282000000</v>
      </c>
      <c r="F18" s="22">
        <v>-16000000</v>
      </c>
      <c r="G18" s="22">
        <v>-50000000</v>
      </c>
      <c r="H18" s="22">
        <v>-86000000</v>
      </c>
      <c r="I18" s="22">
        <v>75000000</v>
      </c>
      <c r="J18" s="30"/>
      <c r="K18" s="22">
        <v>60000000</v>
      </c>
      <c r="L18" s="22">
        <v>-219000000</v>
      </c>
      <c r="M18" s="22">
        <v>-282000000</v>
      </c>
      <c r="N18" s="22">
        <v>75000000</v>
      </c>
      <c r="P18" s="20"/>
    </row>
    <row r="19" spans="1:16" ht="12.75" customHeight="1">
      <c r="A19" s="8" t="s">
        <v>104</v>
      </c>
      <c r="I19" s="31"/>
      <c r="J19" s="32"/>
      <c r="N19" s="31"/>
      <c r="P19" s="20"/>
    </row>
    <row r="20" spans="1:16" ht="12.75" customHeight="1">
      <c r="A20" s="3" t="s">
        <v>105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-378000000</v>
      </c>
      <c r="J20" s="30"/>
      <c r="K20" s="22">
        <v>0</v>
      </c>
      <c r="L20" s="22">
        <v>0</v>
      </c>
      <c r="M20" s="22">
        <v>0</v>
      </c>
      <c r="N20" s="22">
        <v>-378000000</v>
      </c>
      <c r="P20" s="20"/>
    </row>
    <row r="21" spans="1:16" ht="12.75" customHeight="1">
      <c r="A21" s="3" t="s">
        <v>106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-413000000</v>
      </c>
      <c r="J21" s="30"/>
      <c r="K21" s="22">
        <v>0</v>
      </c>
      <c r="L21" s="22">
        <v>0</v>
      </c>
      <c r="M21" s="22">
        <v>0</v>
      </c>
      <c r="N21" s="22">
        <v>-413000000</v>
      </c>
      <c r="P21" s="20"/>
    </row>
    <row r="22" spans="1:16" ht="12.75" customHeight="1">
      <c r="A22" s="3" t="s">
        <v>107</v>
      </c>
      <c r="C22" s="22">
        <v>-550000000</v>
      </c>
      <c r="D22" s="22">
        <v>-1340000000</v>
      </c>
      <c r="E22" s="22">
        <v>-1373000000</v>
      </c>
      <c r="F22" s="22">
        <v>300000000</v>
      </c>
      <c r="G22" s="22">
        <v>-1485000000</v>
      </c>
      <c r="H22" s="22">
        <v>-1962000000</v>
      </c>
      <c r="I22" s="22">
        <v>-2787000000</v>
      </c>
      <c r="J22" s="30"/>
      <c r="K22" s="22">
        <v>-1677000000</v>
      </c>
      <c r="L22" s="22">
        <v>-1552000000</v>
      </c>
      <c r="M22" s="22">
        <v>-1373000000</v>
      </c>
      <c r="N22" s="22">
        <v>-2787000000</v>
      </c>
      <c r="P22" s="20"/>
    </row>
    <row r="23" spans="1:16" ht="12.75" customHeight="1">
      <c r="A23" s="3" t="s">
        <v>108</v>
      </c>
      <c r="B23" s="22">
        <v>18000000</v>
      </c>
      <c r="C23" s="22">
        <v>45000000</v>
      </c>
      <c r="D23" s="22">
        <v>166000000</v>
      </c>
      <c r="E23" s="22">
        <v>197000000</v>
      </c>
      <c r="F23" s="22">
        <v>8000000</v>
      </c>
      <c r="G23" s="22">
        <v>-178000000</v>
      </c>
      <c r="H23" s="22">
        <v>-32000000</v>
      </c>
      <c r="I23" s="22">
        <v>-32000000</v>
      </c>
      <c r="J23" s="30"/>
      <c r="K23" s="22">
        <v>-83000000</v>
      </c>
      <c r="L23" s="22">
        <v>-172000000</v>
      </c>
      <c r="M23" s="22">
        <v>197000000</v>
      </c>
      <c r="N23" s="22">
        <v>-32000000</v>
      </c>
      <c r="P23" s="20"/>
    </row>
    <row r="24" spans="1:16" ht="12.75" customHeight="1">
      <c r="A24" s="3" t="s">
        <v>109</v>
      </c>
      <c r="B24" s="22">
        <v>91000000</v>
      </c>
      <c r="C24" s="22">
        <v>13000000</v>
      </c>
      <c r="D24" s="22">
        <v>-16000000</v>
      </c>
      <c r="E24" s="22">
        <v>-16000000</v>
      </c>
      <c r="F24" s="22">
        <v>-27000000</v>
      </c>
      <c r="G24" s="22">
        <v>-9000000</v>
      </c>
      <c r="H24" s="22">
        <v>1267000000</v>
      </c>
      <c r="I24" s="22">
        <v>-32000000</v>
      </c>
      <c r="J24" s="30"/>
      <c r="K24" s="22">
        <v>181000000</v>
      </c>
      <c r="L24" s="22">
        <v>-115000000</v>
      </c>
      <c r="M24" s="22">
        <v>-16000000</v>
      </c>
      <c r="N24" s="22">
        <v>-32000000</v>
      </c>
      <c r="P24" s="20"/>
    </row>
    <row r="25" spans="1:16" ht="12.75" customHeight="1">
      <c r="A25" s="3" t="s">
        <v>110</v>
      </c>
      <c r="B25" s="22">
        <v>14000000</v>
      </c>
      <c r="C25" s="22">
        <v>696000000</v>
      </c>
      <c r="D25" s="22">
        <v>1114000000</v>
      </c>
      <c r="E25" s="22">
        <v>820000000</v>
      </c>
      <c r="F25" s="22">
        <v>694000000</v>
      </c>
      <c r="G25" s="22">
        <v>3155000000</v>
      </c>
      <c r="H25" s="22">
        <v>3189000000</v>
      </c>
      <c r="I25" s="22">
        <v>2148000000</v>
      </c>
      <c r="J25" s="30"/>
      <c r="K25" s="22">
        <v>2084000000</v>
      </c>
      <c r="L25" s="22">
        <v>1516000000</v>
      </c>
      <c r="M25" s="22">
        <v>820000000</v>
      </c>
      <c r="N25" s="22">
        <v>2148000000</v>
      </c>
      <c r="P25" s="20"/>
    </row>
    <row r="26" spans="1:16" ht="12.75" customHeight="1">
      <c r="A26" s="3" t="s">
        <v>111</v>
      </c>
      <c r="B26" s="22">
        <v>883000000</v>
      </c>
      <c r="C26" s="22">
        <v>-218000000</v>
      </c>
      <c r="D26" s="22">
        <v>24000000</v>
      </c>
      <c r="E26" s="22">
        <v>0</v>
      </c>
      <c r="F26" s="22">
        <v>0</v>
      </c>
      <c r="G26" s="22">
        <v>-742000000</v>
      </c>
      <c r="H26" s="22">
        <v>-969000000</v>
      </c>
      <c r="I26" s="22">
        <v>-852000000</v>
      </c>
      <c r="J26" s="30"/>
      <c r="K26" s="22">
        <v>0</v>
      </c>
      <c r="L26" s="22">
        <v>0</v>
      </c>
      <c r="M26" s="22">
        <v>286000000</v>
      </c>
      <c r="N26" s="22">
        <v>-852000000</v>
      </c>
      <c r="P26" s="20"/>
    </row>
    <row r="27" spans="1:16" ht="12.75" customHeight="1">
      <c r="A27" s="3" t="s">
        <v>112</v>
      </c>
      <c r="B27" s="23">
        <v>30000000</v>
      </c>
      <c r="C27" s="23">
        <v>505000000</v>
      </c>
      <c r="D27" s="23">
        <v>319000000</v>
      </c>
      <c r="E27" s="23">
        <v>207000000</v>
      </c>
      <c r="F27" s="23">
        <v>-575000000</v>
      </c>
      <c r="G27" s="23">
        <v>343000000</v>
      </c>
      <c r="H27" s="23">
        <v>-150000000</v>
      </c>
      <c r="I27" s="23">
        <v>-140000000</v>
      </c>
      <c r="J27" s="30"/>
      <c r="K27" s="23">
        <v>-417000000</v>
      </c>
      <c r="L27" s="23">
        <v>690000000</v>
      </c>
      <c r="M27" s="23">
        <v>-77000000</v>
      </c>
      <c r="N27" s="23">
        <v>-140000000</v>
      </c>
      <c r="P27" s="20"/>
    </row>
    <row r="28" spans="1:16" ht="12.75" customHeight="1">
      <c r="A28" s="8" t="s">
        <v>113</v>
      </c>
      <c r="B28" s="33">
        <v>1175000000</v>
      </c>
      <c r="C28" s="33">
        <v>825000000</v>
      </c>
      <c r="D28" s="33">
        <v>1052000000</v>
      </c>
      <c r="E28" s="33">
        <v>587000000</v>
      </c>
      <c r="F28" s="33">
        <v>607000000</v>
      </c>
      <c r="G28" s="33">
        <v>1534000000</v>
      </c>
      <c r="H28" s="33">
        <v>2006000000</v>
      </c>
      <c r="I28" s="33">
        <v>-1032000000</v>
      </c>
      <c r="J28" s="30"/>
      <c r="K28" s="33">
        <v>336000000</v>
      </c>
      <c r="L28" s="33">
        <v>808000000</v>
      </c>
      <c r="M28" s="33">
        <v>587000000</v>
      </c>
      <c r="N28" s="33">
        <v>-1032000000</v>
      </c>
      <c r="P28" s="20"/>
    </row>
    <row r="29" spans="1:16" ht="12.75" customHeight="1">
      <c r="A29" s="17" t="s">
        <v>114</v>
      </c>
      <c r="B29" s="34"/>
      <c r="C29" s="34"/>
      <c r="D29" s="34"/>
      <c r="E29" s="34"/>
      <c r="F29" s="34"/>
      <c r="G29" s="34"/>
      <c r="H29" s="34"/>
      <c r="I29" s="34"/>
      <c r="K29" s="34"/>
      <c r="L29" s="34"/>
      <c r="M29" s="34"/>
      <c r="N29" s="34"/>
      <c r="P29" s="20"/>
    </row>
    <row r="30" spans="1:16" ht="12.75" customHeight="1">
      <c r="A30" s="35" t="s">
        <v>115</v>
      </c>
      <c r="B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K30" s="22">
        <v>0</v>
      </c>
      <c r="L30" s="22">
        <v>0</v>
      </c>
      <c r="M30" s="22">
        <v>0</v>
      </c>
      <c r="N30" s="22">
        <v>0</v>
      </c>
      <c r="P30" s="20"/>
    </row>
    <row r="31" spans="1:16" ht="12.75" customHeight="1">
      <c r="A31" s="3" t="s">
        <v>116</v>
      </c>
      <c r="B31" s="22">
        <v>-11000000</v>
      </c>
      <c r="C31" s="22">
        <v>-23000000</v>
      </c>
      <c r="D31" s="22">
        <v>-36000000</v>
      </c>
      <c r="E31" s="22">
        <v>-44000000</v>
      </c>
      <c r="F31" s="22">
        <v>-6000000</v>
      </c>
      <c r="G31" s="22">
        <v>-13000000</v>
      </c>
      <c r="H31" s="22">
        <v>-21000000</v>
      </c>
      <c r="I31" s="22">
        <v>-27000000</v>
      </c>
      <c r="K31" s="22">
        <v>-94000000</v>
      </c>
      <c r="L31" s="22">
        <v>-84000000</v>
      </c>
      <c r="M31" s="22">
        <v>-44000000</v>
      </c>
      <c r="N31" s="22">
        <v>-27000000</v>
      </c>
      <c r="P31" s="20"/>
    </row>
    <row r="32" spans="1:16" ht="14.25" customHeight="1">
      <c r="A32" s="3" t="s">
        <v>117</v>
      </c>
      <c r="B32" s="22">
        <v>0</v>
      </c>
      <c r="C32" s="22">
        <v>0</v>
      </c>
      <c r="D32" s="22">
        <v>0</v>
      </c>
      <c r="E32" s="22">
        <v>-1000000</v>
      </c>
      <c r="F32" s="22">
        <v>-1000000</v>
      </c>
      <c r="G32" s="22">
        <v>-1000000</v>
      </c>
      <c r="H32" s="22">
        <v>-1000000</v>
      </c>
      <c r="I32" s="22">
        <v>-3000000</v>
      </c>
      <c r="K32" s="22">
        <v>-11000000</v>
      </c>
      <c r="L32" s="22">
        <v>-1000000</v>
      </c>
      <c r="M32" s="22">
        <v>-1000000</v>
      </c>
      <c r="N32" s="22">
        <v>-3000000</v>
      </c>
      <c r="P32" s="20"/>
    </row>
    <row r="33" spans="1:16" ht="12.75" customHeight="1">
      <c r="A33" s="3" t="s">
        <v>118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L33" s="22">
        <v>1000000</v>
      </c>
      <c r="N33" s="22">
        <v>0</v>
      </c>
      <c r="P33" s="20"/>
    </row>
    <row r="34" spans="1:16" ht="12.75" customHeight="1">
      <c r="A34" s="3" t="s">
        <v>119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K34" s="22">
        <v>-354000000</v>
      </c>
      <c r="L34" s="22">
        <v>0</v>
      </c>
      <c r="M34" s="22">
        <v>0</v>
      </c>
      <c r="N34" s="22">
        <v>0</v>
      </c>
      <c r="P34" s="20"/>
    </row>
    <row r="35" spans="1:16" ht="12.75" customHeight="1">
      <c r="A35" s="3" t="s">
        <v>120</v>
      </c>
      <c r="B35" s="22">
        <v>0</v>
      </c>
      <c r="C35" s="22">
        <v>0</v>
      </c>
      <c r="E35" s="22">
        <v>188000000</v>
      </c>
      <c r="F35" s="22">
        <v>0</v>
      </c>
      <c r="G35" s="22">
        <v>0</v>
      </c>
      <c r="H35" s="22">
        <v>0</v>
      </c>
      <c r="I35" s="22">
        <v>0</v>
      </c>
      <c r="K35" s="22">
        <v>0</v>
      </c>
      <c r="L35" s="22">
        <v>0</v>
      </c>
      <c r="M35" s="22">
        <v>188000000</v>
      </c>
      <c r="N35" s="22">
        <v>0</v>
      </c>
      <c r="P35" s="20"/>
    </row>
    <row r="36" spans="1:16" ht="12.75" customHeight="1">
      <c r="A36" s="3" t="s">
        <v>121</v>
      </c>
      <c r="B36" s="23">
        <v>0</v>
      </c>
      <c r="C36" s="23">
        <v>0</v>
      </c>
      <c r="D36" s="23">
        <v>22000000</v>
      </c>
      <c r="E36" s="23">
        <v>11000000</v>
      </c>
      <c r="F36" s="23">
        <v>0</v>
      </c>
      <c r="G36" s="23">
        <v>0</v>
      </c>
      <c r="H36" s="23">
        <v>0</v>
      </c>
      <c r="I36" s="23">
        <v>0</v>
      </c>
      <c r="K36" s="23">
        <v>0</v>
      </c>
      <c r="L36" s="23">
        <v>0</v>
      </c>
      <c r="M36" s="23">
        <v>11000000</v>
      </c>
      <c r="N36" s="23">
        <v>0</v>
      </c>
      <c r="P36" s="20"/>
    </row>
    <row r="37" spans="1:16" ht="12.75" customHeight="1">
      <c r="A37" s="8" t="s">
        <v>122</v>
      </c>
      <c r="B37" s="33">
        <v>-11000000</v>
      </c>
      <c r="C37" s="33">
        <v>-23000000</v>
      </c>
      <c r="D37" s="33">
        <v>-14000000</v>
      </c>
      <c r="E37" s="33">
        <v>154000000</v>
      </c>
      <c r="F37" s="33">
        <v>-7000000</v>
      </c>
      <c r="G37" s="33">
        <v>-14000000</v>
      </c>
      <c r="H37" s="33">
        <v>-22000000</v>
      </c>
      <c r="I37" s="33">
        <v>-30000000</v>
      </c>
      <c r="K37" s="33">
        <v>-459000000</v>
      </c>
      <c r="L37" s="33">
        <v>-83000000</v>
      </c>
      <c r="M37" s="33">
        <v>154000000</v>
      </c>
      <c r="N37" s="33">
        <v>-30000000</v>
      </c>
      <c r="P37" s="20"/>
    </row>
    <row r="38" spans="1:16" ht="12.75" customHeight="1">
      <c r="A38" s="17" t="s">
        <v>123</v>
      </c>
      <c r="B38" s="34"/>
      <c r="C38" s="34"/>
      <c r="D38" s="34"/>
      <c r="E38" s="34"/>
      <c r="F38" s="34"/>
      <c r="G38" s="34"/>
      <c r="H38" s="34"/>
      <c r="I38" s="34"/>
      <c r="K38" s="34"/>
      <c r="L38" s="34"/>
      <c r="M38" s="34"/>
      <c r="N38" s="34"/>
      <c r="P38" s="20"/>
    </row>
    <row r="39" spans="1:16" ht="12.75" customHeight="1">
      <c r="A39" s="3" t="s">
        <v>124</v>
      </c>
      <c r="B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192000000</v>
      </c>
      <c r="I39" s="22">
        <v>191000000</v>
      </c>
      <c r="K39" s="22">
        <v>799000000</v>
      </c>
      <c r="L39" s="22">
        <v>39000000</v>
      </c>
      <c r="M39" s="22">
        <v>0</v>
      </c>
      <c r="N39" s="22">
        <v>191000000</v>
      </c>
      <c r="P39" s="20"/>
    </row>
    <row r="40" spans="1:16" ht="12.75" customHeight="1">
      <c r="A40" s="3" t="s">
        <v>125</v>
      </c>
      <c r="C40" s="22">
        <v>1000000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K40" s="22">
        <v>2000000</v>
      </c>
      <c r="L40" s="22">
        <v>1000000</v>
      </c>
      <c r="M40" s="22">
        <v>0</v>
      </c>
      <c r="N40" s="22">
        <v>0</v>
      </c>
      <c r="P40" s="20"/>
    </row>
    <row r="41" spans="1:16" ht="12.75" customHeight="1">
      <c r="A41" s="3" t="s">
        <v>126</v>
      </c>
      <c r="B41" s="22">
        <v>144000000</v>
      </c>
      <c r="C41" s="22">
        <v>142000000</v>
      </c>
      <c r="D41" s="22">
        <v>143000000</v>
      </c>
      <c r="E41" s="22">
        <v>142000000</v>
      </c>
      <c r="F41" s="22">
        <v>0</v>
      </c>
      <c r="G41" s="22">
        <v>0</v>
      </c>
      <c r="H41" s="22">
        <v>0</v>
      </c>
      <c r="I41" s="22">
        <v>0</v>
      </c>
      <c r="K41" s="22">
        <v>27000000</v>
      </c>
      <c r="L41" s="22">
        <v>0</v>
      </c>
      <c r="M41" s="22">
        <v>142000000</v>
      </c>
      <c r="N41" s="22">
        <v>0</v>
      </c>
      <c r="P41" s="20"/>
    </row>
    <row r="42" spans="1:16" ht="12.75" customHeight="1">
      <c r="A42" s="3" t="s">
        <v>127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K42" s="22">
        <v>-25000000</v>
      </c>
      <c r="L42" s="22">
        <v>-24000000</v>
      </c>
      <c r="M42" s="22">
        <v>0</v>
      </c>
      <c r="N42" s="22">
        <v>0</v>
      </c>
      <c r="P42" s="20"/>
    </row>
    <row r="43" spans="1:16" ht="12.75" customHeight="1">
      <c r="A43" s="3" t="s">
        <v>128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K43" s="22">
        <v>9000000</v>
      </c>
      <c r="L43" s="22">
        <v>0</v>
      </c>
      <c r="M43" s="22">
        <v>0</v>
      </c>
      <c r="N43" s="22">
        <v>0</v>
      </c>
      <c r="P43" s="20"/>
    </row>
    <row r="44" spans="1:16" ht="12.75" customHeight="1">
      <c r="A44" s="3" t="s">
        <v>129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L44" s="22">
        <v>-32000000</v>
      </c>
      <c r="M44" s="22">
        <v>0</v>
      </c>
      <c r="N44" s="22">
        <v>0</v>
      </c>
      <c r="P44" s="20"/>
    </row>
    <row r="45" spans="1:16" ht="12.75" customHeight="1">
      <c r="A45" s="3" t="s">
        <v>130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K45" s="22">
        <v>0</v>
      </c>
      <c r="L45" s="22">
        <v>0</v>
      </c>
      <c r="M45" s="22">
        <v>0</v>
      </c>
      <c r="N45" s="22">
        <v>0</v>
      </c>
      <c r="P45" s="20"/>
    </row>
    <row r="46" spans="1:16" ht="12.75" customHeight="1">
      <c r="A46" s="3" t="s">
        <v>131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N46" s="22">
        <v>0</v>
      </c>
      <c r="P46" s="20"/>
    </row>
    <row r="47" spans="1:16" ht="12.75" customHeight="1">
      <c r="A47" s="3" t="s">
        <v>132</v>
      </c>
      <c r="B47" s="22">
        <v>82000000</v>
      </c>
      <c r="C47" s="22">
        <v>302000000</v>
      </c>
      <c r="D47" s="22">
        <v>350000000</v>
      </c>
      <c r="E47" s="22">
        <v>364000000</v>
      </c>
      <c r="F47" s="22">
        <v>30000000</v>
      </c>
      <c r="G47" s="22">
        <v>197000000</v>
      </c>
      <c r="H47" s="22">
        <v>841000000</v>
      </c>
      <c r="I47" s="22">
        <v>903000000</v>
      </c>
      <c r="K47" s="22">
        <v>345000000</v>
      </c>
      <c r="L47" s="22">
        <v>179000000</v>
      </c>
      <c r="M47" s="22">
        <v>364000000</v>
      </c>
      <c r="N47" s="22">
        <v>903000000</v>
      </c>
      <c r="P47" s="20"/>
    </row>
    <row r="48" spans="1:16" ht="12.75" customHeight="1">
      <c r="A48" s="3" t="s">
        <v>133</v>
      </c>
      <c r="B48" s="22">
        <v>-54000000</v>
      </c>
      <c r="C48" s="22">
        <v>-101000000</v>
      </c>
      <c r="D48" s="22">
        <v>-119000000</v>
      </c>
      <c r="E48" s="22">
        <v>-169000000</v>
      </c>
      <c r="F48" s="22">
        <v>-15000000</v>
      </c>
      <c r="G48" s="22">
        <v>-30000000</v>
      </c>
      <c r="H48" s="22">
        <v>-56000000</v>
      </c>
      <c r="I48" s="22">
        <v>-86000000</v>
      </c>
      <c r="K48" s="22">
        <v>-1101000000</v>
      </c>
      <c r="L48" s="22">
        <v>-183000000</v>
      </c>
      <c r="M48" s="22">
        <v>-169000000</v>
      </c>
      <c r="N48" s="22">
        <v>-86000000</v>
      </c>
      <c r="P48" s="20"/>
    </row>
    <row r="49" spans="1:16" ht="12.75" customHeight="1">
      <c r="A49" s="3" t="s">
        <v>134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K49" s="22">
        <v>-3000000</v>
      </c>
      <c r="L49" s="22">
        <v>0</v>
      </c>
      <c r="M49" s="22">
        <v>0</v>
      </c>
      <c r="N49" s="22">
        <v>0</v>
      </c>
      <c r="P49" s="20"/>
    </row>
    <row r="50" spans="1:16" ht="12.75" customHeight="1">
      <c r="A50" s="3" t="s">
        <v>135</v>
      </c>
      <c r="B50" s="23">
        <v>-9000000</v>
      </c>
      <c r="C50" s="23">
        <v>-20000000</v>
      </c>
      <c r="D50" s="23">
        <v>-23000000</v>
      </c>
      <c r="E50" s="23">
        <v>-25000000</v>
      </c>
      <c r="F50" s="23">
        <v>-6000000</v>
      </c>
      <c r="G50" s="23">
        <v>-13000000</v>
      </c>
      <c r="H50" s="23">
        <v>-14000000</v>
      </c>
      <c r="I50" s="23">
        <v>-20000000</v>
      </c>
      <c r="K50" s="23">
        <v>-35000000</v>
      </c>
      <c r="L50" s="23">
        <v>-42000000</v>
      </c>
      <c r="M50" s="23">
        <v>-25000000</v>
      </c>
      <c r="N50" s="23">
        <v>-20000000</v>
      </c>
      <c r="P50" s="20"/>
    </row>
    <row r="51" spans="1:16" ht="12.75" customHeight="1">
      <c r="A51" s="8" t="s">
        <v>136</v>
      </c>
      <c r="B51" s="27">
        <v>163000000</v>
      </c>
      <c r="C51" s="27">
        <v>324000000</v>
      </c>
      <c r="D51" s="27">
        <v>351000000</v>
      </c>
      <c r="E51" s="27">
        <v>312000000</v>
      </c>
      <c r="F51" s="27">
        <v>9000000</v>
      </c>
      <c r="G51" s="27">
        <v>154000000</v>
      </c>
      <c r="H51" s="27">
        <v>963000000</v>
      </c>
      <c r="I51" s="27">
        <v>988000000</v>
      </c>
      <c r="K51" s="27">
        <v>18000000</v>
      </c>
      <c r="L51" s="27">
        <v>-62000000</v>
      </c>
      <c r="M51" s="27">
        <v>312000000</v>
      </c>
      <c r="N51" s="27">
        <v>988000000</v>
      </c>
      <c r="P51" s="20"/>
    </row>
    <row r="52" spans="1:16" ht="12.75" customHeight="1">
      <c r="A52" s="8" t="s">
        <v>137</v>
      </c>
      <c r="B52" s="33">
        <v>1328000000</v>
      </c>
      <c r="C52" s="33">
        <v>1126000000</v>
      </c>
      <c r="D52" s="33">
        <v>1389000000</v>
      </c>
      <c r="E52" s="33">
        <v>1053000000</v>
      </c>
      <c r="F52" s="33">
        <v>609000000</v>
      </c>
      <c r="G52" s="33">
        <v>1674000000</v>
      </c>
      <c r="H52" s="33">
        <v>2947000000</v>
      </c>
      <c r="I52" s="33">
        <v>-74000000</v>
      </c>
      <c r="K52" s="33">
        <v>-105000000</v>
      </c>
      <c r="L52" s="33">
        <v>663000000</v>
      </c>
      <c r="M52" s="33">
        <v>1053000000</v>
      </c>
      <c r="N52" s="33">
        <v>-74000000</v>
      </c>
      <c r="P52" s="20"/>
    </row>
    <row r="53" spans="1:16" ht="12.75" customHeight="1">
      <c r="B53" s="36"/>
      <c r="C53" s="36"/>
      <c r="D53" s="36"/>
      <c r="E53" s="36"/>
      <c r="F53" s="36"/>
      <c r="G53" s="36"/>
      <c r="H53" s="36"/>
      <c r="I53" s="36"/>
      <c r="K53" s="36"/>
      <c r="L53" s="36"/>
      <c r="M53" s="36"/>
      <c r="N53" s="36"/>
      <c r="P53" s="20"/>
    </row>
    <row r="54" spans="1:16" ht="12.75" customHeight="1">
      <c r="A54" s="8" t="s">
        <v>138</v>
      </c>
      <c r="B54" s="37">
        <v>2391000000</v>
      </c>
      <c r="C54" s="37">
        <v>2391000000</v>
      </c>
      <c r="D54" s="37">
        <v>2391000000</v>
      </c>
      <c r="E54" s="37">
        <v>2391000000</v>
      </c>
      <c r="F54" s="37">
        <v>3243000000</v>
      </c>
      <c r="G54" s="37">
        <v>3243000000</v>
      </c>
      <c r="H54" s="37">
        <v>3243000000</v>
      </c>
      <c r="I54" s="37">
        <v>3243000000</v>
      </c>
      <c r="K54" s="37">
        <v>2071000000</v>
      </c>
      <c r="L54" s="37">
        <v>1694000000</v>
      </c>
      <c r="M54" s="37">
        <v>2391000000</v>
      </c>
      <c r="N54" s="37">
        <v>3243000000</v>
      </c>
      <c r="P54" s="20"/>
    </row>
    <row r="55" spans="1:16" ht="12.75" customHeight="1">
      <c r="A55" s="3" t="s">
        <v>137</v>
      </c>
      <c r="B55" s="38">
        <v>1328000000</v>
      </c>
      <c r="C55" s="38">
        <v>1126000000</v>
      </c>
      <c r="D55" s="38">
        <v>1389000000</v>
      </c>
      <c r="E55" s="38">
        <v>1053000000</v>
      </c>
      <c r="F55" s="38">
        <v>609000000</v>
      </c>
      <c r="G55" s="38">
        <v>1674000000</v>
      </c>
      <c r="H55" s="38">
        <v>2947000000</v>
      </c>
      <c r="I55" s="38">
        <v>-74000000</v>
      </c>
      <c r="K55" s="38">
        <v>-105000000</v>
      </c>
      <c r="L55" s="38">
        <v>663000000</v>
      </c>
      <c r="M55" s="38">
        <v>1053000000</v>
      </c>
      <c r="N55" s="38">
        <v>-74000000</v>
      </c>
      <c r="P55" s="20"/>
    </row>
    <row r="56" spans="1:16" ht="12.75" customHeight="1">
      <c r="A56" s="3" t="s">
        <v>139</v>
      </c>
      <c r="B56" s="23">
        <v>-89000000</v>
      </c>
      <c r="C56" s="23">
        <v>-98000000</v>
      </c>
      <c r="D56" s="23">
        <v>64000000</v>
      </c>
      <c r="E56" s="23">
        <v>-201000000</v>
      </c>
      <c r="F56" s="23">
        <v>253000000</v>
      </c>
      <c r="G56" s="23">
        <v>587000000</v>
      </c>
      <c r="H56" s="23">
        <v>605000000</v>
      </c>
      <c r="I56" s="23">
        <v>634000000</v>
      </c>
      <c r="K56" s="23">
        <v>-272000000</v>
      </c>
      <c r="L56" s="23">
        <v>34000000</v>
      </c>
      <c r="M56" s="23">
        <v>-201000000</v>
      </c>
      <c r="N56" s="23">
        <v>634000000</v>
      </c>
      <c r="P56" s="20"/>
    </row>
    <row r="57" spans="1:16" ht="12.75" customHeight="1">
      <c r="A57" s="8" t="s">
        <v>140</v>
      </c>
      <c r="B57" s="33">
        <v>3629000000</v>
      </c>
      <c r="C57" s="33">
        <v>3419000000</v>
      </c>
      <c r="D57" s="33">
        <v>3843000000</v>
      </c>
      <c r="E57" s="33">
        <v>3243000000</v>
      </c>
      <c r="F57" s="33">
        <v>4105000000</v>
      </c>
      <c r="G57" s="33">
        <v>5504000000</v>
      </c>
      <c r="H57" s="33">
        <v>6795000000</v>
      </c>
      <c r="I57" s="33">
        <v>3803000000</v>
      </c>
      <c r="K57" s="33">
        <v>1694000000</v>
      </c>
      <c r="L57" s="33">
        <v>2391000000</v>
      </c>
      <c r="M57" s="33">
        <v>3243000000</v>
      </c>
      <c r="N57" s="33">
        <v>3803000000</v>
      </c>
      <c r="P57" s="20"/>
    </row>
    <row r="58" spans="1:16" ht="12.75" customHeight="1">
      <c r="B58" s="39"/>
      <c r="C58" s="39"/>
      <c r="D58" s="39"/>
      <c r="E58" s="39"/>
      <c r="F58" s="39"/>
      <c r="G58" s="39"/>
      <c r="H58" s="39"/>
      <c r="I58" s="39"/>
      <c r="K58" s="39"/>
      <c r="L58" s="39"/>
      <c r="M58" s="39"/>
      <c r="N58" s="39"/>
    </row>
    <row r="59" spans="1:16" ht="12.75" customHeight="1"/>
    <row r="60" spans="1:16" ht="12.75" customHeight="1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</row>
    <row r="61" spans="1:16" ht="12.75" customHeight="1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1:16" ht="12.75" customHeight="1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6" ht="12.75" customHeight="1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6" ht="12.75" customHeight="1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2:13" ht="12.75" customHeight="1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2:13" ht="12.75" customHeight="1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2:13" ht="12.75" customHeight="1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</row>
    <row r="68" spans="2:13" ht="12.75" customHeight="1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</row>
    <row r="69" spans="2:13" ht="12.75" customHeight="1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2:13" ht="12.75" customHeight="1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2:13" ht="12.75" customHeight="1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</row>
    <row r="72" spans="2:13" ht="12.75" customHeight="1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2:13" ht="12.75" customHeight="1"/>
    <row r="74" spans="2:13" ht="12.75" customHeight="1"/>
    <row r="75" spans="2:13" ht="12.75" customHeight="1"/>
    <row r="76" spans="2:13" ht="12.75" customHeight="1"/>
    <row r="77" spans="2:13" ht="12.75" customHeight="1"/>
    <row r="78" spans="2:13" ht="12.75" customHeight="1"/>
    <row r="79" spans="2:13" ht="12.75" customHeight="1"/>
    <row r="80" spans="2:1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N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6640625" defaultRowHeight="15" customHeight="1"/>
  <cols>
    <col min="1" max="1" width="67.109375" customWidth="1"/>
    <col min="2" max="2" width="13" customWidth="1"/>
    <col min="3" max="9" width="7.109375" customWidth="1"/>
    <col min="10" max="10" width="2" customWidth="1"/>
    <col min="11" max="13" width="7.109375" customWidth="1"/>
    <col min="14" max="14" width="6.33203125" customWidth="1"/>
    <col min="15" max="16" width="13" customWidth="1"/>
    <col min="17" max="26" width="12.88671875" customWidth="1"/>
  </cols>
  <sheetData>
    <row r="1" spans="1:26" ht="12.75" customHeight="1">
      <c r="I1" s="6"/>
      <c r="N1" s="6"/>
    </row>
    <row r="2" spans="1:26" ht="12.75" customHeight="1">
      <c r="I2" s="6"/>
      <c r="N2" s="6"/>
    </row>
    <row r="3" spans="1:26" ht="33" customHeight="1">
      <c r="A3" s="61" t="s">
        <v>141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26" ht="12.75" customHeight="1">
      <c r="A4" s="41"/>
      <c r="B4" s="41"/>
      <c r="C4" s="41"/>
      <c r="D4" s="41"/>
      <c r="E4" s="41"/>
      <c r="F4" s="41"/>
      <c r="G4" s="41"/>
      <c r="H4" s="41"/>
      <c r="I4" s="6"/>
      <c r="J4" s="41"/>
      <c r="K4" s="41"/>
      <c r="L4" s="41"/>
      <c r="M4" s="41"/>
      <c r="N4" s="11"/>
      <c r="O4" s="41"/>
    </row>
    <row r="5" spans="1:26" ht="12.75" customHeight="1">
      <c r="A5" s="42" t="s">
        <v>50</v>
      </c>
      <c r="B5" s="43" t="s">
        <v>1</v>
      </c>
      <c r="C5" s="43" t="s">
        <v>2</v>
      </c>
      <c r="D5" s="43" t="s">
        <v>3</v>
      </c>
      <c r="E5" s="43" t="s">
        <v>4</v>
      </c>
      <c r="F5" s="43" t="s">
        <v>5</v>
      </c>
      <c r="G5" s="43" t="s">
        <v>6</v>
      </c>
      <c r="H5" s="44" t="s">
        <v>7</v>
      </c>
      <c r="I5" s="44" t="s">
        <v>8</v>
      </c>
      <c r="J5" s="41"/>
      <c r="K5" s="45">
        <v>2022</v>
      </c>
      <c r="L5" s="45">
        <v>2023</v>
      </c>
      <c r="M5" s="45">
        <v>2024</v>
      </c>
      <c r="N5" s="45">
        <v>2025</v>
      </c>
      <c r="O5" s="41"/>
    </row>
    <row r="6" spans="1:26" ht="12.75" customHeight="1">
      <c r="A6" s="17" t="s">
        <v>142</v>
      </c>
      <c r="B6" s="41"/>
      <c r="C6" s="41"/>
      <c r="D6" s="41"/>
      <c r="E6" s="41"/>
      <c r="F6" s="41"/>
      <c r="G6" s="41"/>
      <c r="H6" s="41"/>
      <c r="I6" s="46"/>
      <c r="J6" s="41"/>
      <c r="K6" s="41"/>
      <c r="L6" s="41"/>
      <c r="M6" s="41"/>
      <c r="N6" s="46"/>
      <c r="O6" s="41"/>
    </row>
    <row r="7" spans="1:26" ht="12.75" customHeight="1">
      <c r="A7" s="8" t="s">
        <v>143</v>
      </c>
      <c r="B7" s="47">
        <v>-99000000</v>
      </c>
      <c r="C7" s="47">
        <v>-103000000</v>
      </c>
      <c r="D7" s="47">
        <v>-107000000</v>
      </c>
      <c r="E7" s="47">
        <v>-135000000</v>
      </c>
      <c r="F7" s="47">
        <v>-115000000</v>
      </c>
      <c r="G7" s="47">
        <v>-120000000</v>
      </c>
      <c r="H7" s="47">
        <v>-123000000</v>
      </c>
      <c r="I7" s="47">
        <v>-128000000</v>
      </c>
      <c r="J7" s="48"/>
      <c r="K7" s="47">
        <v>-430000000</v>
      </c>
      <c r="L7" s="47">
        <v>-389000000</v>
      </c>
      <c r="M7" s="47">
        <v>-444000000</v>
      </c>
      <c r="N7" s="47">
        <v>-486000000</v>
      </c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2.75" customHeight="1">
      <c r="A8" s="50" t="s">
        <v>35</v>
      </c>
      <c r="B8" s="51">
        <v>-17000000</v>
      </c>
      <c r="C8" s="51">
        <v>-19000000</v>
      </c>
      <c r="D8" s="51">
        <v>-20000000</v>
      </c>
      <c r="E8" s="51">
        <v>-50000000</v>
      </c>
      <c r="F8" s="51">
        <v>-16000000</v>
      </c>
      <c r="G8" s="51">
        <v>-18000000</v>
      </c>
      <c r="H8" s="51">
        <v>-17000000</v>
      </c>
      <c r="I8" s="51">
        <v>-19000000</v>
      </c>
      <c r="J8" s="41"/>
      <c r="K8" s="51">
        <v>-64000000</v>
      </c>
      <c r="L8" s="51">
        <v>-100000000</v>
      </c>
      <c r="M8" s="51">
        <v>-107000000</v>
      </c>
      <c r="N8" s="51">
        <v>-71000000</v>
      </c>
      <c r="O8" s="41"/>
    </row>
    <row r="9" spans="1:26" ht="12.75" customHeight="1">
      <c r="A9" s="50" t="s">
        <v>144</v>
      </c>
      <c r="B9" s="51">
        <v>-4000000</v>
      </c>
      <c r="C9" s="51">
        <v>-3000000</v>
      </c>
      <c r="D9" s="51">
        <v>-9000000</v>
      </c>
      <c r="E9" s="51">
        <v>-13000000</v>
      </c>
      <c r="F9" s="51">
        <v>-16000000</v>
      </c>
      <c r="G9" s="51">
        <v>-8000000</v>
      </c>
      <c r="H9" s="51">
        <v>-9000000</v>
      </c>
      <c r="I9" s="51">
        <v>-7000000</v>
      </c>
      <c r="J9" s="41"/>
      <c r="K9" s="51">
        <v>-12000000</v>
      </c>
      <c r="L9" s="51">
        <v>-14000000</v>
      </c>
      <c r="M9" s="51">
        <v>-29000000</v>
      </c>
      <c r="N9" s="51">
        <v>-40000000</v>
      </c>
      <c r="O9" s="41"/>
    </row>
    <row r="10" spans="1:26" ht="12.75" customHeight="1">
      <c r="A10" s="50" t="s">
        <v>145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41"/>
      <c r="K10" s="51">
        <v>0</v>
      </c>
      <c r="L10" s="51">
        <v>0</v>
      </c>
      <c r="M10" s="51">
        <v>0</v>
      </c>
      <c r="N10" s="51">
        <v>0</v>
      </c>
      <c r="O10" s="41"/>
    </row>
    <row r="11" spans="1:26" ht="12.75" customHeight="1">
      <c r="A11" s="8" t="s">
        <v>146</v>
      </c>
      <c r="B11" s="47">
        <v>-78000000</v>
      </c>
      <c r="C11" s="47">
        <v>-81000000</v>
      </c>
      <c r="D11" s="47">
        <v>-78000000</v>
      </c>
      <c r="E11" s="47">
        <v>-71000000</v>
      </c>
      <c r="F11" s="47">
        <v>-83000000</v>
      </c>
      <c r="G11" s="47">
        <v>-93000000</v>
      </c>
      <c r="H11" s="47">
        <v>-97000000</v>
      </c>
      <c r="I11" s="47">
        <v>-102000000</v>
      </c>
      <c r="J11" s="48"/>
      <c r="K11" s="47">
        <v>-354000000</v>
      </c>
      <c r="L11" s="47">
        <v>-275000000</v>
      </c>
      <c r="M11" s="47">
        <v>-308000000</v>
      </c>
      <c r="N11" s="47">
        <v>-375000000</v>
      </c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2.75" customHeight="1">
      <c r="A12" s="41"/>
      <c r="B12" s="41"/>
      <c r="C12" s="41"/>
      <c r="D12" s="41"/>
      <c r="E12" s="41"/>
      <c r="F12" s="41"/>
      <c r="G12" s="41"/>
      <c r="H12" s="41"/>
      <c r="I12" s="46"/>
      <c r="J12" s="41"/>
      <c r="K12" s="41"/>
      <c r="L12" s="41"/>
      <c r="M12" s="41"/>
      <c r="N12" s="46"/>
      <c r="O12" s="41"/>
    </row>
    <row r="13" spans="1:26" ht="12.75" customHeight="1">
      <c r="A13" s="8" t="s">
        <v>147</v>
      </c>
      <c r="B13" s="47">
        <v>-79000000</v>
      </c>
      <c r="C13" s="47">
        <v>-78000000</v>
      </c>
      <c r="D13" s="47">
        <v>-70000000</v>
      </c>
      <c r="E13" s="47">
        <v>-101000000</v>
      </c>
      <c r="F13" s="47">
        <v>-91000000</v>
      </c>
      <c r="G13" s="47">
        <v>-93000000</v>
      </c>
      <c r="H13" s="47">
        <v>-102000000</v>
      </c>
      <c r="I13" s="47">
        <v>-128000000</v>
      </c>
      <c r="J13" s="48"/>
      <c r="K13" s="47">
        <v>-531000000</v>
      </c>
      <c r="L13" s="47">
        <v>-381000000</v>
      </c>
      <c r="M13" s="47">
        <v>-328000000</v>
      </c>
      <c r="N13" s="47">
        <v>-414000000</v>
      </c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2.75" customHeight="1">
      <c r="A14" s="50" t="s">
        <v>35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41"/>
      <c r="K14" s="51">
        <v>0</v>
      </c>
      <c r="L14" s="51">
        <v>0</v>
      </c>
      <c r="M14" s="51">
        <v>0</v>
      </c>
      <c r="N14" s="51">
        <v>0</v>
      </c>
      <c r="O14" s="41"/>
    </row>
    <row r="15" spans="1:26" ht="12.75" customHeight="1">
      <c r="A15" s="50" t="s">
        <v>144</v>
      </c>
      <c r="B15" s="51">
        <v>-2000000</v>
      </c>
      <c r="C15" s="51">
        <v>-2000000</v>
      </c>
      <c r="D15" s="51">
        <v>-5000000</v>
      </c>
      <c r="E15" s="51">
        <v>-10000000</v>
      </c>
      <c r="F15" s="51">
        <v>-11000000</v>
      </c>
      <c r="G15" s="51">
        <v>-10000000</v>
      </c>
      <c r="H15" s="51">
        <v>-17000000</v>
      </c>
      <c r="I15" s="51">
        <v>-23000000</v>
      </c>
      <c r="J15" s="41"/>
      <c r="K15" s="51">
        <v>-7000000</v>
      </c>
      <c r="L15" s="51">
        <v>-10000000</v>
      </c>
      <c r="M15" s="51">
        <v>-19000000</v>
      </c>
      <c r="N15" s="51">
        <v>-60000000</v>
      </c>
      <c r="O15" s="41"/>
      <c r="P15" s="52"/>
    </row>
    <row r="16" spans="1:26" ht="12.75" customHeight="1">
      <c r="A16" s="50" t="s">
        <v>145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41"/>
      <c r="K16" s="51">
        <v>0</v>
      </c>
      <c r="L16" s="51">
        <v>0</v>
      </c>
      <c r="M16" s="51">
        <v>0</v>
      </c>
      <c r="N16" s="51">
        <v>0</v>
      </c>
      <c r="O16" s="41"/>
    </row>
    <row r="17" spans="1:26" ht="12.75" customHeight="1">
      <c r="A17" s="8" t="s">
        <v>148</v>
      </c>
      <c r="B17" s="47">
        <v>-77000000</v>
      </c>
      <c r="C17" s="47">
        <v>-77000000</v>
      </c>
      <c r="D17" s="47">
        <v>-65000000</v>
      </c>
      <c r="E17" s="47">
        <v>-91000000</v>
      </c>
      <c r="F17" s="47">
        <v>-80000000</v>
      </c>
      <c r="G17" s="47">
        <v>-83000000</v>
      </c>
      <c r="H17" s="47">
        <v>-85000000</v>
      </c>
      <c r="I17" s="47">
        <v>-106000000</v>
      </c>
      <c r="J17" s="48"/>
      <c r="K17" s="47">
        <v>-524000000</v>
      </c>
      <c r="L17" s="47">
        <v>-371000000</v>
      </c>
      <c r="M17" s="47">
        <v>-309000000</v>
      </c>
      <c r="N17" s="47">
        <v>-354000000</v>
      </c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2.75" customHeight="1">
      <c r="A18" s="41"/>
      <c r="B18" s="41"/>
      <c r="C18" s="41"/>
      <c r="D18" s="41"/>
      <c r="E18" s="41"/>
      <c r="F18" s="41"/>
      <c r="G18" s="41"/>
      <c r="H18" s="41"/>
      <c r="I18" s="46"/>
      <c r="J18" s="41"/>
      <c r="K18" s="41"/>
      <c r="L18" s="41"/>
      <c r="M18" s="41"/>
      <c r="N18" s="46"/>
      <c r="O18" s="41"/>
    </row>
    <row r="19" spans="1:26" ht="12.75" customHeight="1">
      <c r="A19" s="8" t="s">
        <v>149</v>
      </c>
      <c r="B19" s="47">
        <v>-57000000</v>
      </c>
      <c r="C19" s="47">
        <v>-48000000</v>
      </c>
      <c r="D19" s="47">
        <v>-44000000</v>
      </c>
      <c r="E19" s="47">
        <v>-54000000</v>
      </c>
      <c r="F19" s="47">
        <v>-51000000</v>
      </c>
      <c r="G19" s="47">
        <v>-51000000</v>
      </c>
      <c r="H19" s="47">
        <v>-53000000</v>
      </c>
      <c r="I19" s="47">
        <v>-52000000</v>
      </c>
      <c r="J19" s="48"/>
      <c r="K19" s="47">
        <v>-287000000</v>
      </c>
      <c r="L19" s="47">
        <v>-240000000</v>
      </c>
      <c r="M19" s="47">
        <v>-203000000</v>
      </c>
      <c r="N19" s="47">
        <v>-207000000</v>
      </c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2.75" customHeight="1">
      <c r="A20" s="50" t="s">
        <v>35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41"/>
      <c r="K20" s="51">
        <v>0</v>
      </c>
      <c r="L20" s="51">
        <v>0</v>
      </c>
      <c r="M20" s="51">
        <v>0</v>
      </c>
      <c r="N20" s="51">
        <v>0</v>
      </c>
      <c r="O20" s="41"/>
    </row>
    <row r="21" spans="1:26" ht="12.75" customHeight="1">
      <c r="A21" s="50" t="s">
        <v>144</v>
      </c>
      <c r="B21" s="51">
        <v>0</v>
      </c>
      <c r="C21" s="51">
        <v>0</v>
      </c>
      <c r="D21" s="51">
        <v>-2000000</v>
      </c>
      <c r="E21" s="51">
        <v>-4000000</v>
      </c>
      <c r="F21" s="51">
        <v>-4000000</v>
      </c>
      <c r="G21" s="51">
        <v>-3000000</v>
      </c>
      <c r="H21" s="51">
        <v>-4000000</v>
      </c>
      <c r="I21" s="51">
        <v>-1000000</v>
      </c>
      <c r="J21" s="41"/>
      <c r="K21" s="51">
        <v>-1000000</v>
      </c>
      <c r="L21" s="51">
        <v>-2000000</v>
      </c>
      <c r="M21" s="51">
        <v>-6000000</v>
      </c>
      <c r="N21" s="51">
        <v>-12000000</v>
      </c>
      <c r="O21" s="41"/>
    </row>
    <row r="22" spans="1:26" ht="12.75" customHeight="1">
      <c r="A22" s="50" t="s">
        <v>145</v>
      </c>
      <c r="B22" s="51">
        <v>0</v>
      </c>
      <c r="C22" s="51">
        <v>0</v>
      </c>
      <c r="D22" s="51">
        <v>0</v>
      </c>
      <c r="E22" s="51">
        <v>-5000000</v>
      </c>
      <c r="F22" s="51">
        <v>4000000</v>
      </c>
      <c r="G22" s="51">
        <v>0</v>
      </c>
      <c r="H22" s="51">
        <v>0</v>
      </c>
      <c r="I22" s="51">
        <v>0</v>
      </c>
      <c r="J22" s="41"/>
      <c r="K22" s="51">
        <v>0</v>
      </c>
      <c r="L22" s="51">
        <v>0</v>
      </c>
      <c r="M22" s="51">
        <v>-5000000</v>
      </c>
      <c r="N22" s="51">
        <v>4000000</v>
      </c>
      <c r="O22" s="41"/>
    </row>
    <row r="23" spans="1:26" ht="12.75" customHeight="1">
      <c r="A23" s="8" t="s">
        <v>150</v>
      </c>
      <c r="B23" s="47">
        <v>-57000000</v>
      </c>
      <c r="C23" s="47">
        <v>-47000000</v>
      </c>
      <c r="D23" s="47">
        <v>-42000000</v>
      </c>
      <c r="E23" s="47">
        <v>-45000000</v>
      </c>
      <c r="F23" s="47">
        <v>-51000000</v>
      </c>
      <c r="G23" s="47">
        <v>-48000000</v>
      </c>
      <c r="H23" s="47">
        <v>-50000000</v>
      </c>
      <c r="I23" s="47">
        <v>-51000000</v>
      </c>
      <c r="J23" s="48"/>
      <c r="K23" s="47">
        <v>-286000000</v>
      </c>
      <c r="L23" s="47">
        <v>-238000000</v>
      </c>
      <c r="M23" s="47">
        <v>-192000000</v>
      </c>
      <c r="N23" s="47">
        <v>-199000000</v>
      </c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2.75" customHeight="1">
      <c r="A24" s="41"/>
      <c r="B24" s="41"/>
      <c r="C24" s="41"/>
      <c r="D24" s="41"/>
      <c r="E24" s="41"/>
      <c r="F24" s="41"/>
      <c r="G24" s="41"/>
      <c r="H24" s="41"/>
      <c r="I24" s="46"/>
      <c r="J24" s="41"/>
      <c r="K24" s="41"/>
      <c r="L24" s="41"/>
      <c r="M24" s="41"/>
      <c r="N24" s="46"/>
      <c r="O24" s="41"/>
    </row>
    <row r="25" spans="1:26" ht="12.75" customHeight="1">
      <c r="A25" s="8" t="s">
        <v>151</v>
      </c>
      <c r="B25" s="47">
        <v>-51000000</v>
      </c>
      <c r="C25" s="47">
        <v>-64000000</v>
      </c>
      <c r="D25" s="47">
        <v>-65000000</v>
      </c>
      <c r="E25" s="47">
        <v>-101000000</v>
      </c>
      <c r="F25" s="47">
        <v>-94000000</v>
      </c>
      <c r="G25" s="47">
        <v>-65000000</v>
      </c>
      <c r="H25" s="47">
        <v>-77000000</v>
      </c>
      <c r="I25" s="47">
        <v>-70000000</v>
      </c>
      <c r="J25" s="48"/>
      <c r="K25" s="47">
        <v>-320000000</v>
      </c>
      <c r="L25" s="47">
        <v>-270000000</v>
      </c>
      <c r="M25" s="47">
        <v>-281000000</v>
      </c>
      <c r="N25" s="47">
        <v>-306000000</v>
      </c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2.75" customHeight="1">
      <c r="A26" s="50" t="s">
        <v>35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41"/>
      <c r="K26" s="51">
        <v>0</v>
      </c>
      <c r="L26" s="51">
        <v>0</v>
      </c>
      <c r="M26" s="51">
        <v>0</v>
      </c>
      <c r="N26" s="51">
        <v>0</v>
      </c>
      <c r="O26" s="41"/>
    </row>
    <row r="27" spans="1:26" ht="12.75" customHeight="1">
      <c r="A27" s="50" t="s">
        <v>144</v>
      </c>
      <c r="B27" s="51">
        <v>1000000</v>
      </c>
      <c r="C27" s="51">
        <v>-4000000</v>
      </c>
      <c r="D27" s="51">
        <v>-5000000</v>
      </c>
      <c r="E27" s="51">
        <v>-30000000</v>
      </c>
      <c r="F27" s="51">
        <v>-28000000</v>
      </c>
      <c r="G27" s="51">
        <v>-5000000</v>
      </c>
      <c r="H27" s="51">
        <v>-9000000</v>
      </c>
      <c r="I27" s="51">
        <v>-2000000</v>
      </c>
      <c r="J27" s="41"/>
      <c r="K27" s="51">
        <v>-36000000</v>
      </c>
      <c r="L27" s="51">
        <v>-17000000</v>
      </c>
      <c r="M27" s="51">
        <v>-38000000</v>
      </c>
      <c r="N27" s="51">
        <v>-44000000</v>
      </c>
      <c r="O27" s="41"/>
    </row>
    <row r="28" spans="1:26" ht="12.75" customHeight="1">
      <c r="A28" s="50" t="s">
        <v>145</v>
      </c>
      <c r="B28" s="51">
        <v>-2000000</v>
      </c>
      <c r="C28" s="51">
        <v>-2000000</v>
      </c>
      <c r="D28" s="51">
        <v>-9000000</v>
      </c>
      <c r="E28" s="51">
        <v>-4000000</v>
      </c>
      <c r="F28" s="51">
        <v>-12000000</v>
      </c>
      <c r="G28" s="51">
        <v>2000000</v>
      </c>
      <c r="H28" s="51">
        <v>-5000000</v>
      </c>
      <c r="I28" s="51">
        <v>-2000000</v>
      </c>
      <c r="J28" s="41"/>
      <c r="K28" s="51">
        <v>-36000000</v>
      </c>
      <c r="L28" s="51">
        <v>-11000000</v>
      </c>
      <c r="M28" s="51">
        <v>-16000000</v>
      </c>
      <c r="N28" s="51">
        <v>-17000000</v>
      </c>
      <c r="O28" s="41"/>
    </row>
    <row r="29" spans="1:26" ht="12.75" customHeight="1">
      <c r="A29" s="8" t="s">
        <v>152</v>
      </c>
      <c r="B29" s="47">
        <v>-51000000</v>
      </c>
      <c r="C29" s="47">
        <v>-58000000</v>
      </c>
      <c r="D29" s="47">
        <v>-52000000</v>
      </c>
      <c r="E29" s="47">
        <v>-67000000</v>
      </c>
      <c r="F29" s="47">
        <v>-54000000</v>
      </c>
      <c r="G29" s="47">
        <v>-62000000</v>
      </c>
      <c r="H29" s="47">
        <v>-63000000</v>
      </c>
      <c r="I29" s="47">
        <v>-66000000</v>
      </c>
      <c r="J29" s="48"/>
      <c r="K29" s="47">
        <v>-248000000</v>
      </c>
      <c r="L29" s="47">
        <v>-242000000</v>
      </c>
      <c r="M29" s="47">
        <v>-227000000</v>
      </c>
      <c r="N29" s="47">
        <v>-245000000</v>
      </c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2.75" customHeight="1">
      <c r="A30" s="41"/>
      <c r="B30" s="41"/>
      <c r="C30" s="41"/>
      <c r="D30" s="41"/>
      <c r="E30" s="41"/>
      <c r="F30" s="41"/>
      <c r="G30" s="41"/>
      <c r="H30" s="41"/>
      <c r="I30" s="46"/>
      <c r="J30" s="41"/>
      <c r="K30" s="41"/>
      <c r="L30" s="41"/>
      <c r="M30" s="41"/>
      <c r="N30" s="46"/>
      <c r="O30" s="41"/>
    </row>
    <row r="31" spans="1:26" ht="12.75" customHeight="1">
      <c r="A31" s="8" t="s">
        <v>153</v>
      </c>
      <c r="B31" s="47">
        <v>-19000000</v>
      </c>
      <c r="C31" s="47">
        <v>-19000000</v>
      </c>
      <c r="D31" s="47">
        <v>-17000000</v>
      </c>
      <c r="E31" s="47">
        <v>-27000000</v>
      </c>
      <c r="F31" s="47">
        <v>-10000000</v>
      </c>
      <c r="G31" s="47">
        <v>-32000000</v>
      </c>
      <c r="H31" s="47">
        <v>-8000000</v>
      </c>
      <c r="I31" s="47">
        <v>-4000000</v>
      </c>
      <c r="J31" s="48"/>
      <c r="K31" s="47">
        <v>-99000000</v>
      </c>
      <c r="L31" s="47">
        <v>-128000000</v>
      </c>
      <c r="M31" s="47">
        <v>-82000000</v>
      </c>
      <c r="N31" s="47">
        <v>-55000000</v>
      </c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.75" customHeight="1">
      <c r="A32" s="50" t="s">
        <v>35</v>
      </c>
      <c r="B32" s="51">
        <v>-19000000</v>
      </c>
      <c r="C32" s="51">
        <v>-18000000</v>
      </c>
      <c r="D32" s="51">
        <v>-14000000</v>
      </c>
      <c r="E32" s="51">
        <v>-27000000</v>
      </c>
      <c r="F32" s="51">
        <v>-10000000</v>
      </c>
      <c r="G32" s="51">
        <v>-9000000</v>
      </c>
      <c r="H32" s="51">
        <v>-8000000</v>
      </c>
      <c r="I32" s="51">
        <v>-8000000</v>
      </c>
      <c r="J32" s="41"/>
      <c r="K32" s="51">
        <v>-85000000</v>
      </c>
      <c r="L32" s="51">
        <v>-62000000</v>
      </c>
      <c r="M32" s="51">
        <v>-78000000</v>
      </c>
      <c r="N32" s="51">
        <v>-35000000</v>
      </c>
      <c r="O32" s="41"/>
    </row>
    <row r="33" spans="1:26" ht="12.75" customHeight="1">
      <c r="A33" s="50" t="s">
        <v>144</v>
      </c>
      <c r="B33" s="53">
        <v>0</v>
      </c>
      <c r="C33" s="53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41"/>
      <c r="K33" s="51">
        <v>0</v>
      </c>
      <c r="L33" s="51">
        <v>0</v>
      </c>
      <c r="M33" s="51">
        <v>0</v>
      </c>
      <c r="N33" s="51">
        <v>0</v>
      </c>
      <c r="O33" s="41"/>
    </row>
    <row r="34" spans="1:26" ht="12.75" customHeight="1">
      <c r="A34" s="50" t="s">
        <v>145</v>
      </c>
      <c r="B34" s="51">
        <v>0</v>
      </c>
      <c r="C34" s="51">
        <v>0</v>
      </c>
      <c r="D34" s="51">
        <v>-3000000</v>
      </c>
      <c r="E34" s="51">
        <v>0</v>
      </c>
      <c r="F34" s="51">
        <v>0</v>
      </c>
      <c r="G34" s="51">
        <v>-24000000</v>
      </c>
      <c r="H34" s="51">
        <v>0</v>
      </c>
      <c r="I34" s="51">
        <v>4000000</v>
      </c>
      <c r="J34" s="41"/>
      <c r="K34" s="51">
        <v>-14000000</v>
      </c>
      <c r="L34" s="51">
        <v>-66000000</v>
      </c>
      <c r="M34" s="51">
        <v>-4000000</v>
      </c>
      <c r="N34" s="51">
        <v>-20000000</v>
      </c>
      <c r="O34" s="41"/>
    </row>
    <row r="35" spans="1:26" ht="12.75" customHeight="1">
      <c r="A35" s="8" t="s">
        <v>154</v>
      </c>
      <c r="B35" s="47">
        <v>0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8"/>
      <c r="K35" s="47">
        <v>0</v>
      </c>
      <c r="L35" s="47">
        <v>0</v>
      </c>
      <c r="M35" s="47">
        <v>0</v>
      </c>
      <c r="N35" s="47">
        <v>0</v>
      </c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2.75" customHeight="1">
      <c r="A36" s="41"/>
      <c r="B36" s="41"/>
      <c r="C36" s="41"/>
      <c r="D36" s="41"/>
      <c r="E36" s="41"/>
      <c r="F36" s="41"/>
      <c r="G36" s="41"/>
      <c r="H36" s="41"/>
      <c r="I36" s="46"/>
      <c r="J36" s="41"/>
      <c r="K36" s="41"/>
      <c r="L36" s="41"/>
      <c r="M36" s="41"/>
      <c r="N36" s="46"/>
      <c r="O36" s="41"/>
    </row>
    <row r="37" spans="1:26" ht="12.75" customHeight="1">
      <c r="A37" s="41"/>
      <c r="B37" s="41"/>
      <c r="C37" s="41"/>
      <c r="D37" s="41"/>
      <c r="E37" s="41"/>
      <c r="F37" s="41"/>
      <c r="G37" s="41"/>
      <c r="H37" s="41"/>
      <c r="I37" s="46"/>
      <c r="J37" s="41"/>
      <c r="K37" s="41"/>
      <c r="L37" s="41"/>
      <c r="M37" s="41"/>
      <c r="N37" s="46"/>
      <c r="O37" s="41"/>
    </row>
    <row r="38" spans="1:26" ht="12.75" customHeight="1">
      <c r="A38" s="17" t="s">
        <v>155</v>
      </c>
      <c r="B38" s="48"/>
      <c r="C38" s="48"/>
      <c r="D38" s="48"/>
      <c r="E38" s="48"/>
      <c r="F38" s="48"/>
      <c r="G38" s="48"/>
      <c r="H38" s="48"/>
      <c r="I38" s="54"/>
      <c r="J38" s="48"/>
      <c r="K38" s="48"/>
      <c r="L38" s="48"/>
      <c r="M38" s="48"/>
      <c r="N38" s="54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2.75" customHeight="1">
      <c r="A39" s="8" t="s">
        <v>27</v>
      </c>
      <c r="B39" s="47">
        <v>-28000000</v>
      </c>
      <c r="C39" s="47">
        <v>-4000000</v>
      </c>
      <c r="D39" s="47">
        <v>13000000</v>
      </c>
      <c r="E39" s="47">
        <v>-101000000</v>
      </c>
      <c r="F39" s="47">
        <v>-90000000</v>
      </c>
      <c r="G39" s="47">
        <v>-46000000</v>
      </c>
      <c r="H39" s="47">
        <v>-83000000</v>
      </c>
      <c r="I39" s="47">
        <v>-11000000</v>
      </c>
      <c r="J39" s="48"/>
      <c r="K39" s="47">
        <v>-980000000</v>
      </c>
      <c r="L39" s="47">
        <v>-323000000</v>
      </c>
      <c r="M39" s="47">
        <v>-121000000</v>
      </c>
      <c r="N39" s="47">
        <v>-230000000</v>
      </c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.75" customHeight="1">
      <c r="A40" s="3" t="s">
        <v>18</v>
      </c>
      <c r="B40" s="51">
        <v>-99000000</v>
      </c>
      <c r="C40" s="51">
        <v>-103000000</v>
      </c>
      <c r="D40" s="51">
        <v>-107000000</v>
      </c>
      <c r="E40" s="51">
        <v>-135000000</v>
      </c>
      <c r="F40" s="51">
        <v>-115000000</v>
      </c>
      <c r="G40" s="51">
        <v>-120000000</v>
      </c>
      <c r="H40" s="51">
        <v>-123000000</v>
      </c>
      <c r="I40" s="51">
        <v>-128000000</v>
      </c>
      <c r="J40" s="41"/>
      <c r="K40" s="51">
        <v>-430000000</v>
      </c>
      <c r="L40" s="51">
        <v>-389000000</v>
      </c>
      <c r="M40" s="51">
        <v>-444000000</v>
      </c>
      <c r="N40" s="51">
        <v>-486000000</v>
      </c>
      <c r="O40" s="41"/>
    </row>
    <row r="41" spans="1:26" ht="12.75" customHeight="1">
      <c r="A41" s="3" t="s">
        <v>156</v>
      </c>
      <c r="B41" s="51">
        <v>-79000000</v>
      </c>
      <c r="C41" s="51">
        <v>-78000000</v>
      </c>
      <c r="D41" s="51">
        <v>-70000000</v>
      </c>
      <c r="E41" s="51">
        <v>-101000000</v>
      </c>
      <c r="F41" s="51">
        <v>-91000000</v>
      </c>
      <c r="G41" s="51">
        <v>-93000000</v>
      </c>
      <c r="H41" s="51">
        <v>-102000000</v>
      </c>
      <c r="I41" s="51">
        <v>-128000000</v>
      </c>
      <c r="J41" s="41"/>
      <c r="K41" s="51">
        <v>-531000000</v>
      </c>
      <c r="L41" s="51">
        <v>-381000000</v>
      </c>
      <c r="M41" s="51">
        <v>-328000000</v>
      </c>
      <c r="N41" s="51">
        <v>-414000000</v>
      </c>
      <c r="O41" s="41"/>
    </row>
    <row r="42" spans="1:26" ht="12.75" customHeight="1">
      <c r="A42" s="3" t="s">
        <v>20</v>
      </c>
      <c r="B42" s="51">
        <v>-57000000</v>
      </c>
      <c r="C42" s="51">
        <v>-48000000</v>
      </c>
      <c r="D42" s="51">
        <v>-44000000</v>
      </c>
      <c r="E42" s="51">
        <v>-54000000</v>
      </c>
      <c r="F42" s="51">
        <v>-51000000</v>
      </c>
      <c r="G42" s="51">
        <v>-51000000</v>
      </c>
      <c r="H42" s="51">
        <v>-53000000</v>
      </c>
      <c r="I42" s="51">
        <v>-52000000</v>
      </c>
      <c r="J42" s="41"/>
      <c r="K42" s="51">
        <v>-287000000</v>
      </c>
      <c r="L42" s="51">
        <v>-240000000</v>
      </c>
      <c r="M42" s="51">
        <v>-203000000</v>
      </c>
      <c r="N42" s="51">
        <v>-207000000</v>
      </c>
      <c r="O42" s="41"/>
    </row>
    <row r="43" spans="1:26" ht="12.75" customHeight="1">
      <c r="A43" s="3" t="s">
        <v>21</v>
      </c>
      <c r="B43" s="51">
        <v>-51000000</v>
      </c>
      <c r="C43" s="51">
        <v>-64000000</v>
      </c>
      <c r="D43" s="51">
        <v>-65000000</v>
      </c>
      <c r="E43" s="51">
        <v>-101000000</v>
      </c>
      <c r="F43" s="51">
        <v>-94000000</v>
      </c>
      <c r="G43" s="51">
        <v>-65000000</v>
      </c>
      <c r="H43" s="51">
        <v>-77000000</v>
      </c>
      <c r="I43" s="51">
        <v>-70000000</v>
      </c>
      <c r="J43" s="41"/>
      <c r="K43" s="51">
        <v>-320000000</v>
      </c>
      <c r="L43" s="51">
        <v>-270000000</v>
      </c>
      <c r="M43" s="51">
        <v>-281000000</v>
      </c>
      <c r="N43" s="51">
        <v>-306000000</v>
      </c>
      <c r="O43" s="41"/>
    </row>
    <row r="44" spans="1:26" ht="12.75" customHeight="1">
      <c r="A44" s="3" t="s">
        <v>157</v>
      </c>
      <c r="B44" s="51">
        <v>-19000000</v>
      </c>
      <c r="C44" s="51">
        <v>-19000000</v>
      </c>
      <c r="D44" s="51">
        <v>-17000000</v>
      </c>
      <c r="E44" s="51">
        <v>-27000000</v>
      </c>
      <c r="F44" s="51">
        <v>-10000000</v>
      </c>
      <c r="G44" s="51">
        <v>-32000000</v>
      </c>
      <c r="H44" s="51">
        <v>-8000000</v>
      </c>
      <c r="I44" s="51">
        <v>-4000000</v>
      </c>
      <c r="J44" s="41"/>
      <c r="K44" s="51">
        <v>-99000000</v>
      </c>
      <c r="L44" s="51">
        <v>-128000000</v>
      </c>
      <c r="M44" s="51">
        <v>-82000000</v>
      </c>
      <c r="N44" s="51">
        <v>-55000000</v>
      </c>
      <c r="O44" s="41"/>
    </row>
    <row r="45" spans="1:26" ht="12.75" customHeight="1">
      <c r="A45" s="8" t="s">
        <v>17</v>
      </c>
      <c r="B45" s="47">
        <v>277000000</v>
      </c>
      <c r="C45" s="47">
        <v>308000000</v>
      </c>
      <c r="D45" s="47">
        <v>316000000</v>
      </c>
      <c r="E45" s="47">
        <v>317000000</v>
      </c>
      <c r="F45" s="47">
        <v>271000000</v>
      </c>
      <c r="G45" s="47">
        <v>315000000</v>
      </c>
      <c r="H45" s="47">
        <v>281000000</v>
      </c>
      <c r="I45" s="47">
        <v>371000000</v>
      </c>
      <c r="J45" s="47"/>
      <c r="K45" s="47">
        <v>687000000</v>
      </c>
      <c r="L45" s="47">
        <v>1085000000</v>
      </c>
      <c r="M45" s="47">
        <v>1217000000</v>
      </c>
      <c r="N45" s="47">
        <v>1238000000</v>
      </c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>
      <c r="A46" s="41"/>
      <c r="B46" s="41"/>
      <c r="C46" s="41"/>
      <c r="D46" s="41"/>
      <c r="E46" s="41"/>
      <c r="F46" s="41"/>
      <c r="G46" s="41"/>
      <c r="H46" s="41"/>
      <c r="I46" s="6"/>
      <c r="J46" s="41"/>
      <c r="K46" s="41"/>
      <c r="L46" s="41"/>
      <c r="M46" s="41"/>
      <c r="N46" s="6"/>
      <c r="O46" s="41"/>
    </row>
    <row r="47" spans="1:26" ht="12.75" customHeight="1">
      <c r="A47" s="41"/>
      <c r="B47" s="41"/>
      <c r="C47" s="41"/>
      <c r="D47" s="41"/>
      <c r="E47" s="41"/>
      <c r="F47" s="41"/>
      <c r="G47" s="41"/>
      <c r="H47" s="41"/>
      <c r="I47" s="6"/>
      <c r="J47" s="41"/>
      <c r="K47" s="41"/>
      <c r="L47" s="41"/>
      <c r="M47" s="41"/>
      <c r="N47" s="6"/>
      <c r="O47" s="41"/>
    </row>
    <row r="48" spans="1:26" ht="12.75" customHeight="1">
      <c r="A48" s="41"/>
      <c r="B48" s="41"/>
      <c r="C48" s="41"/>
      <c r="D48" s="41"/>
      <c r="E48" s="41"/>
      <c r="F48" s="41"/>
      <c r="G48" s="41"/>
      <c r="H48" s="41"/>
      <c r="I48" s="6"/>
      <c r="J48" s="41"/>
      <c r="K48" s="41"/>
      <c r="L48" s="41"/>
      <c r="M48" s="41"/>
      <c r="N48" s="6"/>
      <c r="O48" s="41"/>
    </row>
    <row r="49" spans="9:14" ht="12.75" customHeight="1">
      <c r="I49" s="6"/>
      <c r="N49" s="6"/>
    </row>
    <row r="50" spans="9:14" ht="12.75" customHeight="1">
      <c r="I50" s="6"/>
      <c r="N50" s="6"/>
    </row>
    <row r="51" spans="9:14" ht="12.75" customHeight="1">
      <c r="I51" s="6"/>
      <c r="N51" s="6"/>
    </row>
    <row r="52" spans="9:14" ht="12.75" customHeight="1">
      <c r="I52" s="6"/>
      <c r="N52" s="6"/>
    </row>
    <row r="53" spans="9:14" ht="12.75" customHeight="1">
      <c r="I53" s="6"/>
      <c r="N53" s="6"/>
    </row>
    <row r="54" spans="9:14" ht="12.75" customHeight="1">
      <c r="I54" s="6"/>
      <c r="N54" s="6"/>
    </row>
    <row r="55" spans="9:14" ht="12.75" customHeight="1">
      <c r="I55" s="6"/>
      <c r="N55" s="6"/>
    </row>
    <row r="56" spans="9:14" ht="12.75" customHeight="1">
      <c r="I56" s="6"/>
      <c r="N56" s="6"/>
    </row>
    <row r="57" spans="9:14" ht="12.75" customHeight="1">
      <c r="I57" s="6"/>
      <c r="N57" s="6"/>
    </row>
    <row r="58" spans="9:14" ht="12.75" customHeight="1">
      <c r="I58" s="6"/>
      <c r="N58" s="6"/>
    </row>
    <row r="59" spans="9:14" ht="12.75" customHeight="1">
      <c r="I59" s="6"/>
      <c r="N59" s="6"/>
    </row>
    <row r="60" spans="9:14" ht="12.75" customHeight="1">
      <c r="I60" s="6"/>
      <c r="N60" s="6"/>
    </row>
    <row r="61" spans="9:14" ht="12.75" customHeight="1">
      <c r="I61" s="6"/>
      <c r="N61" s="6"/>
    </row>
    <row r="62" spans="9:14" ht="12.75" customHeight="1">
      <c r="I62" s="6"/>
      <c r="N62" s="6"/>
    </row>
    <row r="63" spans="9:14" ht="12.75" customHeight="1">
      <c r="I63" s="6"/>
      <c r="N63" s="6"/>
    </row>
    <row r="64" spans="9:14" ht="12.75" customHeight="1">
      <c r="I64" s="6"/>
      <c r="N64" s="6"/>
    </row>
    <row r="65" spans="9:14" ht="12.75" customHeight="1">
      <c r="I65" s="6"/>
      <c r="N65" s="6"/>
    </row>
    <row r="66" spans="9:14" ht="12.75" customHeight="1">
      <c r="I66" s="6"/>
      <c r="N66" s="6"/>
    </row>
    <row r="67" spans="9:14" ht="12.75" customHeight="1">
      <c r="I67" s="6"/>
      <c r="N67" s="6"/>
    </row>
    <row r="68" spans="9:14" ht="12.75" customHeight="1">
      <c r="I68" s="6"/>
      <c r="N68" s="6"/>
    </row>
    <row r="69" spans="9:14" ht="12.75" customHeight="1">
      <c r="I69" s="6"/>
      <c r="N69" s="6"/>
    </row>
    <row r="70" spans="9:14" ht="12.75" customHeight="1">
      <c r="I70" s="6"/>
      <c r="N70" s="6"/>
    </row>
    <row r="71" spans="9:14" ht="12.75" customHeight="1">
      <c r="I71" s="6"/>
      <c r="N71" s="6"/>
    </row>
    <row r="72" spans="9:14" ht="12.75" customHeight="1">
      <c r="I72" s="6"/>
      <c r="N72" s="6"/>
    </row>
    <row r="73" spans="9:14" ht="12.75" customHeight="1">
      <c r="I73" s="6"/>
      <c r="N73" s="6"/>
    </row>
    <row r="74" spans="9:14" ht="12.75" customHeight="1">
      <c r="I74" s="6"/>
      <c r="N74" s="6"/>
    </row>
    <row r="75" spans="9:14" ht="12.75" customHeight="1">
      <c r="I75" s="6"/>
      <c r="N75" s="6"/>
    </row>
    <row r="76" spans="9:14" ht="12.75" customHeight="1">
      <c r="I76" s="6"/>
      <c r="N76" s="6"/>
    </row>
    <row r="77" spans="9:14" ht="12.75" customHeight="1">
      <c r="I77" s="6"/>
      <c r="N77" s="6"/>
    </row>
    <row r="78" spans="9:14" ht="12.75" customHeight="1">
      <c r="I78" s="6"/>
      <c r="N78" s="6"/>
    </row>
    <row r="79" spans="9:14" ht="12.75" customHeight="1">
      <c r="I79" s="6"/>
      <c r="N79" s="6"/>
    </row>
    <row r="80" spans="9:14" ht="12.75" customHeight="1">
      <c r="I80" s="6"/>
      <c r="N80" s="6"/>
    </row>
    <row r="81" spans="9:14" ht="12.75" customHeight="1">
      <c r="I81" s="6"/>
      <c r="N81" s="6"/>
    </row>
    <row r="82" spans="9:14" ht="12.75" customHeight="1">
      <c r="I82" s="6"/>
      <c r="N82" s="6"/>
    </row>
    <row r="83" spans="9:14" ht="12.75" customHeight="1">
      <c r="I83" s="6"/>
      <c r="N83" s="6"/>
    </row>
    <row r="84" spans="9:14" ht="12.75" customHeight="1">
      <c r="I84" s="6"/>
      <c r="N84" s="6"/>
    </row>
    <row r="85" spans="9:14" ht="12.75" customHeight="1">
      <c r="I85" s="6"/>
      <c r="N85" s="6"/>
    </row>
    <row r="86" spans="9:14" ht="12.75" customHeight="1">
      <c r="I86" s="6"/>
      <c r="N86" s="6"/>
    </row>
    <row r="87" spans="9:14" ht="12.75" customHeight="1">
      <c r="I87" s="6"/>
      <c r="N87" s="6"/>
    </row>
    <row r="88" spans="9:14" ht="12.75" customHeight="1">
      <c r="I88" s="6"/>
      <c r="N88" s="6"/>
    </row>
    <row r="89" spans="9:14" ht="12.75" customHeight="1">
      <c r="I89" s="6"/>
      <c r="N89" s="6"/>
    </row>
    <row r="90" spans="9:14" ht="12.75" customHeight="1">
      <c r="I90" s="6"/>
      <c r="N90" s="6"/>
    </row>
    <row r="91" spans="9:14" ht="12.75" customHeight="1">
      <c r="I91" s="6"/>
      <c r="N91" s="6"/>
    </row>
    <row r="92" spans="9:14" ht="12.75" customHeight="1">
      <c r="I92" s="6"/>
      <c r="N92" s="6"/>
    </row>
    <row r="93" spans="9:14" ht="12.75" customHeight="1">
      <c r="I93" s="6"/>
      <c r="N93" s="6"/>
    </row>
    <row r="94" spans="9:14" ht="12.75" customHeight="1">
      <c r="I94" s="6"/>
      <c r="N94" s="6"/>
    </row>
    <row r="95" spans="9:14" ht="12.75" customHeight="1">
      <c r="I95" s="6"/>
      <c r="N95" s="6"/>
    </row>
    <row r="96" spans="9:14" ht="12.75" customHeight="1">
      <c r="I96" s="6"/>
      <c r="N96" s="6"/>
    </row>
    <row r="97" spans="9:14" ht="12.75" customHeight="1">
      <c r="I97" s="6"/>
      <c r="N97" s="6"/>
    </row>
    <row r="98" spans="9:14" ht="12.75" customHeight="1">
      <c r="I98" s="6"/>
      <c r="N98" s="6"/>
    </row>
    <row r="99" spans="9:14" ht="12.75" customHeight="1">
      <c r="I99" s="6"/>
      <c r="N99" s="6"/>
    </row>
    <row r="100" spans="9:14" ht="12.75" customHeight="1">
      <c r="I100" s="6"/>
      <c r="N100" s="6"/>
    </row>
    <row r="101" spans="9:14" ht="12.75" customHeight="1">
      <c r="I101" s="6"/>
      <c r="N101" s="6"/>
    </row>
    <row r="102" spans="9:14" ht="12.75" customHeight="1">
      <c r="I102" s="6"/>
      <c r="N102" s="6"/>
    </row>
    <row r="103" spans="9:14" ht="12.75" customHeight="1">
      <c r="I103" s="6"/>
      <c r="N103" s="6"/>
    </row>
    <row r="104" spans="9:14" ht="12.75" customHeight="1">
      <c r="I104" s="6"/>
      <c r="N104" s="6"/>
    </row>
    <row r="105" spans="9:14" ht="12.75" customHeight="1">
      <c r="I105" s="6"/>
      <c r="N105" s="6"/>
    </row>
    <row r="106" spans="9:14" ht="12.75" customHeight="1">
      <c r="I106" s="6"/>
      <c r="N106" s="6"/>
    </row>
    <row r="107" spans="9:14" ht="12.75" customHeight="1">
      <c r="I107" s="6"/>
      <c r="N107" s="6"/>
    </row>
    <row r="108" spans="9:14" ht="12.75" customHeight="1">
      <c r="I108" s="6"/>
      <c r="N108" s="6"/>
    </row>
    <row r="109" spans="9:14" ht="12.75" customHeight="1">
      <c r="I109" s="6"/>
      <c r="N109" s="6"/>
    </row>
    <row r="110" spans="9:14" ht="12.75" customHeight="1">
      <c r="I110" s="6"/>
      <c r="N110" s="6"/>
    </row>
    <row r="111" spans="9:14" ht="12.75" customHeight="1">
      <c r="I111" s="6"/>
      <c r="N111" s="6"/>
    </row>
    <row r="112" spans="9:14" ht="12.75" customHeight="1">
      <c r="I112" s="6"/>
      <c r="N112" s="6"/>
    </row>
    <row r="113" spans="9:14" ht="12.75" customHeight="1">
      <c r="I113" s="6"/>
      <c r="N113" s="6"/>
    </row>
    <row r="114" spans="9:14" ht="12.75" customHeight="1">
      <c r="I114" s="6"/>
      <c r="N114" s="6"/>
    </row>
    <row r="115" spans="9:14" ht="12.75" customHeight="1">
      <c r="I115" s="6"/>
      <c r="N115" s="6"/>
    </row>
    <row r="116" spans="9:14" ht="12.75" customHeight="1">
      <c r="I116" s="6"/>
      <c r="N116" s="6"/>
    </row>
    <row r="117" spans="9:14" ht="12.75" customHeight="1">
      <c r="I117" s="6"/>
      <c r="N117" s="6"/>
    </row>
    <row r="118" spans="9:14" ht="12.75" customHeight="1">
      <c r="I118" s="6"/>
      <c r="N118" s="6"/>
    </row>
    <row r="119" spans="9:14" ht="12.75" customHeight="1">
      <c r="I119" s="6"/>
      <c r="N119" s="6"/>
    </row>
    <row r="120" spans="9:14" ht="12.75" customHeight="1">
      <c r="I120" s="6"/>
      <c r="N120" s="6"/>
    </row>
    <row r="121" spans="9:14" ht="12.75" customHeight="1">
      <c r="I121" s="6"/>
      <c r="N121" s="6"/>
    </row>
    <row r="122" spans="9:14" ht="12.75" customHeight="1">
      <c r="I122" s="6"/>
      <c r="N122" s="6"/>
    </row>
    <row r="123" spans="9:14" ht="12.75" customHeight="1">
      <c r="I123" s="6"/>
      <c r="N123" s="6"/>
    </row>
    <row r="124" spans="9:14" ht="12.75" customHeight="1">
      <c r="I124" s="6"/>
      <c r="N124" s="6"/>
    </row>
    <row r="125" spans="9:14" ht="12.75" customHeight="1">
      <c r="I125" s="6"/>
      <c r="N125" s="6"/>
    </row>
    <row r="126" spans="9:14" ht="12.75" customHeight="1">
      <c r="I126" s="6"/>
      <c r="N126" s="6"/>
    </row>
    <row r="127" spans="9:14" ht="12.75" customHeight="1">
      <c r="I127" s="6"/>
      <c r="N127" s="6"/>
    </row>
    <row r="128" spans="9:14" ht="12.75" customHeight="1">
      <c r="I128" s="6"/>
      <c r="N128" s="6"/>
    </row>
    <row r="129" spans="9:14" ht="12.75" customHeight="1">
      <c r="I129" s="6"/>
      <c r="N129" s="6"/>
    </row>
    <row r="130" spans="9:14" ht="12.75" customHeight="1">
      <c r="I130" s="6"/>
      <c r="N130" s="6"/>
    </row>
    <row r="131" spans="9:14" ht="12.75" customHeight="1">
      <c r="I131" s="6"/>
      <c r="N131" s="6"/>
    </row>
    <row r="132" spans="9:14" ht="12.75" customHeight="1">
      <c r="I132" s="6"/>
      <c r="N132" s="6"/>
    </row>
    <row r="133" spans="9:14" ht="12.75" customHeight="1">
      <c r="I133" s="6"/>
      <c r="N133" s="6"/>
    </row>
    <row r="134" spans="9:14" ht="12.75" customHeight="1">
      <c r="I134" s="6"/>
      <c r="N134" s="6"/>
    </row>
    <row r="135" spans="9:14" ht="12.75" customHeight="1">
      <c r="I135" s="6"/>
      <c r="N135" s="6"/>
    </row>
    <row r="136" spans="9:14" ht="12.75" customHeight="1">
      <c r="I136" s="6"/>
      <c r="N136" s="6"/>
    </row>
    <row r="137" spans="9:14" ht="12.75" customHeight="1">
      <c r="I137" s="6"/>
      <c r="N137" s="6"/>
    </row>
    <row r="138" spans="9:14" ht="12.75" customHeight="1">
      <c r="I138" s="6"/>
      <c r="N138" s="6"/>
    </row>
    <row r="139" spans="9:14" ht="12.75" customHeight="1">
      <c r="I139" s="6"/>
      <c r="N139" s="6"/>
    </row>
    <row r="140" spans="9:14" ht="12.75" customHeight="1">
      <c r="I140" s="6"/>
      <c r="N140" s="6"/>
    </row>
    <row r="141" spans="9:14" ht="12.75" customHeight="1">
      <c r="I141" s="6"/>
      <c r="N141" s="6"/>
    </row>
    <row r="142" spans="9:14" ht="12.75" customHeight="1">
      <c r="I142" s="6"/>
      <c r="N142" s="6"/>
    </row>
    <row r="143" spans="9:14" ht="12.75" customHeight="1">
      <c r="I143" s="6"/>
      <c r="N143" s="6"/>
    </row>
    <row r="144" spans="9:14" ht="12.75" customHeight="1">
      <c r="I144" s="6"/>
      <c r="N144" s="6"/>
    </row>
    <row r="145" spans="9:14" ht="12.75" customHeight="1">
      <c r="I145" s="6"/>
      <c r="N145" s="6"/>
    </row>
    <row r="146" spans="9:14" ht="12.75" customHeight="1">
      <c r="I146" s="6"/>
      <c r="N146" s="6"/>
    </row>
    <row r="147" spans="9:14" ht="12.75" customHeight="1">
      <c r="I147" s="6"/>
      <c r="N147" s="6"/>
    </row>
    <row r="148" spans="9:14" ht="12.75" customHeight="1">
      <c r="I148" s="6"/>
      <c r="N148" s="6"/>
    </row>
    <row r="149" spans="9:14" ht="12.75" customHeight="1">
      <c r="I149" s="6"/>
      <c r="N149" s="6"/>
    </row>
    <row r="150" spans="9:14" ht="12.75" customHeight="1">
      <c r="I150" s="6"/>
      <c r="N150" s="6"/>
    </row>
    <row r="151" spans="9:14" ht="12.75" customHeight="1">
      <c r="I151" s="6"/>
      <c r="N151" s="6"/>
    </row>
    <row r="152" spans="9:14" ht="12.75" customHeight="1">
      <c r="I152" s="6"/>
      <c r="N152" s="6"/>
    </row>
    <row r="153" spans="9:14" ht="12.75" customHeight="1">
      <c r="I153" s="6"/>
      <c r="N153" s="6"/>
    </row>
    <row r="154" spans="9:14" ht="12.75" customHeight="1">
      <c r="I154" s="6"/>
      <c r="N154" s="6"/>
    </row>
    <row r="155" spans="9:14" ht="12.75" customHeight="1">
      <c r="I155" s="6"/>
      <c r="N155" s="6"/>
    </row>
    <row r="156" spans="9:14" ht="12.75" customHeight="1">
      <c r="I156" s="6"/>
      <c r="N156" s="6"/>
    </row>
    <row r="157" spans="9:14" ht="12.75" customHeight="1">
      <c r="I157" s="6"/>
      <c r="N157" s="6"/>
    </row>
    <row r="158" spans="9:14" ht="12.75" customHeight="1">
      <c r="I158" s="6"/>
      <c r="N158" s="6"/>
    </row>
    <row r="159" spans="9:14" ht="12.75" customHeight="1">
      <c r="I159" s="6"/>
      <c r="N159" s="6"/>
    </row>
    <row r="160" spans="9:14" ht="12.75" customHeight="1">
      <c r="I160" s="6"/>
      <c r="N160" s="6"/>
    </row>
    <row r="161" spans="9:14" ht="12.75" customHeight="1">
      <c r="I161" s="6"/>
      <c r="N161" s="6"/>
    </row>
    <row r="162" spans="9:14" ht="12.75" customHeight="1">
      <c r="I162" s="6"/>
      <c r="N162" s="6"/>
    </row>
    <row r="163" spans="9:14" ht="12.75" customHeight="1">
      <c r="I163" s="6"/>
      <c r="N163" s="6"/>
    </row>
    <row r="164" spans="9:14" ht="12.75" customHeight="1">
      <c r="I164" s="6"/>
      <c r="N164" s="6"/>
    </row>
    <row r="165" spans="9:14" ht="12.75" customHeight="1">
      <c r="I165" s="6"/>
      <c r="N165" s="6"/>
    </row>
    <row r="166" spans="9:14" ht="12.75" customHeight="1">
      <c r="I166" s="6"/>
      <c r="N166" s="6"/>
    </row>
    <row r="167" spans="9:14" ht="12.75" customHeight="1">
      <c r="I167" s="6"/>
      <c r="N167" s="6"/>
    </row>
    <row r="168" spans="9:14" ht="12.75" customHeight="1">
      <c r="I168" s="6"/>
      <c r="N168" s="6"/>
    </row>
    <row r="169" spans="9:14" ht="12.75" customHeight="1">
      <c r="I169" s="6"/>
      <c r="N169" s="6"/>
    </row>
    <row r="170" spans="9:14" ht="12.75" customHeight="1">
      <c r="I170" s="6"/>
      <c r="N170" s="6"/>
    </row>
    <row r="171" spans="9:14" ht="12.75" customHeight="1">
      <c r="I171" s="6"/>
      <c r="N171" s="6"/>
    </row>
    <row r="172" spans="9:14" ht="12.75" customHeight="1">
      <c r="I172" s="6"/>
      <c r="N172" s="6"/>
    </row>
    <row r="173" spans="9:14" ht="12.75" customHeight="1">
      <c r="I173" s="6"/>
      <c r="N173" s="6"/>
    </row>
    <row r="174" spans="9:14" ht="12.75" customHeight="1">
      <c r="I174" s="6"/>
      <c r="N174" s="6"/>
    </row>
    <row r="175" spans="9:14" ht="12.75" customHeight="1">
      <c r="I175" s="6"/>
      <c r="N175" s="6"/>
    </row>
    <row r="176" spans="9:14" ht="12.75" customHeight="1">
      <c r="I176" s="6"/>
      <c r="N176" s="6"/>
    </row>
    <row r="177" spans="9:14" ht="12.75" customHeight="1">
      <c r="I177" s="6"/>
      <c r="N177" s="6"/>
    </row>
    <row r="178" spans="9:14" ht="12.75" customHeight="1">
      <c r="I178" s="6"/>
      <c r="N178" s="6"/>
    </row>
    <row r="179" spans="9:14" ht="12.75" customHeight="1">
      <c r="I179" s="6"/>
      <c r="N179" s="6"/>
    </row>
    <row r="180" spans="9:14" ht="12.75" customHeight="1">
      <c r="I180" s="6"/>
      <c r="N180" s="6"/>
    </row>
    <row r="181" spans="9:14" ht="12.75" customHeight="1">
      <c r="I181" s="6"/>
      <c r="N181" s="6"/>
    </row>
    <row r="182" spans="9:14" ht="12.75" customHeight="1">
      <c r="I182" s="6"/>
      <c r="N182" s="6"/>
    </row>
    <row r="183" spans="9:14" ht="12.75" customHeight="1">
      <c r="I183" s="6"/>
      <c r="N183" s="6"/>
    </row>
    <row r="184" spans="9:14" ht="12.75" customHeight="1">
      <c r="I184" s="6"/>
      <c r="N184" s="6"/>
    </row>
    <row r="185" spans="9:14" ht="12.75" customHeight="1">
      <c r="I185" s="6"/>
      <c r="N185" s="6"/>
    </row>
    <row r="186" spans="9:14" ht="12.75" customHeight="1">
      <c r="I186" s="6"/>
      <c r="N186" s="6"/>
    </row>
    <row r="187" spans="9:14" ht="12.75" customHeight="1">
      <c r="I187" s="6"/>
      <c r="N187" s="6"/>
    </row>
    <row r="188" spans="9:14" ht="12.75" customHeight="1">
      <c r="I188" s="6"/>
      <c r="N188" s="6"/>
    </row>
    <row r="189" spans="9:14" ht="12.75" customHeight="1">
      <c r="I189" s="6"/>
      <c r="N189" s="6"/>
    </row>
    <row r="190" spans="9:14" ht="12.75" customHeight="1">
      <c r="I190" s="6"/>
      <c r="N190" s="6"/>
    </row>
    <row r="191" spans="9:14" ht="12.75" customHeight="1">
      <c r="I191" s="6"/>
      <c r="N191" s="6"/>
    </row>
    <row r="192" spans="9:14" ht="12.75" customHeight="1">
      <c r="I192" s="6"/>
      <c r="N192" s="6"/>
    </row>
    <row r="193" spans="9:14" ht="12.75" customHeight="1">
      <c r="I193" s="6"/>
      <c r="N193" s="6"/>
    </row>
    <row r="194" spans="9:14" ht="12.75" customHeight="1">
      <c r="I194" s="6"/>
      <c r="N194" s="6"/>
    </row>
    <row r="195" spans="9:14" ht="12.75" customHeight="1">
      <c r="I195" s="6"/>
      <c r="N195" s="6"/>
    </row>
    <row r="196" spans="9:14" ht="12.75" customHeight="1">
      <c r="I196" s="6"/>
      <c r="N196" s="6"/>
    </row>
    <row r="197" spans="9:14" ht="12.75" customHeight="1">
      <c r="I197" s="6"/>
      <c r="N197" s="6"/>
    </row>
    <row r="198" spans="9:14" ht="12.75" customHeight="1">
      <c r="I198" s="6"/>
      <c r="N198" s="6"/>
    </row>
    <row r="199" spans="9:14" ht="12.75" customHeight="1">
      <c r="I199" s="6"/>
      <c r="N199" s="6"/>
    </row>
    <row r="200" spans="9:14" ht="12.75" customHeight="1">
      <c r="I200" s="6"/>
      <c r="N200" s="6"/>
    </row>
    <row r="201" spans="9:14" ht="12.75" customHeight="1">
      <c r="I201" s="6"/>
      <c r="N201" s="6"/>
    </row>
    <row r="202" spans="9:14" ht="12.75" customHeight="1">
      <c r="I202" s="6"/>
      <c r="N202" s="6"/>
    </row>
    <row r="203" spans="9:14" ht="12.75" customHeight="1">
      <c r="I203" s="6"/>
      <c r="N203" s="6"/>
    </row>
    <row r="204" spans="9:14" ht="12.75" customHeight="1">
      <c r="I204" s="6"/>
      <c r="N204" s="6"/>
    </row>
    <row r="205" spans="9:14" ht="12.75" customHeight="1">
      <c r="I205" s="6"/>
      <c r="N205" s="6"/>
    </row>
    <row r="206" spans="9:14" ht="12.75" customHeight="1">
      <c r="I206" s="6"/>
      <c r="N206" s="6"/>
    </row>
    <row r="207" spans="9:14" ht="12.75" customHeight="1">
      <c r="I207" s="6"/>
      <c r="N207" s="6"/>
    </row>
    <row r="208" spans="9:14" ht="12.75" customHeight="1">
      <c r="I208" s="6"/>
      <c r="N208" s="6"/>
    </row>
    <row r="209" spans="9:14" ht="12.75" customHeight="1">
      <c r="I209" s="6"/>
      <c r="N209" s="6"/>
    </row>
    <row r="210" spans="9:14" ht="12.75" customHeight="1">
      <c r="I210" s="6"/>
      <c r="N210" s="6"/>
    </row>
    <row r="211" spans="9:14" ht="12.75" customHeight="1">
      <c r="I211" s="6"/>
      <c r="N211" s="6"/>
    </row>
    <row r="212" spans="9:14" ht="12.75" customHeight="1">
      <c r="I212" s="6"/>
      <c r="N212" s="6"/>
    </row>
    <row r="213" spans="9:14" ht="12.75" customHeight="1">
      <c r="I213" s="6"/>
      <c r="N213" s="6"/>
    </row>
    <row r="214" spans="9:14" ht="12.75" customHeight="1">
      <c r="I214" s="6"/>
      <c r="N214" s="6"/>
    </row>
    <row r="215" spans="9:14" ht="12.75" customHeight="1">
      <c r="I215" s="6"/>
      <c r="N215" s="6"/>
    </row>
    <row r="216" spans="9:14" ht="12.75" customHeight="1">
      <c r="I216" s="6"/>
      <c r="N216" s="6"/>
    </row>
    <row r="217" spans="9:14" ht="12.75" customHeight="1">
      <c r="I217" s="6"/>
      <c r="N217" s="6"/>
    </row>
    <row r="218" spans="9:14" ht="12.75" customHeight="1">
      <c r="I218" s="6"/>
      <c r="N218" s="6"/>
    </row>
    <row r="219" spans="9:14" ht="12.75" customHeight="1">
      <c r="I219" s="6"/>
      <c r="N219" s="6"/>
    </row>
    <row r="220" spans="9:14" ht="12.75" customHeight="1">
      <c r="I220" s="6"/>
      <c r="N220" s="6"/>
    </row>
    <row r="221" spans="9:14" ht="12.75" customHeight="1">
      <c r="I221" s="6"/>
      <c r="N221" s="6"/>
    </row>
    <row r="222" spans="9:14" ht="12.75" customHeight="1">
      <c r="I222" s="6"/>
      <c r="N222" s="6"/>
    </row>
    <row r="223" spans="9:14" ht="12.75" customHeight="1">
      <c r="I223" s="6"/>
      <c r="N223" s="6"/>
    </row>
    <row r="224" spans="9:14" ht="12.75" customHeight="1">
      <c r="I224" s="6"/>
      <c r="N224" s="6"/>
    </row>
    <row r="225" spans="9:14" ht="12.75" customHeight="1">
      <c r="I225" s="6"/>
      <c r="N225" s="6"/>
    </row>
    <row r="226" spans="9:14" ht="12.75" customHeight="1">
      <c r="I226" s="6"/>
      <c r="N226" s="6"/>
    </row>
    <row r="227" spans="9:14" ht="12.75" customHeight="1">
      <c r="I227" s="6"/>
      <c r="N227" s="6"/>
    </row>
    <row r="228" spans="9:14" ht="12.75" customHeight="1">
      <c r="I228" s="6"/>
      <c r="N228" s="6"/>
    </row>
    <row r="229" spans="9:14" ht="12.75" customHeight="1">
      <c r="I229" s="6"/>
      <c r="N229" s="6"/>
    </row>
    <row r="230" spans="9:14" ht="12.75" customHeight="1">
      <c r="I230" s="6"/>
      <c r="N230" s="6"/>
    </row>
    <row r="231" spans="9:14" ht="12.75" customHeight="1">
      <c r="I231" s="6"/>
      <c r="N231" s="6"/>
    </row>
    <row r="232" spans="9:14" ht="12.75" customHeight="1">
      <c r="I232" s="6"/>
      <c r="N232" s="6"/>
    </row>
    <row r="233" spans="9:14" ht="12.75" customHeight="1">
      <c r="I233" s="6"/>
      <c r="N233" s="6"/>
    </row>
    <row r="234" spans="9:14" ht="12.75" customHeight="1">
      <c r="I234" s="6"/>
      <c r="N234" s="6"/>
    </row>
    <row r="235" spans="9:14" ht="12.75" customHeight="1">
      <c r="I235" s="6"/>
      <c r="N235" s="6"/>
    </row>
    <row r="236" spans="9:14" ht="12.75" customHeight="1">
      <c r="I236" s="6"/>
      <c r="N236" s="6"/>
    </row>
    <row r="237" spans="9:14" ht="12.75" customHeight="1">
      <c r="I237" s="6"/>
      <c r="N237" s="6"/>
    </row>
    <row r="238" spans="9:14" ht="12.75" customHeight="1">
      <c r="I238" s="6"/>
      <c r="N238" s="6"/>
    </row>
    <row r="239" spans="9:14" ht="12.75" customHeight="1">
      <c r="I239" s="6"/>
      <c r="N239" s="6"/>
    </row>
    <row r="240" spans="9:14" ht="12.75" customHeight="1">
      <c r="I240" s="6"/>
      <c r="N240" s="6"/>
    </row>
    <row r="241" spans="9:14" ht="12.75" customHeight="1">
      <c r="I241" s="6"/>
      <c r="N241" s="6"/>
    </row>
    <row r="242" spans="9:14" ht="12.75" customHeight="1">
      <c r="I242" s="6"/>
      <c r="N242" s="6"/>
    </row>
    <row r="243" spans="9:14" ht="12.75" customHeight="1">
      <c r="I243" s="6"/>
      <c r="N243" s="6"/>
    </row>
    <row r="244" spans="9:14" ht="12.75" customHeight="1">
      <c r="I244" s="6"/>
      <c r="N244" s="6"/>
    </row>
    <row r="245" spans="9:14" ht="12.75" customHeight="1">
      <c r="I245" s="6"/>
      <c r="N245" s="6"/>
    </row>
    <row r="246" spans="9:14" ht="12.75" customHeight="1"/>
    <row r="247" spans="9:14" ht="12.75" customHeight="1"/>
    <row r="248" spans="9:14" ht="12.75" customHeight="1"/>
    <row r="249" spans="9:14" ht="12.75" customHeight="1"/>
    <row r="250" spans="9:14" ht="12.75" customHeight="1"/>
    <row r="251" spans="9:14" ht="12.75" customHeight="1"/>
    <row r="252" spans="9:14" ht="12.75" customHeight="1"/>
    <row r="253" spans="9:14" ht="12.75" customHeight="1"/>
    <row r="254" spans="9:14" ht="12.75" customHeight="1"/>
    <row r="255" spans="9:14" ht="12.75" customHeight="1"/>
    <row r="256" spans="9:14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N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</vt:lpstr>
      <vt:lpstr>Profit and Loss (Non-IFRS)</vt:lpstr>
      <vt:lpstr>Profit and Loss (IFRS) </vt:lpstr>
      <vt:lpstr>Balance Sheet </vt:lpstr>
      <vt:lpstr>Cashflow YTD</vt:lpstr>
      <vt:lpstr>IFRS to Non-IFRS reconcilations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Workiva</dc:creator>
  <cp:lastModifiedBy>Gega Mukhigulashvili</cp:lastModifiedBy>
  <dcterms:modified xsi:type="dcterms:W3CDTF">2026-02-27T15:52:05Z</dcterms:modified>
</cp:coreProperties>
</file>