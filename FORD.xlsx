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B020FF3-B31F-4193-B08E-F4E08189DA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in" sheetId="1" r:id="rId1"/>
    <sheet name="F Model" sheetId="2" r:id="rId2"/>
    <sheet name="MSF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2" l="1"/>
  <c r="F59" i="2"/>
  <c r="E59" i="2"/>
  <c r="D59" i="2"/>
  <c r="F58" i="2"/>
  <c r="E58" i="2"/>
  <c r="D58" i="2"/>
  <c r="G59" i="2"/>
  <c r="G58" i="2"/>
  <c r="F57" i="2"/>
  <c r="E57" i="2"/>
  <c r="D57" i="2"/>
  <c r="G57" i="2"/>
  <c r="F27" i="2"/>
  <c r="E27" i="2"/>
  <c r="D27" i="2"/>
  <c r="G27" i="2"/>
  <c r="E29" i="3"/>
  <c r="D29" i="3"/>
  <c r="C29" i="3"/>
  <c r="F29" i="3"/>
  <c r="F22" i="2"/>
  <c r="E22" i="2"/>
  <c r="D22" i="2"/>
  <c r="H22" i="2"/>
  <c r="G22" i="2"/>
  <c r="E23" i="3"/>
  <c r="F23" i="3"/>
  <c r="M7" i="3"/>
  <c r="M10" i="3" s="1"/>
  <c r="F47" i="3"/>
  <c r="E47" i="3"/>
  <c r="F46" i="3"/>
  <c r="E46" i="3"/>
  <c r="F44" i="3"/>
  <c r="E44" i="3"/>
  <c r="F33" i="3"/>
  <c r="F42" i="3" s="1"/>
  <c r="E33" i="3"/>
  <c r="E42" i="3" s="1"/>
  <c r="F13" i="3"/>
  <c r="E13" i="3"/>
  <c r="D13" i="3"/>
  <c r="C13" i="3"/>
  <c r="F8" i="3"/>
  <c r="E8" i="3"/>
  <c r="D8" i="3"/>
  <c r="C8" i="3"/>
  <c r="F5" i="3"/>
  <c r="E5" i="3"/>
  <c r="D5" i="3"/>
  <c r="C5" i="3"/>
  <c r="F55" i="3" l="1"/>
  <c r="E55" i="3"/>
  <c r="M14" i="3"/>
  <c r="E51" i="3"/>
  <c r="F51" i="3"/>
  <c r="C9" i="3"/>
  <c r="C14" i="3" s="1"/>
  <c r="D9" i="3"/>
  <c r="D14" i="3" s="1"/>
  <c r="E9" i="3"/>
  <c r="E14" i="3" s="1"/>
  <c r="F9" i="3"/>
  <c r="F14" i="3" s="1"/>
  <c r="F25" i="3" s="1"/>
  <c r="E32" i="3"/>
  <c r="F32" i="3"/>
  <c r="F53" i="3" l="1"/>
  <c r="F57" i="3"/>
  <c r="F56" i="3"/>
  <c r="E53" i="3"/>
  <c r="E57" i="3"/>
  <c r="E56" i="3"/>
  <c r="E16" i="3"/>
  <c r="E18" i="3" s="1"/>
  <c r="E25" i="3"/>
  <c r="D16" i="3"/>
  <c r="D18" i="3" s="1"/>
  <c r="D62" i="3" s="1"/>
  <c r="D25" i="3"/>
  <c r="C16" i="3"/>
  <c r="C18" i="3" s="1"/>
  <c r="C62" i="3" s="1"/>
  <c r="C25" i="3"/>
  <c r="F16" i="3"/>
  <c r="F18" i="3" s="1"/>
  <c r="M15" i="3"/>
  <c r="D19" i="3" l="1"/>
  <c r="D23" i="3" s="1"/>
  <c r="C19" i="3"/>
  <c r="C23" i="3" s="1"/>
  <c r="F62" i="3"/>
  <c r="F27" i="3"/>
  <c r="F26" i="3"/>
  <c r="C27" i="3"/>
  <c r="C26" i="3"/>
  <c r="D27" i="3"/>
  <c r="D26" i="3"/>
  <c r="E62" i="3"/>
  <c r="E27" i="3"/>
  <c r="E26" i="3"/>
  <c r="M8" i="2" l="1"/>
  <c r="M7" i="2"/>
  <c r="M6" i="2"/>
  <c r="D90" i="2"/>
  <c r="D92" i="2" s="1"/>
  <c r="E90" i="2"/>
  <c r="E92" i="2" s="1"/>
  <c r="D84" i="2"/>
  <c r="D82" i="2"/>
  <c r="D81" i="2"/>
  <c r="E84" i="2"/>
  <c r="E82" i="2"/>
  <c r="E81" i="2"/>
  <c r="D71" i="2"/>
  <c r="E71" i="2"/>
  <c r="D67" i="2"/>
  <c r="D79" i="2" s="1"/>
  <c r="E67" i="2"/>
  <c r="E79" i="2" s="1"/>
  <c r="D37" i="2"/>
  <c r="D44" i="2" s="1"/>
  <c r="E37" i="2"/>
  <c r="E44" i="2" s="1"/>
  <c r="D3" i="2"/>
  <c r="D5" i="2" s="1"/>
  <c r="D7" i="2" s="1"/>
  <c r="E3" i="2"/>
  <c r="E5" i="2" s="1"/>
  <c r="E7" i="2" s="1"/>
  <c r="F90" i="2"/>
  <c r="F92" i="2" s="1"/>
  <c r="H92" i="2"/>
  <c r="G90" i="2"/>
  <c r="G92" i="2" s="1"/>
  <c r="F82" i="2"/>
  <c r="F81" i="2"/>
  <c r="F86" i="2" s="1"/>
  <c r="H86" i="2"/>
  <c r="G82" i="2"/>
  <c r="G81" i="2"/>
  <c r="G86" i="2" s="1"/>
  <c r="F79" i="2"/>
  <c r="H79" i="2"/>
  <c r="G79" i="2"/>
  <c r="F31" i="2"/>
  <c r="E31" i="2"/>
  <c r="D31" i="2"/>
  <c r="H31" i="2"/>
  <c r="G31" i="2"/>
  <c r="F53" i="2"/>
  <c r="F55" i="2" s="1"/>
  <c r="E53" i="2"/>
  <c r="E55" i="2" s="1"/>
  <c r="D53" i="2"/>
  <c r="D55" i="2" s="1"/>
  <c r="H53" i="2"/>
  <c r="H55" i="2" s="1"/>
  <c r="G53" i="2"/>
  <c r="G55" i="2" s="1"/>
  <c r="F44" i="2"/>
  <c r="H44" i="2"/>
  <c r="G44" i="2"/>
  <c r="F10" i="2"/>
  <c r="E10" i="2"/>
  <c r="D10" i="2"/>
  <c r="H10" i="2"/>
  <c r="G10" i="2"/>
  <c r="G5" i="2"/>
  <c r="G7" i="2" s="1"/>
  <c r="F5" i="2"/>
  <c r="F7" i="2" s="1"/>
  <c r="H5" i="2"/>
  <c r="H7" i="2" s="1"/>
  <c r="D86" i="2" l="1"/>
  <c r="M9" i="2"/>
  <c r="M12" i="2"/>
  <c r="E86" i="2"/>
  <c r="H94" i="2"/>
  <c r="G11" i="2"/>
  <c r="D94" i="2"/>
  <c r="E94" i="2"/>
  <c r="D11" i="2"/>
  <c r="F94" i="2"/>
  <c r="E11" i="2"/>
  <c r="G94" i="2"/>
  <c r="H11" i="2"/>
  <c r="H15" i="2" s="1"/>
  <c r="H17" i="2" s="1"/>
  <c r="F11" i="2"/>
  <c r="D15" i="2" l="1"/>
  <c r="D17" i="2" s="1"/>
  <c r="D24" i="2"/>
  <c r="E15" i="2"/>
  <c r="E17" i="2" s="1"/>
  <c r="E24" i="2"/>
  <c r="G15" i="2"/>
  <c r="G17" i="2" s="1"/>
  <c r="G24" i="2"/>
  <c r="F15" i="2"/>
  <c r="F17" i="2" s="1"/>
  <c r="F24" i="2"/>
  <c r="M13" i="2"/>
  <c r="D19" i="2"/>
  <c r="E19" i="2"/>
  <c r="F19" i="2"/>
  <c r="H19" i="2"/>
  <c r="H63" i="2"/>
  <c r="F26" i="2" l="1"/>
  <c r="F25" i="2"/>
  <c r="G63" i="2"/>
  <c r="G26" i="2"/>
  <c r="G25" i="2"/>
  <c r="G19" i="2"/>
  <c r="E63" i="2"/>
  <c r="E26" i="2"/>
  <c r="E25" i="2"/>
  <c r="F63" i="2"/>
  <c r="D63" i="2"/>
  <c r="D26" i="2"/>
  <c r="D25" i="2"/>
</calcChain>
</file>

<file path=xl/sharedStrings.xml><?xml version="1.0" encoding="utf-8"?>
<sst xmlns="http://schemas.openxmlformats.org/spreadsheetml/2006/main" count="184" uniqueCount="121">
  <si>
    <t>Company excluding Ford Credit</t>
  </si>
  <si>
    <t>Ford Credit</t>
  </si>
  <si>
    <t>Total Revenue</t>
  </si>
  <si>
    <t>COGS</t>
  </si>
  <si>
    <t>Gross Profit</t>
  </si>
  <si>
    <t>SG&amp;A</t>
  </si>
  <si>
    <t>Other</t>
  </si>
  <si>
    <t>OpEx</t>
  </si>
  <si>
    <t>OpInc</t>
  </si>
  <si>
    <t>IntExp</t>
  </si>
  <si>
    <t>Other Inc</t>
  </si>
  <si>
    <t>Pretax Income</t>
  </si>
  <si>
    <t>Taxes</t>
  </si>
  <si>
    <t>Net Income</t>
  </si>
  <si>
    <t>S/O</t>
  </si>
  <si>
    <t>EPS</t>
  </si>
  <si>
    <t>FY2024</t>
  </si>
  <si>
    <t>FY2025</t>
  </si>
  <si>
    <t>FY2021</t>
  </si>
  <si>
    <t>FY2022</t>
  </si>
  <si>
    <t>FY2023</t>
  </si>
  <si>
    <t>Cash</t>
  </si>
  <si>
    <t>M. Sec</t>
  </si>
  <si>
    <t>A/R</t>
  </si>
  <si>
    <t>Trade/R</t>
  </si>
  <si>
    <t>Inv.</t>
  </si>
  <si>
    <t>A/R, NC</t>
  </si>
  <si>
    <t>Lease ROU</t>
  </si>
  <si>
    <t>PP&amp;E</t>
  </si>
  <si>
    <t>Equity in companies</t>
  </si>
  <si>
    <t>D/T</t>
  </si>
  <si>
    <t>Other, NC</t>
  </si>
  <si>
    <t>Total assets</t>
  </si>
  <si>
    <t>A/P</t>
  </si>
  <si>
    <t>D/R</t>
  </si>
  <si>
    <t>Debt, NC</t>
  </si>
  <si>
    <t>Debt, NC, excluding ford credit</t>
  </si>
  <si>
    <t>Debt, NC, ford credit</t>
  </si>
  <si>
    <t>D/R, NC</t>
  </si>
  <si>
    <t>Debt, C, ford credit</t>
  </si>
  <si>
    <t>Debt, C, excluding ford credit</t>
  </si>
  <si>
    <t>D/I</t>
  </si>
  <si>
    <t>Total Liabilities</t>
  </si>
  <si>
    <t>SE</t>
  </si>
  <si>
    <t>L+SE</t>
  </si>
  <si>
    <t>Net Cash</t>
  </si>
  <si>
    <t>Model NI</t>
  </si>
  <si>
    <t>GAAP NI</t>
  </si>
  <si>
    <t>D&amp;A</t>
  </si>
  <si>
    <t>Other A</t>
  </si>
  <si>
    <t>Provision for losses</t>
  </si>
  <si>
    <t>Emp. Benefits</t>
  </si>
  <si>
    <t>EMI</t>
  </si>
  <si>
    <t>FX adj.</t>
  </si>
  <si>
    <t>Unrealized losses on Mar. Secs</t>
  </si>
  <si>
    <t>Stock comp.</t>
  </si>
  <si>
    <t>F/R</t>
  </si>
  <si>
    <t>A/P &amp; accrued</t>
  </si>
  <si>
    <t>CFFO</t>
  </si>
  <si>
    <t>CapEx</t>
  </si>
  <si>
    <t>Acquisitions</t>
  </si>
  <si>
    <t>Fin/R</t>
  </si>
  <si>
    <t>Mar. Secs.</t>
  </si>
  <si>
    <t>Derivatives</t>
  </si>
  <si>
    <t>Equity inv.</t>
  </si>
  <si>
    <t>CFFI</t>
  </si>
  <si>
    <t>Div</t>
  </si>
  <si>
    <t>Repurch.</t>
  </si>
  <si>
    <t>Debt, C</t>
  </si>
  <si>
    <t>CFFF</t>
  </si>
  <si>
    <t>CF</t>
  </si>
  <si>
    <t>P</t>
  </si>
  <si>
    <t>MC</t>
  </si>
  <si>
    <t>C</t>
  </si>
  <si>
    <t>D</t>
  </si>
  <si>
    <t>EV</t>
  </si>
  <si>
    <t>FY25</t>
  </si>
  <si>
    <t>FY21</t>
  </si>
  <si>
    <t>FY22</t>
  </si>
  <si>
    <t>FY23</t>
  </si>
  <si>
    <t>FY24</t>
  </si>
  <si>
    <t>Product</t>
  </si>
  <si>
    <t>Service and Other</t>
  </si>
  <si>
    <t>Revenue</t>
  </si>
  <si>
    <t>Product COGS</t>
  </si>
  <si>
    <t>Services COGS</t>
  </si>
  <si>
    <t>R&amp;D</t>
  </si>
  <si>
    <t>S&amp;M</t>
  </si>
  <si>
    <t>G&amp;A</t>
  </si>
  <si>
    <t>Operating Expenses</t>
  </si>
  <si>
    <t>Operating Income</t>
  </si>
  <si>
    <t>Other expenses</t>
  </si>
  <si>
    <t>Pre-Tax Income</t>
  </si>
  <si>
    <t>S/E</t>
  </si>
  <si>
    <t>Inventories</t>
  </si>
  <si>
    <t>OCA</t>
  </si>
  <si>
    <t>PP&amp;A</t>
  </si>
  <si>
    <t>Goodwill</t>
  </si>
  <si>
    <t>Intangibles</t>
  </si>
  <si>
    <t>ONCA</t>
  </si>
  <si>
    <t>Total Assets</t>
  </si>
  <si>
    <t>Debt</t>
  </si>
  <si>
    <t>Wages</t>
  </si>
  <si>
    <t>OCL</t>
  </si>
  <si>
    <t>Lease</t>
  </si>
  <si>
    <t>ONCL</t>
  </si>
  <si>
    <t>L + SE</t>
  </si>
  <si>
    <t>Compensation expense</t>
  </si>
  <si>
    <t>Investments</t>
  </si>
  <si>
    <t>Deferred income taxes</t>
  </si>
  <si>
    <t>Stock</t>
  </si>
  <si>
    <t>M/B</t>
  </si>
  <si>
    <t>EV/EBITDA</t>
  </si>
  <si>
    <t>Op Margin</t>
  </si>
  <si>
    <t>Net Margin</t>
  </si>
  <si>
    <t>ROE</t>
  </si>
  <si>
    <t>Current Ratio</t>
  </si>
  <si>
    <t>Book Debt-to-Equity</t>
  </si>
  <si>
    <t>Market Debt-to-Equity</t>
  </si>
  <si>
    <t>Int Coverage</t>
  </si>
  <si>
    <t>P/B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</si>
</sst>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right"/>
    </xf>
    <xf numFmtId="3" fontId="0" fillId="0" borderId="0" xfId="0" applyNumberFormat="1"/>
    <xf numFmtId="3" fontId="6" fillId="0" borderId="0" xfId="0" applyNumberFormat="1" applyFont="1"/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4" fontId="0" fillId="0" borderId="0" xfId="0" applyNumberFormat="1"/>
    <xf numFmtId="10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8" sqref="I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EBF2-F46C-4830-9E1D-A9697187E032}">
  <dimension ref="B2:M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14" sqref="M14"/>
    </sheetView>
  </sheetViews>
  <sheetFormatPr defaultRowHeight="13.2" x14ac:dyDescent="0.25"/>
  <cols>
    <col min="1" max="1" width="8.88671875" style="1"/>
    <col min="2" max="2" width="17.88671875" style="1" customWidth="1"/>
    <col min="3" max="11" width="8.88671875" style="1"/>
    <col min="12" max="12" width="9.88671875" style="1" bestFit="1" customWidth="1"/>
    <col min="13" max="16384" width="8.88671875" style="1"/>
  </cols>
  <sheetData>
    <row r="2" spans="2:13" x14ac:dyDescent="0.25">
      <c r="D2" s="1" t="s">
        <v>18</v>
      </c>
      <c r="E2" s="1" t="s">
        <v>19</v>
      </c>
      <c r="F2" s="1" t="s">
        <v>20</v>
      </c>
      <c r="G2" s="1" t="s">
        <v>16</v>
      </c>
      <c r="H2" s="1" t="s">
        <v>17</v>
      </c>
    </row>
    <row r="3" spans="2:13" s="3" customFormat="1" x14ac:dyDescent="0.25">
      <c r="B3" s="3" t="s">
        <v>0</v>
      </c>
      <c r="D3" s="3">
        <f>126150+118</f>
        <v>126268</v>
      </c>
      <c r="E3" s="3">
        <f>148980+99</f>
        <v>149079</v>
      </c>
      <c r="F3" s="3">
        <v>39085</v>
      </c>
      <c r="G3" s="3">
        <v>39890</v>
      </c>
    </row>
    <row r="4" spans="2:13" s="3" customFormat="1" x14ac:dyDescent="0.25">
      <c r="B4" s="3" t="s">
        <v>1</v>
      </c>
      <c r="D4" s="3">
        <v>10073</v>
      </c>
      <c r="E4" s="3">
        <v>8978</v>
      </c>
      <c r="F4" s="3">
        <v>2389</v>
      </c>
      <c r="G4" s="3">
        <v>2887</v>
      </c>
    </row>
    <row r="5" spans="2:13" s="4" customFormat="1" x14ac:dyDescent="0.25">
      <c r="B5" s="4" t="s">
        <v>2</v>
      </c>
      <c r="D5" s="4">
        <f t="shared" ref="D5:F5" si="0">SUM(D3:D4)</f>
        <v>136341</v>
      </c>
      <c r="E5" s="4">
        <f t="shared" si="0"/>
        <v>158057</v>
      </c>
      <c r="F5" s="4">
        <f t="shared" si="0"/>
        <v>41474</v>
      </c>
      <c r="G5" s="4">
        <f>SUM(G3:G4)</f>
        <v>42777</v>
      </c>
      <c r="H5" s="4">
        <f t="shared" ref="H5" si="1">SUM(H3:H4)</f>
        <v>0</v>
      </c>
      <c r="L5" s="3" t="s">
        <v>71</v>
      </c>
      <c r="M5" s="6">
        <v>13.13</v>
      </c>
    </row>
    <row r="6" spans="2:13" s="3" customFormat="1" x14ac:dyDescent="0.25">
      <c r="B6" s="3" t="s">
        <v>3</v>
      </c>
      <c r="D6" s="3">
        <v>114651</v>
      </c>
      <c r="E6" s="3">
        <v>134397</v>
      </c>
      <c r="F6" s="3">
        <v>34669</v>
      </c>
      <c r="G6" s="3">
        <v>36476</v>
      </c>
      <c r="L6" s="3" t="s">
        <v>72</v>
      </c>
      <c r="M6" s="3">
        <f>+M5*G18</f>
        <v>52244.270000000004</v>
      </c>
    </row>
    <row r="7" spans="2:13" s="4" customFormat="1" x14ac:dyDescent="0.25">
      <c r="B7" s="4" t="s">
        <v>4</v>
      </c>
      <c r="D7" s="4">
        <f t="shared" ref="D7:F7" si="2">D5-D6</f>
        <v>21690</v>
      </c>
      <c r="E7" s="4">
        <f t="shared" si="2"/>
        <v>23660</v>
      </c>
      <c r="F7" s="4">
        <f t="shared" si="2"/>
        <v>6805</v>
      </c>
      <c r="G7" s="4">
        <f>G5-G6</f>
        <v>6301</v>
      </c>
      <c r="H7" s="4">
        <f t="shared" ref="H7" si="3">H5-H6</f>
        <v>0</v>
      </c>
      <c r="L7" s="3" t="s">
        <v>73</v>
      </c>
      <c r="M7" s="3">
        <f>+G32+G33</f>
        <v>34463</v>
      </c>
    </row>
    <row r="8" spans="2:13" s="3" customFormat="1" x14ac:dyDescent="0.25">
      <c r="B8" s="3" t="s">
        <v>5</v>
      </c>
      <c r="D8" s="3">
        <v>11915</v>
      </c>
      <c r="E8" s="3">
        <v>10888</v>
      </c>
      <c r="F8" s="3">
        <v>2506</v>
      </c>
      <c r="G8" s="3">
        <v>2376</v>
      </c>
      <c r="L8" s="3" t="s">
        <v>74</v>
      </c>
      <c r="M8" s="3">
        <f>+G47+G48+G50+G51</f>
        <v>149415</v>
      </c>
    </row>
    <row r="9" spans="2:13" s="3" customFormat="1" x14ac:dyDescent="0.25">
      <c r="B9" s="3" t="s">
        <v>6</v>
      </c>
      <c r="D9" s="3">
        <v>5252</v>
      </c>
      <c r="E9" s="3">
        <v>6496</v>
      </c>
      <c r="F9" s="3">
        <v>2186</v>
      </c>
      <c r="G9" s="3">
        <v>2700</v>
      </c>
      <c r="L9" s="3" t="s">
        <v>75</v>
      </c>
      <c r="M9" s="3">
        <f>+M6-M7+M8</f>
        <v>167196.27000000002</v>
      </c>
    </row>
    <row r="10" spans="2:13" s="4" customFormat="1" x14ac:dyDescent="0.25">
      <c r="B10" s="4" t="s">
        <v>7</v>
      </c>
      <c r="D10" s="4">
        <f t="shared" ref="D10:F10" si="4">SUM(D8:D9)</f>
        <v>17167</v>
      </c>
      <c r="E10" s="4">
        <f t="shared" si="4"/>
        <v>17384</v>
      </c>
      <c r="F10" s="4">
        <f t="shared" si="4"/>
        <v>4692</v>
      </c>
      <c r="G10" s="4">
        <f>SUM(G8:G9)</f>
        <v>5076</v>
      </c>
      <c r="H10" s="4">
        <f t="shared" ref="H10" si="5">SUM(H8:H9)</f>
        <v>0</v>
      </c>
    </row>
    <row r="11" spans="2:13" s="4" customFormat="1" x14ac:dyDescent="0.25">
      <c r="B11" s="4" t="s">
        <v>8</v>
      </c>
      <c r="D11" s="4">
        <f t="shared" ref="D11:F11" si="6">D7-D10</f>
        <v>4523</v>
      </c>
      <c r="E11" s="4">
        <f t="shared" si="6"/>
        <v>6276</v>
      </c>
      <c r="F11" s="4">
        <f t="shared" si="6"/>
        <v>2113</v>
      </c>
      <c r="G11" s="4">
        <f>G7-G10</f>
        <v>1225</v>
      </c>
      <c r="H11" s="4">
        <f t="shared" ref="H11" si="7">H7-H10</f>
        <v>0</v>
      </c>
    </row>
    <row r="12" spans="2:13" s="3" customFormat="1" x14ac:dyDescent="0.25">
      <c r="B12" s="3" t="s">
        <v>9</v>
      </c>
      <c r="D12" s="3">
        <v>1803</v>
      </c>
      <c r="E12" s="3">
        <v>1259</v>
      </c>
      <c r="F12" s="3">
        <v>308</v>
      </c>
      <c r="G12" s="3">
        <v>278</v>
      </c>
      <c r="L12" s="3" t="s">
        <v>111</v>
      </c>
      <c r="M12" s="6">
        <f>M6/G54</f>
        <v>1.2179003193696529</v>
      </c>
    </row>
    <row r="13" spans="2:13" s="3" customFormat="1" ht="14.4" x14ac:dyDescent="0.3">
      <c r="B13" s="3" t="s">
        <v>10</v>
      </c>
      <c r="D13" s="3">
        <v>14733</v>
      </c>
      <c r="E13" s="3">
        <v>-5150</v>
      </c>
      <c r="F13" s="3">
        <v>224</v>
      </c>
      <c r="G13" s="3">
        <v>498</v>
      </c>
      <c r="L13" s="10" t="s">
        <v>112</v>
      </c>
      <c r="M13" s="6">
        <f>M9/(G11+G65)</f>
        <v>53.830093367675474</v>
      </c>
    </row>
    <row r="14" spans="2:13" s="3" customFormat="1" x14ac:dyDescent="0.25">
      <c r="B14" s="3" t="s">
        <v>6</v>
      </c>
      <c r="D14" s="3">
        <v>327</v>
      </c>
      <c r="E14" s="3">
        <v>-2883</v>
      </c>
      <c r="F14" s="3">
        <v>130</v>
      </c>
      <c r="G14" s="3">
        <v>167</v>
      </c>
      <c r="L14" s="3" t="s">
        <v>111</v>
      </c>
      <c r="M14" s="6">
        <f>M6/G54</f>
        <v>1.2179003193696529</v>
      </c>
    </row>
    <row r="15" spans="2:13" s="4" customFormat="1" x14ac:dyDescent="0.25">
      <c r="B15" s="4" t="s">
        <v>11</v>
      </c>
      <c r="D15" s="4">
        <f t="shared" ref="D15:F15" si="8">+D11-D12+D13+D14</f>
        <v>17780</v>
      </c>
      <c r="E15" s="4">
        <f t="shared" si="8"/>
        <v>-3016</v>
      </c>
      <c r="F15" s="4">
        <f t="shared" si="8"/>
        <v>2159</v>
      </c>
      <c r="G15" s="4">
        <f>+G11-G12+G13+G14</f>
        <v>1612</v>
      </c>
      <c r="H15" s="4">
        <f t="shared" ref="H15" si="9">+H11-H12+H13+H14</f>
        <v>0</v>
      </c>
    </row>
    <row r="16" spans="2:13" s="3" customFormat="1" x14ac:dyDescent="0.25">
      <c r="B16" s="3" t="s">
        <v>12</v>
      </c>
      <c r="D16" s="3">
        <v>-130</v>
      </c>
      <c r="E16" s="3">
        <v>-864</v>
      </c>
      <c r="F16" s="3">
        <v>496</v>
      </c>
      <c r="G16" s="3">
        <v>278</v>
      </c>
    </row>
    <row r="17" spans="2:8" s="4" customFormat="1" x14ac:dyDescent="0.25">
      <c r="B17" s="4" t="s">
        <v>13</v>
      </c>
      <c r="D17" s="4">
        <f t="shared" ref="D17:F17" si="10">D15-D16</f>
        <v>17910</v>
      </c>
      <c r="E17" s="4">
        <f t="shared" si="10"/>
        <v>-2152</v>
      </c>
      <c r="F17" s="4">
        <f t="shared" si="10"/>
        <v>1663</v>
      </c>
      <c r="G17" s="4">
        <f>G15-G16</f>
        <v>1334</v>
      </c>
      <c r="H17" s="4">
        <f t="shared" ref="H17" si="11">H15-H16</f>
        <v>0</v>
      </c>
    </row>
    <row r="18" spans="2:8" s="3" customFormat="1" x14ac:dyDescent="0.25">
      <c r="B18" s="3" t="s">
        <v>14</v>
      </c>
      <c r="D18" s="3">
        <v>3991</v>
      </c>
      <c r="E18" s="3">
        <v>4014</v>
      </c>
      <c r="F18" s="3">
        <v>3990</v>
      </c>
      <c r="G18" s="3">
        <v>3979</v>
      </c>
    </row>
    <row r="19" spans="2:8" s="2" customFormat="1" x14ac:dyDescent="0.25">
      <c r="B19" s="2" t="s">
        <v>15</v>
      </c>
      <c r="D19" s="5">
        <f t="shared" ref="D19:F19" si="12">D17/D18</f>
        <v>4.4875970934602858</v>
      </c>
      <c r="E19" s="5">
        <f t="shared" si="12"/>
        <v>-0.53612356751370205</v>
      </c>
      <c r="F19" s="5">
        <f t="shared" si="12"/>
        <v>0.41679197994987471</v>
      </c>
      <c r="G19" s="5">
        <f>G17/G18</f>
        <v>0.33526011560693642</v>
      </c>
      <c r="H19" s="5" t="e">
        <f t="shared" ref="H19" si="13">H17/H18</f>
        <v>#DIV/0!</v>
      </c>
    </row>
    <row r="21" spans="2:8" s="6" customFormat="1" x14ac:dyDescent="0.25">
      <c r="B21" s="6" t="s">
        <v>71</v>
      </c>
      <c r="D21" s="6">
        <v>20.77</v>
      </c>
      <c r="E21" s="6">
        <v>11.63</v>
      </c>
      <c r="F21" s="6">
        <v>12.19</v>
      </c>
      <c r="G21" s="6">
        <v>9.9</v>
      </c>
    </row>
    <row r="22" spans="2:8" s="3" customFormat="1" x14ac:dyDescent="0.25">
      <c r="B22" s="3" t="s">
        <v>72</v>
      </c>
      <c r="D22" s="3">
        <f t="shared" ref="D22:F22" si="14">D21*D18</f>
        <v>82893.069999999992</v>
      </c>
      <c r="E22" s="3">
        <f t="shared" si="14"/>
        <v>46682.82</v>
      </c>
      <c r="F22" s="3">
        <f t="shared" si="14"/>
        <v>48638.1</v>
      </c>
      <c r="G22" s="3">
        <f>G21*G18</f>
        <v>39392.1</v>
      </c>
      <c r="H22" s="3">
        <f t="shared" ref="H22" si="15">H21*H18</f>
        <v>0</v>
      </c>
    </row>
    <row r="23" spans="2:8" s="3" customFormat="1" x14ac:dyDescent="0.25"/>
    <row r="24" spans="2:8" s="15" customFormat="1" x14ac:dyDescent="0.25">
      <c r="B24" s="15" t="s">
        <v>113</v>
      </c>
      <c r="D24" s="15">
        <f t="shared" ref="D24:G24" si="16">D11/D5</f>
        <v>3.317417357948086E-2</v>
      </c>
      <c r="E24" s="15">
        <f t="shared" si="16"/>
        <v>3.9707194240052639E-2</v>
      </c>
      <c r="F24" s="15">
        <f t="shared" si="16"/>
        <v>5.0947581617398853E-2</v>
      </c>
      <c r="G24" s="15">
        <f>G11/G5</f>
        <v>2.8636884306987399E-2</v>
      </c>
    </row>
    <row r="25" spans="2:8" s="15" customFormat="1" x14ac:dyDescent="0.25">
      <c r="B25" s="15" t="s">
        <v>114</v>
      </c>
      <c r="D25" s="15">
        <f t="shared" ref="D25:G25" si="17">D17/D5</f>
        <v>0.13136180605980594</v>
      </c>
      <c r="E25" s="15">
        <f t="shared" si="17"/>
        <v>-1.3615341300923085E-2</v>
      </c>
      <c r="F25" s="15">
        <f t="shared" si="17"/>
        <v>4.0097410425808944E-2</v>
      </c>
      <c r="G25" s="15">
        <f>G17/G5</f>
        <v>3.1184982584098932E-2</v>
      </c>
    </row>
    <row r="26" spans="2:8" s="15" customFormat="1" x14ac:dyDescent="0.25">
      <c r="B26" s="15" t="s">
        <v>115</v>
      </c>
      <c r="D26" s="15">
        <f t="shared" ref="D26:G26" si="18">D17/D54</f>
        <v>0.3683517749167044</v>
      </c>
      <c r="E26" s="15">
        <f t="shared" si="18"/>
        <v>-4.985289688882711E-2</v>
      </c>
      <c r="F26" s="15">
        <f t="shared" si="18"/>
        <v>3.8856955932520212E-2</v>
      </c>
      <c r="G26" s="15">
        <f>G17/G54</f>
        <v>3.1097745763106976E-2</v>
      </c>
    </row>
    <row r="27" spans="2:8" s="3" customFormat="1" x14ac:dyDescent="0.25">
      <c r="B27" s="1" t="s">
        <v>119</v>
      </c>
      <c r="D27" s="6">
        <f t="shared" ref="D27:G27" si="19">D11/(-D12+D13+D14)</f>
        <v>0.34117824545523118</v>
      </c>
      <c r="E27" s="6">
        <f t="shared" si="19"/>
        <v>-0.6754197158846319</v>
      </c>
      <c r="F27" s="6">
        <f t="shared" si="19"/>
        <v>45.934782608695649</v>
      </c>
      <c r="G27" s="6">
        <f>G11/(-G12+G13+G14)</f>
        <v>3.1653746770025841</v>
      </c>
    </row>
    <row r="28" spans="2:8" s="3" customFormat="1" x14ac:dyDescent="0.25">
      <c r="B28" s="1"/>
    </row>
    <row r="29" spans="2:8" s="3" customFormat="1" x14ac:dyDescent="0.25">
      <c r="B29" s="1"/>
    </row>
    <row r="30" spans="2:8" s="3" customFormat="1" x14ac:dyDescent="0.25"/>
    <row r="31" spans="2:8" s="3" customFormat="1" x14ac:dyDescent="0.25">
      <c r="B31" s="3" t="s">
        <v>45</v>
      </c>
      <c r="D31" s="3">
        <f t="shared" ref="D31:F31" si="20">+D32+D33-D47-D48-D50-D51</f>
        <v>-88499</v>
      </c>
      <c r="E31" s="3">
        <f t="shared" si="20"/>
        <v>-94899</v>
      </c>
      <c r="F31" s="3">
        <f t="shared" si="20"/>
        <v>-109060</v>
      </c>
      <c r="G31" s="3">
        <f>+G32+G33-G47-G48-G50-G51</f>
        <v>-114952</v>
      </c>
      <c r="H31" s="3">
        <f t="shared" ref="H31" si="21">+H32+H33-H47-H48-H50-H51</f>
        <v>0</v>
      </c>
    </row>
    <row r="32" spans="2:8" s="3" customFormat="1" x14ac:dyDescent="0.25">
      <c r="B32" s="3" t="s">
        <v>21</v>
      </c>
      <c r="D32" s="3">
        <v>20540</v>
      </c>
      <c r="E32" s="3">
        <v>25134</v>
      </c>
      <c r="F32" s="3">
        <v>24862</v>
      </c>
      <c r="G32" s="3">
        <v>19721</v>
      </c>
    </row>
    <row r="33" spans="2:8" s="3" customFormat="1" x14ac:dyDescent="0.25">
      <c r="B33" s="3" t="s">
        <v>22</v>
      </c>
      <c r="D33" s="3">
        <v>29053</v>
      </c>
      <c r="E33" s="3">
        <v>18936</v>
      </c>
      <c r="F33" s="3">
        <v>15309</v>
      </c>
      <c r="G33" s="3">
        <v>14742</v>
      </c>
    </row>
    <row r="34" spans="2:8" s="3" customFormat="1" x14ac:dyDescent="0.25">
      <c r="B34" s="3" t="s">
        <v>23</v>
      </c>
      <c r="D34" s="3">
        <v>32543</v>
      </c>
      <c r="E34" s="3">
        <v>38720</v>
      </c>
      <c r="F34" s="3">
        <v>46425</v>
      </c>
      <c r="G34" s="3">
        <v>44600</v>
      </c>
    </row>
    <row r="35" spans="2:8" s="3" customFormat="1" x14ac:dyDescent="0.25">
      <c r="B35" s="3" t="s">
        <v>24</v>
      </c>
      <c r="D35" s="3">
        <v>11370</v>
      </c>
      <c r="E35" s="3">
        <v>15729</v>
      </c>
      <c r="F35" s="3">
        <v>15601</v>
      </c>
      <c r="G35" s="3">
        <v>18698</v>
      </c>
    </row>
    <row r="36" spans="2:8" s="3" customFormat="1" x14ac:dyDescent="0.25">
      <c r="B36" s="3" t="s">
        <v>25</v>
      </c>
      <c r="D36" s="3">
        <v>12065</v>
      </c>
      <c r="E36" s="3">
        <v>14080</v>
      </c>
      <c r="F36" s="3">
        <v>15651</v>
      </c>
      <c r="G36" s="3">
        <v>18632</v>
      </c>
    </row>
    <row r="37" spans="2:8" s="3" customFormat="1" x14ac:dyDescent="0.25">
      <c r="B37" s="3" t="s">
        <v>6</v>
      </c>
      <c r="D37" s="3">
        <f>3416+9</f>
        <v>3425</v>
      </c>
      <c r="E37" s="3">
        <f>97+3780</f>
        <v>3877</v>
      </c>
      <c r="F37" s="3">
        <v>3633</v>
      </c>
      <c r="G37" s="3">
        <v>4202</v>
      </c>
    </row>
    <row r="38" spans="2:8" s="3" customFormat="1" x14ac:dyDescent="0.25">
      <c r="B38" s="3" t="s">
        <v>26</v>
      </c>
      <c r="D38" s="3">
        <v>51256</v>
      </c>
      <c r="E38" s="3">
        <v>49903</v>
      </c>
      <c r="F38" s="3">
        <v>55650</v>
      </c>
      <c r="G38" s="3">
        <v>56985</v>
      </c>
    </row>
    <row r="39" spans="2:8" s="3" customFormat="1" x14ac:dyDescent="0.25">
      <c r="B39" s="3" t="s">
        <v>27</v>
      </c>
      <c r="D39" s="3">
        <v>26361</v>
      </c>
      <c r="E39" s="3">
        <v>22772</v>
      </c>
      <c r="F39" s="3">
        <v>21384</v>
      </c>
      <c r="G39" s="3">
        <v>21118</v>
      </c>
    </row>
    <row r="40" spans="2:8" s="3" customFormat="1" x14ac:dyDescent="0.25">
      <c r="B40" s="3" t="s">
        <v>28</v>
      </c>
      <c r="D40" s="3">
        <v>37139</v>
      </c>
      <c r="E40" s="3">
        <v>37265</v>
      </c>
      <c r="F40" s="3">
        <v>40821</v>
      </c>
      <c r="G40" s="3">
        <v>40515</v>
      </c>
    </row>
    <row r="41" spans="2:8" s="3" customFormat="1" x14ac:dyDescent="0.25">
      <c r="B41" s="3" t="s">
        <v>29</v>
      </c>
      <c r="D41" s="3">
        <v>4545</v>
      </c>
      <c r="E41" s="3">
        <v>2798</v>
      </c>
      <c r="F41" s="3">
        <v>5548</v>
      </c>
      <c r="G41" s="3">
        <v>6336</v>
      </c>
    </row>
    <row r="42" spans="2:8" s="3" customFormat="1" x14ac:dyDescent="0.25">
      <c r="B42" s="3" t="s">
        <v>30</v>
      </c>
      <c r="D42" s="3">
        <v>13796</v>
      </c>
      <c r="E42" s="3">
        <v>15552</v>
      </c>
      <c r="F42" s="3">
        <v>16985</v>
      </c>
      <c r="G42" s="3">
        <v>16726</v>
      </c>
    </row>
    <row r="43" spans="2:8" s="3" customFormat="1" x14ac:dyDescent="0.25">
      <c r="B43" s="3" t="s">
        <v>31</v>
      </c>
      <c r="D43" s="3">
        <v>14942</v>
      </c>
      <c r="E43" s="3">
        <v>11118</v>
      </c>
      <c r="F43" s="3">
        <v>11441</v>
      </c>
      <c r="G43" s="3">
        <v>12066</v>
      </c>
    </row>
    <row r="44" spans="2:8" s="4" customFormat="1" x14ac:dyDescent="0.25">
      <c r="B44" s="4" t="s">
        <v>32</v>
      </c>
      <c r="D44" s="4">
        <f t="shared" ref="D44:F44" si="22">SUM(D32:D43)</f>
        <v>257035</v>
      </c>
      <c r="E44" s="4">
        <f t="shared" si="22"/>
        <v>255884</v>
      </c>
      <c r="F44" s="4">
        <f t="shared" si="22"/>
        <v>273310</v>
      </c>
      <c r="G44" s="4">
        <f>SUM(G32:G43)</f>
        <v>274341</v>
      </c>
      <c r="H44" s="4">
        <f t="shared" ref="H44" si="23">SUM(H32:H43)</f>
        <v>0</v>
      </c>
    </row>
    <row r="45" spans="2:8" s="3" customFormat="1" x14ac:dyDescent="0.25">
      <c r="B45" s="3" t="s">
        <v>33</v>
      </c>
      <c r="D45" s="3">
        <v>22349</v>
      </c>
      <c r="E45" s="3">
        <v>25605</v>
      </c>
      <c r="F45" s="3">
        <v>25992</v>
      </c>
      <c r="G45" s="3">
        <v>27384</v>
      </c>
    </row>
    <row r="46" spans="2:8" s="3" customFormat="1" x14ac:dyDescent="0.25">
      <c r="B46" s="3" t="s">
        <v>34</v>
      </c>
      <c r="D46" s="3">
        <v>18686</v>
      </c>
      <c r="E46" s="3">
        <v>21097</v>
      </c>
      <c r="F46" s="3">
        <v>25870</v>
      </c>
      <c r="G46" s="3">
        <v>26032</v>
      </c>
    </row>
    <row r="47" spans="2:8" s="3" customFormat="1" x14ac:dyDescent="0.25">
      <c r="B47" s="3" t="s">
        <v>40</v>
      </c>
      <c r="D47" s="3">
        <v>3175</v>
      </c>
      <c r="E47" s="3">
        <v>730</v>
      </c>
      <c r="F47" s="3">
        <v>477</v>
      </c>
      <c r="G47" s="3">
        <v>727</v>
      </c>
    </row>
    <row r="48" spans="2:8" s="3" customFormat="1" x14ac:dyDescent="0.25">
      <c r="B48" s="3" t="s">
        <v>39</v>
      </c>
      <c r="D48" s="3">
        <v>46517</v>
      </c>
      <c r="E48" s="3">
        <v>49434</v>
      </c>
      <c r="F48" s="3">
        <v>49192</v>
      </c>
      <c r="G48" s="3">
        <v>49063</v>
      </c>
    </row>
    <row r="49" spans="2:8" s="3" customFormat="1" x14ac:dyDescent="0.25">
      <c r="B49" s="3" t="s">
        <v>38</v>
      </c>
      <c r="D49" s="3">
        <v>27705</v>
      </c>
      <c r="E49" s="3">
        <v>25497</v>
      </c>
      <c r="F49" s="3">
        <v>28414</v>
      </c>
      <c r="G49" s="3">
        <v>27724</v>
      </c>
    </row>
    <row r="50" spans="2:8" s="3" customFormat="1" x14ac:dyDescent="0.25">
      <c r="B50" s="3" t="s">
        <v>36</v>
      </c>
      <c r="D50" s="3">
        <v>17200</v>
      </c>
      <c r="E50" s="3">
        <v>19200</v>
      </c>
      <c r="F50" s="3">
        <v>19467</v>
      </c>
      <c r="G50" s="3">
        <v>19430</v>
      </c>
    </row>
    <row r="51" spans="2:8" s="3" customFormat="1" x14ac:dyDescent="0.25">
      <c r="B51" s="3" t="s">
        <v>37</v>
      </c>
      <c r="D51" s="3">
        <v>71200</v>
      </c>
      <c r="E51" s="3">
        <v>69605</v>
      </c>
      <c r="F51" s="3">
        <v>80095</v>
      </c>
      <c r="G51" s="3">
        <v>80195</v>
      </c>
    </row>
    <row r="52" spans="2:8" s="3" customFormat="1" x14ac:dyDescent="0.25">
      <c r="B52" s="3" t="s">
        <v>41</v>
      </c>
      <c r="D52" s="3">
        <v>1581</v>
      </c>
      <c r="E52" s="3">
        <v>1549</v>
      </c>
      <c r="F52" s="3">
        <v>1005</v>
      </c>
      <c r="G52" s="3">
        <v>889</v>
      </c>
    </row>
    <row r="53" spans="2:8" s="4" customFormat="1" x14ac:dyDescent="0.25">
      <c r="B53" s="4" t="s">
        <v>42</v>
      </c>
      <c r="D53" s="4">
        <f t="shared" ref="D53:F53" si="24">SUM(D45:D52)</f>
        <v>208413</v>
      </c>
      <c r="E53" s="4">
        <f t="shared" si="24"/>
        <v>212717</v>
      </c>
      <c r="F53" s="4">
        <f t="shared" si="24"/>
        <v>230512</v>
      </c>
      <c r="G53" s="4">
        <f>SUM(G45:G52)</f>
        <v>231444</v>
      </c>
      <c r="H53" s="4">
        <f t="shared" ref="H53" si="25">SUM(H45:H52)</f>
        <v>0</v>
      </c>
    </row>
    <row r="54" spans="2:8" s="3" customFormat="1" x14ac:dyDescent="0.25">
      <c r="B54" s="3" t="s">
        <v>43</v>
      </c>
      <c r="D54" s="3">
        <v>48622</v>
      </c>
      <c r="E54" s="3">
        <v>43167</v>
      </c>
      <c r="F54" s="3">
        <v>42798</v>
      </c>
      <c r="G54" s="3">
        <v>42897</v>
      </c>
    </row>
    <row r="55" spans="2:8" s="4" customFormat="1" x14ac:dyDescent="0.25">
      <c r="B55" s="4" t="s">
        <v>44</v>
      </c>
      <c r="D55" s="4">
        <f t="shared" ref="D55:F55" si="26">D53+D54</f>
        <v>257035</v>
      </c>
      <c r="E55" s="4">
        <f t="shared" si="26"/>
        <v>255884</v>
      </c>
      <c r="F55" s="4">
        <f t="shared" si="26"/>
        <v>273310</v>
      </c>
      <c r="G55" s="4">
        <f>G53+G54</f>
        <v>274341</v>
      </c>
      <c r="H55" s="4">
        <f t="shared" ref="H55" si="27">H53+H54</f>
        <v>0</v>
      </c>
    </row>
    <row r="57" spans="2:8" x14ac:dyDescent="0.25">
      <c r="B57" s="1" t="s">
        <v>116</v>
      </c>
      <c r="D57" s="6">
        <f t="shared" ref="D57:G57" si="28">SUM(D32:D37)/SUM(D45:D48)</f>
        <v>1.2013623287444752</v>
      </c>
      <c r="E57" s="6">
        <f t="shared" si="28"/>
        <v>1.2024446142093201</v>
      </c>
      <c r="F57" s="6">
        <f t="shared" si="28"/>
        <v>1.1964917118909495</v>
      </c>
      <c r="G57" s="6">
        <f>SUM(G32:G37)/SUM(G45:G48)</f>
        <v>1.1684882661860745</v>
      </c>
    </row>
    <row r="58" spans="2:8" x14ac:dyDescent="0.25">
      <c r="B58" s="1" t="s">
        <v>117</v>
      </c>
      <c r="D58" s="6">
        <f t="shared" ref="D58:G58" si="29">D53/D54</f>
        <v>4.2863929908271974</v>
      </c>
      <c r="E58" s="6">
        <f t="shared" si="29"/>
        <v>4.9277688975374705</v>
      </c>
      <c r="F58" s="6">
        <f t="shared" si="29"/>
        <v>5.3860460769194818</v>
      </c>
      <c r="G58" s="6">
        <f>G53/G54</f>
        <v>5.3953423316315829</v>
      </c>
    </row>
    <row r="59" spans="2:8" x14ac:dyDescent="0.25">
      <c r="B59" s="1" t="s">
        <v>118</v>
      </c>
      <c r="D59" s="6">
        <f t="shared" ref="D59:G59" si="30">D53/$M$6</f>
        <v>3.989203026475439</v>
      </c>
      <c r="E59" s="6">
        <f t="shared" si="30"/>
        <v>4.0715852666713497</v>
      </c>
      <c r="F59" s="6">
        <f t="shared" si="30"/>
        <v>4.4121967825371087</v>
      </c>
      <c r="G59" s="6">
        <f>G53/$M$6</f>
        <v>4.4300360594568549</v>
      </c>
    </row>
    <row r="63" spans="2:8" s="3" customFormat="1" x14ac:dyDescent="0.25">
      <c r="B63" s="3" t="s">
        <v>46</v>
      </c>
      <c r="D63" s="3">
        <f t="shared" ref="D63:G63" si="31">D17</f>
        <v>17910</v>
      </c>
      <c r="E63" s="3">
        <f t="shared" si="31"/>
        <v>-2152</v>
      </c>
      <c r="F63" s="3">
        <f t="shared" si="31"/>
        <v>1663</v>
      </c>
      <c r="G63" s="3">
        <f t="shared" si="31"/>
        <v>1334</v>
      </c>
      <c r="H63" s="3">
        <f>H17</f>
        <v>0</v>
      </c>
    </row>
    <row r="64" spans="2:8" s="3" customFormat="1" x14ac:dyDescent="0.25">
      <c r="B64" s="3" t="s">
        <v>47</v>
      </c>
      <c r="D64" s="3">
        <v>17910</v>
      </c>
      <c r="E64" s="3">
        <v>-2152</v>
      </c>
      <c r="F64" s="3">
        <v>1663</v>
      </c>
      <c r="G64" s="3">
        <v>1334</v>
      </c>
    </row>
    <row r="65" spans="2:8" s="3" customFormat="1" x14ac:dyDescent="0.25">
      <c r="B65" s="3" t="s">
        <v>48</v>
      </c>
      <c r="D65" s="3">
        <v>7318</v>
      </c>
      <c r="E65" s="3">
        <v>7642</v>
      </c>
      <c r="F65" s="3">
        <v>1897</v>
      </c>
      <c r="G65" s="3">
        <v>1881</v>
      </c>
    </row>
    <row r="66" spans="2:8" s="3" customFormat="1" x14ac:dyDescent="0.25">
      <c r="B66" s="3" t="s">
        <v>49</v>
      </c>
      <c r="D66" s="3">
        <v>-1358</v>
      </c>
      <c r="E66" s="3">
        <v>-1149</v>
      </c>
      <c r="F66" s="3">
        <v>-272</v>
      </c>
      <c r="G66" s="3">
        <v>-376</v>
      </c>
    </row>
    <row r="67" spans="2:8" s="3" customFormat="1" x14ac:dyDescent="0.25">
      <c r="B67" s="3" t="s">
        <v>50</v>
      </c>
      <c r="D67" s="3">
        <f>48+1702-298</f>
        <v>1452</v>
      </c>
      <c r="E67" s="3">
        <f>32-82+121+46</f>
        <v>117</v>
      </c>
      <c r="F67" s="3">
        <v>83</v>
      </c>
      <c r="G67" s="3">
        <v>126</v>
      </c>
    </row>
    <row r="68" spans="2:8" s="3" customFormat="1" x14ac:dyDescent="0.25">
      <c r="B68" s="3" t="s">
        <v>51</v>
      </c>
      <c r="D68" s="3">
        <v>-4865</v>
      </c>
      <c r="E68" s="3">
        <v>-378</v>
      </c>
      <c r="F68" s="3">
        <v>303</v>
      </c>
      <c r="G68" s="3">
        <v>166</v>
      </c>
    </row>
    <row r="69" spans="2:8" s="3" customFormat="1" x14ac:dyDescent="0.25">
      <c r="B69" s="3" t="s">
        <v>52</v>
      </c>
      <c r="D69" s="3">
        <v>116</v>
      </c>
      <c r="E69" s="3">
        <v>3324</v>
      </c>
      <c r="F69" s="3">
        <v>-7</v>
      </c>
      <c r="G69" s="3">
        <v>-154</v>
      </c>
    </row>
    <row r="70" spans="2:8" s="3" customFormat="1" x14ac:dyDescent="0.25">
      <c r="B70" s="3" t="s">
        <v>53</v>
      </c>
      <c r="D70" s="3">
        <v>532</v>
      </c>
      <c r="E70" s="3">
        <v>-27</v>
      </c>
      <c r="F70" s="3">
        <v>-94</v>
      </c>
      <c r="G70" s="3">
        <v>-12</v>
      </c>
    </row>
    <row r="71" spans="2:8" s="3" customFormat="1" x14ac:dyDescent="0.25">
      <c r="B71" s="3" t="s">
        <v>54</v>
      </c>
      <c r="D71" s="3">
        <f>-9159-368</f>
        <v>-9527</v>
      </c>
      <c r="E71" s="3">
        <f>7518+147</f>
        <v>7665</v>
      </c>
      <c r="F71" s="3">
        <v>51</v>
      </c>
      <c r="G71" s="3">
        <v>29</v>
      </c>
    </row>
    <row r="72" spans="2:8" s="3" customFormat="1" x14ac:dyDescent="0.25">
      <c r="B72" s="3" t="s">
        <v>55</v>
      </c>
      <c r="D72" s="3">
        <v>305</v>
      </c>
      <c r="E72" s="3">
        <v>336</v>
      </c>
      <c r="F72" s="3">
        <v>100</v>
      </c>
      <c r="G72" s="3">
        <v>126</v>
      </c>
    </row>
    <row r="73" spans="2:8" s="3" customFormat="1" x14ac:dyDescent="0.25">
      <c r="B73" s="3" t="s">
        <v>30</v>
      </c>
      <c r="D73" s="3">
        <v>-563</v>
      </c>
      <c r="E73" s="3">
        <v>-1910</v>
      </c>
      <c r="F73" s="3">
        <v>17</v>
      </c>
      <c r="G73" s="3">
        <v>-28</v>
      </c>
    </row>
    <row r="74" spans="2:8" s="3" customFormat="1" x14ac:dyDescent="0.25">
      <c r="B74" s="3" t="s">
        <v>56</v>
      </c>
      <c r="D74" s="3">
        <v>7656</v>
      </c>
      <c r="E74" s="3">
        <v>-10560</v>
      </c>
      <c r="F74" s="3">
        <v>-656</v>
      </c>
      <c r="G74" s="3">
        <v>-1121</v>
      </c>
    </row>
    <row r="75" spans="2:8" s="3" customFormat="1" x14ac:dyDescent="0.25">
      <c r="B75" s="3" t="s">
        <v>23</v>
      </c>
      <c r="D75" s="3">
        <v>-1141</v>
      </c>
      <c r="E75" s="3">
        <v>-1183</v>
      </c>
      <c r="F75" s="3">
        <v>-732</v>
      </c>
      <c r="G75" s="3">
        <v>-806</v>
      </c>
    </row>
    <row r="76" spans="2:8" s="3" customFormat="1" x14ac:dyDescent="0.25">
      <c r="B76" s="3" t="s">
        <v>25</v>
      </c>
      <c r="D76" s="3">
        <v>-1778</v>
      </c>
      <c r="E76" s="3">
        <v>-2576</v>
      </c>
      <c r="F76" s="3">
        <v>-1967</v>
      </c>
      <c r="G76" s="3">
        <v>-3154</v>
      </c>
    </row>
    <row r="77" spans="2:8" s="3" customFormat="1" x14ac:dyDescent="0.25">
      <c r="B77" s="3" t="s">
        <v>57</v>
      </c>
      <c r="D77" s="3">
        <v>-36</v>
      </c>
      <c r="E77" s="3">
        <v>7268</v>
      </c>
      <c r="F77" s="3">
        <v>2323</v>
      </c>
      <c r="G77" s="3">
        <v>3333</v>
      </c>
    </row>
    <row r="78" spans="2:8" s="3" customFormat="1" x14ac:dyDescent="0.25">
      <c r="B78" s="3" t="s">
        <v>6</v>
      </c>
      <c r="D78" s="3">
        <v>-234</v>
      </c>
      <c r="E78" s="3">
        <v>436</v>
      </c>
      <c r="F78" s="3">
        <v>91</v>
      </c>
      <c r="G78" s="3">
        <v>41</v>
      </c>
    </row>
    <row r="79" spans="2:8" s="4" customFormat="1" x14ac:dyDescent="0.25">
      <c r="B79" s="4" t="s">
        <v>58</v>
      </c>
      <c r="D79" s="4">
        <f t="shared" ref="D79:F79" si="32">SUM(D64:D78)</f>
        <v>15787</v>
      </c>
      <c r="E79" s="4">
        <f t="shared" si="32"/>
        <v>6853</v>
      </c>
      <c r="F79" s="4">
        <f t="shared" si="32"/>
        <v>2800</v>
      </c>
      <c r="G79" s="4">
        <f>SUM(G64:G78)</f>
        <v>1385</v>
      </c>
      <c r="H79" s="4">
        <f t="shared" ref="H79" si="33">SUM(H64:H78)</f>
        <v>0</v>
      </c>
    </row>
    <row r="80" spans="2:8" s="3" customFormat="1" x14ac:dyDescent="0.25">
      <c r="B80" s="3" t="s">
        <v>59</v>
      </c>
      <c r="D80" s="3">
        <v>-6227</v>
      </c>
      <c r="E80" s="3">
        <v>-6866</v>
      </c>
      <c r="F80" s="3">
        <v>-1780</v>
      </c>
      <c r="G80" s="3">
        <v>-2094</v>
      </c>
    </row>
    <row r="81" spans="2:8" s="3" customFormat="1" x14ac:dyDescent="0.25">
      <c r="B81" s="3" t="s">
        <v>61</v>
      </c>
      <c r="D81" s="3">
        <f>-48379+52094</f>
        <v>3715</v>
      </c>
      <c r="E81" s="3">
        <f>-45533+46276</f>
        <v>743</v>
      </c>
      <c r="F81" s="3">
        <f>-12543+11170</f>
        <v>-1373</v>
      </c>
      <c r="G81" s="3">
        <f>-14829+11238</f>
        <v>-3591</v>
      </c>
    </row>
    <row r="82" spans="2:8" s="3" customFormat="1" x14ac:dyDescent="0.25">
      <c r="B82" s="3" t="s">
        <v>62</v>
      </c>
      <c r="D82" s="3">
        <f>-27491+33229</f>
        <v>5738</v>
      </c>
      <c r="E82" s="3">
        <f>19117-17458</f>
        <v>1659</v>
      </c>
      <c r="F82" s="3">
        <f>-2545+4413</f>
        <v>1868</v>
      </c>
      <c r="G82" s="3">
        <f>-2985+3579</f>
        <v>594</v>
      </c>
    </row>
    <row r="83" spans="2:8" s="3" customFormat="1" x14ac:dyDescent="0.25">
      <c r="B83" s="3" t="s">
        <v>63</v>
      </c>
      <c r="D83" s="3">
        <v>-272</v>
      </c>
      <c r="E83" s="3">
        <v>94</v>
      </c>
      <c r="F83" s="3">
        <v>-41</v>
      </c>
      <c r="G83" s="3">
        <v>-184</v>
      </c>
    </row>
    <row r="84" spans="2:8" s="3" customFormat="1" x14ac:dyDescent="0.25">
      <c r="B84" s="3" t="s">
        <v>64</v>
      </c>
      <c r="D84" s="3">
        <f>-57+145</f>
        <v>88</v>
      </c>
      <c r="E84" s="3">
        <f>-738+449</f>
        <v>-289</v>
      </c>
      <c r="F84" s="3">
        <v>-699</v>
      </c>
      <c r="G84" s="3">
        <v>-639</v>
      </c>
    </row>
    <row r="85" spans="2:8" s="3" customFormat="1" x14ac:dyDescent="0.25">
      <c r="B85" s="3" t="s">
        <v>6</v>
      </c>
      <c r="D85" s="3">
        <v>-297</v>
      </c>
      <c r="E85" s="3">
        <v>312</v>
      </c>
      <c r="F85" s="3">
        <v>48</v>
      </c>
      <c r="G85" s="3">
        <v>34</v>
      </c>
    </row>
    <row r="86" spans="2:8" s="4" customFormat="1" x14ac:dyDescent="0.25">
      <c r="B86" s="4" t="s">
        <v>65</v>
      </c>
      <c r="D86" s="4">
        <f t="shared" ref="D86:F86" si="34">SUM(D80:D85)</f>
        <v>2745</v>
      </c>
      <c r="E86" s="4">
        <f t="shared" si="34"/>
        <v>-4347</v>
      </c>
      <c r="F86" s="4">
        <f t="shared" si="34"/>
        <v>-1977</v>
      </c>
      <c r="G86" s="4">
        <f>SUM(G80:G85)</f>
        <v>-5880</v>
      </c>
      <c r="H86" s="4">
        <f t="shared" ref="H86" si="35">SUM(H80:H85)</f>
        <v>0</v>
      </c>
    </row>
    <row r="87" spans="2:8" s="3" customFormat="1" x14ac:dyDescent="0.25">
      <c r="B87" s="3" t="s">
        <v>66</v>
      </c>
      <c r="D87" s="3">
        <v>-403</v>
      </c>
      <c r="E87" s="3">
        <v>-2009</v>
      </c>
      <c r="F87" s="3">
        <v>-3193</v>
      </c>
      <c r="G87" s="3">
        <v>-1326</v>
      </c>
    </row>
    <row r="88" spans="2:8" s="3" customFormat="1" x14ac:dyDescent="0.25">
      <c r="B88" s="3" t="s">
        <v>67</v>
      </c>
      <c r="E88" s="3">
        <v>-484</v>
      </c>
    </row>
    <row r="89" spans="2:8" s="3" customFormat="1" x14ac:dyDescent="0.25">
      <c r="B89" s="3" t="s">
        <v>68</v>
      </c>
      <c r="D89" s="3">
        <v>3273</v>
      </c>
      <c r="E89" s="3">
        <v>5460</v>
      </c>
      <c r="F89" s="3">
        <v>-2211</v>
      </c>
      <c r="G89" s="3">
        <v>-1201</v>
      </c>
    </row>
    <row r="90" spans="2:8" s="3" customFormat="1" x14ac:dyDescent="0.25">
      <c r="B90" s="3" t="s">
        <v>35</v>
      </c>
      <c r="D90" s="3">
        <f>27901-54164</f>
        <v>-26263</v>
      </c>
      <c r="E90" s="3">
        <f>45470-45655</f>
        <v>-185</v>
      </c>
      <c r="F90" s="3">
        <f>13912-12242</f>
        <v>1670</v>
      </c>
      <c r="G90" s="3">
        <f>16488-14225</f>
        <v>2263</v>
      </c>
    </row>
    <row r="91" spans="2:8" s="3" customFormat="1" x14ac:dyDescent="0.25">
      <c r="B91" s="3" t="s">
        <v>6</v>
      </c>
      <c r="D91" s="3">
        <v>-105</v>
      </c>
      <c r="E91" s="3">
        <v>-271</v>
      </c>
      <c r="F91" s="3">
        <v>-140</v>
      </c>
      <c r="G91" s="3">
        <v>-194</v>
      </c>
    </row>
    <row r="92" spans="2:8" s="4" customFormat="1" x14ac:dyDescent="0.25">
      <c r="B92" s="4" t="s">
        <v>69</v>
      </c>
      <c r="D92" s="4">
        <f t="shared" ref="D92:F92" si="36">SUM(D87:D91)</f>
        <v>-23498</v>
      </c>
      <c r="E92" s="4">
        <f t="shared" si="36"/>
        <v>2511</v>
      </c>
      <c r="F92" s="4">
        <f t="shared" si="36"/>
        <v>-3874</v>
      </c>
      <c r="G92" s="4">
        <f>SUM(G87:G91)</f>
        <v>-458</v>
      </c>
      <c r="H92" s="4">
        <f t="shared" ref="H92" si="37">SUM(H87:H91)</f>
        <v>0</v>
      </c>
    </row>
    <row r="93" spans="2:8" s="3" customFormat="1" x14ac:dyDescent="0.25">
      <c r="B93" s="3" t="s">
        <v>53</v>
      </c>
      <c r="D93" s="3">
        <v>-232</v>
      </c>
      <c r="E93" s="3">
        <v>-414</v>
      </c>
      <c r="F93" s="3">
        <v>70</v>
      </c>
      <c r="G93" s="3">
        <v>-171</v>
      </c>
    </row>
    <row r="94" spans="2:8" s="4" customFormat="1" x14ac:dyDescent="0.25">
      <c r="B94" s="4" t="s">
        <v>70</v>
      </c>
      <c r="D94" s="4">
        <f t="shared" ref="D94:F94" si="38">D79+D86+D92+D93</f>
        <v>-5198</v>
      </c>
      <c r="E94" s="4">
        <f t="shared" si="38"/>
        <v>4603</v>
      </c>
      <c r="F94" s="4">
        <f t="shared" si="38"/>
        <v>-2981</v>
      </c>
      <c r="G94" s="4">
        <f>G79+G86+G92+G93</f>
        <v>-5124</v>
      </c>
      <c r="H94" s="4">
        <f t="shared" ref="H94" si="39">H79+H86+H92+H93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1762-E059-4E41-8C0E-E7C930E41B9C}">
  <dimension ref="B2:M8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6" sqref="L16"/>
    </sheetView>
  </sheetViews>
  <sheetFormatPr defaultRowHeight="14.4" x14ac:dyDescent="0.3"/>
  <cols>
    <col min="2" max="2" width="17.6640625" bestFit="1" customWidth="1"/>
  </cols>
  <sheetData>
    <row r="2" spans="2:13" x14ac:dyDescent="0.3">
      <c r="C2" t="s">
        <v>77</v>
      </c>
      <c r="D2" t="s">
        <v>78</v>
      </c>
      <c r="E2" t="s">
        <v>79</v>
      </c>
      <c r="F2" t="s">
        <v>80</v>
      </c>
      <c r="G2" t="s">
        <v>76</v>
      </c>
    </row>
    <row r="3" spans="2:13" s="10" customFormat="1" x14ac:dyDescent="0.3">
      <c r="B3" s="7" t="s">
        <v>81</v>
      </c>
      <c r="C3" s="7">
        <v>71074</v>
      </c>
      <c r="D3" s="7">
        <v>72732</v>
      </c>
      <c r="E3" s="7">
        <v>64699</v>
      </c>
      <c r="F3" s="7">
        <v>64773</v>
      </c>
    </row>
    <row r="4" spans="2:13" s="10" customFormat="1" x14ac:dyDescent="0.3">
      <c r="B4" s="7" t="s">
        <v>82</v>
      </c>
      <c r="C4" s="7">
        <v>97014</v>
      </c>
      <c r="D4" s="7">
        <v>125538</v>
      </c>
      <c r="E4" s="7">
        <v>147216</v>
      </c>
      <c r="F4" s="7">
        <v>180349</v>
      </c>
    </row>
    <row r="5" spans="2:13" s="10" customFormat="1" x14ac:dyDescent="0.3">
      <c r="B5" s="8" t="s">
        <v>83</v>
      </c>
      <c r="C5" s="8">
        <f t="shared" ref="C5:F5" si="0">SUM(C3:C4)</f>
        <v>168088</v>
      </c>
      <c r="D5" s="8">
        <f t="shared" si="0"/>
        <v>198270</v>
      </c>
      <c r="E5" s="8">
        <f t="shared" si="0"/>
        <v>211915</v>
      </c>
      <c r="F5" s="8">
        <f t="shared" si="0"/>
        <v>245122</v>
      </c>
      <c r="L5" s="10" t="s">
        <v>71</v>
      </c>
      <c r="M5" s="10">
        <v>525.99</v>
      </c>
    </row>
    <row r="6" spans="2:13" s="10" customFormat="1" x14ac:dyDescent="0.3">
      <c r="B6" s="7" t="s">
        <v>84</v>
      </c>
      <c r="C6" s="7">
        <v>18219</v>
      </c>
      <c r="D6" s="7">
        <v>19064</v>
      </c>
      <c r="E6" s="7">
        <v>17804</v>
      </c>
      <c r="F6" s="7">
        <v>15272</v>
      </c>
      <c r="L6" s="10" t="s">
        <v>14</v>
      </c>
      <c r="M6" s="10">
        <v>7434</v>
      </c>
    </row>
    <row r="7" spans="2:13" s="10" customFormat="1" x14ac:dyDescent="0.3">
      <c r="B7" s="7" t="s">
        <v>85</v>
      </c>
      <c r="C7" s="7">
        <v>34013</v>
      </c>
      <c r="D7" s="7">
        <v>43586</v>
      </c>
      <c r="E7" s="7">
        <v>48059</v>
      </c>
      <c r="F7" s="7">
        <v>58842</v>
      </c>
      <c r="L7" s="10" t="s">
        <v>72</v>
      </c>
      <c r="M7" s="10">
        <f>M5*M6</f>
        <v>3910209.66</v>
      </c>
    </row>
    <row r="8" spans="2:13" s="10" customFormat="1" x14ac:dyDescent="0.3">
      <c r="B8" s="8" t="s">
        <v>3</v>
      </c>
      <c r="C8" s="8">
        <f t="shared" ref="C8:F8" si="1">SUM(C6:C7)</f>
        <v>52232</v>
      </c>
      <c r="D8" s="8">
        <f t="shared" si="1"/>
        <v>62650</v>
      </c>
      <c r="E8" s="8">
        <f t="shared" si="1"/>
        <v>65863</v>
      </c>
      <c r="F8" s="8">
        <f t="shared" si="1"/>
        <v>74114</v>
      </c>
      <c r="L8" s="10" t="s">
        <v>21</v>
      </c>
      <c r="M8" s="10">
        <v>113477</v>
      </c>
    </row>
    <row r="9" spans="2:13" s="10" customFormat="1" x14ac:dyDescent="0.3">
      <c r="B9" s="8" t="s">
        <v>4</v>
      </c>
      <c r="C9" s="8">
        <f t="shared" ref="C9:F9" si="2">C5-C8</f>
        <v>115856</v>
      </c>
      <c r="D9" s="8">
        <f t="shared" si="2"/>
        <v>135620</v>
      </c>
      <c r="E9" s="8">
        <f t="shared" si="2"/>
        <v>146052</v>
      </c>
      <c r="F9" s="8">
        <f t="shared" si="2"/>
        <v>171008</v>
      </c>
      <c r="L9" s="10" t="s">
        <v>101</v>
      </c>
      <c r="M9" s="10">
        <v>43208</v>
      </c>
    </row>
    <row r="10" spans="2:13" s="10" customFormat="1" x14ac:dyDescent="0.3">
      <c r="B10" s="7" t="s">
        <v>86</v>
      </c>
      <c r="C10" s="7">
        <v>20716</v>
      </c>
      <c r="D10" s="7">
        <v>24512</v>
      </c>
      <c r="E10" s="7">
        <v>27195</v>
      </c>
      <c r="F10" s="7">
        <v>29510</v>
      </c>
      <c r="L10" s="10" t="s">
        <v>75</v>
      </c>
      <c r="M10" s="10">
        <f>M7-M8+M9</f>
        <v>3839940.66</v>
      </c>
    </row>
    <row r="11" spans="2:13" s="10" customFormat="1" x14ac:dyDescent="0.3">
      <c r="B11" s="7" t="s">
        <v>87</v>
      </c>
      <c r="C11" s="7">
        <v>20117</v>
      </c>
      <c r="D11" s="7">
        <v>21825</v>
      </c>
      <c r="E11" s="7">
        <v>22759</v>
      </c>
      <c r="F11" s="7">
        <v>24456</v>
      </c>
    </row>
    <row r="12" spans="2:13" s="10" customFormat="1" x14ac:dyDescent="0.3">
      <c r="B12" s="7" t="s">
        <v>88</v>
      </c>
      <c r="C12" s="7">
        <v>5107</v>
      </c>
      <c r="D12" s="7">
        <v>5900</v>
      </c>
      <c r="E12" s="7">
        <v>7575</v>
      </c>
      <c r="F12" s="7">
        <v>7609</v>
      </c>
    </row>
    <row r="13" spans="2:13" s="10" customFormat="1" x14ac:dyDescent="0.3">
      <c r="B13" s="8" t="s">
        <v>89</v>
      </c>
      <c r="C13" s="8">
        <f t="shared" ref="C13:F13" si="3">SUM(C10:C12)</f>
        <v>45940</v>
      </c>
      <c r="D13" s="8">
        <f t="shared" si="3"/>
        <v>52237</v>
      </c>
      <c r="E13" s="8">
        <f t="shared" si="3"/>
        <v>57529</v>
      </c>
      <c r="F13" s="8">
        <f t="shared" si="3"/>
        <v>61575</v>
      </c>
    </row>
    <row r="14" spans="2:13" s="10" customFormat="1" x14ac:dyDescent="0.3">
      <c r="B14" s="8" t="s">
        <v>90</v>
      </c>
      <c r="C14" s="8">
        <f t="shared" ref="C14:F14" si="4">C9-C13</f>
        <v>69916</v>
      </c>
      <c r="D14" s="8">
        <f t="shared" si="4"/>
        <v>83383</v>
      </c>
      <c r="E14" s="8">
        <f t="shared" si="4"/>
        <v>88523</v>
      </c>
      <c r="F14" s="8">
        <f t="shared" si="4"/>
        <v>109433</v>
      </c>
      <c r="L14" s="10" t="s">
        <v>120</v>
      </c>
      <c r="M14" s="14">
        <f>M7/F52</f>
        <v>14.564412072542527</v>
      </c>
    </row>
    <row r="15" spans="2:13" s="10" customFormat="1" x14ac:dyDescent="0.3">
      <c r="B15" s="7" t="s">
        <v>91</v>
      </c>
      <c r="C15" s="7">
        <v>1186</v>
      </c>
      <c r="D15" s="7">
        <v>333</v>
      </c>
      <c r="E15" s="7">
        <v>788</v>
      </c>
      <c r="F15" s="7">
        <v>-1646</v>
      </c>
      <c r="L15" s="10" t="s">
        <v>112</v>
      </c>
      <c r="M15" s="14">
        <f>M10/(F14+F64)</f>
        <v>29.152297752808991</v>
      </c>
    </row>
    <row r="16" spans="2:13" s="10" customFormat="1" x14ac:dyDescent="0.3">
      <c r="B16" s="8" t="s">
        <v>92</v>
      </c>
      <c r="C16" s="8">
        <f t="shared" ref="C16:F16" si="5">C14+C15</f>
        <v>71102</v>
      </c>
      <c r="D16" s="8">
        <f t="shared" si="5"/>
        <v>83716</v>
      </c>
      <c r="E16" s="8">
        <f t="shared" si="5"/>
        <v>89311</v>
      </c>
      <c r="F16" s="8">
        <f t="shared" si="5"/>
        <v>107787</v>
      </c>
    </row>
    <row r="17" spans="2:13" s="10" customFormat="1" x14ac:dyDescent="0.3">
      <c r="B17" s="7" t="s">
        <v>12</v>
      </c>
      <c r="C17" s="7">
        <v>9831</v>
      </c>
      <c r="D17" s="7">
        <v>10978</v>
      </c>
      <c r="E17" s="7">
        <v>16950</v>
      </c>
      <c r="F17" s="7">
        <v>19651</v>
      </c>
    </row>
    <row r="18" spans="2:13" s="10" customFormat="1" x14ac:dyDescent="0.3">
      <c r="B18" s="8" t="s">
        <v>13</v>
      </c>
      <c r="C18" s="8">
        <f t="shared" ref="C18:F18" si="6">C16-C17</f>
        <v>61271</v>
      </c>
      <c r="D18" s="8">
        <f t="shared" si="6"/>
        <v>72738</v>
      </c>
      <c r="E18" s="8">
        <f t="shared" si="6"/>
        <v>72361</v>
      </c>
      <c r="F18" s="8">
        <f t="shared" si="6"/>
        <v>88136</v>
      </c>
    </row>
    <row r="19" spans="2:13" s="10" customFormat="1" x14ac:dyDescent="0.3">
      <c r="B19" s="7" t="s">
        <v>93</v>
      </c>
      <c r="C19" s="7">
        <f t="shared" ref="C19" si="7">+C18/C20</f>
        <v>7611.3043478260861</v>
      </c>
      <c r="D19" s="7">
        <f>+D18/D20</f>
        <v>7537.6165803108806</v>
      </c>
      <c r="E19" s="9">
        <v>7432</v>
      </c>
      <c r="F19" s="7">
        <v>7435</v>
      </c>
      <c r="L19" s="14"/>
      <c r="M19" s="14"/>
    </row>
    <row r="20" spans="2:13" s="14" customFormat="1" x14ac:dyDescent="0.3">
      <c r="B20" s="12" t="s">
        <v>15</v>
      </c>
      <c r="C20" s="12">
        <v>8.0500000000000007</v>
      </c>
      <c r="D20" s="12">
        <v>9.65</v>
      </c>
      <c r="E20" s="12">
        <v>9.7200000000000006</v>
      </c>
      <c r="F20" s="13">
        <v>11.86</v>
      </c>
      <c r="L20"/>
      <c r="M20"/>
    </row>
    <row r="22" spans="2:13" s="14" customFormat="1" x14ac:dyDescent="0.3">
      <c r="B22" s="14" t="s">
        <v>71</v>
      </c>
      <c r="C22" s="14">
        <v>281.92</v>
      </c>
      <c r="D22" s="14">
        <v>232.9</v>
      </c>
      <c r="E22" s="14">
        <v>315.75</v>
      </c>
      <c r="F22" s="14">
        <v>430.3</v>
      </c>
    </row>
    <row r="23" spans="2:13" x14ac:dyDescent="0.3">
      <c r="B23" s="10" t="s">
        <v>72</v>
      </c>
      <c r="C23" s="10">
        <f t="shared" ref="C23:E23" si="8">C19*C22</f>
        <v>2145778.9217391303</v>
      </c>
      <c r="D23" s="10">
        <f t="shared" si="8"/>
        <v>1755510.9015544041</v>
      </c>
      <c r="E23" s="10">
        <f t="shared" si="8"/>
        <v>2346654</v>
      </c>
      <c r="F23" s="10">
        <f>F19*F22</f>
        <v>3199280.5</v>
      </c>
    </row>
    <row r="24" spans="2:13" x14ac:dyDescent="0.3">
      <c r="B24" s="10"/>
      <c r="C24" s="10"/>
      <c r="D24" s="10"/>
      <c r="E24" s="10"/>
      <c r="F24" s="10"/>
    </row>
    <row r="25" spans="2:13" s="17" customFormat="1" x14ac:dyDescent="0.3">
      <c r="B25" s="16" t="s">
        <v>113</v>
      </c>
      <c r="C25" s="17">
        <f t="shared" ref="C25:F25" si="9">C14/C5</f>
        <v>0.41594878872971303</v>
      </c>
      <c r="D25" s="17">
        <f t="shared" si="9"/>
        <v>0.4205527815604983</v>
      </c>
      <c r="E25" s="17">
        <f t="shared" si="9"/>
        <v>0.41772880636104098</v>
      </c>
      <c r="F25" s="17">
        <f>F14/F5</f>
        <v>0.44644299573273716</v>
      </c>
    </row>
    <row r="26" spans="2:13" s="17" customFormat="1" x14ac:dyDescent="0.3">
      <c r="B26" s="16" t="s">
        <v>114</v>
      </c>
      <c r="C26" s="17">
        <f t="shared" ref="C26:F26" si="10">C18/C5</f>
        <v>0.36451739564989766</v>
      </c>
      <c r="D26" s="17">
        <f t="shared" si="10"/>
        <v>0.36686336813436221</v>
      </c>
      <c r="E26" s="17">
        <f t="shared" si="10"/>
        <v>0.34146237878394642</v>
      </c>
      <c r="F26" s="17">
        <f>F18/F5</f>
        <v>0.35955972944084985</v>
      </c>
    </row>
    <row r="27" spans="2:13" x14ac:dyDescent="0.3">
      <c r="B27" s="3" t="s">
        <v>115</v>
      </c>
      <c r="C27" s="17" t="e">
        <f t="shared" ref="C27:F27" si="11">C18/C52</f>
        <v>#DIV/0!</v>
      </c>
      <c r="D27" s="17" t="e">
        <f t="shared" si="11"/>
        <v>#DIV/0!</v>
      </c>
      <c r="E27" s="17">
        <f t="shared" si="11"/>
        <v>0.35088714643856406</v>
      </c>
      <c r="F27" s="17">
        <f>F18/F52</f>
        <v>0.32828137978299815</v>
      </c>
    </row>
    <row r="28" spans="2:13" x14ac:dyDescent="0.3">
      <c r="B28" s="3"/>
      <c r="C28" s="17"/>
      <c r="D28" s="17"/>
      <c r="E28" s="17"/>
      <c r="F28" s="17"/>
    </row>
    <row r="29" spans="2:13" x14ac:dyDescent="0.3">
      <c r="B29" s="1" t="s">
        <v>119</v>
      </c>
      <c r="C29" s="14">
        <f t="shared" ref="C29:F29" si="12">C14/C15</f>
        <v>58.951096121416526</v>
      </c>
      <c r="D29" s="14">
        <f t="shared" si="12"/>
        <v>250.39939939939939</v>
      </c>
      <c r="E29" s="14">
        <f t="shared" si="12"/>
        <v>112.33883248730965</v>
      </c>
      <c r="F29" s="14">
        <f>F14/F15</f>
        <v>-66.484204131227216</v>
      </c>
    </row>
    <row r="30" spans="2:13" x14ac:dyDescent="0.3">
      <c r="B30" s="1"/>
      <c r="C30" s="10"/>
      <c r="D30" s="10"/>
      <c r="E30" s="10"/>
      <c r="F30" s="10"/>
    </row>
    <row r="31" spans="2:13" x14ac:dyDescent="0.3">
      <c r="L31" s="10"/>
      <c r="M31" s="10"/>
    </row>
    <row r="32" spans="2:13" s="10" customFormat="1" x14ac:dyDescent="0.3">
      <c r="B32" s="10" t="s">
        <v>45</v>
      </c>
      <c r="E32" s="10">
        <f>E33-E44</f>
        <v>73904</v>
      </c>
      <c r="F32" s="10">
        <f t="shared" ref="F32" si="13">F33-F44</f>
        <v>38513</v>
      </c>
    </row>
    <row r="33" spans="2:6" s="10" customFormat="1" x14ac:dyDescent="0.3">
      <c r="B33" s="10" t="s">
        <v>21</v>
      </c>
      <c r="E33" s="10">
        <f>111262+9879</f>
        <v>121141</v>
      </c>
      <c r="F33" s="10">
        <f>18315+57228+14600</f>
        <v>90143</v>
      </c>
    </row>
    <row r="34" spans="2:6" s="10" customFormat="1" x14ac:dyDescent="0.3">
      <c r="B34" s="10" t="s">
        <v>23</v>
      </c>
      <c r="E34" s="10">
        <v>48688</v>
      </c>
      <c r="F34" s="10">
        <v>56924</v>
      </c>
    </row>
    <row r="35" spans="2:6" s="10" customFormat="1" x14ac:dyDescent="0.3">
      <c r="B35" s="10" t="s">
        <v>94</v>
      </c>
      <c r="E35" s="10">
        <v>2500</v>
      </c>
      <c r="F35" s="10">
        <v>1246</v>
      </c>
    </row>
    <row r="36" spans="2:6" s="10" customFormat="1" x14ac:dyDescent="0.3">
      <c r="B36" s="10" t="s">
        <v>95</v>
      </c>
      <c r="E36" s="10">
        <v>21807</v>
      </c>
      <c r="F36" s="10">
        <v>26021</v>
      </c>
    </row>
    <row r="37" spans="2:6" s="10" customFormat="1" x14ac:dyDescent="0.3">
      <c r="B37" s="10" t="s">
        <v>96</v>
      </c>
      <c r="E37" s="10">
        <v>95641</v>
      </c>
      <c r="F37" s="10">
        <v>135591</v>
      </c>
    </row>
    <row r="38" spans="2:6" s="10" customFormat="1" x14ac:dyDescent="0.3">
      <c r="B38" s="10" t="s">
        <v>27</v>
      </c>
      <c r="E38" s="10">
        <v>14346</v>
      </c>
      <c r="F38" s="10">
        <v>18961</v>
      </c>
    </row>
    <row r="39" spans="2:6" s="10" customFormat="1" x14ac:dyDescent="0.3">
      <c r="B39" s="10" t="s">
        <v>97</v>
      </c>
      <c r="E39" s="10">
        <v>67886</v>
      </c>
      <c r="F39" s="10">
        <v>119220</v>
      </c>
    </row>
    <row r="40" spans="2:6" s="10" customFormat="1" x14ac:dyDescent="0.3">
      <c r="B40" s="10" t="s">
        <v>98</v>
      </c>
      <c r="E40" s="10">
        <v>9366</v>
      </c>
      <c r="F40" s="10">
        <v>27597</v>
      </c>
    </row>
    <row r="41" spans="2:6" s="10" customFormat="1" x14ac:dyDescent="0.3">
      <c r="B41" s="10" t="s">
        <v>99</v>
      </c>
      <c r="E41" s="10">
        <v>30601</v>
      </c>
      <c r="F41" s="10">
        <v>36460</v>
      </c>
    </row>
    <row r="42" spans="2:6" s="10" customFormat="1" x14ac:dyDescent="0.3">
      <c r="B42" s="11" t="s">
        <v>100</v>
      </c>
      <c r="E42" s="11">
        <f>SUM(E33:E41)</f>
        <v>411976</v>
      </c>
      <c r="F42" s="11">
        <f>SUM(F33:F41)</f>
        <v>512163</v>
      </c>
    </row>
    <row r="43" spans="2:6" s="10" customFormat="1" x14ac:dyDescent="0.3">
      <c r="B43" s="10" t="s">
        <v>33</v>
      </c>
      <c r="E43" s="10">
        <v>18095</v>
      </c>
      <c r="F43" s="10">
        <v>21996</v>
      </c>
    </row>
    <row r="44" spans="2:6" s="10" customFormat="1" x14ac:dyDescent="0.3">
      <c r="B44" s="10" t="s">
        <v>101</v>
      </c>
      <c r="E44" s="10">
        <f>5247+41990</f>
        <v>47237</v>
      </c>
      <c r="F44" s="10">
        <f>6693+2249+42688</f>
        <v>51630</v>
      </c>
    </row>
    <row r="45" spans="2:6" s="10" customFormat="1" x14ac:dyDescent="0.3">
      <c r="B45" s="10" t="s">
        <v>102</v>
      </c>
      <c r="E45" s="10">
        <v>11009</v>
      </c>
      <c r="F45" s="10">
        <v>12564</v>
      </c>
    </row>
    <row r="46" spans="2:6" s="10" customFormat="1" x14ac:dyDescent="0.3">
      <c r="B46" s="10" t="s">
        <v>12</v>
      </c>
      <c r="E46" s="10">
        <f>4152+25560+433</f>
        <v>30145</v>
      </c>
      <c r="F46" s="10">
        <f>5017+2618+27931</f>
        <v>35566</v>
      </c>
    </row>
    <row r="47" spans="2:6" s="10" customFormat="1" x14ac:dyDescent="0.3">
      <c r="B47" s="10" t="s">
        <v>34</v>
      </c>
      <c r="E47" s="10">
        <f>50901+2912</f>
        <v>53813</v>
      </c>
      <c r="F47" s="10">
        <f>57582+2602</f>
        <v>60184</v>
      </c>
    </row>
    <row r="48" spans="2:6" s="10" customFormat="1" x14ac:dyDescent="0.3">
      <c r="B48" s="10" t="s">
        <v>103</v>
      </c>
      <c r="E48" s="10">
        <v>14745</v>
      </c>
      <c r="F48" s="10">
        <v>19185</v>
      </c>
    </row>
    <row r="49" spans="2:6" s="10" customFormat="1" x14ac:dyDescent="0.3">
      <c r="B49" s="10" t="s">
        <v>104</v>
      </c>
      <c r="E49" s="10">
        <v>12728</v>
      </c>
      <c r="F49" s="10">
        <v>15497</v>
      </c>
    </row>
    <row r="50" spans="2:6" s="10" customFormat="1" x14ac:dyDescent="0.3">
      <c r="B50" s="10" t="s">
        <v>105</v>
      </c>
      <c r="E50" s="10">
        <v>17981</v>
      </c>
      <c r="F50" s="10">
        <v>27064</v>
      </c>
    </row>
    <row r="51" spans="2:6" s="10" customFormat="1" x14ac:dyDescent="0.3">
      <c r="B51" s="11" t="s">
        <v>42</v>
      </c>
      <c r="E51" s="11">
        <f>SUM(E43:E50)</f>
        <v>205753</v>
      </c>
      <c r="F51" s="11">
        <f>SUM(F43:F50)</f>
        <v>243686</v>
      </c>
    </row>
    <row r="52" spans="2:6" s="10" customFormat="1" x14ac:dyDescent="0.3">
      <c r="B52" s="10" t="s">
        <v>43</v>
      </c>
      <c r="E52" s="10">
        <v>206223</v>
      </c>
      <c r="F52" s="10">
        <v>268477</v>
      </c>
    </row>
    <row r="53" spans="2:6" s="10" customFormat="1" x14ac:dyDescent="0.3">
      <c r="B53" s="11" t="s">
        <v>106</v>
      </c>
      <c r="E53" s="11">
        <f>SUM(E51:E52)</f>
        <v>411976</v>
      </c>
      <c r="F53" s="11">
        <f>SUM(F51:F52)</f>
        <v>512163</v>
      </c>
    </row>
    <row r="54" spans="2:6" s="10" customFormat="1" x14ac:dyDescent="0.3">
      <c r="B54" s="11"/>
      <c r="E54" s="11"/>
      <c r="F54" s="11"/>
    </row>
    <row r="55" spans="2:6" s="14" customFormat="1" x14ac:dyDescent="0.3">
      <c r="B55" s="6" t="s">
        <v>116</v>
      </c>
      <c r="E55" s="18">
        <f t="shared" ref="E55:F55" si="14">(E33+E34+E35+E36)/(E43+E44+E45+E46+E47+E48)</f>
        <v>1.1090697196133543</v>
      </c>
      <c r="F55" s="18">
        <f>(F33+F34+F35+F36)/(F43+F44+F45+F46+F47+F48)</f>
        <v>0.86679428216283405</v>
      </c>
    </row>
    <row r="56" spans="2:6" s="10" customFormat="1" x14ac:dyDescent="0.3">
      <c r="B56" s="1" t="s">
        <v>117</v>
      </c>
      <c r="E56" s="18">
        <f t="shared" ref="E56:F56" si="15">E51/E52</f>
        <v>0.99772091376810546</v>
      </c>
      <c r="F56" s="18">
        <f>F51/F52</f>
        <v>0.90766061897294736</v>
      </c>
    </row>
    <row r="57" spans="2:6" s="10" customFormat="1" x14ac:dyDescent="0.3">
      <c r="B57" s="1" t="s">
        <v>118</v>
      </c>
      <c r="E57" s="18">
        <f>E51/M7</f>
        <v>5.2619429107543046E-2</v>
      </c>
      <c r="F57" s="18">
        <f>F51/M7</f>
        <v>6.2320443451617885E-2</v>
      </c>
    </row>
    <row r="58" spans="2:6" s="10" customFormat="1" x14ac:dyDescent="0.3">
      <c r="E58" s="11"/>
      <c r="F58" s="18"/>
    </row>
    <row r="59" spans="2:6" s="10" customFormat="1" x14ac:dyDescent="0.3">
      <c r="B59" s="1"/>
      <c r="E59" s="11"/>
      <c r="F59" s="11"/>
    </row>
    <row r="60" spans="2:6" s="10" customFormat="1" x14ac:dyDescent="0.3"/>
    <row r="61" spans="2:6" s="10" customFormat="1" x14ac:dyDescent="0.3"/>
    <row r="62" spans="2:6" s="10" customFormat="1" x14ac:dyDescent="0.3">
      <c r="B62" s="10" t="s">
        <v>46</v>
      </c>
      <c r="C62" s="10">
        <f t="shared" ref="C62:F62" si="16">C18</f>
        <v>61271</v>
      </c>
      <c r="D62" s="10">
        <f t="shared" si="16"/>
        <v>72738</v>
      </c>
      <c r="E62" s="10">
        <f t="shared" si="16"/>
        <v>72361</v>
      </c>
      <c r="F62" s="10">
        <f>F18</f>
        <v>88136</v>
      </c>
    </row>
    <row r="63" spans="2:6" s="10" customFormat="1" x14ac:dyDescent="0.3">
      <c r="B63" s="10" t="s">
        <v>47</v>
      </c>
      <c r="F63" s="10">
        <v>88136</v>
      </c>
    </row>
    <row r="64" spans="2:6" s="10" customFormat="1" x14ac:dyDescent="0.3">
      <c r="B64" s="10" t="s">
        <v>48</v>
      </c>
      <c r="F64" s="10">
        <v>22287</v>
      </c>
    </row>
    <row r="65" spans="2:13" s="10" customFormat="1" x14ac:dyDescent="0.3">
      <c r="B65" s="10" t="s">
        <v>107</v>
      </c>
      <c r="F65" s="10">
        <v>10734</v>
      </c>
    </row>
    <row r="66" spans="2:13" s="10" customFormat="1" x14ac:dyDescent="0.3">
      <c r="B66" s="10" t="s">
        <v>108</v>
      </c>
      <c r="F66" s="10">
        <v>305</v>
      </c>
    </row>
    <row r="67" spans="2:13" s="10" customFormat="1" x14ac:dyDescent="0.3">
      <c r="B67" s="10" t="s">
        <v>109</v>
      </c>
      <c r="F67" s="10">
        <v>-4738</v>
      </c>
    </row>
    <row r="68" spans="2:13" s="10" customFormat="1" x14ac:dyDescent="0.3">
      <c r="B68" s="10" t="s">
        <v>23</v>
      </c>
      <c r="F68" s="10">
        <v>-7191</v>
      </c>
    </row>
    <row r="69" spans="2:13" s="10" customFormat="1" x14ac:dyDescent="0.3">
      <c r="B69" s="10" t="s">
        <v>94</v>
      </c>
      <c r="F69" s="10">
        <v>1284</v>
      </c>
    </row>
    <row r="70" spans="2:13" s="10" customFormat="1" x14ac:dyDescent="0.3">
      <c r="B70" s="10" t="s">
        <v>95</v>
      </c>
      <c r="F70" s="10">
        <v>-1648</v>
      </c>
    </row>
    <row r="71" spans="2:13" s="10" customFormat="1" x14ac:dyDescent="0.3">
      <c r="B71" s="10" t="s">
        <v>99</v>
      </c>
      <c r="F71" s="10">
        <v>-6817</v>
      </c>
    </row>
    <row r="72" spans="2:13" s="10" customFormat="1" x14ac:dyDescent="0.3">
      <c r="B72" s="10" t="s">
        <v>33</v>
      </c>
      <c r="F72" s="10">
        <v>3545</v>
      </c>
    </row>
    <row r="73" spans="2:13" s="10" customFormat="1" x14ac:dyDescent="0.3">
      <c r="B73" s="10" t="s">
        <v>34</v>
      </c>
      <c r="F73" s="10">
        <v>5348</v>
      </c>
    </row>
    <row r="74" spans="2:13" s="10" customFormat="1" x14ac:dyDescent="0.3">
      <c r="B74" s="10" t="s">
        <v>12</v>
      </c>
      <c r="F74" s="10">
        <v>1687</v>
      </c>
    </row>
    <row r="75" spans="2:13" s="10" customFormat="1" x14ac:dyDescent="0.3">
      <c r="B75" s="10" t="s">
        <v>103</v>
      </c>
      <c r="F75" s="10">
        <v>4867</v>
      </c>
    </row>
    <row r="76" spans="2:13" s="10" customFormat="1" x14ac:dyDescent="0.3">
      <c r="B76" s="10" t="s">
        <v>105</v>
      </c>
      <c r="F76" s="10">
        <v>749</v>
      </c>
      <c r="L76" s="11"/>
      <c r="M76" s="11"/>
    </row>
    <row r="77" spans="2:13" s="11" customFormat="1" x14ac:dyDescent="0.3">
      <c r="B77" s="11" t="s">
        <v>58</v>
      </c>
      <c r="F77" s="11">
        <v>118548</v>
      </c>
      <c r="L77" s="10"/>
      <c r="M77" s="10"/>
    </row>
    <row r="78" spans="2:13" s="10" customFormat="1" x14ac:dyDescent="0.3">
      <c r="B78" s="10" t="s">
        <v>101</v>
      </c>
      <c r="F78" s="10">
        <v>575</v>
      </c>
    </row>
    <row r="79" spans="2:13" s="10" customFormat="1" x14ac:dyDescent="0.3">
      <c r="B79" s="10" t="s">
        <v>110</v>
      </c>
      <c r="F79" s="10">
        <v>-37023</v>
      </c>
    </row>
    <row r="80" spans="2:13" s="10" customFormat="1" x14ac:dyDescent="0.3">
      <c r="B80" s="10" t="s">
        <v>6</v>
      </c>
      <c r="F80" s="10">
        <v>-1309</v>
      </c>
      <c r="L80" s="11"/>
      <c r="M80" s="11"/>
    </row>
    <row r="81" spans="2:13" s="11" customFormat="1" x14ac:dyDescent="0.3">
      <c r="B81" s="11" t="s">
        <v>69</v>
      </c>
      <c r="F81" s="11">
        <v>-37757</v>
      </c>
      <c r="L81" s="10"/>
      <c r="M81" s="10"/>
    </row>
    <row r="82" spans="2:13" s="10" customFormat="1" x14ac:dyDescent="0.3">
      <c r="B82" s="10" t="s">
        <v>59</v>
      </c>
      <c r="F82" s="10">
        <v>-44477</v>
      </c>
    </row>
    <row r="83" spans="2:13" s="10" customFormat="1" x14ac:dyDescent="0.3">
      <c r="B83" s="10" t="s">
        <v>60</v>
      </c>
      <c r="F83" s="10">
        <v>-69132</v>
      </c>
    </row>
    <row r="84" spans="2:13" s="10" customFormat="1" x14ac:dyDescent="0.3">
      <c r="B84" s="10" t="s">
        <v>108</v>
      </c>
      <c r="F84" s="10">
        <v>17937</v>
      </c>
    </row>
    <row r="85" spans="2:13" s="10" customFormat="1" x14ac:dyDescent="0.3">
      <c r="B85" s="10" t="s">
        <v>6</v>
      </c>
      <c r="F85" s="10">
        <v>-1580</v>
      </c>
      <c r="L85" s="11"/>
      <c r="M85" s="11"/>
    </row>
    <row r="86" spans="2:13" s="11" customFormat="1" x14ac:dyDescent="0.3">
      <c r="B86" s="11" t="s">
        <v>65</v>
      </c>
      <c r="F86" s="11">
        <v>-97252</v>
      </c>
    </row>
    <row r="87" spans="2:13" s="11" customFormat="1" x14ac:dyDescent="0.3">
      <c r="B87" s="11" t="s">
        <v>70</v>
      </c>
      <c r="F87" s="11">
        <v>-16461</v>
      </c>
      <c r="L87"/>
      <c r="M8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 Model</vt:lpstr>
      <vt:lpstr>MSFT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2025-11-01T10:34:15Z</dcterms:modified>
</cp:coreProperties>
</file>