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egaMukhigulashvili\Desktop\Excel\"/>
    </mc:Choice>
  </mc:AlternateContent>
  <xr:revisionPtr revIDLastSave="0" documentId="13_ncr:1_{8045D99B-D79C-4C4B-8FC4-E9967D3C118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07" i="2" l="1"/>
  <c r="K101" i="2"/>
  <c r="K93" i="2"/>
  <c r="K88" i="2"/>
  <c r="K106" i="2" s="1"/>
  <c r="K76" i="2"/>
  <c r="K10" i="1"/>
  <c r="K9" i="1"/>
  <c r="J50" i="2"/>
  <c r="I50" i="2"/>
  <c r="H50" i="2"/>
  <c r="G50" i="2"/>
  <c r="F50" i="2"/>
  <c r="K50" i="2"/>
  <c r="K70" i="2"/>
  <c r="K72" i="2" s="1"/>
  <c r="K60" i="2"/>
  <c r="M29" i="2"/>
  <c r="L29" i="2"/>
  <c r="K29" i="2"/>
  <c r="J29" i="2"/>
  <c r="O19" i="2"/>
  <c r="N19" i="2"/>
  <c r="M19" i="2"/>
  <c r="O11" i="2"/>
  <c r="N11" i="2"/>
  <c r="M11" i="2"/>
  <c r="O7" i="2"/>
  <c r="O12" i="2" s="1"/>
  <c r="O20" i="2" s="1"/>
  <c r="O22" i="2" s="1"/>
  <c r="O24" i="2" s="1"/>
  <c r="O26" i="2" s="1"/>
  <c r="N7" i="2"/>
  <c r="N12" i="2" s="1"/>
  <c r="N20" i="2" s="1"/>
  <c r="N22" i="2" s="1"/>
  <c r="N24" i="2" s="1"/>
  <c r="N26" i="2" s="1"/>
  <c r="M7" i="2"/>
  <c r="M12" i="2" s="1"/>
  <c r="L19" i="2"/>
  <c r="L11" i="2"/>
  <c r="L7" i="2"/>
  <c r="L45" i="2" s="1"/>
  <c r="M32" i="2"/>
  <c r="L32" i="2"/>
  <c r="L31" i="2"/>
  <c r="K46" i="2"/>
  <c r="K45" i="2"/>
  <c r="K43" i="2"/>
  <c r="K42" i="2"/>
  <c r="K41" i="2"/>
  <c r="K40" i="2"/>
  <c r="K39" i="2"/>
  <c r="K37" i="2"/>
  <c r="K36" i="2"/>
  <c r="K35" i="2"/>
  <c r="K33" i="2"/>
  <c r="K32" i="2"/>
  <c r="K31" i="2"/>
  <c r="K21" i="2"/>
  <c r="K19" i="2"/>
  <c r="K11" i="2"/>
  <c r="K12" i="2" s="1"/>
  <c r="K7" i="2"/>
  <c r="E13" i="1"/>
  <c r="D8" i="1"/>
  <c r="D7" i="1"/>
  <c r="D6" i="1"/>
  <c r="K103" i="2" l="1"/>
  <c r="M41" i="2"/>
  <c r="M20" i="2"/>
  <c r="M35" i="2"/>
  <c r="M40" i="2"/>
  <c r="M42" i="2"/>
  <c r="M45" i="2"/>
  <c r="M33" i="2"/>
  <c r="M31" i="2"/>
  <c r="L33" i="2"/>
  <c r="L12" i="2"/>
  <c r="K20" i="2"/>
  <c r="K22" i="2" s="1"/>
  <c r="K24" i="2" s="1"/>
  <c r="K26" i="2" s="1"/>
  <c r="AL28" i="2"/>
  <c r="AL29" i="2" s="1"/>
  <c r="AL30" i="2"/>
  <c r="AV24" i="2"/>
  <c r="AW24" i="2" s="1"/>
  <c r="AX24" i="2" s="1"/>
  <c r="AY24" i="2" s="1"/>
  <c r="AZ24" i="2" s="1"/>
  <c r="BA24" i="2" s="1"/>
  <c r="BB24" i="2" s="1"/>
  <c r="BC24" i="2" s="1"/>
  <c r="BD24" i="2" s="1"/>
  <c r="BE24" i="2" s="1"/>
  <c r="BF24" i="2" s="1"/>
  <c r="BG24" i="2" s="1"/>
  <c r="BH24" i="2" s="1"/>
  <c r="BI24" i="2" s="1"/>
  <c r="BJ24" i="2" s="1"/>
  <c r="BK24" i="2" s="1"/>
  <c r="BL24" i="2" s="1"/>
  <c r="BM24" i="2" s="1"/>
  <c r="BN24" i="2" s="1"/>
  <c r="BO24" i="2" s="1"/>
  <c r="BP24" i="2" s="1"/>
  <c r="BQ24" i="2" s="1"/>
  <c r="BR24" i="2" s="1"/>
  <c r="BS24" i="2" s="1"/>
  <c r="BT24" i="2" s="1"/>
  <c r="BU24" i="2" s="1"/>
  <c r="BV24" i="2" s="1"/>
  <c r="BW24" i="2" s="1"/>
  <c r="BX24" i="2" s="1"/>
  <c r="BY24" i="2" s="1"/>
  <c r="BZ24" i="2" s="1"/>
  <c r="CA24" i="2" s="1"/>
  <c r="CB24" i="2" s="1"/>
  <c r="CC24" i="2" s="1"/>
  <c r="CD24" i="2" s="1"/>
  <c r="CE24" i="2" s="1"/>
  <c r="CF24" i="2" s="1"/>
  <c r="CG24" i="2" s="1"/>
  <c r="CH24" i="2" s="1"/>
  <c r="CI24" i="2" s="1"/>
  <c r="CJ24" i="2" s="1"/>
  <c r="CK24" i="2" s="1"/>
  <c r="CL24" i="2" s="1"/>
  <c r="CM24" i="2" s="1"/>
  <c r="CN24" i="2" s="1"/>
  <c r="CO24" i="2" s="1"/>
  <c r="CP24" i="2" s="1"/>
  <c r="CQ24" i="2" s="1"/>
  <c r="CR24" i="2" s="1"/>
  <c r="CS24" i="2" s="1"/>
  <c r="CT24" i="2" s="1"/>
  <c r="CU24" i="2" s="1"/>
  <c r="CV24" i="2" s="1"/>
  <c r="CW24" i="2" s="1"/>
  <c r="CX24" i="2" s="1"/>
  <c r="CY24" i="2" s="1"/>
  <c r="CZ24" i="2" s="1"/>
  <c r="DA24" i="2" s="1"/>
  <c r="DB24" i="2" s="1"/>
  <c r="DC24" i="2" s="1"/>
  <c r="DD24" i="2" s="1"/>
  <c r="DE24" i="2" s="1"/>
  <c r="DF24" i="2" s="1"/>
  <c r="DG24" i="2" s="1"/>
  <c r="DH24" i="2" s="1"/>
  <c r="DI24" i="2" s="1"/>
  <c r="DJ24" i="2" s="1"/>
  <c r="DK24" i="2" s="1"/>
  <c r="DL24" i="2" s="1"/>
  <c r="DM24" i="2" s="1"/>
  <c r="DN24" i="2" s="1"/>
  <c r="DO24" i="2" s="1"/>
  <c r="DP24" i="2" s="1"/>
  <c r="DQ24" i="2" s="1"/>
  <c r="DR24" i="2" s="1"/>
  <c r="DS24" i="2" s="1"/>
  <c r="DT24" i="2" s="1"/>
  <c r="DU24" i="2" s="1"/>
  <c r="DV24" i="2" s="1"/>
  <c r="DW24" i="2" s="1"/>
  <c r="DX24" i="2" s="1"/>
  <c r="DY24" i="2" s="1"/>
  <c r="DZ24" i="2" s="1"/>
  <c r="EA24" i="2" s="1"/>
  <c r="EB24" i="2" s="1"/>
  <c r="EC24" i="2" s="1"/>
  <c r="ED24" i="2" s="1"/>
  <c r="EE24" i="2" s="1"/>
  <c r="EF24" i="2" s="1"/>
  <c r="EG24" i="2" s="1"/>
  <c r="EH24" i="2" s="1"/>
  <c r="EI24" i="2" s="1"/>
  <c r="EJ24" i="2" s="1"/>
  <c r="EK24" i="2" s="1"/>
  <c r="EL24" i="2" s="1"/>
  <c r="EM24" i="2" s="1"/>
  <c r="EN24" i="2" s="1"/>
  <c r="EO24" i="2" s="1"/>
  <c r="EP24" i="2" s="1"/>
  <c r="EQ24" i="2" s="1"/>
  <c r="ER24" i="2" s="1"/>
  <c r="ES24" i="2" s="1"/>
  <c r="ET24" i="2" s="1"/>
  <c r="EU24" i="2" s="1"/>
  <c r="EV24" i="2" s="1"/>
  <c r="EW24" i="2" s="1"/>
  <c r="EX24" i="2" s="1"/>
  <c r="EY24" i="2" s="1"/>
  <c r="EZ24" i="2" s="1"/>
  <c r="FA24" i="2" s="1"/>
  <c r="FB24" i="2" s="1"/>
  <c r="FC24" i="2" s="1"/>
  <c r="FD24" i="2" s="1"/>
  <c r="FE24" i="2" s="1"/>
  <c r="FF24" i="2" s="1"/>
  <c r="FG24" i="2" s="1"/>
  <c r="FH24" i="2" s="1"/>
  <c r="FI24" i="2" s="1"/>
  <c r="FJ24" i="2" s="1"/>
  <c r="FK24" i="2" s="1"/>
  <c r="FL24" i="2" s="1"/>
  <c r="FM24" i="2" s="1"/>
  <c r="FN24" i="2" s="1"/>
  <c r="FO24" i="2" s="1"/>
  <c r="FP24" i="2" s="1"/>
  <c r="FQ24" i="2" s="1"/>
  <c r="FR24" i="2" s="1"/>
  <c r="FS24" i="2" s="1"/>
  <c r="FT24" i="2" s="1"/>
  <c r="FU24" i="2" s="1"/>
  <c r="FV24" i="2" s="1"/>
  <c r="FW24" i="2" s="1"/>
  <c r="FX24" i="2" s="1"/>
  <c r="FY24" i="2" s="1"/>
  <c r="FZ24" i="2" s="1"/>
  <c r="GA24" i="2" s="1"/>
  <c r="GB24" i="2" s="1"/>
  <c r="GC24" i="2" s="1"/>
  <c r="GD24" i="2" s="1"/>
  <c r="GE24" i="2" s="1"/>
  <c r="GF24" i="2" s="1"/>
  <c r="GG24" i="2" s="1"/>
  <c r="GH24" i="2" s="1"/>
  <c r="GI24" i="2" s="1"/>
  <c r="GJ24" i="2" s="1"/>
  <c r="GK24" i="2" s="1"/>
  <c r="GL24" i="2" s="1"/>
  <c r="GM24" i="2" s="1"/>
  <c r="GN24" i="2" s="1"/>
  <c r="GO24" i="2" s="1"/>
  <c r="GP24" i="2" s="1"/>
  <c r="GQ24" i="2" s="1"/>
  <c r="GR24" i="2" s="1"/>
  <c r="GS24" i="2" s="1"/>
  <c r="GT24" i="2" s="1"/>
  <c r="GU24" i="2" s="1"/>
  <c r="GV24" i="2" s="1"/>
  <c r="GW24" i="2" s="1"/>
  <c r="GX24" i="2" s="1"/>
  <c r="GY24" i="2" s="1"/>
  <c r="GZ24" i="2" s="1"/>
  <c r="HA24" i="2" s="1"/>
  <c r="HB24" i="2" s="1"/>
  <c r="HC24" i="2" s="1"/>
  <c r="HD24" i="2" s="1"/>
  <c r="HE24" i="2" s="1"/>
  <c r="HF24" i="2" s="1"/>
  <c r="HG24" i="2" s="1"/>
  <c r="HH24" i="2" s="1"/>
  <c r="HI24" i="2" s="1"/>
  <c r="HJ24" i="2" s="1"/>
  <c r="HK24" i="2" s="1"/>
  <c r="HL24" i="2" s="1"/>
  <c r="HM24" i="2" s="1"/>
  <c r="HN24" i="2" s="1"/>
  <c r="HO24" i="2" s="1"/>
  <c r="HP24" i="2" s="1"/>
  <c r="HQ24" i="2" s="1"/>
  <c r="HR24" i="2" s="1"/>
  <c r="HS24" i="2" s="1"/>
  <c r="HT24" i="2" s="1"/>
  <c r="HU24" i="2" s="1"/>
  <c r="HV24" i="2" s="1"/>
  <c r="HW24" i="2" s="1"/>
  <c r="HX24" i="2" s="1"/>
  <c r="HY24" i="2" s="1"/>
  <c r="HZ24" i="2" s="1"/>
  <c r="IA24" i="2" s="1"/>
  <c r="IB24" i="2" s="1"/>
  <c r="IC24" i="2" s="1"/>
  <c r="ID24" i="2" s="1"/>
  <c r="IE24" i="2" s="1"/>
  <c r="IF24" i="2" s="1"/>
  <c r="IG24" i="2" s="1"/>
  <c r="IH24" i="2" s="1"/>
  <c r="II24" i="2" s="1"/>
  <c r="IJ24" i="2" s="1"/>
  <c r="IK24" i="2" s="1"/>
  <c r="IL24" i="2" s="1"/>
  <c r="IM24" i="2" s="1"/>
  <c r="IN24" i="2" s="1"/>
  <c r="IO24" i="2" s="1"/>
  <c r="IP24" i="2" s="1"/>
  <c r="IQ24" i="2" s="1"/>
  <c r="IR24" i="2" s="1"/>
  <c r="IS24" i="2" s="1"/>
  <c r="IT24" i="2" s="1"/>
  <c r="IU24" i="2" s="1"/>
  <c r="IV24" i="2" s="1"/>
  <c r="IW24" i="2" s="1"/>
  <c r="IX24" i="2" s="1"/>
  <c r="IY24" i="2" s="1"/>
  <c r="IZ24" i="2" s="1"/>
  <c r="JA24" i="2" s="1"/>
  <c r="JB24" i="2" s="1"/>
  <c r="JC24" i="2" s="1"/>
  <c r="JD24" i="2" s="1"/>
  <c r="JE24" i="2" s="1"/>
  <c r="JF24" i="2" s="1"/>
  <c r="JG24" i="2" s="1"/>
  <c r="JH24" i="2" s="1"/>
  <c r="JI24" i="2" s="1"/>
  <c r="JJ24" i="2" s="1"/>
  <c r="JK24" i="2" s="1"/>
  <c r="JL24" i="2" s="1"/>
  <c r="JM24" i="2" s="1"/>
  <c r="JN24" i="2" s="1"/>
  <c r="JO24" i="2" s="1"/>
  <c r="JP24" i="2" s="1"/>
  <c r="JQ24" i="2" s="1"/>
  <c r="JR24" i="2" s="1"/>
  <c r="JS24" i="2" s="1"/>
  <c r="JT24" i="2" s="1"/>
  <c r="JU24" i="2" s="1"/>
  <c r="JV24" i="2" s="1"/>
  <c r="JW24" i="2" s="1"/>
  <c r="JX24" i="2" s="1"/>
  <c r="JY24" i="2" s="1"/>
  <c r="JZ24" i="2" s="1"/>
  <c r="KA24" i="2" s="1"/>
  <c r="KB24" i="2" s="1"/>
  <c r="KC24" i="2" s="1"/>
  <c r="KD24" i="2" s="1"/>
  <c r="KE24" i="2" s="1"/>
  <c r="KF24" i="2" s="1"/>
  <c r="KG24" i="2" s="1"/>
  <c r="KH24" i="2" s="1"/>
  <c r="KI24" i="2" s="1"/>
  <c r="KJ24" i="2" s="1"/>
  <c r="KK24" i="2" s="1"/>
  <c r="KL24" i="2" s="1"/>
  <c r="KM24" i="2" s="1"/>
  <c r="KN24" i="2" s="1"/>
  <c r="KO24" i="2" s="1"/>
  <c r="KP24" i="2" s="1"/>
  <c r="KQ24" i="2" s="1"/>
  <c r="KR24" i="2" s="1"/>
  <c r="KS24" i="2" s="1"/>
  <c r="KT24" i="2" s="1"/>
  <c r="KU24" i="2" s="1"/>
  <c r="KV24" i="2" s="1"/>
  <c r="KW24" i="2" s="1"/>
  <c r="KX24" i="2" s="1"/>
  <c r="KY24" i="2" s="1"/>
  <c r="KZ24" i="2" s="1"/>
  <c r="LA24" i="2" s="1"/>
  <c r="LB24" i="2" s="1"/>
  <c r="LC24" i="2" s="1"/>
  <c r="LD24" i="2" s="1"/>
  <c r="LE24" i="2" s="1"/>
  <c r="LF24" i="2" s="1"/>
  <c r="LG24" i="2" s="1"/>
  <c r="LH24" i="2" s="1"/>
  <c r="LI24" i="2" s="1"/>
  <c r="LJ24" i="2" s="1"/>
  <c r="LK24" i="2" s="1"/>
  <c r="LL24" i="2" s="1"/>
  <c r="LM24" i="2" s="1"/>
  <c r="LN24" i="2" s="1"/>
  <c r="LO24" i="2" s="1"/>
  <c r="LP24" i="2" s="1"/>
  <c r="LQ24" i="2" s="1"/>
  <c r="LR24" i="2" s="1"/>
  <c r="LS24" i="2" s="1"/>
  <c r="LT24" i="2" s="1"/>
  <c r="LU24" i="2" s="1"/>
  <c r="LV24" i="2" s="1"/>
  <c r="LW24" i="2" s="1"/>
  <c r="LX24" i="2" s="1"/>
  <c r="LY24" i="2" s="1"/>
  <c r="LZ24" i="2" s="1"/>
  <c r="MA24" i="2" s="1"/>
  <c r="MB24" i="2" s="1"/>
  <c r="MC24" i="2" s="1"/>
  <c r="MD24" i="2" s="1"/>
  <c r="ME24" i="2" s="1"/>
  <c r="MF24" i="2" s="1"/>
  <c r="MG24" i="2" s="1"/>
  <c r="MH24" i="2" s="1"/>
  <c r="MI24" i="2" s="1"/>
  <c r="MJ24" i="2" s="1"/>
  <c r="MK24" i="2" s="1"/>
  <c r="ML24" i="2" s="1"/>
  <c r="MM24" i="2" s="1"/>
  <c r="MN24" i="2" s="1"/>
  <c r="MO24" i="2" s="1"/>
  <c r="MP24" i="2" s="1"/>
  <c r="MQ24" i="2" s="1"/>
  <c r="MR24" i="2" s="1"/>
  <c r="MS24" i="2" s="1"/>
  <c r="MT24" i="2" s="1"/>
  <c r="MU24" i="2" s="1"/>
  <c r="MV24" i="2" s="1"/>
  <c r="MW24" i="2" s="1"/>
  <c r="MX24" i="2" s="1"/>
  <c r="MY24" i="2" s="1"/>
  <c r="MZ24" i="2" s="1"/>
  <c r="NA24" i="2" s="1"/>
  <c r="NB24" i="2" s="1"/>
  <c r="NC24" i="2" s="1"/>
  <c r="ND24" i="2" s="1"/>
  <c r="NE24" i="2" s="1"/>
  <c r="NF24" i="2" s="1"/>
  <c r="NG24" i="2" s="1"/>
  <c r="NH24" i="2" s="1"/>
  <c r="NI24" i="2" s="1"/>
  <c r="NJ24" i="2" s="1"/>
  <c r="NK24" i="2" s="1"/>
  <c r="NL24" i="2" s="1"/>
  <c r="NM24" i="2" s="1"/>
  <c r="NN24" i="2" s="1"/>
  <c r="NO24" i="2" s="1"/>
  <c r="NP24" i="2" s="1"/>
  <c r="NQ24" i="2" s="1"/>
  <c r="NR24" i="2" s="1"/>
  <c r="NS24" i="2" s="1"/>
  <c r="NT24" i="2" s="1"/>
  <c r="NU24" i="2" s="1"/>
  <c r="NV24" i="2" s="1"/>
  <c r="NW24" i="2" s="1"/>
  <c r="NX24" i="2" s="1"/>
  <c r="NY24" i="2" s="1"/>
  <c r="NZ24" i="2" s="1"/>
  <c r="OA24" i="2" s="1"/>
  <c r="OB24" i="2" s="1"/>
  <c r="OC24" i="2" s="1"/>
  <c r="OD24" i="2" s="1"/>
  <c r="OE24" i="2" s="1"/>
  <c r="OF24" i="2" s="1"/>
  <c r="OG24" i="2" s="1"/>
  <c r="OH24" i="2" s="1"/>
  <c r="OI24" i="2" s="1"/>
  <c r="OJ24" i="2" s="1"/>
  <c r="OK24" i="2" s="1"/>
  <c r="OL24" i="2" s="1"/>
  <c r="OM24" i="2" s="1"/>
  <c r="ON24" i="2" s="1"/>
  <c r="OO24" i="2" s="1"/>
  <c r="OP24" i="2" s="1"/>
  <c r="OQ24" i="2" s="1"/>
  <c r="OR24" i="2" s="1"/>
  <c r="OS24" i="2" s="1"/>
  <c r="OT24" i="2" s="1"/>
  <c r="OU24" i="2" s="1"/>
  <c r="OV24" i="2" s="1"/>
  <c r="OW24" i="2" s="1"/>
  <c r="OX24" i="2" s="1"/>
  <c r="OY24" i="2" s="1"/>
  <c r="OZ24" i="2" s="1"/>
  <c r="PA24" i="2" s="1"/>
  <c r="PB24" i="2" s="1"/>
  <c r="PC24" i="2" s="1"/>
  <c r="PD24" i="2" s="1"/>
  <c r="PE24" i="2" s="1"/>
  <c r="PF24" i="2" s="1"/>
  <c r="PG24" i="2" s="1"/>
  <c r="PH24" i="2" s="1"/>
  <c r="PI24" i="2" s="1"/>
  <c r="PJ24" i="2" s="1"/>
  <c r="PK24" i="2" s="1"/>
  <c r="PL24" i="2" s="1"/>
  <c r="PM24" i="2" s="1"/>
  <c r="PN24" i="2" s="1"/>
  <c r="PO24" i="2" s="1"/>
  <c r="PP24" i="2" s="1"/>
  <c r="PQ24" i="2" s="1"/>
  <c r="PR24" i="2" s="1"/>
  <c r="PS24" i="2" s="1"/>
  <c r="PT24" i="2" s="1"/>
  <c r="PU24" i="2" s="1"/>
  <c r="PV24" i="2" s="1"/>
  <c r="PW24" i="2" s="1"/>
  <c r="PX24" i="2" s="1"/>
  <c r="PY24" i="2" s="1"/>
  <c r="PZ24" i="2" s="1"/>
  <c r="QA24" i="2" s="1"/>
  <c r="QB24" i="2" s="1"/>
  <c r="QC24" i="2" s="1"/>
  <c r="QD24" i="2" s="1"/>
  <c r="QE24" i="2" s="1"/>
  <c r="QF24" i="2" s="1"/>
  <c r="QG24" i="2" s="1"/>
  <c r="QH24" i="2" s="1"/>
  <c r="QI24" i="2" s="1"/>
  <c r="QJ24" i="2" s="1"/>
  <c r="QK24" i="2" s="1"/>
  <c r="QL24" i="2" s="1"/>
  <c r="QM24" i="2" s="1"/>
  <c r="QN24" i="2" s="1"/>
  <c r="QO24" i="2" s="1"/>
  <c r="QP24" i="2" s="1"/>
  <c r="QQ24" i="2" s="1"/>
  <c r="QR24" i="2" s="1"/>
  <c r="QS24" i="2" s="1"/>
  <c r="QT24" i="2" s="1"/>
  <c r="QU24" i="2" s="1"/>
  <c r="QV24" i="2" s="1"/>
  <c r="QW24" i="2" s="1"/>
  <c r="QX24" i="2" s="1"/>
  <c r="QY24" i="2" s="1"/>
  <c r="QZ24" i="2" s="1"/>
  <c r="RA24" i="2" s="1"/>
  <c r="RB24" i="2" s="1"/>
  <c r="RC24" i="2" s="1"/>
  <c r="RD24" i="2" s="1"/>
  <c r="RE24" i="2" s="1"/>
  <c r="RF24" i="2" s="1"/>
  <c r="RG24" i="2" s="1"/>
  <c r="RH24" i="2" s="1"/>
  <c r="RI24" i="2" s="1"/>
  <c r="RJ24" i="2" s="1"/>
  <c r="RK24" i="2" s="1"/>
  <c r="RL24" i="2" s="1"/>
  <c r="RM24" i="2" s="1"/>
  <c r="RN24" i="2" s="1"/>
  <c r="RO24" i="2" s="1"/>
  <c r="RP24" i="2" s="1"/>
  <c r="RQ24" i="2" s="1"/>
  <c r="RR24" i="2" s="1"/>
  <c r="RS24" i="2" s="1"/>
  <c r="RT24" i="2" s="1"/>
  <c r="RU24" i="2" s="1"/>
  <c r="RV24" i="2" s="1"/>
  <c r="RW24" i="2" s="1"/>
  <c r="RX24" i="2" s="1"/>
  <c r="RY24" i="2" s="1"/>
  <c r="RZ24" i="2" s="1"/>
  <c r="SA24" i="2" s="1"/>
  <c r="SB24" i="2" s="1"/>
  <c r="SC24" i="2" s="1"/>
  <c r="SD24" i="2" s="1"/>
  <c r="SE24" i="2" s="1"/>
  <c r="SF24" i="2" s="1"/>
  <c r="SG24" i="2" s="1"/>
  <c r="SH24" i="2" s="1"/>
  <c r="SI24" i="2" s="1"/>
  <c r="SJ24" i="2" s="1"/>
  <c r="SK24" i="2" s="1"/>
  <c r="SL24" i="2" s="1"/>
  <c r="SM24" i="2" s="1"/>
  <c r="SN24" i="2" s="1"/>
  <c r="SO24" i="2" s="1"/>
  <c r="SP24" i="2" s="1"/>
  <c r="SQ24" i="2" s="1"/>
  <c r="SR24" i="2" s="1"/>
  <c r="SS24" i="2" s="1"/>
  <c r="ST24" i="2" s="1"/>
  <c r="SU24" i="2" s="1"/>
  <c r="SV24" i="2" s="1"/>
  <c r="SW24" i="2" s="1"/>
  <c r="SX24" i="2" s="1"/>
  <c r="SY24" i="2" s="1"/>
  <c r="SZ24" i="2" s="1"/>
  <c r="TA24" i="2" s="1"/>
  <c r="TB24" i="2" s="1"/>
  <c r="TC24" i="2" s="1"/>
  <c r="TD24" i="2" s="1"/>
  <c r="TE24" i="2" s="1"/>
  <c r="TF24" i="2" s="1"/>
  <c r="TG24" i="2" s="1"/>
  <c r="TH24" i="2" s="1"/>
  <c r="TI24" i="2" s="1"/>
  <c r="TJ24" i="2" s="1"/>
  <c r="TK24" i="2" s="1"/>
  <c r="TL24" i="2" s="1"/>
  <c r="TM24" i="2" s="1"/>
  <c r="TN24" i="2" s="1"/>
  <c r="TO24" i="2" s="1"/>
  <c r="TP24" i="2" s="1"/>
  <c r="TQ24" i="2" s="1"/>
  <c r="TR24" i="2" s="1"/>
  <c r="TS24" i="2" s="1"/>
  <c r="TT24" i="2" s="1"/>
  <c r="TU24" i="2" s="1"/>
  <c r="TV24" i="2" s="1"/>
  <c r="TW24" i="2" s="1"/>
  <c r="TX24" i="2" s="1"/>
  <c r="TY24" i="2" s="1"/>
  <c r="TZ24" i="2" s="1"/>
  <c r="UA24" i="2" s="1"/>
  <c r="UB24" i="2" s="1"/>
  <c r="UC24" i="2" s="1"/>
  <c r="UD24" i="2" s="1"/>
  <c r="UE24" i="2" s="1"/>
  <c r="UF24" i="2" s="1"/>
  <c r="UG24" i="2" s="1"/>
  <c r="UH24" i="2" s="1"/>
  <c r="UI24" i="2" s="1"/>
  <c r="UJ24" i="2" s="1"/>
  <c r="UK24" i="2" s="1"/>
  <c r="UL24" i="2" s="1"/>
  <c r="UM24" i="2" s="1"/>
  <c r="UN24" i="2" s="1"/>
  <c r="UO24" i="2" s="1"/>
  <c r="UP24" i="2" s="1"/>
  <c r="UQ24" i="2" s="1"/>
  <c r="UR24" i="2" s="1"/>
  <c r="US24" i="2" s="1"/>
  <c r="UT24" i="2" s="1"/>
  <c r="UU24" i="2" s="1"/>
  <c r="UV24" i="2" s="1"/>
  <c r="UW24" i="2" s="1"/>
  <c r="UX24" i="2" s="1"/>
  <c r="UY24" i="2" s="1"/>
  <c r="UZ24" i="2" s="1"/>
  <c r="VA24" i="2" s="1"/>
  <c r="VB24" i="2" s="1"/>
  <c r="VC24" i="2" s="1"/>
  <c r="VD24" i="2" s="1"/>
  <c r="VE24" i="2" s="1"/>
  <c r="VF24" i="2" s="1"/>
  <c r="VG24" i="2" s="1"/>
  <c r="VH24" i="2" s="1"/>
  <c r="VI24" i="2" s="1"/>
  <c r="VJ24" i="2" s="1"/>
  <c r="VK24" i="2" s="1"/>
  <c r="VL24" i="2" s="1"/>
  <c r="VM24" i="2" s="1"/>
  <c r="VN24" i="2" s="1"/>
  <c r="VO24" i="2" s="1"/>
  <c r="VP24" i="2" s="1"/>
  <c r="VQ24" i="2" s="1"/>
  <c r="VR24" i="2" s="1"/>
  <c r="VS24" i="2" s="1"/>
  <c r="VT24" i="2" s="1"/>
  <c r="VU24" i="2" s="1"/>
  <c r="VV24" i="2" s="1"/>
  <c r="VW24" i="2" s="1"/>
  <c r="VX24" i="2" s="1"/>
  <c r="VY24" i="2" s="1"/>
  <c r="VZ24" i="2" s="1"/>
  <c r="WA24" i="2" s="1"/>
  <c r="WB24" i="2" s="1"/>
  <c r="WC24" i="2" s="1"/>
  <c r="WD24" i="2" s="1"/>
  <c r="WE24" i="2" s="1"/>
  <c r="WF24" i="2" s="1"/>
  <c r="WG24" i="2" s="1"/>
  <c r="WH24" i="2" s="1"/>
  <c r="WI24" i="2" s="1"/>
  <c r="WJ24" i="2" s="1"/>
  <c r="WK24" i="2" s="1"/>
  <c r="WL24" i="2" s="1"/>
  <c r="WM24" i="2" s="1"/>
  <c r="WN24" i="2" s="1"/>
  <c r="WO24" i="2" s="1"/>
  <c r="WP24" i="2" s="1"/>
  <c r="WQ24" i="2" s="1"/>
  <c r="WR24" i="2" s="1"/>
  <c r="WS24" i="2" s="1"/>
  <c r="WT24" i="2" s="1"/>
  <c r="WU24" i="2" s="1"/>
  <c r="WV24" i="2" s="1"/>
  <c r="WW24" i="2" s="1"/>
  <c r="WX24" i="2" s="1"/>
  <c r="WY24" i="2" s="1"/>
  <c r="WZ24" i="2" s="1"/>
  <c r="XA24" i="2" s="1"/>
  <c r="XB24" i="2" s="1"/>
  <c r="XC24" i="2" s="1"/>
  <c r="XD24" i="2" s="1"/>
  <c r="XE24" i="2" s="1"/>
  <c r="XF24" i="2" s="1"/>
  <c r="XG24" i="2" s="1"/>
  <c r="XH24" i="2" s="1"/>
  <c r="XI24" i="2" s="1"/>
  <c r="XJ24" i="2" s="1"/>
  <c r="XK24" i="2" s="1"/>
  <c r="XL24" i="2" s="1"/>
  <c r="XM24" i="2" s="1"/>
  <c r="XN24" i="2" s="1"/>
  <c r="XO24" i="2" s="1"/>
  <c r="XP24" i="2" s="1"/>
  <c r="XQ24" i="2" s="1"/>
  <c r="XR24" i="2" s="1"/>
  <c r="XS24" i="2" s="1"/>
  <c r="XT24" i="2" s="1"/>
  <c r="XU24" i="2" s="1"/>
  <c r="XV24" i="2" s="1"/>
  <c r="XW24" i="2" s="1"/>
  <c r="XX24" i="2" s="1"/>
  <c r="XY24" i="2" s="1"/>
  <c r="XZ24" i="2" s="1"/>
  <c r="YA24" i="2" s="1"/>
  <c r="YB24" i="2" s="1"/>
  <c r="YC24" i="2" s="1"/>
  <c r="YD24" i="2" s="1"/>
  <c r="YE24" i="2" s="1"/>
  <c r="YF24" i="2" s="1"/>
  <c r="YG24" i="2" s="1"/>
  <c r="YH24" i="2" s="1"/>
  <c r="YI24" i="2" s="1"/>
  <c r="YJ24" i="2" s="1"/>
  <c r="YK24" i="2" s="1"/>
  <c r="YL24" i="2" s="1"/>
  <c r="YM24" i="2" s="1"/>
  <c r="YN24" i="2" s="1"/>
  <c r="YO24" i="2" s="1"/>
  <c r="YP24" i="2" s="1"/>
  <c r="YQ24" i="2" s="1"/>
  <c r="YR24" i="2" s="1"/>
  <c r="YS24" i="2" s="1"/>
  <c r="YT24" i="2" s="1"/>
  <c r="YU24" i="2" s="1"/>
  <c r="YV24" i="2" s="1"/>
  <c r="YW24" i="2" s="1"/>
  <c r="YX24" i="2" s="1"/>
  <c r="YY24" i="2" s="1"/>
  <c r="YZ24" i="2" s="1"/>
  <c r="ZA24" i="2" s="1"/>
  <c r="ZB24" i="2" s="1"/>
  <c r="ZC24" i="2" s="1"/>
  <c r="ZD24" i="2" s="1"/>
  <c r="ZE24" i="2" s="1"/>
  <c r="ZF24" i="2" s="1"/>
  <c r="ZG24" i="2" s="1"/>
  <c r="ZH24" i="2" s="1"/>
  <c r="ZI24" i="2" s="1"/>
  <c r="ZJ24" i="2" s="1"/>
  <c r="ZK24" i="2" s="1"/>
  <c r="ZL24" i="2" s="1"/>
  <c r="ZM24" i="2" s="1"/>
  <c r="ZN24" i="2" s="1"/>
  <c r="ZO24" i="2" s="1"/>
  <c r="ZP24" i="2" s="1"/>
  <c r="ZQ24" i="2" s="1"/>
  <c r="ZR24" i="2" s="1"/>
  <c r="ZS24" i="2" s="1"/>
  <c r="ZT24" i="2" s="1"/>
  <c r="ZU24" i="2" s="1"/>
  <c r="ZV24" i="2" s="1"/>
  <c r="ZW24" i="2" s="1"/>
  <c r="ZX24" i="2" s="1"/>
  <c r="ZY24" i="2" s="1"/>
  <c r="ZZ24" i="2" s="1"/>
  <c r="AAA24" i="2" s="1"/>
  <c r="AAB24" i="2" s="1"/>
  <c r="AAC24" i="2" s="1"/>
  <c r="AAD24" i="2" s="1"/>
  <c r="AAE24" i="2" s="1"/>
  <c r="AAF24" i="2" s="1"/>
  <c r="AAG24" i="2" s="1"/>
  <c r="AAH24" i="2" s="1"/>
  <c r="AAI24" i="2" s="1"/>
  <c r="AAJ24" i="2" s="1"/>
  <c r="AAK24" i="2" s="1"/>
  <c r="AAL24" i="2" s="1"/>
  <c r="AAM24" i="2" s="1"/>
  <c r="AAN24" i="2" s="1"/>
  <c r="AAO24" i="2" s="1"/>
  <c r="AAP24" i="2" s="1"/>
  <c r="AAQ24" i="2" s="1"/>
  <c r="AAR24" i="2" s="1"/>
  <c r="AAS24" i="2" s="1"/>
  <c r="AAT24" i="2" s="1"/>
  <c r="AAU24" i="2" s="1"/>
  <c r="AAV24" i="2" s="1"/>
  <c r="AAW24" i="2" s="1"/>
  <c r="AAX24" i="2" s="1"/>
  <c r="AAY24" i="2" s="1"/>
  <c r="AAZ24" i="2" s="1"/>
  <c r="ABA24" i="2" s="1"/>
  <c r="ABB24" i="2" s="1"/>
  <c r="ABC24" i="2" s="1"/>
  <c r="ABD24" i="2" s="1"/>
  <c r="ABE24" i="2" s="1"/>
  <c r="ABF24" i="2" s="1"/>
  <c r="ABG24" i="2" s="1"/>
  <c r="ABH24" i="2" s="1"/>
  <c r="ABI24" i="2" s="1"/>
  <c r="ABJ24" i="2" s="1"/>
  <c r="ABK24" i="2" s="1"/>
  <c r="ABL24" i="2" s="1"/>
  <c r="ABM24" i="2" s="1"/>
  <c r="ABN24" i="2" s="1"/>
  <c r="ABO24" i="2" s="1"/>
  <c r="ABP24" i="2" s="1"/>
  <c r="ABQ24" i="2" s="1"/>
  <c r="ABR24" i="2" s="1"/>
  <c r="ABS24" i="2" s="1"/>
  <c r="ABT24" i="2" s="1"/>
  <c r="ABU24" i="2" s="1"/>
  <c r="ABV24" i="2" s="1"/>
  <c r="ABW24" i="2" s="1"/>
  <c r="ABX24" i="2" s="1"/>
  <c r="ABY24" i="2" s="1"/>
  <c r="ABZ24" i="2" s="1"/>
  <c r="ACA24" i="2" s="1"/>
  <c r="ACB24" i="2" s="1"/>
  <c r="ACC24" i="2" s="1"/>
  <c r="ACD24" i="2" s="1"/>
  <c r="ACE24" i="2" s="1"/>
  <c r="ACF24" i="2" s="1"/>
  <c r="ACG24" i="2" s="1"/>
  <c r="ACH24" i="2" s="1"/>
  <c r="ACI24" i="2" s="1"/>
  <c r="ACJ24" i="2" s="1"/>
  <c r="ACK24" i="2" s="1"/>
  <c r="ACL24" i="2" s="1"/>
  <c r="ACM24" i="2" s="1"/>
  <c r="ACN24" i="2" s="1"/>
  <c r="ACO24" i="2" s="1"/>
  <c r="ACP24" i="2" s="1"/>
  <c r="ACQ24" i="2" s="1"/>
  <c r="ACR24" i="2" s="1"/>
  <c r="ACS24" i="2" s="1"/>
  <c r="ACT24" i="2" s="1"/>
  <c r="ACU24" i="2" s="1"/>
  <c r="ACV24" i="2" s="1"/>
  <c r="ACW24" i="2" s="1"/>
  <c r="ACX24" i="2" s="1"/>
  <c r="ACY24" i="2" s="1"/>
  <c r="ACZ24" i="2" s="1"/>
  <c r="ADA24" i="2" s="1"/>
  <c r="ADB24" i="2" s="1"/>
  <c r="ADC24" i="2" s="1"/>
  <c r="ADD24" i="2" s="1"/>
  <c r="ADE24" i="2" s="1"/>
  <c r="ADF24" i="2" s="1"/>
  <c r="ADG24" i="2" s="1"/>
  <c r="ADH24" i="2" s="1"/>
  <c r="ADI24" i="2" s="1"/>
  <c r="ADJ24" i="2" s="1"/>
  <c r="ADK24" i="2" s="1"/>
  <c r="ADL24" i="2" s="1"/>
  <c r="ADM24" i="2" s="1"/>
  <c r="ADN24" i="2" s="1"/>
  <c r="ADO24" i="2" s="1"/>
  <c r="ADP24" i="2" s="1"/>
  <c r="ADQ24" i="2" s="1"/>
  <c r="ADR24" i="2" s="1"/>
  <c r="ADS24" i="2" s="1"/>
  <c r="ADT24" i="2" s="1"/>
  <c r="ADU24" i="2" s="1"/>
  <c r="ADV24" i="2" s="1"/>
  <c r="ADW24" i="2" s="1"/>
  <c r="ADX24" i="2" s="1"/>
  <c r="ADY24" i="2" s="1"/>
  <c r="ADZ24" i="2" s="1"/>
  <c r="AEA24" i="2" s="1"/>
  <c r="AEB24" i="2" s="1"/>
  <c r="AEC24" i="2" s="1"/>
  <c r="AED24" i="2" s="1"/>
  <c r="AEE24" i="2" s="1"/>
  <c r="AEF24" i="2" s="1"/>
  <c r="AEG24" i="2" s="1"/>
  <c r="AEH24" i="2" s="1"/>
  <c r="AEI24" i="2" s="1"/>
  <c r="AEJ24" i="2" s="1"/>
  <c r="AEK24" i="2" s="1"/>
  <c r="AEL24" i="2" s="1"/>
  <c r="AEM24" i="2" s="1"/>
  <c r="AEN24" i="2" s="1"/>
  <c r="AEO24" i="2" s="1"/>
  <c r="AEP24" i="2" s="1"/>
  <c r="AEQ24" i="2" s="1"/>
  <c r="AER24" i="2" s="1"/>
  <c r="AES24" i="2" s="1"/>
  <c r="AET24" i="2" s="1"/>
  <c r="AEU24" i="2" s="1"/>
  <c r="AEV24" i="2" s="1"/>
  <c r="AEW24" i="2" s="1"/>
  <c r="AEX24" i="2" s="1"/>
  <c r="AEY24" i="2" s="1"/>
  <c r="AEZ24" i="2" s="1"/>
  <c r="AFA24" i="2" s="1"/>
  <c r="AFB24" i="2" s="1"/>
  <c r="AFC24" i="2" s="1"/>
  <c r="AFD24" i="2" s="1"/>
  <c r="AFE24" i="2" s="1"/>
  <c r="AFF24" i="2" s="1"/>
  <c r="AFG24" i="2" s="1"/>
  <c r="AFH24" i="2" s="1"/>
  <c r="AFI24" i="2" s="1"/>
  <c r="AFJ24" i="2" s="1"/>
  <c r="AFK24" i="2" s="1"/>
  <c r="AFL24" i="2" s="1"/>
  <c r="AFM24" i="2" s="1"/>
  <c r="AFN24" i="2" s="1"/>
  <c r="AFO24" i="2" s="1"/>
  <c r="AFP24" i="2" s="1"/>
  <c r="AFQ24" i="2" s="1"/>
  <c r="AFR24" i="2" s="1"/>
  <c r="AFS24" i="2" s="1"/>
  <c r="AFT24" i="2" s="1"/>
  <c r="AFU24" i="2" s="1"/>
  <c r="AFV24" i="2" s="1"/>
  <c r="AFW24" i="2" s="1"/>
  <c r="AFX24" i="2" s="1"/>
  <c r="AFY24" i="2" s="1"/>
  <c r="AFZ24" i="2" s="1"/>
  <c r="AGA24" i="2" s="1"/>
  <c r="AGB24" i="2" s="1"/>
  <c r="AGC24" i="2" s="1"/>
  <c r="AGD24" i="2" s="1"/>
  <c r="AGE24" i="2" s="1"/>
  <c r="AGF24" i="2" s="1"/>
  <c r="AGG24" i="2" s="1"/>
  <c r="AGH24" i="2" s="1"/>
  <c r="AGI24" i="2" s="1"/>
  <c r="AGJ24" i="2" s="1"/>
  <c r="AGK24" i="2" s="1"/>
  <c r="AGL24" i="2" s="1"/>
  <c r="AGM24" i="2" s="1"/>
  <c r="AGN24" i="2" s="1"/>
  <c r="AGO24" i="2" s="1"/>
  <c r="AGP24" i="2" s="1"/>
  <c r="AGQ24" i="2" s="1"/>
  <c r="AGR24" i="2" s="1"/>
  <c r="AGS24" i="2" s="1"/>
  <c r="AGT24" i="2" s="1"/>
  <c r="AGU24" i="2" s="1"/>
  <c r="AGV24" i="2" s="1"/>
  <c r="AGW24" i="2" s="1"/>
  <c r="AGX24" i="2" s="1"/>
  <c r="AGY24" i="2" s="1"/>
  <c r="AGZ24" i="2" s="1"/>
  <c r="AHA24" i="2" s="1"/>
  <c r="AHB24" i="2" s="1"/>
  <c r="AHC24" i="2" s="1"/>
  <c r="AHD24" i="2" s="1"/>
  <c r="AHE24" i="2" s="1"/>
  <c r="AHF24" i="2" s="1"/>
  <c r="AHG24" i="2" s="1"/>
  <c r="AHH24" i="2" s="1"/>
  <c r="AHI24" i="2" s="1"/>
  <c r="AHJ24" i="2" s="1"/>
  <c r="AHK24" i="2" s="1"/>
  <c r="AHL24" i="2" s="1"/>
  <c r="AHM24" i="2" s="1"/>
  <c r="AHN24" i="2" s="1"/>
  <c r="AHO24" i="2" s="1"/>
  <c r="AHP24" i="2" s="1"/>
  <c r="AHQ24" i="2" s="1"/>
  <c r="AHR24" i="2" s="1"/>
  <c r="AHS24" i="2" s="1"/>
  <c r="AHT24" i="2" s="1"/>
  <c r="AHU24" i="2" s="1"/>
  <c r="AHV24" i="2" s="1"/>
  <c r="AHW24" i="2" s="1"/>
  <c r="AHX24" i="2" s="1"/>
  <c r="AHY24" i="2" s="1"/>
  <c r="AHZ24" i="2" s="1"/>
  <c r="AIA24" i="2" s="1"/>
  <c r="AIB24" i="2" s="1"/>
  <c r="AIC24" i="2" s="1"/>
  <c r="AID24" i="2" s="1"/>
  <c r="AIE24" i="2" s="1"/>
  <c r="AIF24" i="2" s="1"/>
  <c r="AIG24" i="2" s="1"/>
  <c r="AIH24" i="2" s="1"/>
  <c r="AII24" i="2" s="1"/>
  <c r="AIJ24" i="2" s="1"/>
  <c r="AIK24" i="2" s="1"/>
  <c r="AIL24" i="2" s="1"/>
  <c r="AIM24" i="2" s="1"/>
  <c r="AIN24" i="2" s="1"/>
  <c r="AIO24" i="2" s="1"/>
  <c r="AIP24" i="2" s="1"/>
  <c r="AIQ24" i="2" s="1"/>
  <c r="AIR24" i="2" s="1"/>
  <c r="AIS24" i="2" s="1"/>
  <c r="AIT24" i="2" s="1"/>
  <c r="AIU24" i="2" s="1"/>
  <c r="AIV24" i="2" s="1"/>
  <c r="AIW24" i="2" s="1"/>
  <c r="AIX24" i="2" s="1"/>
  <c r="AIY24" i="2" s="1"/>
  <c r="AIZ24" i="2" s="1"/>
  <c r="AJA24" i="2" s="1"/>
  <c r="AJB24" i="2" s="1"/>
  <c r="AJC24" i="2" s="1"/>
  <c r="AJD24" i="2" s="1"/>
  <c r="AJE24" i="2" s="1"/>
  <c r="AJF24" i="2" s="1"/>
  <c r="AJG24" i="2" s="1"/>
  <c r="AJH24" i="2" s="1"/>
  <c r="AJI24" i="2" s="1"/>
  <c r="AJJ24" i="2" s="1"/>
  <c r="AJK24" i="2" s="1"/>
  <c r="AJL24" i="2" s="1"/>
  <c r="AJM24" i="2" s="1"/>
  <c r="AJN24" i="2" s="1"/>
  <c r="AJO24" i="2" s="1"/>
  <c r="AJP24" i="2" s="1"/>
  <c r="AJQ24" i="2" s="1"/>
  <c r="AJR24" i="2" s="1"/>
  <c r="AJS24" i="2" s="1"/>
  <c r="AJT24" i="2" s="1"/>
  <c r="AJU24" i="2" s="1"/>
  <c r="AJV24" i="2" s="1"/>
  <c r="AJW24" i="2" s="1"/>
  <c r="AJX24" i="2" s="1"/>
  <c r="AJY24" i="2" s="1"/>
  <c r="AJZ24" i="2" s="1"/>
  <c r="AKA24" i="2" s="1"/>
  <c r="AKB24" i="2" s="1"/>
  <c r="AKC24" i="2" s="1"/>
  <c r="AKD24" i="2" s="1"/>
  <c r="AKE24" i="2" s="1"/>
  <c r="AKF24" i="2" s="1"/>
  <c r="AKG24" i="2" s="1"/>
  <c r="AKH24" i="2" s="1"/>
  <c r="AKI24" i="2" s="1"/>
  <c r="AKJ24" i="2" s="1"/>
  <c r="AKK24" i="2" s="1"/>
  <c r="AKL24" i="2" s="1"/>
  <c r="AKM24" i="2" s="1"/>
  <c r="AKN24" i="2" s="1"/>
  <c r="AS24" i="2"/>
  <c r="AT24" i="2"/>
  <c r="AU24" i="2" s="1"/>
  <c r="AR24" i="2"/>
  <c r="AJ24" i="2"/>
  <c r="AK24" i="2" s="1"/>
  <c r="AL24" i="2" s="1"/>
  <c r="AM24" i="2" s="1"/>
  <c r="AN24" i="2" s="1"/>
  <c r="AO24" i="2" s="1"/>
  <c r="AP24" i="2" s="1"/>
  <c r="AQ24" i="2" s="1"/>
  <c r="AI24" i="2"/>
  <c r="AH37" i="2"/>
  <c r="AH24" i="2" s="1"/>
  <c r="AG24" i="2"/>
  <c r="AF24" i="2"/>
  <c r="AE24" i="2"/>
  <c r="AD24" i="2"/>
  <c r="AC24" i="2"/>
  <c r="AB24" i="2"/>
  <c r="AA24" i="2"/>
  <c r="Z24" i="2"/>
  <c r="Z45" i="2"/>
  <c r="AA45" i="2"/>
  <c r="AB45" i="2"/>
  <c r="AC45" i="2"/>
  <c r="AD45" i="2"/>
  <c r="AE45" i="2"/>
  <c r="AF45" i="2"/>
  <c r="AG45" i="2"/>
  <c r="Y37" i="2"/>
  <c r="Z37" i="2" s="1"/>
  <c r="AA37" i="2" s="1"/>
  <c r="AB37" i="2" s="1"/>
  <c r="AC37" i="2" s="1"/>
  <c r="AD37" i="2" s="1"/>
  <c r="AE37" i="2" s="1"/>
  <c r="AF37" i="2" s="1"/>
  <c r="AG37" i="2" s="1"/>
  <c r="AH7" i="2"/>
  <c r="AG7" i="2"/>
  <c r="AF7" i="2"/>
  <c r="AE7" i="2"/>
  <c r="AD7" i="2"/>
  <c r="AB7" i="2"/>
  <c r="AC7" i="2"/>
  <c r="AA7" i="2"/>
  <c r="Z7" i="2"/>
  <c r="X114" i="2"/>
  <c r="X113" i="2"/>
  <c r="Y113" i="2" s="1"/>
  <c r="Z113" i="2" s="1"/>
  <c r="AA113" i="2" s="1"/>
  <c r="AB113" i="2" s="1"/>
  <c r="AC113" i="2" s="1"/>
  <c r="AD113" i="2" s="1"/>
  <c r="AE113" i="2" s="1"/>
  <c r="AF113" i="2" s="1"/>
  <c r="AG113" i="2" s="1"/>
  <c r="W113" i="2"/>
  <c r="V113" i="2"/>
  <c r="X37" i="2"/>
  <c r="X45" i="2"/>
  <c r="W33" i="2"/>
  <c r="V31" i="2"/>
  <c r="I33" i="2"/>
  <c r="H33" i="2"/>
  <c r="G33" i="2"/>
  <c r="J33" i="2"/>
  <c r="F31" i="2"/>
  <c r="W32" i="2"/>
  <c r="I32" i="2"/>
  <c r="H32" i="2"/>
  <c r="G32" i="2"/>
  <c r="J32" i="2"/>
  <c r="J31" i="2"/>
  <c r="C31" i="2"/>
  <c r="V50" i="2"/>
  <c r="W50" i="2"/>
  <c r="V70" i="2"/>
  <c r="V72" i="2" s="1"/>
  <c r="V60" i="2"/>
  <c r="W70" i="2"/>
  <c r="W72" i="2" s="1"/>
  <c r="W60" i="2"/>
  <c r="E101" i="2"/>
  <c r="E93" i="2"/>
  <c r="E88" i="2"/>
  <c r="J93" i="2"/>
  <c r="I101" i="2"/>
  <c r="I93" i="2"/>
  <c r="I88" i="2"/>
  <c r="E21" i="2"/>
  <c r="I21" i="2"/>
  <c r="H102" i="2"/>
  <c r="H92" i="2"/>
  <c r="H90" i="2"/>
  <c r="H89" i="2"/>
  <c r="H87" i="2"/>
  <c r="H86" i="2"/>
  <c r="H85" i="2"/>
  <c r="H84" i="2"/>
  <c r="H83" i="2"/>
  <c r="H82" i="2"/>
  <c r="H81" i="2"/>
  <c r="H80" i="2"/>
  <c r="H79" i="2"/>
  <c r="H78" i="2"/>
  <c r="H77" i="2"/>
  <c r="D21" i="2"/>
  <c r="H21" i="2"/>
  <c r="G99" i="2"/>
  <c r="G101" i="2" s="1"/>
  <c r="C21" i="2"/>
  <c r="C7" i="2"/>
  <c r="G21" i="2"/>
  <c r="I29" i="2"/>
  <c r="H29" i="2"/>
  <c r="G29" i="2"/>
  <c r="F29" i="2"/>
  <c r="E29" i="2"/>
  <c r="D29" i="2"/>
  <c r="C29" i="2"/>
  <c r="I19" i="2"/>
  <c r="H19" i="2"/>
  <c r="G19" i="2"/>
  <c r="F19" i="2"/>
  <c r="E19" i="2"/>
  <c r="D19" i="2"/>
  <c r="C19" i="2"/>
  <c r="I11" i="2"/>
  <c r="H11" i="2"/>
  <c r="G11" i="2"/>
  <c r="F11" i="2"/>
  <c r="E11" i="2"/>
  <c r="D11" i="2"/>
  <c r="C11" i="2"/>
  <c r="I7" i="2"/>
  <c r="I31" i="2" s="1"/>
  <c r="H7" i="2"/>
  <c r="H31" i="2" s="1"/>
  <c r="G7" i="2"/>
  <c r="G45" i="2" s="1"/>
  <c r="F7" i="2"/>
  <c r="E7" i="2"/>
  <c r="E31" i="2" s="1"/>
  <c r="D7" i="2"/>
  <c r="D31" i="2" s="1"/>
  <c r="V107" i="2"/>
  <c r="V101" i="2"/>
  <c r="V93" i="2"/>
  <c r="V88" i="2"/>
  <c r="V106" i="2" s="1"/>
  <c r="W107" i="2"/>
  <c r="W99" i="2"/>
  <c r="W101" i="2" s="1"/>
  <c r="W93" i="2"/>
  <c r="W88" i="2"/>
  <c r="W106" i="2" s="1"/>
  <c r="V29" i="2"/>
  <c r="W29" i="2"/>
  <c r="W46" i="2" s="1"/>
  <c r="J21" i="2"/>
  <c r="F21" i="2"/>
  <c r="V21" i="2"/>
  <c r="V19" i="2"/>
  <c r="V11" i="2"/>
  <c r="V7" i="2"/>
  <c r="W21" i="2"/>
  <c r="W19" i="2"/>
  <c r="W11" i="2"/>
  <c r="W7" i="2"/>
  <c r="W45" i="2" s="1"/>
  <c r="G88" i="2"/>
  <c r="G106" i="2" s="1"/>
  <c r="D88" i="2"/>
  <c r="D106" i="2" s="1"/>
  <c r="C88" i="2"/>
  <c r="C106" i="2" s="1"/>
  <c r="G93" i="2"/>
  <c r="F93" i="2"/>
  <c r="D93" i="2"/>
  <c r="C93" i="2"/>
  <c r="H101" i="2"/>
  <c r="D101" i="2"/>
  <c r="C101" i="2"/>
  <c r="G107" i="2"/>
  <c r="E107" i="2"/>
  <c r="D107" i="2"/>
  <c r="C107" i="2"/>
  <c r="J88" i="2"/>
  <c r="I70" i="2"/>
  <c r="I72" i="2" s="1"/>
  <c r="H70" i="2"/>
  <c r="H72" i="2" s="1"/>
  <c r="G70" i="2"/>
  <c r="G72" i="2" s="1"/>
  <c r="F70" i="2"/>
  <c r="F72" i="2" s="1"/>
  <c r="I60" i="2"/>
  <c r="H60" i="2"/>
  <c r="G60" i="2"/>
  <c r="F60" i="2"/>
  <c r="J70" i="2"/>
  <c r="J72" i="2" s="1"/>
  <c r="J60" i="2"/>
  <c r="J19" i="2"/>
  <c r="J11" i="2"/>
  <c r="J7" i="2"/>
  <c r="J45" i="2" s="1"/>
  <c r="M36" i="2" l="1"/>
  <c r="M43" i="2"/>
  <c r="M22" i="2"/>
  <c r="L20" i="2"/>
  <c r="L22" i="2" s="1"/>
  <c r="L42" i="2"/>
  <c r="L35" i="2"/>
  <c r="L41" i="2"/>
  <c r="L40" i="2"/>
  <c r="AL31" i="2"/>
  <c r="Y45" i="2"/>
  <c r="G31" i="2"/>
  <c r="T7" i="2"/>
  <c r="U7" i="2"/>
  <c r="W31" i="2"/>
  <c r="H45" i="2"/>
  <c r="I45" i="2"/>
  <c r="H107" i="2"/>
  <c r="W12" i="2"/>
  <c r="V12" i="2"/>
  <c r="W103" i="2"/>
  <c r="F12" i="2"/>
  <c r="H93" i="2"/>
  <c r="F101" i="2"/>
  <c r="F107" i="2"/>
  <c r="F88" i="2"/>
  <c r="E106" i="2"/>
  <c r="E103" i="2"/>
  <c r="J101" i="2"/>
  <c r="J103" i="2" s="1"/>
  <c r="J107" i="2"/>
  <c r="J106" i="2"/>
  <c r="I106" i="2"/>
  <c r="I107" i="2"/>
  <c r="I103" i="2"/>
  <c r="E12" i="2"/>
  <c r="I12" i="2"/>
  <c r="D103" i="2"/>
  <c r="H88" i="2"/>
  <c r="H106" i="2" s="1"/>
  <c r="D12" i="2"/>
  <c r="H12" i="2"/>
  <c r="C103" i="2"/>
  <c r="G103" i="2"/>
  <c r="C12" i="2"/>
  <c r="G12" i="2"/>
  <c r="V103" i="2"/>
  <c r="J12" i="2"/>
  <c r="K8" i="1"/>
  <c r="M24" i="2" l="1"/>
  <c r="M39" i="2"/>
  <c r="L36" i="2"/>
  <c r="L43" i="2"/>
  <c r="K12" i="1"/>
  <c r="F20" i="2"/>
  <c r="F41" i="2"/>
  <c r="F40" i="2"/>
  <c r="F42" i="2"/>
  <c r="F35" i="2"/>
  <c r="G20" i="2"/>
  <c r="G41" i="2"/>
  <c r="G42" i="2"/>
  <c r="G40" i="2"/>
  <c r="G35" i="2"/>
  <c r="C20" i="2"/>
  <c r="C41" i="2"/>
  <c r="C42" i="2"/>
  <c r="C35" i="2"/>
  <c r="C40" i="2"/>
  <c r="V20" i="2"/>
  <c r="V41" i="2"/>
  <c r="V40" i="2"/>
  <c r="V35" i="2"/>
  <c r="V42" i="2"/>
  <c r="W20" i="2"/>
  <c r="W41" i="2"/>
  <c r="W40" i="2"/>
  <c r="W42" i="2"/>
  <c r="W35" i="2"/>
  <c r="H20" i="2"/>
  <c r="H42" i="2"/>
  <c r="H41" i="2"/>
  <c r="H40" i="2"/>
  <c r="H35" i="2"/>
  <c r="I20" i="2"/>
  <c r="I41" i="2"/>
  <c r="I40" i="2"/>
  <c r="I35" i="2"/>
  <c r="I42" i="2"/>
  <c r="E20" i="2"/>
  <c r="E41" i="2"/>
  <c r="E40" i="2"/>
  <c r="E35" i="2"/>
  <c r="E42" i="2"/>
  <c r="J20" i="2"/>
  <c r="J41" i="2"/>
  <c r="J40" i="2"/>
  <c r="J35" i="2"/>
  <c r="J42" i="2"/>
  <c r="D20" i="2"/>
  <c r="D42" i="2"/>
  <c r="D35" i="2"/>
  <c r="D41" i="2"/>
  <c r="D40" i="2"/>
  <c r="F103" i="2"/>
  <c r="F106" i="2"/>
  <c r="H103" i="2"/>
  <c r="M26" i="2" l="1"/>
  <c r="M46" i="2" s="1"/>
  <c r="M37" i="2"/>
  <c r="L24" i="2"/>
  <c r="L39" i="2"/>
  <c r="E22" i="2"/>
  <c r="E36" i="2"/>
  <c r="E43" i="2"/>
  <c r="D22" i="2"/>
  <c r="D36" i="2"/>
  <c r="D43" i="2"/>
  <c r="G22" i="2"/>
  <c r="G36" i="2"/>
  <c r="G43" i="2"/>
  <c r="C22" i="2"/>
  <c r="C43" i="2"/>
  <c r="C36" i="2"/>
  <c r="W22" i="2"/>
  <c r="W43" i="2"/>
  <c r="W36" i="2"/>
  <c r="I22" i="2"/>
  <c r="I36" i="2"/>
  <c r="I43" i="2"/>
  <c r="J22" i="2"/>
  <c r="J36" i="2"/>
  <c r="J43" i="2"/>
  <c r="V22" i="2"/>
  <c r="V36" i="2"/>
  <c r="V43" i="2"/>
  <c r="H22" i="2"/>
  <c r="H36" i="2"/>
  <c r="H43" i="2"/>
  <c r="F22" i="2"/>
  <c r="F36" i="2"/>
  <c r="F43" i="2"/>
  <c r="L26" i="2" l="1"/>
  <c r="L46" i="2" s="1"/>
  <c r="L37" i="2"/>
  <c r="V24" i="2"/>
  <c r="V39" i="2"/>
  <c r="C24" i="2"/>
  <c r="C39" i="2"/>
  <c r="J24" i="2"/>
  <c r="J39" i="2"/>
  <c r="G24" i="2"/>
  <c r="G39" i="2"/>
  <c r="F24" i="2"/>
  <c r="F39" i="2"/>
  <c r="I24" i="2"/>
  <c r="I39" i="2"/>
  <c r="D24" i="2"/>
  <c r="D39" i="2"/>
  <c r="H24" i="2"/>
  <c r="H39" i="2"/>
  <c r="W24" i="2"/>
  <c r="W39" i="2"/>
  <c r="E24" i="2"/>
  <c r="E39" i="2"/>
  <c r="F26" i="2" l="1"/>
  <c r="F37" i="2"/>
  <c r="F76" i="2"/>
  <c r="G37" i="2"/>
  <c r="G76" i="2"/>
  <c r="G26" i="2"/>
  <c r="W26" i="2"/>
  <c r="W37" i="2"/>
  <c r="W76" i="2"/>
  <c r="I37" i="2"/>
  <c r="I76" i="2"/>
  <c r="I26" i="2"/>
  <c r="I46" i="2" s="1"/>
  <c r="E37" i="2"/>
  <c r="E76" i="2"/>
  <c r="E26" i="2"/>
  <c r="J26" i="2"/>
  <c r="J46" i="2" s="1"/>
  <c r="J37" i="2"/>
  <c r="J76" i="2"/>
  <c r="H37" i="2"/>
  <c r="H76" i="2"/>
  <c r="H26" i="2"/>
  <c r="H46" i="2" s="1"/>
  <c r="C76" i="2"/>
  <c r="C37" i="2"/>
  <c r="C26" i="2"/>
  <c r="D26" i="2"/>
  <c r="D37" i="2"/>
  <c r="D76" i="2"/>
  <c r="V26" i="2"/>
  <c r="V37" i="2"/>
  <c r="V76" i="2"/>
  <c r="G46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Gega Mukhigulashvili</author>
  </authors>
  <commentList>
    <comment ref="V112" authorId="0" shapeId="0" xr:uid="{888987E0-7DD6-47C5-9DC0-7FD356089D0F}">
      <text>
        <r>
          <rPr>
            <b/>
            <sz val="9"/>
            <color indexed="81"/>
            <rFont val="Tahoma"/>
            <family val="2"/>
          </rPr>
          <t>Gega Mukhigulashvili:</t>
        </r>
        <r>
          <rPr>
            <sz val="9"/>
            <color indexed="81"/>
            <rFont val="Tahoma"/>
            <family val="2"/>
          </rPr>
          <t xml:space="preserve">
Statista</t>
        </r>
      </text>
    </comment>
    <comment ref="W112" authorId="0" shapeId="0" xr:uid="{128F3746-A582-4390-B67C-A2F54637F1A3}">
      <text>
        <r>
          <rPr>
            <b/>
            <sz val="9"/>
            <color indexed="81"/>
            <rFont val="Tahoma"/>
            <family val="2"/>
          </rPr>
          <t>Gega Mukhigulashvili:</t>
        </r>
        <r>
          <rPr>
            <sz val="9"/>
            <color indexed="81"/>
            <rFont val="Tahoma"/>
            <family val="2"/>
          </rPr>
          <t xml:space="preserve">
Statista</t>
        </r>
      </text>
    </comment>
    <comment ref="X112" authorId="0" shapeId="0" xr:uid="{0ACEBD77-6D27-4F18-874F-38B0C30B52AD}">
      <text>
        <r>
          <rPr>
            <b/>
            <sz val="9"/>
            <color indexed="81"/>
            <rFont val="Tahoma"/>
            <family val="2"/>
          </rPr>
          <t>Gega Mukhigulashvili:</t>
        </r>
        <r>
          <rPr>
            <sz val="9"/>
            <color indexed="81"/>
            <rFont val="Tahoma"/>
            <family val="2"/>
          </rPr>
          <t xml:space="preserve">
Statista</t>
        </r>
      </text>
    </comment>
    <comment ref="AB112" authorId="0" shapeId="0" xr:uid="{358323A3-AD73-41A5-A222-9023C9FC1666}">
      <text>
        <r>
          <rPr>
            <b/>
            <sz val="9"/>
            <color indexed="81"/>
            <rFont val="Tahoma"/>
            <family val="2"/>
          </rPr>
          <t>Gega Mukhigulashvili:</t>
        </r>
        <r>
          <rPr>
            <sz val="9"/>
            <color indexed="81"/>
            <rFont val="Tahoma"/>
            <family val="2"/>
          </rPr>
          <t xml:space="preserve">
Statista
</t>
        </r>
      </text>
    </comment>
    <comment ref="AG112" authorId="0" shapeId="0" xr:uid="{A246E1E1-70C2-4966-9D54-760350B32947}">
      <text>
        <r>
          <rPr>
            <b/>
            <sz val="9"/>
            <color indexed="81"/>
            <rFont val="Tahoma"/>
            <family val="2"/>
          </rPr>
          <t>Gega Mukhigulashvili:</t>
        </r>
        <r>
          <rPr>
            <sz val="9"/>
            <color indexed="81"/>
            <rFont val="Tahoma"/>
            <family val="2"/>
          </rPr>
          <t xml:space="preserve">
research and markets
</t>
        </r>
      </text>
    </comment>
  </commentList>
</comments>
</file>

<file path=xl/sharedStrings.xml><?xml version="1.0" encoding="utf-8"?>
<sst xmlns="http://schemas.openxmlformats.org/spreadsheetml/2006/main" count="160" uniqueCount="145">
  <si>
    <t>Price</t>
  </si>
  <si>
    <t>S/O</t>
  </si>
  <si>
    <t>Cash</t>
  </si>
  <si>
    <t>Debt</t>
  </si>
  <si>
    <t>MC</t>
  </si>
  <si>
    <t>EV</t>
  </si>
  <si>
    <t>Q425</t>
  </si>
  <si>
    <t>Q124</t>
  </si>
  <si>
    <t>Q224</t>
  </si>
  <si>
    <t>Q324</t>
  </si>
  <si>
    <t>Q424</t>
  </si>
  <si>
    <t>Q125</t>
  </si>
  <si>
    <t>Q225</t>
  </si>
  <si>
    <t>Q325</t>
  </si>
  <si>
    <t>Q126</t>
  </si>
  <si>
    <t>Q226</t>
  </si>
  <si>
    <t>Q326</t>
  </si>
  <si>
    <t>Q426</t>
  </si>
  <si>
    <t>Q127</t>
  </si>
  <si>
    <t>Q227</t>
  </si>
  <si>
    <t>Main</t>
  </si>
  <si>
    <t>Cloud services and license support</t>
  </si>
  <si>
    <t>Cloud license and on-premise license</t>
  </si>
  <si>
    <t>Hardware</t>
  </si>
  <si>
    <t>Services</t>
  </si>
  <si>
    <t>Total revenues</t>
  </si>
  <si>
    <t>Cloud services and license support costs</t>
  </si>
  <si>
    <t>S&amp;M</t>
  </si>
  <si>
    <t>R&amp;D</t>
  </si>
  <si>
    <t>G&amp;A</t>
  </si>
  <si>
    <t>COGS</t>
  </si>
  <si>
    <t>Gross Profit</t>
  </si>
  <si>
    <t>Amortization</t>
  </si>
  <si>
    <t>Acquisition related and other</t>
  </si>
  <si>
    <t>Restructuring</t>
  </si>
  <si>
    <t>Operating expenses</t>
  </si>
  <si>
    <t>Operating Profit</t>
  </si>
  <si>
    <t>Interest income</t>
  </si>
  <si>
    <t>Pretax Income</t>
  </si>
  <si>
    <t>Taxes</t>
  </si>
  <si>
    <t>Net Income</t>
  </si>
  <si>
    <t>SO</t>
  </si>
  <si>
    <t>EPS</t>
  </si>
  <si>
    <t>Non-GAAP NI</t>
  </si>
  <si>
    <t>Non-GAAP EPS</t>
  </si>
  <si>
    <t>Net Cash</t>
  </si>
  <si>
    <t>Cash &amp; equivalents</t>
  </si>
  <si>
    <t>Marketable securities</t>
  </si>
  <si>
    <t>A/R</t>
  </si>
  <si>
    <t>Prepaids</t>
  </si>
  <si>
    <t>PP&amp;A</t>
  </si>
  <si>
    <t xml:space="preserve">Intangibles </t>
  </si>
  <si>
    <t>Goodwill</t>
  </si>
  <si>
    <t>Deferred tax</t>
  </si>
  <si>
    <t>ONCA</t>
  </si>
  <si>
    <t>Total Assets</t>
  </si>
  <si>
    <t>A/P</t>
  </si>
  <si>
    <t>Current debt</t>
  </si>
  <si>
    <t>Accrued compensation</t>
  </si>
  <si>
    <t>Deferred revenues</t>
  </si>
  <si>
    <t>OCL</t>
  </si>
  <si>
    <t>Non-current debt</t>
  </si>
  <si>
    <t>Income taxes</t>
  </si>
  <si>
    <t>Operating lease</t>
  </si>
  <si>
    <t>ONCL</t>
  </si>
  <si>
    <t>Total Liabilities</t>
  </si>
  <si>
    <t>SE</t>
  </si>
  <si>
    <t>L+SE</t>
  </si>
  <si>
    <t>GAAP NI</t>
  </si>
  <si>
    <t>Reported NI</t>
  </si>
  <si>
    <t>Depriciation</t>
  </si>
  <si>
    <t>Deferred income taxes</t>
  </si>
  <si>
    <t>Stock-based compensation</t>
  </si>
  <si>
    <t>Other</t>
  </si>
  <si>
    <t>Income taxes payable</t>
  </si>
  <si>
    <t>CFFO</t>
  </si>
  <si>
    <t>Acquisitions</t>
  </si>
  <si>
    <t>CapEx</t>
  </si>
  <si>
    <t>CFFI</t>
  </si>
  <si>
    <t>Purchase of marketable securities</t>
  </si>
  <si>
    <t>Proceeds from marketable securities</t>
  </si>
  <si>
    <t>Stock repurchases</t>
  </si>
  <si>
    <t>Stock issuance</t>
  </si>
  <si>
    <t>Shares repurchased for tax witholdings</t>
  </si>
  <si>
    <t>Dividends</t>
  </si>
  <si>
    <t>Proceeds from issuance of commerical paper</t>
  </si>
  <si>
    <t xml:space="preserve">Other </t>
  </si>
  <si>
    <t>CFFF</t>
  </si>
  <si>
    <t>FX adj</t>
  </si>
  <si>
    <t>CF</t>
  </si>
  <si>
    <t>FCF</t>
  </si>
  <si>
    <t>CapEx Margin</t>
  </si>
  <si>
    <t>Notes</t>
  </si>
  <si>
    <t>FY25</t>
  </si>
  <si>
    <t>FY24</t>
  </si>
  <si>
    <t>Gross Margin</t>
  </si>
  <si>
    <t>Operating Margin</t>
  </si>
  <si>
    <t>Net Margin</t>
  </si>
  <si>
    <t>Tax Margin</t>
  </si>
  <si>
    <t>R&amp;D Margin</t>
  </si>
  <si>
    <t>S&amp;M Margin</t>
  </si>
  <si>
    <t>G&amp;A Margin</t>
  </si>
  <si>
    <t>Interest Margin</t>
  </si>
  <si>
    <t>Revenue y/y</t>
  </si>
  <si>
    <t>EPS y/y</t>
  </si>
  <si>
    <t>Cloud %</t>
  </si>
  <si>
    <t>Cloud Y/Y</t>
  </si>
  <si>
    <t>FY26</t>
  </si>
  <si>
    <t>FY27</t>
  </si>
  <si>
    <t>FY28</t>
  </si>
  <si>
    <t>FY29</t>
  </si>
  <si>
    <t>FY30</t>
  </si>
  <si>
    <t>FY31</t>
  </si>
  <si>
    <t>FY32</t>
  </si>
  <si>
    <t>FY33</t>
  </si>
  <si>
    <t>FY34</t>
  </si>
  <si>
    <t>FY35</t>
  </si>
  <si>
    <t>Cloud % Y/Y</t>
  </si>
  <si>
    <t xml:space="preserve">Global Cloud </t>
  </si>
  <si>
    <t>ORACLE %</t>
  </si>
  <si>
    <t>FY36</t>
  </si>
  <si>
    <t>Maturity</t>
  </si>
  <si>
    <t>Discount</t>
  </si>
  <si>
    <t>NPV</t>
  </si>
  <si>
    <t>FY37</t>
  </si>
  <si>
    <t>FY38</t>
  </si>
  <si>
    <t>FY39</t>
  </si>
  <si>
    <t>FY40</t>
  </si>
  <si>
    <t>FY41</t>
  </si>
  <si>
    <t>FY42</t>
  </si>
  <si>
    <t>FY43</t>
  </si>
  <si>
    <t>FY44</t>
  </si>
  <si>
    <t>FY45</t>
  </si>
  <si>
    <t>Share</t>
  </si>
  <si>
    <t>Current</t>
  </si>
  <si>
    <t>Return</t>
  </si>
  <si>
    <t>Segment</t>
  </si>
  <si>
    <t>Cloud</t>
  </si>
  <si>
    <t>Software</t>
  </si>
  <si>
    <t>Product</t>
  </si>
  <si>
    <t>%</t>
  </si>
  <si>
    <t>Oracle Applications, Oracle Database and Oracle Middleware software offerings</t>
  </si>
  <si>
    <t>Oracle Engineered Systems, servers, storage and industry-specific products, among others.</t>
  </si>
  <si>
    <t>Employees</t>
  </si>
  <si>
    <t>Oracle, Java, MySQL, and NetSuite are registered trademarks of Oracle Corporation. NetSuite was the first cloud company—ushering in the new era of cloud computing.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</si>
</sst>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3" fontId="0" fillId="0" borderId="0" xfId="0" applyNumberFormat="1"/>
    <xf numFmtId="4" fontId="0" fillId="0" borderId="0" xfId="0" applyNumberFormat="1"/>
    <xf numFmtId="14" fontId="0" fillId="0" borderId="0" xfId="0" applyNumberFormat="1"/>
    <xf numFmtId="0" fontId="2" fillId="0" borderId="0" xfId="1"/>
    <xf numFmtId="0" fontId="1" fillId="0" borderId="0" xfId="0" applyFont="1"/>
    <xf numFmtId="3" fontId="1" fillId="0" borderId="0" xfId="0" applyNumberFormat="1" applyFont="1"/>
    <xf numFmtId="9" fontId="0" fillId="0" borderId="0" xfId="0" applyNumberFormat="1"/>
    <xf numFmtId="164" fontId="0" fillId="0" borderId="0" xfId="0" applyNumberFormat="1"/>
    <xf numFmtId="4" fontId="1" fillId="0" borderId="0" xfId="0" applyNumberFormat="1" applyFont="1"/>
    <xf numFmtId="10" fontId="0" fillId="0" borderId="0" xfId="0" applyNumberFormat="1"/>
    <xf numFmtId="9" fontId="1" fillId="0" borderId="0" xfId="0" applyNumberFormat="1" applyFont="1"/>
    <xf numFmtId="10" fontId="1" fillId="0" borderId="0" xfId="0" applyNumberFormat="1" applyFont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0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7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3" fontId="0" fillId="0" borderId="3" xfId="0" applyNumberFormat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3" fontId="0" fillId="0" borderId="8" xfId="0" applyNumberForma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Tech.xls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Tech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workbookViewId="0">
      <selection activeCell="K12" sqref="K12"/>
    </sheetView>
  </sheetViews>
  <sheetFormatPr defaultRowHeight="14.4" x14ac:dyDescent="0.3"/>
  <cols>
    <col min="3" max="3" width="21.88671875" customWidth="1"/>
    <col min="5" max="5" width="9.77734375" bestFit="1" customWidth="1"/>
    <col min="11" max="11" width="8.88671875" style="1"/>
  </cols>
  <sheetData>
    <row r="1" spans="1:12" x14ac:dyDescent="0.3">
      <c r="A1" s="4" t="s">
        <v>20</v>
      </c>
    </row>
    <row r="4" spans="1:12" ht="15" thickBot="1" x14ac:dyDescent="0.35"/>
    <row r="5" spans="1:12" ht="15" thickBot="1" x14ac:dyDescent="0.35">
      <c r="B5" s="18" t="s">
        <v>136</v>
      </c>
      <c r="C5" s="19" t="s">
        <v>139</v>
      </c>
      <c r="D5" s="20" t="s">
        <v>140</v>
      </c>
      <c r="E5" s="24" t="s">
        <v>143</v>
      </c>
      <c r="K5"/>
      <c r="L5" s="1"/>
    </row>
    <row r="6" spans="1:12" x14ac:dyDescent="0.3">
      <c r="B6" s="13" t="s">
        <v>137</v>
      </c>
      <c r="C6" s="14" t="s">
        <v>141</v>
      </c>
      <c r="D6" s="21">
        <f>(Model!V3+Model!V4)/Model!V7</f>
        <v>0.83956118653348688</v>
      </c>
      <c r="E6" s="25">
        <v>29000</v>
      </c>
      <c r="J6" t="s">
        <v>0</v>
      </c>
      <c r="K6" s="2">
        <v>338.36</v>
      </c>
    </row>
    <row r="7" spans="1:12" x14ac:dyDescent="0.3">
      <c r="B7" s="15" t="s">
        <v>23</v>
      </c>
      <c r="C7" t="s">
        <v>142</v>
      </c>
      <c r="D7" s="22">
        <f>Model!V5/Model!V7</f>
        <v>5.7891656124317896E-2</v>
      </c>
      <c r="E7" s="26">
        <v>3000</v>
      </c>
      <c r="J7" t="s">
        <v>1</v>
      </c>
      <c r="K7" s="1">
        <v>2805</v>
      </c>
      <c r="L7" t="s">
        <v>14</v>
      </c>
    </row>
    <row r="8" spans="1:12" x14ac:dyDescent="0.3">
      <c r="B8" s="15" t="s">
        <v>138</v>
      </c>
      <c r="D8" s="22">
        <f>+Model!V3/Model!V4</f>
        <v>7.7510332611690611</v>
      </c>
      <c r="E8" s="26">
        <v>37000</v>
      </c>
      <c r="J8" t="s">
        <v>4</v>
      </c>
      <c r="K8" s="1">
        <f>K6*K7</f>
        <v>949099.8</v>
      </c>
    </row>
    <row r="9" spans="1:12" x14ac:dyDescent="0.3">
      <c r="B9" s="15"/>
      <c r="D9" s="22"/>
      <c r="E9" s="26"/>
      <c r="J9" t="s">
        <v>2</v>
      </c>
      <c r="K9" s="1">
        <f>+Model!K51+Model!K52</f>
        <v>11005</v>
      </c>
      <c r="L9" t="s">
        <v>14</v>
      </c>
    </row>
    <row r="10" spans="1:12" x14ac:dyDescent="0.3">
      <c r="B10" s="15" t="s">
        <v>28</v>
      </c>
      <c r="D10" s="22"/>
      <c r="E10" s="26">
        <v>50000</v>
      </c>
      <c r="J10" t="s">
        <v>3</v>
      </c>
      <c r="K10" s="1">
        <f>+Model!K61+Model!K66</f>
        <v>91315</v>
      </c>
      <c r="L10" t="s">
        <v>14</v>
      </c>
    </row>
    <row r="11" spans="1:12" x14ac:dyDescent="0.3">
      <c r="B11" s="15" t="s">
        <v>27</v>
      </c>
      <c r="D11" s="22"/>
      <c r="E11" s="26">
        <v>31000</v>
      </c>
    </row>
    <row r="12" spans="1:12" ht="15" thickBot="1" x14ac:dyDescent="0.35">
      <c r="B12" s="16" t="s">
        <v>29</v>
      </c>
      <c r="C12" s="17"/>
      <c r="D12" s="23"/>
      <c r="E12" s="27">
        <v>12000</v>
      </c>
      <c r="J12" t="s">
        <v>5</v>
      </c>
      <c r="K12" s="1">
        <f>K8-K9+K10</f>
        <v>1029409.8</v>
      </c>
    </row>
    <row r="13" spans="1:12" x14ac:dyDescent="0.3">
      <c r="D13" s="8"/>
      <c r="E13" s="1">
        <f>SUM(E6:E12)</f>
        <v>162000</v>
      </c>
      <c r="K13" s="2"/>
    </row>
    <row r="15" spans="1:12" x14ac:dyDescent="0.3">
      <c r="C15" s="1"/>
    </row>
    <row r="16" spans="1:12" x14ac:dyDescent="0.3">
      <c r="B16" t="s">
        <v>144</v>
      </c>
    </row>
  </sheetData>
  <hyperlinks>
    <hyperlink ref="A1" r:id="rId1" xr:uid="{BB553215-70B5-4ABF-A662-F13565FA6E4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7BA7E-0853-4462-ABC9-9E4406586CED}">
  <dimension ref="A1:AKN115"/>
  <sheetViews>
    <sheetView tabSelected="1" zoomScaleNormal="100" workbookViewId="0">
      <pane xSplit="2" ySplit="2" topLeftCell="C14" activePane="bottomRight" state="frozen"/>
      <selection pane="topRight" activeCell="C1" sqref="C1"/>
      <selection pane="bottomLeft" activeCell="A3" sqref="A3"/>
      <selection pane="bottomRight" activeCell="K14" sqref="K14"/>
    </sheetView>
  </sheetViews>
  <sheetFormatPr defaultRowHeight="14.4" x14ac:dyDescent="0.3"/>
  <cols>
    <col min="4" max="4" width="9" customWidth="1"/>
    <col min="10" max="10" width="9.5546875" bestFit="1" customWidth="1"/>
  </cols>
  <sheetData>
    <row r="1" spans="1:43" x14ac:dyDescent="0.3">
      <c r="A1" s="4" t="s">
        <v>20</v>
      </c>
      <c r="J1" s="3">
        <v>45808</v>
      </c>
    </row>
    <row r="2" spans="1:43" x14ac:dyDescent="0.3"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6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T2">
        <v>2024</v>
      </c>
      <c r="U2">
        <v>2025</v>
      </c>
      <c r="V2" t="s">
        <v>94</v>
      </c>
      <c r="W2" t="s">
        <v>93</v>
      </c>
      <c r="X2" t="s">
        <v>107</v>
      </c>
      <c r="Y2" t="s">
        <v>108</v>
      </c>
      <c r="Z2" t="s">
        <v>109</v>
      </c>
      <c r="AA2" t="s">
        <v>110</v>
      </c>
      <c r="AB2" t="s">
        <v>111</v>
      </c>
      <c r="AC2" t="s">
        <v>112</v>
      </c>
      <c r="AD2" t="s">
        <v>113</v>
      </c>
      <c r="AE2" t="s">
        <v>114</v>
      </c>
      <c r="AF2" t="s">
        <v>115</v>
      </c>
      <c r="AG2" t="s">
        <v>116</v>
      </c>
      <c r="AH2" t="s">
        <v>120</v>
      </c>
      <c r="AI2" t="s">
        <v>124</v>
      </c>
      <c r="AJ2" t="s">
        <v>125</v>
      </c>
      <c r="AK2" t="s">
        <v>126</v>
      </c>
      <c r="AL2" t="s">
        <v>127</v>
      </c>
      <c r="AM2" t="s">
        <v>128</v>
      </c>
      <c r="AN2" t="s">
        <v>129</v>
      </c>
      <c r="AO2" t="s">
        <v>130</v>
      </c>
      <c r="AP2" t="s">
        <v>131</v>
      </c>
      <c r="AQ2" t="s">
        <v>132</v>
      </c>
    </row>
    <row r="3" spans="1:43" s="1" customFormat="1" x14ac:dyDescent="0.3">
      <c r="A3"/>
      <c r="B3" t="s">
        <v>21</v>
      </c>
      <c r="C3" s="1">
        <v>9547</v>
      </c>
      <c r="D3" s="1">
        <v>9639</v>
      </c>
      <c r="E3" s="1">
        <v>9963</v>
      </c>
      <c r="F3" s="1">
        <v>10234</v>
      </c>
      <c r="G3" s="1">
        <v>10519</v>
      </c>
      <c r="H3" s="1">
        <v>10806</v>
      </c>
      <c r="I3" s="1">
        <v>11007</v>
      </c>
      <c r="J3" s="1">
        <v>11698</v>
      </c>
      <c r="K3" s="1">
        <v>7186</v>
      </c>
      <c r="V3" s="1">
        <v>39383</v>
      </c>
      <c r="W3" s="1">
        <v>44029</v>
      </c>
    </row>
    <row r="4" spans="1:43" s="1" customFormat="1" x14ac:dyDescent="0.3">
      <c r="A4"/>
      <c r="B4" t="s">
        <v>22</v>
      </c>
      <c r="C4" s="1">
        <v>809</v>
      </c>
      <c r="D4" s="1">
        <v>1178</v>
      </c>
      <c r="E4" s="1">
        <v>1256</v>
      </c>
      <c r="F4" s="1">
        <v>1838</v>
      </c>
      <c r="G4" s="1">
        <v>870</v>
      </c>
      <c r="H4" s="1">
        <v>1195</v>
      </c>
      <c r="I4" s="1">
        <v>1129</v>
      </c>
      <c r="J4" s="1">
        <v>2007</v>
      </c>
      <c r="K4" s="1">
        <v>5721</v>
      </c>
      <c r="V4" s="1">
        <v>5081</v>
      </c>
      <c r="W4" s="1">
        <v>5201</v>
      </c>
    </row>
    <row r="5" spans="1:43" s="1" customFormat="1" x14ac:dyDescent="0.3">
      <c r="A5"/>
      <c r="B5" t="s">
        <v>23</v>
      </c>
      <c r="C5" s="1">
        <v>714</v>
      </c>
      <c r="D5" s="1">
        <v>756</v>
      </c>
      <c r="E5" s="1">
        <v>754</v>
      </c>
      <c r="F5" s="1">
        <v>842</v>
      </c>
      <c r="G5" s="1">
        <v>655</v>
      </c>
      <c r="H5" s="1">
        <v>728</v>
      </c>
      <c r="I5" s="1">
        <v>703</v>
      </c>
      <c r="J5" s="1">
        <v>850</v>
      </c>
      <c r="K5" s="1">
        <v>670</v>
      </c>
      <c r="V5" s="1">
        <v>3066</v>
      </c>
      <c r="W5" s="1">
        <v>2936</v>
      </c>
    </row>
    <row r="6" spans="1:43" s="1" customFormat="1" x14ac:dyDescent="0.3">
      <c r="A6"/>
      <c r="B6" t="s">
        <v>24</v>
      </c>
      <c r="C6" s="1">
        <v>1383</v>
      </c>
      <c r="D6" s="1">
        <v>1368</v>
      </c>
      <c r="E6" s="1">
        <v>1307</v>
      </c>
      <c r="F6" s="1">
        <v>1373</v>
      </c>
      <c r="G6" s="1">
        <v>1263</v>
      </c>
      <c r="H6" s="1">
        <v>1330</v>
      </c>
      <c r="I6" s="1">
        <v>1291</v>
      </c>
      <c r="J6" s="1">
        <v>1348</v>
      </c>
      <c r="K6" s="1">
        <v>1349</v>
      </c>
      <c r="V6" s="1">
        <v>5431</v>
      </c>
      <c r="W6" s="1">
        <v>5233</v>
      </c>
    </row>
    <row r="7" spans="1:43" s="6" customFormat="1" x14ac:dyDescent="0.3">
      <c r="A7" s="5"/>
      <c r="B7" s="5" t="s">
        <v>25</v>
      </c>
      <c r="C7" s="6">
        <f t="shared" ref="C7:I7" si="0">SUM(C3:C6)</f>
        <v>12453</v>
      </c>
      <c r="D7" s="6">
        <f t="shared" si="0"/>
        <v>12941</v>
      </c>
      <c r="E7" s="6">
        <f t="shared" si="0"/>
        <v>13280</v>
      </c>
      <c r="F7" s="6">
        <f t="shared" si="0"/>
        <v>14287</v>
      </c>
      <c r="G7" s="6">
        <f t="shared" si="0"/>
        <v>13307</v>
      </c>
      <c r="H7" s="6">
        <f t="shared" si="0"/>
        <v>14059</v>
      </c>
      <c r="I7" s="6">
        <f t="shared" si="0"/>
        <v>14130</v>
      </c>
      <c r="J7" s="6">
        <f>SUM(J3:J6)</f>
        <v>15903</v>
      </c>
      <c r="K7" s="6">
        <f t="shared" ref="K7:L7" si="1">SUM(K3:K6)</f>
        <v>14926</v>
      </c>
      <c r="L7" s="6">
        <f t="shared" si="1"/>
        <v>0</v>
      </c>
      <c r="M7" s="6">
        <f t="shared" ref="M7" si="2">SUM(M3:M6)</f>
        <v>0</v>
      </c>
      <c r="N7" s="6">
        <f t="shared" ref="N7" si="3">SUM(N3:N6)</f>
        <v>0</v>
      </c>
      <c r="O7" s="6">
        <f t="shared" ref="O7" si="4">SUM(O3:O6)</f>
        <v>0</v>
      </c>
      <c r="T7" s="6">
        <f>SUM(F7:I7)</f>
        <v>55783</v>
      </c>
      <c r="U7" s="6">
        <f>+J7+15040+16200+16730</f>
        <v>63873</v>
      </c>
      <c r="V7" s="6">
        <f>SUM(V3:V6)</f>
        <v>52961</v>
      </c>
      <c r="W7" s="6">
        <f>SUM(W3:W6)</f>
        <v>57399</v>
      </c>
      <c r="X7" s="6">
        <v>66760</v>
      </c>
      <c r="Y7" s="6">
        <v>80050</v>
      </c>
      <c r="Z7" s="1">
        <f>(Y112*Y113)/0.86</f>
        <v>108882.90038179411</v>
      </c>
      <c r="AA7" s="1">
        <f>(Z112*Z113)/0.87</f>
        <v>133904.77077316414</v>
      </c>
      <c r="AB7" s="1">
        <f>(AA112*AA113)/0.87</f>
        <v>166566.5299785957</v>
      </c>
      <c r="AC7" s="1">
        <f>(AB112*AB113)/0.87</f>
        <v>207164.58889241618</v>
      </c>
      <c r="AD7" s="1">
        <f>(AC112*AC113)/0.88</f>
        <v>228269.98544546645</v>
      </c>
      <c r="AE7" s="1">
        <f>(AD112*AD113)/0.88</f>
        <v>254380.96295252995</v>
      </c>
      <c r="AF7" s="1">
        <f>(AE112*AE113)/0.89</f>
        <v>280255.13171800354</v>
      </c>
      <c r="AG7" s="1">
        <f>(AF112*AF113)/0.89</f>
        <v>312227.92924807599</v>
      </c>
      <c r="AH7" s="1">
        <f>(AG112*AG113)/0.9</f>
        <v>343938.36068796675</v>
      </c>
    </row>
    <row r="8" spans="1:43" s="1" customFormat="1" x14ac:dyDescent="0.3">
      <c r="A8"/>
      <c r="B8" t="s">
        <v>26</v>
      </c>
      <c r="C8" s="1">
        <v>2179</v>
      </c>
      <c r="D8" s="1">
        <v>2274</v>
      </c>
      <c r="E8" s="1">
        <v>2452</v>
      </c>
      <c r="F8" s="1">
        <v>2522</v>
      </c>
      <c r="G8" s="1">
        <v>2597</v>
      </c>
      <c r="H8" s="1">
        <v>2746</v>
      </c>
      <c r="I8" s="1">
        <v>2882</v>
      </c>
      <c r="J8" s="1">
        <v>3343</v>
      </c>
      <c r="K8" s="1">
        <v>3607</v>
      </c>
      <c r="V8" s="1">
        <v>9427</v>
      </c>
      <c r="W8" s="1">
        <v>11569</v>
      </c>
    </row>
    <row r="9" spans="1:43" s="1" customFormat="1" x14ac:dyDescent="0.3">
      <c r="A9"/>
      <c r="B9" t="s">
        <v>23</v>
      </c>
      <c r="C9" s="1">
        <v>219</v>
      </c>
      <c r="D9" s="1">
        <v>213</v>
      </c>
      <c r="E9" s="1">
        <v>217</v>
      </c>
      <c r="F9" s="1">
        <v>241</v>
      </c>
      <c r="G9" s="1">
        <v>162</v>
      </c>
      <c r="H9" s="1">
        <v>172</v>
      </c>
      <c r="I9" s="1">
        <v>197</v>
      </c>
      <c r="J9" s="1">
        <v>252</v>
      </c>
      <c r="K9" s="1">
        <v>178</v>
      </c>
      <c r="V9" s="1">
        <v>891</v>
      </c>
      <c r="W9" s="1">
        <v>782</v>
      </c>
    </row>
    <row r="10" spans="1:43" s="1" customFormat="1" x14ac:dyDescent="0.3">
      <c r="A10"/>
      <c r="B10" t="s">
        <v>24</v>
      </c>
      <c r="C10" s="1">
        <v>1212</v>
      </c>
      <c r="D10" s="1">
        <v>1253</v>
      </c>
      <c r="E10" s="1">
        <v>1200</v>
      </c>
      <c r="F10" s="1">
        <v>1160</v>
      </c>
      <c r="G10" s="1">
        <v>1147</v>
      </c>
      <c r="H10" s="1">
        <v>1167</v>
      </c>
      <c r="I10" s="1">
        <v>1116</v>
      </c>
      <c r="J10" s="1">
        <v>1145</v>
      </c>
      <c r="K10" s="1">
        <v>1099</v>
      </c>
      <c r="V10" s="1">
        <v>4825</v>
      </c>
      <c r="W10" s="1">
        <v>4576</v>
      </c>
    </row>
    <row r="11" spans="1:43" s="6" customFormat="1" x14ac:dyDescent="0.3">
      <c r="A11" s="5"/>
      <c r="B11" s="5" t="s">
        <v>30</v>
      </c>
      <c r="C11" s="6">
        <f t="shared" ref="C11:I11" si="5">SUM(C8:C10)</f>
        <v>3610</v>
      </c>
      <c r="D11" s="6">
        <f t="shared" si="5"/>
        <v>3740</v>
      </c>
      <c r="E11" s="6">
        <f t="shared" si="5"/>
        <v>3869</v>
      </c>
      <c r="F11" s="6">
        <f t="shared" si="5"/>
        <v>3923</v>
      </c>
      <c r="G11" s="6">
        <f t="shared" si="5"/>
        <v>3906</v>
      </c>
      <c r="H11" s="6">
        <f t="shared" si="5"/>
        <v>4085</v>
      </c>
      <c r="I11" s="6">
        <f t="shared" si="5"/>
        <v>4195</v>
      </c>
      <c r="J11" s="6">
        <f>SUM(J8:J10)</f>
        <v>4740</v>
      </c>
      <c r="K11" s="6">
        <f>SUM(K8:K10)</f>
        <v>4884</v>
      </c>
      <c r="L11" s="6">
        <f>SUM(L8:L10)</f>
        <v>0</v>
      </c>
      <c r="M11" s="6">
        <f t="shared" ref="M11:O11" si="6">SUM(M8:M10)</f>
        <v>0</v>
      </c>
      <c r="N11" s="6">
        <f t="shared" si="6"/>
        <v>0</v>
      </c>
      <c r="O11" s="6">
        <f t="shared" si="6"/>
        <v>0</v>
      </c>
      <c r="V11" s="6">
        <f>SUM(V8:V10)</f>
        <v>15143</v>
      </c>
      <c r="W11" s="6">
        <f>SUM(W8:W10)</f>
        <v>16927</v>
      </c>
    </row>
    <row r="12" spans="1:43" s="6" customFormat="1" x14ac:dyDescent="0.3">
      <c r="A12" s="5"/>
      <c r="B12" s="5" t="s">
        <v>31</v>
      </c>
      <c r="C12" s="6">
        <f t="shared" ref="C12:I12" si="7">C7-C11</f>
        <v>8843</v>
      </c>
      <c r="D12" s="6">
        <f t="shared" si="7"/>
        <v>9201</v>
      </c>
      <c r="E12" s="6">
        <f t="shared" si="7"/>
        <v>9411</v>
      </c>
      <c r="F12" s="6">
        <f t="shared" si="7"/>
        <v>10364</v>
      </c>
      <c r="G12" s="6">
        <f t="shared" si="7"/>
        <v>9401</v>
      </c>
      <c r="H12" s="6">
        <f t="shared" si="7"/>
        <v>9974</v>
      </c>
      <c r="I12" s="6">
        <f t="shared" si="7"/>
        <v>9935</v>
      </c>
      <c r="J12" s="6">
        <f>J7-J11</f>
        <v>11163</v>
      </c>
      <c r="K12" s="6">
        <f>K7-K11</f>
        <v>10042</v>
      </c>
      <c r="L12" s="6">
        <f>L7-L11</f>
        <v>0</v>
      </c>
      <c r="M12" s="6">
        <f t="shared" ref="M12:O12" si="8">M7-M11</f>
        <v>0</v>
      </c>
      <c r="N12" s="6">
        <f t="shared" si="8"/>
        <v>0</v>
      </c>
      <c r="O12" s="6">
        <f t="shared" si="8"/>
        <v>0</v>
      </c>
      <c r="V12" s="6">
        <f>V7-V11</f>
        <v>37818</v>
      </c>
      <c r="W12" s="6">
        <f>W7-W11</f>
        <v>40472</v>
      </c>
    </row>
    <row r="13" spans="1:43" s="1" customFormat="1" x14ac:dyDescent="0.3">
      <c r="A13"/>
      <c r="B13" t="s">
        <v>27</v>
      </c>
      <c r="C13" s="1">
        <v>2026</v>
      </c>
      <c r="D13" s="1">
        <v>2093</v>
      </c>
      <c r="E13" s="1">
        <v>2042</v>
      </c>
      <c r="F13" s="1">
        <v>2114</v>
      </c>
      <c r="G13" s="1">
        <v>2036</v>
      </c>
      <c r="H13" s="1">
        <v>2190</v>
      </c>
      <c r="I13" s="1">
        <v>2119</v>
      </c>
      <c r="J13" s="1">
        <v>2306</v>
      </c>
      <c r="K13" s="1">
        <v>2063</v>
      </c>
      <c r="V13" s="1">
        <v>8274</v>
      </c>
      <c r="W13" s="1">
        <v>8651</v>
      </c>
    </row>
    <row r="14" spans="1:43" s="1" customFormat="1" x14ac:dyDescent="0.3">
      <c r="A14"/>
      <c r="B14" t="s">
        <v>28</v>
      </c>
      <c r="C14" s="1">
        <v>2216</v>
      </c>
      <c r="D14" s="1">
        <v>2226</v>
      </c>
      <c r="E14" s="1">
        <v>2248</v>
      </c>
      <c r="F14" s="1">
        <v>2226</v>
      </c>
      <c r="G14" s="1">
        <v>2306</v>
      </c>
      <c r="H14" s="1">
        <v>2471</v>
      </c>
      <c r="I14" s="1">
        <v>2429</v>
      </c>
      <c r="J14" s="1">
        <v>2654</v>
      </c>
      <c r="K14" s="1">
        <v>2491</v>
      </c>
      <c r="V14" s="1">
        <v>8915</v>
      </c>
      <c r="W14" s="1">
        <v>9860</v>
      </c>
    </row>
    <row r="15" spans="1:43" s="1" customFormat="1" x14ac:dyDescent="0.3">
      <c r="A15"/>
      <c r="B15" t="s">
        <v>29</v>
      </c>
      <c r="C15" s="1">
        <v>393</v>
      </c>
      <c r="D15" s="1">
        <v>375</v>
      </c>
      <c r="E15" s="1">
        <v>377</v>
      </c>
      <c r="F15" s="1">
        <v>402</v>
      </c>
      <c r="G15" s="1">
        <v>358</v>
      </c>
      <c r="H15" s="1">
        <v>387</v>
      </c>
      <c r="I15" s="1">
        <v>390</v>
      </c>
      <c r="J15" s="1">
        <v>467</v>
      </c>
      <c r="K15" s="1">
        <v>376</v>
      </c>
      <c r="V15" s="1">
        <v>1548</v>
      </c>
      <c r="W15" s="1">
        <v>1602</v>
      </c>
    </row>
    <row r="16" spans="1:43" s="1" customFormat="1" x14ac:dyDescent="0.3">
      <c r="A16"/>
      <c r="B16" t="s">
        <v>32</v>
      </c>
      <c r="C16" s="1">
        <v>763</v>
      </c>
      <c r="D16" s="1">
        <v>755</v>
      </c>
      <c r="E16" s="1">
        <v>749</v>
      </c>
      <c r="F16" s="1">
        <v>743</v>
      </c>
      <c r="G16" s="1">
        <v>624</v>
      </c>
      <c r="H16" s="1">
        <v>591</v>
      </c>
      <c r="I16" s="1">
        <v>548</v>
      </c>
      <c r="J16" s="1">
        <v>544</v>
      </c>
      <c r="K16" s="1">
        <v>420</v>
      </c>
      <c r="V16" s="1">
        <v>3010</v>
      </c>
      <c r="W16" s="1">
        <v>2307</v>
      </c>
    </row>
    <row r="17" spans="1:976" s="1" customFormat="1" x14ac:dyDescent="0.3">
      <c r="A17"/>
      <c r="B17" t="s">
        <v>33</v>
      </c>
      <c r="C17" s="1">
        <v>11</v>
      </c>
      <c r="D17" s="1">
        <v>47</v>
      </c>
      <c r="E17" s="1">
        <v>155</v>
      </c>
      <c r="F17" s="1">
        <v>101</v>
      </c>
      <c r="G17" s="1">
        <v>13</v>
      </c>
      <c r="H17" s="1">
        <v>31</v>
      </c>
      <c r="I17" s="1">
        <v>28</v>
      </c>
      <c r="J17" s="1">
        <v>4</v>
      </c>
      <c r="K17" s="1">
        <v>13</v>
      </c>
      <c r="V17" s="1">
        <v>314</v>
      </c>
      <c r="W17" s="1">
        <v>75</v>
      </c>
    </row>
    <row r="18" spans="1:976" s="1" customFormat="1" x14ac:dyDescent="0.3">
      <c r="A18"/>
      <c r="B18" t="s">
        <v>34</v>
      </c>
      <c r="C18" s="1">
        <v>138</v>
      </c>
      <c r="D18" s="1">
        <v>83</v>
      </c>
      <c r="E18" s="1">
        <v>90</v>
      </c>
      <c r="F18" s="1">
        <v>92</v>
      </c>
      <c r="G18" s="1">
        <v>73</v>
      </c>
      <c r="H18" s="1">
        <v>84</v>
      </c>
      <c r="I18" s="1">
        <v>63</v>
      </c>
      <c r="J18" s="1">
        <v>79</v>
      </c>
      <c r="K18" s="1">
        <v>402</v>
      </c>
      <c r="V18" s="1">
        <v>404</v>
      </c>
      <c r="W18" s="1">
        <v>299</v>
      </c>
    </row>
    <row r="19" spans="1:976" s="6" customFormat="1" x14ac:dyDescent="0.3">
      <c r="A19" s="5"/>
      <c r="B19" s="5" t="s">
        <v>35</v>
      </c>
      <c r="C19" s="6">
        <f t="shared" ref="C19:I19" si="9">SUM(C13:C18)</f>
        <v>5547</v>
      </c>
      <c r="D19" s="6">
        <f t="shared" si="9"/>
        <v>5579</v>
      </c>
      <c r="E19" s="6">
        <f t="shared" si="9"/>
        <v>5661</v>
      </c>
      <c r="F19" s="6">
        <f t="shared" si="9"/>
        <v>5678</v>
      </c>
      <c r="G19" s="6">
        <f t="shared" si="9"/>
        <v>5410</v>
      </c>
      <c r="H19" s="6">
        <f t="shared" si="9"/>
        <v>5754</v>
      </c>
      <c r="I19" s="6">
        <f t="shared" si="9"/>
        <v>5577</v>
      </c>
      <c r="J19" s="6">
        <f>SUM(J13:J18)</f>
        <v>6054</v>
      </c>
      <c r="K19" s="6">
        <f>SUM(K13:K18)</f>
        <v>5765</v>
      </c>
      <c r="L19" s="6">
        <f>SUM(L13:L18)</f>
        <v>0</v>
      </c>
      <c r="M19" s="6">
        <f t="shared" ref="M19:O19" si="10">SUM(M13:M18)</f>
        <v>0</v>
      </c>
      <c r="N19" s="6">
        <f t="shared" si="10"/>
        <v>0</v>
      </c>
      <c r="O19" s="6">
        <f t="shared" si="10"/>
        <v>0</v>
      </c>
      <c r="V19" s="6">
        <f>SUM(V13:V18)</f>
        <v>22465</v>
      </c>
      <c r="W19" s="6">
        <f>SUM(W13:W18)</f>
        <v>22794</v>
      </c>
    </row>
    <row r="20" spans="1:976" s="6" customFormat="1" x14ac:dyDescent="0.3">
      <c r="A20" s="5"/>
      <c r="B20" s="5" t="s">
        <v>36</v>
      </c>
      <c r="C20" s="6">
        <f t="shared" ref="C20:I20" si="11">C12-C19</f>
        <v>3296</v>
      </c>
      <c r="D20" s="6">
        <f t="shared" si="11"/>
        <v>3622</v>
      </c>
      <c r="E20" s="6">
        <f t="shared" si="11"/>
        <v>3750</v>
      </c>
      <c r="F20" s="6">
        <f t="shared" si="11"/>
        <v>4686</v>
      </c>
      <c r="G20" s="6">
        <f t="shared" si="11"/>
        <v>3991</v>
      </c>
      <c r="H20" s="6">
        <f t="shared" si="11"/>
        <v>4220</v>
      </c>
      <c r="I20" s="6">
        <f t="shared" si="11"/>
        <v>4358</v>
      </c>
      <c r="J20" s="6">
        <f>J12-J19</f>
        <v>5109</v>
      </c>
      <c r="K20" s="6">
        <f>K12-K19</f>
        <v>4277</v>
      </c>
      <c r="L20" s="6">
        <f>L12-L19</f>
        <v>0</v>
      </c>
      <c r="M20" s="6">
        <f t="shared" ref="M20:O20" si="12">M12-M19</f>
        <v>0</v>
      </c>
      <c r="N20" s="6">
        <f t="shared" si="12"/>
        <v>0</v>
      </c>
      <c r="O20" s="6">
        <f t="shared" si="12"/>
        <v>0</v>
      </c>
      <c r="V20" s="6">
        <f>V12-V19</f>
        <v>15353</v>
      </c>
      <c r="W20" s="6">
        <f>W12-W19</f>
        <v>17678</v>
      </c>
    </row>
    <row r="21" spans="1:976" s="1" customFormat="1" x14ac:dyDescent="0.3">
      <c r="A21"/>
      <c r="B21" t="s">
        <v>37</v>
      </c>
      <c r="C21" s="1">
        <f>-872-49</f>
        <v>-921</v>
      </c>
      <c r="D21" s="1">
        <f>-888-14</f>
        <v>-902</v>
      </c>
      <c r="E21" s="1">
        <f>-876-9</f>
        <v>-885</v>
      </c>
      <c r="F21" s="1">
        <f>-878-26</f>
        <v>-904</v>
      </c>
      <c r="G21" s="1">
        <f>-842+20</f>
        <v>-822</v>
      </c>
      <c r="H21" s="1">
        <f>-866+36</f>
        <v>-830</v>
      </c>
      <c r="I21" s="1">
        <f>-892-18</f>
        <v>-910</v>
      </c>
      <c r="J21" s="1">
        <f>-978+20</f>
        <v>-958</v>
      </c>
      <c r="K21" s="1">
        <f>-923+73</f>
        <v>-850</v>
      </c>
      <c r="V21" s="1">
        <f>-3514-98</f>
        <v>-3612</v>
      </c>
      <c r="W21" s="1">
        <f>-3578+60</f>
        <v>-3518</v>
      </c>
    </row>
    <row r="22" spans="1:976" s="6" customFormat="1" x14ac:dyDescent="0.3">
      <c r="A22" s="5"/>
      <c r="B22" s="5" t="s">
        <v>38</v>
      </c>
      <c r="C22" s="6">
        <f t="shared" ref="C22:I22" si="13">C20+C21</f>
        <v>2375</v>
      </c>
      <c r="D22" s="6">
        <f t="shared" si="13"/>
        <v>2720</v>
      </c>
      <c r="E22" s="6">
        <f t="shared" si="13"/>
        <v>2865</v>
      </c>
      <c r="F22" s="6">
        <f t="shared" si="13"/>
        <v>3782</v>
      </c>
      <c r="G22" s="6">
        <f t="shared" si="13"/>
        <v>3169</v>
      </c>
      <c r="H22" s="6">
        <f t="shared" si="13"/>
        <v>3390</v>
      </c>
      <c r="I22" s="6">
        <f t="shared" si="13"/>
        <v>3448</v>
      </c>
      <c r="J22" s="6">
        <f>J20+J21</f>
        <v>4151</v>
      </c>
      <c r="K22" s="6">
        <f>K20+K21</f>
        <v>3427</v>
      </c>
      <c r="L22" s="6">
        <f>L20+L21</f>
        <v>0</v>
      </c>
      <c r="M22" s="6">
        <f t="shared" ref="M22:O22" si="14">M20+M21</f>
        <v>0</v>
      </c>
      <c r="N22" s="6">
        <f t="shared" si="14"/>
        <v>0</v>
      </c>
      <c r="O22" s="6">
        <f t="shared" si="14"/>
        <v>0</v>
      </c>
      <c r="V22" s="6">
        <f>V20+V21</f>
        <v>11741</v>
      </c>
      <c r="W22" s="6">
        <f>W20+W21</f>
        <v>14160</v>
      </c>
    </row>
    <row r="23" spans="1:976" s="1" customFormat="1" x14ac:dyDescent="0.3">
      <c r="A23"/>
      <c r="B23" t="s">
        <v>39</v>
      </c>
      <c r="C23" s="1">
        <v>-45</v>
      </c>
      <c r="D23" s="1">
        <v>217</v>
      </c>
      <c r="E23" s="1">
        <v>464</v>
      </c>
      <c r="F23" s="1">
        <v>639</v>
      </c>
      <c r="G23" s="1">
        <v>240</v>
      </c>
      <c r="H23" s="1">
        <v>239</v>
      </c>
      <c r="I23" s="1">
        <v>512</v>
      </c>
      <c r="J23" s="1">
        <v>724</v>
      </c>
      <c r="K23" s="1">
        <v>500</v>
      </c>
      <c r="V23" s="1">
        <v>1274</v>
      </c>
      <c r="W23" s="1">
        <v>1717</v>
      </c>
    </row>
    <row r="24" spans="1:976" s="6" customFormat="1" x14ac:dyDescent="0.3">
      <c r="A24" s="5"/>
      <c r="B24" s="5" t="s">
        <v>40</v>
      </c>
      <c r="C24" s="6">
        <f t="shared" ref="C24:I24" si="15">C22-C23</f>
        <v>2420</v>
      </c>
      <c r="D24" s="6">
        <f t="shared" si="15"/>
        <v>2503</v>
      </c>
      <c r="E24" s="6">
        <f t="shared" si="15"/>
        <v>2401</v>
      </c>
      <c r="F24" s="6">
        <f t="shared" si="15"/>
        <v>3143</v>
      </c>
      <c r="G24" s="6">
        <f t="shared" si="15"/>
        <v>2929</v>
      </c>
      <c r="H24" s="6">
        <f t="shared" si="15"/>
        <v>3151</v>
      </c>
      <c r="I24" s="6">
        <f t="shared" si="15"/>
        <v>2936</v>
      </c>
      <c r="J24" s="6">
        <f>J22-J23</f>
        <v>3427</v>
      </c>
      <c r="K24" s="6">
        <f>K22-K23</f>
        <v>2927</v>
      </c>
      <c r="L24" s="6">
        <f>L22-L23</f>
        <v>0</v>
      </c>
      <c r="M24" s="6">
        <f t="shared" ref="M24:O24" si="16">M22-M23</f>
        <v>0</v>
      </c>
      <c r="N24" s="6">
        <f t="shared" si="16"/>
        <v>0</v>
      </c>
      <c r="O24" s="6">
        <f t="shared" si="16"/>
        <v>0</v>
      </c>
      <c r="V24" s="6">
        <f>V22-V23</f>
        <v>10467</v>
      </c>
      <c r="W24" s="6">
        <f>W22-W23</f>
        <v>12443</v>
      </c>
      <c r="X24" s="6">
        <v>14730</v>
      </c>
      <c r="Y24" s="6">
        <v>19260</v>
      </c>
      <c r="Z24" s="6">
        <f>+Z7*Z37</f>
        <v>27245.072427326537</v>
      </c>
      <c r="AA24" s="6">
        <f t="shared" ref="AA24:AH24" si="17">+AA7*AA37</f>
        <v>34846.380578570635</v>
      </c>
      <c r="AB24" s="6">
        <f t="shared" si="17"/>
        <v>45079.874960715286</v>
      </c>
      <c r="AC24" s="6">
        <f t="shared" si="17"/>
        <v>58310.105369599274</v>
      </c>
      <c r="AD24" s="6">
        <f t="shared" si="17"/>
        <v>65535.601015159271</v>
      </c>
      <c r="AE24" s="6">
        <f t="shared" si="17"/>
        <v>74492.620861228133</v>
      </c>
      <c r="AF24" s="6">
        <f t="shared" si="17"/>
        <v>83710.973532583914</v>
      </c>
      <c r="AG24" s="6">
        <f t="shared" si="17"/>
        <v>95126.329485637558</v>
      </c>
      <c r="AH24" s="6">
        <f t="shared" si="17"/>
        <v>106883.28164092415</v>
      </c>
      <c r="AI24" s="6">
        <f>+AH24*(1.01)</f>
        <v>107952.11445733339</v>
      </c>
      <c r="AJ24" s="6">
        <f t="shared" ref="AJ24:AQ24" si="18">+AI24*(1.01)</f>
        <v>109031.63560190672</v>
      </c>
      <c r="AK24" s="6">
        <f t="shared" si="18"/>
        <v>110121.95195792579</v>
      </c>
      <c r="AL24" s="6">
        <f t="shared" si="18"/>
        <v>111223.17147750505</v>
      </c>
      <c r="AM24" s="6">
        <f t="shared" si="18"/>
        <v>112335.40319228011</v>
      </c>
      <c r="AN24" s="6">
        <f t="shared" si="18"/>
        <v>113458.75722420291</v>
      </c>
      <c r="AO24" s="6">
        <f t="shared" si="18"/>
        <v>114593.34479644494</v>
      </c>
      <c r="AP24" s="6">
        <f t="shared" si="18"/>
        <v>115739.27824440939</v>
      </c>
      <c r="AQ24" s="6">
        <f t="shared" si="18"/>
        <v>116896.67102685348</v>
      </c>
      <c r="AR24" s="6">
        <f>+AQ24*(1+$AL$26)</f>
        <v>115727.70431658495</v>
      </c>
      <c r="AS24" s="6">
        <f t="shared" ref="AS24:DD24" si="19">+AR24*(1+$AL$26)</f>
        <v>114570.42727341909</v>
      </c>
      <c r="AT24" s="6">
        <f t="shared" si="19"/>
        <v>113424.7230006849</v>
      </c>
      <c r="AU24" s="6">
        <f t="shared" si="19"/>
        <v>112290.47577067805</v>
      </c>
      <c r="AV24" s="6">
        <f t="shared" si="19"/>
        <v>111167.57101297127</v>
      </c>
      <c r="AW24" s="6">
        <f t="shared" si="19"/>
        <v>110055.89530284156</v>
      </c>
      <c r="AX24" s="6">
        <f t="shared" si="19"/>
        <v>108955.33634981314</v>
      </c>
      <c r="AY24" s="6">
        <f t="shared" si="19"/>
        <v>107865.78298631501</v>
      </c>
      <c r="AZ24" s="6">
        <f t="shared" si="19"/>
        <v>106787.12515645186</v>
      </c>
      <c r="BA24" s="6">
        <f t="shared" si="19"/>
        <v>105719.25390488734</v>
      </c>
      <c r="BB24" s="6">
        <f t="shared" si="19"/>
        <v>104662.06136583847</v>
      </c>
      <c r="BC24" s="6">
        <f t="shared" si="19"/>
        <v>103615.44075218009</v>
      </c>
      <c r="BD24" s="6">
        <f t="shared" si="19"/>
        <v>102579.28634465829</v>
      </c>
      <c r="BE24" s="6">
        <f t="shared" si="19"/>
        <v>101553.49348121171</v>
      </c>
      <c r="BF24" s="6">
        <f t="shared" si="19"/>
        <v>100537.95854639959</v>
      </c>
      <c r="BG24" s="6">
        <f t="shared" si="19"/>
        <v>99532.5789609356</v>
      </c>
      <c r="BH24" s="6">
        <f t="shared" si="19"/>
        <v>98537.253171326243</v>
      </c>
      <c r="BI24" s="6">
        <f t="shared" si="19"/>
        <v>97551.88063961298</v>
      </c>
      <c r="BJ24" s="6">
        <f t="shared" si="19"/>
        <v>96576.361833216855</v>
      </c>
      <c r="BK24" s="6">
        <f t="shared" si="19"/>
        <v>95610.598214884682</v>
      </c>
      <c r="BL24" s="6">
        <f t="shared" si="19"/>
        <v>94654.492232735836</v>
      </c>
      <c r="BM24" s="6">
        <f t="shared" si="19"/>
        <v>93707.947310408475</v>
      </c>
      <c r="BN24" s="6">
        <f t="shared" si="19"/>
        <v>92770.867837304395</v>
      </c>
      <c r="BO24" s="6">
        <f t="shared" si="19"/>
        <v>91843.159158931347</v>
      </c>
      <c r="BP24" s="6">
        <f t="shared" si="19"/>
        <v>90924.727567342037</v>
      </c>
      <c r="BQ24" s="6">
        <f t="shared" si="19"/>
        <v>90015.480291668617</v>
      </c>
      <c r="BR24" s="6">
        <f t="shared" si="19"/>
        <v>89115.325488751929</v>
      </c>
      <c r="BS24" s="6">
        <f t="shared" si="19"/>
        <v>88224.172233864403</v>
      </c>
      <c r="BT24" s="6">
        <f t="shared" si="19"/>
        <v>87341.930511525759</v>
      </c>
      <c r="BU24" s="6">
        <f t="shared" si="19"/>
        <v>86468.511206410505</v>
      </c>
      <c r="BV24" s="6">
        <f t="shared" si="19"/>
        <v>85603.826094346397</v>
      </c>
      <c r="BW24" s="6">
        <f t="shared" si="19"/>
        <v>84747.787833402937</v>
      </c>
      <c r="BX24" s="6">
        <f t="shared" si="19"/>
        <v>83900.309955068908</v>
      </c>
      <c r="BY24" s="6">
        <f t="shared" si="19"/>
        <v>83061.306855518211</v>
      </c>
      <c r="BZ24" s="6">
        <f t="shared" si="19"/>
        <v>82230.693786963035</v>
      </c>
      <c r="CA24" s="6">
        <f t="shared" si="19"/>
        <v>81408.386849093396</v>
      </c>
      <c r="CB24" s="6">
        <f t="shared" si="19"/>
        <v>80594.302980602457</v>
      </c>
      <c r="CC24" s="6">
        <f t="shared" si="19"/>
        <v>79788.359950796425</v>
      </c>
      <c r="CD24" s="6">
        <f t="shared" si="19"/>
        <v>78990.476351288453</v>
      </c>
      <c r="CE24" s="6">
        <f t="shared" si="19"/>
        <v>78200.571587775572</v>
      </c>
      <c r="CF24" s="6">
        <f t="shared" si="19"/>
        <v>77418.565871897808</v>
      </c>
      <c r="CG24" s="6">
        <f t="shared" si="19"/>
        <v>76644.380213178825</v>
      </c>
      <c r="CH24" s="6">
        <f t="shared" si="19"/>
        <v>75877.936411047034</v>
      </c>
      <c r="CI24" s="6">
        <f t="shared" si="19"/>
        <v>75119.157046936569</v>
      </c>
      <c r="CJ24" s="6">
        <f t="shared" si="19"/>
        <v>74367.965476467201</v>
      </c>
      <c r="CK24" s="6">
        <f t="shared" si="19"/>
        <v>73624.285821702535</v>
      </c>
      <c r="CL24" s="6">
        <f t="shared" si="19"/>
        <v>72888.04296348551</v>
      </c>
      <c r="CM24" s="6">
        <f t="shared" si="19"/>
        <v>72159.162533850656</v>
      </c>
      <c r="CN24" s="6">
        <f t="shared" si="19"/>
        <v>71437.570908512149</v>
      </c>
      <c r="CO24" s="6">
        <f t="shared" si="19"/>
        <v>70723.19519942702</v>
      </c>
      <c r="CP24" s="6">
        <f t="shared" si="19"/>
        <v>70015.963247432752</v>
      </c>
      <c r="CQ24" s="6">
        <f t="shared" si="19"/>
        <v>69315.803614958422</v>
      </c>
      <c r="CR24" s="6">
        <f t="shared" si="19"/>
        <v>68622.645578808835</v>
      </c>
      <c r="CS24" s="6">
        <f t="shared" si="19"/>
        <v>67936.419123020751</v>
      </c>
      <c r="CT24" s="6">
        <f t="shared" si="19"/>
        <v>67257.054931790539</v>
      </c>
      <c r="CU24" s="6">
        <f t="shared" si="19"/>
        <v>66584.484382472627</v>
      </c>
      <c r="CV24" s="6">
        <f t="shared" si="19"/>
        <v>65918.639538647898</v>
      </c>
      <c r="CW24" s="6">
        <f t="shared" si="19"/>
        <v>65259.453143261417</v>
      </c>
      <c r="CX24" s="6">
        <f t="shared" si="19"/>
        <v>64606.8586118288</v>
      </c>
      <c r="CY24" s="6">
        <f t="shared" si="19"/>
        <v>63960.790025710514</v>
      </c>
      <c r="CZ24" s="6">
        <f t="shared" si="19"/>
        <v>63321.182125453408</v>
      </c>
      <c r="DA24" s="6">
        <f t="shared" si="19"/>
        <v>62687.970304198876</v>
      </c>
      <c r="DB24" s="6">
        <f t="shared" si="19"/>
        <v>62061.090601156888</v>
      </c>
      <c r="DC24" s="6">
        <f t="shared" si="19"/>
        <v>61440.479695145317</v>
      </c>
      <c r="DD24" s="6">
        <f t="shared" si="19"/>
        <v>60826.074898193867</v>
      </c>
      <c r="DE24" s="6">
        <f t="shared" ref="DE24:FP24" si="20">+DD24*(1+$AL$26)</f>
        <v>60217.814149211925</v>
      </c>
      <c r="DF24" s="6">
        <f t="shared" si="20"/>
        <v>59615.636007719804</v>
      </c>
      <c r="DG24" s="6">
        <f t="shared" si="20"/>
        <v>59019.479647642605</v>
      </c>
      <c r="DH24" s="6">
        <f t="shared" si="20"/>
        <v>58429.28485116618</v>
      </c>
      <c r="DI24" s="6">
        <f t="shared" si="20"/>
        <v>57844.992002654515</v>
      </c>
      <c r="DJ24" s="6">
        <f t="shared" si="20"/>
        <v>57266.542082627966</v>
      </c>
      <c r="DK24" s="6">
        <f t="shared" si="20"/>
        <v>56693.876661801689</v>
      </c>
      <c r="DL24" s="6">
        <f t="shared" si="20"/>
        <v>56126.93789518367</v>
      </c>
      <c r="DM24" s="6">
        <f t="shared" si="20"/>
        <v>55565.668516231832</v>
      </c>
      <c r="DN24" s="6">
        <f t="shared" si="20"/>
        <v>55010.011831069511</v>
      </c>
      <c r="DO24" s="6">
        <f t="shared" si="20"/>
        <v>54459.911712758818</v>
      </c>
      <c r="DP24" s="6">
        <f t="shared" si="20"/>
        <v>53915.312595631229</v>
      </c>
      <c r="DQ24" s="6">
        <f t="shared" si="20"/>
        <v>53376.159469674916</v>
      </c>
      <c r="DR24" s="6">
        <f t="shared" si="20"/>
        <v>52842.397874978167</v>
      </c>
      <c r="DS24" s="6">
        <f t="shared" si="20"/>
        <v>52313.973896228388</v>
      </c>
      <c r="DT24" s="6">
        <f t="shared" si="20"/>
        <v>51790.834157266101</v>
      </c>
      <c r="DU24" s="6">
        <f t="shared" si="20"/>
        <v>51272.925815693437</v>
      </c>
      <c r="DV24" s="6">
        <f t="shared" si="20"/>
        <v>50760.196557536503</v>
      </c>
      <c r="DW24" s="6">
        <f t="shared" si="20"/>
        <v>50252.59459196114</v>
      </c>
      <c r="DX24" s="6">
        <f t="shared" si="20"/>
        <v>49750.068646041531</v>
      </c>
      <c r="DY24" s="6">
        <f t="shared" si="20"/>
        <v>49252.567959581116</v>
      </c>
      <c r="DZ24" s="6">
        <f t="shared" si="20"/>
        <v>48760.042279985304</v>
      </c>
      <c r="EA24" s="6">
        <f t="shared" si="20"/>
        <v>48272.441857185448</v>
      </c>
      <c r="EB24" s="6">
        <f t="shared" si="20"/>
        <v>47789.717438613596</v>
      </c>
      <c r="EC24" s="6">
        <f t="shared" si="20"/>
        <v>47311.820264227463</v>
      </c>
      <c r="ED24" s="6">
        <f t="shared" si="20"/>
        <v>46838.702061585187</v>
      </c>
      <c r="EE24" s="6">
        <f t="shared" si="20"/>
        <v>46370.315040969333</v>
      </c>
      <c r="EF24" s="6">
        <f t="shared" si="20"/>
        <v>45906.611890559638</v>
      </c>
      <c r="EG24" s="6">
        <f t="shared" si="20"/>
        <v>45447.54577165404</v>
      </c>
      <c r="EH24" s="6">
        <f t="shared" si="20"/>
        <v>44993.070313937496</v>
      </c>
      <c r="EI24" s="6">
        <f t="shared" si="20"/>
        <v>44543.13961079812</v>
      </c>
      <c r="EJ24" s="6">
        <f t="shared" si="20"/>
        <v>44097.708214690138</v>
      </c>
      <c r="EK24" s="6">
        <f t="shared" si="20"/>
        <v>43656.731132543238</v>
      </c>
      <c r="EL24" s="6">
        <f t="shared" si="20"/>
        <v>43220.163821217808</v>
      </c>
      <c r="EM24" s="6">
        <f t="shared" si="20"/>
        <v>42787.962183005628</v>
      </c>
      <c r="EN24" s="6">
        <f t="shared" si="20"/>
        <v>42360.082561175572</v>
      </c>
      <c r="EO24" s="6">
        <f t="shared" si="20"/>
        <v>41936.481735563815</v>
      </c>
      <c r="EP24" s="6">
        <f t="shared" si="20"/>
        <v>41517.116918208179</v>
      </c>
      <c r="EQ24" s="6">
        <f t="shared" si="20"/>
        <v>41101.945749026097</v>
      </c>
      <c r="ER24" s="6">
        <f t="shared" si="20"/>
        <v>40690.926291535834</v>
      </c>
      <c r="ES24" s="6">
        <f t="shared" si="20"/>
        <v>40284.017028620474</v>
      </c>
      <c r="ET24" s="6">
        <f t="shared" si="20"/>
        <v>39881.176858334271</v>
      </c>
      <c r="EU24" s="6">
        <f t="shared" si="20"/>
        <v>39482.365089750929</v>
      </c>
      <c r="EV24" s="6">
        <f t="shared" si="20"/>
        <v>39087.541438853419</v>
      </c>
      <c r="EW24" s="6">
        <f t="shared" si="20"/>
        <v>38696.666024464881</v>
      </c>
      <c r="EX24" s="6">
        <f t="shared" si="20"/>
        <v>38309.699364220229</v>
      </c>
      <c r="EY24" s="6">
        <f t="shared" si="20"/>
        <v>37926.602370578024</v>
      </c>
      <c r="EZ24" s="6">
        <f t="shared" si="20"/>
        <v>37547.336346872245</v>
      </c>
      <c r="FA24" s="6">
        <f t="shared" si="20"/>
        <v>37171.862983403524</v>
      </c>
      <c r="FB24" s="6">
        <f t="shared" si="20"/>
        <v>36800.144353569485</v>
      </c>
      <c r="FC24" s="6">
        <f t="shared" si="20"/>
        <v>36432.142910033792</v>
      </c>
      <c r="FD24" s="6">
        <f t="shared" si="20"/>
        <v>36067.821480933453</v>
      </c>
      <c r="FE24" s="6">
        <f t="shared" si="20"/>
        <v>35707.14326612412</v>
      </c>
      <c r="FF24" s="6">
        <f t="shared" si="20"/>
        <v>35350.071833462876</v>
      </c>
      <c r="FG24" s="6">
        <f t="shared" si="20"/>
        <v>34996.571115128245</v>
      </c>
      <c r="FH24" s="6">
        <f t="shared" si="20"/>
        <v>34646.605403976959</v>
      </c>
      <c r="FI24" s="6">
        <f t="shared" si="20"/>
        <v>34300.139349937192</v>
      </c>
      <c r="FJ24" s="6">
        <f t="shared" si="20"/>
        <v>33957.137956437822</v>
      </c>
      <c r="FK24" s="6">
        <f t="shared" si="20"/>
        <v>33617.566576873447</v>
      </c>
      <c r="FL24" s="6">
        <f t="shared" si="20"/>
        <v>33281.390911104711</v>
      </c>
      <c r="FM24" s="6">
        <f t="shared" si="20"/>
        <v>32948.577001993661</v>
      </c>
      <c r="FN24" s="6">
        <f t="shared" si="20"/>
        <v>32619.091231973725</v>
      </c>
      <c r="FO24" s="6">
        <f t="shared" si="20"/>
        <v>32292.900319653989</v>
      </c>
      <c r="FP24" s="6">
        <f t="shared" si="20"/>
        <v>31969.97131645745</v>
      </c>
      <c r="FQ24" s="6">
        <f t="shared" ref="FQ24:IB24" si="21">+FP24*(1+$AL$26)</f>
        <v>31650.271603292877</v>
      </c>
      <c r="FR24" s="6">
        <f t="shared" si="21"/>
        <v>31333.768887259946</v>
      </c>
      <c r="FS24" s="6">
        <f t="shared" si="21"/>
        <v>31020.431198387349</v>
      </c>
      <c r="FT24" s="6">
        <f t="shared" si="21"/>
        <v>30710.226886403474</v>
      </c>
      <c r="FU24" s="6">
        <f t="shared" si="21"/>
        <v>30403.124617539441</v>
      </c>
      <c r="FV24" s="6">
        <f t="shared" si="21"/>
        <v>30099.093371364048</v>
      </c>
      <c r="FW24" s="6">
        <f t="shared" si="21"/>
        <v>29798.102437650407</v>
      </c>
      <c r="FX24" s="6">
        <f t="shared" si="21"/>
        <v>29500.121413273901</v>
      </c>
      <c r="FY24" s="6">
        <f t="shared" si="21"/>
        <v>29205.120199141162</v>
      </c>
      <c r="FZ24" s="6">
        <f t="shared" si="21"/>
        <v>28913.068997149749</v>
      </c>
      <c r="GA24" s="6">
        <f t="shared" si="21"/>
        <v>28623.93830717825</v>
      </c>
      <c r="GB24" s="6">
        <f t="shared" si="21"/>
        <v>28337.698924106469</v>
      </c>
      <c r="GC24" s="6">
        <f t="shared" si="21"/>
        <v>28054.321934865406</v>
      </c>
      <c r="GD24" s="6">
        <f t="shared" si="21"/>
        <v>27773.77871551675</v>
      </c>
      <c r="GE24" s="6">
        <f t="shared" si="21"/>
        <v>27496.040928361581</v>
      </c>
      <c r="GF24" s="6">
        <f t="shared" si="21"/>
        <v>27221.080519077965</v>
      </c>
      <c r="GG24" s="6">
        <f t="shared" si="21"/>
        <v>26948.869713887183</v>
      </c>
      <c r="GH24" s="6">
        <f t="shared" si="21"/>
        <v>26679.38101674831</v>
      </c>
      <c r="GI24" s="6">
        <f t="shared" si="21"/>
        <v>26412.587206580825</v>
      </c>
      <c r="GJ24" s="6">
        <f t="shared" si="21"/>
        <v>26148.461334515017</v>
      </c>
      <c r="GK24" s="6">
        <f t="shared" si="21"/>
        <v>25886.976721169867</v>
      </c>
      <c r="GL24" s="6">
        <f t="shared" si="21"/>
        <v>25628.106953958169</v>
      </c>
      <c r="GM24" s="6">
        <f t="shared" si="21"/>
        <v>25371.825884418588</v>
      </c>
      <c r="GN24" s="6">
        <f t="shared" si="21"/>
        <v>25118.107625574401</v>
      </c>
      <c r="GO24" s="6">
        <f t="shared" si="21"/>
        <v>24866.926549318658</v>
      </c>
      <c r="GP24" s="6">
        <f t="shared" si="21"/>
        <v>24618.257283825471</v>
      </c>
      <c r="GQ24" s="6">
        <f t="shared" si="21"/>
        <v>24372.074710987217</v>
      </c>
      <c r="GR24" s="6">
        <f t="shared" si="21"/>
        <v>24128.353963877344</v>
      </c>
      <c r="GS24" s="6">
        <f t="shared" si="21"/>
        <v>23887.070424238569</v>
      </c>
      <c r="GT24" s="6">
        <f t="shared" si="21"/>
        <v>23648.199719996184</v>
      </c>
      <c r="GU24" s="6">
        <f t="shared" si="21"/>
        <v>23411.717722796224</v>
      </c>
      <c r="GV24" s="6">
        <f t="shared" si="21"/>
        <v>23177.600545568261</v>
      </c>
      <c r="GW24" s="6">
        <f t="shared" si="21"/>
        <v>22945.824540112579</v>
      </c>
      <c r="GX24" s="6">
        <f t="shared" si="21"/>
        <v>22716.366294711454</v>
      </c>
      <c r="GY24" s="6">
        <f t="shared" si="21"/>
        <v>22489.202631764339</v>
      </c>
      <c r="GZ24" s="6">
        <f t="shared" si="21"/>
        <v>22264.310605446695</v>
      </c>
      <c r="HA24" s="6">
        <f t="shared" si="21"/>
        <v>22041.667499392228</v>
      </c>
      <c r="HB24" s="6">
        <f t="shared" si="21"/>
        <v>21821.250824398307</v>
      </c>
      <c r="HC24" s="6">
        <f t="shared" si="21"/>
        <v>21603.038316154325</v>
      </c>
      <c r="HD24" s="6">
        <f t="shared" si="21"/>
        <v>21387.007932992783</v>
      </c>
      <c r="HE24" s="6">
        <f t="shared" si="21"/>
        <v>21173.137853662854</v>
      </c>
      <c r="HF24" s="6">
        <f t="shared" si="21"/>
        <v>20961.406475126227</v>
      </c>
      <c r="HG24" s="6">
        <f t="shared" si="21"/>
        <v>20751.792410374965</v>
      </c>
      <c r="HH24" s="6">
        <f t="shared" si="21"/>
        <v>20544.274486271213</v>
      </c>
      <c r="HI24" s="6">
        <f t="shared" si="21"/>
        <v>20338.8317414085</v>
      </c>
      <c r="HJ24" s="6">
        <f t="shared" si="21"/>
        <v>20135.443423994413</v>
      </c>
      <c r="HK24" s="6">
        <f t="shared" si="21"/>
        <v>19934.088989754469</v>
      </c>
      <c r="HL24" s="6">
        <f t="shared" si="21"/>
        <v>19734.748099856926</v>
      </c>
      <c r="HM24" s="6">
        <f t="shared" si="21"/>
        <v>19537.400618858355</v>
      </c>
      <c r="HN24" s="6">
        <f t="shared" si="21"/>
        <v>19342.026612669772</v>
      </c>
      <c r="HO24" s="6">
        <f t="shared" si="21"/>
        <v>19148.606346543074</v>
      </c>
      <c r="HP24" s="6">
        <f t="shared" si="21"/>
        <v>18957.120283077642</v>
      </c>
      <c r="HQ24" s="6">
        <f t="shared" si="21"/>
        <v>18767.549080246867</v>
      </c>
      <c r="HR24" s="6">
        <f t="shared" si="21"/>
        <v>18579.873589444396</v>
      </c>
      <c r="HS24" s="6">
        <f t="shared" si="21"/>
        <v>18394.074853549952</v>
      </c>
      <c r="HT24" s="6">
        <f t="shared" si="21"/>
        <v>18210.134105014451</v>
      </c>
      <c r="HU24" s="6">
        <f t="shared" si="21"/>
        <v>18028.032763964307</v>
      </c>
      <c r="HV24" s="6">
        <f t="shared" si="21"/>
        <v>17847.752436324663</v>
      </c>
      <c r="HW24" s="6">
        <f t="shared" si="21"/>
        <v>17669.274911961416</v>
      </c>
      <c r="HX24" s="6">
        <f t="shared" si="21"/>
        <v>17492.582162841802</v>
      </c>
      <c r="HY24" s="6">
        <f t="shared" si="21"/>
        <v>17317.656341213384</v>
      </c>
      <c r="HZ24" s="6">
        <f t="shared" si="21"/>
        <v>17144.479777801251</v>
      </c>
      <c r="IA24" s="6">
        <f t="shared" si="21"/>
        <v>16973.03498002324</v>
      </c>
      <c r="IB24" s="6">
        <f t="shared" si="21"/>
        <v>16803.304630223007</v>
      </c>
      <c r="IC24" s="6">
        <f t="shared" ref="IC24:KN24" si="22">+IB24*(1+$AL$26)</f>
        <v>16635.271583920778</v>
      </c>
      <c r="ID24" s="6">
        <f t="shared" si="22"/>
        <v>16468.918868081571</v>
      </c>
      <c r="IE24" s="6">
        <f t="shared" si="22"/>
        <v>16304.229679400756</v>
      </c>
      <c r="IF24" s="6">
        <f t="shared" si="22"/>
        <v>16141.187382606748</v>
      </c>
      <c r="IG24" s="6">
        <f t="shared" si="22"/>
        <v>15979.77550878068</v>
      </c>
      <c r="IH24" s="6">
        <f t="shared" si="22"/>
        <v>15819.977753692872</v>
      </c>
      <c r="II24" s="6">
        <f t="shared" si="22"/>
        <v>15661.777976155943</v>
      </c>
      <c r="IJ24" s="6">
        <f t="shared" si="22"/>
        <v>15505.160196394383</v>
      </c>
      <c r="IK24" s="6">
        <f t="shared" si="22"/>
        <v>15350.10859443044</v>
      </c>
      <c r="IL24" s="6">
        <f t="shared" si="22"/>
        <v>15196.607508486135</v>
      </c>
      <c r="IM24" s="6">
        <f t="shared" si="22"/>
        <v>15044.641433401273</v>
      </c>
      <c r="IN24" s="6">
        <f t="shared" si="22"/>
        <v>14894.19501906726</v>
      </c>
      <c r="IO24" s="6">
        <f t="shared" si="22"/>
        <v>14745.253068876587</v>
      </c>
      <c r="IP24" s="6">
        <f t="shared" si="22"/>
        <v>14597.800538187821</v>
      </c>
      <c r="IQ24" s="6">
        <f t="shared" si="22"/>
        <v>14451.822532805943</v>
      </c>
      <c r="IR24" s="6">
        <f t="shared" si="22"/>
        <v>14307.304307477883</v>
      </c>
      <c r="IS24" s="6">
        <f t="shared" si="22"/>
        <v>14164.231264403104</v>
      </c>
      <c r="IT24" s="6">
        <f t="shared" si="22"/>
        <v>14022.588951759073</v>
      </c>
      <c r="IU24" s="6">
        <f t="shared" si="22"/>
        <v>13882.363062241482</v>
      </c>
      <c r="IV24" s="6">
        <f t="shared" si="22"/>
        <v>13743.539431619067</v>
      </c>
      <c r="IW24" s="6">
        <f t="shared" si="22"/>
        <v>13606.104037302875</v>
      </c>
      <c r="IX24" s="6">
        <f t="shared" si="22"/>
        <v>13470.042996929846</v>
      </c>
      <c r="IY24" s="6">
        <f t="shared" si="22"/>
        <v>13335.342566960548</v>
      </c>
      <c r="IZ24" s="6">
        <f t="shared" si="22"/>
        <v>13201.989141290942</v>
      </c>
      <c r="JA24" s="6">
        <f t="shared" si="22"/>
        <v>13069.969249878033</v>
      </c>
      <c r="JB24" s="6">
        <f t="shared" si="22"/>
        <v>12939.269557379253</v>
      </c>
      <c r="JC24" s="6">
        <f t="shared" si="22"/>
        <v>12809.87686180546</v>
      </c>
      <c r="JD24" s="6">
        <f t="shared" si="22"/>
        <v>12681.778093187406</v>
      </c>
      <c r="JE24" s="6">
        <f t="shared" si="22"/>
        <v>12554.960312255531</v>
      </c>
      <c r="JF24" s="6">
        <f t="shared" si="22"/>
        <v>12429.410709132975</v>
      </c>
      <c r="JG24" s="6">
        <f t="shared" si="22"/>
        <v>12305.116602041646</v>
      </c>
      <c r="JH24" s="6">
        <f t="shared" si="22"/>
        <v>12182.065436021228</v>
      </c>
      <c r="JI24" s="6">
        <f t="shared" si="22"/>
        <v>12060.244781661017</v>
      </c>
      <c r="JJ24" s="6">
        <f t="shared" si="22"/>
        <v>11939.642333844406</v>
      </c>
      <c r="JK24" s="6">
        <f t="shared" si="22"/>
        <v>11820.245910505961</v>
      </c>
      <c r="JL24" s="6">
        <f t="shared" si="22"/>
        <v>11702.043451400901</v>
      </c>
      <c r="JM24" s="6">
        <f t="shared" si="22"/>
        <v>11585.023016886893</v>
      </c>
      <c r="JN24" s="6">
        <f t="shared" si="22"/>
        <v>11469.172786718023</v>
      </c>
      <c r="JO24" s="6">
        <f t="shared" si="22"/>
        <v>11354.481058850843</v>
      </c>
      <c r="JP24" s="6">
        <f t="shared" si="22"/>
        <v>11240.936248262335</v>
      </c>
      <c r="JQ24" s="6">
        <f t="shared" si="22"/>
        <v>11128.526885779711</v>
      </c>
      <c r="JR24" s="6">
        <f t="shared" si="22"/>
        <v>11017.241616921914</v>
      </c>
      <c r="JS24" s="6">
        <f t="shared" si="22"/>
        <v>10907.069200752694</v>
      </c>
      <c r="JT24" s="6">
        <f t="shared" si="22"/>
        <v>10797.998508745168</v>
      </c>
      <c r="JU24" s="6">
        <f t="shared" si="22"/>
        <v>10690.018523657716</v>
      </c>
      <c r="JV24" s="6">
        <f t="shared" si="22"/>
        <v>10583.11833842114</v>
      </c>
      <c r="JW24" s="6">
        <f t="shared" si="22"/>
        <v>10477.287155036929</v>
      </c>
      <c r="JX24" s="6">
        <f t="shared" si="22"/>
        <v>10372.51428348656</v>
      </c>
      <c r="JY24" s="6">
        <f t="shared" si="22"/>
        <v>10268.789140651694</v>
      </c>
      <c r="JZ24" s="6">
        <f t="shared" si="22"/>
        <v>10166.101249245177</v>
      </c>
      <c r="KA24" s="6">
        <f t="shared" si="22"/>
        <v>10064.440236752725</v>
      </c>
      <c r="KB24" s="6">
        <f t="shared" si="22"/>
        <v>9963.7958343851988</v>
      </c>
      <c r="KC24" s="6">
        <f t="shared" si="22"/>
        <v>9864.1578760413468</v>
      </c>
      <c r="KD24" s="6">
        <f t="shared" si="22"/>
        <v>9765.5162972809339</v>
      </c>
      <c r="KE24" s="6">
        <f t="shared" si="22"/>
        <v>9667.8611343081247</v>
      </c>
      <c r="KF24" s="6">
        <f t="shared" si="22"/>
        <v>9571.182522965044</v>
      </c>
      <c r="KG24" s="6">
        <f t="shared" si="22"/>
        <v>9475.4706977353926</v>
      </c>
      <c r="KH24" s="6">
        <f t="shared" si="22"/>
        <v>9380.715990758039</v>
      </c>
      <c r="KI24" s="6">
        <f t="shared" si="22"/>
        <v>9286.9088308504579</v>
      </c>
      <c r="KJ24" s="6">
        <f t="shared" si="22"/>
        <v>9194.0397425419524</v>
      </c>
      <c r="KK24" s="6">
        <f t="shared" si="22"/>
        <v>9102.0993451165323</v>
      </c>
      <c r="KL24" s="6">
        <f t="shared" si="22"/>
        <v>9011.0783516653664</v>
      </c>
      <c r="KM24" s="6">
        <f t="shared" si="22"/>
        <v>8920.9675681487133</v>
      </c>
      <c r="KN24" s="6">
        <f t="shared" si="22"/>
        <v>8831.7578924672252</v>
      </c>
      <c r="KO24" s="6">
        <f t="shared" ref="KO24:MZ24" si="23">+KN24*(1+$AL$26)</f>
        <v>8743.4403135425528</v>
      </c>
      <c r="KP24" s="6">
        <f t="shared" si="23"/>
        <v>8656.0059104071279</v>
      </c>
      <c r="KQ24" s="6">
        <f t="shared" si="23"/>
        <v>8569.4458513030568</v>
      </c>
      <c r="KR24" s="6">
        <f t="shared" si="23"/>
        <v>8483.7513927900254</v>
      </c>
      <c r="KS24" s="6">
        <f t="shared" si="23"/>
        <v>8398.9138788621258</v>
      </c>
      <c r="KT24" s="6">
        <f t="shared" si="23"/>
        <v>8314.9247400735039</v>
      </c>
      <c r="KU24" s="6">
        <f t="shared" si="23"/>
        <v>8231.7754926727685</v>
      </c>
      <c r="KV24" s="6">
        <f t="shared" si="23"/>
        <v>8149.4577377460409</v>
      </c>
      <c r="KW24" s="6">
        <f t="shared" si="23"/>
        <v>8067.9631603685802</v>
      </c>
      <c r="KX24" s="6">
        <f t="shared" si="23"/>
        <v>7987.2835287648941</v>
      </c>
      <c r="KY24" s="6">
        <f t="shared" si="23"/>
        <v>7907.4106934772453</v>
      </c>
      <c r="KZ24" s="6">
        <f t="shared" si="23"/>
        <v>7828.336586542473</v>
      </c>
      <c r="LA24" s="6">
        <f t="shared" si="23"/>
        <v>7750.0532206770486</v>
      </c>
      <c r="LB24" s="6">
        <f t="shared" si="23"/>
        <v>7672.5526884702776</v>
      </c>
      <c r="LC24" s="6">
        <f t="shared" si="23"/>
        <v>7595.8271615855747</v>
      </c>
      <c r="LD24" s="6">
        <f t="shared" si="23"/>
        <v>7519.868889969719</v>
      </c>
      <c r="LE24" s="6">
        <f t="shared" si="23"/>
        <v>7444.6702010700219</v>
      </c>
      <c r="LF24" s="6">
        <f t="shared" si="23"/>
        <v>7370.2234990593215</v>
      </c>
      <c r="LG24" s="6">
        <f t="shared" si="23"/>
        <v>7296.5212640687287</v>
      </c>
      <c r="LH24" s="6">
        <f t="shared" si="23"/>
        <v>7223.5560514280414</v>
      </c>
      <c r="LI24" s="6">
        <f t="shared" si="23"/>
        <v>7151.3204909137612</v>
      </c>
      <c r="LJ24" s="6">
        <f t="shared" si="23"/>
        <v>7079.8072860046232</v>
      </c>
      <c r="LK24" s="6">
        <f t="shared" si="23"/>
        <v>7009.0092131445772</v>
      </c>
      <c r="LL24" s="6">
        <f t="shared" si="23"/>
        <v>6938.9191210131312</v>
      </c>
      <c r="LM24" s="6">
        <f t="shared" si="23"/>
        <v>6869.5299298029995</v>
      </c>
      <c r="LN24" s="6">
        <f t="shared" si="23"/>
        <v>6800.834630504969</v>
      </c>
      <c r="LO24" s="6">
        <f t="shared" si="23"/>
        <v>6732.8262841999194</v>
      </c>
      <c r="LP24" s="6">
        <f t="shared" si="23"/>
        <v>6665.4980213579202</v>
      </c>
      <c r="LQ24" s="6">
        <f t="shared" si="23"/>
        <v>6598.8430411443405</v>
      </c>
      <c r="LR24" s="6">
        <f t="shared" si="23"/>
        <v>6532.8546107328966</v>
      </c>
      <c r="LS24" s="6">
        <f t="shared" si="23"/>
        <v>6467.5260646255674</v>
      </c>
      <c r="LT24" s="6">
        <f t="shared" si="23"/>
        <v>6402.8508039793114</v>
      </c>
      <c r="LU24" s="6">
        <f t="shared" si="23"/>
        <v>6338.822295939518</v>
      </c>
      <c r="LV24" s="6">
        <f t="shared" si="23"/>
        <v>6275.4340729801224</v>
      </c>
      <c r="LW24" s="6">
        <f t="shared" si="23"/>
        <v>6212.6797322503207</v>
      </c>
      <c r="LX24" s="6">
        <f t="shared" si="23"/>
        <v>6150.5529349278177</v>
      </c>
      <c r="LY24" s="6">
        <f t="shared" si="23"/>
        <v>6089.0474055785398</v>
      </c>
      <c r="LZ24" s="6">
        <f t="shared" si="23"/>
        <v>6028.1569315227543</v>
      </c>
      <c r="MA24" s="6">
        <f t="shared" si="23"/>
        <v>5967.8753622075265</v>
      </c>
      <c r="MB24" s="6">
        <f t="shared" si="23"/>
        <v>5908.196608585451</v>
      </c>
      <c r="MC24" s="6">
        <f t="shared" si="23"/>
        <v>5849.1146424995968</v>
      </c>
      <c r="MD24" s="6">
        <f t="shared" si="23"/>
        <v>5790.6234960746006</v>
      </c>
      <c r="ME24" s="6">
        <f t="shared" si="23"/>
        <v>5732.7172611138549</v>
      </c>
      <c r="MF24" s="6">
        <f t="shared" si="23"/>
        <v>5675.390088502716</v>
      </c>
      <c r="MG24" s="6">
        <f t="shared" si="23"/>
        <v>5618.6361876176888</v>
      </c>
      <c r="MH24" s="6">
        <f t="shared" si="23"/>
        <v>5562.4498257415116</v>
      </c>
      <c r="MI24" s="6">
        <f t="shared" si="23"/>
        <v>5506.8253274840963</v>
      </c>
      <c r="MJ24" s="6">
        <f t="shared" si="23"/>
        <v>5451.7570742092557</v>
      </c>
      <c r="MK24" s="6">
        <f t="shared" si="23"/>
        <v>5397.2395034671636</v>
      </c>
      <c r="ML24" s="6">
        <f t="shared" si="23"/>
        <v>5343.267108432492</v>
      </c>
      <c r="MM24" s="6">
        <f t="shared" si="23"/>
        <v>5289.8344373481668</v>
      </c>
      <c r="MN24" s="6">
        <f t="shared" si="23"/>
        <v>5236.9360929746854</v>
      </c>
      <c r="MO24" s="6">
        <f t="shared" si="23"/>
        <v>5184.5667320449384</v>
      </c>
      <c r="MP24" s="6">
        <f t="shared" si="23"/>
        <v>5132.7210647244892</v>
      </c>
      <c r="MQ24" s="6">
        <f t="shared" si="23"/>
        <v>5081.3938540772442</v>
      </c>
      <c r="MR24" s="6">
        <f t="shared" si="23"/>
        <v>5030.5799155364721</v>
      </c>
      <c r="MS24" s="6">
        <f t="shared" si="23"/>
        <v>4980.274116381107</v>
      </c>
      <c r="MT24" s="6">
        <f t="shared" si="23"/>
        <v>4930.4713752172956</v>
      </c>
      <c r="MU24" s="6">
        <f t="shared" si="23"/>
        <v>4881.1666614651231</v>
      </c>
      <c r="MV24" s="6">
        <f t="shared" si="23"/>
        <v>4832.3549948504715</v>
      </c>
      <c r="MW24" s="6">
        <f t="shared" si="23"/>
        <v>4784.031444901967</v>
      </c>
      <c r="MX24" s="6">
        <f t="shared" si="23"/>
        <v>4736.1911304529476</v>
      </c>
      <c r="MY24" s="6">
        <f t="shared" si="23"/>
        <v>4688.8292191484179</v>
      </c>
      <c r="MZ24" s="6">
        <f t="shared" si="23"/>
        <v>4641.9409269569333</v>
      </c>
      <c r="NA24" s="6">
        <f t="shared" ref="NA24:PL24" si="24">+MZ24*(1+$AL$26)</f>
        <v>4595.5215176873635</v>
      </c>
      <c r="NB24" s="6">
        <f t="shared" si="24"/>
        <v>4549.5663025104895</v>
      </c>
      <c r="NC24" s="6">
        <f t="shared" si="24"/>
        <v>4504.0706394853842</v>
      </c>
      <c r="ND24" s="6">
        <f t="shared" si="24"/>
        <v>4459.02993309053</v>
      </c>
      <c r="NE24" s="6">
        <f t="shared" si="24"/>
        <v>4414.4396337596245</v>
      </c>
      <c r="NF24" s="6">
        <f t="shared" si="24"/>
        <v>4370.2952374220285</v>
      </c>
      <c r="NG24" s="6">
        <f t="shared" si="24"/>
        <v>4326.5922850478082</v>
      </c>
      <c r="NH24" s="6">
        <f t="shared" si="24"/>
        <v>4283.3263621973301</v>
      </c>
      <c r="NI24" s="6">
        <f t="shared" si="24"/>
        <v>4240.4930985753572</v>
      </c>
      <c r="NJ24" s="6">
        <f t="shared" si="24"/>
        <v>4198.0881675896035</v>
      </c>
      <c r="NK24" s="6">
        <f t="shared" si="24"/>
        <v>4156.1072859137075</v>
      </c>
      <c r="NL24" s="6">
        <f t="shared" si="24"/>
        <v>4114.5462130545702</v>
      </c>
      <c r="NM24" s="6">
        <f t="shared" si="24"/>
        <v>4073.4007509240246</v>
      </c>
      <c r="NN24" s="6">
        <f t="shared" si="24"/>
        <v>4032.6667434147844</v>
      </c>
      <c r="NO24" s="6">
        <f t="shared" si="24"/>
        <v>3992.3400759806364</v>
      </c>
      <c r="NP24" s="6">
        <f t="shared" si="24"/>
        <v>3952.4166752208298</v>
      </c>
      <c r="NQ24" s="6">
        <f t="shared" si="24"/>
        <v>3912.8925084686216</v>
      </c>
      <c r="NR24" s="6">
        <f t="shared" si="24"/>
        <v>3873.7635833839354</v>
      </c>
      <c r="NS24" s="6">
        <f t="shared" si="24"/>
        <v>3835.0259475500961</v>
      </c>
      <c r="NT24" s="6">
        <f t="shared" si="24"/>
        <v>3796.6756880745952</v>
      </c>
      <c r="NU24" s="6">
        <f t="shared" si="24"/>
        <v>3758.7089311938494</v>
      </c>
      <c r="NV24" s="6">
        <f t="shared" si="24"/>
        <v>3721.1218418819108</v>
      </c>
      <c r="NW24" s="6">
        <f t="shared" si="24"/>
        <v>3683.9106234630917</v>
      </c>
      <c r="NX24" s="6">
        <f t="shared" si="24"/>
        <v>3647.0715172284608</v>
      </c>
      <c r="NY24" s="6">
        <f t="shared" si="24"/>
        <v>3610.6008020561762</v>
      </c>
      <c r="NZ24" s="6">
        <f t="shared" si="24"/>
        <v>3574.4947940356146</v>
      </c>
      <c r="OA24" s="6">
        <f t="shared" si="24"/>
        <v>3538.7498460952584</v>
      </c>
      <c r="OB24" s="6">
        <f t="shared" si="24"/>
        <v>3503.3623476343059</v>
      </c>
      <c r="OC24" s="6">
        <f t="shared" si="24"/>
        <v>3468.3287241579628</v>
      </c>
      <c r="OD24" s="6">
        <f t="shared" si="24"/>
        <v>3433.645436916383</v>
      </c>
      <c r="OE24" s="6">
        <f t="shared" si="24"/>
        <v>3399.3089825472193</v>
      </c>
      <c r="OF24" s="6">
        <f t="shared" si="24"/>
        <v>3365.3158927217473</v>
      </c>
      <c r="OG24" s="6">
        <f t="shared" si="24"/>
        <v>3331.6627337945297</v>
      </c>
      <c r="OH24" s="6">
        <f t="shared" si="24"/>
        <v>3298.3461064565845</v>
      </c>
      <c r="OI24" s="6">
        <f t="shared" si="24"/>
        <v>3265.3626453920187</v>
      </c>
      <c r="OJ24" s="6">
        <f t="shared" si="24"/>
        <v>3232.7090189380983</v>
      </c>
      <c r="OK24" s="6">
        <f t="shared" si="24"/>
        <v>3200.3819287487172</v>
      </c>
      <c r="OL24" s="6">
        <f t="shared" si="24"/>
        <v>3168.37810946123</v>
      </c>
      <c r="OM24" s="6">
        <f t="shared" si="24"/>
        <v>3136.6943283666178</v>
      </c>
      <c r="ON24" s="6">
        <f t="shared" si="24"/>
        <v>3105.3273850829514</v>
      </c>
      <c r="OO24" s="6">
        <f t="shared" si="24"/>
        <v>3074.2741112321219</v>
      </c>
      <c r="OP24" s="6">
        <f t="shared" si="24"/>
        <v>3043.5313701198006</v>
      </c>
      <c r="OQ24" s="6">
        <f t="shared" si="24"/>
        <v>3013.0960564186025</v>
      </c>
      <c r="OR24" s="6">
        <f t="shared" si="24"/>
        <v>2982.9650958544166</v>
      </c>
      <c r="OS24" s="6">
        <f t="shared" si="24"/>
        <v>2953.1354448958723</v>
      </c>
      <c r="OT24" s="6">
        <f t="shared" si="24"/>
        <v>2923.6040904469137</v>
      </c>
      <c r="OU24" s="6">
        <f t="shared" si="24"/>
        <v>2894.3680495424446</v>
      </c>
      <c r="OV24" s="6">
        <f t="shared" si="24"/>
        <v>2865.4243690470203</v>
      </c>
      <c r="OW24" s="6">
        <f t="shared" si="24"/>
        <v>2836.7701253565501</v>
      </c>
      <c r="OX24" s="6">
        <f t="shared" si="24"/>
        <v>2808.4024241029847</v>
      </c>
      <c r="OY24" s="6">
        <f t="shared" si="24"/>
        <v>2780.3183998619547</v>
      </c>
      <c r="OZ24" s="6">
        <f t="shared" si="24"/>
        <v>2752.515215863335</v>
      </c>
      <c r="PA24" s="6">
        <f t="shared" si="24"/>
        <v>2724.9900637047017</v>
      </c>
      <c r="PB24" s="6">
        <f t="shared" si="24"/>
        <v>2697.7401630676545</v>
      </c>
      <c r="PC24" s="6">
        <f t="shared" si="24"/>
        <v>2670.7627614369781</v>
      </c>
      <c r="PD24" s="6">
        <f t="shared" si="24"/>
        <v>2644.0551338226082</v>
      </c>
      <c r="PE24" s="6">
        <f t="shared" si="24"/>
        <v>2617.614582484382</v>
      </c>
      <c r="PF24" s="6">
        <f t="shared" si="24"/>
        <v>2591.4384366595382</v>
      </c>
      <c r="PG24" s="6">
        <f t="shared" si="24"/>
        <v>2565.524052292943</v>
      </c>
      <c r="PH24" s="6">
        <f t="shared" si="24"/>
        <v>2539.8688117700135</v>
      </c>
      <c r="PI24" s="6">
        <f t="shared" si="24"/>
        <v>2514.4701236523133</v>
      </c>
      <c r="PJ24" s="6">
        <f t="shared" si="24"/>
        <v>2489.3254224157899</v>
      </c>
      <c r="PK24" s="6">
        <f t="shared" si="24"/>
        <v>2464.4321681916322</v>
      </c>
      <c r="PL24" s="6">
        <f t="shared" si="24"/>
        <v>2439.787846509716</v>
      </c>
      <c r="PM24" s="6">
        <f t="shared" ref="PM24:RX24" si="25">+PL24*(1+$AL$26)</f>
        <v>2415.3899680446189</v>
      </c>
      <c r="PN24" s="6">
        <f t="shared" si="25"/>
        <v>2391.2360683641728</v>
      </c>
      <c r="PO24" s="6">
        <f t="shared" si="25"/>
        <v>2367.3237076805308</v>
      </c>
      <c r="PP24" s="6">
        <f t="shared" si="25"/>
        <v>2343.6504706037254</v>
      </c>
      <c r="PQ24" s="6">
        <f t="shared" si="25"/>
        <v>2320.213965897688</v>
      </c>
      <c r="PR24" s="6">
        <f t="shared" si="25"/>
        <v>2297.0118262387109</v>
      </c>
      <c r="PS24" s="6">
        <f t="shared" si="25"/>
        <v>2274.0417079763238</v>
      </c>
      <c r="PT24" s="6">
        <f t="shared" si="25"/>
        <v>2251.3012908965607</v>
      </c>
      <c r="PU24" s="6">
        <f t="shared" si="25"/>
        <v>2228.7882779875949</v>
      </c>
      <c r="PV24" s="6">
        <f t="shared" si="25"/>
        <v>2206.5003952077191</v>
      </c>
      <c r="PW24" s="6">
        <f t="shared" si="25"/>
        <v>2184.4353912556417</v>
      </c>
      <c r="PX24" s="6">
        <f t="shared" si="25"/>
        <v>2162.5910373430852</v>
      </c>
      <c r="PY24" s="6">
        <f t="shared" si="25"/>
        <v>2140.9651269696542</v>
      </c>
      <c r="PZ24" s="6">
        <f t="shared" si="25"/>
        <v>2119.5554756999577</v>
      </c>
      <c r="QA24" s="6">
        <f t="shared" si="25"/>
        <v>2098.3599209429581</v>
      </c>
      <c r="QB24" s="6">
        <f t="shared" si="25"/>
        <v>2077.3763217335286</v>
      </c>
      <c r="QC24" s="6">
        <f t="shared" si="25"/>
        <v>2056.6025585161933</v>
      </c>
      <c r="QD24" s="6">
        <f t="shared" si="25"/>
        <v>2036.0365329310314</v>
      </c>
      <c r="QE24" s="6">
        <f t="shared" si="25"/>
        <v>2015.6761676017211</v>
      </c>
      <c r="QF24" s="6">
        <f t="shared" si="25"/>
        <v>1995.5194059257039</v>
      </c>
      <c r="QG24" s="6">
        <f t="shared" si="25"/>
        <v>1975.5642118664468</v>
      </c>
      <c r="QH24" s="6">
        <f t="shared" si="25"/>
        <v>1955.8085697477823</v>
      </c>
      <c r="QI24" s="6">
        <f t="shared" si="25"/>
        <v>1936.2504840503045</v>
      </c>
      <c r="QJ24" s="6">
        <f t="shared" si="25"/>
        <v>1916.8879792098014</v>
      </c>
      <c r="QK24" s="6">
        <f t="shared" si="25"/>
        <v>1897.7190994177033</v>
      </c>
      <c r="QL24" s="6">
        <f t="shared" si="25"/>
        <v>1878.7419084235262</v>
      </c>
      <c r="QM24" s="6">
        <f t="shared" si="25"/>
        <v>1859.9544893392908</v>
      </c>
      <c r="QN24" s="6">
        <f t="shared" si="25"/>
        <v>1841.3549444458979</v>
      </c>
      <c r="QO24" s="6">
        <f t="shared" si="25"/>
        <v>1822.9413950014389</v>
      </c>
      <c r="QP24" s="6">
        <f t="shared" si="25"/>
        <v>1804.7119810514246</v>
      </c>
      <c r="QQ24" s="6">
        <f t="shared" si="25"/>
        <v>1786.6648612409103</v>
      </c>
      <c r="QR24" s="6">
        <f t="shared" si="25"/>
        <v>1768.7982126285012</v>
      </c>
      <c r="QS24" s="6">
        <f t="shared" si="25"/>
        <v>1751.1102305022162</v>
      </c>
      <c r="QT24" s="6">
        <f t="shared" si="25"/>
        <v>1733.599128197194</v>
      </c>
      <c r="QU24" s="6">
        <f t="shared" si="25"/>
        <v>1716.263136915222</v>
      </c>
      <c r="QV24" s="6">
        <f t="shared" si="25"/>
        <v>1699.1005055460698</v>
      </c>
      <c r="QW24" s="6">
        <f t="shared" si="25"/>
        <v>1682.1095004906092</v>
      </c>
      <c r="QX24" s="6">
        <f t="shared" si="25"/>
        <v>1665.2884054857032</v>
      </c>
      <c r="QY24" s="6">
        <f t="shared" si="25"/>
        <v>1648.6355214308462</v>
      </c>
      <c r="QZ24" s="6">
        <f t="shared" si="25"/>
        <v>1632.1491662165377</v>
      </c>
      <c r="RA24" s="6">
        <f t="shared" si="25"/>
        <v>1615.8276745543722</v>
      </c>
      <c r="RB24" s="6">
        <f t="shared" si="25"/>
        <v>1599.6693978088283</v>
      </c>
      <c r="RC24" s="6">
        <f t="shared" si="25"/>
        <v>1583.6727038307399</v>
      </c>
      <c r="RD24" s="6">
        <f t="shared" si="25"/>
        <v>1567.8359767924326</v>
      </c>
      <c r="RE24" s="6">
        <f t="shared" si="25"/>
        <v>1552.1576170245082</v>
      </c>
      <c r="RF24" s="6">
        <f t="shared" si="25"/>
        <v>1536.6360408542632</v>
      </c>
      <c r="RG24" s="6">
        <f t="shared" si="25"/>
        <v>1521.2696804457205</v>
      </c>
      <c r="RH24" s="6">
        <f t="shared" si="25"/>
        <v>1506.0569836412633</v>
      </c>
      <c r="RI24" s="6">
        <f t="shared" si="25"/>
        <v>1490.9964138048506</v>
      </c>
      <c r="RJ24" s="6">
        <f t="shared" si="25"/>
        <v>1476.0864496668021</v>
      </c>
      <c r="RK24" s="6">
        <f t="shared" si="25"/>
        <v>1461.325585170134</v>
      </c>
      <c r="RL24" s="6">
        <f t="shared" si="25"/>
        <v>1446.7123293184327</v>
      </c>
      <c r="RM24" s="6">
        <f t="shared" si="25"/>
        <v>1432.2452060252483</v>
      </c>
      <c r="RN24" s="6">
        <f t="shared" si="25"/>
        <v>1417.9227539649958</v>
      </c>
      <c r="RO24" s="6">
        <f t="shared" si="25"/>
        <v>1403.7435264253459</v>
      </c>
      <c r="RP24" s="6">
        <f t="shared" si="25"/>
        <v>1389.7060911610924</v>
      </c>
      <c r="RQ24" s="6">
        <f t="shared" si="25"/>
        <v>1375.8090302494816</v>
      </c>
      <c r="RR24" s="6">
        <f t="shared" si="25"/>
        <v>1362.0509399469868</v>
      </c>
      <c r="RS24" s="6">
        <f t="shared" si="25"/>
        <v>1348.4304305475168</v>
      </c>
      <c r="RT24" s="6">
        <f t="shared" si="25"/>
        <v>1334.9461262420416</v>
      </c>
      <c r="RU24" s="6">
        <f t="shared" si="25"/>
        <v>1321.5966649796212</v>
      </c>
      <c r="RV24" s="6">
        <f t="shared" si="25"/>
        <v>1308.380698329825</v>
      </c>
      <c r="RW24" s="6">
        <f t="shared" si="25"/>
        <v>1295.2968913465268</v>
      </c>
      <c r="RX24" s="6">
        <f t="shared" si="25"/>
        <v>1282.3439224330614</v>
      </c>
      <c r="RY24" s="6">
        <f t="shared" ref="RY24:UJ24" si="26">+RX24*(1+$AL$26)</f>
        <v>1269.5204832087309</v>
      </c>
      <c r="RZ24" s="6">
        <f t="shared" si="26"/>
        <v>1256.8252783766436</v>
      </c>
      <c r="SA24" s="6">
        <f t="shared" si="26"/>
        <v>1244.2570255928772</v>
      </c>
      <c r="SB24" s="6">
        <f t="shared" si="26"/>
        <v>1231.8144553369484</v>
      </c>
      <c r="SC24" s="6">
        <f t="shared" si="26"/>
        <v>1219.496310783579</v>
      </c>
      <c r="SD24" s="6">
        <f t="shared" si="26"/>
        <v>1207.3013476757433</v>
      </c>
      <c r="SE24" s="6">
        <f t="shared" si="26"/>
        <v>1195.2283341989857</v>
      </c>
      <c r="SF24" s="6">
        <f t="shared" si="26"/>
        <v>1183.2760508569959</v>
      </c>
      <c r="SG24" s="6">
        <f t="shared" si="26"/>
        <v>1171.443290348426</v>
      </c>
      <c r="SH24" s="6">
        <f t="shared" si="26"/>
        <v>1159.7288574449417</v>
      </c>
      <c r="SI24" s="6">
        <f t="shared" si="26"/>
        <v>1148.1315688704922</v>
      </c>
      <c r="SJ24" s="6">
        <f t="shared" si="26"/>
        <v>1136.6502531817873</v>
      </c>
      <c r="SK24" s="6">
        <f t="shared" si="26"/>
        <v>1125.2837506499695</v>
      </c>
      <c r="SL24" s="6">
        <f t="shared" si="26"/>
        <v>1114.0309131434699</v>
      </c>
      <c r="SM24" s="6">
        <f t="shared" si="26"/>
        <v>1102.8906040120353</v>
      </c>
      <c r="SN24" s="6">
        <f t="shared" si="26"/>
        <v>1091.861697971915</v>
      </c>
      <c r="SO24" s="6">
        <f t="shared" si="26"/>
        <v>1080.9430809921957</v>
      </c>
      <c r="SP24" s="6">
        <f t="shared" si="26"/>
        <v>1070.1336501822739</v>
      </c>
      <c r="SQ24" s="6">
        <f t="shared" si="26"/>
        <v>1059.4323136804512</v>
      </c>
      <c r="SR24" s="6">
        <f t="shared" si="26"/>
        <v>1048.8379905436466</v>
      </c>
      <c r="SS24" s="6">
        <f t="shared" si="26"/>
        <v>1038.3496106382102</v>
      </c>
      <c r="ST24" s="6">
        <f t="shared" si="26"/>
        <v>1027.966114531828</v>
      </c>
      <c r="SU24" s="6">
        <f t="shared" si="26"/>
        <v>1017.6864533865097</v>
      </c>
      <c r="SV24" s="6">
        <f t="shared" si="26"/>
        <v>1007.5095888526446</v>
      </c>
      <c r="SW24" s="6">
        <f t="shared" si="26"/>
        <v>997.43449296411814</v>
      </c>
      <c r="SX24" s="6">
        <f t="shared" si="26"/>
        <v>987.4601480344769</v>
      </c>
      <c r="SY24" s="6">
        <f t="shared" si="26"/>
        <v>977.58554655413218</v>
      </c>
      <c r="SZ24" s="6">
        <f t="shared" si="26"/>
        <v>967.80969108859085</v>
      </c>
      <c r="TA24" s="6">
        <f t="shared" si="26"/>
        <v>958.13159417770498</v>
      </c>
      <c r="TB24" s="6">
        <f t="shared" si="26"/>
        <v>948.55027823592798</v>
      </c>
      <c r="TC24" s="6">
        <f t="shared" si="26"/>
        <v>939.0647754535687</v>
      </c>
      <c r="TD24" s="6">
        <f t="shared" si="26"/>
        <v>929.67412769903297</v>
      </c>
      <c r="TE24" s="6">
        <f t="shared" si="26"/>
        <v>920.3773864220426</v>
      </c>
      <c r="TF24" s="6">
        <f t="shared" si="26"/>
        <v>911.17361255782214</v>
      </c>
      <c r="TG24" s="6">
        <f t="shared" si="26"/>
        <v>902.06187643224393</v>
      </c>
      <c r="TH24" s="6">
        <f t="shared" si="26"/>
        <v>893.04125766792151</v>
      </c>
      <c r="TI24" s="6">
        <f t="shared" si="26"/>
        <v>884.11084509124225</v>
      </c>
      <c r="TJ24" s="6">
        <f t="shared" si="26"/>
        <v>875.26973664032982</v>
      </c>
      <c r="TK24" s="6">
        <f t="shared" si="26"/>
        <v>866.51703927392657</v>
      </c>
      <c r="TL24" s="6">
        <f t="shared" si="26"/>
        <v>857.85186888118733</v>
      </c>
      <c r="TM24" s="6">
        <f t="shared" si="26"/>
        <v>849.27335019237546</v>
      </c>
      <c r="TN24" s="6">
        <f t="shared" si="26"/>
        <v>840.78061669045167</v>
      </c>
      <c r="TO24" s="6">
        <f t="shared" si="26"/>
        <v>832.37281052354717</v>
      </c>
      <c r="TP24" s="6">
        <f t="shared" si="26"/>
        <v>824.04908241831174</v>
      </c>
      <c r="TQ24" s="6">
        <f t="shared" si="26"/>
        <v>815.80859159412864</v>
      </c>
      <c r="TR24" s="6">
        <f t="shared" si="26"/>
        <v>807.6505056781873</v>
      </c>
      <c r="TS24" s="6">
        <f t="shared" si="26"/>
        <v>799.57400062140539</v>
      </c>
      <c r="TT24" s="6">
        <f t="shared" si="26"/>
        <v>791.57826061519131</v>
      </c>
      <c r="TU24" s="6">
        <f t="shared" si="26"/>
        <v>783.66247800903943</v>
      </c>
      <c r="TV24" s="6">
        <f t="shared" si="26"/>
        <v>775.82585322894909</v>
      </c>
      <c r="TW24" s="6">
        <f t="shared" si="26"/>
        <v>768.06759469665963</v>
      </c>
      <c r="TX24" s="6">
        <f t="shared" si="26"/>
        <v>760.386918749693</v>
      </c>
      <c r="TY24" s="6">
        <f t="shared" si="26"/>
        <v>752.78304956219608</v>
      </c>
      <c r="TZ24" s="6">
        <f t="shared" si="26"/>
        <v>745.25521906657411</v>
      </c>
      <c r="UA24" s="6">
        <f t="shared" si="26"/>
        <v>737.80266687590836</v>
      </c>
      <c r="UB24" s="6">
        <f t="shared" si="26"/>
        <v>730.42464020714931</v>
      </c>
      <c r="UC24" s="6">
        <f t="shared" si="26"/>
        <v>723.12039380507781</v>
      </c>
      <c r="UD24" s="6">
        <f t="shared" si="26"/>
        <v>715.88918986702697</v>
      </c>
      <c r="UE24" s="6">
        <f t="shared" si="26"/>
        <v>708.73029796835669</v>
      </c>
      <c r="UF24" s="6">
        <f t="shared" si="26"/>
        <v>701.64299498867308</v>
      </c>
      <c r="UG24" s="6">
        <f t="shared" si="26"/>
        <v>694.62656503878634</v>
      </c>
      <c r="UH24" s="6">
        <f t="shared" si="26"/>
        <v>687.68029938839845</v>
      </c>
      <c r="UI24" s="6">
        <f t="shared" si="26"/>
        <v>680.80349639451447</v>
      </c>
      <c r="UJ24" s="6">
        <f t="shared" si="26"/>
        <v>673.99546143056932</v>
      </c>
      <c r="UK24" s="6">
        <f t="shared" ref="UK24:WV24" si="27">+UJ24*(1+$AL$26)</f>
        <v>667.25550681626362</v>
      </c>
      <c r="UL24" s="6">
        <f t="shared" si="27"/>
        <v>660.58295174810098</v>
      </c>
      <c r="UM24" s="6">
        <f t="shared" si="27"/>
        <v>653.97712223062001</v>
      </c>
      <c r="UN24" s="6">
        <f t="shared" si="27"/>
        <v>647.43735100831384</v>
      </c>
      <c r="UO24" s="6">
        <f t="shared" si="27"/>
        <v>640.96297749823066</v>
      </c>
      <c r="UP24" s="6">
        <f t="shared" si="27"/>
        <v>634.55334772324829</v>
      </c>
      <c r="UQ24" s="6">
        <f t="shared" si="27"/>
        <v>628.2078142460158</v>
      </c>
      <c r="UR24" s="6">
        <f t="shared" si="27"/>
        <v>621.92573610355566</v>
      </c>
      <c r="US24" s="6">
        <f t="shared" si="27"/>
        <v>615.70647874252006</v>
      </c>
      <c r="UT24" s="6">
        <f t="shared" si="27"/>
        <v>609.54941395509491</v>
      </c>
      <c r="UU24" s="6">
        <f t="shared" si="27"/>
        <v>603.45391981554394</v>
      </c>
      <c r="UV24" s="6">
        <f t="shared" si="27"/>
        <v>597.41938061738847</v>
      </c>
      <c r="UW24" s="6">
        <f t="shared" si="27"/>
        <v>591.44518681121463</v>
      </c>
      <c r="UX24" s="6">
        <f t="shared" si="27"/>
        <v>585.53073494310252</v>
      </c>
      <c r="UY24" s="6">
        <f t="shared" si="27"/>
        <v>579.67542759367143</v>
      </c>
      <c r="UZ24" s="6">
        <f t="shared" si="27"/>
        <v>573.87867331773475</v>
      </c>
      <c r="VA24" s="6">
        <f t="shared" si="27"/>
        <v>568.13988658455742</v>
      </c>
      <c r="VB24" s="6">
        <f t="shared" si="27"/>
        <v>562.45848771871181</v>
      </c>
      <c r="VC24" s="6">
        <f t="shared" si="27"/>
        <v>556.83390284152472</v>
      </c>
      <c r="VD24" s="6">
        <f t="shared" si="27"/>
        <v>551.26556381310945</v>
      </c>
      <c r="VE24" s="6">
        <f t="shared" si="27"/>
        <v>545.7529081749783</v>
      </c>
      <c r="VF24" s="6">
        <f t="shared" si="27"/>
        <v>540.29537909322846</v>
      </c>
      <c r="VG24" s="6">
        <f t="shared" si="27"/>
        <v>534.89242530229615</v>
      </c>
      <c r="VH24" s="6">
        <f t="shared" si="27"/>
        <v>529.54350104927323</v>
      </c>
      <c r="VI24" s="6">
        <f t="shared" si="27"/>
        <v>524.24806603878051</v>
      </c>
      <c r="VJ24" s="6">
        <f t="shared" si="27"/>
        <v>519.00558537839265</v>
      </c>
      <c r="VK24" s="6">
        <f t="shared" si="27"/>
        <v>513.81552952460868</v>
      </c>
      <c r="VL24" s="6">
        <f t="shared" si="27"/>
        <v>508.67737422936261</v>
      </c>
      <c r="VM24" s="6">
        <f t="shared" si="27"/>
        <v>503.59060048706897</v>
      </c>
      <c r="VN24" s="6">
        <f t="shared" si="27"/>
        <v>498.55469448219827</v>
      </c>
      <c r="VO24" s="6">
        <f t="shared" si="27"/>
        <v>493.5691475373763</v>
      </c>
      <c r="VP24" s="6">
        <f t="shared" si="27"/>
        <v>488.63345606200255</v>
      </c>
      <c r="VQ24" s="6">
        <f t="shared" si="27"/>
        <v>483.74712150138254</v>
      </c>
      <c r="VR24" s="6">
        <f t="shared" si="27"/>
        <v>478.90965028636873</v>
      </c>
      <c r="VS24" s="6">
        <f t="shared" si="27"/>
        <v>474.12055378350504</v>
      </c>
      <c r="VT24" s="6">
        <f t="shared" si="27"/>
        <v>469.37934824566997</v>
      </c>
      <c r="VU24" s="6">
        <f t="shared" si="27"/>
        <v>464.68555476321325</v>
      </c>
      <c r="VV24" s="6">
        <f t="shared" si="27"/>
        <v>460.03869921558112</v>
      </c>
      <c r="VW24" s="6">
        <f t="shared" si="27"/>
        <v>455.43831222342533</v>
      </c>
      <c r="VX24" s="6">
        <f t="shared" si="27"/>
        <v>450.88392910119109</v>
      </c>
      <c r="VY24" s="6">
        <f t="shared" si="27"/>
        <v>446.37508981017919</v>
      </c>
      <c r="VZ24" s="6">
        <f t="shared" si="27"/>
        <v>441.91133891207738</v>
      </c>
      <c r="WA24" s="6">
        <f t="shared" si="27"/>
        <v>437.49222552295663</v>
      </c>
      <c r="WB24" s="6">
        <f t="shared" si="27"/>
        <v>433.11730326772704</v>
      </c>
      <c r="WC24" s="6">
        <f t="shared" si="27"/>
        <v>428.78613023504977</v>
      </c>
      <c r="WD24" s="6">
        <f t="shared" si="27"/>
        <v>424.49826893269926</v>
      </c>
      <c r="WE24" s="6">
        <f t="shared" si="27"/>
        <v>420.25328624337226</v>
      </c>
      <c r="WF24" s="6">
        <f t="shared" si="27"/>
        <v>416.05075338093854</v>
      </c>
      <c r="WG24" s="6">
        <f t="shared" si="27"/>
        <v>411.89024584712917</v>
      </c>
      <c r="WH24" s="6">
        <f t="shared" si="27"/>
        <v>407.7713433886579</v>
      </c>
      <c r="WI24" s="6">
        <f t="shared" si="27"/>
        <v>403.69362995477132</v>
      </c>
      <c r="WJ24" s="6">
        <f t="shared" si="27"/>
        <v>399.65669365522359</v>
      </c>
      <c r="WK24" s="6">
        <f t="shared" si="27"/>
        <v>395.66012671867134</v>
      </c>
      <c r="WL24" s="6">
        <f t="shared" si="27"/>
        <v>391.70352545148461</v>
      </c>
      <c r="WM24" s="6">
        <f t="shared" si="27"/>
        <v>387.78649019696974</v>
      </c>
      <c r="WN24" s="6">
        <f t="shared" si="27"/>
        <v>383.90862529500004</v>
      </c>
      <c r="WO24" s="6">
        <f t="shared" si="27"/>
        <v>380.06953904205005</v>
      </c>
      <c r="WP24" s="6">
        <f t="shared" si="27"/>
        <v>376.26884365162954</v>
      </c>
      <c r="WQ24" s="6">
        <f t="shared" si="27"/>
        <v>372.50615521511327</v>
      </c>
      <c r="WR24" s="6">
        <f t="shared" si="27"/>
        <v>368.78109366296212</v>
      </c>
      <c r="WS24" s="6">
        <f t="shared" si="27"/>
        <v>365.09328272633252</v>
      </c>
      <c r="WT24" s="6">
        <f t="shared" si="27"/>
        <v>361.4423498990692</v>
      </c>
      <c r="WU24" s="6">
        <f t="shared" si="27"/>
        <v>357.82792640007852</v>
      </c>
      <c r="WV24" s="6">
        <f t="shared" si="27"/>
        <v>354.24964713607773</v>
      </c>
      <c r="WW24" s="6">
        <f t="shared" ref="WW24:ZH24" si="28">+WV24*(1+$AL$26)</f>
        <v>350.70715066471695</v>
      </c>
      <c r="WX24" s="6">
        <f t="shared" si="28"/>
        <v>347.2000791580698</v>
      </c>
      <c r="WY24" s="6">
        <f t="shared" si="28"/>
        <v>343.72807836648911</v>
      </c>
      <c r="WZ24" s="6">
        <f t="shared" si="28"/>
        <v>340.29079758282421</v>
      </c>
      <c r="XA24" s="6">
        <f t="shared" si="28"/>
        <v>336.88788960699594</v>
      </c>
      <c r="XB24" s="6">
        <f t="shared" si="28"/>
        <v>333.51901071092595</v>
      </c>
      <c r="XC24" s="6">
        <f t="shared" si="28"/>
        <v>330.18382060381668</v>
      </c>
      <c r="XD24" s="6">
        <f t="shared" si="28"/>
        <v>326.88198239777853</v>
      </c>
      <c r="XE24" s="6">
        <f t="shared" si="28"/>
        <v>323.61316257380076</v>
      </c>
      <c r="XF24" s="6">
        <f t="shared" si="28"/>
        <v>320.37703094806278</v>
      </c>
      <c r="XG24" s="6">
        <f t="shared" si="28"/>
        <v>317.17326063858218</v>
      </c>
      <c r="XH24" s="6">
        <f t="shared" si="28"/>
        <v>314.00152803219635</v>
      </c>
      <c r="XI24" s="6">
        <f t="shared" si="28"/>
        <v>310.86151275187439</v>
      </c>
      <c r="XJ24" s="6">
        <f t="shared" si="28"/>
        <v>307.75289762435563</v>
      </c>
      <c r="XK24" s="6">
        <f t="shared" si="28"/>
        <v>304.67536864811206</v>
      </c>
      <c r="XL24" s="6">
        <f t="shared" si="28"/>
        <v>301.62861496163094</v>
      </c>
      <c r="XM24" s="6">
        <f t="shared" si="28"/>
        <v>298.61232881201465</v>
      </c>
      <c r="XN24" s="6">
        <f t="shared" si="28"/>
        <v>295.6262055238945</v>
      </c>
      <c r="XO24" s="6">
        <f t="shared" si="28"/>
        <v>292.66994346865556</v>
      </c>
      <c r="XP24" s="6">
        <f t="shared" si="28"/>
        <v>289.74324403396901</v>
      </c>
      <c r="XQ24" s="6">
        <f t="shared" si="28"/>
        <v>286.84581159362932</v>
      </c>
      <c r="XR24" s="6">
        <f t="shared" si="28"/>
        <v>283.97735347769304</v>
      </c>
      <c r="XS24" s="6">
        <f t="shared" si="28"/>
        <v>281.13757994291609</v>
      </c>
      <c r="XT24" s="6">
        <f t="shared" si="28"/>
        <v>278.3262041434869</v>
      </c>
      <c r="XU24" s="6">
        <f t="shared" si="28"/>
        <v>275.54294210205205</v>
      </c>
      <c r="XV24" s="6">
        <f t="shared" si="28"/>
        <v>272.7875126810315</v>
      </c>
      <c r="XW24" s="6">
        <f t="shared" si="28"/>
        <v>270.05963755422118</v>
      </c>
      <c r="XX24" s="6">
        <f t="shared" si="28"/>
        <v>267.35904117867898</v>
      </c>
      <c r="XY24" s="6">
        <f t="shared" si="28"/>
        <v>264.68545076689219</v>
      </c>
      <c r="XZ24" s="6">
        <f t="shared" si="28"/>
        <v>262.03859625922325</v>
      </c>
      <c r="YA24" s="6">
        <f t="shared" si="28"/>
        <v>259.418210296631</v>
      </c>
      <c r="YB24" s="6">
        <f t="shared" si="28"/>
        <v>256.82402819366467</v>
      </c>
      <c r="YC24" s="6">
        <f t="shared" si="28"/>
        <v>254.25578791172802</v>
      </c>
      <c r="YD24" s="6">
        <f t="shared" si="28"/>
        <v>251.71323003261074</v>
      </c>
      <c r="YE24" s="6">
        <f t="shared" si="28"/>
        <v>249.19609773228464</v>
      </c>
      <c r="YF24" s="6">
        <f t="shared" si="28"/>
        <v>246.70413675496178</v>
      </c>
      <c r="YG24" s="6">
        <f t="shared" si="28"/>
        <v>244.23709538741215</v>
      </c>
      <c r="YH24" s="6">
        <f t="shared" si="28"/>
        <v>241.79472443353802</v>
      </c>
      <c r="YI24" s="6">
        <f t="shared" si="28"/>
        <v>239.37677718920264</v>
      </c>
      <c r="YJ24" s="6">
        <f t="shared" si="28"/>
        <v>236.98300941731063</v>
      </c>
      <c r="YK24" s="6">
        <f t="shared" si="28"/>
        <v>234.61317932313753</v>
      </c>
      <c r="YL24" s="6">
        <f t="shared" si="28"/>
        <v>232.26704752990616</v>
      </c>
      <c r="YM24" s="6">
        <f t="shared" si="28"/>
        <v>229.94437705460709</v>
      </c>
      <c r="YN24" s="6">
        <f t="shared" si="28"/>
        <v>227.64493328406101</v>
      </c>
      <c r="YO24" s="6">
        <f t="shared" si="28"/>
        <v>225.36848395122041</v>
      </c>
      <c r="YP24" s="6">
        <f t="shared" si="28"/>
        <v>223.11479911170821</v>
      </c>
      <c r="YQ24" s="6">
        <f t="shared" si="28"/>
        <v>220.88365112059111</v>
      </c>
      <c r="YR24" s="6">
        <f t="shared" si="28"/>
        <v>218.67481460938521</v>
      </c>
      <c r="YS24" s="6">
        <f t="shared" si="28"/>
        <v>216.48806646329135</v>
      </c>
      <c r="YT24" s="6">
        <f t="shared" si="28"/>
        <v>214.32318579865844</v>
      </c>
      <c r="YU24" s="6">
        <f t="shared" si="28"/>
        <v>212.17995394067185</v>
      </c>
      <c r="YV24" s="6">
        <f t="shared" si="28"/>
        <v>210.05815440126514</v>
      </c>
      <c r="YW24" s="6">
        <f t="shared" si="28"/>
        <v>207.9575728572525</v>
      </c>
      <c r="YX24" s="6">
        <f t="shared" si="28"/>
        <v>205.87799712867997</v>
      </c>
      <c r="YY24" s="6">
        <f t="shared" si="28"/>
        <v>203.81921715739315</v>
      </c>
      <c r="YZ24" s="6">
        <f t="shared" si="28"/>
        <v>201.78102498581922</v>
      </c>
      <c r="ZA24" s="6">
        <f t="shared" si="28"/>
        <v>199.76321473596101</v>
      </c>
      <c r="ZB24" s="6">
        <f t="shared" si="28"/>
        <v>197.7655825886014</v>
      </c>
      <c r="ZC24" s="6">
        <f t="shared" si="28"/>
        <v>195.78792676271539</v>
      </c>
      <c r="ZD24" s="6">
        <f t="shared" si="28"/>
        <v>193.83004749508822</v>
      </c>
      <c r="ZE24" s="6">
        <f t="shared" si="28"/>
        <v>191.89174702013733</v>
      </c>
      <c r="ZF24" s="6">
        <f t="shared" si="28"/>
        <v>189.97282954993597</v>
      </c>
      <c r="ZG24" s="6">
        <f t="shared" si="28"/>
        <v>188.07310125443661</v>
      </c>
      <c r="ZH24" s="6">
        <f t="shared" si="28"/>
        <v>186.19237024189223</v>
      </c>
      <c r="ZI24" s="6">
        <f t="shared" ref="ZI24:ABT24" si="29">+ZH24*(1+$AL$26)</f>
        <v>184.33044653947331</v>
      </c>
      <c r="ZJ24" s="6">
        <f t="shared" si="29"/>
        <v>182.48714207407858</v>
      </c>
      <c r="ZK24" s="6">
        <f t="shared" si="29"/>
        <v>180.6622706533378</v>
      </c>
      <c r="ZL24" s="6">
        <f t="shared" si="29"/>
        <v>178.85564794680442</v>
      </c>
      <c r="ZM24" s="6">
        <f t="shared" si="29"/>
        <v>177.06709146733638</v>
      </c>
      <c r="ZN24" s="6">
        <f t="shared" si="29"/>
        <v>175.29642055266302</v>
      </c>
      <c r="ZO24" s="6">
        <f t="shared" si="29"/>
        <v>173.54345634713638</v>
      </c>
      <c r="ZP24" s="6">
        <f t="shared" si="29"/>
        <v>171.80802178366503</v>
      </c>
      <c r="ZQ24" s="6">
        <f t="shared" si="29"/>
        <v>170.08994156582838</v>
      </c>
      <c r="ZR24" s="6">
        <f t="shared" si="29"/>
        <v>168.3890421501701</v>
      </c>
      <c r="ZS24" s="6">
        <f t="shared" si="29"/>
        <v>166.7051517286684</v>
      </c>
      <c r="ZT24" s="6">
        <f t="shared" si="29"/>
        <v>165.0381002113817</v>
      </c>
      <c r="ZU24" s="6">
        <f t="shared" si="29"/>
        <v>163.38771920926789</v>
      </c>
      <c r="ZV24" s="6">
        <f t="shared" si="29"/>
        <v>161.7538420171752</v>
      </c>
      <c r="ZW24" s="6">
        <f t="shared" si="29"/>
        <v>160.13630359700346</v>
      </c>
      <c r="ZX24" s="6">
        <f t="shared" si="29"/>
        <v>158.53494056103344</v>
      </c>
      <c r="ZY24" s="6">
        <f t="shared" si="29"/>
        <v>156.94959115542309</v>
      </c>
      <c r="ZZ24" s="6">
        <f t="shared" si="29"/>
        <v>155.38009524386885</v>
      </c>
      <c r="AAA24" s="6">
        <f t="shared" si="29"/>
        <v>153.82629429143017</v>
      </c>
      <c r="AAB24" s="6">
        <f t="shared" si="29"/>
        <v>152.28803134851586</v>
      </c>
      <c r="AAC24" s="6">
        <f t="shared" si="29"/>
        <v>150.7651510350307</v>
      </c>
      <c r="AAD24" s="6">
        <f t="shared" si="29"/>
        <v>149.25749952468038</v>
      </c>
      <c r="AAE24" s="6">
        <f t="shared" si="29"/>
        <v>147.76492452943359</v>
      </c>
      <c r="AAF24" s="6">
        <f t="shared" si="29"/>
        <v>146.28727528413924</v>
      </c>
      <c r="AAG24" s="6">
        <f t="shared" si="29"/>
        <v>144.82440253129784</v>
      </c>
      <c r="AAH24" s="6">
        <f t="shared" si="29"/>
        <v>143.37615850598485</v>
      </c>
      <c r="AAI24" s="6">
        <f t="shared" si="29"/>
        <v>141.94239692092501</v>
      </c>
      <c r="AAJ24" s="6">
        <f t="shared" si="29"/>
        <v>140.52297295171576</v>
      </c>
      <c r="AAK24" s="6">
        <f t="shared" si="29"/>
        <v>139.11774322219861</v>
      </c>
      <c r="AAL24" s="6">
        <f t="shared" si="29"/>
        <v>137.72656578997663</v>
      </c>
      <c r="AAM24" s="6">
        <f t="shared" si="29"/>
        <v>136.34930013207688</v>
      </c>
      <c r="AAN24" s="6">
        <f t="shared" si="29"/>
        <v>134.98580713075611</v>
      </c>
      <c r="AAO24" s="6">
        <f t="shared" si="29"/>
        <v>133.63594905944856</v>
      </c>
      <c r="AAP24" s="6">
        <f t="shared" si="29"/>
        <v>132.29958956885409</v>
      </c>
      <c r="AAQ24" s="6">
        <f t="shared" si="29"/>
        <v>130.97659367316555</v>
      </c>
      <c r="AAR24" s="6">
        <f t="shared" si="29"/>
        <v>129.6668277364339</v>
      </c>
      <c r="AAS24" s="6">
        <f t="shared" si="29"/>
        <v>128.37015945906955</v>
      </c>
      <c r="AAT24" s="6">
        <f t="shared" si="29"/>
        <v>127.08645786447886</v>
      </c>
      <c r="AAU24" s="6">
        <f t="shared" si="29"/>
        <v>125.81559328583407</v>
      </c>
      <c r="AAV24" s="6">
        <f t="shared" si="29"/>
        <v>124.55743735297573</v>
      </c>
      <c r="AAW24" s="6">
        <f t="shared" si="29"/>
        <v>123.31186297944596</v>
      </c>
      <c r="AAX24" s="6">
        <f t="shared" si="29"/>
        <v>122.0787443496515</v>
      </c>
      <c r="AAY24" s="6">
        <f t="shared" si="29"/>
        <v>120.85795690615498</v>
      </c>
      <c r="AAZ24" s="6">
        <f t="shared" si="29"/>
        <v>119.64937733709343</v>
      </c>
      <c r="ABA24" s="6">
        <f t="shared" si="29"/>
        <v>118.45288356372249</v>
      </c>
      <c r="ABB24" s="6">
        <f t="shared" si="29"/>
        <v>117.26835472808527</v>
      </c>
      <c r="ABC24" s="6">
        <f t="shared" si="29"/>
        <v>116.09567118080442</v>
      </c>
      <c r="ABD24" s="6">
        <f t="shared" si="29"/>
        <v>114.93471446899638</v>
      </c>
      <c r="ABE24" s="6">
        <f t="shared" si="29"/>
        <v>113.78536732430641</v>
      </c>
      <c r="ABF24" s="6">
        <f t="shared" si="29"/>
        <v>112.64751365106333</v>
      </c>
      <c r="ABG24" s="6">
        <f t="shared" si="29"/>
        <v>111.5210385145527</v>
      </c>
      <c r="ABH24" s="6">
        <f t="shared" si="29"/>
        <v>110.40582812940717</v>
      </c>
      <c r="ABI24" s="6">
        <f t="shared" si="29"/>
        <v>109.3017698481131</v>
      </c>
      <c r="ABJ24" s="6">
        <f t="shared" si="29"/>
        <v>108.20875214963196</v>
      </c>
      <c r="ABK24" s="6">
        <f t="shared" si="29"/>
        <v>107.12666462813564</v>
      </c>
      <c r="ABL24" s="6">
        <f t="shared" si="29"/>
        <v>106.05539798185428</v>
      </c>
      <c r="ABM24" s="6">
        <f t="shared" si="29"/>
        <v>104.99484400203573</v>
      </c>
      <c r="ABN24" s="6">
        <f t="shared" si="29"/>
        <v>103.94489556201538</v>
      </c>
      <c r="ABO24" s="6">
        <f t="shared" si="29"/>
        <v>102.90544660639522</v>
      </c>
      <c r="ABP24" s="6">
        <f t="shared" si="29"/>
        <v>101.87639214033126</v>
      </c>
      <c r="ABQ24" s="6">
        <f t="shared" si="29"/>
        <v>100.85762821892794</v>
      </c>
      <c r="ABR24" s="6">
        <f t="shared" si="29"/>
        <v>99.849051936738661</v>
      </c>
      <c r="ABS24" s="6">
        <f t="shared" si="29"/>
        <v>98.850561417371267</v>
      </c>
      <c r="ABT24" s="6">
        <f t="shared" si="29"/>
        <v>97.862055803197549</v>
      </c>
      <c r="ABU24" s="6">
        <f t="shared" ref="ABU24:AEF24" si="30">+ABT24*(1+$AL$26)</f>
        <v>96.883435245165572</v>
      </c>
      <c r="ABV24" s="6">
        <f t="shared" si="30"/>
        <v>95.914600892713921</v>
      </c>
      <c r="ABW24" s="6">
        <f t="shared" si="30"/>
        <v>94.955454883786786</v>
      </c>
      <c r="ABX24" s="6">
        <f t="shared" si="30"/>
        <v>94.005900334948919</v>
      </c>
      <c r="ABY24" s="6">
        <f t="shared" si="30"/>
        <v>93.06584133159943</v>
      </c>
      <c r="ABZ24" s="6">
        <f t="shared" si="30"/>
        <v>92.135182918283434</v>
      </c>
      <c r="ACA24" s="6">
        <f t="shared" si="30"/>
        <v>91.213831089100594</v>
      </c>
      <c r="ACB24" s="6">
        <f t="shared" si="30"/>
        <v>90.301692778209585</v>
      </c>
      <c r="ACC24" s="6">
        <f t="shared" si="30"/>
        <v>89.398675850427495</v>
      </c>
      <c r="ACD24" s="6">
        <f t="shared" si="30"/>
        <v>88.504689091923225</v>
      </c>
      <c r="ACE24" s="6">
        <f t="shared" si="30"/>
        <v>87.619642201003998</v>
      </c>
      <c r="ACF24" s="6">
        <f t="shared" si="30"/>
        <v>86.743445778993959</v>
      </c>
      <c r="ACG24" s="6">
        <f t="shared" si="30"/>
        <v>85.876011321204018</v>
      </c>
      <c r="ACH24" s="6">
        <f t="shared" si="30"/>
        <v>85.017251207991976</v>
      </c>
      <c r="ACI24" s="6">
        <f t="shared" si="30"/>
        <v>84.167078695912053</v>
      </c>
      <c r="ACJ24" s="6">
        <f t="shared" si="30"/>
        <v>83.325407908952926</v>
      </c>
      <c r="ACK24" s="6">
        <f t="shared" si="30"/>
        <v>82.492153829863398</v>
      </c>
      <c r="ACL24" s="6">
        <f t="shared" si="30"/>
        <v>81.667232291564758</v>
      </c>
      <c r="ACM24" s="6">
        <f t="shared" si="30"/>
        <v>80.850559968649108</v>
      </c>
      <c r="ACN24" s="6">
        <f t="shared" si="30"/>
        <v>80.04205436896261</v>
      </c>
      <c r="ACO24" s="6">
        <f t="shared" si="30"/>
        <v>79.241633825272984</v>
      </c>
      <c r="ACP24" s="6">
        <f t="shared" si="30"/>
        <v>78.449217487020249</v>
      </c>
      <c r="ACQ24" s="6">
        <f t="shared" si="30"/>
        <v>77.66472531215004</v>
      </c>
      <c r="ACR24" s="6">
        <f t="shared" si="30"/>
        <v>76.888078059028544</v>
      </c>
      <c r="ACS24" s="6">
        <f t="shared" si="30"/>
        <v>76.119197278438264</v>
      </c>
      <c r="ACT24" s="6">
        <f t="shared" si="30"/>
        <v>75.358005305653876</v>
      </c>
      <c r="ACU24" s="6">
        <f t="shared" si="30"/>
        <v>74.604425252597338</v>
      </c>
      <c r="ACV24" s="6">
        <f t="shared" si="30"/>
        <v>73.858381000071361</v>
      </c>
      <c r="ACW24" s="6">
        <f t="shared" si="30"/>
        <v>73.119797190070642</v>
      </c>
      <c r="ACX24" s="6">
        <f t="shared" si="30"/>
        <v>72.388599218169929</v>
      </c>
      <c r="ACY24" s="6">
        <f t="shared" si="30"/>
        <v>71.664713225988223</v>
      </c>
      <c r="ACZ24" s="6">
        <f t="shared" si="30"/>
        <v>70.948066093728343</v>
      </c>
      <c r="ADA24" s="6">
        <f t="shared" si="30"/>
        <v>70.238585432791055</v>
      </c>
      <c r="ADB24" s="6">
        <f t="shared" si="30"/>
        <v>69.53619957846314</v>
      </c>
      <c r="ADC24" s="6">
        <f t="shared" si="30"/>
        <v>68.840837582678503</v>
      </c>
      <c r="ADD24" s="6">
        <f t="shared" si="30"/>
        <v>68.152429206851721</v>
      </c>
      <c r="ADE24" s="6">
        <f t="shared" si="30"/>
        <v>67.470904914783205</v>
      </c>
      <c r="ADF24" s="6">
        <f t="shared" si="30"/>
        <v>66.796195865635369</v>
      </c>
      <c r="ADG24" s="6">
        <f t="shared" si="30"/>
        <v>66.12823390697902</v>
      </c>
      <c r="ADH24" s="6">
        <f t="shared" si="30"/>
        <v>65.466951567909234</v>
      </c>
      <c r="ADI24" s="6">
        <f t="shared" si="30"/>
        <v>64.812282052230145</v>
      </c>
      <c r="ADJ24" s="6">
        <f t="shared" si="30"/>
        <v>64.164159231707842</v>
      </c>
      <c r="ADK24" s="6">
        <f t="shared" si="30"/>
        <v>63.522517639390763</v>
      </c>
      <c r="ADL24" s="6">
        <f t="shared" si="30"/>
        <v>62.887292462996854</v>
      </c>
      <c r="ADM24" s="6">
        <f t="shared" si="30"/>
        <v>62.258419538366887</v>
      </c>
      <c r="ADN24" s="6">
        <f t="shared" si="30"/>
        <v>61.635835342983221</v>
      </c>
      <c r="ADO24" s="6">
        <f t="shared" si="30"/>
        <v>61.01947698955339</v>
      </c>
      <c r="ADP24" s="6">
        <f t="shared" si="30"/>
        <v>60.409282219657854</v>
      </c>
      <c r="ADQ24" s="6">
        <f t="shared" si="30"/>
        <v>59.805189397461277</v>
      </c>
      <c r="ADR24" s="6">
        <f t="shared" si="30"/>
        <v>59.207137503486663</v>
      </c>
      <c r="ADS24" s="6">
        <f t="shared" si="30"/>
        <v>58.615066128451794</v>
      </c>
      <c r="ADT24" s="6">
        <f t="shared" si="30"/>
        <v>58.028915467167273</v>
      </c>
      <c r="ADU24" s="6">
        <f t="shared" si="30"/>
        <v>57.448626312495598</v>
      </c>
      <c r="ADV24" s="6">
        <f t="shared" si="30"/>
        <v>56.874140049370645</v>
      </c>
      <c r="ADW24" s="6">
        <f t="shared" si="30"/>
        <v>56.305398648876938</v>
      </c>
      <c r="ADX24" s="6">
        <f t="shared" si="30"/>
        <v>55.74234466238817</v>
      </c>
      <c r="ADY24" s="6">
        <f t="shared" si="30"/>
        <v>55.184921215764291</v>
      </c>
      <c r="ADZ24" s="6">
        <f t="shared" si="30"/>
        <v>54.63307200360665</v>
      </c>
      <c r="AEA24" s="6">
        <f t="shared" si="30"/>
        <v>54.086741283570582</v>
      </c>
      <c r="AEB24" s="6">
        <f t="shared" si="30"/>
        <v>53.545873870734873</v>
      </c>
      <c r="AEC24" s="6">
        <f t="shared" si="30"/>
        <v>53.010415132027525</v>
      </c>
      <c r="AED24" s="6">
        <f t="shared" si="30"/>
        <v>52.480310980707252</v>
      </c>
      <c r="AEE24" s="6">
        <f t="shared" si="30"/>
        <v>51.955507870900178</v>
      </c>
      <c r="AEF24" s="6">
        <f t="shared" si="30"/>
        <v>51.435952792191173</v>
      </c>
      <c r="AEG24" s="6">
        <f t="shared" ref="AEG24:AGR24" si="31">+AEF24*(1+$AL$26)</f>
        <v>50.921593264269262</v>
      </c>
      <c r="AEH24" s="6">
        <f t="shared" si="31"/>
        <v>50.412377331626566</v>
      </c>
      <c r="AEI24" s="6">
        <f t="shared" si="31"/>
        <v>49.9082535583103</v>
      </c>
      <c r="AEJ24" s="6">
        <f t="shared" si="31"/>
        <v>49.409171022727193</v>
      </c>
      <c r="AEK24" s="6">
        <f t="shared" si="31"/>
        <v>48.91507931249992</v>
      </c>
      <c r="AEL24" s="6">
        <f t="shared" si="31"/>
        <v>48.425928519374921</v>
      </c>
      <c r="AEM24" s="6">
        <f t="shared" si="31"/>
        <v>47.94166923418117</v>
      </c>
      <c r="AEN24" s="6">
        <f t="shared" si="31"/>
        <v>47.462252541839355</v>
      </c>
      <c r="AEO24" s="6">
        <f t="shared" si="31"/>
        <v>46.987630016420958</v>
      </c>
      <c r="AEP24" s="6">
        <f t="shared" si="31"/>
        <v>46.517753716256749</v>
      </c>
      <c r="AEQ24" s="6">
        <f t="shared" si="31"/>
        <v>46.052576179094181</v>
      </c>
      <c r="AER24" s="6">
        <f t="shared" si="31"/>
        <v>45.592050417303241</v>
      </c>
      <c r="AES24" s="6">
        <f t="shared" si="31"/>
        <v>45.136129913130212</v>
      </c>
      <c r="AET24" s="6">
        <f t="shared" si="31"/>
        <v>44.684768613998912</v>
      </c>
      <c r="AEU24" s="6">
        <f t="shared" si="31"/>
        <v>44.237920927858923</v>
      </c>
      <c r="AEV24" s="6">
        <f t="shared" si="31"/>
        <v>43.795541718580331</v>
      </c>
      <c r="AEW24" s="6">
        <f t="shared" si="31"/>
        <v>43.357586301394527</v>
      </c>
      <c r="AEX24" s="6">
        <f t="shared" si="31"/>
        <v>42.924010438380584</v>
      </c>
      <c r="AEY24" s="6">
        <f t="shared" si="31"/>
        <v>42.494770333996776</v>
      </c>
      <c r="AEZ24" s="6">
        <f t="shared" si="31"/>
        <v>42.069822630656809</v>
      </c>
      <c r="AFA24" s="6">
        <f t="shared" si="31"/>
        <v>41.649124404350239</v>
      </c>
      <c r="AFB24" s="6">
        <f t="shared" si="31"/>
        <v>41.232633160306733</v>
      </c>
      <c r="AFC24" s="6">
        <f t="shared" si="31"/>
        <v>40.820306828703664</v>
      </c>
      <c r="AFD24" s="6">
        <f t="shared" si="31"/>
        <v>40.412103760416628</v>
      </c>
      <c r="AFE24" s="6">
        <f t="shared" si="31"/>
        <v>40.007982722812464</v>
      </c>
      <c r="AFF24" s="6">
        <f t="shared" si="31"/>
        <v>39.607902895584338</v>
      </c>
      <c r="AFG24" s="6">
        <f t="shared" si="31"/>
        <v>39.211823866628492</v>
      </c>
      <c r="AFH24" s="6">
        <f t="shared" si="31"/>
        <v>38.819705627962207</v>
      </c>
      <c r="AFI24" s="6">
        <f t="shared" si="31"/>
        <v>38.431508571682585</v>
      </c>
      <c r="AFJ24" s="6">
        <f t="shared" si="31"/>
        <v>38.047193485965757</v>
      </c>
      <c r="AFK24" s="6">
        <f t="shared" si="31"/>
        <v>37.6667215511061</v>
      </c>
      <c r="AFL24" s="6">
        <f t="shared" si="31"/>
        <v>37.290054335595038</v>
      </c>
      <c r="AFM24" s="6">
        <f t="shared" si="31"/>
        <v>36.917153792239084</v>
      </c>
      <c r="AFN24" s="6">
        <f t="shared" si="31"/>
        <v>36.547982254316693</v>
      </c>
      <c r="AFO24" s="6">
        <f t="shared" si="31"/>
        <v>36.182502431773528</v>
      </c>
      <c r="AFP24" s="6">
        <f t="shared" si="31"/>
        <v>35.82067740745579</v>
      </c>
      <c r="AFQ24" s="6">
        <f t="shared" si="31"/>
        <v>35.46247063338123</v>
      </c>
      <c r="AFR24" s="6">
        <f t="shared" si="31"/>
        <v>35.107845927047414</v>
      </c>
      <c r="AFS24" s="6">
        <f t="shared" si="31"/>
        <v>34.756767467776939</v>
      </c>
      <c r="AFT24" s="6">
        <f t="shared" si="31"/>
        <v>34.40919979309917</v>
      </c>
      <c r="AFU24" s="6">
        <f t="shared" si="31"/>
        <v>34.065107795168174</v>
      </c>
      <c r="AFV24" s="6">
        <f t="shared" si="31"/>
        <v>33.724456717216491</v>
      </c>
      <c r="AFW24" s="6">
        <f t="shared" si="31"/>
        <v>33.387212150044327</v>
      </c>
      <c r="AFX24" s="6">
        <f t="shared" si="31"/>
        <v>33.053340028543886</v>
      </c>
      <c r="AFY24" s="6">
        <f t="shared" si="31"/>
        <v>32.722806628258446</v>
      </c>
      <c r="AFZ24" s="6">
        <f t="shared" si="31"/>
        <v>32.39557856197586</v>
      </c>
      <c r="AGA24" s="6">
        <f t="shared" si="31"/>
        <v>32.071622776356101</v>
      </c>
      <c r="AGB24" s="6">
        <f t="shared" si="31"/>
        <v>31.750906548592539</v>
      </c>
      <c r="AGC24" s="6">
        <f t="shared" si="31"/>
        <v>31.433397483106614</v>
      </c>
      <c r="AGD24" s="6">
        <f t="shared" si="31"/>
        <v>31.119063508275548</v>
      </c>
      <c r="AGE24" s="6">
        <f t="shared" si="31"/>
        <v>30.807872873192792</v>
      </c>
      <c r="AGF24" s="6">
        <f t="shared" si="31"/>
        <v>30.499794144460864</v>
      </c>
      <c r="AGG24" s="6">
        <f t="shared" si="31"/>
        <v>30.194796203016256</v>
      </c>
      <c r="AGH24" s="6">
        <f t="shared" si="31"/>
        <v>29.892848240986094</v>
      </c>
      <c r="AGI24" s="6">
        <f t="shared" si="31"/>
        <v>29.593919758576234</v>
      </c>
      <c r="AGJ24" s="6">
        <f t="shared" si="31"/>
        <v>29.297980560990471</v>
      </c>
      <c r="AGK24" s="6">
        <f t="shared" si="31"/>
        <v>29.005000755380564</v>
      </c>
      <c r="AGL24" s="6">
        <f t="shared" si="31"/>
        <v>28.714950747826759</v>
      </c>
      <c r="AGM24" s="6">
        <f t="shared" si="31"/>
        <v>28.42780124034849</v>
      </c>
      <c r="AGN24" s="6">
        <f t="shared" si="31"/>
        <v>28.143523227945003</v>
      </c>
      <c r="AGO24" s="6">
        <f t="shared" si="31"/>
        <v>27.862087995665554</v>
      </c>
      <c r="AGP24" s="6">
        <f t="shared" si="31"/>
        <v>27.583467115708899</v>
      </c>
      <c r="AGQ24" s="6">
        <f t="shared" si="31"/>
        <v>27.30763244455181</v>
      </c>
      <c r="AGR24" s="6">
        <f t="shared" si="31"/>
        <v>27.034556120106291</v>
      </c>
      <c r="AGS24" s="6">
        <f t="shared" ref="AGS24:AJD24" si="32">+AGR24*(1+$AL$26)</f>
        <v>26.76421055890523</v>
      </c>
      <c r="AGT24" s="6">
        <f t="shared" si="32"/>
        <v>26.496568453316179</v>
      </c>
      <c r="AGU24" s="6">
        <f t="shared" si="32"/>
        <v>26.231602768783016</v>
      </c>
      <c r="AGV24" s="6">
        <f t="shared" si="32"/>
        <v>25.969286741095186</v>
      </c>
      <c r="AGW24" s="6">
        <f t="shared" si="32"/>
        <v>25.709593873684234</v>
      </c>
      <c r="AGX24" s="6">
        <f t="shared" si="32"/>
        <v>25.452497934947392</v>
      </c>
      <c r="AGY24" s="6">
        <f t="shared" si="32"/>
        <v>25.197972955597919</v>
      </c>
      <c r="AGZ24" s="6">
        <f t="shared" si="32"/>
        <v>24.945993226041939</v>
      </c>
      <c r="AHA24" s="6">
        <f t="shared" si="32"/>
        <v>24.696533293781521</v>
      </c>
      <c r="AHB24" s="6">
        <f t="shared" si="32"/>
        <v>24.449567960843705</v>
      </c>
      <c r="AHC24" s="6">
        <f t="shared" si="32"/>
        <v>24.205072281235267</v>
      </c>
      <c r="AHD24" s="6">
        <f t="shared" si="32"/>
        <v>23.963021558422916</v>
      </c>
      <c r="AHE24" s="6">
        <f t="shared" si="32"/>
        <v>23.723391342838688</v>
      </c>
      <c r="AHF24" s="6">
        <f t="shared" si="32"/>
        <v>23.486157429410301</v>
      </c>
      <c r="AHG24" s="6">
        <f t="shared" si="32"/>
        <v>23.251295855116197</v>
      </c>
      <c r="AHH24" s="6">
        <f t="shared" si="32"/>
        <v>23.018782896565035</v>
      </c>
      <c r="AHI24" s="6">
        <f t="shared" si="32"/>
        <v>22.788595067599385</v>
      </c>
      <c r="AHJ24" s="6">
        <f t="shared" si="32"/>
        <v>22.560709116923391</v>
      </c>
      <c r="AHK24" s="6">
        <f t="shared" si="32"/>
        <v>22.335102025754157</v>
      </c>
      <c r="AHL24" s="6">
        <f t="shared" si="32"/>
        <v>22.111751005496615</v>
      </c>
      <c r="AHM24" s="6">
        <f t="shared" si="32"/>
        <v>21.890633495441648</v>
      </c>
      <c r="AHN24" s="6">
        <f t="shared" si="32"/>
        <v>21.671727160487233</v>
      </c>
      <c r="AHO24" s="6">
        <f t="shared" si="32"/>
        <v>21.455009888882362</v>
      </c>
      <c r="AHP24" s="6">
        <f t="shared" si="32"/>
        <v>21.240459789993537</v>
      </c>
      <c r="AHQ24" s="6">
        <f t="shared" si="32"/>
        <v>21.0280551920936</v>
      </c>
      <c r="AHR24" s="6">
        <f t="shared" si="32"/>
        <v>20.817774640172665</v>
      </c>
      <c r="AHS24" s="6">
        <f t="shared" si="32"/>
        <v>20.609596893770938</v>
      </c>
      <c r="AHT24" s="6">
        <f t="shared" si="32"/>
        <v>20.403500924833228</v>
      </c>
      <c r="AHU24" s="6">
        <f t="shared" si="32"/>
        <v>20.199465915584895</v>
      </c>
      <c r="AHV24" s="6">
        <f t="shared" si="32"/>
        <v>19.997471256429044</v>
      </c>
      <c r="AHW24" s="6">
        <f t="shared" si="32"/>
        <v>19.797496543864753</v>
      </c>
      <c r="AHX24" s="6">
        <f t="shared" si="32"/>
        <v>19.599521578426106</v>
      </c>
      <c r="AHY24" s="6">
        <f t="shared" si="32"/>
        <v>19.403526362641845</v>
      </c>
      <c r="AHZ24" s="6">
        <f t="shared" si="32"/>
        <v>19.209491099015427</v>
      </c>
      <c r="AIA24" s="6">
        <f t="shared" si="32"/>
        <v>19.017396188025273</v>
      </c>
      <c r="AIB24" s="6">
        <f t="shared" si="32"/>
        <v>18.827222226145022</v>
      </c>
      <c r="AIC24" s="6">
        <f t="shared" si="32"/>
        <v>18.638950003883572</v>
      </c>
      <c r="AID24" s="6">
        <f t="shared" si="32"/>
        <v>18.452560503844737</v>
      </c>
      <c r="AIE24" s="6">
        <f t="shared" si="32"/>
        <v>18.268034898806288</v>
      </c>
      <c r="AIF24" s="6">
        <f t="shared" si="32"/>
        <v>18.085354549818224</v>
      </c>
      <c r="AIG24" s="6">
        <f t="shared" si="32"/>
        <v>17.904501004320043</v>
      </c>
      <c r="AIH24" s="6">
        <f t="shared" si="32"/>
        <v>17.725455994276842</v>
      </c>
      <c r="AII24" s="6">
        <f t="shared" si="32"/>
        <v>17.548201434334075</v>
      </c>
      <c r="AIJ24" s="6">
        <f t="shared" si="32"/>
        <v>17.372719419990734</v>
      </c>
      <c r="AIK24" s="6">
        <f t="shared" si="32"/>
        <v>17.198992225790825</v>
      </c>
      <c r="AIL24" s="6">
        <f t="shared" si="32"/>
        <v>17.027002303532917</v>
      </c>
      <c r="AIM24" s="6">
        <f t="shared" si="32"/>
        <v>16.856732280497589</v>
      </c>
      <c r="AIN24" s="6">
        <f t="shared" si="32"/>
        <v>16.688164957692614</v>
      </c>
      <c r="AIO24" s="6">
        <f t="shared" si="32"/>
        <v>16.521283308115688</v>
      </c>
      <c r="AIP24" s="6">
        <f t="shared" si="32"/>
        <v>16.356070475034532</v>
      </c>
      <c r="AIQ24" s="6">
        <f t="shared" si="32"/>
        <v>16.192509770284186</v>
      </c>
      <c r="AIR24" s="6">
        <f t="shared" si="32"/>
        <v>16.030584672581345</v>
      </c>
      <c r="AIS24" s="6">
        <f t="shared" si="32"/>
        <v>15.870278825855531</v>
      </c>
      <c r="AIT24" s="6">
        <f t="shared" si="32"/>
        <v>15.711576037596975</v>
      </c>
      <c r="AIU24" s="6">
        <f t="shared" si="32"/>
        <v>15.554460277221006</v>
      </c>
      <c r="AIV24" s="6">
        <f t="shared" si="32"/>
        <v>15.398915674448796</v>
      </c>
      <c r="AIW24" s="6">
        <f t="shared" si="32"/>
        <v>15.244926517704307</v>
      </c>
      <c r="AIX24" s="6">
        <f t="shared" si="32"/>
        <v>15.092477252527264</v>
      </c>
      <c r="AIY24" s="6">
        <f t="shared" si="32"/>
        <v>14.941552480001992</v>
      </c>
      <c r="AIZ24" s="6">
        <f t="shared" si="32"/>
        <v>14.792136955201972</v>
      </c>
      <c r="AJA24" s="6">
        <f t="shared" si="32"/>
        <v>14.644215585649953</v>
      </c>
      <c r="AJB24" s="6">
        <f t="shared" si="32"/>
        <v>14.497773429793453</v>
      </c>
      <c r="AJC24" s="6">
        <f t="shared" si="32"/>
        <v>14.352795695495518</v>
      </c>
      <c r="AJD24" s="6">
        <f t="shared" si="32"/>
        <v>14.209267738540563</v>
      </c>
      <c r="AJE24" s="6">
        <f t="shared" ref="AJE24:AKN24" si="33">+AJD24*(1+$AL$26)</f>
        <v>14.067175061155156</v>
      </c>
      <c r="AJF24" s="6">
        <f t="shared" si="33"/>
        <v>13.926503310543605</v>
      </c>
      <c r="AJG24" s="6">
        <f t="shared" si="33"/>
        <v>13.787238277438169</v>
      </c>
      <c r="AJH24" s="6">
        <f t="shared" si="33"/>
        <v>13.649365894663786</v>
      </c>
      <c r="AJI24" s="6">
        <f t="shared" si="33"/>
        <v>13.512872235717149</v>
      </c>
      <c r="AJJ24" s="6">
        <f t="shared" si="33"/>
        <v>13.377743513359977</v>
      </c>
      <c r="AJK24" s="6">
        <f t="shared" si="33"/>
        <v>13.243966078226377</v>
      </c>
      <c r="AJL24" s="6">
        <f t="shared" si="33"/>
        <v>13.111526417444113</v>
      </c>
      <c r="AJM24" s="6">
        <f t="shared" si="33"/>
        <v>12.980411153269671</v>
      </c>
      <c r="AJN24" s="6">
        <f t="shared" si="33"/>
        <v>12.850607041736975</v>
      </c>
      <c r="AJO24" s="6">
        <f t="shared" si="33"/>
        <v>12.722100971319605</v>
      </c>
      <c r="AJP24" s="6">
        <f t="shared" si="33"/>
        <v>12.594879961606409</v>
      </c>
      <c r="AJQ24" s="6">
        <f t="shared" si="33"/>
        <v>12.468931161990344</v>
      </c>
      <c r="AJR24" s="6">
        <f t="shared" si="33"/>
        <v>12.344241850370441</v>
      </c>
      <c r="AJS24" s="6">
        <f t="shared" si="33"/>
        <v>12.220799431866736</v>
      </c>
      <c r="AJT24" s="6">
        <f t="shared" si="33"/>
        <v>12.098591437548068</v>
      </c>
      <c r="AJU24" s="6">
        <f t="shared" si="33"/>
        <v>11.977605523172587</v>
      </c>
      <c r="AJV24" s="6">
        <f t="shared" si="33"/>
        <v>11.85782946794086</v>
      </c>
      <c r="AJW24" s="6">
        <f t="shared" si="33"/>
        <v>11.739251173261451</v>
      </c>
      <c r="AJX24" s="6">
        <f t="shared" si="33"/>
        <v>11.621858661528837</v>
      </c>
      <c r="AJY24" s="6">
        <f t="shared" si="33"/>
        <v>11.505640074913549</v>
      </c>
      <c r="AJZ24" s="6">
        <f t="shared" si="33"/>
        <v>11.390583674164413</v>
      </c>
      <c r="AKA24" s="6">
        <f t="shared" si="33"/>
        <v>11.276677837422769</v>
      </c>
      <c r="AKB24" s="6">
        <f t="shared" si="33"/>
        <v>11.163911059048541</v>
      </c>
      <c r="AKC24" s="6">
        <f t="shared" si="33"/>
        <v>11.052271948458054</v>
      </c>
      <c r="AKD24" s="6">
        <f t="shared" si="33"/>
        <v>10.941749228973475</v>
      </c>
      <c r="AKE24" s="6">
        <f t="shared" si="33"/>
        <v>10.83233173668374</v>
      </c>
      <c r="AKF24" s="6">
        <f t="shared" si="33"/>
        <v>10.724008419316903</v>
      </c>
      <c r="AKG24" s="6">
        <f t="shared" si="33"/>
        <v>10.616768335123734</v>
      </c>
      <c r="AKH24" s="6">
        <f t="shared" si="33"/>
        <v>10.510600651772496</v>
      </c>
      <c r="AKI24" s="6">
        <f t="shared" si="33"/>
        <v>10.405494645254771</v>
      </c>
      <c r="AKJ24" s="6">
        <f t="shared" si="33"/>
        <v>10.301439698802223</v>
      </c>
      <c r="AKK24" s="6">
        <f t="shared" si="33"/>
        <v>10.198425301814201</v>
      </c>
      <c r="AKL24" s="6">
        <f t="shared" si="33"/>
        <v>10.096441048796059</v>
      </c>
      <c r="AKM24" s="6">
        <f t="shared" si="33"/>
        <v>9.995476638308098</v>
      </c>
      <c r="AKN24" s="6">
        <f t="shared" si="33"/>
        <v>9.8955218719250162</v>
      </c>
    </row>
    <row r="25" spans="1:976" s="1" customFormat="1" x14ac:dyDescent="0.3">
      <c r="A25"/>
      <c r="B25" t="s">
        <v>41</v>
      </c>
      <c r="C25" s="1">
        <v>2728</v>
      </c>
      <c r="D25" s="1">
        <v>2746</v>
      </c>
      <c r="E25" s="1">
        <v>2748</v>
      </c>
      <c r="F25" s="1">
        <v>2753</v>
      </c>
      <c r="G25" s="1">
        <v>2761</v>
      </c>
      <c r="H25" s="1">
        <v>2790</v>
      </c>
      <c r="I25" s="1">
        <v>2799</v>
      </c>
      <c r="J25" s="1">
        <v>2805</v>
      </c>
      <c r="K25" s="1">
        <v>2826</v>
      </c>
      <c r="V25" s="1">
        <v>2753</v>
      </c>
      <c r="W25" s="1">
        <v>2805</v>
      </c>
    </row>
    <row r="26" spans="1:976" s="5" customFormat="1" x14ac:dyDescent="0.3">
      <c r="B26" s="5" t="s">
        <v>42</v>
      </c>
      <c r="C26" s="9">
        <f t="shared" ref="C26:I26" si="34">C24/C25</f>
        <v>0.88709677419354838</v>
      </c>
      <c r="D26" s="9">
        <f t="shared" si="34"/>
        <v>0.91150764748725421</v>
      </c>
      <c r="E26" s="9">
        <f t="shared" si="34"/>
        <v>0.87372634643377001</v>
      </c>
      <c r="F26" s="9">
        <f t="shared" si="34"/>
        <v>1.1416636396658191</v>
      </c>
      <c r="G26" s="9">
        <f t="shared" si="34"/>
        <v>1.0608475190148496</v>
      </c>
      <c r="H26" s="9">
        <f t="shared" si="34"/>
        <v>1.1293906810035843</v>
      </c>
      <c r="I26" s="9">
        <f t="shared" si="34"/>
        <v>1.0489460521614862</v>
      </c>
      <c r="J26" s="9">
        <f>J24/J25</f>
        <v>1.2217468805704099</v>
      </c>
      <c r="K26" s="9">
        <f>K24/K25</f>
        <v>1.0357395612172682</v>
      </c>
      <c r="L26" s="9" t="e">
        <f>L24/L25</f>
        <v>#DIV/0!</v>
      </c>
      <c r="M26" s="9" t="e">
        <f t="shared" ref="M26:O26" si="35">M24/M25</f>
        <v>#DIV/0!</v>
      </c>
      <c r="N26" s="9" t="e">
        <f t="shared" si="35"/>
        <v>#DIV/0!</v>
      </c>
      <c r="O26" s="9" t="e">
        <f t="shared" si="35"/>
        <v>#DIV/0!</v>
      </c>
      <c r="V26" s="9">
        <f>V24/V25</f>
        <v>3.8020341445695607</v>
      </c>
      <c r="W26" s="9">
        <f>W24/W25</f>
        <v>4.4360071301247768</v>
      </c>
      <c r="AK26" s="5" t="s">
        <v>121</v>
      </c>
      <c r="AL26" s="11">
        <v>-0.01</v>
      </c>
    </row>
    <row r="27" spans="1:976" x14ac:dyDescent="0.3">
      <c r="AK27" t="s">
        <v>122</v>
      </c>
      <c r="AL27" s="7">
        <v>0.08</v>
      </c>
    </row>
    <row r="28" spans="1:976" s="1" customFormat="1" x14ac:dyDescent="0.3">
      <c r="B28" s="6" t="s">
        <v>43</v>
      </c>
      <c r="C28" s="1">
        <v>3358</v>
      </c>
      <c r="D28" s="1">
        <v>3762</v>
      </c>
      <c r="E28" s="1">
        <v>3982</v>
      </c>
      <c r="F28" s="1">
        <v>4607</v>
      </c>
      <c r="G28" s="1">
        <v>3964</v>
      </c>
      <c r="H28" s="1">
        <v>4207</v>
      </c>
      <c r="I28" s="1">
        <v>4231</v>
      </c>
      <c r="J28" s="1">
        <v>4881</v>
      </c>
      <c r="K28" s="1">
        <v>4283</v>
      </c>
      <c r="V28" s="1">
        <v>15710</v>
      </c>
      <c r="W28" s="1">
        <v>17284</v>
      </c>
      <c r="AK28" s="1" t="s">
        <v>123</v>
      </c>
      <c r="AL28" s="1">
        <f>NPV(AL27,Y24:AKN24)+X24+W50</f>
        <v>923580.870214378</v>
      </c>
    </row>
    <row r="29" spans="1:976" x14ac:dyDescent="0.3">
      <c r="B29" t="s">
        <v>44</v>
      </c>
      <c r="C29" s="2">
        <f t="shared" ref="C29:I29" si="36">C28/C25</f>
        <v>1.2309384164222874</v>
      </c>
      <c r="D29" s="2">
        <f t="shared" si="36"/>
        <v>1.3699927166788055</v>
      </c>
      <c r="E29" s="2">
        <f t="shared" si="36"/>
        <v>1.4490538573508005</v>
      </c>
      <c r="F29" s="2">
        <f t="shared" si="36"/>
        <v>1.6734471485652016</v>
      </c>
      <c r="G29" s="2">
        <f t="shared" si="36"/>
        <v>1.4357116986599059</v>
      </c>
      <c r="H29" s="2">
        <f t="shared" si="36"/>
        <v>1.5078853046594982</v>
      </c>
      <c r="I29" s="2">
        <f t="shared" si="36"/>
        <v>1.5116112897463381</v>
      </c>
      <c r="J29" s="2">
        <f>J28/J25</f>
        <v>1.7401069518716576</v>
      </c>
      <c r="K29" s="2">
        <f t="shared" ref="K29:M29" si="37">K28/K25</f>
        <v>1.5155697098372258</v>
      </c>
      <c r="L29" s="2" t="e">
        <f t="shared" si="37"/>
        <v>#DIV/0!</v>
      </c>
      <c r="M29" s="2" t="e">
        <f t="shared" si="37"/>
        <v>#DIV/0!</v>
      </c>
      <c r="V29" s="2">
        <f>V28/V25</f>
        <v>5.7065019978205598</v>
      </c>
      <c r="W29" s="2">
        <f>W28/W25</f>
        <v>6.161853832442068</v>
      </c>
      <c r="AK29" t="s">
        <v>133</v>
      </c>
      <c r="AL29" s="2">
        <f>+AL28/W25</f>
        <v>329.26234232241637</v>
      </c>
    </row>
    <row r="30" spans="1:976" x14ac:dyDescent="0.3">
      <c r="AK30" t="s">
        <v>134</v>
      </c>
      <c r="AL30" s="2">
        <f>Main!K6</f>
        <v>338.36</v>
      </c>
    </row>
    <row r="31" spans="1:976" x14ac:dyDescent="0.3">
      <c r="B31" t="s">
        <v>105</v>
      </c>
      <c r="C31" s="8">
        <f>SUM(C3:C4)/C7</f>
        <v>0.83160684172488553</v>
      </c>
      <c r="D31" s="8">
        <f t="shared" ref="D31:J31" si="38">SUM(D3:D4)/D7</f>
        <v>0.83587048914303375</v>
      </c>
      <c r="E31" s="8">
        <f t="shared" si="38"/>
        <v>0.84480421686746987</v>
      </c>
      <c r="F31" s="8">
        <f>SUM(F3:F4)/F7</f>
        <v>0.84496395324420803</v>
      </c>
      <c r="G31" s="8">
        <f t="shared" si="38"/>
        <v>0.85586533403471854</v>
      </c>
      <c r="H31" s="8">
        <f t="shared" si="38"/>
        <v>0.85361690020627357</v>
      </c>
      <c r="I31" s="8">
        <f t="shared" si="38"/>
        <v>0.85888181174805378</v>
      </c>
      <c r="J31" s="8">
        <f t="shared" si="38"/>
        <v>0.86178708419795003</v>
      </c>
      <c r="K31" s="8">
        <f t="shared" ref="K31:M31" si="39">SUM(K3:K4)/K7</f>
        <v>0.86473268122738844</v>
      </c>
      <c r="L31" s="8" t="e">
        <f t="shared" si="39"/>
        <v>#DIV/0!</v>
      </c>
      <c r="M31" s="8" t="e">
        <f t="shared" si="39"/>
        <v>#DIV/0!</v>
      </c>
      <c r="V31" s="8">
        <f>SUM(V3:V4)/V7</f>
        <v>0.83956118653348688</v>
      </c>
      <c r="W31" s="8">
        <f>SUM(W3:W4)/W7</f>
        <v>0.85768044739455396</v>
      </c>
      <c r="AK31" s="5" t="s">
        <v>135</v>
      </c>
      <c r="AL31" s="12">
        <f>AL29/AL30-1</f>
        <v>-2.6887509391132602E-2</v>
      </c>
    </row>
    <row r="32" spans="1:976" x14ac:dyDescent="0.3">
      <c r="B32" t="s">
        <v>106</v>
      </c>
      <c r="G32" s="7">
        <f t="shared" ref="G32:I32" si="40">SUM(G3:G4)/SUM(C3:C4)-1</f>
        <v>9.9748937813827654E-2</v>
      </c>
      <c r="H32" s="7">
        <f t="shared" si="40"/>
        <v>0.1094573356753259</v>
      </c>
      <c r="I32" s="7">
        <f t="shared" si="40"/>
        <v>8.1736340137267049E-2</v>
      </c>
      <c r="J32" s="7">
        <f>SUM(J3:J4)/SUM(F3:F4)-1</f>
        <v>0.13527170311464554</v>
      </c>
      <c r="K32" s="7">
        <f>SUM(K3:K4)/SUM(G3:G4)-1</f>
        <v>0.13328650452190716</v>
      </c>
      <c r="L32" s="7">
        <f t="shared" ref="L32:M32" si="41">SUM(L3:L4)/SUM(H3:H4)-1</f>
        <v>-1</v>
      </c>
      <c r="M32" s="7">
        <f t="shared" si="41"/>
        <v>-1</v>
      </c>
      <c r="W32" s="8">
        <f>SUM(W3:W4)/SUM(V3:V4)-1</f>
        <v>0.10718783735156534</v>
      </c>
    </row>
    <row r="33" spans="2:34" x14ac:dyDescent="0.3">
      <c r="B33" t="s">
        <v>117</v>
      </c>
      <c r="G33" s="10">
        <f t="shared" ref="G33:I33" si="42">(SUM(G3:G4)/G7)/(SUM(C3:C4)/C7)-1</f>
        <v>2.9170626181378001E-2</v>
      </c>
      <c r="H33" s="10">
        <f t="shared" si="42"/>
        <v>2.1231053487047014E-2</v>
      </c>
      <c r="I33" s="10">
        <f t="shared" si="42"/>
        <v>1.6663736519668015E-2</v>
      </c>
      <c r="J33" s="10">
        <f>(SUM(J3:J4)/J7)/(SUM(F3:F4)/F7)-1</f>
        <v>1.9909880047723094E-2</v>
      </c>
      <c r="K33" s="10">
        <f>(SUM(K3:K4)/K7)/(SUM(G3:G4)/G7)-1</f>
        <v>1.0360680401515276E-2</v>
      </c>
      <c r="L33" s="10" t="e">
        <f t="shared" ref="L33:M33" si="43">(SUM(L3:L4)/L7)/(SUM(H3:H4)/H7)-1</f>
        <v>#DIV/0!</v>
      </c>
      <c r="M33" s="10" t="e">
        <f t="shared" si="43"/>
        <v>#DIV/0!</v>
      </c>
      <c r="W33" s="10">
        <f>(SUM(W3:W4)/W7)/(SUM(V3:V4)/V7)-1</f>
        <v>2.1581822923330662E-2</v>
      </c>
    </row>
    <row r="35" spans="2:34" x14ac:dyDescent="0.3">
      <c r="B35" t="s">
        <v>95</v>
      </c>
      <c r="C35" s="8">
        <f t="shared" ref="C35:F35" si="44">C12/C7</f>
        <v>0.71011001365132898</v>
      </c>
      <c r="D35" s="8">
        <f t="shared" si="44"/>
        <v>0.71099605903716867</v>
      </c>
      <c r="E35" s="8">
        <f t="shared" si="44"/>
        <v>0.70865963855421688</v>
      </c>
      <c r="F35" s="8">
        <f t="shared" si="44"/>
        <v>0.72541471267585922</v>
      </c>
      <c r="G35" s="8">
        <f t="shared" ref="G35:I35" si="45">G12/G7</f>
        <v>0.70647027880063129</v>
      </c>
      <c r="H35" s="8">
        <f t="shared" si="45"/>
        <v>0.70943879365530982</v>
      </c>
      <c r="I35" s="8">
        <f t="shared" si="45"/>
        <v>0.70311394196744514</v>
      </c>
      <c r="J35" s="8">
        <f>J12/J7</f>
        <v>0.70194302961705335</v>
      </c>
      <c r="K35" s="8">
        <f>K12/K7</f>
        <v>0.67278574299879401</v>
      </c>
      <c r="L35" s="8" t="e">
        <f t="shared" ref="L35:M35" si="46">L12/L7</f>
        <v>#DIV/0!</v>
      </c>
      <c r="M35" s="8" t="e">
        <f t="shared" si="46"/>
        <v>#DIV/0!</v>
      </c>
      <c r="V35" s="8">
        <f>V12/V7</f>
        <v>0.71407261947470779</v>
      </c>
      <c r="W35" s="8">
        <f>W12/W7</f>
        <v>0.70509939197547</v>
      </c>
    </row>
    <row r="36" spans="2:34" x14ac:dyDescent="0.3">
      <c r="B36" t="s">
        <v>96</v>
      </c>
      <c r="C36" s="8">
        <f t="shared" ref="C36:F36" si="47">C20/C7</f>
        <v>0.26467517867180601</v>
      </c>
      <c r="D36" s="8">
        <f t="shared" si="47"/>
        <v>0.27988563480411094</v>
      </c>
      <c r="E36" s="8">
        <f t="shared" si="47"/>
        <v>0.28237951807228917</v>
      </c>
      <c r="F36" s="8">
        <f t="shared" si="47"/>
        <v>0.32799048085672289</v>
      </c>
      <c r="G36" s="8">
        <f t="shared" ref="G36:I36" si="48">G20/G7</f>
        <v>0.2999173367400616</v>
      </c>
      <c r="H36" s="8">
        <f t="shared" si="48"/>
        <v>0.30016359627285011</v>
      </c>
      <c r="I36" s="8">
        <f t="shared" si="48"/>
        <v>0.30842179759377214</v>
      </c>
      <c r="J36" s="8">
        <f>J20/J7</f>
        <v>0.32126013959630256</v>
      </c>
      <c r="K36" s="8">
        <f>K20/K7</f>
        <v>0.28654696502746885</v>
      </c>
      <c r="L36" s="8" t="e">
        <f t="shared" ref="L36:M36" si="49">L20/L7</f>
        <v>#DIV/0!</v>
      </c>
      <c r="M36" s="8" t="e">
        <f t="shared" si="49"/>
        <v>#DIV/0!</v>
      </c>
      <c r="V36" s="8">
        <f>V20/V7</f>
        <v>0.28989256245161532</v>
      </c>
      <c r="W36" s="8">
        <f>W20/W7</f>
        <v>0.30798445965957594</v>
      </c>
    </row>
    <row r="37" spans="2:34" x14ac:dyDescent="0.3">
      <c r="B37" t="s">
        <v>97</v>
      </c>
      <c r="C37" s="8">
        <f t="shared" ref="C37:F37" si="50">C24/C7</f>
        <v>0.19433068336946921</v>
      </c>
      <c r="D37" s="8">
        <f t="shared" si="50"/>
        <v>0.19341627385827989</v>
      </c>
      <c r="E37" s="8">
        <f t="shared" si="50"/>
        <v>0.18079819277108433</v>
      </c>
      <c r="F37" s="8">
        <f t="shared" si="50"/>
        <v>0.21999020088192062</v>
      </c>
      <c r="G37" s="8">
        <f t="shared" ref="G37:I37" si="51">G24/G7</f>
        <v>0.22010971669046367</v>
      </c>
      <c r="H37" s="8">
        <f t="shared" si="51"/>
        <v>0.22412689380468029</v>
      </c>
      <c r="I37" s="8">
        <f t="shared" si="51"/>
        <v>0.20778485491861287</v>
      </c>
      <c r="J37" s="8">
        <f>J24/J7</f>
        <v>0.21549393196252278</v>
      </c>
      <c r="K37" s="8">
        <f>K24/K7</f>
        <v>0.19610076376792174</v>
      </c>
      <c r="L37" s="8" t="e">
        <f t="shared" ref="L37:M37" si="52">L24/L7</f>
        <v>#DIV/0!</v>
      </c>
      <c r="M37" s="8" t="e">
        <f t="shared" si="52"/>
        <v>#DIV/0!</v>
      </c>
      <c r="V37" s="8">
        <f>V24/V7</f>
        <v>0.19763599629916354</v>
      </c>
      <c r="W37" s="8">
        <f>W24/W7</f>
        <v>0.21678078015296434</v>
      </c>
      <c r="X37" s="8">
        <f t="shared" ref="X37:Y37" si="53">X24/X7</f>
        <v>0.22064110245656082</v>
      </c>
      <c r="Y37" s="8">
        <f t="shared" si="53"/>
        <v>0.24059962523422862</v>
      </c>
      <c r="Z37" s="8">
        <f>Y37*1.04</f>
        <v>0.25022361024359779</v>
      </c>
      <c r="AA37" s="8">
        <f t="shared" ref="AA37:AC37" si="54">Z37*1.04</f>
        <v>0.26023255465334172</v>
      </c>
      <c r="AB37" s="8">
        <f t="shared" si="54"/>
        <v>0.27064185683947539</v>
      </c>
      <c r="AC37" s="8">
        <f t="shared" si="54"/>
        <v>0.28146753111305439</v>
      </c>
      <c r="AD37" s="8">
        <f>AC37*1.02</f>
        <v>0.2870968817353155</v>
      </c>
      <c r="AE37" s="8">
        <f t="shared" ref="AE37:AH37" si="55">AD37*1.02</f>
        <v>0.29283881937002182</v>
      </c>
      <c r="AF37" s="8">
        <f t="shared" si="55"/>
        <v>0.29869559575742227</v>
      </c>
      <c r="AG37" s="8">
        <f t="shared" si="55"/>
        <v>0.30466950767257073</v>
      </c>
      <c r="AH37" s="8">
        <f t="shared" si="55"/>
        <v>0.31076289782602212</v>
      </c>
    </row>
    <row r="38" spans="2:34" x14ac:dyDescent="0.3"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V38" s="8"/>
      <c r="W38" s="8"/>
      <c r="Y38" s="7"/>
    </row>
    <row r="39" spans="2:34" x14ac:dyDescent="0.3">
      <c r="B39" t="s">
        <v>98</v>
      </c>
      <c r="C39" s="8">
        <f t="shared" ref="C39:F39" si="56">C23/C22</f>
        <v>-1.8947368421052633E-2</v>
      </c>
      <c r="D39" s="8">
        <f t="shared" si="56"/>
        <v>7.9779411764705876E-2</v>
      </c>
      <c r="E39" s="8">
        <f t="shared" si="56"/>
        <v>0.16195462478184991</v>
      </c>
      <c r="F39" s="8">
        <f t="shared" si="56"/>
        <v>0.16895822316234796</v>
      </c>
      <c r="G39" s="8">
        <f t="shared" ref="G39:I39" si="57">G23/G22</f>
        <v>7.5733669927421893E-2</v>
      </c>
      <c r="H39" s="8">
        <f t="shared" si="57"/>
        <v>7.0501474926253693E-2</v>
      </c>
      <c r="I39" s="8">
        <f t="shared" si="57"/>
        <v>0.14849187935034802</v>
      </c>
      <c r="J39" s="8">
        <f>J23/J22</f>
        <v>0.17441580342086244</v>
      </c>
      <c r="K39" s="8">
        <f>K23/K22</f>
        <v>0.14590020426028597</v>
      </c>
      <c r="L39" s="8" t="e">
        <f t="shared" ref="L39:M39" si="58">L23/L22</f>
        <v>#DIV/0!</v>
      </c>
      <c r="M39" s="8" t="e">
        <f t="shared" si="58"/>
        <v>#DIV/0!</v>
      </c>
      <c r="V39" s="8">
        <f>V23/V22</f>
        <v>0.10850864491951281</v>
      </c>
      <c r="W39" s="8">
        <f>W23/W22</f>
        <v>0.12125706214689265</v>
      </c>
    </row>
    <row r="40" spans="2:34" x14ac:dyDescent="0.3">
      <c r="B40" t="s">
        <v>99</v>
      </c>
      <c r="C40" s="8">
        <f t="shared" ref="C40:F40" si="59">C14/C12</f>
        <v>0.25059368992423386</v>
      </c>
      <c r="D40" s="8">
        <f t="shared" si="59"/>
        <v>0.24193022497554614</v>
      </c>
      <c r="E40" s="8">
        <f t="shared" si="59"/>
        <v>0.23886940813941132</v>
      </c>
      <c r="F40" s="8">
        <f t="shared" si="59"/>
        <v>0.21478193747587804</v>
      </c>
      <c r="G40" s="8">
        <f t="shared" ref="G40:I40" si="60">G14/G12</f>
        <v>0.24529305393043294</v>
      </c>
      <c r="H40" s="8">
        <f t="shared" si="60"/>
        <v>0.24774413475035093</v>
      </c>
      <c r="I40" s="8">
        <f t="shared" si="60"/>
        <v>0.24448917966784098</v>
      </c>
      <c r="J40" s="8">
        <f>J14/J12</f>
        <v>0.23774970885962554</v>
      </c>
      <c r="K40" s="8">
        <f>K14/K12</f>
        <v>0.24805815574586737</v>
      </c>
      <c r="L40" s="8" t="e">
        <f t="shared" ref="L40:M40" si="61">L14/L12</f>
        <v>#DIV/0!</v>
      </c>
      <c r="M40" s="8" t="e">
        <f t="shared" si="61"/>
        <v>#DIV/0!</v>
      </c>
      <c r="V40" s="8">
        <f>V14/V12</f>
        <v>0.23573430641493467</v>
      </c>
      <c r="W40" s="8">
        <f>W14/W12</f>
        <v>0.24362522237596362</v>
      </c>
    </row>
    <row r="41" spans="2:34" x14ac:dyDescent="0.3">
      <c r="B41" t="s">
        <v>100</v>
      </c>
      <c r="C41" s="8">
        <f t="shared" ref="C41:F41" si="62">C13/C12</f>
        <v>0.22910776885672282</v>
      </c>
      <c r="D41" s="8">
        <f t="shared" si="62"/>
        <v>0.22747527442669274</v>
      </c>
      <c r="E41" s="8">
        <f t="shared" si="62"/>
        <v>0.2169801296355329</v>
      </c>
      <c r="F41" s="8">
        <f t="shared" si="62"/>
        <v>0.20397529911231185</v>
      </c>
      <c r="G41" s="8">
        <f t="shared" ref="G41:I41" si="63">G13/G12</f>
        <v>0.21657270503137965</v>
      </c>
      <c r="H41" s="8">
        <f t="shared" si="63"/>
        <v>0.21957088429917787</v>
      </c>
      <c r="I41" s="8">
        <f t="shared" si="63"/>
        <v>0.213286361348767</v>
      </c>
      <c r="J41" s="8">
        <f>J13/J12</f>
        <v>0.20657529337991579</v>
      </c>
      <c r="K41" s="8">
        <f>K13/K12</f>
        <v>0.20543716391157141</v>
      </c>
      <c r="L41" s="8" t="e">
        <f t="shared" ref="L41:M41" si="64">L13/L12</f>
        <v>#DIV/0!</v>
      </c>
      <c r="M41" s="8" t="e">
        <f t="shared" si="64"/>
        <v>#DIV/0!</v>
      </c>
      <c r="V41" s="8">
        <f>V13/V12</f>
        <v>0.21878470569570047</v>
      </c>
      <c r="W41" s="8">
        <f>W13/W12</f>
        <v>0.21375271792844436</v>
      </c>
    </row>
    <row r="42" spans="2:34" x14ac:dyDescent="0.3">
      <c r="B42" t="s">
        <v>101</v>
      </c>
      <c r="C42" s="8">
        <f t="shared" ref="C42:F42" si="65">C15/C12</f>
        <v>4.4441931471220171E-2</v>
      </c>
      <c r="D42" s="8">
        <f t="shared" si="65"/>
        <v>4.0756439517443753E-2</v>
      </c>
      <c r="E42" s="8">
        <f t="shared" si="65"/>
        <v>4.0059504834767827E-2</v>
      </c>
      <c r="F42" s="8">
        <f t="shared" si="65"/>
        <v>3.8788112697800074E-2</v>
      </c>
      <c r="G42" s="8">
        <f t="shared" ref="G42:I42" si="66">G15/G12</f>
        <v>3.808105520689288E-2</v>
      </c>
      <c r="H42" s="8">
        <f t="shared" si="66"/>
        <v>3.8800882293964306E-2</v>
      </c>
      <c r="I42" s="8">
        <f t="shared" si="66"/>
        <v>3.9255158530447913E-2</v>
      </c>
      <c r="J42" s="8">
        <f>J15/J12</f>
        <v>4.1834632267311656E-2</v>
      </c>
      <c r="K42" s="8">
        <f>K15/K12</f>
        <v>3.7442740489942242E-2</v>
      </c>
      <c r="L42" s="8" t="e">
        <f t="shared" ref="L42:M42" si="67">L15/L12</f>
        <v>#DIV/0!</v>
      </c>
      <c r="M42" s="8" t="e">
        <f t="shared" si="67"/>
        <v>#DIV/0!</v>
      </c>
      <c r="V42" s="8">
        <f>V15/V12</f>
        <v>4.0932889100428367E-2</v>
      </c>
      <c r="W42" s="8">
        <f>W15/W12</f>
        <v>3.9582921525993277E-2</v>
      </c>
    </row>
    <row r="43" spans="2:34" x14ac:dyDescent="0.3">
      <c r="B43" t="s">
        <v>102</v>
      </c>
      <c r="C43" s="8">
        <f t="shared" ref="C43:F43" si="68">C21/C20</f>
        <v>-0.27942961165048541</v>
      </c>
      <c r="D43" s="8">
        <f t="shared" si="68"/>
        <v>-0.24903368304803974</v>
      </c>
      <c r="E43" s="8">
        <f t="shared" si="68"/>
        <v>-0.23599999999999999</v>
      </c>
      <c r="F43" s="8">
        <f t="shared" si="68"/>
        <v>-0.19291506615450277</v>
      </c>
      <c r="G43" s="8">
        <f t="shared" ref="G43:I43" si="69">G21/G20</f>
        <v>-0.20596341768980206</v>
      </c>
      <c r="H43" s="8">
        <f t="shared" si="69"/>
        <v>-0.19668246445497631</v>
      </c>
      <c r="I43" s="8">
        <f t="shared" si="69"/>
        <v>-0.20881138136759983</v>
      </c>
      <c r="J43" s="8">
        <f>J21/J20</f>
        <v>-0.18751223331376002</v>
      </c>
      <c r="K43" s="8">
        <f>K21/K20</f>
        <v>-0.19873743277998598</v>
      </c>
      <c r="L43" s="8" t="e">
        <f t="shared" ref="L43:M43" si="70">L21/L20</f>
        <v>#DIV/0!</v>
      </c>
      <c r="M43" s="8" t="e">
        <f t="shared" si="70"/>
        <v>#DIV/0!</v>
      </c>
      <c r="V43" s="8">
        <f>V21/V20</f>
        <v>-0.23526346642350029</v>
      </c>
      <c r="W43" s="8">
        <f>W21/W20</f>
        <v>-0.19900441226383075</v>
      </c>
    </row>
    <row r="44" spans="2:34" x14ac:dyDescent="0.3">
      <c r="G44" s="8"/>
      <c r="H44" s="8"/>
      <c r="I44" s="8"/>
      <c r="J44" s="8"/>
    </row>
    <row r="45" spans="2:34" x14ac:dyDescent="0.3">
      <c r="B45" s="8" t="s">
        <v>103</v>
      </c>
      <c r="G45" s="8">
        <f t="shared" ref="G45:I45" si="71">G7/C7-1</f>
        <v>6.857785272625061E-2</v>
      </c>
      <c r="H45" s="8">
        <f t="shared" si="71"/>
        <v>8.6392087164824938E-2</v>
      </c>
      <c r="I45" s="8">
        <f t="shared" si="71"/>
        <v>6.4006024096385561E-2</v>
      </c>
      <c r="J45" s="8">
        <f>J7/F7-1</f>
        <v>0.11310982011618953</v>
      </c>
      <c r="K45" s="8">
        <f>K7/G7-1</f>
        <v>0.12166528894566775</v>
      </c>
      <c r="L45" s="8">
        <f t="shared" ref="L45:M45" si="72">L7/H7-1</f>
        <v>-1</v>
      </c>
      <c r="M45" s="8">
        <f t="shared" si="72"/>
        <v>-1</v>
      </c>
      <c r="W45" s="8">
        <f>W7/V7-1</f>
        <v>8.3797511376295875E-2</v>
      </c>
      <c r="X45" s="8">
        <f t="shared" ref="X45:AG45" si="73">X7/W7-1</f>
        <v>0.16308646492099155</v>
      </c>
      <c r="Y45" s="8">
        <f t="shared" si="73"/>
        <v>0.19907130017974839</v>
      </c>
      <c r="Z45" s="8">
        <f t="shared" si="73"/>
        <v>0.36018613843590397</v>
      </c>
      <c r="AA45" s="8">
        <f t="shared" si="73"/>
        <v>0.22980532575484047</v>
      </c>
      <c r="AB45" s="8">
        <f t="shared" si="73"/>
        <v>0.24391781574952898</v>
      </c>
      <c r="AC45" s="8">
        <f t="shared" si="73"/>
        <v>0.24373479425330791</v>
      </c>
      <c r="AD45" s="8">
        <f t="shared" si="73"/>
        <v>0.10187743313607811</v>
      </c>
      <c r="AE45" s="8">
        <f t="shared" si="73"/>
        <v>0.11438638091691389</v>
      </c>
      <c r="AF45" s="8">
        <f t="shared" si="73"/>
        <v>0.10171424962449716</v>
      </c>
      <c r="AG45" s="8">
        <f t="shared" si="73"/>
        <v>0.11408461045503326</v>
      </c>
    </row>
    <row r="46" spans="2:34" x14ac:dyDescent="0.3">
      <c r="B46" t="s">
        <v>104</v>
      </c>
      <c r="G46" s="8">
        <f t="shared" ref="G46:I46" si="74">G26/C26-1</f>
        <v>0.19586447598037604</v>
      </c>
      <c r="H46" s="8">
        <f t="shared" si="74"/>
        <v>0.23903588095718842</v>
      </c>
      <c r="I46" s="8">
        <f t="shared" si="74"/>
        <v>0.20054300347345433</v>
      </c>
      <c r="J46" s="8">
        <f>J26/F26-1</f>
        <v>7.0146090426451924E-2</v>
      </c>
      <c r="K46" s="8">
        <f>K26/G26-1</f>
        <v>-2.366782911543952E-2</v>
      </c>
      <c r="L46" s="8" t="e">
        <f t="shared" ref="L46:M46" si="75">L26/H26-1</f>
        <v>#DIV/0!</v>
      </c>
      <c r="M46" s="8" t="e">
        <f t="shared" si="75"/>
        <v>#DIV/0!</v>
      </c>
      <c r="W46" s="8">
        <f>W29/V29-1</f>
        <v>7.9795264208339489E-2</v>
      </c>
    </row>
    <row r="50" spans="1:23" s="1" customFormat="1" x14ac:dyDescent="0.3">
      <c r="A50"/>
      <c r="B50" s="1" t="s">
        <v>45</v>
      </c>
      <c r="F50" s="1">
        <f t="shared" ref="F50:J50" si="76">+F51+F52-F61-F66</f>
        <v>-76208</v>
      </c>
      <c r="G50" s="1">
        <f t="shared" si="76"/>
        <v>-73604</v>
      </c>
      <c r="H50" s="1">
        <f t="shared" si="76"/>
        <v>-77313</v>
      </c>
      <c r="I50" s="1">
        <f t="shared" si="76"/>
        <v>-78453</v>
      </c>
      <c r="J50" s="1">
        <f t="shared" si="76"/>
        <v>-81365</v>
      </c>
      <c r="K50" s="1">
        <f>+K51+K52-K61-K66</f>
        <v>-80310</v>
      </c>
      <c r="V50" s="1">
        <f>V51+V52-V61-V66</f>
        <v>-76208</v>
      </c>
      <c r="W50" s="1">
        <f>W51+W52-W61-W66</f>
        <v>-81365</v>
      </c>
    </row>
    <row r="51" spans="1:23" s="1" customFormat="1" x14ac:dyDescent="0.3">
      <c r="A51"/>
      <c r="B51" s="1" t="s">
        <v>46</v>
      </c>
      <c r="F51" s="1">
        <v>10454</v>
      </c>
      <c r="G51" s="1">
        <v>10616</v>
      </c>
      <c r="H51" s="1">
        <v>10941</v>
      </c>
      <c r="I51" s="1">
        <v>17406</v>
      </c>
      <c r="J51" s="1">
        <v>10786</v>
      </c>
      <c r="K51" s="1">
        <v>10445</v>
      </c>
      <c r="V51" s="1">
        <v>10454</v>
      </c>
      <c r="W51" s="1">
        <v>10786</v>
      </c>
    </row>
    <row r="52" spans="1:23" s="1" customFormat="1" x14ac:dyDescent="0.3">
      <c r="A52"/>
      <c r="B52" s="1" t="s">
        <v>47</v>
      </c>
      <c r="F52" s="1">
        <v>207</v>
      </c>
      <c r="G52" s="1">
        <v>295</v>
      </c>
      <c r="H52" s="1">
        <v>370</v>
      </c>
      <c r="I52" s="1">
        <v>417</v>
      </c>
      <c r="J52" s="1">
        <v>417</v>
      </c>
      <c r="K52" s="1">
        <v>560</v>
      </c>
      <c r="V52" s="1">
        <v>207</v>
      </c>
      <c r="W52" s="1">
        <v>417</v>
      </c>
    </row>
    <row r="53" spans="1:23" s="1" customFormat="1" x14ac:dyDescent="0.3">
      <c r="A53"/>
      <c r="B53" s="1" t="s">
        <v>48</v>
      </c>
      <c r="F53" s="1">
        <v>7874</v>
      </c>
      <c r="G53" s="1">
        <v>8021</v>
      </c>
      <c r="H53" s="1">
        <v>8177</v>
      </c>
      <c r="I53" s="1">
        <v>8051</v>
      </c>
      <c r="J53" s="1">
        <v>8558</v>
      </c>
      <c r="K53" s="1">
        <v>8843</v>
      </c>
      <c r="V53" s="1">
        <v>7874</v>
      </c>
      <c r="W53" s="1">
        <v>8558</v>
      </c>
    </row>
    <row r="54" spans="1:23" s="1" customFormat="1" x14ac:dyDescent="0.3">
      <c r="A54"/>
      <c r="B54" s="1" t="s">
        <v>49</v>
      </c>
      <c r="F54" s="1">
        <v>4019</v>
      </c>
      <c r="G54" s="1">
        <v>4140</v>
      </c>
      <c r="H54" s="1">
        <v>4015</v>
      </c>
      <c r="I54" s="1">
        <v>4242</v>
      </c>
      <c r="J54" s="1">
        <v>4818</v>
      </c>
      <c r="K54" s="1">
        <v>4786</v>
      </c>
      <c r="V54" s="1">
        <v>4019</v>
      </c>
      <c r="W54" s="1">
        <v>4818</v>
      </c>
    </row>
    <row r="55" spans="1:23" s="1" customFormat="1" x14ac:dyDescent="0.3">
      <c r="A55"/>
      <c r="B55" s="1" t="s">
        <v>50</v>
      </c>
      <c r="F55" s="1">
        <v>21536</v>
      </c>
      <c r="G55" s="1">
        <v>23094</v>
      </c>
      <c r="H55" s="1">
        <v>26432</v>
      </c>
      <c r="I55" s="1">
        <v>31970</v>
      </c>
      <c r="J55" s="1">
        <v>43522</v>
      </c>
      <c r="K55" s="1">
        <v>53194</v>
      </c>
      <c r="V55" s="1">
        <v>21536</v>
      </c>
      <c r="W55" s="1">
        <v>43522</v>
      </c>
    </row>
    <row r="56" spans="1:23" s="1" customFormat="1" x14ac:dyDescent="0.3">
      <c r="A56"/>
      <c r="B56" s="1" t="s">
        <v>51</v>
      </c>
      <c r="F56" s="1">
        <v>6890</v>
      </c>
      <c r="G56" s="1">
        <v>6270</v>
      </c>
      <c r="H56" s="1">
        <v>5679</v>
      </c>
      <c r="I56" s="1">
        <v>5131</v>
      </c>
      <c r="J56" s="1">
        <v>4587</v>
      </c>
      <c r="K56" s="1">
        <v>4167</v>
      </c>
      <c r="V56" s="1">
        <v>6890</v>
      </c>
      <c r="W56" s="1">
        <v>4587</v>
      </c>
    </row>
    <row r="57" spans="1:23" s="1" customFormat="1" x14ac:dyDescent="0.3">
      <c r="A57"/>
      <c r="B57" s="1" t="s">
        <v>52</v>
      </c>
      <c r="F57" s="1">
        <v>62230</v>
      </c>
      <c r="G57" s="1">
        <v>62249</v>
      </c>
      <c r="H57" s="1">
        <v>62204</v>
      </c>
      <c r="I57" s="1">
        <v>62171</v>
      </c>
      <c r="J57" s="1">
        <v>62207</v>
      </c>
      <c r="K57" s="1">
        <v>62211</v>
      </c>
      <c r="V57" s="1">
        <v>62230</v>
      </c>
      <c r="W57" s="1">
        <v>62207</v>
      </c>
    </row>
    <row r="58" spans="1:23" s="1" customFormat="1" x14ac:dyDescent="0.3">
      <c r="A58"/>
      <c r="B58" s="1" t="s">
        <v>53</v>
      </c>
      <c r="F58" s="1">
        <v>12273</v>
      </c>
      <c r="G58" s="1">
        <v>12219</v>
      </c>
      <c r="H58" s="1">
        <v>11984</v>
      </c>
      <c r="I58" s="1">
        <v>11799</v>
      </c>
      <c r="J58" s="1">
        <v>11877</v>
      </c>
      <c r="K58" s="1">
        <v>11734</v>
      </c>
      <c r="V58" s="1">
        <v>12273</v>
      </c>
      <c r="W58" s="1">
        <v>11877</v>
      </c>
    </row>
    <row r="59" spans="1:23" s="1" customFormat="1" x14ac:dyDescent="0.3">
      <c r="A59"/>
      <c r="B59" s="1" t="s">
        <v>54</v>
      </c>
      <c r="F59" s="1">
        <v>15493</v>
      </c>
      <c r="G59" s="1">
        <v>17310</v>
      </c>
      <c r="H59" s="1">
        <v>18681</v>
      </c>
      <c r="I59" s="1">
        <v>20191</v>
      </c>
      <c r="J59" s="1">
        <v>21589</v>
      </c>
      <c r="K59" s="1">
        <v>24509</v>
      </c>
      <c r="V59" s="1">
        <v>15493</v>
      </c>
      <c r="W59" s="1">
        <v>21589</v>
      </c>
    </row>
    <row r="60" spans="1:23" s="6" customFormat="1" x14ac:dyDescent="0.3">
      <c r="A60" s="5"/>
      <c r="B60" s="6" t="s">
        <v>55</v>
      </c>
      <c r="F60" s="6">
        <f t="shared" ref="F60:I60" si="77">SUM(F51:F59)</f>
        <v>140976</v>
      </c>
      <c r="G60" s="6">
        <f t="shared" si="77"/>
        <v>144214</v>
      </c>
      <c r="H60" s="6">
        <f t="shared" si="77"/>
        <v>148483</v>
      </c>
      <c r="I60" s="6">
        <f t="shared" si="77"/>
        <v>161378</v>
      </c>
      <c r="J60" s="6">
        <f>SUM(J51:J59)</f>
        <v>168361</v>
      </c>
      <c r="K60" s="6">
        <f>SUM(K51:K59)</f>
        <v>180449</v>
      </c>
      <c r="V60" s="6">
        <f t="shared" ref="V60" si="78">SUM(V51:V59)</f>
        <v>140976</v>
      </c>
      <c r="W60" s="6">
        <f>SUM(W51:W59)</f>
        <v>168361</v>
      </c>
    </row>
    <row r="61" spans="1:23" s="1" customFormat="1" x14ac:dyDescent="0.3">
      <c r="A61"/>
      <c r="B61" s="1" t="s">
        <v>57</v>
      </c>
      <c r="F61" s="1">
        <v>10605</v>
      </c>
      <c r="G61" s="1">
        <v>9201</v>
      </c>
      <c r="H61" s="1">
        <v>8162</v>
      </c>
      <c r="I61" s="1">
        <v>8167</v>
      </c>
      <c r="J61" s="1">
        <v>7271</v>
      </c>
      <c r="K61" s="1">
        <v>9079</v>
      </c>
      <c r="V61" s="1">
        <v>10605</v>
      </c>
      <c r="W61" s="1">
        <v>7271</v>
      </c>
    </row>
    <row r="62" spans="1:23" s="1" customFormat="1" x14ac:dyDescent="0.3">
      <c r="A62"/>
      <c r="B62" s="1" t="s">
        <v>56</v>
      </c>
      <c r="F62" s="1">
        <v>2357</v>
      </c>
      <c r="G62" s="1">
        <v>2207</v>
      </c>
      <c r="H62" s="1">
        <v>2679</v>
      </c>
      <c r="I62" s="1">
        <v>2423</v>
      </c>
      <c r="J62" s="1">
        <v>5113</v>
      </c>
      <c r="K62" s="1">
        <v>8203</v>
      </c>
      <c r="V62" s="1">
        <v>2357</v>
      </c>
      <c r="W62" s="1">
        <v>5113</v>
      </c>
    </row>
    <row r="63" spans="1:23" s="1" customFormat="1" x14ac:dyDescent="0.3">
      <c r="A63"/>
      <c r="B63" s="1" t="s">
        <v>58</v>
      </c>
      <c r="F63" s="1">
        <v>1916</v>
      </c>
      <c r="G63" s="1">
        <v>1772</v>
      </c>
      <c r="H63" s="1">
        <v>1653</v>
      </c>
      <c r="I63" s="1">
        <v>1839</v>
      </c>
      <c r="J63" s="1">
        <v>2243</v>
      </c>
      <c r="K63" s="1">
        <v>1794</v>
      </c>
      <c r="V63" s="1">
        <v>1916</v>
      </c>
      <c r="W63" s="1">
        <v>2243</v>
      </c>
    </row>
    <row r="64" spans="1:23" s="1" customFormat="1" x14ac:dyDescent="0.3">
      <c r="A64"/>
      <c r="B64" s="1" t="s">
        <v>59</v>
      </c>
      <c r="F64" s="1">
        <v>9313</v>
      </c>
      <c r="G64" s="1">
        <v>11455</v>
      </c>
      <c r="H64" s="1">
        <v>9430</v>
      </c>
      <c r="I64" s="1">
        <v>9019</v>
      </c>
      <c r="J64" s="1">
        <v>9387</v>
      </c>
      <c r="K64" s="1">
        <v>12098</v>
      </c>
      <c r="V64" s="1">
        <v>9313</v>
      </c>
      <c r="W64" s="1">
        <v>9387</v>
      </c>
    </row>
    <row r="65" spans="1:23" s="1" customFormat="1" x14ac:dyDescent="0.3">
      <c r="A65"/>
      <c r="B65" s="1" t="s">
        <v>60</v>
      </c>
      <c r="F65" s="1">
        <v>7353</v>
      </c>
      <c r="G65" s="1">
        <v>7410</v>
      </c>
      <c r="H65" s="1">
        <v>7128</v>
      </c>
      <c r="I65" s="1">
        <v>8175</v>
      </c>
      <c r="J65" s="1">
        <v>8629</v>
      </c>
      <c r="K65" s="1">
        <v>8700</v>
      </c>
      <c r="V65" s="1">
        <v>7353</v>
      </c>
      <c r="W65" s="1">
        <v>8629</v>
      </c>
    </row>
    <row r="66" spans="1:23" s="1" customFormat="1" x14ac:dyDescent="0.3">
      <c r="A66"/>
      <c r="B66" s="1" t="s">
        <v>61</v>
      </c>
      <c r="F66" s="1">
        <v>76264</v>
      </c>
      <c r="G66" s="1">
        <v>75314</v>
      </c>
      <c r="H66" s="1">
        <v>80462</v>
      </c>
      <c r="I66" s="1">
        <v>88109</v>
      </c>
      <c r="J66" s="1">
        <v>85297</v>
      </c>
      <c r="K66" s="1">
        <v>82236</v>
      </c>
      <c r="V66" s="1">
        <v>76264</v>
      </c>
      <c r="W66" s="1">
        <v>85297</v>
      </c>
    </row>
    <row r="67" spans="1:23" s="1" customFormat="1" x14ac:dyDescent="0.3">
      <c r="A67"/>
      <c r="B67" s="1" t="s">
        <v>62</v>
      </c>
      <c r="F67" s="1">
        <v>10817</v>
      </c>
      <c r="G67" s="1">
        <v>11038</v>
      </c>
      <c r="H67" s="1">
        <v>9553</v>
      </c>
      <c r="I67" s="1">
        <v>9813</v>
      </c>
      <c r="J67" s="1">
        <v>10269</v>
      </c>
      <c r="K67" s="1">
        <v>10583</v>
      </c>
      <c r="V67" s="1">
        <v>10817</v>
      </c>
      <c r="W67" s="1">
        <v>10269</v>
      </c>
    </row>
    <row r="68" spans="1:23" s="1" customFormat="1" x14ac:dyDescent="0.3">
      <c r="A68"/>
      <c r="B68" s="1" t="s">
        <v>63</v>
      </c>
      <c r="F68" s="1">
        <v>6255</v>
      </c>
      <c r="G68" s="1">
        <v>3442</v>
      </c>
      <c r="H68" s="1">
        <v>2864</v>
      </c>
      <c r="I68" s="1">
        <v>2208</v>
      </c>
      <c r="J68" s="1">
        <v>11536</v>
      </c>
      <c r="K68" s="1">
        <v>14094</v>
      </c>
      <c r="V68" s="1">
        <v>6255</v>
      </c>
      <c r="W68" s="1">
        <v>11536</v>
      </c>
    </row>
    <row r="69" spans="1:23" s="1" customFormat="1" x14ac:dyDescent="0.3">
      <c r="A69"/>
      <c r="B69" s="1" t="s">
        <v>64</v>
      </c>
      <c r="F69" s="1">
        <v>6857</v>
      </c>
      <c r="G69" s="1">
        <v>11106</v>
      </c>
      <c r="H69" s="1">
        <v>12316</v>
      </c>
      <c r="I69" s="1">
        <v>14364</v>
      </c>
      <c r="J69" s="1">
        <v>7647</v>
      </c>
      <c r="K69" s="1">
        <v>8996</v>
      </c>
      <c r="V69" s="1">
        <v>6857</v>
      </c>
      <c r="W69" s="1">
        <v>7647</v>
      </c>
    </row>
    <row r="70" spans="1:23" s="6" customFormat="1" x14ac:dyDescent="0.3">
      <c r="A70" s="5"/>
      <c r="B70" s="6" t="s">
        <v>65</v>
      </c>
      <c r="F70" s="6">
        <f t="shared" ref="F70:I70" si="79">SUM(F61:F69)</f>
        <v>131737</v>
      </c>
      <c r="G70" s="6">
        <f t="shared" si="79"/>
        <v>132945</v>
      </c>
      <c r="H70" s="6">
        <f t="shared" si="79"/>
        <v>134247</v>
      </c>
      <c r="I70" s="6">
        <f t="shared" si="79"/>
        <v>144117</v>
      </c>
      <c r="J70" s="6">
        <f>SUM(J61:J69)</f>
        <v>147392</v>
      </c>
      <c r="K70" s="6">
        <f>SUM(K61:K69)</f>
        <v>155783</v>
      </c>
      <c r="V70" s="6">
        <f t="shared" ref="V70" si="80">SUM(V61:V69)</f>
        <v>131737</v>
      </c>
      <c r="W70" s="6">
        <f>SUM(W61:W69)</f>
        <v>147392</v>
      </c>
    </row>
    <row r="71" spans="1:23" s="1" customFormat="1" x14ac:dyDescent="0.3">
      <c r="A71"/>
      <c r="B71" s="1" t="s">
        <v>66</v>
      </c>
      <c r="F71" s="1">
        <v>9239</v>
      </c>
      <c r="G71" s="1">
        <v>11269</v>
      </c>
      <c r="H71" s="1">
        <v>14236</v>
      </c>
      <c r="I71" s="1">
        <v>17261</v>
      </c>
      <c r="J71" s="1">
        <v>20969</v>
      </c>
      <c r="K71" s="1">
        <v>24666</v>
      </c>
      <c r="V71" s="1">
        <v>9239</v>
      </c>
      <c r="W71" s="1">
        <v>20969</v>
      </c>
    </row>
    <row r="72" spans="1:23" s="6" customFormat="1" x14ac:dyDescent="0.3">
      <c r="A72" s="5"/>
      <c r="B72" s="6" t="s">
        <v>67</v>
      </c>
      <c r="F72" s="6">
        <f t="shared" ref="F72:I72" si="81">F70+F71</f>
        <v>140976</v>
      </c>
      <c r="G72" s="6">
        <f t="shared" si="81"/>
        <v>144214</v>
      </c>
      <c r="H72" s="6">
        <f t="shared" si="81"/>
        <v>148483</v>
      </c>
      <c r="I72" s="6">
        <f t="shared" si="81"/>
        <v>161378</v>
      </c>
      <c r="J72" s="6">
        <f>J70+J71</f>
        <v>168361</v>
      </c>
      <c r="K72" s="6">
        <f>K70+K71</f>
        <v>180449</v>
      </c>
      <c r="V72" s="6">
        <f t="shared" ref="V72" si="82">V70+V71</f>
        <v>140976</v>
      </c>
      <c r="W72" s="6">
        <f>W70+W71</f>
        <v>168361</v>
      </c>
    </row>
    <row r="76" spans="1:23" s="1" customFormat="1" x14ac:dyDescent="0.3">
      <c r="A76"/>
      <c r="B76" t="s">
        <v>69</v>
      </c>
      <c r="C76" s="1">
        <f t="shared" ref="C76:I76" si="83">C24</f>
        <v>2420</v>
      </c>
      <c r="D76" s="1">
        <f t="shared" si="83"/>
        <v>2503</v>
      </c>
      <c r="E76" s="1">
        <f t="shared" si="83"/>
        <v>2401</v>
      </c>
      <c r="F76" s="1">
        <f t="shared" si="83"/>
        <v>3143</v>
      </c>
      <c r="G76" s="1">
        <f t="shared" si="83"/>
        <v>2929</v>
      </c>
      <c r="H76" s="1">
        <f t="shared" si="83"/>
        <v>3151</v>
      </c>
      <c r="I76" s="1">
        <f t="shared" si="83"/>
        <v>2936</v>
      </c>
      <c r="J76" s="1">
        <f>J24</f>
        <v>3427</v>
      </c>
      <c r="K76" s="1">
        <f>K24</f>
        <v>2927</v>
      </c>
      <c r="V76" s="1">
        <f t="shared" ref="V76" si="84">V24</f>
        <v>10467</v>
      </c>
      <c r="W76" s="1">
        <f>W24</f>
        <v>12443</v>
      </c>
    </row>
    <row r="77" spans="1:23" s="1" customFormat="1" x14ac:dyDescent="0.3">
      <c r="A77"/>
      <c r="B77" t="s">
        <v>68</v>
      </c>
      <c r="C77" s="1">
        <v>2420</v>
      </c>
      <c r="D77" s="1">
        <v>2503</v>
      </c>
      <c r="E77" s="1">
        <v>2400</v>
      </c>
      <c r="F77" s="1">
        <v>3144</v>
      </c>
      <c r="G77" s="1">
        <v>2929</v>
      </c>
      <c r="H77" s="1">
        <f>6080-G77</f>
        <v>3151</v>
      </c>
      <c r="I77" s="1">
        <v>2936</v>
      </c>
      <c r="J77" s="1">
        <v>3427</v>
      </c>
      <c r="K77" s="1">
        <v>2927</v>
      </c>
      <c r="V77" s="1">
        <v>10467</v>
      </c>
      <c r="W77" s="1">
        <v>12443</v>
      </c>
    </row>
    <row r="78" spans="1:23" s="1" customFormat="1" x14ac:dyDescent="0.3">
      <c r="A78"/>
      <c r="B78" t="s">
        <v>70</v>
      </c>
      <c r="C78" s="1">
        <v>712</v>
      </c>
      <c r="D78" s="1">
        <v>798</v>
      </c>
      <c r="E78" s="1">
        <v>808</v>
      </c>
      <c r="F78" s="1">
        <v>811</v>
      </c>
      <c r="G78" s="1">
        <v>804</v>
      </c>
      <c r="H78" s="1">
        <f>1712-G78</f>
        <v>908</v>
      </c>
      <c r="I78" s="1">
        <v>1003</v>
      </c>
      <c r="J78" s="1">
        <v>1152</v>
      </c>
      <c r="K78" s="1">
        <v>1351</v>
      </c>
      <c r="V78" s="1">
        <v>3129</v>
      </c>
      <c r="W78" s="1">
        <v>3867</v>
      </c>
    </row>
    <row r="79" spans="1:23" s="1" customFormat="1" x14ac:dyDescent="0.3">
      <c r="A79"/>
      <c r="B79" t="s">
        <v>32</v>
      </c>
      <c r="C79" s="1">
        <v>763</v>
      </c>
      <c r="D79" s="1">
        <v>755</v>
      </c>
      <c r="E79" s="1">
        <v>749</v>
      </c>
      <c r="F79" s="1">
        <v>743</v>
      </c>
      <c r="G79" s="1">
        <v>624</v>
      </c>
      <c r="H79" s="1">
        <f>1215-G79</f>
        <v>591</v>
      </c>
      <c r="I79" s="1">
        <v>548</v>
      </c>
      <c r="J79" s="1">
        <v>544</v>
      </c>
      <c r="K79" s="1">
        <v>420</v>
      </c>
      <c r="V79" s="1">
        <v>3010</v>
      </c>
      <c r="W79" s="1">
        <v>2307</v>
      </c>
    </row>
    <row r="80" spans="1:23" s="1" customFormat="1" x14ac:dyDescent="0.3">
      <c r="A80"/>
      <c r="B80" t="s">
        <v>71</v>
      </c>
      <c r="C80" s="1">
        <v>-517</v>
      </c>
      <c r="D80" s="1">
        <v>-532</v>
      </c>
      <c r="E80" s="1">
        <v>-706</v>
      </c>
      <c r="F80" s="1">
        <v>-384</v>
      </c>
      <c r="G80" s="1">
        <v>-151</v>
      </c>
      <c r="H80" s="1">
        <f>-601-G80</f>
        <v>-450</v>
      </c>
      <c r="I80" s="1">
        <v>-496</v>
      </c>
      <c r="J80" s="1">
        <v>-540</v>
      </c>
      <c r="K80" s="1">
        <v>515</v>
      </c>
      <c r="V80" s="1">
        <v>-2139</v>
      </c>
      <c r="W80" s="1">
        <v>-1637</v>
      </c>
    </row>
    <row r="81" spans="1:23" s="1" customFormat="1" x14ac:dyDescent="0.3">
      <c r="A81"/>
      <c r="B81" t="s">
        <v>72</v>
      </c>
      <c r="C81" s="1">
        <v>849</v>
      </c>
      <c r="D81" s="1">
        <v>1029</v>
      </c>
      <c r="E81" s="1">
        <v>1049</v>
      </c>
      <c r="F81" s="1">
        <v>1047</v>
      </c>
      <c r="G81" s="1">
        <v>1007</v>
      </c>
      <c r="H81" s="1">
        <f>2176-G81</f>
        <v>1169</v>
      </c>
      <c r="I81" s="1">
        <v>1198</v>
      </c>
      <c r="J81" s="1">
        <v>1300</v>
      </c>
      <c r="K81" s="1">
        <v>1124</v>
      </c>
      <c r="V81" s="1">
        <v>3974</v>
      </c>
      <c r="W81" s="1">
        <v>4674</v>
      </c>
    </row>
    <row r="82" spans="1:23" s="1" customFormat="1" x14ac:dyDescent="0.3">
      <c r="A82"/>
      <c r="B82" t="s">
        <v>73</v>
      </c>
      <c r="C82" s="1">
        <v>169</v>
      </c>
      <c r="D82" s="1">
        <v>162</v>
      </c>
      <c r="E82" s="1">
        <v>300</v>
      </c>
      <c r="F82" s="1">
        <v>89</v>
      </c>
      <c r="G82" s="1">
        <v>130</v>
      </c>
      <c r="H82" s="1">
        <f>298-G82</f>
        <v>168</v>
      </c>
      <c r="I82" s="1">
        <v>124</v>
      </c>
      <c r="J82" s="1">
        <v>245</v>
      </c>
      <c r="K82" s="1">
        <v>164</v>
      </c>
      <c r="V82" s="1">
        <v>720</v>
      </c>
      <c r="W82" s="1">
        <v>667</v>
      </c>
    </row>
    <row r="83" spans="1:23" s="1" customFormat="1" x14ac:dyDescent="0.3">
      <c r="A83"/>
      <c r="B83" t="s">
        <v>48</v>
      </c>
      <c r="C83" s="1">
        <v>380</v>
      </c>
      <c r="D83" s="1">
        <v>-235</v>
      </c>
      <c r="E83" s="1">
        <v>-554</v>
      </c>
      <c r="F83" s="1">
        <v>-556</v>
      </c>
      <c r="G83" s="1">
        <v>-81</v>
      </c>
      <c r="H83" s="1">
        <f>-451-G83</f>
        <v>-370</v>
      </c>
      <c r="I83" s="1">
        <v>139</v>
      </c>
      <c r="J83" s="1">
        <v>-341</v>
      </c>
      <c r="K83" s="1">
        <v>-245</v>
      </c>
      <c r="V83" s="1">
        <v>-965</v>
      </c>
      <c r="W83" s="1">
        <v>-653</v>
      </c>
    </row>
    <row r="84" spans="1:23" s="1" customFormat="1" x14ac:dyDescent="0.3">
      <c r="A84"/>
      <c r="B84" t="s">
        <v>49</v>
      </c>
      <c r="C84" s="1">
        <v>269</v>
      </c>
      <c r="D84" s="1">
        <v>32</v>
      </c>
      <c r="E84" s="1">
        <v>156</v>
      </c>
      <c r="F84" s="1">
        <v>85</v>
      </c>
      <c r="G84" s="1">
        <v>367</v>
      </c>
      <c r="H84" s="1">
        <f>676-G84</f>
        <v>309</v>
      </c>
      <c r="I84" s="1">
        <v>-73</v>
      </c>
      <c r="J84" s="1">
        <v>-337</v>
      </c>
      <c r="K84" s="1">
        <v>59</v>
      </c>
      <c r="V84" s="1">
        <v>542</v>
      </c>
      <c r="W84" s="1">
        <v>266</v>
      </c>
    </row>
    <row r="85" spans="1:23" s="1" customFormat="1" x14ac:dyDescent="0.3">
      <c r="A85"/>
      <c r="B85" t="s">
        <v>56</v>
      </c>
      <c r="C85" s="1">
        <v>-457</v>
      </c>
      <c r="D85" s="1">
        <v>-591</v>
      </c>
      <c r="E85" s="1">
        <v>366</v>
      </c>
      <c r="F85" s="1">
        <v>88</v>
      </c>
      <c r="G85" s="1">
        <v>-531</v>
      </c>
      <c r="H85" s="1">
        <f>-1143-G85</f>
        <v>-612</v>
      </c>
      <c r="I85" s="1">
        <v>510</v>
      </c>
      <c r="J85" s="1">
        <v>25</v>
      </c>
      <c r="K85" s="1">
        <v>-334</v>
      </c>
      <c r="V85" s="1">
        <v>-594</v>
      </c>
      <c r="W85" s="1">
        <v>-608</v>
      </c>
    </row>
    <row r="86" spans="1:23" s="1" customFormat="1" x14ac:dyDescent="0.3">
      <c r="A86"/>
      <c r="B86" t="s">
        <v>74</v>
      </c>
      <c r="C86" s="1">
        <v>69</v>
      </c>
      <c r="D86" s="1">
        <v>-1610</v>
      </c>
      <c r="E86" s="1">
        <v>753</v>
      </c>
      <c r="F86" s="1">
        <v>661</v>
      </c>
      <c r="G86" s="1">
        <v>24</v>
      </c>
      <c r="H86" s="1">
        <f>-1685-G86</f>
        <v>-1709</v>
      </c>
      <c r="I86" s="1">
        <v>463</v>
      </c>
      <c r="J86" s="1">
        <v>563</v>
      </c>
      <c r="K86" s="1">
        <v>-391</v>
      </c>
      <c r="V86" s="1">
        <v>-127</v>
      </c>
      <c r="W86" s="1">
        <v>-659</v>
      </c>
    </row>
    <row r="87" spans="1:23" s="1" customFormat="1" x14ac:dyDescent="0.3">
      <c r="A87"/>
      <c r="B87" t="s">
        <v>59</v>
      </c>
      <c r="C87" s="1">
        <v>2317</v>
      </c>
      <c r="D87" s="1">
        <v>-2168</v>
      </c>
      <c r="E87" s="1">
        <v>154</v>
      </c>
      <c r="F87" s="1">
        <v>353</v>
      </c>
      <c r="G87" s="1">
        <v>2305</v>
      </c>
      <c r="H87" s="1">
        <f>454-G87</f>
        <v>-1851</v>
      </c>
      <c r="I87" s="1">
        <v>-419</v>
      </c>
      <c r="J87" s="1">
        <v>119</v>
      </c>
      <c r="K87" s="1">
        <v>2550</v>
      </c>
      <c r="V87" s="1">
        <v>656</v>
      </c>
      <c r="W87" s="1">
        <v>154</v>
      </c>
    </row>
    <row r="88" spans="1:23" s="6" customFormat="1" x14ac:dyDescent="0.3">
      <c r="A88" s="5"/>
      <c r="B88" s="5" t="s">
        <v>75</v>
      </c>
      <c r="C88" s="6">
        <f t="shared" ref="C88" si="85">SUM(C77:C87)</f>
        <v>6974</v>
      </c>
      <c r="D88" s="6">
        <f t="shared" ref="D88" si="86">SUM(D77:D87)</f>
        <v>143</v>
      </c>
      <c r="E88" s="6">
        <f t="shared" ref="E88" si="87">SUM(E77:E87)</f>
        <v>5475</v>
      </c>
      <c r="F88" s="6">
        <f t="shared" ref="F88" si="88">SUM(F77:F87)</f>
        <v>6081</v>
      </c>
      <c r="G88" s="6">
        <f t="shared" ref="G88" si="89">SUM(G77:G87)</f>
        <v>7427</v>
      </c>
      <c r="H88" s="6">
        <f t="shared" ref="H88" si="90">SUM(H77:H87)</f>
        <v>1304</v>
      </c>
      <c r="I88" s="6">
        <f t="shared" ref="I88" si="91">SUM(I77:I87)</f>
        <v>5933</v>
      </c>
      <c r="J88" s="6">
        <f>SUM(J77:J87)</f>
        <v>6157</v>
      </c>
      <c r="K88" s="6">
        <f>SUM(K77:K87)</f>
        <v>8140</v>
      </c>
      <c r="L88" s="1"/>
      <c r="V88" s="6">
        <f t="shared" ref="V88" si="92">SUM(V77:V87)</f>
        <v>18673</v>
      </c>
      <c r="W88" s="6">
        <f>SUM(W77:W87)</f>
        <v>20821</v>
      </c>
    </row>
    <row r="89" spans="1:23" s="1" customFormat="1" x14ac:dyDescent="0.3">
      <c r="A89"/>
      <c r="B89" t="s">
        <v>79</v>
      </c>
      <c r="C89" s="1">
        <v>-333</v>
      </c>
      <c r="D89" s="1">
        <v>-182</v>
      </c>
      <c r="E89" s="1">
        <v>-159</v>
      </c>
      <c r="F89" s="1">
        <v>-329</v>
      </c>
      <c r="G89" s="1">
        <v>-477</v>
      </c>
      <c r="H89" s="1">
        <f>-636-G89</f>
        <v>-159</v>
      </c>
      <c r="I89" s="1">
        <v>-202</v>
      </c>
      <c r="J89" s="1">
        <v>-434</v>
      </c>
      <c r="K89" s="1">
        <v>-471</v>
      </c>
      <c r="V89" s="1">
        <v>-1003</v>
      </c>
      <c r="W89" s="1">
        <v>-1272</v>
      </c>
    </row>
    <row r="90" spans="1:23" s="1" customFormat="1" x14ac:dyDescent="0.3">
      <c r="A90"/>
      <c r="B90" t="s">
        <v>80</v>
      </c>
      <c r="C90" s="1">
        <v>85</v>
      </c>
      <c r="D90" s="1">
        <v>72</v>
      </c>
      <c r="E90" s="1">
        <v>50</v>
      </c>
      <c r="F90" s="1">
        <v>365</v>
      </c>
      <c r="G90" s="1">
        <v>15</v>
      </c>
      <c r="H90" s="1">
        <f>356-G90</f>
        <v>341</v>
      </c>
      <c r="I90" s="1">
        <v>88</v>
      </c>
      <c r="J90" s="1">
        <v>332</v>
      </c>
      <c r="K90" s="1">
        <v>255</v>
      </c>
      <c r="V90" s="1">
        <v>572</v>
      </c>
      <c r="W90" s="1">
        <v>776</v>
      </c>
    </row>
    <row r="91" spans="1:23" s="1" customFormat="1" x14ac:dyDescent="0.3">
      <c r="A91"/>
      <c r="B91" t="s">
        <v>76</v>
      </c>
      <c r="D91" s="1">
        <v>-59</v>
      </c>
      <c r="E91" s="1">
        <v>0</v>
      </c>
      <c r="F91" s="1">
        <v>-4</v>
      </c>
      <c r="I91" s="1">
        <v>0</v>
      </c>
      <c r="J91" s="1">
        <v>0</v>
      </c>
      <c r="K91" s="1">
        <v>0</v>
      </c>
      <c r="V91" s="1">
        <v>-63</v>
      </c>
    </row>
    <row r="92" spans="1:23" s="1" customFormat="1" x14ac:dyDescent="0.3">
      <c r="A92"/>
      <c r="B92" t="s">
        <v>77</v>
      </c>
      <c r="C92" s="1">
        <v>-1314</v>
      </c>
      <c r="D92" s="1">
        <v>-1080</v>
      </c>
      <c r="E92" s="1">
        <v>-1674</v>
      </c>
      <c r="F92" s="1">
        <v>-2798</v>
      </c>
      <c r="G92" s="1">
        <v>-2303</v>
      </c>
      <c r="H92" s="1">
        <f>-6273-G92</f>
        <v>-3970</v>
      </c>
      <c r="I92" s="1">
        <v>-5862</v>
      </c>
      <c r="J92" s="1">
        <v>-9080</v>
      </c>
      <c r="K92" s="1">
        <v>-8502</v>
      </c>
      <c r="V92" s="1">
        <v>-6866</v>
      </c>
      <c r="W92" s="1">
        <v>-21215</v>
      </c>
    </row>
    <row r="93" spans="1:23" s="6" customFormat="1" x14ac:dyDescent="0.3">
      <c r="A93" s="5"/>
      <c r="B93" s="5" t="s">
        <v>78</v>
      </c>
      <c r="C93" s="6">
        <f t="shared" ref="C93" si="93">SUM(C89:C92)</f>
        <v>-1562</v>
      </c>
      <c r="D93" s="6">
        <f t="shared" ref="D93" si="94">SUM(D89:D92)</f>
        <v>-1249</v>
      </c>
      <c r="E93" s="6">
        <f t="shared" ref="E93" si="95">SUM(E89:E92)</f>
        <v>-1783</v>
      </c>
      <c r="F93" s="6">
        <f t="shared" ref="F93" si="96">SUM(F89:F92)</f>
        <v>-2766</v>
      </c>
      <c r="G93" s="6">
        <f>SUM(G89:G92)</f>
        <v>-2765</v>
      </c>
      <c r="H93" s="6">
        <f t="shared" ref="H93" si="97">SUM(H89:H92)</f>
        <v>-3788</v>
      </c>
      <c r="I93" s="6">
        <f t="shared" ref="I93" si="98">SUM(I89:I92)</f>
        <v>-5976</v>
      </c>
      <c r="J93" s="6">
        <f>SUM(J89:J92)</f>
        <v>-9182</v>
      </c>
      <c r="K93" s="6">
        <f>SUM(K89:K92)</f>
        <v>-8718</v>
      </c>
      <c r="L93" s="1"/>
      <c r="V93" s="6">
        <f t="shared" ref="V93" si="99">SUM(V89:V92)</f>
        <v>-7360</v>
      </c>
      <c r="W93" s="6">
        <f>SUM(W89:W92)</f>
        <v>-21711</v>
      </c>
    </row>
    <row r="94" spans="1:23" s="1" customFormat="1" x14ac:dyDescent="0.3">
      <c r="A94"/>
      <c r="B94" t="s">
        <v>81</v>
      </c>
      <c r="C94" s="1">
        <v>-150</v>
      </c>
      <c r="D94" s="1">
        <v>-450</v>
      </c>
      <c r="E94" s="1">
        <v>-450</v>
      </c>
      <c r="F94" s="1">
        <v>-152</v>
      </c>
      <c r="G94" s="1">
        <v>-150</v>
      </c>
      <c r="H94" s="1">
        <v>-150</v>
      </c>
      <c r="I94" s="1">
        <v>-150</v>
      </c>
      <c r="J94" s="1">
        <v>-150</v>
      </c>
      <c r="K94" s="1">
        <v>-95</v>
      </c>
      <c r="V94" s="1">
        <v>-1202</v>
      </c>
      <c r="W94" s="1">
        <v>-600</v>
      </c>
    </row>
    <row r="95" spans="1:23" s="1" customFormat="1" x14ac:dyDescent="0.3">
      <c r="A95"/>
      <c r="B95" t="s">
        <v>82</v>
      </c>
      <c r="C95" s="1">
        <v>308</v>
      </c>
      <c r="D95" s="1">
        <v>118</v>
      </c>
      <c r="E95" s="1">
        <v>28</v>
      </c>
      <c r="F95" s="1">
        <v>288</v>
      </c>
      <c r="G95" s="1">
        <v>179</v>
      </c>
      <c r="H95" s="1">
        <v>128</v>
      </c>
      <c r="I95" s="1">
        <v>213</v>
      </c>
      <c r="J95" s="1">
        <v>133</v>
      </c>
      <c r="K95" s="1">
        <v>1170</v>
      </c>
      <c r="V95" s="1">
        <v>742</v>
      </c>
      <c r="W95" s="1">
        <v>653</v>
      </c>
    </row>
    <row r="96" spans="1:23" s="1" customFormat="1" x14ac:dyDescent="0.3">
      <c r="A96"/>
      <c r="B96" t="s">
        <v>83</v>
      </c>
      <c r="C96" s="1">
        <v>-1060</v>
      </c>
      <c r="D96" s="1">
        <v>-673</v>
      </c>
      <c r="E96" s="1">
        <v>-132</v>
      </c>
      <c r="F96" s="1">
        <v>-175</v>
      </c>
      <c r="G96" s="1">
        <v>-851</v>
      </c>
      <c r="H96" s="1">
        <v>-47</v>
      </c>
      <c r="I96" s="1">
        <v>-2</v>
      </c>
      <c r="J96" s="1">
        <v>0</v>
      </c>
      <c r="K96" s="1">
        <v>-17</v>
      </c>
      <c r="V96" s="1">
        <v>-2040</v>
      </c>
      <c r="W96" s="1">
        <v>-900</v>
      </c>
    </row>
    <row r="97" spans="1:33" s="1" customFormat="1" x14ac:dyDescent="0.3">
      <c r="A97"/>
      <c r="B97" t="s">
        <v>84</v>
      </c>
      <c r="C97" s="1">
        <v>-1091</v>
      </c>
      <c r="D97" s="1">
        <v>-1099</v>
      </c>
      <c r="E97" s="1">
        <v>-1099</v>
      </c>
      <c r="F97" s="1">
        <v>-1102</v>
      </c>
      <c r="G97" s="1">
        <v>-1103</v>
      </c>
      <c r="H97" s="1">
        <v>-1118</v>
      </c>
      <c r="I97" s="1">
        <v>-1119</v>
      </c>
      <c r="J97" s="1">
        <v>-1403</v>
      </c>
      <c r="K97" s="1">
        <v>-1413</v>
      </c>
      <c r="V97" s="1">
        <v>-4391</v>
      </c>
      <c r="W97" s="1">
        <v>-4743</v>
      </c>
    </row>
    <row r="98" spans="1:33" s="1" customFormat="1" x14ac:dyDescent="0.3">
      <c r="A98"/>
      <c r="B98" t="s">
        <v>85</v>
      </c>
      <c r="C98" s="1">
        <v>-562</v>
      </c>
      <c r="D98" s="1">
        <v>2311</v>
      </c>
      <c r="E98" s="1">
        <v>-813</v>
      </c>
      <c r="F98" s="1">
        <v>-1103</v>
      </c>
      <c r="G98" s="1">
        <v>-396</v>
      </c>
      <c r="H98" s="1">
        <v>0</v>
      </c>
      <c r="I98" s="1">
        <v>0</v>
      </c>
      <c r="J98" s="1">
        <v>2285</v>
      </c>
      <c r="K98" s="1">
        <v>-238</v>
      </c>
      <c r="V98" s="1">
        <v>-167</v>
      </c>
      <c r="W98" s="1">
        <v>1889</v>
      </c>
    </row>
    <row r="99" spans="1:33" s="1" customFormat="1" x14ac:dyDescent="0.3">
      <c r="A99"/>
      <c r="B99" t="s">
        <v>92</v>
      </c>
      <c r="C99" s="1">
        <v>-1000</v>
      </c>
      <c r="D99" s="1">
        <v>-2500</v>
      </c>
      <c r="E99" s="1">
        <v>0</v>
      </c>
      <c r="F99" s="1">
        <v>0</v>
      </c>
      <c r="G99" s="1">
        <f>5627-7630</f>
        <v>-2003</v>
      </c>
      <c r="H99" s="1">
        <v>4140</v>
      </c>
      <c r="I99" s="1">
        <v>7640</v>
      </c>
      <c r="J99" s="1">
        <v>-6070</v>
      </c>
      <c r="K99" s="1">
        <v>-1052</v>
      </c>
      <c r="V99" s="1">
        <v>-3500</v>
      </c>
      <c r="W99" s="1">
        <f>19548-15841</f>
        <v>3707</v>
      </c>
    </row>
    <row r="100" spans="1:33" s="1" customFormat="1" x14ac:dyDescent="0.3">
      <c r="A100"/>
      <c r="B100" t="s">
        <v>86</v>
      </c>
      <c r="C100" s="1">
        <v>27</v>
      </c>
      <c r="D100" s="1">
        <v>4</v>
      </c>
      <c r="E100" s="1">
        <v>3</v>
      </c>
      <c r="F100" s="1">
        <v>-30</v>
      </c>
      <c r="G100" s="1">
        <v>-261</v>
      </c>
      <c r="H100" s="1">
        <v>-15</v>
      </c>
      <c r="I100" s="1">
        <v>-23</v>
      </c>
      <c r="J100" s="1">
        <v>1391</v>
      </c>
      <c r="K100" s="1">
        <v>1855</v>
      </c>
      <c r="V100" s="1">
        <v>4</v>
      </c>
      <c r="W100" s="1">
        <v>1092</v>
      </c>
    </row>
    <row r="101" spans="1:33" s="6" customFormat="1" x14ac:dyDescent="0.3">
      <c r="A101" s="5"/>
      <c r="B101" s="5" t="s">
        <v>87</v>
      </c>
      <c r="C101" s="6">
        <f t="shared" ref="C101:I101" si="100">SUM(C94:C100)</f>
        <v>-3528</v>
      </c>
      <c r="D101" s="6">
        <f t="shared" si="100"/>
        <v>-2289</v>
      </c>
      <c r="E101" s="6">
        <f t="shared" si="100"/>
        <v>-2463</v>
      </c>
      <c r="F101" s="6">
        <f t="shared" si="100"/>
        <v>-2274</v>
      </c>
      <c r="G101" s="6">
        <f t="shared" si="100"/>
        <v>-4585</v>
      </c>
      <c r="H101" s="6">
        <f t="shared" si="100"/>
        <v>2938</v>
      </c>
      <c r="I101" s="6">
        <f t="shared" si="100"/>
        <v>6559</v>
      </c>
      <c r="J101" s="6">
        <f>SUM(J94:J100)</f>
        <v>-3814</v>
      </c>
      <c r="K101" s="6">
        <f>SUM(K94:K100)</f>
        <v>210</v>
      </c>
      <c r="L101" s="1"/>
      <c r="V101" s="6">
        <f t="shared" ref="V101" si="101">SUM(V94:V100)</f>
        <v>-10554</v>
      </c>
      <c r="W101" s="6">
        <f>SUM(W94:W100)</f>
        <v>1098</v>
      </c>
    </row>
    <row r="102" spans="1:33" s="1" customFormat="1" x14ac:dyDescent="0.3">
      <c r="A102"/>
      <c r="B102" t="s">
        <v>88</v>
      </c>
      <c r="C102" s="1">
        <v>-36</v>
      </c>
      <c r="D102" s="1">
        <v>26</v>
      </c>
      <c r="E102" s="1">
        <v>8</v>
      </c>
      <c r="F102" s="1">
        <v>-68</v>
      </c>
      <c r="G102" s="1">
        <v>85</v>
      </c>
      <c r="H102" s="1">
        <f>-44-G102</f>
        <v>-129</v>
      </c>
      <c r="I102" s="1">
        <v>-51</v>
      </c>
      <c r="J102" s="1">
        <v>219</v>
      </c>
      <c r="K102" s="1">
        <v>27</v>
      </c>
      <c r="V102" s="1">
        <v>-70</v>
      </c>
      <c r="W102" s="1">
        <v>124</v>
      </c>
    </row>
    <row r="103" spans="1:33" s="6" customFormat="1" x14ac:dyDescent="0.3">
      <c r="A103" s="5"/>
      <c r="B103" s="5" t="s">
        <v>89</v>
      </c>
      <c r="C103" s="6">
        <f t="shared" ref="C103:I103" si="102">C88+C93+C101+C102</f>
        <v>1848</v>
      </c>
      <c r="D103" s="6">
        <f t="shared" si="102"/>
        <v>-3369</v>
      </c>
      <c r="E103" s="6">
        <f t="shared" si="102"/>
        <v>1237</v>
      </c>
      <c r="F103" s="6">
        <f t="shared" si="102"/>
        <v>973</v>
      </c>
      <c r="G103" s="6">
        <f t="shared" si="102"/>
        <v>162</v>
      </c>
      <c r="H103" s="6">
        <f t="shared" si="102"/>
        <v>325</v>
      </c>
      <c r="I103" s="6">
        <f t="shared" si="102"/>
        <v>6465</v>
      </c>
      <c r="J103" s="6">
        <f>J88+J93+J101+J102</f>
        <v>-6620</v>
      </c>
      <c r="K103" s="6">
        <f>K88+K93+K101+K102</f>
        <v>-341</v>
      </c>
      <c r="L103" s="1"/>
      <c r="V103" s="6">
        <f t="shared" ref="V103" si="103">V88+V93+V101+V102</f>
        <v>689</v>
      </c>
      <c r="W103" s="6">
        <f>W88+W93+W101+W102</f>
        <v>332</v>
      </c>
    </row>
    <row r="104" spans="1:33" s="1" customFormat="1" x14ac:dyDescent="0.3">
      <c r="A104"/>
      <c r="B104"/>
    </row>
    <row r="105" spans="1:33" s="1" customFormat="1" x14ac:dyDescent="0.3">
      <c r="A105"/>
      <c r="B105"/>
    </row>
    <row r="106" spans="1:33" s="6" customFormat="1" x14ac:dyDescent="0.3">
      <c r="A106" s="5"/>
      <c r="B106" s="5" t="s">
        <v>90</v>
      </c>
      <c r="C106" s="6">
        <f t="shared" ref="C106:I106" si="104">C88+C92</f>
        <v>5660</v>
      </c>
      <c r="D106" s="6">
        <f t="shared" si="104"/>
        <v>-937</v>
      </c>
      <c r="E106" s="6">
        <f t="shared" si="104"/>
        <v>3801</v>
      </c>
      <c r="F106" s="6">
        <f t="shared" si="104"/>
        <v>3283</v>
      </c>
      <c r="G106" s="6">
        <f t="shared" si="104"/>
        <v>5124</v>
      </c>
      <c r="H106" s="6">
        <f t="shared" si="104"/>
        <v>-2666</v>
      </c>
      <c r="I106" s="6">
        <f t="shared" si="104"/>
        <v>71</v>
      </c>
      <c r="J106" s="6">
        <f>J88+J92</f>
        <v>-2923</v>
      </c>
      <c r="K106" s="6">
        <f>K88+K92</f>
        <v>-362</v>
      </c>
      <c r="V106" s="6">
        <f t="shared" ref="V106" si="105">V88+V92</f>
        <v>11807</v>
      </c>
      <c r="W106" s="6">
        <f>W88+W92</f>
        <v>-394</v>
      </c>
    </row>
    <row r="107" spans="1:33" x14ac:dyDescent="0.3">
      <c r="B107" t="s">
        <v>91</v>
      </c>
      <c r="C107" s="8">
        <f t="shared" ref="C107:I107" si="106">-C92/C77</f>
        <v>0.54297520661157028</v>
      </c>
      <c r="D107" s="8">
        <f t="shared" si="106"/>
        <v>0.43148222133439873</v>
      </c>
      <c r="E107" s="8">
        <f t="shared" si="106"/>
        <v>0.69750000000000001</v>
      </c>
      <c r="F107" s="8">
        <f t="shared" si="106"/>
        <v>0.88994910941475824</v>
      </c>
      <c r="G107" s="8" t="e">
        <f>-#REF!/G77</f>
        <v>#REF!</v>
      </c>
      <c r="H107" s="8">
        <f t="shared" si="106"/>
        <v>1.2599174865122182</v>
      </c>
      <c r="I107" s="8">
        <f t="shared" si="106"/>
        <v>1.9965940054495912</v>
      </c>
      <c r="J107" s="8">
        <f>-J92/J77</f>
        <v>2.649547709366793</v>
      </c>
      <c r="K107" s="8">
        <f>-K92/K77</f>
        <v>2.9046805603006489</v>
      </c>
      <c r="V107" s="8">
        <f t="shared" ref="V107" si="107">-V92/V77</f>
        <v>0.65596637049775486</v>
      </c>
      <c r="W107" s="8">
        <f>-W92/W77</f>
        <v>1.704974684561601</v>
      </c>
    </row>
    <row r="112" spans="1:33" x14ac:dyDescent="0.3">
      <c r="B112" t="s">
        <v>118</v>
      </c>
      <c r="V112" s="1">
        <v>675000</v>
      </c>
      <c r="W112" s="1">
        <v>723420</v>
      </c>
      <c r="X112" s="1">
        <v>947300</v>
      </c>
      <c r="Y112" s="1">
        <v>1164069.9835754682</v>
      </c>
      <c r="Z112" s="1">
        <v>1430443.2879355969</v>
      </c>
      <c r="AA112" s="1">
        <v>1757770.6056083913</v>
      </c>
      <c r="AB112" s="1">
        <v>2160000</v>
      </c>
      <c r="AC112" s="1">
        <v>2378902.3196352357</v>
      </c>
      <c r="AD112" s="1">
        <v>2619989.0029471782</v>
      </c>
      <c r="AE112" s="1">
        <v>2885508.2946897456</v>
      </c>
      <c r="AF112" s="1">
        <v>3177936.2849834021</v>
      </c>
      <c r="AG112" s="1">
        <v>3500000</v>
      </c>
    </row>
    <row r="113" spans="2:33" s="10" customFormat="1" x14ac:dyDescent="0.3">
      <c r="B113" s="10" t="s">
        <v>119</v>
      </c>
      <c r="V113" s="10">
        <f>SUM(W3:W4)/V112</f>
        <v>7.2933333333333336E-2</v>
      </c>
      <c r="W113" s="10">
        <f>X7/W112*0.85</f>
        <v>7.8441292748334293E-2</v>
      </c>
      <c r="X113" s="10">
        <f t="shared" ref="X113:AG113" si="108">+W113+0.001</f>
        <v>7.9441292748334294E-2</v>
      </c>
      <c r="Y113" s="10">
        <f t="shared" si="108"/>
        <v>8.0441292748334295E-2</v>
      </c>
      <c r="Z113" s="10">
        <f t="shared" si="108"/>
        <v>8.1441292748334296E-2</v>
      </c>
      <c r="AA113" s="10">
        <f t="shared" si="108"/>
        <v>8.2441292748334297E-2</v>
      </c>
      <c r="AB113" s="10">
        <f t="shared" si="108"/>
        <v>8.3441292748334298E-2</v>
      </c>
      <c r="AC113" s="10">
        <f t="shared" si="108"/>
        <v>8.4441292748334298E-2</v>
      </c>
      <c r="AD113" s="10">
        <f t="shared" si="108"/>
        <v>8.5441292748334299E-2</v>
      </c>
      <c r="AE113" s="10">
        <f t="shared" si="108"/>
        <v>8.64412927483343E-2</v>
      </c>
      <c r="AF113" s="10">
        <f t="shared" si="108"/>
        <v>8.7441292748334301E-2</v>
      </c>
      <c r="AG113" s="10">
        <f t="shared" si="108"/>
        <v>8.8441292748334302E-2</v>
      </c>
    </row>
    <row r="114" spans="2:33" x14ac:dyDescent="0.3">
      <c r="X114" s="1">
        <f>+X112*X113/0.85</f>
        <v>88534.984259408331</v>
      </c>
    </row>
    <row r="115" spans="2:33" x14ac:dyDescent="0.3">
      <c r="V115" s="7"/>
      <c r="W115" s="7"/>
    </row>
  </sheetData>
  <phoneticPr fontId="3" type="noConversion"/>
  <hyperlinks>
    <hyperlink ref="A1" r:id="rId1" xr:uid="{65564951-5579-4F88-BDCD-7D006AE9531E}"/>
  </hyperlinks>
  <pageMargins left="0.7" right="0.7" top="0.75" bottom="0.75" header="0.3" footer="0.3"/>
  <ignoredErrors>
    <ignoredError sqref="C31:E31 G32:J32 W31:W33 F31:J31 G33:J33 V31 V113" formulaRange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Gega Mukhigulashvili</dc:creator>
  <cp:lastModifiedBy>Gega Mukhigulashvili</cp:lastModifiedBy>
  <dcterms:created xsi:type="dcterms:W3CDTF">2015-06-05T18:17:20Z</dcterms:created>
  <dcterms:modified xsi:type="dcterms:W3CDTF">2025-09-10T15:02:51Z</dcterms:modified>
</cp:coreProperties>
</file>