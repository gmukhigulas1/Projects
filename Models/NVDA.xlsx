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Excel\"/>
    </mc:Choice>
  </mc:AlternateContent>
  <xr:revisionPtr revIDLastSave="0" documentId="13_ncr:1_{D6722B10-46C4-4346-9D76-9F0CB5B494E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90" i="2" l="1"/>
  <c r="AE90" i="2"/>
  <c r="AF83" i="2"/>
  <c r="AF91" i="2" s="1"/>
  <c r="AE83" i="2"/>
  <c r="AE91" i="2" s="1"/>
  <c r="AF76" i="2"/>
  <c r="AE76" i="2"/>
  <c r="AE77" i="2"/>
  <c r="AF63" i="2"/>
  <c r="AF96" i="2"/>
  <c r="AE96" i="2"/>
  <c r="AF95" i="2"/>
  <c r="AE95" i="2"/>
  <c r="AE92" i="2"/>
  <c r="AE89" i="2"/>
  <c r="AE88" i="2"/>
  <c r="AE87" i="2"/>
  <c r="AE86" i="2"/>
  <c r="AE85" i="2"/>
  <c r="AE84" i="2"/>
  <c r="AE82" i="2"/>
  <c r="AE81" i="2"/>
  <c r="AE80" i="2"/>
  <c r="AE79" i="2"/>
  <c r="AE78" i="2"/>
  <c r="AE65" i="2"/>
  <c r="AE66" i="2"/>
  <c r="AE67" i="2"/>
  <c r="AE68" i="2"/>
  <c r="AE69" i="2"/>
  <c r="AE70" i="2"/>
  <c r="AE71" i="2"/>
  <c r="AE72" i="2"/>
  <c r="AE73" i="2"/>
  <c r="AE74" i="2"/>
  <c r="AE75" i="2"/>
  <c r="AE60" i="2"/>
  <c r="AE56" i="2"/>
  <c r="AE58" i="2" s="1"/>
  <c r="AE48" i="2"/>
  <c r="AE49" i="2" s="1"/>
  <c r="AE38" i="2"/>
  <c r="AE20" i="2"/>
  <c r="AF18" i="2"/>
  <c r="AE18" i="2"/>
  <c r="AE8" i="2"/>
  <c r="AE25" i="2" s="1"/>
  <c r="AE17" i="2"/>
  <c r="AE63" i="2"/>
  <c r="AE64" i="2"/>
  <c r="AF34" i="2"/>
  <c r="AE34" i="2"/>
  <c r="AF33" i="2"/>
  <c r="AE33" i="2"/>
  <c r="AF32" i="2"/>
  <c r="AE32" i="2"/>
  <c r="AF30" i="2"/>
  <c r="AF29" i="2"/>
  <c r="AF28" i="2"/>
  <c r="AF27" i="2"/>
  <c r="AE27" i="2"/>
  <c r="AF25" i="2"/>
  <c r="AF24" i="2"/>
  <c r="AF23" i="2"/>
  <c r="AE23" i="2"/>
  <c r="AE19" i="2"/>
  <c r="AE15" i="2"/>
  <c r="AE12" i="2"/>
  <c r="AE13" i="2" s="1"/>
  <c r="AE11" i="2"/>
  <c r="AE9" i="2"/>
  <c r="AE10" i="2" s="1"/>
  <c r="AE28" i="2" s="1"/>
  <c r="AF16" i="2"/>
  <c r="AF14" i="2"/>
  <c r="AF13" i="2"/>
  <c r="AF10" i="2"/>
  <c r="AE7" i="2"/>
  <c r="AE6" i="2"/>
  <c r="AE5" i="2"/>
  <c r="AE4" i="2"/>
  <c r="AE3" i="2"/>
  <c r="W49" i="2"/>
  <c r="V79" i="2"/>
  <c r="V83" i="2" s="1"/>
  <c r="V48" i="2"/>
  <c r="X13" i="2"/>
  <c r="W13" i="2"/>
  <c r="V13" i="2"/>
  <c r="U13" i="2"/>
  <c r="T13" i="2"/>
  <c r="X102" i="2"/>
  <c r="W102" i="2"/>
  <c r="X96" i="2"/>
  <c r="W96" i="2"/>
  <c r="W91" i="2"/>
  <c r="X90" i="2"/>
  <c r="X91" i="2" s="1"/>
  <c r="W90" i="2"/>
  <c r="X83" i="2"/>
  <c r="W83" i="2"/>
  <c r="X76" i="2"/>
  <c r="X95" i="2" s="1"/>
  <c r="W76" i="2"/>
  <c r="W95" i="2" s="1"/>
  <c r="W60" i="2"/>
  <c r="W58" i="2"/>
  <c r="X56" i="2"/>
  <c r="X58" i="2" s="1"/>
  <c r="W56" i="2"/>
  <c r="X49" i="2"/>
  <c r="X38" i="2"/>
  <c r="W38" i="2"/>
  <c r="X34" i="2"/>
  <c r="W34" i="2"/>
  <c r="X33" i="2"/>
  <c r="W33" i="2"/>
  <c r="X32" i="2"/>
  <c r="W32" i="2"/>
  <c r="X10" i="2"/>
  <c r="X28" i="2" s="1"/>
  <c r="X8" i="2"/>
  <c r="W8" i="2"/>
  <c r="W10" i="2" s="1"/>
  <c r="J10" i="1"/>
  <c r="J7" i="1"/>
  <c r="U79" i="2"/>
  <c r="U77" i="2"/>
  <c r="U83" i="2" s="1"/>
  <c r="V102" i="2"/>
  <c r="U102" i="2"/>
  <c r="V96" i="2"/>
  <c r="U96" i="2"/>
  <c r="V90" i="2"/>
  <c r="U90" i="2"/>
  <c r="V76" i="2"/>
  <c r="V95" i="2" s="1"/>
  <c r="U76" i="2"/>
  <c r="U95" i="2" s="1"/>
  <c r="U39" i="2"/>
  <c r="U49" i="2" s="1"/>
  <c r="V56" i="2"/>
  <c r="V58" i="2" s="1"/>
  <c r="U56" i="2"/>
  <c r="U60" i="2" s="1"/>
  <c r="V49" i="2"/>
  <c r="V38" i="2"/>
  <c r="U15" i="2"/>
  <c r="V34" i="2"/>
  <c r="U34" i="2"/>
  <c r="V33" i="2"/>
  <c r="U33" i="2"/>
  <c r="V8" i="2"/>
  <c r="V10" i="2" s="1"/>
  <c r="U8" i="2"/>
  <c r="O13" i="1" s="1"/>
  <c r="T8" i="2"/>
  <c r="O7" i="1" s="1"/>
  <c r="T102" i="2"/>
  <c r="T82" i="2"/>
  <c r="T83" i="2" s="1"/>
  <c r="T96" i="2"/>
  <c r="T90" i="2"/>
  <c r="T76" i="2"/>
  <c r="T95" i="2" s="1"/>
  <c r="O10" i="1"/>
  <c r="T56" i="2"/>
  <c r="T60" i="2" s="1"/>
  <c r="T49" i="2"/>
  <c r="T38" i="2"/>
  <c r="AD38" i="2"/>
  <c r="AC38" i="2"/>
  <c r="R38" i="2"/>
  <c r="Q38" i="2"/>
  <c r="P38" i="2"/>
  <c r="O38" i="2"/>
  <c r="N38" i="2"/>
  <c r="S38" i="2"/>
  <c r="T34" i="2"/>
  <c r="T33" i="2"/>
  <c r="T15" i="2"/>
  <c r="AD89" i="2"/>
  <c r="AD88" i="2"/>
  <c r="AC88" i="2"/>
  <c r="AD87" i="2"/>
  <c r="AC87" i="2"/>
  <c r="AD86" i="2"/>
  <c r="AC86" i="2"/>
  <c r="AD85" i="2"/>
  <c r="AC85" i="2"/>
  <c r="AD84" i="2"/>
  <c r="AC84" i="2"/>
  <c r="AC81" i="2"/>
  <c r="AD80" i="2"/>
  <c r="AC80" i="2"/>
  <c r="AD79" i="2"/>
  <c r="AC79" i="2"/>
  <c r="AD77" i="2"/>
  <c r="AC77" i="2"/>
  <c r="AC65" i="2"/>
  <c r="AD65" i="2"/>
  <c r="AC66" i="2"/>
  <c r="AD66" i="2"/>
  <c r="AC67" i="2"/>
  <c r="AD67" i="2"/>
  <c r="AC68" i="2"/>
  <c r="AD68" i="2"/>
  <c r="AC69" i="2"/>
  <c r="AD69" i="2"/>
  <c r="AC70" i="2"/>
  <c r="AD70" i="2"/>
  <c r="AC71" i="2"/>
  <c r="AD71" i="2"/>
  <c r="AC72" i="2"/>
  <c r="AD72" i="2"/>
  <c r="AC73" i="2"/>
  <c r="AD73" i="2"/>
  <c r="AC74" i="2"/>
  <c r="AD74" i="2"/>
  <c r="AC75" i="2"/>
  <c r="AD75" i="2"/>
  <c r="AC64" i="2"/>
  <c r="AD64" i="2"/>
  <c r="AD3" i="2"/>
  <c r="AC56" i="2"/>
  <c r="AC58" i="2" s="1"/>
  <c r="AC49" i="2"/>
  <c r="AD56" i="2"/>
  <c r="AD58" i="2" s="1"/>
  <c r="AD49" i="2"/>
  <c r="AD17" i="2"/>
  <c r="AC17" i="2"/>
  <c r="AD12" i="2"/>
  <c r="AC12" i="2"/>
  <c r="AD11" i="2"/>
  <c r="AC11" i="2"/>
  <c r="AD9" i="2"/>
  <c r="AC9" i="2"/>
  <c r="AD7" i="2"/>
  <c r="AC7" i="2"/>
  <c r="AB7" i="2"/>
  <c r="AA7" i="2"/>
  <c r="AD6" i="2"/>
  <c r="AC6" i="2"/>
  <c r="AB6" i="2"/>
  <c r="AA6" i="2"/>
  <c r="AD5" i="2"/>
  <c r="AC5" i="2"/>
  <c r="AB5" i="2"/>
  <c r="AA5" i="2"/>
  <c r="AD4" i="2"/>
  <c r="AC4" i="2"/>
  <c r="AB4" i="2"/>
  <c r="AA4" i="2"/>
  <c r="AC3" i="2"/>
  <c r="AA3" i="2"/>
  <c r="AB3" i="2"/>
  <c r="R34" i="2"/>
  <c r="Q34" i="2"/>
  <c r="P34" i="2"/>
  <c r="O34" i="2"/>
  <c r="N34" i="2"/>
  <c r="M34" i="2"/>
  <c r="L34" i="2"/>
  <c r="K34" i="2"/>
  <c r="J34" i="2"/>
  <c r="I34" i="2"/>
  <c r="H34" i="2"/>
  <c r="G34" i="2"/>
  <c r="R33" i="2"/>
  <c r="Q33" i="2"/>
  <c r="P33" i="2"/>
  <c r="O33" i="2"/>
  <c r="N33" i="2"/>
  <c r="M33" i="2"/>
  <c r="L33" i="2"/>
  <c r="K33" i="2"/>
  <c r="J33" i="2"/>
  <c r="I33" i="2"/>
  <c r="H33" i="2"/>
  <c r="G33" i="2"/>
  <c r="S34" i="2"/>
  <c r="S33" i="2"/>
  <c r="AE93" i="2" l="1"/>
  <c r="AF92" i="2" s="1"/>
  <c r="AF93" i="2" s="1"/>
  <c r="AE14" i="2"/>
  <c r="V14" i="2"/>
  <c r="V16" i="2" s="1"/>
  <c r="V18" i="2" s="1"/>
  <c r="V20" i="2" s="1"/>
  <c r="W23" i="2"/>
  <c r="W28" i="2"/>
  <c r="W27" i="2"/>
  <c r="W14" i="2"/>
  <c r="X60" i="2"/>
  <c r="X23" i="2"/>
  <c r="X14" i="2"/>
  <c r="X27" i="2"/>
  <c r="V91" i="2"/>
  <c r="V60" i="2"/>
  <c r="AD60" i="2"/>
  <c r="J9" i="1"/>
  <c r="AC13" i="2"/>
  <c r="U10" i="2"/>
  <c r="U23" i="2" s="1"/>
  <c r="U91" i="2"/>
  <c r="V23" i="2"/>
  <c r="V27" i="2"/>
  <c r="AC60" i="2"/>
  <c r="V28" i="2"/>
  <c r="U58" i="2"/>
  <c r="U38" i="2"/>
  <c r="T16" i="2"/>
  <c r="T24" i="2"/>
  <c r="T10" i="2"/>
  <c r="T91" i="2"/>
  <c r="T58" i="2"/>
  <c r="T29" i="2"/>
  <c r="T18" i="2"/>
  <c r="T30" i="2"/>
  <c r="AD96" i="2"/>
  <c r="AB33" i="2"/>
  <c r="AD13" i="2"/>
  <c r="AC33" i="2"/>
  <c r="AC96" i="2"/>
  <c r="AB34" i="2"/>
  <c r="AC34" i="2"/>
  <c r="AD34" i="2"/>
  <c r="AC76" i="2"/>
  <c r="AD33" i="2"/>
  <c r="AD90" i="2"/>
  <c r="AD76" i="2"/>
  <c r="AD95" i="2"/>
  <c r="S79" i="2"/>
  <c r="S83" i="2" s="1"/>
  <c r="S15" i="2"/>
  <c r="S8" i="2"/>
  <c r="C8" i="2"/>
  <c r="D8" i="2"/>
  <c r="D10" i="2" s="1"/>
  <c r="E8" i="2"/>
  <c r="E10" i="2" s="1"/>
  <c r="F8" i="2"/>
  <c r="F10" i="2" s="1"/>
  <c r="C13" i="2"/>
  <c r="D13" i="2"/>
  <c r="E13" i="2"/>
  <c r="F13" i="2"/>
  <c r="G8" i="2"/>
  <c r="H8" i="2"/>
  <c r="I8" i="2"/>
  <c r="J8" i="2"/>
  <c r="G13" i="2"/>
  <c r="H13" i="2"/>
  <c r="I13" i="2"/>
  <c r="J13" i="2"/>
  <c r="N8" i="2"/>
  <c r="M8" i="2"/>
  <c r="L8" i="2"/>
  <c r="K8" i="2"/>
  <c r="R8" i="2"/>
  <c r="V32" i="2" s="1"/>
  <c r="Q8" i="2"/>
  <c r="U32" i="2" s="1"/>
  <c r="P8" i="2"/>
  <c r="T32" i="2" s="1"/>
  <c r="O8" i="2"/>
  <c r="R81" i="2"/>
  <c r="AD81" i="2" s="1"/>
  <c r="R78" i="2"/>
  <c r="AD78" i="2" s="1"/>
  <c r="N78" i="2"/>
  <c r="R15" i="2"/>
  <c r="N15" i="2"/>
  <c r="M89" i="2"/>
  <c r="Q82" i="2"/>
  <c r="Q83" i="2" s="1"/>
  <c r="M82" i="2"/>
  <c r="M83" i="2" s="1"/>
  <c r="Q15" i="2"/>
  <c r="M15" i="2"/>
  <c r="P82" i="2"/>
  <c r="L82" i="2"/>
  <c r="L15" i="2"/>
  <c r="P15" i="2"/>
  <c r="S102" i="2"/>
  <c r="R102" i="2"/>
  <c r="Q102" i="2"/>
  <c r="P102" i="2"/>
  <c r="N102" i="2"/>
  <c r="M102" i="2"/>
  <c r="L102" i="2"/>
  <c r="K102" i="2"/>
  <c r="O102" i="2"/>
  <c r="S96" i="2"/>
  <c r="R96" i="2"/>
  <c r="Q96" i="2"/>
  <c r="P96" i="2"/>
  <c r="N96" i="2"/>
  <c r="M96" i="2"/>
  <c r="L96" i="2"/>
  <c r="K96" i="2"/>
  <c r="O96" i="2"/>
  <c r="S90" i="2"/>
  <c r="R90" i="2"/>
  <c r="Q90" i="2"/>
  <c r="P90" i="2"/>
  <c r="N90" i="2"/>
  <c r="L90" i="2"/>
  <c r="K90" i="2"/>
  <c r="O90" i="2"/>
  <c r="K83" i="2"/>
  <c r="S76" i="2"/>
  <c r="S95" i="2" s="1"/>
  <c r="R76" i="2"/>
  <c r="R95" i="2" s="1"/>
  <c r="Q76" i="2"/>
  <c r="Q95" i="2" s="1"/>
  <c r="P76" i="2"/>
  <c r="P95" i="2" s="1"/>
  <c r="N76" i="2"/>
  <c r="N95" i="2" s="1"/>
  <c r="M76" i="2"/>
  <c r="L76" i="2"/>
  <c r="L95" i="2" s="1"/>
  <c r="K76" i="2"/>
  <c r="K95" i="2" s="1"/>
  <c r="O83" i="2"/>
  <c r="O76" i="2"/>
  <c r="O56" i="2"/>
  <c r="S56" i="2"/>
  <c r="R56" i="2"/>
  <c r="Q56" i="2"/>
  <c r="P56" i="2"/>
  <c r="N56" i="2"/>
  <c r="S49" i="2"/>
  <c r="R49" i="2"/>
  <c r="Q49" i="2"/>
  <c r="P49" i="2"/>
  <c r="O49" i="2"/>
  <c r="N49" i="2"/>
  <c r="K15" i="2"/>
  <c r="O15" i="2"/>
  <c r="S13" i="2"/>
  <c r="R13" i="2"/>
  <c r="Q13" i="2"/>
  <c r="P13" i="2"/>
  <c r="N13" i="2"/>
  <c r="M13" i="2"/>
  <c r="L13" i="2"/>
  <c r="K13" i="2"/>
  <c r="O13" i="2"/>
  <c r="AE16" i="2" l="1"/>
  <c r="AE29" i="2" s="1"/>
  <c r="AE24" i="2"/>
  <c r="AE30" i="2"/>
  <c r="V30" i="2"/>
  <c r="V25" i="2"/>
  <c r="V63" i="2"/>
  <c r="V29" i="2"/>
  <c r="V24" i="2"/>
  <c r="X16" i="2"/>
  <c r="X24" i="2"/>
  <c r="X30" i="2"/>
  <c r="W30" i="2"/>
  <c r="W16" i="2"/>
  <c r="W24" i="2"/>
  <c r="U27" i="2"/>
  <c r="U14" i="2"/>
  <c r="U24" i="2" s="1"/>
  <c r="U28" i="2"/>
  <c r="T25" i="2"/>
  <c r="T63" i="2"/>
  <c r="T28" i="2"/>
  <c r="T23" i="2"/>
  <c r="T27" i="2"/>
  <c r="AD8" i="2"/>
  <c r="AD15" i="2"/>
  <c r="S58" i="2"/>
  <c r="S60" i="2"/>
  <c r="AC15" i="2"/>
  <c r="O58" i="2"/>
  <c r="O60" i="2"/>
  <c r="F14" i="2"/>
  <c r="F16" i="2" s="1"/>
  <c r="F18" i="2" s="1"/>
  <c r="F20" i="2" s="1"/>
  <c r="N83" i="2"/>
  <c r="N91" i="2" s="1"/>
  <c r="AC78" i="2"/>
  <c r="C10" i="2"/>
  <c r="C14" i="2" s="1"/>
  <c r="C16" i="2" s="1"/>
  <c r="C18" i="2" s="1"/>
  <c r="C20" i="2" s="1"/>
  <c r="AA8" i="2"/>
  <c r="L83" i="2"/>
  <c r="L91" i="2" s="1"/>
  <c r="AC82" i="2"/>
  <c r="AD10" i="2"/>
  <c r="P83" i="2"/>
  <c r="P91" i="2" s="1"/>
  <c r="AD82" i="2"/>
  <c r="AD83" i="2" s="1"/>
  <c r="AD91" i="2" s="1"/>
  <c r="N58" i="2"/>
  <c r="N60" i="2"/>
  <c r="AB8" i="2"/>
  <c r="Q58" i="2"/>
  <c r="Q60" i="2"/>
  <c r="R58" i="2"/>
  <c r="R60" i="2"/>
  <c r="M90" i="2"/>
  <c r="M91" i="2" s="1"/>
  <c r="AC89" i="2"/>
  <c r="P58" i="2"/>
  <c r="P60" i="2"/>
  <c r="AC8" i="2"/>
  <c r="E14" i="2"/>
  <c r="E16" i="2" s="1"/>
  <c r="E18" i="2" s="1"/>
  <c r="E20" i="2" s="1"/>
  <c r="N10" i="2"/>
  <c r="N32" i="2"/>
  <c r="S10" i="2"/>
  <c r="S32" i="2"/>
  <c r="I10" i="2"/>
  <c r="I14" i="2" s="1"/>
  <c r="I16" i="2" s="1"/>
  <c r="I18" i="2" s="1"/>
  <c r="I20" i="2" s="1"/>
  <c r="I32" i="2"/>
  <c r="R10" i="2"/>
  <c r="R32" i="2"/>
  <c r="G10" i="2"/>
  <c r="G14" i="2" s="1"/>
  <c r="G16" i="2" s="1"/>
  <c r="G18" i="2" s="1"/>
  <c r="G20" i="2" s="1"/>
  <c r="G32" i="2"/>
  <c r="M10" i="2"/>
  <c r="M32" i="2"/>
  <c r="O10" i="2"/>
  <c r="O14" i="2" s="1"/>
  <c r="O32" i="2"/>
  <c r="P10" i="2"/>
  <c r="P32" i="2"/>
  <c r="Q10" i="2"/>
  <c r="Q32" i="2"/>
  <c r="H10" i="2"/>
  <c r="H14" i="2" s="1"/>
  <c r="H16" i="2" s="1"/>
  <c r="H18" i="2" s="1"/>
  <c r="H20" i="2" s="1"/>
  <c r="H32" i="2"/>
  <c r="K10" i="2"/>
  <c r="K32" i="2"/>
  <c r="J10" i="2"/>
  <c r="J14" i="2" s="1"/>
  <c r="J16" i="2" s="1"/>
  <c r="J18" i="2" s="1"/>
  <c r="J20" i="2" s="1"/>
  <c r="J32" i="2"/>
  <c r="L10" i="2"/>
  <c r="L14" i="2" s="1"/>
  <c r="L32" i="2"/>
  <c r="D14" i="2"/>
  <c r="D16" i="2" s="1"/>
  <c r="D18" i="2" s="1"/>
  <c r="D20" i="2" s="1"/>
  <c r="O91" i="2"/>
  <c r="O93" i="2" s="1"/>
  <c r="P92" i="2" s="1"/>
  <c r="R83" i="2"/>
  <c r="R91" i="2" s="1"/>
  <c r="M95" i="2"/>
  <c r="O95" i="2"/>
  <c r="Q91" i="2"/>
  <c r="S91" i="2"/>
  <c r="K91" i="2"/>
  <c r="K93" i="2" s="1"/>
  <c r="L92" i="2" s="1"/>
  <c r="X29" i="2" l="1"/>
  <c r="X18" i="2"/>
  <c r="W29" i="2"/>
  <c r="W18" i="2"/>
  <c r="U16" i="2"/>
  <c r="U18" i="2" s="1"/>
  <c r="U63" i="2" s="1"/>
  <c r="U30" i="2"/>
  <c r="AD32" i="2"/>
  <c r="AB32" i="2"/>
  <c r="O16" i="2"/>
  <c r="O24" i="2"/>
  <c r="O30" i="2"/>
  <c r="L16" i="2"/>
  <c r="L24" i="2"/>
  <c r="Q14" i="2"/>
  <c r="Q27" i="2"/>
  <c r="Q23" i="2"/>
  <c r="Q28" i="2"/>
  <c r="S14" i="2"/>
  <c r="S28" i="2"/>
  <c r="S27" i="2"/>
  <c r="S23" i="2"/>
  <c r="M14" i="2"/>
  <c r="M28" i="2"/>
  <c r="M27" i="2"/>
  <c r="M23" i="2"/>
  <c r="L30" i="2"/>
  <c r="R14" i="2"/>
  <c r="R27" i="2"/>
  <c r="R23" i="2"/>
  <c r="R28" i="2"/>
  <c r="AD23" i="2"/>
  <c r="AD14" i="2"/>
  <c r="AD28" i="2"/>
  <c r="AD27" i="2"/>
  <c r="P14" i="2"/>
  <c r="P28" i="2"/>
  <c r="P27" i="2"/>
  <c r="P23" i="2"/>
  <c r="L23" i="2"/>
  <c r="L27" i="2"/>
  <c r="L28" i="2"/>
  <c r="O28" i="2"/>
  <c r="O27" i="2"/>
  <c r="O23" i="2"/>
  <c r="N14" i="2"/>
  <c r="N23" i="2"/>
  <c r="N28" i="2"/>
  <c r="N27" i="2"/>
  <c r="AC32" i="2"/>
  <c r="AC10" i="2"/>
  <c r="K14" i="2"/>
  <c r="K27" i="2"/>
  <c r="K23" i="2"/>
  <c r="K28" i="2"/>
  <c r="AC83" i="2"/>
  <c r="AC95" i="2"/>
  <c r="AC90" i="2"/>
  <c r="P93" i="2"/>
  <c r="Q92" i="2" s="1"/>
  <c r="L93" i="2"/>
  <c r="M92" i="2" s="1"/>
  <c r="M93" i="2" s="1"/>
  <c r="N92" i="2" s="1"/>
  <c r="N93" i="2" s="1"/>
  <c r="Q93" i="2"/>
  <c r="R92" i="2" s="1"/>
  <c r="R93" i="2"/>
  <c r="S92" i="2" s="1"/>
  <c r="S93" i="2" s="1"/>
  <c r="T92" i="2" s="1"/>
  <c r="T93" i="2" s="1"/>
  <c r="U92" i="2" s="1"/>
  <c r="U93" i="2" s="1"/>
  <c r="V92" i="2" s="1"/>
  <c r="V93" i="2" s="1"/>
  <c r="W92" i="2" s="1"/>
  <c r="W93" i="2" s="1"/>
  <c r="X92" i="2" s="1"/>
  <c r="X93" i="2" s="1"/>
  <c r="W20" i="2" l="1"/>
  <c r="W63" i="2"/>
  <c r="W25" i="2"/>
  <c r="X20" i="2"/>
  <c r="X63" i="2"/>
  <c r="X25" i="2"/>
  <c r="U29" i="2"/>
  <c r="U20" i="2"/>
  <c r="U25" i="2"/>
  <c r="K16" i="2"/>
  <c r="K24" i="2"/>
  <c r="K30" i="2"/>
  <c r="AD24" i="2"/>
  <c r="AD16" i="2"/>
  <c r="S16" i="2"/>
  <c r="S24" i="2"/>
  <c r="S30" i="2"/>
  <c r="AD30" i="2"/>
  <c r="AC23" i="2"/>
  <c r="AC28" i="2"/>
  <c r="AC14" i="2"/>
  <c r="AC27" i="2"/>
  <c r="R16" i="2"/>
  <c r="R24" i="2"/>
  <c r="R30" i="2"/>
  <c r="Q16" i="2"/>
  <c r="Q24" i="2"/>
  <c r="Q30" i="2"/>
  <c r="L18" i="2"/>
  <c r="L29" i="2"/>
  <c r="P16" i="2"/>
  <c r="P24" i="2"/>
  <c r="P30" i="2"/>
  <c r="N16" i="2"/>
  <c r="N24" i="2"/>
  <c r="N30" i="2"/>
  <c r="M16" i="2"/>
  <c r="M24" i="2"/>
  <c r="M30" i="2"/>
  <c r="AC91" i="2"/>
  <c r="AC93" i="2" s="1"/>
  <c r="AD92" i="2" s="1"/>
  <c r="AD93" i="2" s="1"/>
  <c r="O18" i="2"/>
  <c r="O29" i="2"/>
  <c r="J8" i="1"/>
  <c r="J12" i="1" s="1"/>
  <c r="N18" i="2" l="1"/>
  <c r="N29" i="2"/>
  <c r="K18" i="2"/>
  <c r="K29" i="2"/>
  <c r="AC16" i="2"/>
  <c r="AC24" i="2"/>
  <c r="AC30" i="2"/>
  <c r="P18" i="2"/>
  <c r="P29" i="2"/>
  <c r="O20" i="2"/>
  <c r="O25" i="2"/>
  <c r="O63" i="2"/>
  <c r="L20" i="2"/>
  <c r="L25" i="2"/>
  <c r="L63" i="2"/>
  <c r="S18" i="2"/>
  <c r="S29" i="2"/>
  <c r="Q18" i="2"/>
  <c r="Q29" i="2"/>
  <c r="AD29" i="2"/>
  <c r="AD18" i="2"/>
  <c r="M18" i="2"/>
  <c r="M29" i="2"/>
  <c r="R18" i="2"/>
  <c r="R29" i="2"/>
  <c r="R63" i="2" l="1"/>
  <c r="R25" i="2"/>
  <c r="R20" i="2"/>
  <c r="M20" i="2"/>
  <c r="M25" i="2"/>
  <c r="M63" i="2"/>
  <c r="Q20" i="2"/>
  <c r="Q25" i="2"/>
  <c r="Q63" i="2"/>
  <c r="AD63" i="2"/>
  <c r="AD20" i="2"/>
  <c r="AD25" i="2"/>
  <c r="P63" i="2"/>
  <c r="P25" i="2"/>
  <c r="P20" i="2"/>
  <c r="AC18" i="2"/>
  <c r="AC29" i="2"/>
  <c r="S20" i="2"/>
  <c r="S25" i="2"/>
  <c r="S63" i="2"/>
  <c r="K25" i="2"/>
  <c r="K20" i="2"/>
  <c r="K63" i="2"/>
  <c r="N63" i="2"/>
  <c r="N25" i="2"/>
  <c r="N20" i="2"/>
  <c r="AC20" i="2" l="1"/>
  <c r="AC25" i="2"/>
  <c r="AC63" i="2"/>
  <c r="AF1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Gega Mukhigulashvili</author>
  </authors>
  <commentList>
    <comment ref="V81" authorId="0" shapeId="0" xr:uid="{11CC4330-C219-4AEF-A64D-657B09EC9584}">
      <text>
        <r>
          <rPr>
            <b/>
            <sz val="9"/>
            <color indexed="81"/>
            <rFont val="Tahoma"/>
            <family val="2"/>
          </rPr>
          <t>Gega Mukhigulashvili:</t>
        </r>
        <r>
          <rPr>
            <sz val="9"/>
            <color indexed="81"/>
            <rFont val="Tahoma"/>
            <family val="2"/>
          </rPr>
          <t xml:space="preserve">
Groq, Inc.
</t>
        </r>
      </text>
    </comment>
  </commentList>
</comments>
</file>

<file path=xl/sharedStrings.xml><?xml version="1.0" encoding="utf-8"?>
<sst xmlns="http://schemas.openxmlformats.org/spreadsheetml/2006/main" count="126" uniqueCount="113">
  <si>
    <t>Main</t>
  </si>
  <si>
    <t>Price</t>
  </si>
  <si>
    <t>S/O</t>
  </si>
  <si>
    <t>MC</t>
  </si>
  <si>
    <t>Cash</t>
  </si>
  <si>
    <t>Debt</t>
  </si>
  <si>
    <t>EV</t>
  </si>
  <si>
    <t>Q126</t>
  </si>
  <si>
    <t>Q124</t>
  </si>
  <si>
    <t>Q224</t>
  </si>
  <si>
    <t>Q324</t>
  </si>
  <si>
    <t>Q424</t>
  </si>
  <si>
    <t>Q125</t>
  </si>
  <si>
    <t>Q225</t>
  </si>
  <si>
    <t>Q325</t>
  </si>
  <si>
    <t>Q425</t>
  </si>
  <si>
    <t>Model</t>
  </si>
  <si>
    <t>COGS</t>
  </si>
  <si>
    <t>Gross Profit</t>
  </si>
  <si>
    <t>R&amp;D</t>
  </si>
  <si>
    <t>SG&amp;A</t>
  </si>
  <si>
    <t>Operating expenses</t>
  </si>
  <si>
    <t>Operating profit</t>
  </si>
  <si>
    <t>Interest income</t>
  </si>
  <si>
    <t>Pretax income</t>
  </si>
  <si>
    <t>Taxes</t>
  </si>
  <si>
    <t>Net Income</t>
  </si>
  <si>
    <t>EPS</t>
  </si>
  <si>
    <t>A/R</t>
  </si>
  <si>
    <t>Inventories</t>
  </si>
  <si>
    <t>Prepaids</t>
  </si>
  <si>
    <t>PP&amp;A</t>
  </si>
  <si>
    <t>Leases</t>
  </si>
  <si>
    <t>Goodwill</t>
  </si>
  <si>
    <t>Intangibles</t>
  </si>
  <si>
    <t>Deferred income tax</t>
  </si>
  <si>
    <t>ONCA</t>
  </si>
  <si>
    <t>Total Assets</t>
  </si>
  <si>
    <t>A/P</t>
  </si>
  <si>
    <t>Accrued liabilities</t>
  </si>
  <si>
    <t>Short-term debt</t>
  </si>
  <si>
    <t>Long-term debt</t>
  </si>
  <si>
    <t>Long-term lease</t>
  </si>
  <si>
    <t>ONCL</t>
  </si>
  <si>
    <t>Total liabilities</t>
  </si>
  <si>
    <t>SE</t>
  </si>
  <si>
    <t>L+SE</t>
  </si>
  <si>
    <t>GAAP NI</t>
  </si>
  <si>
    <t>Stock-based compensation</t>
  </si>
  <si>
    <t>D&amp;A</t>
  </si>
  <si>
    <t>Gains from non-affiliated entities</t>
  </si>
  <si>
    <t>Deferred income taxes</t>
  </si>
  <si>
    <t>Other</t>
  </si>
  <si>
    <t>CFFO</t>
  </si>
  <si>
    <t>Marketable maturities</t>
  </si>
  <si>
    <t>Marketable sales</t>
  </si>
  <si>
    <t>Marketable purchases</t>
  </si>
  <si>
    <t>CapEx</t>
  </si>
  <si>
    <t>Acquisitions</t>
  </si>
  <si>
    <t>Inv. In non-affiliated</t>
  </si>
  <si>
    <t>CFFI</t>
  </si>
  <si>
    <t>Proceeds from emp. Stock plans</t>
  </si>
  <si>
    <t>Repurchases of stock</t>
  </si>
  <si>
    <t>Tax on restricted stock</t>
  </si>
  <si>
    <t>Dividends</t>
  </si>
  <si>
    <t>Principal on PP&amp;A</t>
  </si>
  <si>
    <t>CFFF</t>
  </si>
  <si>
    <t>CF</t>
  </si>
  <si>
    <t>BOP Cash</t>
  </si>
  <si>
    <t>EOP Cash</t>
  </si>
  <si>
    <t>Model NI</t>
  </si>
  <si>
    <t>FCF</t>
  </si>
  <si>
    <t>CapEx Margin</t>
  </si>
  <si>
    <t>Non-GAAP NI</t>
  </si>
  <si>
    <t>Non-GAAP EPS</t>
  </si>
  <si>
    <t>Revenue</t>
  </si>
  <si>
    <t>Repayment of debt</t>
  </si>
  <si>
    <t>Data Center</t>
  </si>
  <si>
    <t>Gaming</t>
  </si>
  <si>
    <t>Visualization</t>
  </si>
  <si>
    <t>Auto</t>
  </si>
  <si>
    <t>OEM &amp; Other</t>
  </si>
  <si>
    <t>Q123</t>
  </si>
  <si>
    <t>Q223</t>
  </si>
  <si>
    <t>Q323</t>
  </si>
  <si>
    <t>Q423</t>
  </si>
  <si>
    <t>Q122</t>
  </si>
  <si>
    <t>Q222</t>
  </si>
  <si>
    <t>Q322</t>
  </si>
  <si>
    <t>Q422</t>
  </si>
  <si>
    <t>Revenue Y/Y</t>
  </si>
  <si>
    <t>Data Center Y/Y</t>
  </si>
  <si>
    <t>Gaming Y/Y</t>
  </si>
  <si>
    <t>Gross Margin</t>
  </si>
  <si>
    <t>Operating Margin</t>
  </si>
  <si>
    <t>Net Margin</t>
  </si>
  <si>
    <t>R&amp;D Margin</t>
  </si>
  <si>
    <t>SG&amp;A Margin</t>
  </si>
  <si>
    <t>Interest Margin</t>
  </si>
  <si>
    <t>Debt to equity</t>
  </si>
  <si>
    <t>Q226</t>
  </si>
  <si>
    <t>Q326</t>
  </si>
  <si>
    <t>Cons.</t>
  </si>
  <si>
    <t>Beat</t>
  </si>
  <si>
    <t>EPS Cons.</t>
  </si>
  <si>
    <t>FCF YoY</t>
  </si>
  <si>
    <t>FCF Margin</t>
  </si>
  <si>
    <t>Guidance cons.</t>
  </si>
  <si>
    <t>Net Cash</t>
  </si>
  <si>
    <t>Q426</t>
  </si>
  <si>
    <t>Q127</t>
  </si>
  <si>
    <t>Q227</t>
  </si>
  <si>
    <t>Effective 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</si>
</sst>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6" fillId="0" borderId="0" xfId="1" applyFont="1"/>
    <xf numFmtId="0" fontId="2" fillId="0" borderId="0" xfId="0" applyFont="1"/>
    <xf numFmtId="15" fontId="2" fillId="0" borderId="0" xfId="0" applyNumberFormat="1" applyFont="1"/>
    <xf numFmtId="3" fontId="2" fillId="0" borderId="0" xfId="0" applyNumberFormat="1" applyFont="1"/>
    <xf numFmtId="10" fontId="2" fillId="0" borderId="0" xfId="0" applyNumberFormat="1" applyFont="1"/>
    <xf numFmtId="9" fontId="2" fillId="0" borderId="0" xfId="0" applyNumberFormat="1" applyFont="1"/>
    <xf numFmtId="0" fontId="5" fillId="0" borderId="0" xfId="0" applyFont="1"/>
    <xf numFmtId="3" fontId="5" fillId="0" borderId="0" xfId="0" applyNumberFormat="1" applyFont="1"/>
    <xf numFmtId="4" fontId="2" fillId="0" borderId="0" xfId="0" applyNumberFormat="1" applyFont="1"/>
    <xf numFmtId="2" fontId="5" fillId="0" borderId="0" xfId="0" applyNumberFormat="1" applyFont="1"/>
    <xf numFmtId="164" fontId="2" fillId="0" borderId="0" xfId="0" applyNumberFormat="1" applyFont="1"/>
    <xf numFmtId="16" fontId="2" fillId="0" borderId="0" xfId="0" applyNumberFormat="1" applyFont="1"/>
    <xf numFmtId="0" fontId="1" fillId="0" borderId="0" xfId="0" applyFont="1"/>
    <xf numFmtId="4" fontId="5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Tech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workbookViewId="0">
      <selection activeCell="J6" sqref="J6"/>
    </sheetView>
  </sheetViews>
  <sheetFormatPr defaultRowHeight="13.2" x14ac:dyDescent="0.25"/>
  <cols>
    <col min="1" max="9" width="8.88671875" style="2"/>
    <col min="10" max="10" width="9.88671875" style="2" bestFit="1" customWidth="1"/>
    <col min="11" max="16384" width="8.88671875" style="2"/>
  </cols>
  <sheetData>
    <row r="1" spans="1:15" x14ac:dyDescent="0.25">
      <c r="A1" s="1" t="s">
        <v>16</v>
      </c>
    </row>
    <row r="6" spans="1:15" x14ac:dyDescent="0.25">
      <c r="I6" s="2" t="s">
        <v>1</v>
      </c>
      <c r="J6" s="2">
        <v>183.95</v>
      </c>
      <c r="K6" s="12">
        <v>46080</v>
      </c>
      <c r="N6" s="4" t="s">
        <v>102</v>
      </c>
      <c r="O6" s="4">
        <v>46050</v>
      </c>
    </row>
    <row r="7" spans="1:15" x14ac:dyDescent="0.25">
      <c r="I7" s="2" t="s">
        <v>2</v>
      </c>
      <c r="J7" s="4">
        <f>+Model!U19</f>
        <v>24327</v>
      </c>
      <c r="K7" s="13" t="s">
        <v>109</v>
      </c>
      <c r="N7" s="4" t="s">
        <v>103</v>
      </c>
      <c r="O7" s="5">
        <f>Model!T8/O6-1</f>
        <v>1.5048859934853498E-2</v>
      </c>
    </row>
    <row r="8" spans="1:15" x14ac:dyDescent="0.25">
      <c r="I8" s="2" t="s">
        <v>3</v>
      </c>
      <c r="J8" s="4">
        <f>+J7*J6</f>
        <v>4474951.6499999994</v>
      </c>
      <c r="N8" s="6"/>
      <c r="O8" s="4"/>
    </row>
    <row r="9" spans="1:15" x14ac:dyDescent="0.25">
      <c r="I9" s="2" t="s">
        <v>4</v>
      </c>
      <c r="J9" s="4">
        <f>+Model!U39</f>
        <v>60608</v>
      </c>
      <c r="K9" s="13" t="s">
        <v>109</v>
      </c>
      <c r="N9" s="4" t="s">
        <v>104</v>
      </c>
      <c r="O9" s="9">
        <v>1.01</v>
      </c>
    </row>
    <row r="10" spans="1:15" x14ac:dyDescent="0.25">
      <c r="I10" s="2" t="s">
        <v>5</v>
      </c>
      <c r="J10" s="4">
        <f>+Model!U52+Model!U53</f>
        <v>8467</v>
      </c>
      <c r="K10" s="13" t="s">
        <v>109</v>
      </c>
      <c r="N10" s="4" t="s">
        <v>103</v>
      </c>
      <c r="O10" s="6">
        <f>Model!T20/O9-1</f>
        <v>6.9306930693069368E-2</v>
      </c>
    </row>
    <row r="11" spans="1:15" x14ac:dyDescent="0.25">
      <c r="N11" s="4"/>
      <c r="O11" s="4"/>
    </row>
    <row r="12" spans="1:15" x14ac:dyDescent="0.25">
      <c r="I12" s="2" t="s">
        <v>6</v>
      </c>
      <c r="J12" s="4">
        <f>J8-J9+J10</f>
        <v>4422810.6499999994</v>
      </c>
      <c r="N12" s="4" t="s">
        <v>107</v>
      </c>
      <c r="O12" s="4">
        <v>53430</v>
      </c>
    </row>
    <row r="13" spans="1:15" x14ac:dyDescent="0.25">
      <c r="N13" s="4" t="s">
        <v>103</v>
      </c>
      <c r="O13" s="5">
        <f>Model!U8/O12-1</f>
        <v>6.6928691746209967E-2</v>
      </c>
    </row>
    <row r="14" spans="1:15" x14ac:dyDescent="0.25">
      <c r="N14" s="4"/>
      <c r="O14" s="4"/>
    </row>
    <row r="15" spans="1:15" x14ac:dyDescent="0.25">
      <c r="N15" s="4"/>
      <c r="O15" s="9"/>
    </row>
    <row r="16" spans="1:15" x14ac:dyDescent="0.25">
      <c r="N16" s="4"/>
      <c r="O16" s="5"/>
    </row>
  </sheetData>
  <hyperlinks>
    <hyperlink ref="A1" r:id="rId1" display="Main" xr:uid="{8DA5CFE4-CD79-4593-8C3D-56C4F4727B6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1D127-A7CF-4BAF-A1F4-95EAD23959A1}">
  <dimension ref="A1:AF102"/>
  <sheetViews>
    <sheetView tabSelected="1" zoomScale="84" workbookViewId="0">
      <pane xSplit="2" ySplit="2" topLeftCell="P29" activePane="bottomRight" state="frozen"/>
      <selection pane="topRight" activeCell="C1" sqref="C1"/>
      <selection pane="bottomLeft" activeCell="A3" sqref="A3"/>
      <selection pane="bottomRight" activeCell="Z99" sqref="Z99"/>
    </sheetView>
  </sheetViews>
  <sheetFormatPr defaultRowHeight="13.2" x14ac:dyDescent="0.25"/>
  <cols>
    <col min="1" max="1" width="8.88671875" style="2"/>
    <col min="2" max="2" width="28.5546875" style="2" bestFit="1" customWidth="1"/>
    <col min="3" max="18" width="9" style="2" bestFit="1" customWidth="1"/>
    <col min="19" max="19" width="9.77734375" style="2" bestFit="1" customWidth="1"/>
    <col min="20" max="21" width="9" style="2" bestFit="1" customWidth="1"/>
    <col min="22" max="24" width="8.88671875" style="2"/>
    <col min="25" max="25" width="9.5546875" style="2" bestFit="1" customWidth="1"/>
    <col min="26" max="26" width="8.88671875" style="2"/>
    <col min="27" max="32" width="9" style="2" bestFit="1" customWidth="1"/>
    <col min="33" max="16384" width="8.88671875" style="2"/>
  </cols>
  <sheetData>
    <row r="1" spans="1:32" x14ac:dyDescent="0.25">
      <c r="A1" s="1" t="s">
        <v>0</v>
      </c>
      <c r="S1" s="3">
        <v>45774</v>
      </c>
    </row>
    <row r="2" spans="1:32" x14ac:dyDescent="0.25">
      <c r="C2" s="2" t="s">
        <v>86</v>
      </c>
      <c r="D2" s="2" t="s">
        <v>87</v>
      </c>
      <c r="E2" s="2" t="s">
        <v>88</v>
      </c>
      <c r="F2" s="2" t="s">
        <v>89</v>
      </c>
      <c r="G2" s="2" t="s">
        <v>82</v>
      </c>
      <c r="H2" s="2" t="s">
        <v>83</v>
      </c>
      <c r="I2" s="2" t="s">
        <v>84</v>
      </c>
      <c r="J2" s="2" t="s">
        <v>85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7</v>
      </c>
      <c r="T2" s="2" t="s">
        <v>100</v>
      </c>
      <c r="U2" s="2" t="s">
        <v>101</v>
      </c>
      <c r="V2" s="2" t="s">
        <v>109</v>
      </c>
      <c r="W2" s="2" t="s">
        <v>110</v>
      </c>
      <c r="X2" s="2" t="s">
        <v>111</v>
      </c>
      <c r="AA2" s="2">
        <v>2022</v>
      </c>
      <c r="AB2" s="2">
        <v>2023</v>
      </c>
      <c r="AC2" s="2">
        <v>2024</v>
      </c>
      <c r="AD2" s="2">
        <v>2025</v>
      </c>
      <c r="AE2" s="2">
        <v>2026</v>
      </c>
      <c r="AF2" s="2">
        <v>2027</v>
      </c>
    </row>
    <row r="3" spans="1:32" s="4" customFormat="1" x14ac:dyDescent="0.25">
      <c r="A3" s="2"/>
      <c r="B3" s="2" t="s">
        <v>77</v>
      </c>
      <c r="C3" s="4">
        <v>2048</v>
      </c>
      <c r="D3" s="4">
        <v>2366</v>
      </c>
      <c r="E3" s="4">
        <v>2936</v>
      </c>
      <c r="F3" s="4">
        <v>3263</v>
      </c>
      <c r="G3" s="4">
        <v>3750</v>
      </c>
      <c r="H3" s="4">
        <v>3806</v>
      </c>
      <c r="I3" s="4">
        <v>3833</v>
      </c>
      <c r="J3" s="4">
        <v>3616</v>
      </c>
      <c r="K3" s="4">
        <v>4284</v>
      </c>
      <c r="L3" s="4">
        <v>10323</v>
      </c>
      <c r="M3" s="4">
        <v>14514</v>
      </c>
      <c r="N3" s="4">
        <v>18404</v>
      </c>
      <c r="O3" s="4">
        <v>22563</v>
      </c>
      <c r="P3" s="4">
        <v>26272</v>
      </c>
      <c r="Q3" s="4">
        <v>30771</v>
      </c>
      <c r="R3" s="4">
        <v>35580</v>
      </c>
      <c r="S3" s="4">
        <v>39112</v>
      </c>
      <c r="T3" s="4">
        <v>41096</v>
      </c>
      <c r="U3" s="4">
        <v>51215</v>
      </c>
      <c r="V3" s="4">
        <v>62314</v>
      </c>
      <c r="AA3" s="4">
        <f>C3+D3+E3+F3</f>
        <v>10613</v>
      </c>
      <c r="AB3" s="4">
        <f>+G3+H3+I3+J3</f>
        <v>15005</v>
      </c>
      <c r="AC3" s="4">
        <f>K3+L3+M3+N3</f>
        <v>47525</v>
      </c>
      <c r="AD3" s="4">
        <f>O3+P3+Q3+R3</f>
        <v>115186</v>
      </c>
      <c r="AE3" s="4">
        <f>SUM(S3:V3)</f>
        <v>193737</v>
      </c>
    </row>
    <row r="4" spans="1:32" s="4" customFormat="1" x14ac:dyDescent="0.25">
      <c r="A4" s="2"/>
      <c r="B4" s="2" t="s">
        <v>78</v>
      </c>
      <c r="C4" s="4">
        <v>2760</v>
      </c>
      <c r="D4" s="4">
        <v>3061</v>
      </c>
      <c r="E4" s="4">
        <v>3221</v>
      </c>
      <c r="F4" s="4">
        <v>3420</v>
      </c>
      <c r="G4" s="4">
        <v>3620</v>
      </c>
      <c r="H4" s="4">
        <v>2042</v>
      </c>
      <c r="I4" s="4">
        <v>1574</v>
      </c>
      <c r="J4" s="4">
        <v>1831</v>
      </c>
      <c r="K4" s="4">
        <v>2240</v>
      </c>
      <c r="L4" s="4">
        <v>2486</v>
      </c>
      <c r="M4" s="4">
        <v>2856</v>
      </c>
      <c r="N4" s="4">
        <v>2865</v>
      </c>
      <c r="O4" s="4">
        <v>2647</v>
      </c>
      <c r="P4" s="4">
        <v>2880</v>
      </c>
      <c r="Q4" s="4">
        <v>3279</v>
      </c>
      <c r="R4" s="4">
        <v>2544</v>
      </c>
      <c r="S4" s="4">
        <v>3763</v>
      </c>
      <c r="T4" s="4">
        <v>4287</v>
      </c>
      <c r="U4" s="4">
        <v>4265</v>
      </c>
      <c r="V4" s="4">
        <v>3727</v>
      </c>
      <c r="AA4" s="4">
        <f t="shared" ref="AA4:AA8" si="0">C4+D4+E4+F4</f>
        <v>12462</v>
      </c>
      <c r="AB4" s="4">
        <f t="shared" ref="AB4:AB8" si="1">+G4+H4+I4+J4</f>
        <v>9067</v>
      </c>
      <c r="AC4" s="4">
        <f t="shared" ref="AC4:AC17" si="2">K4+L4+M4+N4</f>
        <v>10447</v>
      </c>
      <c r="AD4" s="4">
        <f t="shared" ref="AD4:AE17" si="3">O4+P4+Q4+R4</f>
        <v>11350</v>
      </c>
      <c r="AE4" s="4">
        <f t="shared" ref="AE4:AE12" si="4">SUM(S4:V4)</f>
        <v>16042</v>
      </c>
    </row>
    <row r="5" spans="1:32" s="4" customFormat="1" x14ac:dyDescent="0.25">
      <c r="A5" s="2"/>
      <c r="B5" s="2" t="s">
        <v>79</v>
      </c>
      <c r="C5" s="4">
        <v>372</v>
      </c>
      <c r="D5" s="4">
        <v>519</v>
      </c>
      <c r="E5" s="4">
        <v>577</v>
      </c>
      <c r="F5" s="4">
        <v>643</v>
      </c>
      <c r="G5" s="4">
        <v>622</v>
      </c>
      <c r="H5" s="4">
        <v>496</v>
      </c>
      <c r="I5" s="4">
        <v>200</v>
      </c>
      <c r="J5" s="4">
        <v>226</v>
      </c>
      <c r="K5" s="4">
        <v>295</v>
      </c>
      <c r="L5" s="4">
        <v>379</v>
      </c>
      <c r="M5" s="4">
        <v>416</v>
      </c>
      <c r="N5" s="4">
        <v>463</v>
      </c>
      <c r="O5" s="4">
        <v>427</v>
      </c>
      <c r="P5" s="4">
        <v>454</v>
      </c>
      <c r="Q5" s="4">
        <v>486</v>
      </c>
      <c r="R5" s="4">
        <v>511</v>
      </c>
      <c r="S5" s="4">
        <v>509</v>
      </c>
      <c r="T5" s="4">
        <v>601</v>
      </c>
      <c r="U5" s="4">
        <v>760</v>
      </c>
      <c r="V5" s="4">
        <v>1321</v>
      </c>
      <c r="AA5" s="4">
        <f t="shared" si="0"/>
        <v>2111</v>
      </c>
      <c r="AB5" s="4">
        <f t="shared" si="1"/>
        <v>1544</v>
      </c>
      <c r="AC5" s="4">
        <f t="shared" si="2"/>
        <v>1553</v>
      </c>
      <c r="AD5" s="4">
        <f t="shared" si="3"/>
        <v>1878</v>
      </c>
      <c r="AE5" s="4">
        <f t="shared" si="4"/>
        <v>3191</v>
      </c>
    </row>
    <row r="6" spans="1:32" s="4" customFormat="1" x14ac:dyDescent="0.25">
      <c r="A6" s="2"/>
      <c r="B6" s="2" t="s">
        <v>80</v>
      </c>
      <c r="C6" s="4">
        <v>154</v>
      </c>
      <c r="D6" s="4">
        <v>152</v>
      </c>
      <c r="E6" s="4">
        <v>135</v>
      </c>
      <c r="F6" s="4">
        <v>125</v>
      </c>
      <c r="G6" s="4">
        <v>138</v>
      </c>
      <c r="H6" s="4">
        <v>220</v>
      </c>
      <c r="I6" s="4">
        <v>251</v>
      </c>
      <c r="J6" s="4">
        <v>294</v>
      </c>
      <c r="K6" s="4">
        <v>296</v>
      </c>
      <c r="L6" s="4">
        <v>253</v>
      </c>
      <c r="M6" s="4">
        <v>261</v>
      </c>
      <c r="N6" s="4">
        <v>281</v>
      </c>
      <c r="O6" s="4">
        <v>329</v>
      </c>
      <c r="P6" s="4">
        <v>346</v>
      </c>
      <c r="Q6" s="4">
        <v>449</v>
      </c>
      <c r="R6" s="4">
        <v>570</v>
      </c>
      <c r="S6" s="4">
        <v>567</v>
      </c>
      <c r="T6" s="4">
        <v>586</v>
      </c>
      <c r="U6" s="4">
        <v>592</v>
      </c>
      <c r="V6" s="4">
        <v>604</v>
      </c>
      <c r="AA6" s="4">
        <f t="shared" si="0"/>
        <v>566</v>
      </c>
      <c r="AB6" s="4">
        <f t="shared" si="1"/>
        <v>903</v>
      </c>
      <c r="AC6" s="4">
        <f t="shared" si="2"/>
        <v>1091</v>
      </c>
      <c r="AD6" s="4">
        <f t="shared" si="3"/>
        <v>1694</v>
      </c>
      <c r="AE6" s="4">
        <f t="shared" si="4"/>
        <v>2349</v>
      </c>
    </row>
    <row r="7" spans="1:32" s="4" customFormat="1" x14ac:dyDescent="0.25">
      <c r="A7" s="2"/>
      <c r="B7" s="2" t="s">
        <v>81</v>
      </c>
      <c r="C7" s="4">
        <v>327</v>
      </c>
      <c r="D7" s="4">
        <v>409</v>
      </c>
      <c r="E7" s="4">
        <v>234</v>
      </c>
      <c r="F7" s="4">
        <v>192</v>
      </c>
      <c r="G7" s="4">
        <v>158</v>
      </c>
      <c r="H7" s="4">
        <v>140</v>
      </c>
      <c r="I7" s="4">
        <v>73</v>
      </c>
      <c r="J7" s="4">
        <v>84</v>
      </c>
      <c r="K7" s="4">
        <v>77</v>
      </c>
      <c r="L7" s="4">
        <v>66</v>
      </c>
      <c r="M7" s="4">
        <v>73</v>
      </c>
      <c r="N7" s="4">
        <v>90</v>
      </c>
      <c r="O7" s="4">
        <v>78</v>
      </c>
      <c r="P7" s="4">
        <v>88</v>
      </c>
      <c r="Q7" s="4">
        <v>97</v>
      </c>
      <c r="R7" s="4">
        <v>126</v>
      </c>
      <c r="S7" s="4">
        <v>111</v>
      </c>
      <c r="T7" s="4">
        <v>173</v>
      </c>
      <c r="U7" s="4">
        <v>174</v>
      </c>
      <c r="V7" s="4">
        <v>161</v>
      </c>
      <c r="AA7" s="4">
        <f t="shared" si="0"/>
        <v>1162</v>
      </c>
      <c r="AB7" s="4">
        <f t="shared" si="1"/>
        <v>455</v>
      </c>
      <c r="AC7" s="4">
        <f t="shared" si="2"/>
        <v>306</v>
      </c>
      <c r="AD7" s="4">
        <f t="shared" si="3"/>
        <v>389</v>
      </c>
      <c r="AE7" s="4">
        <f t="shared" si="4"/>
        <v>619</v>
      </c>
    </row>
    <row r="8" spans="1:32" s="4" customFormat="1" x14ac:dyDescent="0.25">
      <c r="A8" s="2"/>
      <c r="B8" s="2" t="s">
        <v>75</v>
      </c>
      <c r="C8" s="4">
        <f t="shared" ref="C8" si="5">SUM(C3:C7)</f>
        <v>5661</v>
      </c>
      <c r="D8" s="4">
        <f t="shared" ref="D8" si="6">SUM(D3:D7)</f>
        <v>6507</v>
      </c>
      <c r="E8" s="4">
        <f t="shared" ref="E8" si="7">SUM(E3:E7)</f>
        <v>7103</v>
      </c>
      <c r="F8" s="4">
        <f t="shared" ref="F8" si="8">SUM(F3:F7)</f>
        <v>7643</v>
      </c>
      <c r="G8" s="4">
        <f t="shared" ref="G8" si="9">SUM(G3:G7)</f>
        <v>8288</v>
      </c>
      <c r="H8" s="4">
        <f t="shared" ref="H8" si="10">SUM(H3:H7)</f>
        <v>6704</v>
      </c>
      <c r="I8" s="4">
        <f t="shared" ref="I8" si="11">SUM(I3:I7)</f>
        <v>5931</v>
      </c>
      <c r="J8" s="4">
        <f t="shared" ref="J8" si="12">SUM(J3:J7)</f>
        <v>6051</v>
      </c>
      <c r="K8" s="4">
        <f t="shared" ref="K8:N8" si="13">SUM(K3:K7)</f>
        <v>7192</v>
      </c>
      <c r="L8" s="4">
        <f t="shared" si="13"/>
        <v>13507</v>
      </c>
      <c r="M8" s="4">
        <f t="shared" si="13"/>
        <v>18120</v>
      </c>
      <c r="N8" s="4">
        <f t="shared" si="13"/>
        <v>22103</v>
      </c>
      <c r="O8" s="4">
        <f>SUM(O3:O7)</f>
        <v>26044</v>
      </c>
      <c r="P8" s="4">
        <f t="shared" ref="P8:S8" si="14">SUM(P3:P7)</f>
        <v>30040</v>
      </c>
      <c r="Q8" s="4">
        <f t="shared" si="14"/>
        <v>35082</v>
      </c>
      <c r="R8" s="4">
        <f t="shared" si="14"/>
        <v>39331</v>
      </c>
      <c r="S8" s="4">
        <f t="shared" si="14"/>
        <v>44062</v>
      </c>
      <c r="T8" s="4">
        <f>SUM(T3:T7)</f>
        <v>46743</v>
      </c>
      <c r="U8" s="4">
        <f t="shared" ref="U8" si="15">SUM(U3:U7)</f>
        <v>57006</v>
      </c>
      <c r="V8" s="4">
        <f t="shared" ref="V8:X8" si="16">SUM(V3:V7)</f>
        <v>68127</v>
      </c>
      <c r="W8" s="4">
        <f t="shared" si="16"/>
        <v>0</v>
      </c>
      <c r="X8" s="4">
        <f t="shared" si="16"/>
        <v>0</v>
      </c>
      <c r="AA8" s="4">
        <f t="shared" si="0"/>
        <v>26914</v>
      </c>
      <c r="AB8" s="4">
        <f t="shared" si="1"/>
        <v>26974</v>
      </c>
      <c r="AC8" s="4">
        <f t="shared" si="2"/>
        <v>60922</v>
      </c>
      <c r="AD8" s="4">
        <f t="shared" si="3"/>
        <v>130497</v>
      </c>
      <c r="AE8" s="4">
        <f>SUM(AE3:AE7)</f>
        <v>215938</v>
      </c>
      <c r="AF8" s="4">
        <v>253590</v>
      </c>
    </row>
    <row r="9" spans="1:32" s="4" customFormat="1" x14ac:dyDescent="0.25">
      <c r="A9" s="2"/>
      <c r="B9" s="2" t="s">
        <v>17</v>
      </c>
      <c r="K9" s="4">
        <v>2544</v>
      </c>
      <c r="L9" s="4">
        <v>4045</v>
      </c>
      <c r="M9" s="4">
        <v>4720</v>
      </c>
      <c r="N9" s="4">
        <v>5312</v>
      </c>
      <c r="O9" s="4">
        <v>5638</v>
      </c>
      <c r="P9" s="4">
        <v>7466</v>
      </c>
      <c r="Q9" s="4">
        <v>8926</v>
      </c>
      <c r="R9" s="4">
        <v>10608</v>
      </c>
      <c r="S9" s="4">
        <v>17394</v>
      </c>
      <c r="T9" s="4">
        <v>12890</v>
      </c>
      <c r="U9" s="4">
        <v>15157</v>
      </c>
      <c r="V9" s="4">
        <v>17034</v>
      </c>
      <c r="AC9" s="4">
        <f t="shared" si="2"/>
        <v>16621</v>
      </c>
      <c r="AD9" s="4">
        <f t="shared" si="3"/>
        <v>32638</v>
      </c>
      <c r="AE9" s="4">
        <f t="shared" si="4"/>
        <v>62475</v>
      </c>
    </row>
    <row r="10" spans="1:32" s="8" customFormat="1" x14ac:dyDescent="0.25">
      <c r="A10" s="7"/>
      <c r="B10" s="7" t="s">
        <v>18</v>
      </c>
      <c r="C10" s="8">
        <f t="shared" ref="C10" si="17">C8-C9</f>
        <v>5661</v>
      </c>
      <c r="D10" s="8">
        <f t="shared" ref="D10" si="18">D8-D9</f>
        <v>6507</v>
      </c>
      <c r="E10" s="8">
        <f t="shared" ref="E10" si="19">E8-E9</f>
        <v>7103</v>
      </c>
      <c r="F10" s="8">
        <f t="shared" ref="F10" si="20">F8-F9</f>
        <v>7643</v>
      </c>
      <c r="G10" s="8">
        <f t="shared" ref="G10" si="21">G8-G9</f>
        <v>8288</v>
      </c>
      <c r="H10" s="8">
        <f t="shared" ref="H10" si="22">H8-H9</f>
        <v>6704</v>
      </c>
      <c r="I10" s="8">
        <f t="shared" ref="I10" si="23">I8-I9</f>
        <v>5931</v>
      </c>
      <c r="J10" s="8">
        <f t="shared" ref="J10" si="24">J8-J9</f>
        <v>6051</v>
      </c>
      <c r="K10" s="8">
        <f t="shared" ref="K10:N10" si="25">K8-K9</f>
        <v>4648</v>
      </c>
      <c r="L10" s="8">
        <f t="shared" si="25"/>
        <v>9462</v>
      </c>
      <c r="M10" s="8">
        <f t="shared" si="25"/>
        <v>13400</v>
      </c>
      <c r="N10" s="8">
        <f t="shared" si="25"/>
        <v>16791</v>
      </c>
      <c r="O10" s="8">
        <f>O8-O9</f>
        <v>20406</v>
      </c>
      <c r="P10" s="8">
        <f t="shared" ref="P10:U10" si="26">P8-P9</f>
        <v>22574</v>
      </c>
      <c r="Q10" s="8">
        <f t="shared" si="26"/>
        <v>26156</v>
      </c>
      <c r="R10" s="8">
        <f t="shared" si="26"/>
        <v>28723</v>
      </c>
      <c r="S10" s="8">
        <f t="shared" si="26"/>
        <v>26668</v>
      </c>
      <c r="T10" s="8">
        <f t="shared" si="26"/>
        <v>33853</v>
      </c>
      <c r="U10" s="8">
        <f t="shared" si="26"/>
        <v>41849</v>
      </c>
      <c r="V10" s="8">
        <f t="shared" ref="V10:X10" si="27">V8-V9</f>
        <v>51093</v>
      </c>
      <c r="W10" s="8">
        <f t="shared" si="27"/>
        <v>0</v>
      </c>
      <c r="X10" s="8">
        <f t="shared" si="27"/>
        <v>0</v>
      </c>
      <c r="AC10" s="8">
        <f t="shared" ref="AC10" si="28">AC8-AC9</f>
        <v>44301</v>
      </c>
      <c r="AD10" s="8">
        <f t="shared" ref="AD10:AF10" si="29">AD8-AD9</f>
        <v>97859</v>
      </c>
      <c r="AE10" s="8">
        <f t="shared" si="29"/>
        <v>153463</v>
      </c>
      <c r="AF10" s="8">
        <f t="shared" si="29"/>
        <v>253590</v>
      </c>
    </row>
    <row r="11" spans="1:32" s="4" customFormat="1" x14ac:dyDescent="0.25">
      <c r="A11" s="2"/>
      <c r="B11" s="2" t="s">
        <v>19</v>
      </c>
      <c r="K11" s="4">
        <v>1875</v>
      </c>
      <c r="L11" s="4">
        <v>2040</v>
      </c>
      <c r="M11" s="4">
        <v>2294</v>
      </c>
      <c r="N11" s="4">
        <v>2465</v>
      </c>
      <c r="O11" s="4">
        <v>2720</v>
      </c>
      <c r="P11" s="4">
        <v>3090</v>
      </c>
      <c r="Q11" s="4">
        <v>3390</v>
      </c>
      <c r="R11" s="4">
        <v>3714</v>
      </c>
      <c r="S11" s="4">
        <v>3989</v>
      </c>
      <c r="T11" s="4">
        <v>4291</v>
      </c>
      <c r="U11" s="4">
        <v>4705</v>
      </c>
      <c r="V11" s="4">
        <v>5512</v>
      </c>
      <c r="AC11" s="4">
        <f t="shared" si="2"/>
        <v>8674</v>
      </c>
      <c r="AD11" s="4">
        <f t="shared" si="3"/>
        <v>12914</v>
      </c>
      <c r="AE11" s="4">
        <f t="shared" si="4"/>
        <v>18497</v>
      </c>
    </row>
    <row r="12" spans="1:32" s="4" customFormat="1" x14ac:dyDescent="0.25">
      <c r="A12" s="2"/>
      <c r="B12" s="2" t="s">
        <v>20</v>
      </c>
      <c r="K12" s="4">
        <v>633</v>
      </c>
      <c r="L12" s="4">
        <v>622</v>
      </c>
      <c r="M12" s="4">
        <v>689</v>
      </c>
      <c r="N12" s="4">
        <v>711</v>
      </c>
      <c r="O12" s="4">
        <v>777</v>
      </c>
      <c r="P12" s="4">
        <v>842</v>
      </c>
      <c r="Q12" s="4">
        <v>897</v>
      </c>
      <c r="R12" s="4">
        <v>975</v>
      </c>
      <c r="S12" s="4">
        <v>1041</v>
      </c>
      <c r="T12" s="4">
        <v>1122</v>
      </c>
      <c r="U12" s="4">
        <v>1134</v>
      </c>
      <c r="V12" s="4">
        <v>1282</v>
      </c>
      <c r="AC12" s="4">
        <f t="shared" si="2"/>
        <v>2655</v>
      </c>
      <c r="AD12" s="4">
        <f t="shared" si="3"/>
        <v>3491</v>
      </c>
      <c r="AE12" s="4">
        <f t="shared" si="4"/>
        <v>4579</v>
      </c>
    </row>
    <row r="13" spans="1:32" s="8" customFormat="1" x14ac:dyDescent="0.25">
      <c r="A13" s="7"/>
      <c r="B13" s="7" t="s">
        <v>21</v>
      </c>
      <c r="C13" s="8">
        <f t="shared" ref="C13" si="30">+C12+C11</f>
        <v>0</v>
      </c>
      <c r="D13" s="8">
        <f t="shared" ref="D13" si="31">+D12+D11</f>
        <v>0</v>
      </c>
      <c r="E13" s="8">
        <f t="shared" ref="E13" si="32">+E12+E11</f>
        <v>0</v>
      </c>
      <c r="F13" s="8">
        <f t="shared" ref="F13" si="33">+F12+F11</f>
        <v>0</v>
      </c>
      <c r="G13" s="8">
        <f t="shared" ref="G13" si="34">+G12+G11</f>
        <v>0</v>
      </c>
      <c r="H13" s="8">
        <f t="shared" ref="H13" si="35">+H12+H11</f>
        <v>0</v>
      </c>
      <c r="I13" s="8">
        <f t="shared" ref="I13" si="36">+I12+I11</f>
        <v>0</v>
      </c>
      <c r="J13" s="8">
        <f t="shared" ref="J13" si="37">+J12+J11</f>
        <v>0</v>
      </c>
      <c r="K13" s="8">
        <f t="shared" ref="K13:N13" si="38">+K12+K11</f>
        <v>2508</v>
      </c>
      <c r="L13" s="8">
        <f t="shared" si="38"/>
        <v>2662</v>
      </c>
      <c r="M13" s="8">
        <f t="shared" si="38"/>
        <v>2983</v>
      </c>
      <c r="N13" s="8">
        <f t="shared" si="38"/>
        <v>3176</v>
      </c>
      <c r="O13" s="8">
        <f>+O12+O11</f>
        <v>3497</v>
      </c>
      <c r="P13" s="8">
        <f t="shared" ref="P13:X13" si="39">+P12+P11</f>
        <v>3932</v>
      </c>
      <c r="Q13" s="8">
        <f t="shared" si="39"/>
        <v>4287</v>
      </c>
      <c r="R13" s="8">
        <f t="shared" si="39"/>
        <v>4689</v>
      </c>
      <c r="S13" s="8">
        <f t="shared" si="39"/>
        <v>5030</v>
      </c>
      <c r="T13" s="8">
        <f t="shared" si="39"/>
        <v>5413</v>
      </c>
      <c r="U13" s="8">
        <f t="shared" si="39"/>
        <v>5839</v>
      </c>
      <c r="V13" s="8">
        <f t="shared" si="39"/>
        <v>6794</v>
      </c>
      <c r="W13" s="8">
        <f t="shared" si="39"/>
        <v>0</v>
      </c>
      <c r="X13" s="8">
        <f t="shared" si="39"/>
        <v>0</v>
      </c>
      <c r="AC13" s="8">
        <f t="shared" ref="AC13" si="40">+AC12+AC11</f>
        <v>11329</v>
      </c>
      <c r="AD13" s="8">
        <f t="shared" ref="AD13:AF13" si="41">+AD12+AD11</f>
        <v>16405</v>
      </c>
      <c r="AE13" s="8">
        <f t="shared" si="41"/>
        <v>23076</v>
      </c>
      <c r="AF13" s="8">
        <f t="shared" si="41"/>
        <v>0</v>
      </c>
    </row>
    <row r="14" spans="1:32" s="8" customFormat="1" x14ac:dyDescent="0.25">
      <c r="A14" s="7"/>
      <c r="B14" s="7" t="s">
        <v>22</v>
      </c>
      <c r="C14" s="8">
        <f t="shared" ref="C14" si="42">C10-C13</f>
        <v>5661</v>
      </c>
      <c r="D14" s="8">
        <f t="shared" ref="D14" si="43">D10-D13</f>
        <v>6507</v>
      </c>
      <c r="E14" s="8">
        <f t="shared" ref="E14" si="44">E10-E13</f>
        <v>7103</v>
      </c>
      <c r="F14" s="8">
        <f t="shared" ref="F14" si="45">F10-F13</f>
        <v>7643</v>
      </c>
      <c r="G14" s="8">
        <f t="shared" ref="G14" si="46">G10-G13</f>
        <v>8288</v>
      </c>
      <c r="H14" s="8">
        <f t="shared" ref="H14" si="47">H10-H13</f>
        <v>6704</v>
      </c>
      <c r="I14" s="8">
        <f t="shared" ref="I14" si="48">I10-I13</f>
        <v>5931</v>
      </c>
      <c r="J14" s="8">
        <f t="shared" ref="J14" si="49">J10-J13</f>
        <v>6051</v>
      </c>
      <c r="K14" s="8">
        <f t="shared" ref="K14:N14" si="50">K10-K13</f>
        <v>2140</v>
      </c>
      <c r="L14" s="8">
        <f t="shared" si="50"/>
        <v>6800</v>
      </c>
      <c r="M14" s="8">
        <f t="shared" si="50"/>
        <v>10417</v>
      </c>
      <c r="N14" s="8">
        <f t="shared" si="50"/>
        <v>13615</v>
      </c>
      <c r="O14" s="8">
        <f>O10-O13</f>
        <v>16909</v>
      </c>
      <c r="P14" s="8">
        <f t="shared" ref="P14:S14" si="51">P10-P13</f>
        <v>18642</v>
      </c>
      <c r="Q14" s="8">
        <f t="shared" si="51"/>
        <v>21869</v>
      </c>
      <c r="R14" s="8">
        <f t="shared" si="51"/>
        <v>24034</v>
      </c>
      <c r="S14" s="8">
        <f t="shared" si="51"/>
        <v>21638</v>
      </c>
      <c r="T14" s="8">
        <v>28440</v>
      </c>
      <c r="U14" s="8">
        <f t="shared" ref="U14:V14" si="52">U10-U13</f>
        <v>36010</v>
      </c>
      <c r="V14" s="8">
        <f t="shared" si="52"/>
        <v>44299</v>
      </c>
      <c r="W14" s="8">
        <f t="shared" ref="W14:X14" si="53">W10-W13</f>
        <v>0</v>
      </c>
      <c r="X14" s="8">
        <f t="shared" si="53"/>
        <v>0</v>
      </c>
      <c r="AC14" s="8">
        <f t="shared" ref="AC14" si="54">AC10-AC13</f>
        <v>32972</v>
      </c>
      <c r="AD14" s="8">
        <f t="shared" ref="AD14:AF14" si="55">AD10-AD13</f>
        <v>81454</v>
      </c>
      <c r="AE14" s="8">
        <f t="shared" si="55"/>
        <v>130387</v>
      </c>
      <c r="AF14" s="8">
        <f t="shared" si="55"/>
        <v>253590</v>
      </c>
    </row>
    <row r="15" spans="1:32" s="4" customFormat="1" x14ac:dyDescent="0.25">
      <c r="A15" s="2"/>
      <c r="B15" s="2" t="s">
        <v>23</v>
      </c>
      <c r="K15" s="4">
        <f>150-66-15</f>
        <v>69</v>
      </c>
      <c r="L15" s="4">
        <f>187-65+59</f>
        <v>181</v>
      </c>
      <c r="M15" s="4">
        <f>234-63-66</f>
        <v>105</v>
      </c>
      <c r="N15" s="4">
        <f>294-63+260</f>
        <v>491</v>
      </c>
      <c r="O15" s="4">
        <f>359-64+75</f>
        <v>370</v>
      </c>
      <c r="P15" s="4">
        <f>444-61+189</f>
        <v>572</v>
      </c>
      <c r="Q15" s="4">
        <f>472-61+36</f>
        <v>447</v>
      </c>
      <c r="R15" s="4">
        <f>511-61+733</f>
        <v>1183</v>
      </c>
      <c r="S15" s="4">
        <f>515-63-180</f>
        <v>272</v>
      </c>
      <c r="T15" s="4">
        <f>592-62+2236</f>
        <v>2766</v>
      </c>
      <c r="U15" s="4">
        <f>624-61+1363</f>
        <v>1926</v>
      </c>
      <c r="V15" s="4">
        <v>6098</v>
      </c>
      <c r="AC15" s="4">
        <f t="shared" si="2"/>
        <v>846</v>
      </c>
      <c r="AD15" s="4">
        <f t="shared" si="3"/>
        <v>2572</v>
      </c>
      <c r="AE15" s="4">
        <f t="shared" ref="AE15" si="56">SUM(S15:V15)</f>
        <v>11062</v>
      </c>
    </row>
    <row r="16" spans="1:32" s="8" customFormat="1" x14ac:dyDescent="0.25">
      <c r="A16" s="7"/>
      <c r="B16" s="7" t="s">
        <v>24</v>
      </c>
      <c r="C16" s="8">
        <f t="shared" ref="C16" si="57">C14+C15</f>
        <v>5661</v>
      </c>
      <c r="D16" s="8">
        <f t="shared" ref="D16" si="58">D14+D15</f>
        <v>6507</v>
      </c>
      <c r="E16" s="8">
        <f t="shared" ref="E16" si="59">E14+E15</f>
        <v>7103</v>
      </c>
      <c r="F16" s="8">
        <f t="shared" ref="F16" si="60">F14+F15</f>
        <v>7643</v>
      </c>
      <c r="G16" s="8">
        <f t="shared" ref="G16" si="61">G14+G15</f>
        <v>8288</v>
      </c>
      <c r="H16" s="8">
        <f t="shared" ref="H16" si="62">H14+H15</f>
        <v>6704</v>
      </c>
      <c r="I16" s="8">
        <f t="shared" ref="I16" si="63">I14+I15</f>
        <v>5931</v>
      </c>
      <c r="J16" s="8">
        <f t="shared" ref="J16" si="64">J14+J15</f>
        <v>6051</v>
      </c>
      <c r="K16" s="8">
        <f t="shared" ref="K16:N16" si="65">K14+K15</f>
        <v>2209</v>
      </c>
      <c r="L16" s="8">
        <f t="shared" si="65"/>
        <v>6981</v>
      </c>
      <c r="M16" s="8">
        <f t="shared" si="65"/>
        <v>10522</v>
      </c>
      <c r="N16" s="8">
        <f t="shared" si="65"/>
        <v>14106</v>
      </c>
      <c r="O16" s="8">
        <f>O14+O15</f>
        <v>17279</v>
      </c>
      <c r="P16" s="8">
        <f t="shared" ref="P16:U16" si="66">P14+P15</f>
        <v>19214</v>
      </c>
      <c r="Q16" s="8">
        <f t="shared" si="66"/>
        <v>22316</v>
      </c>
      <c r="R16" s="8">
        <f t="shared" si="66"/>
        <v>25217</v>
      </c>
      <c r="S16" s="8">
        <f t="shared" si="66"/>
        <v>21910</v>
      </c>
      <c r="T16" s="8">
        <f t="shared" si="66"/>
        <v>31206</v>
      </c>
      <c r="U16" s="8">
        <f t="shared" si="66"/>
        <v>37936</v>
      </c>
      <c r="V16" s="8">
        <f t="shared" ref="V16:X16" si="67">V14+V15</f>
        <v>50397</v>
      </c>
      <c r="W16" s="8">
        <f t="shared" si="67"/>
        <v>0</v>
      </c>
      <c r="X16" s="8">
        <f t="shared" si="67"/>
        <v>0</v>
      </c>
      <c r="AC16" s="8">
        <f t="shared" ref="AC16" si="68">AC14+AC15</f>
        <v>33818</v>
      </c>
      <c r="AD16" s="8">
        <f t="shared" ref="AD16:AF16" si="69">AD14+AD15</f>
        <v>84026</v>
      </c>
      <c r="AE16" s="8">
        <f t="shared" si="69"/>
        <v>141449</v>
      </c>
      <c r="AF16" s="8">
        <f t="shared" si="69"/>
        <v>253590</v>
      </c>
    </row>
    <row r="17" spans="1:32" s="4" customFormat="1" x14ac:dyDescent="0.25">
      <c r="A17" s="2"/>
      <c r="B17" s="2" t="s">
        <v>25</v>
      </c>
      <c r="K17" s="4">
        <v>166</v>
      </c>
      <c r="L17" s="4">
        <v>793</v>
      </c>
      <c r="M17" s="4">
        <v>1279</v>
      </c>
      <c r="N17" s="4">
        <v>1821</v>
      </c>
      <c r="O17" s="4">
        <v>2398</v>
      </c>
      <c r="P17" s="4">
        <v>2615</v>
      </c>
      <c r="Q17" s="4">
        <v>3007</v>
      </c>
      <c r="R17" s="4">
        <v>3126</v>
      </c>
      <c r="S17" s="4">
        <v>3135</v>
      </c>
      <c r="T17" s="4">
        <v>4784</v>
      </c>
      <c r="U17" s="4">
        <v>6026</v>
      </c>
      <c r="V17" s="4">
        <v>7437</v>
      </c>
      <c r="AC17" s="4">
        <f t="shared" si="2"/>
        <v>4059</v>
      </c>
      <c r="AD17" s="4">
        <f t="shared" si="3"/>
        <v>11146</v>
      </c>
      <c r="AE17" s="4">
        <f>SUM(S17:V17)</f>
        <v>21382</v>
      </c>
    </row>
    <row r="18" spans="1:32" s="8" customFormat="1" x14ac:dyDescent="0.25">
      <c r="A18" s="7"/>
      <c r="B18" s="7" t="s">
        <v>26</v>
      </c>
      <c r="C18" s="8">
        <f t="shared" ref="C18" si="70">C16-C17</f>
        <v>5661</v>
      </c>
      <c r="D18" s="8">
        <f t="shared" ref="D18" si="71">D16-D17</f>
        <v>6507</v>
      </c>
      <c r="E18" s="8">
        <f t="shared" ref="E18" si="72">E16-E17</f>
        <v>7103</v>
      </c>
      <c r="F18" s="8">
        <f t="shared" ref="F18" si="73">F16-F17</f>
        <v>7643</v>
      </c>
      <c r="G18" s="8">
        <f t="shared" ref="G18" si="74">G16-G17</f>
        <v>8288</v>
      </c>
      <c r="H18" s="8">
        <f t="shared" ref="H18" si="75">H16-H17</f>
        <v>6704</v>
      </c>
      <c r="I18" s="8">
        <f t="shared" ref="I18" si="76">I16-I17</f>
        <v>5931</v>
      </c>
      <c r="J18" s="8">
        <f t="shared" ref="J18" si="77">J16-J17</f>
        <v>6051</v>
      </c>
      <c r="K18" s="8">
        <f t="shared" ref="K18:N18" si="78">K16-K17</f>
        <v>2043</v>
      </c>
      <c r="L18" s="8">
        <f t="shared" si="78"/>
        <v>6188</v>
      </c>
      <c r="M18" s="8">
        <f t="shared" si="78"/>
        <v>9243</v>
      </c>
      <c r="N18" s="8">
        <f t="shared" si="78"/>
        <v>12285</v>
      </c>
      <c r="O18" s="8">
        <f>O16-O17</f>
        <v>14881</v>
      </c>
      <c r="P18" s="8">
        <f t="shared" ref="P18:U18" si="79">P16-P17</f>
        <v>16599</v>
      </c>
      <c r="Q18" s="8">
        <f t="shared" si="79"/>
        <v>19309</v>
      </c>
      <c r="R18" s="8">
        <f t="shared" si="79"/>
        <v>22091</v>
      </c>
      <c r="S18" s="8">
        <f t="shared" si="79"/>
        <v>18775</v>
      </c>
      <c r="T18" s="8">
        <f t="shared" si="79"/>
        <v>26422</v>
      </c>
      <c r="U18" s="8">
        <f t="shared" si="79"/>
        <v>31910</v>
      </c>
      <c r="V18" s="8">
        <f t="shared" ref="V18:X18" si="80">V16-V17</f>
        <v>42960</v>
      </c>
      <c r="W18" s="8">
        <f t="shared" si="80"/>
        <v>0</v>
      </c>
      <c r="X18" s="8">
        <f t="shared" si="80"/>
        <v>0</v>
      </c>
      <c r="AC18" s="8">
        <f t="shared" ref="AC18" si="81">AC16-AC17</f>
        <v>29759</v>
      </c>
      <c r="AD18" s="8">
        <f t="shared" ref="AD18:AF18" si="82">AD16-AD17</f>
        <v>72880</v>
      </c>
      <c r="AE18" s="8">
        <f t="shared" si="82"/>
        <v>120067</v>
      </c>
      <c r="AF18" s="8">
        <f t="shared" si="82"/>
        <v>253590</v>
      </c>
    </row>
    <row r="19" spans="1:32" s="4" customFormat="1" x14ac:dyDescent="0.25">
      <c r="A19" s="2"/>
      <c r="B19" s="2" t="s">
        <v>2</v>
      </c>
      <c r="K19" s="4">
        <v>24700</v>
      </c>
      <c r="L19" s="4">
        <v>24729</v>
      </c>
      <c r="M19" s="4">
        <v>24680</v>
      </c>
      <c r="N19" s="4">
        <v>24660</v>
      </c>
      <c r="O19" s="4">
        <v>24620</v>
      </c>
      <c r="P19" s="4">
        <v>24578</v>
      </c>
      <c r="Q19" s="4">
        <v>24533</v>
      </c>
      <c r="R19" s="4">
        <v>24489</v>
      </c>
      <c r="S19" s="4">
        <v>24441</v>
      </c>
      <c r="T19" s="4">
        <v>24366</v>
      </c>
      <c r="U19" s="4">
        <v>24327</v>
      </c>
      <c r="V19" s="4">
        <v>24304</v>
      </c>
      <c r="AC19" s="4">
        <v>24660</v>
      </c>
      <c r="AD19" s="4">
        <v>24489</v>
      </c>
      <c r="AE19" s="4">
        <f>V19</f>
        <v>24304</v>
      </c>
      <c r="AF19" s="4" t="e">
        <f t="shared" ref="AF19" si="83">AF18/AF20</f>
        <v>#DIV/0!</v>
      </c>
    </row>
    <row r="20" spans="1:32" s="7" customFormat="1" x14ac:dyDescent="0.25">
      <c r="B20" s="7" t="s">
        <v>27</v>
      </c>
      <c r="C20" s="10" t="e">
        <f t="shared" ref="C20" si="84">C18/C19</f>
        <v>#DIV/0!</v>
      </c>
      <c r="D20" s="10" t="e">
        <f t="shared" ref="D20" si="85">D18/D19</f>
        <v>#DIV/0!</v>
      </c>
      <c r="E20" s="10" t="e">
        <f t="shared" ref="E20" si="86">E18/E19</f>
        <v>#DIV/0!</v>
      </c>
      <c r="F20" s="10" t="e">
        <f t="shared" ref="F20" si="87">F18/F19</f>
        <v>#DIV/0!</v>
      </c>
      <c r="G20" s="10" t="e">
        <f t="shared" ref="G20" si="88">G18/G19</f>
        <v>#DIV/0!</v>
      </c>
      <c r="H20" s="10" t="e">
        <f t="shared" ref="H20" si="89">H18/H19</f>
        <v>#DIV/0!</v>
      </c>
      <c r="I20" s="10" t="e">
        <f t="shared" ref="I20" si="90">I18/I19</f>
        <v>#DIV/0!</v>
      </c>
      <c r="J20" s="10" t="e">
        <f t="shared" ref="J20" si="91">J18/J19</f>
        <v>#DIV/0!</v>
      </c>
      <c r="K20" s="10">
        <f t="shared" ref="K20:N20" si="92">K18/K19</f>
        <v>8.2712550607287452E-2</v>
      </c>
      <c r="L20" s="10">
        <f t="shared" si="92"/>
        <v>0.25023252052246353</v>
      </c>
      <c r="M20" s="10">
        <f t="shared" si="92"/>
        <v>0.37451377633711508</v>
      </c>
      <c r="N20" s="10">
        <f t="shared" si="92"/>
        <v>0.4981751824817518</v>
      </c>
      <c r="O20" s="10">
        <f>O18/O19</f>
        <v>0.60442729488220959</v>
      </c>
      <c r="P20" s="10">
        <f t="shared" ref="P20:U20" si="93">P18/P19</f>
        <v>0.67536007811864274</v>
      </c>
      <c r="Q20" s="10">
        <f t="shared" si="93"/>
        <v>0.78706232421636169</v>
      </c>
      <c r="R20" s="10">
        <f t="shared" si="93"/>
        <v>0.90207848421740378</v>
      </c>
      <c r="S20" s="10">
        <f t="shared" si="93"/>
        <v>0.76817642485986659</v>
      </c>
      <c r="T20" s="7">
        <v>1.08</v>
      </c>
      <c r="U20" s="10">
        <f t="shared" si="93"/>
        <v>1.3117112673161508</v>
      </c>
      <c r="V20" s="10">
        <f t="shared" ref="V20:X20" si="94">V18/V19</f>
        <v>1.7676102699144174</v>
      </c>
      <c r="W20" s="10" t="e">
        <f t="shared" si="94"/>
        <v>#DIV/0!</v>
      </c>
      <c r="X20" s="10" t="e">
        <f t="shared" si="94"/>
        <v>#DIV/0!</v>
      </c>
      <c r="AC20" s="10">
        <f t="shared" ref="AC20" si="95">AC18/AC19</f>
        <v>1.206772100567721</v>
      </c>
      <c r="AD20" s="10">
        <f t="shared" ref="AD20:AF20" si="96">AD18/AD19</f>
        <v>2.9760300543100984</v>
      </c>
      <c r="AE20" s="10">
        <f t="shared" si="96"/>
        <v>4.9402156023699799</v>
      </c>
      <c r="AF20" s="10"/>
    </row>
    <row r="23" spans="1:32" x14ac:dyDescent="0.25">
      <c r="B23" s="2" t="s">
        <v>93</v>
      </c>
      <c r="C23" s="11"/>
      <c r="D23" s="11"/>
      <c r="E23" s="11"/>
      <c r="F23" s="11"/>
      <c r="G23" s="11"/>
      <c r="H23" s="11"/>
      <c r="I23" s="11"/>
      <c r="J23" s="11"/>
      <c r="K23" s="11">
        <f t="shared" ref="K23:R23" si="97">K10/K8</f>
        <v>0.64627363737486099</v>
      </c>
      <c r="L23" s="11">
        <f t="shared" si="97"/>
        <v>0.7005256533649219</v>
      </c>
      <c r="M23" s="11">
        <f t="shared" si="97"/>
        <v>0.73951434878587197</v>
      </c>
      <c r="N23" s="11">
        <f t="shared" si="97"/>
        <v>0.75967063294575399</v>
      </c>
      <c r="O23" s="11">
        <f t="shared" si="97"/>
        <v>0.78352019659038552</v>
      </c>
      <c r="P23" s="11">
        <f t="shared" si="97"/>
        <v>0.75146471371504664</v>
      </c>
      <c r="Q23" s="11">
        <f t="shared" si="97"/>
        <v>0.74556752750698363</v>
      </c>
      <c r="R23" s="11">
        <f t="shared" si="97"/>
        <v>0.73028908494571709</v>
      </c>
      <c r="S23" s="11">
        <f>S10/S8</f>
        <v>0.60523807362353044</v>
      </c>
      <c r="T23" s="11">
        <f t="shared" ref="T23:V23" si="98">T10/T8</f>
        <v>0.72423678411740799</v>
      </c>
      <c r="U23" s="11">
        <f t="shared" si="98"/>
        <v>0.7341157071185489</v>
      </c>
      <c r="V23" s="11">
        <f t="shared" si="98"/>
        <v>0.74996697344665109</v>
      </c>
      <c r="W23" s="11" t="e">
        <f t="shared" ref="W23:X23" si="99">W10/W8</f>
        <v>#DIV/0!</v>
      </c>
      <c r="X23" s="11" t="e">
        <f t="shared" si="99"/>
        <v>#DIV/0!</v>
      </c>
      <c r="AC23" s="11">
        <f t="shared" ref="AC23:AD23" si="100">AC10/AC8</f>
        <v>0.72717573290436954</v>
      </c>
      <c r="AD23" s="11">
        <f t="shared" si="100"/>
        <v>0.74989463359310937</v>
      </c>
      <c r="AE23" s="11">
        <f t="shared" ref="AE23:AF23" si="101">AE10/AE8</f>
        <v>0.71068084357547079</v>
      </c>
      <c r="AF23" s="11">
        <f t="shared" si="101"/>
        <v>1</v>
      </c>
    </row>
    <row r="24" spans="1:32" x14ac:dyDescent="0.25">
      <c r="B24" s="2" t="s">
        <v>94</v>
      </c>
      <c r="C24" s="11"/>
      <c r="D24" s="11"/>
      <c r="E24" s="11"/>
      <c r="F24" s="11"/>
      <c r="G24" s="11"/>
      <c r="H24" s="11"/>
      <c r="I24" s="11"/>
      <c r="J24" s="11"/>
      <c r="K24" s="11">
        <f t="shared" ref="K24:R24" si="102">K14/K8</f>
        <v>0.29755283648498332</v>
      </c>
      <c r="L24" s="11">
        <f t="shared" si="102"/>
        <v>0.50344265936181243</v>
      </c>
      <c r="M24" s="11">
        <f t="shared" si="102"/>
        <v>0.5748896247240618</v>
      </c>
      <c r="N24" s="11">
        <f t="shared" si="102"/>
        <v>0.61597973125820027</v>
      </c>
      <c r="O24" s="11">
        <f t="shared" si="102"/>
        <v>0.64924742743050223</v>
      </c>
      <c r="P24" s="11">
        <f t="shared" si="102"/>
        <v>0.62057256990679099</v>
      </c>
      <c r="Q24" s="11">
        <f t="shared" si="102"/>
        <v>0.62336810900176731</v>
      </c>
      <c r="R24" s="11">
        <f t="shared" si="102"/>
        <v>0.61107014822913219</v>
      </c>
      <c r="S24" s="11">
        <f>S14/S8</f>
        <v>0.49108074985248057</v>
      </c>
      <c r="T24" s="11">
        <f t="shared" ref="T24:V24" si="103">T14/T8</f>
        <v>0.60843334830883766</v>
      </c>
      <c r="U24" s="11">
        <f t="shared" si="103"/>
        <v>0.63168789250254365</v>
      </c>
      <c r="V24" s="11">
        <f t="shared" si="103"/>
        <v>0.65024146080115075</v>
      </c>
      <c r="W24" s="11" t="e">
        <f t="shared" ref="W24:X24" si="104">W14/W8</f>
        <v>#DIV/0!</v>
      </c>
      <c r="X24" s="11" t="e">
        <f t="shared" si="104"/>
        <v>#DIV/0!</v>
      </c>
      <c r="AC24" s="11">
        <f t="shared" ref="AC24:AD24" si="105">AC14/AC8</f>
        <v>0.54121663766783756</v>
      </c>
      <c r="AD24" s="11">
        <f t="shared" si="105"/>
        <v>0.62418293140838488</v>
      </c>
      <c r="AE24" s="11">
        <f t="shared" ref="AE24:AF24" si="106">AE14/AE8</f>
        <v>0.60381683631412719</v>
      </c>
      <c r="AF24" s="11">
        <f t="shared" si="106"/>
        <v>1</v>
      </c>
    </row>
    <row r="25" spans="1:32" x14ac:dyDescent="0.25">
      <c r="B25" s="2" t="s">
        <v>95</v>
      </c>
      <c r="C25" s="11"/>
      <c r="D25" s="11"/>
      <c r="E25" s="11"/>
      <c r="F25" s="11"/>
      <c r="G25" s="11"/>
      <c r="H25" s="11"/>
      <c r="I25" s="11"/>
      <c r="J25" s="11"/>
      <c r="K25" s="11">
        <f t="shared" ref="K25:R25" si="107">K18/K8</f>
        <v>0.28406562847608452</v>
      </c>
      <c r="L25" s="11">
        <f t="shared" si="107"/>
        <v>0.45813282001924927</v>
      </c>
      <c r="M25" s="11">
        <f t="shared" si="107"/>
        <v>0.51009933774834437</v>
      </c>
      <c r="N25" s="11">
        <f t="shared" si="107"/>
        <v>0.55580690404017552</v>
      </c>
      <c r="O25" s="11">
        <f t="shared" si="107"/>
        <v>0.57137920442328372</v>
      </c>
      <c r="P25" s="11">
        <f t="shared" si="107"/>
        <v>0.55256324900133158</v>
      </c>
      <c r="Q25" s="11">
        <f t="shared" si="107"/>
        <v>0.55039621458297705</v>
      </c>
      <c r="R25" s="11">
        <f t="shared" si="107"/>
        <v>0.56166891256260965</v>
      </c>
      <c r="S25" s="11">
        <f>S18/S8</f>
        <v>0.42610412600426673</v>
      </c>
      <c r="T25" s="11">
        <f t="shared" ref="T25:V25" si="108">T18/T8</f>
        <v>0.56526110861519374</v>
      </c>
      <c r="U25" s="11">
        <f t="shared" si="108"/>
        <v>0.55976563870469775</v>
      </c>
      <c r="V25" s="11">
        <f t="shared" si="108"/>
        <v>0.63058699194152101</v>
      </c>
      <c r="W25" s="11" t="e">
        <f t="shared" ref="W25:X25" si="109">W18/W8</f>
        <v>#DIV/0!</v>
      </c>
      <c r="X25" s="11" t="e">
        <f t="shared" si="109"/>
        <v>#DIV/0!</v>
      </c>
      <c r="AC25" s="11">
        <f t="shared" ref="AC25:AF25" si="110">AC18/AC8</f>
        <v>0.48847706903909915</v>
      </c>
      <c r="AD25" s="11">
        <f t="shared" si="110"/>
        <v>0.55848027157712443</v>
      </c>
      <c r="AE25" s="11">
        <f t="shared" ref="AE25:AF25" si="111">AE18/AE8</f>
        <v>0.55602534060702613</v>
      </c>
      <c r="AF25" s="11">
        <f t="shared" si="111"/>
        <v>1</v>
      </c>
    </row>
    <row r="26" spans="1:32" x14ac:dyDescent="0.25"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AC26" s="11"/>
      <c r="AD26" s="11"/>
      <c r="AE26" s="11"/>
      <c r="AF26" s="11"/>
    </row>
    <row r="27" spans="1:32" x14ac:dyDescent="0.25">
      <c r="B27" s="2" t="s">
        <v>96</v>
      </c>
      <c r="C27" s="11"/>
      <c r="D27" s="11"/>
      <c r="E27" s="11"/>
      <c r="F27" s="11"/>
      <c r="G27" s="11"/>
      <c r="H27" s="11"/>
      <c r="I27" s="11"/>
      <c r="J27" s="11"/>
      <c r="K27" s="11">
        <f t="shared" ref="K27:R27" si="112">K11/K10</f>
        <v>0.40339931153184166</v>
      </c>
      <c r="L27" s="11">
        <f t="shared" si="112"/>
        <v>0.21559923906150918</v>
      </c>
      <c r="M27" s="11">
        <f t="shared" si="112"/>
        <v>0.17119402985074628</v>
      </c>
      <c r="N27" s="11">
        <f t="shared" si="112"/>
        <v>0.14680483592400692</v>
      </c>
      <c r="O27" s="11">
        <f t="shared" si="112"/>
        <v>0.13329412917769284</v>
      </c>
      <c r="P27" s="11">
        <f t="shared" si="112"/>
        <v>0.13688313989545495</v>
      </c>
      <c r="Q27" s="11">
        <f t="shared" si="112"/>
        <v>0.12960697354335526</v>
      </c>
      <c r="R27" s="11">
        <f t="shared" si="112"/>
        <v>0.1293040420568882</v>
      </c>
      <c r="S27" s="11">
        <f>S11/S10</f>
        <v>0.14958002099895004</v>
      </c>
      <c r="T27" s="11">
        <f t="shared" ref="T27:V27" si="113">T11/T10</f>
        <v>0.12675390659616578</v>
      </c>
      <c r="U27" s="11">
        <f t="shared" si="113"/>
        <v>0.11242801500633229</v>
      </c>
      <c r="V27" s="11">
        <f t="shared" si="113"/>
        <v>0.10788170590883291</v>
      </c>
      <c r="W27" s="11" t="e">
        <f t="shared" ref="W27:X27" si="114">W11/W10</f>
        <v>#DIV/0!</v>
      </c>
      <c r="X27" s="11" t="e">
        <f t="shared" si="114"/>
        <v>#DIV/0!</v>
      </c>
      <c r="AC27" s="11">
        <f t="shared" ref="AC27:AD27" si="115">AC11/AC10</f>
        <v>0.19579693460644229</v>
      </c>
      <c r="AD27" s="11">
        <f t="shared" si="115"/>
        <v>0.13196537875923522</v>
      </c>
      <c r="AE27" s="11">
        <f t="shared" ref="AE27:AF27" si="116">AE11/AE10</f>
        <v>0.12053068166268091</v>
      </c>
      <c r="AF27" s="11">
        <f t="shared" si="116"/>
        <v>0</v>
      </c>
    </row>
    <row r="28" spans="1:32" x14ac:dyDescent="0.25">
      <c r="B28" s="2" t="s">
        <v>97</v>
      </c>
      <c r="C28" s="11"/>
      <c r="D28" s="11"/>
      <c r="E28" s="11"/>
      <c r="F28" s="11"/>
      <c r="G28" s="11"/>
      <c r="H28" s="11"/>
      <c r="I28" s="11"/>
      <c r="J28" s="11"/>
      <c r="K28" s="11">
        <f t="shared" ref="K28:R28" si="117">K12/K10</f>
        <v>0.13618760757314974</v>
      </c>
      <c r="L28" s="11">
        <f t="shared" si="117"/>
        <v>6.5736630733460158E-2</v>
      </c>
      <c r="M28" s="11">
        <f t="shared" si="117"/>
        <v>5.1417910447761193E-2</v>
      </c>
      <c r="N28" s="11">
        <f t="shared" si="117"/>
        <v>4.2344112917634444E-2</v>
      </c>
      <c r="O28" s="11">
        <f t="shared" si="117"/>
        <v>3.8077036165833578E-2</v>
      </c>
      <c r="P28" s="11">
        <f t="shared" si="117"/>
        <v>3.7299548152742092E-2</v>
      </c>
      <c r="Q28" s="11">
        <f t="shared" si="117"/>
        <v>3.4294234592445329E-2</v>
      </c>
      <c r="R28" s="11">
        <f t="shared" si="117"/>
        <v>3.3944922187793755E-2</v>
      </c>
      <c r="S28" s="11">
        <f>S12/S10</f>
        <v>3.9035548222588867E-2</v>
      </c>
      <c r="T28" s="11">
        <f t="shared" ref="T28:V28" si="118">T12/T10</f>
        <v>3.314329601512421E-2</v>
      </c>
      <c r="U28" s="11">
        <f t="shared" si="118"/>
        <v>2.7097421682716432E-2</v>
      </c>
      <c r="V28" s="11">
        <f t="shared" si="118"/>
        <v>2.5091499814064548E-2</v>
      </c>
      <c r="W28" s="11" t="e">
        <f t="shared" ref="W28:X28" si="119">W12/W10</f>
        <v>#DIV/0!</v>
      </c>
      <c r="X28" s="11" t="e">
        <f t="shared" si="119"/>
        <v>#DIV/0!</v>
      </c>
      <c r="AC28" s="11">
        <f t="shared" ref="AC28:AD28" si="120">AC12/AC10</f>
        <v>5.9930927067109098E-2</v>
      </c>
      <c r="AD28" s="11">
        <f t="shared" si="120"/>
        <v>3.5673775534186943E-2</v>
      </c>
      <c r="AE28" s="11">
        <f t="shared" ref="AE28:AF28" si="121">AE12/AE10</f>
        <v>2.9837811068466013E-2</v>
      </c>
      <c r="AF28" s="11">
        <f t="shared" si="121"/>
        <v>0</v>
      </c>
    </row>
    <row r="29" spans="1:32" x14ac:dyDescent="0.25">
      <c r="B29" s="13" t="s">
        <v>112</v>
      </c>
      <c r="C29" s="11"/>
      <c r="D29" s="11"/>
      <c r="E29" s="11"/>
      <c r="F29" s="11"/>
      <c r="G29" s="11"/>
      <c r="H29" s="11"/>
      <c r="I29" s="11"/>
      <c r="J29" s="11"/>
      <c r="K29" s="11">
        <f t="shared" ref="K29:R29" si="122">K17/K16</f>
        <v>7.5147125396106837E-2</v>
      </c>
      <c r="L29" s="11">
        <f t="shared" si="122"/>
        <v>0.11359404096834265</v>
      </c>
      <c r="M29" s="11">
        <f t="shared" si="122"/>
        <v>0.12155483748336818</v>
      </c>
      <c r="N29" s="11">
        <f t="shared" si="122"/>
        <v>0.12909400255210549</v>
      </c>
      <c r="O29" s="11">
        <f t="shared" si="122"/>
        <v>0.13878117946640431</v>
      </c>
      <c r="P29" s="11">
        <f t="shared" si="122"/>
        <v>0.1360986780472572</v>
      </c>
      <c r="Q29" s="11">
        <f t="shared" si="122"/>
        <v>0.13474637031726117</v>
      </c>
      <c r="R29" s="11">
        <f t="shared" si="122"/>
        <v>0.1239639925447119</v>
      </c>
      <c r="S29" s="11">
        <f>S17/S16</f>
        <v>0.1430853491556367</v>
      </c>
      <c r="T29" s="11">
        <f t="shared" ref="T29:V29" si="123">T17/T16</f>
        <v>0.15330385182336731</v>
      </c>
      <c r="U29" s="11">
        <f t="shared" si="123"/>
        <v>0.15884647827920709</v>
      </c>
      <c r="V29" s="11">
        <f t="shared" si="123"/>
        <v>0.14756830763735937</v>
      </c>
      <c r="W29" s="11" t="e">
        <f t="shared" ref="W29:X29" si="124">W17/W16</f>
        <v>#DIV/0!</v>
      </c>
      <c r="X29" s="11" t="e">
        <f t="shared" si="124"/>
        <v>#DIV/0!</v>
      </c>
      <c r="AC29" s="11">
        <f t="shared" ref="AC29:AD29" si="125">AC17/AC16</f>
        <v>0.12002483884321959</v>
      </c>
      <c r="AD29" s="11">
        <f t="shared" si="125"/>
        <v>0.13264941803727417</v>
      </c>
      <c r="AE29" s="11">
        <f t="shared" ref="AE29:AF29" si="126">AE17/AE16</f>
        <v>0.15116402378242336</v>
      </c>
      <c r="AF29" s="11">
        <f t="shared" si="126"/>
        <v>0</v>
      </c>
    </row>
    <row r="30" spans="1:32" x14ac:dyDescent="0.25">
      <c r="B30" s="2" t="s">
        <v>98</v>
      </c>
      <c r="C30" s="11"/>
      <c r="D30" s="11"/>
      <c r="E30" s="11"/>
      <c r="F30" s="11"/>
      <c r="G30" s="11"/>
      <c r="H30" s="11"/>
      <c r="I30" s="11"/>
      <c r="J30" s="11"/>
      <c r="K30" s="11">
        <f t="shared" ref="K30:R30" si="127">K15/K14</f>
        <v>3.2242990654205606E-2</v>
      </c>
      <c r="L30" s="11">
        <f t="shared" si="127"/>
        <v>2.6617647058823531E-2</v>
      </c>
      <c r="M30" s="11">
        <f t="shared" si="127"/>
        <v>1.0079677450321589E-2</v>
      </c>
      <c r="N30" s="11">
        <f t="shared" si="127"/>
        <v>3.6063165626147628E-2</v>
      </c>
      <c r="O30" s="11">
        <f t="shared" si="127"/>
        <v>2.1881838074398249E-2</v>
      </c>
      <c r="P30" s="11">
        <f t="shared" si="127"/>
        <v>3.0683403068340307E-2</v>
      </c>
      <c r="Q30" s="11">
        <f t="shared" si="127"/>
        <v>2.0439892084686086E-2</v>
      </c>
      <c r="R30" s="11">
        <f t="shared" si="127"/>
        <v>4.9221935591245734E-2</v>
      </c>
      <c r="S30" s="11">
        <f>S15/S14</f>
        <v>1.2570477863018764E-2</v>
      </c>
      <c r="T30" s="11">
        <f t="shared" ref="T30:V30" si="128">T15/T14</f>
        <v>9.7257383966244726E-2</v>
      </c>
      <c r="U30" s="11">
        <f t="shared" si="128"/>
        <v>5.3485143015828934E-2</v>
      </c>
      <c r="V30" s="11">
        <f t="shared" si="128"/>
        <v>0.13765547755028329</v>
      </c>
      <c r="W30" s="11" t="e">
        <f t="shared" ref="W30:X30" si="129">W15/W14</f>
        <v>#DIV/0!</v>
      </c>
      <c r="X30" s="11" t="e">
        <f t="shared" si="129"/>
        <v>#DIV/0!</v>
      </c>
      <c r="AC30" s="11">
        <f t="shared" ref="AC30:AD30" si="130">AC15/AC14</f>
        <v>2.565813417445105E-2</v>
      </c>
      <c r="AD30" s="11">
        <f t="shared" si="130"/>
        <v>3.1576104304269895E-2</v>
      </c>
      <c r="AE30" s="11">
        <f t="shared" ref="AE30:AF30" si="131">AE15/AE14</f>
        <v>8.4839746293725607E-2</v>
      </c>
      <c r="AF30" s="11">
        <f t="shared" si="131"/>
        <v>0</v>
      </c>
    </row>
    <row r="32" spans="1:32" x14ac:dyDescent="0.25">
      <c r="B32" s="2" t="s">
        <v>90</v>
      </c>
      <c r="G32" s="11">
        <f t="shared" ref="G32:S32" si="132">G8/C8-1</f>
        <v>0.46405228758169925</v>
      </c>
      <c r="H32" s="11">
        <f t="shared" si="132"/>
        <v>3.0275088366374714E-2</v>
      </c>
      <c r="I32" s="11">
        <f t="shared" si="132"/>
        <v>-0.16500070392791777</v>
      </c>
      <c r="J32" s="11">
        <f t="shared" si="132"/>
        <v>-0.20829517205285886</v>
      </c>
      <c r="K32" s="11">
        <f t="shared" si="132"/>
        <v>-0.13223938223938225</v>
      </c>
      <c r="L32" s="11">
        <f t="shared" si="132"/>
        <v>1.0147673031026252</v>
      </c>
      <c r="M32" s="11">
        <f t="shared" si="132"/>
        <v>2.0551340414769852</v>
      </c>
      <c r="N32" s="11">
        <f t="shared" si="132"/>
        <v>2.6527846636919516</v>
      </c>
      <c r="O32" s="11">
        <f t="shared" si="132"/>
        <v>2.6212458286985538</v>
      </c>
      <c r="P32" s="11">
        <f t="shared" si="132"/>
        <v>1.2240319834160065</v>
      </c>
      <c r="Q32" s="11">
        <f t="shared" si="132"/>
        <v>0.93609271523178816</v>
      </c>
      <c r="R32" s="11">
        <f t="shared" si="132"/>
        <v>0.77944170474596208</v>
      </c>
      <c r="S32" s="11">
        <f t="shared" si="132"/>
        <v>0.69182921210259551</v>
      </c>
      <c r="T32" s="11">
        <f t="shared" ref="T32" si="133">T8/P8-1</f>
        <v>0.5560252996005326</v>
      </c>
      <c r="U32" s="11">
        <f t="shared" ref="U32" si="134">U8/Q8-1</f>
        <v>0.62493586454592109</v>
      </c>
      <c r="V32" s="11">
        <f t="shared" ref="V32" si="135">V8/R8-1</f>
        <v>0.73214512725331171</v>
      </c>
      <c r="W32" s="11">
        <f t="shared" ref="W32" si="136">W8/S8-1</f>
        <v>-1</v>
      </c>
      <c r="X32" s="11">
        <f t="shared" ref="X32" si="137">X8/T8-1</f>
        <v>-1</v>
      </c>
      <c r="AB32" s="11">
        <f t="shared" ref="AB32:AC32" si="138">AB8/AA8-1</f>
        <v>2.2293230289069932E-3</v>
      </c>
      <c r="AC32" s="11">
        <f t="shared" si="138"/>
        <v>1.2585452658115224</v>
      </c>
      <c r="AD32" s="11">
        <f>AD8/AC8-1</f>
        <v>1.1420340763599355</v>
      </c>
      <c r="AE32" s="11">
        <f t="shared" ref="AE32:AF32" si="139">AE8/AD8-1</f>
        <v>0.65473535790094783</v>
      </c>
      <c r="AF32" s="11">
        <f t="shared" si="139"/>
        <v>0.17436486398873741</v>
      </c>
    </row>
    <row r="33" spans="1:32" x14ac:dyDescent="0.25">
      <c r="B33" s="2" t="s">
        <v>91</v>
      </c>
      <c r="G33" s="11">
        <f t="shared" ref="G33:R33" si="140">G3/C3-1</f>
        <v>0.8310546875</v>
      </c>
      <c r="H33" s="11">
        <f t="shared" si="140"/>
        <v>0.60862214708368545</v>
      </c>
      <c r="I33" s="11">
        <f t="shared" si="140"/>
        <v>0.30551771117166204</v>
      </c>
      <c r="J33" s="11">
        <f t="shared" si="140"/>
        <v>0.10818265399938709</v>
      </c>
      <c r="K33" s="11">
        <f t="shared" si="140"/>
        <v>0.14240000000000008</v>
      </c>
      <c r="L33" s="11">
        <f t="shared" si="140"/>
        <v>1.712296374146085</v>
      </c>
      <c r="M33" s="11">
        <f t="shared" si="140"/>
        <v>2.7865901382728935</v>
      </c>
      <c r="N33" s="11">
        <f t="shared" si="140"/>
        <v>4.0896017699115044</v>
      </c>
      <c r="O33" s="11">
        <f t="shared" si="140"/>
        <v>4.2668067226890756</v>
      </c>
      <c r="P33" s="11">
        <f t="shared" si="140"/>
        <v>1.5449966095127388</v>
      </c>
      <c r="Q33" s="11">
        <f t="shared" si="140"/>
        <v>1.1200909466721787</v>
      </c>
      <c r="R33" s="11">
        <f t="shared" si="140"/>
        <v>0.93327537491849588</v>
      </c>
      <c r="S33" s="11">
        <f>S3/O3-1</f>
        <v>0.73345743030625354</v>
      </c>
      <c r="T33" s="11">
        <f t="shared" ref="T33:T34" si="141">T3/P3-1</f>
        <v>0.56425091352009749</v>
      </c>
      <c r="U33" s="11">
        <f t="shared" ref="U33:U34" si="142">U3/Q3-1</f>
        <v>0.66439179747164534</v>
      </c>
      <c r="V33" s="11">
        <f t="shared" ref="V33:V34" si="143">V3/R3-1</f>
        <v>0.75137717818999428</v>
      </c>
      <c r="W33" s="11">
        <f t="shared" ref="W33:W34" si="144">W3/S3-1</f>
        <v>-1</v>
      </c>
      <c r="X33" s="11">
        <f t="shared" ref="X33:X34" si="145">X3/T3-1</f>
        <v>-1</v>
      </c>
      <c r="AB33" s="11">
        <f t="shared" ref="AB33:AC33" si="146">AB3/AA3-1</f>
        <v>0.4138320927164798</v>
      </c>
      <c r="AC33" s="11">
        <f t="shared" si="146"/>
        <v>2.1672775741419525</v>
      </c>
      <c r="AD33" s="11">
        <f>AD3/AC3-1</f>
        <v>1.4236927932667016</v>
      </c>
      <c r="AE33" s="11">
        <f t="shared" ref="AE33:AF33" si="147">AE3/AD3-1</f>
        <v>0.68194919521469632</v>
      </c>
      <c r="AF33" s="11">
        <f t="shared" si="147"/>
        <v>-1</v>
      </c>
    </row>
    <row r="34" spans="1:32" x14ac:dyDescent="0.25">
      <c r="B34" s="2" t="s">
        <v>92</v>
      </c>
      <c r="G34" s="11">
        <f t="shared" ref="G34:R34" si="148">G4/C4-1</f>
        <v>0.31159420289855078</v>
      </c>
      <c r="H34" s="11">
        <f t="shared" si="148"/>
        <v>-0.33289774583469456</v>
      </c>
      <c r="I34" s="11">
        <f t="shared" si="148"/>
        <v>-0.51133188450791678</v>
      </c>
      <c r="J34" s="11">
        <f t="shared" si="148"/>
        <v>-0.46461988304093571</v>
      </c>
      <c r="K34" s="11">
        <f t="shared" si="148"/>
        <v>-0.38121546961325969</v>
      </c>
      <c r="L34" s="11">
        <f t="shared" si="148"/>
        <v>0.21743388834475996</v>
      </c>
      <c r="M34" s="11">
        <f t="shared" si="148"/>
        <v>0.81448538754764921</v>
      </c>
      <c r="N34" s="11">
        <f t="shared" si="148"/>
        <v>0.5647187329328236</v>
      </c>
      <c r="O34" s="11">
        <f t="shared" si="148"/>
        <v>0.18169642857142865</v>
      </c>
      <c r="P34" s="11">
        <f t="shared" si="148"/>
        <v>0.15848753016894612</v>
      </c>
      <c r="Q34" s="11">
        <f t="shared" si="148"/>
        <v>0.14810924369747891</v>
      </c>
      <c r="R34" s="11">
        <f t="shared" si="148"/>
        <v>-0.11204188481675392</v>
      </c>
      <c r="S34" s="11">
        <f>S4/O4-1</f>
        <v>0.42160936909709101</v>
      </c>
      <c r="T34" s="11">
        <f t="shared" si="141"/>
        <v>0.48854166666666665</v>
      </c>
      <c r="U34" s="11">
        <f t="shared" si="142"/>
        <v>0.30070143336383048</v>
      </c>
      <c r="V34" s="11">
        <f t="shared" si="143"/>
        <v>0.46501572327044016</v>
      </c>
      <c r="W34" s="11">
        <f t="shared" si="144"/>
        <v>-1</v>
      </c>
      <c r="X34" s="11">
        <f t="shared" si="145"/>
        <v>-1</v>
      </c>
      <c r="AB34" s="11">
        <f t="shared" ref="AB34:AC34" si="149">AB4/AA4-1</f>
        <v>-0.27242818167228378</v>
      </c>
      <c r="AC34" s="11">
        <f t="shared" si="149"/>
        <v>0.15220028675416342</v>
      </c>
      <c r="AD34" s="11">
        <f>AD4/AC4-1</f>
        <v>8.643629750167503E-2</v>
      </c>
      <c r="AE34" s="11">
        <f t="shared" ref="AE34:AF34" si="150">AE4/AD4-1</f>
        <v>0.41339207048458149</v>
      </c>
      <c r="AF34" s="11">
        <f t="shared" si="150"/>
        <v>-1</v>
      </c>
    </row>
    <row r="38" spans="1:32" x14ac:dyDescent="0.25">
      <c r="B38" s="2" t="s">
        <v>108</v>
      </c>
      <c r="N38" s="4">
        <f t="shared" ref="N38:R38" si="151">+N39-N52-N53</f>
        <v>16275</v>
      </c>
      <c r="O38" s="4">
        <f t="shared" si="151"/>
        <v>21728</v>
      </c>
      <c r="P38" s="4">
        <f t="shared" si="151"/>
        <v>26339</v>
      </c>
      <c r="Q38" s="4">
        <f t="shared" si="151"/>
        <v>30025</v>
      </c>
      <c r="R38" s="4">
        <f t="shared" si="151"/>
        <v>34747</v>
      </c>
      <c r="S38" s="4">
        <f>+S39-S52-S53</f>
        <v>45227</v>
      </c>
      <c r="T38" s="4">
        <f>+T39-T52-T53</f>
        <v>48325</v>
      </c>
      <c r="U38" s="4">
        <f t="shared" ref="U38:V38" si="152">+U39-U52-U53</f>
        <v>52141</v>
      </c>
      <c r="V38" s="4">
        <f t="shared" si="152"/>
        <v>54088</v>
      </c>
      <c r="W38" s="4">
        <f t="shared" ref="W38:X38" si="153">+W39-W52-W53</f>
        <v>0</v>
      </c>
      <c r="X38" s="4">
        <f t="shared" si="153"/>
        <v>0</v>
      </c>
      <c r="AC38" s="4">
        <f t="shared" ref="AC38:AE38" si="154">+AC39-AC52-AC53</f>
        <v>16275</v>
      </c>
      <c r="AD38" s="4">
        <f t="shared" si="154"/>
        <v>34747</v>
      </c>
      <c r="AE38" s="4">
        <f t="shared" si="154"/>
        <v>54088</v>
      </c>
    </row>
    <row r="39" spans="1:32" s="4" customFormat="1" x14ac:dyDescent="0.25">
      <c r="A39" s="2"/>
      <c r="B39" s="2" t="s">
        <v>4</v>
      </c>
      <c r="C39" s="2"/>
      <c r="D39" s="2"/>
      <c r="E39" s="2"/>
      <c r="F39" s="2"/>
      <c r="G39" s="2"/>
      <c r="H39" s="2"/>
      <c r="I39" s="2"/>
      <c r="J39" s="2"/>
      <c r="N39" s="4">
        <v>25984</v>
      </c>
      <c r="O39" s="4">
        <v>31438</v>
      </c>
      <c r="P39" s="4">
        <v>34800</v>
      </c>
      <c r="Q39" s="4">
        <v>38487</v>
      </c>
      <c r="R39" s="4">
        <v>43210</v>
      </c>
      <c r="S39" s="4">
        <v>53691</v>
      </c>
      <c r="T39" s="4">
        <v>56791</v>
      </c>
      <c r="U39" s="4">
        <f>11486+49122</f>
        <v>60608</v>
      </c>
      <c r="V39" s="4">
        <v>62556</v>
      </c>
      <c r="AC39" s="4">
        <v>25984</v>
      </c>
      <c r="AD39" s="4">
        <v>43210</v>
      </c>
      <c r="AE39" s="4">
        <v>62556</v>
      </c>
    </row>
    <row r="40" spans="1:32" s="4" customFormat="1" x14ac:dyDescent="0.25">
      <c r="A40" s="2"/>
      <c r="B40" s="2" t="s">
        <v>28</v>
      </c>
      <c r="C40" s="2"/>
      <c r="D40" s="2"/>
      <c r="E40" s="2"/>
      <c r="F40" s="2"/>
      <c r="G40" s="2"/>
      <c r="H40" s="2"/>
      <c r="I40" s="2"/>
      <c r="J40" s="2"/>
      <c r="N40" s="4">
        <v>9999</v>
      </c>
      <c r="O40" s="4">
        <v>12365</v>
      </c>
      <c r="P40" s="4">
        <v>14132</v>
      </c>
      <c r="Q40" s="4">
        <v>17693</v>
      </c>
      <c r="R40" s="4">
        <v>23065</v>
      </c>
      <c r="S40" s="4">
        <v>22132</v>
      </c>
      <c r="T40" s="4">
        <v>27808</v>
      </c>
      <c r="U40" s="4">
        <v>33391</v>
      </c>
      <c r="V40" s="4">
        <v>38466</v>
      </c>
      <c r="AC40" s="4">
        <v>9999</v>
      </c>
      <c r="AD40" s="4">
        <v>23065</v>
      </c>
      <c r="AE40" s="4">
        <v>38466</v>
      </c>
    </row>
    <row r="41" spans="1:32" s="4" customFormat="1" x14ac:dyDescent="0.25">
      <c r="A41" s="2"/>
      <c r="B41" s="2" t="s">
        <v>29</v>
      </c>
      <c r="C41" s="2"/>
      <c r="D41" s="2"/>
      <c r="E41" s="2"/>
      <c r="F41" s="2"/>
      <c r="G41" s="2"/>
      <c r="H41" s="2"/>
      <c r="I41" s="2"/>
      <c r="J41" s="2"/>
      <c r="N41" s="4">
        <v>5282</v>
      </c>
      <c r="O41" s="4">
        <v>5864</v>
      </c>
      <c r="P41" s="4">
        <v>6675</v>
      </c>
      <c r="Q41" s="4">
        <v>7654</v>
      </c>
      <c r="R41" s="4">
        <v>10080</v>
      </c>
      <c r="S41" s="4">
        <v>11333</v>
      </c>
      <c r="T41" s="4">
        <v>14962</v>
      </c>
      <c r="U41" s="4">
        <v>19754</v>
      </c>
      <c r="V41" s="4">
        <v>21403</v>
      </c>
      <c r="AC41" s="4">
        <v>5282</v>
      </c>
      <c r="AD41" s="4">
        <v>10080</v>
      </c>
      <c r="AE41" s="4">
        <v>21403</v>
      </c>
    </row>
    <row r="42" spans="1:32" s="4" customFormat="1" x14ac:dyDescent="0.25">
      <c r="A42" s="2"/>
      <c r="B42" s="2" t="s">
        <v>30</v>
      </c>
      <c r="C42" s="2"/>
      <c r="D42" s="2"/>
      <c r="E42" s="2"/>
      <c r="F42" s="2"/>
      <c r="G42" s="2"/>
      <c r="H42" s="2"/>
      <c r="I42" s="2"/>
      <c r="J42" s="2"/>
      <c r="N42" s="4">
        <v>3080</v>
      </c>
      <c r="O42" s="4">
        <v>4062</v>
      </c>
      <c r="P42" s="4">
        <v>4026</v>
      </c>
      <c r="Q42" s="4">
        <v>3806</v>
      </c>
      <c r="R42" s="4">
        <v>3771</v>
      </c>
      <c r="S42" s="4">
        <v>2779</v>
      </c>
      <c r="T42" s="4">
        <v>2658</v>
      </c>
      <c r="U42" s="4">
        <v>2709</v>
      </c>
      <c r="V42" s="4">
        <v>3180</v>
      </c>
      <c r="AC42" s="4">
        <v>3080</v>
      </c>
      <c r="AD42" s="4">
        <v>3771</v>
      </c>
      <c r="AE42" s="4">
        <v>3180</v>
      </c>
    </row>
    <row r="43" spans="1:32" s="4" customFormat="1" x14ac:dyDescent="0.25">
      <c r="A43" s="2"/>
      <c r="B43" s="2" t="s">
        <v>31</v>
      </c>
      <c r="C43" s="2"/>
      <c r="D43" s="2"/>
      <c r="E43" s="2"/>
      <c r="F43" s="2"/>
      <c r="G43" s="2"/>
      <c r="H43" s="2"/>
      <c r="I43" s="2"/>
      <c r="J43" s="2"/>
      <c r="N43" s="4">
        <v>3914</v>
      </c>
      <c r="O43" s="4">
        <v>4006</v>
      </c>
      <c r="P43" s="4">
        <v>4885</v>
      </c>
      <c r="Q43" s="4">
        <v>5343</v>
      </c>
      <c r="R43" s="4">
        <v>6283</v>
      </c>
      <c r="S43" s="4">
        <v>7136</v>
      </c>
      <c r="T43" s="4">
        <v>9141</v>
      </c>
      <c r="U43" s="4">
        <v>9780</v>
      </c>
      <c r="V43" s="4">
        <v>10383</v>
      </c>
      <c r="AC43" s="4">
        <v>3914</v>
      </c>
      <c r="AD43" s="4">
        <v>6283</v>
      </c>
      <c r="AE43" s="4">
        <v>10383</v>
      </c>
    </row>
    <row r="44" spans="1:32" s="4" customFormat="1" x14ac:dyDescent="0.25">
      <c r="A44" s="2"/>
      <c r="B44" s="2" t="s">
        <v>32</v>
      </c>
      <c r="C44" s="2"/>
      <c r="D44" s="2"/>
      <c r="E44" s="2"/>
      <c r="F44" s="2"/>
      <c r="G44" s="2"/>
      <c r="H44" s="2"/>
      <c r="I44" s="2"/>
      <c r="J44" s="2"/>
      <c r="N44" s="4">
        <v>1346</v>
      </c>
      <c r="O44" s="4">
        <v>1532</v>
      </c>
      <c r="P44" s="4">
        <v>1556</v>
      </c>
      <c r="Q44" s="4">
        <v>1755</v>
      </c>
      <c r="R44" s="4">
        <v>1793</v>
      </c>
      <c r="S44" s="4">
        <v>1810</v>
      </c>
      <c r="T44" s="4">
        <v>2084</v>
      </c>
      <c r="U44" s="4">
        <v>2281</v>
      </c>
      <c r="V44" s="4">
        <v>2867</v>
      </c>
      <c r="AC44" s="4">
        <v>1346</v>
      </c>
      <c r="AD44" s="4">
        <v>1793</v>
      </c>
      <c r="AE44" s="4">
        <v>2867</v>
      </c>
    </row>
    <row r="45" spans="1:32" s="4" customFormat="1" x14ac:dyDescent="0.25">
      <c r="A45" s="2"/>
      <c r="B45" s="2" t="s">
        <v>33</v>
      </c>
      <c r="C45" s="2"/>
      <c r="D45" s="2"/>
      <c r="E45" s="2"/>
      <c r="F45" s="2"/>
      <c r="G45" s="2"/>
      <c r="H45" s="2"/>
      <c r="I45" s="2"/>
      <c r="J45" s="2"/>
      <c r="N45" s="4">
        <v>4430</v>
      </c>
      <c r="O45" s="4">
        <v>4453</v>
      </c>
      <c r="P45" s="4">
        <v>4622</v>
      </c>
      <c r="Q45" s="4">
        <v>4724</v>
      </c>
      <c r="R45" s="4">
        <v>5188</v>
      </c>
      <c r="S45" s="4">
        <v>5498</v>
      </c>
      <c r="T45" s="4">
        <v>5755</v>
      </c>
      <c r="U45" s="4">
        <v>6261</v>
      </c>
      <c r="V45" s="4">
        <v>20832</v>
      </c>
      <c r="AC45" s="4">
        <v>4430</v>
      </c>
      <c r="AD45" s="4">
        <v>5188</v>
      </c>
      <c r="AE45" s="4">
        <v>20832</v>
      </c>
    </row>
    <row r="46" spans="1:32" s="4" customFormat="1" x14ac:dyDescent="0.25">
      <c r="A46" s="2"/>
      <c r="B46" s="2" t="s">
        <v>34</v>
      </c>
      <c r="C46" s="2"/>
      <c r="D46" s="2"/>
      <c r="E46" s="2"/>
      <c r="F46" s="2"/>
      <c r="G46" s="2"/>
      <c r="H46" s="2"/>
      <c r="I46" s="2"/>
      <c r="J46" s="2"/>
      <c r="N46" s="4">
        <v>1112</v>
      </c>
      <c r="O46" s="4">
        <v>986</v>
      </c>
      <c r="P46" s="4">
        <v>952</v>
      </c>
      <c r="Q46" s="4">
        <v>838</v>
      </c>
      <c r="R46" s="4">
        <v>807</v>
      </c>
      <c r="S46" s="4">
        <v>769</v>
      </c>
      <c r="T46" s="4">
        <v>755</v>
      </c>
      <c r="U46" s="4">
        <v>936</v>
      </c>
      <c r="V46" s="4">
        <v>3306</v>
      </c>
      <c r="AC46" s="4">
        <v>1112</v>
      </c>
      <c r="AD46" s="4">
        <v>807</v>
      </c>
      <c r="AE46" s="4">
        <v>3306</v>
      </c>
    </row>
    <row r="47" spans="1:32" s="4" customFormat="1" x14ac:dyDescent="0.25">
      <c r="A47" s="2"/>
      <c r="B47" s="2" t="s">
        <v>35</v>
      </c>
      <c r="C47" s="2"/>
      <c r="D47" s="2"/>
      <c r="E47" s="2"/>
      <c r="F47" s="2"/>
      <c r="G47" s="2"/>
      <c r="H47" s="2"/>
      <c r="I47" s="2"/>
      <c r="J47" s="2"/>
      <c r="N47" s="4">
        <v>6081</v>
      </c>
      <c r="O47" s="4">
        <v>7798</v>
      </c>
      <c r="P47" s="4">
        <v>9578</v>
      </c>
      <c r="Q47" s="4">
        <v>10276</v>
      </c>
      <c r="R47" s="4">
        <v>10979</v>
      </c>
      <c r="S47" s="4">
        <v>13318</v>
      </c>
      <c r="T47" s="4">
        <v>13570</v>
      </c>
      <c r="U47" s="4">
        <v>13674</v>
      </c>
      <c r="V47" s="4">
        <v>13258</v>
      </c>
      <c r="AC47" s="4">
        <v>6081</v>
      </c>
      <c r="AD47" s="4">
        <v>10979</v>
      </c>
      <c r="AE47" s="4">
        <v>13258</v>
      </c>
    </row>
    <row r="48" spans="1:32" s="4" customFormat="1" x14ac:dyDescent="0.25">
      <c r="A48" s="2"/>
      <c r="B48" s="2" t="s">
        <v>36</v>
      </c>
      <c r="C48" s="2"/>
      <c r="D48" s="2"/>
      <c r="E48" s="2"/>
      <c r="F48" s="2"/>
      <c r="G48" s="2"/>
      <c r="H48" s="2"/>
      <c r="I48" s="2"/>
      <c r="J48" s="2"/>
      <c r="N48" s="4">
        <v>4500</v>
      </c>
      <c r="O48" s="4">
        <v>4568</v>
      </c>
      <c r="P48" s="4">
        <v>4001</v>
      </c>
      <c r="Q48" s="4">
        <v>5437</v>
      </c>
      <c r="R48" s="4">
        <v>6425</v>
      </c>
      <c r="S48" s="4">
        <v>6788</v>
      </c>
      <c r="T48" s="4">
        <v>7216</v>
      </c>
      <c r="U48" s="4">
        <v>11724</v>
      </c>
      <c r="V48" s="4">
        <f>22251+8301</f>
        <v>30552</v>
      </c>
      <c r="AC48" s="4">
        <v>4500</v>
      </c>
      <c r="AD48" s="4">
        <v>6425</v>
      </c>
      <c r="AE48" s="4">
        <f>22251+8301</f>
        <v>30552</v>
      </c>
    </row>
    <row r="49" spans="1:32" s="8" customFormat="1" x14ac:dyDescent="0.25">
      <c r="A49" s="7"/>
      <c r="B49" s="7" t="s">
        <v>37</v>
      </c>
      <c r="C49" s="7"/>
      <c r="D49" s="7"/>
      <c r="E49" s="7"/>
      <c r="F49" s="7"/>
      <c r="G49" s="7"/>
      <c r="H49" s="7"/>
      <c r="I49" s="7"/>
      <c r="J49" s="7"/>
      <c r="N49" s="8">
        <f>SUM(N39:N48)</f>
        <v>65728</v>
      </c>
      <c r="O49" s="8">
        <f t="shared" ref="O49:S49" si="155">SUM(O39:O48)</f>
        <v>77072</v>
      </c>
      <c r="P49" s="8">
        <f t="shared" si="155"/>
        <v>85227</v>
      </c>
      <c r="Q49" s="8">
        <f t="shared" si="155"/>
        <v>96013</v>
      </c>
      <c r="R49" s="8">
        <f t="shared" si="155"/>
        <v>111601</v>
      </c>
      <c r="S49" s="8">
        <f t="shared" si="155"/>
        <v>125254</v>
      </c>
      <c r="T49" s="8">
        <f t="shared" ref="T49:V49" si="156">SUM(T39:T48)</f>
        <v>140740</v>
      </c>
      <c r="U49" s="8">
        <f t="shared" si="156"/>
        <v>161118</v>
      </c>
      <c r="V49" s="8">
        <f t="shared" si="156"/>
        <v>206803</v>
      </c>
      <c r="W49" s="8">
        <f t="shared" ref="W49:X49" si="157">SUM(W39:W48)</f>
        <v>0</v>
      </c>
      <c r="X49" s="8">
        <f t="shared" si="157"/>
        <v>0</v>
      </c>
      <c r="AC49" s="8">
        <f>SUM(AC39:AC48)</f>
        <v>65728</v>
      </c>
      <c r="AD49" s="8">
        <f t="shared" ref="AD49:AE49" si="158">SUM(AD39:AD48)</f>
        <v>111601</v>
      </c>
      <c r="AE49" s="8">
        <f t="shared" si="158"/>
        <v>206803</v>
      </c>
    </row>
    <row r="50" spans="1:32" s="4" customFormat="1" x14ac:dyDescent="0.25">
      <c r="A50" s="2"/>
      <c r="B50" s="2" t="s">
        <v>38</v>
      </c>
      <c r="C50" s="2"/>
      <c r="D50" s="2"/>
      <c r="E50" s="2"/>
      <c r="F50" s="2"/>
      <c r="G50" s="2"/>
      <c r="H50" s="2"/>
      <c r="I50" s="2"/>
      <c r="J50" s="2"/>
      <c r="N50" s="4">
        <v>2699</v>
      </c>
      <c r="O50" s="4">
        <v>2715</v>
      </c>
      <c r="P50" s="4">
        <v>3680</v>
      </c>
      <c r="Q50" s="4">
        <v>5353</v>
      </c>
      <c r="R50" s="4">
        <v>6310</v>
      </c>
      <c r="S50" s="4">
        <v>7331</v>
      </c>
      <c r="T50" s="4">
        <v>9064</v>
      </c>
      <c r="U50" s="4">
        <v>8624</v>
      </c>
      <c r="V50" s="4">
        <v>9812</v>
      </c>
      <c r="AC50" s="4">
        <v>2699</v>
      </c>
      <c r="AD50" s="4">
        <v>6310</v>
      </c>
      <c r="AE50" s="4">
        <v>9812</v>
      </c>
    </row>
    <row r="51" spans="1:32" s="4" customFormat="1" x14ac:dyDescent="0.25">
      <c r="A51" s="2"/>
      <c r="B51" s="2" t="s">
        <v>39</v>
      </c>
      <c r="C51" s="2"/>
      <c r="D51" s="2"/>
      <c r="E51" s="2"/>
      <c r="F51" s="2"/>
      <c r="G51" s="2"/>
      <c r="H51" s="2"/>
      <c r="I51" s="2"/>
      <c r="J51" s="2"/>
      <c r="N51" s="4">
        <v>6682</v>
      </c>
      <c r="O51" s="4">
        <v>11258</v>
      </c>
      <c r="P51" s="4">
        <v>10289</v>
      </c>
      <c r="Q51" s="4">
        <v>11126</v>
      </c>
      <c r="R51" s="4">
        <v>11737</v>
      </c>
      <c r="S51" s="4">
        <v>19211</v>
      </c>
      <c r="T51" s="4">
        <v>15193</v>
      </c>
      <c r="U51" s="4">
        <v>16452</v>
      </c>
      <c r="V51" s="4">
        <v>21352</v>
      </c>
      <c r="AC51" s="4">
        <v>6682</v>
      </c>
      <c r="AD51" s="4">
        <v>11737</v>
      </c>
      <c r="AE51" s="4">
        <v>21352</v>
      </c>
    </row>
    <row r="52" spans="1:32" s="4" customFormat="1" x14ac:dyDescent="0.25">
      <c r="A52" s="2"/>
      <c r="B52" s="2" t="s">
        <v>40</v>
      </c>
      <c r="C52" s="2"/>
      <c r="D52" s="2"/>
      <c r="E52" s="2"/>
      <c r="F52" s="2"/>
      <c r="G52" s="2"/>
      <c r="H52" s="2"/>
      <c r="I52" s="2"/>
      <c r="J52" s="2"/>
      <c r="N52" s="4">
        <v>1250</v>
      </c>
      <c r="O52" s="4">
        <v>1250</v>
      </c>
      <c r="U52" s="4">
        <v>999</v>
      </c>
      <c r="V52" s="4">
        <v>999</v>
      </c>
      <c r="AC52" s="4">
        <v>1250</v>
      </c>
      <c r="AE52" s="4">
        <v>999</v>
      </c>
    </row>
    <row r="53" spans="1:32" s="4" customFormat="1" x14ac:dyDescent="0.25">
      <c r="A53" s="2"/>
      <c r="B53" s="2" t="s">
        <v>41</v>
      </c>
      <c r="C53" s="2"/>
      <c r="D53" s="2"/>
      <c r="E53" s="2"/>
      <c r="F53" s="2"/>
      <c r="G53" s="2"/>
      <c r="H53" s="2"/>
      <c r="I53" s="2"/>
      <c r="J53" s="2"/>
      <c r="N53" s="4">
        <v>8459</v>
      </c>
      <c r="O53" s="4">
        <v>8460</v>
      </c>
      <c r="P53" s="4">
        <v>8461</v>
      </c>
      <c r="Q53" s="4">
        <v>8462</v>
      </c>
      <c r="R53" s="4">
        <v>8463</v>
      </c>
      <c r="S53" s="4">
        <v>8464</v>
      </c>
      <c r="T53" s="4">
        <v>8466</v>
      </c>
      <c r="U53" s="4">
        <v>7468</v>
      </c>
      <c r="V53" s="4">
        <v>7469</v>
      </c>
      <c r="AC53" s="4">
        <v>8459</v>
      </c>
      <c r="AD53" s="4">
        <v>8463</v>
      </c>
      <c r="AE53" s="4">
        <v>7469</v>
      </c>
    </row>
    <row r="54" spans="1:32" s="4" customFormat="1" x14ac:dyDescent="0.25">
      <c r="A54" s="2"/>
      <c r="B54" s="2" t="s">
        <v>42</v>
      </c>
      <c r="C54" s="2"/>
      <c r="D54" s="2"/>
      <c r="E54" s="2"/>
      <c r="F54" s="2"/>
      <c r="G54" s="2"/>
      <c r="H54" s="2"/>
      <c r="I54" s="2"/>
      <c r="J54" s="2"/>
      <c r="N54" s="4">
        <v>1119</v>
      </c>
      <c r="O54" s="4">
        <v>1281</v>
      </c>
      <c r="P54" s="4">
        <v>1304</v>
      </c>
      <c r="Q54" s="4">
        <v>1490</v>
      </c>
      <c r="R54" s="4">
        <v>1519</v>
      </c>
      <c r="S54" s="4">
        <v>1521</v>
      </c>
      <c r="T54" s="4">
        <v>1831</v>
      </c>
      <c r="U54" s="4">
        <v>2014</v>
      </c>
      <c r="V54" s="4">
        <v>2572</v>
      </c>
      <c r="AC54" s="4">
        <v>1119</v>
      </c>
      <c r="AD54" s="4">
        <v>1519</v>
      </c>
      <c r="AE54" s="4">
        <v>2572</v>
      </c>
    </row>
    <row r="55" spans="1:32" s="4" customFormat="1" x14ac:dyDescent="0.25">
      <c r="A55" s="2"/>
      <c r="B55" s="2" t="s">
        <v>43</v>
      </c>
      <c r="C55" s="2"/>
      <c r="D55" s="2"/>
      <c r="E55" s="2"/>
      <c r="F55" s="2"/>
      <c r="G55" s="2"/>
      <c r="H55" s="2"/>
      <c r="I55" s="2"/>
      <c r="J55" s="2"/>
      <c r="N55" s="4">
        <v>2541</v>
      </c>
      <c r="O55" s="4">
        <v>2966</v>
      </c>
      <c r="P55" s="4">
        <v>3336</v>
      </c>
      <c r="Q55" s="4">
        <v>3683</v>
      </c>
      <c r="R55" s="4">
        <v>4245</v>
      </c>
      <c r="S55" s="4">
        <v>4884</v>
      </c>
      <c r="T55" s="4">
        <v>6055</v>
      </c>
      <c r="U55" s="4">
        <v>6694</v>
      </c>
      <c r="V55" s="4">
        <v>7306</v>
      </c>
      <c r="AC55" s="4">
        <v>2541</v>
      </c>
      <c r="AD55" s="4">
        <v>4245</v>
      </c>
      <c r="AE55" s="4">
        <v>7306</v>
      </c>
    </row>
    <row r="56" spans="1:32" s="8" customFormat="1" x14ac:dyDescent="0.25">
      <c r="A56" s="7"/>
      <c r="B56" s="7" t="s">
        <v>44</v>
      </c>
      <c r="C56" s="7"/>
      <c r="D56" s="7"/>
      <c r="E56" s="7"/>
      <c r="F56" s="7"/>
      <c r="G56" s="7"/>
      <c r="H56" s="7"/>
      <c r="I56" s="7"/>
      <c r="J56" s="7"/>
      <c r="N56" s="8">
        <f>SUM(N50:N55)</f>
        <v>22750</v>
      </c>
      <c r="O56" s="8">
        <f t="shared" ref="O56:S56" si="159">SUM(O50:O55)</f>
        <v>27930</v>
      </c>
      <c r="P56" s="8">
        <f t="shared" si="159"/>
        <v>27070</v>
      </c>
      <c r="Q56" s="8">
        <f t="shared" si="159"/>
        <v>30114</v>
      </c>
      <c r="R56" s="8">
        <f t="shared" si="159"/>
        <v>32274</v>
      </c>
      <c r="S56" s="8">
        <f t="shared" si="159"/>
        <v>41411</v>
      </c>
      <c r="T56" s="8">
        <f t="shared" ref="T56:V56" si="160">SUM(T50:T55)</f>
        <v>40609</v>
      </c>
      <c r="U56" s="8">
        <f t="shared" si="160"/>
        <v>42251</v>
      </c>
      <c r="V56" s="8">
        <f t="shared" si="160"/>
        <v>49510</v>
      </c>
      <c r="W56" s="8">
        <f t="shared" ref="W56:X56" si="161">SUM(W50:W55)</f>
        <v>0</v>
      </c>
      <c r="X56" s="8">
        <f t="shared" si="161"/>
        <v>0</v>
      </c>
      <c r="AC56" s="8">
        <f>SUM(AC50:AC55)</f>
        <v>22750</v>
      </c>
      <c r="AD56" s="8">
        <f t="shared" ref="AD56:AE56" si="162">SUM(AD50:AD55)</f>
        <v>32274</v>
      </c>
      <c r="AE56" s="8">
        <f t="shared" si="162"/>
        <v>49510</v>
      </c>
    </row>
    <row r="57" spans="1:32" s="4" customFormat="1" x14ac:dyDescent="0.25">
      <c r="A57" s="2"/>
      <c r="B57" s="2" t="s">
        <v>45</v>
      </c>
      <c r="C57" s="2"/>
      <c r="D57" s="2"/>
      <c r="E57" s="2"/>
      <c r="F57" s="2"/>
      <c r="G57" s="2"/>
      <c r="H57" s="2"/>
      <c r="I57" s="2"/>
      <c r="J57" s="2"/>
      <c r="N57" s="4">
        <v>42978</v>
      </c>
      <c r="O57" s="4">
        <v>49142</v>
      </c>
      <c r="P57" s="4">
        <v>58157</v>
      </c>
      <c r="Q57" s="4">
        <v>65899</v>
      </c>
      <c r="R57" s="4">
        <v>79327</v>
      </c>
      <c r="S57" s="4">
        <v>83843</v>
      </c>
      <c r="T57" s="4">
        <v>100131</v>
      </c>
      <c r="U57" s="4">
        <v>118897</v>
      </c>
      <c r="V57" s="4">
        <v>157293</v>
      </c>
      <c r="AC57" s="4">
        <v>42978</v>
      </c>
      <c r="AD57" s="4">
        <v>79327</v>
      </c>
      <c r="AE57" s="4">
        <v>157293</v>
      </c>
    </row>
    <row r="58" spans="1:32" s="8" customFormat="1" x14ac:dyDescent="0.25">
      <c r="A58" s="7"/>
      <c r="B58" s="7" t="s">
        <v>46</v>
      </c>
      <c r="C58" s="7"/>
      <c r="D58" s="7"/>
      <c r="E58" s="7"/>
      <c r="F58" s="7"/>
      <c r="G58" s="7"/>
      <c r="H58" s="7"/>
      <c r="I58" s="7"/>
      <c r="J58" s="7"/>
      <c r="N58" s="8">
        <f>N57+N56</f>
        <v>65728</v>
      </c>
      <c r="O58" s="8">
        <f t="shared" ref="O58:S58" si="163">O57+O56</f>
        <v>77072</v>
      </c>
      <c r="P58" s="8">
        <f t="shared" si="163"/>
        <v>85227</v>
      </c>
      <c r="Q58" s="8">
        <f t="shared" si="163"/>
        <v>96013</v>
      </c>
      <c r="R58" s="8">
        <f t="shared" si="163"/>
        <v>111601</v>
      </c>
      <c r="S58" s="8">
        <f t="shared" si="163"/>
        <v>125254</v>
      </c>
      <c r="T58" s="8">
        <f t="shared" ref="T58:V58" si="164">T57+T56</f>
        <v>140740</v>
      </c>
      <c r="U58" s="8">
        <f t="shared" si="164"/>
        <v>161148</v>
      </c>
      <c r="V58" s="8">
        <f t="shared" si="164"/>
        <v>206803</v>
      </c>
      <c r="W58" s="8">
        <f t="shared" ref="W58:X58" si="165">W57+W56</f>
        <v>0</v>
      </c>
      <c r="X58" s="8">
        <f t="shared" si="165"/>
        <v>0</v>
      </c>
      <c r="AC58" s="8">
        <f>AC57+AC56</f>
        <v>65728</v>
      </c>
      <c r="AD58" s="8">
        <f t="shared" ref="AD58:AE58" si="166">AD57+AD56</f>
        <v>111601</v>
      </c>
      <c r="AE58" s="8">
        <f t="shared" si="166"/>
        <v>206803</v>
      </c>
    </row>
    <row r="60" spans="1:32" s="9" customFormat="1" x14ac:dyDescent="0.25">
      <c r="B60" s="14" t="s">
        <v>99</v>
      </c>
      <c r="N60" s="9">
        <f t="shared" ref="N60:R60" si="167">N56/N57</f>
        <v>0.52934059286146395</v>
      </c>
      <c r="O60" s="9">
        <f t="shared" si="167"/>
        <v>0.56835293638842543</v>
      </c>
      <c r="P60" s="9">
        <f t="shared" si="167"/>
        <v>0.4654641745619616</v>
      </c>
      <c r="Q60" s="9">
        <f t="shared" si="167"/>
        <v>0.45697203295952898</v>
      </c>
      <c r="R60" s="9">
        <f t="shared" si="167"/>
        <v>0.40684760548110982</v>
      </c>
      <c r="S60" s="9">
        <f>S56/S57</f>
        <v>0.49391123886311322</v>
      </c>
      <c r="T60" s="9">
        <f t="shared" ref="T60:V60" si="168">T56/T57</f>
        <v>0.40555871807931609</v>
      </c>
      <c r="U60" s="9">
        <f t="shared" si="168"/>
        <v>0.35535799894025921</v>
      </c>
      <c r="V60" s="9">
        <f t="shared" si="168"/>
        <v>0.3147628947251308</v>
      </c>
      <c r="W60" s="9" t="e">
        <f t="shared" ref="W60:X60" si="169">W56/W57</f>
        <v>#DIV/0!</v>
      </c>
      <c r="X60" s="9" t="e">
        <f t="shared" si="169"/>
        <v>#DIV/0!</v>
      </c>
      <c r="AC60" s="9">
        <f t="shared" ref="AC60:AE60" si="170">AC56/AC57</f>
        <v>0.52934059286146395</v>
      </c>
      <c r="AD60" s="9">
        <f t="shared" si="170"/>
        <v>0.40684760548110982</v>
      </c>
      <c r="AE60" s="9">
        <f t="shared" si="170"/>
        <v>0.3147628947251308</v>
      </c>
    </row>
    <row r="63" spans="1:32" x14ac:dyDescent="0.25">
      <c r="B63" s="2" t="s">
        <v>70</v>
      </c>
      <c r="K63" s="4">
        <f t="shared" ref="K63:N63" si="171">K18</f>
        <v>2043</v>
      </c>
      <c r="L63" s="4">
        <f t="shared" si="171"/>
        <v>6188</v>
      </c>
      <c r="M63" s="4">
        <f t="shared" si="171"/>
        <v>9243</v>
      </c>
      <c r="N63" s="4">
        <f t="shared" si="171"/>
        <v>12285</v>
      </c>
      <c r="O63" s="4">
        <f>O18</f>
        <v>14881</v>
      </c>
      <c r="P63" s="4">
        <f t="shared" ref="P63:S63" si="172">P18</f>
        <v>16599</v>
      </c>
      <c r="Q63" s="4">
        <f t="shared" si="172"/>
        <v>19309</v>
      </c>
      <c r="R63" s="4">
        <f t="shared" si="172"/>
        <v>22091</v>
      </c>
      <c r="S63" s="4">
        <f t="shared" si="172"/>
        <v>18775</v>
      </c>
      <c r="T63" s="4">
        <f t="shared" ref="T63:V63" si="173">T18</f>
        <v>26422</v>
      </c>
      <c r="U63" s="4">
        <f t="shared" si="173"/>
        <v>31910</v>
      </c>
      <c r="V63" s="4">
        <f t="shared" si="173"/>
        <v>42960</v>
      </c>
      <c r="W63" s="4">
        <f t="shared" ref="W63:X63" si="174">W18</f>
        <v>0</v>
      </c>
      <c r="X63" s="4">
        <f t="shared" si="174"/>
        <v>0</v>
      </c>
      <c r="AC63" s="4">
        <f>AC18</f>
        <v>29759</v>
      </c>
      <c r="AD63" s="4">
        <f>AD18</f>
        <v>72880</v>
      </c>
      <c r="AE63" s="4">
        <f>AE18</f>
        <v>120067</v>
      </c>
      <c r="AF63" s="4">
        <f>AF18</f>
        <v>253590</v>
      </c>
    </row>
    <row r="64" spans="1:32" s="4" customFormat="1" x14ac:dyDescent="0.25">
      <c r="A64" s="2"/>
      <c r="B64" s="2" t="s">
        <v>47</v>
      </c>
      <c r="C64" s="2"/>
      <c r="D64" s="2"/>
      <c r="E64" s="2"/>
      <c r="F64" s="2"/>
      <c r="G64" s="2"/>
      <c r="H64" s="2"/>
      <c r="I64" s="2"/>
      <c r="J64" s="2"/>
      <c r="K64" s="4">
        <v>2043</v>
      </c>
      <c r="L64" s="4">
        <v>6188</v>
      </c>
      <c r="M64" s="4">
        <v>9243</v>
      </c>
      <c r="N64" s="4">
        <v>12285</v>
      </c>
      <c r="O64" s="4">
        <v>14881</v>
      </c>
      <c r="P64" s="4">
        <v>16599</v>
      </c>
      <c r="Q64" s="4">
        <v>19309</v>
      </c>
      <c r="R64" s="4">
        <v>22091</v>
      </c>
      <c r="S64" s="4">
        <v>18775</v>
      </c>
      <c r="T64" s="4">
        <v>26422</v>
      </c>
      <c r="U64" s="4">
        <v>31910</v>
      </c>
      <c r="V64" s="4">
        <v>42960</v>
      </c>
      <c r="AC64" s="4">
        <f>K64+L64+M64+N64</f>
        <v>29759</v>
      </c>
      <c r="AD64" s="4">
        <f>O64+P64+Q64+R64</f>
        <v>72880</v>
      </c>
      <c r="AE64" s="4">
        <f t="shared" ref="AE64:AE89" si="175">SUM(S64:V64)</f>
        <v>120067</v>
      </c>
    </row>
    <row r="65" spans="1:32" s="4" customFormat="1" x14ac:dyDescent="0.25">
      <c r="A65" s="2"/>
      <c r="B65" s="2" t="s">
        <v>48</v>
      </c>
      <c r="C65" s="2"/>
      <c r="D65" s="2"/>
      <c r="E65" s="2"/>
      <c r="F65" s="2"/>
      <c r="G65" s="2"/>
      <c r="H65" s="2"/>
      <c r="I65" s="2"/>
      <c r="J65" s="2"/>
      <c r="K65" s="4">
        <v>735</v>
      </c>
      <c r="L65" s="4">
        <v>842</v>
      </c>
      <c r="M65" s="4">
        <v>979</v>
      </c>
      <c r="N65" s="4">
        <v>993</v>
      </c>
      <c r="O65" s="4">
        <v>1011</v>
      </c>
      <c r="P65" s="4">
        <v>1154</v>
      </c>
      <c r="Q65" s="4">
        <v>1252</v>
      </c>
      <c r="R65" s="4">
        <v>1321</v>
      </c>
      <c r="S65" s="4">
        <v>1474</v>
      </c>
      <c r="T65" s="4">
        <v>1624</v>
      </c>
      <c r="U65" s="4">
        <v>1655</v>
      </c>
      <c r="V65" s="4">
        <v>1633</v>
      </c>
      <c r="AC65" s="4">
        <f t="shared" ref="AC65:AC75" si="176">K65+L65+M65+N65</f>
        <v>3549</v>
      </c>
      <c r="AD65" s="4">
        <f t="shared" ref="AD65:AD75" si="177">O65+P65+Q65+R65</f>
        <v>4738</v>
      </c>
      <c r="AE65" s="4">
        <f t="shared" si="175"/>
        <v>6386</v>
      </c>
    </row>
    <row r="66" spans="1:32" s="4" customFormat="1" x14ac:dyDescent="0.25">
      <c r="A66" s="2"/>
      <c r="B66" s="2" t="s">
        <v>49</v>
      </c>
      <c r="C66" s="2"/>
      <c r="D66" s="2"/>
      <c r="E66" s="2"/>
      <c r="F66" s="2"/>
      <c r="G66" s="2"/>
      <c r="H66" s="2"/>
      <c r="I66" s="2"/>
      <c r="J66" s="2"/>
      <c r="K66" s="4">
        <v>384</v>
      </c>
      <c r="L66" s="4">
        <v>365</v>
      </c>
      <c r="M66" s="4">
        <v>372</v>
      </c>
      <c r="N66" s="4">
        <v>387</v>
      </c>
      <c r="O66" s="4">
        <v>410</v>
      </c>
      <c r="P66" s="4">
        <v>433</v>
      </c>
      <c r="Q66" s="4">
        <v>478</v>
      </c>
      <c r="R66" s="4">
        <v>543</v>
      </c>
      <c r="S66" s="4">
        <v>611</v>
      </c>
      <c r="T66" s="4">
        <v>668</v>
      </c>
      <c r="U66" s="4">
        <v>752</v>
      </c>
      <c r="V66" s="4">
        <v>811</v>
      </c>
      <c r="AC66" s="4">
        <f t="shared" si="176"/>
        <v>1508</v>
      </c>
      <c r="AD66" s="4">
        <f t="shared" si="177"/>
        <v>1864</v>
      </c>
      <c r="AE66" s="4">
        <f t="shared" si="175"/>
        <v>2842</v>
      </c>
    </row>
    <row r="67" spans="1:32" s="4" customFormat="1" x14ac:dyDescent="0.25">
      <c r="A67" s="2"/>
      <c r="B67" s="2" t="s">
        <v>50</v>
      </c>
      <c r="C67" s="2"/>
      <c r="D67" s="2"/>
      <c r="E67" s="2"/>
      <c r="F67" s="2"/>
      <c r="G67" s="2"/>
      <c r="H67" s="2"/>
      <c r="I67" s="2"/>
      <c r="J67" s="2"/>
      <c r="K67" s="4">
        <v>14</v>
      </c>
      <c r="L67" s="4">
        <v>-60</v>
      </c>
      <c r="M67" s="4">
        <v>69</v>
      </c>
      <c r="N67" s="4">
        <v>-78</v>
      </c>
      <c r="O67" s="4">
        <v>-69</v>
      </c>
      <c r="P67" s="4">
        <v>-193</v>
      </c>
      <c r="Q67" s="4">
        <v>-37</v>
      </c>
      <c r="R67" s="4">
        <v>-598</v>
      </c>
      <c r="S67" s="4">
        <v>175</v>
      </c>
      <c r="T67" s="4">
        <v>18</v>
      </c>
      <c r="U67" s="4">
        <v>124</v>
      </c>
      <c r="V67" s="4">
        <v>-5491</v>
      </c>
      <c r="AC67" s="4">
        <f t="shared" si="176"/>
        <v>-55</v>
      </c>
      <c r="AD67" s="4">
        <f t="shared" si="177"/>
        <v>-897</v>
      </c>
      <c r="AE67" s="4">
        <f t="shared" si="175"/>
        <v>-5174</v>
      </c>
    </row>
    <row r="68" spans="1:32" s="4" customFormat="1" x14ac:dyDescent="0.25">
      <c r="A68" s="2"/>
      <c r="B68" s="2" t="s">
        <v>51</v>
      </c>
      <c r="C68" s="2"/>
      <c r="D68" s="2"/>
      <c r="E68" s="2"/>
      <c r="F68" s="2"/>
      <c r="G68" s="2"/>
      <c r="H68" s="2"/>
      <c r="I68" s="2"/>
      <c r="J68" s="2"/>
      <c r="K68" s="4">
        <v>-1135</v>
      </c>
      <c r="L68" s="4">
        <v>-746</v>
      </c>
      <c r="M68" s="4">
        <v>-529</v>
      </c>
      <c r="N68" s="4">
        <v>-260</v>
      </c>
      <c r="O68" s="4">
        <v>-1577</v>
      </c>
      <c r="P68" s="4">
        <v>-1699</v>
      </c>
      <c r="Q68" s="4">
        <v>-602</v>
      </c>
      <c r="R68" s="4">
        <v>-727</v>
      </c>
      <c r="S68" s="4">
        <v>-2177</v>
      </c>
      <c r="T68" s="4">
        <v>-2247</v>
      </c>
      <c r="U68" s="4">
        <v>-1354</v>
      </c>
      <c r="V68" s="4">
        <v>611</v>
      </c>
      <c r="AC68" s="4">
        <f t="shared" si="176"/>
        <v>-2670</v>
      </c>
      <c r="AD68" s="4">
        <f t="shared" si="177"/>
        <v>-4605</v>
      </c>
      <c r="AE68" s="4">
        <f t="shared" si="175"/>
        <v>-5167</v>
      </c>
    </row>
    <row r="69" spans="1:32" s="4" customFormat="1" x14ac:dyDescent="0.25">
      <c r="A69" s="2"/>
      <c r="B69" s="2" t="s">
        <v>52</v>
      </c>
      <c r="C69" s="2"/>
      <c r="D69" s="2"/>
      <c r="E69" s="2"/>
      <c r="F69" s="2"/>
      <c r="G69" s="2"/>
      <c r="H69" s="2"/>
      <c r="I69" s="2"/>
      <c r="J69" s="2"/>
      <c r="K69" s="4">
        <v>-34</v>
      </c>
      <c r="L69" s="4">
        <v>-69</v>
      </c>
      <c r="M69" s="4">
        <v>-66</v>
      </c>
      <c r="N69" s="4">
        <v>-109</v>
      </c>
      <c r="O69" s="4">
        <v>-145</v>
      </c>
      <c r="P69" s="4">
        <v>-144</v>
      </c>
      <c r="Q69" s="4">
        <v>-79</v>
      </c>
      <c r="R69" s="4">
        <v>-138</v>
      </c>
      <c r="S69" s="4">
        <v>-98</v>
      </c>
      <c r="T69" s="4">
        <v>-100</v>
      </c>
      <c r="U69" s="4">
        <v>-80</v>
      </c>
      <c r="V69" s="4">
        <v>-9</v>
      </c>
      <c r="AC69" s="4">
        <f t="shared" si="176"/>
        <v>-278</v>
      </c>
      <c r="AD69" s="4">
        <f t="shared" si="177"/>
        <v>-506</v>
      </c>
      <c r="AE69" s="4">
        <f t="shared" si="175"/>
        <v>-287</v>
      </c>
    </row>
    <row r="70" spans="1:32" s="4" customFormat="1" x14ac:dyDescent="0.25">
      <c r="A70" s="2"/>
      <c r="B70" s="2" t="s">
        <v>28</v>
      </c>
      <c r="C70" s="2"/>
      <c r="D70" s="2"/>
      <c r="E70" s="2"/>
      <c r="F70" s="2"/>
      <c r="G70" s="2"/>
      <c r="H70" s="2"/>
      <c r="I70" s="2"/>
      <c r="J70" s="2"/>
      <c r="K70" s="4">
        <v>-252</v>
      </c>
      <c r="L70" s="4">
        <v>-2986</v>
      </c>
      <c r="M70" s="4">
        <v>-1243</v>
      </c>
      <c r="N70" s="4">
        <v>-1690</v>
      </c>
      <c r="O70" s="4">
        <v>-2366</v>
      </c>
      <c r="P70" s="4">
        <v>-1767</v>
      </c>
      <c r="Q70" s="4">
        <v>-3561</v>
      </c>
      <c r="R70" s="4">
        <v>-5370</v>
      </c>
      <c r="S70" s="4">
        <v>933</v>
      </c>
      <c r="T70" s="4">
        <v>-5675</v>
      </c>
      <c r="U70" s="4">
        <v>-5583</v>
      </c>
      <c r="V70" s="4">
        <v>-5073</v>
      </c>
      <c r="AC70" s="4">
        <f t="shared" si="176"/>
        <v>-6171</v>
      </c>
      <c r="AD70" s="4">
        <f t="shared" si="177"/>
        <v>-13064</v>
      </c>
      <c r="AE70" s="4">
        <f t="shared" si="175"/>
        <v>-15398</v>
      </c>
    </row>
    <row r="71" spans="1:32" s="4" customFormat="1" x14ac:dyDescent="0.25">
      <c r="A71" s="2"/>
      <c r="B71" s="2" t="s">
        <v>29</v>
      </c>
      <c r="C71" s="2"/>
      <c r="D71" s="2"/>
      <c r="E71" s="2"/>
      <c r="F71" s="2"/>
      <c r="G71" s="2"/>
      <c r="H71" s="2"/>
      <c r="I71" s="2"/>
      <c r="J71" s="2"/>
      <c r="K71" s="4">
        <v>566</v>
      </c>
      <c r="L71" s="4">
        <v>296</v>
      </c>
      <c r="M71" s="4">
        <v>-457</v>
      </c>
      <c r="N71" s="4">
        <v>-503</v>
      </c>
      <c r="O71" s="4">
        <v>-577</v>
      </c>
      <c r="P71" s="4">
        <v>-803</v>
      </c>
      <c r="Q71" s="4">
        <v>-978</v>
      </c>
      <c r="R71" s="4">
        <v>-2424</v>
      </c>
      <c r="S71" s="4">
        <v>-1258</v>
      </c>
      <c r="T71" s="4">
        <v>-3622</v>
      </c>
      <c r="U71" s="4">
        <v>-4823</v>
      </c>
      <c r="V71" s="4">
        <v>-1621</v>
      </c>
      <c r="AC71" s="4">
        <f t="shared" si="176"/>
        <v>-98</v>
      </c>
      <c r="AD71" s="4">
        <f t="shared" si="177"/>
        <v>-4782</v>
      </c>
      <c r="AE71" s="4">
        <f t="shared" si="175"/>
        <v>-11324</v>
      </c>
    </row>
    <row r="72" spans="1:32" s="4" customFormat="1" x14ac:dyDescent="0.25">
      <c r="A72" s="2"/>
      <c r="B72" s="2" t="s">
        <v>30</v>
      </c>
      <c r="C72" s="2"/>
      <c r="D72" s="2"/>
      <c r="E72" s="2"/>
      <c r="F72" s="2"/>
      <c r="G72" s="2"/>
      <c r="H72" s="2"/>
      <c r="I72" s="2"/>
      <c r="J72" s="2"/>
      <c r="K72" s="4">
        <v>-215</v>
      </c>
      <c r="L72" s="4">
        <v>-376</v>
      </c>
      <c r="M72" s="4">
        <v>254</v>
      </c>
      <c r="N72" s="4">
        <v>-1184</v>
      </c>
      <c r="O72" s="4">
        <v>-726</v>
      </c>
      <c r="P72" s="4">
        <v>714</v>
      </c>
      <c r="Q72" s="4">
        <v>-714</v>
      </c>
      <c r="R72" s="4">
        <v>331</v>
      </c>
      <c r="S72" s="4">
        <v>560</v>
      </c>
      <c r="T72" s="4">
        <v>387</v>
      </c>
      <c r="U72" s="4">
        <v>-89</v>
      </c>
      <c r="V72" s="4">
        <v>-281</v>
      </c>
      <c r="AC72" s="4">
        <f t="shared" si="176"/>
        <v>-1521</v>
      </c>
      <c r="AD72" s="4">
        <f t="shared" si="177"/>
        <v>-395</v>
      </c>
      <c r="AE72" s="4">
        <f t="shared" si="175"/>
        <v>577</v>
      </c>
    </row>
    <row r="73" spans="1:32" s="4" customFormat="1" x14ac:dyDescent="0.25">
      <c r="A73" s="2"/>
      <c r="B73" s="2" t="s">
        <v>38</v>
      </c>
      <c r="C73" s="2"/>
      <c r="D73" s="2"/>
      <c r="E73" s="2"/>
      <c r="F73" s="2"/>
      <c r="G73" s="2"/>
      <c r="H73" s="2"/>
      <c r="I73" s="2"/>
      <c r="J73" s="2"/>
      <c r="K73" s="4">
        <v>11</v>
      </c>
      <c r="L73" s="4">
        <v>777</v>
      </c>
      <c r="M73" s="4">
        <v>461</v>
      </c>
      <c r="N73" s="4">
        <v>281</v>
      </c>
      <c r="O73" s="4">
        <v>-22</v>
      </c>
      <c r="P73" s="4">
        <v>823</v>
      </c>
      <c r="Q73" s="4">
        <v>1689</v>
      </c>
      <c r="R73" s="4">
        <v>867</v>
      </c>
      <c r="S73" s="4">
        <v>941</v>
      </c>
      <c r="T73" s="4">
        <v>1314</v>
      </c>
      <c r="U73" s="4">
        <v>-223</v>
      </c>
      <c r="V73" s="4">
        <v>1064</v>
      </c>
      <c r="AC73" s="4">
        <f t="shared" si="176"/>
        <v>1530</v>
      </c>
      <c r="AD73" s="4">
        <f t="shared" si="177"/>
        <v>3357</v>
      </c>
      <c r="AE73" s="4">
        <f t="shared" si="175"/>
        <v>3096</v>
      </c>
    </row>
    <row r="74" spans="1:32" s="4" customFormat="1" x14ac:dyDescent="0.25">
      <c r="A74" s="2"/>
      <c r="B74" s="2" t="s">
        <v>39</v>
      </c>
      <c r="C74" s="2"/>
      <c r="D74" s="2"/>
      <c r="E74" s="2"/>
      <c r="F74" s="2"/>
      <c r="G74" s="2"/>
      <c r="H74" s="2"/>
      <c r="I74" s="2"/>
      <c r="J74" s="2"/>
      <c r="K74" s="4">
        <v>689</v>
      </c>
      <c r="L74" s="4">
        <v>1986</v>
      </c>
      <c r="M74" s="4">
        <v>-1722</v>
      </c>
      <c r="N74" s="4">
        <v>1072</v>
      </c>
      <c r="O74" s="4">
        <v>4202</v>
      </c>
      <c r="P74" s="4">
        <v>-888</v>
      </c>
      <c r="Q74" s="4">
        <v>606</v>
      </c>
      <c r="R74" s="4">
        <v>360</v>
      </c>
      <c r="S74" s="4">
        <v>7128</v>
      </c>
      <c r="T74" s="4">
        <v>-4053</v>
      </c>
      <c r="U74" s="4">
        <v>1129</v>
      </c>
      <c r="V74" s="4">
        <v>1053</v>
      </c>
      <c r="AC74" s="4">
        <f t="shared" si="176"/>
        <v>2025</v>
      </c>
      <c r="AD74" s="4">
        <f t="shared" si="177"/>
        <v>4280</v>
      </c>
      <c r="AE74" s="4">
        <f t="shared" si="175"/>
        <v>5257</v>
      </c>
    </row>
    <row r="75" spans="1:32" s="4" customFormat="1" x14ac:dyDescent="0.25">
      <c r="A75" s="2"/>
      <c r="B75" s="2" t="s">
        <v>43</v>
      </c>
      <c r="C75" s="2"/>
      <c r="D75" s="2"/>
      <c r="E75" s="2"/>
      <c r="F75" s="2"/>
      <c r="G75" s="2"/>
      <c r="H75" s="2"/>
      <c r="I75" s="2"/>
      <c r="J75" s="2"/>
      <c r="K75" s="4">
        <v>105</v>
      </c>
      <c r="L75" s="4">
        <v>131</v>
      </c>
      <c r="M75" s="4">
        <v>-28</v>
      </c>
      <c r="N75" s="4">
        <v>305</v>
      </c>
      <c r="O75" s="4">
        <v>323</v>
      </c>
      <c r="P75" s="4">
        <v>260</v>
      </c>
      <c r="Q75" s="4">
        <v>266</v>
      </c>
      <c r="R75" s="4">
        <v>372</v>
      </c>
      <c r="S75" s="4">
        <v>350</v>
      </c>
      <c r="T75" s="4">
        <v>629</v>
      </c>
      <c r="U75" s="4">
        <v>332</v>
      </c>
      <c r="V75" s="4">
        <v>533</v>
      </c>
      <c r="AC75" s="4">
        <f t="shared" si="176"/>
        <v>513</v>
      </c>
      <c r="AD75" s="4">
        <f t="shared" si="177"/>
        <v>1221</v>
      </c>
      <c r="AE75" s="4">
        <f t="shared" si="175"/>
        <v>1844</v>
      </c>
    </row>
    <row r="76" spans="1:32" s="8" customFormat="1" x14ac:dyDescent="0.25">
      <c r="A76" s="7"/>
      <c r="B76" s="7" t="s">
        <v>53</v>
      </c>
      <c r="C76" s="7"/>
      <c r="D76" s="7"/>
      <c r="E76" s="7"/>
      <c r="F76" s="7"/>
      <c r="G76" s="7"/>
      <c r="H76" s="7"/>
      <c r="I76" s="7"/>
      <c r="J76" s="7"/>
      <c r="K76" s="8">
        <f t="shared" ref="K76:N76" si="178">SUM(K64:K75)</f>
        <v>2911</v>
      </c>
      <c r="L76" s="8">
        <f t="shared" si="178"/>
        <v>6348</v>
      </c>
      <c r="M76" s="8">
        <f t="shared" si="178"/>
        <v>7333</v>
      </c>
      <c r="N76" s="8">
        <f t="shared" si="178"/>
        <v>11499</v>
      </c>
      <c r="O76" s="8">
        <f>SUM(O64:O75)</f>
        <v>15345</v>
      </c>
      <c r="P76" s="8">
        <f t="shared" ref="P76:S76" si="179">SUM(P64:P75)</f>
        <v>14489</v>
      </c>
      <c r="Q76" s="8">
        <f t="shared" si="179"/>
        <v>17629</v>
      </c>
      <c r="R76" s="8">
        <f t="shared" si="179"/>
        <v>16628</v>
      </c>
      <c r="S76" s="8">
        <f t="shared" si="179"/>
        <v>27414</v>
      </c>
      <c r="T76" s="8">
        <f t="shared" ref="T76:V76" si="180">SUM(T64:T75)</f>
        <v>15365</v>
      </c>
      <c r="U76" s="8">
        <f t="shared" si="180"/>
        <v>23750</v>
      </c>
      <c r="V76" s="8">
        <f t="shared" si="180"/>
        <v>36190</v>
      </c>
      <c r="W76" s="8">
        <f t="shared" ref="W76:X76" si="181">SUM(W64:W75)</f>
        <v>0</v>
      </c>
      <c r="X76" s="8">
        <f t="shared" si="181"/>
        <v>0</v>
      </c>
      <c r="AC76" s="8">
        <f t="shared" ref="AC76" si="182">SUM(AC64:AC75)</f>
        <v>28091</v>
      </c>
      <c r="AD76" s="8">
        <f t="shared" ref="AD76:AF77" si="183">SUM(AD64:AD75)</f>
        <v>64091</v>
      </c>
      <c r="AE76" s="8">
        <f t="shared" si="183"/>
        <v>102719</v>
      </c>
      <c r="AF76" s="8">
        <f t="shared" si="183"/>
        <v>0</v>
      </c>
    </row>
    <row r="77" spans="1:32" s="4" customFormat="1" x14ac:dyDescent="0.25">
      <c r="A77" s="2"/>
      <c r="B77" s="2" t="s">
        <v>54</v>
      </c>
      <c r="C77" s="2"/>
      <c r="D77" s="2"/>
      <c r="E77" s="2"/>
      <c r="F77" s="2"/>
      <c r="G77" s="2"/>
      <c r="H77" s="2"/>
      <c r="I77" s="2"/>
      <c r="J77" s="2"/>
      <c r="K77" s="4">
        <v>2512</v>
      </c>
      <c r="L77" s="4">
        <v>2598</v>
      </c>
      <c r="M77" s="4">
        <v>2891</v>
      </c>
      <c r="N77" s="4">
        <v>1731</v>
      </c>
      <c r="O77" s="4">
        <v>4004</v>
      </c>
      <c r="P77" s="4">
        <v>4094</v>
      </c>
      <c r="Q77" s="4">
        <v>1386</v>
      </c>
      <c r="R77" s="4">
        <v>1710</v>
      </c>
      <c r="S77" s="4">
        <v>3122</v>
      </c>
      <c r="T77" s="4">
        <v>3130</v>
      </c>
      <c r="U77" s="4">
        <f>2728+2</f>
        <v>2730</v>
      </c>
      <c r="V77" s="4">
        <v>14670</v>
      </c>
      <c r="AC77" s="4">
        <f t="shared" ref="AC77:AC82" si="184">K77+L77+M77+N77</f>
        <v>9732</v>
      </c>
      <c r="AD77" s="4">
        <f t="shared" ref="AD77:AD82" si="185">O77+P77+Q77+R77</f>
        <v>11194</v>
      </c>
      <c r="AE77" s="4">
        <f t="shared" si="175"/>
        <v>23652</v>
      </c>
    </row>
    <row r="78" spans="1:32" s="4" customFormat="1" x14ac:dyDescent="0.25">
      <c r="A78" s="2"/>
      <c r="B78" s="2" t="s">
        <v>55</v>
      </c>
      <c r="C78" s="2"/>
      <c r="D78" s="2"/>
      <c r="E78" s="2"/>
      <c r="F78" s="2"/>
      <c r="G78" s="2"/>
      <c r="H78" s="2"/>
      <c r="I78" s="2"/>
      <c r="J78" s="2"/>
      <c r="N78" s="4">
        <f>50-113</f>
        <v>-63</v>
      </c>
      <c r="O78" s="4">
        <v>149</v>
      </c>
      <c r="P78" s="4">
        <v>15</v>
      </c>
      <c r="Q78" s="4">
        <v>154</v>
      </c>
      <c r="R78" s="4">
        <f>177-478</f>
        <v>-301</v>
      </c>
      <c r="S78" s="4">
        <v>467</v>
      </c>
      <c r="T78" s="4">
        <v>20</v>
      </c>
      <c r="V78" s="4">
        <v>2258</v>
      </c>
      <c r="AC78" s="4">
        <f t="shared" si="184"/>
        <v>-63</v>
      </c>
      <c r="AD78" s="4">
        <f t="shared" si="185"/>
        <v>17</v>
      </c>
      <c r="AE78" s="4">
        <f t="shared" si="175"/>
        <v>2745</v>
      </c>
    </row>
    <row r="79" spans="1:32" s="4" customFormat="1" x14ac:dyDescent="0.25">
      <c r="A79" s="2"/>
      <c r="B79" s="2" t="s">
        <v>56</v>
      </c>
      <c r="C79" s="2"/>
      <c r="D79" s="2"/>
      <c r="E79" s="2"/>
      <c r="F79" s="2"/>
      <c r="G79" s="2"/>
      <c r="H79" s="2"/>
      <c r="I79" s="2"/>
      <c r="J79" s="2"/>
      <c r="K79" s="4">
        <v>-2801</v>
      </c>
      <c r="L79" s="4">
        <v>-2542</v>
      </c>
      <c r="M79" s="4">
        <v>-5345</v>
      </c>
      <c r="N79" s="4">
        <v>-7524</v>
      </c>
      <c r="O79" s="4">
        <v>-9303</v>
      </c>
      <c r="P79" s="4">
        <v>-5744</v>
      </c>
      <c r="Q79" s="4">
        <v>-4518</v>
      </c>
      <c r="R79" s="4">
        <v>-7010</v>
      </c>
      <c r="S79" s="4">
        <f>-6546-649</f>
        <v>-7195</v>
      </c>
      <c r="T79" s="4">
        <v>-7812</v>
      </c>
      <c r="U79" s="4">
        <f>-5718-3706</f>
        <v>-9424</v>
      </c>
      <c r="V79" s="4">
        <f>-20540-12800</f>
        <v>-33340</v>
      </c>
      <c r="AC79" s="4">
        <f t="shared" si="184"/>
        <v>-18212</v>
      </c>
      <c r="AD79" s="4">
        <f t="shared" si="185"/>
        <v>-26575</v>
      </c>
      <c r="AE79" s="4">
        <f t="shared" si="175"/>
        <v>-57771</v>
      </c>
    </row>
    <row r="80" spans="1:32" s="4" customFormat="1" x14ac:dyDescent="0.25">
      <c r="A80" s="2"/>
      <c r="B80" s="2" t="s">
        <v>57</v>
      </c>
      <c r="C80" s="2"/>
      <c r="D80" s="2"/>
      <c r="E80" s="2"/>
      <c r="F80" s="2"/>
      <c r="G80" s="2"/>
      <c r="H80" s="2"/>
      <c r="I80" s="2"/>
      <c r="J80" s="2"/>
      <c r="K80" s="4">
        <v>-248</v>
      </c>
      <c r="L80" s="4">
        <v>-289</v>
      </c>
      <c r="M80" s="4">
        <v>-278</v>
      </c>
      <c r="N80" s="4">
        <v>-253</v>
      </c>
      <c r="O80" s="4">
        <v>-369</v>
      </c>
      <c r="P80" s="4">
        <v>-977</v>
      </c>
      <c r="Q80" s="4">
        <v>-813</v>
      </c>
      <c r="R80" s="4">
        <v>-1077</v>
      </c>
      <c r="S80" s="4">
        <v>-1227</v>
      </c>
      <c r="T80" s="4">
        <v>-1894</v>
      </c>
      <c r="U80" s="4">
        <v>-1637</v>
      </c>
      <c r="V80" s="4">
        <v>-1284</v>
      </c>
      <c r="AC80" s="4">
        <f t="shared" si="184"/>
        <v>-1068</v>
      </c>
      <c r="AD80" s="4">
        <f t="shared" si="185"/>
        <v>-3236</v>
      </c>
      <c r="AE80" s="4">
        <f t="shared" si="175"/>
        <v>-6042</v>
      </c>
    </row>
    <row r="81" spans="1:32" s="4" customFormat="1" x14ac:dyDescent="0.25">
      <c r="A81" s="2"/>
      <c r="B81" s="2" t="s">
        <v>58</v>
      </c>
      <c r="C81" s="2"/>
      <c r="D81" s="2"/>
      <c r="E81" s="2"/>
      <c r="F81" s="2"/>
      <c r="G81" s="2"/>
      <c r="H81" s="2"/>
      <c r="I81" s="2"/>
      <c r="J81" s="2"/>
      <c r="K81" s="4">
        <v>-83</v>
      </c>
      <c r="O81" s="4">
        <v>-39</v>
      </c>
      <c r="P81" s="4">
        <v>-279</v>
      </c>
      <c r="Q81" s="4">
        <v>-147</v>
      </c>
      <c r="R81" s="4">
        <f>-542+22</f>
        <v>-520</v>
      </c>
      <c r="S81" s="4">
        <v>-383</v>
      </c>
      <c r="T81" s="4">
        <v>-294</v>
      </c>
      <c r="U81" s="4">
        <v>-694</v>
      </c>
      <c r="V81" s="4">
        <v>-13000</v>
      </c>
      <c r="AC81" s="4">
        <f t="shared" si="184"/>
        <v>-83</v>
      </c>
      <c r="AD81" s="4">
        <f t="shared" si="185"/>
        <v>-985</v>
      </c>
      <c r="AE81" s="4">
        <f t="shared" si="175"/>
        <v>-14371</v>
      </c>
    </row>
    <row r="82" spans="1:32" s="4" customFormat="1" x14ac:dyDescent="0.25">
      <c r="A82" s="2"/>
      <c r="B82" s="2" t="s">
        <v>59</v>
      </c>
      <c r="C82" s="2"/>
      <c r="D82" s="2"/>
      <c r="E82" s="2"/>
      <c r="F82" s="2"/>
      <c r="G82" s="2"/>
      <c r="H82" s="2"/>
      <c r="I82" s="2"/>
      <c r="J82" s="2"/>
      <c r="K82" s="4">
        <v>-221</v>
      </c>
      <c r="L82" s="4">
        <f>-235+21</f>
        <v>-214</v>
      </c>
      <c r="M82" s="4">
        <f>-441+4</f>
        <v>-437</v>
      </c>
      <c r="O82" s="4">
        <v>-135</v>
      </c>
      <c r="P82" s="4">
        <f>-344+50</f>
        <v>-294</v>
      </c>
      <c r="Q82" s="4">
        <f>-473+66</f>
        <v>-407</v>
      </c>
      <c r="T82" s="4">
        <f>-346+70</f>
        <v>-276</v>
      </c>
      <c r="V82" s="4">
        <v>-165</v>
      </c>
      <c r="AC82" s="4">
        <f t="shared" si="184"/>
        <v>-872</v>
      </c>
      <c r="AD82" s="4">
        <f t="shared" si="185"/>
        <v>-836</v>
      </c>
      <c r="AE82" s="4">
        <f t="shared" si="175"/>
        <v>-441</v>
      </c>
    </row>
    <row r="83" spans="1:32" s="8" customFormat="1" x14ac:dyDescent="0.25">
      <c r="A83" s="7"/>
      <c r="B83" s="7" t="s">
        <v>60</v>
      </c>
      <c r="C83" s="7"/>
      <c r="D83" s="7"/>
      <c r="E83" s="7"/>
      <c r="F83" s="7"/>
      <c r="G83" s="7"/>
      <c r="H83" s="7"/>
      <c r="I83" s="7"/>
      <c r="J83" s="7"/>
      <c r="K83" s="8">
        <f t="shared" ref="K83:N83" si="186">SUM(K77:K82)</f>
        <v>-841</v>
      </c>
      <c r="L83" s="8">
        <f t="shared" si="186"/>
        <v>-447</v>
      </c>
      <c r="M83" s="8">
        <f t="shared" si="186"/>
        <v>-3169</v>
      </c>
      <c r="N83" s="8">
        <f t="shared" si="186"/>
        <v>-6109</v>
      </c>
      <c r="O83" s="8">
        <f>SUM(O77:O82)</f>
        <v>-5693</v>
      </c>
      <c r="P83" s="8">
        <f t="shared" ref="P83:S83" si="187">SUM(P77:P82)</f>
        <v>-3185</v>
      </c>
      <c r="Q83" s="8">
        <f t="shared" si="187"/>
        <v>-4345</v>
      </c>
      <c r="R83" s="8">
        <f t="shared" si="187"/>
        <v>-7198</v>
      </c>
      <c r="S83" s="8">
        <f t="shared" si="187"/>
        <v>-5216</v>
      </c>
      <c r="T83" s="8">
        <f t="shared" ref="T83:V83" si="188">SUM(T77:T82)</f>
        <v>-7126</v>
      </c>
      <c r="U83" s="8">
        <f t="shared" si="188"/>
        <v>-9025</v>
      </c>
      <c r="V83" s="8">
        <f t="shared" si="188"/>
        <v>-30861</v>
      </c>
      <c r="W83" s="8">
        <f t="shared" ref="W83:X83" si="189">SUM(W77:W82)</f>
        <v>0</v>
      </c>
      <c r="X83" s="8">
        <f t="shared" si="189"/>
        <v>0</v>
      </c>
      <c r="AC83" s="8">
        <f t="shared" ref="AC83" si="190">SUM(AC77:AC82)</f>
        <v>-10566</v>
      </c>
      <c r="AD83" s="8">
        <f t="shared" ref="AD83:AF83" si="191">SUM(AD77:AD82)</f>
        <v>-20421</v>
      </c>
      <c r="AE83" s="8">
        <f t="shared" si="191"/>
        <v>-52228</v>
      </c>
      <c r="AF83" s="8">
        <f t="shared" si="191"/>
        <v>0</v>
      </c>
    </row>
    <row r="84" spans="1:32" s="4" customFormat="1" x14ac:dyDescent="0.25">
      <c r="A84" s="2"/>
      <c r="B84" s="2" t="s">
        <v>61</v>
      </c>
      <c r="C84" s="2"/>
      <c r="D84" s="2"/>
      <c r="E84" s="2"/>
      <c r="F84" s="2"/>
      <c r="G84" s="2"/>
      <c r="H84" s="2"/>
      <c r="I84" s="2"/>
      <c r="J84" s="2"/>
      <c r="K84" s="4">
        <v>246</v>
      </c>
      <c r="L84" s="4">
        <v>1</v>
      </c>
      <c r="M84" s="4">
        <v>156</v>
      </c>
      <c r="O84" s="4">
        <v>285</v>
      </c>
      <c r="Q84" s="4">
        <v>204</v>
      </c>
      <c r="S84" s="4">
        <v>370</v>
      </c>
      <c r="U84" s="4">
        <v>274</v>
      </c>
      <c r="V84" s="4">
        <v>0</v>
      </c>
      <c r="AC84" s="4">
        <f t="shared" ref="AC84:AC89" si="192">K84+L84+M84+N84</f>
        <v>403</v>
      </c>
      <c r="AD84" s="4">
        <f t="shared" ref="AD84:AD89" si="193">O84+P84+Q84+R84</f>
        <v>489</v>
      </c>
      <c r="AE84" s="4">
        <f t="shared" si="175"/>
        <v>644</v>
      </c>
    </row>
    <row r="85" spans="1:32" s="4" customFormat="1" x14ac:dyDescent="0.25">
      <c r="A85" s="2"/>
      <c r="B85" s="2" t="s">
        <v>62</v>
      </c>
      <c r="C85" s="2"/>
      <c r="D85" s="2"/>
      <c r="E85" s="2"/>
      <c r="F85" s="2"/>
      <c r="G85" s="2"/>
      <c r="H85" s="2"/>
      <c r="I85" s="2"/>
      <c r="J85" s="2"/>
      <c r="L85" s="4">
        <v>-3067</v>
      </c>
      <c r="M85" s="4">
        <v>-3806</v>
      </c>
      <c r="N85" s="4">
        <v>-2660</v>
      </c>
      <c r="O85" s="4">
        <v>-7740</v>
      </c>
      <c r="P85" s="4">
        <v>-7158</v>
      </c>
      <c r="Q85" s="4">
        <v>-10998</v>
      </c>
      <c r="R85" s="4">
        <v>-7810</v>
      </c>
      <c r="S85" s="4">
        <v>-14095</v>
      </c>
      <c r="T85" s="4">
        <v>-9721</v>
      </c>
      <c r="U85" s="4">
        <v>-12456</v>
      </c>
      <c r="V85" s="4">
        <v>-3815</v>
      </c>
      <c r="AC85" s="4">
        <f t="shared" si="192"/>
        <v>-9533</v>
      </c>
      <c r="AD85" s="4">
        <f t="shared" si="193"/>
        <v>-33706</v>
      </c>
      <c r="AE85" s="4">
        <f t="shared" si="175"/>
        <v>-40087</v>
      </c>
    </row>
    <row r="86" spans="1:32" s="4" customFormat="1" x14ac:dyDescent="0.25">
      <c r="A86" s="2"/>
      <c r="B86" s="2" t="s">
        <v>76</v>
      </c>
      <c r="C86" s="2"/>
      <c r="D86" s="2"/>
      <c r="E86" s="2"/>
      <c r="F86" s="2"/>
      <c r="G86" s="2"/>
      <c r="H86" s="2"/>
      <c r="I86" s="2"/>
      <c r="J86" s="2"/>
      <c r="L86" s="4">
        <v>-1250</v>
      </c>
      <c r="P86" s="4">
        <v>-1250</v>
      </c>
      <c r="AC86" s="4">
        <f t="shared" si="192"/>
        <v>-1250</v>
      </c>
      <c r="AD86" s="4">
        <f t="shared" si="193"/>
        <v>-1250</v>
      </c>
      <c r="AE86" s="4">
        <f t="shared" si="175"/>
        <v>0</v>
      </c>
    </row>
    <row r="87" spans="1:32" s="4" customFormat="1" x14ac:dyDescent="0.25">
      <c r="A87" s="2"/>
      <c r="B87" s="2" t="s">
        <v>63</v>
      </c>
      <c r="C87" s="2"/>
      <c r="D87" s="2"/>
      <c r="E87" s="2"/>
      <c r="F87" s="2"/>
      <c r="G87" s="2"/>
      <c r="H87" s="2"/>
      <c r="I87" s="2"/>
      <c r="J87" s="2"/>
      <c r="K87" s="4">
        <v>-507</v>
      </c>
      <c r="L87" s="4">
        <v>-672</v>
      </c>
      <c r="M87" s="4">
        <v>-764</v>
      </c>
      <c r="N87" s="4">
        <v>-841</v>
      </c>
      <c r="O87" s="4">
        <v>-1752</v>
      </c>
      <c r="P87" s="4">
        <v>-1637</v>
      </c>
      <c r="Q87" s="4">
        <v>-1680</v>
      </c>
      <c r="R87" s="4">
        <v>-1861</v>
      </c>
      <c r="S87" s="4">
        <v>-1532</v>
      </c>
      <c r="T87" s="4">
        <v>-1848</v>
      </c>
      <c r="U87" s="4">
        <v>-2429</v>
      </c>
      <c r="V87" s="4">
        <v>-2139</v>
      </c>
      <c r="AC87" s="4">
        <f t="shared" si="192"/>
        <v>-2784</v>
      </c>
      <c r="AD87" s="4">
        <f t="shared" si="193"/>
        <v>-6930</v>
      </c>
      <c r="AE87" s="4">
        <f t="shared" si="175"/>
        <v>-7948</v>
      </c>
    </row>
    <row r="88" spans="1:32" s="4" customFormat="1" x14ac:dyDescent="0.25">
      <c r="A88" s="2"/>
      <c r="B88" s="2" t="s">
        <v>64</v>
      </c>
      <c r="C88" s="2"/>
      <c r="D88" s="2"/>
      <c r="E88" s="2"/>
      <c r="F88" s="2"/>
      <c r="G88" s="2"/>
      <c r="H88" s="2"/>
      <c r="I88" s="2"/>
      <c r="J88" s="2"/>
      <c r="K88" s="4">
        <v>-99</v>
      </c>
      <c r="L88" s="4">
        <v>-99</v>
      </c>
      <c r="M88" s="4">
        <v>-99</v>
      </c>
      <c r="N88" s="4">
        <v>-99</v>
      </c>
      <c r="O88" s="4">
        <v>-98</v>
      </c>
      <c r="P88" s="4">
        <v>-246</v>
      </c>
      <c r="Q88" s="4">
        <v>-245</v>
      </c>
      <c r="R88" s="4">
        <v>-245</v>
      </c>
      <c r="S88" s="4">
        <v>-244</v>
      </c>
      <c r="T88" s="4">
        <v>-244</v>
      </c>
      <c r="U88" s="4">
        <v>-243</v>
      </c>
      <c r="V88" s="4">
        <v>-243</v>
      </c>
      <c r="AC88" s="4">
        <f t="shared" si="192"/>
        <v>-396</v>
      </c>
      <c r="AD88" s="4">
        <f t="shared" si="193"/>
        <v>-834</v>
      </c>
      <c r="AE88" s="4">
        <f t="shared" si="175"/>
        <v>-974</v>
      </c>
    </row>
    <row r="89" spans="1:32" s="4" customFormat="1" x14ac:dyDescent="0.25">
      <c r="A89" s="2"/>
      <c r="B89" s="2" t="s">
        <v>65</v>
      </c>
      <c r="C89" s="2"/>
      <c r="D89" s="2"/>
      <c r="E89" s="2"/>
      <c r="F89" s="2"/>
      <c r="G89" s="2"/>
      <c r="H89" s="2"/>
      <c r="I89" s="2"/>
      <c r="J89" s="2"/>
      <c r="K89" s="4">
        <v>-20</v>
      </c>
      <c r="L89" s="4">
        <v>-11</v>
      </c>
      <c r="M89" s="4">
        <f>-13-1</f>
        <v>-14</v>
      </c>
      <c r="N89" s="4">
        <v>-29</v>
      </c>
      <c r="O89" s="4">
        <v>-40</v>
      </c>
      <c r="P89" s="4">
        <v>-29</v>
      </c>
      <c r="Q89" s="4">
        <v>-29</v>
      </c>
      <c r="R89" s="4">
        <v>-32</v>
      </c>
      <c r="S89" s="4">
        <v>-52</v>
      </c>
      <c r="T89" s="4">
        <v>-21</v>
      </c>
      <c r="U89" s="4">
        <v>-24</v>
      </c>
      <c r="V89" s="4">
        <v>-13</v>
      </c>
      <c r="AC89" s="4">
        <f t="shared" si="192"/>
        <v>-74</v>
      </c>
      <c r="AD89" s="4">
        <f t="shared" si="193"/>
        <v>-130</v>
      </c>
      <c r="AE89" s="4">
        <f t="shared" si="175"/>
        <v>-110</v>
      </c>
    </row>
    <row r="90" spans="1:32" s="8" customFormat="1" x14ac:dyDescent="0.25">
      <c r="A90" s="7"/>
      <c r="B90" s="7" t="s">
        <v>66</v>
      </c>
      <c r="C90" s="7"/>
      <c r="D90" s="7"/>
      <c r="E90" s="7"/>
      <c r="F90" s="7"/>
      <c r="G90" s="7"/>
      <c r="H90" s="7"/>
      <c r="I90" s="7"/>
      <c r="J90" s="7"/>
      <c r="K90" s="8">
        <f t="shared" ref="K90:S90" si="194">SUM(K84:K89)</f>
        <v>-380</v>
      </c>
      <c r="L90" s="8">
        <f t="shared" si="194"/>
        <v>-5098</v>
      </c>
      <c r="M90" s="8">
        <f t="shared" si="194"/>
        <v>-4527</v>
      </c>
      <c r="N90" s="8">
        <f t="shared" si="194"/>
        <v>-3629</v>
      </c>
      <c r="O90" s="8">
        <f t="shared" si="194"/>
        <v>-9345</v>
      </c>
      <c r="P90" s="8">
        <f t="shared" si="194"/>
        <v>-10320</v>
      </c>
      <c r="Q90" s="8">
        <f t="shared" si="194"/>
        <v>-12748</v>
      </c>
      <c r="R90" s="8">
        <f t="shared" si="194"/>
        <v>-9948</v>
      </c>
      <c r="S90" s="8">
        <f t="shared" si="194"/>
        <v>-15553</v>
      </c>
      <c r="T90" s="8">
        <f t="shared" ref="T90:V90" si="195">SUM(T84:T89)</f>
        <v>-11834</v>
      </c>
      <c r="U90" s="8">
        <f t="shared" si="195"/>
        <v>-14878</v>
      </c>
      <c r="V90" s="8">
        <f t="shared" si="195"/>
        <v>-6210</v>
      </c>
      <c r="W90" s="8">
        <f t="shared" ref="W90:X90" si="196">SUM(W84:W89)</f>
        <v>0</v>
      </c>
      <c r="X90" s="8">
        <f t="shared" si="196"/>
        <v>0</v>
      </c>
      <c r="AC90" s="8">
        <f>SUM(AC84:AC89)</f>
        <v>-13634</v>
      </c>
      <c r="AD90" s="8">
        <f>SUM(AD84:AD89)</f>
        <v>-42361</v>
      </c>
      <c r="AE90" s="8">
        <f t="shared" ref="AE90:AF90" si="197">SUM(AE84:AE89)</f>
        <v>-48475</v>
      </c>
      <c r="AF90" s="8">
        <f t="shared" si="197"/>
        <v>0</v>
      </c>
    </row>
    <row r="91" spans="1:32" s="4" customFormat="1" x14ac:dyDescent="0.25">
      <c r="A91" s="2"/>
      <c r="B91" s="2" t="s">
        <v>67</v>
      </c>
      <c r="C91" s="2"/>
      <c r="D91" s="2"/>
      <c r="E91" s="2"/>
      <c r="F91" s="2"/>
      <c r="G91" s="2"/>
      <c r="H91" s="2"/>
      <c r="I91" s="2"/>
      <c r="J91" s="2"/>
      <c r="K91" s="4">
        <f t="shared" ref="K91:S91" si="198">K76+K83+K90</f>
        <v>1690</v>
      </c>
      <c r="L91" s="4">
        <f t="shared" si="198"/>
        <v>803</v>
      </c>
      <c r="M91" s="4">
        <f t="shared" si="198"/>
        <v>-363</v>
      </c>
      <c r="N91" s="4">
        <f t="shared" si="198"/>
        <v>1761</v>
      </c>
      <c r="O91" s="4">
        <f t="shared" si="198"/>
        <v>307</v>
      </c>
      <c r="P91" s="4">
        <f t="shared" si="198"/>
        <v>984</v>
      </c>
      <c r="Q91" s="4">
        <f t="shared" si="198"/>
        <v>536</v>
      </c>
      <c r="R91" s="4">
        <f t="shared" si="198"/>
        <v>-518</v>
      </c>
      <c r="S91" s="4">
        <f t="shared" si="198"/>
        <v>6645</v>
      </c>
      <c r="T91" s="4">
        <f t="shared" ref="T91:V91" si="199">T76+T83+T90</f>
        <v>-3595</v>
      </c>
      <c r="U91" s="4">
        <f t="shared" si="199"/>
        <v>-153</v>
      </c>
      <c r="V91" s="4">
        <f t="shared" si="199"/>
        <v>-881</v>
      </c>
      <c r="W91" s="4">
        <f t="shared" ref="W91:X91" si="200">W76+W83+W90</f>
        <v>0</v>
      </c>
      <c r="X91" s="4">
        <f t="shared" si="200"/>
        <v>0</v>
      </c>
      <c r="AC91" s="4">
        <f t="shared" ref="AC91:AD91" si="201">AC76+AC83+AC90</f>
        <v>3891</v>
      </c>
      <c r="AD91" s="4">
        <f t="shared" si="201"/>
        <v>1309</v>
      </c>
      <c r="AE91" s="4">
        <f t="shared" ref="AE91:AF91" si="202">AE76+AE83+AE90</f>
        <v>2016</v>
      </c>
      <c r="AF91" s="4">
        <f>AF76+AF83+AF90</f>
        <v>0</v>
      </c>
    </row>
    <row r="92" spans="1:32" s="4" customFormat="1" x14ac:dyDescent="0.25">
      <c r="A92" s="2"/>
      <c r="B92" s="2" t="s">
        <v>68</v>
      </c>
      <c r="C92" s="2"/>
      <c r="D92" s="2"/>
      <c r="E92" s="2"/>
      <c r="F92" s="2"/>
      <c r="G92" s="2"/>
      <c r="H92" s="2"/>
      <c r="I92" s="2"/>
      <c r="J92" s="2"/>
      <c r="K92" s="4">
        <v>3389</v>
      </c>
      <c r="L92" s="4">
        <f>K93</f>
        <v>5079</v>
      </c>
      <c r="M92" s="4">
        <f t="shared" ref="M92:N92" si="203">L93</f>
        <v>5882</v>
      </c>
      <c r="N92" s="4">
        <f t="shared" si="203"/>
        <v>5519</v>
      </c>
      <c r="O92" s="4">
        <v>7280</v>
      </c>
      <c r="P92" s="4">
        <f>O93</f>
        <v>7587</v>
      </c>
      <c r="Q92" s="4">
        <f t="shared" ref="Q92:T92" si="204">P93</f>
        <v>8571</v>
      </c>
      <c r="R92" s="4">
        <f t="shared" si="204"/>
        <v>9107</v>
      </c>
      <c r="S92" s="4">
        <f t="shared" si="204"/>
        <v>8589</v>
      </c>
      <c r="T92" s="4">
        <f t="shared" si="204"/>
        <v>15234</v>
      </c>
      <c r="U92" s="4">
        <f t="shared" ref="U92" si="205">T93</f>
        <v>11639</v>
      </c>
      <c r="V92" s="4">
        <f t="shared" ref="V92" si="206">U93</f>
        <v>11486</v>
      </c>
      <c r="W92" s="4">
        <f t="shared" ref="W92" si="207">V93</f>
        <v>10605</v>
      </c>
      <c r="X92" s="4">
        <f t="shared" ref="X92" si="208">W93</f>
        <v>10605</v>
      </c>
      <c r="AC92" s="4">
        <v>3389</v>
      </c>
      <c r="AD92" s="4">
        <f>AC93</f>
        <v>7280</v>
      </c>
      <c r="AE92" s="4">
        <f>AD93</f>
        <v>8589</v>
      </c>
      <c r="AF92" s="4">
        <f>AE93</f>
        <v>10605</v>
      </c>
    </row>
    <row r="93" spans="1:32" s="4" customFormat="1" x14ac:dyDescent="0.25">
      <c r="A93" s="2"/>
      <c r="B93" s="2" t="s">
        <v>69</v>
      </c>
      <c r="C93" s="2"/>
      <c r="D93" s="2"/>
      <c r="E93" s="2"/>
      <c r="F93" s="2"/>
      <c r="G93" s="2"/>
      <c r="H93" s="2"/>
      <c r="I93" s="2"/>
      <c r="J93" s="2"/>
      <c r="K93" s="4">
        <f t="shared" ref="K93:N93" si="209">K92+K91</f>
        <v>5079</v>
      </c>
      <c r="L93" s="4">
        <f t="shared" si="209"/>
        <v>5882</v>
      </c>
      <c r="M93" s="4">
        <f t="shared" si="209"/>
        <v>5519</v>
      </c>
      <c r="N93" s="4">
        <f t="shared" si="209"/>
        <v>7280</v>
      </c>
      <c r="O93" s="4">
        <f>O92+O91</f>
        <v>7587</v>
      </c>
      <c r="P93" s="4">
        <f t="shared" ref="P93:S93" si="210">P92+P91</f>
        <v>8571</v>
      </c>
      <c r="Q93" s="4">
        <f t="shared" si="210"/>
        <v>9107</v>
      </c>
      <c r="R93" s="4">
        <f t="shared" si="210"/>
        <v>8589</v>
      </c>
      <c r="S93" s="4">
        <f t="shared" si="210"/>
        <v>15234</v>
      </c>
      <c r="T93" s="4">
        <f t="shared" ref="T93:V93" si="211">T92+T91</f>
        <v>11639</v>
      </c>
      <c r="U93" s="4">
        <f t="shared" si="211"/>
        <v>11486</v>
      </c>
      <c r="V93" s="4">
        <f t="shared" si="211"/>
        <v>10605</v>
      </c>
      <c r="W93" s="4">
        <f t="shared" ref="W93:X93" si="212">W92+W91</f>
        <v>10605</v>
      </c>
      <c r="X93" s="4">
        <f t="shared" si="212"/>
        <v>10605</v>
      </c>
      <c r="AC93" s="4">
        <f>AC92+AC91</f>
        <v>7280</v>
      </c>
      <c r="AD93" s="4">
        <f>AD92+AD91</f>
        <v>8589</v>
      </c>
      <c r="AE93" s="4">
        <f>AE92+AE91</f>
        <v>10605</v>
      </c>
      <c r="AF93" s="4">
        <f>AF92+AF91</f>
        <v>10605</v>
      </c>
    </row>
    <row r="95" spans="1:32" s="4" customFormat="1" x14ac:dyDescent="0.25">
      <c r="B95" s="4" t="s">
        <v>71</v>
      </c>
      <c r="K95" s="4">
        <f t="shared" ref="K95:S95" si="213">K76+K80+K89</f>
        <v>2643</v>
      </c>
      <c r="L95" s="4">
        <f t="shared" si="213"/>
        <v>6048</v>
      </c>
      <c r="M95" s="4">
        <f t="shared" si="213"/>
        <v>7041</v>
      </c>
      <c r="N95" s="4">
        <f t="shared" si="213"/>
        <v>11217</v>
      </c>
      <c r="O95" s="4">
        <f t="shared" si="213"/>
        <v>14936</v>
      </c>
      <c r="P95" s="4">
        <f t="shared" si="213"/>
        <v>13483</v>
      </c>
      <c r="Q95" s="4">
        <f t="shared" si="213"/>
        <v>16787</v>
      </c>
      <c r="R95" s="4">
        <f t="shared" si="213"/>
        <v>15519</v>
      </c>
      <c r="S95" s="4">
        <f t="shared" si="213"/>
        <v>26135</v>
      </c>
      <c r="T95" s="4">
        <f t="shared" ref="T95" si="214">T76+T80+T89</f>
        <v>13450</v>
      </c>
      <c r="U95" s="4">
        <f t="shared" ref="U95:V95" si="215">U76+U80+U89</f>
        <v>22089</v>
      </c>
      <c r="V95" s="4">
        <f t="shared" si="215"/>
        <v>34893</v>
      </c>
      <c r="W95" s="4">
        <f t="shared" ref="W95:X95" si="216">W76+W80+W89</f>
        <v>0</v>
      </c>
      <c r="X95" s="4">
        <f t="shared" si="216"/>
        <v>0</v>
      </c>
      <c r="AC95" s="4">
        <f t="shared" ref="AC95:AD95" si="217">AC76+AC80+AC89</f>
        <v>26949</v>
      </c>
      <c r="AD95" s="4">
        <f t="shared" si="217"/>
        <v>60725</v>
      </c>
      <c r="AE95" s="4">
        <f t="shared" ref="AE95:AF95" si="218">AE76+AE80+AE89</f>
        <v>96567</v>
      </c>
      <c r="AF95" s="4">
        <f t="shared" si="218"/>
        <v>0</v>
      </c>
    </row>
    <row r="96" spans="1:32" s="11" customFormat="1" x14ac:dyDescent="0.25">
      <c r="B96" s="11" t="s">
        <v>72</v>
      </c>
      <c r="K96" s="11">
        <f t="shared" ref="K96:S96" si="219">-K80/K64</f>
        <v>0.1213901125795399</v>
      </c>
      <c r="L96" s="11">
        <f t="shared" si="219"/>
        <v>4.6703296703296704E-2</v>
      </c>
      <c r="M96" s="11">
        <f t="shared" si="219"/>
        <v>3.0076814886941469E-2</v>
      </c>
      <c r="N96" s="11">
        <f t="shared" si="219"/>
        <v>2.0594220594220593E-2</v>
      </c>
      <c r="O96" s="11">
        <f t="shared" si="219"/>
        <v>2.4796720650493917E-2</v>
      </c>
      <c r="P96" s="11">
        <f t="shared" si="219"/>
        <v>5.8858967407675163E-2</v>
      </c>
      <c r="Q96" s="11">
        <f t="shared" si="219"/>
        <v>4.2104718007146928E-2</v>
      </c>
      <c r="R96" s="11">
        <f t="shared" si="219"/>
        <v>4.8752885790593455E-2</v>
      </c>
      <c r="S96" s="11">
        <f t="shared" si="219"/>
        <v>6.5352862849533955E-2</v>
      </c>
      <c r="T96" s="11">
        <f t="shared" ref="T96" si="220">-T80/T64</f>
        <v>7.1682688668533792E-2</v>
      </c>
      <c r="U96" s="11">
        <f t="shared" ref="U96:V96" si="221">-U80/U64</f>
        <v>5.1300532748354749E-2</v>
      </c>
      <c r="V96" s="11">
        <f t="shared" si="221"/>
        <v>2.9888268156424581E-2</v>
      </c>
      <c r="W96" s="11" t="e">
        <f t="shared" ref="W96:X96" si="222">-W80/W64</f>
        <v>#DIV/0!</v>
      </c>
      <c r="X96" s="11" t="e">
        <f t="shared" si="222"/>
        <v>#DIV/0!</v>
      </c>
      <c r="AC96" s="11">
        <f t="shared" ref="AC96:AD96" si="223">-AC80/AC64</f>
        <v>3.5888302698343359E-2</v>
      </c>
      <c r="AD96" s="11">
        <f t="shared" si="223"/>
        <v>4.4401756311745331E-2</v>
      </c>
      <c r="AE96" s="11">
        <f t="shared" ref="AE96:AF96" si="224">-AE80/AE64</f>
        <v>5.0321903603821203E-2</v>
      </c>
      <c r="AF96" s="11" t="e">
        <f t="shared" si="224"/>
        <v>#DIV/0!</v>
      </c>
    </row>
    <row r="97" spans="2:24" x14ac:dyDescent="0.25">
      <c r="B97" s="2" t="s">
        <v>105</v>
      </c>
    </row>
    <row r="98" spans="2:24" x14ac:dyDescent="0.25">
      <c r="B98" s="2" t="s">
        <v>106</v>
      </c>
    </row>
    <row r="101" spans="2:24" s="4" customFormat="1" x14ac:dyDescent="0.25">
      <c r="B101" s="4" t="s">
        <v>73</v>
      </c>
      <c r="K101" s="4">
        <v>2713</v>
      </c>
      <c r="L101" s="4">
        <v>6740</v>
      </c>
      <c r="M101" s="4">
        <v>10020</v>
      </c>
      <c r="N101" s="4">
        <v>12839</v>
      </c>
      <c r="O101" s="4">
        <v>15238</v>
      </c>
      <c r="P101" s="4">
        <v>16952</v>
      </c>
      <c r="Q101" s="4">
        <v>20010</v>
      </c>
      <c r="R101" s="4">
        <v>22066</v>
      </c>
      <c r="S101" s="4">
        <v>19894</v>
      </c>
      <c r="T101" s="4">
        <v>25783</v>
      </c>
      <c r="U101" s="4">
        <v>31767</v>
      </c>
      <c r="V101" s="4">
        <v>39552</v>
      </c>
    </row>
    <row r="102" spans="2:24" s="9" customFormat="1" x14ac:dyDescent="0.25">
      <c r="B102" s="9" t="s">
        <v>74</v>
      </c>
      <c r="K102" s="9">
        <f t="shared" ref="K102:V102" si="225">K101/K19</f>
        <v>0.10983805668016194</v>
      </c>
      <c r="L102" s="9">
        <f t="shared" si="225"/>
        <v>0.27255449067895993</v>
      </c>
      <c r="M102" s="9">
        <f t="shared" si="225"/>
        <v>0.40599675850891409</v>
      </c>
      <c r="N102" s="9">
        <f t="shared" si="225"/>
        <v>0.52064071370640719</v>
      </c>
      <c r="O102" s="9">
        <f t="shared" si="225"/>
        <v>0.61892770105605199</v>
      </c>
      <c r="P102" s="9">
        <f t="shared" si="225"/>
        <v>0.68972251607128321</v>
      </c>
      <c r="Q102" s="9">
        <f t="shared" si="225"/>
        <v>0.8156360820119839</v>
      </c>
      <c r="R102" s="9">
        <f t="shared" si="225"/>
        <v>0.90105761770590875</v>
      </c>
      <c r="S102" s="9">
        <f t="shared" si="225"/>
        <v>0.81396014893007651</v>
      </c>
      <c r="T102" s="9">
        <f t="shared" si="225"/>
        <v>1.0581548058770418</v>
      </c>
      <c r="U102" s="9">
        <f t="shared" si="225"/>
        <v>1.305833025033913</v>
      </c>
      <c r="V102" s="9">
        <f t="shared" si="225"/>
        <v>1.6273864384463463</v>
      </c>
      <c r="W102" s="9" t="e">
        <f t="shared" ref="W102:X102" si="226">W101/W19</f>
        <v>#DIV/0!</v>
      </c>
      <c r="X102" s="9" t="e">
        <f t="shared" si="226"/>
        <v>#DIV/0!</v>
      </c>
    </row>
  </sheetData>
  <phoneticPr fontId="4" type="noConversion"/>
  <hyperlinks>
    <hyperlink ref="A1" location="Main!A1" display="Main" xr:uid="{FA85D2BC-31DA-4E35-B17B-2087132E77AC}"/>
  </hyperlinks>
  <pageMargins left="0.7" right="0.7" top="0.75" bottom="0.75" header="0.3" footer="0.3"/>
  <pageSetup orientation="portrait" r:id="rId1"/>
  <ignoredErrors>
    <ignoredError sqref="AC17:AD17 AC10 AC83:AD83 AC76:AD76 AC16" formula="1"/>
    <ignoredError sqref="AE3:AE20" formulaRange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2026-02-27T13:47:04Z</dcterms:modified>
</cp:coreProperties>
</file>