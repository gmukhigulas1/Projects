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52D1B73E-124D-4432-BA09-59B3D0FC53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01" i="2" l="1"/>
  <c r="W102" i="2" s="1"/>
  <c r="W98" i="2"/>
  <c r="V98" i="2"/>
  <c r="X98" i="2"/>
  <c r="W104" i="2"/>
  <c r="V104" i="2"/>
  <c r="X104" i="2"/>
  <c r="X103" i="2"/>
  <c r="W103" i="2"/>
  <c r="V103" i="2"/>
  <c r="U103" i="2"/>
  <c r="X102" i="2"/>
  <c r="V102" i="2"/>
  <c r="U102" i="2"/>
  <c r="X100" i="2"/>
  <c r="W100" i="2"/>
  <c r="V100" i="2"/>
  <c r="U100" i="2"/>
  <c r="X97" i="2"/>
  <c r="W97" i="2"/>
  <c r="V97" i="2"/>
  <c r="U97" i="2"/>
  <c r="X96" i="2"/>
  <c r="W96" i="2"/>
  <c r="V96" i="2"/>
  <c r="U96" i="2"/>
  <c r="X95" i="2"/>
  <c r="W95" i="2"/>
  <c r="V95" i="2"/>
  <c r="U95" i="2"/>
  <c r="U91" i="2"/>
  <c r="V91" i="2"/>
  <c r="V92" i="2" s="1"/>
  <c r="U85" i="2"/>
  <c r="V82" i="2"/>
  <c r="U74" i="2"/>
  <c r="U82" i="2" s="1"/>
  <c r="V74" i="2"/>
  <c r="W74" i="2"/>
  <c r="W82" i="2" s="1"/>
  <c r="X92" i="2"/>
  <c r="W92" i="2"/>
  <c r="U92" i="2"/>
  <c r="X86" i="2"/>
  <c r="W86" i="2"/>
  <c r="V86" i="2"/>
  <c r="U86" i="2"/>
  <c r="X82" i="2"/>
  <c r="X93" i="2" s="1"/>
  <c r="X67" i="2"/>
  <c r="W67" i="2"/>
  <c r="V67" i="2"/>
  <c r="U67" i="2"/>
  <c r="W63" i="2"/>
  <c r="V63" i="2"/>
  <c r="W62" i="2"/>
  <c r="V62" i="2"/>
  <c r="W61" i="2"/>
  <c r="V61" i="2"/>
  <c r="W60" i="2"/>
  <c r="V60" i="2"/>
  <c r="V55" i="2"/>
  <c r="V57" i="2" s="1"/>
  <c r="V46" i="2"/>
  <c r="V35" i="2"/>
  <c r="W55" i="2"/>
  <c r="W57" i="2" s="1"/>
  <c r="W46" i="2"/>
  <c r="W35" i="2"/>
  <c r="W30" i="2"/>
  <c r="V30" i="2"/>
  <c r="W29" i="2"/>
  <c r="V29" i="2"/>
  <c r="X30" i="2"/>
  <c r="X29" i="2"/>
  <c r="X32" i="2"/>
  <c r="X27" i="2"/>
  <c r="X26" i="2"/>
  <c r="X24" i="2"/>
  <c r="X23" i="2"/>
  <c r="X22" i="2"/>
  <c r="V22" i="2"/>
  <c r="X10" i="2"/>
  <c r="W10" i="2"/>
  <c r="V10" i="2"/>
  <c r="U10" i="2"/>
  <c r="X5" i="2"/>
  <c r="X11" i="2" s="1"/>
  <c r="X15" i="2" s="1"/>
  <c r="X17" i="2" s="1"/>
  <c r="X19" i="2" s="1"/>
  <c r="W5" i="2"/>
  <c r="V5" i="2"/>
  <c r="U5" i="2"/>
  <c r="U11" i="2" s="1"/>
  <c r="U15" i="2" s="1"/>
  <c r="U17" i="2" s="1"/>
  <c r="U19" i="2" s="1"/>
  <c r="Q95" i="2"/>
  <c r="Q98" i="2" s="1"/>
  <c r="P95" i="2"/>
  <c r="P98" i="2" s="1"/>
  <c r="O95" i="2"/>
  <c r="N95" i="2"/>
  <c r="N97" i="2" s="1"/>
  <c r="M95" i="2"/>
  <c r="M97" i="2" s="1"/>
  <c r="L95" i="2"/>
  <c r="L97" i="2" s="1"/>
  <c r="J95" i="2"/>
  <c r="I95" i="2"/>
  <c r="H95" i="2"/>
  <c r="H97" i="2" s="1"/>
  <c r="G95" i="2"/>
  <c r="G97" i="2" s="1"/>
  <c r="F95" i="2"/>
  <c r="E95" i="2"/>
  <c r="E97" i="2" s="1"/>
  <c r="D95" i="2"/>
  <c r="D97" i="2" s="1"/>
  <c r="C95" i="2"/>
  <c r="C97" i="2" s="1"/>
  <c r="J98" i="2"/>
  <c r="I98" i="2"/>
  <c r="H98" i="2"/>
  <c r="G98" i="2"/>
  <c r="J97" i="2"/>
  <c r="I97" i="2"/>
  <c r="F97" i="2"/>
  <c r="J96" i="2"/>
  <c r="I96" i="2"/>
  <c r="H96" i="2"/>
  <c r="G96" i="2"/>
  <c r="F96" i="2"/>
  <c r="E96" i="2"/>
  <c r="D96" i="2"/>
  <c r="C96" i="2"/>
  <c r="O98" i="2"/>
  <c r="N98" i="2"/>
  <c r="M98" i="2"/>
  <c r="L98" i="2"/>
  <c r="O97" i="2"/>
  <c r="Q96" i="2"/>
  <c r="P96" i="2"/>
  <c r="O96" i="2"/>
  <c r="N96" i="2"/>
  <c r="M96" i="2"/>
  <c r="L96" i="2"/>
  <c r="K98" i="2"/>
  <c r="K97" i="2"/>
  <c r="K96" i="2"/>
  <c r="K95" i="2"/>
  <c r="K82" i="2"/>
  <c r="Q104" i="2"/>
  <c r="P104" i="2"/>
  <c r="M104" i="2"/>
  <c r="L104" i="2"/>
  <c r="I104" i="2"/>
  <c r="H104" i="2"/>
  <c r="I103" i="2"/>
  <c r="H103" i="2"/>
  <c r="E103" i="2"/>
  <c r="D103" i="2"/>
  <c r="C103" i="2"/>
  <c r="Q103" i="2"/>
  <c r="P103" i="2"/>
  <c r="O103" i="2"/>
  <c r="N103" i="2"/>
  <c r="M103" i="2"/>
  <c r="L103" i="2"/>
  <c r="Q102" i="2"/>
  <c r="P102" i="2"/>
  <c r="O102" i="2"/>
  <c r="N102" i="2"/>
  <c r="M102" i="2"/>
  <c r="L102" i="2"/>
  <c r="I102" i="2"/>
  <c r="H102" i="2"/>
  <c r="E102" i="2"/>
  <c r="D102" i="2"/>
  <c r="C102" i="2"/>
  <c r="E100" i="2"/>
  <c r="E32" i="2"/>
  <c r="D32" i="2"/>
  <c r="Q82" i="2"/>
  <c r="P82" i="2"/>
  <c r="O82" i="2"/>
  <c r="N82" i="2"/>
  <c r="M82" i="2"/>
  <c r="L82" i="2"/>
  <c r="J82" i="2"/>
  <c r="I82" i="2"/>
  <c r="H82" i="2"/>
  <c r="G82" i="2"/>
  <c r="F82" i="2"/>
  <c r="E82" i="2"/>
  <c r="D82" i="2"/>
  <c r="C82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K13" i="1"/>
  <c r="K12" i="1"/>
  <c r="J35" i="2"/>
  <c r="I35" i="2"/>
  <c r="H35" i="2"/>
  <c r="G35" i="2"/>
  <c r="F35" i="2"/>
  <c r="E35" i="2"/>
  <c r="D35" i="2"/>
  <c r="C35" i="2"/>
  <c r="Q35" i="2"/>
  <c r="P35" i="2"/>
  <c r="O35" i="2"/>
  <c r="N35" i="2"/>
  <c r="M35" i="2"/>
  <c r="L35" i="2"/>
  <c r="K35" i="2"/>
  <c r="J61" i="2"/>
  <c r="I61" i="2"/>
  <c r="H61" i="2"/>
  <c r="G61" i="2"/>
  <c r="F61" i="2"/>
  <c r="E61" i="2"/>
  <c r="D61" i="2"/>
  <c r="C61" i="2"/>
  <c r="J60" i="2"/>
  <c r="I60" i="2"/>
  <c r="H60" i="2"/>
  <c r="G60" i="2"/>
  <c r="F60" i="2"/>
  <c r="E60" i="2"/>
  <c r="D60" i="2"/>
  <c r="C60" i="2"/>
  <c r="N63" i="2"/>
  <c r="M63" i="2"/>
  <c r="L63" i="2"/>
  <c r="Q61" i="2"/>
  <c r="P61" i="2"/>
  <c r="O61" i="2"/>
  <c r="N61" i="2"/>
  <c r="M61" i="2"/>
  <c r="L61" i="2"/>
  <c r="Q60" i="2"/>
  <c r="P60" i="2"/>
  <c r="O60" i="2"/>
  <c r="N60" i="2"/>
  <c r="M60" i="2"/>
  <c r="L60" i="2"/>
  <c r="K63" i="2"/>
  <c r="K61" i="2"/>
  <c r="K60" i="2"/>
  <c r="Q55" i="2"/>
  <c r="Q57" i="2" s="1"/>
  <c r="P55" i="2"/>
  <c r="P57" i="2" s="1"/>
  <c r="O55" i="2"/>
  <c r="O63" i="2" s="1"/>
  <c r="N55" i="2"/>
  <c r="M55" i="2"/>
  <c r="M57" i="2" s="1"/>
  <c r="L55" i="2"/>
  <c r="J55" i="2"/>
  <c r="J63" i="2" s="1"/>
  <c r="I55" i="2"/>
  <c r="I57" i="2" s="1"/>
  <c r="H55" i="2"/>
  <c r="G55" i="2"/>
  <c r="F55" i="2"/>
  <c r="E55" i="2"/>
  <c r="D55" i="2"/>
  <c r="C55" i="2"/>
  <c r="C57" i="2" s="1"/>
  <c r="O57" i="2"/>
  <c r="N57" i="2"/>
  <c r="L57" i="2"/>
  <c r="K55" i="2"/>
  <c r="K57" i="2" s="1"/>
  <c r="J46" i="2"/>
  <c r="J62" i="2" s="1"/>
  <c r="I46" i="2"/>
  <c r="I62" i="2" s="1"/>
  <c r="H46" i="2"/>
  <c r="H62" i="2" s="1"/>
  <c r="G46" i="2"/>
  <c r="G62" i="2" s="1"/>
  <c r="F46" i="2"/>
  <c r="F62" i="2" s="1"/>
  <c r="E46" i="2"/>
  <c r="E62" i="2" s="1"/>
  <c r="D46" i="2"/>
  <c r="D62" i="2" s="1"/>
  <c r="C46" i="2"/>
  <c r="C62" i="2" s="1"/>
  <c r="Q46" i="2"/>
  <c r="Q62" i="2" s="1"/>
  <c r="P46" i="2"/>
  <c r="P62" i="2" s="1"/>
  <c r="O46" i="2"/>
  <c r="O62" i="2" s="1"/>
  <c r="N46" i="2"/>
  <c r="N62" i="2" s="1"/>
  <c r="M46" i="2"/>
  <c r="M62" i="2" s="1"/>
  <c r="L46" i="2"/>
  <c r="L62" i="2" s="1"/>
  <c r="K46" i="2"/>
  <c r="K62" i="2" s="1"/>
  <c r="Q30" i="2"/>
  <c r="P30" i="2"/>
  <c r="O30" i="2"/>
  <c r="N30" i="2"/>
  <c r="M30" i="2"/>
  <c r="L30" i="2"/>
  <c r="Q29" i="2"/>
  <c r="P29" i="2"/>
  <c r="O29" i="2"/>
  <c r="N29" i="2"/>
  <c r="M29" i="2"/>
  <c r="L29" i="2"/>
  <c r="M22" i="2"/>
  <c r="L22" i="2"/>
  <c r="J30" i="2"/>
  <c r="I30" i="2"/>
  <c r="H30" i="2"/>
  <c r="G30" i="2"/>
  <c r="F30" i="2"/>
  <c r="E30" i="2"/>
  <c r="D30" i="2"/>
  <c r="J29" i="2"/>
  <c r="I29" i="2"/>
  <c r="H29" i="2"/>
  <c r="G29" i="2"/>
  <c r="E26" i="2"/>
  <c r="D26" i="2"/>
  <c r="H22" i="2"/>
  <c r="K30" i="2"/>
  <c r="K29" i="2"/>
  <c r="K22" i="2"/>
  <c r="K10" i="1"/>
  <c r="K11" i="1" s="1"/>
  <c r="D15" i="2"/>
  <c r="D27" i="2" s="1"/>
  <c r="J10" i="2"/>
  <c r="I10" i="2"/>
  <c r="I11" i="2" s="1"/>
  <c r="I32" i="2" s="1"/>
  <c r="H10" i="2"/>
  <c r="G10" i="2"/>
  <c r="F10" i="2"/>
  <c r="E10" i="2"/>
  <c r="D10" i="2"/>
  <c r="C10" i="2"/>
  <c r="Q10" i="2"/>
  <c r="P10" i="2"/>
  <c r="O10" i="2"/>
  <c r="N10" i="2"/>
  <c r="M10" i="2"/>
  <c r="M11" i="2" s="1"/>
  <c r="M15" i="2" s="1"/>
  <c r="L10" i="2"/>
  <c r="L11" i="2" s="1"/>
  <c r="L32" i="2" s="1"/>
  <c r="K10" i="2"/>
  <c r="K11" i="2" s="1"/>
  <c r="J5" i="2"/>
  <c r="J22" i="2" s="1"/>
  <c r="I5" i="2"/>
  <c r="I22" i="2" s="1"/>
  <c r="H5" i="2"/>
  <c r="G5" i="2"/>
  <c r="G22" i="2" s="1"/>
  <c r="F5" i="2"/>
  <c r="F22" i="2" s="1"/>
  <c r="E5" i="2"/>
  <c r="E11" i="2" s="1"/>
  <c r="D5" i="2"/>
  <c r="D11" i="2" s="1"/>
  <c r="D23" i="2" s="1"/>
  <c r="C5" i="2"/>
  <c r="C22" i="2" s="1"/>
  <c r="Q5" i="2"/>
  <c r="Q22" i="2" s="1"/>
  <c r="P5" i="2"/>
  <c r="P22" i="2" s="1"/>
  <c r="O5" i="2"/>
  <c r="O22" i="2" s="1"/>
  <c r="N5" i="2"/>
  <c r="N22" i="2" s="1"/>
  <c r="M5" i="2"/>
  <c r="L5" i="2"/>
  <c r="K5" i="2"/>
  <c r="U93" i="2" l="1"/>
  <c r="V93" i="2"/>
  <c r="W93" i="2"/>
  <c r="U26" i="2"/>
  <c r="U27" i="2"/>
  <c r="U32" i="2"/>
  <c r="U22" i="2"/>
  <c r="U23" i="2"/>
  <c r="U24" i="2"/>
  <c r="V11" i="2"/>
  <c r="V15" i="2" s="1"/>
  <c r="W11" i="2"/>
  <c r="W15" i="2" s="1"/>
  <c r="W17" i="2" s="1"/>
  <c r="W19" i="2" s="1"/>
  <c r="W22" i="2"/>
  <c r="P97" i="2"/>
  <c r="Q97" i="2"/>
  <c r="K100" i="2"/>
  <c r="J11" i="2"/>
  <c r="J100" i="2" s="1"/>
  <c r="I100" i="2"/>
  <c r="O93" i="2"/>
  <c r="K32" i="2"/>
  <c r="L100" i="2"/>
  <c r="D93" i="2"/>
  <c r="D22" i="2"/>
  <c r="C63" i="2"/>
  <c r="D17" i="2"/>
  <c r="D67" i="2" s="1"/>
  <c r="C93" i="2"/>
  <c r="P93" i="2"/>
  <c r="M100" i="2"/>
  <c r="E93" i="2"/>
  <c r="Q93" i="2"/>
  <c r="M32" i="2"/>
  <c r="E22" i="2"/>
  <c r="K15" i="1"/>
  <c r="H11" i="2"/>
  <c r="P63" i="2"/>
  <c r="D100" i="2"/>
  <c r="K15" i="2"/>
  <c r="K26" i="2"/>
  <c r="K23" i="2"/>
  <c r="M17" i="2"/>
  <c r="M27" i="2"/>
  <c r="F57" i="2"/>
  <c r="F63" i="2"/>
  <c r="I15" i="2"/>
  <c r="I26" i="2"/>
  <c r="G63" i="2"/>
  <c r="G57" i="2"/>
  <c r="H63" i="2"/>
  <c r="H57" i="2"/>
  <c r="C11" i="2"/>
  <c r="E23" i="2"/>
  <c r="E15" i="2"/>
  <c r="F11" i="2"/>
  <c r="H23" i="2"/>
  <c r="I23" i="2"/>
  <c r="Q63" i="2"/>
  <c r="E57" i="2"/>
  <c r="E63" i="2"/>
  <c r="L15" i="2"/>
  <c r="L26" i="2"/>
  <c r="L23" i="2"/>
  <c r="M26" i="2"/>
  <c r="M23" i="2"/>
  <c r="N11" i="2"/>
  <c r="D57" i="2"/>
  <c r="D63" i="2"/>
  <c r="O11" i="2"/>
  <c r="P11" i="2"/>
  <c r="Q11" i="2"/>
  <c r="J57" i="2"/>
  <c r="H93" i="2"/>
  <c r="F93" i="2"/>
  <c r="G93" i="2"/>
  <c r="N93" i="2"/>
  <c r="I93" i="2"/>
  <c r="J93" i="2"/>
  <c r="K93" i="2"/>
  <c r="L93" i="2"/>
  <c r="M93" i="2"/>
  <c r="I63" i="2"/>
  <c r="G11" i="2"/>
  <c r="V26" i="2" l="1"/>
  <c r="V32" i="2"/>
  <c r="V23" i="2"/>
  <c r="V17" i="2"/>
  <c r="V27" i="2"/>
  <c r="W32" i="2"/>
  <c r="W24" i="2"/>
  <c r="W27" i="2"/>
  <c r="W26" i="2"/>
  <c r="W23" i="2"/>
  <c r="K103" i="2"/>
  <c r="K102" i="2"/>
  <c r="O104" i="2"/>
  <c r="J32" i="2"/>
  <c r="J15" i="2"/>
  <c r="J17" i="2" s="1"/>
  <c r="J26" i="2"/>
  <c r="J23" i="2"/>
  <c r="N104" i="2"/>
  <c r="J103" i="2"/>
  <c r="J102" i="2"/>
  <c r="P32" i="2"/>
  <c r="P100" i="2"/>
  <c r="O32" i="2"/>
  <c r="O100" i="2"/>
  <c r="H15" i="2"/>
  <c r="H32" i="2"/>
  <c r="H100" i="2"/>
  <c r="N100" i="2"/>
  <c r="N32" i="2"/>
  <c r="H26" i="2"/>
  <c r="Q100" i="2"/>
  <c r="Q32" i="2"/>
  <c r="C32" i="2"/>
  <c r="C100" i="2"/>
  <c r="D24" i="2"/>
  <c r="D19" i="2"/>
  <c r="F32" i="2"/>
  <c r="F100" i="2"/>
  <c r="J104" i="2" s="1"/>
  <c r="G100" i="2"/>
  <c r="G32" i="2"/>
  <c r="N26" i="2"/>
  <c r="N15" i="2"/>
  <c r="N23" i="2"/>
  <c r="F15" i="2"/>
  <c r="F23" i="2"/>
  <c r="F26" i="2"/>
  <c r="Q26" i="2"/>
  <c r="Q15" i="2"/>
  <c r="Q23" i="2"/>
  <c r="C23" i="2"/>
  <c r="C15" i="2"/>
  <c r="C26" i="2"/>
  <c r="P26" i="2"/>
  <c r="P15" i="2"/>
  <c r="P23" i="2"/>
  <c r="O26" i="2"/>
  <c r="O15" i="2"/>
  <c r="O23" i="2"/>
  <c r="I17" i="2"/>
  <c r="I27" i="2"/>
  <c r="E27" i="2"/>
  <c r="E17" i="2"/>
  <c r="G15" i="2"/>
  <c r="G23" i="2"/>
  <c r="G26" i="2"/>
  <c r="L17" i="2"/>
  <c r="L27" i="2"/>
  <c r="M19" i="2"/>
  <c r="M67" i="2"/>
  <c r="M24" i="2"/>
  <c r="K27" i="2"/>
  <c r="K17" i="2"/>
  <c r="V19" i="2" l="1"/>
  <c r="V24" i="2"/>
  <c r="G102" i="2"/>
  <c r="G104" i="2"/>
  <c r="K104" i="2"/>
  <c r="G103" i="2"/>
  <c r="F103" i="2"/>
  <c r="F102" i="2"/>
  <c r="J27" i="2"/>
  <c r="H27" i="2"/>
  <c r="H17" i="2"/>
  <c r="L19" i="2"/>
  <c r="L67" i="2"/>
  <c r="L24" i="2"/>
  <c r="F27" i="2"/>
  <c r="F17" i="2"/>
  <c r="P27" i="2"/>
  <c r="P17" i="2"/>
  <c r="Q27" i="2"/>
  <c r="Q17" i="2"/>
  <c r="I24" i="2"/>
  <c r="I19" i="2"/>
  <c r="I67" i="2"/>
  <c r="O27" i="2"/>
  <c r="O17" i="2"/>
  <c r="G17" i="2"/>
  <c r="G27" i="2"/>
  <c r="N17" i="2"/>
  <c r="N27" i="2"/>
  <c r="E67" i="2"/>
  <c r="E24" i="2"/>
  <c r="E19" i="2"/>
  <c r="K24" i="2"/>
  <c r="K67" i="2"/>
  <c r="K19" i="2"/>
  <c r="C27" i="2"/>
  <c r="C17" i="2"/>
  <c r="J19" i="2"/>
  <c r="J67" i="2"/>
  <c r="J24" i="2"/>
  <c r="H24" i="2" l="1"/>
  <c r="H67" i="2"/>
  <c r="H19" i="2"/>
  <c r="Q24" i="2"/>
  <c r="Q67" i="2"/>
  <c r="Q19" i="2"/>
  <c r="P24" i="2"/>
  <c r="P67" i="2"/>
  <c r="P19" i="2"/>
  <c r="F67" i="2"/>
  <c r="F24" i="2"/>
  <c r="F19" i="2"/>
  <c r="O24" i="2"/>
  <c r="O67" i="2"/>
  <c r="O19" i="2"/>
  <c r="N24" i="2"/>
  <c r="N67" i="2"/>
  <c r="N19" i="2"/>
  <c r="G19" i="2"/>
  <c r="G67" i="2"/>
  <c r="G24" i="2"/>
  <c r="C67" i="2"/>
  <c r="C24" i="2"/>
  <c r="C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B32" authorId="0" shapeId="0" xr:uid="{B87B15D0-5587-4E04-9F63-85DC775955E6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Interest Coverage Ratio
</t>
        </r>
      </text>
    </comment>
  </commentList>
</comments>
</file>

<file path=xl/sharedStrings.xml><?xml version="1.0" encoding="utf-8"?>
<sst xmlns="http://schemas.openxmlformats.org/spreadsheetml/2006/main" count="110" uniqueCount="105">
  <si>
    <t>Main</t>
  </si>
  <si>
    <t>P</t>
  </si>
  <si>
    <t>S/O</t>
  </si>
  <si>
    <t>MC</t>
  </si>
  <si>
    <t>C</t>
  </si>
  <si>
    <t>D</t>
  </si>
  <si>
    <t>EV</t>
  </si>
  <si>
    <t>Q225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</si>
  <si>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</si>
  <si>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</si>
  <si>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</si>
  <si>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</si>
  <si>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</si>
  <si>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</si>
  <si>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</si>
  <si>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</si>
  <si>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</si>
  <si>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</si>
  <si>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Q126</t>
  </si>
  <si>
    <t>Q226</t>
  </si>
  <si>
    <t>Q326</t>
  </si>
  <si>
    <t>Q426</t>
  </si>
  <si>
    <t>Revenue</t>
  </si>
  <si>
    <t>COGS</t>
  </si>
  <si>
    <t>Gross Profit</t>
  </si>
  <si>
    <t>S&amp;M</t>
  </si>
  <si>
    <t>G&amp;A</t>
  </si>
  <si>
    <t>R&amp;D</t>
  </si>
  <si>
    <t>Restructuring</t>
  </si>
  <si>
    <t>OpEx</t>
  </si>
  <si>
    <t>OpInc</t>
  </si>
  <si>
    <t>IntExp</t>
  </si>
  <si>
    <t>Other Inc</t>
  </si>
  <si>
    <t>Extuinguishment of Debt</t>
  </si>
  <si>
    <t>Pretax Income</t>
  </si>
  <si>
    <t>Taxes</t>
  </si>
  <si>
    <t>Net Income</t>
  </si>
  <si>
    <t>EPS</t>
  </si>
  <si>
    <t>Gross Margin</t>
  </si>
  <si>
    <t>Op Margin</t>
  </si>
  <si>
    <t>Net Margin</t>
  </si>
  <si>
    <t>Int Margin</t>
  </si>
  <si>
    <t>Tax Margin</t>
  </si>
  <si>
    <t>Revenue YoY</t>
  </si>
  <si>
    <t>Dilution QoQ</t>
  </si>
  <si>
    <t>Net Cash</t>
  </si>
  <si>
    <t>Cash</t>
  </si>
  <si>
    <t>Restricted Cash</t>
  </si>
  <si>
    <t>Mrkt. Sec.</t>
  </si>
  <si>
    <t>A/R</t>
  </si>
  <si>
    <t>Inventory</t>
  </si>
  <si>
    <t>OCA</t>
  </si>
  <si>
    <t>PP&amp;A</t>
  </si>
  <si>
    <t xml:space="preserve">ROU </t>
  </si>
  <si>
    <t>Goodwill</t>
  </si>
  <si>
    <t>ONCA</t>
  </si>
  <si>
    <t>Total assets</t>
  </si>
  <si>
    <t>A/P and accrued</t>
  </si>
  <si>
    <t>Debt, C</t>
  </si>
  <si>
    <t>Int. Pay.</t>
  </si>
  <si>
    <t>Lease, C</t>
  </si>
  <si>
    <t>Debt, NC</t>
  </si>
  <si>
    <t>Conv. Notes</t>
  </si>
  <si>
    <t>Lease, NC</t>
  </si>
  <si>
    <t>ONCL</t>
  </si>
  <si>
    <t>Total liabilities</t>
  </si>
  <si>
    <t>SE</t>
  </si>
  <si>
    <t>L+SE</t>
  </si>
  <si>
    <t>Current Ratio</t>
  </si>
  <si>
    <t>Quick Ratio</t>
  </si>
  <si>
    <t>Hard Asset Ratio</t>
  </si>
  <si>
    <t>Debt-to-Equity</t>
  </si>
  <si>
    <t>Model NI</t>
  </si>
  <si>
    <t>GAAP NI</t>
  </si>
  <si>
    <t>D&amp;A</t>
  </si>
  <si>
    <t>ROU Amort.</t>
  </si>
  <si>
    <t>Stock-based comp.</t>
  </si>
  <si>
    <t>Inventory adj.</t>
  </si>
  <si>
    <t>Equity sec. adj.</t>
  </si>
  <si>
    <t>Other</t>
  </si>
  <si>
    <t>Debt extinguishment</t>
  </si>
  <si>
    <t>Other Assets</t>
  </si>
  <si>
    <t>A/P &amp; accrued</t>
  </si>
  <si>
    <t>Lease</t>
  </si>
  <si>
    <t>CFFO</t>
  </si>
  <si>
    <t>CapEx</t>
  </si>
  <si>
    <t xml:space="preserve">Sales </t>
  </si>
  <si>
    <t>CFFI</t>
  </si>
  <si>
    <t>Prcd Conv. Notes.</t>
  </si>
  <si>
    <t>Prcd from common stock</t>
  </si>
  <si>
    <t>Prcd from debt</t>
  </si>
  <si>
    <t>Pmnt of debt</t>
  </si>
  <si>
    <t>Debt fees</t>
  </si>
  <si>
    <t>CFFF</t>
  </si>
  <si>
    <t>CF</t>
  </si>
  <si>
    <t>FCF</t>
  </si>
  <si>
    <t>ICR</t>
  </si>
  <si>
    <t>CapEx Margin</t>
  </si>
  <si>
    <t>FCF Margin</t>
  </si>
  <si>
    <t>FCF YoY</t>
  </si>
  <si>
    <t>EBITDA</t>
  </si>
  <si>
    <t>EV/EBITDA</t>
  </si>
  <si>
    <t>P (W)</t>
  </si>
  <si>
    <t>EBITDA Margin</t>
  </si>
  <si>
    <t>YoY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</si>
</sst>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1"/>
    <xf numFmtId="3" fontId="1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4" fontId="1" fillId="0" borderId="0" xfId="0" applyNumberFormat="1" applyFont="1"/>
    <xf numFmtId="10" fontId="1" fillId="0" borderId="0" xfId="0" applyNumberFormat="1" applyFont="1"/>
    <xf numFmtId="166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9:K15"/>
  <sheetViews>
    <sheetView workbookViewId="0">
      <selection activeCell="K15" sqref="K15"/>
    </sheetView>
  </sheetViews>
  <sheetFormatPr defaultRowHeight="13.2" x14ac:dyDescent="0.25"/>
  <cols>
    <col min="1" max="16384" width="8.88671875" style="1"/>
  </cols>
  <sheetData>
    <row r="9" spans="10:11" x14ac:dyDescent="0.25">
      <c r="J9" s="1" t="s">
        <v>1</v>
      </c>
      <c r="K9" s="1">
        <v>8.6300000000000008</v>
      </c>
    </row>
    <row r="10" spans="10:11" x14ac:dyDescent="0.25">
      <c r="J10" s="1" t="s">
        <v>2</v>
      </c>
      <c r="K10" s="3">
        <f>Model!K18</f>
        <v>729.48400000000004</v>
      </c>
    </row>
    <row r="11" spans="10:11" x14ac:dyDescent="0.25">
      <c r="J11" s="1" t="s">
        <v>3</v>
      </c>
      <c r="K11" s="3">
        <f>K9*K10</f>
        <v>6295.4469200000012</v>
      </c>
    </row>
    <row r="12" spans="10:11" x14ac:dyDescent="0.25">
      <c r="J12" s="1" t="s">
        <v>4</v>
      </c>
      <c r="K12" s="3">
        <f>+Model!K36+Model!K38</f>
        <v>789</v>
      </c>
    </row>
    <row r="13" spans="10:11" x14ac:dyDescent="0.25">
      <c r="J13" s="1" t="s">
        <v>5</v>
      </c>
      <c r="K13" s="3">
        <f>+Model!K48+Model!K51+Model!K52+Model!K53</f>
        <v>2182</v>
      </c>
    </row>
    <row r="14" spans="10:11" x14ac:dyDescent="0.25">
      <c r="K14" s="3"/>
    </row>
    <row r="15" spans="10:11" x14ac:dyDescent="0.25">
      <c r="J15" s="1" t="s">
        <v>6</v>
      </c>
      <c r="K15" s="3">
        <f>K11-K12+K13</f>
        <v>7688.4469200000012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2DA2-452F-47C9-B36A-DF9D53D252C9}">
  <dimension ref="A1:X10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U102" sqref="U102"/>
    </sheetView>
  </sheetViews>
  <sheetFormatPr defaultRowHeight="13.2" x14ac:dyDescent="0.25"/>
  <cols>
    <col min="1" max="1" width="8.88671875" style="1"/>
    <col min="2" max="2" width="17.6640625" style="1" customWidth="1"/>
    <col min="3" max="16384" width="8.88671875" style="1"/>
  </cols>
  <sheetData>
    <row r="1" spans="1:24" ht="14.4" x14ac:dyDescent="0.3">
      <c r="A1" s="2" t="s">
        <v>0</v>
      </c>
    </row>
    <row r="2" spans="1:24" x14ac:dyDescent="0.25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7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U2" s="1">
        <v>2022</v>
      </c>
      <c r="V2" s="1">
        <v>2023</v>
      </c>
      <c r="W2" s="1">
        <v>2024</v>
      </c>
      <c r="X2" s="1">
        <v>2025</v>
      </c>
    </row>
    <row r="3" spans="1:24" s="3" customFormat="1" x14ac:dyDescent="0.25">
      <c r="B3" s="3" t="s">
        <v>22</v>
      </c>
      <c r="F3" s="3">
        <v>1181</v>
      </c>
      <c r="G3" s="3">
        <v>1511</v>
      </c>
      <c r="J3" s="3">
        <v>1153</v>
      </c>
      <c r="K3" s="3">
        <v>1567</v>
      </c>
      <c r="U3" s="3">
        <v>15567</v>
      </c>
      <c r="V3" s="3">
        <v>6946</v>
      </c>
      <c r="W3" s="3">
        <v>5153</v>
      </c>
    </row>
    <row r="4" spans="1:24" s="3" customFormat="1" x14ac:dyDescent="0.25">
      <c r="B4" s="3" t="s">
        <v>23</v>
      </c>
      <c r="F4" s="3">
        <v>1067</v>
      </c>
      <c r="G4" s="3">
        <v>1382</v>
      </c>
      <c r="J4" s="3">
        <v>1054</v>
      </c>
      <c r="K4" s="3">
        <v>1439</v>
      </c>
      <c r="U4" s="3">
        <v>14900</v>
      </c>
      <c r="V4" s="3">
        <v>6459</v>
      </c>
      <c r="W4" s="3">
        <v>4720</v>
      </c>
    </row>
    <row r="5" spans="1:24" s="4" customFormat="1" x14ac:dyDescent="0.25">
      <c r="B5" s="4" t="s">
        <v>24</v>
      </c>
      <c r="C5" s="4">
        <f t="shared" ref="C5:J5" si="0">C3-C4</f>
        <v>0</v>
      </c>
      <c r="D5" s="4">
        <f t="shared" si="0"/>
        <v>0</v>
      </c>
      <c r="E5" s="4">
        <f t="shared" si="0"/>
        <v>0</v>
      </c>
      <c r="F5" s="4">
        <f t="shared" si="0"/>
        <v>114</v>
      </c>
      <c r="G5" s="4">
        <f t="shared" si="0"/>
        <v>129</v>
      </c>
      <c r="H5" s="4">
        <f t="shared" si="0"/>
        <v>0</v>
      </c>
      <c r="I5" s="4">
        <f t="shared" si="0"/>
        <v>0</v>
      </c>
      <c r="J5" s="4">
        <f t="shared" si="0"/>
        <v>99</v>
      </c>
      <c r="K5" s="4">
        <f>K3-K4</f>
        <v>128</v>
      </c>
      <c r="L5" s="4">
        <f t="shared" ref="L5:Q5" si="1">L3-L4</f>
        <v>0</v>
      </c>
      <c r="M5" s="4">
        <f t="shared" si="1"/>
        <v>0</v>
      </c>
      <c r="N5" s="4">
        <f t="shared" si="1"/>
        <v>0</v>
      </c>
      <c r="O5" s="4">
        <f t="shared" si="1"/>
        <v>0</v>
      </c>
      <c r="P5" s="4">
        <f t="shared" si="1"/>
        <v>0</v>
      </c>
      <c r="Q5" s="4">
        <f t="shared" si="1"/>
        <v>0</v>
      </c>
      <c r="U5" s="4">
        <f t="shared" ref="U5" si="2">U3-U4</f>
        <v>667</v>
      </c>
      <c r="V5" s="4">
        <f t="shared" ref="V5" si="3">V3-V4</f>
        <v>487</v>
      </c>
      <c r="W5" s="4">
        <f t="shared" ref="W5" si="4">W3-W4</f>
        <v>433</v>
      </c>
      <c r="X5" s="4">
        <f t="shared" ref="X5" si="5">X3-X4</f>
        <v>0</v>
      </c>
    </row>
    <row r="6" spans="1:24" s="3" customFormat="1" x14ac:dyDescent="0.25">
      <c r="B6" s="3" t="s">
        <v>25</v>
      </c>
      <c r="F6" s="3">
        <v>113</v>
      </c>
      <c r="G6" s="3">
        <v>116</v>
      </c>
      <c r="J6" s="3">
        <v>98</v>
      </c>
      <c r="K6" s="3">
        <v>86</v>
      </c>
      <c r="U6" s="3">
        <v>1006</v>
      </c>
      <c r="V6" s="3">
        <v>486</v>
      </c>
      <c r="W6" s="3">
        <v>413</v>
      </c>
    </row>
    <row r="7" spans="1:24" s="3" customFormat="1" x14ac:dyDescent="0.25">
      <c r="B7" s="3" t="s">
        <v>26</v>
      </c>
      <c r="F7" s="3">
        <v>47</v>
      </c>
      <c r="G7" s="3">
        <v>48</v>
      </c>
      <c r="J7" s="3">
        <v>33</v>
      </c>
      <c r="K7" s="3">
        <v>28</v>
      </c>
      <c r="U7" s="3">
        <v>346</v>
      </c>
      <c r="V7" s="3">
        <v>206</v>
      </c>
      <c r="W7" s="3">
        <v>182</v>
      </c>
    </row>
    <row r="8" spans="1:24" s="3" customFormat="1" x14ac:dyDescent="0.25">
      <c r="B8" s="3" t="s">
        <v>27</v>
      </c>
      <c r="F8" s="3">
        <v>41</v>
      </c>
      <c r="G8" s="3">
        <v>37</v>
      </c>
      <c r="J8" s="3">
        <v>21</v>
      </c>
      <c r="K8" s="3">
        <v>21</v>
      </c>
      <c r="U8" s="3">
        <v>169</v>
      </c>
      <c r="V8" s="3">
        <v>167</v>
      </c>
      <c r="W8" s="3">
        <v>141</v>
      </c>
    </row>
    <row r="9" spans="1:24" s="3" customFormat="1" x14ac:dyDescent="0.25">
      <c r="B9" s="3" t="s">
        <v>28</v>
      </c>
      <c r="F9" s="3">
        <v>0</v>
      </c>
      <c r="G9" s="3">
        <v>0</v>
      </c>
      <c r="J9" s="3">
        <v>3</v>
      </c>
      <c r="K9" s="3">
        <v>6</v>
      </c>
      <c r="U9" s="3">
        <v>77</v>
      </c>
      <c r="V9" s="3">
        <v>14</v>
      </c>
      <c r="W9" s="3">
        <v>17</v>
      </c>
    </row>
    <row r="10" spans="1:24" s="4" customFormat="1" x14ac:dyDescent="0.25">
      <c r="B10" s="4" t="s">
        <v>29</v>
      </c>
      <c r="C10" s="4">
        <f t="shared" ref="C10:J10" si="6">SUM(C6:C9)</f>
        <v>0</v>
      </c>
      <c r="D10" s="4">
        <f t="shared" si="6"/>
        <v>0</v>
      </c>
      <c r="E10" s="4">
        <f t="shared" si="6"/>
        <v>0</v>
      </c>
      <c r="F10" s="4">
        <f t="shared" si="6"/>
        <v>201</v>
      </c>
      <c r="G10" s="4">
        <f t="shared" si="6"/>
        <v>201</v>
      </c>
      <c r="H10" s="4">
        <f t="shared" si="6"/>
        <v>0</v>
      </c>
      <c r="I10" s="4">
        <f t="shared" si="6"/>
        <v>0</v>
      </c>
      <c r="J10" s="4">
        <f t="shared" si="6"/>
        <v>155</v>
      </c>
      <c r="K10" s="4">
        <f>SUM(K6:K9)</f>
        <v>141</v>
      </c>
      <c r="L10" s="4">
        <f t="shared" ref="L10:Q10" si="7">SUM(L6:L9)</f>
        <v>0</v>
      </c>
      <c r="M10" s="4">
        <f t="shared" si="7"/>
        <v>0</v>
      </c>
      <c r="N10" s="4">
        <f t="shared" si="7"/>
        <v>0</v>
      </c>
      <c r="O10" s="4">
        <f t="shared" si="7"/>
        <v>0</v>
      </c>
      <c r="P10" s="4">
        <f t="shared" si="7"/>
        <v>0</v>
      </c>
      <c r="Q10" s="4">
        <f t="shared" si="7"/>
        <v>0</v>
      </c>
      <c r="U10" s="4">
        <f t="shared" ref="U10" si="8">SUM(U6:U9)</f>
        <v>1598</v>
      </c>
      <c r="V10" s="4">
        <f t="shared" ref="V10" si="9">SUM(V6:V9)</f>
        <v>873</v>
      </c>
      <c r="W10" s="4">
        <f t="shared" ref="W10" si="10">SUM(W6:W9)</f>
        <v>753</v>
      </c>
      <c r="X10" s="4">
        <f t="shared" ref="X10" si="11">SUM(X6:X9)</f>
        <v>0</v>
      </c>
    </row>
    <row r="11" spans="1:24" s="4" customFormat="1" x14ac:dyDescent="0.25">
      <c r="B11" s="4" t="s">
        <v>30</v>
      </c>
      <c r="C11" s="4">
        <f t="shared" ref="C11:J11" si="12">C5-C10</f>
        <v>0</v>
      </c>
      <c r="D11" s="4">
        <f t="shared" si="12"/>
        <v>0</v>
      </c>
      <c r="E11" s="4">
        <f t="shared" si="12"/>
        <v>0</v>
      </c>
      <c r="F11" s="4">
        <f t="shared" si="12"/>
        <v>-87</v>
      </c>
      <c r="G11" s="4">
        <f t="shared" si="12"/>
        <v>-72</v>
      </c>
      <c r="H11" s="4">
        <f t="shared" si="12"/>
        <v>0</v>
      </c>
      <c r="I11" s="4">
        <f t="shared" si="12"/>
        <v>0</v>
      </c>
      <c r="J11" s="4">
        <f t="shared" si="12"/>
        <v>-56</v>
      </c>
      <c r="K11" s="4">
        <f>K5-K10</f>
        <v>-13</v>
      </c>
      <c r="L11" s="4">
        <f t="shared" ref="L11:Q11" si="13">L5-L10</f>
        <v>0</v>
      </c>
      <c r="M11" s="4">
        <f t="shared" si="13"/>
        <v>0</v>
      </c>
      <c r="N11" s="4">
        <f t="shared" si="13"/>
        <v>0</v>
      </c>
      <c r="O11" s="4">
        <f t="shared" si="13"/>
        <v>0</v>
      </c>
      <c r="P11" s="4">
        <f t="shared" si="13"/>
        <v>0</v>
      </c>
      <c r="Q11" s="4">
        <f t="shared" si="13"/>
        <v>0</v>
      </c>
      <c r="U11" s="4">
        <f t="shared" ref="U11" si="14">U5-U10</f>
        <v>-931</v>
      </c>
      <c r="V11" s="4">
        <f t="shared" ref="V11" si="15">V5-V10</f>
        <v>-386</v>
      </c>
      <c r="W11" s="4">
        <f t="shared" ref="W11" si="16">W5-W10</f>
        <v>-320</v>
      </c>
      <c r="X11" s="4">
        <f t="shared" ref="X11" si="17">X5-X10</f>
        <v>0</v>
      </c>
    </row>
    <row r="12" spans="1:24" s="3" customFormat="1" x14ac:dyDescent="0.25">
      <c r="B12" s="3" t="s">
        <v>33</v>
      </c>
      <c r="F12" s="3">
        <v>0</v>
      </c>
      <c r="G12" s="3">
        <v>-1</v>
      </c>
      <c r="J12" s="3">
        <v>0</v>
      </c>
      <c r="K12" s="3">
        <v>10</v>
      </c>
      <c r="U12" s="3">
        <v>-25</v>
      </c>
      <c r="V12" s="3">
        <v>216</v>
      </c>
      <c r="W12" s="3">
        <v>-2</v>
      </c>
    </row>
    <row r="13" spans="1:24" s="3" customFormat="1" x14ac:dyDescent="0.25">
      <c r="B13" s="3" t="s">
        <v>31</v>
      </c>
      <c r="F13" s="3">
        <v>-37</v>
      </c>
      <c r="G13" s="3">
        <v>-30</v>
      </c>
      <c r="J13" s="3">
        <v>-33</v>
      </c>
      <c r="K13" s="3">
        <v>-36</v>
      </c>
      <c r="U13" s="3">
        <v>-385</v>
      </c>
      <c r="V13" s="3">
        <v>-211</v>
      </c>
      <c r="W13" s="3">
        <v>-133</v>
      </c>
    </row>
    <row r="14" spans="1:24" s="3" customFormat="1" x14ac:dyDescent="0.25">
      <c r="B14" s="3" t="s">
        <v>32</v>
      </c>
      <c r="F14" s="3">
        <v>15</v>
      </c>
      <c r="G14" s="3">
        <v>12</v>
      </c>
      <c r="J14" s="3">
        <v>4</v>
      </c>
      <c r="K14" s="3">
        <v>10</v>
      </c>
      <c r="U14" s="3">
        <v>-10</v>
      </c>
      <c r="V14" s="3">
        <v>107</v>
      </c>
      <c r="W14" s="3">
        <v>64</v>
      </c>
    </row>
    <row r="15" spans="1:24" s="4" customFormat="1" x14ac:dyDescent="0.25">
      <c r="B15" s="4" t="s">
        <v>34</v>
      </c>
      <c r="C15" s="4">
        <f t="shared" ref="C15:J15" si="18">C11+SUM(C12:C14)</f>
        <v>0</v>
      </c>
      <c r="D15" s="4">
        <f t="shared" si="18"/>
        <v>0</v>
      </c>
      <c r="E15" s="4">
        <f t="shared" si="18"/>
        <v>0</v>
      </c>
      <c r="F15" s="4">
        <f t="shared" si="18"/>
        <v>-109</v>
      </c>
      <c r="G15" s="4">
        <f t="shared" si="18"/>
        <v>-91</v>
      </c>
      <c r="H15" s="4">
        <f t="shared" si="18"/>
        <v>0</v>
      </c>
      <c r="I15" s="4">
        <f t="shared" si="18"/>
        <v>0</v>
      </c>
      <c r="J15" s="4">
        <f t="shared" si="18"/>
        <v>-85</v>
      </c>
      <c r="K15" s="4">
        <f>K11+SUM(K12:K14)</f>
        <v>-29</v>
      </c>
      <c r="L15" s="4">
        <f t="shared" ref="L15:Q15" si="19">L11+SUM(L12:L14)</f>
        <v>0</v>
      </c>
      <c r="M15" s="4">
        <f t="shared" si="19"/>
        <v>0</v>
      </c>
      <c r="N15" s="4">
        <f t="shared" si="19"/>
        <v>0</v>
      </c>
      <c r="O15" s="4">
        <f t="shared" si="19"/>
        <v>0</v>
      </c>
      <c r="P15" s="4">
        <f t="shared" si="19"/>
        <v>0</v>
      </c>
      <c r="Q15" s="4">
        <f t="shared" si="19"/>
        <v>0</v>
      </c>
      <c r="U15" s="4">
        <f t="shared" ref="U15" si="20">U11+SUM(U12:U14)</f>
        <v>-1351</v>
      </c>
      <c r="V15" s="4">
        <f t="shared" ref="V15" si="21">V11+SUM(V12:V14)</f>
        <v>-274</v>
      </c>
      <c r="W15" s="4">
        <f t="shared" ref="W15" si="22">W11+SUM(W12:W14)</f>
        <v>-391</v>
      </c>
      <c r="X15" s="4">
        <f t="shared" ref="X15" si="23">X11+SUM(X12:X14)</f>
        <v>0</v>
      </c>
    </row>
    <row r="16" spans="1:24" s="3" customFormat="1" x14ac:dyDescent="0.25">
      <c r="B16" s="3" t="s">
        <v>35</v>
      </c>
      <c r="F16" s="3">
        <v>0</v>
      </c>
      <c r="G16" s="3">
        <v>-1</v>
      </c>
      <c r="J16" s="3">
        <v>0</v>
      </c>
      <c r="K16" s="3">
        <v>0</v>
      </c>
      <c r="U16" s="3">
        <v>-2</v>
      </c>
      <c r="V16" s="3">
        <v>-1</v>
      </c>
      <c r="W16" s="3">
        <v>-1</v>
      </c>
    </row>
    <row r="17" spans="2:24" s="4" customFormat="1" x14ac:dyDescent="0.25">
      <c r="B17" s="4" t="s">
        <v>36</v>
      </c>
      <c r="C17" s="4">
        <f t="shared" ref="C17:J17" si="24">C15+C16</f>
        <v>0</v>
      </c>
      <c r="D17" s="4">
        <f t="shared" si="24"/>
        <v>0</v>
      </c>
      <c r="E17" s="4">
        <f t="shared" si="24"/>
        <v>0</v>
      </c>
      <c r="F17" s="4">
        <f t="shared" si="24"/>
        <v>-109</v>
      </c>
      <c r="G17" s="4">
        <f t="shared" si="24"/>
        <v>-92</v>
      </c>
      <c r="H17" s="4">
        <f t="shared" si="24"/>
        <v>0</v>
      </c>
      <c r="I17" s="4">
        <f t="shared" si="24"/>
        <v>0</v>
      </c>
      <c r="J17" s="4">
        <f t="shared" si="24"/>
        <v>-85</v>
      </c>
      <c r="K17" s="4">
        <f>K15+K16</f>
        <v>-29</v>
      </c>
      <c r="L17" s="4">
        <f t="shared" ref="L17:Q17" si="25">L15+L16</f>
        <v>0</v>
      </c>
      <c r="M17" s="4">
        <f t="shared" si="25"/>
        <v>0</v>
      </c>
      <c r="N17" s="4">
        <f t="shared" si="25"/>
        <v>0</v>
      </c>
      <c r="O17" s="4">
        <f t="shared" si="25"/>
        <v>0</v>
      </c>
      <c r="P17" s="4">
        <f t="shared" si="25"/>
        <v>0</v>
      </c>
      <c r="Q17" s="4">
        <f t="shared" si="25"/>
        <v>0</v>
      </c>
      <c r="U17" s="4">
        <f t="shared" ref="U17" si="26">U15+U16</f>
        <v>-1353</v>
      </c>
      <c r="V17" s="4">
        <f t="shared" ref="V17" si="27">V15+V16</f>
        <v>-275</v>
      </c>
      <c r="W17" s="4">
        <f t="shared" ref="W17" si="28">W15+W16</f>
        <v>-392</v>
      </c>
      <c r="X17" s="4">
        <f t="shared" ref="X17" si="29">X15+X16</f>
        <v>0</v>
      </c>
    </row>
    <row r="18" spans="2:24" s="3" customFormat="1" x14ac:dyDescent="0.25">
      <c r="B18" s="3" t="s">
        <v>2</v>
      </c>
      <c r="F18" s="3">
        <v>682.45699999999999</v>
      </c>
      <c r="G18" s="3">
        <v>693.44500000000005</v>
      </c>
      <c r="J18" s="3">
        <v>723.54200000000003</v>
      </c>
      <c r="K18" s="3">
        <v>729.48400000000004</v>
      </c>
      <c r="U18" s="3">
        <v>627.10500000000002</v>
      </c>
      <c r="V18" s="3">
        <v>657.11099999999999</v>
      </c>
      <c r="W18" s="3">
        <v>699.45699999999999</v>
      </c>
    </row>
    <row r="19" spans="2:24" s="5" customFormat="1" x14ac:dyDescent="0.25">
      <c r="B19" s="5" t="s">
        <v>37</v>
      </c>
      <c r="C19" s="5" t="e">
        <f t="shared" ref="C19:J19" si="30">C17/C18</f>
        <v>#DIV/0!</v>
      </c>
      <c r="D19" s="5" t="e">
        <f t="shared" si="30"/>
        <v>#DIV/0!</v>
      </c>
      <c r="E19" s="5" t="e">
        <f t="shared" si="30"/>
        <v>#DIV/0!</v>
      </c>
      <c r="F19" s="5">
        <f t="shared" si="30"/>
        <v>-0.15971702246441902</v>
      </c>
      <c r="G19" s="5">
        <f t="shared" si="30"/>
        <v>-0.13267094001687227</v>
      </c>
      <c r="H19" s="5" t="e">
        <f t="shared" si="30"/>
        <v>#DIV/0!</v>
      </c>
      <c r="I19" s="5" t="e">
        <f t="shared" si="30"/>
        <v>#DIV/0!</v>
      </c>
      <c r="J19" s="5">
        <f t="shared" si="30"/>
        <v>-0.11747763087699124</v>
      </c>
      <c r="K19" s="5">
        <f>K17/K18</f>
        <v>-3.9754127575107885E-2</v>
      </c>
      <c r="L19" s="5" t="e">
        <f t="shared" ref="L19:Q19" si="31">L17/L18</f>
        <v>#DIV/0!</v>
      </c>
      <c r="M19" s="5" t="e">
        <f t="shared" si="31"/>
        <v>#DIV/0!</v>
      </c>
      <c r="N19" s="5" t="e">
        <f t="shared" si="31"/>
        <v>#DIV/0!</v>
      </c>
      <c r="O19" s="5" t="e">
        <f t="shared" si="31"/>
        <v>#DIV/0!</v>
      </c>
      <c r="P19" s="5" t="e">
        <f t="shared" si="31"/>
        <v>#DIV/0!</v>
      </c>
      <c r="Q19" s="5" t="e">
        <f t="shared" si="31"/>
        <v>#DIV/0!</v>
      </c>
      <c r="U19" s="5">
        <f t="shared" ref="U19" si="32">U17/U18</f>
        <v>-2.1575334274164613</v>
      </c>
      <c r="V19" s="5">
        <f t="shared" ref="V19" si="33">V17/V18</f>
        <v>-0.41849854895139482</v>
      </c>
      <c r="W19" s="5">
        <f t="shared" ref="W19" si="34">W17/W18</f>
        <v>-0.56043473723188131</v>
      </c>
      <c r="X19" s="5" t="e">
        <f t="shared" ref="X19" si="35">X17/X18</f>
        <v>#DIV/0!</v>
      </c>
    </row>
    <row r="22" spans="2:24" s="7" customFormat="1" x14ac:dyDescent="0.25">
      <c r="B22" s="7" t="s">
        <v>38</v>
      </c>
      <c r="C22" s="7" t="e">
        <f t="shared" ref="C22:K22" si="36">C5/C3</f>
        <v>#DIV/0!</v>
      </c>
      <c r="D22" s="7" t="e">
        <f t="shared" si="36"/>
        <v>#DIV/0!</v>
      </c>
      <c r="E22" s="7" t="e">
        <f t="shared" si="36"/>
        <v>#DIV/0!</v>
      </c>
      <c r="F22" s="7">
        <f t="shared" si="36"/>
        <v>9.6528365791701945E-2</v>
      </c>
      <c r="G22" s="7">
        <f t="shared" si="36"/>
        <v>8.5373924553275971E-2</v>
      </c>
      <c r="H22" s="7" t="e">
        <f t="shared" si="36"/>
        <v>#DIV/0!</v>
      </c>
      <c r="I22" s="7" t="e">
        <f t="shared" si="36"/>
        <v>#DIV/0!</v>
      </c>
      <c r="J22" s="7">
        <f t="shared" si="36"/>
        <v>8.5862966175195149E-2</v>
      </c>
      <c r="K22" s="7">
        <f>K5/K3</f>
        <v>8.1684747925973203E-2</v>
      </c>
      <c r="L22" s="7" t="e">
        <f t="shared" ref="L22:Q22" si="37">L5/L3</f>
        <v>#DIV/0!</v>
      </c>
      <c r="M22" s="7" t="e">
        <f t="shared" si="37"/>
        <v>#DIV/0!</v>
      </c>
      <c r="N22" s="7" t="e">
        <f t="shared" si="37"/>
        <v>#DIV/0!</v>
      </c>
      <c r="O22" s="7" t="e">
        <f t="shared" si="37"/>
        <v>#DIV/0!</v>
      </c>
      <c r="P22" s="7" t="e">
        <f t="shared" si="37"/>
        <v>#DIV/0!</v>
      </c>
      <c r="Q22" s="7" t="e">
        <f t="shared" si="37"/>
        <v>#DIV/0!</v>
      </c>
      <c r="U22" s="7">
        <f t="shared" ref="U22:X22" si="38">U5/U3</f>
        <v>4.2847048243078306E-2</v>
      </c>
      <c r="V22" s="7">
        <f t="shared" si="38"/>
        <v>7.0112294845954506E-2</v>
      </c>
      <c r="W22" s="7">
        <f t="shared" si="38"/>
        <v>8.4028721133320397E-2</v>
      </c>
      <c r="X22" s="7" t="e">
        <f t="shared" si="38"/>
        <v>#DIV/0!</v>
      </c>
    </row>
    <row r="23" spans="2:24" s="7" customFormat="1" x14ac:dyDescent="0.25">
      <c r="B23" s="7" t="s">
        <v>39</v>
      </c>
      <c r="C23" s="7" t="e">
        <f t="shared" ref="C23:K23" si="39">C11/C3</f>
        <v>#DIV/0!</v>
      </c>
      <c r="D23" s="7" t="e">
        <f t="shared" si="39"/>
        <v>#DIV/0!</v>
      </c>
      <c r="E23" s="7" t="e">
        <f t="shared" si="39"/>
        <v>#DIV/0!</v>
      </c>
      <c r="F23" s="7">
        <f t="shared" si="39"/>
        <v>-7.3666384419983064E-2</v>
      </c>
      <c r="G23" s="7">
        <f t="shared" si="39"/>
        <v>-4.7650562541363337E-2</v>
      </c>
      <c r="H23" s="7" t="e">
        <f t="shared" si="39"/>
        <v>#DIV/0!</v>
      </c>
      <c r="I23" s="7" t="e">
        <f t="shared" si="39"/>
        <v>#DIV/0!</v>
      </c>
      <c r="J23" s="7">
        <f t="shared" si="39"/>
        <v>-4.856895056374675E-2</v>
      </c>
      <c r="K23" s="7">
        <f>K11/K3</f>
        <v>-8.2961072112316524E-3</v>
      </c>
      <c r="L23" s="7" t="e">
        <f t="shared" ref="L23:Q23" si="40">L11/L3</f>
        <v>#DIV/0!</v>
      </c>
      <c r="M23" s="7" t="e">
        <f t="shared" si="40"/>
        <v>#DIV/0!</v>
      </c>
      <c r="N23" s="7" t="e">
        <f t="shared" si="40"/>
        <v>#DIV/0!</v>
      </c>
      <c r="O23" s="7" t="e">
        <f t="shared" si="40"/>
        <v>#DIV/0!</v>
      </c>
      <c r="P23" s="7" t="e">
        <f t="shared" si="40"/>
        <v>#DIV/0!</v>
      </c>
      <c r="Q23" s="7" t="e">
        <f t="shared" si="40"/>
        <v>#DIV/0!</v>
      </c>
      <c r="U23" s="7">
        <f t="shared" ref="U23:X23" si="41">U11/U3</f>
        <v>-5.9805999871523095E-2</v>
      </c>
      <c r="V23" s="7">
        <f t="shared" si="41"/>
        <v>-5.5571551972358191E-2</v>
      </c>
      <c r="W23" s="7">
        <f t="shared" si="41"/>
        <v>-6.2099747719774889E-2</v>
      </c>
      <c r="X23" s="7" t="e">
        <f t="shared" si="41"/>
        <v>#DIV/0!</v>
      </c>
    </row>
    <row r="24" spans="2:24" s="7" customFormat="1" x14ac:dyDescent="0.25">
      <c r="B24" s="7" t="s">
        <v>40</v>
      </c>
      <c r="C24" s="7" t="e">
        <f t="shared" ref="C24:K24" si="42">C17/C3</f>
        <v>#DIV/0!</v>
      </c>
      <c r="D24" s="7" t="e">
        <f t="shared" si="42"/>
        <v>#DIV/0!</v>
      </c>
      <c r="E24" s="7" t="e">
        <f t="shared" si="42"/>
        <v>#DIV/0!</v>
      </c>
      <c r="F24" s="7">
        <f t="shared" si="42"/>
        <v>-9.2294665537679926E-2</v>
      </c>
      <c r="G24" s="7">
        <f t="shared" si="42"/>
        <v>-6.0886829913964262E-2</v>
      </c>
      <c r="H24" s="7" t="e">
        <f t="shared" si="42"/>
        <v>#DIV/0!</v>
      </c>
      <c r="I24" s="7" t="e">
        <f t="shared" si="42"/>
        <v>#DIV/0!</v>
      </c>
      <c r="J24" s="7">
        <f t="shared" si="42"/>
        <v>-7.3720728534258456E-2</v>
      </c>
      <c r="K24" s="7">
        <f>K17/K3</f>
        <v>-1.8506700701978303E-2</v>
      </c>
      <c r="L24" s="7" t="e">
        <f t="shared" ref="L24:Q24" si="43">L17/L3</f>
        <v>#DIV/0!</v>
      </c>
      <c r="M24" s="7" t="e">
        <f t="shared" si="43"/>
        <v>#DIV/0!</v>
      </c>
      <c r="N24" s="7" t="e">
        <f t="shared" si="43"/>
        <v>#DIV/0!</v>
      </c>
      <c r="O24" s="7" t="e">
        <f t="shared" si="43"/>
        <v>#DIV/0!</v>
      </c>
      <c r="P24" s="7" t="e">
        <f t="shared" si="43"/>
        <v>#DIV/0!</v>
      </c>
      <c r="Q24" s="7" t="e">
        <f t="shared" si="43"/>
        <v>#DIV/0!</v>
      </c>
      <c r="U24" s="7">
        <f t="shared" ref="U24:X24" si="44">U17/U3</f>
        <v>-8.6914627095779531E-2</v>
      </c>
      <c r="V24" s="7">
        <f t="shared" si="44"/>
        <v>-3.9591131586524615E-2</v>
      </c>
      <c r="W24" s="7">
        <f t="shared" si="44"/>
        <v>-7.6072190956724239E-2</v>
      </c>
      <c r="X24" s="7" t="e">
        <f t="shared" si="44"/>
        <v>#DIV/0!</v>
      </c>
    </row>
    <row r="25" spans="2:24" s="7" customFormat="1" x14ac:dyDescent="0.25"/>
    <row r="26" spans="2:24" s="7" customFormat="1" x14ac:dyDescent="0.25">
      <c r="B26" s="7" t="s">
        <v>41</v>
      </c>
      <c r="C26" s="7" t="e">
        <f t="shared" ref="C26:K26" si="45">SUM(C12:C14)/C11</f>
        <v>#DIV/0!</v>
      </c>
      <c r="D26" s="7" t="e">
        <f t="shared" si="45"/>
        <v>#DIV/0!</v>
      </c>
      <c r="E26" s="7" t="e">
        <f t="shared" si="45"/>
        <v>#DIV/0!</v>
      </c>
      <c r="F26" s="7">
        <f t="shared" si="45"/>
        <v>0.25287356321839083</v>
      </c>
      <c r="G26" s="7">
        <f t="shared" si="45"/>
        <v>0.2638888888888889</v>
      </c>
      <c r="H26" s="7" t="e">
        <f t="shared" si="45"/>
        <v>#DIV/0!</v>
      </c>
      <c r="I26" s="7" t="e">
        <f t="shared" si="45"/>
        <v>#DIV/0!</v>
      </c>
      <c r="J26" s="7">
        <f t="shared" si="45"/>
        <v>0.5178571428571429</v>
      </c>
      <c r="K26" s="7">
        <f>SUM(K12:K14)/K11</f>
        <v>1.2307692307692308</v>
      </c>
      <c r="L26" s="7" t="e">
        <f t="shared" ref="L26:Q26" si="46">SUM(L12:L14)/L11</f>
        <v>#DIV/0!</v>
      </c>
      <c r="M26" s="7" t="e">
        <f t="shared" si="46"/>
        <v>#DIV/0!</v>
      </c>
      <c r="N26" s="7" t="e">
        <f t="shared" si="46"/>
        <v>#DIV/0!</v>
      </c>
      <c r="O26" s="7" t="e">
        <f t="shared" si="46"/>
        <v>#DIV/0!</v>
      </c>
      <c r="P26" s="7" t="e">
        <f t="shared" si="46"/>
        <v>#DIV/0!</v>
      </c>
      <c r="Q26" s="7" t="e">
        <f t="shared" si="46"/>
        <v>#DIV/0!</v>
      </c>
      <c r="U26" s="7">
        <f t="shared" ref="U26:X26" si="47">SUM(U12:U14)/U11</f>
        <v>0.45112781954887216</v>
      </c>
      <c r="V26" s="7">
        <f t="shared" si="47"/>
        <v>-0.29015544041450775</v>
      </c>
      <c r="W26" s="7">
        <f t="shared" si="47"/>
        <v>0.22187499999999999</v>
      </c>
      <c r="X26" s="7" t="e">
        <f t="shared" si="47"/>
        <v>#DIV/0!</v>
      </c>
    </row>
    <row r="27" spans="2:24" s="7" customFormat="1" x14ac:dyDescent="0.25">
      <c r="B27" s="7" t="s">
        <v>42</v>
      </c>
      <c r="C27" s="7" t="e">
        <f t="shared" ref="C27:K27" si="48">C16/C15</f>
        <v>#DIV/0!</v>
      </c>
      <c r="D27" s="7" t="e">
        <f t="shared" si="48"/>
        <v>#DIV/0!</v>
      </c>
      <c r="E27" s="7" t="e">
        <f t="shared" si="48"/>
        <v>#DIV/0!</v>
      </c>
      <c r="F27" s="7">
        <f t="shared" si="48"/>
        <v>0</v>
      </c>
      <c r="G27" s="7">
        <f t="shared" si="48"/>
        <v>1.098901098901099E-2</v>
      </c>
      <c r="H27" s="7" t="e">
        <f t="shared" si="48"/>
        <v>#DIV/0!</v>
      </c>
      <c r="I27" s="7" t="e">
        <f t="shared" si="48"/>
        <v>#DIV/0!</v>
      </c>
      <c r="J27" s="7">
        <f t="shared" si="48"/>
        <v>0</v>
      </c>
      <c r="K27" s="7">
        <f>K16/K15</f>
        <v>0</v>
      </c>
      <c r="L27" s="7" t="e">
        <f t="shared" ref="L27:Q27" si="49">L16/L15</f>
        <v>#DIV/0!</v>
      </c>
      <c r="M27" s="7" t="e">
        <f t="shared" si="49"/>
        <v>#DIV/0!</v>
      </c>
      <c r="N27" s="7" t="e">
        <f t="shared" si="49"/>
        <v>#DIV/0!</v>
      </c>
      <c r="O27" s="7" t="e">
        <f t="shared" si="49"/>
        <v>#DIV/0!</v>
      </c>
      <c r="P27" s="7" t="e">
        <f t="shared" si="49"/>
        <v>#DIV/0!</v>
      </c>
      <c r="Q27" s="7" t="e">
        <f t="shared" si="49"/>
        <v>#DIV/0!</v>
      </c>
      <c r="U27" s="7">
        <f t="shared" ref="U27:X27" si="50">U16/U15</f>
        <v>1.4803849000740192E-3</v>
      </c>
      <c r="V27" s="7">
        <f t="shared" si="50"/>
        <v>3.6496350364963502E-3</v>
      </c>
      <c r="W27" s="7">
        <f t="shared" si="50"/>
        <v>2.5575447570332483E-3</v>
      </c>
      <c r="X27" s="7" t="e">
        <f t="shared" si="50"/>
        <v>#DIV/0!</v>
      </c>
    </row>
    <row r="28" spans="2:24" s="7" customFormat="1" x14ac:dyDescent="0.25"/>
    <row r="29" spans="2:24" s="7" customFormat="1" x14ac:dyDescent="0.25">
      <c r="B29" s="7" t="s">
        <v>43</v>
      </c>
      <c r="G29" s="7" t="e">
        <f t="shared" ref="E29:J29" si="51">G3/C3-1</f>
        <v>#DIV/0!</v>
      </c>
      <c r="H29" s="7" t="e">
        <f t="shared" si="51"/>
        <v>#DIV/0!</v>
      </c>
      <c r="I29" s="7" t="e">
        <f t="shared" si="51"/>
        <v>#DIV/0!</v>
      </c>
      <c r="J29" s="7">
        <f t="shared" si="51"/>
        <v>-2.3708721422523338E-2</v>
      </c>
      <c r="K29" s="7">
        <f>K3/G3-1</f>
        <v>3.7061548643282594E-2</v>
      </c>
      <c r="L29" s="7" t="e">
        <f t="shared" ref="L29:Q29" si="52">L3/H3-1</f>
        <v>#DIV/0!</v>
      </c>
      <c r="M29" s="7" t="e">
        <f t="shared" si="52"/>
        <v>#DIV/0!</v>
      </c>
      <c r="N29" s="7">
        <f t="shared" si="52"/>
        <v>-1</v>
      </c>
      <c r="O29" s="7">
        <f t="shared" si="52"/>
        <v>-1</v>
      </c>
      <c r="P29" s="7" t="e">
        <f t="shared" si="52"/>
        <v>#DIV/0!</v>
      </c>
      <c r="Q29" s="7" t="e">
        <f t="shared" si="52"/>
        <v>#DIV/0!</v>
      </c>
      <c r="V29" s="7">
        <f t="shared" ref="V29:X29" si="53">V3/U3-1</f>
        <v>-0.55379970450311555</v>
      </c>
      <c r="W29" s="7">
        <f t="shared" si="53"/>
        <v>-0.25813417794414051</v>
      </c>
      <c r="X29" s="7">
        <f>X3/W3-1</f>
        <v>-1</v>
      </c>
    </row>
    <row r="30" spans="2:24" s="7" customFormat="1" x14ac:dyDescent="0.25">
      <c r="B30" s="7" t="s">
        <v>44</v>
      </c>
      <c r="D30" s="7" t="e">
        <f t="shared" ref="C30:K30" si="54">D18/C18-1</f>
        <v>#DIV/0!</v>
      </c>
      <c r="E30" s="7" t="e">
        <f t="shared" si="54"/>
        <v>#DIV/0!</v>
      </c>
      <c r="F30" s="7" t="e">
        <f t="shared" si="54"/>
        <v>#DIV/0!</v>
      </c>
      <c r="G30" s="7">
        <f t="shared" si="54"/>
        <v>1.6100648099440784E-2</v>
      </c>
      <c r="H30" s="7">
        <f t="shared" si="54"/>
        <v>-1</v>
      </c>
      <c r="I30" s="7" t="e">
        <f t="shared" si="54"/>
        <v>#DIV/0!</v>
      </c>
      <c r="J30" s="7" t="e">
        <f t="shared" si="54"/>
        <v>#DIV/0!</v>
      </c>
      <c r="K30" s="7">
        <f>K18/J18-1</f>
        <v>8.212377443189256E-3</v>
      </c>
      <c r="L30" s="7">
        <f t="shared" ref="L30:Q30" si="55">L18/K18-1</f>
        <v>-1</v>
      </c>
      <c r="M30" s="7" t="e">
        <f t="shared" si="55"/>
        <v>#DIV/0!</v>
      </c>
      <c r="N30" s="7" t="e">
        <f t="shared" si="55"/>
        <v>#DIV/0!</v>
      </c>
      <c r="O30" s="7" t="e">
        <f t="shared" si="55"/>
        <v>#DIV/0!</v>
      </c>
      <c r="P30" s="7" t="e">
        <f t="shared" si="55"/>
        <v>#DIV/0!</v>
      </c>
      <c r="Q30" s="7" t="e">
        <f t="shared" si="55"/>
        <v>#DIV/0!</v>
      </c>
      <c r="V30" s="7">
        <f t="shared" ref="U30:X30" si="56">V18/U18-1</f>
        <v>4.7848446432415592E-2</v>
      </c>
      <c r="W30" s="7">
        <f t="shared" si="56"/>
        <v>6.4442689286893673E-2</v>
      </c>
      <c r="X30" s="7">
        <f>X18/W18-1</f>
        <v>-1</v>
      </c>
    </row>
    <row r="32" spans="2:24" s="6" customFormat="1" x14ac:dyDescent="0.25">
      <c r="B32" s="6" t="s">
        <v>96</v>
      </c>
      <c r="C32" s="6" t="e">
        <f t="shared" ref="C32:K32" si="57">C11/C13</f>
        <v>#DIV/0!</v>
      </c>
      <c r="D32" s="6" t="e">
        <f t="shared" si="57"/>
        <v>#DIV/0!</v>
      </c>
      <c r="E32" s="6" t="e">
        <f t="shared" si="57"/>
        <v>#DIV/0!</v>
      </c>
      <c r="F32" s="6">
        <f t="shared" si="57"/>
        <v>2.3513513513513513</v>
      </c>
      <c r="G32" s="6">
        <f t="shared" si="57"/>
        <v>2.4</v>
      </c>
      <c r="H32" s="6" t="e">
        <f t="shared" si="57"/>
        <v>#DIV/0!</v>
      </c>
      <c r="I32" s="6" t="e">
        <f t="shared" si="57"/>
        <v>#DIV/0!</v>
      </c>
      <c r="J32" s="6">
        <f t="shared" si="57"/>
        <v>1.696969696969697</v>
      </c>
      <c r="K32" s="6">
        <f>K11/K13</f>
        <v>0.3611111111111111</v>
      </c>
      <c r="L32" s="6" t="e">
        <f t="shared" ref="L32:Q32" si="58">L11/L13</f>
        <v>#DIV/0!</v>
      </c>
      <c r="M32" s="6" t="e">
        <f t="shared" si="58"/>
        <v>#DIV/0!</v>
      </c>
      <c r="N32" s="6" t="e">
        <f t="shared" si="58"/>
        <v>#DIV/0!</v>
      </c>
      <c r="O32" s="6" t="e">
        <f t="shared" si="58"/>
        <v>#DIV/0!</v>
      </c>
      <c r="P32" s="6" t="e">
        <f t="shared" si="58"/>
        <v>#DIV/0!</v>
      </c>
      <c r="Q32" s="6" t="e">
        <f t="shared" si="58"/>
        <v>#DIV/0!</v>
      </c>
      <c r="U32" s="6">
        <f t="shared" ref="U32:X32" si="59">U11/U13</f>
        <v>2.418181818181818</v>
      </c>
      <c r="V32" s="6">
        <f t="shared" si="59"/>
        <v>1.8293838862559242</v>
      </c>
      <c r="W32" s="6">
        <f t="shared" si="59"/>
        <v>2.4060150375939848</v>
      </c>
      <c r="X32" s="6" t="e">
        <f t="shared" si="59"/>
        <v>#DIV/0!</v>
      </c>
    </row>
    <row r="35" spans="2:23" s="3" customFormat="1" x14ac:dyDescent="0.25">
      <c r="B35" s="3" t="s">
        <v>45</v>
      </c>
      <c r="C35" s="3">
        <f t="shared" ref="C35:J35" si="60">C36+C38-C48-C51-C52-C53</f>
        <v>0</v>
      </c>
      <c r="D35" s="3">
        <f t="shared" si="60"/>
        <v>0</v>
      </c>
      <c r="E35" s="3">
        <f t="shared" si="60"/>
        <v>-1461</v>
      </c>
      <c r="F35" s="3">
        <f t="shared" si="60"/>
        <v>0</v>
      </c>
      <c r="G35" s="3">
        <f t="shared" si="60"/>
        <v>0</v>
      </c>
      <c r="H35" s="3">
        <f t="shared" si="60"/>
        <v>0</v>
      </c>
      <c r="I35" s="3">
        <f t="shared" si="60"/>
        <v>-1636</v>
      </c>
      <c r="J35" s="3">
        <f t="shared" si="60"/>
        <v>-1965</v>
      </c>
      <c r="K35" s="3">
        <f>K36+K38-K48-K51-K52-K53</f>
        <v>-1393</v>
      </c>
      <c r="L35" s="3">
        <f t="shared" ref="L35:Q35" si="61">L36+L38-L48-L51-L52-L53</f>
        <v>0</v>
      </c>
      <c r="M35" s="3">
        <f t="shared" si="61"/>
        <v>0</v>
      </c>
      <c r="N35" s="3">
        <f t="shared" si="61"/>
        <v>0</v>
      </c>
      <c r="O35" s="3">
        <f t="shared" si="61"/>
        <v>0</v>
      </c>
      <c r="P35" s="3">
        <f t="shared" si="61"/>
        <v>0</v>
      </c>
      <c r="Q35" s="3">
        <f t="shared" si="61"/>
        <v>0</v>
      </c>
      <c r="V35" s="3">
        <f t="shared" ref="V35" si="62">V36+V38-V48-V51-V52-V53</f>
        <v>-1461</v>
      </c>
      <c r="W35" s="3">
        <f t="shared" ref="W35" si="63">W36+W38-W48-W51-W52-W53</f>
        <v>-1636</v>
      </c>
    </row>
    <row r="36" spans="2:23" s="3" customFormat="1" x14ac:dyDescent="0.25">
      <c r="B36" s="3" t="s">
        <v>46</v>
      </c>
      <c r="E36" s="3">
        <v>999</v>
      </c>
      <c r="I36" s="3">
        <v>671</v>
      </c>
      <c r="J36" s="3">
        <v>559</v>
      </c>
      <c r="K36" s="3">
        <v>789</v>
      </c>
      <c r="V36" s="3">
        <v>999</v>
      </c>
      <c r="W36" s="3">
        <v>671</v>
      </c>
    </row>
    <row r="37" spans="2:23" s="3" customFormat="1" x14ac:dyDescent="0.25">
      <c r="B37" s="3" t="s">
        <v>47</v>
      </c>
      <c r="E37" s="3">
        <v>541</v>
      </c>
      <c r="I37" s="3">
        <v>92</v>
      </c>
      <c r="J37" s="3">
        <v>134</v>
      </c>
      <c r="K37" s="3">
        <v>396</v>
      </c>
      <c r="V37" s="3">
        <v>541</v>
      </c>
      <c r="W37" s="3">
        <v>92</v>
      </c>
    </row>
    <row r="38" spans="2:23" s="3" customFormat="1" x14ac:dyDescent="0.25">
      <c r="B38" s="3" t="s">
        <v>48</v>
      </c>
      <c r="E38" s="3">
        <v>69</v>
      </c>
      <c r="I38" s="3">
        <v>8</v>
      </c>
      <c r="V38" s="3">
        <v>69</v>
      </c>
      <c r="W38" s="3">
        <v>8</v>
      </c>
    </row>
    <row r="39" spans="2:23" s="3" customFormat="1" x14ac:dyDescent="0.25">
      <c r="B39" s="3" t="s">
        <v>49</v>
      </c>
      <c r="E39" s="3">
        <v>9</v>
      </c>
      <c r="I39" s="3">
        <v>6</v>
      </c>
      <c r="J39" s="3">
        <v>20</v>
      </c>
      <c r="K39" s="3">
        <v>10</v>
      </c>
      <c r="V39" s="3">
        <v>9</v>
      </c>
      <c r="W39" s="3">
        <v>6</v>
      </c>
    </row>
    <row r="40" spans="2:23" s="3" customFormat="1" x14ac:dyDescent="0.25">
      <c r="B40" s="3" t="s">
        <v>50</v>
      </c>
      <c r="E40" s="3">
        <v>1775</v>
      </c>
      <c r="I40" s="3">
        <v>2159</v>
      </c>
      <c r="J40" s="3">
        <v>2362</v>
      </c>
      <c r="K40" s="3">
        <v>1530</v>
      </c>
      <c r="V40" s="3">
        <v>1775</v>
      </c>
      <c r="W40" s="3">
        <v>2159</v>
      </c>
    </row>
    <row r="41" spans="2:23" s="3" customFormat="1" x14ac:dyDescent="0.25">
      <c r="B41" s="3" t="s">
        <v>51</v>
      </c>
      <c r="E41" s="3">
        <v>52</v>
      </c>
      <c r="I41" s="3">
        <v>61</v>
      </c>
      <c r="J41" s="3">
        <v>77</v>
      </c>
      <c r="K41" s="3">
        <v>72</v>
      </c>
      <c r="V41" s="3">
        <v>52</v>
      </c>
      <c r="W41" s="3">
        <v>61</v>
      </c>
    </row>
    <row r="42" spans="2:23" s="3" customFormat="1" x14ac:dyDescent="0.25">
      <c r="B42" s="3" t="s">
        <v>52</v>
      </c>
      <c r="E42" s="3">
        <v>66</v>
      </c>
      <c r="I42" s="3">
        <v>48</v>
      </c>
      <c r="J42" s="3">
        <v>44</v>
      </c>
      <c r="K42" s="3">
        <v>37</v>
      </c>
      <c r="V42" s="3">
        <v>66</v>
      </c>
      <c r="W42" s="3">
        <v>48</v>
      </c>
    </row>
    <row r="43" spans="2:23" s="3" customFormat="1" x14ac:dyDescent="0.25">
      <c r="B43" s="3" t="s">
        <v>53</v>
      </c>
      <c r="E43" s="3">
        <v>25</v>
      </c>
      <c r="I43" s="3">
        <v>18</v>
      </c>
      <c r="J43" s="3">
        <v>17</v>
      </c>
      <c r="K43" s="3">
        <v>9</v>
      </c>
      <c r="V43" s="3">
        <v>25</v>
      </c>
      <c r="W43" s="3">
        <v>18</v>
      </c>
    </row>
    <row r="44" spans="2:23" s="3" customFormat="1" x14ac:dyDescent="0.25">
      <c r="B44" s="3" t="s">
        <v>54</v>
      </c>
      <c r="E44" s="3">
        <v>4</v>
      </c>
      <c r="I44" s="3">
        <v>3</v>
      </c>
      <c r="J44" s="3">
        <v>3</v>
      </c>
      <c r="K44" s="3">
        <v>3</v>
      </c>
      <c r="V44" s="3">
        <v>4</v>
      </c>
      <c r="W44" s="3">
        <v>3</v>
      </c>
    </row>
    <row r="45" spans="2:23" s="3" customFormat="1" x14ac:dyDescent="0.25">
      <c r="B45" s="3" t="s">
        <v>55</v>
      </c>
      <c r="E45" s="3">
        <v>27</v>
      </c>
      <c r="I45" s="3">
        <v>60</v>
      </c>
      <c r="J45" s="3">
        <v>61</v>
      </c>
      <c r="K45" s="3">
        <v>61</v>
      </c>
      <c r="V45" s="3">
        <v>27</v>
      </c>
      <c r="W45" s="3">
        <v>60</v>
      </c>
    </row>
    <row r="46" spans="2:23" s="4" customFormat="1" x14ac:dyDescent="0.25">
      <c r="B46" s="4" t="s">
        <v>56</v>
      </c>
      <c r="C46" s="4">
        <f t="shared" ref="C46:J46" si="64">SUM(C36:C45)</f>
        <v>0</v>
      </c>
      <c r="D46" s="4">
        <f t="shared" si="64"/>
        <v>0</v>
      </c>
      <c r="E46" s="4">
        <f t="shared" si="64"/>
        <v>3567</v>
      </c>
      <c r="F46" s="4">
        <f t="shared" si="64"/>
        <v>0</v>
      </c>
      <c r="G46" s="4">
        <f t="shared" si="64"/>
        <v>0</v>
      </c>
      <c r="H46" s="4">
        <f t="shared" si="64"/>
        <v>0</v>
      </c>
      <c r="I46" s="4">
        <f t="shared" si="64"/>
        <v>3126</v>
      </c>
      <c r="J46" s="4">
        <f t="shared" si="64"/>
        <v>3277</v>
      </c>
      <c r="K46" s="4">
        <f>SUM(K36:K45)</f>
        <v>2907</v>
      </c>
      <c r="L46" s="4">
        <f t="shared" ref="L46:Q46" si="65">SUM(L36:L45)</f>
        <v>0</v>
      </c>
      <c r="M46" s="4">
        <f t="shared" si="65"/>
        <v>0</v>
      </c>
      <c r="N46" s="4">
        <f t="shared" si="65"/>
        <v>0</v>
      </c>
      <c r="O46" s="4">
        <f t="shared" si="65"/>
        <v>0</v>
      </c>
      <c r="P46" s="4">
        <f t="shared" si="65"/>
        <v>0</v>
      </c>
      <c r="Q46" s="4">
        <f t="shared" si="65"/>
        <v>0</v>
      </c>
      <c r="V46" s="4">
        <f t="shared" ref="V46" si="66">SUM(V36:V45)</f>
        <v>3567</v>
      </c>
      <c r="W46" s="4">
        <f t="shared" ref="W46" si="67">SUM(W36:W45)</f>
        <v>3126</v>
      </c>
    </row>
    <row r="47" spans="2:23" s="3" customFormat="1" x14ac:dyDescent="0.25">
      <c r="B47" s="3" t="s">
        <v>57</v>
      </c>
      <c r="E47" s="3">
        <v>64</v>
      </c>
      <c r="I47" s="3">
        <v>92</v>
      </c>
      <c r="J47" s="3">
        <v>102</v>
      </c>
      <c r="K47" s="3">
        <v>86</v>
      </c>
      <c r="V47" s="3">
        <v>64</v>
      </c>
      <c r="W47" s="3">
        <v>92</v>
      </c>
    </row>
    <row r="48" spans="2:23" s="3" customFormat="1" x14ac:dyDescent="0.25">
      <c r="B48" s="3" t="s">
        <v>58</v>
      </c>
      <c r="I48" s="3">
        <v>432</v>
      </c>
      <c r="J48" s="3">
        <v>946</v>
      </c>
      <c r="K48" s="3">
        <v>550</v>
      </c>
      <c r="W48" s="3">
        <v>432</v>
      </c>
    </row>
    <row r="49" spans="2:23" s="3" customFormat="1" x14ac:dyDescent="0.25">
      <c r="B49" s="3" t="s">
        <v>59</v>
      </c>
      <c r="E49" s="3">
        <v>1</v>
      </c>
      <c r="I49" s="3">
        <v>3</v>
      </c>
      <c r="J49" s="3">
        <v>3</v>
      </c>
      <c r="K49" s="3">
        <v>5</v>
      </c>
      <c r="V49" s="3">
        <v>1</v>
      </c>
      <c r="W49" s="3">
        <v>3</v>
      </c>
    </row>
    <row r="50" spans="2:23" s="3" customFormat="1" x14ac:dyDescent="0.25">
      <c r="B50" s="3" t="s">
        <v>60</v>
      </c>
      <c r="E50" s="3">
        <v>5</v>
      </c>
      <c r="I50" s="3">
        <v>2</v>
      </c>
      <c r="J50" s="3">
        <v>2</v>
      </c>
      <c r="K50" s="3">
        <v>2</v>
      </c>
      <c r="V50" s="3">
        <v>5</v>
      </c>
      <c r="W50" s="3">
        <v>2</v>
      </c>
    </row>
    <row r="51" spans="2:23" s="3" customFormat="1" x14ac:dyDescent="0.25">
      <c r="B51" s="3" t="s">
        <v>61</v>
      </c>
      <c r="E51" s="3">
        <v>2134</v>
      </c>
      <c r="I51" s="3">
        <v>1492</v>
      </c>
      <c r="J51" s="3">
        <v>1187</v>
      </c>
      <c r="K51" s="3">
        <v>1189</v>
      </c>
      <c r="V51" s="3">
        <v>2134</v>
      </c>
      <c r="W51" s="3">
        <v>1492</v>
      </c>
    </row>
    <row r="52" spans="2:23" s="3" customFormat="1" x14ac:dyDescent="0.25">
      <c r="B52" s="3" t="s">
        <v>62</v>
      </c>
      <c r="E52" s="3">
        <v>376</v>
      </c>
      <c r="I52" s="3">
        <v>378</v>
      </c>
      <c r="J52" s="3">
        <v>378</v>
      </c>
      <c r="K52" s="3">
        <v>437</v>
      </c>
      <c r="V52" s="3">
        <v>376</v>
      </c>
      <c r="W52" s="3">
        <v>378</v>
      </c>
    </row>
    <row r="53" spans="2:23" s="3" customFormat="1" x14ac:dyDescent="0.25">
      <c r="B53" s="3" t="s">
        <v>63</v>
      </c>
      <c r="E53" s="3">
        <v>19</v>
      </c>
      <c r="I53" s="3">
        <v>13</v>
      </c>
      <c r="J53" s="3">
        <v>13</v>
      </c>
      <c r="K53" s="3">
        <v>6</v>
      </c>
      <c r="V53" s="3">
        <v>19</v>
      </c>
      <c r="W53" s="3">
        <v>13</v>
      </c>
    </row>
    <row r="54" spans="2:23" s="3" customFormat="1" x14ac:dyDescent="0.25">
      <c r="B54" s="3" t="s">
        <v>64</v>
      </c>
      <c r="E54" s="3">
        <v>1</v>
      </c>
      <c r="I54" s="3">
        <v>1</v>
      </c>
      <c r="J54" s="3">
        <v>1</v>
      </c>
      <c r="K54" s="3">
        <v>1</v>
      </c>
      <c r="V54" s="3">
        <v>1</v>
      </c>
      <c r="W54" s="3">
        <v>1</v>
      </c>
    </row>
    <row r="55" spans="2:23" s="4" customFormat="1" x14ac:dyDescent="0.25">
      <c r="B55" s="4" t="s">
        <v>65</v>
      </c>
      <c r="C55" s="4">
        <f t="shared" ref="C55:J55" si="68">SUM(C47:C54)</f>
        <v>0</v>
      </c>
      <c r="D55" s="4">
        <f t="shared" si="68"/>
        <v>0</v>
      </c>
      <c r="E55" s="4">
        <f t="shared" si="68"/>
        <v>2600</v>
      </c>
      <c r="F55" s="4">
        <f t="shared" si="68"/>
        <v>0</v>
      </c>
      <c r="G55" s="4">
        <f t="shared" si="68"/>
        <v>0</v>
      </c>
      <c r="H55" s="4">
        <f t="shared" si="68"/>
        <v>0</v>
      </c>
      <c r="I55" s="4">
        <f t="shared" si="68"/>
        <v>2413</v>
      </c>
      <c r="J55" s="4">
        <f t="shared" si="68"/>
        <v>2632</v>
      </c>
      <c r="K55" s="4">
        <f>SUM(K47:K54)</f>
        <v>2276</v>
      </c>
      <c r="L55" s="4">
        <f t="shared" ref="L55:Q55" si="69">SUM(L47:L54)</f>
        <v>0</v>
      </c>
      <c r="M55" s="4">
        <f t="shared" si="69"/>
        <v>0</v>
      </c>
      <c r="N55" s="4">
        <f t="shared" si="69"/>
        <v>0</v>
      </c>
      <c r="O55" s="4">
        <f t="shared" si="69"/>
        <v>0</v>
      </c>
      <c r="P55" s="4">
        <f t="shared" si="69"/>
        <v>0</v>
      </c>
      <c r="Q55" s="4">
        <f t="shared" si="69"/>
        <v>0</v>
      </c>
      <c r="V55" s="4">
        <f t="shared" ref="V55" si="70">SUM(V47:V54)</f>
        <v>2600</v>
      </c>
      <c r="W55" s="4">
        <f t="shared" ref="W55" si="71">SUM(W47:W54)</f>
        <v>2413</v>
      </c>
    </row>
    <row r="56" spans="2:23" s="3" customFormat="1" x14ac:dyDescent="0.25">
      <c r="B56" s="3" t="s">
        <v>66</v>
      </c>
      <c r="E56" s="3">
        <v>967</v>
      </c>
      <c r="I56" s="3">
        <v>713</v>
      </c>
      <c r="J56" s="3">
        <v>645</v>
      </c>
      <c r="K56" s="3">
        <v>631</v>
      </c>
      <c r="V56" s="3">
        <v>967</v>
      </c>
      <c r="W56" s="3">
        <v>713</v>
      </c>
    </row>
    <row r="57" spans="2:23" s="4" customFormat="1" x14ac:dyDescent="0.25">
      <c r="B57" s="4" t="s">
        <v>67</v>
      </c>
      <c r="C57" s="4">
        <f t="shared" ref="C57:J57" si="72">+C55+C56</f>
        <v>0</v>
      </c>
      <c r="D57" s="4">
        <f t="shared" si="72"/>
        <v>0</v>
      </c>
      <c r="E57" s="4">
        <f t="shared" si="72"/>
        <v>3567</v>
      </c>
      <c r="F57" s="4">
        <f t="shared" si="72"/>
        <v>0</v>
      </c>
      <c r="G57" s="4">
        <f t="shared" si="72"/>
        <v>0</v>
      </c>
      <c r="H57" s="4">
        <f t="shared" si="72"/>
        <v>0</v>
      </c>
      <c r="I57" s="4">
        <f t="shared" si="72"/>
        <v>3126</v>
      </c>
      <c r="J57" s="4">
        <f t="shared" si="72"/>
        <v>3277</v>
      </c>
      <c r="K57" s="4">
        <f>+K55+K56</f>
        <v>2907</v>
      </c>
      <c r="L57" s="4">
        <f t="shared" ref="L57:Q57" si="73">+L55+L56</f>
        <v>0</v>
      </c>
      <c r="M57" s="4">
        <f t="shared" si="73"/>
        <v>0</v>
      </c>
      <c r="N57" s="4">
        <f t="shared" si="73"/>
        <v>0</v>
      </c>
      <c r="O57" s="4">
        <f t="shared" si="73"/>
        <v>0</v>
      </c>
      <c r="P57" s="4">
        <f t="shared" si="73"/>
        <v>0</v>
      </c>
      <c r="Q57" s="4">
        <f t="shared" si="73"/>
        <v>0</v>
      </c>
      <c r="V57" s="4">
        <f t="shared" ref="V57" si="74">+V55+V56</f>
        <v>3567</v>
      </c>
      <c r="W57" s="4">
        <f t="shared" ref="W57" si="75">+W55+W56</f>
        <v>3126</v>
      </c>
    </row>
    <row r="60" spans="2:23" s="6" customFormat="1" x14ac:dyDescent="0.25">
      <c r="B60" s="6" t="s">
        <v>68</v>
      </c>
      <c r="C60" s="6" t="e">
        <f t="shared" ref="C60:K60" si="76">SUM(C36:C41)/SUM(C47:C50)</f>
        <v>#DIV/0!</v>
      </c>
      <c r="D60" s="6" t="e">
        <f t="shared" si="76"/>
        <v>#DIV/0!</v>
      </c>
      <c r="E60" s="6">
        <f t="shared" si="76"/>
        <v>49.214285714285715</v>
      </c>
      <c r="F60" s="6" t="e">
        <f t="shared" si="76"/>
        <v>#DIV/0!</v>
      </c>
      <c r="G60" s="6" t="e">
        <f t="shared" si="76"/>
        <v>#DIV/0!</v>
      </c>
      <c r="H60" s="6" t="e">
        <f t="shared" si="76"/>
        <v>#DIV/0!</v>
      </c>
      <c r="I60" s="6">
        <f t="shared" si="76"/>
        <v>5.6654064272211722</v>
      </c>
      <c r="J60" s="6">
        <f t="shared" si="76"/>
        <v>2.9933523266856601</v>
      </c>
      <c r="K60" s="6">
        <f>SUM(K36:K41)/SUM(K47:K50)</f>
        <v>4.3499222395023329</v>
      </c>
      <c r="L60" s="6" t="e">
        <f t="shared" ref="L60:Q60" si="77">SUM(L36:L41)/SUM(L47:L50)</f>
        <v>#DIV/0!</v>
      </c>
      <c r="M60" s="6" t="e">
        <f t="shared" si="77"/>
        <v>#DIV/0!</v>
      </c>
      <c r="N60" s="6" t="e">
        <f t="shared" si="77"/>
        <v>#DIV/0!</v>
      </c>
      <c r="O60" s="6" t="e">
        <f t="shared" si="77"/>
        <v>#DIV/0!</v>
      </c>
      <c r="P60" s="6" t="e">
        <f t="shared" si="77"/>
        <v>#DIV/0!</v>
      </c>
      <c r="Q60" s="6" t="e">
        <f t="shared" si="77"/>
        <v>#DIV/0!</v>
      </c>
      <c r="V60" s="6">
        <f t="shared" ref="V60:W60" si="78">SUM(V36:V41)/SUM(V47:V50)</f>
        <v>49.214285714285715</v>
      </c>
      <c r="W60" s="6">
        <f t="shared" si="78"/>
        <v>5.6654064272211722</v>
      </c>
    </row>
    <row r="61" spans="2:23" s="6" customFormat="1" x14ac:dyDescent="0.25">
      <c r="B61" s="6" t="s">
        <v>69</v>
      </c>
      <c r="C61" s="6" t="e">
        <f t="shared" ref="C61:K61" si="79">SUM(C36:C39)/SUM(C47:C50)</f>
        <v>#DIV/0!</v>
      </c>
      <c r="D61" s="6" t="e">
        <f t="shared" si="79"/>
        <v>#DIV/0!</v>
      </c>
      <c r="E61" s="6">
        <f t="shared" si="79"/>
        <v>23.114285714285714</v>
      </c>
      <c r="F61" s="6" t="e">
        <f t="shared" si="79"/>
        <v>#DIV/0!</v>
      </c>
      <c r="G61" s="6" t="e">
        <f t="shared" si="79"/>
        <v>#DIV/0!</v>
      </c>
      <c r="H61" s="6" t="e">
        <f t="shared" si="79"/>
        <v>#DIV/0!</v>
      </c>
      <c r="I61" s="6">
        <f t="shared" si="79"/>
        <v>1.4688090737240076</v>
      </c>
      <c r="J61" s="6">
        <f t="shared" si="79"/>
        <v>0.67711301044634375</v>
      </c>
      <c r="K61" s="6">
        <f>SUM(K36:K39)/SUM(K47:K50)</f>
        <v>1.8584758942457231</v>
      </c>
      <c r="L61" s="6" t="e">
        <f t="shared" ref="L61:Q61" si="80">SUM(L36:L39)/SUM(L47:L50)</f>
        <v>#DIV/0!</v>
      </c>
      <c r="M61" s="6" t="e">
        <f t="shared" si="80"/>
        <v>#DIV/0!</v>
      </c>
      <c r="N61" s="6" t="e">
        <f t="shared" si="80"/>
        <v>#DIV/0!</v>
      </c>
      <c r="O61" s="6" t="e">
        <f t="shared" si="80"/>
        <v>#DIV/0!</v>
      </c>
      <c r="P61" s="6" t="e">
        <f t="shared" si="80"/>
        <v>#DIV/0!</v>
      </c>
      <c r="Q61" s="6" t="e">
        <f t="shared" si="80"/>
        <v>#DIV/0!</v>
      </c>
      <c r="V61" s="6">
        <f t="shared" ref="V61:W61" si="81">SUM(V36:V39)/SUM(V47:V50)</f>
        <v>23.114285714285714</v>
      </c>
      <c r="W61" s="6">
        <f t="shared" si="81"/>
        <v>1.4688090737240076</v>
      </c>
    </row>
    <row r="62" spans="2:23" s="6" customFormat="1" x14ac:dyDescent="0.25">
      <c r="B62" s="6" t="s">
        <v>70</v>
      </c>
      <c r="C62" s="6" t="e">
        <f t="shared" ref="C62:K62" si="82">(C42+C43+C44+C45)/C46</f>
        <v>#DIV/0!</v>
      </c>
      <c r="D62" s="6" t="e">
        <f t="shared" si="82"/>
        <v>#DIV/0!</v>
      </c>
      <c r="E62" s="6">
        <f t="shared" si="82"/>
        <v>3.420241098962714E-2</v>
      </c>
      <c r="F62" s="6" t="e">
        <f t="shared" si="82"/>
        <v>#DIV/0!</v>
      </c>
      <c r="G62" s="6" t="e">
        <f t="shared" si="82"/>
        <v>#DIV/0!</v>
      </c>
      <c r="H62" s="6" t="e">
        <f t="shared" si="82"/>
        <v>#DIV/0!</v>
      </c>
      <c r="I62" s="6">
        <f t="shared" si="82"/>
        <v>4.126679462571977E-2</v>
      </c>
      <c r="J62" s="6">
        <f t="shared" si="82"/>
        <v>3.8144644491913335E-2</v>
      </c>
      <c r="K62" s="6">
        <f>(K42+K43+K44+K45)/K46</f>
        <v>3.7839697282421737E-2</v>
      </c>
      <c r="L62" s="6" t="e">
        <f t="shared" ref="L62:Q62" si="83">(L42+L43+L44+L45)/L46</f>
        <v>#DIV/0!</v>
      </c>
      <c r="M62" s="6" t="e">
        <f t="shared" si="83"/>
        <v>#DIV/0!</v>
      </c>
      <c r="N62" s="6" t="e">
        <f t="shared" si="83"/>
        <v>#DIV/0!</v>
      </c>
      <c r="O62" s="6" t="e">
        <f t="shared" si="83"/>
        <v>#DIV/0!</v>
      </c>
      <c r="P62" s="6" t="e">
        <f t="shared" si="83"/>
        <v>#DIV/0!</v>
      </c>
      <c r="Q62" s="6" t="e">
        <f t="shared" si="83"/>
        <v>#DIV/0!</v>
      </c>
      <c r="V62" s="6">
        <f t="shared" ref="V62:W62" si="84">(V42+V43+V44+V45)/V46</f>
        <v>3.420241098962714E-2</v>
      </c>
      <c r="W62" s="6">
        <f t="shared" si="84"/>
        <v>4.126679462571977E-2</v>
      </c>
    </row>
    <row r="63" spans="2:23" s="6" customFormat="1" x14ac:dyDescent="0.25">
      <c r="B63" s="6" t="s">
        <v>71</v>
      </c>
      <c r="C63" s="6" t="e">
        <f t="shared" ref="C63:K63" si="85">C55/C56</f>
        <v>#DIV/0!</v>
      </c>
      <c r="D63" s="6" t="e">
        <f t="shared" si="85"/>
        <v>#DIV/0!</v>
      </c>
      <c r="E63" s="6">
        <f t="shared" si="85"/>
        <v>2.688728024819028</v>
      </c>
      <c r="F63" s="6" t="e">
        <f t="shared" si="85"/>
        <v>#DIV/0!</v>
      </c>
      <c r="G63" s="6" t="e">
        <f t="shared" si="85"/>
        <v>#DIV/0!</v>
      </c>
      <c r="H63" s="6" t="e">
        <f t="shared" si="85"/>
        <v>#DIV/0!</v>
      </c>
      <c r="I63" s="6">
        <f t="shared" si="85"/>
        <v>3.3842917251051894</v>
      </c>
      <c r="J63" s="6">
        <f t="shared" si="85"/>
        <v>4.0806201550387593</v>
      </c>
      <c r="K63" s="6">
        <f>K55/K56</f>
        <v>3.6069730586370841</v>
      </c>
      <c r="L63" s="6" t="e">
        <f t="shared" ref="L63:Q63" si="86">L55/L56</f>
        <v>#DIV/0!</v>
      </c>
      <c r="M63" s="6" t="e">
        <f t="shared" si="86"/>
        <v>#DIV/0!</v>
      </c>
      <c r="N63" s="6" t="e">
        <f t="shared" si="86"/>
        <v>#DIV/0!</v>
      </c>
      <c r="O63" s="6" t="e">
        <f t="shared" si="86"/>
        <v>#DIV/0!</v>
      </c>
      <c r="P63" s="6" t="e">
        <f t="shared" si="86"/>
        <v>#DIV/0!</v>
      </c>
      <c r="Q63" s="6" t="e">
        <f t="shared" si="86"/>
        <v>#DIV/0!</v>
      </c>
      <c r="V63" s="6">
        <f t="shared" ref="V63:W63" si="87">V55/V56</f>
        <v>2.688728024819028</v>
      </c>
      <c r="W63" s="6">
        <f t="shared" si="87"/>
        <v>3.3842917251051894</v>
      </c>
    </row>
    <row r="67" spans="2:24" s="3" customFormat="1" x14ac:dyDescent="0.25">
      <c r="B67" s="3" t="s">
        <v>72</v>
      </c>
      <c r="C67" s="3">
        <f t="shared" ref="C67:K67" si="88">C17</f>
        <v>0</v>
      </c>
      <c r="D67" s="3">
        <f t="shared" si="88"/>
        <v>0</v>
      </c>
      <c r="E67" s="3">
        <f t="shared" si="88"/>
        <v>0</v>
      </c>
      <c r="F67" s="3">
        <f t="shared" si="88"/>
        <v>-109</v>
      </c>
      <c r="G67" s="3">
        <f t="shared" si="88"/>
        <v>-92</v>
      </c>
      <c r="H67" s="3">
        <f t="shared" si="88"/>
        <v>0</v>
      </c>
      <c r="I67" s="3">
        <f t="shared" si="88"/>
        <v>0</v>
      </c>
      <c r="J67" s="3">
        <f t="shared" si="88"/>
        <v>-85</v>
      </c>
      <c r="K67" s="3">
        <f>K17</f>
        <v>-29</v>
      </c>
      <c r="L67" s="3">
        <f t="shared" ref="L67:Q67" si="89">L17</f>
        <v>0</v>
      </c>
      <c r="M67" s="3">
        <f t="shared" si="89"/>
        <v>0</v>
      </c>
      <c r="N67" s="3">
        <f t="shared" si="89"/>
        <v>0</v>
      </c>
      <c r="O67" s="3">
        <f t="shared" si="89"/>
        <v>0</v>
      </c>
      <c r="P67" s="3">
        <f t="shared" si="89"/>
        <v>0</v>
      </c>
      <c r="Q67" s="3">
        <f t="shared" si="89"/>
        <v>0</v>
      </c>
      <c r="U67" s="3">
        <f t="shared" ref="U67:X67" si="90">U17</f>
        <v>-1353</v>
      </c>
      <c r="V67" s="3">
        <f t="shared" si="90"/>
        <v>-275</v>
      </c>
      <c r="W67" s="3">
        <f t="shared" si="90"/>
        <v>-392</v>
      </c>
      <c r="X67" s="3">
        <f t="shared" si="90"/>
        <v>0</v>
      </c>
    </row>
    <row r="68" spans="2:24" s="3" customFormat="1" x14ac:dyDescent="0.25">
      <c r="B68" s="3" t="s">
        <v>73</v>
      </c>
      <c r="F68" s="3">
        <v>-109</v>
      </c>
      <c r="G68" s="3">
        <v>-92</v>
      </c>
      <c r="J68" s="3">
        <v>-85</v>
      </c>
      <c r="K68" s="3">
        <v>-29</v>
      </c>
      <c r="U68" s="3">
        <v>-1353</v>
      </c>
      <c r="V68" s="3">
        <v>-275</v>
      </c>
      <c r="W68" s="3">
        <v>-392</v>
      </c>
    </row>
    <row r="69" spans="2:24" s="3" customFormat="1" x14ac:dyDescent="0.25">
      <c r="B69" s="3" t="s">
        <v>74</v>
      </c>
      <c r="F69" s="3">
        <v>14</v>
      </c>
      <c r="G69" s="3">
        <v>12</v>
      </c>
      <c r="J69" s="3">
        <v>10</v>
      </c>
      <c r="K69" s="3">
        <v>12</v>
      </c>
      <c r="U69" s="3">
        <v>83</v>
      </c>
      <c r="V69" s="3">
        <v>65</v>
      </c>
      <c r="W69" s="3">
        <v>48</v>
      </c>
    </row>
    <row r="70" spans="2:24" s="3" customFormat="1" x14ac:dyDescent="0.25">
      <c r="B70" s="3" t="s">
        <v>75</v>
      </c>
      <c r="F70" s="3">
        <v>2</v>
      </c>
      <c r="G70" s="3">
        <v>1</v>
      </c>
      <c r="J70" s="3">
        <v>1</v>
      </c>
      <c r="K70" s="3">
        <v>0</v>
      </c>
      <c r="U70" s="3">
        <v>7</v>
      </c>
      <c r="V70" s="3">
        <v>7</v>
      </c>
      <c r="W70" s="3">
        <v>5</v>
      </c>
    </row>
    <row r="71" spans="2:24" s="3" customFormat="1" x14ac:dyDescent="0.25">
      <c r="B71" s="3" t="s">
        <v>76</v>
      </c>
      <c r="F71" s="3">
        <v>33</v>
      </c>
      <c r="G71" s="3">
        <v>33</v>
      </c>
      <c r="J71" s="3">
        <v>14</v>
      </c>
      <c r="K71" s="3">
        <v>13</v>
      </c>
      <c r="U71" s="3">
        <v>171</v>
      </c>
      <c r="V71" s="3">
        <v>126</v>
      </c>
      <c r="W71" s="3">
        <v>114</v>
      </c>
    </row>
    <row r="72" spans="2:24" s="3" customFormat="1" x14ac:dyDescent="0.25">
      <c r="B72" s="3" t="s">
        <v>77</v>
      </c>
      <c r="F72" s="3">
        <v>7</v>
      </c>
      <c r="G72" s="3">
        <v>34</v>
      </c>
      <c r="J72" s="3">
        <v>13</v>
      </c>
      <c r="K72" s="3">
        <v>21</v>
      </c>
      <c r="U72" s="3">
        <v>737</v>
      </c>
      <c r="V72" s="3">
        <v>65</v>
      </c>
      <c r="W72" s="3">
        <v>57</v>
      </c>
    </row>
    <row r="73" spans="2:24" s="3" customFormat="1" x14ac:dyDescent="0.25">
      <c r="B73" s="3" t="s">
        <v>78</v>
      </c>
      <c r="F73" s="3">
        <v>2</v>
      </c>
      <c r="G73" s="3">
        <v>2</v>
      </c>
      <c r="J73" s="3">
        <v>3</v>
      </c>
      <c r="K73" s="3">
        <v>0</v>
      </c>
      <c r="U73" s="3">
        <v>35</v>
      </c>
      <c r="V73" s="3">
        <v>1</v>
      </c>
      <c r="W73" s="3">
        <v>7</v>
      </c>
    </row>
    <row r="74" spans="2:24" s="3" customFormat="1" x14ac:dyDescent="0.25">
      <c r="B74" s="3" t="s">
        <v>79</v>
      </c>
      <c r="F74" s="3">
        <v>2</v>
      </c>
      <c r="G74" s="3">
        <v>1</v>
      </c>
      <c r="J74" s="3">
        <v>0</v>
      </c>
      <c r="K74" s="3">
        <v>4</v>
      </c>
      <c r="U74" s="3">
        <f>-1+60+128-118</f>
        <v>69</v>
      </c>
      <c r="V74" s="3">
        <f>13+1</f>
        <v>14</v>
      </c>
      <c r="W74" s="3">
        <f>7-14</f>
        <v>-7</v>
      </c>
    </row>
    <row r="75" spans="2:24" s="3" customFormat="1" x14ac:dyDescent="0.25">
      <c r="B75" s="3" t="s">
        <v>80</v>
      </c>
      <c r="F75" s="3">
        <v>0</v>
      </c>
      <c r="G75" s="3">
        <v>1</v>
      </c>
      <c r="J75" s="3">
        <v>0</v>
      </c>
      <c r="K75" s="3">
        <v>-10</v>
      </c>
      <c r="U75" s="3">
        <v>25</v>
      </c>
      <c r="V75" s="3">
        <v>-216</v>
      </c>
      <c r="W75" s="3">
        <v>2</v>
      </c>
    </row>
    <row r="76" spans="2:24" s="3" customFormat="1" x14ac:dyDescent="0.25">
      <c r="B76" s="3" t="s">
        <v>49</v>
      </c>
      <c r="F76" s="3">
        <v>-6</v>
      </c>
      <c r="G76" s="3">
        <v>-9</v>
      </c>
      <c r="J76" s="3">
        <v>-14</v>
      </c>
      <c r="K76" s="3">
        <v>10</v>
      </c>
      <c r="U76" s="3">
        <v>54</v>
      </c>
      <c r="V76" s="3">
        <v>21</v>
      </c>
      <c r="W76" s="3">
        <v>3</v>
      </c>
    </row>
    <row r="77" spans="2:24" s="3" customFormat="1" x14ac:dyDescent="0.25">
      <c r="B77" s="3" t="s">
        <v>50</v>
      </c>
      <c r="F77" s="3">
        <v>-114</v>
      </c>
      <c r="G77" s="3">
        <v>-384</v>
      </c>
      <c r="J77" s="3">
        <v>-212</v>
      </c>
      <c r="K77" s="3">
        <v>805</v>
      </c>
      <c r="U77" s="3">
        <v>896</v>
      </c>
      <c r="V77" s="3">
        <v>2613</v>
      </c>
      <c r="W77" s="3">
        <v>-449</v>
      </c>
    </row>
    <row r="78" spans="2:24" s="3" customFormat="1" x14ac:dyDescent="0.25">
      <c r="B78" s="3" t="s">
        <v>81</v>
      </c>
      <c r="F78" s="3">
        <v>-13</v>
      </c>
      <c r="G78" s="3">
        <v>3</v>
      </c>
      <c r="J78" s="3">
        <v>-16</v>
      </c>
      <c r="K78" s="3">
        <v>5</v>
      </c>
      <c r="U78" s="3">
        <v>37</v>
      </c>
      <c r="V78" s="3">
        <v>-19</v>
      </c>
      <c r="W78" s="3">
        <v>-10</v>
      </c>
    </row>
    <row r="79" spans="2:24" s="3" customFormat="1" x14ac:dyDescent="0.25">
      <c r="B79" s="3" t="s">
        <v>82</v>
      </c>
      <c r="F79" s="3">
        <v>6</v>
      </c>
      <c r="G79" s="3">
        <v>1</v>
      </c>
      <c r="J79" s="3">
        <v>8</v>
      </c>
      <c r="K79" s="3">
        <v>-10</v>
      </c>
      <c r="U79" s="3">
        <v>-25</v>
      </c>
      <c r="V79" s="3">
        <v>-38</v>
      </c>
      <c r="W79" s="3">
        <v>31</v>
      </c>
    </row>
    <row r="80" spans="2:24" s="3" customFormat="1" x14ac:dyDescent="0.25">
      <c r="B80" s="3" t="s">
        <v>59</v>
      </c>
      <c r="F80" s="3">
        <v>0</v>
      </c>
      <c r="G80" s="3">
        <v>0</v>
      </c>
      <c r="J80" s="3">
        <v>0</v>
      </c>
      <c r="K80" s="3">
        <v>2</v>
      </c>
      <c r="U80" s="3">
        <v>2</v>
      </c>
      <c r="V80" s="3">
        <v>-10</v>
      </c>
      <c r="W80" s="3">
        <v>2</v>
      </c>
    </row>
    <row r="81" spans="2:24" s="3" customFormat="1" x14ac:dyDescent="0.25">
      <c r="B81" s="3" t="s">
        <v>83</v>
      </c>
      <c r="F81" s="3">
        <v>-2</v>
      </c>
      <c r="G81" s="3">
        <v>-2</v>
      </c>
      <c r="J81" s="3">
        <v>-1</v>
      </c>
      <c r="K81" s="3">
        <v>0</v>
      </c>
      <c r="U81" s="3">
        <v>-8</v>
      </c>
      <c r="V81" s="3">
        <v>-10</v>
      </c>
      <c r="W81" s="3">
        <v>-6</v>
      </c>
    </row>
    <row r="82" spans="2:24" s="4" customFormat="1" x14ac:dyDescent="0.25">
      <c r="B82" s="4" t="s">
        <v>84</v>
      </c>
      <c r="C82" s="4">
        <f t="shared" ref="C82:Q82" si="91">SUM(C68:C81)</f>
        <v>0</v>
      </c>
      <c r="D82" s="4">
        <f t="shared" si="91"/>
        <v>0</v>
      </c>
      <c r="E82" s="4">
        <f t="shared" si="91"/>
        <v>0</v>
      </c>
      <c r="F82" s="4">
        <f t="shared" si="91"/>
        <v>-178</v>
      </c>
      <c r="G82" s="4">
        <f t="shared" si="91"/>
        <v>-399</v>
      </c>
      <c r="H82" s="4">
        <f t="shared" si="91"/>
        <v>0</v>
      </c>
      <c r="I82" s="4">
        <f t="shared" si="91"/>
        <v>0</v>
      </c>
      <c r="J82" s="4">
        <f t="shared" si="91"/>
        <v>-279</v>
      </c>
      <c r="K82" s="4">
        <f t="shared" si="91"/>
        <v>823</v>
      </c>
      <c r="L82" s="4">
        <f t="shared" si="91"/>
        <v>0</v>
      </c>
      <c r="M82" s="4">
        <f t="shared" si="91"/>
        <v>0</v>
      </c>
      <c r="N82" s="4">
        <f t="shared" si="91"/>
        <v>0</v>
      </c>
      <c r="O82" s="4">
        <f t="shared" si="91"/>
        <v>0</v>
      </c>
      <c r="P82" s="4">
        <f t="shared" si="91"/>
        <v>0</v>
      </c>
      <c r="Q82" s="4">
        <f t="shared" si="91"/>
        <v>0</v>
      </c>
      <c r="T82" s="3"/>
      <c r="U82" s="4">
        <f t="shared" ref="U82" si="92">SUM(U68:U81)</f>
        <v>730</v>
      </c>
      <c r="V82" s="4">
        <f t="shared" ref="V82" si="93">SUM(V68:V81)</f>
        <v>2344</v>
      </c>
      <c r="W82" s="4">
        <f t="shared" ref="W82" si="94">SUM(W68:W81)</f>
        <v>-595</v>
      </c>
      <c r="X82" s="4">
        <f t="shared" ref="X82" si="95">SUM(X68:X81)</f>
        <v>0</v>
      </c>
    </row>
    <row r="83" spans="2:24" s="3" customFormat="1" x14ac:dyDescent="0.25">
      <c r="B83" s="3" t="s">
        <v>85</v>
      </c>
      <c r="F83" s="3">
        <v>-8</v>
      </c>
      <c r="G83" s="3">
        <v>-8</v>
      </c>
      <c r="J83" s="3">
        <v>-4</v>
      </c>
      <c r="K83" s="3">
        <v>-2</v>
      </c>
      <c r="U83" s="3">
        <v>-37</v>
      </c>
      <c r="V83" s="3">
        <v>-37</v>
      </c>
      <c r="W83" s="3">
        <v>-25</v>
      </c>
    </row>
    <row r="84" spans="2:24" s="3" customFormat="1" x14ac:dyDescent="0.25">
      <c r="B84" s="3" t="s">
        <v>86</v>
      </c>
      <c r="F84" s="3">
        <v>30</v>
      </c>
      <c r="G84" s="3">
        <v>17</v>
      </c>
      <c r="J84" s="3">
        <v>6</v>
      </c>
      <c r="K84" s="3">
        <v>0</v>
      </c>
      <c r="U84" s="3">
        <v>328</v>
      </c>
      <c r="V84" s="3">
        <v>80</v>
      </c>
      <c r="W84" s="3">
        <v>55</v>
      </c>
    </row>
    <row r="85" spans="2:24" s="3" customFormat="1" x14ac:dyDescent="0.25">
      <c r="B85" s="3" t="s">
        <v>79</v>
      </c>
      <c r="U85" s="3">
        <f>-28-25+3+3-10</f>
        <v>-57</v>
      </c>
      <c r="V85" s="3">
        <v>1</v>
      </c>
      <c r="W85" s="3">
        <v>-2</v>
      </c>
    </row>
    <row r="86" spans="2:24" s="4" customFormat="1" x14ac:dyDescent="0.25">
      <c r="B86" s="4" t="s">
        <v>87</v>
      </c>
      <c r="C86" s="4">
        <f t="shared" ref="C86:Q86" si="96">SUM(C83:C85)</f>
        <v>0</v>
      </c>
      <c r="D86" s="4">
        <f t="shared" si="96"/>
        <v>0</v>
      </c>
      <c r="E86" s="4">
        <f t="shared" si="96"/>
        <v>0</v>
      </c>
      <c r="F86" s="4">
        <f t="shared" si="96"/>
        <v>22</v>
      </c>
      <c r="G86" s="4">
        <f t="shared" si="96"/>
        <v>9</v>
      </c>
      <c r="H86" s="4">
        <f t="shared" si="96"/>
        <v>0</v>
      </c>
      <c r="I86" s="4">
        <f t="shared" si="96"/>
        <v>0</v>
      </c>
      <c r="J86" s="4">
        <f t="shared" si="96"/>
        <v>2</v>
      </c>
      <c r="K86" s="4">
        <f t="shared" si="96"/>
        <v>-2</v>
      </c>
      <c r="L86" s="4">
        <f t="shared" si="96"/>
        <v>0</v>
      </c>
      <c r="M86" s="4">
        <f t="shared" si="96"/>
        <v>0</v>
      </c>
      <c r="N86" s="4">
        <f t="shared" si="96"/>
        <v>0</v>
      </c>
      <c r="O86" s="4">
        <f t="shared" si="96"/>
        <v>0</v>
      </c>
      <c r="P86" s="4">
        <f t="shared" si="96"/>
        <v>0</v>
      </c>
      <c r="Q86" s="4">
        <f t="shared" si="96"/>
        <v>0</v>
      </c>
      <c r="T86" s="3"/>
      <c r="U86" s="4">
        <f t="shared" ref="U86" si="97">SUM(U83:U85)</f>
        <v>234</v>
      </c>
      <c r="V86" s="4">
        <f t="shared" ref="V86" si="98">SUM(V83:V85)</f>
        <v>44</v>
      </c>
      <c r="W86" s="4">
        <f t="shared" ref="W86" si="99">SUM(W83:W85)</f>
        <v>28</v>
      </c>
      <c r="X86" s="4">
        <f t="shared" ref="X86" si="100">SUM(X83:X85)</f>
        <v>0</v>
      </c>
    </row>
    <row r="87" spans="2:24" s="3" customFormat="1" x14ac:dyDescent="0.25">
      <c r="B87" s="3" t="s">
        <v>88</v>
      </c>
      <c r="K87" s="3">
        <v>75</v>
      </c>
    </row>
    <row r="88" spans="2:24" s="3" customFormat="1" x14ac:dyDescent="0.25">
      <c r="B88" s="3" t="s">
        <v>89</v>
      </c>
      <c r="F88" s="3">
        <v>2</v>
      </c>
      <c r="J88" s="3">
        <v>1</v>
      </c>
      <c r="K88" s="3">
        <v>0</v>
      </c>
      <c r="U88" s="3">
        <v>2</v>
      </c>
      <c r="V88" s="3">
        <v>2</v>
      </c>
      <c r="W88" s="3">
        <v>5</v>
      </c>
    </row>
    <row r="89" spans="2:24" s="3" customFormat="1" x14ac:dyDescent="0.25">
      <c r="B89" s="3" t="s">
        <v>90</v>
      </c>
      <c r="G89" s="3">
        <v>217</v>
      </c>
      <c r="J89" s="3">
        <v>576</v>
      </c>
      <c r="K89" s="3">
        <v>95</v>
      </c>
      <c r="U89" s="3">
        <v>10108</v>
      </c>
      <c r="V89" s="3">
        <v>238</v>
      </c>
      <c r="W89" s="3">
        <v>498</v>
      </c>
    </row>
    <row r="90" spans="2:24" s="3" customFormat="1" x14ac:dyDescent="0.25">
      <c r="B90" s="3" t="s">
        <v>91</v>
      </c>
      <c r="F90" s="3">
        <v>-100</v>
      </c>
      <c r="G90" s="3">
        <v>-202</v>
      </c>
      <c r="J90" s="3">
        <v>-362</v>
      </c>
      <c r="K90" s="3">
        <v>-491</v>
      </c>
      <c r="U90" s="3">
        <v>-11822</v>
      </c>
      <c r="V90" s="3">
        <v>-2515</v>
      </c>
      <c r="W90" s="3">
        <v>-715</v>
      </c>
    </row>
    <row r="91" spans="2:24" s="3" customFormat="1" x14ac:dyDescent="0.25">
      <c r="B91" s="3" t="s">
        <v>92</v>
      </c>
      <c r="J91" s="3">
        <v>-8</v>
      </c>
      <c r="K91" s="3">
        <v>-8</v>
      </c>
      <c r="U91" s="3">
        <f>4+114-121-26-10</f>
        <v>-39</v>
      </c>
      <c r="V91" s="3">
        <f>-362+3-1-4</f>
        <v>-364</v>
      </c>
      <c r="W91" s="3">
        <v>2</v>
      </c>
    </row>
    <row r="92" spans="2:24" s="4" customFormat="1" x14ac:dyDescent="0.25">
      <c r="B92" s="4" t="s">
        <v>93</v>
      </c>
      <c r="C92" s="4">
        <f t="shared" ref="C92:Q92" si="101">SUM(C87:C91)</f>
        <v>0</v>
      </c>
      <c r="D92" s="4">
        <f t="shared" si="101"/>
        <v>0</v>
      </c>
      <c r="E92" s="4">
        <f t="shared" si="101"/>
        <v>0</v>
      </c>
      <c r="F92" s="4">
        <f t="shared" si="101"/>
        <v>-98</v>
      </c>
      <c r="G92" s="4">
        <f t="shared" si="101"/>
        <v>15</v>
      </c>
      <c r="H92" s="4">
        <f t="shared" si="101"/>
        <v>0</v>
      </c>
      <c r="I92" s="4">
        <f t="shared" si="101"/>
        <v>0</v>
      </c>
      <c r="J92" s="4">
        <f t="shared" si="101"/>
        <v>207</v>
      </c>
      <c r="K92" s="4">
        <f t="shared" si="101"/>
        <v>-329</v>
      </c>
      <c r="L92" s="4">
        <f t="shared" si="101"/>
        <v>0</v>
      </c>
      <c r="M92" s="4">
        <f t="shared" si="101"/>
        <v>0</v>
      </c>
      <c r="N92" s="4">
        <f t="shared" si="101"/>
        <v>0</v>
      </c>
      <c r="O92" s="4">
        <f t="shared" si="101"/>
        <v>0</v>
      </c>
      <c r="P92" s="4">
        <f t="shared" si="101"/>
        <v>0</v>
      </c>
      <c r="Q92" s="4">
        <f t="shared" si="101"/>
        <v>0</v>
      </c>
      <c r="T92" s="3"/>
      <c r="U92" s="4">
        <f t="shared" ref="U92" si="102">SUM(U87:U91)</f>
        <v>-1751</v>
      </c>
      <c r="V92" s="4">
        <f t="shared" ref="V92" si="103">SUM(V87:V91)</f>
        <v>-2639</v>
      </c>
      <c r="W92" s="4">
        <f t="shared" ref="W92" si="104">SUM(W87:W91)</f>
        <v>-210</v>
      </c>
      <c r="X92" s="4">
        <f t="shared" ref="X92" si="105">SUM(X87:X91)</f>
        <v>0</v>
      </c>
    </row>
    <row r="93" spans="2:24" s="4" customFormat="1" x14ac:dyDescent="0.25">
      <c r="B93" s="4" t="s">
        <v>94</v>
      </c>
      <c r="C93" s="4">
        <f t="shared" ref="C93:Q93" si="106">C82+C86+C92</f>
        <v>0</v>
      </c>
      <c r="D93" s="4">
        <f t="shared" si="106"/>
        <v>0</v>
      </c>
      <c r="E93" s="4">
        <f t="shared" si="106"/>
        <v>0</v>
      </c>
      <c r="F93" s="4">
        <f t="shared" si="106"/>
        <v>-254</v>
      </c>
      <c r="G93" s="4">
        <f t="shared" si="106"/>
        <v>-375</v>
      </c>
      <c r="H93" s="4">
        <f t="shared" si="106"/>
        <v>0</v>
      </c>
      <c r="I93" s="4">
        <f t="shared" si="106"/>
        <v>0</v>
      </c>
      <c r="J93" s="4">
        <f t="shared" si="106"/>
        <v>-70</v>
      </c>
      <c r="K93" s="4">
        <f t="shared" si="106"/>
        <v>492</v>
      </c>
      <c r="L93" s="4">
        <f t="shared" si="106"/>
        <v>0</v>
      </c>
      <c r="M93" s="4">
        <f t="shared" si="106"/>
        <v>0</v>
      </c>
      <c r="N93" s="4">
        <f t="shared" si="106"/>
        <v>0</v>
      </c>
      <c r="O93" s="4">
        <f t="shared" si="106"/>
        <v>0</v>
      </c>
      <c r="P93" s="4">
        <f t="shared" si="106"/>
        <v>0</v>
      </c>
      <c r="Q93" s="4">
        <f t="shared" si="106"/>
        <v>0</v>
      </c>
      <c r="T93" s="3"/>
      <c r="U93" s="4">
        <f t="shared" ref="U93" si="107">U82+U86+U92</f>
        <v>-787</v>
      </c>
      <c r="V93" s="4">
        <f t="shared" ref="V93" si="108">V82+V86+V92</f>
        <v>-251</v>
      </c>
      <c r="W93" s="4">
        <f t="shared" ref="W93" si="109">W82+W86+W92</f>
        <v>-777</v>
      </c>
      <c r="X93" s="4">
        <f t="shared" ref="X93" si="110">X82+X86+X92</f>
        <v>0</v>
      </c>
    </row>
    <row r="95" spans="2:24" x14ac:dyDescent="0.25">
      <c r="B95" s="1" t="s">
        <v>95</v>
      </c>
      <c r="C95" s="3">
        <f t="shared" ref="C95:K95" si="111">C82+C83</f>
        <v>0</v>
      </c>
      <c r="D95" s="3">
        <f t="shared" si="111"/>
        <v>0</v>
      </c>
      <c r="E95" s="3">
        <f t="shared" si="111"/>
        <v>0</v>
      </c>
      <c r="F95" s="3">
        <f t="shared" si="111"/>
        <v>-186</v>
      </c>
      <c r="G95" s="3">
        <f t="shared" si="111"/>
        <v>-407</v>
      </c>
      <c r="H95" s="3">
        <f t="shared" si="111"/>
        <v>0</v>
      </c>
      <c r="I95" s="3">
        <f t="shared" si="111"/>
        <v>0</v>
      </c>
      <c r="J95" s="3">
        <f t="shared" si="111"/>
        <v>-283</v>
      </c>
      <c r="K95" s="3">
        <f>K82+K83</f>
        <v>821</v>
      </c>
      <c r="L95" s="3">
        <f t="shared" ref="L95:Q95" si="112">L82+L83</f>
        <v>0</v>
      </c>
      <c r="M95" s="3">
        <f t="shared" si="112"/>
        <v>0</v>
      </c>
      <c r="N95" s="3">
        <f t="shared" si="112"/>
        <v>0</v>
      </c>
      <c r="O95" s="3">
        <f t="shared" si="112"/>
        <v>0</v>
      </c>
      <c r="P95" s="3">
        <f t="shared" si="112"/>
        <v>0</v>
      </c>
      <c r="Q95" s="3">
        <f t="shared" si="112"/>
        <v>0</v>
      </c>
      <c r="U95" s="3">
        <f t="shared" ref="U95:X95" si="113">U82+U83</f>
        <v>693</v>
      </c>
      <c r="V95" s="3">
        <f t="shared" si="113"/>
        <v>2307</v>
      </c>
      <c r="W95" s="3">
        <f t="shared" si="113"/>
        <v>-620</v>
      </c>
      <c r="X95" s="3">
        <f t="shared" si="113"/>
        <v>0</v>
      </c>
    </row>
    <row r="96" spans="2:24" s="7" customFormat="1" x14ac:dyDescent="0.25">
      <c r="B96" s="7" t="s">
        <v>97</v>
      </c>
      <c r="C96" s="7" t="e">
        <f t="shared" ref="C96:K96" si="114">-C83/C3</f>
        <v>#DIV/0!</v>
      </c>
      <c r="D96" s="7" t="e">
        <f t="shared" si="114"/>
        <v>#DIV/0!</v>
      </c>
      <c r="E96" s="7" t="e">
        <f t="shared" si="114"/>
        <v>#DIV/0!</v>
      </c>
      <c r="F96" s="7">
        <f t="shared" si="114"/>
        <v>6.7739204064352241E-3</v>
      </c>
      <c r="G96" s="7">
        <f t="shared" si="114"/>
        <v>5.2945069490403706E-3</v>
      </c>
      <c r="H96" s="7" t="e">
        <f t="shared" si="114"/>
        <v>#DIV/0!</v>
      </c>
      <c r="I96" s="7" t="e">
        <f t="shared" si="114"/>
        <v>#DIV/0!</v>
      </c>
      <c r="J96" s="7">
        <f t="shared" si="114"/>
        <v>3.469210754553339E-3</v>
      </c>
      <c r="K96" s="7">
        <f>-K83/K3</f>
        <v>1.2763241863433313E-3</v>
      </c>
      <c r="L96" s="7" t="e">
        <f t="shared" ref="L96:Q96" si="115">-L83/L3</f>
        <v>#DIV/0!</v>
      </c>
      <c r="M96" s="7" t="e">
        <f t="shared" si="115"/>
        <v>#DIV/0!</v>
      </c>
      <c r="N96" s="7" t="e">
        <f t="shared" si="115"/>
        <v>#DIV/0!</v>
      </c>
      <c r="O96" s="7" t="e">
        <f t="shared" si="115"/>
        <v>#DIV/0!</v>
      </c>
      <c r="P96" s="7" t="e">
        <f t="shared" si="115"/>
        <v>#DIV/0!</v>
      </c>
      <c r="Q96" s="7" t="e">
        <f t="shared" si="115"/>
        <v>#DIV/0!</v>
      </c>
      <c r="U96" s="7">
        <f t="shared" ref="U96:X96" si="116">-U83/U3</f>
        <v>2.376822766107792E-3</v>
      </c>
      <c r="V96" s="7">
        <f t="shared" si="116"/>
        <v>5.3268067952778574E-3</v>
      </c>
      <c r="W96" s="7">
        <f t="shared" si="116"/>
        <v>4.8515427906074132E-3</v>
      </c>
      <c r="X96" s="7" t="e">
        <f t="shared" si="116"/>
        <v>#DIV/0!</v>
      </c>
    </row>
    <row r="97" spans="2:24" s="7" customFormat="1" x14ac:dyDescent="0.25">
      <c r="B97" s="7" t="s">
        <v>98</v>
      </c>
      <c r="C97" s="7" t="e">
        <f t="shared" ref="C97:K97" si="117">C95/C3</f>
        <v>#DIV/0!</v>
      </c>
      <c r="D97" s="7" t="e">
        <f t="shared" si="117"/>
        <v>#DIV/0!</v>
      </c>
      <c r="E97" s="7" t="e">
        <f t="shared" si="117"/>
        <v>#DIV/0!</v>
      </c>
      <c r="F97" s="7">
        <f t="shared" si="117"/>
        <v>-0.15749364944961897</v>
      </c>
      <c r="G97" s="7">
        <f t="shared" si="117"/>
        <v>-0.26935804103242883</v>
      </c>
      <c r="H97" s="7" t="e">
        <f t="shared" si="117"/>
        <v>#DIV/0!</v>
      </c>
      <c r="I97" s="7" t="e">
        <f t="shared" si="117"/>
        <v>#DIV/0!</v>
      </c>
      <c r="J97" s="7">
        <f t="shared" si="117"/>
        <v>-0.24544666088464875</v>
      </c>
      <c r="K97" s="7">
        <f>K95/K3</f>
        <v>0.5239310784939375</v>
      </c>
      <c r="L97" s="7" t="e">
        <f t="shared" ref="L97:Q97" si="118">L95/L3</f>
        <v>#DIV/0!</v>
      </c>
      <c r="M97" s="7" t="e">
        <f t="shared" si="118"/>
        <v>#DIV/0!</v>
      </c>
      <c r="N97" s="7" t="e">
        <f t="shared" si="118"/>
        <v>#DIV/0!</v>
      </c>
      <c r="O97" s="7" t="e">
        <f t="shared" si="118"/>
        <v>#DIV/0!</v>
      </c>
      <c r="P97" s="7" t="e">
        <f t="shared" si="118"/>
        <v>#DIV/0!</v>
      </c>
      <c r="Q97" s="7" t="e">
        <f t="shared" si="118"/>
        <v>#DIV/0!</v>
      </c>
      <c r="U97" s="7">
        <f t="shared" ref="U97:X97" si="119">U95/U3</f>
        <v>4.4517248024667569E-2</v>
      </c>
      <c r="V97" s="7">
        <f t="shared" si="119"/>
        <v>0.33213360207313564</v>
      </c>
      <c r="W97" s="7">
        <f t="shared" si="119"/>
        <v>-0.12031826120706385</v>
      </c>
      <c r="X97" s="7" t="e">
        <f t="shared" si="119"/>
        <v>#DIV/0!</v>
      </c>
    </row>
    <row r="98" spans="2:24" s="7" customFormat="1" x14ac:dyDescent="0.25">
      <c r="B98" s="7" t="s">
        <v>99</v>
      </c>
      <c r="G98" s="7" t="e">
        <f t="shared" ref="E98:J98" si="120">G95/C95-1</f>
        <v>#DIV/0!</v>
      </c>
      <c r="H98" s="7" t="e">
        <f t="shared" si="120"/>
        <v>#DIV/0!</v>
      </c>
      <c r="I98" s="7" t="e">
        <f t="shared" si="120"/>
        <v>#DIV/0!</v>
      </c>
      <c r="J98" s="7">
        <f t="shared" si="120"/>
        <v>0.521505376344086</v>
      </c>
      <c r="K98" s="7">
        <f>K95/G95-1</f>
        <v>-3.0171990171990171</v>
      </c>
      <c r="L98" s="7" t="e">
        <f t="shared" ref="L98:Q98" si="121">L95/H95-1</f>
        <v>#DIV/0!</v>
      </c>
      <c r="M98" s="7" t="e">
        <f t="shared" si="121"/>
        <v>#DIV/0!</v>
      </c>
      <c r="N98" s="7">
        <f t="shared" si="121"/>
        <v>-1</v>
      </c>
      <c r="O98" s="7">
        <f t="shared" si="121"/>
        <v>-1</v>
      </c>
      <c r="P98" s="7" t="e">
        <f t="shared" si="121"/>
        <v>#DIV/0!</v>
      </c>
      <c r="Q98" s="7" t="e">
        <f t="shared" si="121"/>
        <v>#DIV/0!</v>
      </c>
      <c r="V98" s="7">
        <f t="shared" ref="V98:X98" si="122">V95/U95-1</f>
        <v>2.329004329004329</v>
      </c>
      <c r="W98" s="7">
        <f t="shared" si="122"/>
        <v>-1.2687472908539228</v>
      </c>
      <c r="X98" s="7">
        <f>X95/W95-1</f>
        <v>-1</v>
      </c>
    </row>
    <row r="100" spans="2:24" x14ac:dyDescent="0.25">
      <c r="B100" s="1" t="s">
        <v>100</v>
      </c>
      <c r="C100" s="3">
        <f t="shared" ref="C100:K100" si="123">+C11+C69</f>
        <v>0</v>
      </c>
      <c r="D100" s="3">
        <f t="shared" si="123"/>
        <v>0</v>
      </c>
      <c r="E100" s="3">
        <f t="shared" si="123"/>
        <v>0</v>
      </c>
      <c r="F100" s="3">
        <f t="shared" si="123"/>
        <v>-73</v>
      </c>
      <c r="G100" s="3">
        <f t="shared" si="123"/>
        <v>-60</v>
      </c>
      <c r="H100" s="3">
        <f t="shared" si="123"/>
        <v>0</v>
      </c>
      <c r="I100" s="3">
        <f t="shared" si="123"/>
        <v>0</v>
      </c>
      <c r="J100" s="3">
        <f t="shared" si="123"/>
        <v>-46</v>
      </c>
      <c r="K100" s="3">
        <f>+K11+K69</f>
        <v>-1</v>
      </c>
      <c r="L100" s="3">
        <f t="shared" ref="L100:Q100" si="124">+L11+L69</f>
        <v>0</v>
      </c>
      <c r="M100" s="3">
        <f t="shared" si="124"/>
        <v>0</v>
      </c>
      <c r="N100" s="3">
        <f t="shared" si="124"/>
        <v>0</v>
      </c>
      <c r="O100" s="3">
        <f t="shared" si="124"/>
        <v>0</v>
      </c>
      <c r="P100" s="3">
        <f t="shared" si="124"/>
        <v>0</v>
      </c>
      <c r="Q100" s="3">
        <f t="shared" si="124"/>
        <v>0</v>
      </c>
      <c r="U100" s="3">
        <f t="shared" ref="U100:X100" si="125">+U11+U69</f>
        <v>-848</v>
      </c>
      <c r="V100" s="3">
        <f t="shared" si="125"/>
        <v>-321</v>
      </c>
      <c r="W100" s="3">
        <f t="shared" si="125"/>
        <v>-272</v>
      </c>
      <c r="X100" s="3">
        <f t="shared" si="125"/>
        <v>0</v>
      </c>
    </row>
    <row r="101" spans="2:24" s="6" customFormat="1" x14ac:dyDescent="0.25">
      <c r="B101" s="6" t="s">
        <v>102</v>
      </c>
      <c r="D101" s="6">
        <v>2.09</v>
      </c>
      <c r="E101" s="6">
        <v>3</v>
      </c>
      <c r="F101" s="6">
        <v>2.21</v>
      </c>
      <c r="G101" s="6">
        <v>1.86</v>
      </c>
      <c r="H101" s="6">
        <v>1.85</v>
      </c>
      <c r="I101" s="6">
        <v>1.34</v>
      </c>
      <c r="J101" s="6">
        <v>0.67079999999999995</v>
      </c>
      <c r="K101" s="6">
        <v>1.95</v>
      </c>
      <c r="U101" s="6">
        <v>1.6</v>
      </c>
      <c r="V101" s="6">
        <v>3</v>
      </c>
      <c r="W101" s="6">
        <f>I101</f>
        <v>1.34</v>
      </c>
    </row>
    <row r="102" spans="2:24" s="8" customFormat="1" x14ac:dyDescent="0.25">
      <c r="B102" s="8" t="s">
        <v>101</v>
      </c>
      <c r="C102" s="8" t="e">
        <f t="shared" ref="C102:J102" si="126">(C101*C18+C35)/C100</f>
        <v>#DIV/0!</v>
      </c>
      <c r="D102" s="8" t="e">
        <f t="shared" si="126"/>
        <v>#DIV/0!</v>
      </c>
      <c r="E102" s="8" t="e">
        <f t="shared" si="126"/>
        <v>#DIV/0!</v>
      </c>
      <c r="F102" s="8">
        <f t="shared" si="126"/>
        <v>-20.660684520547942</v>
      </c>
      <c r="G102" s="8">
        <f t="shared" si="126"/>
        <v>-21.496795000000002</v>
      </c>
      <c r="H102" s="8" t="e">
        <f t="shared" si="126"/>
        <v>#DIV/0!</v>
      </c>
      <c r="I102" s="8" t="e">
        <f t="shared" si="126"/>
        <v>#DIV/0!</v>
      </c>
      <c r="J102" s="8">
        <f t="shared" si="126"/>
        <v>32.166261443478263</v>
      </c>
      <c r="K102" s="8">
        <f>(K101*K18+K35)/K100</f>
        <v>-29.493799999999965</v>
      </c>
      <c r="L102" s="8" t="e">
        <f t="shared" ref="L102:Q102" si="127">(L101*L18+L35)/L100</f>
        <v>#DIV/0!</v>
      </c>
      <c r="M102" s="8" t="e">
        <f t="shared" si="127"/>
        <v>#DIV/0!</v>
      </c>
      <c r="N102" s="8" t="e">
        <f t="shared" si="127"/>
        <v>#DIV/0!</v>
      </c>
      <c r="O102" s="8" t="e">
        <f t="shared" si="127"/>
        <v>#DIV/0!</v>
      </c>
      <c r="P102" s="8" t="e">
        <f t="shared" si="127"/>
        <v>#DIV/0!</v>
      </c>
      <c r="Q102" s="8" t="e">
        <f t="shared" si="127"/>
        <v>#DIV/0!</v>
      </c>
      <c r="U102" s="8">
        <f t="shared" ref="U102" si="128">(U101*U18+U35)/U100</f>
        <v>-1.1832169811320756</v>
      </c>
      <c r="V102" s="8">
        <f t="shared" ref="V102" si="129">(V101*V18+V35)/V100</f>
        <v>-1.5898224299065422</v>
      </c>
      <c r="W102" s="8">
        <f t="shared" ref="W102" si="130">(W101*W18+W35)/W100</f>
        <v>2.5688515441176469</v>
      </c>
      <c r="X102" s="8" t="e">
        <f t="shared" ref="X102" si="131">(X101*X18+X35)/X100</f>
        <v>#DIV/0!</v>
      </c>
    </row>
    <row r="103" spans="2:24" s="7" customFormat="1" x14ac:dyDescent="0.25">
      <c r="B103" s="7" t="s">
        <v>103</v>
      </c>
      <c r="C103" s="7" t="e">
        <f t="shared" ref="C103:K103" si="132">C100/C3</f>
        <v>#DIV/0!</v>
      </c>
      <c r="D103" s="7" t="e">
        <f t="shared" si="132"/>
        <v>#DIV/0!</v>
      </c>
      <c r="E103" s="7" t="e">
        <f t="shared" si="132"/>
        <v>#DIV/0!</v>
      </c>
      <c r="F103" s="7">
        <f t="shared" si="132"/>
        <v>-6.1812023708721422E-2</v>
      </c>
      <c r="G103" s="7">
        <f t="shared" si="132"/>
        <v>-3.9708802117802783E-2</v>
      </c>
      <c r="H103" s="7" t="e">
        <f t="shared" si="132"/>
        <v>#DIV/0!</v>
      </c>
      <c r="I103" s="7" t="e">
        <f t="shared" si="132"/>
        <v>#DIV/0!</v>
      </c>
      <c r="J103" s="7">
        <f t="shared" si="132"/>
        <v>-3.9895923677363401E-2</v>
      </c>
      <c r="K103" s="7">
        <f>K100/K3</f>
        <v>-6.3816209317166565E-4</v>
      </c>
      <c r="L103" s="7" t="e">
        <f t="shared" ref="L103:Q103" si="133">L100/L3</f>
        <v>#DIV/0!</v>
      </c>
      <c r="M103" s="7" t="e">
        <f t="shared" si="133"/>
        <v>#DIV/0!</v>
      </c>
      <c r="N103" s="7" t="e">
        <f t="shared" si="133"/>
        <v>#DIV/0!</v>
      </c>
      <c r="O103" s="7" t="e">
        <f t="shared" si="133"/>
        <v>#DIV/0!</v>
      </c>
      <c r="P103" s="7" t="e">
        <f t="shared" si="133"/>
        <v>#DIV/0!</v>
      </c>
      <c r="Q103" s="7" t="e">
        <f t="shared" si="133"/>
        <v>#DIV/0!</v>
      </c>
      <c r="U103" s="7">
        <f t="shared" ref="U103:X103" si="134">U100/U3</f>
        <v>-5.4474208261065075E-2</v>
      </c>
      <c r="V103" s="7">
        <f t="shared" si="134"/>
        <v>-4.6213648142816012E-2</v>
      </c>
      <c r="W103" s="7">
        <f t="shared" si="134"/>
        <v>-5.2784785561808656E-2</v>
      </c>
      <c r="X103" s="7" t="e">
        <f t="shared" si="134"/>
        <v>#DIV/0!</v>
      </c>
    </row>
    <row r="104" spans="2:24" s="7" customFormat="1" x14ac:dyDescent="0.25">
      <c r="B104" s="7" t="s">
        <v>104</v>
      </c>
      <c r="G104" s="7" t="e">
        <f t="shared" ref="G104:J104" si="135">G100/C100-1</f>
        <v>#DIV/0!</v>
      </c>
      <c r="H104" s="7" t="e">
        <f t="shared" si="135"/>
        <v>#DIV/0!</v>
      </c>
      <c r="I104" s="7" t="e">
        <f t="shared" si="135"/>
        <v>#DIV/0!</v>
      </c>
      <c r="J104" s="7">
        <f t="shared" si="135"/>
        <v>-0.36986301369863017</v>
      </c>
      <c r="K104" s="7">
        <f>K100/G100-1</f>
        <v>-0.98333333333333328</v>
      </c>
      <c r="L104" s="7" t="e">
        <f t="shared" ref="L104:Q104" si="136">L100/H100-1</f>
        <v>#DIV/0!</v>
      </c>
      <c r="M104" s="7" t="e">
        <f t="shared" si="136"/>
        <v>#DIV/0!</v>
      </c>
      <c r="N104" s="7">
        <f t="shared" si="136"/>
        <v>-1</v>
      </c>
      <c r="O104" s="7">
        <f t="shared" si="136"/>
        <v>-1</v>
      </c>
      <c r="P104" s="7" t="e">
        <f t="shared" si="136"/>
        <v>#DIV/0!</v>
      </c>
      <c r="Q104" s="7" t="e">
        <f t="shared" si="136"/>
        <v>#DIV/0!</v>
      </c>
      <c r="V104" s="7">
        <f t="shared" ref="V104:X104" si="137">V100/U100-1</f>
        <v>-0.62146226415094341</v>
      </c>
      <c r="W104" s="7">
        <f t="shared" si="137"/>
        <v>-0.15264797507788164</v>
      </c>
      <c r="X104" s="7">
        <f>X100/W100-1</f>
        <v>-1</v>
      </c>
    </row>
  </sheetData>
  <phoneticPr fontId="4" type="noConversion"/>
  <hyperlinks>
    <hyperlink ref="A1" location="Main!A1" display="Main" xr:uid="{86081B66-C0F7-449F-99DB-6C546667FCE2}"/>
  </hyperlinks>
  <pageMargins left="0.7" right="0.7" top="0.75" bottom="0.75" header="0.3" footer="0.3"/>
  <ignoredErrors>
    <ignoredError sqref="C60:J61 L60:Q61" evalError="1"/>
    <ignoredError sqref="K60:K61" evalError="1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2025-09-28T14:43:05Z</dcterms:modified>
</cp:coreProperties>
</file>