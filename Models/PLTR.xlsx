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C877C4DD-0DCD-4CF8-BAFD-C54B0B01BF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59" i="2" l="1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U158" i="2"/>
  <c r="T158" i="2"/>
  <c r="S158" i="2"/>
  <c r="R158" i="2"/>
  <c r="Q158" i="2"/>
  <c r="P158" i="2"/>
  <c r="O158" i="2"/>
  <c r="N158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V159" i="2"/>
  <c r="V158" i="2"/>
  <c r="V157" i="2"/>
  <c r="W156" i="2"/>
  <c r="X156" i="2"/>
  <c r="Y156" i="2"/>
  <c r="Z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V156" i="2"/>
  <c r="AI100" i="2"/>
  <c r="AH100" i="2"/>
  <c r="AG100" i="2"/>
  <c r="AF100" i="2"/>
  <c r="AE100" i="2"/>
  <c r="AD100" i="2"/>
  <c r="AC100" i="2"/>
  <c r="AL100" i="2"/>
  <c r="AK100" i="2"/>
  <c r="AJ100" i="2"/>
  <c r="J9" i="1"/>
  <c r="J7" i="1"/>
  <c r="J8" i="1" s="1"/>
  <c r="AL99" i="2"/>
  <c r="AK99" i="2"/>
  <c r="AI99" i="2"/>
  <c r="AH99" i="2"/>
  <c r="AG99" i="2"/>
  <c r="AF99" i="2"/>
  <c r="AE99" i="2"/>
  <c r="AD99" i="2"/>
  <c r="AC99" i="2"/>
  <c r="AJ99" i="2"/>
  <c r="AM150" i="2"/>
  <c r="AL150" i="2"/>
  <c r="AK150" i="2"/>
  <c r="AJ150" i="2"/>
  <c r="AM149" i="2"/>
  <c r="AL149" i="2"/>
  <c r="AK149" i="2"/>
  <c r="AJ149" i="2"/>
  <c r="AM148" i="2"/>
  <c r="AL148" i="2"/>
  <c r="AK148" i="2"/>
  <c r="AJ148" i="2"/>
  <c r="AM147" i="2"/>
  <c r="AL147" i="2"/>
  <c r="AK147" i="2"/>
  <c r="AJ147" i="2"/>
  <c r="AM146" i="2"/>
  <c r="AL146" i="2"/>
  <c r="AK146" i="2"/>
  <c r="AJ146" i="2"/>
  <c r="AM145" i="2"/>
  <c r="AM152" i="2" s="1"/>
  <c r="AM153" i="2" s="1"/>
  <c r="AL145" i="2"/>
  <c r="AL152" i="2" s="1"/>
  <c r="AL153" i="2" s="1"/>
  <c r="AK145" i="2"/>
  <c r="AK152" i="2" s="1"/>
  <c r="AK153" i="2" s="1"/>
  <c r="AJ145" i="2"/>
  <c r="AJ152" i="2" s="1"/>
  <c r="AJ153" i="2" s="1"/>
  <c r="V135" i="2"/>
  <c r="AL31" i="2"/>
  <c r="AL17" i="2"/>
  <c r="AL24" i="2"/>
  <c r="AK24" i="2"/>
  <c r="AL113" i="2"/>
  <c r="AK113" i="2"/>
  <c r="AJ113" i="2"/>
  <c r="AL112" i="2"/>
  <c r="AK112" i="2"/>
  <c r="AJ112" i="2"/>
  <c r="AL110" i="2"/>
  <c r="AK110" i="2"/>
  <c r="AJ110" i="2"/>
  <c r="AL109" i="2"/>
  <c r="AK109" i="2"/>
  <c r="AJ109" i="2"/>
  <c r="AL107" i="2"/>
  <c r="AK107" i="2"/>
  <c r="AJ107" i="2"/>
  <c r="AL104" i="2"/>
  <c r="AL116" i="2" s="1"/>
  <c r="AK104" i="2"/>
  <c r="AK115" i="2" s="1"/>
  <c r="AJ104" i="2"/>
  <c r="AJ115" i="2" s="1"/>
  <c r="AL98" i="2"/>
  <c r="AK98" i="2"/>
  <c r="AJ98" i="2"/>
  <c r="V81" i="2"/>
  <c r="V98" i="2"/>
  <c r="AJ85" i="2"/>
  <c r="AJ86" i="2"/>
  <c r="AL59" i="2"/>
  <c r="AK59" i="2"/>
  <c r="AJ59" i="2"/>
  <c r="AL53" i="2"/>
  <c r="AK53" i="2"/>
  <c r="AJ53" i="2"/>
  <c r="AL43" i="2"/>
  <c r="AK43" i="2"/>
  <c r="AJ43" i="2"/>
  <c r="AL35" i="2"/>
  <c r="AK35" i="2"/>
  <c r="AJ35" i="2"/>
  <c r="AJ31" i="2"/>
  <c r="AL25" i="2"/>
  <c r="AK25" i="2"/>
  <c r="AJ16" i="2"/>
  <c r="AJ14" i="2"/>
  <c r="AJ12" i="2"/>
  <c r="AJ11" i="2"/>
  <c r="AJ8" i="2"/>
  <c r="AJ7" i="2"/>
  <c r="AJ6" i="2"/>
  <c r="AJ4" i="2"/>
  <c r="AJ9" i="2"/>
  <c r="AJ3" i="2"/>
  <c r="AK31" i="2" s="1"/>
  <c r="AL91" i="2"/>
  <c r="AK91" i="2"/>
  <c r="AK93" i="2" s="1"/>
  <c r="AJ91" i="2"/>
  <c r="AL86" i="2"/>
  <c r="AK86" i="2"/>
  <c r="AL81" i="2"/>
  <c r="AL97" i="2" s="1"/>
  <c r="AK81" i="2"/>
  <c r="AK97" i="2" s="1"/>
  <c r="AJ81" i="2"/>
  <c r="AJ97" i="2" s="1"/>
  <c r="U81" i="2"/>
  <c r="U98" i="2"/>
  <c r="U43" i="2"/>
  <c r="Z150" i="2"/>
  <c r="Y150" i="2"/>
  <c r="X150" i="2"/>
  <c r="W150" i="2"/>
  <c r="V150" i="2"/>
  <c r="U150" i="2"/>
  <c r="Z149" i="2"/>
  <c r="Y149" i="2"/>
  <c r="X149" i="2"/>
  <c r="W149" i="2"/>
  <c r="V149" i="2"/>
  <c r="U149" i="2"/>
  <c r="Z148" i="2"/>
  <c r="Y148" i="2"/>
  <c r="X148" i="2"/>
  <c r="W148" i="2"/>
  <c r="V148" i="2"/>
  <c r="U148" i="2"/>
  <c r="Z147" i="2"/>
  <c r="Y147" i="2"/>
  <c r="X147" i="2"/>
  <c r="W147" i="2"/>
  <c r="V147" i="2"/>
  <c r="U147" i="2"/>
  <c r="Z146" i="2"/>
  <c r="Y146" i="2"/>
  <c r="X146" i="2"/>
  <c r="W146" i="2"/>
  <c r="V146" i="2"/>
  <c r="U146" i="2"/>
  <c r="Z141" i="2"/>
  <c r="Y141" i="2"/>
  <c r="X141" i="2"/>
  <c r="W141" i="2"/>
  <c r="V141" i="2"/>
  <c r="U141" i="2"/>
  <c r="Z136" i="2"/>
  <c r="Y136" i="2"/>
  <c r="X136" i="2"/>
  <c r="U136" i="2"/>
  <c r="Z135" i="2"/>
  <c r="Y135" i="2"/>
  <c r="X135" i="2"/>
  <c r="W135" i="2"/>
  <c r="U135" i="2"/>
  <c r="Z130" i="2"/>
  <c r="Y130" i="2"/>
  <c r="X130" i="2"/>
  <c r="W130" i="2"/>
  <c r="V130" i="2"/>
  <c r="Z129" i="2"/>
  <c r="Y129" i="2"/>
  <c r="X129" i="2"/>
  <c r="W129" i="2"/>
  <c r="Z128" i="2"/>
  <c r="X128" i="2"/>
  <c r="W128" i="2"/>
  <c r="V128" i="2"/>
  <c r="Z126" i="2"/>
  <c r="Y126" i="2"/>
  <c r="X126" i="2"/>
  <c r="W126" i="2"/>
  <c r="U126" i="2"/>
  <c r="Z125" i="2"/>
  <c r="Y125" i="2"/>
  <c r="X125" i="2"/>
  <c r="W125" i="2"/>
  <c r="U125" i="2"/>
  <c r="Z124" i="2"/>
  <c r="Y124" i="2"/>
  <c r="X124" i="2"/>
  <c r="W124" i="2"/>
  <c r="U124" i="2"/>
  <c r="Z122" i="2"/>
  <c r="Y122" i="2"/>
  <c r="Y128" i="2" s="1"/>
  <c r="X122" i="2"/>
  <c r="W122" i="2"/>
  <c r="V122" i="2"/>
  <c r="V129" i="2" s="1"/>
  <c r="U122" i="2"/>
  <c r="U130" i="2" s="1"/>
  <c r="W115" i="2"/>
  <c r="Z113" i="2"/>
  <c r="Y113" i="2"/>
  <c r="X113" i="2"/>
  <c r="W113" i="2"/>
  <c r="U113" i="2"/>
  <c r="Z112" i="2"/>
  <c r="Y112" i="2"/>
  <c r="X112" i="2"/>
  <c r="W112" i="2"/>
  <c r="U112" i="2"/>
  <c r="Z110" i="2"/>
  <c r="Y110" i="2"/>
  <c r="X110" i="2"/>
  <c r="W110" i="2"/>
  <c r="V110" i="2"/>
  <c r="U110" i="2"/>
  <c r="Z109" i="2"/>
  <c r="Y109" i="2"/>
  <c r="X109" i="2"/>
  <c r="W109" i="2"/>
  <c r="V109" i="2"/>
  <c r="U109" i="2"/>
  <c r="Z107" i="2"/>
  <c r="Y107" i="2"/>
  <c r="X107" i="2"/>
  <c r="W107" i="2"/>
  <c r="V107" i="2"/>
  <c r="U107" i="2"/>
  <c r="Z104" i="2"/>
  <c r="Z115" i="2" s="1"/>
  <c r="Y104" i="2"/>
  <c r="Y115" i="2" s="1"/>
  <c r="X104" i="2"/>
  <c r="X115" i="2" s="1"/>
  <c r="W104" i="2"/>
  <c r="W116" i="2" s="1"/>
  <c r="V104" i="2"/>
  <c r="V115" i="2" s="1"/>
  <c r="U104" i="2"/>
  <c r="U115" i="2" s="1"/>
  <c r="Z98" i="2"/>
  <c r="Y98" i="2"/>
  <c r="X98" i="2"/>
  <c r="W98" i="2"/>
  <c r="Z91" i="2"/>
  <c r="Y91" i="2"/>
  <c r="X91" i="2"/>
  <c r="W91" i="2"/>
  <c r="V91" i="2"/>
  <c r="U91" i="2"/>
  <c r="Z86" i="2"/>
  <c r="Y86" i="2"/>
  <c r="X86" i="2"/>
  <c r="W86" i="2"/>
  <c r="V86" i="2"/>
  <c r="U86" i="2"/>
  <c r="Z81" i="2"/>
  <c r="Z93" i="2" s="1"/>
  <c r="Y81" i="2"/>
  <c r="X81" i="2"/>
  <c r="X93" i="2" s="1"/>
  <c r="W81" i="2"/>
  <c r="W93" i="2" s="1"/>
  <c r="Z59" i="2"/>
  <c r="Y59" i="2"/>
  <c r="X59" i="2"/>
  <c r="W59" i="2"/>
  <c r="V59" i="2"/>
  <c r="U59" i="2"/>
  <c r="Z53" i="2"/>
  <c r="Z60" i="2" s="1"/>
  <c r="Y53" i="2"/>
  <c r="Y60" i="2" s="1"/>
  <c r="X53" i="2"/>
  <c r="X60" i="2" s="1"/>
  <c r="W53" i="2"/>
  <c r="W60" i="2" s="1"/>
  <c r="V53" i="2"/>
  <c r="U53" i="2"/>
  <c r="Z43" i="2"/>
  <c r="Y43" i="2"/>
  <c r="X43" i="2"/>
  <c r="W43" i="2"/>
  <c r="V43" i="2"/>
  <c r="Z35" i="2"/>
  <c r="Y35" i="2"/>
  <c r="X35" i="2"/>
  <c r="W35" i="2"/>
  <c r="V35" i="2"/>
  <c r="Z31" i="2"/>
  <c r="Y31" i="2"/>
  <c r="X31" i="2"/>
  <c r="W31" i="2"/>
  <c r="V31" i="2"/>
  <c r="U31" i="2"/>
  <c r="Z25" i="2"/>
  <c r="Y25" i="2"/>
  <c r="X25" i="2"/>
  <c r="Y24" i="2"/>
  <c r="X24" i="2"/>
  <c r="Z23" i="2"/>
  <c r="Y23" i="2"/>
  <c r="X23" i="2"/>
  <c r="W23" i="2"/>
  <c r="V23" i="2"/>
  <c r="U23" i="2"/>
  <c r="Z9" i="2"/>
  <c r="Z10" i="2" s="1"/>
  <c r="Y9" i="2"/>
  <c r="Y10" i="2" s="1"/>
  <c r="X9" i="2"/>
  <c r="X10" i="2" s="1"/>
  <c r="W9" i="2"/>
  <c r="V9" i="2"/>
  <c r="V10" i="2" s="1"/>
  <c r="V13" i="2" s="1"/>
  <c r="V15" i="2" s="1"/>
  <c r="V17" i="2" s="1"/>
  <c r="V19" i="2" s="1"/>
  <c r="Z5" i="2"/>
  <c r="Z22" i="2" s="1"/>
  <c r="Y5" i="2"/>
  <c r="Y22" i="2" s="1"/>
  <c r="X5" i="2"/>
  <c r="X22" i="2" s="1"/>
  <c r="W5" i="2"/>
  <c r="W22" i="2" s="1"/>
  <c r="V5" i="2"/>
  <c r="V22" i="2" s="1"/>
  <c r="U9" i="2"/>
  <c r="U5" i="2"/>
  <c r="U10" i="2" s="1"/>
  <c r="U13" i="2" s="1"/>
  <c r="U15" i="2" s="1"/>
  <c r="U17" i="2" s="1"/>
  <c r="U19" i="2" s="1"/>
  <c r="V136" i="2" l="1"/>
  <c r="W136" i="2"/>
  <c r="W24" i="2"/>
  <c r="W10" i="2"/>
  <c r="W27" i="2" s="1"/>
  <c r="AK22" i="2"/>
  <c r="AL22" i="2"/>
  <c r="AK23" i="2"/>
  <c r="AL23" i="2"/>
  <c r="X13" i="2"/>
  <c r="X26" i="2"/>
  <c r="X27" i="2"/>
  <c r="Y13" i="2"/>
  <c r="Y26" i="2"/>
  <c r="Y27" i="2"/>
  <c r="Z13" i="2"/>
  <c r="Z26" i="2"/>
  <c r="Z27" i="2"/>
  <c r="V116" i="2"/>
  <c r="AJ5" i="2"/>
  <c r="Y93" i="2"/>
  <c r="Y116" i="2"/>
  <c r="X97" i="2"/>
  <c r="AL115" i="2"/>
  <c r="AJ116" i="2"/>
  <c r="Z24" i="2"/>
  <c r="AJ60" i="2"/>
  <c r="AK116" i="2"/>
  <c r="X116" i="2"/>
  <c r="Z116" i="2"/>
  <c r="U25" i="2"/>
  <c r="U60" i="2"/>
  <c r="AL93" i="2"/>
  <c r="AK60" i="2"/>
  <c r="W25" i="2"/>
  <c r="V60" i="2"/>
  <c r="AL60" i="2"/>
  <c r="V93" i="2"/>
  <c r="AJ93" i="2"/>
  <c r="V29" i="2"/>
  <c r="V27" i="2"/>
  <c r="V145" i="2"/>
  <c r="V152" i="2" s="1"/>
  <c r="V153" i="2" s="1"/>
  <c r="V25" i="2"/>
  <c r="V28" i="2"/>
  <c r="V26" i="2"/>
  <c r="V64" i="2"/>
  <c r="V24" i="2"/>
  <c r="U129" i="2"/>
  <c r="U128" i="2"/>
  <c r="U116" i="2"/>
  <c r="U93" i="2"/>
  <c r="U35" i="2"/>
  <c r="U29" i="2"/>
  <c r="U64" i="2"/>
  <c r="U27" i="2"/>
  <c r="U145" i="2"/>
  <c r="U152" i="2" s="1"/>
  <c r="U153" i="2" s="1"/>
  <c r="U22" i="2"/>
  <c r="U24" i="2"/>
  <c r="U26" i="2"/>
  <c r="U28" i="2"/>
  <c r="U97" i="2"/>
  <c r="V97" i="2"/>
  <c r="W97" i="2"/>
  <c r="Y97" i="2"/>
  <c r="Z97" i="2"/>
  <c r="AE52" i="2"/>
  <c r="AE53" i="2" s="1"/>
  <c r="AE36" i="2"/>
  <c r="AE43" i="2" s="1"/>
  <c r="AC146" i="2"/>
  <c r="AD146" i="2"/>
  <c r="AC148" i="2"/>
  <c r="AD148" i="2"/>
  <c r="AC149" i="2"/>
  <c r="AD149" i="2"/>
  <c r="AC150" i="2"/>
  <c r="AD150" i="2"/>
  <c r="AE126" i="2"/>
  <c r="AE125" i="2"/>
  <c r="AD125" i="2"/>
  <c r="AE124" i="2"/>
  <c r="AD124" i="2"/>
  <c r="AF126" i="2"/>
  <c r="AC121" i="2"/>
  <c r="AD126" i="2" s="1"/>
  <c r="AD121" i="2"/>
  <c r="AD122" i="2" s="1"/>
  <c r="AD130" i="2" s="1"/>
  <c r="AE113" i="2"/>
  <c r="AD113" i="2"/>
  <c r="AE112" i="2"/>
  <c r="AD112" i="2"/>
  <c r="AC106" i="2"/>
  <c r="AC110" i="2" s="1"/>
  <c r="AC105" i="2"/>
  <c r="AC109" i="2" s="1"/>
  <c r="AD106" i="2"/>
  <c r="AD110" i="2" s="1"/>
  <c r="AD105" i="2"/>
  <c r="AD109" i="2" s="1"/>
  <c r="AD104" i="2"/>
  <c r="AD115" i="2" s="1"/>
  <c r="AC104" i="2"/>
  <c r="AC115" i="2" s="1"/>
  <c r="AD98" i="2"/>
  <c r="AC98" i="2"/>
  <c r="AC90" i="2"/>
  <c r="AC91" i="2" s="1"/>
  <c r="AD90" i="2"/>
  <c r="AD91" i="2" s="1"/>
  <c r="AC75" i="2"/>
  <c r="AD75" i="2"/>
  <c r="AC71" i="2"/>
  <c r="AD71" i="2"/>
  <c r="AD69" i="2"/>
  <c r="AD86" i="2"/>
  <c r="AC86" i="2"/>
  <c r="AE31" i="2"/>
  <c r="AD31" i="2"/>
  <c r="AC12" i="2"/>
  <c r="AD12" i="2"/>
  <c r="AD147" i="2" s="1"/>
  <c r="AD9" i="2"/>
  <c r="AC9" i="2"/>
  <c r="AD5" i="2"/>
  <c r="AD25" i="2" s="1"/>
  <c r="AC5" i="2"/>
  <c r="AC25" i="2" s="1"/>
  <c r="AC55" i="2"/>
  <c r="AC59" i="2" s="1"/>
  <c r="AD55" i="2"/>
  <c r="AD59" i="2" s="1"/>
  <c r="AC52" i="2"/>
  <c r="AC49" i="2"/>
  <c r="AD52" i="2"/>
  <c r="AD49" i="2"/>
  <c r="AC36" i="2"/>
  <c r="AC35" i="2" s="1"/>
  <c r="AD36" i="2"/>
  <c r="AD43" i="2" s="1"/>
  <c r="AE59" i="2"/>
  <c r="K9" i="2"/>
  <c r="G141" i="2"/>
  <c r="F140" i="2"/>
  <c r="J140" i="2"/>
  <c r="AF150" i="2"/>
  <c r="AE150" i="2"/>
  <c r="AF149" i="2"/>
  <c r="AE149" i="2"/>
  <c r="AF148" i="2"/>
  <c r="AE148" i="2"/>
  <c r="AF146" i="2"/>
  <c r="AE146" i="2"/>
  <c r="AF125" i="2"/>
  <c r="AF124" i="2"/>
  <c r="AF122" i="2"/>
  <c r="AF130" i="2" s="1"/>
  <c r="AE122" i="2"/>
  <c r="AE128" i="2" s="1"/>
  <c r="AG113" i="2"/>
  <c r="AF113" i="2"/>
  <c r="AG112" i="2"/>
  <c r="AF112" i="2"/>
  <c r="AE106" i="2"/>
  <c r="AE105" i="2"/>
  <c r="AE109" i="2" s="1"/>
  <c r="AF106" i="2"/>
  <c r="AF110" i="2" s="1"/>
  <c r="AF105" i="2"/>
  <c r="AF109" i="2" s="1"/>
  <c r="AF104" i="2"/>
  <c r="AF116" i="2" s="1"/>
  <c r="AE104" i="2"/>
  <c r="AE116" i="2" s="1"/>
  <c r="AE90" i="2"/>
  <c r="AE91" i="2" s="1"/>
  <c r="AF90" i="2"/>
  <c r="AF91" i="2" s="1"/>
  <c r="AF85" i="2"/>
  <c r="AF86" i="2" s="1"/>
  <c r="AE71" i="2"/>
  <c r="AE81" i="2" s="1"/>
  <c r="AE97" i="2" s="1"/>
  <c r="AF71" i="2"/>
  <c r="AF81" i="2" s="1"/>
  <c r="AF97" i="2" s="1"/>
  <c r="AF98" i="2"/>
  <c r="AE98" i="2"/>
  <c r="AE86" i="2"/>
  <c r="AF59" i="2"/>
  <c r="AF53" i="2"/>
  <c r="AF36" i="2"/>
  <c r="AF43" i="2" s="1"/>
  <c r="AG59" i="2"/>
  <c r="AG53" i="2"/>
  <c r="AG36" i="2"/>
  <c r="AG43" i="2" s="1"/>
  <c r="AG31" i="2"/>
  <c r="AF31" i="2"/>
  <c r="AE12" i="2"/>
  <c r="AE147" i="2" s="1"/>
  <c r="AF12" i="2"/>
  <c r="AF147" i="2" s="1"/>
  <c r="AF9" i="2"/>
  <c r="AE9" i="2"/>
  <c r="AF5" i="2"/>
  <c r="AF24" i="2" s="1"/>
  <c r="AE5" i="2"/>
  <c r="F36" i="2"/>
  <c r="F43" i="2" s="1"/>
  <c r="J36" i="2"/>
  <c r="J43" i="2" s="1"/>
  <c r="J150" i="2"/>
  <c r="I150" i="2"/>
  <c r="H150" i="2"/>
  <c r="G150" i="2"/>
  <c r="F150" i="2"/>
  <c r="E150" i="2"/>
  <c r="D150" i="2"/>
  <c r="C150" i="2"/>
  <c r="J149" i="2"/>
  <c r="I149" i="2"/>
  <c r="H149" i="2"/>
  <c r="G149" i="2"/>
  <c r="F149" i="2"/>
  <c r="E149" i="2"/>
  <c r="D149" i="2"/>
  <c r="C149" i="2"/>
  <c r="J148" i="2"/>
  <c r="I148" i="2"/>
  <c r="H148" i="2"/>
  <c r="G148" i="2"/>
  <c r="F148" i="2"/>
  <c r="E148" i="2"/>
  <c r="D148" i="2"/>
  <c r="C148" i="2"/>
  <c r="J147" i="2"/>
  <c r="I147" i="2"/>
  <c r="H147" i="2"/>
  <c r="G147" i="2"/>
  <c r="F147" i="2"/>
  <c r="E147" i="2"/>
  <c r="D147" i="2"/>
  <c r="C147" i="2"/>
  <c r="J146" i="2"/>
  <c r="I146" i="2"/>
  <c r="H146" i="2"/>
  <c r="G146" i="2"/>
  <c r="F146" i="2"/>
  <c r="E146" i="2"/>
  <c r="D146" i="2"/>
  <c r="C146" i="2"/>
  <c r="N135" i="2"/>
  <c r="M135" i="2"/>
  <c r="L135" i="2"/>
  <c r="K135" i="2"/>
  <c r="J135" i="2"/>
  <c r="I135" i="2"/>
  <c r="H135" i="2"/>
  <c r="G135" i="2"/>
  <c r="K136" i="2"/>
  <c r="J136" i="2"/>
  <c r="I136" i="2"/>
  <c r="H136" i="2"/>
  <c r="G136" i="2"/>
  <c r="F136" i="2"/>
  <c r="E136" i="2"/>
  <c r="D136" i="2"/>
  <c r="K141" i="2"/>
  <c r="J141" i="2"/>
  <c r="I141" i="2"/>
  <c r="H141" i="2"/>
  <c r="F141" i="2"/>
  <c r="E141" i="2"/>
  <c r="D141" i="2"/>
  <c r="M126" i="2"/>
  <c r="L126" i="2"/>
  <c r="J126" i="2"/>
  <c r="I126" i="2"/>
  <c r="H126" i="2"/>
  <c r="G126" i="2"/>
  <c r="M125" i="2"/>
  <c r="L125" i="2"/>
  <c r="J125" i="2"/>
  <c r="I125" i="2"/>
  <c r="H125" i="2"/>
  <c r="G125" i="2"/>
  <c r="M124" i="2"/>
  <c r="L124" i="2"/>
  <c r="K124" i="2"/>
  <c r="J124" i="2"/>
  <c r="I124" i="2"/>
  <c r="H124" i="2"/>
  <c r="G124" i="2"/>
  <c r="J122" i="2"/>
  <c r="J129" i="2" s="1"/>
  <c r="I122" i="2"/>
  <c r="I129" i="2" s="1"/>
  <c r="H122" i="2"/>
  <c r="H129" i="2" s="1"/>
  <c r="G122" i="2"/>
  <c r="G128" i="2" s="1"/>
  <c r="F122" i="2"/>
  <c r="F128" i="2" s="1"/>
  <c r="E122" i="2"/>
  <c r="E128" i="2" s="1"/>
  <c r="D122" i="2"/>
  <c r="D130" i="2" s="1"/>
  <c r="C122" i="2"/>
  <c r="C130" i="2" s="1"/>
  <c r="M113" i="2"/>
  <c r="L113" i="2"/>
  <c r="K113" i="2"/>
  <c r="J113" i="2"/>
  <c r="I113" i="2"/>
  <c r="H113" i="2"/>
  <c r="G113" i="2"/>
  <c r="M112" i="2"/>
  <c r="L112" i="2"/>
  <c r="K112" i="2"/>
  <c r="J112" i="2"/>
  <c r="I112" i="2"/>
  <c r="H112" i="2"/>
  <c r="G112" i="2"/>
  <c r="J110" i="2"/>
  <c r="I110" i="2"/>
  <c r="H110" i="2"/>
  <c r="G110" i="2"/>
  <c r="F110" i="2"/>
  <c r="E110" i="2"/>
  <c r="D110" i="2"/>
  <c r="C110" i="2"/>
  <c r="J109" i="2"/>
  <c r="I109" i="2"/>
  <c r="H109" i="2"/>
  <c r="G109" i="2"/>
  <c r="F109" i="2"/>
  <c r="E109" i="2"/>
  <c r="D109" i="2"/>
  <c r="C109" i="2"/>
  <c r="J104" i="2"/>
  <c r="J116" i="2" s="1"/>
  <c r="I104" i="2"/>
  <c r="I116" i="2" s="1"/>
  <c r="H104" i="2"/>
  <c r="H116" i="2" s="1"/>
  <c r="G104" i="2"/>
  <c r="G115" i="2" s="1"/>
  <c r="F104" i="2"/>
  <c r="F115" i="2" s="1"/>
  <c r="E104" i="2"/>
  <c r="E115" i="2" s="1"/>
  <c r="D104" i="2"/>
  <c r="D115" i="2" s="1"/>
  <c r="C104" i="2"/>
  <c r="C115" i="2" s="1"/>
  <c r="J107" i="2"/>
  <c r="I107" i="2"/>
  <c r="H107" i="2"/>
  <c r="G107" i="2"/>
  <c r="F107" i="2"/>
  <c r="E107" i="2"/>
  <c r="D107" i="2"/>
  <c r="C107" i="2"/>
  <c r="J98" i="2"/>
  <c r="I98" i="2"/>
  <c r="H98" i="2"/>
  <c r="G98" i="2"/>
  <c r="F98" i="2"/>
  <c r="E98" i="2"/>
  <c r="D98" i="2"/>
  <c r="C98" i="2"/>
  <c r="J91" i="2"/>
  <c r="I91" i="2"/>
  <c r="H91" i="2"/>
  <c r="G91" i="2"/>
  <c r="F91" i="2"/>
  <c r="E91" i="2"/>
  <c r="D91" i="2"/>
  <c r="C91" i="2"/>
  <c r="J86" i="2"/>
  <c r="I86" i="2"/>
  <c r="H86" i="2"/>
  <c r="G86" i="2"/>
  <c r="F86" i="2"/>
  <c r="E86" i="2"/>
  <c r="D86" i="2"/>
  <c r="C86" i="2"/>
  <c r="J81" i="2"/>
  <c r="J97" i="2" s="1"/>
  <c r="I81" i="2"/>
  <c r="H81" i="2"/>
  <c r="G81" i="2"/>
  <c r="G97" i="2" s="1"/>
  <c r="F81" i="2"/>
  <c r="E81" i="2"/>
  <c r="D81" i="2"/>
  <c r="C81" i="2"/>
  <c r="J59" i="2"/>
  <c r="I59" i="2"/>
  <c r="H59" i="2"/>
  <c r="G59" i="2"/>
  <c r="F59" i="2"/>
  <c r="J53" i="2"/>
  <c r="I53" i="2"/>
  <c r="H53" i="2"/>
  <c r="G53" i="2"/>
  <c r="F53" i="2"/>
  <c r="I43" i="2"/>
  <c r="H43" i="2"/>
  <c r="G43" i="2"/>
  <c r="I35" i="2"/>
  <c r="H35" i="2"/>
  <c r="G35" i="2"/>
  <c r="M31" i="2"/>
  <c r="L31" i="2"/>
  <c r="K31" i="2"/>
  <c r="J31" i="2"/>
  <c r="I31" i="2"/>
  <c r="H31" i="2"/>
  <c r="G31" i="2"/>
  <c r="J5" i="2"/>
  <c r="J23" i="2" s="1"/>
  <c r="I5" i="2"/>
  <c r="I23" i="2" s="1"/>
  <c r="H5" i="2"/>
  <c r="H23" i="2" s="1"/>
  <c r="G5" i="2"/>
  <c r="G23" i="2" s="1"/>
  <c r="F5" i="2"/>
  <c r="F23" i="2" s="1"/>
  <c r="E5" i="2"/>
  <c r="E23" i="2" s="1"/>
  <c r="D5" i="2"/>
  <c r="D23" i="2" s="1"/>
  <c r="C5" i="2"/>
  <c r="C25" i="2" s="1"/>
  <c r="O141" i="2"/>
  <c r="N141" i="2"/>
  <c r="M141" i="2"/>
  <c r="L141" i="2"/>
  <c r="AH59" i="2"/>
  <c r="AH53" i="2"/>
  <c r="AH43" i="2"/>
  <c r="AH35" i="2"/>
  <c r="AI59" i="2"/>
  <c r="AI53" i="2"/>
  <c r="AI43" i="2"/>
  <c r="AI35" i="2"/>
  <c r="P141" i="2"/>
  <c r="Q141" i="2"/>
  <c r="N119" i="2"/>
  <c r="N124" i="2" s="1"/>
  <c r="K120" i="2"/>
  <c r="K121" i="2" s="1"/>
  <c r="K126" i="2" s="1"/>
  <c r="N103" i="2"/>
  <c r="N113" i="2" s="1"/>
  <c r="N102" i="2"/>
  <c r="K106" i="2"/>
  <c r="K110" i="2" s="1"/>
  <c r="K105" i="2"/>
  <c r="L91" i="2"/>
  <c r="N16" i="2"/>
  <c r="N14" i="2"/>
  <c r="N12" i="2"/>
  <c r="N147" i="2" s="1"/>
  <c r="N11" i="2"/>
  <c r="N146" i="2" s="1"/>
  <c r="N8" i="2"/>
  <c r="N7" i="2"/>
  <c r="N6" i="2"/>
  <c r="N4" i="2"/>
  <c r="N3" i="2"/>
  <c r="R31" i="2" s="1"/>
  <c r="K151" i="2"/>
  <c r="L106" i="2"/>
  <c r="L110" i="2" s="1"/>
  <c r="L105" i="2"/>
  <c r="M91" i="2"/>
  <c r="M86" i="2"/>
  <c r="M81" i="2"/>
  <c r="O135" i="2"/>
  <c r="N136" i="2"/>
  <c r="M136" i="2"/>
  <c r="L136" i="2"/>
  <c r="R119" i="2"/>
  <c r="V124" i="2" s="1"/>
  <c r="R121" i="2"/>
  <c r="V126" i="2" s="1"/>
  <c r="R120" i="2"/>
  <c r="V125" i="2" s="1"/>
  <c r="M106" i="2"/>
  <c r="M110" i="2" s="1"/>
  <c r="M105" i="2"/>
  <c r="Q106" i="2"/>
  <c r="Q110" i="2" s="1"/>
  <c r="Q105" i="2"/>
  <c r="Q109" i="2" s="1"/>
  <c r="R103" i="2"/>
  <c r="V113" i="2" s="1"/>
  <c r="R102" i="2"/>
  <c r="V112" i="2" s="1"/>
  <c r="R91" i="2"/>
  <c r="R86" i="2"/>
  <c r="R81" i="2"/>
  <c r="Q81" i="2"/>
  <c r="Q31" i="2"/>
  <c r="P31" i="2"/>
  <c r="O31" i="2"/>
  <c r="R148" i="2"/>
  <c r="R146" i="2"/>
  <c r="AI150" i="2"/>
  <c r="AH150" i="2"/>
  <c r="AG150" i="2"/>
  <c r="AI149" i="2"/>
  <c r="AH149" i="2"/>
  <c r="AG149" i="2"/>
  <c r="AI148" i="2"/>
  <c r="AH148" i="2"/>
  <c r="AG148" i="2"/>
  <c r="AI147" i="2"/>
  <c r="AH147" i="2"/>
  <c r="AG147" i="2"/>
  <c r="AI146" i="2"/>
  <c r="AH146" i="2"/>
  <c r="AG146" i="2"/>
  <c r="S150" i="2"/>
  <c r="R150" i="2"/>
  <c r="P150" i="2"/>
  <c r="O150" i="2"/>
  <c r="N150" i="2"/>
  <c r="M150" i="2"/>
  <c r="L150" i="2"/>
  <c r="K150" i="2"/>
  <c r="S149" i="2"/>
  <c r="R149" i="2"/>
  <c r="Q149" i="2"/>
  <c r="P149" i="2"/>
  <c r="O149" i="2"/>
  <c r="N149" i="2"/>
  <c r="M149" i="2"/>
  <c r="L149" i="2"/>
  <c r="K149" i="2"/>
  <c r="S148" i="2"/>
  <c r="Q148" i="2"/>
  <c r="P148" i="2"/>
  <c r="O148" i="2"/>
  <c r="N148" i="2"/>
  <c r="M148" i="2"/>
  <c r="L148" i="2"/>
  <c r="K148" i="2"/>
  <c r="S147" i="2"/>
  <c r="R147" i="2"/>
  <c r="Q147" i="2"/>
  <c r="P147" i="2"/>
  <c r="O147" i="2"/>
  <c r="M147" i="2"/>
  <c r="L147" i="2"/>
  <c r="K147" i="2"/>
  <c r="S146" i="2"/>
  <c r="Q146" i="2"/>
  <c r="P146" i="2"/>
  <c r="O146" i="2"/>
  <c r="M146" i="2"/>
  <c r="L146" i="2"/>
  <c r="K146" i="2"/>
  <c r="T150" i="2"/>
  <c r="T149" i="2"/>
  <c r="T148" i="2"/>
  <c r="T147" i="2"/>
  <c r="T146" i="2"/>
  <c r="S136" i="2"/>
  <c r="R136" i="2"/>
  <c r="Q136" i="2"/>
  <c r="P136" i="2"/>
  <c r="O136" i="2"/>
  <c r="S135" i="2"/>
  <c r="R135" i="2"/>
  <c r="Q135" i="2"/>
  <c r="P135" i="2"/>
  <c r="T136" i="2"/>
  <c r="T135" i="2"/>
  <c r="S141" i="2"/>
  <c r="R141" i="2"/>
  <c r="T141" i="2"/>
  <c r="P91" i="2"/>
  <c r="P98" i="2"/>
  <c r="T81" i="2"/>
  <c r="T97" i="2" s="1"/>
  <c r="AH31" i="2"/>
  <c r="AI31" i="2"/>
  <c r="T31" i="2"/>
  <c r="AI126" i="2"/>
  <c r="AH126" i="2"/>
  <c r="AG126" i="2"/>
  <c r="AH125" i="2"/>
  <c r="AG125" i="2"/>
  <c r="AI125" i="2"/>
  <c r="AH124" i="2"/>
  <c r="AG124" i="2"/>
  <c r="AI124" i="2"/>
  <c r="AI122" i="2"/>
  <c r="AI130" i="2" s="1"/>
  <c r="AH122" i="2"/>
  <c r="AH130" i="2" s="1"/>
  <c r="AG122" i="2"/>
  <c r="AG130" i="2" s="1"/>
  <c r="AI110" i="2"/>
  <c r="AH110" i="2"/>
  <c r="AG110" i="2"/>
  <c r="AI109" i="2"/>
  <c r="AH109" i="2"/>
  <c r="AG109" i="2"/>
  <c r="AI107" i="2"/>
  <c r="AH107" i="2"/>
  <c r="AG107" i="2"/>
  <c r="AG104" i="2"/>
  <c r="AG116" i="2" s="1"/>
  <c r="AH113" i="2"/>
  <c r="AH112" i="2"/>
  <c r="AI113" i="2"/>
  <c r="AI112" i="2"/>
  <c r="AI104" i="2"/>
  <c r="AI116" i="2" s="1"/>
  <c r="AH104" i="2"/>
  <c r="AH116" i="2" s="1"/>
  <c r="AG75" i="2"/>
  <c r="AG81" i="2" s="1"/>
  <c r="AH75" i="2"/>
  <c r="AH81" i="2" s="1"/>
  <c r="S81" i="2"/>
  <c r="S97" i="2" s="1"/>
  <c r="P81" i="2"/>
  <c r="P97" i="2" s="1"/>
  <c r="O81" i="2"/>
  <c r="O97" i="2" s="1"/>
  <c r="N81" i="2"/>
  <c r="N97" i="2" s="1"/>
  <c r="L81" i="2"/>
  <c r="K81" i="2"/>
  <c r="AI75" i="2"/>
  <c r="AI81" i="2" s="1"/>
  <c r="AI98" i="2"/>
  <c r="AH98" i="2"/>
  <c r="AG98" i="2"/>
  <c r="AI91" i="2"/>
  <c r="AH91" i="2"/>
  <c r="AG91" i="2"/>
  <c r="AI86" i="2"/>
  <c r="AH86" i="2"/>
  <c r="AG86" i="2"/>
  <c r="AI9" i="2"/>
  <c r="AH9" i="2"/>
  <c r="AG9" i="2"/>
  <c r="AI5" i="2"/>
  <c r="AI25" i="2" s="1"/>
  <c r="AH5" i="2"/>
  <c r="AG5" i="2"/>
  <c r="AG22" i="2" s="1"/>
  <c r="S125" i="2"/>
  <c r="T126" i="2"/>
  <c r="S126" i="2"/>
  <c r="Q126" i="2"/>
  <c r="P126" i="2"/>
  <c r="T125" i="2"/>
  <c r="Q125" i="2"/>
  <c r="P125" i="2"/>
  <c r="T124" i="2"/>
  <c r="Q124" i="2"/>
  <c r="P124" i="2"/>
  <c r="O124" i="2"/>
  <c r="S124" i="2"/>
  <c r="T122" i="2"/>
  <c r="T128" i="2" s="1"/>
  <c r="Q122" i="2"/>
  <c r="Q128" i="2" s="1"/>
  <c r="P122" i="2"/>
  <c r="P130" i="2" s="1"/>
  <c r="O122" i="2"/>
  <c r="O130" i="2" s="1"/>
  <c r="M122" i="2"/>
  <c r="M130" i="2" s="1"/>
  <c r="L122" i="2"/>
  <c r="L130" i="2" s="1"/>
  <c r="S122" i="2"/>
  <c r="S128" i="2" s="1"/>
  <c r="T113" i="2"/>
  <c r="T112" i="2"/>
  <c r="Q113" i="2"/>
  <c r="P113" i="2"/>
  <c r="O113" i="2"/>
  <c r="Q112" i="2"/>
  <c r="P112" i="2"/>
  <c r="O112" i="2"/>
  <c r="T110" i="2"/>
  <c r="T109" i="2"/>
  <c r="P110" i="2"/>
  <c r="O110" i="2"/>
  <c r="P109" i="2"/>
  <c r="O109" i="2"/>
  <c r="S113" i="2"/>
  <c r="S112" i="2"/>
  <c r="S110" i="2"/>
  <c r="S109" i="2"/>
  <c r="T107" i="2"/>
  <c r="P107" i="2"/>
  <c r="O107" i="2"/>
  <c r="S107" i="2"/>
  <c r="T104" i="2"/>
  <c r="T116" i="2" s="1"/>
  <c r="Q104" i="2"/>
  <c r="Q116" i="2" s="1"/>
  <c r="P104" i="2"/>
  <c r="P116" i="2" s="1"/>
  <c r="O104" i="2"/>
  <c r="O115" i="2" s="1"/>
  <c r="M104" i="2"/>
  <c r="M115" i="2" s="1"/>
  <c r="L104" i="2"/>
  <c r="L115" i="2" s="1"/>
  <c r="K104" i="2"/>
  <c r="K115" i="2" s="1"/>
  <c r="S104" i="2"/>
  <c r="S116" i="2" s="1"/>
  <c r="R98" i="2"/>
  <c r="Q98" i="2"/>
  <c r="O98" i="2"/>
  <c r="N98" i="2"/>
  <c r="M98" i="2"/>
  <c r="L98" i="2"/>
  <c r="K98" i="2"/>
  <c r="T98" i="2"/>
  <c r="S98" i="2"/>
  <c r="T91" i="2"/>
  <c r="Q91" i="2"/>
  <c r="O91" i="2"/>
  <c r="N91" i="2"/>
  <c r="K91" i="2"/>
  <c r="S91" i="2"/>
  <c r="T86" i="2"/>
  <c r="Q86" i="2"/>
  <c r="P86" i="2"/>
  <c r="O86" i="2"/>
  <c r="N86" i="2"/>
  <c r="L86" i="2"/>
  <c r="K86" i="2"/>
  <c r="S86" i="2"/>
  <c r="T59" i="2"/>
  <c r="R59" i="2"/>
  <c r="Q59" i="2"/>
  <c r="P59" i="2"/>
  <c r="O59" i="2"/>
  <c r="N59" i="2"/>
  <c r="M59" i="2"/>
  <c r="L59" i="2"/>
  <c r="K59" i="2"/>
  <c r="S59" i="2"/>
  <c r="R35" i="2"/>
  <c r="Q35" i="2"/>
  <c r="P35" i="2"/>
  <c r="O35" i="2"/>
  <c r="N35" i="2"/>
  <c r="M35" i="2"/>
  <c r="L35" i="2"/>
  <c r="K35" i="2"/>
  <c r="T35" i="2"/>
  <c r="S35" i="2"/>
  <c r="T53" i="2"/>
  <c r="R53" i="2"/>
  <c r="Q53" i="2"/>
  <c r="P53" i="2"/>
  <c r="O53" i="2"/>
  <c r="N53" i="2"/>
  <c r="M53" i="2"/>
  <c r="L53" i="2"/>
  <c r="K53" i="2"/>
  <c r="S53" i="2"/>
  <c r="T43" i="2"/>
  <c r="R43" i="2"/>
  <c r="Q43" i="2"/>
  <c r="P43" i="2"/>
  <c r="O43" i="2"/>
  <c r="N43" i="2"/>
  <c r="M43" i="2"/>
  <c r="L43" i="2"/>
  <c r="K43" i="2"/>
  <c r="S43" i="2"/>
  <c r="S31" i="2"/>
  <c r="T9" i="2"/>
  <c r="R9" i="2"/>
  <c r="Q9" i="2"/>
  <c r="P9" i="2"/>
  <c r="O9" i="2"/>
  <c r="M9" i="2"/>
  <c r="L9" i="2"/>
  <c r="S9" i="2"/>
  <c r="T5" i="2"/>
  <c r="T25" i="2" s="1"/>
  <c r="R5" i="2"/>
  <c r="R24" i="2" s="1"/>
  <c r="Q5" i="2"/>
  <c r="Q24" i="2" s="1"/>
  <c r="P5" i="2"/>
  <c r="P24" i="2" s="1"/>
  <c r="O5" i="2"/>
  <c r="O24" i="2" s="1"/>
  <c r="M5" i="2"/>
  <c r="M24" i="2" s="1"/>
  <c r="L5" i="2"/>
  <c r="L23" i="2" s="1"/>
  <c r="K5" i="2"/>
  <c r="K25" i="2" s="1"/>
  <c r="S5" i="2"/>
  <c r="S25" i="2" s="1"/>
  <c r="J12" i="1"/>
  <c r="W26" i="2" l="1"/>
  <c r="W13" i="2"/>
  <c r="W28" i="2" s="1"/>
  <c r="AL27" i="2"/>
  <c r="AL26" i="2"/>
  <c r="AK27" i="2"/>
  <c r="AK26" i="2"/>
  <c r="I128" i="2"/>
  <c r="Y15" i="2"/>
  <c r="Y28" i="2"/>
  <c r="X15" i="2"/>
  <c r="X28" i="2"/>
  <c r="AJ10" i="2"/>
  <c r="AJ23" i="2"/>
  <c r="AJ22" i="2"/>
  <c r="W15" i="2"/>
  <c r="Z15" i="2"/>
  <c r="Z28" i="2"/>
  <c r="AJ25" i="2"/>
  <c r="AJ24" i="2"/>
  <c r="AD53" i="2"/>
  <c r="AD60" i="2" s="1"/>
  <c r="AC10" i="2"/>
  <c r="AC26" i="2" s="1"/>
  <c r="H93" i="2"/>
  <c r="AC81" i="2"/>
  <c r="AE60" i="2"/>
  <c r="AD22" i="2"/>
  <c r="AD116" i="2"/>
  <c r="AC23" i="2"/>
  <c r="AC24" i="2"/>
  <c r="K125" i="2"/>
  <c r="AG60" i="2"/>
  <c r="I93" i="2"/>
  <c r="AE35" i="2"/>
  <c r="AC53" i="2"/>
  <c r="AC60" i="2" s="1"/>
  <c r="AF128" i="2"/>
  <c r="H60" i="2"/>
  <c r="AF129" i="2"/>
  <c r="AC43" i="2"/>
  <c r="C93" i="2"/>
  <c r="C95" i="2" s="1"/>
  <c r="D94" i="2" s="1"/>
  <c r="H128" i="2"/>
  <c r="F35" i="2"/>
  <c r="AD129" i="2"/>
  <c r="AD35" i="2"/>
  <c r="AD81" i="2"/>
  <c r="AD97" i="2" s="1"/>
  <c r="AD128" i="2"/>
  <c r="C97" i="2"/>
  <c r="H115" i="2"/>
  <c r="J128" i="2"/>
  <c r="AC22" i="2"/>
  <c r="AC116" i="2"/>
  <c r="D93" i="2"/>
  <c r="D97" i="2"/>
  <c r="I115" i="2"/>
  <c r="C129" i="2"/>
  <c r="E93" i="2"/>
  <c r="E97" i="2"/>
  <c r="J115" i="2"/>
  <c r="AE129" i="2"/>
  <c r="F93" i="2"/>
  <c r="AG35" i="2"/>
  <c r="AD23" i="2"/>
  <c r="AD107" i="2"/>
  <c r="G93" i="2"/>
  <c r="I97" i="2"/>
  <c r="AE130" i="2"/>
  <c r="C10" i="2"/>
  <c r="AD24" i="2"/>
  <c r="AC107" i="2"/>
  <c r="AC147" i="2"/>
  <c r="J93" i="2"/>
  <c r="AE10" i="2"/>
  <c r="AE26" i="2" s="1"/>
  <c r="AF35" i="2"/>
  <c r="AE115" i="2"/>
  <c r="AC122" i="2"/>
  <c r="AC130" i="2" s="1"/>
  <c r="G60" i="2"/>
  <c r="C128" i="2"/>
  <c r="N104" i="2"/>
  <c r="N115" i="2" s="1"/>
  <c r="AD10" i="2"/>
  <c r="C116" i="2"/>
  <c r="G130" i="2"/>
  <c r="AF107" i="2"/>
  <c r="D116" i="2"/>
  <c r="D129" i="2"/>
  <c r="H130" i="2"/>
  <c r="AF115" i="2"/>
  <c r="E116" i="2"/>
  <c r="E129" i="2"/>
  <c r="I130" i="2"/>
  <c r="AE107" i="2"/>
  <c r="F97" i="2"/>
  <c r="F116" i="2"/>
  <c r="F129" i="2"/>
  <c r="J130" i="2"/>
  <c r="AE22" i="2"/>
  <c r="F130" i="2"/>
  <c r="G116" i="2"/>
  <c r="G129" i="2"/>
  <c r="AF22" i="2"/>
  <c r="H97" i="2"/>
  <c r="D128" i="2"/>
  <c r="AE23" i="2"/>
  <c r="AF60" i="2"/>
  <c r="AE110" i="2"/>
  <c r="AE25" i="2"/>
  <c r="E130" i="2"/>
  <c r="AF25" i="2"/>
  <c r="I60" i="2"/>
  <c r="AF23" i="2"/>
  <c r="J60" i="2"/>
  <c r="N112" i="2"/>
  <c r="AE24" i="2"/>
  <c r="E10" i="2"/>
  <c r="E26" i="2" s="1"/>
  <c r="M107" i="2"/>
  <c r="L107" i="2"/>
  <c r="F60" i="2"/>
  <c r="E24" i="2"/>
  <c r="F10" i="2"/>
  <c r="F26" i="2" s="1"/>
  <c r="G10" i="2"/>
  <c r="G26" i="2" s="1"/>
  <c r="F24" i="2"/>
  <c r="G24" i="2"/>
  <c r="H25" i="2"/>
  <c r="D25" i="2"/>
  <c r="E25" i="2"/>
  <c r="D22" i="2"/>
  <c r="F25" i="2"/>
  <c r="E22" i="2"/>
  <c r="G25" i="2"/>
  <c r="F22" i="2"/>
  <c r="G22" i="2"/>
  <c r="H22" i="2"/>
  <c r="D10" i="2"/>
  <c r="D27" i="2" s="1"/>
  <c r="C24" i="2"/>
  <c r="D24" i="2"/>
  <c r="I22" i="2"/>
  <c r="I25" i="2"/>
  <c r="J22" i="2"/>
  <c r="J25" i="2"/>
  <c r="C23" i="2"/>
  <c r="H24" i="2"/>
  <c r="I24" i="2"/>
  <c r="J24" i="2"/>
  <c r="C22" i="2"/>
  <c r="I10" i="2"/>
  <c r="J10" i="2"/>
  <c r="N31" i="2"/>
  <c r="H10" i="2"/>
  <c r="AE93" i="2"/>
  <c r="AF93" i="2"/>
  <c r="AF10" i="2"/>
  <c r="J35" i="2"/>
  <c r="N105" i="2"/>
  <c r="N109" i="2" s="1"/>
  <c r="N9" i="2"/>
  <c r="K10" i="2"/>
  <c r="R104" i="2"/>
  <c r="R116" i="2" s="1"/>
  <c r="R122" i="2"/>
  <c r="R128" i="2" s="1"/>
  <c r="N120" i="2"/>
  <c r="R113" i="2"/>
  <c r="N121" i="2"/>
  <c r="O126" i="2"/>
  <c r="Q23" i="2"/>
  <c r="N106" i="2"/>
  <c r="R23" i="2"/>
  <c r="R112" i="2"/>
  <c r="L24" i="2"/>
  <c r="R105" i="2"/>
  <c r="R109" i="2" s="1"/>
  <c r="L109" i="2"/>
  <c r="R106" i="2"/>
  <c r="R110" i="2" s="1"/>
  <c r="AH60" i="2"/>
  <c r="AI60" i="2"/>
  <c r="K107" i="2"/>
  <c r="R124" i="2"/>
  <c r="K109" i="2"/>
  <c r="N5" i="2"/>
  <c r="N23" i="2" s="1"/>
  <c r="K24" i="2"/>
  <c r="M97" i="2"/>
  <c r="M109" i="2"/>
  <c r="Q107" i="2"/>
  <c r="R97" i="2"/>
  <c r="Q150" i="2"/>
  <c r="K22" i="2"/>
  <c r="K23" i="2"/>
  <c r="L25" i="2"/>
  <c r="L22" i="2"/>
  <c r="O23" i="2"/>
  <c r="P23" i="2"/>
  <c r="M25" i="2"/>
  <c r="M22" i="2"/>
  <c r="O22" i="2"/>
  <c r="O25" i="2"/>
  <c r="P22" i="2"/>
  <c r="P25" i="2"/>
  <c r="Q25" i="2"/>
  <c r="R22" i="2"/>
  <c r="Q22" i="2"/>
  <c r="M23" i="2"/>
  <c r="R25" i="2"/>
  <c r="AH10" i="2"/>
  <c r="AH13" i="2" s="1"/>
  <c r="AH15" i="2" s="1"/>
  <c r="AH64" i="2" s="1"/>
  <c r="AH115" i="2"/>
  <c r="AI22" i="2"/>
  <c r="AH23" i="2"/>
  <c r="AG115" i="2"/>
  <c r="AI23" i="2"/>
  <c r="AI24" i="2"/>
  <c r="AG23" i="2"/>
  <c r="AG24" i="2"/>
  <c r="AH24" i="2"/>
  <c r="AI115" i="2"/>
  <c r="AG25" i="2"/>
  <c r="AH25" i="2"/>
  <c r="AH22" i="2"/>
  <c r="T22" i="2"/>
  <c r="T23" i="2"/>
  <c r="T24" i="2"/>
  <c r="AG128" i="2"/>
  <c r="AH128" i="2"/>
  <c r="AI128" i="2"/>
  <c r="AG129" i="2"/>
  <c r="AH129" i="2"/>
  <c r="AI129" i="2"/>
  <c r="AH93" i="2"/>
  <c r="L129" i="2"/>
  <c r="M129" i="2"/>
  <c r="P129" i="2"/>
  <c r="P115" i="2"/>
  <c r="Q130" i="2"/>
  <c r="O129" i="2"/>
  <c r="Q129" i="2"/>
  <c r="Q115" i="2"/>
  <c r="AI93" i="2"/>
  <c r="S129" i="2"/>
  <c r="S130" i="2"/>
  <c r="O128" i="2"/>
  <c r="L128" i="2"/>
  <c r="M128" i="2"/>
  <c r="T129" i="2"/>
  <c r="T130" i="2"/>
  <c r="K116" i="2"/>
  <c r="L116" i="2"/>
  <c r="AI10" i="2"/>
  <c r="M116" i="2"/>
  <c r="P128" i="2"/>
  <c r="O116" i="2"/>
  <c r="AG93" i="2"/>
  <c r="AG97" i="2"/>
  <c r="AH97" i="2"/>
  <c r="AI97" i="2"/>
  <c r="AG10" i="2"/>
  <c r="S115" i="2"/>
  <c r="T115" i="2"/>
  <c r="Q93" i="2"/>
  <c r="P60" i="2"/>
  <c r="Q60" i="2"/>
  <c r="Q97" i="2"/>
  <c r="L93" i="2"/>
  <c r="S60" i="2"/>
  <c r="M93" i="2"/>
  <c r="N93" i="2"/>
  <c r="L60" i="2"/>
  <c r="P93" i="2"/>
  <c r="R93" i="2"/>
  <c r="N60" i="2"/>
  <c r="R60" i="2"/>
  <c r="T93" i="2"/>
  <c r="M60" i="2"/>
  <c r="O60" i="2"/>
  <c r="T60" i="2"/>
  <c r="K93" i="2"/>
  <c r="K95" i="2" s="1"/>
  <c r="L94" i="2" s="1"/>
  <c r="K97" i="2"/>
  <c r="L97" i="2"/>
  <c r="K60" i="2"/>
  <c r="S93" i="2"/>
  <c r="O93" i="2"/>
  <c r="S22" i="2"/>
  <c r="T10" i="2"/>
  <c r="Q10" i="2"/>
  <c r="L10" i="2"/>
  <c r="M10" i="2"/>
  <c r="P10" i="2"/>
  <c r="R10" i="2"/>
  <c r="S24" i="2"/>
  <c r="S10" i="2"/>
  <c r="S26" i="2" s="1"/>
  <c r="S23" i="2"/>
  <c r="O10" i="2"/>
  <c r="AL28" i="2" l="1"/>
  <c r="AK28" i="2"/>
  <c r="Z17" i="2"/>
  <c r="Z64" i="2"/>
  <c r="Z145" i="2"/>
  <c r="Z152" i="2" s="1"/>
  <c r="Z153" i="2" s="1"/>
  <c r="W17" i="2"/>
  <c r="W64" i="2"/>
  <c r="W145" i="2"/>
  <c r="W152" i="2" s="1"/>
  <c r="W153" i="2" s="1"/>
  <c r="AJ13" i="2"/>
  <c r="AJ27" i="2"/>
  <c r="AJ26" i="2"/>
  <c r="AC97" i="2"/>
  <c r="AC93" i="2"/>
  <c r="AC95" i="2" s="1"/>
  <c r="AD94" i="2" s="1"/>
  <c r="X17" i="2"/>
  <c r="X64" i="2"/>
  <c r="X145" i="2"/>
  <c r="X152" i="2" s="1"/>
  <c r="X153" i="2" s="1"/>
  <c r="Y17" i="2"/>
  <c r="Y145" i="2"/>
  <c r="Y152" i="2" s="1"/>
  <c r="Y153" i="2" s="1"/>
  <c r="Y64" i="2"/>
  <c r="AC13" i="2"/>
  <c r="AC15" i="2" s="1"/>
  <c r="D95" i="2"/>
  <c r="E94" i="2" s="1"/>
  <c r="AC27" i="2"/>
  <c r="N116" i="2"/>
  <c r="AD93" i="2"/>
  <c r="E95" i="2"/>
  <c r="F94" i="2" s="1"/>
  <c r="F95" i="2" s="1"/>
  <c r="G94" i="2" s="1"/>
  <c r="G95" i="2" s="1"/>
  <c r="H94" i="2" s="1"/>
  <c r="H95" i="2" s="1"/>
  <c r="I94" i="2" s="1"/>
  <c r="I95" i="2" s="1"/>
  <c r="J94" i="2" s="1"/>
  <c r="J95" i="2" s="1"/>
  <c r="AE13" i="2"/>
  <c r="AE15" i="2" s="1"/>
  <c r="AC128" i="2"/>
  <c r="AC129" i="2"/>
  <c r="AD13" i="2"/>
  <c r="AD26" i="2"/>
  <c r="AD27" i="2"/>
  <c r="AE27" i="2"/>
  <c r="R107" i="2"/>
  <c r="R125" i="2"/>
  <c r="N125" i="2"/>
  <c r="AF13" i="2"/>
  <c r="AF26" i="2"/>
  <c r="N122" i="2"/>
  <c r="N130" i="2" s="1"/>
  <c r="R129" i="2"/>
  <c r="R115" i="2"/>
  <c r="R126" i="2"/>
  <c r="N126" i="2"/>
  <c r="AF27" i="2"/>
  <c r="G27" i="2"/>
  <c r="G28" i="2"/>
  <c r="F27" i="2"/>
  <c r="D28" i="2"/>
  <c r="F28" i="2"/>
  <c r="D26" i="2"/>
  <c r="E27" i="2"/>
  <c r="C26" i="2"/>
  <c r="C27" i="2"/>
  <c r="H26" i="2"/>
  <c r="H27" i="2"/>
  <c r="J26" i="2"/>
  <c r="J27" i="2"/>
  <c r="I26" i="2"/>
  <c r="I27" i="2"/>
  <c r="E28" i="2"/>
  <c r="E15" i="2"/>
  <c r="R130" i="2"/>
  <c r="N107" i="2"/>
  <c r="AH26" i="2"/>
  <c r="N110" i="2"/>
  <c r="N129" i="2"/>
  <c r="N10" i="2"/>
  <c r="N13" i="2" s="1"/>
  <c r="N25" i="2"/>
  <c r="N22" i="2"/>
  <c r="N24" i="2"/>
  <c r="AH28" i="2"/>
  <c r="AH27" i="2"/>
  <c r="Q13" i="2"/>
  <c r="Q26" i="2"/>
  <c r="Q27" i="2"/>
  <c r="M13" i="2"/>
  <c r="M27" i="2"/>
  <c r="M26" i="2"/>
  <c r="AH17" i="2"/>
  <c r="AH145" i="2"/>
  <c r="AH152" i="2" s="1"/>
  <c r="AH153" i="2" s="1"/>
  <c r="O27" i="2"/>
  <c r="O26" i="2"/>
  <c r="R13" i="2"/>
  <c r="R27" i="2"/>
  <c r="R26" i="2"/>
  <c r="P13" i="2"/>
  <c r="P27" i="2"/>
  <c r="P26" i="2"/>
  <c r="L13" i="2"/>
  <c r="L27" i="2"/>
  <c r="L26" i="2"/>
  <c r="K13" i="2"/>
  <c r="K27" i="2"/>
  <c r="K26" i="2"/>
  <c r="L95" i="2"/>
  <c r="M94" i="2" s="1"/>
  <c r="M95" i="2" s="1"/>
  <c r="N94" i="2" s="1"/>
  <c r="N95" i="2" s="1"/>
  <c r="O94" i="2" s="1"/>
  <c r="O95" i="2" s="1"/>
  <c r="P94" i="2" s="1"/>
  <c r="P95" i="2" s="1"/>
  <c r="Q94" i="2" s="1"/>
  <c r="Q95" i="2" s="1"/>
  <c r="R94" i="2" s="1"/>
  <c r="R95" i="2" s="1"/>
  <c r="S94" i="2" s="1"/>
  <c r="S95" i="2" s="1"/>
  <c r="T94" i="2" s="1"/>
  <c r="T95" i="2" s="1"/>
  <c r="U94" i="2" s="1"/>
  <c r="U95" i="2" s="1"/>
  <c r="V94" i="2" s="1"/>
  <c r="V95" i="2" s="1"/>
  <c r="W94" i="2" s="1"/>
  <c r="W95" i="2" s="1"/>
  <c r="X94" i="2" s="1"/>
  <c r="X95" i="2" s="1"/>
  <c r="Y94" i="2" s="1"/>
  <c r="Y95" i="2" s="1"/>
  <c r="Z94" i="2" s="1"/>
  <c r="Z95" i="2" s="1"/>
  <c r="AI13" i="2"/>
  <c r="AI27" i="2"/>
  <c r="AI26" i="2"/>
  <c r="AG13" i="2"/>
  <c r="AG26" i="2"/>
  <c r="AG27" i="2"/>
  <c r="T13" i="2"/>
  <c r="T27" i="2"/>
  <c r="T26" i="2"/>
  <c r="S27" i="2"/>
  <c r="S13" i="2"/>
  <c r="O13" i="2"/>
  <c r="O28" i="2" s="1"/>
  <c r="AK64" i="2" l="1"/>
  <c r="AL64" i="2"/>
  <c r="X19" i="2"/>
  <c r="X29" i="2"/>
  <c r="AJ15" i="2"/>
  <c r="AJ28" i="2"/>
  <c r="Y19" i="2"/>
  <c r="Y29" i="2"/>
  <c r="W19" i="2"/>
  <c r="W29" i="2"/>
  <c r="Z19" i="2"/>
  <c r="Z29" i="2"/>
  <c r="AD95" i="2"/>
  <c r="AE94" i="2" s="1"/>
  <c r="AE95" i="2" s="1"/>
  <c r="AF94" i="2" s="1"/>
  <c r="AF95" i="2" s="1"/>
  <c r="AG94" i="2" s="1"/>
  <c r="AG95" i="2" s="1"/>
  <c r="AH94" i="2" s="1"/>
  <c r="AH95" i="2" s="1"/>
  <c r="AI94" i="2" s="1"/>
  <c r="AI95" i="2" s="1"/>
  <c r="AJ94" i="2" s="1"/>
  <c r="AJ95" i="2" s="1"/>
  <c r="AK94" i="2" s="1"/>
  <c r="AK95" i="2" s="1"/>
  <c r="AL94" i="2" s="1"/>
  <c r="AL95" i="2" s="1"/>
  <c r="AC28" i="2"/>
  <c r="AE28" i="2"/>
  <c r="AC17" i="2"/>
  <c r="AC145" i="2"/>
  <c r="AC152" i="2" s="1"/>
  <c r="AC153" i="2" s="1"/>
  <c r="AC64" i="2"/>
  <c r="AD15" i="2"/>
  <c r="AD28" i="2"/>
  <c r="AE17" i="2"/>
  <c r="AE64" i="2"/>
  <c r="AE145" i="2"/>
  <c r="AE152" i="2" s="1"/>
  <c r="AE153" i="2" s="1"/>
  <c r="AF15" i="2"/>
  <c r="AF28" i="2"/>
  <c r="N128" i="2"/>
  <c r="G15" i="2"/>
  <c r="G145" i="2" s="1"/>
  <c r="G152" i="2" s="1"/>
  <c r="G153" i="2" s="1"/>
  <c r="D15" i="2"/>
  <c r="D145" i="2" s="1"/>
  <c r="D152" i="2" s="1"/>
  <c r="D153" i="2" s="1"/>
  <c r="F15" i="2"/>
  <c r="F17" i="2" s="1"/>
  <c r="F19" i="2" s="1"/>
  <c r="E145" i="2"/>
  <c r="E152" i="2" s="1"/>
  <c r="E153" i="2" s="1"/>
  <c r="E17" i="2"/>
  <c r="E19" i="2" s="1"/>
  <c r="E64" i="2"/>
  <c r="H15" i="2"/>
  <c r="H28" i="2"/>
  <c r="I28" i="2"/>
  <c r="I15" i="2"/>
  <c r="J28" i="2"/>
  <c r="J15" i="2"/>
  <c r="C28" i="2"/>
  <c r="C15" i="2"/>
  <c r="N27" i="2"/>
  <c r="N26" i="2"/>
  <c r="R15" i="2"/>
  <c r="R28" i="2"/>
  <c r="Q15" i="2"/>
  <c r="Q28" i="2"/>
  <c r="K15" i="2"/>
  <c r="K28" i="2"/>
  <c r="N15" i="2"/>
  <c r="N28" i="2"/>
  <c r="L15" i="2"/>
  <c r="L28" i="2"/>
  <c r="AH19" i="2"/>
  <c r="AH29" i="2"/>
  <c r="P15" i="2"/>
  <c r="P28" i="2"/>
  <c r="M15" i="2"/>
  <c r="M28" i="2"/>
  <c r="AG15" i="2"/>
  <c r="AG145" i="2" s="1"/>
  <c r="AG152" i="2" s="1"/>
  <c r="AG153" i="2" s="1"/>
  <c r="AG28" i="2"/>
  <c r="AI15" i="2"/>
  <c r="AI145" i="2" s="1"/>
  <c r="AI152" i="2" s="1"/>
  <c r="AI153" i="2" s="1"/>
  <c r="AI28" i="2"/>
  <c r="T15" i="2"/>
  <c r="T145" i="2" s="1"/>
  <c r="T152" i="2" s="1"/>
  <c r="T153" i="2" s="1"/>
  <c r="T28" i="2"/>
  <c r="S28" i="2"/>
  <c r="S15" i="2"/>
  <c r="S145" i="2" s="1"/>
  <c r="S152" i="2" s="1"/>
  <c r="S153" i="2" s="1"/>
  <c r="O15" i="2"/>
  <c r="O145" i="2" s="1"/>
  <c r="O152" i="2" s="1"/>
  <c r="O153" i="2" s="1"/>
  <c r="AL29" i="2" l="1"/>
  <c r="AK29" i="2"/>
  <c r="AJ17" i="2"/>
  <c r="AJ64" i="2"/>
  <c r="AD17" i="2"/>
  <c r="AD145" i="2"/>
  <c r="AD152" i="2" s="1"/>
  <c r="AD153" i="2" s="1"/>
  <c r="AD64" i="2"/>
  <c r="AC19" i="2"/>
  <c r="AC29" i="2"/>
  <c r="AF17" i="2"/>
  <c r="AF64" i="2"/>
  <c r="AF145" i="2"/>
  <c r="AF152" i="2" s="1"/>
  <c r="AF153" i="2" s="1"/>
  <c r="AE19" i="2"/>
  <c r="AE29" i="2"/>
  <c r="G64" i="2"/>
  <c r="G17" i="2"/>
  <c r="D17" i="2"/>
  <c r="D19" i="2" s="1"/>
  <c r="D64" i="2"/>
  <c r="F64" i="2"/>
  <c r="F145" i="2"/>
  <c r="F152" i="2" s="1"/>
  <c r="F153" i="2" s="1"/>
  <c r="H145" i="2"/>
  <c r="H152" i="2" s="1"/>
  <c r="H153" i="2" s="1"/>
  <c r="H17" i="2"/>
  <c r="H18" i="2" s="1"/>
  <c r="H64" i="2"/>
  <c r="C145" i="2"/>
  <c r="C152" i="2" s="1"/>
  <c r="C153" i="2" s="1"/>
  <c r="C17" i="2"/>
  <c r="C18" i="2" s="1"/>
  <c r="C64" i="2"/>
  <c r="E29" i="2"/>
  <c r="J145" i="2"/>
  <c r="J152" i="2" s="1"/>
  <c r="J153" i="2" s="1"/>
  <c r="J17" i="2"/>
  <c r="J19" i="2" s="1"/>
  <c r="J64" i="2"/>
  <c r="F29" i="2"/>
  <c r="I64" i="2"/>
  <c r="I145" i="2"/>
  <c r="I152" i="2" s="1"/>
  <c r="I153" i="2" s="1"/>
  <c r="I17" i="2"/>
  <c r="L145" i="2"/>
  <c r="L152" i="2" s="1"/>
  <c r="L153" i="2" s="1"/>
  <c r="L17" i="2"/>
  <c r="L64" i="2"/>
  <c r="N145" i="2"/>
  <c r="N152" i="2" s="1"/>
  <c r="N153" i="2" s="1"/>
  <c r="N17" i="2"/>
  <c r="N64" i="2"/>
  <c r="K145" i="2"/>
  <c r="K152" i="2" s="1"/>
  <c r="K153" i="2" s="1"/>
  <c r="K17" i="2"/>
  <c r="K64" i="2"/>
  <c r="R145" i="2"/>
  <c r="R152" i="2" s="1"/>
  <c r="R153" i="2" s="1"/>
  <c r="R17" i="2"/>
  <c r="R64" i="2"/>
  <c r="P145" i="2"/>
  <c r="P152" i="2" s="1"/>
  <c r="P153" i="2" s="1"/>
  <c r="P17" i="2"/>
  <c r="P64" i="2"/>
  <c r="M145" i="2"/>
  <c r="M152" i="2" s="1"/>
  <c r="M153" i="2" s="1"/>
  <c r="M17" i="2"/>
  <c r="M64" i="2"/>
  <c r="Q145" i="2"/>
  <c r="Q152" i="2" s="1"/>
  <c r="Q153" i="2" s="1"/>
  <c r="Q17" i="2"/>
  <c r="Q64" i="2"/>
  <c r="AG17" i="2"/>
  <c r="AG64" i="2"/>
  <c r="AI64" i="2"/>
  <c r="AI17" i="2"/>
  <c r="T17" i="2"/>
  <c r="T64" i="2"/>
  <c r="O17" i="2"/>
  <c r="O64" i="2"/>
  <c r="S17" i="2"/>
  <c r="S29" i="2" s="1"/>
  <c r="S64" i="2"/>
  <c r="AJ19" i="2" l="1"/>
  <c r="AJ29" i="2"/>
  <c r="S19" i="2"/>
  <c r="G29" i="2"/>
  <c r="G18" i="2"/>
  <c r="AD19" i="2"/>
  <c r="AD29" i="2"/>
  <c r="AF19" i="2"/>
  <c r="AF29" i="2"/>
  <c r="D29" i="2"/>
  <c r="J29" i="2"/>
  <c r="I29" i="2"/>
  <c r="C29" i="2"/>
  <c r="H29" i="2"/>
  <c r="R19" i="2"/>
  <c r="R29" i="2"/>
  <c r="Q19" i="2"/>
  <c r="Q29" i="2"/>
  <c r="K19" i="2"/>
  <c r="K29" i="2"/>
  <c r="M19" i="2"/>
  <c r="M29" i="2"/>
  <c r="N19" i="2"/>
  <c r="N29" i="2"/>
  <c r="O19" i="2"/>
  <c r="O29" i="2"/>
  <c r="P19" i="2"/>
  <c r="P29" i="2"/>
  <c r="L19" i="2"/>
  <c r="L29" i="2"/>
  <c r="AI19" i="2"/>
  <c r="AI29" i="2"/>
  <c r="AG19" i="2"/>
  <c r="AG29" i="2"/>
  <c r="T19" i="2"/>
  <c r="T29" i="2"/>
  <c r="O125" i="2" l="1"/>
  <c r="K122" i="2"/>
  <c r="K129" i="2" s="1"/>
  <c r="K130" i="2" l="1"/>
  <c r="K1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Gega Mukhigulashvili</author>
  </authors>
  <commentList>
    <comment ref="AD52" authorId="0" shapeId="0" xr:uid="{BF3C2256-A880-44A1-BE8D-CFD443F36920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ONCL + Debt + Warrants Liability
</t>
        </r>
      </text>
    </comment>
    <comment ref="AE52" authorId="0" shapeId="0" xr:uid="{144D42AA-C61A-46A7-B541-AB56782915CA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ONCL + Debt
</t>
        </r>
      </text>
    </comment>
  </commentList>
</comments>
</file>

<file path=xl/sharedStrings.xml><?xml version="1.0" encoding="utf-8"?>
<sst xmlns="http://schemas.openxmlformats.org/spreadsheetml/2006/main" count="167" uniqueCount="151">
  <si>
    <t>P</t>
  </si>
  <si>
    <t>S/O</t>
  </si>
  <si>
    <t>MC</t>
  </si>
  <si>
    <t>Cash</t>
  </si>
  <si>
    <t>Debt</t>
  </si>
  <si>
    <t>EV</t>
  </si>
  <si>
    <t>Tech</t>
  </si>
  <si>
    <t>Main</t>
  </si>
  <si>
    <t>Q225</t>
  </si>
  <si>
    <t>Q223</t>
  </si>
  <si>
    <t>Q323</t>
  </si>
  <si>
    <t>Q423</t>
  </si>
  <si>
    <t>Q124</t>
  </si>
  <si>
    <t>Q224</t>
  </si>
  <si>
    <t>Q324</t>
  </si>
  <si>
    <t>Q424</t>
  </si>
  <si>
    <t>Q125</t>
  </si>
  <si>
    <t>Q123</t>
  </si>
  <si>
    <t>Revenue</t>
  </si>
  <si>
    <t>COGS</t>
  </si>
  <si>
    <t>Gross Profit</t>
  </si>
  <si>
    <t>S&amp;M</t>
  </si>
  <si>
    <t>R&amp;D</t>
  </si>
  <si>
    <t>G&amp;M</t>
  </si>
  <si>
    <t>Operating expenses</t>
  </si>
  <si>
    <t>Operating income</t>
  </si>
  <si>
    <t>Interest income</t>
  </si>
  <si>
    <t>Interest expense</t>
  </si>
  <si>
    <t>Pretax income</t>
  </si>
  <si>
    <t>Taxes</t>
  </si>
  <si>
    <t>Net Income</t>
  </si>
  <si>
    <t>Less: noncontrolling</t>
  </si>
  <si>
    <t>Net income attributable to Palantir</t>
  </si>
  <si>
    <t>EPS</t>
  </si>
  <si>
    <t>($ thousands)</t>
  </si>
  <si>
    <t>Gross margin</t>
  </si>
  <si>
    <t>S&amp;M margin</t>
  </si>
  <si>
    <t>R&amp;D margin</t>
  </si>
  <si>
    <t>G&amp;M margin</t>
  </si>
  <si>
    <t>Operating margin</t>
  </si>
  <si>
    <t>Interest margin</t>
  </si>
  <si>
    <t>Tax margin</t>
  </si>
  <si>
    <t>Net margin</t>
  </si>
  <si>
    <t>Revenue Y/Y</t>
  </si>
  <si>
    <t>Net Cash</t>
  </si>
  <si>
    <t>Securities</t>
  </si>
  <si>
    <t>A/R</t>
  </si>
  <si>
    <t>Prepaids</t>
  </si>
  <si>
    <t>PP&amp;A</t>
  </si>
  <si>
    <t>Operating lease ROU</t>
  </si>
  <si>
    <t>Other assets</t>
  </si>
  <si>
    <t>Total assets</t>
  </si>
  <si>
    <t>A/P</t>
  </si>
  <si>
    <t>Accrued liabilities</t>
  </si>
  <si>
    <t>Deferred revenue</t>
  </si>
  <si>
    <t>Customer deposits</t>
  </si>
  <si>
    <t>Oprating lease liabilities</t>
  </si>
  <si>
    <t xml:space="preserve">Defered revenue, noncurrent </t>
  </si>
  <si>
    <t>Customer deposits, noncurrent</t>
  </si>
  <si>
    <t>Operating lease liabilities, noncurrent</t>
  </si>
  <si>
    <t>ONCL</t>
  </si>
  <si>
    <t>Total liabilities</t>
  </si>
  <si>
    <t xml:space="preserve">SE </t>
  </si>
  <si>
    <t>L+SE</t>
  </si>
  <si>
    <t>Common stock</t>
  </si>
  <si>
    <t>Additional paid-in capital</t>
  </si>
  <si>
    <t>Accumulated other income</t>
  </si>
  <si>
    <t>Accumulated deficit</t>
  </si>
  <si>
    <t>Noncontrolling</t>
  </si>
  <si>
    <t>Reported NI</t>
  </si>
  <si>
    <t>GAAP NI</t>
  </si>
  <si>
    <t>D&amp;A</t>
  </si>
  <si>
    <t>Stock-based compensation</t>
  </si>
  <si>
    <t>Gains from securities</t>
  </si>
  <si>
    <t>Noncash consideration</t>
  </si>
  <si>
    <t xml:space="preserve">Other  </t>
  </si>
  <si>
    <t>A/P and accrued liabilities</t>
  </si>
  <si>
    <t>Contract liabilities</t>
  </si>
  <si>
    <t>Other liabilities</t>
  </si>
  <si>
    <t>CFFO</t>
  </si>
  <si>
    <t>CapEx</t>
  </si>
  <si>
    <t>Purchase of securities</t>
  </si>
  <si>
    <t>Proceeds from securities</t>
  </si>
  <si>
    <t>Other</t>
  </si>
  <si>
    <t>CFFI</t>
  </si>
  <si>
    <t>Exercise of common stock options</t>
  </si>
  <si>
    <t>Repurchases of common stock</t>
  </si>
  <si>
    <t>Taxes paid related to net share settlement of equity awards</t>
  </si>
  <si>
    <t>CFFF</t>
  </si>
  <si>
    <t>FX adj</t>
  </si>
  <si>
    <t>CF</t>
  </si>
  <si>
    <t>BOP Cash</t>
  </si>
  <si>
    <t>EOP Cash</t>
  </si>
  <si>
    <t>FCF</t>
  </si>
  <si>
    <t>CapEx margin</t>
  </si>
  <si>
    <t>Government revenue</t>
  </si>
  <si>
    <t>Commercial revenue</t>
  </si>
  <si>
    <t>Government expenses</t>
  </si>
  <si>
    <t>Commercial expenses</t>
  </si>
  <si>
    <t>Total Revenue</t>
  </si>
  <si>
    <t>Total expenses</t>
  </si>
  <si>
    <t>Comm. Margin</t>
  </si>
  <si>
    <t>Comm. Revenue Y/Y</t>
  </si>
  <si>
    <t>Gov. Revenue Y/Y</t>
  </si>
  <si>
    <t>Gov. Margin</t>
  </si>
  <si>
    <t>Gov. Revenue %</t>
  </si>
  <si>
    <t>Comm. Revenue %</t>
  </si>
  <si>
    <t>US</t>
  </si>
  <si>
    <t>UK</t>
  </si>
  <si>
    <t>US Y/Y</t>
  </si>
  <si>
    <t>UK Y/Y</t>
  </si>
  <si>
    <t>Rest of world</t>
  </si>
  <si>
    <t>World Y/Y</t>
  </si>
  <si>
    <t>US %</t>
  </si>
  <si>
    <t>UK %</t>
  </si>
  <si>
    <t xml:space="preserve">World % </t>
  </si>
  <si>
    <t>Customers</t>
  </si>
  <si>
    <t>Customers Y/Y</t>
  </si>
  <si>
    <t>Employees</t>
  </si>
  <si>
    <t>Noncash operating lease expense</t>
  </si>
  <si>
    <t>Operating lease liabilities</t>
  </si>
  <si>
    <t>Empoyed outside the US</t>
  </si>
  <si>
    <t>Employed in the US</t>
  </si>
  <si>
    <t>Employee Q/Q</t>
  </si>
  <si>
    <t>Customer Q/Q</t>
  </si>
  <si>
    <t>Net income</t>
  </si>
  <si>
    <t>Stock-based compensatin</t>
  </si>
  <si>
    <t>Adj. EBITDA</t>
  </si>
  <si>
    <t>Employer payroll taxes related to Stock-based compensation</t>
  </si>
  <si>
    <t>Adj. EBITDA margin</t>
  </si>
  <si>
    <t>Q122</t>
  </si>
  <si>
    <t>Q222</t>
  </si>
  <si>
    <t>Q322</t>
  </si>
  <si>
    <t>Q422</t>
  </si>
  <si>
    <t>Q121</t>
  </si>
  <si>
    <t>Q221</t>
  </si>
  <si>
    <t>Q321</t>
  </si>
  <si>
    <t>Q421</t>
  </si>
  <si>
    <t>Q325</t>
  </si>
  <si>
    <t>Q425</t>
  </si>
  <si>
    <t>Q126</t>
  </si>
  <si>
    <t>Q226</t>
  </si>
  <si>
    <t>Q326</t>
  </si>
  <si>
    <t>Q426</t>
  </si>
  <si>
    <t>FCF per Share</t>
  </si>
  <si>
    <t>FCF Yield</t>
  </si>
  <si>
    <t>Stock Price</t>
  </si>
  <si>
    <t>EV, $bn</t>
  </si>
  <si>
    <t>Trl EV/EBITDA</t>
  </si>
  <si>
    <t>Trl EV/FCF</t>
  </si>
  <si>
    <t>Trl EV/R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</si>
</sst>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#,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6" fillId="0" borderId="0" xfId="1" applyFont="1"/>
    <xf numFmtId="0" fontId="2" fillId="0" borderId="0" xfId="0" applyFont="1"/>
    <xf numFmtId="0" fontId="5" fillId="0" borderId="0" xfId="0" applyFont="1"/>
    <xf numFmtId="3" fontId="2" fillId="0" borderId="0" xfId="0" applyNumberFormat="1" applyFont="1"/>
    <xf numFmtId="3" fontId="5" fillId="0" borderId="0" xfId="0" applyNumberFormat="1" applyFont="1"/>
    <xf numFmtId="4" fontId="5" fillId="0" borderId="0" xfId="0" applyNumberFormat="1" applyFont="1"/>
    <xf numFmtId="164" fontId="2" fillId="0" borderId="0" xfId="0" applyNumberFormat="1" applyFont="1"/>
    <xf numFmtId="3" fontId="5" fillId="0" borderId="0" xfId="0" applyNumberFormat="1" applyFont="1" applyAlignment="1">
      <alignment horizontal="left" indent="1"/>
    </xf>
    <xf numFmtId="164" fontId="5" fillId="0" borderId="0" xfId="0" applyNumberFormat="1" applyFont="1"/>
    <xf numFmtId="3" fontId="2" fillId="0" borderId="0" xfId="0" applyNumberFormat="1" applyFont="1" applyAlignment="1">
      <alignment horizontal="right"/>
    </xf>
    <xf numFmtId="3" fontId="1" fillId="0" borderId="0" xfId="0" applyNumberFormat="1" applyFont="1"/>
    <xf numFmtId="0" fontId="1" fillId="0" borderId="0" xfId="0" applyFont="1"/>
    <xf numFmtId="4" fontId="2" fillId="0" borderId="0" xfId="0" applyNumberFormat="1" applyFont="1"/>
    <xf numFmtId="10" fontId="2" fillId="0" borderId="0" xfId="0" applyNumberFormat="1" applyFont="1"/>
    <xf numFmtId="16" fontId="2" fillId="0" borderId="0" xfId="0" applyNumberFormat="1" applyFont="1"/>
    <xf numFmtId="2" fontId="1" fillId="0" borderId="0" xfId="0" applyNumberFormat="1" applyFont="1"/>
    <xf numFmtId="2" fontId="2" fillId="0" borderId="0" xfId="0" applyNumberFormat="1" applyFont="1"/>
    <xf numFmtId="165" fontId="1" fillId="0" borderId="0" xfId="0" applyNumberFormat="1" applyFont="1"/>
    <xf numFmtId="165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D0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97097344986912E-2"/>
          <c:y val="7.0787685091492766E-3"/>
          <c:w val="0.91630290265501313"/>
          <c:h val="0.97997373016880418"/>
        </c:manualLayout>
      </c:layout>
      <c:lineChart>
        <c:grouping val="standard"/>
        <c:varyColors val="0"/>
        <c:ser>
          <c:idx val="0"/>
          <c:order val="0"/>
          <c:tx>
            <c:v>Gross 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Model!$C$2:$V$2</c:f>
              <c:strCache>
                <c:ptCount val="20"/>
                <c:pt idx="0">
                  <c:v>Q121</c:v>
                </c:pt>
                <c:pt idx="1">
                  <c:v>Q221</c:v>
                </c:pt>
                <c:pt idx="2">
                  <c:v>Q321</c:v>
                </c:pt>
                <c:pt idx="3">
                  <c:v>Q421</c:v>
                </c:pt>
                <c:pt idx="4">
                  <c:v>Q122</c:v>
                </c:pt>
                <c:pt idx="5">
                  <c:v>Q222</c:v>
                </c:pt>
                <c:pt idx="6">
                  <c:v>Q322</c:v>
                </c:pt>
                <c:pt idx="7">
                  <c:v>Q422</c:v>
                </c:pt>
                <c:pt idx="8">
                  <c:v>Q123</c:v>
                </c:pt>
                <c:pt idx="9">
                  <c:v>Q223</c:v>
                </c:pt>
                <c:pt idx="10">
                  <c:v>Q323</c:v>
                </c:pt>
                <c:pt idx="11">
                  <c:v>Q423</c:v>
                </c:pt>
                <c:pt idx="12">
                  <c:v>Q124</c:v>
                </c:pt>
                <c:pt idx="13">
                  <c:v>Q224</c:v>
                </c:pt>
                <c:pt idx="14">
                  <c:v>Q324</c:v>
                </c:pt>
                <c:pt idx="15">
                  <c:v>Q424</c:v>
                </c:pt>
                <c:pt idx="16">
                  <c:v>Q125</c:v>
                </c:pt>
                <c:pt idx="17">
                  <c:v>Q225</c:v>
                </c:pt>
                <c:pt idx="18">
                  <c:v>Q325</c:v>
                </c:pt>
                <c:pt idx="19">
                  <c:v>Q425</c:v>
                </c:pt>
              </c:strCache>
            </c:strRef>
          </c:cat>
          <c:val>
            <c:numRef>
              <c:f>Model!$C$22:$V$22</c:f>
              <c:numCache>
                <c:formatCode>0.0%</c:formatCode>
                <c:ptCount val="20"/>
                <c:pt idx="0">
                  <c:v>0.78282532239155922</c:v>
                </c:pt>
                <c:pt idx="1">
                  <c:v>0.75798722044728439</c:v>
                </c:pt>
                <c:pt idx="2">
                  <c:v>0.7786279010456516</c:v>
                </c:pt>
                <c:pt idx="3">
                  <c:v>0.79764379764379767</c:v>
                </c:pt>
                <c:pt idx="4">
                  <c:v>0.78853046594982079</c:v>
                </c:pt>
                <c:pt idx="5">
                  <c:v>0.78393234672304435</c:v>
                </c:pt>
                <c:pt idx="6">
                  <c:v>0.77484829462230587</c:v>
                </c:pt>
                <c:pt idx="7">
                  <c:v>0.79492725127801811</c:v>
                </c:pt>
                <c:pt idx="8">
                  <c:v>0.79503452110299966</c:v>
                </c:pt>
                <c:pt idx="9">
                  <c:v>0.79955823647099189</c:v>
                </c:pt>
                <c:pt idx="10">
                  <c:v>0.80664649320354953</c:v>
                </c:pt>
                <c:pt idx="11">
                  <c:v>0.82142023506205308</c:v>
                </c:pt>
                <c:pt idx="12">
                  <c:v>0.81672862101907817</c:v>
                </c:pt>
                <c:pt idx="13">
                  <c:v>0.81041799998230435</c:v>
                </c:pt>
                <c:pt idx="14">
                  <c:v>0.79788316177727303</c:v>
                </c:pt>
                <c:pt idx="15">
                  <c:v>0.7890888305887841</c:v>
                </c:pt>
                <c:pt idx="16">
                  <c:v>0.80430047915099201</c:v>
                </c:pt>
                <c:pt idx="17">
                  <c:v>0.80777664972596308</c:v>
                </c:pt>
                <c:pt idx="18">
                  <c:v>0.82447853342499988</c:v>
                </c:pt>
                <c:pt idx="19">
                  <c:v>0.84648443775314508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CD-493C-88EF-DB83020596D5}"/>
            </c:ext>
          </c:extLst>
        </c:ser>
        <c:ser>
          <c:idx val="1"/>
          <c:order val="1"/>
          <c:tx>
            <c:v>S&amp;M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Model!$C$2:$V$2</c:f>
              <c:strCache>
                <c:ptCount val="20"/>
                <c:pt idx="0">
                  <c:v>Q121</c:v>
                </c:pt>
                <c:pt idx="1">
                  <c:v>Q221</c:v>
                </c:pt>
                <c:pt idx="2">
                  <c:v>Q321</c:v>
                </c:pt>
                <c:pt idx="3">
                  <c:v>Q421</c:v>
                </c:pt>
                <c:pt idx="4">
                  <c:v>Q122</c:v>
                </c:pt>
                <c:pt idx="5">
                  <c:v>Q222</c:v>
                </c:pt>
                <c:pt idx="6">
                  <c:v>Q322</c:v>
                </c:pt>
                <c:pt idx="7">
                  <c:v>Q422</c:v>
                </c:pt>
                <c:pt idx="8">
                  <c:v>Q123</c:v>
                </c:pt>
                <c:pt idx="9">
                  <c:v>Q223</c:v>
                </c:pt>
                <c:pt idx="10">
                  <c:v>Q323</c:v>
                </c:pt>
                <c:pt idx="11">
                  <c:v>Q423</c:v>
                </c:pt>
                <c:pt idx="12">
                  <c:v>Q124</c:v>
                </c:pt>
                <c:pt idx="13">
                  <c:v>Q224</c:v>
                </c:pt>
                <c:pt idx="14">
                  <c:v>Q324</c:v>
                </c:pt>
                <c:pt idx="15">
                  <c:v>Q424</c:v>
                </c:pt>
                <c:pt idx="16">
                  <c:v>Q125</c:v>
                </c:pt>
                <c:pt idx="17">
                  <c:v>Q225</c:v>
                </c:pt>
                <c:pt idx="18">
                  <c:v>Q325</c:v>
                </c:pt>
                <c:pt idx="19">
                  <c:v>Q425</c:v>
                </c:pt>
              </c:strCache>
            </c:strRef>
          </c:cat>
          <c:val>
            <c:numRef>
              <c:f>Model!$C$23:$V$23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0.44808294275292726</c:v>
                </c:pt>
                <c:pt idx="9">
                  <c:v>0.43188373849133949</c:v>
                </c:pt>
                <c:pt idx="10">
                  <c:v>0.39173368692488625</c:v>
                </c:pt>
                <c:pt idx="11">
                  <c:v>0.39495428357590689</c:v>
                </c:pt>
                <c:pt idx="12">
                  <c:v>0.37286954574758435</c:v>
                </c:pt>
                <c:pt idx="13">
                  <c:v>0.35811322265326473</c:v>
                </c:pt>
                <c:pt idx="14">
                  <c:v>0.36186271004030218</c:v>
                </c:pt>
                <c:pt idx="15">
                  <c:v>0.44150257432778039</c:v>
                </c:pt>
                <c:pt idx="16">
                  <c:v>0.33241522890481584</c:v>
                </c:pt>
                <c:pt idx="17">
                  <c:v>0.30068959732992256</c:v>
                </c:pt>
                <c:pt idx="18">
                  <c:v>0.28202940074040983</c:v>
                </c:pt>
                <c:pt idx="19">
                  <c:v>0.25370915894380081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CD-493C-88EF-DB83020596D5}"/>
            </c:ext>
          </c:extLst>
        </c:ser>
        <c:ser>
          <c:idx val="2"/>
          <c:order val="2"/>
          <c:tx>
            <c:v>R&amp;D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Model!$C$2:$V$2</c:f>
              <c:strCache>
                <c:ptCount val="20"/>
                <c:pt idx="0">
                  <c:v>Q121</c:v>
                </c:pt>
                <c:pt idx="1">
                  <c:v>Q221</c:v>
                </c:pt>
                <c:pt idx="2">
                  <c:v>Q321</c:v>
                </c:pt>
                <c:pt idx="3">
                  <c:v>Q421</c:v>
                </c:pt>
                <c:pt idx="4">
                  <c:v>Q122</c:v>
                </c:pt>
                <c:pt idx="5">
                  <c:v>Q222</c:v>
                </c:pt>
                <c:pt idx="6">
                  <c:v>Q322</c:v>
                </c:pt>
                <c:pt idx="7">
                  <c:v>Q422</c:v>
                </c:pt>
                <c:pt idx="8">
                  <c:v>Q123</c:v>
                </c:pt>
                <c:pt idx="9">
                  <c:v>Q223</c:v>
                </c:pt>
                <c:pt idx="10">
                  <c:v>Q323</c:v>
                </c:pt>
                <c:pt idx="11">
                  <c:v>Q423</c:v>
                </c:pt>
                <c:pt idx="12">
                  <c:v>Q124</c:v>
                </c:pt>
                <c:pt idx="13">
                  <c:v>Q224</c:v>
                </c:pt>
                <c:pt idx="14">
                  <c:v>Q324</c:v>
                </c:pt>
                <c:pt idx="15">
                  <c:v>Q424</c:v>
                </c:pt>
                <c:pt idx="16">
                  <c:v>Q125</c:v>
                </c:pt>
                <c:pt idx="17">
                  <c:v>Q225</c:v>
                </c:pt>
                <c:pt idx="18">
                  <c:v>Q325</c:v>
                </c:pt>
                <c:pt idx="19">
                  <c:v>Q425</c:v>
                </c:pt>
              </c:strCache>
            </c:strRef>
          </c:cat>
          <c:val>
            <c:numRef>
              <c:f>Model!$C$24:$V$24</c:f>
              <c:numCache>
                <c:formatCode>0.0%</c:formatCode>
                <c:ptCount val="20"/>
                <c:pt idx="0">
                  <c:v>0.36877573942343689</c:v>
                </c:pt>
                <c:pt idx="1">
                  <c:v>0.38812785388127852</c:v>
                </c:pt>
                <c:pt idx="2">
                  <c:v>0.30887651490337376</c:v>
                </c:pt>
                <c:pt idx="3">
                  <c:v>0.24384593107442804</c:v>
                </c:pt>
                <c:pt idx="4">
                  <c:v>0.25170454545454546</c:v>
                </c:pt>
                <c:pt idx="5">
                  <c:v>0.23786407766990292</c:v>
                </c:pt>
                <c:pt idx="6">
                  <c:v>0.27248177153659198</c:v>
                </c:pt>
                <c:pt idx="7">
                  <c:v>0.20281968835023498</c:v>
                </c:pt>
                <c:pt idx="8">
                  <c:v>0.21578719215597988</c:v>
                </c:pt>
                <c:pt idx="9">
                  <c:v>0.23341650680787396</c:v>
                </c:pt>
                <c:pt idx="10">
                  <c:v>0.23478301427914633</c:v>
                </c:pt>
                <c:pt idx="11">
                  <c:v>0.21869240420963318</c:v>
                </c:pt>
                <c:pt idx="12">
                  <c:v>0.21239880945487394</c:v>
                </c:pt>
                <c:pt idx="13">
                  <c:v>0.19793766785789668</c:v>
                </c:pt>
                <c:pt idx="14">
                  <c:v>0.20307422820391896</c:v>
                </c:pt>
                <c:pt idx="15">
                  <c:v>0.26264269065492979</c:v>
                </c:pt>
                <c:pt idx="16">
                  <c:v>0.18974799018125293</c:v>
                </c:pt>
                <c:pt idx="17">
                  <c:v>0.16656285498968257</c:v>
                </c:pt>
                <c:pt idx="18">
                  <c:v>0.14807272652587583</c:v>
                </c:pt>
                <c:pt idx="19">
                  <c:v>0.12054892529281949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CD-493C-88EF-DB83020596D5}"/>
            </c:ext>
          </c:extLst>
        </c:ser>
        <c:ser>
          <c:idx val="3"/>
          <c:order val="3"/>
          <c:tx>
            <c:v>G&amp;M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Model!$C$2:$V$2</c:f>
              <c:strCache>
                <c:ptCount val="20"/>
                <c:pt idx="0">
                  <c:v>Q121</c:v>
                </c:pt>
                <c:pt idx="1">
                  <c:v>Q221</c:v>
                </c:pt>
                <c:pt idx="2">
                  <c:v>Q321</c:v>
                </c:pt>
                <c:pt idx="3">
                  <c:v>Q421</c:v>
                </c:pt>
                <c:pt idx="4">
                  <c:v>Q122</c:v>
                </c:pt>
                <c:pt idx="5">
                  <c:v>Q222</c:v>
                </c:pt>
                <c:pt idx="6">
                  <c:v>Q322</c:v>
                </c:pt>
                <c:pt idx="7">
                  <c:v>Q422</c:v>
                </c:pt>
                <c:pt idx="8">
                  <c:v>Q123</c:v>
                </c:pt>
                <c:pt idx="9">
                  <c:v>Q223</c:v>
                </c:pt>
                <c:pt idx="10">
                  <c:v>Q323</c:v>
                </c:pt>
                <c:pt idx="11">
                  <c:v>Q423</c:v>
                </c:pt>
                <c:pt idx="12">
                  <c:v>Q124</c:v>
                </c:pt>
                <c:pt idx="13">
                  <c:v>Q224</c:v>
                </c:pt>
                <c:pt idx="14">
                  <c:v>Q324</c:v>
                </c:pt>
                <c:pt idx="15">
                  <c:v>Q424</c:v>
                </c:pt>
                <c:pt idx="16">
                  <c:v>Q125</c:v>
                </c:pt>
                <c:pt idx="17">
                  <c:v>Q225</c:v>
                </c:pt>
                <c:pt idx="18">
                  <c:v>Q325</c:v>
                </c:pt>
                <c:pt idx="19">
                  <c:v>Q425</c:v>
                </c:pt>
              </c:strCache>
            </c:strRef>
          </c:cat>
          <c:val>
            <c:numRef>
              <c:f>Model!$C$25:$V$25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0.32627454549373597</c:v>
                </c:pt>
                <c:pt idx="9">
                  <c:v>0.31107504842666117</c:v>
                </c:pt>
                <c:pt idx="10">
                  <c:v>0.28467895797102416</c:v>
                </c:pt>
                <c:pt idx="11">
                  <c:v>0.25468921036359016</c:v>
                </c:pt>
                <c:pt idx="12">
                  <c:v>0.25861543153400429</c:v>
                </c:pt>
                <c:pt idx="13">
                  <c:v>0.25227449724512896</c:v>
                </c:pt>
                <c:pt idx="14">
                  <c:v>0.23961566965002928</c:v>
                </c:pt>
                <c:pt idx="15">
                  <c:v>0.27894319326907469</c:v>
                </c:pt>
                <c:pt idx="16">
                  <c:v>0.23019053714735857</c:v>
                </c:pt>
                <c:pt idx="17">
                  <c:v>0.20057032696361329</c:v>
                </c:pt>
                <c:pt idx="18">
                  <c:v>0.16605513537382482</c:v>
                </c:pt>
                <c:pt idx="19">
                  <c:v>0.1425569935742621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CD-493C-88EF-DB83020596D5}"/>
            </c:ext>
          </c:extLst>
        </c:ser>
        <c:ser>
          <c:idx val="4"/>
          <c:order val="4"/>
          <c:tx>
            <c:v>Op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Model!$C$2:$V$2</c:f>
              <c:strCache>
                <c:ptCount val="20"/>
                <c:pt idx="0">
                  <c:v>Q121</c:v>
                </c:pt>
                <c:pt idx="1">
                  <c:v>Q221</c:v>
                </c:pt>
                <c:pt idx="2">
                  <c:v>Q321</c:v>
                </c:pt>
                <c:pt idx="3">
                  <c:v>Q421</c:v>
                </c:pt>
                <c:pt idx="4">
                  <c:v>Q122</c:v>
                </c:pt>
                <c:pt idx="5">
                  <c:v>Q222</c:v>
                </c:pt>
                <c:pt idx="6">
                  <c:v>Q322</c:v>
                </c:pt>
                <c:pt idx="7">
                  <c:v>Q422</c:v>
                </c:pt>
                <c:pt idx="8">
                  <c:v>Q123</c:v>
                </c:pt>
                <c:pt idx="9">
                  <c:v>Q223</c:v>
                </c:pt>
                <c:pt idx="10">
                  <c:v>Q323</c:v>
                </c:pt>
                <c:pt idx="11">
                  <c:v>Q423</c:v>
                </c:pt>
                <c:pt idx="12">
                  <c:v>Q124</c:v>
                </c:pt>
                <c:pt idx="13">
                  <c:v>Q224</c:v>
                </c:pt>
                <c:pt idx="14">
                  <c:v>Q324</c:v>
                </c:pt>
                <c:pt idx="15">
                  <c:v>Q424</c:v>
                </c:pt>
                <c:pt idx="16">
                  <c:v>Q125</c:v>
                </c:pt>
                <c:pt idx="17">
                  <c:v>Q225</c:v>
                </c:pt>
                <c:pt idx="18">
                  <c:v>Q325</c:v>
                </c:pt>
                <c:pt idx="19">
                  <c:v>Q425</c:v>
                </c:pt>
              </c:strCache>
            </c:strRef>
          </c:cat>
          <c:val>
            <c:numRef>
              <c:f>Model!$C$26:$V$26</c:f>
              <c:numCache>
                <c:formatCode>0.0%</c:formatCode>
                <c:ptCount val="20"/>
                <c:pt idx="0">
                  <c:v>-0.33411488862837047</c:v>
                </c:pt>
                <c:pt idx="1">
                  <c:v>-0.38924387646432373</c:v>
                </c:pt>
                <c:pt idx="2">
                  <c:v>-0.23463402193318031</c:v>
                </c:pt>
                <c:pt idx="3">
                  <c:v>-0.13605913605913605</c:v>
                </c:pt>
                <c:pt idx="4">
                  <c:v>-8.8261648745519714E-2</c:v>
                </c:pt>
                <c:pt idx="5">
                  <c:v>-8.8160676532769558E-2</c:v>
                </c:pt>
                <c:pt idx="6">
                  <c:v>-0.13015275162167816</c:v>
                </c:pt>
                <c:pt idx="7">
                  <c:v>-3.4998033818324815E-2</c:v>
                </c:pt>
                <c:pt idx="8">
                  <c:v>7.8353192964016553E-3</c:v>
                </c:pt>
                <c:pt idx="9">
                  <c:v>1.8889328485684875E-2</c:v>
                </c:pt>
                <c:pt idx="10">
                  <c:v>7.163371010769333E-2</c:v>
                </c:pt>
                <c:pt idx="11">
                  <c:v>0.10815155749157557</c:v>
                </c:pt>
                <c:pt idx="12">
                  <c:v>0.12750457957744923</c:v>
                </c:pt>
                <c:pt idx="13">
                  <c:v>0.15533655590193088</c:v>
                </c:pt>
                <c:pt idx="14">
                  <c:v>0.15594418317445791</c:v>
                </c:pt>
                <c:pt idx="15">
                  <c:v>1.3344708701552473E-2</c:v>
                </c:pt>
                <c:pt idx="16">
                  <c:v>0.19918199252139773</c:v>
                </c:pt>
                <c:pt idx="17">
                  <c:v>0.26832500246588364</c:v>
                </c:pt>
                <c:pt idx="18">
                  <c:v>0.33295966783281911</c:v>
                </c:pt>
                <c:pt idx="19">
                  <c:v>0.40900851719005232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CD-493C-88EF-DB83020596D5}"/>
            </c:ext>
          </c:extLst>
        </c:ser>
        <c:ser>
          <c:idx val="7"/>
          <c:order val="7"/>
          <c:tx>
            <c:v>Net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Model!$C$2:$V$2</c:f>
              <c:strCache>
                <c:ptCount val="20"/>
                <c:pt idx="0">
                  <c:v>Q121</c:v>
                </c:pt>
                <c:pt idx="1">
                  <c:v>Q221</c:v>
                </c:pt>
                <c:pt idx="2">
                  <c:v>Q321</c:v>
                </c:pt>
                <c:pt idx="3">
                  <c:v>Q421</c:v>
                </c:pt>
                <c:pt idx="4">
                  <c:v>Q122</c:v>
                </c:pt>
                <c:pt idx="5">
                  <c:v>Q222</c:v>
                </c:pt>
                <c:pt idx="6">
                  <c:v>Q322</c:v>
                </c:pt>
                <c:pt idx="7">
                  <c:v>Q422</c:v>
                </c:pt>
                <c:pt idx="8">
                  <c:v>Q123</c:v>
                </c:pt>
                <c:pt idx="9">
                  <c:v>Q223</c:v>
                </c:pt>
                <c:pt idx="10">
                  <c:v>Q323</c:v>
                </c:pt>
                <c:pt idx="11">
                  <c:v>Q423</c:v>
                </c:pt>
                <c:pt idx="12">
                  <c:v>Q124</c:v>
                </c:pt>
                <c:pt idx="13">
                  <c:v>Q224</c:v>
                </c:pt>
                <c:pt idx="14">
                  <c:v>Q324</c:v>
                </c:pt>
                <c:pt idx="15">
                  <c:v>Q424</c:v>
                </c:pt>
                <c:pt idx="16">
                  <c:v>Q125</c:v>
                </c:pt>
                <c:pt idx="17">
                  <c:v>Q225</c:v>
                </c:pt>
                <c:pt idx="18">
                  <c:v>Q325</c:v>
                </c:pt>
                <c:pt idx="19">
                  <c:v>Q425</c:v>
                </c:pt>
              </c:strCache>
            </c:strRef>
          </c:cat>
          <c:val>
            <c:numRef>
              <c:f>Model!$C$29:$V$29</c:f>
              <c:numCache>
                <c:formatCode>0.0%</c:formatCode>
                <c:ptCount val="20"/>
                <c:pt idx="0">
                  <c:v>-0.36195779601406802</c:v>
                </c:pt>
                <c:pt idx="1">
                  <c:v>-0.3687433439829606</c:v>
                </c:pt>
                <c:pt idx="2">
                  <c:v>-0.26039275694975772</c:v>
                </c:pt>
                <c:pt idx="3">
                  <c:v>-0.29221529221529219</c:v>
                </c:pt>
                <c:pt idx="4">
                  <c:v>-0.22311827956989247</c:v>
                </c:pt>
                <c:pt idx="5">
                  <c:v>-0.37906976744186044</c:v>
                </c:pt>
                <c:pt idx="6">
                  <c:v>-0.25925925925925924</c:v>
                </c:pt>
                <c:pt idx="7">
                  <c:v>6.5670467951238695E-2</c:v>
                </c:pt>
                <c:pt idx="8">
                  <c:v>3.1992475046935753E-2</c:v>
                </c:pt>
                <c:pt idx="9">
                  <c:v>5.2739740154542233E-2</c:v>
                </c:pt>
                <c:pt idx="10">
                  <c:v>0.12810865721057979</c:v>
                </c:pt>
                <c:pt idx="11">
                  <c:v>0.15351524615763951</c:v>
                </c:pt>
                <c:pt idx="12">
                  <c:v>0.16636241246780109</c:v>
                </c:pt>
                <c:pt idx="13">
                  <c:v>0.19778686808211945</c:v>
                </c:pt>
                <c:pt idx="14">
                  <c:v>0.19782472061263984</c:v>
                </c:pt>
                <c:pt idx="15">
                  <c:v>9.5476961858277573E-2</c:v>
                </c:pt>
                <c:pt idx="16">
                  <c:v>0.24215623603419112</c:v>
                </c:pt>
                <c:pt idx="17">
                  <c:v>0.32552353947456253</c:v>
                </c:pt>
                <c:pt idx="18">
                  <c:v>0.40267735282264211</c:v>
                </c:pt>
                <c:pt idx="19">
                  <c:v>0.43266643067041416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4CD-493C-88EF-DB8302059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0131855"/>
        <c:axId val="1730116975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v>Int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Model!$C$2:$V$2</c15:sqref>
                        </c15:formulaRef>
                      </c:ext>
                    </c:extLst>
                    <c:strCache>
                      <c:ptCount val="20"/>
                      <c:pt idx="0">
                        <c:v>Q121</c:v>
                      </c:pt>
                      <c:pt idx="1">
                        <c:v>Q221</c:v>
                      </c:pt>
                      <c:pt idx="2">
                        <c:v>Q321</c:v>
                      </c:pt>
                      <c:pt idx="3">
                        <c:v>Q421</c:v>
                      </c:pt>
                      <c:pt idx="4">
                        <c:v>Q122</c:v>
                      </c:pt>
                      <c:pt idx="5">
                        <c:v>Q222</c:v>
                      </c:pt>
                      <c:pt idx="6">
                        <c:v>Q322</c:v>
                      </c:pt>
                      <c:pt idx="7">
                        <c:v>Q422</c:v>
                      </c:pt>
                      <c:pt idx="8">
                        <c:v>Q123</c:v>
                      </c:pt>
                      <c:pt idx="9">
                        <c:v>Q223</c:v>
                      </c:pt>
                      <c:pt idx="10">
                        <c:v>Q323</c:v>
                      </c:pt>
                      <c:pt idx="11">
                        <c:v>Q423</c:v>
                      </c:pt>
                      <c:pt idx="12">
                        <c:v>Q124</c:v>
                      </c:pt>
                      <c:pt idx="13">
                        <c:v>Q224</c:v>
                      </c:pt>
                      <c:pt idx="14">
                        <c:v>Q324</c:v>
                      </c:pt>
                      <c:pt idx="15">
                        <c:v>Q424</c:v>
                      </c:pt>
                      <c:pt idx="16">
                        <c:v>Q125</c:v>
                      </c:pt>
                      <c:pt idx="17">
                        <c:v>Q225</c:v>
                      </c:pt>
                      <c:pt idx="18">
                        <c:v>Q325</c:v>
                      </c:pt>
                      <c:pt idx="19">
                        <c:v>Q425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Model!$C$27:$V$27</c15:sqref>
                        </c15:formulaRef>
                      </c:ext>
                    </c:extLst>
                    <c:numCache>
                      <c:formatCode>0.0%</c:formatCode>
                      <c:ptCount val="2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4.0624544349939242</c:v>
                      </c:pt>
                      <c:pt idx="9">
                        <c:v>1.9822314869962279</c:v>
                      </c:pt>
                      <c:pt idx="10">
                        <c:v>1.0000750318885527</c:v>
                      </c:pt>
                      <c:pt idx="11">
                        <c:v>0.61484329878104382</c:v>
                      </c:pt>
                      <c:pt idx="12">
                        <c:v>0.36899889961795723</c:v>
                      </c:pt>
                      <c:pt idx="13">
                        <c:v>0.33624773350800746</c:v>
                      </c:pt>
                      <c:pt idx="14">
                        <c:v>0.38898709563372813</c:v>
                      </c:pt>
                      <c:pt idx="15">
                        <c:v>6.2931268676989944</c:v>
                      </c:pt>
                      <c:pt idx="16">
                        <c:v>0.26849495592111244</c:v>
                      </c:pt>
                      <c:pt idx="17">
                        <c:v>0.2333718257666616</c:v>
                      </c:pt>
                      <c:pt idx="18">
                        <c:v>0.22185294057814756</c:v>
                      </c:pt>
                      <c:pt idx="19">
                        <c:v>7.9926102809553104E-2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4CD-493C-88EF-DB83020596D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Tax</c:v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Model!$C$2:$V$2</c15:sqref>
                        </c15:formulaRef>
                      </c:ext>
                    </c:extLst>
                    <c:strCache>
                      <c:ptCount val="20"/>
                      <c:pt idx="0">
                        <c:v>Q121</c:v>
                      </c:pt>
                      <c:pt idx="1">
                        <c:v>Q221</c:v>
                      </c:pt>
                      <c:pt idx="2">
                        <c:v>Q321</c:v>
                      </c:pt>
                      <c:pt idx="3">
                        <c:v>Q421</c:v>
                      </c:pt>
                      <c:pt idx="4">
                        <c:v>Q122</c:v>
                      </c:pt>
                      <c:pt idx="5">
                        <c:v>Q222</c:v>
                      </c:pt>
                      <c:pt idx="6">
                        <c:v>Q322</c:v>
                      </c:pt>
                      <c:pt idx="7">
                        <c:v>Q422</c:v>
                      </c:pt>
                      <c:pt idx="8">
                        <c:v>Q123</c:v>
                      </c:pt>
                      <c:pt idx="9">
                        <c:v>Q223</c:v>
                      </c:pt>
                      <c:pt idx="10">
                        <c:v>Q323</c:v>
                      </c:pt>
                      <c:pt idx="11">
                        <c:v>Q423</c:v>
                      </c:pt>
                      <c:pt idx="12">
                        <c:v>Q124</c:v>
                      </c:pt>
                      <c:pt idx="13">
                        <c:v>Q224</c:v>
                      </c:pt>
                      <c:pt idx="14">
                        <c:v>Q324</c:v>
                      </c:pt>
                      <c:pt idx="15">
                        <c:v>Q424</c:v>
                      </c:pt>
                      <c:pt idx="16">
                        <c:v>Q125</c:v>
                      </c:pt>
                      <c:pt idx="17">
                        <c:v>Q225</c:v>
                      </c:pt>
                      <c:pt idx="18">
                        <c:v>Q325</c:v>
                      </c:pt>
                      <c:pt idx="19">
                        <c:v>Q425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Model!$C$28:$V$28</c15:sqref>
                        </c15:formulaRef>
                      </c:ext>
                    </c:extLst>
                    <c:numCache>
                      <c:formatCode>0.0%</c:formatCode>
                      <c:ptCount val="20"/>
                      <c:pt idx="0">
                        <c:v>-2.5747508305647839E-2</c:v>
                      </c:pt>
                      <c:pt idx="1">
                        <c:v>3.9528432732316231E-2</c:v>
                      </c:pt>
                      <c:pt idx="2">
                        <c:v>-1.3902681231380337E-2</c:v>
                      </c:pt>
                      <c:pt idx="3">
                        <c:v>-2.6785714285714284E-2</c:v>
                      </c:pt>
                      <c:pt idx="4">
                        <c:v>-2.012072434607646E-3</c:v>
                      </c:pt>
                      <c:pt idx="5">
                        <c:v>-1.4714204867006225E-2</c:v>
                      </c:pt>
                      <c:pt idx="6">
                        <c:v>-8.9576547231270363E-3</c:v>
                      </c:pt>
                      <c:pt idx="7">
                        <c:v>0.1164021164021164</c:v>
                      </c:pt>
                      <c:pt idx="8">
                        <c:v>8.0693164362519207E-2</c:v>
                      </c:pt>
                      <c:pt idx="9">
                        <c:v>7.2263089571614023E-2</c:v>
                      </c:pt>
                      <c:pt idx="10">
                        <c:v>8.1656641948755146E-2</c:v>
                      </c:pt>
                      <c:pt idx="11">
                        <c:v>8.7851892288723449E-2</c:v>
                      </c:pt>
                      <c:pt idx="12">
                        <c:v>4.2040713111644964E-2</c:v>
                      </c:pt>
                      <c:pt idx="13">
                        <c:v>3.6864427851860275E-2</c:v>
                      </c:pt>
                      <c:pt idx="14">
                        <c:v>4.9691377664651606E-2</c:v>
                      </c:pt>
                      <c:pt idx="15">
                        <c:v>4.4724229556234327E-2</c:v>
                      </c:pt>
                      <c:pt idx="16">
                        <c:v>2.5072095147683104E-2</c:v>
                      </c:pt>
                      <c:pt idx="17">
                        <c:v>1.0825847161677223E-2</c:v>
                      </c:pt>
                      <c:pt idx="18">
                        <c:v>7.8105976886624585E-3</c:v>
                      </c:pt>
                      <c:pt idx="19">
                        <c:v>1.5732647980392124E-2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4CD-493C-88EF-DB83020596D5}"/>
                  </c:ext>
                </c:extLst>
              </c15:ser>
            </c15:filteredLineSeries>
          </c:ext>
        </c:extLst>
      </c:lineChart>
      <c:catAx>
        <c:axId val="1730131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116975"/>
        <c:crosses val="autoZero"/>
        <c:auto val="1"/>
        <c:lblAlgn val="ctr"/>
        <c:lblOffset val="100"/>
        <c:noMultiLvlLbl val="0"/>
      </c:catAx>
      <c:valAx>
        <c:axId val="1730116975"/>
        <c:scaling>
          <c:orientation val="minMax"/>
          <c:max val="1"/>
          <c:min val="0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1318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1253412422280954"/>
          <c:y val="0.10158850094289847"/>
          <c:w val="0.63977665547336149"/>
          <c:h val="8.68154815554470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489447148973268E-2"/>
          <c:y val="5.3699704677903033E-2"/>
          <c:w val="0.82255853026126535"/>
          <c:h val="0.837523109293788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Model!$B$156</c:f>
              <c:strCache>
                <c:ptCount val="1"/>
                <c:pt idx="0">
                  <c:v>EV, $bn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Model!$C$2:$V$2</c:f>
              <c:strCache>
                <c:ptCount val="20"/>
                <c:pt idx="0">
                  <c:v>Q121</c:v>
                </c:pt>
                <c:pt idx="1">
                  <c:v>Q221</c:v>
                </c:pt>
                <c:pt idx="2">
                  <c:v>Q321</c:v>
                </c:pt>
                <c:pt idx="3">
                  <c:v>Q421</c:v>
                </c:pt>
                <c:pt idx="4">
                  <c:v>Q122</c:v>
                </c:pt>
                <c:pt idx="5">
                  <c:v>Q222</c:v>
                </c:pt>
                <c:pt idx="6">
                  <c:v>Q322</c:v>
                </c:pt>
                <c:pt idx="7">
                  <c:v>Q422</c:v>
                </c:pt>
                <c:pt idx="8">
                  <c:v>Q123</c:v>
                </c:pt>
                <c:pt idx="9">
                  <c:v>Q223</c:v>
                </c:pt>
                <c:pt idx="10">
                  <c:v>Q323</c:v>
                </c:pt>
                <c:pt idx="11">
                  <c:v>Q423</c:v>
                </c:pt>
                <c:pt idx="12">
                  <c:v>Q124</c:v>
                </c:pt>
                <c:pt idx="13">
                  <c:v>Q224</c:v>
                </c:pt>
                <c:pt idx="14">
                  <c:v>Q324</c:v>
                </c:pt>
                <c:pt idx="15">
                  <c:v>Q424</c:v>
                </c:pt>
                <c:pt idx="16">
                  <c:v>Q125</c:v>
                </c:pt>
                <c:pt idx="17">
                  <c:v>Q225</c:v>
                </c:pt>
                <c:pt idx="18">
                  <c:v>Q325</c:v>
                </c:pt>
                <c:pt idx="19">
                  <c:v>Q425</c:v>
                </c:pt>
              </c:strCache>
            </c:strRef>
          </c:cat>
          <c:val>
            <c:numRef>
              <c:f>Model!$C$156:$V$156</c:f>
              <c:numCache>
                <c:formatCode>#,###,</c:formatCode>
                <c:ptCount val="20"/>
                <c:pt idx="0">
                  <c:v>33327357.142857142</c:v>
                </c:pt>
                <c:pt idx="1">
                  <c:v>47898063.299999997</c:v>
                </c:pt>
                <c:pt idx="2">
                  <c:v>43319854.839999996</c:v>
                </c:pt>
                <c:pt idx="3">
                  <c:v>21198259.34</c:v>
                </c:pt>
                <c:pt idx="4">
                  <c:v>14521680</c:v>
                </c:pt>
                <c:pt idx="5">
                  <c:v>18428055.555555556</c:v>
                </c:pt>
                <c:pt idx="6">
                  <c:v>14879947.529999999</c:v>
                </c:pt>
                <c:pt idx="7">
                  <c:v>19028171.460000001</c:v>
                </c:pt>
                <c:pt idx="8">
                  <c:v>20129299</c:v>
                </c:pt>
                <c:pt idx="9">
                  <c:v>36316056.960000001</c:v>
                </c:pt>
                <c:pt idx="10">
                  <c:v>40850191.700000003</c:v>
                </c:pt>
                <c:pt idx="11">
                  <c:v>46964644.020000003</c:v>
                </c:pt>
                <c:pt idx="12">
                  <c:v>47369863</c:v>
                </c:pt>
                <c:pt idx="13">
                  <c:v>59338031.280000001</c:v>
                </c:pt>
                <c:pt idx="14">
                  <c:v>115044136.16000001</c:v>
                </c:pt>
                <c:pt idx="15">
                  <c:v>233634424.28999999</c:v>
                </c:pt>
                <c:pt idx="16">
                  <c:v>255677195.94</c:v>
                </c:pt>
                <c:pt idx="17">
                  <c:v>409817510.92000002</c:v>
                </c:pt>
                <c:pt idx="18">
                  <c:v>453420833.58000004</c:v>
                </c:pt>
                <c:pt idx="19">
                  <c:v>376844403.51999998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7-4E36-8E63-5767E756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838621679"/>
        <c:axId val="1838625519"/>
      </c:barChart>
      <c:lineChart>
        <c:grouping val="standard"/>
        <c:varyColors val="0"/>
        <c:ser>
          <c:idx val="1"/>
          <c:order val="1"/>
          <c:tx>
            <c:strRef>
              <c:f>Model!$B$157</c:f>
              <c:strCache>
                <c:ptCount val="1"/>
                <c:pt idx="0">
                  <c:v>Trl EV/EBITDA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Model!$C$2:$V$2</c:f>
              <c:strCache>
                <c:ptCount val="20"/>
                <c:pt idx="0">
                  <c:v>Q121</c:v>
                </c:pt>
                <c:pt idx="1">
                  <c:v>Q221</c:v>
                </c:pt>
                <c:pt idx="2">
                  <c:v>Q321</c:v>
                </c:pt>
                <c:pt idx="3">
                  <c:v>Q421</c:v>
                </c:pt>
                <c:pt idx="4">
                  <c:v>Q122</c:v>
                </c:pt>
                <c:pt idx="5">
                  <c:v>Q222</c:v>
                </c:pt>
                <c:pt idx="6">
                  <c:v>Q322</c:v>
                </c:pt>
                <c:pt idx="7">
                  <c:v>Q422</c:v>
                </c:pt>
                <c:pt idx="8">
                  <c:v>Q123</c:v>
                </c:pt>
                <c:pt idx="9">
                  <c:v>Q223</c:v>
                </c:pt>
                <c:pt idx="10">
                  <c:v>Q323</c:v>
                </c:pt>
                <c:pt idx="11">
                  <c:v>Q423</c:v>
                </c:pt>
                <c:pt idx="12">
                  <c:v>Q124</c:v>
                </c:pt>
                <c:pt idx="13">
                  <c:v>Q224</c:v>
                </c:pt>
                <c:pt idx="14">
                  <c:v>Q324</c:v>
                </c:pt>
                <c:pt idx="15">
                  <c:v>Q424</c:v>
                </c:pt>
                <c:pt idx="16">
                  <c:v>Q125</c:v>
                </c:pt>
                <c:pt idx="17">
                  <c:v>Q225</c:v>
                </c:pt>
                <c:pt idx="18">
                  <c:v>Q325</c:v>
                </c:pt>
                <c:pt idx="19">
                  <c:v>Q425</c:v>
                </c:pt>
              </c:strCache>
            </c:strRef>
          </c:cat>
          <c:val>
            <c:numRef>
              <c:f>Model!$C$157:$V$157</c:f>
              <c:numCache>
                <c:formatCode>0.00</c:formatCode>
                <c:ptCount val="20"/>
                <c:pt idx="3">
                  <c:v>-43.394594350051179</c:v>
                </c:pt>
                <c:pt idx="4">
                  <c:v>-31.062417112299464</c:v>
                </c:pt>
                <c:pt idx="5">
                  <c:v>-36.856111111111112</c:v>
                </c:pt>
                <c:pt idx="6">
                  <c:v>-28.500186803294387</c:v>
                </c:pt>
                <c:pt idx="7">
                  <c:v>-52.695019274439218</c:v>
                </c:pt>
                <c:pt idx="8">
                  <c:v>-156.9462559256487</c:v>
                </c:pt>
                <c:pt idx="9">
                  <c:v>157.79093455223264</c:v>
                </c:pt>
                <c:pt idx="10">
                  <c:v>83.948007348755581</c:v>
                </c:pt>
                <c:pt idx="11">
                  <c:v>70.503721525828297</c:v>
                </c:pt>
                <c:pt idx="12">
                  <c:v>61.713097753725336</c:v>
                </c:pt>
                <c:pt idx="13">
                  <c:v>70.015706599205188</c:v>
                </c:pt>
                <c:pt idx="14">
                  <c:v>115.33963630822167</c:v>
                </c:pt>
                <c:pt idx="15">
                  <c:v>201.4699484844121</c:v>
                </c:pt>
                <c:pt idx="16">
                  <c:v>193.38937809596206</c:v>
                </c:pt>
                <c:pt idx="17">
                  <c:v>267.6137299437043</c:v>
                </c:pt>
                <c:pt idx="18">
                  <c:v>244.52530811253905</c:v>
                </c:pt>
                <c:pt idx="19">
                  <c:v>165.2648743972687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87-4E36-8E63-5767E7567B61}"/>
            </c:ext>
          </c:extLst>
        </c:ser>
        <c:ser>
          <c:idx val="2"/>
          <c:order val="2"/>
          <c:tx>
            <c:strRef>
              <c:f>Model!$B$158</c:f>
              <c:strCache>
                <c:ptCount val="1"/>
                <c:pt idx="0">
                  <c:v>Trl EV/FCF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Model!$C$2:$V$2</c:f>
              <c:strCache>
                <c:ptCount val="20"/>
                <c:pt idx="0">
                  <c:v>Q121</c:v>
                </c:pt>
                <c:pt idx="1">
                  <c:v>Q221</c:v>
                </c:pt>
                <c:pt idx="2">
                  <c:v>Q321</c:v>
                </c:pt>
                <c:pt idx="3">
                  <c:v>Q421</c:v>
                </c:pt>
                <c:pt idx="4">
                  <c:v>Q122</c:v>
                </c:pt>
                <c:pt idx="5">
                  <c:v>Q222</c:v>
                </c:pt>
                <c:pt idx="6">
                  <c:v>Q322</c:v>
                </c:pt>
                <c:pt idx="7">
                  <c:v>Q422</c:v>
                </c:pt>
                <c:pt idx="8">
                  <c:v>Q123</c:v>
                </c:pt>
                <c:pt idx="9">
                  <c:v>Q223</c:v>
                </c:pt>
                <c:pt idx="10">
                  <c:v>Q323</c:v>
                </c:pt>
                <c:pt idx="11">
                  <c:v>Q423</c:v>
                </c:pt>
                <c:pt idx="12">
                  <c:v>Q124</c:v>
                </c:pt>
                <c:pt idx="13">
                  <c:v>Q224</c:v>
                </c:pt>
                <c:pt idx="14">
                  <c:v>Q324</c:v>
                </c:pt>
                <c:pt idx="15">
                  <c:v>Q424</c:v>
                </c:pt>
                <c:pt idx="16">
                  <c:v>Q125</c:v>
                </c:pt>
                <c:pt idx="17">
                  <c:v>Q225</c:v>
                </c:pt>
                <c:pt idx="18">
                  <c:v>Q325</c:v>
                </c:pt>
                <c:pt idx="19">
                  <c:v>Q425</c:v>
                </c:pt>
              </c:strCache>
            </c:strRef>
          </c:cat>
          <c:val>
            <c:numRef>
              <c:f>Model!$C$158:$V$158</c:f>
              <c:numCache>
                <c:formatCode>0.00</c:formatCode>
                <c:ptCount val="20"/>
                <c:pt idx="11">
                  <c:v>67.374455068293102</c:v>
                </c:pt>
                <c:pt idx="12">
                  <c:v>73.85811623059017</c:v>
                </c:pt>
                <c:pt idx="13">
                  <c:v>66.311849562991085</c:v>
                </c:pt>
                <c:pt idx="14">
                  <c:v>117.35341669369862</c:v>
                </c:pt>
                <c:pt idx="15">
                  <c:v>204.72141423603108</c:v>
                </c:pt>
                <c:pt idx="16">
                  <c:v>193.93064744632679</c:v>
                </c:pt>
                <c:pt idx="17">
                  <c:v>239.84113744686033</c:v>
                </c:pt>
                <c:pt idx="18">
                  <c:v>252.77266923813227</c:v>
                </c:pt>
                <c:pt idx="19">
                  <c:v>179.3992278934833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87-4E36-8E63-5767E7567B61}"/>
            </c:ext>
          </c:extLst>
        </c:ser>
        <c:ser>
          <c:idx val="3"/>
          <c:order val="3"/>
          <c:tx>
            <c:strRef>
              <c:f>Model!$B$159</c:f>
              <c:strCache>
                <c:ptCount val="1"/>
                <c:pt idx="0">
                  <c:v>Trl EV/R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Model!$C$2:$V$2</c:f>
              <c:strCache>
                <c:ptCount val="20"/>
                <c:pt idx="0">
                  <c:v>Q121</c:v>
                </c:pt>
                <c:pt idx="1">
                  <c:v>Q221</c:v>
                </c:pt>
                <c:pt idx="2">
                  <c:v>Q321</c:v>
                </c:pt>
                <c:pt idx="3">
                  <c:v>Q421</c:v>
                </c:pt>
                <c:pt idx="4">
                  <c:v>Q122</c:v>
                </c:pt>
                <c:pt idx="5">
                  <c:v>Q222</c:v>
                </c:pt>
                <c:pt idx="6">
                  <c:v>Q322</c:v>
                </c:pt>
                <c:pt idx="7">
                  <c:v>Q422</c:v>
                </c:pt>
                <c:pt idx="8">
                  <c:v>Q123</c:v>
                </c:pt>
                <c:pt idx="9">
                  <c:v>Q223</c:v>
                </c:pt>
                <c:pt idx="10">
                  <c:v>Q323</c:v>
                </c:pt>
                <c:pt idx="11">
                  <c:v>Q423</c:v>
                </c:pt>
                <c:pt idx="12">
                  <c:v>Q124</c:v>
                </c:pt>
                <c:pt idx="13">
                  <c:v>Q224</c:v>
                </c:pt>
                <c:pt idx="14">
                  <c:v>Q324</c:v>
                </c:pt>
                <c:pt idx="15">
                  <c:v>Q424</c:v>
                </c:pt>
                <c:pt idx="16">
                  <c:v>Q125</c:v>
                </c:pt>
                <c:pt idx="17">
                  <c:v>Q225</c:v>
                </c:pt>
                <c:pt idx="18">
                  <c:v>Q325</c:v>
                </c:pt>
                <c:pt idx="19">
                  <c:v>Q425</c:v>
                </c:pt>
              </c:strCache>
            </c:strRef>
          </c:cat>
          <c:val>
            <c:numRef>
              <c:f>Model!$C$159:$V$159</c:f>
              <c:numCache>
                <c:formatCode>0.00</c:formatCode>
                <c:ptCount val="20"/>
                <c:pt idx="3">
                  <c:v>13.749033169023219</c:v>
                </c:pt>
                <c:pt idx="4">
                  <c:v>8.817049180327869</c:v>
                </c:pt>
                <c:pt idx="5">
                  <c:v>10.564122652806441</c:v>
                </c:pt>
                <c:pt idx="6">
                  <c:v>8.1302303190908098</c:v>
                </c:pt>
                <c:pt idx="7">
                  <c:v>9.9838246812529512</c:v>
                </c:pt>
                <c:pt idx="8">
                  <c:v>10.142309161247674</c:v>
                </c:pt>
                <c:pt idx="9">
                  <c:v>17.758437009627858</c:v>
                </c:pt>
                <c:pt idx="10">
                  <c:v>19.221249756500612</c:v>
                </c:pt>
                <c:pt idx="11">
                  <c:v>21.107591338833231</c:v>
                </c:pt>
                <c:pt idx="12">
                  <c:v>20.294145141472494</c:v>
                </c:pt>
                <c:pt idx="13">
                  <c:v>23.936460698972684</c:v>
                </c:pt>
                <c:pt idx="14">
                  <c:v>43.472956273915131</c:v>
                </c:pt>
                <c:pt idx="15">
                  <c:v>81.533363656065049</c:v>
                </c:pt>
                <c:pt idx="16">
                  <c:v>82.078724253809924</c:v>
                </c:pt>
                <c:pt idx="17">
                  <c:v>119.11267202951124</c:v>
                </c:pt>
                <c:pt idx="18">
                  <c:v>116.37624852450989</c:v>
                </c:pt>
                <c:pt idx="19">
                  <c:v>84.202647852303429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87-4E36-8E63-5767E756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5919"/>
        <c:axId val="1838617839"/>
      </c:lineChart>
      <c:catAx>
        <c:axId val="183862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5519"/>
        <c:crosses val="autoZero"/>
        <c:auto val="1"/>
        <c:lblAlgn val="ctr"/>
        <c:lblOffset val="100"/>
        <c:noMultiLvlLbl val="0"/>
      </c:catAx>
      <c:valAx>
        <c:axId val="1838625519"/>
        <c:scaling>
          <c:orientation val="minMax"/>
        </c:scaling>
        <c:delete val="0"/>
        <c:axPos val="l"/>
        <c:numFmt formatCode="#,###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1679"/>
        <c:crosses val="autoZero"/>
        <c:crossBetween val="between"/>
      </c:valAx>
      <c:valAx>
        <c:axId val="1838617839"/>
        <c:scaling>
          <c:orientation val="minMax"/>
          <c:min val="1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5919"/>
        <c:crosses val="max"/>
        <c:crossBetween val="between"/>
        <c:majorUnit val="20"/>
      </c:valAx>
      <c:catAx>
        <c:axId val="18386159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838617839"/>
        <c:crosses val="max"/>
        <c:auto val="1"/>
        <c:lblAlgn val="ctr"/>
        <c:lblOffset val="100"/>
        <c:noMultiLvlLbl val="0"/>
      </c:catAx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9432616385724283"/>
          <c:y val="8.1693132165291171E-2"/>
          <c:w val="0.61322510710337208"/>
          <c:h val="5.53109352873361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7620</xdr:colOff>
      <xdr:row>0</xdr:row>
      <xdr:rowOff>0</xdr:rowOff>
    </xdr:from>
    <xdr:to>
      <xdr:col>36</xdr:col>
      <xdr:colOff>15240</xdr:colOff>
      <xdr:row>36</xdr:row>
      <xdr:rowOff>7620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243DE86-F5B8-ADE1-5724-6549A20E46A2}"/>
            </a:ext>
          </a:extLst>
        </xdr:cNvPr>
        <xdr:cNvCxnSpPr/>
      </xdr:nvCxnSpPr>
      <xdr:spPr>
        <a:xfrm>
          <a:off x="25481280" y="0"/>
          <a:ext cx="7620" cy="604266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554501</xdr:colOff>
      <xdr:row>19</xdr:row>
      <xdr:rowOff>27709</xdr:rowOff>
    </xdr:from>
    <xdr:to>
      <xdr:col>11</xdr:col>
      <xdr:colOff>69271</xdr:colOff>
      <xdr:row>34</xdr:row>
      <xdr:rowOff>47039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8D1D77-5612-FC14-9118-3FED973BF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371483</xdr:colOff>
      <xdr:row>160</xdr:row>
      <xdr:rowOff>61912</xdr:rowOff>
    </xdr:from>
    <xdr:to>
      <xdr:col>13</xdr:col>
      <xdr:colOff>0</xdr:colOff>
      <xdr:row>183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B0C5D7-38A0-71FC-1536-972F1BBAE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ch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M4" sqref="M4"/>
    </sheetView>
  </sheetViews>
  <sheetFormatPr defaultRowHeight="13.2" x14ac:dyDescent="0.25"/>
  <cols>
    <col min="1" max="16384" width="8.88671875" style="2"/>
  </cols>
  <sheetData>
    <row r="1" spans="1:11" x14ac:dyDescent="0.25">
      <c r="A1" s="1" t="s">
        <v>6</v>
      </c>
    </row>
    <row r="6" spans="1:11" x14ac:dyDescent="0.25">
      <c r="I6" s="2" t="s">
        <v>0</v>
      </c>
      <c r="J6" s="2">
        <v>137.65</v>
      </c>
      <c r="K6" s="15">
        <v>46061</v>
      </c>
    </row>
    <row r="7" spans="1:11" x14ac:dyDescent="0.25">
      <c r="I7" s="2" t="s">
        <v>1</v>
      </c>
      <c r="J7" s="4">
        <f>+Model!V18/1000</f>
        <v>2386.904</v>
      </c>
      <c r="K7" s="12" t="s">
        <v>139</v>
      </c>
    </row>
    <row r="8" spans="1:11" x14ac:dyDescent="0.25">
      <c r="I8" s="2" t="s">
        <v>2</v>
      </c>
      <c r="J8" s="4">
        <f>J6*J7</f>
        <v>328557.33559999999</v>
      </c>
    </row>
    <row r="9" spans="1:11" x14ac:dyDescent="0.25">
      <c r="I9" s="2" t="s">
        <v>3</v>
      </c>
      <c r="J9" s="4">
        <f>+(Model!V36+Model!V37)/1000</f>
        <v>7177.143</v>
      </c>
      <c r="K9" s="12" t="s">
        <v>139</v>
      </c>
    </row>
    <row r="10" spans="1:11" x14ac:dyDescent="0.25">
      <c r="I10" s="2" t="s">
        <v>4</v>
      </c>
      <c r="J10" s="4">
        <v>0</v>
      </c>
      <c r="K10" s="12" t="s">
        <v>139</v>
      </c>
    </row>
    <row r="11" spans="1:11" x14ac:dyDescent="0.25">
      <c r="J11" s="4"/>
    </row>
    <row r="12" spans="1:11" x14ac:dyDescent="0.25">
      <c r="I12" s="2" t="s">
        <v>5</v>
      </c>
      <c r="J12" s="4">
        <f>J8-J9+J10</f>
        <v>321380.19260000001</v>
      </c>
    </row>
  </sheetData>
  <hyperlinks>
    <hyperlink ref="A1" r:id="rId1" xr:uid="{DB5485B7-4BE1-43A7-A84E-FD19008629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0002-BB04-450C-B8B9-2483CA992B99}">
  <dimension ref="A1:AT159"/>
  <sheetViews>
    <sheetView tabSelected="1" zoomScaleNormal="10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A13" sqref="AA13"/>
    </sheetView>
  </sheetViews>
  <sheetFormatPr defaultRowHeight="13.2" x14ac:dyDescent="0.25"/>
  <cols>
    <col min="1" max="1" width="8.88671875" style="2"/>
    <col min="2" max="2" width="19.109375" style="2" customWidth="1"/>
    <col min="3" max="5" width="10.109375" style="2" bestFit="1" customWidth="1"/>
    <col min="6" max="6" width="10.6640625" style="2" bestFit="1" customWidth="1"/>
    <col min="7" max="9" width="10.109375" style="2" bestFit="1" customWidth="1"/>
    <col min="10" max="11" width="10.6640625" style="2" bestFit="1" customWidth="1"/>
    <col min="12" max="12" width="10.109375" style="2" bestFit="1" customWidth="1"/>
    <col min="13" max="16" width="10.6640625" style="2" bestFit="1" customWidth="1"/>
    <col min="17" max="21" width="11.109375" style="2" bestFit="1" customWidth="1"/>
    <col min="22" max="22" width="11.21875" style="2" bestFit="1" customWidth="1"/>
    <col min="23" max="27" width="9.5546875" style="2" customWidth="1"/>
    <col min="28" max="28" width="9.5546875" style="2" bestFit="1" customWidth="1"/>
    <col min="29" max="30" width="10.44140625" style="2" bestFit="1" customWidth="1"/>
    <col min="31" max="33" width="10.77734375" style="2" bestFit="1" customWidth="1"/>
    <col min="34" max="34" width="11.21875" style="2" bestFit="1" customWidth="1"/>
    <col min="35" max="35" width="11.109375" style="2" bestFit="1" customWidth="1"/>
    <col min="36" max="36" width="11.21875" style="2" bestFit="1" customWidth="1"/>
    <col min="37" max="38" width="9.21875" style="2" bestFit="1" customWidth="1"/>
    <col min="39" max="16384" width="8.88671875" style="2"/>
  </cols>
  <sheetData>
    <row r="1" spans="1:46" x14ac:dyDescent="0.25">
      <c r="A1" s="1" t="s">
        <v>7</v>
      </c>
      <c r="K1" s="3" t="s">
        <v>34</v>
      </c>
    </row>
    <row r="2" spans="1:46" x14ac:dyDescent="0.25">
      <c r="C2" s="2" t="s">
        <v>134</v>
      </c>
      <c r="D2" s="2" t="s">
        <v>135</v>
      </c>
      <c r="E2" s="2" t="s">
        <v>136</v>
      </c>
      <c r="F2" s="2" t="s">
        <v>137</v>
      </c>
      <c r="G2" s="2" t="s">
        <v>130</v>
      </c>
      <c r="H2" s="2" t="s">
        <v>131</v>
      </c>
      <c r="I2" s="2" t="s">
        <v>132</v>
      </c>
      <c r="J2" s="2" t="s">
        <v>133</v>
      </c>
      <c r="K2" s="2" t="s">
        <v>17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8</v>
      </c>
      <c r="U2" s="2" t="s">
        <v>138</v>
      </c>
      <c r="V2" s="2" t="s">
        <v>139</v>
      </c>
      <c r="W2" s="2" t="s">
        <v>140</v>
      </c>
      <c r="X2" s="2" t="s">
        <v>141</v>
      </c>
      <c r="Y2" s="2" t="s">
        <v>142</v>
      </c>
      <c r="Z2" s="2" t="s">
        <v>143</v>
      </c>
      <c r="AC2" s="2">
        <v>2018</v>
      </c>
      <c r="AD2" s="2">
        <v>2019</v>
      </c>
      <c r="AE2" s="2">
        <v>2020</v>
      </c>
      <c r="AF2" s="2">
        <v>2021</v>
      </c>
      <c r="AG2" s="2">
        <v>2022</v>
      </c>
      <c r="AH2" s="2">
        <v>2023</v>
      </c>
      <c r="AI2" s="2">
        <v>2024</v>
      </c>
      <c r="AJ2" s="2">
        <v>2025</v>
      </c>
      <c r="AK2" s="2">
        <v>2026</v>
      </c>
      <c r="AL2" s="2">
        <v>2027</v>
      </c>
      <c r="AM2" s="2">
        <v>2028</v>
      </c>
      <c r="AN2" s="2">
        <v>2029</v>
      </c>
      <c r="AO2" s="2">
        <v>2030</v>
      </c>
      <c r="AP2" s="2">
        <v>2031</v>
      </c>
      <c r="AQ2" s="2">
        <v>2032</v>
      </c>
      <c r="AR2" s="2">
        <v>2033</v>
      </c>
      <c r="AS2" s="2">
        <v>2034</v>
      </c>
      <c r="AT2" s="2">
        <v>2035</v>
      </c>
    </row>
    <row r="3" spans="1:46" s="4" customFormat="1" x14ac:dyDescent="0.25">
      <c r="A3" s="2"/>
      <c r="B3" s="4" t="s">
        <v>18</v>
      </c>
      <c r="C3" s="4">
        <v>341200</v>
      </c>
      <c r="D3" s="4">
        <v>375600</v>
      </c>
      <c r="E3" s="4">
        <v>392100</v>
      </c>
      <c r="F3" s="4">
        <v>432900</v>
      </c>
      <c r="G3" s="4">
        <v>446400</v>
      </c>
      <c r="H3" s="4">
        <v>473000</v>
      </c>
      <c r="I3" s="4">
        <v>477900</v>
      </c>
      <c r="J3" s="4">
        <v>508600</v>
      </c>
      <c r="K3" s="4">
        <v>525186</v>
      </c>
      <c r="L3" s="4">
        <v>533317</v>
      </c>
      <c r="M3" s="4">
        <v>558159</v>
      </c>
      <c r="N3" s="4">
        <f>AH3-SUM(K3:M3)</f>
        <v>608350</v>
      </c>
      <c r="O3" s="4">
        <v>634338</v>
      </c>
      <c r="P3" s="4">
        <v>678134</v>
      </c>
      <c r="Q3" s="4">
        <v>725516</v>
      </c>
      <c r="R3" s="4">
        <v>827519</v>
      </c>
      <c r="S3" s="4">
        <v>883855</v>
      </c>
      <c r="T3" s="4">
        <v>1003697</v>
      </c>
      <c r="U3" s="4">
        <v>1181092</v>
      </c>
      <c r="V3" s="4">
        <v>1406802</v>
      </c>
      <c r="W3" s="4">
        <v>1536000</v>
      </c>
      <c r="AC3" s="4">
        <v>595409</v>
      </c>
      <c r="AD3" s="4">
        <v>742555</v>
      </c>
      <c r="AE3" s="4">
        <v>1092673</v>
      </c>
      <c r="AF3" s="4">
        <v>1541889</v>
      </c>
      <c r="AG3" s="4">
        <v>1905871</v>
      </c>
      <c r="AH3" s="4">
        <v>2225012</v>
      </c>
      <c r="AI3" s="4">
        <v>2865507</v>
      </c>
      <c r="AJ3" s="4">
        <f>SUM(S3:V3)</f>
        <v>4475446</v>
      </c>
      <c r="AK3" s="4">
        <v>7198000</v>
      </c>
    </row>
    <row r="4" spans="1:46" s="4" customFormat="1" x14ac:dyDescent="0.25">
      <c r="A4" s="2"/>
      <c r="B4" s="4" t="s">
        <v>19</v>
      </c>
      <c r="C4" s="4">
        <v>74100</v>
      </c>
      <c r="D4" s="4">
        <v>90900</v>
      </c>
      <c r="E4" s="4">
        <v>86800</v>
      </c>
      <c r="F4" s="4">
        <v>87600</v>
      </c>
      <c r="G4" s="4">
        <v>94400</v>
      </c>
      <c r="H4" s="4">
        <v>102200</v>
      </c>
      <c r="I4" s="4">
        <v>107600</v>
      </c>
      <c r="J4" s="4">
        <v>104300</v>
      </c>
      <c r="K4" s="4">
        <v>107645</v>
      </c>
      <c r="L4" s="4">
        <v>106899</v>
      </c>
      <c r="M4" s="4">
        <v>107922</v>
      </c>
      <c r="N4" s="4">
        <f t="shared" ref="N4" si="0">AH4-SUM(K4:M4)</f>
        <v>108639</v>
      </c>
      <c r="O4" s="4">
        <v>116256</v>
      </c>
      <c r="P4" s="4">
        <v>128562</v>
      </c>
      <c r="Q4" s="4">
        <v>146639</v>
      </c>
      <c r="R4" s="4">
        <v>174533</v>
      </c>
      <c r="S4" s="4">
        <v>172970</v>
      </c>
      <c r="T4" s="4">
        <v>192934</v>
      </c>
      <c r="U4" s="4">
        <v>207307</v>
      </c>
      <c r="V4" s="4">
        <v>215966</v>
      </c>
      <c r="AC4" s="4">
        <v>165401</v>
      </c>
      <c r="AD4" s="4">
        <v>242373</v>
      </c>
      <c r="AE4" s="4">
        <v>352547</v>
      </c>
      <c r="AF4" s="4">
        <v>339404</v>
      </c>
      <c r="AG4" s="4">
        <v>408549</v>
      </c>
      <c r="AH4" s="4">
        <v>431105</v>
      </c>
      <c r="AI4" s="4">
        <v>565990</v>
      </c>
      <c r="AJ4" s="4">
        <f>SUM(S4:V4)</f>
        <v>789177</v>
      </c>
    </row>
    <row r="5" spans="1:46" s="5" customFormat="1" x14ac:dyDescent="0.25">
      <c r="A5" s="3"/>
      <c r="B5" s="5" t="s">
        <v>20</v>
      </c>
      <c r="C5" s="5">
        <f t="shared" ref="C5" si="1">C3-C4</f>
        <v>267100</v>
      </c>
      <c r="D5" s="5">
        <f t="shared" ref="D5" si="2">D3-D4</f>
        <v>284700</v>
      </c>
      <c r="E5" s="5">
        <f t="shared" ref="E5" si="3">E3-E4</f>
        <v>305300</v>
      </c>
      <c r="F5" s="5">
        <f t="shared" ref="F5" si="4">F3-F4</f>
        <v>345300</v>
      </c>
      <c r="G5" s="5">
        <f t="shared" ref="G5" si="5">G3-G4</f>
        <v>352000</v>
      </c>
      <c r="H5" s="5">
        <f t="shared" ref="H5" si="6">H3-H4</f>
        <v>370800</v>
      </c>
      <c r="I5" s="5">
        <f t="shared" ref="I5" si="7">I3-I4</f>
        <v>370300</v>
      </c>
      <c r="J5" s="5">
        <f t="shared" ref="J5" si="8">J3-J4</f>
        <v>404300</v>
      </c>
      <c r="K5" s="5">
        <f t="shared" ref="K5:R5" si="9">K3-K4</f>
        <v>417541</v>
      </c>
      <c r="L5" s="5">
        <f t="shared" si="9"/>
        <v>426418</v>
      </c>
      <c r="M5" s="5">
        <f t="shared" si="9"/>
        <v>450237</v>
      </c>
      <c r="N5" s="5">
        <f t="shared" si="9"/>
        <v>499711</v>
      </c>
      <c r="O5" s="5">
        <f t="shared" si="9"/>
        <v>518082</v>
      </c>
      <c r="P5" s="5">
        <f t="shared" si="9"/>
        <v>549572</v>
      </c>
      <c r="Q5" s="5">
        <f t="shared" si="9"/>
        <v>578877</v>
      </c>
      <c r="R5" s="5">
        <f t="shared" si="9"/>
        <v>652986</v>
      </c>
      <c r="S5" s="5">
        <f>S3-S4</f>
        <v>710885</v>
      </c>
      <c r="T5" s="5">
        <f>T3-T4</f>
        <v>810763</v>
      </c>
      <c r="U5" s="5">
        <f>U3-U4</f>
        <v>973785</v>
      </c>
      <c r="V5" s="5">
        <f t="shared" ref="V5:Z5" si="10">V3-V4</f>
        <v>1190836</v>
      </c>
      <c r="W5" s="5">
        <f t="shared" si="10"/>
        <v>1536000</v>
      </c>
      <c r="X5" s="5">
        <f t="shared" si="10"/>
        <v>0</v>
      </c>
      <c r="Y5" s="5">
        <f t="shared" si="10"/>
        <v>0</v>
      </c>
      <c r="Z5" s="5">
        <f t="shared" si="10"/>
        <v>0</v>
      </c>
      <c r="AA5" s="4"/>
      <c r="AC5" s="5">
        <f t="shared" ref="AC5:AD5" si="11">AC3-AC4</f>
        <v>430008</v>
      </c>
      <c r="AD5" s="5">
        <f t="shared" si="11"/>
        <v>500182</v>
      </c>
      <c r="AE5" s="5">
        <f t="shared" ref="AE5:AF5" si="12">AE3-AE4</f>
        <v>740126</v>
      </c>
      <c r="AF5" s="5">
        <f t="shared" si="12"/>
        <v>1202485</v>
      </c>
      <c r="AG5" s="5">
        <f t="shared" ref="AG5:AJ5" si="13">AG3-AG4</f>
        <v>1497322</v>
      </c>
      <c r="AH5" s="5">
        <f t="shared" si="13"/>
        <v>1793907</v>
      </c>
      <c r="AI5" s="5">
        <f t="shared" si="13"/>
        <v>2299517</v>
      </c>
      <c r="AJ5" s="5">
        <f t="shared" si="13"/>
        <v>3686269</v>
      </c>
    </row>
    <row r="6" spans="1:46" s="4" customFormat="1" x14ac:dyDescent="0.25">
      <c r="A6" s="2"/>
      <c r="B6" s="4" t="s">
        <v>21</v>
      </c>
      <c r="K6" s="4">
        <v>187093</v>
      </c>
      <c r="L6" s="4">
        <v>184163</v>
      </c>
      <c r="M6" s="4">
        <v>176373</v>
      </c>
      <c r="N6" s="4">
        <f t="shared" ref="N6:N8" si="14">AH6-SUM(K6:M6)</f>
        <v>197363</v>
      </c>
      <c r="O6" s="4">
        <v>193177</v>
      </c>
      <c r="P6" s="4">
        <v>196809</v>
      </c>
      <c r="Q6" s="4">
        <v>209474</v>
      </c>
      <c r="R6" s="4">
        <v>288295</v>
      </c>
      <c r="S6" s="4">
        <v>236309</v>
      </c>
      <c r="T6" s="4">
        <v>243788</v>
      </c>
      <c r="U6" s="4">
        <v>274636</v>
      </c>
      <c r="V6" s="4">
        <v>302126</v>
      </c>
      <c r="AC6" s="4">
        <v>461762</v>
      </c>
      <c r="AD6" s="4">
        <v>450120</v>
      </c>
      <c r="AE6" s="4">
        <v>683701</v>
      </c>
      <c r="AF6" s="4">
        <v>614512</v>
      </c>
      <c r="AG6" s="4">
        <v>702511</v>
      </c>
      <c r="AH6" s="4">
        <v>744992</v>
      </c>
      <c r="AI6" s="4">
        <v>887755</v>
      </c>
      <c r="AJ6" s="4">
        <f t="shared" ref="AJ6:AJ8" si="15">SUM(S6:V6)</f>
        <v>1056859</v>
      </c>
    </row>
    <row r="7" spans="1:46" s="4" customFormat="1" x14ac:dyDescent="0.25">
      <c r="A7" s="2"/>
      <c r="B7" s="4" t="s">
        <v>22</v>
      </c>
      <c r="C7" s="4">
        <v>98500</v>
      </c>
      <c r="D7" s="4">
        <v>110500</v>
      </c>
      <c r="E7" s="4">
        <v>94300</v>
      </c>
      <c r="F7" s="4">
        <v>84200</v>
      </c>
      <c r="G7" s="4">
        <v>88600</v>
      </c>
      <c r="H7" s="4">
        <v>88200</v>
      </c>
      <c r="I7" s="4">
        <v>100900</v>
      </c>
      <c r="J7" s="4">
        <v>82000</v>
      </c>
      <c r="K7" s="4">
        <v>90100</v>
      </c>
      <c r="L7" s="4">
        <v>99533</v>
      </c>
      <c r="M7" s="4">
        <v>105708</v>
      </c>
      <c r="N7" s="4">
        <f t="shared" si="14"/>
        <v>109283</v>
      </c>
      <c r="O7" s="4">
        <v>110040</v>
      </c>
      <c r="P7" s="4">
        <v>108781</v>
      </c>
      <c r="Q7" s="4">
        <v>117555</v>
      </c>
      <c r="R7" s="4">
        <v>171502</v>
      </c>
      <c r="S7" s="4">
        <v>134889</v>
      </c>
      <c r="T7" s="4">
        <v>135043</v>
      </c>
      <c r="U7" s="4">
        <v>144191</v>
      </c>
      <c r="V7" s="4">
        <v>143554</v>
      </c>
      <c r="AC7" s="4">
        <v>285451</v>
      </c>
      <c r="AD7" s="4">
        <v>305563</v>
      </c>
      <c r="AE7" s="4">
        <v>560660</v>
      </c>
      <c r="AF7" s="4">
        <v>387487</v>
      </c>
      <c r="AG7" s="4">
        <v>359679</v>
      </c>
      <c r="AH7" s="4">
        <v>404624</v>
      </c>
      <c r="AI7" s="4">
        <v>507878</v>
      </c>
      <c r="AJ7" s="4">
        <f t="shared" si="15"/>
        <v>557677</v>
      </c>
    </row>
    <row r="8" spans="1:46" s="4" customFormat="1" x14ac:dyDescent="0.25">
      <c r="A8" s="2"/>
      <c r="B8" s="4" t="s">
        <v>23</v>
      </c>
      <c r="K8" s="4">
        <v>136233</v>
      </c>
      <c r="L8" s="4">
        <v>132648</v>
      </c>
      <c r="M8" s="4">
        <v>128173</v>
      </c>
      <c r="N8" s="4">
        <f t="shared" si="14"/>
        <v>127271</v>
      </c>
      <c r="O8" s="4">
        <v>133984</v>
      </c>
      <c r="P8" s="4">
        <v>138643</v>
      </c>
      <c r="Q8" s="4">
        <v>138708</v>
      </c>
      <c r="R8" s="4">
        <v>182146</v>
      </c>
      <c r="S8" s="4">
        <v>163639</v>
      </c>
      <c r="T8" s="4">
        <v>162615</v>
      </c>
      <c r="U8" s="4">
        <v>161702</v>
      </c>
      <c r="V8" s="4">
        <v>169762</v>
      </c>
      <c r="AC8" s="4">
        <v>306235</v>
      </c>
      <c r="AD8" s="4">
        <v>320943</v>
      </c>
      <c r="AE8" s="4">
        <v>669444</v>
      </c>
      <c r="AF8" s="4">
        <v>611532</v>
      </c>
      <c r="AG8" s="4">
        <v>596333</v>
      </c>
      <c r="AH8" s="4">
        <v>524325</v>
      </c>
      <c r="AI8" s="4">
        <v>593481</v>
      </c>
      <c r="AJ8" s="4">
        <f t="shared" si="15"/>
        <v>657718</v>
      </c>
    </row>
    <row r="9" spans="1:46" s="5" customFormat="1" x14ac:dyDescent="0.25">
      <c r="A9" s="3"/>
      <c r="B9" s="5" t="s">
        <v>24</v>
      </c>
      <c r="C9" s="5">
        <v>381100</v>
      </c>
      <c r="D9" s="5">
        <v>430900</v>
      </c>
      <c r="E9" s="5">
        <v>397300</v>
      </c>
      <c r="F9" s="5">
        <v>404200</v>
      </c>
      <c r="G9" s="5">
        <v>391400</v>
      </c>
      <c r="H9" s="5">
        <v>412500</v>
      </c>
      <c r="I9" s="5">
        <v>432500</v>
      </c>
      <c r="J9" s="5">
        <v>422100</v>
      </c>
      <c r="K9" s="5">
        <f t="shared" ref="K9:R9" si="16">SUM(K6:K8)</f>
        <v>413426</v>
      </c>
      <c r="L9" s="5">
        <f t="shared" si="16"/>
        <v>416344</v>
      </c>
      <c r="M9" s="5">
        <f t="shared" si="16"/>
        <v>410254</v>
      </c>
      <c r="N9" s="5">
        <f t="shared" si="16"/>
        <v>433917</v>
      </c>
      <c r="O9" s="5">
        <f t="shared" si="16"/>
        <v>437201</v>
      </c>
      <c r="P9" s="5">
        <f t="shared" si="16"/>
        <v>444233</v>
      </c>
      <c r="Q9" s="5">
        <f t="shared" si="16"/>
        <v>465737</v>
      </c>
      <c r="R9" s="5">
        <f t="shared" si="16"/>
        <v>641943</v>
      </c>
      <c r="S9" s="5">
        <f>SUM(S6:S8)</f>
        <v>534837</v>
      </c>
      <c r="T9" s="5">
        <f>SUM(T6:T8)</f>
        <v>541446</v>
      </c>
      <c r="U9" s="5">
        <f>SUM(U6:U8)</f>
        <v>580529</v>
      </c>
      <c r="V9" s="5">
        <f t="shared" ref="V9:Z9" si="17">SUM(V6:V8)</f>
        <v>615442</v>
      </c>
      <c r="W9" s="5">
        <f t="shared" si="17"/>
        <v>0</v>
      </c>
      <c r="X9" s="5">
        <f t="shared" si="17"/>
        <v>0</v>
      </c>
      <c r="Y9" s="5">
        <f t="shared" si="17"/>
        <v>0</v>
      </c>
      <c r="Z9" s="5">
        <f t="shared" si="17"/>
        <v>0</v>
      </c>
      <c r="AA9" s="4"/>
      <c r="AC9" s="5">
        <f t="shared" ref="AC9:AD9" si="18">SUM(AC6:AC8)</f>
        <v>1053448</v>
      </c>
      <c r="AD9" s="5">
        <f t="shared" si="18"/>
        <v>1076626</v>
      </c>
      <c r="AE9" s="5">
        <f t="shared" ref="AE9:AF9" si="19">SUM(AE6:AE8)</f>
        <v>1913805</v>
      </c>
      <c r="AF9" s="5">
        <f t="shared" si="19"/>
        <v>1613531</v>
      </c>
      <c r="AG9" s="5">
        <f t="shared" ref="AG9:AJ9" si="20">SUM(AG6:AG8)</f>
        <v>1658523</v>
      </c>
      <c r="AH9" s="5">
        <f t="shared" si="20"/>
        <v>1673941</v>
      </c>
      <c r="AI9" s="5">
        <f t="shared" si="20"/>
        <v>1989114</v>
      </c>
      <c r="AJ9" s="5">
        <f t="shared" si="20"/>
        <v>2272254</v>
      </c>
    </row>
    <row r="10" spans="1:46" s="5" customFormat="1" x14ac:dyDescent="0.25">
      <c r="A10" s="3"/>
      <c r="B10" s="5" t="s">
        <v>25</v>
      </c>
      <c r="C10" s="5">
        <f>C5-C9</f>
        <v>-114000</v>
      </c>
      <c r="D10" s="5">
        <f t="shared" ref="D10" si="21">D5-D9</f>
        <v>-146200</v>
      </c>
      <c r="E10" s="5">
        <f>E5-E9</f>
        <v>-92000</v>
      </c>
      <c r="F10" s="5">
        <f t="shared" ref="F10" si="22">F5-F9</f>
        <v>-58900</v>
      </c>
      <c r="G10" s="5">
        <f t="shared" ref="G10" si="23">G5-G9</f>
        <v>-39400</v>
      </c>
      <c r="H10" s="5">
        <f t="shared" ref="H10" si="24">H5-H9</f>
        <v>-41700</v>
      </c>
      <c r="I10" s="5">
        <f t="shared" ref="I10" si="25">I5-I9</f>
        <v>-62200</v>
      </c>
      <c r="J10" s="5">
        <f t="shared" ref="J10" si="26">J5-J9</f>
        <v>-17800</v>
      </c>
      <c r="K10" s="5">
        <f t="shared" ref="K10:R10" si="27">K5-K9</f>
        <v>4115</v>
      </c>
      <c r="L10" s="5">
        <f t="shared" si="27"/>
        <v>10074</v>
      </c>
      <c r="M10" s="5">
        <f t="shared" si="27"/>
        <v>39983</v>
      </c>
      <c r="N10" s="5">
        <f t="shared" si="27"/>
        <v>65794</v>
      </c>
      <c r="O10" s="5">
        <f t="shared" si="27"/>
        <v>80881</v>
      </c>
      <c r="P10" s="5">
        <f t="shared" si="27"/>
        <v>105339</v>
      </c>
      <c r="Q10" s="5">
        <f t="shared" si="27"/>
        <v>113140</v>
      </c>
      <c r="R10" s="5">
        <f t="shared" si="27"/>
        <v>11043</v>
      </c>
      <c r="S10" s="5">
        <f>S5-S9</f>
        <v>176048</v>
      </c>
      <c r="T10" s="5">
        <f>T5-T9</f>
        <v>269317</v>
      </c>
      <c r="U10" s="5">
        <f>U5-U9</f>
        <v>393256</v>
      </c>
      <c r="V10" s="5">
        <f t="shared" ref="V10:Z10" si="28">V5-V9</f>
        <v>575394</v>
      </c>
      <c r="W10" s="5">
        <f t="shared" si="28"/>
        <v>1536000</v>
      </c>
      <c r="X10" s="5">
        <f t="shared" si="28"/>
        <v>0</v>
      </c>
      <c r="Y10" s="5">
        <f t="shared" si="28"/>
        <v>0</v>
      </c>
      <c r="Z10" s="5">
        <f t="shared" si="28"/>
        <v>0</v>
      </c>
      <c r="AA10" s="4"/>
      <c r="AC10" s="5">
        <f t="shared" ref="AC10:AD10" si="29">AC5-AC9</f>
        <v>-623440</v>
      </c>
      <c r="AD10" s="5">
        <f t="shared" si="29"/>
        <v>-576444</v>
      </c>
      <c r="AE10" s="5">
        <f t="shared" ref="AE10:AF10" si="30">AE5-AE9</f>
        <v>-1173679</v>
      </c>
      <c r="AF10" s="5">
        <f t="shared" si="30"/>
        <v>-411046</v>
      </c>
      <c r="AG10" s="5">
        <f t="shared" ref="AG10:AJ10" si="31">AG5-AG9</f>
        <v>-161201</v>
      </c>
      <c r="AH10" s="5">
        <f t="shared" si="31"/>
        <v>119966</v>
      </c>
      <c r="AI10" s="5">
        <f t="shared" si="31"/>
        <v>310403</v>
      </c>
      <c r="AJ10" s="5">
        <f t="shared" si="31"/>
        <v>1414015</v>
      </c>
    </row>
    <row r="11" spans="1:46" s="4" customFormat="1" x14ac:dyDescent="0.25">
      <c r="A11" s="2"/>
      <c r="B11" s="4" t="s">
        <v>26</v>
      </c>
      <c r="K11" s="4">
        <v>20853</v>
      </c>
      <c r="L11" s="4">
        <v>30310</v>
      </c>
      <c r="M11" s="4">
        <v>36864</v>
      </c>
      <c r="N11" s="4">
        <f t="shared" ref="N11:N12" si="32">AH11-SUM(K11:M11)</f>
        <v>44545</v>
      </c>
      <c r="O11" s="4">
        <v>43352</v>
      </c>
      <c r="P11" s="4">
        <v>46593</v>
      </c>
      <c r="Q11" s="4">
        <v>52120</v>
      </c>
      <c r="R11" s="4">
        <v>54727</v>
      </c>
      <c r="S11" s="4">
        <v>50441</v>
      </c>
      <c r="T11" s="4">
        <v>56255</v>
      </c>
      <c r="U11" s="4">
        <v>59762</v>
      </c>
      <c r="V11" s="4">
        <v>62723</v>
      </c>
      <c r="AC11" s="4">
        <v>10500</v>
      </c>
      <c r="AD11" s="4">
        <v>15090</v>
      </c>
      <c r="AE11" s="4">
        <v>4680</v>
      </c>
      <c r="AF11" s="4">
        <v>1607</v>
      </c>
      <c r="AG11" s="4">
        <v>20309</v>
      </c>
      <c r="AH11" s="4">
        <v>132572</v>
      </c>
      <c r="AI11" s="4">
        <v>196792</v>
      </c>
      <c r="AJ11" s="4">
        <f t="shared" ref="AJ11:AJ12" si="33">SUM(S11:V11)</f>
        <v>229181</v>
      </c>
    </row>
    <row r="12" spans="1:46" s="4" customFormat="1" x14ac:dyDescent="0.25">
      <c r="A12" s="2"/>
      <c r="B12" s="4" t="s">
        <v>27</v>
      </c>
      <c r="K12" s="4">
        <v>-4136</v>
      </c>
      <c r="L12" s="4">
        <v>-10341</v>
      </c>
      <c r="M12" s="4">
        <v>3122</v>
      </c>
      <c r="N12" s="4">
        <f t="shared" si="32"/>
        <v>-4092</v>
      </c>
      <c r="O12" s="4">
        <v>-13507</v>
      </c>
      <c r="P12" s="4">
        <v>-11173</v>
      </c>
      <c r="Q12" s="4">
        <v>-8110</v>
      </c>
      <c r="R12" s="4">
        <v>14768</v>
      </c>
      <c r="S12" s="4">
        <v>-3173</v>
      </c>
      <c r="T12" s="4">
        <v>6596</v>
      </c>
      <c r="U12" s="4">
        <v>27483</v>
      </c>
      <c r="V12" s="4">
        <v>-16734</v>
      </c>
      <c r="AC12" s="4">
        <f>-3440+48093-2638</f>
        <v>42015</v>
      </c>
      <c r="AD12" s="4">
        <f>-3061-3-2853</f>
        <v>-5917</v>
      </c>
      <c r="AE12" s="4">
        <f>-14139+4111</f>
        <v>-10028</v>
      </c>
      <c r="AF12" s="4">
        <f>-3640-75415</f>
        <v>-79055</v>
      </c>
      <c r="AG12" s="4">
        <v>-220135</v>
      </c>
      <c r="AH12" s="4">
        <v>-15447</v>
      </c>
      <c r="AI12" s="4">
        <v>-18022</v>
      </c>
      <c r="AJ12" s="4">
        <f t="shared" si="33"/>
        <v>14172</v>
      </c>
    </row>
    <row r="13" spans="1:46" s="5" customFormat="1" x14ac:dyDescent="0.25">
      <c r="A13" s="3"/>
      <c r="B13" s="5" t="s">
        <v>28</v>
      </c>
      <c r="C13" s="5">
        <v>-120400</v>
      </c>
      <c r="D13" s="5">
        <v>-144200</v>
      </c>
      <c r="E13" s="5">
        <v>-100700</v>
      </c>
      <c r="F13" s="5">
        <v>-123200</v>
      </c>
      <c r="G13" s="5">
        <v>-99400</v>
      </c>
      <c r="H13" s="5">
        <v>-176700</v>
      </c>
      <c r="I13" s="5">
        <v>-122800</v>
      </c>
      <c r="J13" s="5">
        <v>37800</v>
      </c>
      <c r="K13" s="5">
        <f t="shared" ref="K13:R13" si="34">K10+K11+K12</f>
        <v>20832</v>
      </c>
      <c r="L13" s="5">
        <f t="shared" si="34"/>
        <v>30043</v>
      </c>
      <c r="M13" s="5">
        <f t="shared" si="34"/>
        <v>79969</v>
      </c>
      <c r="N13" s="5">
        <f t="shared" si="34"/>
        <v>106247</v>
      </c>
      <c r="O13" s="5">
        <f t="shared" si="34"/>
        <v>110726</v>
      </c>
      <c r="P13" s="5">
        <f t="shared" si="34"/>
        <v>140759</v>
      </c>
      <c r="Q13" s="5">
        <f t="shared" si="34"/>
        <v>157150</v>
      </c>
      <c r="R13" s="5">
        <f t="shared" si="34"/>
        <v>80538</v>
      </c>
      <c r="S13" s="5">
        <f>S10+S11+S12</f>
        <v>223316</v>
      </c>
      <c r="T13" s="5">
        <f>T10+T11+T12</f>
        <v>332168</v>
      </c>
      <c r="U13" s="5">
        <f>U10+U11+U12</f>
        <v>480501</v>
      </c>
      <c r="V13" s="5">
        <f t="shared" ref="V13:Z13" si="35">V10+V11+V12</f>
        <v>621383</v>
      </c>
      <c r="W13" s="5">
        <f t="shared" si="35"/>
        <v>1536000</v>
      </c>
      <c r="X13" s="5">
        <f t="shared" si="35"/>
        <v>0</v>
      </c>
      <c r="Y13" s="5">
        <f t="shared" si="35"/>
        <v>0</v>
      </c>
      <c r="Z13" s="5">
        <f t="shared" si="35"/>
        <v>0</v>
      </c>
      <c r="AA13" s="4"/>
      <c r="AC13" s="5">
        <f t="shared" ref="AC13:AD13" si="36">AC10+AC11+AC12</f>
        <v>-570925</v>
      </c>
      <c r="AD13" s="5">
        <f t="shared" si="36"/>
        <v>-567271</v>
      </c>
      <c r="AE13" s="5">
        <f t="shared" ref="AE13:AF13" si="37">AE10+AE11+AE12</f>
        <v>-1179027</v>
      </c>
      <c r="AF13" s="5">
        <f t="shared" si="37"/>
        <v>-488494</v>
      </c>
      <c r="AG13" s="5">
        <f t="shared" ref="AG13:AJ13" si="38">AG10+AG11+AG12</f>
        <v>-361027</v>
      </c>
      <c r="AH13" s="5">
        <f t="shared" si="38"/>
        <v>237091</v>
      </c>
      <c r="AI13" s="5">
        <f t="shared" si="38"/>
        <v>489173</v>
      </c>
      <c r="AJ13" s="5">
        <f t="shared" si="38"/>
        <v>1657368</v>
      </c>
    </row>
    <row r="14" spans="1:46" s="4" customFormat="1" x14ac:dyDescent="0.25">
      <c r="A14" s="2"/>
      <c r="B14" s="4" t="s">
        <v>29</v>
      </c>
      <c r="C14" s="4">
        <v>3100</v>
      </c>
      <c r="D14" s="4">
        <v>-5700</v>
      </c>
      <c r="E14" s="4">
        <v>1400</v>
      </c>
      <c r="F14" s="4">
        <v>3300</v>
      </c>
      <c r="G14" s="4">
        <v>200</v>
      </c>
      <c r="H14" s="4">
        <v>2600</v>
      </c>
      <c r="I14" s="4">
        <v>1100</v>
      </c>
      <c r="J14" s="4">
        <v>4400</v>
      </c>
      <c r="K14" s="4">
        <v>1681</v>
      </c>
      <c r="L14" s="4">
        <v>2171</v>
      </c>
      <c r="M14" s="4">
        <v>6530</v>
      </c>
      <c r="N14" s="4">
        <f>AH14-SUM(K14:M14)</f>
        <v>9334</v>
      </c>
      <c r="O14" s="4">
        <v>4655</v>
      </c>
      <c r="P14" s="4">
        <v>5189</v>
      </c>
      <c r="Q14" s="4">
        <v>7809</v>
      </c>
      <c r="R14" s="4">
        <v>3602</v>
      </c>
      <c r="S14" s="4">
        <v>5599</v>
      </c>
      <c r="T14" s="4">
        <v>3596</v>
      </c>
      <c r="U14" s="4">
        <v>3753</v>
      </c>
      <c r="V14" s="4">
        <v>9776</v>
      </c>
      <c r="AC14" s="4">
        <v>9102</v>
      </c>
      <c r="AD14" s="4">
        <v>12375</v>
      </c>
      <c r="AE14" s="4">
        <v>-12636</v>
      </c>
      <c r="AF14" s="4">
        <v>31885</v>
      </c>
      <c r="AG14" s="4">
        <v>10067</v>
      </c>
      <c r="AH14" s="4">
        <v>19716</v>
      </c>
      <c r="AI14" s="4">
        <v>21255</v>
      </c>
      <c r="AJ14" s="4">
        <f>SUM(S14:V14)</f>
        <v>22724</v>
      </c>
    </row>
    <row r="15" spans="1:46" s="5" customFormat="1" x14ac:dyDescent="0.25">
      <c r="A15" s="3"/>
      <c r="B15" s="5" t="s">
        <v>30</v>
      </c>
      <c r="C15" s="5">
        <f t="shared" ref="C15" si="39">C13-C14</f>
        <v>-123500</v>
      </c>
      <c r="D15" s="5">
        <f t="shared" ref="D15" si="40">D13-D14</f>
        <v>-138500</v>
      </c>
      <c r="E15" s="5">
        <f t="shared" ref="E15" si="41">E13-E14</f>
        <v>-102100</v>
      </c>
      <c r="F15" s="5">
        <f t="shared" ref="F15" si="42">F13-F14</f>
        <v>-126500</v>
      </c>
      <c r="G15" s="5">
        <f t="shared" ref="G15" si="43">G13-G14</f>
        <v>-99600</v>
      </c>
      <c r="H15" s="5">
        <f t="shared" ref="H15" si="44">H13-H14</f>
        <v>-179300</v>
      </c>
      <c r="I15" s="5">
        <f t="shared" ref="I15" si="45">I13-I14</f>
        <v>-123900</v>
      </c>
      <c r="J15" s="5">
        <f t="shared" ref="J15" si="46">J13-J14</f>
        <v>33400</v>
      </c>
      <c r="K15" s="5">
        <f t="shared" ref="K15:R15" si="47">K13-K14</f>
        <v>19151</v>
      </c>
      <c r="L15" s="5">
        <f t="shared" si="47"/>
        <v>27872</v>
      </c>
      <c r="M15" s="5">
        <f t="shared" si="47"/>
        <v>73439</v>
      </c>
      <c r="N15" s="5">
        <f t="shared" si="47"/>
        <v>96913</v>
      </c>
      <c r="O15" s="5">
        <f t="shared" si="47"/>
        <v>106071</v>
      </c>
      <c r="P15" s="5">
        <f t="shared" si="47"/>
        <v>135570</v>
      </c>
      <c r="Q15" s="5">
        <f t="shared" si="47"/>
        <v>149341</v>
      </c>
      <c r="R15" s="5">
        <f t="shared" si="47"/>
        <v>76936</v>
      </c>
      <c r="S15" s="5">
        <f>S13-S14</f>
        <v>217717</v>
      </c>
      <c r="T15" s="5">
        <f>T13-T14</f>
        <v>328572</v>
      </c>
      <c r="U15" s="5">
        <f>U13-U14</f>
        <v>476748</v>
      </c>
      <c r="V15" s="5">
        <f t="shared" ref="V15:Z15" si="48">V13-V14</f>
        <v>611607</v>
      </c>
      <c r="W15" s="5">
        <f t="shared" si="48"/>
        <v>1536000</v>
      </c>
      <c r="X15" s="5">
        <f t="shared" si="48"/>
        <v>0</v>
      </c>
      <c r="Y15" s="5">
        <f t="shared" si="48"/>
        <v>0</v>
      </c>
      <c r="Z15" s="5">
        <f t="shared" si="48"/>
        <v>0</v>
      </c>
      <c r="AA15" s="4"/>
      <c r="AC15" s="5">
        <f t="shared" ref="AC15:AD15" si="49">AC13-AC14</f>
        <v>-580027</v>
      </c>
      <c r="AD15" s="5">
        <f t="shared" si="49"/>
        <v>-579646</v>
      </c>
      <c r="AE15" s="5">
        <f t="shared" ref="AE15:AF15" si="50">AE13-AE14</f>
        <v>-1166391</v>
      </c>
      <c r="AF15" s="5">
        <f t="shared" si="50"/>
        <v>-520379</v>
      </c>
      <c r="AG15" s="5">
        <f t="shared" ref="AG15:AJ15" si="51">AG13-AG14</f>
        <v>-371094</v>
      </c>
      <c r="AH15" s="5">
        <f t="shared" si="51"/>
        <v>217375</v>
      </c>
      <c r="AI15" s="5">
        <f t="shared" si="51"/>
        <v>467918</v>
      </c>
      <c r="AJ15" s="5">
        <f t="shared" si="51"/>
        <v>1634644</v>
      </c>
    </row>
    <row r="16" spans="1:46" s="4" customFormat="1" x14ac:dyDescent="0.25">
      <c r="A16" s="2"/>
      <c r="B16" s="4" t="s">
        <v>31</v>
      </c>
      <c r="K16" s="4">
        <v>2349</v>
      </c>
      <c r="L16" s="4">
        <v>-255</v>
      </c>
      <c r="M16" s="4">
        <v>1934</v>
      </c>
      <c r="N16" s="4">
        <f>AH16-SUM(K16:M16)</f>
        <v>3522</v>
      </c>
      <c r="O16" s="4">
        <v>541</v>
      </c>
      <c r="P16" s="4">
        <v>1444</v>
      </c>
      <c r="Q16" s="4">
        <v>5816</v>
      </c>
      <c r="R16" s="4">
        <v>-2073</v>
      </c>
      <c r="S16" s="4">
        <v>3686</v>
      </c>
      <c r="T16" s="4">
        <v>1845</v>
      </c>
      <c r="U16" s="4">
        <v>1149</v>
      </c>
      <c r="V16" s="4">
        <v>2931</v>
      </c>
      <c r="AC16" s="4">
        <v>18098</v>
      </c>
      <c r="AD16" s="4">
        <v>8481</v>
      </c>
      <c r="AG16" s="4">
        <v>2611</v>
      </c>
      <c r="AH16" s="4">
        <v>7550</v>
      </c>
      <c r="AI16" s="4">
        <v>5728</v>
      </c>
      <c r="AJ16" s="4">
        <f>SUM(S16:V16)</f>
        <v>9611</v>
      </c>
    </row>
    <row r="17" spans="1:38" s="5" customFormat="1" x14ac:dyDescent="0.25">
      <c r="A17" s="3"/>
      <c r="B17" s="5" t="s">
        <v>32</v>
      </c>
      <c r="C17" s="5">
        <f t="shared" ref="C17" si="52">C15-C16</f>
        <v>-123500</v>
      </c>
      <c r="D17" s="5">
        <f t="shared" ref="D17" si="53">D15-D16</f>
        <v>-138500</v>
      </c>
      <c r="E17" s="5">
        <f t="shared" ref="E17" si="54">E15-E16</f>
        <v>-102100</v>
      </c>
      <c r="F17" s="5">
        <f t="shared" ref="F17" si="55">F15-F16</f>
        <v>-126500</v>
      </c>
      <c r="G17" s="5">
        <f t="shared" ref="G17" si="56">G15-G16</f>
        <v>-99600</v>
      </c>
      <c r="H17" s="5">
        <f t="shared" ref="H17" si="57">H15-H16</f>
        <v>-179300</v>
      </c>
      <c r="I17" s="5">
        <f t="shared" ref="I17" si="58">I15-I16</f>
        <v>-123900</v>
      </c>
      <c r="J17" s="5">
        <f t="shared" ref="J17" si="59">J15-J16</f>
        <v>33400</v>
      </c>
      <c r="K17" s="5">
        <f t="shared" ref="K17:R17" si="60">K15-K16</f>
        <v>16802</v>
      </c>
      <c r="L17" s="5">
        <f t="shared" si="60"/>
        <v>28127</v>
      </c>
      <c r="M17" s="5">
        <f t="shared" si="60"/>
        <v>71505</v>
      </c>
      <c r="N17" s="5">
        <f t="shared" si="60"/>
        <v>93391</v>
      </c>
      <c r="O17" s="5">
        <f t="shared" si="60"/>
        <v>105530</v>
      </c>
      <c r="P17" s="5">
        <f t="shared" si="60"/>
        <v>134126</v>
      </c>
      <c r="Q17" s="5">
        <f t="shared" si="60"/>
        <v>143525</v>
      </c>
      <c r="R17" s="5">
        <f t="shared" si="60"/>
        <v>79009</v>
      </c>
      <c r="S17" s="5">
        <f>S15-S16</f>
        <v>214031</v>
      </c>
      <c r="T17" s="5">
        <f>T15-T16</f>
        <v>326727</v>
      </c>
      <c r="U17" s="5">
        <f>U15-U16</f>
        <v>475599</v>
      </c>
      <c r="V17" s="5">
        <f t="shared" ref="V17:Z17" si="61">V15-V16</f>
        <v>608676</v>
      </c>
      <c r="W17" s="5">
        <f t="shared" si="61"/>
        <v>1536000</v>
      </c>
      <c r="X17" s="5">
        <f t="shared" si="61"/>
        <v>0</v>
      </c>
      <c r="Y17" s="5">
        <f t="shared" si="61"/>
        <v>0</v>
      </c>
      <c r="Z17" s="5">
        <f t="shared" si="61"/>
        <v>0</v>
      </c>
      <c r="AA17" s="4"/>
      <c r="AC17" s="5">
        <f t="shared" ref="AC17:AD17" si="62">AC15-AC16</f>
        <v>-598125</v>
      </c>
      <c r="AD17" s="5">
        <f t="shared" si="62"/>
        <v>-588127</v>
      </c>
      <c r="AE17" s="5">
        <f t="shared" ref="AE17:AF17" si="63">AE15-AE16</f>
        <v>-1166391</v>
      </c>
      <c r="AF17" s="5">
        <f t="shared" si="63"/>
        <v>-520379</v>
      </c>
      <c r="AG17" s="5">
        <f t="shared" ref="AG17:AJ17" si="64">AG15-AG16</f>
        <v>-373705</v>
      </c>
      <c r="AH17" s="5">
        <f t="shared" si="64"/>
        <v>209825</v>
      </c>
      <c r="AI17" s="5">
        <f t="shared" si="64"/>
        <v>462190</v>
      </c>
      <c r="AJ17" s="5">
        <f t="shared" si="64"/>
        <v>1625033</v>
      </c>
      <c r="AK17" s="5">
        <v>1460000</v>
      </c>
      <c r="AL17" s="5">
        <f>+AK17*1.33</f>
        <v>1941800</v>
      </c>
    </row>
    <row r="18" spans="1:38" s="4" customFormat="1" x14ac:dyDescent="0.25">
      <c r="A18" s="2"/>
      <c r="B18" s="4" t="s">
        <v>1</v>
      </c>
      <c r="C18" s="4">
        <f t="shared" ref="C18:H18" si="65">C17/C19</f>
        <v>1764285.7142857141</v>
      </c>
      <c r="D18" s="4">
        <v>1923617</v>
      </c>
      <c r="E18" s="4">
        <v>1923617</v>
      </c>
      <c r="F18" s="4">
        <v>1923617</v>
      </c>
      <c r="G18" s="4">
        <f t="shared" si="65"/>
        <v>1992000</v>
      </c>
      <c r="H18" s="4">
        <f t="shared" si="65"/>
        <v>1992222.2222222222</v>
      </c>
      <c r="I18" s="4">
        <v>2063793</v>
      </c>
      <c r="J18" s="4">
        <v>2063793</v>
      </c>
      <c r="K18" s="4">
        <v>2107780</v>
      </c>
      <c r="L18" s="4">
        <v>2131224</v>
      </c>
      <c r="M18" s="4">
        <v>2162530</v>
      </c>
      <c r="N18" s="4">
        <v>2147446</v>
      </c>
      <c r="O18" s="4">
        <v>2213545</v>
      </c>
      <c r="P18" s="4">
        <v>2231592</v>
      </c>
      <c r="Q18" s="4">
        <v>2250032</v>
      </c>
      <c r="R18" s="4">
        <v>2250163</v>
      </c>
      <c r="S18" s="4">
        <v>2348679</v>
      </c>
      <c r="T18" s="4">
        <v>2365196</v>
      </c>
      <c r="U18" s="4">
        <v>2377167</v>
      </c>
      <c r="V18" s="4">
        <v>2386904</v>
      </c>
      <c r="AC18" s="4">
        <v>537280.39399999997</v>
      </c>
      <c r="AD18" s="4">
        <v>576958.56000000006</v>
      </c>
      <c r="AE18" s="4">
        <v>977722</v>
      </c>
      <c r="AF18" s="4">
        <v>1923617</v>
      </c>
      <c r="AG18" s="4">
        <v>2063793</v>
      </c>
      <c r="AH18" s="4">
        <v>2147446</v>
      </c>
      <c r="AI18" s="4">
        <v>2250163</v>
      </c>
      <c r="AJ18" s="4">
        <v>2386904</v>
      </c>
    </row>
    <row r="19" spans="1:38" s="6" customFormat="1" x14ac:dyDescent="0.25">
      <c r="B19" s="6" t="s">
        <v>33</v>
      </c>
      <c r="C19" s="6">
        <v>-7.0000000000000007E-2</v>
      </c>
      <c r="D19" s="6">
        <f t="shared" ref="D19:F19" si="66">D17/D18</f>
        <v>-7.1999779581902221E-2</v>
      </c>
      <c r="E19" s="6">
        <f t="shared" si="66"/>
        <v>-5.3077093828969073E-2</v>
      </c>
      <c r="F19" s="6">
        <f t="shared" si="66"/>
        <v>-6.5761531531484702E-2</v>
      </c>
      <c r="G19" s="6">
        <v>-0.05</v>
      </c>
      <c r="H19" s="6">
        <v>-0.09</v>
      </c>
      <c r="I19" s="6">
        <v>-0.06</v>
      </c>
      <c r="J19" s="6">
        <f t="shared" ref="J19:R19" si="67">J17/J18</f>
        <v>1.6183793626589487E-2</v>
      </c>
      <c r="K19" s="6">
        <f t="shared" si="67"/>
        <v>7.9714201671901245E-3</v>
      </c>
      <c r="L19" s="6">
        <f t="shared" si="67"/>
        <v>1.3197580357578556E-2</v>
      </c>
      <c r="M19" s="6">
        <f t="shared" si="67"/>
        <v>3.3065437242489122E-2</v>
      </c>
      <c r="N19" s="6">
        <f t="shared" si="67"/>
        <v>4.3489335703901288E-2</v>
      </c>
      <c r="O19" s="6">
        <f t="shared" si="67"/>
        <v>4.7674657619339117E-2</v>
      </c>
      <c r="P19" s="6">
        <f t="shared" si="67"/>
        <v>6.010328052798182E-2</v>
      </c>
      <c r="Q19" s="6">
        <f t="shared" si="67"/>
        <v>6.3787981682038294E-2</v>
      </c>
      <c r="R19" s="6">
        <f t="shared" si="67"/>
        <v>3.5112567400672749E-2</v>
      </c>
      <c r="S19" s="6">
        <f>S17/S18</f>
        <v>9.1128246984794437E-2</v>
      </c>
      <c r="T19" s="6">
        <f>T17/T18</f>
        <v>0.13813950302638767</v>
      </c>
      <c r="U19" s="6">
        <f>U17/U18</f>
        <v>0.20006966275402613</v>
      </c>
      <c r="V19" s="6">
        <f t="shared" ref="V19:Z19" si="68">V17/V18</f>
        <v>0.25500648538860382</v>
      </c>
      <c r="W19" s="6" t="e">
        <f t="shared" si="68"/>
        <v>#DIV/0!</v>
      </c>
      <c r="X19" s="6" t="e">
        <f t="shared" si="68"/>
        <v>#DIV/0!</v>
      </c>
      <c r="Y19" s="6" t="e">
        <f t="shared" si="68"/>
        <v>#DIV/0!</v>
      </c>
      <c r="Z19" s="6" t="e">
        <f t="shared" si="68"/>
        <v>#DIV/0!</v>
      </c>
      <c r="AC19" s="6">
        <f t="shared" ref="AC19:AD19" si="69">AC17/AC18</f>
        <v>-1.1132455356262265</v>
      </c>
      <c r="AD19" s="6">
        <f t="shared" si="69"/>
        <v>-1.019357438773419</v>
      </c>
      <c r="AE19" s="6">
        <f t="shared" ref="AE19:AF19" si="70">AE17/AE18</f>
        <v>-1.1929679397620183</v>
      </c>
      <c r="AF19" s="6">
        <f t="shared" si="70"/>
        <v>-0.27052110685235159</v>
      </c>
      <c r="AG19" s="6">
        <f t="shared" ref="AG19:AJ19" si="71">AG17/AG18</f>
        <v>-0.18107678434804267</v>
      </c>
      <c r="AH19" s="6">
        <f t="shared" si="71"/>
        <v>9.7709092568567496E-2</v>
      </c>
      <c r="AI19" s="6">
        <f t="shared" si="71"/>
        <v>0.20540289747898263</v>
      </c>
      <c r="AJ19" s="6">
        <f t="shared" si="71"/>
        <v>0.68081204774050397</v>
      </c>
      <c r="AK19" s="6">
        <v>0.83</v>
      </c>
    </row>
    <row r="22" spans="1:38" s="7" customFormat="1" x14ac:dyDescent="0.25">
      <c r="B22" s="7" t="s">
        <v>35</v>
      </c>
      <c r="C22" s="7">
        <f t="shared" ref="C22:J22" si="72">C5/C3</f>
        <v>0.78282532239155922</v>
      </c>
      <c r="D22" s="7">
        <f t="shared" si="72"/>
        <v>0.75798722044728439</v>
      </c>
      <c r="E22" s="7">
        <f t="shared" si="72"/>
        <v>0.7786279010456516</v>
      </c>
      <c r="F22" s="7">
        <f t="shared" si="72"/>
        <v>0.79764379764379767</v>
      </c>
      <c r="G22" s="7">
        <f t="shared" si="72"/>
        <v>0.78853046594982079</v>
      </c>
      <c r="H22" s="7">
        <f t="shared" si="72"/>
        <v>0.78393234672304435</v>
      </c>
      <c r="I22" s="7">
        <f t="shared" si="72"/>
        <v>0.77484829462230587</v>
      </c>
      <c r="J22" s="7">
        <f t="shared" si="72"/>
        <v>0.79492725127801811</v>
      </c>
      <c r="K22" s="7">
        <f t="shared" ref="K22:R22" si="73">K5/K3</f>
        <v>0.79503452110299966</v>
      </c>
      <c r="L22" s="7">
        <f t="shared" si="73"/>
        <v>0.79955823647099189</v>
      </c>
      <c r="M22" s="7">
        <f t="shared" si="73"/>
        <v>0.80664649320354953</v>
      </c>
      <c r="N22" s="7">
        <f t="shared" si="73"/>
        <v>0.82142023506205308</v>
      </c>
      <c r="O22" s="7">
        <f t="shared" si="73"/>
        <v>0.81672862101907817</v>
      </c>
      <c r="P22" s="7">
        <f t="shared" si="73"/>
        <v>0.81041799998230435</v>
      </c>
      <c r="Q22" s="7">
        <f t="shared" si="73"/>
        <v>0.79788316177727303</v>
      </c>
      <c r="R22" s="7">
        <f t="shared" si="73"/>
        <v>0.7890888305887841</v>
      </c>
      <c r="S22" s="7">
        <f>S5/S3</f>
        <v>0.80430047915099201</v>
      </c>
      <c r="T22" s="7">
        <f>T5/T3</f>
        <v>0.80777664972596308</v>
      </c>
      <c r="U22" s="7">
        <f t="shared" ref="U22:Z22" si="74">U5/U3</f>
        <v>0.82447853342499988</v>
      </c>
      <c r="V22" s="7">
        <f t="shared" si="74"/>
        <v>0.84648443775314508</v>
      </c>
      <c r="W22" s="7">
        <f t="shared" si="74"/>
        <v>1</v>
      </c>
      <c r="X22" s="7" t="e">
        <f t="shared" si="74"/>
        <v>#DIV/0!</v>
      </c>
      <c r="Y22" s="7" t="e">
        <f t="shared" si="74"/>
        <v>#DIV/0!</v>
      </c>
      <c r="Z22" s="7" t="e">
        <f t="shared" si="74"/>
        <v>#DIV/0!</v>
      </c>
      <c r="AC22" s="7">
        <f t="shared" ref="AC22:AD22" si="75">AC5/AC3</f>
        <v>0.72220608019025578</v>
      </c>
      <c r="AD22" s="7">
        <f t="shared" si="75"/>
        <v>0.67359589525355024</v>
      </c>
      <c r="AE22" s="7">
        <f t="shared" ref="AE22:AF22" si="76">AE5/AE3</f>
        <v>0.67735360899372454</v>
      </c>
      <c r="AF22" s="7">
        <f t="shared" si="76"/>
        <v>0.77987779924495215</v>
      </c>
      <c r="AG22" s="7">
        <f t="shared" ref="AG22:AI22" si="77">AG5/AG3</f>
        <v>0.78563659345254744</v>
      </c>
      <c r="AH22" s="7">
        <f t="shared" si="77"/>
        <v>0.80624598878567844</v>
      </c>
      <c r="AI22" s="7">
        <f t="shared" si="77"/>
        <v>0.80248172487451608</v>
      </c>
      <c r="AJ22" s="7">
        <f t="shared" ref="AJ22" si="78">AJ5/AJ3</f>
        <v>0.82366517214150281</v>
      </c>
      <c r="AK22" s="7">
        <f>AK5/AK3</f>
        <v>0</v>
      </c>
      <c r="AL22" s="7" t="e">
        <f>AL5/AL3</f>
        <v>#DIV/0!</v>
      </c>
    </row>
    <row r="23" spans="1:38" s="7" customFormat="1" x14ac:dyDescent="0.25">
      <c r="B23" s="7" t="s">
        <v>36</v>
      </c>
      <c r="C23" s="7">
        <f t="shared" ref="C23:J23" si="79">C6/C$5</f>
        <v>0</v>
      </c>
      <c r="D23" s="7">
        <f t="shared" si="79"/>
        <v>0</v>
      </c>
      <c r="E23" s="7">
        <f t="shared" si="79"/>
        <v>0</v>
      </c>
      <c r="F23" s="7">
        <f t="shared" si="79"/>
        <v>0</v>
      </c>
      <c r="G23" s="7">
        <f t="shared" si="79"/>
        <v>0</v>
      </c>
      <c r="H23" s="7">
        <f t="shared" si="79"/>
        <v>0</v>
      </c>
      <c r="I23" s="7">
        <f t="shared" si="79"/>
        <v>0</v>
      </c>
      <c r="J23" s="7">
        <f t="shared" si="79"/>
        <v>0</v>
      </c>
      <c r="K23" s="7">
        <f t="shared" ref="K23:R23" si="80">K6/K$5</f>
        <v>0.44808294275292726</v>
      </c>
      <c r="L23" s="7">
        <f t="shared" si="80"/>
        <v>0.43188373849133949</v>
      </c>
      <c r="M23" s="7">
        <f t="shared" si="80"/>
        <v>0.39173368692488625</v>
      </c>
      <c r="N23" s="7">
        <f t="shared" si="80"/>
        <v>0.39495428357590689</v>
      </c>
      <c r="O23" s="7">
        <f t="shared" si="80"/>
        <v>0.37286954574758435</v>
      </c>
      <c r="P23" s="7">
        <f t="shared" si="80"/>
        <v>0.35811322265326473</v>
      </c>
      <c r="Q23" s="7">
        <f t="shared" si="80"/>
        <v>0.36186271004030218</v>
      </c>
      <c r="R23" s="7">
        <f t="shared" si="80"/>
        <v>0.44150257432778039</v>
      </c>
      <c r="S23" s="7">
        <f>S6/S$5</f>
        <v>0.33241522890481584</v>
      </c>
      <c r="T23" s="7">
        <f>T6/T$5</f>
        <v>0.30068959732992256</v>
      </c>
      <c r="U23" s="7">
        <f t="shared" ref="U23:Z23" si="81">U6/U$5</f>
        <v>0.28202940074040983</v>
      </c>
      <c r="V23" s="7">
        <f t="shared" si="81"/>
        <v>0.25370915894380081</v>
      </c>
      <c r="W23" s="7">
        <f t="shared" si="81"/>
        <v>0</v>
      </c>
      <c r="X23" s="7" t="e">
        <f t="shared" si="81"/>
        <v>#DIV/0!</v>
      </c>
      <c r="Y23" s="7" t="e">
        <f t="shared" si="81"/>
        <v>#DIV/0!</v>
      </c>
      <c r="Z23" s="7" t="e">
        <f t="shared" si="81"/>
        <v>#DIV/0!</v>
      </c>
      <c r="AC23" s="7">
        <f t="shared" ref="AC23:AD23" si="82">AC6/AC$5</f>
        <v>1.0738451377648788</v>
      </c>
      <c r="AD23" s="7">
        <f t="shared" si="82"/>
        <v>0.89991243187479752</v>
      </c>
      <c r="AE23" s="7">
        <f t="shared" ref="AE23:AF23" si="83">AE6/AE$5</f>
        <v>0.92376298089784714</v>
      </c>
      <c r="AF23" s="7">
        <f t="shared" si="83"/>
        <v>0.51103506488646433</v>
      </c>
      <c r="AG23" s="7">
        <f t="shared" ref="AG23:AI23" si="84">AG6/AG$5</f>
        <v>0.46917830633624563</v>
      </c>
      <c r="AH23" s="7">
        <f t="shared" si="84"/>
        <v>0.41529020177746118</v>
      </c>
      <c r="AI23" s="7">
        <f t="shared" si="84"/>
        <v>0.38606150769922554</v>
      </c>
      <c r="AJ23" s="7">
        <f t="shared" ref="AJ23:AL23" si="85">AJ6/AJ$5</f>
        <v>0.28670154022942979</v>
      </c>
      <c r="AK23" s="7" t="e">
        <f t="shared" si="85"/>
        <v>#DIV/0!</v>
      </c>
      <c r="AL23" s="7" t="e">
        <f t="shared" si="85"/>
        <v>#DIV/0!</v>
      </c>
    </row>
    <row r="24" spans="1:38" s="7" customFormat="1" x14ac:dyDescent="0.25">
      <c r="B24" s="7" t="s">
        <v>37</v>
      </c>
      <c r="C24" s="7">
        <f t="shared" ref="C24:J24" si="86">C7/C$5</f>
        <v>0.36877573942343689</v>
      </c>
      <c r="D24" s="7">
        <f t="shared" si="86"/>
        <v>0.38812785388127852</v>
      </c>
      <c r="E24" s="7">
        <f t="shared" si="86"/>
        <v>0.30887651490337376</v>
      </c>
      <c r="F24" s="7">
        <f t="shared" si="86"/>
        <v>0.24384593107442804</v>
      </c>
      <c r="G24" s="7">
        <f t="shared" si="86"/>
        <v>0.25170454545454546</v>
      </c>
      <c r="H24" s="7">
        <f t="shared" si="86"/>
        <v>0.23786407766990292</v>
      </c>
      <c r="I24" s="7">
        <f t="shared" si="86"/>
        <v>0.27248177153659198</v>
      </c>
      <c r="J24" s="7">
        <f t="shared" si="86"/>
        <v>0.20281968835023498</v>
      </c>
      <c r="K24" s="7">
        <f t="shared" ref="K24:R24" si="87">K7/K$5</f>
        <v>0.21578719215597988</v>
      </c>
      <c r="L24" s="7">
        <f t="shared" si="87"/>
        <v>0.23341650680787396</v>
      </c>
      <c r="M24" s="7">
        <f t="shared" si="87"/>
        <v>0.23478301427914633</v>
      </c>
      <c r="N24" s="7">
        <f t="shared" si="87"/>
        <v>0.21869240420963318</v>
      </c>
      <c r="O24" s="7">
        <f t="shared" si="87"/>
        <v>0.21239880945487394</v>
      </c>
      <c r="P24" s="7">
        <f t="shared" si="87"/>
        <v>0.19793766785789668</v>
      </c>
      <c r="Q24" s="7">
        <f t="shared" si="87"/>
        <v>0.20307422820391896</v>
      </c>
      <c r="R24" s="7">
        <f t="shared" si="87"/>
        <v>0.26264269065492979</v>
      </c>
      <c r="S24" s="7">
        <f t="shared" ref="S24:T25" si="88">S7/S$5</f>
        <v>0.18974799018125293</v>
      </c>
      <c r="T24" s="7">
        <f t="shared" si="88"/>
        <v>0.16656285498968257</v>
      </c>
      <c r="U24" s="7">
        <f t="shared" ref="U24:Z24" si="89">U7/U$5</f>
        <v>0.14807272652587583</v>
      </c>
      <c r="V24" s="7">
        <f t="shared" si="89"/>
        <v>0.12054892529281949</v>
      </c>
      <c r="W24" s="7">
        <f t="shared" si="89"/>
        <v>0</v>
      </c>
      <c r="X24" s="7" t="e">
        <f t="shared" si="89"/>
        <v>#DIV/0!</v>
      </c>
      <c r="Y24" s="7" t="e">
        <f t="shared" si="89"/>
        <v>#DIV/0!</v>
      </c>
      <c r="Z24" s="7" t="e">
        <f t="shared" si="89"/>
        <v>#DIV/0!</v>
      </c>
      <c r="AC24" s="7">
        <f t="shared" ref="AC24:AD24" si="90">AC7/AC$5</f>
        <v>0.66382718461051893</v>
      </c>
      <c r="AD24" s="7">
        <f t="shared" si="90"/>
        <v>0.61090363107828749</v>
      </c>
      <c r="AE24" s="7">
        <f t="shared" ref="AE24:AF24" si="91">AE7/AE$5</f>
        <v>0.75751966557045691</v>
      </c>
      <c r="AF24" s="7">
        <f t="shared" si="91"/>
        <v>0.32223853104196726</v>
      </c>
      <c r="AG24" s="7">
        <f t="shared" ref="AG24:AI24" si="92">AG7/AG$5</f>
        <v>0.24021486360315283</v>
      </c>
      <c r="AH24" s="7">
        <f t="shared" si="92"/>
        <v>0.22555461347773323</v>
      </c>
      <c r="AI24" s="7">
        <f t="shared" si="92"/>
        <v>0.22086290294874966</v>
      </c>
      <c r="AJ24" s="7">
        <f t="shared" ref="AJ24:AL24" si="93">AJ7/AJ$5</f>
        <v>0.15128494420781555</v>
      </c>
      <c r="AK24" s="7" t="e">
        <f t="shared" si="93"/>
        <v>#DIV/0!</v>
      </c>
      <c r="AL24" s="7" t="e">
        <f t="shared" si="93"/>
        <v>#DIV/0!</v>
      </c>
    </row>
    <row r="25" spans="1:38" s="7" customFormat="1" x14ac:dyDescent="0.25">
      <c r="B25" s="7" t="s">
        <v>38</v>
      </c>
      <c r="C25" s="7">
        <f t="shared" ref="C25:J25" si="94">C8/C$5</f>
        <v>0</v>
      </c>
      <c r="D25" s="7">
        <f t="shared" si="94"/>
        <v>0</v>
      </c>
      <c r="E25" s="7">
        <f t="shared" si="94"/>
        <v>0</v>
      </c>
      <c r="F25" s="7">
        <f t="shared" si="94"/>
        <v>0</v>
      </c>
      <c r="G25" s="7">
        <f t="shared" si="94"/>
        <v>0</v>
      </c>
      <c r="H25" s="7">
        <f t="shared" si="94"/>
        <v>0</v>
      </c>
      <c r="I25" s="7">
        <f t="shared" si="94"/>
        <v>0</v>
      </c>
      <c r="J25" s="7">
        <f t="shared" si="94"/>
        <v>0</v>
      </c>
      <c r="K25" s="7">
        <f t="shared" ref="K25:R25" si="95">K8/K$5</f>
        <v>0.32627454549373597</v>
      </c>
      <c r="L25" s="7">
        <f t="shared" si="95"/>
        <v>0.31107504842666117</v>
      </c>
      <c r="M25" s="7">
        <f t="shared" si="95"/>
        <v>0.28467895797102416</v>
      </c>
      <c r="N25" s="7">
        <f t="shared" si="95"/>
        <v>0.25468921036359016</v>
      </c>
      <c r="O25" s="7">
        <f t="shared" si="95"/>
        <v>0.25861543153400429</v>
      </c>
      <c r="P25" s="7">
        <f t="shared" si="95"/>
        <v>0.25227449724512896</v>
      </c>
      <c r="Q25" s="7">
        <f t="shared" si="95"/>
        <v>0.23961566965002928</v>
      </c>
      <c r="R25" s="7">
        <f t="shared" si="95"/>
        <v>0.27894319326907469</v>
      </c>
      <c r="S25" s="7">
        <f t="shared" si="88"/>
        <v>0.23019053714735857</v>
      </c>
      <c r="T25" s="7">
        <f t="shared" si="88"/>
        <v>0.20057032696361329</v>
      </c>
      <c r="U25" s="7">
        <f t="shared" ref="U25:Z25" si="96">U8/U$5</f>
        <v>0.16605513537382482</v>
      </c>
      <c r="V25" s="7">
        <f t="shared" si="96"/>
        <v>0.1425569935742621</v>
      </c>
      <c r="W25" s="7">
        <f t="shared" si="96"/>
        <v>0</v>
      </c>
      <c r="X25" s="7" t="e">
        <f t="shared" si="96"/>
        <v>#DIV/0!</v>
      </c>
      <c r="Y25" s="7" t="e">
        <f t="shared" si="96"/>
        <v>#DIV/0!</v>
      </c>
      <c r="Z25" s="7" t="e">
        <f t="shared" si="96"/>
        <v>#DIV/0!</v>
      </c>
      <c r="AC25" s="7">
        <f t="shared" ref="AC25:AD25" si="97">AC8/AC$5</f>
        <v>0.71216116909452842</v>
      </c>
      <c r="AD25" s="7">
        <f t="shared" si="97"/>
        <v>0.64165243851238152</v>
      </c>
      <c r="AE25" s="7">
        <f t="shared" ref="AE25:AF25" si="98">AE8/AE$5</f>
        <v>0.90450004458700273</v>
      </c>
      <c r="AF25" s="7">
        <f t="shared" si="98"/>
        <v>0.5085568634951787</v>
      </c>
      <c r="AG25" s="7">
        <f t="shared" ref="AG25:AI25" si="99">AG8/AG$5</f>
        <v>0.39826637156202876</v>
      </c>
      <c r="AH25" s="7">
        <f t="shared" si="99"/>
        <v>0.29228103798022975</v>
      </c>
      <c r="AI25" s="7">
        <f t="shared" si="99"/>
        <v>0.25808941616869979</v>
      </c>
      <c r="AJ25" s="7">
        <f t="shared" ref="AJ25:AL25" si="100">AJ8/AJ$5</f>
        <v>0.17842376668658744</v>
      </c>
      <c r="AK25" s="7" t="e">
        <f t="shared" si="100"/>
        <v>#DIV/0!</v>
      </c>
      <c r="AL25" s="7" t="e">
        <f t="shared" si="100"/>
        <v>#DIV/0!</v>
      </c>
    </row>
    <row r="26" spans="1:38" s="7" customFormat="1" x14ac:dyDescent="0.25">
      <c r="B26" s="7" t="s">
        <v>39</v>
      </c>
      <c r="C26" s="7">
        <f t="shared" ref="C26:J26" si="101">C10/C3</f>
        <v>-0.33411488862837047</v>
      </c>
      <c r="D26" s="7">
        <f t="shared" si="101"/>
        <v>-0.38924387646432373</v>
      </c>
      <c r="E26" s="7">
        <f t="shared" si="101"/>
        <v>-0.23463402193318031</v>
      </c>
      <c r="F26" s="7">
        <f t="shared" si="101"/>
        <v>-0.13605913605913605</v>
      </c>
      <c r="G26" s="7">
        <f t="shared" si="101"/>
        <v>-8.8261648745519714E-2</v>
      </c>
      <c r="H26" s="7">
        <f t="shared" si="101"/>
        <v>-8.8160676532769558E-2</v>
      </c>
      <c r="I26" s="7">
        <f t="shared" si="101"/>
        <v>-0.13015275162167816</v>
      </c>
      <c r="J26" s="7">
        <f t="shared" si="101"/>
        <v>-3.4998033818324815E-2</v>
      </c>
      <c r="K26" s="7">
        <f t="shared" ref="K26:R26" si="102">K10/K3</f>
        <v>7.8353192964016553E-3</v>
      </c>
      <c r="L26" s="7">
        <f t="shared" si="102"/>
        <v>1.8889328485684875E-2</v>
      </c>
      <c r="M26" s="7">
        <f t="shared" si="102"/>
        <v>7.163371010769333E-2</v>
      </c>
      <c r="N26" s="7">
        <f t="shared" si="102"/>
        <v>0.10815155749157557</v>
      </c>
      <c r="O26" s="7">
        <f t="shared" si="102"/>
        <v>0.12750457957744923</v>
      </c>
      <c r="P26" s="7">
        <f t="shared" si="102"/>
        <v>0.15533655590193088</v>
      </c>
      <c r="Q26" s="7">
        <f t="shared" si="102"/>
        <v>0.15594418317445791</v>
      </c>
      <c r="R26" s="7">
        <f t="shared" si="102"/>
        <v>1.3344708701552473E-2</v>
      </c>
      <c r="S26" s="7">
        <f>S10/S3</f>
        <v>0.19918199252139773</v>
      </c>
      <c r="T26" s="7">
        <f>T10/T3</f>
        <v>0.26832500246588364</v>
      </c>
      <c r="U26" s="7">
        <f t="shared" ref="U26:Z26" si="103">U10/U3</f>
        <v>0.33295966783281911</v>
      </c>
      <c r="V26" s="7">
        <f t="shared" si="103"/>
        <v>0.40900851719005232</v>
      </c>
      <c r="W26" s="7">
        <f t="shared" si="103"/>
        <v>1</v>
      </c>
      <c r="X26" s="7" t="e">
        <f t="shared" si="103"/>
        <v>#DIV/0!</v>
      </c>
      <c r="Y26" s="7" t="e">
        <f t="shared" si="103"/>
        <v>#DIV/0!</v>
      </c>
      <c r="Z26" s="7" t="e">
        <f t="shared" si="103"/>
        <v>#DIV/0!</v>
      </c>
      <c r="AC26" s="7">
        <f t="shared" ref="AC26:AD26" si="104">AC10/AC3</f>
        <v>-1.0470785628030479</v>
      </c>
      <c r="AD26" s="7">
        <f t="shared" si="104"/>
        <v>-0.77629805199614843</v>
      </c>
      <c r="AE26" s="7">
        <f t="shared" ref="AE26:AF26" si="105">AE10/AE3</f>
        <v>-1.0741356288660926</v>
      </c>
      <c r="AF26" s="7">
        <f t="shared" si="105"/>
        <v>-0.26658598641017611</v>
      </c>
      <c r="AG26" s="7">
        <f t="shared" ref="AG26:AI26" si="106">AG10/AG3</f>
        <v>-8.4581275437844425E-2</v>
      </c>
      <c r="AH26" s="7">
        <f t="shared" si="106"/>
        <v>5.3917012582404049E-2</v>
      </c>
      <c r="AI26" s="7">
        <f t="shared" si="106"/>
        <v>0.10832393709036481</v>
      </c>
      <c r="AJ26" s="7">
        <f t="shared" ref="AJ26" si="107">AJ10/AJ3</f>
        <v>0.31594951653980408</v>
      </c>
      <c r="AK26" s="7">
        <f>AK10/AK3</f>
        <v>0</v>
      </c>
      <c r="AL26" s="7" t="e">
        <f>AL10/AL3</f>
        <v>#DIV/0!</v>
      </c>
    </row>
    <row r="27" spans="1:38" s="7" customFormat="1" x14ac:dyDescent="0.25">
      <c r="B27" s="7" t="s">
        <v>40</v>
      </c>
      <c r="C27" s="7">
        <f t="shared" ref="C27:J27" si="108">(C11+C12)/C10</f>
        <v>0</v>
      </c>
      <c r="D27" s="7">
        <f t="shared" si="108"/>
        <v>0</v>
      </c>
      <c r="E27" s="7">
        <f t="shared" si="108"/>
        <v>0</v>
      </c>
      <c r="F27" s="7">
        <f t="shared" si="108"/>
        <v>0</v>
      </c>
      <c r="G27" s="7">
        <f t="shared" si="108"/>
        <v>0</v>
      </c>
      <c r="H27" s="7">
        <f t="shared" si="108"/>
        <v>0</v>
      </c>
      <c r="I27" s="7">
        <f t="shared" si="108"/>
        <v>0</v>
      </c>
      <c r="J27" s="7">
        <f t="shared" si="108"/>
        <v>0</v>
      </c>
      <c r="K27" s="7">
        <f t="shared" ref="K27:R27" si="109">(K11+K12)/K10</f>
        <v>4.0624544349939242</v>
      </c>
      <c r="L27" s="7">
        <f t="shared" si="109"/>
        <v>1.9822314869962279</v>
      </c>
      <c r="M27" s="7">
        <f t="shared" si="109"/>
        <v>1.0000750318885527</v>
      </c>
      <c r="N27" s="7">
        <f t="shared" si="109"/>
        <v>0.61484329878104382</v>
      </c>
      <c r="O27" s="7">
        <f t="shared" si="109"/>
        <v>0.36899889961795723</v>
      </c>
      <c r="P27" s="7">
        <f t="shared" si="109"/>
        <v>0.33624773350800746</v>
      </c>
      <c r="Q27" s="7">
        <f t="shared" si="109"/>
        <v>0.38898709563372813</v>
      </c>
      <c r="R27" s="7">
        <f t="shared" si="109"/>
        <v>6.2931268676989944</v>
      </c>
      <c r="S27" s="7">
        <f>(S11+S12)/S10</f>
        <v>0.26849495592111244</v>
      </c>
      <c r="T27" s="7">
        <f>(T11+T12)/T10</f>
        <v>0.2333718257666616</v>
      </c>
      <c r="U27" s="7">
        <f t="shared" ref="U27:Z27" si="110">(U11+U12)/U10</f>
        <v>0.22185294057814756</v>
      </c>
      <c r="V27" s="7">
        <f t="shared" si="110"/>
        <v>7.9926102809553104E-2</v>
      </c>
      <c r="W27" s="7">
        <f t="shared" si="110"/>
        <v>0</v>
      </c>
      <c r="X27" s="7" t="e">
        <f t="shared" si="110"/>
        <v>#DIV/0!</v>
      </c>
      <c r="Y27" s="7" t="e">
        <f t="shared" si="110"/>
        <v>#DIV/0!</v>
      </c>
      <c r="Z27" s="7" t="e">
        <f t="shared" si="110"/>
        <v>#DIV/0!</v>
      </c>
      <c r="AC27" s="7">
        <f t="shared" ref="AC27:AD27" si="111">(AC11+AC12)/AC10</f>
        <v>-8.4234248684717059E-2</v>
      </c>
      <c r="AD27" s="7">
        <f t="shared" si="111"/>
        <v>-1.5913080889036924E-2</v>
      </c>
      <c r="AE27" s="7">
        <f t="shared" ref="AE27:AF27" si="112">(AE11+AE12)/AE10</f>
        <v>4.5566121571571101E-3</v>
      </c>
      <c r="AF27" s="7">
        <f t="shared" si="112"/>
        <v>0.18841686818506931</v>
      </c>
      <c r="AG27" s="7">
        <f t="shared" ref="AG27:AI27" si="113">(AG11+AG12)/AG10</f>
        <v>1.2396076947413477</v>
      </c>
      <c r="AH27" s="7">
        <f t="shared" si="113"/>
        <v>0.97631829018221827</v>
      </c>
      <c r="AI27" s="7">
        <f t="shared" si="113"/>
        <v>0.57592871202920071</v>
      </c>
      <c r="AJ27" s="7">
        <f t="shared" ref="AJ27:AL27" si="114">(AJ11+AJ12)/AJ10</f>
        <v>0.17210072028938872</v>
      </c>
      <c r="AK27" s="7" t="e">
        <f t="shared" si="114"/>
        <v>#DIV/0!</v>
      </c>
      <c r="AL27" s="7" t="e">
        <f t="shared" si="114"/>
        <v>#DIV/0!</v>
      </c>
    </row>
    <row r="28" spans="1:38" s="7" customFormat="1" x14ac:dyDescent="0.25">
      <c r="B28" s="7" t="s">
        <v>41</v>
      </c>
      <c r="C28" s="7">
        <f t="shared" ref="C28:J28" si="115">C14/C13</f>
        <v>-2.5747508305647839E-2</v>
      </c>
      <c r="D28" s="7">
        <f t="shared" si="115"/>
        <v>3.9528432732316231E-2</v>
      </c>
      <c r="E28" s="7">
        <f t="shared" si="115"/>
        <v>-1.3902681231380337E-2</v>
      </c>
      <c r="F28" s="7">
        <f t="shared" si="115"/>
        <v>-2.6785714285714284E-2</v>
      </c>
      <c r="G28" s="7">
        <f t="shared" si="115"/>
        <v>-2.012072434607646E-3</v>
      </c>
      <c r="H28" s="7">
        <f t="shared" si="115"/>
        <v>-1.4714204867006225E-2</v>
      </c>
      <c r="I28" s="7">
        <f t="shared" si="115"/>
        <v>-8.9576547231270363E-3</v>
      </c>
      <c r="J28" s="7">
        <f t="shared" si="115"/>
        <v>0.1164021164021164</v>
      </c>
      <c r="K28" s="7">
        <f t="shared" ref="K28:R28" si="116">K14/K13</f>
        <v>8.0693164362519207E-2</v>
      </c>
      <c r="L28" s="7">
        <f t="shared" si="116"/>
        <v>7.2263089571614023E-2</v>
      </c>
      <c r="M28" s="7">
        <f t="shared" si="116"/>
        <v>8.1656641948755146E-2</v>
      </c>
      <c r="N28" s="7">
        <f t="shared" si="116"/>
        <v>8.7851892288723449E-2</v>
      </c>
      <c r="O28" s="7">
        <f t="shared" si="116"/>
        <v>4.2040713111644964E-2</v>
      </c>
      <c r="P28" s="7">
        <f t="shared" si="116"/>
        <v>3.6864427851860275E-2</v>
      </c>
      <c r="Q28" s="7">
        <f t="shared" si="116"/>
        <v>4.9691377664651606E-2</v>
      </c>
      <c r="R28" s="7">
        <f t="shared" si="116"/>
        <v>4.4724229556234327E-2</v>
      </c>
      <c r="S28" s="7">
        <f>S14/S13</f>
        <v>2.5072095147683104E-2</v>
      </c>
      <c r="T28" s="7">
        <f>T14/T13</f>
        <v>1.0825847161677223E-2</v>
      </c>
      <c r="U28" s="7">
        <f t="shared" ref="U28:Z28" si="117">U14/U13</f>
        <v>7.8105976886624585E-3</v>
      </c>
      <c r="V28" s="7">
        <f t="shared" si="117"/>
        <v>1.5732647980392124E-2</v>
      </c>
      <c r="W28" s="7">
        <f t="shared" si="117"/>
        <v>0</v>
      </c>
      <c r="X28" s="7" t="e">
        <f t="shared" si="117"/>
        <v>#DIV/0!</v>
      </c>
      <c r="Y28" s="7" t="e">
        <f t="shared" si="117"/>
        <v>#DIV/0!</v>
      </c>
      <c r="Z28" s="7" t="e">
        <f t="shared" si="117"/>
        <v>#DIV/0!</v>
      </c>
      <c r="AC28" s="7">
        <f t="shared" ref="AC28:AD28" si="118">AC14/AC13</f>
        <v>-1.5942549371633752E-2</v>
      </c>
      <c r="AD28" s="7">
        <f t="shared" si="118"/>
        <v>-2.1814970269941527E-2</v>
      </c>
      <c r="AE28" s="7">
        <f t="shared" ref="AE28:AF28" si="119">AE14/AE13</f>
        <v>1.0717311817286627E-2</v>
      </c>
      <c r="AF28" s="7">
        <f t="shared" si="119"/>
        <v>-6.527204018882525E-2</v>
      </c>
      <c r="AG28" s="7">
        <f t="shared" ref="AG28:AI28" si="120">AG14/AG13</f>
        <v>-2.7884341060363905E-2</v>
      </c>
      <c r="AH28" s="7">
        <f t="shared" si="120"/>
        <v>8.3157943574408144E-2</v>
      </c>
      <c r="AI28" s="7">
        <f t="shared" si="120"/>
        <v>4.3450885474055193E-2</v>
      </c>
      <c r="AJ28" s="7">
        <f t="shared" ref="AJ28:AL28" si="121">AJ14/AJ13</f>
        <v>1.3710895830014818E-2</v>
      </c>
      <c r="AK28" s="7" t="e">
        <f t="shared" si="121"/>
        <v>#DIV/0!</v>
      </c>
      <c r="AL28" s="7" t="e">
        <f t="shared" si="121"/>
        <v>#DIV/0!</v>
      </c>
    </row>
    <row r="29" spans="1:38" s="7" customFormat="1" x14ac:dyDescent="0.25">
      <c r="B29" s="7" t="s">
        <v>42</v>
      </c>
      <c r="C29" s="7">
        <f t="shared" ref="C29:J29" si="122">C17/C3</f>
        <v>-0.36195779601406802</v>
      </c>
      <c r="D29" s="7">
        <f t="shared" si="122"/>
        <v>-0.3687433439829606</v>
      </c>
      <c r="E29" s="7">
        <f t="shared" si="122"/>
        <v>-0.26039275694975772</v>
      </c>
      <c r="F29" s="7">
        <f t="shared" si="122"/>
        <v>-0.29221529221529219</v>
      </c>
      <c r="G29" s="7">
        <f t="shared" si="122"/>
        <v>-0.22311827956989247</v>
      </c>
      <c r="H29" s="7">
        <f t="shared" si="122"/>
        <v>-0.37906976744186044</v>
      </c>
      <c r="I29" s="7">
        <f t="shared" si="122"/>
        <v>-0.25925925925925924</v>
      </c>
      <c r="J29" s="7">
        <f t="shared" si="122"/>
        <v>6.5670467951238695E-2</v>
      </c>
      <c r="K29" s="7">
        <f t="shared" ref="K29:R29" si="123">K17/K3</f>
        <v>3.1992475046935753E-2</v>
      </c>
      <c r="L29" s="7">
        <f t="shared" si="123"/>
        <v>5.2739740154542233E-2</v>
      </c>
      <c r="M29" s="7">
        <f t="shared" si="123"/>
        <v>0.12810865721057979</v>
      </c>
      <c r="N29" s="7">
        <f t="shared" si="123"/>
        <v>0.15351524615763951</v>
      </c>
      <c r="O29" s="7">
        <f t="shared" si="123"/>
        <v>0.16636241246780109</v>
      </c>
      <c r="P29" s="7">
        <f t="shared" si="123"/>
        <v>0.19778686808211945</v>
      </c>
      <c r="Q29" s="7">
        <f t="shared" si="123"/>
        <v>0.19782472061263984</v>
      </c>
      <c r="R29" s="7">
        <f t="shared" si="123"/>
        <v>9.5476961858277573E-2</v>
      </c>
      <c r="S29" s="7">
        <f>S17/S3</f>
        <v>0.24215623603419112</v>
      </c>
      <c r="T29" s="7">
        <f>T17/T3</f>
        <v>0.32552353947456253</v>
      </c>
      <c r="U29" s="7">
        <f t="shared" ref="U29:Z29" si="124">U17/U3</f>
        <v>0.40267735282264211</v>
      </c>
      <c r="V29" s="7">
        <f t="shared" si="124"/>
        <v>0.43266643067041416</v>
      </c>
      <c r="W29" s="7">
        <f t="shared" si="124"/>
        <v>1</v>
      </c>
      <c r="X29" s="7" t="e">
        <f t="shared" si="124"/>
        <v>#DIV/0!</v>
      </c>
      <c r="Y29" s="7" t="e">
        <f t="shared" si="124"/>
        <v>#DIV/0!</v>
      </c>
      <c r="Z29" s="7" t="e">
        <f t="shared" si="124"/>
        <v>#DIV/0!</v>
      </c>
      <c r="AC29" s="7">
        <f t="shared" ref="AC29:AD29" si="125">AC17/AC3</f>
        <v>-1.0045615702819406</v>
      </c>
      <c r="AD29" s="7">
        <f t="shared" si="125"/>
        <v>-0.79203156668529606</v>
      </c>
      <c r="AE29" s="7">
        <f t="shared" ref="AE29:AF29" si="126">AE17/AE3</f>
        <v>-1.0674657468428341</v>
      </c>
      <c r="AF29" s="7">
        <f t="shared" si="126"/>
        <v>-0.33749446296069302</v>
      </c>
      <c r="AG29" s="7">
        <f t="shared" ref="AG29:AI29" si="127">AG17/AG3</f>
        <v>-0.19608095196369535</v>
      </c>
      <c r="AH29" s="7">
        <f t="shared" si="127"/>
        <v>9.4302862186810679E-2</v>
      </c>
      <c r="AI29" s="7">
        <f t="shared" si="127"/>
        <v>0.16129431894600152</v>
      </c>
      <c r="AJ29" s="7">
        <f t="shared" ref="AJ29" si="128">AJ17/AJ3</f>
        <v>0.3630996776634105</v>
      </c>
      <c r="AK29" s="7">
        <f>AK17/AK3</f>
        <v>0.20283412058905251</v>
      </c>
      <c r="AL29" s="7" t="e">
        <f>AL17/AL3</f>
        <v>#DIV/0!</v>
      </c>
    </row>
    <row r="31" spans="1:38" s="7" customFormat="1" x14ac:dyDescent="0.25">
      <c r="B31" s="7" t="s">
        <v>43</v>
      </c>
      <c r="G31" s="7">
        <f t="shared" ref="G31:M31" si="129">G3/C3-1</f>
        <v>0.30832356389214532</v>
      </c>
      <c r="H31" s="7">
        <f t="shared" si="129"/>
        <v>0.25931842385516513</v>
      </c>
      <c r="I31" s="7">
        <f t="shared" si="129"/>
        <v>0.21882172915072684</v>
      </c>
      <c r="J31" s="7">
        <f t="shared" si="129"/>
        <v>0.17486717486717485</v>
      </c>
      <c r="K31" s="7">
        <f t="shared" si="129"/>
        <v>0.17649193548387099</v>
      </c>
      <c r="L31" s="7">
        <f t="shared" si="129"/>
        <v>0.12752008456659625</v>
      </c>
      <c r="M31" s="7">
        <f t="shared" si="129"/>
        <v>0.16794099183929689</v>
      </c>
      <c r="N31" s="7">
        <f>N3/J3-1</f>
        <v>0.19612662209988208</v>
      </c>
      <c r="O31" s="7">
        <f t="shared" ref="O31:R31" si="130">O3/K3-1</f>
        <v>0.20783493847893886</v>
      </c>
      <c r="P31" s="7">
        <f t="shared" si="130"/>
        <v>0.2715401909183468</v>
      </c>
      <c r="Q31" s="7">
        <f t="shared" si="130"/>
        <v>0.2998375015004684</v>
      </c>
      <c r="R31" s="7">
        <f t="shared" si="130"/>
        <v>0.360267937864716</v>
      </c>
      <c r="S31" s="7">
        <f>S3/O3-1</f>
        <v>0.39335023284116666</v>
      </c>
      <c r="T31" s="7">
        <f>T3/P3-1</f>
        <v>0.48008653157045655</v>
      </c>
      <c r="U31" s="7">
        <f t="shared" ref="U31:Z31" si="131">U3/Q3-1</f>
        <v>0.62793377403117234</v>
      </c>
      <c r="V31" s="7">
        <f t="shared" si="131"/>
        <v>0.70002380609992043</v>
      </c>
      <c r="W31" s="7">
        <f t="shared" si="131"/>
        <v>0.73784161429193706</v>
      </c>
      <c r="X31" s="7">
        <f t="shared" si="131"/>
        <v>-1</v>
      </c>
      <c r="Y31" s="7">
        <f t="shared" si="131"/>
        <v>-1</v>
      </c>
      <c r="Z31" s="7">
        <f t="shared" si="131"/>
        <v>-1</v>
      </c>
      <c r="AD31" s="7">
        <f t="shared" ref="AD31" si="132">AD3/AC3-1</f>
        <v>0.24713432279323966</v>
      </c>
      <c r="AE31" s="7">
        <f t="shared" ref="AE31" si="133">AE3/AD3-1</f>
        <v>0.47150446768252863</v>
      </c>
      <c r="AF31" s="7">
        <f t="shared" ref="AF31" si="134">AF3/AE3-1</f>
        <v>0.41111659206368234</v>
      </c>
      <c r="AG31" s="7">
        <f t="shared" ref="AG31" si="135">AG3/AF3-1</f>
        <v>0.23606238840798532</v>
      </c>
      <c r="AH31" s="7">
        <f t="shared" ref="AH31" si="136">AH3/AG3-1</f>
        <v>0.16745152216493131</v>
      </c>
      <c r="AI31" s="7">
        <f>AI3/AH3-1</f>
        <v>0.2878613688375613</v>
      </c>
      <c r="AJ31" s="7">
        <f t="shared" ref="AJ31" si="137">AJ3/AI3-1</f>
        <v>0.56183390932215493</v>
      </c>
      <c r="AK31" s="7">
        <f>AK3/AJ3-1</f>
        <v>0.60833132608459572</v>
      </c>
      <c r="AL31" s="7">
        <f>AL3/AK3-1</f>
        <v>-1</v>
      </c>
    </row>
    <row r="35" spans="1:38" s="4" customFormat="1" x14ac:dyDescent="0.25">
      <c r="A35" s="2"/>
      <c r="B35" s="4" t="s">
        <v>44</v>
      </c>
      <c r="F35" s="4">
        <f t="shared" ref="F35" si="138">F36+F37</f>
        <v>2601067</v>
      </c>
      <c r="G35" s="4">
        <f t="shared" ref="G35" si="139">G36+G37</f>
        <v>0</v>
      </c>
      <c r="H35" s="4">
        <f t="shared" ref="H35" si="140">H36+H37</f>
        <v>0</v>
      </c>
      <c r="I35" s="4">
        <f t="shared" ref="I35" si="141">I36+I37</f>
        <v>0</v>
      </c>
      <c r="J35" s="4">
        <f t="shared" ref="J35" si="142">J36+J37</f>
        <v>2662470</v>
      </c>
      <c r="K35" s="4">
        <f t="shared" ref="K35:R35" si="143">K36+K37</f>
        <v>0</v>
      </c>
      <c r="L35" s="4">
        <f t="shared" si="143"/>
        <v>0</v>
      </c>
      <c r="M35" s="4">
        <f t="shared" si="143"/>
        <v>0</v>
      </c>
      <c r="N35" s="4">
        <f t="shared" si="143"/>
        <v>3674179</v>
      </c>
      <c r="O35" s="4">
        <f t="shared" si="143"/>
        <v>3867900</v>
      </c>
      <c r="P35" s="4">
        <f t="shared" si="143"/>
        <v>3998459</v>
      </c>
      <c r="Q35" s="4">
        <f t="shared" si="143"/>
        <v>4564659</v>
      </c>
      <c r="R35" s="4">
        <f t="shared" si="143"/>
        <v>5229987</v>
      </c>
      <c r="S35" s="4">
        <f>S36+S37</f>
        <v>5430689</v>
      </c>
      <c r="T35" s="4">
        <f t="shared" ref="T35:Z35" si="144">T36+T37</f>
        <v>6000422</v>
      </c>
      <c r="U35" s="4">
        <f t="shared" si="144"/>
        <v>6437817</v>
      </c>
      <c r="V35" s="4">
        <f t="shared" si="144"/>
        <v>7177143</v>
      </c>
      <c r="W35" s="4">
        <f t="shared" si="144"/>
        <v>0</v>
      </c>
      <c r="X35" s="4">
        <f t="shared" si="144"/>
        <v>0</v>
      </c>
      <c r="Y35" s="4">
        <f t="shared" si="144"/>
        <v>0</v>
      </c>
      <c r="Z35" s="4">
        <f t="shared" si="144"/>
        <v>0</v>
      </c>
      <c r="AC35" s="4">
        <f t="shared" ref="AC35" si="145">AC36+AC37</f>
        <v>1284335</v>
      </c>
      <c r="AD35" s="4">
        <f>AD36+AD37-AD52</f>
        <v>988522</v>
      </c>
      <c r="AE35" s="4">
        <f>AE36+AE37-AE52</f>
        <v>1925853</v>
      </c>
      <c r="AF35" s="4">
        <f t="shared" ref="AF35" si="146">AF36+AF37</f>
        <v>2601067</v>
      </c>
      <c r="AG35" s="4">
        <f t="shared" ref="AG35" si="147">AG36+AG37</f>
        <v>2662470</v>
      </c>
      <c r="AH35" s="4">
        <f t="shared" ref="AH35" si="148">AH36+AH37</f>
        <v>3674179</v>
      </c>
      <c r="AI35" s="4">
        <f t="shared" ref="AI35:AL35" si="149">AI36+AI37</f>
        <v>5229987</v>
      </c>
      <c r="AJ35" s="4">
        <f t="shared" si="149"/>
        <v>7177143</v>
      </c>
      <c r="AK35" s="4">
        <f t="shared" si="149"/>
        <v>0</v>
      </c>
      <c r="AL35" s="4">
        <f t="shared" si="149"/>
        <v>0</v>
      </c>
    </row>
    <row r="36" spans="1:38" s="4" customFormat="1" x14ac:dyDescent="0.25">
      <c r="A36" s="2"/>
      <c r="B36" s="4" t="s">
        <v>3</v>
      </c>
      <c r="F36" s="4">
        <f>2290674+36628+39612</f>
        <v>2366914</v>
      </c>
      <c r="J36" s="4">
        <f>2598540+16244+12551</f>
        <v>2627335</v>
      </c>
      <c r="N36" s="4">
        <v>831047</v>
      </c>
      <c r="O36" s="4">
        <v>520388</v>
      </c>
      <c r="P36" s="4">
        <v>512659</v>
      </c>
      <c r="Q36" s="4">
        <v>768710</v>
      </c>
      <c r="R36" s="4">
        <v>2098524</v>
      </c>
      <c r="S36" s="4">
        <v>993464</v>
      </c>
      <c r="T36" s="4">
        <v>929547</v>
      </c>
      <c r="U36" s="4">
        <v>1615967</v>
      </c>
      <c r="V36" s="4">
        <v>1423896</v>
      </c>
      <c r="AC36" s="4">
        <f>1116342+10484+140009+17500</f>
        <v>1284335</v>
      </c>
      <c r="AD36" s="4">
        <f>1079154+52099+270709+26145</f>
        <v>1428107</v>
      </c>
      <c r="AE36" s="4">
        <f>2011323+37285+79538</f>
        <v>2128146</v>
      </c>
      <c r="AF36" s="4">
        <f>2290674+36628+39612</f>
        <v>2366914</v>
      </c>
      <c r="AG36" s="4">
        <f>2598540+16244+12551</f>
        <v>2627335</v>
      </c>
      <c r="AH36" s="4">
        <v>831047</v>
      </c>
      <c r="AI36" s="4">
        <v>2098524</v>
      </c>
      <c r="AJ36" s="4">
        <v>1423896</v>
      </c>
    </row>
    <row r="37" spans="1:38" s="4" customFormat="1" x14ac:dyDescent="0.25">
      <c r="A37" s="2"/>
      <c r="B37" s="4" t="s">
        <v>45</v>
      </c>
      <c r="F37" s="4">
        <v>234153</v>
      </c>
      <c r="J37" s="4">
        <v>35135</v>
      </c>
      <c r="N37" s="4">
        <v>2843132</v>
      </c>
      <c r="O37" s="4">
        <v>3347512</v>
      </c>
      <c r="P37" s="4">
        <v>3485800</v>
      </c>
      <c r="Q37" s="4">
        <v>3795949</v>
      </c>
      <c r="R37" s="4">
        <v>3131463</v>
      </c>
      <c r="S37" s="4">
        <v>4437225</v>
      </c>
      <c r="T37" s="4">
        <v>5070875</v>
      </c>
      <c r="U37" s="4">
        <v>4821850</v>
      </c>
      <c r="V37" s="4">
        <v>5753247</v>
      </c>
      <c r="AF37" s="4">
        <v>234153</v>
      </c>
      <c r="AG37" s="4">
        <v>35135</v>
      </c>
      <c r="AH37" s="4">
        <v>2843132</v>
      </c>
      <c r="AI37" s="4">
        <v>3131463</v>
      </c>
      <c r="AJ37" s="4">
        <v>5753247</v>
      </c>
    </row>
    <row r="38" spans="1:38" s="4" customFormat="1" x14ac:dyDescent="0.25">
      <c r="A38" s="2"/>
      <c r="B38" s="4" t="s">
        <v>46</v>
      </c>
      <c r="F38" s="4">
        <v>190923</v>
      </c>
      <c r="J38" s="4">
        <v>258346</v>
      </c>
      <c r="N38" s="4">
        <v>364784</v>
      </c>
      <c r="O38" s="4">
        <v>486986</v>
      </c>
      <c r="P38" s="4">
        <v>659339</v>
      </c>
      <c r="Q38" s="4">
        <v>668110</v>
      </c>
      <c r="R38" s="4">
        <v>575048</v>
      </c>
      <c r="S38" s="4">
        <v>725205</v>
      </c>
      <c r="T38" s="4">
        <v>747484</v>
      </c>
      <c r="U38" s="4">
        <v>1005910</v>
      </c>
      <c r="V38" s="4">
        <v>1042065</v>
      </c>
      <c r="AC38" s="4">
        <v>19187</v>
      </c>
      <c r="AD38" s="4">
        <v>50315</v>
      </c>
      <c r="AE38" s="4">
        <v>156932</v>
      </c>
      <c r="AF38" s="4">
        <v>190923</v>
      </c>
      <c r="AG38" s="4">
        <v>258346</v>
      </c>
      <c r="AH38" s="4">
        <v>364784</v>
      </c>
      <c r="AI38" s="4">
        <v>575048</v>
      </c>
      <c r="AJ38" s="4">
        <v>1042065</v>
      </c>
    </row>
    <row r="39" spans="1:38" s="4" customFormat="1" x14ac:dyDescent="0.25">
      <c r="A39" s="2"/>
      <c r="B39" s="4" t="s">
        <v>47</v>
      </c>
      <c r="F39" s="4">
        <v>110872</v>
      </c>
      <c r="J39" s="4">
        <v>133312</v>
      </c>
      <c r="N39" s="4">
        <v>99655</v>
      </c>
      <c r="O39" s="4">
        <v>81178</v>
      </c>
      <c r="P39" s="4">
        <v>115712</v>
      </c>
      <c r="Q39" s="4">
        <v>119193</v>
      </c>
      <c r="R39" s="4">
        <v>129254</v>
      </c>
      <c r="S39" s="4">
        <v>126705</v>
      </c>
      <c r="T39" s="4">
        <v>142487</v>
      </c>
      <c r="U39" s="4">
        <v>142429</v>
      </c>
      <c r="V39" s="4">
        <v>139066</v>
      </c>
      <c r="AC39" s="4">
        <v>74063</v>
      </c>
      <c r="AD39" s="4">
        <v>32585</v>
      </c>
      <c r="AE39" s="4">
        <v>51889</v>
      </c>
      <c r="AF39" s="4">
        <v>110872</v>
      </c>
      <c r="AG39" s="4">
        <v>133312</v>
      </c>
      <c r="AH39" s="4">
        <v>99655</v>
      </c>
      <c r="AI39" s="4">
        <v>129254</v>
      </c>
      <c r="AJ39" s="4">
        <v>139066</v>
      </c>
    </row>
    <row r="40" spans="1:38" s="4" customFormat="1" x14ac:dyDescent="0.25">
      <c r="A40" s="2"/>
      <c r="B40" s="4" t="s">
        <v>48</v>
      </c>
      <c r="F40" s="4">
        <v>31304</v>
      </c>
      <c r="J40" s="4">
        <v>69170</v>
      </c>
      <c r="N40" s="4">
        <v>47758</v>
      </c>
      <c r="O40" s="4">
        <v>46906</v>
      </c>
      <c r="P40" s="4">
        <v>43483</v>
      </c>
      <c r="Q40" s="4">
        <v>40345</v>
      </c>
      <c r="R40" s="4">
        <v>39638</v>
      </c>
      <c r="S40" s="4">
        <v>39669</v>
      </c>
      <c r="T40" s="4">
        <v>43523</v>
      </c>
      <c r="U40" s="4">
        <v>45706</v>
      </c>
      <c r="V40" s="4">
        <v>51960</v>
      </c>
      <c r="AC40" s="4">
        <v>30034</v>
      </c>
      <c r="AD40" s="4">
        <v>31589</v>
      </c>
      <c r="AE40" s="4">
        <v>29541</v>
      </c>
      <c r="AF40" s="4">
        <v>31304</v>
      </c>
      <c r="AG40" s="4">
        <v>69170</v>
      </c>
      <c r="AH40" s="4">
        <v>47758</v>
      </c>
      <c r="AI40" s="4">
        <v>39638</v>
      </c>
      <c r="AJ40" s="4">
        <v>51960</v>
      </c>
    </row>
    <row r="41" spans="1:38" s="4" customFormat="1" x14ac:dyDescent="0.25">
      <c r="A41" s="2"/>
      <c r="B41" s="4" t="s">
        <v>49</v>
      </c>
      <c r="F41" s="4">
        <v>216898</v>
      </c>
      <c r="J41" s="4">
        <v>200240</v>
      </c>
      <c r="N41" s="4">
        <v>182863</v>
      </c>
      <c r="O41" s="4">
        <v>173707</v>
      </c>
      <c r="P41" s="4">
        <v>213453</v>
      </c>
      <c r="Q41" s="4">
        <v>211570</v>
      </c>
      <c r="R41" s="4">
        <v>200740</v>
      </c>
      <c r="S41" s="4">
        <v>209348</v>
      </c>
      <c r="T41" s="4">
        <v>203474</v>
      </c>
      <c r="U41" s="4">
        <v>204315</v>
      </c>
      <c r="V41" s="4">
        <v>200105</v>
      </c>
      <c r="AE41" s="4">
        <v>217075</v>
      </c>
      <c r="AF41" s="4">
        <v>216898</v>
      </c>
      <c r="AG41" s="4">
        <v>200240</v>
      </c>
      <c r="AH41" s="4">
        <v>182863</v>
      </c>
      <c r="AI41" s="4">
        <v>200740</v>
      </c>
      <c r="AJ41" s="4">
        <v>200105</v>
      </c>
    </row>
    <row r="42" spans="1:38" s="4" customFormat="1" x14ac:dyDescent="0.25">
      <c r="A42" s="2"/>
      <c r="B42" s="4" t="s">
        <v>50</v>
      </c>
      <c r="F42" s="4">
        <v>96386</v>
      </c>
      <c r="J42" s="4">
        <v>137701</v>
      </c>
      <c r="N42" s="4">
        <v>153186</v>
      </c>
      <c r="O42" s="4">
        <v>150402</v>
      </c>
      <c r="P42" s="4">
        <v>161434</v>
      </c>
      <c r="Q42" s="4">
        <v>164220</v>
      </c>
      <c r="R42" s="4">
        <v>166217</v>
      </c>
      <c r="S42" s="4">
        <v>205301</v>
      </c>
      <c r="T42" s="4">
        <v>228298</v>
      </c>
      <c r="U42" s="4">
        <v>277783</v>
      </c>
      <c r="V42" s="4">
        <v>290153</v>
      </c>
      <c r="AC42" s="4">
        <v>23346</v>
      </c>
      <c r="AD42" s="4">
        <v>51429</v>
      </c>
      <c r="AE42" s="4">
        <v>106921</v>
      </c>
      <c r="AF42" s="4">
        <v>96386</v>
      </c>
      <c r="AG42" s="4">
        <v>137701</v>
      </c>
      <c r="AH42" s="4">
        <v>153186</v>
      </c>
      <c r="AI42" s="4">
        <v>166217</v>
      </c>
      <c r="AJ42" s="4">
        <v>290153</v>
      </c>
    </row>
    <row r="43" spans="1:38" s="5" customFormat="1" x14ac:dyDescent="0.25">
      <c r="A43" s="3"/>
      <c r="B43" s="5" t="s">
        <v>51</v>
      </c>
      <c r="F43" s="5">
        <f t="shared" ref="F43" si="150">SUM(F36:F42)</f>
        <v>3247450</v>
      </c>
      <c r="G43" s="5">
        <f t="shared" ref="G43" si="151">SUM(G36:G42)</f>
        <v>0</v>
      </c>
      <c r="H43" s="5">
        <f t="shared" ref="H43" si="152">SUM(H36:H42)</f>
        <v>0</v>
      </c>
      <c r="I43" s="5">
        <f t="shared" ref="I43" si="153">SUM(I36:I42)</f>
        <v>0</v>
      </c>
      <c r="J43" s="5">
        <f t="shared" ref="J43" si="154">SUM(J36:J42)</f>
        <v>3461239</v>
      </c>
      <c r="K43" s="5">
        <f t="shared" ref="K43:R43" si="155">SUM(K36:K42)</f>
        <v>0</v>
      </c>
      <c r="L43" s="5">
        <f t="shared" si="155"/>
        <v>0</v>
      </c>
      <c r="M43" s="5">
        <f t="shared" si="155"/>
        <v>0</v>
      </c>
      <c r="N43" s="5">
        <f t="shared" si="155"/>
        <v>4522425</v>
      </c>
      <c r="O43" s="5">
        <f t="shared" si="155"/>
        <v>4807079</v>
      </c>
      <c r="P43" s="5">
        <f t="shared" si="155"/>
        <v>5191880</v>
      </c>
      <c r="Q43" s="5">
        <f t="shared" si="155"/>
        <v>5768097</v>
      </c>
      <c r="R43" s="5">
        <f t="shared" si="155"/>
        <v>6340884</v>
      </c>
      <c r="S43" s="5">
        <f>SUM(S36:S42)</f>
        <v>6736917</v>
      </c>
      <c r="T43" s="5">
        <f>SUM(T36:T42)</f>
        <v>7365688</v>
      </c>
      <c r="U43" s="5">
        <f t="shared" ref="U43:Z43" si="156">SUM(U36:U42)</f>
        <v>8113960</v>
      </c>
      <c r="V43" s="5">
        <f t="shared" si="156"/>
        <v>8900492</v>
      </c>
      <c r="W43" s="5">
        <f t="shared" si="156"/>
        <v>0</v>
      </c>
      <c r="X43" s="5">
        <f t="shared" si="156"/>
        <v>0</v>
      </c>
      <c r="Y43" s="5">
        <f t="shared" si="156"/>
        <v>0</v>
      </c>
      <c r="Z43" s="5">
        <f t="shared" si="156"/>
        <v>0</v>
      </c>
      <c r="AC43" s="5">
        <f t="shared" ref="AC43:AE43" si="157">SUM(AC36:AC42)</f>
        <v>1430965</v>
      </c>
      <c r="AD43" s="5">
        <f t="shared" si="157"/>
        <v>1594025</v>
      </c>
      <c r="AE43" s="5">
        <f t="shared" si="157"/>
        <v>2690504</v>
      </c>
      <c r="AF43" s="5">
        <f t="shared" ref="AF43" si="158">SUM(AF36:AF42)</f>
        <v>3247450</v>
      </c>
      <c r="AG43" s="5">
        <f t="shared" ref="AG43" si="159">SUM(AG36:AG42)</f>
        <v>3461239</v>
      </c>
      <c r="AH43" s="5">
        <f t="shared" ref="AH43" si="160">SUM(AH36:AH42)</f>
        <v>4522425</v>
      </c>
      <c r="AI43" s="5">
        <f t="shared" ref="AI43:AL43" si="161">SUM(AI36:AI42)</f>
        <v>6340884</v>
      </c>
      <c r="AJ43" s="5">
        <f t="shared" si="161"/>
        <v>8900492</v>
      </c>
      <c r="AK43" s="5">
        <f t="shared" si="161"/>
        <v>0</v>
      </c>
      <c r="AL43" s="5">
        <f t="shared" si="161"/>
        <v>0</v>
      </c>
    </row>
    <row r="44" spans="1:38" s="4" customFormat="1" x14ac:dyDescent="0.25">
      <c r="A44" s="2"/>
      <c r="B44" s="4" t="s">
        <v>52</v>
      </c>
      <c r="F44" s="4">
        <v>74907</v>
      </c>
      <c r="J44" s="4">
        <v>44788</v>
      </c>
      <c r="N44" s="4">
        <v>12122</v>
      </c>
      <c r="O44" s="4">
        <v>35634</v>
      </c>
      <c r="P44" s="4">
        <v>67345</v>
      </c>
      <c r="Q44" s="4">
        <v>27021</v>
      </c>
      <c r="R44" s="4">
        <v>103</v>
      </c>
      <c r="S44" s="4">
        <v>2330</v>
      </c>
      <c r="T44" s="4">
        <v>10774</v>
      </c>
      <c r="U44" s="4">
        <v>67503</v>
      </c>
      <c r="V44" s="4">
        <v>8064</v>
      </c>
      <c r="AC44" s="4">
        <v>27399</v>
      </c>
      <c r="AD44" s="4">
        <v>51735</v>
      </c>
      <c r="AE44" s="4">
        <v>16358</v>
      </c>
      <c r="AF44" s="4">
        <v>74907</v>
      </c>
      <c r="AG44" s="4">
        <v>44788</v>
      </c>
      <c r="AH44" s="4">
        <v>12122</v>
      </c>
      <c r="AI44" s="4">
        <v>103</v>
      </c>
      <c r="AJ44" s="4">
        <v>8064</v>
      </c>
    </row>
    <row r="45" spans="1:38" s="4" customFormat="1" x14ac:dyDescent="0.25">
      <c r="A45" s="2"/>
      <c r="B45" s="4" t="s">
        <v>53</v>
      </c>
      <c r="F45" s="4">
        <v>155806</v>
      </c>
      <c r="J45" s="4">
        <v>172715</v>
      </c>
      <c r="N45" s="4">
        <v>222991</v>
      </c>
      <c r="O45" s="4">
        <v>206034</v>
      </c>
      <c r="P45" s="4">
        <v>195489</v>
      </c>
      <c r="Q45" s="4">
        <v>265244</v>
      </c>
      <c r="R45" s="4">
        <v>427046</v>
      </c>
      <c r="S45" s="4">
        <v>371061</v>
      </c>
      <c r="T45" s="4">
        <v>393623</v>
      </c>
      <c r="U45" s="4">
        <v>381737</v>
      </c>
      <c r="V45" s="4">
        <v>355624</v>
      </c>
      <c r="AC45" s="4">
        <v>123745</v>
      </c>
      <c r="AD45" s="4">
        <v>126620</v>
      </c>
      <c r="AE45" s="4">
        <v>158546</v>
      </c>
      <c r="AF45" s="4">
        <v>155806</v>
      </c>
      <c r="AG45" s="4">
        <v>172715</v>
      </c>
      <c r="AH45" s="4">
        <v>222991</v>
      </c>
      <c r="AI45" s="4">
        <v>427046</v>
      </c>
      <c r="AJ45" s="4">
        <v>355624</v>
      </c>
    </row>
    <row r="46" spans="1:38" s="4" customFormat="1" x14ac:dyDescent="0.25">
      <c r="A46" s="2"/>
      <c r="B46" s="4" t="s">
        <v>54</v>
      </c>
      <c r="F46" s="4">
        <v>227816</v>
      </c>
      <c r="J46" s="4">
        <v>183350</v>
      </c>
      <c r="N46" s="4">
        <v>246901</v>
      </c>
      <c r="O46" s="4">
        <v>237195</v>
      </c>
      <c r="P46" s="4">
        <v>278441</v>
      </c>
      <c r="Q46" s="4">
        <v>236608</v>
      </c>
      <c r="R46" s="4">
        <v>259624</v>
      </c>
      <c r="S46" s="4">
        <v>318556</v>
      </c>
      <c r="T46" s="4">
        <v>376784</v>
      </c>
      <c r="U46" s="4">
        <v>316722</v>
      </c>
      <c r="V46" s="4">
        <v>408963</v>
      </c>
      <c r="AC46" s="4">
        <v>239116</v>
      </c>
      <c r="AD46" s="4">
        <v>186105</v>
      </c>
      <c r="AE46" s="4">
        <v>189520</v>
      </c>
      <c r="AF46" s="4">
        <v>227816</v>
      </c>
      <c r="AG46" s="4">
        <v>183350</v>
      </c>
      <c r="AH46" s="4">
        <v>246901</v>
      </c>
      <c r="AI46" s="4">
        <v>259624</v>
      </c>
      <c r="AJ46" s="4">
        <v>408963</v>
      </c>
    </row>
    <row r="47" spans="1:38" s="4" customFormat="1" x14ac:dyDescent="0.25">
      <c r="A47" s="2"/>
      <c r="B47" s="4" t="s">
        <v>55</v>
      </c>
      <c r="F47" s="4">
        <v>161605</v>
      </c>
      <c r="J47" s="4">
        <v>141989</v>
      </c>
      <c r="N47" s="4">
        <v>209828</v>
      </c>
      <c r="O47" s="4">
        <v>217634</v>
      </c>
      <c r="P47" s="4">
        <v>221519</v>
      </c>
      <c r="Q47" s="4">
        <v>366946</v>
      </c>
      <c r="R47" s="4">
        <v>265252</v>
      </c>
      <c r="S47" s="4">
        <v>231077</v>
      </c>
      <c r="T47" s="4">
        <v>262994</v>
      </c>
      <c r="U47" s="4">
        <v>368170</v>
      </c>
      <c r="V47" s="4">
        <v>357066</v>
      </c>
      <c r="AC47" s="4">
        <v>141642</v>
      </c>
      <c r="AD47" s="4">
        <v>364138</v>
      </c>
      <c r="AE47" s="4">
        <v>210320</v>
      </c>
      <c r="AF47" s="4">
        <v>161605</v>
      </c>
      <c r="AG47" s="4">
        <v>141989</v>
      </c>
      <c r="AH47" s="4">
        <v>209828</v>
      </c>
      <c r="AI47" s="4">
        <v>265252</v>
      </c>
      <c r="AJ47" s="4">
        <v>357066</v>
      </c>
    </row>
    <row r="48" spans="1:38" s="4" customFormat="1" x14ac:dyDescent="0.25">
      <c r="A48" s="2"/>
      <c r="B48" s="4" t="s">
        <v>56</v>
      </c>
      <c r="F48" s="4">
        <v>39927</v>
      </c>
      <c r="J48" s="4">
        <v>45099</v>
      </c>
      <c r="N48" s="4">
        <v>54176</v>
      </c>
      <c r="O48" s="4">
        <v>54056</v>
      </c>
      <c r="P48" s="4">
        <v>44125</v>
      </c>
      <c r="Q48" s="4">
        <v>47637</v>
      </c>
      <c r="R48" s="4">
        <v>43993</v>
      </c>
      <c r="S48" s="4">
        <v>44419</v>
      </c>
      <c r="T48" s="4">
        <v>45465</v>
      </c>
      <c r="U48" s="4">
        <v>46271</v>
      </c>
      <c r="V48" s="4">
        <v>45864</v>
      </c>
      <c r="AE48" s="4">
        <v>29079</v>
      </c>
      <c r="AF48" s="4">
        <v>39927</v>
      </c>
      <c r="AG48" s="4">
        <v>45099</v>
      </c>
      <c r="AH48" s="4">
        <v>54176</v>
      </c>
      <c r="AI48" s="4">
        <v>43993</v>
      </c>
      <c r="AJ48" s="4">
        <v>45864</v>
      </c>
    </row>
    <row r="49" spans="1:38" s="4" customFormat="1" x14ac:dyDescent="0.25">
      <c r="A49" s="2"/>
      <c r="B49" s="4" t="s">
        <v>57</v>
      </c>
      <c r="F49" s="4">
        <v>40217</v>
      </c>
      <c r="J49" s="4">
        <v>9965</v>
      </c>
      <c r="N49" s="4">
        <v>28047</v>
      </c>
      <c r="O49" s="4">
        <v>20722</v>
      </c>
      <c r="P49" s="4">
        <v>15649</v>
      </c>
      <c r="Q49" s="4">
        <v>7825</v>
      </c>
      <c r="R49" s="4">
        <v>39885</v>
      </c>
      <c r="S49" s="4">
        <v>36372</v>
      </c>
      <c r="T49" s="4">
        <v>44638</v>
      </c>
      <c r="U49" s="4">
        <v>43901</v>
      </c>
      <c r="V49" s="4">
        <v>46216</v>
      </c>
      <c r="AC49" s="4">
        <f>169978+37868</f>
        <v>207846</v>
      </c>
      <c r="AD49" s="4">
        <f>77030+34685</f>
        <v>111715</v>
      </c>
      <c r="AE49" s="4">
        <v>50525</v>
      </c>
      <c r="AF49" s="4">
        <v>40217</v>
      </c>
      <c r="AG49" s="4">
        <v>9965</v>
      </c>
      <c r="AH49" s="4">
        <v>28047</v>
      </c>
      <c r="AI49" s="4">
        <v>39885</v>
      </c>
      <c r="AJ49" s="4">
        <v>46216</v>
      </c>
    </row>
    <row r="50" spans="1:38" s="4" customFormat="1" x14ac:dyDescent="0.25">
      <c r="A50" s="2"/>
      <c r="B50" s="4" t="s">
        <v>58</v>
      </c>
      <c r="F50" s="4">
        <v>33699</v>
      </c>
      <c r="J50" s="4">
        <v>3936</v>
      </c>
      <c r="N50" s="4">
        <v>1477</v>
      </c>
      <c r="O50" s="4">
        <v>1651</v>
      </c>
      <c r="P50" s="4">
        <v>1527</v>
      </c>
      <c r="Q50" s="4">
        <v>3681</v>
      </c>
      <c r="R50" s="4">
        <v>1663</v>
      </c>
      <c r="S50" s="4">
        <v>1463</v>
      </c>
      <c r="T50" s="4">
        <v>1491</v>
      </c>
      <c r="U50" s="4">
        <v>1570</v>
      </c>
      <c r="V50" s="4">
        <v>18</v>
      </c>
      <c r="AC50" s="4">
        <v>106376</v>
      </c>
      <c r="AD50" s="4">
        <v>167538</v>
      </c>
      <c r="AE50" s="4">
        <v>81513</v>
      </c>
      <c r="AF50" s="4">
        <v>33699</v>
      </c>
      <c r="AG50" s="4">
        <v>3936</v>
      </c>
      <c r="AH50" s="4">
        <v>1477</v>
      </c>
      <c r="AI50" s="4">
        <v>1663</v>
      </c>
      <c r="AJ50" s="4">
        <v>18</v>
      </c>
    </row>
    <row r="51" spans="1:38" s="4" customFormat="1" x14ac:dyDescent="0.25">
      <c r="A51" s="2"/>
      <c r="B51" s="4" t="s">
        <v>59</v>
      </c>
      <c r="F51" s="4">
        <v>220146</v>
      </c>
      <c r="J51" s="4">
        <v>204305</v>
      </c>
      <c r="N51" s="4">
        <v>175216</v>
      </c>
      <c r="O51" s="4">
        <v>163013</v>
      </c>
      <c r="P51" s="4">
        <v>214334</v>
      </c>
      <c r="Q51" s="4">
        <v>207278</v>
      </c>
      <c r="R51" s="4">
        <v>195226</v>
      </c>
      <c r="S51" s="4">
        <v>200177</v>
      </c>
      <c r="T51" s="4">
        <v>192347</v>
      </c>
      <c r="U51" s="4">
        <v>189165</v>
      </c>
      <c r="V51" s="4">
        <v>183474</v>
      </c>
      <c r="AE51" s="4">
        <v>229800</v>
      </c>
      <c r="AF51" s="4">
        <v>220146</v>
      </c>
      <c r="AG51" s="4">
        <v>204305</v>
      </c>
      <c r="AH51" s="4">
        <v>175216</v>
      </c>
      <c r="AI51" s="4">
        <v>195226</v>
      </c>
      <c r="AJ51" s="4">
        <v>183474</v>
      </c>
    </row>
    <row r="52" spans="1:38" s="4" customFormat="1" x14ac:dyDescent="0.25">
      <c r="A52" s="2"/>
      <c r="B52" s="4" t="s">
        <v>60</v>
      </c>
      <c r="F52" s="4">
        <v>2297</v>
      </c>
      <c r="J52" s="4">
        <v>12655</v>
      </c>
      <c r="N52" s="4">
        <v>10702</v>
      </c>
      <c r="O52" s="4">
        <v>9968</v>
      </c>
      <c r="P52" s="4">
        <v>15645</v>
      </c>
      <c r="Q52" s="4">
        <v>14495</v>
      </c>
      <c r="R52" s="4">
        <v>13685</v>
      </c>
      <c r="S52" s="4">
        <v>12489</v>
      </c>
      <c r="T52" s="4">
        <v>12008</v>
      </c>
      <c r="U52" s="4">
        <v>10652</v>
      </c>
      <c r="V52" s="4">
        <v>7092</v>
      </c>
      <c r="AC52" s="4">
        <f>76069+477</f>
        <v>76546</v>
      </c>
      <c r="AD52" s="4">
        <f>396065+42628+892</f>
        <v>439585</v>
      </c>
      <c r="AE52" s="4">
        <f>197977+4316</f>
        <v>202293</v>
      </c>
      <c r="AF52" s="4">
        <v>2297</v>
      </c>
      <c r="AG52" s="4">
        <v>12655</v>
      </c>
      <c r="AH52" s="4">
        <v>10702</v>
      </c>
      <c r="AI52" s="4">
        <v>13685</v>
      </c>
      <c r="AJ52" s="4">
        <v>7092</v>
      </c>
    </row>
    <row r="53" spans="1:38" s="5" customFormat="1" x14ac:dyDescent="0.25">
      <c r="A53" s="3"/>
      <c r="B53" s="5" t="s">
        <v>61</v>
      </c>
      <c r="F53" s="5">
        <f t="shared" ref="F53" si="162">SUM(F44:F52)</f>
        <v>956420</v>
      </c>
      <c r="G53" s="5">
        <f t="shared" ref="G53" si="163">SUM(G44:G52)</f>
        <v>0</v>
      </c>
      <c r="H53" s="5">
        <f t="shared" ref="H53" si="164">SUM(H44:H52)</f>
        <v>0</v>
      </c>
      <c r="I53" s="5">
        <f t="shared" ref="I53" si="165">SUM(I44:I52)</f>
        <v>0</v>
      </c>
      <c r="J53" s="5">
        <f t="shared" ref="J53" si="166">SUM(J44:J52)</f>
        <v>818802</v>
      </c>
      <c r="K53" s="5">
        <f t="shared" ref="K53:R53" si="167">SUM(K44:K52)</f>
        <v>0</v>
      </c>
      <c r="L53" s="5">
        <f t="shared" si="167"/>
        <v>0</v>
      </c>
      <c r="M53" s="5">
        <f t="shared" si="167"/>
        <v>0</v>
      </c>
      <c r="N53" s="5">
        <f t="shared" si="167"/>
        <v>961460</v>
      </c>
      <c r="O53" s="5">
        <f t="shared" si="167"/>
        <v>945907</v>
      </c>
      <c r="P53" s="5">
        <f t="shared" si="167"/>
        <v>1054074</v>
      </c>
      <c r="Q53" s="5">
        <f t="shared" si="167"/>
        <v>1176735</v>
      </c>
      <c r="R53" s="5">
        <f t="shared" si="167"/>
        <v>1246477</v>
      </c>
      <c r="S53" s="5">
        <f>SUM(S44:S52)</f>
        <v>1217944</v>
      </c>
      <c r="T53" s="5">
        <f>SUM(T44:T52)</f>
        <v>1340124</v>
      </c>
      <c r="U53" s="5">
        <f t="shared" ref="U53:Z53" si="168">SUM(U44:U52)</f>
        <v>1425691</v>
      </c>
      <c r="V53" s="5">
        <f t="shared" si="168"/>
        <v>1412381</v>
      </c>
      <c r="W53" s="5">
        <f t="shared" si="168"/>
        <v>0</v>
      </c>
      <c r="X53" s="5">
        <f t="shared" si="168"/>
        <v>0</v>
      </c>
      <c r="Y53" s="5">
        <f t="shared" si="168"/>
        <v>0</v>
      </c>
      <c r="Z53" s="5">
        <f t="shared" si="168"/>
        <v>0</v>
      </c>
      <c r="AC53" s="5">
        <f t="shared" ref="AC53:AE53" si="169">SUM(AC44:AC52)</f>
        <v>922670</v>
      </c>
      <c r="AD53" s="5">
        <f t="shared" si="169"/>
        <v>1447436</v>
      </c>
      <c r="AE53" s="5">
        <f t="shared" si="169"/>
        <v>1167954</v>
      </c>
      <c r="AF53" s="5">
        <f t="shared" ref="AF53" si="170">SUM(AF44:AF52)</f>
        <v>956420</v>
      </c>
      <c r="AG53" s="5">
        <f t="shared" ref="AG53" si="171">SUM(AG44:AG52)</f>
        <v>818802</v>
      </c>
      <c r="AH53" s="5">
        <f t="shared" ref="AH53" si="172">SUM(AH44:AH52)</f>
        <v>961460</v>
      </c>
      <c r="AI53" s="5">
        <f t="shared" ref="AI53:AL53" si="173">SUM(AI44:AI52)</f>
        <v>1246477</v>
      </c>
      <c r="AJ53" s="5">
        <f t="shared" si="173"/>
        <v>1412381</v>
      </c>
      <c r="AK53" s="5">
        <f t="shared" si="173"/>
        <v>0</v>
      </c>
      <c r="AL53" s="5">
        <f t="shared" si="173"/>
        <v>0</v>
      </c>
    </row>
    <row r="54" spans="1:38" s="4" customFormat="1" x14ac:dyDescent="0.25">
      <c r="B54" s="4" t="s">
        <v>64</v>
      </c>
      <c r="F54" s="4">
        <v>2027</v>
      </c>
      <c r="J54" s="4">
        <v>2099</v>
      </c>
      <c r="N54" s="4">
        <v>2200</v>
      </c>
      <c r="O54" s="4">
        <v>2227</v>
      </c>
      <c r="P54" s="4">
        <v>2238</v>
      </c>
      <c r="Q54" s="4">
        <v>2270</v>
      </c>
      <c r="R54" s="4">
        <v>2339</v>
      </c>
      <c r="S54" s="4">
        <v>2360</v>
      </c>
      <c r="T54" s="4">
        <v>2372</v>
      </c>
      <c r="U54" s="4">
        <v>2383</v>
      </c>
      <c r="V54" s="4">
        <v>2391</v>
      </c>
      <c r="AE54" s="4">
        <v>1792</v>
      </c>
      <c r="AF54" s="4">
        <v>2027</v>
      </c>
      <c r="AG54" s="4">
        <v>2099</v>
      </c>
      <c r="AH54" s="4">
        <v>2200</v>
      </c>
      <c r="AI54" s="4">
        <v>2339</v>
      </c>
      <c r="AJ54" s="4">
        <v>2391</v>
      </c>
    </row>
    <row r="55" spans="1:38" s="4" customFormat="1" x14ac:dyDescent="0.25">
      <c r="B55" s="4" t="s">
        <v>65</v>
      </c>
      <c r="F55" s="4">
        <v>7777085</v>
      </c>
      <c r="J55" s="4">
        <v>8427998</v>
      </c>
      <c r="N55" s="4">
        <v>9122173</v>
      </c>
      <c r="O55" s="4">
        <v>9322803</v>
      </c>
      <c r="P55" s="4">
        <v>9463178</v>
      </c>
      <c r="Q55" s="4">
        <v>9757380</v>
      </c>
      <c r="R55" s="4">
        <v>10193970</v>
      </c>
      <c r="S55" s="4">
        <v>10398181</v>
      </c>
      <c r="T55" s="4">
        <v>10568473</v>
      </c>
      <c r="U55" s="4">
        <v>10747603</v>
      </c>
      <c r="V55" s="4">
        <v>10933325</v>
      </c>
      <c r="AC55" s="4">
        <f>-148621+1627737+570+2087560+172163</f>
        <v>3739409</v>
      </c>
      <c r="AD55" s="4">
        <f>-38895+1857331+588+2093662+33569</f>
        <v>3946255</v>
      </c>
      <c r="AE55" s="4">
        <v>6488857</v>
      </c>
      <c r="AF55" s="4">
        <v>7777085</v>
      </c>
      <c r="AG55" s="4">
        <v>8427998</v>
      </c>
      <c r="AH55" s="4">
        <v>9122173</v>
      </c>
      <c r="AI55" s="4">
        <v>10193970</v>
      </c>
      <c r="AJ55" s="4">
        <v>10933325</v>
      </c>
    </row>
    <row r="56" spans="1:38" s="4" customFormat="1" x14ac:dyDescent="0.25">
      <c r="B56" s="4" t="s">
        <v>66</v>
      </c>
      <c r="F56" s="4">
        <v>-2349</v>
      </c>
      <c r="J56" s="4">
        <v>-5333</v>
      </c>
      <c r="N56" s="4">
        <v>801</v>
      </c>
      <c r="O56" s="4">
        <v>-5720</v>
      </c>
      <c r="P56" s="4">
        <v>-4935</v>
      </c>
      <c r="Q56" s="4">
        <v>4925</v>
      </c>
      <c r="R56" s="4">
        <v>-5611</v>
      </c>
      <c r="S56" s="4">
        <v>-2994</v>
      </c>
      <c r="T56" s="4">
        <v>4721</v>
      </c>
      <c r="U56" s="4">
        <v>11537</v>
      </c>
      <c r="V56" s="4">
        <v>13942</v>
      </c>
      <c r="AC56" s="4">
        <v>762</v>
      </c>
      <c r="AD56" s="4">
        <v>-703</v>
      </c>
      <c r="AE56" s="4">
        <v>-2745</v>
      </c>
      <c r="AF56" s="4">
        <v>-2349</v>
      </c>
      <c r="AG56" s="4">
        <v>-5333</v>
      </c>
      <c r="AH56" s="4">
        <v>801</v>
      </c>
      <c r="AI56" s="4">
        <v>-5611</v>
      </c>
      <c r="AJ56" s="4">
        <v>13942</v>
      </c>
    </row>
    <row r="57" spans="1:38" s="4" customFormat="1" x14ac:dyDescent="0.25">
      <c r="B57" s="4" t="s">
        <v>67</v>
      </c>
      <c r="F57" s="4">
        <v>-5485733</v>
      </c>
      <c r="J57" s="4">
        <v>-5859438</v>
      </c>
      <c r="N57" s="4">
        <v>-5649613</v>
      </c>
      <c r="O57" s="4">
        <v>-5544083</v>
      </c>
      <c r="P57" s="4">
        <v>-5409957</v>
      </c>
      <c r="Q57" s="4">
        <v>-5266432</v>
      </c>
      <c r="R57" s="4">
        <v>-5187423</v>
      </c>
      <c r="S57" s="4">
        <v>-4973392</v>
      </c>
      <c r="T57" s="4">
        <v>-4646665</v>
      </c>
      <c r="U57" s="4">
        <v>-4171066</v>
      </c>
      <c r="V57" s="4">
        <v>-3562390</v>
      </c>
      <c r="AC57" s="4">
        <v>-3231876</v>
      </c>
      <c r="AD57" s="4">
        <v>-3798963</v>
      </c>
      <c r="AE57" s="4">
        <v>-4965354</v>
      </c>
      <c r="AF57" s="4">
        <v>-5485733</v>
      </c>
      <c r="AG57" s="4">
        <v>-5859438</v>
      </c>
      <c r="AH57" s="4">
        <v>-5649613</v>
      </c>
      <c r="AI57" s="4">
        <v>-5187423</v>
      </c>
      <c r="AJ57" s="4">
        <v>-3562390</v>
      </c>
    </row>
    <row r="58" spans="1:38" s="4" customFormat="1" x14ac:dyDescent="0.25">
      <c r="B58" s="4" t="s">
        <v>68</v>
      </c>
      <c r="J58" s="4">
        <v>77111</v>
      </c>
      <c r="N58" s="4">
        <v>85404</v>
      </c>
      <c r="O58" s="4">
        <v>85945</v>
      </c>
      <c r="P58" s="4">
        <v>87282</v>
      </c>
      <c r="Q58" s="4">
        <v>93219</v>
      </c>
      <c r="R58" s="4">
        <v>91132</v>
      </c>
      <c r="S58" s="4">
        <v>94818</v>
      </c>
      <c r="T58" s="4">
        <v>96663</v>
      </c>
      <c r="U58" s="4">
        <v>97812</v>
      </c>
      <c r="V58" s="4">
        <v>100743</v>
      </c>
      <c r="AG58" s="4">
        <v>77111</v>
      </c>
      <c r="AH58" s="4">
        <v>85404</v>
      </c>
      <c r="AI58" s="4">
        <v>91132</v>
      </c>
      <c r="AJ58" s="4">
        <v>100743</v>
      </c>
    </row>
    <row r="59" spans="1:38" s="5" customFormat="1" x14ac:dyDescent="0.25">
      <c r="B59" s="5" t="s">
        <v>62</v>
      </c>
      <c r="F59" s="5">
        <f t="shared" ref="F59" si="174">SUM(F54:F58)</f>
        <v>2291030</v>
      </c>
      <c r="G59" s="5">
        <f t="shared" ref="G59" si="175">SUM(G54:G58)</f>
        <v>0</v>
      </c>
      <c r="H59" s="5">
        <f t="shared" ref="H59" si="176">SUM(H54:H58)</f>
        <v>0</v>
      </c>
      <c r="I59" s="5">
        <f t="shared" ref="I59" si="177">SUM(I54:I58)</f>
        <v>0</v>
      </c>
      <c r="J59" s="5">
        <f t="shared" ref="J59" si="178">SUM(J54:J58)</f>
        <v>2642437</v>
      </c>
      <c r="K59" s="5">
        <f t="shared" ref="K59:R59" si="179">SUM(K54:K58)</f>
        <v>0</v>
      </c>
      <c r="L59" s="5">
        <f t="shared" si="179"/>
        <v>0</v>
      </c>
      <c r="M59" s="5">
        <f t="shared" si="179"/>
        <v>0</v>
      </c>
      <c r="N59" s="5">
        <f t="shared" si="179"/>
        <v>3560965</v>
      </c>
      <c r="O59" s="5">
        <f t="shared" si="179"/>
        <v>3861172</v>
      </c>
      <c r="P59" s="5">
        <f t="shared" si="179"/>
        <v>4137806</v>
      </c>
      <c r="Q59" s="5">
        <f t="shared" si="179"/>
        <v>4591362</v>
      </c>
      <c r="R59" s="5">
        <f t="shared" si="179"/>
        <v>5094407</v>
      </c>
      <c r="S59" s="5">
        <f>SUM(S54:S58)</f>
        <v>5518973</v>
      </c>
      <c r="T59" s="5">
        <f>SUM(T54:T58)</f>
        <v>6025564</v>
      </c>
      <c r="U59" s="5">
        <f t="shared" ref="U59:Z59" si="180">SUM(U54:U58)</f>
        <v>6688269</v>
      </c>
      <c r="V59" s="5">
        <f t="shared" si="180"/>
        <v>7488011</v>
      </c>
      <c r="W59" s="5">
        <f t="shared" si="180"/>
        <v>0</v>
      </c>
      <c r="X59" s="5">
        <f t="shared" si="180"/>
        <v>0</v>
      </c>
      <c r="Y59" s="5">
        <f t="shared" si="180"/>
        <v>0</v>
      </c>
      <c r="Z59" s="5">
        <f t="shared" si="180"/>
        <v>0</v>
      </c>
      <c r="AC59" s="5">
        <f t="shared" ref="AC59:AE59" si="181">SUM(AC54:AC58)</f>
        <v>508295</v>
      </c>
      <c r="AD59" s="5">
        <f t="shared" si="181"/>
        <v>146589</v>
      </c>
      <c r="AE59" s="5">
        <f t="shared" si="181"/>
        <v>1522550</v>
      </c>
      <c r="AF59" s="5">
        <f t="shared" ref="AF59" si="182">SUM(AF54:AF58)</f>
        <v>2291030</v>
      </c>
      <c r="AG59" s="5">
        <f t="shared" ref="AG59" si="183">SUM(AG54:AG58)</f>
        <v>2642437</v>
      </c>
      <c r="AH59" s="5">
        <f t="shared" ref="AH59" si="184">SUM(AH54:AH58)</f>
        <v>3560965</v>
      </c>
      <c r="AI59" s="5">
        <f t="shared" ref="AI59:AL59" si="185">SUM(AI54:AI58)</f>
        <v>5094407</v>
      </c>
      <c r="AJ59" s="5">
        <f t="shared" si="185"/>
        <v>7488011</v>
      </c>
      <c r="AK59" s="5">
        <f t="shared" si="185"/>
        <v>0</v>
      </c>
      <c r="AL59" s="5">
        <f t="shared" si="185"/>
        <v>0</v>
      </c>
    </row>
    <row r="60" spans="1:38" s="5" customFormat="1" x14ac:dyDescent="0.25">
      <c r="A60" s="3"/>
      <c r="B60" s="5" t="s">
        <v>63</v>
      </c>
      <c r="F60" s="5">
        <f t="shared" ref="F60" si="186">F53+F59</f>
        <v>3247450</v>
      </c>
      <c r="G60" s="5">
        <f t="shared" ref="G60" si="187">G53+G59</f>
        <v>0</v>
      </c>
      <c r="H60" s="5">
        <f t="shared" ref="H60" si="188">H53+H59</f>
        <v>0</v>
      </c>
      <c r="I60" s="5">
        <f t="shared" ref="I60" si="189">I53+I59</f>
        <v>0</v>
      </c>
      <c r="J60" s="5">
        <f t="shared" ref="J60" si="190">J53+J59</f>
        <v>3461239</v>
      </c>
      <c r="K60" s="5">
        <f t="shared" ref="K60:R60" si="191">K53+K59</f>
        <v>0</v>
      </c>
      <c r="L60" s="5">
        <f t="shared" si="191"/>
        <v>0</v>
      </c>
      <c r="M60" s="5">
        <f t="shared" si="191"/>
        <v>0</v>
      </c>
      <c r="N60" s="5">
        <f t="shared" si="191"/>
        <v>4522425</v>
      </c>
      <c r="O60" s="5">
        <f t="shared" si="191"/>
        <v>4807079</v>
      </c>
      <c r="P60" s="5">
        <f t="shared" si="191"/>
        <v>5191880</v>
      </c>
      <c r="Q60" s="5">
        <f t="shared" si="191"/>
        <v>5768097</v>
      </c>
      <c r="R60" s="5">
        <f t="shared" si="191"/>
        <v>6340884</v>
      </c>
      <c r="S60" s="5">
        <f>S53+S59</f>
        <v>6736917</v>
      </c>
      <c r="T60" s="5">
        <f>T53+T59</f>
        <v>7365688</v>
      </c>
      <c r="U60" s="5">
        <f t="shared" ref="U60:Z60" si="192">U53+U59</f>
        <v>8113960</v>
      </c>
      <c r="V60" s="5">
        <f t="shared" si="192"/>
        <v>8900392</v>
      </c>
      <c r="W60" s="5">
        <f t="shared" si="192"/>
        <v>0</v>
      </c>
      <c r="X60" s="5">
        <f t="shared" si="192"/>
        <v>0</v>
      </c>
      <c r="Y60" s="5">
        <f t="shared" si="192"/>
        <v>0</v>
      </c>
      <c r="Z60" s="5">
        <f t="shared" si="192"/>
        <v>0</v>
      </c>
      <c r="AC60" s="5">
        <f t="shared" ref="AC60:AE60" si="193">AC53+AC59</f>
        <v>1430965</v>
      </c>
      <c r="AD60" s="5">
        <f t="shared" si="193"/>
        <v>1594025</v>
      </c>
      <c r="AE60" s="5">
        <f t="shared" si="193"/>
        <v>2690504</v>
      </c>
      <c r="AF60" s="5">
        <f t="shared" ref="AF60" si="194">AF53+AF59</f>
        <v>3247450</v>
      </c>
      <c r="AG60" s="5">
        <f t="shared" ref="AG60" si="195">AG53+AG59</f>
        <v>3461239</v>
      </c>
      <c r="AH60" s="5">
        <f t="shared" ref="AH60" si="196">AH53+AH59</f>
        <v>4522425</v>
      </c>
      <c r="AI60" s="5">
        <f t="shared" ref="AI60:AL60" si="197">AI53+AI59</f>
        <v>6340884</v>
      </c>
      <c r="AJ60" s="5">
        <f t="shared" si="197"/>
        <v>8900392</v>
      </c>
      <c r="AK60" s="5">
        <f t="shared" si="197"/>
        <v>0</v>
      </c>
      <c r="AL60" s="5">
        <f t="shared" si="197"/>
        <v>0</v>
      </c>
    </row>
    <row r="64" spans="1:38" s="4" customFormat="1" x14ac:dyDescent="0.25">
      <c r="A64" s="2"/>
      <c r="B64" s="4" t="s">
        <v>69</v>
      </c>
      <c r="C64" s="4">
        <f t="shared" ref="C64:J64" si="198">C15</f>
        <v>-123500</v>
      </c>
      <c r="D64" s="4">
        <f t="shared" si="198"/>
        <v>-138500</v>
      </c>
      <c r="E64" s="4">
        <f t="shared" si="198"/>
        <v>-102100</v>
      </c>
      <c r="F64" s="4">
        <f t="shared" si="198"/>
        <v>-126500</v>
      </c>
      <c r="G64" s="4">
        <f t="shared" si="198"/>
        <v>-99600</v>
      </c>
      <c r="H64" s="4">
        <f t="shared" si="198"/>
        <v>-179300</v>
      </c>
      <c r="I64" s="4">
        <f t="shared" si="198"/>
        <v>-123900</v>
      </c>
      <c r="J64" s="4">
        <f t="shared" si="198"/>
        <v>33400</v>
      </c>
      <c r="K64" s="4">
        <f t="shared" ref="K64:S64" si="199">K15</f>
        <v>19151</v>
      </c>
      <c r="L64" s="4">
        <f t="shared" si="199"/>
        <v>27872</v>
      </c>
      <c r="M64" s="4">
        <f t="shared" si="199"/>
        <v>73439</v>
      </c>
      <c r="N64" s="4">
        <f t="shared" si="199"/>
        <v>96913</v>
      </c>
      <c r="O64" s="4">
        <f t="shared" si="199"/>
        <v>106071</v>
      </c>
      <c r="P64" s="4">
        <f t="shared" si="199"/>
        <v>135570</v>
      </c>
      <c r="Q64" s="4">
        <f t="shared" si="199"/>
        <v>149341</v>
      </c>
      <c r="R64" s="4">
        <f t="shared" si="199"/>
        <v>76936</v>
      </c>
      <c r="S64" s="4">
        <f t="shared" si="199"/>
        <v>217717</v>
      </c>
      <c r="T64" s="4">
        <f>T15</f>
        <v>328572</v>
      </c>
      <c r="U64" s="4">
        <f t="shared" ref="U64:Z64" si="200">U15</f>
        <v>476748</v>
      </c>
      <c r="V64" s="4">
        <f t="shared" si="200"/>
        <v>611607</v>
      </c>
      <c r="W64" s="4">
        <f t="shared" si="200"/>
        <v>1536000</v>
      </c>
      <c r="X64" s="4">
        <f t="shared" si="200"/>
        <v>0</v>
      </c>
      <c r="Y64" s="4">
        <f t="shared" si="200"/>
        <v>0</v>
      </c>
      <c r="Z64" s="4">
        <f t="shared" si="200"/>
        <v>0</v>
      </c>
      <c r="AC64" s="4">
        <f t="shared" ref="AC64:AD64" si="201">AC15</f>
        <v>-580027</v>
      </c>
      <c r="AD64" s="4">
        <f t="shared" si="201"/>
        <v>-579646</v>
      </c>
      <c r="AE64" s="4">
        <f t="shared" ref="AE64:AF64" si="202">AE15</f>
        <v>-1166391</v>
      </c>
      <c r="AF64" s="4">
        <f t="shared" si="202"/>
        <v>-520379</v>
      </c>
      <c r="AG64" s="4">
        <f t="shared" ref="AG64:AL64" si="203">AG15</f>
        <v>-371094</v>
      </c>
      <c r="AH64" s="4">
        <f t="shared" si="203"/>
        <v>217375</v>
      </c>
      <c r="AI64" s="4">
        <f t="shared" si="203"/>
        <v>467918</v>
      </c>
      <c r="AJ64" s="4">
        <f t="shared" si="203"/>
        <v>1634644</v>
      </c>
      <c r="AK64" s="4">
        <f t="shared" si="203"/>
        <v>0</v>
      </c>
      <c r="AL64" s="4">
        <f t="shared" si="203"/>
        <v>0</v>
      </c>
    </row>
    <row r="65" spans="1:36" s="4" customFormat="1" x14ac:dyDescent="0.25">
      <c r="A65" s="2"/>
      <c r="B65" s="4" t="s">
        <v>70</v>
      </c>
      <c r="K65" s="4">
        <v>19151</v>
      </c>
      <c r="L65" s="4">
        <v>27872</v>
      </c>
      <c r="M65" s="4">
        <v>73439</v>
      </c>
      <c r="N65" s="4">
        <v>96913</v>
      </c>
      <c r="O65" s="4">
        <v>106071</v>
      </c>
      <c r="P65" s="4">
        <v>135570</v>
      </c>
      <c r="Q65" s="4">
        <v>149341</v>
      </c>
      <c r="R65" s="4">
        <v>76936</v>
      </c>
      <c r="S65" s="4">
        <v>217717</v>
      </c>
      <c r="T65" s="4">
        <v>328572</v>
      </c>
      <c r="U65" s="4">
        <v>476748</v>
      </c>
      <c r="V65" s="4">
        <v>611607</v>
      </c>
      <c r="AC65" s="4">
        <v>-580027</v>
      </c>
      <c r="AD65" s="4">
        <v>-579646</v>
      </c>
      <c r="AE65" s="4">
        <v>-1166391</v>
      </c>
      <c r="AF65" s="4">
        <v>-520379</v>
      </c>
      <c r="AG65" s="4">
        <v>-371094</v>
      </c>
      <c r="AH65" s="4">
        <v>217375</v>
      </c>
      <c r="AI65" s="4">
        <v>467918</v>
      </c>
      <c r="AJ65" s="4">
        <v>1634644</v>
      </c>
    </row>
    <row r="66" spans="1:36" s="4" customFormat="1" x14ac:dyDescent="0.25">
      <c r="A66" s="2"/>
      <c r="B66" s="4" t="s">
        <v>71</v>
      </c>
      <c r="K66" s="4">
        <v>8320</v>
      </c>
      <c r="L66" s="4">
        <v>8174</v>
      </c>
      <c r="M66" s="4">
        <v>8888</v>
      </c>
      <c r="N66" s="4">
        <v>7972</v>
      </c>
      <c r="O66" s="4">
        <v>8438</v>
      </c>
      <c r="P66" s="4">
        <v>8056</v>
      </c>
      <c r="Q66" s="4">
        <v>8087</v>
      </c>
      <c r="R66" s="4">
        <v>7006</v>
      </c>
      <c r="S66" s="4">
        <v>6622</v>
      </c>
      <c r="T66" s="4">
        <v>6530</v>
      </c>
      <c r="U66" s="4">
        <v>5975</v>
      </c>
      <c r="V66" s="4">
        <v>7018</v>
      </c>
      <c r="AC66" s="4">
        <v>13910</v>
      </c>
      <c r="AD66" s="4">
        <v>12255</v>
      </c>
      <c r="AE66" s="4">
        <v>13871</v>
      </c>
      <c r="AF66" s="4">
        <v>14897</v>
      </c>
      <c r="AG66" s="4">
        <v>22522</v>
      </c>
      <c r="AH66" s="4">
        <v>33354</v>
      </c>
      <c r="AI66" s="4">
        <v>31587</v>
      </c>
      <c r="AJ66" s="4">
        <v>26145</v>
      </c>
    </row>
    <row r="67" spans="1:36" s="4" customFormat="1" x14ac:dyDescent="0.25">
      <c r="A67" s="2"/>
      <c r="B67" s="4" t="s">
        <v>72</v>
      </c>
      <c r="K67" s="4">
        <v>114714</v>
      </c>
      <c r="L67" s="4">
        <v>152701</v>
      </c>
      <c r="M67" s="4">
        <v>75880</v>
      </c>
      <c r="N67" s="4">
        <v>132608</v>
      </c>
      <c r="O67" s="4">
        <v>125651</v>
      </c>
      <c r="P67" s="4">
        <v>141764</v>
      </c>
      <c r="Q67" s="4">
        <v>142425</v>
      </c>
      <c r="R67" s="4">
        <v>281798</v>
      </c>
      <c r="S67" s="4">
        <v>155339</v>
      </c>
      <c r="T67" s="4">
        <v>159971</v>
      </c>
      <c r="U67" s="4">
        <v>172318</v>
      </c>
      <c r="V67" s="4">
        <v>196405</v>
      </c>
      <c r="AC67" s="4">
        <v>248503</v>
      </c>
      <c r="AD67" s="4">
        <v>241970</v>
      </c>
      <c r="AE67" s="4">
        <v>1270702</v>
      </c>
      <c r="AF67" s="4">
        <v>778215</v>
      </c>
      <c r="AG67" s="4">
        <v>564798</v>
      </c>
      <c r="AH67" s="4">
        <v>475903</v>
      </c>
      <c r="AI67" s="4">
        <v>691638</v>
      </c>
      <c r="AJ67" s="4">
        <v>684033</v>
      </c>
    </row>
    <row r="68" spans="1:36" s="4" customFormat="1" x14ac:dyDescent="0.25">
      <c r="A68" s="2"/>
      <c r="B68" s="4" t="s">
        <v>119</v>
      </c>
      <c r="K68" s="4">
        <v>10836</v>
      </c>
      <c r="L68" s="4">
        <v>11603</v>
      </c>
      <c r="M68" s="4">
        <v>12371</v>
      </c>
      <c r="N68" s="4">
        <v>12209</v>
      </c>
      <c r="P68" s="4">
        <v>0</v>
      </c>
      <c r="Q68" s="4">
        <v>32041</v>
      </c>
      <c r="R68" s="4">
        <v>9198</v>
      </c>
      <c r="T68" s="4">
        <v>0</v>
      </c>
      <c r="U68" s="4">
        <v>0</v>
      </c>
      <c r="V68" s="4">
        <v>0</v>
      </c>
      <c r="AE68" s="4">
        <v>35049</v>
      </c>
      <c r="AF68" s="4">
        <v>33821</v>
      </c>
      <c r="AG68" s="4">
        <v>40309</v>
      </c>
      <c r="AH68" s="4">
        <v>47019</v>
      </c>
      <c r="AI68" s="4">
        <v>41239</v>
      </c>
      <c r="AJ68" s="4">
        <v>0</v>
      </c>
    </row>
    <row r="69" spans="1:36" s="4" customFormat="1" x14ac:dyDescent="0.25">
      <c r="A69" s="2"/>
      <c r="B69" s="4" t="s">
        <v>73</v>
      </c>
      <c r="K69" s="4">
        <v>8508</v>
      </c>
      <c r="L69" s="4">
        <v>11534</v>
      </c>
      <c r="M69" s="4">
        <v>-8232</v>
      </c>
      <c r="N69" s="4">
        <v>1350</v>
      </c>
      <c r="O69" s="4">
        <v>12354</v>
      </c>
      <c r="P69" s="4">
        <v>7688</v>
      </c>
      <c r="Q69" s="4">
        <v>5979</v>
      </c>
      <c r="R69" s="4">
        <v>-6715</v>
      </c>
      <c r="S69" s="4">
        <v>10688</v>
      </c>
      <c r="T69" s="4">
        <v>-11140</v>
      </c>
      <c r="U69" s="4">
        <v>5457</v>
      </c>
      <c r="V69" s="4">
        <v>16223</v>
      </c>
      <c r="AC69" s="4">
        <v>-48093</v>
      </c>
      <c r="AD69" s="4">
        <f>3+224</f>
        <v>227</v>
      </c>
      <c r="AF69" s="4">
        <v>73311</v>
      </c>
      <c r="AG69" s="4">
        <v>272108</v>
      </c>
      <c r="AH69" s="4">
        <v>13160</v>
      </c>
      <c r="AI69" s="4">
        <v>19306</v>
      </c>
      <c r="AJ69" s="4">
        <v>21228</v>
      </c>
    </row>
    <row r="70" spans="1:36" s="4" customFormat="1" x14ac:dyDescent="0.25">
      <c r="A70" s="2"/>
      <c r="B70" s="4" t="s">
        <v>74</v>
      </c>
      <c r="K70" s="4">
        <v>-7596</v>
      </c>
      <c r="L70" s="4">
        <v>-18888</v>
      </c>
      <c r="M70" s="4">
        <v>-8368</v>
      </c>
      <c r="N70" s="4">
        <v>-11757</v>
      </c>
      <c r="O70" s="4">
        <v>-11907</v>
      </c>
      <c r="P70" s="4">
        <v>-14577</v>
      </c>
      <c r="Q70" s="4">
        <v>-8305</v>
      </c>
      <c r="R70" s="4">
        <v>-17732</v>
      </c>
      <c r="S70" s="4">
        <v>-17313</v>
      </c>
      <c r="T70" s="4">
        <v>-7128</v>
      </c>
      <c r="U70" s="4">
        <v>-7612</v>
      </c>
      <c r="V70" s="4">
        <v>-5191</v>
      </c>
      <c r="AG70" s="4">
        <v>-15537</v>
      </c>
      <c r="AH70" s="4">
        <v>-46609</v>
      </c>
      <c r="AI70" s="4">
        <v>-52521</v>
      </c>
      <c r="AJ70" s="4">
        <v>-37244</v>
      </c>
    </row>
    <row r="71" spans="1:36" s="4" customFormat="1" x14ac:dyDescent="0.25">
      <c r="A71" s="2"/>
      <c r="B71" s="4" t="s">
        <v>75</v>
      </c>
      <c r="K71" s="4">
        <v>-6670</v>
      </c>
      <c r="L71" s="4">
        <v>-4418</v>
      </c>
      <c r="M71" s="4">
        <v>-2240</v>
      </c>
      <c r="N71" s="4">
        <v>-20927</v>
      </c>
      <c r="O71" s="4">
        <v>5592</v>
      </c>
      <c r="P71" s="4">
        <v>5759</v>
      </c>
      <c r="Q71" s="4">
        <v>7764</v>
      </c>
      <c r="R71" s="4">
        <v>5680</v>
      </c>
      <c r="S71" s="4">
        <v>3531</v>
      </c>
      <c r="T71" s="4">
        <v>23002</v>
      </c>
      <c r="U71" s="4">
        <v>-10700</v>
      </c>
      <c r="V71" s="4">
        <v>-203</v>
      </c>
      <c r="AC71" s="4">
        <f>420+23700</f>
        <v>24120</v>
      </c>
      <c r="AD71" s="4">
        <f>2545+23407</f>
        <v>25952</v>
      </c>
      <c r="AE71" s="4">
        <f>-20385+4280</f>
        <v>-16105</v>
      </c>
      <c r="AF71" s="4">
        <f>2722+43316</f>
        <v>46038</v>
      </c>
      <c r="AG71" s="4">
        <v>-28152</v>
      </c>
      <c r="AH71" s="4">
        <v>-34255</v>
      </c>
      <c r="AI71" s="4">
        <v>24795</v>
      </c>
      <c r="AJ71" s="4">
        <v>15630</v>
      </c>
    </row>
    <row r="72" spans="1:36" s="4" customFormat="1" x14ac:dyDescent="0.25">
      <c r="A72" s="2"/>
      <c r="B72" s="4" t="s">
        <v>46</v>
      </c>
      <c r="K72" s="4">
        <v>2709</v>
      </c>
      <c r="L72" s="4">
        <v>-301020</v>
      </c>
      <c r="M72" s="4">
        <v>138559</v>
      </c>
      <c r="N72" s="4">
        <v>53593</v>
      </c>
      <c r="O72" s="4">
        <v>-121884</v>
      </c>
      <c r="P72" s="4">
        <v>-176427</v>
      </c>
      <c r="Q72" s="4">
        <v>-13388</v>
      </c>
      <c r="R72" s="4">
        <v>100542</v>
      </c>
      <c r="S72" s="4">
        <v>-134959</v>
      </c>
      <c r="T72" s="4">
        <v>-28542</v>
      </c>
      <c r="U72" s="4">
        <v>-259476</v>
      </c>
      <c r="V72" s="4">
        <v>-27452</v>
      </c>
      <c r="AC72" s="4">
        <v>-10483</v>
      </c>
      <c r="AD72" s="4">
        <v>-23905</v>
      </c>
      <c r="AE72" s="4">
        <v>-108476</v>
      </c>
      <c r="AF72" s="4">
        <v>-35237</v>
      </c>
      <c r="AG72" s="4">
        <v>-72819</v>
      </c>
      <c r="AH72" s="4">
        <v>-106159</v>
      </c>
      <c r="AI72" s="4">
        <v>-211157</v>
      </c>
      <c r="AJ72" s="4">
        <v>-450429</v>
      </c>
    </row>
    <row r="73" spans="1:36" s="4" customFormat="1" x14ac:dyDescent="0.25">
      <c r="A73" s="2"/>
      <c r="B73" s="4" t="s">
        <v>47</v>
      </c>
      <c r="K73" s="4">
        <v>1252</v>
      </c>
      <c r="L73" s="4">
        <v>-4026</v>
      </c>
      <c r="M73" s="4">
        <v>2699</v>
      </c>
      <c r="N73" s="4">
        <v>-6122</v>
      </c>
      <c r="O73" s="4">
        <v>22924</v>
      </c>
      <c r="P73" s="4">
        <v>-20127</v>
      </c>
      <c r="Q73" s="4">
        <v>-22344</v>
      </c>
      <c r="R73" s="4">
        <v>26749</v>
      </c>
      <c r="S73" s="4">
        <v>40730</v>
      </c>
      <c r="T73" s="4">
        <v>-48037</v>
      </c>
      <c r="U73" s="4">
        <v>57650</v>
      </c>
      <c r="V73" s="4">
        <v>1636</v>
      </c>
      <c r="AC73" s="4">
        <v>-19361</v>
      </c>
      <c r="AD73" s="4">
        <v>18806</v>
      </c>
      <c r="AE73" s="4">
        <v>-18565</v>
      </c>
      <c r="AF73" s="4">
        <v>-10929</v>
      </c>
      <c r="AG73" s="4">
        <v>-24811</v>
      </c>
      <c r="AH73" s="4">
        <v>-6197</v>
      </c>
      <c r="AI73" s="4">
        <v>7202</v>
      </c>
      <c r="AJ73" s="4">
        <v>51979</v>
      </c>
    </row>
    <row r="74" spans="1:36" s="4" customFormat="1" x14ac:dyDescent="0.25">
      <c r="A74" s="2"/>
      <c r="B74" s="4" t="s">
        <v>50</v>
      </c>
      <c r="K74" s="4">
        <v>-4551</v>
      </c>
      <c r="L74" s="4">
        <v>10122</v>
      </c>
      <c r="M74" s="4">
        <v>-3630</v>
      </c>
      <c r="N74" s="4">
        <v>1301</v>
      </c>
      <c r="P74" s="4">
        <v>0</v>
      </c>
      <c r="Q74" s="4">
        <v>4056</v>
      </c>
      <c r="R74" s="4">
        <v>625</v>
      </c>
      <c r="T74" s="4">
        <v>0</v>
      </c>
      <c r="U74" s="4">
        <v>0</v>
      </c>
      <c r="V74" s="4">
        <v>0</v>
      </c>
      <c r="AC74" s="4">
        <v>-3424</v>
      </c>
      <c r="AD74" s="4">
        <v>-29447</v>
      </c>
      <c r="AE74" s="4">
        <v>-8605</v>
      </c>
      <c r="AF74" s="4">
        <v>-3345</v>
      </c>
      <c r="AG74" s="4">
        <v>6033</v>
      </c>
      <c r="AH74" s="4">
        <v>3242</v>
      </c>
      <c r="AI74" s="4">
        <v>4681</v>
      </c>
      <c r="AJ74" s="4">
        <v>0</v>
      </c>
    </row>
    <row r="75" spans="1:36" s="4" customFormat="1" x14ac:dyDescent="0.25">
      <c r="A75" s="2"/>
      <c r="B75" s="4" t="s">
        <v>76</v>
      </c>
      <c r="K75" s="4">
        <v>-39921</v>
      </c>
      <c r="L75" s="4">
        <v>93293</v>
      </c>
      <c r="M75" s="4">
        <v>-85759</v>
      </c>
      <c r="N75" s="4">
        <v>53450</v>
      </c>
      <c r="O75" s="4">
        <v>4704</v>
      </c>
      <c r="P75" s="4">
        <v>18120</v>
      </c>
      <c r="Q75" s="4">
        <v>-15114</v>
      </c>
      <c r="R75" s="4">
        <v>89083</v>
      </c>
      <c r="S75" s="4">
        <v>22395</v>
      </c>
      <c r="T75" s="4">
        <v>25807</v>
      </c>
      <c r="U75" s="4">
        <v>42380</v>
      </c>
      <c r="V75" s="4">
        <v>-85923</v>
      </c>
      <c r="AC75" s="4">
        <f>10968+26424</f>
        <v>37392</v>
      </c>
      <c r="AD75" s="4">
        <f>23424+3733</f>
        <v>27157</v>
      </c>
      <c r="AE75" s="4">
        <v>-34681</v>
      </c>
      <c r="AF75" s="4">
        <v>57767</v>
      </c>
      <c r="AG75" s="4">
        <f>-29859+5527</f>
        <v>-24332</v>
      </c>
      <c r="AH75" s="4">
        <f>-31832+52895</f>
        <v>21063</v>
      </c>
      <c r="AI75" s="4">
        <f>-18841+115634</f>
        <v>96793</v>
      </c>
      <c r="AJ75" s="4">
        <v>4659</v>
      </c>
    </row>
    <row r="76" spans="1:36" s="4" customFormat="1" x14ac:dyDescent="0.25">
      <c r="A76" s="2"/>
      <c r="B76" s="4" t="s">
        <v>54</v>
      </c>
      <c r="K76" s="4">
        <v>4271</v>
      </c>
      <c r="L76" s="4">
        <v>-34819</v>
      </c>
      <c r="M76" s="4">
        <v>33100</v>
      </c>
      <c r="N76" s="4">
        <v>76960</v>
      </c>
      <c r="P76" s="4">
        <v>0</v>
      </c>
      <c r="Q76" s="4">
        <v>42149</v>
      </c>
      <c r="R76" s="4">
        <v>-19793</v>
      </c>
      <c r="T76" s="4">
        <v>0</v>
      </c>
      <c r="U76" s="4">
        <v>0</v>
      </c>
      <c r="V76" s="4">
        <v>0</v>
      </c>
      <c r="AC76" s="4">
        <v>173744</v>
      </c>
      <c r="AD76" s="4">
        <v>-134396</v>
      </c>
      <c r="AE76" s="4">
        <v>38505</v>
      </c>
      <c r="AF76" s="4">
        <v>15245</v>
      </c>
      <c r="AG76" s="4">
        <v>-61154</v>
      </c>
      <c r="AH76" s="4">
        <v>79512</v>
      </c>
      <c r="AI76" s="4">
        <v>22356</v>
      </c>
      <c r="AJ76" s="4">
        <v>0</v>
      </c>
    </row>
    <row r="77" spans="1:36" s="4" customFormat="1" x14ac:dyDescent="0.25">
      <c r="A77" s="2"/>
      <c r="B77" s="4" t="s">
        <v>55</v>
      </c>
      <c r="K77" s="4">
        <v>43238</v>
      </c>
      <c r="L77" s="4">
        <v>-21775</v>
      </c>
      <c r="M77" s="4">
        <v>43001</v>
      </c>
      <c r="N77" s="4">
        <v>-117</v>
      </c>
      <c r="P77" s="4">
        <v>0</v>
      </c>
      <c r="Q77" s="4">
        <v>-27117</v>
      </c>
      <c r="R77" s="4">
        <v>81557</v>
      </c>
      <c r="T77" s="4">
        <v>0</v>
      </c>
      <c r="U77" s="4">
        <v>0</v>
      </c>
      <c r="V77" s="4">
        <v>0</v>
      </c>
      <c r="AA77" s="11"/>
      <c r="AC77" s="4">
        <v>126028</v>
      </c>
      <c r="AD77" s="4">
        <v>279226</v>
      </c>
      <c r="AE77" s="4">
        <v>-30905</v>
      </c>
      <c r="AF77" s="4">
        <v>24732</v>
      </c>
      <c r="AG77" s="4">
        <v>-49471</v>
      </c>
      <c r="AH77" s="4">
        <v>64347</v>
      </c>
      <c r="AI77" s="4">
        <v>54440</v>
      </c>
      <c r="AJ77" s="4">
        <v>0</v>
      </c>
    </row>
    <row r="78" spans="1:36" s="4" customFormat="1" x14ac:dyDescent="0.25">
      <c r="A78" s="2"/>
      <c r="B78" s="4" t="s">
        <v>120</v>
      </c>
      <c r="K78" s="4">
        <v>43631</v>
      </c>
      <c r="L78" s="4">
        <v>-31825</v>
      </c>
      <c r="M78" s="4">
        <v>72466</v>
      </c>
      <c r="N78" s="4">
        <v>-133902</v>
      </c>
      <c r="P78" s="4">
        <v>0</v>
      </c>
      <c r="Q78" s="4">
        <v>159457</v>
      </c>
      <c r="R78" s="4">
        <v>-208423</v>
      </c>
      <c r="T78" s="4">
        <v>0</v>
      </c>
      <c r="U78" s="4">
        <v>0</v>
      </c>
      <c r="V78" s="4">
        <v>0</v>
      </c>
      <c r="AE78" s="4">
        <v>-230873</v>
      </c>
      <c r="AF78" s="4">
        <v>-104944</v>
      </c>
      <c r="AG78" s="4">
        <v>-34590</v>
      </c>
      <c r="AH78" s="4">
        <v>-49630</v>
      </c>
      <c r="AI78" s="4">
        <v>-48966</v>
      </c>
      <c r="AJ78" s="4">
        <v>0</v>
      </c>
    </row>
    <row r="79" spans="1:36" s="4" customFormat="1" x14ac:dyDescent="0.25">
      <c r="A79" s="2"/>
      <c r="B79" s="4" t="s">
        <v>77</v>
      </c>
      <c r="K79" s="4">
        <v>-10536</v>
      </c>
      <c r="L79" s="4">
        <v>-13242</v>
      </c>
      <c r="M79" s="4">
        <v>-13989</v>
      </c>
      <c r="N79" s="4">
        <v>37767</v>
      </c>
      <c r="O79" s="4">
        <v>-6849</v>
      </c>
      <c r="P79" s="4">
        <v>40118</v>
      </c>
      <c r="Q79" s="4">
        <v>-68474</v>
      </c>
      <c r="R79" s="4">
        <v>35205</v>
      </c>
      <c r="S79" s="4">
        <v>18760</v>
      </c>
      <c r="T79" s="4">
        <v>101906</v>
      </c>
      <c r="U79" s="4">
        <v>39488</v>
      </c>
      <c r="V79" s="4">
        <v>78534</v>
      </c>
      <c r="AE79" s="4">
        <v>-43639</v>
      </c>
      <c r="AF79" s="4">
        <v>-32156</v>
      </c>
      <c r="AJ79" s="4">
        <v>238688</v>
      </c>
    </row>
    <row r="80" spans="1:36" s="4" customFormat="1" x14ac:dyDescent="0.25">
      <c r="A80" s="2"/>
      <c r="B80" s="4" t="s">
        <v>78</v>
      </c>
      <c r="K80" s="4">
        <v>20</v>
      </c>
      <c r="L80" s="4">
        <v>6486</v>
      </c>
      <c r="M80" s="4">
        <v>-6322</v>
      </c>
      <c r="N80" s="4">
        <v>-126</v>
      </c>
      <c r="O80" s="4">
        <v>-15515</v>
      </c>
      <c r="P80" s="4">
        <v>-1757</v>
      </c>
      <c r="Q80" s="4">
        <v>23215</v>
      </c>
      <c r="R80" s="4">
        <v>-1389</v>
      </c>
      <c r="S80" s="4">
        <v>-13247</v>
      </c>
      <c r="T80" s="4">
        <v>-11690</v>
      </c>
      <c r="U80" s="4">
        <v>-14564</v>
      </c>
      <c r="V80" s="4">
        <v>-15359</v>
      </c>
      <c r="AC80" s="4">
        <v>-1321</v>
      </c>
      <c r="AD80" s="4">
        <v>-3414</v>
      </c>
      <c r="AE80" s="4">
        <v>3505</v>
      </c>
      <c r="AF80" s="4">
        <v>-3185</v>
      </c>
      <c r="AG80" s="4">
        <v>-73</v>
      </c>
      <c r="AH80" s="4">
        <v>58</v>
      </c>
      <c r="AI80" s="4">
        <v>4554</v>
      </c>
      <c r="AJ80" s="4">
        <v>-54860</v>
      </c>
    </row>
    <row r="81" spans="1:38" s="5" customFormat="1" x14ac:dyDescent="0.25">
      <c r="A81" s="3"/>
      <c r="B81" s="5" t="s">
        <v>79</v>
      </c>
      <c r="C81" s="5">
        <f t="shared" ref="C81" si="204">SUM(C65:C80)</f>
        <v>0</v>
      </c>
      <c r="D81" s="5">
        <f t="shared" ref="D81" si="205">SUM(D65:D80)</f>
        <v>0</v>
      </c>
      <c r="E81" s="5">
        <f t="shared" ref="E81" si="206">SUM(E65:E80)</f>
        <v>0</v>
      </c>
      <c r="F81" s="5">
        <f t="shared" ref="F81" si="207">SUM(F65:F80)</f>
        <v>0</v>
      </c>
      <c r="G81" s="5">
        <f t="shared" ref="G81" si="208">SUM(G65:G80)</f>
        <v>0</v>
      </c>
      <c r="H81" s="5">
        <f t="shared" ref="H81" si="209">SUM(H65:H80)</f>
        <v>0</v>
      </c>
      <c r="I81" s="5">
        <f t="shared" ref="I81" si="210">SUM(I65:I80)</f>
        <v>0</v>
      </c>
      <c r="J81" s="5">
        <f t="shared" ref="J81" si="211">SUM(J65:J80)</f>
        <v>0</v>
      </c>
      <c r="K81" s="5">
        <f t="shared" ref="K81" si="212">SUM(K65:K80)</f>
        <v>187376</v>
      </c>
      <c r="L81" s="5">
        <f t="shared" ref="L81" si="213">SUM(L65:L80)</f>
        <v>-108228</v>
      </c>
      <c r="M81" s="5">
        <f t="shared" ref="M81" si="214">SUM(M65:M80)</f>
        <v>331863</v>
      </c>
      <c r="N81" s="5">
        <f t="shared" ref="N81" si="215">SUM(N65:N80)</f>
        <v>301172</v>
      </c>
      <c r="O81" s="5">
        <f t="shared" ref="O81" si="216">SUM(O65:O80)</f>
        <v>129579</v>
      </c>
      <c r="P81" s="5">
        <f t="shared" ref="P81" si="217">SUM(P65:P80)</f>
        <v>144187</v>
      </c>
      <c r="Q81" s="5">
        <f t="shared" ref="Q81" si="218">SUM(Q65:Q80)</f>
        <v>419772</v>
      </c>
      <c r="R81" s="5">
        <f t="shared" ref="R81" si="219">SUM(R65:R80)</f>
        <v>460327</v>
      </c>
      <c r="S81" s="5">
        <f t="shared" ref="S81" si="220">SUM(S65:S80)</f>
        <v>310263</v>
      </c>
      <c r="T81" s="5">
        <f t="shared" ref="T81:Z81" si="221">SUM(T65:T80)</f>
        <v>539251</v>
      </c>
      <c r="U81" s="5">
        <f t="shared" si="221"/>
        <v>507664</v>
      </c>
      <c r="V81" s="5">
        <f t="shared" si="221"/>
        <v>777295</v>
      </c>
      <c r="W81" s="5">
        <f t="shared" si="221"/>
        <v>0</v>
      </c>
      <c r="X81" s="5">
        <f t="shared" si="221"/>
        <v>0</v>
      </c>
      <c r="Y81" s="5">
        <f t="shared" si="221"/>
        <v>0</v>
      </c>
      <c r="Z81" s="5">
        <f t="shared" si="221"/>
        <v>0</v>
      </c>
      <c r="AB81" s="4"/>
      <c r="AC81" s="5">
        <f>SUM(AC65:AC80)</f>
        <v>-39012</v>
      </c>
      <c r="AD81" s="5">
        <f t="shared" ref="AD81" si="222">SUM(AD65:AD80)</f>
        <v>-165215</v>
      </c>
      <c r="AE81" s="5">
        <f t="shared" ref="AE81:AF81" si="223">SUM(AE65:AE80)</f>
        <v>-296608</v>
      </c>
      <c r="AF81" s="5">
        <f t="shared" si="223"/>
        <v>333851</v>
      </c>
      <c r="AG81" s="5">
        <f t="shared" ref="AG81" si="224">SUM(AG65:AG80)</f>
        <v>223737</v>
      </c>
      <c r="AH81" s="5">
        <f t="shared" ref="AH81" si="225">SUM(AH65:AH80)</f>
        <v>712183</v>
      </c>
      <c r="AI81" s="5">
        <f t="shared" ref="AI81:AL81" si="226">SUM(AI65:AI80)</f>
        <v>1153865</v>
      </c>
      <c r="AJ81" s="5">
        <f t="shared" si="226"/>
        <v>2134473</v>
      </c>
      <c r="AK81" s="5">
        <f t="shared" si="226"/>
        <v>0</v>
      </c>
      <c r="AL81" s="5">
        <f t="shared" si="226"/>
        <v>0</v>
      </c>
    </row>
    <row r="82" spans="1:38" s="4" customFormat="1" x14ac:dyDescent="0.25">
      <c r="A82" s="2"/>
      <c r="B82" s="4" t="s">
        <v>80</v>
      </c>
      <c r="K82" s="4">
        <v>-4755</v>
      </c>
      <c r="L82" s="4">
        <v>-3934</v>
      </c>
      <c r="M82" s="4">
        <v>-1565</v>
      </c>
      <c r="N82" s="4">
        <v>-4860</v>
      </c>
      <c r="O82" s="4">
        <v>-2664</v>
      </c>
      <c r="P82" s="4">
        <v>-2879</v>
      </c>
      <c r="Q82" s="4">
        <v>-3985</v>
      </c>
      <c r="R82" s="4">
        <v>-3106</v>
      </c>
      <c r="S82" s="4">
        <v>-6184</v>
      </c>
      <c r="T82" s="4">
        <v>-7634</v>
      </c>
      <c r="U82" s="4">
        <v>-6792</v>
      </c>
      <c r="V82" s="4">
        <v>-13272</v>
      </c>
      <c r="AC82" s="4">
        <v>-13004</v>
      </c>
      <c r="AD82" s="4">
        <v>-13096</v>
      </c>
      <c r="AE82" s="4">
        <v>-12236</v>
      </c>
      <c r="AF82" s="4">
        <v>-12627</v>
      </c>
      <c r="AG82" s="4">
        <v>-40027</v>
      </c>
      <c r="AH82" s="4">
        <v>-15114</v>
      </c>
      <c r="AI82" s="4">
        <v>-12634</v>
      </c>
      <c r="AJ82" s="4">
        <v>-33882</v>
      </c>
    </row>
    <row r="83" spans="1:38" s="4" customFormat="1" x14ac:dyDescent="0.25">
      <c r="A83" s="2"/>
      <c r="B83" s="4" t="s">
        <v>81</v>
      </c>
      <c r="K83" s="4">
        <v>-2310367</v>
      </c>
      <c r="L83" s="4">
        <v>-626572</v>
      </c>
      <c r="M83" s="4">
        <v>-1854731</v>
      </c>
      <c r="N83" s="4">
        <v>-844736</v>
      </c>
      <c r="O83" s="4">
        <v>-1260327</v>
      </c>
      <c r="P83" s="4">
        <v>-523788</v>
      </c>
      <c r="Q83" s="4">
        <v>-1634584</v>
      </c>
      <c r="R83" s="4">
        <v>-1977214</v>
      </c>
      <c r="S83" s="4">
        <v>-1704720</v>
      </c>
      <c r="T83" s="4">
        <v>-871511</v>
      </c>
      <c r="U83" s="4">
        <v>-3515282</v>
      </c>
      <c r="V83" s="4">
        <v>-1610547</v>
      </c>
      <c r="AC83" s="4">
        <v>-2400</v>
      </c>
      <c r="AF83" s="4">
        <v>-308315</v>
      </c>
      <c r="AG83" s="4">
        <v>-124500</v>
      </c>
      <c r="AH83" s="4">
        <v>-5636406</v>
      </c>
      <c r="AI83" s="4">
        <v>-5395913</v>
      </c>
      <c r="AJ83" s="4">
        <v>-7702060</v>
      </c>
    </row>
    <row r="84" spans="1:38" s="4" customFormat="1" x14ac:dyDescent="0.25">
      <c r="A84" s="2"/>
      <c r="B84" s="4" t="s">
        <v>82</v>
      </c>
      <c r="K84" s="4">
        <v>709459</v>
      </c>
      <c r="L84" s="4">
        <v>239407</v>
      </c>
      <c r="M84" s="4">
        <v>1660032</v>
      </c>
      <c r="N84" s="4">
        <v>280370</v>
      </c>
      <c r="O84" s="4">
        <v>751746</v>
      </c>
      <c r="P84" s="4">
        <v>381789</v>
      </c>
      <c r="Q84" s="4">
        <v>1317843</v>
      </c>
      <c r="R84" s="4">
        <v>2622129</v>
      </c>
      <c r="S84" s="4">
        <v>350627</v>
      </c>
      <c r="T84" s="4">
        <v>302135</v>
      </c>
      <c r="U84" s="4">
        <v>3707565</v>
      </c>
      <c r="V84" s="4">
        <v>665988</v>
      </c>
      <c r="AC84" s="4">
        <v>8620</v>
      </c>
      <c r="AD84" s="4">
        <v>-25868</v>
      </c>
      <c r="AF84" s="4">
        <v>851</v>
      </c>
      <c r="AG84" s="4">
        <v>52319</v>
      </c>
      <c r="AH84" s="4">
        <v>2889268</v>
      </c>
      <c r="AI84" s="4">
        <v>5073507</v>
      </c>
      <c r="AJ84" s="4">
        <v>5026315</v>
      </c>
    </row>
    <row r="85" spans="1:38" s="4" customFormat="1" x14ac:dyDescent="0.25">
      <c r="A85" s="2"/>
      <c r="B85" s="4" t="s">
        <v>83</v>
      </c>
      <c r="K85" s="4">
        <v>51072</v>
      </c>
      <c r="L85" s="4">
        <v>0</v>
      </c>
      <c r="M85" s="4">
        <v>0</v>
      </c>
      <c r="N85" s="4">
        <v>0</v>
      </c>
      <c r="P85" s="4">
        <v>-4000</v>
      </c>
      <c r="Q85" s="4">
        <v>0</v>
      </c>
      <c r="R85" s="4">
        <v>-1615</v>
      </c>
      <c r="S85" s="4">
        <v>-30000</v>
      </c>
      <c r="T85" s="4">
        <v>-40000</v>
      </c>
      <c r="U85" s="4">
        <v>-3924</v>
      </c>
      <c r="V85" s="4">
        <v>0</v>
      </c>
      <c r="AD85" s="4">
        <v>17000</v>
      </c>
      <c r="AE85" s="4">
        <v>-2684</v>
      </c>
      <c r="AF85" s="4">
        <f>-50941-23009-3871</f>
        <v>-77821</v>
      </c>
      <c r="AG85" s="4">
        <v>66781</v>
      </c>
      <c r="AH85" s="4">
        <v>51072</v>
      </c>
      <c r="AI85" s="4">
        <v>-5615</v>
      </c>
      <c r="AJ85" s="4">
        <f>-72924-1000</f>
        <v>-73924</v>
      </c>
    </row>
    <row r="86" spans="1:38" s="5" customFormat="1" x14ac:dyDescent="0.25">
      <c r="A86" s="3"/>
      <c r="B86" s="5" t="s">
        <v>84</v>
      </c>
      <c r="C86" s="5">
        <f t="shared" ref="C86" si="227">SUM(C82:C85)</f>
        <v>0</v>
      </c>
      <c r="D86" s="5">
        <f t="shared" ref="D86" si="228">SUM(D82:D85)</f>
        <v>0</v>
      </c>
      <c r="E86" s="5">
        <f t="shared" ref="E86" si="229">SUM(E82:E85)</f>
        <v>0</v>
      </c>
      <c r="F86" s="5">
        <f t="shared" ref="F86" si="230">SUM(F82:F85)</f>
        <v>0</v>
      </c>
      <c r="G86" s="5">
        <f t="shared" ref="G86" si="231">SUM(G82:G85)</f>
        <v>0</v>
      </c>
      <c r="H86" s="5">
        <f t="shared" ref="H86" si="232">SUM(H82:H85)</f>
        <v>0</v>
      </c>
      <c r="I86" s="5">
        <f t="shared" ref="I86" si="233">SUM(I82:I85)</f>
        <v>0</v>
      </c>
      <c r="J86" s="5">
        <f t="shared" ref="J86" si="234">SUM(J82:J85)</f>
        <v>0</v>
      </c>
      <c r="K86" s="5">
        <f t="shared" ref="K86:R86" si="235">SUM(K82:K85)</f>
        <v>-1554591</v>
      </c>
      <c r="L86" s="5">
        <f t="shared" si="235"/>
        <v>-391099</v>
      </c>
      <c r="M86" s="5">
        <f t="shared" si="235"/>
        <v>-196264</v>
      </c>
      <c r="N86" s="5">
        <f t="shared" si="235"/>
        <v>-569226</v>
      </c>
      <c r="O86" s="5">
        <f t="shared" si="235"/>
        <v>-511245</v>
      </c>
      <c r="P86" s="5">
        <f t="shared" si="235"/>
        <v>-148878</v>
      </c>
      <c r="Q86" s="5">
        <f t="shared" si="235"/>
        <v>-320726</v>
      </c>
      <c r="R86" s="5">
        <f t="shared" si="235"/>
        <v>640194</v>
      </c>
      <c r="S86" s="5">
        <f>SUM(S82:S85)</f>
        <v>-1390277</v>
      </c>
      <c r="T86" s="5">
        <f>SUM(T82:T85)</f>
        <v>-617010</v>
      </c>
      <c r="U86" s="5">
        <f t="shared" ref="U86:Z86" si="236">SUM(U82:U85)</f>
        <v>181567</v>
      </c>
      <c r="V86" s="5">
        <f t="shared" si="236"/>
        <v>-957831</v>
      </c>
      <c r="W86" s="5">
        <f t="shared" si="236"/>
        <v>0</v>
      </c>
      <c r="X86" s="5">
        <f t="shared" si="236"/>
        <v>0</v>
      </c>
      <c r="Y86" s="5">
        <f t="shared" si="236"/>
        <v>0</v>
      </c>
      <c r="Z86" s="5">
        <f t="shared" si="236"/>
        <v>0</v>
      </c>
      <c r="AB86" s="4"/>
      <c r="AC86" s="5">
        <f t="shared" ref="AC86:AD86" si="237">SUM(AC82:AC85)</f>
        <v>-6784</v>
      </c>
      <c r="AD86" s="5">
        <f t="shared" si="237"/>
        <v>-21964</v>
      </c>
      <c r="AE86" s="5">
        <f t="shared" ref="AE86:AF86" si="238">SUM(AE82:AE85)</f>
        <v>-14920</v>
      </c>
      <c r="AF86" s="5">
        <f t="shared" si="238"/>
        <v>-397912</v>
      </c>
      <c r="AG86" s="5">
        <f t="shared" ref="AG86:AL86" si="239">SUM(AG82:AG85)</f>
        <v>-45427</v>
      </c>
      <c r="AH86" s="5">
        <f t="shared" si="239"/>
        <v>-2711180</v>
      </c>
      <c r="AI86" s="5">
        <f t="shared" si="239"/>
        <v>-340655</v>
      </c>
      <c r="AJ86" s="5">
        <f t="shared" si="239"/>
        <v>-2783551</v>
      </c>
      <c r="AK86" s="5">
        <f t="shared" si="239"/>
        <v>0</v>
      </c>
      <c r="AL86" s="5">
        <f t="shared" si="239"/>
        <v>0</v>
      </c>
    </row>
    <row r="87" spans="1:38" s="4" customFormat="1" x14ac:dyDescent="0.25">
      <c r="A87" s="2"/>
      <c r="B87" s="4" t="s">
        <v>85</v>
      </c>
      <c r="K87" s="4">
        <v>25924</v>
      </c>
      <c r="L87" s="4">
        <v>90349</v>
      </c>
      <c r="M87" s="4">
        <v>50556</v>
      </c>
      <c r="N87" s="4">
        <v>51409</v>
      </c>
      <c r="O87" s="4">
        <v>83840</v>
      </c>
      <c r="P87" s="4">
        <v>16030</v>
      </c>
      <c r="Q87" s="4">
        <v>170337</v>
      </c>
      <c r="R87" s="4">
        <v>475189</v>
      </c>
      <c r="S87" s="4">
        <v>66584</v>
      </c>
      <c r="T87" s="4">
        <v>28617</v>
      </c>
      <c r="U87" s="4">
        <v>25638</v>
      </c>
      <c r="V87" s="4">
        <v>8268</v>
      </c>
      <c r="AC87" s="4">
        <v>12671</v>
      </c>
      <c r="AD87" s="4">
        <v>16897</v>
      </c>
      <c r="AE87" s="4">
        <v>298829</v>
      </c>
      <c r="AF87" s="4">
        <v>507455</v>
      </c>
      <c r="AG87" s="4">
        <v>86089</v>
      </c>
      <c r="AH87" s="4">
        <v>218238</v>
      </c>
      <c r="AI87" s="4">
        <v>745396</v>
      </c>
      <c r="AJ87" s="4">
        <v>129107</v>
      </c>
    </row>
    <row r="88" spans="1:38" s="4" customFormat="1" x14ac:dyDescent="0.25">
      <c r="A88" s="2"/>
      <c r="B88" s="4" t="s">
        <v>86</v>
      </c>
      <c r="L88" s="4">
        <v>0</v>
      </c>
      <c r="M88" s="4">
        <v>0</v>
      </c>
      <c r="N88" s="4">
        <v>0</v>
      </c>
      <c r="O88" s="4">
        <v>-9000</v>
      </c>
      <c r="P88" s="4">
        <v>-17699</v>
      </c>
      <c r="Q88" s="4">
        <v>-18899</v>
      </c>
      <c r="R88" s="4">
        <v>-18598</v>
      </c>
      <c r="S88" s="4">
        <v>-17998</v>
      </c>
      <c r="T88" s="4">
        <v>-18596</v>
      </c>
      <c r="U88" s="4">
        <v>-19195</v>
      </c>
      <c r="V88" s="4">
        <v>-19196</v>
      </c>
      <c r="AC88" s="4">
        <v>-7706</v>
      </c>
      <c r="AD88" s="4">
        <v>-11202</v>
      </c>
      <c r="AI88" s="4">
        <v>-64196</v>
      </c>
      <c r="AJ88" s="4">
        <v>-74985</v>
      </c>
    </row>
    <row r="89" spans="1:38" s="4" customFormat="1" x14ac:dyDescent="0.25">
      <c r="A89" s="2"/>
      <c r="B89" s="4" t="s">
        <v>87</v>
      </c>
      <c r="L89" s="4">
        <v>0</v>
      </c>
      <c r="M89" s="4">
        <v>0</v>
      </c>
      <c r="N89" s="4">
        <v>0</v>
      </c>
      <c r="P89" s="4">
        <v>0</v>
      </c>
      <c r="Q89" s="4">
        <v>0</v>
      </c>
      <c r="R89" s="4">
        <v>-218280</v>
      </c>
      <c r="S89" s="4">
        <v>-77573</v>
      </c>
      <c r="T89" s="4">
        <v>-3544</v>
      </c>
      <c r="U89" s="4">
        <v>0</v>
      </c>
      <c r="V89" s="4">
        <v>0</v>
      </c>
      <c r="AI89" s="4">
        <v>-218280</v>
      </c>
      <c r="AJ89" s="4">
        <v>-81117</v>
      </c>
    </row>
    <row r="90" spans="1:38" s="4" customFormat="1" x14ac:dyDescent="0.25">
      <c r="A90" s="2"/>
      <c r="B90" s="4" t="s">
        <v>83</v>
      </c>
      <c r="K90" s="4">
        <v>59</v>
      </c>
      <c r="L90" s="4">
        <v>335</v>
      </c>
      <c r="M90" s="4">
        <v>384</v>
      </c>
      <c r="N90" s="4">
        <v>-177</v>
      </c>
      <c r="O90" s="4">
        <v>408</v>
      </c>
      <c r="P90" s="4">
        <v>-306</v>
      </c>
      <c r="Q90" s="4">
        <v>-11</v>
      </c>
      <c r="R90" s="4">
        <v>353</v>
      </c>
      <c r="S90" s="4">
        <v>90</v>
      </c>
      <c r="T90" s="4">
        <v>-27</v>
      </c>
      <c r="U90" s="4">
        <v>-8</v>
      </c>
      <c r="V90" s="4">
        <v>30</v>
      </c>
      <c r="AC90" s="4">
        <f>96480-56491+1200</f>
        <v>41189</v>
      </c>
      <c r="AD90" s="4">
        <f>100000+544413-150000+7500-168000-13873-1202</f>
        <v>318838</v>
      </c>
      <c r="AE90" s="4">
        <f>942529+199369-400000-4274</f>
        <v>737624</v>
      </c>
      <c r="AF90" s="4">
        <f>-200000-708</f>
        <v>-200708</v>
      </c>
      <c r="AG90" s="4">
        <v>-93</v>
      </c>
      <c r="AH90" s="4">
        <v>601</v>
      </c>
      <c r="AI90" s="4">
        <v>444</v>
      </c>
      <c r="AJ90" s="4">
        <v>85</v>
      </c>
    </row>
    <row r="91" spans="1:38" s="5" customFormat="1" x14ac:dyDescent="0.25">
      <c r="A91" s="3"/>
      <c r="B91" s="5" t="s">
        <v>88</v>
      </c>
      <c r="C91" s="5">
        <f t="shared" ref="C91" si="240">SUM(C87:C90)</f>
        <v>0</v>
      </c>
      <c r="D91" s="5">
        <f t="shared" ref="D91" si="241">SUM(D87:D90)</f>
        <v>0</v>
      </c>
      <c r="E91" s="5">
        <f t="shared" ref="E91" si="242">SUM(E87:E90)</f>
        <v>0</v>
      </c>
      <c r="F91" s="5">
        <f t="shared" ref="F91" si="243">SUM(F87:F90)</f>
        <v>0</v>
      </c>
      <c r="G91" s="5">
        <f t="shared" ref="G91" si="244">SUM(G87:G90)</f>
        <v>0</v>
      </c>
      <c r="H91" s="5">
        <f t="shared" ref="H91" si="245">SUM(H87:H90)</f>
        <v>0</v>
      </c>
      <c r="I91" s="5">
        <f t="shared" ref="I91" si="246">SUM(I87:I90)</f>
        <v>0</v>
      </c>
      <c r="J91" s="5">
        <f t="shared" ref="J91" si="247">SUM(J87:J90)</f>
        <v>0</v>
      </c>
      <c r="K91" s="5">
        <f t="shared" ref="K91:R91" si="248">SUM(K87:K90)</f>
        <v>25983</v>
      </c>
      <c r="L91" s="5">
        <f t="shared" si="248"/>
        <v>90684</v>
      </c>
      <c r="M91" s="5">
        <f t="shared" si="248"/>
        <v>50940</v>
      </c>
      <c r="N91" s="5">
        <f t="shared" si="248"/>
        <v>51232</v>
      </c>
      <c r="O91" s="5">
        <f t="shared" si="248"/>
        <v>75248</v>
      </c>
      <c r="P91" s="5">
        <f t="shared" si="248"/>
        <v>-1975</v>
      </c>
      <c r="Q91" s="5">
        <f t="shared" si="248"/>
        <v>151427</v>
      </c>
      <c r="R91" s="5">
        <f t="shared" si="248"/>
        <v>238664</v>
      </c>
      <c r="S91" s="5">
        <f>SUM(S87:S90)</f>
        <v>-28897</v>
      </c>
      <c r="T91" s="5">
        <f>SUM(T87:T90)</f>
        <v>6450</v>
      </c>
      <c r="U91" s="5">
        <f t="shared" ref="U91:Z91" si="249">SUM(U87:U90)</f>
        <v>6435</v>
      </c>
      <c r="V91" s="5">
        <f t="shared" si="249"/>
        <v>-10898</v>
      </c>
      <c r="W91" s="5">
        <f t="shared" si="249"/>
        <v>0</v>
      </c>
      <c r="X91" s="5">
        <f t="shared" si="249"/>
        <v>0</v>
      </c>
      <c r="Y91" s="5">
        <f t="shared" si="249"/>
        <v>0</v>
      </c>
      <c r="Z91" s="5">
        <f t="shared" si="249"/>
        <v>0</v>
      </c>
      <c r="AB91" s="4"/>
      <c r="AC91" s="5">
        <f t="shared" ref="AC91:AD91" si="250">SUM(AC87:AC90)</f>
        <v>46154</v>
      </c>
      <c r="AD91" s="5">
        <f t="shared" si="250"/>
        <v>324533</v>
      </c>
      <c r="AE91" s="5">
        <f t="shared" ref="AE91:AF91" si="251">SUM(AE87:AE90)</f>
        <v>1036453</v>
      </c>
      <c r="AF91" s="5">
        <f t="shared" si="251"/>
        <v>306747</v>
      </c>
      <c r="AG91" s="5">
        <f t="shared" ref="AG91:AL91" si="252">SUM(AG87:AG90)</f>
        <v>85996</v>
      </c>
      <c r="AH91" s="5">
        <f t="shared" si="252"/>
        <v>218839</v>
      </c>
      <c r="AI91" s="5">
        <f t="shared" si="252"/>
        <v>463364</v>
      </c>
      <c r="AJ91" s="5">
        <f t="shared" si="252"/>
        <v>-26910</v>
      </c>
      <c r="AK91" s="5">
        <f t="shared" si="252"/>
        <v>0</v>
      </c>
      <c r="AL91" s="5">
        <f t="shared" si="252"/>
        <v>0</v>
      </c>
    </row>
    <row r="92" spans="1:38" s="4" customFormat="1" x14ac:dyDescent="0.25">
      <c r="A92" s="2"/>
      <c r="B92" s="4" t="s">
        <v>89</v>
      </c>
      <c r="K92" s="4">
        <v>2676</v>
      </c>
      <c r="L92" s="4">
        <v>-4531</v>
      </c>
      <c r="M92" s="4">
        <v>-258</v>
      </c>
      <c r="N92" s="4">
        <v>5043</v>
      </c>
      <c r="O92" s="4">
        <v>-4024</v>
      </c>
      <c r="P92" s="4">
        <v>-924</v>
      </c>
      <c r="Q92" s="4">
        <v>5908</v>
      </c>
      <c r="R92" s="4">
        <v>-7705</v>
      </c>
      <c r="S92" s="4">
        <v>3980</v>
      </c>
      <c r="T92" s="4">
        <v>7538</v>
      </c>
      <c r="U92" s="4">
        <v>-2074</v>
      </c>
      <c r="V92" s="4">
        <v>-1967</v>
      </c>
      <c r="AC92" s="4">
        <v>-3703</v>
      </c>
      <c r="AD92" s="4">
        <v>-2227</v>
      </c>
      <c r="AE92" s="4">
        <v>1259</v>
      </c>
      <c r="AF92" s="4">
        <v>-3918</v>
      </c>
      <c r="AG92" s="4">
        <v>-3885</v>
      </c>
      <c r="AH92" s="4">
        <v>2930</v>
      </c>
      <c r="AI92" s="4">
        <v>-6745</v>
      </c>
      <c r="AJ92" s="4">
        <v>7477</v>
      </c>
    </row>
    <row r="93" spans="1:38" s="5" customFormat="1" x14ac:dyDescent="0.25">
      <c r="A93" s="3"/>
      <c r="B93" s="5" t="s">
        <v>90</v>
      </c>
      <c r="C93" s="5">
        <f t="shared" ref="C93" si="253">C81+C86+C91+C92</f>
        <v>0</v>
      </c>
      <c r="D93" s="5">
        <f t="shared" ref="D93" si="254">D81+D86+D91+D92</f>
        <v>0</v>
      </c>
      <c r="E93" s="5">
        <f t="shared" ref="E93" si="255">E81+E86+E91+E92</f>
        <v>0</v>
      </c>
      <c r="F93" s="5">
        <f t="shared" ref="F93" si="256">F81+F86+F91+F92</f>
        <v>0</v>
      </c>
      <c r="G93" s="5">
        <f t="shared" ref="G93" si="257">G81+G86+G91+G92</f>
        <v>0</v>
      </c>
      <c r="H93" s="5">
        <f t="shared" ref="H93" si="258">H81+H86+H91+H92</f>
        <v>0</v>
      </c>
      <c r="I93" s="5">
        <f t="shared" ref="I93" si="259">I81+I86+I91+I92</f>
        <v>0</v>
      </c>
      <c r="J93" s="5">
        <f t="shared" ref="J93" si="260">J81+J86+J91+J92</f>
        <v>0</v>
      </c>
      <c r="K93" s="5">
        <f t="shared" ref="K93:R93" si="261">K81+K86+K91+K92</f>
        <v>-1338556</v>
      </c>
      <c r="L93" s="5">
        <f t="shared" si="261"/>
        <v>-413174</v>
      </c>
      <c r="M93" s="5">
        <f t="shared" si="261"/>
        <v>186281</v>
      </c>
      <c r="N93" s="5">
        <f t="shared" si="261"/>
        <v>-211779</v>
      </c>
      <c r="O93" s="5">
        <f t="shared" si="261"/>
        <v>-310442</v>
      </c>
      <c r="P93" s="5">
        <f t="shared" si="261"/>
        <v>-7590</v>
      </c>
      <c r="Q93" s="5">
        <f t="shared" si="261"/>
        <v>256381</v>
      </c>
      <c r="R93" s="5">
        <f t="shared" si="261"/>
        <v>1331480</v>
      </c>
      <c r="S93" s="5">
        <f>S81+S86+S91+S92</f>
        <v>-1104931</v>
      </c>
      <c r="T93" s="5">
        <f t="shared" ref="T93:Z93" si="262">T81+T86+T91+T92</f>
        <v>-63771</v>
      </c>
      <c r="U93" s="5">
        <f t="shared" si="262"/>
        <v>693592</v>
      </c>
      <c r="V93" s="5">
        <f t="shared" si="262"/>
        <v>-193401</v>
      </c>
      <c r="W93" s="5">
        <f t="shared" si="262"/>
        <v>0</v>
      </c>
      <c r="X93" s="5">
        <f t="shared" si="262"/>
        <v>0</v>
      </c>
      <c r="Y93" s="5">
        <f t="shared" si="262"/>
        <v>0</v>
      </c>
      <c r="Z93" s="5">
        <f t="shared" si="262"/>
        <v>0</v>
      </c>
      <c r="AB93" s="4"/>
      <c r="AC93" s="5">
        <f t="shared" ref="AC93:AD93" si="263">AC81+AC86+AC91+AC92</f>
        <v>-3345</v>
      </c>
      <c r="AD93" s="5">
        <f t="shared" si="263"/>
        <v>135127</v>
      </c>
      <c r="AE93" s="5">
        <f t="shared" ref="AE93:AF93" si="264">AE81+AE86+AE91+AE92</f>
        <v>726184</v>
      </c>
      <c r="AF93" s="5">
        <f t="shared" si="264"/>
        <v>238768</v>
      </c>
      <c r="AG93" s="5">
        <f t="shared" ref="AG93" si="265">AG81+AG86+AG91+AG92</f>
        <v>260421</v>
      </c>
      <c r="AH93" s="5">
        <f t="shared" ref="AH93" si="266">AH81+AH86+AH91+AH92</f>
        <v>-1777228</v>
      </c>
      <c r="AI93" s="5">
        <f t="shared" ref="AI93:AL93" si="267">AI81+AI86+AI91+AI92</f>
        <v>1269829</v>
      </c>
      <c r="AJ93" s="5">
        <f t="shared" si="267"/>
        <v>-668511</v>
      </c>
      <c r="AK93" s="5">
        <f t="shared" si="267"/>
        <v>0</v>
      </c>
      <c r="AL93" s="5">
        <f t="shared" si="267"/>
        <v>0</v>
      </c>
    </row>
    <row r="94" spans="1:38" s="4" customFormat="1" x14ac:dyDescent="0.25">
      <c r="A94" s="2"/>
      <c r="B94" s="4" t="s">
        <v>91</v>
      </c>
      <c r="D94" s="4">
        <f t="shared" ref="D94:J94" si="268">C95</f>
        <v>0</v>
      </c>
      <c r="E94" s="4">
        <f t="shared" si="268"/>
        <v>0</v>
      </c>
      <c r="F94" s="4">
        <f t="shared" si="268"/>
        <v>0</v>
      </c>
      <c r="G94" s="4">
        <f t="shared" si="268"/>
        <v>0</v>
      </c>
      <c r="H94" s="4">
        <f t="shared" si="268"/>
        <v>0</v>
      </c>
      <c r="I94" s="4">
        <f t="shared" si="268"/>
        <v>0</v>
      </c>
      <c r="J94" s="4">
        <f t="shared" si="268"/>
        <v>0</v>
      </c>
      <c r="K94" s="4">
        <v>2627335</v>
      </c>
      <c r="L94" s="4">
        <f t="shared" ref="L94:O94" si="269">K95</f>
        <v>1288779</v>
      </c>
      <c r="M94" s="4">
        <f t="shared" si="269"/>
        <v>875605</v>
      </c>
      <c r="N94" s="4">
        <f t="shared" si="269"/>
        <v>1061886</v>
      </c>
      <c r="O94" s="4">
        <f t="shared" si="269"/>
        <v>850107</v>
      </c>
      <c r="P94" s="4">
        <f>O95</f>
        <v>539665</v>
      </c>
      <c r="Q94" s="4">
        <f t="shared" ref="Q94:S94" si="270">P95</f>
        <v>532075</v>
      </c>
      <c r="R94" s="4">
        <f t="shared" si="270"/>
        <v>788456</v>
      </c>
      <c r="S94" s="4">
        <f t="shared" si="270"/>
        <v>2119936</v>
      </c>
      <c r="T94" s="4">
        <f>S95</f>
        <v>1015005</v>
      </c>
      <c r="U94" s="4">
        <f t="shared" ref="U94" si="271">T95</f>
        <v>951234</v>
      </c>
      <c r="V94" s="4">
        <f t="shared" ref="V94" si="272">U95</f>
        <v>1644826</v>
      </c>
      <c r="W94" s="4">
        <f t="shared" ref="W94" si="273">V95</f>
        <v>1451425</v>
      </c>
      <c r="X94" s="4">
        <f t="shared" ref="X94" si="274">W95</f>
        <v>1451425</v>
      </c>
      <c r="Y94" s="4">
        <f t="shared" ref="Y94" si="275">X95</f>
        <v>1451425</v>
      </c>
      <c r="Z94" s="4">
        <f t="shared" ref="Z94" si="276">Y95</f>
        <v>1451425</v>
      </c>
      <c r="AC94" s="4">
        <v>1270180</v>
      </c>
      <c r="AD94" s="4">
        <f t="shared" ref="AD94" si="277">AC95</f>
        <v>1266835</v>
      </c>
      <c r="AE94" s="4">
        <f t="shared" ref="AE94" si="278">AD95</f>
        <v>1401962</v>
      </c>
      <c r="AF94" s="4">
        <f t="shared" ref="AF94:AG94" si="279">AE95</f>
        <v>2128146</v>
      </c>
      <c r="AG94" s="4">
        <f t="shared" si="279"/>
        <v>2366914</v>
      </c>
      <c r="AH94" s="4">
        <f t="shared" ref="AH94:AI94" si="280">AG95</f>
        <v>2627335</v>
      </c>
      <c r="AI94" s="4">
        <f t="shared" si="280"/>
        <v>850107</v>
      </c>
      <c r="AJ94" s="4">
        <f t="shared" ref="AJ94" si="281">AI95</f>
        <v>2119936</v>
      </c>
      <c r="AK94" s="4">
        <f t="shared" ref="AK94" si="282">AJ95</f>
        <v>1451425</v>
      </c>
      <c r="AL94" s="4">
        <f t="shared" ref="AL94" si="283">AK95</f>
        <v>1451425</v>
      </c>
    </row>
    <row r="95" spans="1:38" s="4" customFormat="1" x14ac:dyDescent="0.25">
      <c r="A95" s="2"/>
      <c r="B95" s="4" t="s">
        <v>92</v>
      </c>
      <c r="C95" s="4">
        <f t="shared" ref="C95" si="284">C94+C93</f>
        <v>0</v>
      </c>
      <c r="D95" s="4">
        <f t="shared" ref="D95" si="285">D94+D93</f>
        <v>0</v>
      </c>
      <c r="E95" s="4">
        <f t="shared" ref="E95" si="286">E94+E93</f>
        <v>0</v>
      </c>
      <c r="F95" s="4">
        <f t="shared" ref="F95" si="287">F94+F93</f>
        <v>0</v>
      </c>
      <c r="G95" s="4">
        <f t="shared" ref="G95" si="288">G94+G93</f>
        <v>0</v>
      </c>
      <c r="H95" s="4">
        <f t="shared" ref="H95" si="289">H94+H93</f>
        <v>0</v>
      </c>
      <c r="I95" s="4">
        <f t="shared" ref="I95" si="290">I94+I93</f>
        <v>0</v>
      </c>
      <c r="J95" s="4">
        <f t="shared" ref="J95" si="291">J94+J93</f>
        <v>0</v>
      </c>
      <c r="K95" s="4">
        <f t="shared" ref="K95:R95" si="292">K94+K93</f>
        <v>1288779</v>
      </c>
      <c r="L95" s="4">
        <f t="shared" si="292"/>
        <v>875605</v>
      </c>
      <c r="M95" s="4">
        <f t="shared" si="292"/>
        <v>1061886</v>
      </c>
      <c r="N95" s="4">
        <f t="shared" si="292"/>
        <v>850107</v>
      </c>
      <c r="O95" s="4">
        <f t="shared" si="292"/>
        <v>539665</v>
      </c>
      <c r="P95" s="4">
        <f t="shared" si="292"/>
        <v>532075</v>
      </c>
      <c r="Q95" s="4">
        <f t="shared" si="292"/>
        <v>788456</v>
      </c>
      <c r="R95" s="4">
        <f t="shared" si="292"/>
        <v>2119936</v>
      </c>
      <c r="S95" s="4">
        <f>S94+S93</f>
        <v>1015005</v>
      </c>
      <c r="T95" s="4">
        <f t="shared" ref="T95:Z95" si="293">T94+T93</f>
        <v>951234</v>
      </c>
      <c r="U95" s="4">
        <f t="shared" si="293"/>
        <v>1644826</v>
      </c>
      <c r="V95" s="4">
        <f t="shared" si="293"/>
        <v>1451425</v>
      </c>
      <c r="W95" s="4">
        <f t="shared" si="293"/>
        <v>1451425</v>
      </c>
      <c r="X95" s="4">
        <f t="shared" si="293"/>
        <v>1451425</v>
      </c>
      <c r="Y95" s="4">
        <f t="shared" si="293"/>
        <v>1451425</v>
      </c>
      <c r="Z95" s="4">
        <f t="shared" si="293"/>
        <v>1451425</v>
      </c>
      <c r="AC95" s="4">
        <f t="shared" ref="AC95:AD95" si="294">AC94+AC93</f>
        <v>1266835</v>
      </c>
      <c r="AD95" s="4">
        <f t="shared" si="294"/>
        <v>1401962</v>
      </c>
      <c r="AE95" s="4">
        <f t="shared" ref="AE95:AF95" si="295">AE94+AE93</f>
        <v>2128146</v>
      </c>
      <c r="AF95" s="4">
        <f t="shared" si="295"/>
        <v>2366914</v>
      </c>
      <c r="AG95" s="4">
        <f t="shared" ref="AG95" si="296">AG94+AG93</f>
        <v>2627335</v>
      </c>
      <c r="AH95" s="4">
        <f t="shared" ref="AH95" si="297">AH94+AH93</f>
        <v>850107</v>
      </c>
      <c r="AI95" s="4">
        <f t="shared" ref="AI95:AL95" si="298">AI94+AI93</f>
        <v>2119936</v>
      </c>
      <c r="AJ95" s="4">
        <f t="shared" si="298"/>
        <v>1451425</v>
      </c>
      <c r="AK95" s="4">
        <f t="shared" si="298"/>
        <v>1451425</v>
      </c>
      <c r="AL95" s="4">
        <f t="shared" si="298"/>
        <v>1451425</v>
      </c>
    </row>
    <row r="96" spans="1:38" s="4" customFormat="1" x14ac:dyDescent="0.25">
      <c r="A96" s="2"/>
    </row>
    <row r="97" spans="1:38" s="4" customFormat="1" x14ac:dyDescent="0.25">
      <c r="A97" s="2"/>
      <c r="B97" s="5" t="s">
        <v>93</v>
      </c>
      <c r="C97" s="4">
        <f t="shared" ref="C97:J97" si="299">C81+C82</f>
        <v>0</v>
      </c>
      <c r="D97" s="4">
        <f t="shared" si="299"/>
        <v>0</v>
      </c>
      <c r="E97" s="4">
        <f t="shared" si="299"/>
        <v>0</v>
      </c>
      <c r="F97" s="4">
        <f t="shared" si="299"/>
        <v>0</v>
      </c>
      <c r="G97" s="4">
        <f t="shared" si="299"/>
        <v>0</v>
      </c>
      <c r="H97" s="4">
        <f t="shared" si="299"/>
        <v>0</v>
      </c>
      <c r="I97" s="4">
        <f t="shared" si="299"/>
        <v>0</v>
      </c>
      <c r="J97" s="4">
        <f t="shared" si="299"/>
        <v>0</v>
      </c>
      <c r="K97" s="4">
        <f t="shared" ref="K97:R97" si="300">K81+K82</f>
        <v>182621</v>
      </c>
      <c r="L97" s="4">
        <f t="shared" si="300"/>
        <v>-112162</v>
      </c>
      <c r="M97" s="4">
        <f t="shared" si="300"/>
        <v>330298</v>
      </c>
      <c r="N97" s="4">
        <f t="shared" si="300"/>
        <v>296312</v>
      </c>
      <c r="O97" s="4">
        <f t="shared" si="300"/>
        <v>126915</v>
      </c>
      <c r="P97" s="4">
        <f t="shared" si="300"/>
        <v>141308</v>
      </c>
      <c r="Q97" s="4">
        <f t="shared" si="300"/>
        <v>415787</v>
      </c>
      <c r="R97" s="4">
        <f t="shared" si="300"/>
        <v>457221</v>
      </c>
      <c r="S97" s="4">
        <f>S81+S82</f>
        <v>304079</v>
      </c>
      <c r="T97" s="4">
        <f t="shared" ref="T97:Z97" si="301">T81+T82</f>
        <v>531617</v>
      </c>
      <c r="U97" s="4">
        <f t="shared" si="301"/>
        <v>500872</v>
      </c>
      <c r="V97" s="4">
        <f t="shared" si="301"/>
        <v>764023</v>
      </c>
      <c r="W97" s="4">
        <f t="shared" si="301"/>
        <v>0</v>
      </c>
      <c r="X97" s="4">
        <f t="shared" si="301"/>
        <v>0</v>
      </c>
      <c r="Y97" s="4">
        <f t="shared" si="301"/>
        <v>0</v>
      </c>
      <c r="Z97" s="4">
        <f t="shared" si="301"/>
        <v>0</v>
      </c>
      <c r="AC97" s="4">
        <f t="shared" ref="AC97:AD97" si="302">AC81+AC82</f>
        <v>-52016</v>
      </c>
      <c r="AD97" s="4">
        <f t="shared" si="302"/>
        <v>-178311</v>
      </c>
      <c r="AE97" s="4">
        <f t="shared" ref="AE97:AF97" si="303">AE81+AE82</f>
        <v>-308844</v>
      </c>
      <c r="AF97" s="4">
        <f t="shared" si="303"/>
        <v>321224</v>
      </c>
      <c r="AG97" s="4">
        <f t="shared" ref="AG97:AI97" si="304">AG81+AG82</f>
        <v>183710</v>
      </c>
      <c r="AH97" s="4">
        <f t="shared" si="304"/>
        <v>697069</v>
      </c>
      <c r="AI97" s="4">
        <f t="shared" si="304"/>
        <v>1141231</v>
      </c>
      <c r="AJ97" s="4">
        <f t="shared" ref="AJ97:AL97" si="305">AJ81+AJ82</f>
        <v>2100591</v>
      </c>
      <c r="AK97" s="4">
        <f t="shared" si="305"/>
        <v>0</v>
      </c>
      <c r="AL97" s="4">
        <f t="shared" si="305"/>
        <v>0</v>
      </c>
    </row>
    <row r="98" spans="1:38" s="7" customFormat="1" x14ac:dyDescent="0.25">
      <c r="B98" s="7" t="s">
        <v>94</v>
      </c>
      <c r="C98" s="7" t="e">
        <f t="shared" ref="C98:J98" si="306">-C82/C65</f>
        <v>#DIV/0!</v>
      </c>
      <c r="D98" s="7" t="e">
        <f t="shared" si="306"/>
        <v>#DIV/0!</v>
      </c>
      <c r="E98" s="7" t="e">
        <f t="shared" si="306"/>
        <v>#DIV/0!</v>
      </c>
      <c r="F98" s="7" t="e">
        <f t="shared" si="306"/>
        <v>#DIV/0!</v>
      </c>
      <c r="G98" s="7" t="e">
        <f t="shared" si="306"/>
        <v>#DIV/0!</v>
      </c>
      <c r="H98" s="7" t="e">
        <f t="shared" si="306"/>
        <v>#DIV/0!</v>
      </c>
      <c r="I98" s="7" t="e">
        <f t="shared" si="306"/>
        <v>#DIV/0!</v>
      </c>
      <c r="J98" s="7" t="e">
        <f t="shared" si="306"/>
        <v>#DIV/0!</v>
      </c>
      <c r="K98" s="7">
        <f t="shared" ref="K98:R98" si="307">-K82/K65</f>
        <v>0.24828990653229596</v>
      </c>
      <c r="L98" s="7">
        <f t="shared" si="307"/>
        <v>0.14114523536165327</v>
      </c>
      <c r="M98" s="7">
        <f t="shared" si="307"/>
        <v>2.1310203025640326E-2</v>
      </c>
      <c r="N98" s="7">
        <f t="shared" si="307"/>
        <v>5.0148070950233714E-2</v>
      </c>
      <c r="O98" s="7">
        <f t="shared" si="307"/>
        <v>2.5115252990921176E-2</v>
      </c>
      <c r="P98" s="7">
        <f t="shared" si="307"/>
        <v>2.1236261709817808E-2</v>
      </c>
      <c r="Q98" s="7">
        <f t="shared" si="307"/>
        <v>2.6683897924883321E-2</v>
      </c>
      <c r="R98" s="7">
        <f t="shared" si="307"/>
        <v>4.0371217635437245E-2</v>
      </c>
      <c r="S98" s="7">
        <f>-S82/S65</f>
        <v>2.8403845358883319E-2</v>
      </c>
      <c r="T98" s="7">
        <f t="shared" ref="T98:Z98" si="308">-T82/T65</f>
        <v>2.3233872636743241E-2</v>
      </c>
      <c r="U98" s="7">
        <f t="shared" si="308"/>
        <v>1.424652017418007E-2</v>
      </c>
      <c r="V98" s="7">
        <f t="shared" si="308"/>
        <v>2.1700209448224105E-2</v>
      </c>
      <c r="W98" s="7" t="e">
        <f t="shared" si="308"/>
        <v>#DIV/0!</v>
      </c>
      <c r="X98" s="7" t="e">
        <f t="shared" si="308"/>
        <v>#DIV/0!</v>
      </c>
      <c r="Y98" s="7" t="e">
        <f t="shared" si="308"/>
        <v>#DIV/0!</v>
      </c>
      <c r="Z98" s="7" t="e">
        <f t="shared" si="308"/>
        <v>#DIV/0!</v>
      </c>
      <c r="AC98" s="7">
        <f t="shared" ref="AC98:AD98" si="309">-AC82/AC65</f>
        <v>-2.2419645981997388E-2</v>
      </c>
      <c r="AD98" s="7">
        <f t="shared" si="309"/>
        <v>-2.259309992650687E-2</v>
      </c>
      <c r="AE98" s="7">
        <f t="shared" ref="AE98:AF98" si="310">-AE82/AE65</f>
        <v>-1.0490478750264706E-2</v>
      </c>
      <c r="AF98" s="7">
        <f t="shared" si="310"/>
        <v>-2.426500685077607E-2</v>
      </c>
      <c r="AG98" s="7">
        <f t="shared" ref="AG98:AI98" si="311">-AG82/AG65</f>
        <v>-0.107862158913914</v>
      </c>
      <c r="AH98" s="7">
        <f t="shared" si="311"/>
        <v>6.9529614721104083E-2</v>
      </c>
      <c r="AI98" s="7">
        <f t="shared" si="311"/>
        <v>2.7000457345090378E-2</v>
      </c>
      <c r="AJ98" s="7">
        <f t="shared" ref="AJ98:AL98" si="312">-AJ82/AJ65</f>
        <v>2.0727448912423743E-2</v>
      </c>
      <c r="AK98" s="7" t="e">
        <f t="shared" si="312"/>
        <v>#DIV/0!</v>
      </c>
      <c r="AL98" s="7" t="e">
        <f t="shared" si="312"/>
        <v>#DIV/0!</v>
      </c>
    </row>
    <row r="99" spans="1:38" x14ac:dyDescent="0.25">
      <c r="B99" s="12" t="s">
        <v>144</v>
      </c>
      <c r="AC99" s="13">
        <f t="shared" ref="AC99:AI99" si="313">AC97/AC18</f>
        <v>-9.6813508516002178E-2</v>
      </c>
      <c r="AD99" s="13">
        <f t="shared" si="313"/>
        <v>-0.30905339198017961</v>
      </c>
      <c r="AE99" s="13">
        <f t="shared" si="313"/>
        <v>-0.31588120140489834</v>
      </c>
      <c r="AF99" s="13">
        <f t="shared" si="313"/>
        <v>0.16698958264560981</v>
      </c>
      <c r="AG99" s="13">
        <f t="shared" si="313"/>
        <v>8.9015710393435782E-2</v>
      </c>
      <c r="AH99" s="13">
        <f t="shared" si="313"/>
        <v>0.32460373858062086</v>
      </c>
      <c r="AI99" s="13">
        <f t="shared" si="313"/>
        <v>0.50717703561919736</v>
      </c>
      <c r="AJ99" s="13">
        <f>AJ97/AJ18</f>
        <v>0.88004838066382229</v>
      </c>
      <c r="AK99" s="13" t="e">
        <f t="shared" ref="AK99:AL99" si="314">AK97/AK18</f>
        <v>#DIV/0!</v>
      </c>
      <c r="AL99" s="13" t="e">
        <f t="shared" si="314"/>
        <v>#DIV/0!</v>
      </c>
    </row>
    <row r="100" spans="1:38" x14ac:dyDescent="0.25">
      <c r="B100" s="12" t="s">
        <v>145</v>
      </c>
      <c r="AC100" s="14">
        <f>AC99/Main!$J$6</f>
        <v>-7.033309735997252E-4</v>
      </c>
      <c r="AD100" s="14">
        <f>AD99/Main!$J$6</f>
        <v>-2.2452117107168877E-3</v>
      </c>
      <c r="AE100" s="14">
        <f>AE99/Main!$J$6</f>
        <v>-2.2948143945143358E-3</v>
      </c>
      <c r="AF100" s="14">
        <f>AF99/Main!$J$6</f>
        <v>1.2131462596847789E-3</v>
      </c>
      <c r="AG100" s="14">
        <f>AG99/Main!$J$6</f>
        <v>6.4668151393705619E-4</v>
      </c>
      <c r="AH100" s="14">
        <f>AH99/Main!$J$6</f>
        <v>2.3581819003314266E-3</v>
      </c>
      <c r="AI100" s="14">
        <f>AI99/Main!$J$6</f>
        <v>3.6845407600377576E-3</v>
      </c>
      <c r="AJ100" s="14">
        <f>AJ99/Main!$J$6</f>
        <v>6.3933772659921706E-3</v>
      </c>
      <c r="AK100" s="14" t="e">
        <f>AK99/Main!$J$6</f>
        <v>#DIV/0!</v>
      </c>
      <c r="AL100" s="14" t="e">
        <f>AL99/Main!$J$6</f>
        <v>#DIV/0!</v>
      </c>
    </row>
    <row r="102" spans="1:38" s="4" customFormat="1" x14ac:dyDescent="0.25">
      <c r="B102" s="4" t="s">
        <v>95</v>
      </c>
      <c r="K102" s="4">
        <v>289070</v>
      </c>
      <c r="L102" s="4">
        <v>301505</v>
      </c>
      <c r="M102" s="4">
        <v>307603</v>
      </c>
      <c r="N102" s="4">
        <f>AH102-SUM(K102:M102)</f>
        <v>324037</v>
      </c>
      <c r="O102" s="4">
        <v>335373</v>
      </c>
      <c r="P102" s="4">
        <v>370767</v>
      </c>
      <c r="Q102" s="4">
        <v>408341</v>
      </c>
      <c r="R102" s="4">
        <f>AI102-SUM(O102:Q102)</f>
        <v>455124</v>
      </c>
      <c r="S102" s="4">
        <v>486963</v>
      </c>
      <c r="T102" s="4">
        <v>552983</v>
      </c>
      <c r="U102" s="4">
        <v>632676</v>
      </c>
      <c r="AC102" s="4">
        <v>255131</v>
      </c>
      <c r="AD102" s="4">
        <v>345521</v>
      </c>
      <c r="AE102" s="4">
        <v>610198</v>
      </c>
      <c r="AF102" s="4">
        <v>897356</v>
      </c>
      <c r="AG102" s="4">
        <v>1071776</v>
      </c>
      <c r="AH102" s="4">
        <v>1222215</v>
      </c>
      <c r="AI102" s="4">
        <v>1569605</v>
      </c>
    </row>
    <row r="103" spans="1:38" s="4" customFormat="1" x14ac:dyDescent="0.25">
      <c r="B103" s="4" t="s">
        <v>96</v>
      </c>
      <c r="K103" s="4">
        <v>236116</v>
      </c>
      <c r="L103" s="4">
        <v>231812</v>
      </c>
      <c r="M103" s="4">
        <v>250556</v>
      </c>
      <c r="N103" s="4">
        <f>AH103-SUM(K103:M103)</f>
        <v>284313</v>
      </c>
      <c r="O103" s="4">
        <v>298965</v>
      </c>
      <c r="P103" s="4">
        <v>307367</v>
      </c>
      <c r="Q103" s="4">
        <v>317175</v>
      </c>
      <c r="R103" s="4">
        <f>AI103-SUM(O103:Q103)</f>
        <v>372395</v>
      </c>
      <c r="S103" s="4">
        <v>396892</v>
      </c>
      <c r="T103" s="4">
        <v>450714</v>
      </c>
      <c r="U103" s="4">
        <v>548416</v>
      </c>
      <c r="AC103" s="4">
        <v>340278</v>
      </c>
      <c r="AD103" s="4">
        <v>397034</v>
      </c>
      <c r="AE103" s="4">
        <v>482475</v>
      </c>
      <c r="AF103" s="4">
        <v>644533</v>
      </c>
      <c r="AG103" s="4">
        <v>834095</v>
      </c>
      <c r="AH103" s="4">
        <v>1002797</v>
      </c>
      <c r="AI103" s="4">
        <v>1295902</v>
      </c>
    </row>
    <row r="104" spans="1:38" s="5" customFormat="1" x14ac:dyDescent="0.25">
      <c r="B104" s="8" t="s">
        <v>99</v>
      </c>
      <c r="C104" s="5">
        <f t="shared" ref="C104" si="315">SUM(C102:C103)</f>
        <v>0</v>
      </c>
      <c r="D104" s="5">
        <f t="shared" ref="D104" si="316">SUM(D102:D103)</f>
        <v>0</v>
      </c>
      <c r="E104" s="5">
        <f t="shared" ref="E104" si="317">SUM(E102:E103)</f>
        <v>0</v>
      </c>
      <c r="F104" s="5">
        <f t="shared" ref="F104" si="318">SUM(F102:F103)</f>
        <v>0</v>
      </c>
      <c r="G104" s="5">
        <f t="shared" ref="G104" si="319">SUM(G102:G103)</f>
        <v>0</v>
      </c>
      <c r="H104" s="5">
        <f t="shared" ref="H104" si="320">SUM(H102:H103)</f>
        <v>0</v>
      </c>
      <c r="I104" s="5">
        <f t="shared" ref="I104" si="321">SUM(I102:I103)</f>
        <v>0</v>
      </c>
      <c r="J104" s="5">
        <f t="shared" ref="J104" si="322">SUM(J102:J103)</f>
        <v>0</v>
      </c>
      <c r="K104" s="5">
        <f t="shared" ref="K104:Q104" si="323">SUM(K102:K103)</f>
        <v>525186</v>
      </c>
      <c r="L104" s="5">
        <f t="shared" si="323"/>
        <v>533317</v>
      </c>
      <c r="M104" s="5">
        <f t="shared" si="323"/>
        <v>558159</v>
      </c>
      <c r="N104" s="5">
        <f t="shared" si="323"/>
        <v>608350</v>
      </c>
      <c r="O104" s="5">
        <f t="shared" si="323"/>
        <v>634338</v>
      </c>
      <c r="P104" s="5">
        <f t="shared" si="323"/>
        <v>678134</v>
      </c>
      <c r="Q104" s="5">
        <f t="shared" si="323"/>
        <v>725516</v>
      </c>
      <c r="R104" s="5">
        <f>SUM(R102:R103)</f>
        <v>827519</v>
      </c>
      <c r="S104" s="5">
        <f>SUM(S102:S103)</f>
        <v>883855</v>
      </c>
      <c r="T104" s="5">
        <f>SUM(T102:T103)</f>
        <v>1003697</v>
      </c>
      <c r="U104" s="5">
        <f t="shared" ref="U104:Z104" si="324">SUM(U102:U103)</f>
        <v>1181092</v>
      </c>
      <c r="V104" s="5">
        <f t="shared" si="324"/>
        <v>0</v>
      </c>
      <c r="W104" s="5">
        <f t="shared" si="324"/>
        <v>0</v>
      </c>
      <c r="X104" s="5">
        <f t="shared" si="324"/>
        <v>0</v>
      </c>
      <c r="Y104" s="5">
        <f t="shared" si="324"/>
        <v>0</v>
      </c>
      <c r="Z104" s="5">
        <f t="shared" si="324"/>
        <v>0</v>
      </c>
      <c r="AC104" s="5">
        <f t="shared" ref="AC104:AL104" si="325">SUM(AC102:AC103)</f>
        <v>595409</v>
      </c>
      <c r="AD104" s="5">
        <f t="shared" si="325"/>
        <v>742555</v>
      </c>
      <c r="AE104" s="5">
        <f t="shared" si="325"/>
        <v>1092673</v>
      </c>
      <c r="AF104" s="5">
        <f t="shared" si="325"/>
        <v>1541889</v>
      </c>
      <c r="AG104" s="5">
        <f t="shared" si="325"/>
        <v>1905871</v>
      </c>
      <c r="AH104" s="5">
        <f t="shared" si="325"/>
        <v>2225012</v>
      </c>
      <c r="AI104" s="5">
        <f t="shared" si="325"/>
        <v>2865507</v>
      </c>
      <c r="AJ104" s="5">
        <f t="shared" si="325"/>
        <v>0</v>
      </c>
      <c r="AK104" s="5">
        <f t="shared" si="325"/>
        <v>0</v>
      </c>
      <c r="AL104" s="5">
        <f t="shared" si="325"/>
        <v>0</v>
      </c>
    </row>
    <row r="105" spans="1:38" s="4" customFormat="1" x14ac:dyDescent="0.25">
      <c r="B105" s="4" t="s">
        <v>97</v>
      </c>
      <c r="K105" s="4">
        <f>+K102-166233</f>
        <v>122837</v>
      </c>
      <c r="L105" s="4">
        <f>+L102-174230</f>
        <v>127275</v>
      </c>
      <c r="M105" s="4">
        <f>M102-185867</f>
        <v>121736</v>
      </c>
      <c r="N105" s="4">
        <f t="shared" ref="N105:N106" si="326">AH105-SUM(K105:M105)</f>
        <v>125397</v>
      </c>
      <c r="O105" s="4">
        <v>135985</v>
      </c>
      <c r="P105" s="4">
        <v>139373</v>
      </c>
      <c r="Q105" s="4">
        <f>+Q102-243227</f>
        <v>165114</v>
      </c>
      <c r="R105" s="4">
        <f t="shared" ref="R105:R106" si="327">AI105-SUM(O105:Q105)</f>
        <v>180693</v>
      </c>
      <c r="S105" s="4">
        <v>186003</v>
      </c>
      <c r="T105" s="4">
        <v>202571</v>
      </c>
      <c r="U105" s="4">
        <v>214967</v>
      </c>
      <c r="AC105" s="4">
        <f>+AC102-30963</f>
        <v>224168</v>
      </c>
      <c r="AD105" s="4">
        <f>+AD102-79606</f>
        <v>265915</v>
      </c>
      <c r="AE105" s="4">
        <f>+AE102-346937</f>
        <v>263261</v>
      </c>
      <c r="AF105" s="4">
        <f>+AF102-541883</f>
        <v>355473</v>
      </c>
      <c r="AG105" s="4">
        <v>451099</v>
      </c>
      <c r="AH105" s="4">
        <v>497245</v>
      </c>
      <c r="AI105" s="4">
        <v>621165</v>
      </c>
    </row>
    <row r="106" spans="1:38" s="4" customFormat="1" x14ac:dyDescent="0.25">
      <c r="B106" s="4" t="s">
        <v>98</v>
      </c>
      <c r="K106" s="4">
        <f>+K103-112927</f>
        <v>123189</v>
      </c>
      <c r="L106" s="4">
        <f>+L103-114160</f>
        <v>117652</v>
      </c>
      <c r="M106" s="4">
        <f>M103-135101</f>
        <v>115455</v>
      </c>
      <c r="N106" s="4">
        <f t="shared" si="326"/>
        <v>125916</v>
      </c>
      <c r="O106" s="4">
        <v>120876</v>
      </c>
      <c r="P106" s="4">
        <v>125282</v>
      </c>
      <c r="Q106" s="4">
        <f>+Q103-189997</f>
        <v>127178</v>
      </c>
      <c r="R106" s="4">
        <f t="shared" si="327"/>
        <v>151058</v>
      </c>
      <c r="S106" s="4">
        <v>155747</v>
      </c>
      <c r="T106" s="4">
        <v>163138</v>
      </c>
      <c r="U106" s="4">
        <v>188039</v>
      </c>
      <c r="AC106" s="4">
        <f>+AC103-50422</f>
        <v>289856</v>
      </c>
      <c r="AD106" s="4">
        <f>+AD103-77575</f>
        <v>319459</v>
      </c>
      <c r="AE106" s="4">
        <f>+AE103-247320</f>
        <v>235155</v>
      </c>
      <c r="AF106" s="4">
        <f>+AF103-357546</f>
        <v>286987</v>
      </c>
      <c r="AG106" s="4">
        <v>419599</v>
      </c>
      <c r="AH106" s="4">
        <v>482212</v>
      </c>
      <c r="AI106" s="4">
        <v>524394</v>
      </c>
    </row>
    <row r="107" spans="1:38" s="5" customFormat="1" x14ac:dyDescent="0.25">
      <c r="B107" s="5" t="s">
        <v>100</v>
      </c>
      <c r="C107" s="5">
        <f t="shared" ref="C107" si="328">SUM(C105:C106)</f>
        <v>0</v>
      </c>
      <c r="D107" s="5">
        <f t="shared" ref="D107" si="329">SUM(D105:D106)</f>
        <v>0</v>
      </c>
      <c r="E107" s="5">
        <f t="shared" ref="E107" si="330">SUM(E105:E106)</f>
        <v>0</v>
      </c>
      <c r="F107" s="5">
        <f t="shared" ref="F107" si="331">SUM(F105:F106)</f>
        <v>0</v>
      </c>
      <c r="G107" s="5">
        <f t="shared" ref="G107" si="332">SUM(G105:G106)</f>
        <v>0</v>
      </c>
      <c r="H107" s="5">
        <f t="shared" ref="H107" si="333">SUM(H105:H106)</f>
        <v>0</v>
      </c>
      <c r="I107" s="5">
        <f t="shared" ref="I107" si="334">SUM(I105:I106)</f>
        <v>0</v>
      </c>
      <c r="J107" s="5">
        <f t="shared" ref="J107" si="335">SUM(J105:J106)</f>
        <v>0</v>
      </c>
      <c r="K107" s="5">
        <f t="shared" ref="K107:R107" si="336">SUM(K105:K106)</f>
        <v>246026</v>
      </c>
      <c r="L107" s="5">
        <f t="shared" si="336"/>
        <v>244927</v>
      </c>
      <c r="M107" s="5">
        <f t="shared" si="336"/>
        <v>237191</v>
      </c>
      <c r="N107" s="5">
        <f t="shared" si="336"/>
        <v>251313</v>
      </c>
      <c r="O107" s="5">
        <f t="shared" si="336"/>
        <v>256861</v>
      </c>
      <c r="P107" s="5">
        <f t="shared" si="336"/>
        <v>264655</v>
      </c>
      <c r="Q107" s="5">
        <f t="shared" si="336"/>
        <v>292292</v>
      </c>
      <c r="R107" s="5">
        <f t="shared" si="336"/>
        <v>331751</v>
      </c>
      <c r="S107" s="5">
        <f>SUM(S105:S106)</f>
        <v>341750</v>
      </c>
      <c r="T107" s="5">
        <f>SUM(T105:T106)</f>
        <v>365709</v>
      </c>
      <c r="U107" s="5">
        <f t="shared" ref="U107:Z107" si="337">SUM(U105:U106)</f>
        <v>403006</v>
      </c>
      <c r="V107" s="5">
        <f t="shared" si="337"/>
        <v>0</v>
      </c>
      <c r="W107" s="5">
        <f t="shared" si="337"/>
        <v>0</v>
      </c>
      <c r="X107" s="5">
        <f t="shared" si="337"/>
        <v>0</v>
      </c>
      <c r="Y107" s="5">
        <f t="shared" si="337"/>
        <v>0</v>
      </c>
      <c r="Z107" s="5">
        <f t="shared" si="337"/>
        <v>0</v>
      </c>
      <c r="AC107" s="5">
        <f t="shared" ref="AC107:AL107" si="338">SUM(AC105:AC106)</f>
        <v>514024</v>
      </c>
      <c r="AD107" s="5">
        <f t="shared" si="338"/>
        <v>585374</v>
      </c>
      <c r="AE107" s="5">
        <f t="shared" si="338"/>
        <v>498416</v>
      </c>
      <c r="AF107" s="5">
        <f t="shared" si="338"/>
        <v>642460</v>
      </c>
      <c r="AG107" s="5">
        <f t="shared" si="338"/>
        <v>870698</v>
      </c>
      <c r="AH107" s="5">
        <f t="shared" si="338"/>
        <v>979457</v>
      </c>
      <c r="AI107" s="5">
        <f t="shared" si="338"/>
        <v>1145559</v>
      </c>
      <c r="AJ107" s="5">
        <f t="shared" si="338"/>
        <v>0</v>
      </c>
      <c r="AK107" s="5">
        <f t="shared" si="338"/>
        <v>0</v>
      </c>
      <c r="AL107" s="5">
        <f t="shared" si="338"/>
        <v>0</v>
      </c>
    </row>
    <row r="109" spans="1:38" s="7" customFormat="1" x14ac:dyDescent="0.25">
      <c r="B109" s="7" t="s">
        <v>104</v>
      </c>
      <c r="C109" s="7" t="e">
        <f t="shared" ref="C109:J109" si="339">(C102-C105)/C102</f>
        <v>#DIV/0!</v>
      </c>
      <c r="D109" s="7" t="e">
        <f t="shared" si="339"/>
        <v>#DIV/0!</v>
      </c>
      <c r="E109" s="7" t="e">
        <f t="shared" si="339"/>
        <v>#DIV/0!</v>
      </c>
      <c r="F109" s="7" t="e">
        <f t="shared" si="339"/>
        <v>#DIV/0!</v>
      </c>
      <c r="G109" s="7" t="e">
        <f t="shared" si="339"/>
        <v>#DIV/0!</v>
      </c>
      <c r="H109" s="7" t="e">
        <f t="shared" si="339"/>
        <v>#DIV/0!</v>
      </c>
      <c r="I109" s="7" t="e">
        <f t="shared" si="339"/>
        <v>#DIV/0!</v>
      </c>
      <c r="J109" s="7" t="e">
        <f t="shared" si="339"/>
        <v>#DIV/0!</v>
      </c>
      <c r="K109" s="7">
        <f t="shared" ref="K109:R109" si="340">(K102-K105)/K102</f>
        <v>0.57506140381222537</v>
      </c>
      <c r="L109" s="7">
        <f t="shared" si="340"/>
        <v>0.57786769705311691</v>
      </c>
      <c r="M109" s="7">
        <f t="shared" si="340"/>
        <v>0.60424313156893783</v>
      </c>
      <c r="N109" s="7">
        <f t="shared" si="340"/>
        <v>0.61301641479213798</v>
      </c>
      <c r="O109" s="7">
        <f t="shared" si="340"/>
        <v>0.59452609482576113</v>
      </c>
      <c r="P109" s="7">
        <f t="shared" si="340"/>
        <v>0.62409545617598117</v>
      </c>
      <c r="Q109" s="7">
        <f t="shared" si="340"/>
        <v>0.59564677561155999</v>
      </c>
      <c r="R109" s="7">
        <f t="shared" si="340"/>
        <v>0.60298072613177944</v>
      </c>
      <c r="S109" s="7">
        <f>(S102-S105)/S102</f>
        <v>0.61803463507494405</v>
      </c>
      <c r="T109" s="7">
        <f>(T102-T105)/T102</f>
        <v>0.63367589962078397</v>
      </c>
      <c r="U109" s="7">
        <f t="shared" ref="U109:Z109" si="341">(U102-U105)/U102</f>
        <v>0.66022577116881309</v>
      </c>
      <c r="V109" s="7" t="e">
        <f t="shared" si="341"/>
        <v>#DIV/0!</v>
      </c>
      <c r="W109" s="7" t="e">
        <f t="shared" si="341"/>
        <v>#DIV/0!</v>
      </c>
      <c r="X109" s="7" t="e">
        <f t="shared" si="341"/>
        <v>#DIV/0!</v>
      </c>
      <c r="Y109" s="7" t="e">
        <f t="shared" si="341"/>
        <v>#DIV/0!</v>
      </c>
      <c r="Z109" s="7" t="e">
        <f t="shared" si="341"/>
        <v>#DIV/0!</v>
      </c>
      <c r="AC109" s="7">
        <f t="shared" ref="AC109:AD109" si="342">(AC102-AC105)/AC102</f>
        <v>0.12136118307849693</v>
      </c>
      <c r="AD109" s="7">
        <f t="shared" si="342"/>
        <v>0.23039410050329792</v>
      </c>
      <c r="AE109" s="7">
        <f t="shared" ref="AE109:AF109" si="343">(AE102-AE105)/AE102</f>
        <v>0.56856462984146128</v>
      </c>
      <c r="AF109" s="7">
        <f t="shared" si="343"/>
        <v>0.60386624706359571</v>
      </c>
      <c r="AG109" s="7">
        <f t="shared" ref="AG109:AL109" si="344">(AG102-AG105)/AG102</f>
        <v>0.57911074702176579</v>
      </c>
      <c r="AH109" s="7">
        <f t="shared" si="344"/>
        <v>0.59316077776823228</v>
      </c>
      <c r="AI109" s="7">
        <f t="shared" si="344"/>
        <v>0.60425393649994741</v>
      </c>
      <c r="AJ109" s="7" t="e">
        <f t="shared" si="344"/>
        <v>#DIV/0!</v>
      </c>
      <c r="AK109" s="7" t="e">
        <f t="shared" si="344"/>
        <v>#DIV/0!</v>
      </c>
      <c r="AL109" s="7" t="e">
        <f t="shared" si="344"/>
        <v>#DIV/0!</v>
      </c>
    </row>
    <row r="110" spans="1:38" s="7" customFormat="1" x14ac:dyDescent="0.25">
      <c r="B110" s="7" t="s">
        <v>101</v>
      </c>
      <c r="C110" s="7" t="e">
        <f t="shared" ref="C110:J110" si="345">(C103-C106)/C103</f>
        <v>#DIV/0!</v>
      </c>
      <c r="D110" s="7" t="e">
        <f t="shared" si="345"/>
        <v>#DIV/0!</v>
      </c>
      <c r="E110" s="7" t="e">
        <f t="shared" si="345"/>
        <v>#DIV/0!</v>
      </c>
      <c r="F110" s="7" t="e">
        <f t="shared" si="345"/>
        <v>#DIV/0!</v>
      </c>
      <c r="G110" s="7" t="e">
        <f t="shared" si="345"/>
        <v>#DIV/0!</v>
      </c>
      <c r="H110" s="7" t="e">
        <f t="shared" si="345"/>
        <v>#DIV/0!</v>
      </c>
      <c r="I110" s="7" t="e">
        <f t="shared" si="345"/>
        <v>#DIV/0!</v>
      </c>
      <c r="J110" s="7" t="e">
        <f t="shared" si="345"/>
        <v>#DIV/0!</v>
      </c>
      <c r="K110" s="7">
        <f t="shared" ref="K110:R110" si="346">(K103-K106)/K103</f>
        <v>0.47826915583865559</v>
      </c>
      <c r="L110" s="7">
        <f t="shared" si="346"/>
        <v>0.49246803444170278</v>
      </c>
      <c r="M110" s="7">
        <f t="shared" si="346"/>
        <v>0.53920480850588293</v>
      </c>
      <c r="N110" s="7">
        <f t="shared" si="346"/>
        <v>0.55712190438003184</v>
      </c>
      <c r="O110" s="7">
        <f t="shared" si="346"/>
        <v>0.59568511364206511</v>
      </c>
      <c r="P110" s="7">
        <f t="shared" si="346"/>
        <v>0.59240256761461052</v>
      </c>
      <c r="Q110" s="7">
        <f t="shared" si="346"/>
        <v>0.59902892724836443</v>
      </c>
      <c r="R110" s="7">
        <f t="shared" si="346"/>
        <v>0.59436082654170974</v>
      </c>
      <c r="S110" s="7">
        <f>(S103-S106)/S103</f>
        <v>0.60758342319825043</v>
      </c>
      <c r="T110" s="7">
        <f>(T103-T106)/T103</f>
        <v>0.6380454123901188</v>
      </c>
      <c r="U110" s="7">
        <f t="shared" ref="U110:Z110" si="347">(U103-U106)/U103</f>
        <v>0.65712342455362349</v>
      </c>
      <c r="V110" s="7" t="e">
        <f t="shared" si="347"/>
        <v>#DIV/0!</v>
      </c>
      <c r="W110" s="7" t="e">
        <f t="shared" si="347"/>
        <v>#DIV/0!</v>
      </c>
      <c r="X110" s="7" t="e">
        <f t="shared" si="347"/>
        <v>#DIV/0!</v>
      </c>
      <c r="Y110" s="7" t="e">
        <f t="shared" si="347"/>
        <v>#DIV/0!</v>
      </c>
      <c r="Z110" s="7" t="e">
        <f t="shared" si="347"/>
        <v>#DIV/0!</v>
      </c>
      <c r="AC110" s="7">
        <f t="shared" ref="AC110:AD110" si="348">(AC103-AC106)/AC103</f>
        <v>0.1481788420056542</v>
      </c>
      <c r="AD110" s="7">
        <f t="shared" si="348"/>
        <v>0.19538628933542215</v>
      </c>
      <c r="AE110" s="7">
        <f t="shared" ref="AE110:AF110" si="349">(AE103-AE106)/AE103</f>
        <v>0.51260687082232237</v>
      </c>
      <c r="AF110" s="7">
        <f t="shared" si="349"/>
        <v>0.55473653016990598</v>
      </c>
      <c r="AG110" s="7">
        <f t="shared" ref="AG110:AL110" si="350">(AG103-AG106)/AG103</f>
        <v>0.49694099592972024</v>
      </c>
      <c r="AH110" s="7">
        <f t="shared" si="350"/>
        <v>0.51913298504084082</v>
      </c>
      <c r="AI110" s="7">
        <f t="shared" si="350"/>
        <v>0.59534440104267139</v>
      </c>
      <c r="AJ110" s="7" t="e">
        <f t="shared" si="350"/>
        <v>#DIV/0!</v>
      </c>
      <c r="AK110" s="7" t="e">
        <f t="shared" si="350"/>
        <v>#DIV/0!</v>
      </c>
      <c r="AL110" s="7" t="e">
        <f t="shared" si="350"/>
        <v>#DIV/0!</v>
      </c>
    </row>
    <row r="112" spans="1:38" s="7" customFormat="1" x14ac:dyDescent="0.25">
      <c r="B112" s="7" t="s">
        <v>103</v>
      </c>
      <c r="G112" s="7" t="e">
        <f t="shared" ref="G112:G113" si="351">G102/C102-1</f>
        <v>#DIV/0!</v>
      </c>
      <c r="H112" s="7" t="e">
        <f t="shared" ref="H112:H113" si="352">H102/D102-1</f>
        <v>#DIV/0!</v>
      </c>
      <c r="I112" s="7" t="e">
        <f t="shared" ref="I112:I113" si="353">I102/E102-1</f>
        <v>#DIV/0!</v>
      </c>
      <c r="J112" s="7" t="e">
        <f t="shared" ref="J112:J113" si="354">J102/F102-1</f>
        <v>#DIV/0!</v>
      </c>
      <c r="K112" s="7" t="e">
        <f t="shared" ref="K112:K113" si="355">K102/G102-1</f>
        <v>#DIV/0!</v>
      </c>
      <c r="L112" s="7" t="e">
        <f t="shared" ref="L112:L113" si="356">L102/H102-1</f>
        <v>#DIV/0!</v>
      </c>
      <c r="M112" s="7" t="e">
        <f t="shared" ref="M112:M113" si="357">M102/I102-1</f>
        <v>#DIV/0!</v>
      </c>
      <c r="N112" s="7" t="e">
        <f t="shared" ref="N112:N113" si="358">N102/J102-1</f>
        <v>#DIV/0!</v>
      </c>
      <c r="O112" s="7">
        <f t="shared" ref="O112:R112" si="359">O102/K102-1</f>
        <v>0.1601791953506071</v>
      </c>
      <c r="P112" s="7">
        <f t="shared" si="359"/>
        <v>0.22972090015090951</v>
      </c>
      <c r="Q112" s="7">
        <f t="shared" si="359"/>
        <v>0.32749355500434008</v>
      </c>
      <c r="R112" s="7">
        <f t="shared" si="359"/>
        <v>0.40454330832590113</v>
      </c>
      <c r="S112" s="7">
        <f>S102/O102-1</f>
        <v>0.45200418638351914</v>
      </c>
      <c r="T112" s="7">
        <f>T102/P102-1</f>
        <v>0.49145689880706755</v>
      </c>
      <c r="U112" s="7">
        <f t="shared" ref="U112:U113" si="360">U102/Q102-1</f>
        <v>0.54938152181632516</v>
      </c>
      <c r="V112" s="7">
        <f t="shared" ref="V112:V113" si="361">V102/R102-1</f>
        <v>-1</v>
      </c>
      <c r="W112" s="7">
        <f t="shared" ref="W112:W113" si="362">W102/S102-1</f>
        <v>-1</v>
      </c>
      <c r="X112" s="7">
        <f t="shared" ref="X112:X113" si="363">X102/T102-1</f>
        <v>-1</v>
      </c>
      <c r="Y112" s="7">
        <f t="shared" ref="Y112:Y113" si="364">Y102/U102-1</f>
        <v>-1</v>
      </c>
      <c r="Z112" s="7" t="e">
        <f t="shared" ref="Z112:Z113" si="365">Z102/V102-1</f>
        <v>#DIV/0!</v>
      </c>
      <c r="AD112" s="7">
        <f t="shared" ref="AD112:AE112" si="366">AD102/AC102-1</f>
        <v>0.35428858116026674</v>
      </c>
      <c r="AE112" s="7">
        <f t="shared" si="366"/>
        <v>0.76602290454125788</v>
      </c>
      <c r="AF112" s="7">
        <f t="shared" ref="AF112:AG113" si="367">AF102/AE102-1</f>
        <v>0.47059806816803729</v>
      </c>
      <c r="AG112" s="7">
        <f t="shared" si="367"/>
        <v>0.19437101885985042</v>
      </c>
      <c r="AH112" s="7">
        <f>AH102/AG102-1</f>
        <v>0.14036421789627673</v>
      </c>
      <c r="AI112" s="7">
        <f>AI102/AH102-1</f>
        <v>0.28422986135827166</v>
      </c>
      <c r="AJ112" s="7">
        <f t="shared" ref="AJ112:AJ113" si="368">AJ102/AF102-1</f>
        <v>-1</v>
      </c>
      <c r="AK112" s="7">
        <f t="shared" ref="AK112:AK113" si="369">AK102/AG102-1</f>
        <v>-1</v>
      </c>
      <c r="AL112" s="7">
        <f t="shared" ref="AL112:AL113" si="370">AL102/AH102-1</f>
        <v>-1</v>
      </c>
    </row>
    <row r="113" spans="2:38" s="7" customFormat="1" x14ac:dyDescent="0.25">
      <c r="B113" s="7" t="s">
        <v>102</v>
      </c>
      <c r="G113" s="7" t="e">
        <f t="shared" si="351"/>
        <v>#DIV/0!</v>
      </c>
      <c r="H113" s="7" t="e">
        <f t="shared" si="352"/>
        <v>#DIV/0!</v>
      </c>
      <c r="I113" s="7" t="e">
        <f t="shared" si="353"/>
        <v>#DIV/0!</v>
      </c>
      <c r="J113" s="7" t="e">
        <f t="shared" si="354"/>
        <v>#DIV/0!</v>
      </c>
      <c r="K113" s="7" t="e">
        <f t="shared" si="355"/>
        <v>#DIV/0!</v>
      </c>
      <c r="L113" s="7" t="e">
        <f t="shared" si="356"/>
        <v>#DIV/0!</v>
      </c>
      <c r="M113" s="7" t="e">
        <f t="shared" si="357"/>
        <v>#DIV/0!</v>
      </c>
      <c r="N113" s="7" t="e">
        <f t="shared" si="358"/>
        <v>#DIV/0!</v>
      </c>
      <c r="O113" s="7">
        <f t="shared" ref="O113:R113" si="371">O103/K103-1</f>
        <v>0.26617848853953152</v>
      </c>
      <c r="P113" s="7">
        <f t="shared" si="371"/>
        <v>0.32593222093765628</v>
      </c>
      <c r="Q113" s="7">
        <f t="shared" si="371"/>
        <v>0.26588467248838588</v>
      </c>
      <c r="R113" s="7">
        <f t="shared" si="371"/>
        <v>0.30980644571299942</v>
      </c>
      <c r="S113" s="7">
        <f>S103/O103-1</f>
        <v>0.32755339253758797</v>
      </c>
      <c r="T113" s="7">
        <f>T103/P103-1</f>
        <v>0.46637082055002654</v>
      </c>
      <c r="U113" s="7">
        <f t="shared" si="360"/>
        <v>0.72906439662646805</v>
      </c>
      <c r="V113" s="7">
        <f t="shared" si="361"/>
        <v>-1</v>
      </c>
      <c r="W113" s="7">
        <f t="shared" si="362"/>
        <v>-1</v>
      </c>
      <c r="X113" s="7">
        <f t="shared" si="363"/>
        <v>-1</v>
      </c>
      <c r="Y113" s="7">
        <f t="shared" si="364"/>
        <v>-1</v>
      </c>
      <c r="Z113" s="7" t="e">
        <f t="shared" si="365"/>
        <v>#DIV/0!</v>
      </c>
      <c r="AD113" s="7">
        <f t="shared" ref="AD113:AE113" si="372">AD103/AC103-1</f>
        <v>0.16679303393107991</v>
      </c>
      <c r="AE113" s="7">
        <f t="shared" si="372"/>
        <v>0.21519819461305589</v>
      </c>
      <c r="AF113" s="7">
        <f t="shared" si="367"/>
        <v>0.33588890616094091</v>
      </c>
      <c r="AG113" s="7">
        <f t="shared" si="367"/>
        <v>0.29410751660504575</v>
      </c>
      <c r="AH113" s="7">
        <f t="shared" ref="AH113" si="373">AH103/AG103-1</f>
        <v>0.20225753661153711</v>
      </c>
      <c r="AI113" s="7">
        <f t="shared" ref="AI113" si="374">AI103/AH103-1</f>
        <v>0.29228747194098115</v>
      </c>
      <c r="AJ113" s="7">
        <f t="shared" si="368"/>
        <v>-1</v>
      </c>
      <c r="AK113" s="7">
        <f t="shared" si="369"/>
        <v>-1</v>
      </c>
      <c r="AL113" s="7">
        <f t="shared" si="370"/>
        <v>-1</v>
      </c>
    </row>
    <row r="115" spans="2:38" s="7" customFormat="1" x14ac:dyDescent="0.25">
      <c r="B115" s="7" t="s">
        <v>105</v>
      </c>
      <c r="C115" s="7" t="e">
        <f t="shared" ref="C115:J115" si="375">C102/C104</f>
        <v>#DIV/0!</v>
      </c>
      <c r="D115" s="7" t="e">
        <f t="shared" si="375"/>
        <v>#DIV/0!</v>
      </c>
      <c r="E115" s="7" t="e">
        <f t="shared" si="375"/>
        <v>#DIV/0!</v>
      </c>
      <c r="F115" s="7" t="e">
        <f t="shared" si="375"/>
        <v>#DIV/0!</v>
      </c>
      <c r="G115" s="7" t="e">
        <f t="shared" si="375"/>
        <v>#DIV/0!</v>
      </c>
      <c r="H115" s="7" t="e">
        <f t="shared" si="375"/>
        <v>#DIV/0!</v>
      </c>
      <c r="I115" s="7" t="e">
        <f t="shared" si="375"/>
        <v>#DIV/0!</v>
      </c>
      <c r="J115" s="7" t="e">
        <f t="shared" si="375"/>
        <v>#DIV/0!</v>
      </c>
      <c r="K115" s="7">
        <f t="shared" ref="K115:R115" si="376">K102/K104</f>
        <v>0.55041451980822031</v>
      </c>
      <c r="L115" s="7">
        <f t="shared" si="376"/>
        <v>0.56533918851264819</v>
      </c>
      <c r="M115" s="7">
        <f t="shared" si="376"/>
        <v>0.551102821955751</v>
      </c>
      <c r="N115" s="7">
        <f t="shared" si="376"/>
        <v>0.53264896852141042</v>
      </c>
      <c r="O115" s="7">
        <f t="shared" si="376"/>
        <v>0.52869763438419271</v>
      </c>
      <c r="P115" s="7">
        <f t="shared" si="376"/>
        <v>0.54674592337207695</v>
      </c>
      <c r="Q115" s="7">
        <f t="shared" si="376"/>
        <v>0.56282838696872295</v>
      </c>
      <c r="R115" s="7">
        <f t="shared" si="376"/>
        <v>0.54998616345969098</v>
      </c>
      <c r="S115" s="7">
        <f>S102/S104</f>
        <v>0.55095349350289358</v>
      </c>
      <c r="T115" s="7">
        <f>T102/T104</f>
        <v>0.55094615207577591</v>
      </c>
      <c r="U115" s="7">
        <f t="shared" ref="U115:Z115" si="377">U102/U104</f>
        <v>0.53567037961479713</v>
      </c>
      <c r="V115" s="7" t="e">
        <f t="shared" si="377"/>
        <v>#DIV/0!</v>
      </c>
      <c r="W115" s="7" t="e">
        <f t="shared" si="377"/>
        <v>#DIV/0!</v>
      </c>
      <c r="X115" s="7" t="e">
        <f t="shared" si="377"/>
        <v>#DIV/0!</v>
      </c>
      <c r="Y115" s="7" t="e">
        <f t="shared" si="377"/>
        <v>#DIV/0!</v>
      </c>
      <c r="Z115" s="7" t="e">
        <f t="shared" si="377"/>
        <v>#DIV/0!</v>
      </c>
      <c r="AC115" s="7">
        <f t="shared" ref="AC115:AD115" si="378">AC102/AC104</f>
        <v>0.42849704992702498</v>
      </c>
      <c r="AD115" s="7">
        <f t="shared" si="378"/>
        <v>0.4653136804681135</v>
      </c>
      <c r="AE115" s="7">
        <f t="shared" ref="AE115:AG115" si="379">AE102/AE104</f>
        <v>0.5584452073035574</v>
      </c>
      <c r="AF115" s="7">
        <f t="shared" si="379"/>
        <v>0.58198482510738447</v>
      </c>
      <c r="AG115" s="7">
        <f t="shared" si="379"/>
        <v>0.562354954768712</v>
      </c>
      <c r="AH115" s="7">
        <f t="shared" ref="AH115:AL115" si="380">AH102/AH104</f>
        <v>0.54930714980413586</v>
      </c>
      <c r="AI115" s="7">
        <f t="shared" si="380"/>
        <v>0.54775821521287504</v>
      </c>
      <c r="AJ115" s="7" t="e">
        <f t="shared" si="380"/>
        <v>#DIV/0!</v>
      </c>
      <c r="AK115" s="7" t="e">
        <f t="shared" si="380"/>
        <v>#DIV/0!</v>
      </c>
      <c r="AL115" s="7" t="e">
        <f t="shared" si="380"/>
        <v>#DIV/0!</v>
      </c>
    </row>
    <row r="116" spans="2:38" s="7" customFormat="1" x14ac:dyDescent="0.25">
      <c r="B116" s="7" t="s">
        <v>106</v>
      </c>
      <c r="C116" s="7" t="e">
        <f t="shared" ref="C116:J116" si="381">C103/C104</f>
        <v>#DIV/0!</v>
      </c>
      <c r="D116" s="7" t="e">
        <f t="shared" si="381"/>
        <v>#DIV/0!</v>
      </c>
      <c r="E116" s="7" t="e">
        <f t="shared" si="381"/>
        <v>#DIV/0!</v>
      </c>
      <c r="F116" s="7" t="e">
        <f t="shared" si="381"/>
        <v>#DIV/0!</v>
      </c>
      <c r="G116" s="7" t="e">
        <f t="shared" si="381"/>
        <v>#DIV/0!</v>
      </c>
      <c r="H116" s="7" t="e">
        <f t="shared" si="381"/>
        <v>#DIV/0!</v>
      </c>
      <c r="I116" s="7" t="e">
        <f t="shared" si="381"/>
        <v>#DIV/0!</v>
      </c>
      <c r="J116" s="7" t="e">
        <f t="shared" si="381"/>
        <v>#DIV/0!</v>
      </c>
      <c r="K116" s="7">
        <f t="shared" ref="K116:R116" si="382">K103/K104</f>
        <v>0.44958548019177969</v>
      </c>
      <c r="L116" s="7">
        <f t="shared" si="382"/>
        <v>0.43466081148735181</v>
      </c>
      <c r="M116" s="7">
        <f t="shared" si="382"/>
        <v>0.44889717804424906</v>
      </c>
      <c r="N116" s="7">
        <f t="shared" si="382"/>
        <v>0.46735103147858964</v>
      </c>
      <c r="O116" s="7">
        <f t="shared" si="382"/>
        <v>0.47130236561580735</v>
      </c>
      <c r="P116" s="7">
        <f t="shared" si="382"/>
        <v>0.45325407662792311</v>
      </c>
      <c r="Q116" s="7">
        <f t="shared" si="382"/>
        <v>0.43717161303127705</v>
      </c>
      <c r="R116" s="7">
        <f t="shared" si="382"/>
        <v>0.45001383654030902</v>
      </c>
      <c r="S116" s="7">
        <f>S103/S104</f>
        <v>0.44904650649710642</v>
      </c>
      <c r="T116" s="7">
        <f>T103/T104</f>
        <v>0.44905384792422415</v>
      </c>
      <c r="U116" s="7">
        <f t="shared" ref="U116:Z116" si="383">U103/U104</f>
        <v>0.46432962038520287</v>
      </c>
      <c r="V116" s="7" t="e">
        <f t="shared" si="383"/>
        <v>#DIV/0!</v>
      </c>
      <c r="W116" s="7" t="e">
        <f t="shared" si="383"/>
        <v>#DIV/0!</v>
      </c>
      <c r="X116" s="7" t="e">
        <f t="shared" si="383"/>
        <v>#DIV/0!</v>
      </c>
      <c r="Y116" s="7" t="e">
        <f t="shared" si="383"/>
        <v>#DIV/0!</v>
      </c>
      <c r="Z116" s="7" t="e">
        <f t="shared" si="383"/>
        <v>#DIV/0!</v>
      </c>
      <c r="AC116" s="7">
        <f t="shared" ref="AC116:AD116" si="384">AC103/AC104</f>
        <v>0.57150295007297502</v>
      </c>
      <c r="AD116" s="7">
        <f t="shared" si="384"/>
        <v>0.5346863195318865</v>
      </c>
      <c r="AE116" s="7">
        <f t="shared" ref="AE116:AG116" si="385">AE103/AE104</f>
        <v>0.4415547926964426</v>
      </c>
      <c r="AF116" s="7">
        <f t="shared" si="385"/>
        <v>0.41801517489261547</v>
      </c>
      <c r="AG116" s="7">
        <f t="shared" si="385"/>
        <v>0.43764504523128794</v>
      </c>
      <c r="AH116" s="7">
        <f t="shared" ref="AH116:AL116" si="386">AH103/AH104</f>
        <v>0.45069285019586414</v>
      </c>
      <c r="AI116" s="7">
        <f t="shared" si="386"/>
        <v>0.45224178478712496</v>
      </c>
      <c r="AJ116" s="7" t="e">
        <f t="shared" si="386"/>
        <v>#DIV/0!</v>
      </c>
      <c r="AK116" s="7" t="e">
        <f t="shared" si="386"/>
        <v>#DIV/0!</v>
      </c>
      <c r="AL116" s="7" t="e">
        <f t="shared" si="386"/>
        <v>#DIV/0!</v>
      </c>
    </row>
    <row r="117" spans="2:38" s="7" customFormat="1" x14ac:dyDescent="0.25"/>
    <row r="119" spans="2:38" s="4" customFormat="1" x14ac:dyDescent="0.25">
      <c r="B119" s="4" t="s">
        <v>107</v>
      </c>
      <c r="K119" s="4">
        <v>336845</v>
      </c>
      <c r="L119" s="4">
        <v>328012</v>
      </c>
      <c r="M119" s="4">
        <v>345479</v>
      </c>
      <c r="N119" s="4">
        <f>AH119-SUM(K119:M119)</f>
        <v>367911</v>
      </c>
      <c r="O119" s="4">
        <v>406389</v>
      </c>
      <c r="P119" s="4">
        <v>437189</v>
      </c>
      <c r="Q119" s="4">
        <v>498986</v>
      </c>
      <c r="R119" s="4">
        <f>AI119-SUM(O119:Q119)</f>
        <v>557683</v>
      </c>
      <c r="S119" s="4">
        <v>628494</v>
      </c>
      <c r="T119" s="4">
        <v>732592</v>
      </c>
      <c r="U119" s="4">
        <v>882571</v>
      </c>
      <c r="AC119" s="4">
        <v>208620</v>
      </c>
      <c r="AD119" s="4">
        <v>295753</v>
      </c>
      <c r="AE119" s="4">
        <v>573549</v>
      </c>
      <c r="AF119" s="4">
        <v>879156</v>
      </c>
      <c r="AG119" s="4">
        <v>1161416</v>
      </c>
      <c r="AH119" s="4">
        <v>1378247</v>
      </c>
      <c r="AI119" s="4">
        <v>1900247</v>
      </c>
    </row>
    <row r="120" spans="2:38" s="4" customFormat="1" x14ac:dyDescent="0.25">
      <c r="B120" s="4" t="s">
        <v>108</v>
      </c>
      <c r="K120" s="4">
        <f>525186*0.11</f>
        <v>57770.46</v>
      </c>
      <c r="L120" s="4">
        <v>63229</v>
      </c>
      <c r="M120" s="4">
        <v>64390</v>
      </c>
      <c r="N120" s="4">
        <f t="shared" ref="N120:N121" si="387">AH120-SUM(K120:M120)</f>
        <v>49867.540000000008</v>
      </c>
      <c r="O120" s="4">
        <v>63201</v>
      </c>
      <c r="P120" s="4">
        <v>76991</v>
      </c>
      <c r="Q120" s="4">
        <v>69496</v>
      </c>
      <c r="R120" s="4">
        <f t="shared" ref="R120:R121" si="388">AI120-SUM(O120:Q120)</f>
        <v>94887</v>
      </c>
      <c r="S120" s="4">
        <v>89654</v>
      </c>
      <c r="T120" s="4">
        <v>97172</v>
      </c>
      <c r="U120" s="4">
        <v>114713</v>
      </c>
      <c r="AC120" s="4">
        <v>121563</v>
      </c>
      <c r="AD120" s="4">
        <v>120185</v>
      </c>
      <c r="AE120" s="4">
        <v>132427</v>
      </c>
      <c r="AF120" s="4">
        <v>173362</v>
      </c>
      <c r="AG120" s="4">
        <v>220942</v>
      </c>
      <c r="AH120" s="4">
        <v>235257</v>
      </c>
      <c r="AI120" s="4">
        <v>304575</v>
      </c>
    </row>
    <row r="121" spans="2:38" s="4" customFormat="1" x14ac:dyDescent="0.25">
      <c r="B121" s="4" t="s">
        <v>111</v>
      </c>
      <c r="K121" s="4">
        <f>188341-K120</f>
        <v>130570.54000000001</v>
      </c>
      <c r="L121" s="4">
        <v>142076</v>
      </c>
      <c r="M121" s="4">
        <v>148290</v>
      </c>
      <c r="N121" s="4">
        <f t="shared" si="387"/>
        <v>190571.45999999996</v>
      </c>
      <c r="O121" s="4">
        <v>164748</v>
      </c>
      <c r="P121" s="4">
        <v>163954</v>
      </c>
      <c r="Q121" s="4">
        <v>157034</v>
      </c>
      <c r="R121" s="4">
        <f t="shared" si="388"/>
        <v>174949</v>
      </c>
      <c r="S121" s="4">
        <v>165707</v>
      </c>
      <c r="T121" s="4">
        <v>173933</v>
      </c>
      <c r="U121" s="4">
        <v>183808</v>
      </c>
      <c r="AC121" s="4">
        <f>64427+200799</f>
        <v>265226</v>
      </c>
      <c r="AD121" s="4">
        <f>76220+250397</f>
        <v>326617</v>
      </c>
      <c r="AE121" s="4">
        <v>386697</v>
      </c>
      <c r="AF121" s="4">
        <v>489371</v>
      </c>
      <c r="AG121" s="4">
        <v>523513</v>
      </c>
      <c r="AH121" s="4">
        <v>611508</v>
      </c>
      <c r="AI121" s="4">
        <v>660685</v>
      </c>
    </row>
    <row r="122" spans="2:38" s="5" customFormat="1" x14ac:dyDescent="0.25">
      <c r="B122" s="8" t="s">
        <v>99</v>
      </c>
      <c r="C122" s="5">
        <f t="shared" ref="C122" si="389">SUM(C119:C121)</f>
        <v>0</v>
      </c>
      <c r="D122" s="5">
        <f t="shared" ref="D122" si="390">SUM(D119:D121)</f>
        <v>0</v>
      </c>
      <c r="E122" s="5">
        <f t="shared" ref="E122" si="391">SUM(E119:E121)</f>
        <v>0</v>
      </c>
      <c r="F122" s="5">
        <f t="shared" ref="F122" si="392">SUM(F119:F121)</f>
        <v>0</v>
      </c>
      <c r="G122" s="5">
        <f t="shared" ref="G122" si="393">SUM(G119:G121)</f>
        <v>0</v>
      </c>
      <c r="H122" s="5">
        <f t="shared" ref="H122" si="394">SUM(H119:H121)</f>
        <v>0</v>
      </c>
      <c r="I122" s="5">
        <f t="shared" ref="I122" si="395">SUM(I119:I121)</f>
        <v>0</v>
      </c>
      <c r="J122" s="5">
        <f t="shared" ref="J122" si="396">SUM(J119:J121)</f>
        <v>0</v>
      </c>
      <c r="K122" s="5">
        <f t="shared" ref="K122:R122" si="397">SUM(K119:K121)</f>
        <v>525186</v>
      </c>
      <c r="L122" s="5">
        <f t="shared" si="397"/>
        <v>533317</v>
      </c>
      <c r="M122" s="5">
        <f t="shared" si="397"/>
        <v>558159</v>
      </c>
      <c r="N122" s="5">
        <f t="shared" si="397"/>
        <v>608350</v>
      </c>
      <c r="O122" s="5">
        <f t="shared" si="397"/>
        <v>634338</v>
      </c>
      <c r="P122" s="5">
        <f t="shared" si="397"/>
        <v>678134</v>
      </c>
      <c r="Q122" s="5">
        <f t="shared" si="397"/>
        <v>725516</v>
      </c>
      <c r="R122" s="5">
        <f t="shared" si="397"/>
        <v>827519</v>
      </c>
      <c r="S122" s="5">
        <f>SUM(S119:S121)</f>
        <v>883855</v>
      </c>
      <c r="T122" s="5">
        <f>SUM(T119:T121)</f>
        <v>1003697</v>
      </c>
      <c r="U122" s="5">
        <f t="shared" ref="U122:Z122" si="398">SUM(U119:U121)</f>
        <v>1181092</v>
      </c>
      <c r="V122" s="5">
        <f t="shared" si="398"/>
        <v>0</v>
      </c>
      <c r="W122" s="5">
        <f t="shared" si="398"/>
        <v>0</v>
      </c>
      <c r="X122" s="5">
        <f t="shared" si="398"/>
        <v>0</v>
      </c>
      <c r="Y122" s="5">
        <f t="shared" si="398"/>
        <v>0</v>
      </c>
      <c r="Z122" s="5">
        <f t="shared" si="398"/>
        <v>0</v>
      </c>
      <c r="AC122" s="5">
        <f t="shared" ref="AC122:AI122" si="399">SUM(AC119:AC121)</f>
        <v>595409</v>
      </c>
      <c r="AD122" s="5">
        <f t="shared" si="399"/>
        <v>742555</v>
      </c>
      <c r="AE122" s="5">
        <f t="shared" si="399"/>
        <v>1092673</v>
      </c>
      <c r="AF122" s="5">
        <f t="shared" si="399"/>
        <v>1541889</v>
      </c>
      <c r="AG122" s="5">
        <f t="shared" si="399"/>
        <v>1905871</v>
      </c>
      <c r="AH122" s="5">
        <f t="shared" si="399"/>
        <v>2225012</v>
      </c>
      <c r="AI122" s="5">
        <f t="shared" si="399"/>
        <v>2865507</v>
      </c>
    </row>
    <row r="124" spans="2:38" s="7" customFormat="1" x14ac:dyDescent="0.25">
      <c r="B124" s="7" t="s">
        <v>109</v>
      </c>
      <c r="G124" s="7" t="e">
        <f t="shared" ref="G124:G126" si="400">+G119/C119-1</f>
        <v>#DIV/0!</v>
      </c>
      <c r="H124" s="7" t="e">
        <f t="shared" ref="H124:H126" si="401">+H119/D119-1</f>
        <v>#DIV/0!</v>
      </c>
      <c r="I124" s="7" t="e">
        <f t="shared" ref="I124:I126" si="402">+I119/E119-1</f>
        <v>#DIV/0!</v>
      </c>
      <c r="J124" s="7" t="e">
        <f t="shared" ref="J124:J126" si="403">+J119/F119-1</f>
        <v>#DIV/0!</v>
      </c>
      <c r="K124" s="7" t="e">
        <f t="shared" ref="K124:K126" si="404">+K119/G119-1</f>
        <v>#DIV/0!</v>
      </c>
      <c r="L124" s="7" t="e">
        <f t="shared" ref="L124:L126" si="405">+L119/H119-1</f>
        <v>#DIV/0!</v>
      </c>
      <c r="M124" s="7" t="e">
        <f t="shared" ref="M124:M126" si="406">+M119/I119-1</f>
        <v>#DIV/0!</v>
      </c>
      <c r="N124" s="7" t="e">
        <f t="shared" ref="N124:N126" si="407">+N119/J119-1</f>
        <v>#DIV/0!</v>
      </c>
      <c r="O124" s="7">
        <f t="shared" ref="O124:R124" si="408">+O119/K119-1</f>
        <v>0.20645697576036448</v>
      </c>
      <c r="P124" s="7">
        <f t="shared" si="408"/>
        <v>0.33284453007816794</v>
      </c>
      <c r="Q124" s="7">
        <f t="shared" si="408"/>
        <v>0.44433091446947581</v>
      </c>
      <c r="R124" s="7">
        <f t="shared" si="408"/>
        <v>0.51580953002220653</v>
      </c>
      <c r="S124" s="7">
        <f>+S119/O119-1</f>
        <v>0.54653300163144181</v>
      </c>
      <c r="T124" s="7">
        <f>+T119/P119-1</f>
        <v>0.67568717419697211</v>
      </c>
      <c r="U124" s="7">
        <f t="shared" ref="U124:Z126" si="409">+U119/Q119-1</f>
        <v>0.76872898237625908</v>
      </c>
      <c r="V124" s="7">
        <f t="shared" si="409"/>
        <v>-1</v>
      </c>
      <c r="W124" s="7">
        <f t="shared" si="409"/>
        <v>-1</v>
      </c>
      <c r="X124" s="7">
        <f t="shared" si="409"/>
        <v>-1</v>
      </c>
      <c r="Y124" s="7">
        <f t="shared" si="409"/>
        <v>-1</v>
      </c>
      <c r="Z124" s="7" t="e">
        <f t="shared" si="409"/>
        <v>#DIV/0!</v>
      </c>
      <c r="AD124" s="7">
        <f t="shared" ref="AD124:AD126" si="410">AD119/AC119-1</f>
        <v>0.41766369475601572</v>
      </c>
      <c r="AE124" s="7">
        <f t="shared" ref="AE124:AE126" si="411">AE119/AD119-1</f>
        <v>0.93928379424722652</v>
      </c>
      <c r="AF124" s="7">
        <f t="shared" ref="AF124:AF126" si="412">AF119/AE119-1</f>
        <v>0.53283503240350871</v>
      </c>
      <c r="AG124" s="7">
        <f t="shared" ref="AG124:AH124" si="413">AG119/AF119-1</f>
        <v>0.32105792373594677</v>
      </c>
      <c r="AH124" s="7">
        <f t="shared" si="413"/>
        <v>0.18669537874456688</v>
      </c>
      <c r="AI124" s="7">
        <f>AI119/AH119-1</f>
        <v>0.37874198166221285</v>
      </c>
    </row>
    <row r="125" spans="2:38" s="7" customFormat="1" x14ac:dyDescent="0.25">
      <c r="B125" s="7" t="s">
        <v>110</v>
      </c>
      <c r="G125" s="7" t="e">
        <f t="shared" si="400"/>
        <v>#DIV/0!</v>
      </c>
      <c r="H125" s="7" t="e">
        <f t="shared" si="401"/>
        <v>#DIV/0!</v>
      </c>
      <c r="I125" s="7" t="e">
        <f t="shared" si="402"/>
        <v>#DIV/0!</v>
      </c>
      <c r="J125" s="7" t="e">
        <f t="shared" si="403"/>
        <v>#DIV/0!</v>
      </c>
      <c r="K125" s="7" t="e">
        <f t="shared" si="404"/>
        <v>#DIV/0!</v>
      </c>
      <c r="L125" s="7" t="e">
        <f t="shared" si="405"/>
        <v>#DIV/0!</v>
      </c>
      <c r="M125" s="7" t="e">
        <f t="shared" si="406"/>
        <v>#DIV/0!</v>
      </c>
      <c r="N125" s="7" t="e">
        <f t="shared" si="407"/>
        <v>#DIV/0!</v>
      </c>
      <c r="O125" s="7">
        <f t="shared" ref="O125:O126" si="414">+O120/K120-1</f>
        <v>9.4002021102134181E-2</v>
      </c>
      <c r="P125" s="7">
        <f t="shared" ref="P125:P126" si="415">+P120/L120-1</f>
        <v>0.21765329200208772</v>
      </c>
      <c r="Q125" s="7">
        <f t="shared" ref="Q125:Q126" si="416">+Q120/M120-1</f>
        <v>7.9298027644044033E-2</v>
      </c>
      <c r="R125" s="7">
        <f t="shared" ref="R125:T126" si="417">+R120/N120-1</f>
        <v>0.90278084701992478</v>
      </c>
      <c r="S125" s="7">
        <f>+S120/O120-1</f>
        <v>0.41855350390025481</v>
      </c>
      <c r="T125" s="7">
        <f t="shared" si="417"/>
        <v>0.26212154667428655</v>
      </c>
      <c r="U125" s="7">
        <f t="shared" si="409"/>
        <v>0.65064176355473702</v>
      </c>
      <c r="V125" s="7">
        <f t="shared" si="409"/>
        <v>-1</v>
      </c>
      <c r="W125" s="7">
        <f t="shared" si="409"/>
        <v>-1</v>
      </c>
      <c r="X125" s="7">
        <f t="shared" si="409"/>
        <v>-1</v>
      </c>
      <c r="Y125" s="7">
        <f t="shared" si="409"/>
        <v>-1</v>
      </c>
      <c r="Z125" s="7" t="e">
        <f t="shared" si="409"/>
        <v>#DIV/0!</v>
      </c>
      <c r="AD125" s="7">
        <f t="shared" si="410"/>
        <v>-1.1335686022885261E-2</v>
      </c>
      <c r="AE125" s="7">
        <f t="shared" si="411"/>
        <v>0.10185963306569046</v>
      </c>
      <c r="AF125" s="7">
        <f t="shared" si="412"/>
        <v>0.30911370037832153</v>
      </c>
      <c r="AG125" s="7">
        <f t="shared" ref="AG125:AH125" si="418">AG120/AF120-1</f>
        <v>0.2744546094299789</v>
      </c>
      <c r="AH125" s="7">
        <f t="shared" si="418"/>
        <v>6.4790759565859002E-2</v>
      </c>
      <c r="AI125" s="7">
        <f>AI120/AH120-1</f>
        <v>0.29464798071895837</v>
      </c>
    </row>
    <row r="126" spans="2:38" s="7" customFormat="1" x14ac:dyDescent="0.25">
      <c r="B126" s="7" t="s">
        <v>112</v>
      </c>
      <c r="G126" s="7" t="e">
        <f t="shared" si="400"/>
        <v>#DIV/0!</v>
      </c>
      <c r="H126" s="7" t="e">
        <f t="shared" si="401"/>
        <v>#DIV/0!</v>
      </c>
      <c r="I126" s="7" t="e">
        <f t="shared" si="402"/>
        <v>#DIV/0!</v>
      </c>
      <c r="J126" s="7" t="e">
        <f t="shared" si="403"/>
        <v>#DIV/0!</v>
      </c>
      <c r="K126" s="7" t="e">
        <f t="shared" si="404"/>
        <v>#DIV/0!</v>
      </c>
      <c r="L126" s="7" t="e">
        <f t="shared" si="405"/>
        <v>#DIV/0!</v>
      </c>
      <c r="M126" s="7" t="e">
        <f t="shared" si="406"/>
        <v>#DIV/0!</v>
      </c>
      <c r="N126" s="7" t="e">
        <f t="shared" si="407"/>
        <v>#DIV/0!</v>
      </c>
      <c r="O126" s="7">
        <f t="shared" si="414"/>
        <v>0.26175475723696939</v>
      </c>
      <c r="P126" s="7">
        <f t="shared" si="415"/>
        <v>0.15398800641909971</v>
      </c>
      <c r="Q126" s="7">
        <f t="shared" si="416"/>
        <v>5.8965540494976043E-2</v>
      </c>
      <c r="R126" s="7">
        <f t="shared" si="417"/>
        <v>-8.1976913017300479E-2</v>
      </c>
      <c r="S126" s="7">
        <f t="shared" ref="S126:T126" si="419">+S121/O121-1</f>
        <v>5.8210114842061067E-3</v>
      </c>
      <c r="T126" s="7">
        <f t="shared" si="419"/>
        <v>6.0864632762848148E-2</v>
      </c>
      <c r="U126" s="7">
        <f t="shared" si="409"/>
        <v>0.17049810868983784</v>
      </c>
      <c r="V126" s="7">
        <f t="shared" si="409"/>
        <v>-1</v>
      </c>
      <c r="W126" s="7">
        <f t="shared" si="409"/>
        <v>-1</v>
      </c>
      <c r="X126" s="7">
        <f t="shared" si="409"/>
        <v>-1</v>
      </c>
      <c r="Y126" s="7">
        <f t="shared" si="409"/>
        <v>-1</v>
      </c>
      <c r="Z126" s="7" t="e">
        <f t="shared" si="409"/>
        <v>#DIV/0!</v>
      </c>
      <c r="AD126" s="7">
        <f t="shared" si="410"/>
        <v>0.2314667491120781</v>
      </c>
      <c r="AE126" s="7">
        <f t="shared" si="411"/>
        <v>0.18394633469782651</v>
      </c>
      <c r="AF126" s="7">
        <f t="shared" si="412"/>
        <v>0.26551537767295841</v>
      </c>
      <c r="AG126" s="7">
        <f t="shared" ref="AG126:AI126" si="420">AG121/AF121-1</f>
        <v>6.9767109207533817E-2</v>
      </c>
      <c r="AH126" s="7">
        <f t="shared" si="420"/>
        <v>0.16808560627911828</v>
      </c>
      <c r="AI126" s="7">
        <f t="shared" si="420"/>
        <v>8.0419225913642922E-2</v>
      </c>
    </row>
    <row r="127" spans="2:38" s="7" customFormat="1" x14ac:dyDescent="0.25"/>
    <row r="128" spans="2:38" s="7" customFormat="1" x14ac:dyDescent="0.25">
      <c r="B128" s="7" t="s">
        <v>113</v>
      </c>
      <c r="C128" s="7" t="e">
        <f t="shared" ref="C128:J128" si="421">C119/C$122</f>
        <v>#DIV/0!</v>
      </c>
      <c r="D128" s="7" t="e">
        <f t="shared" si="421"/>
        <v>#DIV/0!</v>
      </c>
      <c r="E128" s="7" t="e">
        <f t="shared" si="421"/>
        <v>#DIV/0!</v>
      </c>
      <c r="F128" s="7" t="e">
        <f t="shared" si="421"/>
        <v>#DIV/0!</v>
      </c>
      <c r="G128" s="7" t="e">
        <f t="shared" si="421"/>
        <v>#DIV/0!</v>
      </c>
      <c r="H128" s="7" t="e">
        <f t="shared" si="421"/>
        <v>#DIV/0!</v>
      </c>
      <c r="I128" s="7" t="e">
        <f t="shared" si="421"/>
        <v>#DIV/0!</v>
      </c>
      <c r="J128" s="7" t="e">
        <f t="shared" si="421"/>
        <v>#DIV/0!</v>
      </c>
      <c r="K128" s="7">
        <f t="shared" ref="K128:T128" si="422">K119/K$122</f>
        <v>0.64138229122634649</v>
      </c>
      <c r="L128" s="7">
        <f t="shared" si="422"/>
        <v>0.61504133564090402</v>
      </c>
      <c r="M128" s="7">
        <f t="shared" si="422"/>
        <v>0.61896162204676441</v>
      </c>
      <c r="N128" s="7">
        <f t="shared" si="422"/>
        <v>0.604768636475713</v>
      </c>
      <c r="O128" s="7">
        <f t="shared" si="422"/>
        <v>0.64065056799371944</v>
      </c>
      <c r="P128" s="7">
        <f t="shared" si="422"/>
        <v>0.64469411650204822</v>
      </c>
      <c r="Q128" s="7">
        <f t="shared" si="422"/>
        <v>0.6877670513124452</v>
      </c>
      <c r="R128" s="7">
        <f t="shared" si="422"/>
        <v>0.67392168639028227</v>
      </c>
      <c r="S128" s="7">
        <f t="shared" si="422"/>
        <v>0.71108270021666453</v>
      </c>
      <c r="T128" s="7">
        <f t="shared" si="422"/>
        <v>0.72989358342208854</v>
      </c>
      <c r="U128" s="7">
        <f t="shared" ref="U128:Z128" si="423">U119/U$122</f>
        <v>0.74725000254002227</v>
      </c>
      <c r="V128" s="7" t="e">
        <f t="shared" si="423"/>
        <v>#DIV/0!</v>
      </c>
      <c r="W128" s="7" t="e">
        <f t="shared" si="423"/>
        <v>#DIV/0!</v>
      </c>
      <c r="X128" s="7" t="e">
        <f t="shared" si="423"/>
        <v>#DIV/0!</v>
      </c>
      <c r="Y128" s="7" t="e">
        <f t="shared" si="423"/>
        <v>#DIV/0!</v>
      </c>
      <c r="Z128" s="7" t="e">
        <f t="shared" si="423"/>
        <v>#DIV/0!</v>
      </c>
      <c r="AC128" s="7">
        <f t="shared" ref="AC128:AD128" si="424">AC119/AC$122</f>
        <v>0.35038099860767974</v>
      </c>
      <c r="AD128" s="7">
        <f t="shared" si="424"/>
        <v>0.39829103568085866</v>
      </c>
      <c r="AE128" s="7">
        <f t="shared" ref="AE128:AF128" si="425">AE119/AE$122</f>
        <v>0.52490452312814539</v>
      </c>
      <c r="AF128" s="7">
        <f t="shared" si="425"/>
        <v>0.57018112198738047</v>
      </c>
      <c r="AG128" s="7">
        <f t="shared" ref="AG128:AI128" si="426">AG119/AG$122</f>
        <v>0.60938856827140975</v>
      </c>
      <c r="AH128" s="7">
        <f t="shared" si="426"/>
        <v>0.61943351316756945</v>
      </c>
      <c r="AI128" s="7">
        <f t="shared" si="426"/>
        <v>0.66314512580147245</v>
      </c>
    </row>
    <row r="129" spans="2:35" s="7" customFormat="1" x14ac:dyDescent="0.25">
      <c r="B129" s="7" t="s">
        <v>114</v>
      </c>
      <c r="C129" s="7" t="e">
        <f t="shared" ref="C129:J129" si="427">C120/C$122</f>
        <v>#DIV/0!</v>
      </c>
      <c r="D129" s="7" t="e">
        <f t="shared" si="427"/>
        <v>#DIV/0!</v>
      </c>
      <c r="E129" s="7" t="e">
        <f t="shared" si="427"/>
        <v>#DIV/0!</v>
      </c>
      <c r="F129" s="7" t="e">
        <f t="shared" si="427"/>
        <v>#DIV/0!</v>
      </c>
      <c r="G129" s="7" t="e">
        <f t="shared" si="427"/>
        <v>#DIV/0!</v>
      </c>
      <c r="H129" s="7" t="e">
        <f t="shared" si="427"/>
        <v>#DIV/0!</v>
      </c>
      <c r="I129" s="7" t="e">
        <f t="shared" si="427"/>
        <v>#DIV/0!</v>
      </c>
      <c r="J129" s="7" t="e">
        <f t="shared" si="427"/>
        <v>#DIV/0!</v>
      </c>
      <c r="K129" s="7">
        <f t="shared" ref="K129:R130" si="428">K120/K$122</f>
        <v>0.11</v>
      </c>
      <c r="L129" s="7">
        <f t="shared" si="428"/>
        <v>0.11855800583892882</v>
      </c>
      <c r="M129" s="7">
        <f t="shared" si="428"/>
        <v>0.11536139343807052</v>
      </c>
      <c r="N129" s="7">
        <f t="shared" si="428"/>
        <v>8.1971792553628686E-2</v>
      </c>
      <c r="O129" s="7">
        <f t="shared" si="428"/>
        <v>9.96330032254098E-2</v>
      </c>
      <c r="P129" s="7">
        <f t="shared" si="428"/>
        <v>0.11353360840187927</v>
      </c>
      <c r="Q129" s="7">
        <f t="shared" si="428"/>
        <v>9.5788376824218896E-2</v>
      </c>
      <c r="R129" s="7">
        <f t="shared" si="428"/>
        <v>0.11466443670779765</v>
      </c>
      <c r="S129" s="7">
        <f t="shared" ref="S129:T130" si="429">S120/S$122</f>
        <v>0.10143519016128211</v>
      </c>
      <c r="T129" s="7">
        <f t="shared" si="429"/>
        <v>9.6814078352331426E-2</v>
      </c>
      <c r="U129" s="7">
        <f t="shared" ref="U129:Z129" si="430">U120/U$122</f>
        <v>9.7124525439169856E-2</v>
      </c>
      <c r="V129" s="7" t="e">
        <f t="shared" si="430"/>
        <v>#DIV/0!</v>
      </c>
      <c r="W129" s="7" t="e">
        <f t="shared" si="430"/>
        <v>#DIV/0!</v>
      </c>
      <c r="X129" s="7" t="e">
        <f t="shared" si="430"/>
        <v>#DIV/0!</v>
      </c>
      <c r="Y129" s="7" t="e">
        <f t="shared" si="430"/>
        <v>#DIV/0!</v>
      </c>
      <c r="Z129" s="7" t="e">
        <f t="shared" si="430"/>
        <v>#DIV/0!</v>
      </c>
      <c r="AC129" s="7">
        <f t="shared" ref="AC129:AD129" si="431">AC120/AC$122</f>
        <v>0.20416721950793487</v>
      </c>
      <c r="AD129" s="7">
        <f t="shared" si="431"/>
        <v>0.16185333072971025</v>
      </c>
      <c r="AE129" s="7">
        <f t="shared" ref="AE129:AF129" si="432">AE120/AE$122</f>
        <v>0.12119545371762641</v>
      </c>
      <c r="AF129" s="7">
        <f t="shared" si="432"/>
        <v>0.11243481210385443</v>
      </c>
      <c r="AG129" s="7">
        <f t="shared" ref="AG129:AI129" si="433">AG120/AG$122</f>
        <v>0.11592704857778936</v>
      </c>
      <c r="AH129" s="7">
        <f t="shared" si="433"/>
        <v>0.10573291290114391</v>
      </c>
      <c r="AI129" s="7">
        <f t="shared" si="433"/>
        <v>0.10629009107288867</v>
      </c>
    </row>
    <row r="130" spans="2:35" s="7" customFormat="1" x14ac:dyDescent="0.25">
      <c r="B130" s="7" t="s">
        <v>115</v>
      </c>
      <c r="C130" s="7" t="e">
        <f t="shared" ref="C130:J130" si="434">C121/C$122</f>
        <v>#DIV/0!</v>
      </c>
      <c r="D130" s="7" t="e">
        <f t="shared" si="434"/>
        <v>#DIV/0!</v>
      </c>
      <c r="E130" s="7" t="e">
        <f t="shared" si="434"/>
        <v>#DIV/0!</v>
      </c>
      <c r="F130" s="7" t="e">
        <f t="shared" si="434"/>
        <v>#DIV/0!</v>
      </c>
      <c r="G130" s="7" t="e">
        <f t="shared" si="434"/>
        <v>#DIV/0!</v>
      </c>
      <c r="H130" s="7" t="e">
        <f t="shared" si="434"/>
        <v>#DIV/0!</v>
      </c>
      <c r="I130" s="7" t="e">
        <f t="shared" si="434"/>
        <v>#DIV/0!</v>
      </c>
      <c r="J130" s="7" t="e">
        <f t="shared" si="434"/>
        <v>#DIV/0!</v>
      </c>
      <c r="K130" s="7">
        <f t="shared" si="428"/>
        <v>0.24861770877365355</v>
      </c>
      <c r="L130" s="7">
        <f t="shared" si="428"/>
        <v>0.2664006585201672</v>
      </c>
      <c r="M130" s="7">
        <f t="shared" si="428"/>
        <v>0.26567698451516503</v>
      </c>
      <c r="N130" s="7">
        <f t="shared" si="428"/>
        <v>0.31325957097065826</v>
      </c>
      <c r="O130" s="7">
        <f t="shared" si="428"/>
        <v>0.25971642878087076</v>
      </c>
      <c r="P130" s="7">
        <f t="shared" si="428"/>
        <v>0.24177227509607246</v>
      </c>
      <c r="Q130" s="7">
        <f t="shared" si="428"/>
        <v>0.21644457186333588</v>
      </c>
      <c r="R130" s="7">
        <f t="shared" si="428"/>
        <v>0.21141387690192007</v>
      </c>
      <c r="S130" s="7">
        <f t="shared" si="429"/>
        <v>0.18748210962205339</v>
      </c>
      <c r="T130" s="7">
        <f t="shared" si="429"/>
        <v>0.17329233822558002</v>
      </c>
      <c r="U130" s="7">
        <f t="shared" ref="U130:Z130" si="435">U121/U$122</f>
        <v>0.15562547202080787</v>
      </c>
      <c r="V130" s="7" t="e">
        <f t="shared" si="435"/>
        <v>#DIV/0!</v>
      </c>
      <c r="W130" s="7" t="e">
        <f t="shared" si="435"/>
        <v>#DIV/0!</v>
      </c>
      <c r="X130" s="7" t="e">
        <f t="shared" si="435"/>
        <v>#DIV/0!</v>
      </c>
      <c r="Y130" s="7" t="e">
        <f t="shared" si="435"/>
        <v>#DIV/0!</v>
      </c>
      <c r="Z130" s="7" t="e">
        <f t="shared" si="435"/>
        <v>#DIV/0!</v>
      </c>
      <c r="AC130" s="7">
        <f t="shared" ref="AC130:AD130" si="436">AC121/AC$122</f>
        <v>0.44545178188438533</v>
      </c>
      <c r="AD130" s="7">
        <f t="shared" si="436"/>
        <v>0.43985563358943108</v>
      </c>
      <c r="AE130" s="7">
        <f t="shared" ref="AE130:AF130" si="437">AE121/AE$122</f>
        <v>0.35390002315422819</v>
      </c>
      <c r="AF130" s="7">
        <f t="shared" si="437"/>
        <v>0.31738406590876517</v>
      </c>
      <c r="AG130" s="7">
        <f t="shared" ref="AG130:AI130" si="438">AG121/AG$122</f>
        <v>0.27468438315080085</v>
      </c>
      <c r="AH130" s="7">
        <f t="shared" si="438"/>
        <v>0.27483357393128666</v>
      </c>
      <c r="AI130" s="7">
        <f t="shared" si="438"/>
        <v>0.23056478312563886</v>
      </c>
    </row>
    <row r="134" spans="2:35" s="4" customFormat="1" x14ac:dyDescent="0.25">
      <c r="B134" s="4" t="s">
        <v>116</v>
      </c>
      <c r="C134" s="4">
        <v>125</v>
      </c>
      <c r="F134" s="4">
        <v>139</v>
      </c>
      <c r="J134" s="4">
        <v>367</v>
      </c>
      <c r="K134" s="4">
        <v>391</v>
      </c>
      <c r="L134" s="4">
        <v>421</v>
      </c>
      <c r="M134" s="4">
        <v>453</v>
      </c>
      <c r="N134" s="4">
        <v>497</v>
      </c>
      <c r="O134" s="4">
        <v>554</v>
      </c>
      <c r="P134" s="4">
        <v>593</v>
      </c>
      <c r="Q134" s="4">
        <v>629</v>
      </c>
      <c r="R134" s="4">
        <v>711</v>
      </c>
      <c r="S134" s="4">
        <v>769</v>
      </c>
      <c r="T134" s="4">
        <v>849</v>
      </c>
      <c r="U134" s="4">
        <v>911</v>
      </c>
      <c r="V134" s="4">
        <v>954</v>
      </c>
    </row>
    <row r="135" spans="2:35" s="7" customFormat="1" x14ac:dyDescent="0.25">
      <c r="B135" s="7" t="s">
        <v>117</v>
      </c>
      <c r="G135" s="7">
        <f t="shared" ref="G135:N135" si="439">G134/C134-1</f>
        <v>-1</v>
      </c>
      <c r="H135" s="7" t="e">
        <f t="shared" si="439"/>
        <v>#DIV/0!</v>
      </c>
      <c r="I135" s="7" t="e">
        <f t="shared" si="439"/>
        <v>#DIV/0!</v>
      </c>
      <c r="J135" s="7">
        <f t="shared" si="439"/>
        <v>1.6402877697841727</v>
      </c>
      <c r="K135" s="7" t="e">
        <f t="shared" si="439"/>
        <v>#DIV/0!</v>
      </c>
      <c r="L135" s="7" t="e">
        <f t="shared" si="439"/>
        <v>#DIV/0!</v>
      </c>
      <c r="M135" s="7" t="e">
        <f t="shared" si="439"/>
        <v>#DIV/0!</v>
      </c>
      <c r="N135" s="7">
        <f t="shared" si="439"/>
        <v>0.35422343324250671</v>
      </c>
      <c r="O135" s="7">
        <f>O134/K134-1</f>
        <v>0.41687979539641939</v>
      </c>
      <c r="P135" s="7">
        <f t="shared" ref="P135" si="440">P134/L134-1</f>
        <v>0.40855106888361048</v>
      </c>
      <c r="Q135" s="7">
        <f t="shared" ref="Q135" si="441">Q134/M134-1</f>
        <v>0.38852097130242824</v>
      </c>
      <c r="R135" s="7">
        <f t="shared" ref="R135" si="442">R134/N134-1</f>
        <v>0.43058350100603615</v>
      </c>
      <c r="S135" s="7">
        <f t="shared" ref="S135" si="443">S134/O134-1</f>
        <v>0.38808664259927794</v>
      </c>
      <c r="T135" s="7">
        <f t="shared" ref="T135" si="444">T134/P134-1</f>
        <v>0.43170320404721751</v>
      </c>
      <c r="U135" s="7">
        <f t="shared" ref="U135" si="445">U134/Q134-1</f>
        <v>0.44833068362480133</v>
      </c>
      <c r="V135" s="7">
        <f t="shared" ref="V135" si="446">V134/R134-1</f>
        <v>0.34177215189873422</v>
      </c>
      <c r="W135" s="7">
        <f t="shared" ref="W135" si="447">W134/S134-1</f>
        <v>-1</v>
      </c>
      <c r="X135" s="7">
        <f t="shared" ref="X135" si="448">X134/T134-1</f>
        <v>-1</v>
      </c>
      <c r="Y135" s="7">
        <f t="shared" ref="Y135" si="449">Y134/U134-1</f>
        <v>-1</v>
      </c>
      <c r="Z135" s="7">
        <f t="shared" ref="Z135" si="450">Z134/V134-1</f>
        <v>-1</v>
      </c>
    </row>
    <row r="136" spans="2:35" s="7" customFormat="1" x14ac:dyDescent="0.25">
      <c r="B136" s="7" t="s">
        <v>124</v>
      </c>
      <c r="D136" s="7">
        <f t="shared" ref="D136:K136" si="451">D134/C134-1</f>
        <v>-1</v>
      </c>
      <c r="E136" s="7" t="e">
        <f t="shared" si="451"/>
        <v>#DIV/0!</v>
      </c>
      <c r="F136" s="7" t="e">
        <f t="shared" si="451"/>
        <v>#DIV/0!</v>
      </c>
      <c r="G136" s="7">
        <f t="shared" si="451"/>
        <v>-1</v>
      </c>
      <c r="H136" s="7" t="e">
        <f t="shared" si="451"/>
        <v>#DIV/0!</v>
      </c>
      <c r="I136" s="7" t="e">
        <f t="shared" si="451"/>
        <v>#DIV/0!</v>
      </c>
      <c r="J136" s="7" t="e">
        <f t="shared" si="451"/>
        <v>#DIV/0!</v>
      </c>
      <c r="K136" s="7">
        <f t="shared" si="451"/>
        <v>6.5395095367847489E-2</v>
      </c>
      <c r="L136" s="7">
        <f t="shared" ref="L136:N136" si="452">L134/K134-1</f>
        <v>7.6726342710997431E-2</v>
      </c>
      <c r="M136" s="7">
        <f t="shared" si="452"/>
        <v>7.6009501187648487E-2</v>
      </c>
      <c r="N136" s="7">
        <f t="shared" si="452"/>
        <v>9.7130242825607116E-2</v>
      </c>
      <c r="O136" s="7">
        <f t="shared" ref="O136:S136" si="453">O134/N134-1</f>
        <v>0.11468812877263579</v>
      </c>
      <c r="P136" s="7">
        <f t="shared" si="453"/>
        <v>7.0397111913357291E-2</v>
      </c>
      <c r="Q136" s="7">
        <f t="shared" si="453"/>
        <v>6.0708263069140012E-2</v>
      </c>
      <c r="R136" s="7">
        <f t="shared" si="453"/>
        <v>0.13036565977742454</v>
      </c>
      <c r="S136" s="7">
        <f t="shared" si="453"/>
        <v>8.1575246132208123E-2</v>
      </c>
      <c r="T136" s="7">
        <f t="shared" ref="T136" si="454">T134/S134-1</f>
        <v>0.10403120936280885</v>
      </c>
      <c r="U136" s="7">
        <f t="shared" ref="U136" si="455">U134/T134-1</f>
        <v>7.3027090694935293E-2</v>
      </c>
      <c r="V136" s="7">
        <f t="shared" ref="V136" si="456">V134/U134-1</f>
        <v>4.7200878155872594E-2</v>
      </c>
      <c r="W136" s="7">
        <f t="shared" ref="W136" si="457">W134/V134-1</f>
        <v>-1</v>
      </c>
      <c r="X136" s="7" t="e">
        <f t="shared" ref="X136" si="458">X134/W134-1</f>
        <v>#DIV/0!</v>
      </c>
      <c r="Y136" s="7" t="e">
        <f t="shared" ref="Y136" si="459">Y134/X134-1</f>
        <v>#DIV/0!</v>
      </c>
      <c r="Z136" s="7" t="e">
        <f t="shared" ref="Z136" si="460">Z134/Y134-1</f>
        <v>#DIV/0!</v>
      </c>
    </row>
    <row r="138" spans="2:35" s="4" customFormat="1" x14ac:dyDescent="0.25">
      <c r="B138" s="4" t="s">
        <v>118</v>
      </c>
      <c r="C138" s="4">
        <v>2398</v>
      </c>
      <c r="F138" s="10">
        <v>2439</v>
      </c>
      <c r="J138" s="4">
        <v>3838</v>
      </c>
      <c r="K138" s="4">
        <v>3850</v>
      </c>
      <c r="L138" s="4">
        <v>3734</v>
      </c>
      <c r="M138" s="4">
        <v>3810</v>
      </c>
      <c r="N138" s="4">
        <v>3735</v>
      </c>
      <c r="O138" s="4">
        <v>3678</v>
      </c>
      <c r="P138" s="4">
        <v>3661</v>
      </c>
      <c r="Q138" s="4">
        <v>3892</v>
      </c>
      <c r="R138" s="4">
        <v>3936</v>
      </c>
      <c r="S138" s="4">
        <v>4001</v>
      </c>
      <c r="T138" s="4">
        <v>4164</v>
      </c>
      <c r="U138" s="4">
        <v>4414</v>
      </c>
    </row>
    <row r="139" spans="2:35" s="4" customFormat="1" x14ac:dyDescent="0.25">
      <c r="B139" s="4" t="s">
        <v>122</v>
      </c>
      <c r="F139" s="10">
        <v>901</v>
      </c>
      <c r="J139" s="4">
        <v>1436</v>
      </c>
      <c r="R139" s="4">
        <v>2716</v>
      </c>
    </row>
    <row r="140" spans="2:35" s="4" customFormat="1" x14ac:dyDescent="0.25">
      <c r="B140" s="4" t="s">
        <v>121</v>
      </c>
      <c r="F140" s="4">
        <f>+F138-F139</f>
        <v>1538</v>
      </c>
      <c r="J140" s="4">
        <f>J138-J139</f>
        <v>2402</v>
      </c>
      <c r="R140" s="4">
        <v>1220</v>
      </c>
    </row>
    <row r="141" spans="2:35" s="7" customFormat="1" x14ac:dyDescent="0.25">
      <c r="B141" s="7" t="s">
        <v>123</v>
      </c>
      <c r="D141" s="7">
        <f t="shared" ref="D141:K141" si="461">D138/C138-1</f>
        <v>-1</v>
      </c>
      <c r="E141" s="7" t="e">
        <f t="shared" si="461"/>
        <v>#DIV/0!</v>
      </c>
      <c r="F141" s="7" t="e">
        <f t="shared" si="461"/>
        <v>#DIV/0!</v>
      </c>
      <c r="G141" s="7">
        <f>G138/F138-1</f>
        <v>-1</v>
      </c>
      <c r="H141" s="7" t="e">
        <f t="shared" si="461"/>
        <v>#DIV/0!</v>
      </c>
      <c r="I141" s="7" t="e">
        <f t="shared" si="461"/>
        <v>#DIV/0!</v>
      </c>
      <c r="J141" s="7" t="e">
        <f t="shared" si="461"/>
        <v>#DIV/0!</v>
      </c>
      <c r="K141" s="7">
        <f t="shared" si="461"/>
        <v>3.1266284523188137E-3</v>
      </c>
      <c r="L141" s="7">
        <f t="shared" ref="L141:O141" si="462">L138/K138-1</f>
        <v>-3.0129870129870118E-2</v>
      </c>
      <c r="M141" s="7">
        <f t="shared" si="462"/>
        <v>2.035350830208893E-2</v>
      </c>
      <c r="N141" s="7">
        <f t="shared" si="462"/>
        <v>-1.9685039370078705E-2</v>
      </c>
      <c r="O141" s="7">
        <f t="shared" si="462"/>
        <v>-1.5261044176706817E-2</v>
      </c>
      <c r="P141" s="7">
        <f t="shared" ref="P141:S141" si="463">P138/O138-1</f>
        <v>-4.6220772158781509E-3</v>
      </c>
      <c r="Q141" s="7">
        <f t="shared" si="463"/>
        <v>6.3097514340344274E-2</v>
      </c>
      <c r="R141" s="7">
        <f t="shared" si="463"/>
        <v>1.1305241521068821E-2</v>
      </c>
      <c r="S141" s="7">
        <f t="shared" si="463"/>
        <v>1.6514227642276502E-2</v>
      </c>
      <c r="T141" s="7">
        <f>T138/S138-1</f>
        <v>4.0739815046238359E-2</v>
      </c>
      <c r="U141" s="7">
        <f t="shared" ref="U141" si="464">U138/T138-1</f>
        <v>6.0038424591738693E-2</v>
      </c>
      <c r="V141" s="7">
        <f t="shared" ref="V141" si="465">V138/U138-1</f>
        <v>-1</v>
      </c>
      <c r="W141" s="7" t="e">
        <f t="shared" ref="W141" si="466">W138/V138-1</f>
        <v>#DIV/0!</v>
      </c>
      <c r="X141" s="7" t="e">
        <f t="shared" ref="X141" si="467">X138/W138-1</f>
        <v>#DIV/0!</v>
      </c>
      <c r="Y141" s="7" t="e">
        <f t="shared" ref="Y141" si="468">Y138/X138-1</f>
        <v>#DIV/0!</v>
      </c>
      <c r="Z141" s="7" t="e">
        <f t="shared" ref="Z141" si="469">Z138/Y138-1</f>
        <v>#DIV/0!</v>
      </c>
    </row>
    <row r="145" spans="2:39" x14ac:dyDescent="0.25">
      <c r="B145" s="4" t="s">
        <v>125</v>
      </c>
      <c r="C145" s="4">
        <f t="shared" ref="C145:J145" si="470">C15</f>
        <v>-123500</v>
      </c>
      <c r="D145" s="4">
        <f t="shared" si="470"/>
        <v>-138500</v>
      </c>
      <c r="E145" s="4">
        <f t="shared" si="470"/>
        <v>-102100</v>
      </c>
      <c r="F145" s="4">
        <f t="shared" si="470"/>
        <v>-126500</v>
      </c>
      <c r="G145" s="4">
        <f t="shared" si="470"/>
        <v>-99600</v>
      </c>
      <c r="H145" s="4">
        <f t="shared" si="470"/>
        <v>-179300</v>
      </c>
      <c r="I145" s="4">
        <f t="shared" si="470"/>
        <v>-123900</v>
      </c>
      <c r="J145" s="4">
        <f t="shared" si="470"/>
        <v>33400</v>
      </c>
      <c r="K145" s="4">
        <f t="shared" ref="K145:S145" si="471">K15</f>
        <v>19151</v>
      </c>
      <c r="L145" s="4">
        <f t="shared" si="471"/>
        <v>27872</v>
      </c>
      <c r="M145" s="4">
        <f t="shared" si="471"/>
        <v>73439</v>
      </c>
      <c r="N145" s="4">
        <f t="shared" si="471"/>
        <v>96913</v>
      </c>
      <c r="O145" s="4">
        <f t="shared" si="471"/>
        <v>106071</v>
      </c>
      <c r="P145" s="4">
        <f t="shared" si="471"/>
        <v>135570</v>
      </c>
      <c r="Q145" s="4">
        <f t="shared" si="471"/>
        <v>149341</v>
      </c>
      <c r="R145" s="4">
        <f t="shared" si="471"/>
        <v>76936</v>
      </c>
      <c r="S145" s="4">
        <f t="shared" si="471"/>
        <v>217717</v>
      </c>
      <c r="T145" s="4">
        <f>T15</f>
        <v>328572</v>
      </c>
      <c r="U145" s="4">
        <f t="shared" ref="U145:Z145" si="472">U15</f>
        <v>476748</v>
      </c>
      <c r="V145" s="4">
        <f t="shared" si="472"/>
        <v>611607</v>
      </c>
      <c r="W145" s="4">
        <f t="shared" si="472"/>
        <v>1536000</v>
      </c>
      <c r="X145" s="4">
        <f t="shared" si="472"/>
        <v>0</v>
      </c>
      <c r="Y145" s="4">
        <f t="shared" si="472"/>
        <v>0</v>
      </c>
      <c r="Z145" s="4">
        <f t="shared" si="472"/>
        <v>0</v>
      </c>
      <c r="AC145" s="4">
        <f t="shared" ref="AC145:AD145" si="473">AC15</f>
        <v>-580027</v>
      </c>
      <c r="AD145" s="4">
        <f t="shared" si="473"/>
        <v>-579646</v>
      </c>
      <c r="AE145" s="4">
        <f t="shared" ref="AE145:AF145" si="474">AE15</f>
        <v>-1166391</v>
      </c>
      <c r="AF145" s="4">
        <f t="shared" si="474"/>
        <v>-520379</v>
      </c>
      <c r="AG145" s="4">
        <f t="shared" ref="AG145:AH145" si="475">AG15</f>
        <v>-371094</v>
      </c>
      <c r="AH145" s="4">
        <f t="shared" si="475"/>
        <v>217375</v>
      </c>
      <c r="AI145" s="4">
        <f>AI15</f>
        <v>467918</v>
      </c>
      <c r="AJ145" s="4">
        <f t="shared" ref="AJ145:AM145" si="476">AJ15</f>
        <v>1634644</v>
      </c>
      <c r="AK145" s="4">
        <f t="shared" si="476"/>
        <v>0</v>
      </c>
      <c r="AL145" s="4">
        <f t="shared" si="476"/>
        <v>0</v>
      </c>
      <c r="AM145" s="4">
        <f t="shared" si="476"/>
        <v>0</v>
      </c>
    </row>
    <row r="146" spans="2:39" x14ac:dyDescent="0.25">
      <c r="B146" s="2" t="s">
        <v>26</v>
      </c>
      <c r="C146" s="4">
        <f t="shared" ref="C146:J146" si="477">-C11</f>
        <v>0</v>
      </c>
      <c r="D146" s="4">
        <f t="shared" si="477"/>
        <v>0</v>
      </c>
      <c r="E146" s="4">
        <f t="shared" si="477"/>
        <v>0</v>
      </c>
      <c r="F146" s="4">
        <f t="shared" si="477"/>
        <v>0</v>
      </c>
      <c r="G146" s="4">
        <f t="shared" si="477"/>
        <v>0</v>
      </c>
      <c r="H146" s="4">
        <f t="shared" si="477"/>
        <v>0</v>
      </c>
      <c r="I146" s="4">
        <f t="shared" si="477"/>
        <v>0</v>
      </c>
      <c r="J146" s="4">
        <f t="shared" si="477"/>
        <v>0</v>
      </c>
      <c r="K146" s="4">
        <f t="shared" ref="K146:S146" si="478">-K11</f>
        <v>-20853</v>
      </c>
      <c r="L146" s="4">
        <f t="shared" si="478"/>
        <v>-30310</v>
      </c>
      <c r="M146" s="4">
        <f t="shared" si="478"/>
        <v>-36864</v>
      </c>
      <c r="N146" s="4">
        <f t="shared" si="478"/>
        <v>-44545</v>
      </c>
      <c r="O146" s="4">
        <f t="shared" si="478"/>
        <v>-43352</v>
      </c>
      <c r="P146" s="4">
        <f t="shared" si="478"/>
        <v>-46593</v>
      </c>
      <c r="Q146" s="4">
        <f t="shared" si="478"/>
        <v>-52120</v>
      </c>
      <c r="R146" s="4">
        <f t="shared" si="478"/>
        <v>-54727</v>
      </c>
      <c r="S146" s="4">
        <f t="shared" si="478"/>
        <v>-50441</v>
      </c>
      <c r="T146" s="4">
        <f>-T11</f>
        <v>-56255</v>
      </c>
      <c r="U146" s="4">
        <f t="shared" ref="U146:Z146" si="479">-U11</f>
        <v>-59762</v>
      </c>
      <c r="V146" s="4">
        <f t="shared" si="479"/>
        <v>-62723</v>
      </c>
      <c r="W146" s="4">
        <f t="shared" si="479"/>
        <v>0</v>
      </c>
      <c r="X146" s="4">
        <f t="shared" si="479"/>
        <v>0</v>
      </c>
      <c r="Y146" s="4">
        <f t="shared" si="479"/>
        <v>0</v>
      </c>
      <c r="Z146" s="4">
        <f t="shared" si="479"/>
        <v>0</v>
      </c>
      <c r="AC146" s="4">
        <f t="shared" ref="AC146:AD146" si="480">-AC11</f>
        <v>-10500</v>
      </c>
      <c r="AD146" s="4">
        <f t="shared" si="480"/>
        <v>-15090</v>
      </c>
      <c r="AE146" s="4">
        <f t="shared" ref="AE146:AF146" si="481">-AE11</f>
        <v>-4680</v>
      </c>
      <c r="AF146" s="4">
        <f t="shared" si="481"/>
        <v>-1607</v>
      </c>
      <c r="AG146" s="4">
        <f t="shared" ref="AG146:AH146" si="482">-AG11</f>
        <v>-20309</v>
      </c>
      <c r="AH146" s="4">
        <f t="shared" si="482"/>
        <v>-132572</v>
      </c>
      <c r="AI146" s="4">
        <f>-AI11</f>
        <v>-196792</v>
      </c>
      <c r="AJ146" s="4">
        <f t="shared" ref="AJ146:AM146" si="483">-AJ11</f>
        <v>-229181</v>
      </c>
      <c r="AK146" s="4">
        <f t="shared" si="483"/>
        <v>0</v>
      </c>
      <c r="AL146" s="4">
        <f t="shared" si="483"/>
        <v>0</v>
      </c>
      <c r="AM146" s="4">
        <f t="shared" si="483"/>
        <v>0</v>
      </c>
    </row>
    <row r="147" spans="2:39" x14ac:dyDescent="0.25">
      <c r="B147" s="2" t="s">
        <v>27</v>
      </c>
      <c r="C147" s="4">
        <f t="shared" ref="C147:J147" si="484">-C12</f>
        <v>0</v>
      </c>
      <c r="D147" s="4">
        <f t="shared" si="484"/>
        <v>0</v>
      </c>
      <c r="E147" s="4">
        <f t="shared" si="484"/>
        <v>0</v>
      </c>
      <c r="F147" s="4">
        <f t="shared" si="484"/>
        <v>0</v>
      </c>
      <c r="G147" s="4">
        <f t="shared" si="484"/>
        <v>0</v>
      </c>
      <c r="H147" s="4">
        <f t="shared" si="484"/>
        <v>0</v>
      </c>
      <c r="I147" s="4">
        <f t="shared" si="484"/>
        <v>0</v>
      </c>
      <c r="J147" s="4">
        <f t="shared" si="484"/>
        <v>0</v>
      </c>
      <c r="K147" s="4">
        <f t="shared" ref="K147:S147" si="485">-K12</f>
        <v>4136</v>
      </c>
      <c r="L147" s="4">
        <f t="shared" si="485"/>
        <v>10341</v>
      </c>
      <c r="M147" s="4">
        <f t="shared" si="485"/>
        <v>-3122</v>
      </c>
      <c r="N147" s="4">
        <f t="shared" si="485"/>
        <v>4092</v>
      </c>
      <c r="O147" s="4">
        <f t="shared" si="485"/>
        <v>13507</v>
      </c>
      <c r="P147" s="4">
        <f t="shared" si="485"/>
        <v>11173</v>
      </c>
      <c r="Q147" s="4">
        <f t="shared" si="485"/>
        <v>8110</v>
      </c>
      <c r="R147" s="4">
        <f t="shared" si="485"/>
        <v>-14768</v>
      </c>
      <c r="S147" s="4">
        <f t="shared" si="485"/>
        <v>3173</v>
      </c>
      <c r="T147" s="4">
        <f>-T12</f>
        <v>-6596</v>
      </c>
      <c r="U147" s="4">
        <f t="shared" ref="U147:Z147" si="486">-U12</f>
        <v>-27483</v>
      </c>
      <c r="V147" s="4">
        <f t="shared" si="486"/>
        <v>16734</v>
      </c>
      <c r="W147" s="4">
        <f t="shared" si="486"/>
        <v>0</v>
      </c>
      <c r="X147" s="4">
        <f t="shared" si="486"/>
        <v>0</v>
      </c>
      <c r="Y147" s="4">
        <f t="shared" si="486"/>
        <v>0</v>
      </c>
      <c r="Z147" s="4">
        <f t="shared" si="486"/>
        <v>0</v>
      </c>
      <c r="AC147" s="4">
        <f t="shared" ref="AC147:AD147" si="487">-AC12</f>
        <v>-42015</v>
      </c>
      <c r="AD147" s="4">
        <f t="shared" si="487"/>
        <v>5917</v>
      </c>
      <c r="AE147" s="4">
        <f t="shared" ref="AE147:AF147" si="488">-AE12</f>
        <v>10028</v>
      </c>
      <c r="AF147" s="4">
        <f t="shared" si="488"/>
        <v>79055</v>
      </c>
      <c r="AG147" s="4">
        <f t="shared" ref="AG147:AH147" si="489">-AG12</f>
        <v>220135</v>
      </c>
      <c r="AH147" s="4">
        <f t="shared" si="489"/>
        <v>15447</v>
      </c>
      <c r="AI147" s="4">
        <f>-AI12</f>
        <v>18022</v>
      </c>
      <c r="AJ147" s="4">
        <f t="shared" ref="AJ147:AM147" si="490">-AJ12</f>
        <v>-14172</v>
      </c>
      <c r="AK147" s="4">
        <f t="shared" si="490"/>
        <v>0</v>
      </c>
      <c r="AL147" s="4">
        <f t="shared" si="490"/>
        <v>0</v>
      </c>
      <c r="AM147" s="4">
        <f t="shared" si="490"/>
        <v>0</v>
      </c>
    </row>
    <row r="148" spans="2:39" x14ac:dyDescent="0.25">
      <c r="B148" s="2" t="s">
        <v>29</v>
      </c>
      <c r="C148" s="4">
        <f t="shared" ref="C148:J148" si="491">C14</f>
        <v>3100</v>
      </c>
      <c r="D148" s="4">
        <f t="shared" si="491"/>
        <v>-5700</v>
      </c>
      <c r="E148" s="4">
        <f t="shared" si="491"/>
        <v>1400</v>
      </c>
      <c r="F148" s="4">
        <f t="shared" si="491"/>
        <v>3300</v>
      </c>
      <c r="G148" s="4">
        <f t="shared" si="491"/>
        <v>200</v>
      </c>
      <c r="H148" s="4">
        <f t="shared" si="491"/>
        <v>2600</v>
      </c>
      <c r="I148" s="4">
        <f t="shared" si="491"/>
        <v>1100</v>
      </c>
      <c r="J148" s="4">
        <f t="shared" si="491"/>
        <v>4400</v>
      </c>
      <c r="K148" s="4">
        <f t="shared" ref="K148:S148" si="492">K14</f>
        <v>1681</v>
      </c>
      <c r="L148" s="4">
        <f t="shared" si="492"/>
        <v>2171</v>
      </c>
      <c r="M148" s="4">
        <f t="shared" si="492"/>
        <v>6530</v>
      </c>
      <c r="N148" s="4">
        <f t="shared" si="492"/>
        <v>9334</v>
      </c>
      <c r="O148" s="4">
        <f t="shared" si="492"/>
        <v>4655</v>
      </c>
      <c r="P148" s="4">
        <f t="shared" si="492"/>
        <v>5189</v>
      </c>
      <c r="Q148" s="4">
        <f t="shared" si="492"/>
        <v>7809</v>
      </c>
      <c r="R148" s="4">
        <f t="shared" si="492"/>
        <v>3602</v>
      </c>
      <c r="S148" s="4">
        <f t="shared" si="492"/>
        <v>5599</v>
      </c>
      <c r="T148" s="4">
        <f>T14</f>
        <v>3596</v>
      </c>
      <c r="U148" s="4">
        <f t="shared" ref="U148:Z148" si="493">U14</f>
        <v>3753</v>
      </c>
      <c r="V148" s="4">
        <f t="shared" si="493"/>
        <v>9776</v>
      </c>
      <c r="W148" s="4">
        <f t="shared" si="493"/>
        <v>0</v>
      </c>
      <c r="X148" s="4">
        <f t="shared" si="493"/>
        <v>0</v>
      </c>
      <c r="Y148" s="4">
        <f t="shared" si="493"/>
        <v>0</v>
      </c>
      <c r="Z148" s="4">
        <f t="shared" si="493"/>
        <v>0</v>
      </c>
      <c r="AC148" s="4">
        <f t="shared" ref="AC148:AD148" si="494">AC14</f>
        <v>9102</v>
      </c>
      <c r="AD148" s="4">
        <f t="shared" si="494"/>
        <v>12375</v>
      </c>
      <c r="AE148" s="4">
        <f t="shared" ref="AE148:AF148" si="495">AE14</f>
        <v>-12636</v>
      </c>
      <c r="AF148" s="4">
        <f t="shared" si="495"/>
        <v>31885</v>
      </c>
      <c r="AG148" s="4">
        <f t="shared" ref="AG148:AH148" si="496">AG14</f>
        <v>10067</v>
      </c>
      <c r="AH148" s="4">
        <f t="shared" si="496"/>
        <v>19716</v>
      </c>
      <c r="AI148" s="4">
        <f>AI14</f>
        <v>21255</v>
      </c>
      <c r="AJ148" s="4">
        <f t="shared" ref="AJ148:AM148" si="497">AJ14</f>
        <v>22724</v>
      </c>
      <c r="AK148" s="4">
        <f t="shared" si="497"/>
        <v>0</v>
      </c>
      <c r="AL148" s="4">
        <f t="shared" si="497"/>
        <v>0</v>
      </c>
      <c r="AM148" s="4">
        <f t="shared" si="497"/>
        <v>0</v>
      </c>
    </row>
    <row r="149" spans="2:39" x14ac:dyDescent="0.25">
      <c r="B149" s="2" t="s">
        <v>71</v>
      </c>
      <c r="C149" s="4">
        <f t="shared" ref="C149:J149" si="498">C66</f>
        <v>0</v>
      </c>
      <c r="D149" s="4">
        <f t="shared" si="498"/>
        <v>0</v>
      </c>
      <c r="E149" s="4">
        <f t="shared" si="498"/>
        <v>0</v>
      </c>
      <c r="F149" s="4">
        <f t="shared" si="498"/>
        <v>0</v>
      </c>
      <c r="G149" s="4">
        <f t="shared" si="498"/>
        <v>0</v>
      </c>
      <c r="H149" s="4">
        <f t="shared" si="498"/>
        <v>0</v>
      </c>
      <c r="I149" s="4">
        <f t="shared" si="498"/>
        <v>0</v>
      </c>
      <c r="J149" s="4">
        <f t="shared" si="498"/>
        <v>0</v>
      </c>
      <c r="K149" s="4">
        <f t="shared" ref="K149:S149" si="499">K66</f>
        <v>8320</v>
      </c>
      <c r="L149" s="4">
        <f t="shared" si="499"/>
        <v>8174</v>
      </c>
      <c r="M149" s="4">
        <f t="shared" si="499"/>
        <v>8888</v>
      </c>
      <c r="N149" s="4">
        <f t="shared" si="499"/>
        <v>7972</v>
      </c>
      <c r="O149" s="4">
        <f t="shared" si="499"/>
        <v>8438</v>
      </c>
      <c r="P149" s="4">
        <f t="shared" si="499"/>
        <v>8056</v>
      </c>
      <c r="Q149" s="4">
        <f t="shared" si="499"/>
        <v>8087</v>
      </c>
      <c r="R149" s="4">
        <f t="shared" si="499"/>
        <v>7006</v>
      </c>
      <c r="S149" s="4">
        <f t="shared" si="499"/>
        <v>6622</v>
      </c>
      <c r="T149" s="4">
        <f>T66</f>
        <v>6530</v>
      </c>
      <c r="U149" s="4">
        <f t="shared" ref="U149:Z149" si="500">U66</f>
        <v>5975</v>
      </c>
      <c r="V149" s="4">
        <f t="shared" si="500"/>
        <v>7018</v>
      </c>
      <c r="W149" s="4">
        <f t="shared" si="500"/>
        <v>0</v>
      </c>
      <c r="X149" s="4">
        <f t="shared" si="500"/>
        <v>0</v>
      </c>
      <c r="Y149" s="4">
        <f t="shared" si="500"/>
        <v>0</v>
      </c>
      <c r="Z149" s="4">
        <f t="shared" si="500"/>
        <v>0</v>
      </c>
      <c r="AC149" s="4">
        <f t="shared" ref="AC149:AD149" si="501">AC66</f>
        <v>13910</v>
      </c>
      <c r="AD149" s="4">
        <f t="shared" si="501"/>
        <v>12255</v>
      </c>
      <c r="AE149" s="4">
        <f t="shared" ref="AE149:AF149" si="502">AE66</f>
        <v>13871</v>
      </c>
      <c r="AF149" s="4">
        <f t="shared" si="502"/>
        <v>14897</v>
      </c>
      <c r="AG149" s="4">
        <f t="shared" ref="AG149:AH149" si="503">AG66</f>
        <v>22522</v>
      </c>
      <c r="AH149" s="4">
        <f t="shared" si="503"/>
        <v>33354</v>
      </c>
      <c r="AI149" s="4">
        <f>AI66</f>
        <v>31587</v>
      </c>
      <c r="AJ149" s="4">
        <f t="shared" ref="AJ149:AM149" si="504">AJ66</f>
        <v>26145</v>
      </c>
      <c r="AK149" s="4">
        <f t="shared" si="504"/>
        <v>0</v>
      </c>
      <c r="AL149" s="4">
        <f t="shared" si="504"/>
        <v>0</v>
      </c>
      <c r="AM149" s="4">
        <f t="shared" si="504"/>
        <v>0</v>
      </c>
    </row>
    <row r="150" spans="2:39" x14ac:dyDescent="0.25">
      <c r="B150" s="2" t="s">
        <v>126</v>
      </c>
      <c r="C150" s="4">
        <f t="shared" ref="C150:J150" si="505">C67</f>
        <v>0</v>
      </c>
      <c r="D150" s="4">
        <f t="shared" si="505"/>
        <v>0</v>
      </c>
      <c r="E150" s="4">
        <f t="shared" si="505"/>
        <v>0</v>
      </c>
      <c r="F150" s="4">
        <f t="shared" si="505"/>
        <v>0</v>
      </c>
      <c r="G150" s="4">
        <f t="shared" si="505"/>
        <v>0</v>
      </c>
      <c r="H150" s="4">
        <f t="shared" si="505"/>
        <v>0</v>
      </c>
      <c r="I150" s="4">
        <f t="shared" si="505"/>
        <v>0</v>
      </c>
      <c r="J150" s="4">
        <f t="shared" si="505"/>
        <v>0</v>
      </c>
      <c r="K150" s="4">
        <f t="shared" ref="K150:S150" si="506">K67</f>
        <v>114714</v>
      </c>
      <c r="L150" s="4">
        <f t="shared" si="506"/>
        <v>152701</v>
      </c>
      <c r="M150" s="4">
        <f t="shared" si="506"/>
        <v>75880</v>
      </c>
      <c r="N150" s="4">
        <f t="shared" si="506"/>
        <v>132608</v>
      </c>
      <c r="O150" s="4">
        <f t="shared" si="506"/>
        <v>125651</v>
      </c>
      <c r="P150" s="4">
        <f t="shared" si="506"/>
        <v>141764</v>
      </c>
      <c r="Q150" s="4">
        <f t="shared" si="506"/>
        <v>142425</v>
      </c>
      <c r="R150" s="4">
        <f t="shared" si="506"/>
        <v>281798</v>
      </c>
      <c r="S150" s="4">
        <f t="shared" si="506"/>
        <v>155339</v>
      </c>
      <c r="T150" s="4">
        <f>T67</f>
        <v>159971</v>
      </c>
      <c r="U150" s="4">
        <f t="shared" ref="U150:Z150" si="507">U67</f>
        <v>172318</v>
      </c>
      <c r="V150" s="4">
        <f t="shared" si="507"/>
        <v>196405</v>
      </c>
      <c r="W150" s="4">
        <f t="shared" si="507"/>
        <v>0</v>
      </c>
      <c r="X150" s="4">
        <f t="shared" si="507"/>
        <v>0</v>
      </c>
      <c r="Y150" s="4">
        <f t="shared" si="507"/>
        <v>0</v>
      </c>
      <c r="Z150" s="4">
        <f t="shared" si="507"/>
        <v>0</v>
      </c>
      <c r="AC150" s="4">
        <f t="shared" ref="AC150:AD150" si="508">AC67</f>
        <v>248503</v>
      </c>
      <c r="AD150" s="4">
        <f t="shared" si="508"/>
        <v>241970</v>
      </c>
      <c r="AE150" s="4">
        <f t="shared" ref="AE150:AF150" si="509">AE67</f>
        <v>1270702</v>
      </c>
      <c r="AF150" s="4">
        <f t="shared" si="509"/>
        <v>778215</v>
      </c>
      <c r="AG150" s="4">
        <f t="shared" ref="AG150:AH150" si="510">AG67</f>
        <v>564798</v>
      </c>
      <c r="AH150" s="4">
        <f t="shared" si="510"/>
        <v>475903</v>
      </c>
      <c r="AI150" s="4">
        <f>AI67</f>
        <v>691638</v>
      </c>
      <c r="AJ150" s="4">
        <f t="shared" ref="AJ150:AM150" si="511">AJ67</f>
        <v>684033</v>
      </c>
      <c r="AK150" s="4">
        <f t="shared" si="511"/>
        <v>0</v>
      </c>
      <c r="AL150" s="4">
        <f t="shared" si="511"/>
        <v>0</v>
      </c>
      <c r="AM150" s="4">
        <f t="shared" si="511"/>
        <v>0</v>
      </c>
    </row>
    <row r="151" spans="2:39" s="4" customFormat="1" x14ac:dyDescent="0.25">
      <c r="B151" s="4" t="s">
        <v>128</v>
      </c>
      <c r="K151" s="4">
        <f>AH151-SUM(L151:N151)</f>
        <v>6295</v>
      </c>
      <c r="L151" s="4">
        <v>10760</v>
      </c>
      <c r="M151" s="4">
        <v>8909</v>
      </c>
      <c r="N151" s="4">
        <v>10943</v>
      </c>
      <c r="O151" s="4">
        <v>19926</v>
      </c>
      <c r="P151" s="4">
        <v>6464</v>
      </c>
      <c r="Q151" s="4">
        <v>19950</v>
      </c>
      <c r="R151" s="4">
        <v>79681</v>
      </c>
      <c r="S151" s="4">
        <v>59323</v>
      </c>
      <c r="T151" s="4">
        <v>35097</v>
      </c>
      <c r="U151" s="4">
        <v>34966</v>
      </c>
      <c r="V151" s="4">
        <v>26666</v>
      </c>
      <c r="AE151" s="4">
        <v>39105</v>
      </c>
      <c r="AF151" s="4">
        <v>106283</v>
      </c>
      <c r="AG151" s="4">
        <v>17156</v>
      </c>
      <c r="AH151" s="4">
        <v>36907</v>
      </c>
      <c r="AI151" s="4">
        <v>126021</v>
      </c>
      <c r="AJ151" s="4">
        <v>156052</v>
      </c>
    </row>
    <row r="152" spans="2:39" s="5" customFormat="1" x14ac:dyDescent="0.25">
      <c r="B152" s="5" t="s">
        <v>127</v>
      </c>
      <c r="C152" s="5">
        <f t="shared" ref="C152" si="512">SUM(C145:C151)</f>
        <v>-120400</v>
      </c>
      <c r="D152" s="5">
        <f t="shared" ref="D152" si="513">SUM(D145:D151)</f>
        <v>-144200</v>
      </c>
      <c r="E152" s="5">
        <f t="shared" ref="E152" si="514">SUM(E145:E151)</f>
        <v>-100700</v>
      </c>
      <c r="F152" s="5">
        <f t="shared" ref="F152" si="515">SUM(F145:F151)</f>
        <v>-123200</v>
      </c>
      <c r="G152" s="5">
        <f t="shared" ref="G152" si="516">SUM(G145:G151)</f>
        <v>-99400</v>
      </c>
      <c r="H152" s="5">
        <f t="shared" ref="H152" si="517">SUM(H145:H151)</f>
        <v>-176700</v>
      </c>
      <c r="I152" s="5">
        <f t="shared" ref="I152" si="518">SUM(I145:I151)</f>
        <v>-122800</v>
      </c>
      <c r="J152" s="5">
        <f t="shared" ref="J152" si="519">SUM(J145:J151)</f>
        <v>37800</v>
      </c>
      <c r="K152" s="5">
        <f t="shared" ref="K152:S152" si="520">SUM(K145:K151)</f>
        <v>133444</v>
      </c>
      <c r="L152" s="5">
        <f t="shared" si="520"/>
        <v>181709</v>
      </c>
      <c r="M152" s="5">
        <f t="shared" si="520"/>
        <v>133660</v>
      </c>
      <c r="N152" s="5">
        <f t="shared" si="520"/>
        <v>217317</v>
      </c>
      <c r="O152" s="5">
        <f t="shared" si="520"/>
        <v>234896</v>
      </c>
      <c r="P152" s="5">
        <f t="shared" si="520"/>
        <v>261623</v>
      </c>
      <c r="Q152" s="5">
        <f t="shared" si="520"/>
        <v>283602</v>
      </c>
      <c r="R152" s="5">
        <f t="shared" si="520"/>
        <v>379528</v>
      </c>
      <c r="S152" s="5">
        <f t="shared" si="520"/>
        <v>397332</v>
      </c>
      <c r="T152" s="5">
        <f>SUM(T145:T151)</f>
        <v>470915</v>
      </c>
      <c r="U152" s="5">
        <f t="shared" ref="U152:Z152" si="521">SUM(U145:U151)</f>
        <v>606515</v>
      </c>
      <c r="V152" s="5">
        <f t="shared" si="521"/>
        <v>805483</v>
      </c>
      <c r="W152" s="5">
        <f t="shared" si="521"/>
        <v>1536000</v>
      </c>
      <c r="X152" s="5">
        <f t="shared" si="521"/>
        <v>0</v>
      </c>
      <c r="Y152" s="5">
        <f t="shared" si="521"/>
        <v>0</v>
      </c>
      <c r="Z152" s="5">
        <f t="shared" si="521"/>
        <v>0</v>
      </c>
      <c r="AC152" s="5">
        <f t="shared" ref="AC152:AD152" si="522">SUM(AC145:AC151)</f>
        <v>-361027</v>
      </c>
      <c r="AD152" s="5">
        <f t="shared" si="522"/>
        <v>-322219</v>
      </c>
      <c r="AE152" s="5">
        <f t="shared" ref="AE152:AG152" si="523">SUM(AE145:AE151)</f>
        <v>149999</v>
      </c>
      <c r="AF152" s="5">
        <f t="shared" si="523"/>
        <v>488349</v>
      </c>
      <c r="AG152" s="5">
        <f t="shared" si="523"/>
        <v>443275</v>
      </c>
      <c r="AH152" s="5">
        <f t="shared" ref="AH152" si="524">SUM(AH145:AH151)</f>
        <v>666130</v>
      </c>
      <c r="AI152" s="5">
        <f>SUM(AI145:AI151)</f>
        <v>1159649</v>
      </c>
      <c r="AJ152" s="5">
        <f t="shared" ref="AJ152" si="525">SUM(AJ145:AJ151)</f>
        <v>2280245</v>
      </c>
      <c r="AK152" s="5">
        <f t="shared" ref="AK152" si="526">SUM(AK145:AK151)</f>
        <v>0</v>
      </c>
      <c r="AL152" s="5">
        <f t="shared" ref="AL152" si="527">SUM(AL145:AL151)</f>
        <v>0</v>
      </c>
      <c r="AM152" s="5">
        <f t="shared" ref="AM152" si="528">SUM(AM145:AM151)</f>
        <v>0</v>
      </c>
    </row>
    <row r="153" spans="2:39" s="9" customFormat="1" x14ac:dyDescent="0.25">
      <c r="B153" s="9" t="s">
        <v>129</v>
      </c>
      <c r="C153" s="9">
        <f t="shared" ref="C153" si="529">C152/C3</f>
        <v>-0.35287221570926142</v>
      </c>
      <c r="D153" s="9">
        <f t="shared" ref="D153" si="530">D152/D3</f>
        <v>-0.38391906283280086</v>
      </c>
      <c r="E153" s="9">
        <f t="shared" ref="E153" si="531">E152/E3</f>
        <v>-0.25682223922468755</v>
      </c>
      <c r="F153" s="9">
        <f t="shared" ref="F153" si="532">F152/F3</f>
        <v>-0.28459228459228458</v>
      </c>
      <c r="G153" s="9">
        <f t="shared" ref="G153" si="533">G152/G3</f>
        <v>-0.22267025089605735</v>
      </c>
      <c r="H153" s="9">
        <f t="shared" ref="H153" si="534">H152/H3</f>
        <v>-0.37357293868921776</v>
      </c>
      <c r="I153" s="9">
        <f t="shared" ref="I153" si="535">I152/I3</f>
        <v>-0.25695752249424564</v>
      </c>
      <c r="J153" s="9">
        <f t="shared" ref="J153" si="536">J152/J3</f>
        <v>7.4321667322060553E-2</v>
      </c>
      <c r="K153" s="9">
        <f t="shared" ref="K153:S153" si="537">K152/K3</f>
        <v>0.25408902750644535</v>
      </c>
      <c r="L153" s="9">
        <f t="shared" si="537"/>
        <v>0.3407148093910376</v>
      </c>
      <c r="M153" s="9">
        <f t="shared" si="537"/>
        <v>0.23946581529635821</v>
      </c>
      <c r="N153" s="9">
        <f t="shared" si="537"/>
        <v>0.35722363770855592</v>
      </c>
      <c r="O153" s="9">
        <f t="shared" si="537"/>
        <v>0.3703010067188155</v>
      </c>
      <c r="P153" s="9">
        <f t="shared" si="537"/>
        <v>0.38579838203069011</v>
      </c>
      <c r="Q153" s="9">
        <f t="shared" si="537"/>
        <v>0.39089696161077081</v>
      </c>
      <c r="R153" s="9">
        <f t="shared" si="537"/>
        <v>0.45863357820182982</v>
      </c>
      <c r="S153" s="9">
        <f t="shared" si="537"/>
        <v>0.44954432570953379</v>
      </c>
      <c r="T153" s="9">
        <f>T152/T3</f>
        <v>0.46918043991363928</v>
      </c>
      <c r="U153" s="9">
        <f t="shared" ref="U153:Z153" si="538">U152/U3</f>
        <v>0.5135205386201922</v>
      </c>
      <c r="V153" s="9">
        <f t="shared" si="538"/>
        <v>0.57256316098498583</v>
      </c>
      <c r="W153" s="9">
        <f t="shared" si="538"/>
        <v>1</v>
      </c>
      <c r="X153" s="9" t="e">
        <f t="shared" si="538"/>
        <v>#DIV/0!</v>
      </c>
      <c r="Y153" s="9" t="e">
        <f t="shared" si="538"/>
        <v>#DIV/0!</v>
      </c>
      <c r="Z153" s="9" t="e">
        <f t="shared" si="538"/>
        <v>#DIV/0!</v>
      </c>
      <c r="AC153" s="9">
        <f t="shared" ref="AC153:AD153" si="539">AC152/AC3</f>
        <v>-0.60635126442495835</v>
      </c>
      <c r="AD153" s="9">
        <f t="shared" si="539"/>
        <v>-0.43393283999165044</v>
      </c>
      <c r="AE153" s="9">
        <f t="shared" ref="AE153:AG153" si="540">AE152/AE3</f>
        <v>0.13727711767381459</v>
      </c>
      <c r="AF153" s="9">
        <f t="shared" si="540"/>
        <v>0.31672124257971879</v>
      </c>
      <c r="AG153" s="9">
        <f t="shared" si="540"/>
        <v>0.2325839471821545</v>
      </c>
      <c r="AH153" s="9">
        <f t="shared" ref="AH153" si="541">AH152/AH3</f>
        <v>0.29938265501489431</v>
      </c>
      <c r="AI153" s="9">
        <f>AI152/AI3</f>
        <v>0.40469243313661424</v>
      </c>
      <c r="AJ153" s="9">
        <f t="shared" ref="AJ153" si="542">AJ152/AJ3</f>
        <v>0.50950117597218247</v>
      </c>
      <c r="AK153" s="9">
        <f t="shared" ref="AK153" si="543">AK152/AK3</f>
        <v>0</v>
      </c>
      <c r="AL153" s="9" t="e">
        <f t="shared" ref="AL153" si="544">AL152/AL3</f>
        <v>#DIV/0!</v>
      </c>
      <c r="AM153" s="9" t="e">
        <f t="shared" ref="AM153" si="545">AM152/AM3</f>
        <v>#DIV/0!</v>
      </c>
    </row>
    <row r="155" spans="2:39" s="17" customFormat="1" x14ac:dyDescent="0.25">
      <c r="B155" s="16" t="s">
        <v>146</v>
      </c>
      <c r="C155" s="17">
        <v>18.89</v>
      </c>
      <c r="D155" s="17">
        <v>24.9</v>
      </c>
      <c r="E155" s="17">
        <v>22.52</v>
      </c>
      <c r="F155" s="17">
        <v>11.02</v>
      </c>
      <c r="G155" s="17">
        <v>7.29</v>
      </c>
      <c r="H155" s="17">
        <v>9.25</v>
      </c>
      <c r="I155" s="17">
        <v>7.21</v>
      </c>
      <c r="J155" s="17">
        <v>9.2200000000000006</v>
      </c>
      <c r="K155" s="17">
        <v>9.5500000000000007</v>
      </c>
      <c r="L155" s="17">
        <v>17.04</v>
      </c>
      <c r="M155" s="17">
        <v>18.89</v>
      </c>
      <c r="N155" s="17">
        <v>21.87</v>
      </c>
      <c r="O155" s="17">
        <v>21.4</v>
      </c>
      <c r="P155" s="17">
        <v>26.59</v>
      </c>
      <c r="Q155" s="17">
        <v>51.13</v>
      </c>
      <c r="R155" s="17">
        <v>103.83</v>
      </c>
      <c r="S155" s="17">
        <v>108.86</v>
      </c>
      <c r="T155" s="17">
        <v>173.27</v>
      </c>
      <c r="U155" s="17">
        <v>190.74</v>
      </c>
      <c r="V155" s="17">
        <v>157.88</v>
      </c>
    </row>
    <row r="156" spans="2:39" s="19" customFormat="1" x14ac:dyDescent="0.25">
      <c r="B156" s="18" t="s">
        <v>147</v>
      </c>
      <c r="C156" s="19">
        <f t="shared" ref="C156:U156" si="546">C155*C18</f>
        <v>33327357.142857142</v>
      </c>
      <c r="D156" s="19">
        <f t="shared" si="546"/>
        <v>47898063.299999997</v>
      </c>
      <c r="E156" s="19">
        <f t="shared" si="546"/>
        <v>43319854.839999996</v>
      </c>
      <c r="F156" s="19">
        <f t="shared" si="546"/>
        <v>21198259.34</v>
      </c>
      <c r="G156" s="19">
        <f t="shared" si="546"/>
        <v>14521680</v>
      </c>
      <c r="H156" s="19">
        <f t="shared" si="546"/>
        <v>18428055.555555556</v>
      </c>
      <c r="I156" s="19">
        <f t="shared" si="546"/>
        <v>14879947.529999999</v>
      </c>
      <c r="J156" s="19">
        <f t="shared" si="546"/>
        <v>19028171.460000001</v>
      </c>
      <c r="K156" s="19">
        <f t="shared" si="546"/>
        <v>20129299</v>
      </c>
      <c r="L156" s="19">
        <f t="shared" si="546"/>
        <v>36316056.960000001</v>
      </c>
      <c r="M156" s="19">
        <f t="shared" si="546"/>
        <v>40850191.700000003</v>
      </c>
      <c r="N156" s="19">
        <f t="shared" si="546"/>
        <v>46964644.020000003</v>
      </c>
      <c r="O156" s="19">
        <f t="shared" si="546"/>
        <v>47369863</v>
      </c>
      <c r="P156" s="19">
        <f t="shared" si="546"/>
        <v>59338031.280000001</v>
      </c>
      <c r="Q156" s="19">
        <f t="shared" si="546"/>
        <v>115044136.16000001</v>
      </c>
      <c r="R156" s="19">
        <f t="shared" si="546"/>
        <v>233634424.28999999</v>
      </c>
      <c r="S156" s="19">
        <f t="shared" si="546"/>
        <v>255677195.94</v>
      </c>
      <c r="T156" s="19">
        <f t="shared" si="546"/>
        <v>409817510.92000002</v>
      </c>
      <c r="U156" s="19">
        <f t="shared" si="546"/>
        <v>453420833.58000004</v>
      </c>
      <c r="V156" s="19">
        <f>V155*V18</f>
        <v>376844403.51999998</v>
      </c>
      <c r="W156" s="19">
        <f t="shared" ref="W156:Z156" si="547">W155*W18</f>
        <v>0</v>
      </c>
      <c r="X156" s="19">
        <f t="shared" si="547"/>
        <v>0</v>
      </c>
      <c r="Y156" s="19">
        <f t="shared" si="547"/>
        <v>0</v>
      </c>
      <c r="Z156" s="19">
        <f t="shared" si="547"/>
        <v>0</v>
      </c>
    </row>
    <row r="157" spans="2:39" s="17" customFormat="1" x14ac:dyDescent="0.25">
      <c r="B157" s="16" t="s">
        <v>148</v>
      </c>
      <c r="F157" s="17">
        <f t="shared" ref="F157:U157" si="548">F156/(F152+E152+D152+C152)</f>
        <v>-43.394594350051179</v>
      </c>
      <c r="G157" s="17">
        <f t="shared" si="548"/>
        <v>-31.062417112299464</v>
      </c>
      <c r="H157" s="17">
        <f t="shared" si="548"/>
        <v>-36.856111111111112</v>
      </c>
      <c r="I157" s="17">
        <f t="shared" si="548"/>
        <v>-28.500186803294387</v>
      </c>
      <c r="J157" s="17">
        <f t="shared" si="548"/>
        <v>-52.695019274439218</v>
      </c>
      <c r="K157" s="17">
        <f t="shared" si="548"/>
        <v>-156.9462559256487</v>
      </c>
      <c r="L157" s="17">
        <f t="shared" si="548"/>
        <v>157.79093455223264</v>
      </c>
      <c r="M157" s="17">
        <f t="shared" si="548"/>
        <v>83.948007348755581</v>
      </c>
      <c r="N157" s="17">
        <f t="shared" si="548"/>
        <v>70.503721525828297</v>
      </c>
      <c r="O157" s="17">
        <f t="shared" si="548"/>
        <v>61.713097753725336</v>
      </c>
      <c r="P157" s="17">
        <f t="shared" si="548"/>
        <v>70.015706599205188</v>
      </c>
      <c r="Q157" s="17">
        <f t="shared" si="548"/>
        <v>115.33963630822167</v>
      </c>
      <c r="R157" s="17">
        <f t="shared" si="548"/>
        <v>201.4699484844121</v>
      </c>
      <c r="S157" s="17">
        <f t="shared" si="548"/>
        <v>193.38937809596206</v>
      </c>
      <c r="T157" s="17">
        <f t="shared" si="548"/>
        <v>267.6137299437043</v>
      </c>
      <c r="U157" s="17">
        <f t="shared" si="548"/>
        <v>244.52530811253905</v>
      </c>
      <c r="V157" s="17">
        <f>V156/(V152+U152+T152+S152)</f>
        <v>165.2648743972687</v>
      </c>
    </row>
    <row r="158" spans="2:39" s="17" customFormat="1" x14ac:dyDescent="0.25">
      <c r="B158" s="16" t="s">
        <v>149</v>
      </c>
      <c r="N158" s="17">
        <f t="shared" ref="N158:U158" si="549">N156/(N97+M97+L97+K97)</f>
        <v>67.374455068293102</v>
      </c>
      <c r="O158" s="17">
        <f t="shared" si="549"/>
        <v>73.85811623059017</v>
      </c>
      <c r="P158" s="17">
        <f t="shared" si="549"/>
        <v>66.311849562991085</v>
      </c>
      <c r="Q158" s="17">
        <f t="shared" si="549"/>
        <v>117.35341669369862</v>
      </c>
      <c r="R158" s="17">
        <f t="shared" si="549"/>
        <v>204.72141423603108</v>
      </c>
      <c r="S158" s="17">
        <f t="shared" si="549"/>
        <v>193.93064744632679</v>
      </c>
      <c r="T158" s="17">
        <f t="shared" si="549"/>
        <v>239.84113744686033</v>
      </c>
      <c r="U158" s="17">
        <f t="shared" si="549"/>
        <v>252.77266923813227</v>
      </c>
      <c r="V158" s="17">
        <f>V156/(V97+U97+T97+S97)</f>
        <v>179.3992278934833</v>
      </c>
    </row>
    <row r="159" spans="2:39" s="17" customFormat="1" x14ac:dyDescent="0.25">
      <c r="B159" s="16" t="s">
        <v>150</v>
      </c>
      <c r="F159" s="17">
        <f t="shared" ref="F159:U159" si="550">F156/(F3+E3+D3+C3)</f>
        <v>13.749033169023219</v>
      </c>
      <c r="G159" s="17">
        <f t="shared" si="550"/>
        <v>8.817049180327869</v>
      </c>
      <c r="H159" s="17">
        <f t="shared" si="550"/>
        <v>10.564122652806441</v>
      </c>
      <c r="I159" s="17">
        <f t="shared" si="550"/>
        <v>8.1302303190908098</v>
      </c>
      <c r="J159" s="17">
        <f t="shared" si="550"/>
        <v>9.9838246812529512</v>
      </c>
      <c r="K159" s="17">
        <f t="shared" si="550"/>
        <v>10.142309161247674</v>
      </c>
      <c r="L159" s="17">
        <f t="shared" si="550"/>
        <v>17.758437009627858</v>
      </c>
      <c r="M159" s="17">
        <f t="shared" si="550"/>
        <v>19.221249756500612</v>
      </c>
      <c r="N159" s="17">
        <f t="shared" si="550"/>
        <v>21.107591338833231</v>
      </c>
      <c r="O159" s="17">
        <f t="shared" si="550"/>
        <v>20.294145141472494</v>
      </c>
      <c r="P159" s="17">
        <f t="shared" si="550"/>
        <v>23.936460698972684</v>
      </c>
      <c r="Q159" s="17">
        <f t="shared" si="550"/>
        <v>43.472956273915131</v>
      </c>
      <c r="R159" s="17">
        <f t="shared" si="550"/>
        <v>81.533363656065049</v>
      </c>
      <c r="S159" s="17">
        <f t="shared" si="550"/>
        <v>82.078724253809924</v>
      </c>
      <c r="T159" s="17">
        <f t="shared" si="550"/>
        <v>119.11267202951124</v>
      </c>
      <c r="U159" s="17">
        <f t="shared" si="550"/>
        <v>116.37624852450989</v>
      </c>
      <c r="V159" s="17">
        <f>V156/(V3+U3+T3+S3)</f>
        <v>84.202647852303429</v>
      </c>
    </row>
  </sheetData>
  <phoneticPr fontId="4" type="noConversion"/>
  <hyperlinks>
    <hyperlink ref="A1" location="Main!A1" display="Main" xr:uid="{6E826A7B-E44B-47C9-976F-4826F201DCFD}"/>
  </hyperlinks>
  <pageMargins left="0.7" right="0.7" top="0.75" bottom="0.75" header="0.3" footer="0.3"/>
  <ignoredErrors>
    <ignoredError sqref="R104 N104 AF43" formula="1"/>
    <ignoredError sqref="K151 N3:N4 N16 AJ3:AJ4 AJ6:AJ12 AJ14 AJ16" formulaRange="1"/>
    <ignoredError sqref="N5:N15 AJ5 AJ13 AJ15" formula="1" formulaRange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2026-02-08T08:44:01Z</dcterms:modified>
</cp:coreProperties>
</file>