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2DD67994-8B5D-4925-961B-503B488969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2" l="1"/>
  <c r="E43" i="2" s="1"/>
  <c r="E37" i="2"/>
  <c r="I41" i="2"/>
  <c r="I43" i="2" s="1"/>
  <c r="H43" i="2"/>
  <c r="H41" i="2"/>
  <c r="I37" i="2"/>
  <c r="H37" i="2"/>
  <c r="O5" i="2"/>
  <c r="O15" i="2"/>
  <c r="N15" i="2"/>
  <c r="O11" i="2"/>
  <c r="N11" i="2"/>
  <c r="N5" i="2"/>
  <c r="J15" i="2"/>
  <c r="I15" i="2"/>
  <c r="J11" i="2"/>
  <c r="I11" i="2"/>
  <c r="J5" i="2"/>
  <c r="J12" i="2" s="1"/>
  <c r="I5" i="2"/>
  <c r="F15" i="2"/>
  <c r="E15" i="2"/>
  <c r="D15" i="2"/>
  <c r="C15" i="2"/>
  <c r="F11" i="2"/>
  <c r="E11" i="2"/>
  <c r="D11" i="2"/>
  <c r="C11" i="2"/>
  <c r="F5" i="2"/>
  <c r="F12" i="2" s="1"/>
  <c r="E5" i="2"/>
  <c r="D5" i="2"/>
  <c r="C5" i="2"/>
  <c r="G15" i="2"/>
  <c r="G11" i="2"/>
  <c r="H15" i="2"/>
  <c r="H11" i="2"/>
  <c r="G5" i="2"/>
  <c r="H5" i="2"/>
  <c r="H12" i="2" s="1"/>
  <c r="J14" i="1"/>
  <c r="J10" i="1"/>
  <c r="J9" i="1"/>
  <c r="H19" i="2" l="1"/>
  <c r="H21" i="2" s="1"/>
  <c r="H23" i="2" s="1"/>
  <c r="I12" i="2"/>
  <c r="C12" i="2"/>
  <c r="C19" i="2" s="1"/>
  <c r="C21" i="2" s="1"/>
  <c r="C23" i="2" s="1"/>
  <c r="D12" i="2"/>
  <c r="D19" i="2" s="1"/>
  <c r="D21" i="2" s="1"/>
  <c r="D23" i="2" s="1"/>
  <c r="E12" i="2"/>
  <c r="E19" i="2" s="1"/>
  <c r="E21" i="2" s="1"/>
  <c r="E23" i="2" s="1"/>
  <c r="N12" i="2"/>
  <c r="N19" i="2" s="1"/>
  <c r="N21" i="2" s="1"/>
  <c r="N23" i="2" s="1"/>
  <c r="O12" i="2"/>
  <c r="F19" i="2"/>
  <c r="F21" i="2" s="1"/>
  <c r="F23" i="2" s="1"/>
  <c r="O19" i="2"/>
  <c r="O21" i="2" s="1"/>
  <c r="O23" i="2" s="1"/>
  <c r="G12" i="2"/>
  <c r="G19" i="2" s="1"/>
  <c r="G21" i="2" s="1"/>
  <c r="G23" i="2" s="1"/>
  <c r="I19" i="2"/>
  <c r="I21" i="2" s="1"/>
  <c r="I23" i="2" s="1"/>
  <c r="J19" i="2"/>
  <c r="J21" i="2" s="1"/>
  <c r="J23" i="2" s="1"/>
</calcChain>
</file>

<file path=xl/sharedStrings.xml><?xml version="1.0" encoding="utf-8"?>
<sst xmlns="http://schemas.openxmlformats.org/spreadsheetml/2006/main" count="55" uniqueCount="53">
  <si>
    <t>Main</t>
  </si>
  <si>
    <t>Price</t>
  </si>
  <si>
    <t>S/O</t>
  </si>
  <si>
    <t>MC</t>
  </si>
  <si>
    <t>D</t>
  </si>
  <si>
    <t>C</t>
  </si>
  <si>
    <t>EV</t>
  </si>
  <si>
    <t>Other rev</t>
  </si>
  <si>
    <t>Total rev</t>
  </si>
  <si>
    <t>fund mgmt  &amp; admin</t>
  </si>
  <si>
    <t>Employee comp</t>
  </si>
  <si>
    <t>G&amp;A</t>
  </si>
  <si>
    <t>M&amp;A</t>
  </si>
  <si>
    <t>D&amp;A</t>
  </si>
  <si>
    <t>OpEx</t>
  </si>
  <si>
    <t>OpInc</t>
  </si>
  <si>
    <t>Inv.Gains</t>
  </si>
  <si>
    <t>Unrealized gain/loss on digital assets</t>
  </si>
  <si>
    <t>Other derivative loss</t>
  </si>
  <si>
    <t>Net inv gains/losses</t>
  </si>
  <si>
    <t>Other income</t>
  </si>
  <si>
    <t>Transaction costs</t>
  </si>
  <si>
    <t>Goodwill and intangible asset impairment</t>
  </si>
  <si>
    <t>Pretax income</t>
  </si>
  <si>
    <t>Taxes</t>
  </si>
  <si>
    <t>NI</t>
  </si>
  <si>
    <t>EPS</t>
  </si>
  <si>
    <t>Inv advisory fees</t>
  </si>
  <si>
    <t>($in thousands)</t>
  </si>
  <si>
    <t>09/12-30/25</t>
  </si>
  <si>
    <t>Successor</t>
  </si>
  <si>
    <t>Predecessor</t>
  </si>
  <si>
    <t>07/01-09/11/25</t>
  </si>
  <si>
    <t>Q224</t>
  </si>
  <si>
    <t>01/01-09/11/25</t>
  </si>
  <si>
    <t>01/01-09/30/24</t>
  </si>
  <si>
    <t>Cash</t>
  </si>
  <si>
    <t>Short-term inv</t>
  </si>
  <si>
    <t>Prepaids</t>
  </si>
  <si>
    <t>OCA</t>
  </si>
  <si>
    <t>Digital assets</t>
  </si>
  <si>
    <t>PP&amp;A</t>
  </si>
  <si>
    <t>Intangible assets</t>
  </si>
  <si>
    <t>ROU assets</t>
  </si>
  <si>
    <t>Other NCA</t>
  </si>
  <si>
    <t>Total assets</t>
  </si>
  <si>
    <t>Comp. &amp; benefits payable</t>
  </si>
  <si>
    <t>A/P and other liabilities</t>
  </si>
  <si>
    <t>Other operating NC liabilities</t>
  </si>
  <si>
    <t>Total liabilities</t>
  </si>
  <si>
    <t>SE</t>
  </si>
  <si>
    <t>L+SE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</si>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</sst>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1"/>
    <xf numFmtId="3" fontId="1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8:J14"/>
  <sheetViews>
    <sheetView workbookViewId="0">
      <selection activeCell="J9" sqref="J9"/>
    </sheetView>
  </sheetViews>
  <sheetFormatPr defaultRowHeight="13.2" x14ac:dyDescent="0.25"/>
  <cols>
    <col min="1" max="16384" width="8.88671875" style="1"/>
  </cols>
  <sheetData>
    <row r="8" spans="9:10" x14ac:dyDescent="0.25">
      <c r="I8" s="1" t="s">
        <v>1</v>
      </c>
      <c r="J8" s="1">
        <v>0.88</v>
      </c>
    </row>
    <row r="9" spans="9:10" x14ac:dyDescent="0.25">
      <c r="I9" s="1" t="s">
        <v>2</v>
      </c>
      <c r="J9" s="4">
        <f>592.57951+222.9041</f>
        <v>815.48361</v>
      </c>
    </row>
    <row r="10" spans="9:10" x14ac:dyDescent="0.25">
      <c r="I10" s="1" t="s">
        <v>3</v>
      </c>
      <c r="J10" s="4">
        <f>J8+J9</f>
        <v>816.36360999999999</v>
      </c>
    </row>
    <row r="11" spans="9:10" x14ac:dyDescent="0.25">
      <c r="I11" s="1" t="s">
        <v>4</v>
      </c>
      <c r="J11" s="4">
        <v>0</v>
      </c>
    </row>
    <row r="12" spans="9:10" x14ac:dyDescent="0.25">
      <c r="I12" s="1" t="s">
        <v>5</v>
      </c>
      <c r="J12" s="4">
        <v>109.069</v>
      </c>
    </row>
    <row r="13" spans="9:10" x14ac:dyDescent="0.25">
      <c r="J13" s="3"/>
    </row>
    <row r="14" spans="9:10" x14ac:dyDescent="0.25">
      <c r="I14" s="1" t="s">
        <v>6</v>
      </c>
      <c r="J14" s="4">
        <f>J10-J12+J11</f>
        <v>707.29461000000003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05A2-9ACD-4ABA-B3E9-A08BAFD0DA9C}">
  <dimension ref="A1:O4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7" sqref="N27"/>
    </sheetView>
  </sheetViews>
  <sheetFormatPr defaultRowHeight="13.2" x14ac:dyDescent="0.25"/>
  <cols>
    <col min="1" max="1" width="8.88671875" style="1"/>
    <col min="2" max="2" width="35.44140625" style="1" customWidth="1"/>
    <col min="3" max="6" width="8.88671875" style="1"/>
    <col min="7" max="7" width="13.44140625" style="7" bestFit="1" customWidth="1"/>
    <col min="8" max="8" width="10.77734375" style="1" bestFit="1" customWidth="1"/>
    <col min="9" max="13" width="8.88671875" style="1"/>
    <col min="14" max="15" width="13.44140625" style="1" bestFit="1" customWidth="1"/>
    <col min="16" max="16384" width="8.88671875" style="1"/>
  </cols>
  <sheetData>
    <row r="1" spans="1:15" ht="14.4" x14ac:dyDescent="0.3">
      <c r="A1" s="2" t="s">
        <v>0</v>
      </c>
      <c r="G1" s="7" t="s">
        <v>31</v>
      </c>
      <c r="H1" s="1" t="s">
        <v>30</v>
      </c>
      <c r="N1" s="11" t="s">
        <v>31</v>
      </c>
    </row>
    <row r="2" spans="1:15" x14ac:dyDescent="0.25">
      <c r="B2" s="1" t="s">
        <v>28</v>
      </c>
      <c r="C2" s="1" t="s">
        <v>33</v>
      </c>
      <c r="E2" s="1" t="s">
        <v>52</v>
      </c>
      <c r="G2" s="7" t="s">
        <v>32</v>
      </c>
      <c r="H2" s="1" t="s">
        <v>29</v>
      </c>
      <c r="N2" s="11" t="s">
        <v>35</v>
      </c>
      <c r="O2" s="11" t="s">
        <v>34</v>
      </c>
    </row>
    <row r="3" spans="1:15" s="3" customFormat="1" x14ac:dyDescent="0.25">
      <c r="B3" s="3" t="s">
        <v>27</v>
      </c>
      <c r="C3" s="3">
        <v>950</v>
      </c>
      <c r="G3" s="8">
        <v>1283</v>
      </c>
      <c r="H3" s="3">
        <v>246</v>
      </c>
      <c r="N3" s="3">
        <v>2560</v>
      </c>
      <c r="O3" s="3">
        <v>4187</v>
      </c>
    </row>
    <row r="4" spans="1:15" s="3" customFormat="1" x14ac:dyDescent="0.25">
      <c r="B4" s="3" t="s">
        <v>7</v>
      </c>
      <c r="C4" s="3">
        <v>34</v>
      </c>
      <c r="G4" s="8">
        <v>5</v>
      </c>
      <c r="H4" s="3">
        <v>9</v>
      </c>
      <c r="N4" s="3">
        <v>55</v>
      </c>
      <c r="O4" s="3">
        <v>35</v>
      </c>
    </row>
    <row r="5" spans="1:15" s="6" customFormat="1" x14ac:dyDescent="0.25">
      <c r="B5" s="6" t="s">
        <v>8</v>
      </c>
      <c r="C5" s="6">
        <f t="shared" ref="C5" si="0">SUM(C3:C4)</f>
        <v>984</v>
      </c>
      <c r="D5" s="6">
        <f t="shared" ref="D5" si="1">SUM(D3:D4)</f>
        <v>0</v>
      </c>
      <c r="E5" s="6">
        <f t="shared" ref="E5" si="2">SUM(E3:E4)</f>
        <v>0</v>
      </c>
      <c r="F5" s="6">
        <f t="shared" ref="F5" si="3">SUM(F3:F4)</f>
        <v>0</v>
      </c>
      <c r="G5" s="9">
        <f t="shared" ref="G5" si="4">SUM(G3:G4)</f>
        <v>1288</v>
      </c>
      <c r="H5" s="6">
        <f>SUM(H3:H4)</f>
        <v>255</v>
      </c>
      <c r="I5" s="6">
        <f t="shared" ref="I5" si="5">SUM(I3:I4)</f>
        <v>0</v>
      </c>
      <c r="J5" s="6">
        <f t="shared" ref="J5" si="6">SUM(J3:J4)</f>
        <v>0</v>
      </c>
      <c r="N5" s="6">
        <f t="shared" ref="N5:O5" si="7">SUM(N3:N4)</f>
        <v>2615</v>
      </c>
      <c r="O5" s="6">
        <f t="shared" si="7"/>
        <v>4222</v>
      </c>
    </row>
    <row r="6" spans="1:15" s="3" customFormat="1" x14ac:dyDescent="0.25">
      <c r="B6" s="3" t="s">
        <v>9</v>
      </c>
      <c r="C6" s="3">
        <v>1272</v>
      </c>
      <c r="G6" s="8">
        <v>1251</v>
      </c>
      <c r="H6" s="3">
        <v>282</v>
      </c>
      <c r="N6" s="3">
        <v>3488</v>
      </c>
      <c r="O6" s="3">
        <v>4250</v>
      </c>
    </row>
    <row r="7" spans="1:15" s="3" customFormat="1" x14ac:dyDescent="0.25">
      <c r="B7" s="3" t="s">
        <v>10</v>
      </c>
      <c r="C7" s="3">
        <v>2182</v>
      </c>
      <c r="G7" s="8">
        <v>3151</v>
      </c>
      <c r="H7" s="3">
        <v>18720</v>
      </c>
      <c r="N7" s="3">
        <v>6465</v>
      </c>
      <c r="O7" s="3">
        <v>7222</v>
      </c>
    </row>
    <row r="8" spans="1:15" s="3" customFormat="1" x14ac:dyDescent="0.25">
      <c r="B8" s="3" t="s">
        <v>11</v>
      </c>
      <c r="C8" s="3">
        <v>4404</v>
      </c>
      <c r="G8" s="8">
        <v>871</v>
      </c>
      <c r="H8" s="3">
        <v>445</v>
      </c>
      <c r="N8" s="3">
        <v>10040</v>
      </c>
      <c r="O8" s="3">
        <v>4229</v>
      </c>
    </row>
    <row r="9" spans="1:15" s="3" customFormat="1" x14ac:dyDescent="0.25">
      <c r="B9" s="3" t="s">
        <v>12</v>
      </c>
      <c r="C9" s="3">
        <v>89</v>
      </c>
      <c r="G9" s="8">
        <v>68</v>
      </c>
      <c r="H9" s="3">
        <v>18</v>
      </c>
      <c r="N9" s="3">
        <v>443</v>
      </c>
      <c r="O9" s="3">
        <v>231</v>
      </c>
    </row>
    <row r="10" spans="1:15" s="3" customFormat="1" x14ac:dyDescent="0.25">
      <c r="B10" s="3" t="s">
        <v>13</v>
      </c>
      <c r="C10" s="3">
        <v>47</v>
      </c>
      <c r="G10" s="8">
        <v>43</v>
      </c>
      <c r="H10" s="3">
        <v>12</v>
      </c>
      <c r="N10" s="3">
        <v>141</v>
      </c>
      <c r="O10" s="3">
        <v>149</v>
      </c>
    </row>
    <row r="11" spans="1:15" s="6" customFormat="1" x14ac:dyDescent="0.25">
      <c r="B11" s="6" t="s">
        <v>14</v>
      </c>
      <c r="C11" s="6">
        <f t="shared" ref="C11" si="8">SUM(C6:C10)</f>
        <v>7994</v>
      </c>
      <c r="D11" s="6">
        <f t="shared" ref="D11" si="9">SUM(D6:D10)</f>
        <v>0</v>
      </c>
      <c r="E11" s="6">
        <f t="shared" ref="E11" si="10">SUM(E6:E10)</f>
        <v>0</v>
      </c>
      <c r="F11" s="6">
        <f t="shared" ref="F11" si="11">SUM(F6:F10)</f>
        <v>0</v>
      </c>
      <c r="G11" s="9">
        <f t="shared" ref="G11" si="12">SUM(G6:G10)</f>
        <v>5384</v>
      </c>
      <c r="H11" s="6">
        <f>SUM(H6:H10)</f>
        <v>19477</v>
      </c>
      <c r="I11" s="6">
        <f t="shared" ref="I11" si="13">SUM(I6:I10)</f>
        <v>0</v>
      </c>
      <c r="J11" s="6">
        <f t="shared" ref="J11" si="14">SUM(J6:J10)</f>
        <v>0</v>
      </c>
      <c r="N11" s="6">
        <f t="shared" ref="N11" si="15">SUM(N6:N10)</f>
        <v>20577</v>
      </c>
      <c r="O11" s="6">
        <f t="shared" ref="O11" si="16">SUM(O6:O10)</f>
        <v>16081</v>
      </c>
    </row>
    <row r="12" spans="1:15" s="6" customFormat="1" x14ac:dyDescent="0.25">
      <c r="B12" s="6" t="s">
        <v>15</v>
      </c>
      <c r="C12" s="6">
        <f t="shared" ref="C12" si="17">C5-C11</f>
        <v>-7010</v>
      </c>
      <c r="D12" s="6">
        <f t="shared" ref="D12" si="18">D5-D11</f>
        <v>0</v>
      </c>
      <c r="E12" s="6">
        <f t="shared" ref="E12" si="19">E5-E11</f>
        <v>0</v>
      </c>
      <c r="F12" s="6">
        <f t="shared" ref="F12" si="20">F5-F11</f>
        <v>0</v>
      </c>
      <c r="G12" s="9">
        <f t="shared" ref="G12" si="21">G5-G11</f>
        <v>-4096</v>
      </c>
      <c r="H12" s="6">
        <f>H5-H11</f>
        <v>-19222</v>
      </c>
      <c r="I12" s="6">
        <f t="shared" ref="I12" si="22">I5-I11</f>
        <v>0</v>
      </c>
      <c r="J12" s="6">
        <f t="shared" ref="J12" si="23">J5-J11</f>
        <v>0</v>
      </c>
      <c r="N12" s="6">
        <f t="shared" ref="N12" si="24">N5-N11</f>
        <v>-17962</v>
      </c>
      <c r="O12" s="6">
        <f t="shared" ref="O12" si="25">O5-O11</f>
        <v>-11859</v>
      </c>
    </row>
    <row r="13" spans="1:15" s="3" customFormat="1" x14ac:dyDescent="0.25">
      <c r="A13" s="3" t="s">
        <v>16</v>
      </c>
      <c r="B13" s="3" t="s">
        <v>17</v>
      </c>
      <c r="G13" s="8"/>
      <c r="H13" s="3">
        <v>-10133</v>
      </c>
    </row>
    <row r="14" spans="1:15" s="3" customFormat="1" x14ac:dyDescent="0.25">
      <c r="B14" s="3" t="s">
        <v>18</v>
      </c>
      <c r="G14" s="8"/>
      <c r="H14" s="3">
        <v>-14731</v>
      </c>
    </row>
    <row r="15" spans="1:15" s="6" customFormat="1" x14ac:dyDescent="0.25">
      <c r="B15" s="6" t="s">
        <v>19</v>
      </c>
      <c r="C15" s="6">
        <f t="shared" ref="C15" si="26">SUM(C13:C14)</f>
        <v>0</v>
      </c>
      <c r="D15" s="6">
        <f t="shared" ref="D15" si="27">SUM(D13:D14)</f>
        <v>0</v>
      </c>
      <c r="E15" s="6">
        <f t="shared" ref="E15" si="28">SUM(E13:E14)</f>
        <v>0</v>
      </c>
      <c r="F15" s="6">
        <f t="shared" ref="F15" si="29">SUM(F13:F14)</f>
        <v>0</v>
      </c>
      <c r="G15" s="9">
        <f t="shared" ref="G15" si="30">SUM(G13:G14)</f>
        <v>0</v>
      </c>
      <c r="H15" s="6">
        <f>SUM(H13:H14)</f>
        <v>-24864</v>
      </c>
      <c r="I15" s="6">
        <f t="shared" ref="I15" si="31">SUM(I13:I14)</f>
        <v>0</v>
      </c>
      <c r="J15" s="6">
        <f t="shared" ref="J15" si="32">SUM(J13:J14)</f>
        <v>0</v>
      </c>
      <c r="N15" s="6">
        <f t="shared" ref="N15" si="33">SUM(N13:N14)</f>
        <v>0</v>
      </c>
      <c r="O15" s="6">
        <f t="shared" ref="O15" si="34">SUM(O13:O14)</f>
        <v>0</v>
      </c>
    </row>
    <row r="16" spans="1:15" s="3" customFormat="1" x14ac:dyDescent="0.25">
      <c r="B16" s="3" t="s">
        <v>20</v>
      </c>
      <c r="C16" s="3">
        <v>208</v>
      </c>
      <c r="G16" s="8">
        <v>10</v>
      </c>
      <c r="H16" s="3">
        <v>68</v>
      </c>
      <c r="N16" s="3">
        <v>500</v>
      </c>
      <c r="O16" s="3">
        <v>586</v>
      </c>
    </row>
    <row r="17" spans="2:15" s="3" customFormat="1" x14ac:dyDescent="0.25">
      <c r="B17" s="3" t="s">
        <v>21</v>
      </c>
      <c r="G17" s="8">
        <v>-10280</v>
      </c>
      <c r="H17" s="3">
        <v>-7484</v>
      </c>
      <c r="O17" s="3">
        <v>-15717</v>
      </c>
    </row>
    <row r="18" spans="2:15" s="3" customFormat="1" x14ac:dyDescent="0.25">
      <c r="B18" s="3" t="s">
        <v>22</v>
      </c>
      <c r="G18" s="8"/>
      <c r="H18" s="3">
        <v>-140785</v>
      </c>
    </row>
    <row r="19" spans="2:15" s="6" customFormat="1" x14ac:dyDescent="0.25">
      <c r="B19" s="6" t="s">
        <v>23</v>
      </c>
      <c r="C19" s="6">
        <f t="shared" ref="C19:F19" si="35">SUM(C16:C18)+C15+C12</f>
        <v>-6802</v>
      </c>
      <c r="D19" s="6">
        <f t="shared" si="35"/>
        <v>0</v>
      </c>
      <c r="E19" s="6">
        <f t="shared" si="35"/>
        <v>0</v>
      </c>
      <c r="F19" s="6">
        <f t="shared" si="35"/>
        <v>0</v>
      </c>
      <c r="G19" s="9">
        <f>SUM(G16:G18)+G15+G12</f>
        <v>-14366</v>
      </c>
      <c r="H19" s="6">
        <f>SUM(H16:H18)+H15+H12</f>
        <v>-192287</v>
      </c>
      <c r="I19" s="6">
        <f t="shared" ref="I19:J19" si="36">SUM(I16:I18)+I15+I12</f>
        <v>0</v>
      </c>
      <c r="J19" s="6">
        <f t="shared" si="36"/>
        <v>0</v>
      </c>
      <c r="N19" s="6">
        <f t="shared" ref="N19" si="37">SUM(N16:N18)+N15+N12</f>
        <v>-17462</v>
      </c>
      <c r="O19" s="6">
        <f t="shared" ref="O19" si="38">SUM(O16:O18)+O15+O12</f>
        <v>-26990</v>
      </c>
    </row>
    <row r="20" spans="2:15" s="3" customFormat="1" x14ac:dyDescent="0.25">
      <c r="B20" s="3" t="s">
        <v>24</v>
      </c>
      <c r="G20" s="8"/>
      <c r="H20" s="3">
        <v>0</v>
      </c>
    </row>
    <row r="21" spans="2:15" s="6" customFormat="1" x14ac:dyDescent="0.25">
      <c r="B21" s="6" t="s">
        <v>25</v>
      </c>
      <c r="C21" s="6">
        <f t="shared" ref="C21:F21" si="39">C19+C20</f>
        <v>-6802</v>
      </c>
      <c r="D21" s="6">
        <f t="shared" si="39"/>
        <v>0</v>
      </c>
      <c r="E21" s="6">
        <f t="shared" si="39"/>
        <v>0</v>
      </c>
      <c r="F21" s="6">
        <f t="shared" si="39"/>
        <v>0</v>
      </c>
      <c r="G21" s="9">
        <f>G19+G20</f>
        <v>-14366</v>
      </c>
      <c r="H21" s="6">
        <f>H19+H20</f>
        <v>-192287</v>
      </c>
      <c r="I21" s="6">
        <f t="shared" ref="I21:J21" si="40">I19+I20</f>
        <v>0</v>
      </c>
      <c r="J21" s="6">
        <f t="shared" si="40"/>
        <v>0</v>
      </c>
      <c r="N21" s="6">
        <f t="shared" ref="N21" si="41">N19+N20</f>
        <v>-17462</v>
      </c>
      <c r="O21" s="6">
        <f t="shared" ref="O21" si="42">O19+O20</f>
        <v>-26990</v>
      </c>
    </row>
    <row r="22" spans="2:15" s="3" customFormat="1" x14ac:dyDescent="0.25">
      <c r="B22" s="3" t="s">
        <v>2</v>
      </c>
      <c r="C22" s="3">
        <v>2225.8159999999998</v>
      </c>
      <c r="G22" s="8">
        <v>2325.7829999999999</v>
      </c>
      <c r="H22" s="3">
        <v>872349.18200000003</v>
      </c>
      <c r="N22" s="3">
        <v>2200.848</v>
      </c>
      <c r="O22" s="3">
        <v>2299.2429999999999</v>
      </c>
    </row>
    <row r="23" spans="2:15" s="5" customFormat="1" x14ac:dyDescent="0.25">
      <c r="B23" s="5" t="s">
        <v>26</v>
      </c>
      <c r="C23" s="5">
        <f t="shared" ref="C23:F23" si="43">C21/C22</f>
        <v>-3.0559579048762346</v>
      </c>
      <c r="D23" s="5" t="e">
        <f t="shared" si="43"/>
        <v>#DIV/0!</v>
      </c>
      <c r="E23" s="5" t="e">
        <f t="shared" si="43"/>
        <v>#DIV/0!</v>
      </c>
      <c r="F23" s="5" t="e">
        <f t="shared" si="43"/>
        <v>#DIV/0!</v>
      </c>
      <c r="G23" s="10">
        <f>G21/G22</f>
        <v>-6.1768445293477514</v>
      </c>
      <c r="H23" s="5">
        <f>H21/H22</f>
        <v>-0.22042434837750555</v>
      </c>
      <c r="I23" s="5" t="e">
        <f t="shared" ref="I23:J23" si="44">I21/I22</f>
        <v>#DIV/0!</v>
      </c>
      <c r="J23" s="5" t="e">
        <f t="shared" si="44"/>
        <v>#DIV/0!</v>
      </c>
      <c r="N23" s="5">
        <f t="shared" ref="N23" si="45">N21/N22</f>
        <v>-7.9342144482490387</v>
      </c>
      <c r="O23" s="5">
        <f t="shared" ref="O23" si="46">O21/O22</f>
        <v>-11.738646154408212</v>
      </c>
    </row>
    <row r="28" spans="2:15" s="3" customFormat="1" x14ac:dyDescent="0.25">
      <c r="B28" s="3" t="s">
        <v>36</v>
      </c>
      <c r="E28" s="3">
        <v>6155</v>
      </c>
      <c r="G28" s="8"/>
      <c r="H28" s="3">
        <v>109069</v>
      </c>
    </row>
    <row r="29" spans="2:15" s="3" customFormat="1" x14ac:dyDescent="0.25">
      <c r="B29" s="3" t="s">
        <v>37</v>
      </c>
      <c r="E29" s="3">
        <v>16755</v>
      </c>
      <c r="G29" s="8"/>
    </row>
    <row r="30" spans="2:15" s="3" customFormat="1" x14ac:dyDescent="0.25">
      <c r="B30" s="3" t="s">
        <v>38</v>
      </c>
      <c r="E30" s="3">
        <v>351</v>
      </c>
      <c r="G30" s="8"/>
      <c r="H30" s="3">
        <v>3533</v>
      </c>
    </row>
    <row r="31" spans="2:15" s="3" customFormat="1" x14ac:dyDescent="0.25">
      <c r="B31" s="3" t="s">
        <v>39</v>
      </c>
      <c r="E31" s="3">
        <v>500</v>
      </c>
      <c r="G31" s="8"/>
      <c r="H31" s="3">
        <v>1601</v>
      </c>
    </row>
    <row r="32" spans="2:15" s="3" customFormat="1" x14ac:dyDescent="0.25">
      <c r="B32" s="3" t="s">
        <v>40</v>
      </c>
      <c r="G32" s="8"/>
      <c r="H32" s="3">
        <v>672913</v>
      </c>
    </row>
    <row r="33" spans="2:9" s="3" customFormat="1" x14ac:dyDescent="0.25">
      <c r="B33" s="3" t="s">
        <v>41</v>
      </c>
      <c r="E33" s="3">
        <v>951</v>
      </c>
      <c r="G33" s="8"/>
      <c r="H33" s="3">
        <v>816</v>
      </c>
    </row>
    <row r="34" spans="2:9" s="3" customFormat="1" x14ac:dyDescent="0.25">
      <c r="B34" s="3" t="s">
        <v>42</v>
      </c>
      <c r="E34" s="3">
        <v>187</v>
      </c>
      <c r="G34" s="8"/>
      <c r="H34" s="3">
        <v>361</v>
      </c>
    </row>
    <row r="35" spans="2:9" s="3" customFormat="1" x14ac:dyDescent="0.25">
      <c r="B35" s="3" t="s">
        <v>43</v>
      </c>
      <c r="E35" s="3">
        <v>1786</v>
      </c>
      <c r="G35" s="8"/>
      <c r="H35" s="3">
        <v>4141</v>
      </c>
    </row>
    <row r="36" spans="2:9" s="3" customFormat="1" x14ac:dyDescent="0.25">
      <c r="B36" s="3" t="s">
        <v>44</v>
      </c>
      <c r="E36" s="3">
        <v>1512</v>
      </c>
      <c r="G36" s="8"/>
      <c r="H36" s="3">
        <v>142</v>
      </c>
    </row>
    <row r="37" spans="2:9" s="6" customFormat="1" x14ac:dyDescent="0.25">
      <c r="B37" s="6" t="s">
        <v>45</v>
      </c>
      <c r="E37" s="6">
        <f>SUM(E28:E36)</f>
        <v>28197</v>
      </c>
      <c r="G37" s="9"/>
      <c r="H37" s="6">
        <f>SUM(H28:H36)</f>
        <v>792576</v>
      </c>
      <c r="I37" s="6">
        <f>SUM(I28:I36)</f>
        <v>0</v>
      </c>
    </row>
    <row r="38" spans="2:9" s="3" customFormat="1" x14ac:dyDescent="0.25">
      <c r="B38" s="3" t="s">
        <v>46</v>
      </c>
      <c r="E38" s="3">
        <v>1112</v>
      </c>
      <c r="G38" s="8"/>
      <c r="H38" s="3">
        <v>357</v>
      </c>
    </row>
    <row r="39" spans="2:9" s="3" customFormat="1" x14ac:dyDescent="0.25">
      <c r="B39" s="3" t="s">
        <v>47</v>
      </c>
      <c r="E39" s="3">
        <v>2227</v>
      </c>
      <c r="G39" s="8"/>
      <c r="H39" s="3">
        <v>9186</v>
      </c>
    </row>
    <row r="40" spans="2:9" s="3" customFormat="1" x14ac:dyDescent="0.25">
      <c r="B40" s="3" t="s">
        <v>48</v>
      </c>
      <c r="E40" s="3">
        <v>1516</v>
      </c>
      <c r="G40" s="8"/>
      <c r="H40" s="3">
        <v>3604</v>
      </c>
    </row>
    <row r="41" spans="2:9" s="6" customFormat="1" x14ac:dyDescent="0.25">
      <c r="B41" s="6" t="s">
        <v>49</v>
      </c>
      <c r="E41" s="6">
        <f>SUM(E38:E40)</f>
        <v>4855</v>
      </c>
      <c r="G41" s="9"/>
      <c r="H41" s="6">
        <f>SUM(H38:H40)</f>
        <v>13147</v>
      </c>
      <c r="I41" s="6">
        <f>SUM(I38:I40)</f>
        <v>0</v>
      </c>
    </row>
    <row r="42" spans="2:9" s="3" customFormat="1" x14ac:dyDescent="0.25">
      <c r="B42" s="3" t="s">
        <v>50</v>
      </c>
      <c r="E42" s="3">
        <v>23342</v>
      </c>
      <c r="G42" s="8"/>
      <c r="H42" s="3">
        <v>779429</v>
      </c>
    </row>
    <row r="43" spans="2:9" s="6" customFormat="1" x14ac:dyDescent="0.25">
      <c r="B43" s="6" t="s">
        <v>51</v>
      </c>
      <c r="E43" s="6">
        <f>E41+E42</f>
        <v>28197</v>
      </c>
      <c r="G43" s="9"/>
      <c r="H43" s="6">
        <f>H41+H42</f>
        <v>792576</v>
      </c>
      <c r="I43" s="6">
        <f>I41+I42</f>
        <v>0</v>
      </c>
    </row>
  </sheetData>
  <hyperlinks>
    <hyperlink ref="A1" location="Main!A1" display="Main" xr:uid="{BE77F1C6-675A-4E81-B924-1C07A11E0C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2026-01-03T20:41:50Z</dcterms:modified>
</cp:coreProperties>
</file>