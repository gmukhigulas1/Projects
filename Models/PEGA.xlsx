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22C4FA24-B72C-4EFF-88C5-8BC3F543D7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2" l="1"/>
  <c r="K12" i="1"/>
  <c r="K8" i="1"/>
  <c r="K9" i="1"/>
  <c r="K10" i="1"/>
  <c r="BD36" i="2" l="1"/>
  <c r="BD35" i="2"/>
  <c r="BD37" i="2"/>
  <c r="BD34" i="2"/>
  <c r="JU107" i="2"/>
  <c r="JV107" i="2" s="1"/>
  <c r="JW107" i="2" s="1"/>
  <c r="JX107" i="2" s="1"/>
  <c r="JY107" i="2" s="1"/>
  <c r="JZ107" i="2" s="1"/>
  <c r="KA107" i="2" s="1"/>
  <c r="KB107" i="2" s="1"/>
  <c r="KC107" i="2" s="1"/>
  <c r="KD107" i="2" s="1"/>
  <c r="KE107" i="2" s="1"/>
  <c r="KF107" i="2" s="1"/>
  <c r="KG107" i="2" s="1"/>
  <c r="KH107" i="2" s="1"/>
  <c r="KI107" i="2" s="1"/>
  <c r="KJ107" i="2" s="1"/>
  <c r="KK107" i="2" s="1"/>
  <c r="KL107" i="2" s="1"/>
  <c r="KM107" i="2" s="1"/>
  <c r="KN107" i="2" s="1"/>
  <c r="KO107" i="2" s="1"/>
  <c r="KP107" i="2" s="1"/>
  <c r="KQ107" i="2" s="1"/>
  <c r="KR107" i="2" s="1"/>
  <c r="KS107" i="2" s="1"/>
  <c r="KT107" i="2" s="1"/>
  <c r="KU107" i="2" s="1"/>
  <c r="KV107" i="2" s="1"/>
  <c r="KW107" i="2" s="1"/>
  <c r="KX107" i="2" s="1"/>
  <c r="KY107" i="2" s="1"/>
  <c r="KZ107" i="2" s="1"/>
  <c r="LA107" i="2" s="1"/>
  <c r="LB107" i="2" s="1"/>
  <c r="LC107" i="2" s="1"/>
  <c r="LD107" i="2" s="1"/>
  <c r="LE107" i="2" s="1"/>
  <c r="LF107" i="2" s="1"/>
  <c r="LG107" i="2" s="1"/>
  <c r="LH107" i="2" s="1"/>
  <c r="LI107" i="2" s="1"/>
  <c r="LJ107" i="2" s="1"/>
  <c r="LK107" i="2" s="1"/>
  <c r="LL107" i="2" s="1"/>
  <c r="LM107" i="2" s="1"/>
  <c r="LN107" i="2" s="1"/>
  <c r="LO107" i="2" s="1"/>
  <c r="LP107" i="2" s="1"/>
  <c r="LQ107" i="2" s="1"/>
  <c r="LR107" i="2" s="1"/>
  <c r="LS107" i="2" s="1"/>
  <c r="LT107" i="2" s="1"/>
  <c r="LU107" i="2" s="1"/>
  <c r="LV107" i="2" s="1"/>
  <c r="LW107" i="2" s="1"/>
  <c r="LX107" i="2" s="1"/>
  <c r="LY107" i="2" s="1"/>
  <c r="LZ107" i="2" s="1"/>
  <c r="MA107" i="2" s="1"/>
  <c r="MB107" i="2" s="1"/>
  <c r="MC107" i="2" s="1"/>
  <c r="MD107" i="2" s="1"/>
  <c r="ME107" i="2" s="1"/>
  <c r="MF107" i="2" s="1"/>
  <c r="MG107" i="2" s="1"/>
  <c r="MH107" i="2" s="1"/>
  <c r="MI107" i="2" s="1"/>
  <c r="MJ107" i="2" s="1"/>
  <c r="MK107" i="2" s="1"/>
  <c r="ML107" i="2" s="1"/>
  <c r="MM107" i="2" s="1"/>
  <c r="MN107" i="2" s="1"/>
  <c r="MO107" i="2" s="1"/>
  <c r="MP107" i="2" s="1"/>
  <c r="MQ107" i="2" s="1"/>
  <c r="MR107" i="2" s="1"/>
  <c r="MS107" i="2" s="1"/>
  <c r="MT107" i="2" s="1"/>
  <c r="MU107" i="2" s="1"/>
  <c r="MV107" i="2" s="1"/>
  <c r="MW107" i="2" s="1"/>
  <c r="MX107" i="2" s="1"/>
  <c r="MY107" i="2" s="1"/>
  <c r="MZ107" i="2" s="1"/>
  <c r="NA107" i="2" s="1"/>
  <c r="NB107" i="2" s="1"/>
  <c r="NC107" i="2" s="1"/>
  <c r="ND107" i="2" s="1"/>
  <c r="NE107" i="2" s="1"/>
  <c r="NF107" i="2" s="1"/>
  <c r="NG107" i="2" s="1"/>
  <c r="NH107" i="2" s="1"/>
  <c r="NI107" i="2" s="1"/>
  <c r="NJ107" i="2" s="1"/>
  <c r="NK107" i="2" s="1"/>
  <c r="NL107" i="2" s="1"/>
  <c r="NM107" i="2" s="1"/>
  <c r="NN107" i="2" s="1"/>
  <c r="NO107" i="2" s="1"/>
  <c r="NP107" i="2" s="1"/>
  <c r="NQ107" i="2" s="1"/>
  <c r="NR107" i="2" s="1"/>
  <c r="NS107" i="2" s="1"/>
  <c r="NT107" i="2" s="1"/>
  <c r="NU107" i="2" s="1"/>
  <c r="NV107" i="2" s="1"/>
  <c r="NW107" i="2" s="1"/>
  <c r="NX107" i="2" s="1"/>
  <c r="NY107" i="2" s="1"/>
  <c r="NZ107" i="2" s="1"/>
  <c r="OA107" i="2" s="1"/>
  <c r="OB107" i="2" s="1"/>
  <c r="OC107" i="2" s="1"/>
  <c r="OD107" i="2" s="1"/>
  <c r="OE107" i="2" s="1"/>
  <c r="OF107" i="2" s="1"/>
  <c r="OG107" i="2" s="1"/>
  <c r="OH107" i="2" s="1"/>
  <c r="OI107" i="2" s="1"/>
  <c r="OJ107" i="2" s="1"/>
  <c r="OK107" i="2" s="1"/>
  <c r="OL107" i="2" s="1"/>
  <c r="OM107" i="2" s="1"/>
  <c r="ON107" i="2" s="1"/>
  <c r="OO107" i="2" s="1"/>
  <c r="OP107" i="2" s="1"/>
  <c r="AX107" i="2"/>
  <c r="AY107" i="2" s="1"/>
  <c r="AZ107" i="2" s="1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BK107" i="2" s="1"/>
  <c r="BL107" i="2" s="1"/>
  <c r="BM107" i="2" s="1"/>
  <c r="BN107" i="2" s="1"/>
  <c r="BO107" i="2" s="1"/>
  <c r="BP107" i="2" s="1"/>
  <c r="BQ107" i="2" s="1"/>
  <c r="BR107" i="2" s="1"/>
  <c r="BS107" i="2" s="1"/>
  <c r="BT107" i="2" s="1"/>
  <c r="BU107" i="2" s="1"/>
  <c r="BV107" i="2" s="1"/>
  <c r="BW107" i="2" s="1"/>
  <c r="BX107" i="2" s="1"/>
  <c r="BY107" i="2" s="1"/>
  <c r="BZ107" i="2" s="1"/>
  <c r="CA107" i="2" s="1"/>
  <c r="CB107" i="2" s="1"/>
  <c r="CC107" i="2" s="1"/>
  <c r="CD107" i="2" s="1"/>
  <c r="CE107" i="2" s="1"/>
  <c r="CF107" i="2" s="1"/>
  <c r="CG107" i="2" s="1"/>
  <c r="CH107" i="2" s="1"/>
  <c r="CI107" i="2" s="1"/>
  <c r="CJ107" i="2" s="1"/>
  <c r="CK107" i="2" s="1"/>
  <c r="CL107" i="2" s="1"/>
  <c r="CM107" i="2" s="1"/>
  <c r="CN107" i="2" s="1"/>
  <c r="CO107" i="2" s="1"/>
  <c r="CP107" i="2" s="1"/>
  <c r="CQ107" i="2" s="1"/>
  <c r="CR107" i="2" s="1"/>
  <c r="CS107" i="2" s="1"/>
  <c r="CT107" i="2" s="1"/>
  <c r="CU107" i="2" s="1"/>
  <c r="CV107" i="2" s="1"/>
  <c r="CW107" i="2" s="1"/>
  <c r="CX107" i="2" s="1"/>
  <c r="CY107" i="2" s="1"/>
  <c r="CZ107" i="2" s="1"/>
  <c r="DA107" i="2" s="1"/>
  <c r="DB107" i="2" s="1"/>
  <c r="DC107" i="2" s="1"/>
  <c r="DD107" i="2" s="1"/>
  <c r="DE107" i="2" s="1"/>
  <c r="DF107" i="2" s="1"/>
  <c r="DG107" i="2" s="1"/>
  <c r="DH107" i="2" s="1"/>
  <c r="DI107" i="2" s="1"/>
  <c r="DJ107" i="2" s="1"/>
  <c r="DK107" i="2" s="1"/>
  <c r="DL107" i="2" s="1"/>
  <c r="DM107" i="2" s="1"/>
  <c r="DN107" i="2" s="1"/>
  <c r="DO107" i="2" s="1"/>
  <c r="DP107" i="2" s="1"/>
  <c r="DQ107" i="2" s="1"/>
  <c r="DR107" i="2" s="1"/>
  <c r="DS107" i="2" s="1"/>
  <c r="DT107" i="2" s="1"/>
  <c r="DU107" i="2" s="1"/>
  <c r="DV107" i="2" s="1"/>
  <c r="DW107" i="2" s="1"/>
  <c r="DX107" i="2" s="1"/>
  <c r="DY107" i="2" s="1"/>
  <c r="DZ107" i="2" s="1"/>
  <c r="EA107" i="2" s="1"/>
  <c r="EB107" i="2" s="1"/>
  <c r="EC107" i="2" s="1"/>
  <c r="ED107" i="2" s="1"/>
  <c r="EE107" i="2" s="1"/>
  <c r="EF107" i="2" s="1"/>
  <c r="EG107" i="2" s="1"/>
  <c r="EH107" i="2" s="1"/>
  <c r="EI107" i="2" s="1"/>
  <c r="EJ107" i="2" s="1"/>
  <c r="EK107" i="2" s="1"/>
  <c r="EL107" i="2" s="1"/>
  <c r="EM107" i="2" s="1"/>
  <c r="EN107" i="2" s="1"/>
  <c r="EO107" i="2" s="1"/>
  <c r="EP107" i="2" s="1"/>
  <c r="EQ107" i="2" s="1"/>
  <c r="ER107" i="2" s="1"/>
  <c r="ES107" i="2" s="1"/>
  <c r="ET107" i="2" s="1"/>
  <c r="EU107" i="2" s="1"/>
  <c r="EV107" i="2" s="1"/>
  <c r="EW107" i="2" s="1"/>
  <c r="EX107" i="2" s="1"/>
  <c r="EY107" i="2" s="1"/>
  <c r="EZ107" i="2" s="1"/>
  <c r="FA107" i="2" s="1"/>
  <c r="FB107" i="2" s="1"/>
  <c r="FC107" i="2" s="1"/>
  <c r="FD107" i="2" s="1"/>
  <c r="FE107" i="2" s="1"/>
  <c r="FF107" i="2" s="1"/>
  <c r="FG107" i="2" s="1"/>
  <c r="FH107" i="2" s="1"/>
  <c r="FI107" i="2" s="1"/>
  <c r="FJ107" i="2" s="1"/>
  <c r="FK107" i="2" s="1"/>
  <c r="FL107" i="2" s="1"/>
  <c r="FM107" i="2" s="1"/>
  <c r="FN107" i="2" s="1"/>
  <c r="FO107" i="2" s="1"/>
  <c r="FP107" i="2" s="1"/>
  <c r="FQ107" i="2" s="1"/>
  <c r="FR107" i="2" s="1"/>
  <c r="FS107" i="2" s="1"/>
  <c r="FT107" i="2" s="1"/>
  <c r="FU107" i="2" s="1"/>
  <c r="FV107" i="2" s="1"/>
  <c r="FW107" i="2" s="1"/>
  <c r="FX107" i="2" s="1"/>
  <c r="FY107" i="2" s="1"/>
  <c r="FZ107" i="2" s="1"/>
  <c r="GA107" i="2" s="1"/>
  <c r="GB107" i="2" s="1"/>
  <c r="GC107" i="2" s="1"/>
  <c r="GD107" i="2" s="1"/>
  <c r="GE107" i="2" s="1"/>
  <c r="GF107" i="2" s="1"/>
  <c r="GG107" i="2" s="1"/>
  <c r="GH107" i="2" s="1"/>
  <c r="GI107" i="2" s="1"/>
  <c r="GJ107" i="2" s="1"/>
  <c r="GK107" i="2" s="1"/>
  <c r="GL107" i="2" s="1"/>
  <c r="GM107" i="2" s="1"/>
  <c r="GN107" i="2" s="1"/>
  <c r="GO107" i="2" s="1"/>
  <c r="GP107" i="2" s="1"/>
  <c r="GQ107" i="2" s="1"/>
  <c r="GR107" i="2" s="1"/>
  <c r="GS107" i="2" s="1"/>
  <c r="GT107" i="2" s="1"/>
  <c r="GU107" i="2" s="1"/>
  <c r="GV107" i="2" s="1"/>
  <c r="GW107" i="2" s="1"/>
  <c r="GX107" i="2" s="1"/>
  <c r="GY107" i="2" s="1"/>
  <c r="GZ107" i="2" s="1"/>
  <c r="HA107" i="2" s="1"/>
  <c r="HB107" i="2" s="1"/>
  <c r="HC107" i="2" s="1"/>
  <c r="HD107" i="2" s="1"/>
  <c r="HE107" i="2" s="1"/>
  <c r="HF107" i="2" s="1"/>
  <c r="HG107" i="2" s="1"/>
  <c r="HH107" i="2" s="1"/>
  <c r="HI107" i="2" s="1"/>
  <c r="HJ107" i="2" s="1"/>
  <c r="HK107" i="2" s="1"/>
  <c r="HL107" i="2" s="1"/>
  <c r="HM107" i="2" s="1"/>
  <c r="HN107" i="2" s="1"/>
  <c r="HO107" i="2" s="1"/>
  <c r="HP107" i="2" s="1"/>
  <c r="HQ107" i="2" s="1"/>
  <c r="HR107" i="2" s="1"/>
  <c r="HS107" i="2" s="1"/>
  <c r="HT107" i="2" s="1"/>
  <c r="HU107" i="2" s="1"/>
  <c r="HV107" i="2" s="1"/>
  <c r="HW107" i="2" s="1"/>
  <c r="HX107" i="2" s="1"/>
  <c r="HY107" i="2" s="1"/>
  <c r="HZ107" i="2" s="1"/>
  <c r="IA107" i="2" s="1"/>
  <c r="IB107" i="2" s="1"/>
  <c r="IC107" i="2" s="1"/>
  <c r="ID107" i="2" s="1"/>
  <c r="IE107" i="2" s="1"/>
  <c r="IF107" i="2" s="1"/>
  <c r="IG107" i="2" s="1"/>
  <c r="IH107" i="2" s="1"/>
  <c r="II107" i="2" s="1"/>
  <c r="IJ107" i="2" s="1"/>
  <c r="IK107" i="2" s="1"/>
  <c r="IL107" i="2" s="1"/>
  <c r="IM107" i="2" s="1"/>
  <c r="IN107" i="2" s="1"/>
  <c r="IO107" i="2" s="1"/>
  <c r="IP107" i="2" s="1"/>
  <c r="IQ107" i="2" s="1"/>
  <c r="IR107" i="2" s="1"/>
  <c r="IS107" i="2" s="1"/>
  <c r="IT107" i="2" s="1"/>
  <c r="IU107" i="2" s="1"/>
  <c r="IV107" i="2" s="1"/>
  <c r="IW107" i="2" s="1"/>
  <c r="IX107" i="2" s="1"/>
  <c r="IY107" i="2" s="1"/>
  <c r="IZ107" i="2" s="1"/>
  <c r="JA107" i="2" s="1"/>
  <c r="JB107" i="2" s="1"/>
  <c r="JC107" i="2" s="1"/>
  <c r="JD107" i="2" s="1"/>
  <c r="JE107" i="2" s="1"/>
  <c r="JF107" i="2" s="1"/>
  <c r="JG107" i="2" s="1"/>
  <c r="JH107" i="2" s="1"/>
  <c r="JI107" i="2" s="1"/>
  <c r="JJ107" i="2" s="1"/>
  <c r="JK107" i="2" s="1"/>
  <c r="JL107" i="2" s="1"/>
  <c r="JM107" i="2" s="1"/>
  <c r="JN107" i="2" s="1"/>
  <c r="JO107" i="2" s="1"/>
  <c r="JP107" i="2" s="1"/>
  <c r="JQ107" i="2" s="1"/>
  <c r="JR107" i="2" s="1"/>
  <c r="JS107" i="2" s="1"/>
  <c r="JT107" i="2" s="1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 l="1"/>
  <c r="AJ107" i="2"/>
  <c r="AI107" i="2"/>
  <c r="AH107" i="2"/>
  <c r="AG107" i="2"/>
  <c r="AF107" i="2"/>
  <c r="AE107" i="2"/>
  <c r="V91" i="2"/>
  <c r="U91" i="2"/>
  <c r="U107" i="2" s="1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AC110" i="2"/>
  <c r="AB110" i="2"/>
  <c r="AC107" i="2"/>
  <c r="AB107" i="2"/>
  <c r="V107" i="2"/>
  <c r="V109" i="2" s="1"/>
  <c r="T107" i="2"/>
  <c r="S107" i="2"/>
  <c r="R107" i="2"/>
  <c r="Q107" i="2"/>
  <c r="P107" i="2"/>
  <c r="O107" i="2"/>
  <c r="N107" i="2"/>
  <c r="M107" i="2"/>
  <c r="AA109" i="2"/>
  <c r="Z110" i="2"/>
  <c r="Y110" i="2"/>
  <c r="AA110" i="2"/>
  <c r="F110" i="2"/>
  <c r="E110" i="2"/>
  <c r="D110" i="2"/>
  <c r="C110" i="2"/>
  <c r="K110" i="2"/>
  <c r="J110" i="2"/>
  <c r="I110" i="2"/>
  <c r="H110" i="2"/>
  <c r="G110" i="2"/>
  <c r="L110" i="2"/>
  <c r="AZ36" i="2"/>
  <c r="AD29" i="2"/>
  <c r="AC29" i="2"/>
  <c r="AD9" i="2"/>
  <c r="AE9" i="2" s="1"/>
  <c r="V9" i="2"/>
  <c r="U9" i="2"/>
  <c r="AC9" i="2"/>
  <c r="AB202" i="2"/>
  <c r="AB209" i="2" s="1"/>
  <c r="AB201" i="2"/>
  <c r="AB208" i="2" s="1"/>
  <c r="M202" i="2"/>
  <c r="N202" i="2" s="1"/>
  <c r="M201" i="2"/>
  <c r="N201" i="2" s="1"/>
  <c r="M200" i="2"/>
  <c r="N200" i="2" s="1"/>
  <c r="AA210" i="2"/>
  <c r="AA209" i="2"/>
  <c r="AA208" i="2"/>
  <c r="Z205" i="2"/>
  <c r="Z203" i="2"/>
  <c r="AA203" i="2"/>
  <c r="AA202" i="2"/>
  <c r="AA201" i="2"/>
  <c r="AA200" i="2"/>
  <c r="AA207" i="2" s="1"/>
  <c r="T43" i="2"/>
  <c r="S43" i="2"/>
  <c r="R43" i="2"/>
  <c r="Q43" i="2"/>
  <c r="C100" i="2"/>
  <c r="C101" i="2" s="1"/>
  <c r="D96" i="2"/>
  <c r="D108" i="2"/>
  <c r="Z42" i="2"/>
  <c r="AA42" i="2"/>
  <c r="G47" i="2"/>
  <c r="F47" i="2"/>
  <c r="E47" i="2"/>
  <c r="K42" i="2"/>
  <c r="J42" i="2"/>
  <c r="I42" i="2"/>
  <c r="H42" i="2"/>
  <c r="G42" i="2"/>
  <c r="L42" i="2"/>
  <c r="C26" i="2"/>
  <c r="G125" i="2"/>
  <c r="C119" i="2"/>
  <c r="C131" i="2" s="1"/>
  <c r="E101" i="2"/>
  <c r="E91" i="2"/>
  <c r="E107" i="2" s="1"/>
  <c r="D26" i="2"/>
  <c r="F119" i="2"/>
  <c r="F130" i="2" s="1"/>
  <c r="J118" i="2"/>
  <c r="J125" i="2" s="1"/>
  <c r="J117" i="2"/>
  <c r="J116" i="2"/>
  <c r="J123" i="2" s="1"/>
  <c r="J115" i="2"/>
  <c r="J122" i="2" s="1"/>
  <c r="J114" i="2"/>
  <c r="F101" i="2"/>
  <c r="F91" i="2"/>
  <c r="F107" i="2" s="1"/>
  <c r="J108" i="2"/>
  <c r="J96" i="2"/>
  <c r="I101" i="2"/>
  <c r="I108" i="2"/>
  <c r="E26" i="2"/>
  <c r="AA230" i="2"/>
  <c r="Z230" i="2"/>
  <c r="AA229" i="2"/>
  <c r="Z229" i="2"/>
  <c r="AA225" i="2"/>
  <c r="AA234" i="2" s="1"/>
  <c r="Z225" i="2"/>
  <c r="Z234" i="2" s="1"/>
  <c r="AA224" i="2"/>
  <c r="AA233" i="2" s="1"/>
  <c r="Z224" i="2"/>
  <c r="Z233" i="2" s="1"/>
  <c r="AA223" i="2"/>
  <c r="AA232" i="2" s="1"/>
  <c r="Z223" i="2"/>
  <c r="Z232" i="2" s="1"/>
  <c r="AA222" i="2"/>
  <c r="Z222" i="2"/>
  <c r="AA125" i="2"/>
  <c r="Z125" i="2"/>
  <c r="AA124" i="2"/>
  <c r="Z124" i="2"/>
  <c r="AA123" i="2"/>
  <c r="Z123" i="2"/>
  <c r="AA122" i="2"/>
  <c r="Z122" i="2"/>
  <c r="Z121" i="2"/>
  <c r="AA121" i="2"/>
  <c r="AA119" i="2"/>
  <c r="AA129" i="2" s="1"/>
  <c r="Z119" i="2"/>
  <c r="Z130" i="2" s="1"/>
  <c r="Y119" i="2"/>
  <c r="Y129" i="2" s="1"/>
  <c r="Y100" i="2"/>
  <c r="Z100" i="2"/>
  <c r="Z101" i="2" s="1"/>
  <c r="AA100" i="2"/>
  <c r="AA101" i="2" s="1"/>
  <c r="Y94" i="2"/>
  <c r="Y90" i="2"/>
  <c r="Y91" i="2" s="1"/>
  <c r="Y107" i="2" s="1"/>
  <c r="Z90" i="2"/>
  <c r="AA90" i="2"/>
  <c r="Z89" i="2"/>
  <c r="Z91" i="2" s="1"/>
  <c r="Z107" i="2" s="1"/>
  <c r="AA89" i="2"/>
  <c r="AA91" i="2" s="1"/>
  <c r="AA107" i="2" s="1"/>
  <c r="AA108" i="2"/>
  <c r="Z108" i="2"/>
  <c r="Y108" i="2"/>
  <c r="Y101" i="2"/>
  <c r="AA96" i="2"/>
  <c r="Z96" i="2"/>
  <c r="Y96" i="2"/>
  <c r="Z72" i="2"/>
  <c r="Z74" i="2" s="1"/>
  <c r="Z63" i="2"/>
  <c r="Z54" i="2"/>
  <c r="AA72" i="2"/>
  <c r="AA74" i="2" s="1"/>
  <c r="AA63" i="2"/>
  <c r="AA54" i="2"/>
  <c r="Y26" i="2"/>
  <c r="Z26" i="2"/>
  <c r="AA26" i="2"/>
  <c r="Z5" i="2"/>
  <c r="Y5" i="2"/>
  <c r="AB5" i="2"/>
  <c r="AA5" i="2"/>
  <c r="AB21" i="2"/>
  <c r="AA21" i="2"/>
  <c r="Z21" i="2"/>
  <c r="Y21" i="2"/>
  <c r="AB14" i="2"/>
  <c r="AA14" i="2"/>
  <c r="Z14" i="2"/>
  <c r="Y14" i="2"/>
  <c r="F26" i="2"/>
  <c r="J26" i="2"/>
  <c r="I244" i="2"/>
  <c r="H244" i="2"/>
  <c r="G244" i="2"/>
  <c r="F244" i="2"/>
  <c r="E244" i="2"/>
  <c r="D244" i="2"/>
  <c r="C244" i="2"/>
  <c r="L244" i="2"/>
  <c r="K244" i="2"/>
  <c r="J244" i="2"/>
  <c r="L214" i="2"/>
  <c r="K214" i="2"/>
  <c r="J214" i="2"/>
  <c r="I214" i="2"/>
  <c r="H214" i="2"/>
  <c r="G214" i="2"/>
  <c r="F214" i="2"/>
  <c r="L213" i="2"/>
  <c r="K213" i="2"/>
  <c r="J213" i="2"/>
  <c r="I213" i="2"/>
  <c r="H213" i="2"/>
  <c r="G213" i="2"/>
  <c r="F213" i="2"/>
  <c r="K212" i="2"/>
  <c r="J212" i="2"/>
  <c r="I212" i="2"/>
  <c r="H212" i="2"/>
  <c r="G212" i="2"/>
  <c r="F212" i="2"/>
  <c r="L212" i="2"/>
  <c r="K185" i="2"/>
  <c r="J185" i="2"/>
  <c r="I185" i="2"/>
  <c r="H185" i="2"/>
  <c r="G185" i="2"/>
  <c r="F185" i="2"/>
  <c r="E185" i="2"/>
  <c r="D185" i="2"/>
  <c r="C185" i="2"/>
  <c r="K184" i="2"/>
  <c r="J184" i="2"/>
  <c r="I184" i="2"/>
  <c r="H184" i="2"/>
  <c r="G184" i="2"/>
  <c r="F184" i="2"/>
  <c r="E184" i="2"/>
  <c r="D184" i="2"/>
  <c r="C184" i="2"/>
  <c r="K183" i="2"/>
  <c r="J183" i="2"/>
  <c r="I183" i="2"/>
  <c r="H183" i="2"/>
  <c r="G183" i="2"/>
  <c r="F183" i="2"/>
  <c r="E183" i="2"/>
  <c r="D183" i="2"/>
  <c r="C183" i="2"/>
  <c r="K182" i="2"/>
  <c r="J182" i="2"/>
  <c r="I182" i="2"/>
  <c r="H182" i="2"/>
  <c r="G182" i="2"/>
  <c r="F182" i="2"/>
  <c r="E182" i="2"/>
  <c r="D182" i="2"/>
  <c r="C182" i="2"/>
  <c r="L185" i="2"/>
  <c r="L195" i="2" s="1"/>
  <c r="L184" i="2"/>
  <c r="L183" i="2"/>
  <c r="L182" i="2"/>
  <c r="L192" i="2" s="1"/>
  <c r="L178" i="2"/>
  <c r="K178" i="2"/>
  <c r="J178" i="2"/>
  <c r="I178" i="2"/>
  <c r="H178" i="2"/>
  <c r="G178" i="2"/>
  <c r="F178" i="2"/>
  <c r="E178" i="2"/>
  <c r="D178" i="2"/>
  <c r="L169" i="2"/>
  <c r="K169" i="2"/>
  <c r="J169" i="2"/>
  <c r="I169" i="2"/>
  <c r="H169" i="2"/>
  <c r="G169" i="2"/>
  <c r="F169" i="2"/>
  <c r="E169" i="2"/>
  <c r="D169" i="2"/>
  <c r="L160" i="2"/>
  <c r="K160" i="2"/>
  <c r="J160" i="2"/>
  <c r="I160" i="2"/>
  <c r="H160" i="2"/>
  <c r="G160" i="2"/>
  <c r="F160" i="2"/>
  <c r="E160" i="2"/>
  <c r="D160" i="2"/>
  <c r="L151" i="2"/>
  <c r="K151" i="2"/>
  <c r="J151" i="2"/>
  <c r="I151" i="2"/>
  <c r="H151" i="2"/>
  <c r="G151" i="2"/>
  <c r="F151" i="2"/>
  <c r="E151" i="2"/>
  <c r="D151" i="2"/>
  <c r="K142" i="2"/>
  <c r="J142" i="2"/>
  <c r="I142" i="2"/>
  <c r="H142" i="2"/>
  <c r="G142" i="2"/>
  <c r="F142" i="2"/>
  <c r="E142" i="2"/>
  <c r="D142" i="2"/>
  <c r="L142" i="2"/>
  <c r="I125" i="2"/>
  <c r="H125" i="2"/>
  <c r="J124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L125" i="2"/>
  <c r="K125" i="2"/>
  <c r="L124" i="2"/>
  <c r="K124" i="2"/>
  <c r="L123" i="2"/>
  <c r="K123" i="2"/>
  <c r="L122" i="2"/>
  <c r="K122" i="2"/>
  <c r="L121" i="2"/>
  <c r="K121" i="2"/>
  <c r="I119" i="2"/>
  <c r="I129" i="2" s="1"/>
  <c r="H119" i="2"/>
  <c r="H130" i="2" s="1"/>
  <c r="G119" i="2"/>
  <c r="G129" i="2" s="1"/>
  <c r="E119" i="2"/>
  <c r="E127" i="2" s="1"/>
  <c r="D119" i="2"/>
  <c r="D131" i="2" s="1"/>
  <c r="L119" i="2"/>
  <c r="L131" i="2" s="1"/>
  <c r="K119" i="2"/>
  <c r="K127" i="2" s="1"/>
  <c r="L108" i="2"/>
  <c r="K108" i="2"/>
  <c r="H108" i="2"/>
  <c r="G108" i="2"/>
  <c r="F108" i="2"/>
  <c r="C108" i="2"/>
  <c r="H101" i="2"/>
  <c r="H91" i="2"/>
  <c r="H107" i="2" s="1"/>
  <c r="L101" i="2"/>
  <c r="L96" i="2"/>
  <c r="L91" i="2"/>
  <c r="L107" i="2" s="1"/>
  <c r="K100" i="2"/>
  <c r="K101" i="2" s="1"/>
  <c r="G26" i="2"/>
  <c r="K26" i="2"/>
  <c r="K230" i="2"/>
  <c r="J230" i="2"/>
  <c r="I230" i="2"/>
  <c r="H230" i="2"/>
  <c r="G230" i="2"/>
  <c r="F230" i="2"/>
  <c r="E230" i="2"/>
  <c r="D230" i="2"/>
  <c r="C230" i="2"/>
  <c r="K229" i="2"/>
  <c r="J229" i="2"/>
  <c r="I229" i="2"/>
  <c r="H229" i="2"/>
  <c r="G229" i="2"/>
  <c r="F229" i="2"/>
  <c r="E229" i="2"/>
  <c r="D229" i="2"/>
  <c r="C229" i="2"/>
  <c r="L225" i="2"/>
  <c r="L234" i="2" s="1"/>
  <c r="K225" i="2"/>
  <c r="K234" i="2" s="1"/>
  <c r="J225" i="2"/>
  <c r="J234" i="2" s="1"/>
  <c r="I225" i="2"/>
  <c r="I234" i="2" s="1"/>
  <c r="G225" i="2"/>
  <c r="G234" i="2" s="1"/>
  <c r="F225" i="2"/>
  <c r="F234" i="2" s="1"/>
  <c r="E225" i="2"/>
  <c r="E234" i="2" s="1"/>
  <c r="D225" i="2"/>
  <c r="D234" i="2" s="1"/>
  <c r="C225" i="2"/>
  <c r="C234" i="2" s="1"/>
  <c r="L224" i="2"/>
  <c r="L233" i="2" s="1"/>
  <c r="K224" i="2"/>
  <c r="K233" i="2" s="1"/>
  <c r="J224" i="2"/>
  <c r="J233" i="2" s="1"/>
  <c r="I224" i="2"/>
  <c r="I233" i="2" s="1"/>
  <c r="G224" i="2"/>
  <c r="G233" i="2" s="1"/>
  <c r="F224" i="2"/>
  <c r="F233" i="2" s="1"/>
  <c r="E224" i="2"/>
  <c r="E233" i="2" s="1"/>
  <c r="D224" i="2"/>
  <c r="D233" i="2" s="1"/>
  <c r="C224" i="2"/>
  <c r="C233" i="2" s="1"/>
  <c r="L223" i="2"/>
  <c r="K223" i="2"/>
  <c r="K232" i="2" s="1"/>
  <c r="J223" i="2"/>
  <c r="J232" i="2" s="1"/>
  <c r="I223" i="2"/>
  <c r="I232" i="2" s="1"/>
  <c r="G223" i="2"/>
  <c r="G232" i="2" s="1"/>
  <c r="F223" i="2"/>
  <c r="F232" i="2" s="1"/>
  <c r="E223" i="2"/>
  <c r="E232" i="2" s="1"/>
  <c r="D223" i="2"/>
  <c r="D232" i="2" s="1"/>
  <c r="C223" i="2"/>
  <c r="C232" i="2" s="1"/>
  <c r="H225" i="2"/>
  <c r="H234" i="2" s="1"/>
  <c r="H224" i="2"/>
  <c r="H233" i="2" s="1"/>
  <c r="H223" i="2"/>
  <c r="H232" i="2" s="1"/>
  <c r="L230" i="2"/>
  <c r="L229" i="2"/>
  <c r="K222" i="2"/>
  <c r="J222" i="2"/>
  <c r="I222" i="2"/>
  <c r="H222" i="2"/>
  <c r="G222" i="2"/>
  <c r="F222" i="2"/>
  <c r="E222" i="2"/>
  <c r="D222" i="2"/>
  <c r="C222" i="2"/>
  <c r="L222" i="2"/>
  <c r="K209" i="2"/>
  <c r="J209" i="2"/>
  <c r="I209" i="2"/>
  <c r="K208" i="2"/>
  <c r="J208" i="2"/>
  <c r="I208" i="2"/>
  <c r="K207" i="2"/>
  <c r="J207" i="2"/>
  <c r="I207" i="2"/>
  <c r="L209" i="2"/>
  <c r="L208" i="2"/>
  <c r="L207" i="2"/>
  <c r="K203" i="2"/>
  <c r="K205" i="2" s="1"/>
  <c r="J203" i="2"/>
  <c r="J205" i="2" s="1"/>
  <c r="AA205" i="2" s="1"/>
  <c r="I203" i="2"/>
  <c r="I205" i="2" s="1"/>
  <c r="H203" i="2"/>
  <c r="G203" i="2"/>
  <c r="F203" i="2"/>
  <c r="F205" i="2" s="1"/>
  <c r="E203" i="2"/>
  <c r="E205" i="2" s="1"/>
  <c r="D205" i="2"/>
  <c r="C205" i="2"/>
  <c r="L203" i="2"/>
  <c r="L205" i="2" s="1"/>
  <c r="L176" i="2"/>
  <c r="K176" i="2"/>
  <c r="J176" i="2"/>
  <c r="I176" i="2"/>
  <c r="H176" i="2"/>
  <c r="G176" i="2"/>
  <c r="F176" i="2"/>
  <c r="E176" i="2"/>
  <c r="D176" i="2"/>
  <c r="C176" i="2"/>
  <c r="L167" i="2"/>
  <c r="K167" i="2"/>
  <c r="J167" i="2"/>
  <c r="I167" i="2"/>
  <c r="H167" i="2"/>
  <c r="G167" i="2"/>
  <c r="F167" i="2"/>
  <c r="E167" i="2"/>
  <c r="D167" i="2"/>
  <c r="C167" i="2"/>
  <c r="L158" i="2"/>
  <c r="K158" i="2"/>
  <c r="J158" i="2"/>
  <c r="I158" i="2"/>
  <c r="H158" i="2"/>
  <c r="G158" i="2"/>
  <c r="F158" i="2"/>
  <c r="E158" i="2"/>
  <c r="D158" i="2"/>
  <c r="C158" i="2"/>
  <c r="L149" i="2"/>
  <c r="K149" i="2"/>
  <c r="J149" i="2"/>
  <c r="I149" i="2"/>
  <c r="H149" i="2"/>
  <c r="G149" i="2"/>
  <c r="F149" i="2"/>
  <c r="E149" i="2"/>
  <c r="D149" i="2"/>
  <c r="C149" i="2"/>
  <c r="K140" i="2"/>
  <c r="J140" i="2"/>
  <c r="I140" i="2"/>
  <c r="H140" i="2"/>
  <c r="G140" i="2"/>
  <c r="F140" i="2"/>
  <c r="E140" i="2"/>
  <c r="D140" i="2"/>
  <c r="C140" i="2"/>
  <c r="L140" i="2"/>
  <c r="J101" i="2"/>
  <c r="G101" i="2"/>
  <c r="D101" i="2"/>
  <c r="K96" i="2"/>
  <c r="I96" i="2"/>
  <c r="H96" i="2"/>
  <c r="G96" i="2"/>
  <c r="F96" i="2"/>
  <c r="E96" i="2"/>
  <c r="C96" i="2"/>
  <c r="K91" i="2"/>
  <c r="K107" i="2" s="1"/>
  <c r="G91" i="2"/>
  <c r="G107" i="2" s="1"/>
  <c r="C91" i="2"/>
  <c r="C107" i="2" s="1"/>
  <c r="G5" i="2"/>
  <c r="G9" i="2" s="1"/>
  <c r="G48" i="2" s="1"/>
  <c r="F5" i="2"/>
  <c r="F9" i="2" s="1"/>
  <c r="F48" i="2" s="1"/>
  <c r="E5" i="2"/>
  <c r="E9" i="2" s="1"/>
  <c r="E48" i="2" s="1"/>
  <c r="D5" i="2"/>
  <c r="D9" i="2" s="1"/>
  <c r="D48" i="2" s="1"/>
  <c r="C5" i="2"/>
  <c r="C9" i="2" s="1"/>
  <c r="C50" i="2" s="1"/>
  <c r="L5" i="2"/>
  <c r="L9" i="2" s="1"/>
  <c r="L45" i="2" s="1"/>
  <c r="K5" i="2"/>
  <c r="K9" i="2" s="1"/>
  <c r="K50" i="2" s="1"/>
  <c r="J5" i="2"/>
  <c r="J9" i="2" s="1"/>
  <c r="N43" i="2" s="1"/>
  <c r="I5" i="2"/>
  <c r="I9" i="2" s="1"/>
  <c r="M43" i="2" s="1"/>
  <c r="H5" i="2"/>
  <c r="H9" i="2" s="1"/>
  <c r="H45" i="2" s="1"/>
  <c r="K72" i="2"/>
  <c r="K74" i="2" s="1"/>
  <c r="J72" i="2"/>
  <c r="J74" i="2" s="1"/>
  <c r="I72" i="2"/>
  <c r="I74" i="2" s="1"/>
  <c r="H72" i="2"/>
  <c r="G72" i="2"/>
  <c r="G74" i="2" s="1"/>
  <c r="F72" i="2"/>
  <c r="F74" i="2" s="1"/>
  <c r="E72" i="2"/>
  <c r="E74" i="2" s="1"/>
  <c r="D72" i="2"/>
  <c r="D74" i="2" s="1"/>
  <c r="C72" i="2"/>
  <c r="C74" i="2" s="1"/>
  <c r="L72" i="2"/>
  <c r="L74" i="2" s="1"/>
  <c r="K63" i="2"/>
  <c r="J63" i="2"/>
  <c r="I63" i="2"/>
  <c r="H63" i="2"/>
  <c r="G63" i="2"/>
  <c r="F63" i="2"/>
  <c r="E63" i="2"/>
  <c r="D63" i="2"/>
  <c r="C63" i="2"/>
  <c r="L63" i="2"/>
  <c r="K54" i="2"/>
  <c r="J54" i="2"/>
  <c r="I54" i="2"/>
  <c r="H54" i="2"/>
  <c r="G54" i="2"/>
  <c r="F54" i="2"/>
  <c r="E54" i="2"/>
  <c r="D54" i="2"/>
  <c r="C54" i="2"/>
  <c r="L54" i="2"/>
  <c r="K7" i="1"/>
  <c r="K21" i="2"/>
  <c r="J21" i="2"/>
  <c r="I21" i="2"/>
  <c r="H21" i="2"/>
  <c r="G21" i="2"/>
  <c r="F21" i="2"/>
  <c r="E21" i="2"/>
  <c r="D21" i="2"/>
  <c r="C21" i="2"/>
  <c r="L21" i="2"/>
  <c r="K14" i="2"/>
  <c r="J14" i="2"/>
  <c r="I14" i="2"/>
  <c r="H14" i="2"/>
  <c r="G14" i="2"/>
  <c r="F14" i="2"/>
  <c r="E14" i="2"/>
  <c r="D14" i="2"/>
  <c r="C14" i="2"/>
  <c r="L14" i="2"/>
  <c r="AD107" i="2" l="1"/>
  <c r="AD110" i="2" s="1"/>
  <c r="U109" i="2"/>
  <c r="AB200" i="2"/>
  <c r="AB207" i="2" s="1"/>
  <c r="N203" i="2"/>
  <c r="AE29" i="2"/>
  <c r="AF9" i="2"/>
  <c r="AD43" i="2"/>
  <c r="AD40" i="2"/>
  <c r="M203" i="2"/>
  <c r="M215" i="2" s="1"/>
  <c r="AC40" i="2"/>
  <c r="AB9" i="2"/>
  <c r="O43" i="2"/>
  <c r="P43" i="2"/>
  <c r="E50" i="2"/>
  <c r="F50" i="2"/>
  <c r="K45" i="2"/>
  <c r="K46" i="2"/>
  <c r="D50" i="2"/>
  <c r="G50" i="2"/>
  <c r="K43" i="2"/>
  <c r="I43" i="2"/>
  <c r="J43" i="2"/>
  <c r="D47" i="2"/>
  <c r="K47" i="2"/>
  <c r="C46" i="2"/>
  <c r="C49" i="2"/>
  <c r="K48" i="2"/>
  <c r="D46" i="2"/>
  <c r="H47" i="2"/>
  <c r="D49" i="2"/>
  <c r="H50" i="2"/>
  <c r="K49" i="2"/>
  <c r="E46" i="2"/>
  <c r="I47" i="2"/>
  <c r="E49" i="2"/>
  <c r="I50" i="2"/>
  <c r="I45" i="2"/>
  <c r="I48" i="2"/>
  <c r="F46" i="2"/>
  <c r="J47" i="2"/>
  <c r="F49" i="2"/>
  <c r="J50" i="2"/>
  <c r="C45" i="2"/>
  <c r="G46" i="2"/>
  <c r="C48" i="2"/>
  <c r="G49" i="2"/>
  <c r="J45" i="2"/>
  <c r="J119" i="2"/>
  <c r="J127" i="2" s="1"/>
  <c r="G43" i="2"/>
  <c r="D45" i="2"/>
  <c r="H46" i="2"/>
  <c r="H49" i="2"/>
  <c r="H48" i="2"/>
  <c r="H43" i="2"/>
  <c r="E45" i="2"/>
  <c r="I46" i="2"/>
  <c r="I49" i="2"/>
  <c r="J48" i="2"/>
  <c r="F45" i="2"/>
  <c r="J46" i="2"/>
  <c r="J49" i="2"/>
  <c r="G45" i="2"/>
  <c r="C47" i="2"/>
  <c r="D91" i="2"/>
  <c r="D107" i="2" s="1"/>
  <c r="AA226" i="2"/>
  <c r="L189" i="2"/>
  <c r="H194" i="2"/>
  <c r="L43" i="2"/>
  <c r="L48" i="2"/>
  <c r="L49" i="2"/>
  <c r="L50" i="2"/>
  <c r="L46" i="2"/>
  <c r="L47" i="2"/>
  <c r="G195" i="2"/>
  <c r="Z231" i="2"/>
  <c r="Y130" i="2"/>
  <c r="AA130" i="2"/>
  <c r="Y127" i="2"/>
  <c r="Y131" i="2"/>
  <c r="Z127" i="2"/>
  <c r="Z131" i="2"/>
  <c r="Y128" i="2"/>
  <c r="Z128" i="2"/>
  <c r="AA128" i="2"/>
  <c r="Z129" i="2"/>
  <c r="AA127" i="2"/>
  <c r="AA131" i="2"/>
  <c r="H74" i="2"/>
  <c r="D194" i="2"/>
  <c r="E108" i="2"/>
  <c r="E194" i="2"/>
  <c r="J121" i="2"/>
  <c r="J91" i="2"/>
  <c r="J107" i="2" s="1"/>
  <c r="I91" i="2"/>
  <c r="I107" i="2" s="1"/>
  <c r="AA231" i="2"/>
  <c r="Z226" i="2"/>
  <c r="K215" i="2"/>
  <c r="Y103" i="2"/>
  <c r="Y105" i="2" s="1"/>
  <c r="Z104" i="2" s="1"/>
  <c r="Z103" i="2"/>
  <c r="AA103" i="2"/>
  <c r="L215" i="2"/>
  <c r="D193" i="2"/>
  <c r="G215" i="2"/>
  <c r="H189" i="2"/>
  <c r="H215" i="2"/>
  <c r="D215" i="2"/>
  <c r="E215" i="2"/>
  <c r="F195" i="2"/>
  <c r="F215" i="2"/>
  <c r="E193" i="2"/>
  <c r="K195" i="2"/>
  <c r="I215" i="2"/>
  <c r="J215" i="2"/>
  <c r="E192" i="2"/>
  <c r="J195" i="2"/>
  <c r="F193" i="2"/>
  <c r="I194" i="2"/>
  <c r="G188" i="2"/>
  <c r="J189" i="2"/>
  <c r="L190" i="2"/>
  <c r="K189" i="2"/>
  <c r="H188" i="2"/>
  <c r="G189" i="2"/>
  <c r="I188" i="2"/>
  <c r="J188" i="2"/>
  <c r="D195" i="2"/>
  <c r="F192" i="2"/>
  <c r="G187" i="2"/>
  <c r="J193" i="2"/>
  <c r="K193" i="2"/>
  <c r="I189" i="2"/>
  <c r="L193" i="2"/>
  <c r="F194" i="2"/>
  <c r="I195" i="2"/>
  <c r="G194" i="2"/>
  <c r="L194" i="2"/>
  <c r="D192" i="2"/>
  <c r="G193" i="2"/>
  <c r="H187" i="2"/>
  <c r="H193" i="2"/>
  <c r="K194" i="2"/>
  <c r="I187" i="2"/>
  <c r="I193" i="2"/>
  <c r="J187" i="2"/>
  <c r="G190" i="2"/>
  <c r="I190" i="2"/>
  <c r="G192" i="2"/>
  <c r="K187" i="2"/>
  <c r="H190" i="2"/>
  <c r="H192" i="2"/>
  <c r="E195" i="2"/>
  <c r="J194" i="2"/>
  <c r="I192" i="2"/>
  <c r="J190" i="2"/>
  <c r="J192" i="2"/>
  <c r="K190" i="2"/>
  <c r="K192" i="2"/>
  <c r="H195" i="2"/>
  <c r="L187" i="2"/>
  <c r="L188" i="2"/>
  <c r="K188" i="2"/>
  <c r="H128" i="2"/>
  <c r="I131" i="2"/>
  <c r="K131" i="2"/>
  <c r="E128" i="2"/>
  <c r="F128" i="2"/>
  <c r="K128" i="2"/>
  <c r="E131" i="2"/>
  <c r="J128" i="2"/>
  <c r="H231" i="2"/>
  <c r="I128" i="2"/>
  <c r="F131" i="2"/>
  <c r="J231" i="2"/>
  <c r="K129" i="2"/>
  <c r="K130" i="2"/>
  <c r="J141" i="2"/>
  <c r="G131" i="2"/>
  <c r="H131" i="2"/>
  <c r="E130" i="2"/>
  <c r="C130" i="2"/>
  <c r="D130" i="2"/>
  <c r="D231" i="2"/>
  <c r="G130" i="2"/>
  <c r="F231" i="2"/>
  <c r="F127" i="2"/>
  <c r="D129" i="2"/>
  <c r="I130" i="2"/>
  <c r="I127" i="2"/>
  <c r="E129" i="2"/>
  <c r="G128" i="2"/>
  <c r="C231" i="2"/>
  <c r="G127" i="2"/>
  <c r="I231" i="2"/>
  <c r="F129" i="2"/>
  <c r="C127" i="2"/>
  <c r="D127" i="2"/>
  <c r="E231" i="2"/>
  <c r="C129" i="2"/>
  <c r="C128" i="2"/>
  <c r="H129" i="2"/>
  <c r="D128" i="2"/>
  <c r="H127" i="2"/>
  <c r="L127" i="2"/>
  <c r="L128" i="2"/>
  <c r="L129" i="2"/>
  <c r="L130" i="2"/>
  <c r="K103" i="2"/>
  <c r="G231" i="2"/>
  <c r="K231" i="2"/>
  <c r="I150" i="2"/>
  <c r="J150" i="2"/>
  <c r="G150" i="2"/>
  <c r="I152" i="2"/>
  <c r="J226" i="2"/>
  <c r="J235" i="2" s="1"/>
  <c r="D143" i="2"/>
  <c r="K170" i="2"/>
  <c r="I226" i="2"/>
  <c r="I235" i="2" s="1"/>
  <c r="E143" i="2"/>
  <c r="J143" i="2"/>
  <c r="I210" i="2"/>
  <c r="C181" i="2"/>
  <c r="J210" i="2"/>
  <c r="G161" i="2"/>
  <c r="L231" i="2"/>
  <c r="C152" i="2"/>
  <c r="G210" i="2"/>
  <c r="H210" i="2"/>
  <c r="I143" i="2"/>
  <c r="K150" i="2"/>
  <c r="L210" i="2"/>
  <c r="K143" i="2"/>
  <c r="D161" i="2"/>
  <c r="F181" i="2"/>
  <c r="H177" i="2"/>
  <c r="E226" i="2"/>
  <c r="E235" i="2" s="1"/>
  <c r="G143" i="2"/>
  <c r="G177" i="2"/>
  <c r="E181" i="2"/>
  <c r="I141" i="2"/>
  <c r="L226" i="2"/>
  <c r="L235" i="2" s="1"/>
  <c r="E179" i="2"/>
  <c r="G181" i="2"/>
  <c r="I179" i="2"/>
  <c r="F226" i="2"/>
  <c r="F235" i="2" s="1"/>
  <c r="F161" i="2"/>
  <c r="H168" i="2"/>
  <c r="J179" i="2"/>
  <c r="G226" i="2"/>
  <c r="G235" i="2" s="1"/>
  <c r="K210" i="2"/>
  <c r="K226" i="2"/>
  <c r="K235" i="2" s="1"/>
  <c r="D181" i="2"/>
  <c r="C161" i="2"/>
  <c r="C179" i="2"/>
  <c r="L141" i="2"/>
  <c r="G152" i="2"/>
  <c r="I170" i="2"/>
  <c r="K181" i="2"/>
  <c r="G205" i="2"/>
  <c r="F103" i="2"/>
  <c r="G141" i="2"/>
  <c r="J170" i="2"/>
  <c r="L181" i="2"/>
  <c r="H205" i="2"/>
  <c r="L232" i="2"/>
  <c r="C226" i="2"/>
  <c r="C235" i="2" s="1"/>
  <c r="D226" i="2"/>
  <c r="D235" i="2" s="1"/>
  <c r="H226" i="2"/>
  <c r="H235" i="2" s="1"/>
  <c r="D179" i="2"/>
  <c r="J161" i="2"/>
  <c r="F179" i="2"/>
  <c r="G179" i="2"/>
  <c r="J159" i="2"/>
  <c r="D170" i="2"/>
  <c r="K159" i="2"/>
  <c r="J152" i="2"/>
  <c r="E170" i="2"/>
  <c r="H141" i="2"/>
  <c r="G168" i="2"/>
  <c r="F143" i="2"/>
  <c r="K152" i="2"/>
  <c r="F170" i="2"/>
  <c r="K179" i="2"/>
  <c r="G170" i="2"/>
  <c r="D152" i="2"/>
  <c r="E152" i="2"/>
  <c r="G159" i="2"/>
  <c r="I159" i="2"/>
  <c r="I177" i="2"/>
  <c r="H181" i="2"/>
  <c r="K177" i="2"/>
  <c r="K161" i="2"/>
  <c r="I181" i="2"/>
  <c r="C143" i="2"/>
  <c r="J181" i="2"/>
  <c r="I168" i="2"/>
  <c r="K141" i="2"/>
  <c r="J168" i="2"/>
  <c r="E161" i="2"/>
  <c r="I161" i="2"/>
  <c r="J177" i="2"/>
  <c r="F152" i="2"/>
  <c r="H159" i="2"/>
  <c r="C170" i="2"/>
  <c r="K168" i="2"/>
  <c r="L177" i="2"/>
  <c r="L168" i="2"/>
  <c r="H179" i="2"/>
  <c r="L159" i="2"/>
  <c r="L161" i="2"/>
  <c r="H170" i="2"/>
  <c r="H161" i="2"/>
  <c r="H150" i="2"/>
  <c r="H152" i="2"/>
  <c r="H143" i="2"/>
  <c r="L152" i="2"/>
  <c r="L143" i="2"/>
  <c r="L179" i="2"/>
  <c r="L150" i="2"/>
  <c r="L170" i="2"/>
  <c r="H103" i="2"/>
  <c r="G103" i="2"/>
  <c r="L103" i="2"/>
  <c r="C103" i="2"/>
  <c r="E103" i="2"/>
  <c r="D15" i="2"/>
  <c r="E15" i="2"/>
  <c r="K15" i="2"/>
  <c r="C15" i="2"/>
  <c r="L15" i="2"/>
  <c r="I15" i="2"/>
  <c r="J15" i="2"/>
  <c r="F15" i="2"/>
  <c r="G15" i="2"/>
  <c r="H15" i="2"/>
  <c r="AG9" i="2" l="1"/>
  <c r="AF29" i="2"/>
  <c r="AC43" i="2"/>
  <c r="N215" i="2"/>
  <c r="AB203" i="2"/>
  <c r="J130" i="2"/>
  <c r="G22" i="2"/>
  <c r="G35" i="2"/>
  <c r="G36" i="2"/>
  <c r="G37" i="2"/>
  <c r="H22" i="2"/>
  <c r="H36" i="2"/>
  <c r="H35" i="2"/>
  <c r="H37" i="2"/>
  <c r="F22" i="2"/>
  <c r="F37" i="2"/>
  <c r="F35" i="2"/>
  <c r="F36" i="2"/>
  <c r="J22" i="2"/>
  <c r="J36" i="2"/>
  <c r="J37" i="2"/>
  <c r="J35" i="2"/>
  <c r="I22" i="2"/>
  <c r="I36" i="2"/>
  <c r="I35" i="2"/>
  <c r="I37" i="2"/>
  <c r="J131" i="2"/>
  <c r="C22" i="2"/>
  <c r="C37" i="2"/>
  <c r="C35" i="2"/>
  <c r="C36" i="2"/>
  <c r="K22" i="2"/>
  <c r="K37" i="2"/>
  <c r="K36" i="2"/>
  <c r="K35" i="2"/>
  <c r="E22" i="2"/>
  <c r="E37" i="2"/>
  <c r="E35" i="2"/>
  <c r="E36" i="2"/>
  <c r="J129" i="2"/>
  <c r="D22" i="2"/>
  <c r="D37" i="2"/>
  <c r="D35" i="2"/>
  <c r="D36" i="2"/>
  <c r="C105" i="2"/>
  <c r="D104" i="2" s="1"/>
  <c r="D103" i="2"/>
  <c r="L37" i="2"/>
  <c r="L36" i="2"/>
  <c r="Z105" i="2"/>
  <c r="AA104" i="2" s="1"/>
  <c r="AA105" i="2"/>
  <c r="L22" i="2"/>
  <c r="L35" i="2"/>
  <c r="J103" i="2"/>
  <c r="I103" i="2"/>
  <c r="D191" i="2"/>
  <c r="J191" i="2"/>
  <c r="H191" i="2"/>
  <c r="L186" i="2"/>
  <c r="E191" i="2"/>
  <c r="K191" i="2"/>
  <c r="F191" i="2"/>
  <c r="I191" i="2"/>
  <c r="G191" i="2"/>
  <c r="G186" i="2"/>
  <c r="K186" i="2"/>
  <c r="L191" i="2"/>
  <c r="I186" i="2"/>
  <c r="H186" i="2"/>
  <c r="J186" i="2"/>
  <c r="AA9" i="2"/>
  <c r="AB43" i="2" s="1"/>
  <c r="AB15" i="2"/>
  <c r="AB22" i="2" s="1"/>
  <c r="AB27" i="2" s="1"/>
  <c r="Z9" i="2"/>
  <c r="Y9" i="2"/>
  <c r="AB205" i="2" l="1"/>
  <c r="AB210" i="2"/>
  <c r="AH9" i="2"/>
  <c r="AG29" i="2"/>
  <c r="D27" i="2"/>
  <c r="D29" i="2" s="1"/>
  <c r="D38" i="2"/>
  <c r="D39" i="2"/>
  <c r="C27" i="2"/>
  <c r="C29" i="2" s="1"/>
  <c r="C38" i="2"/>
  <c r="C39" i="2"/>
  <c r="Z235" i="2"/>
  <c r="Z48" i="2"/>
  <c r="Z47" i="2"/>
  <c r="Z49" i="2"/>
  <c r="Z45" i="2"/>
  <c r="Z50" i="2"/>
  <c r="Z46" i="2"/>
  <c r="AA235" i="2"/>
  <c r="AA50" i="2"/>
  <c r="AA46" i="2"/>
  <c r="AA45" i="2"/>
  <c r="AA49" i="2"/>
  <c r="AA48" i="2"/>
  <c r="AA47" i="2"/>
  <c r="E27" i="2"/>
  <c r="E29" i="2" s="1"/>
  <c r="E38" i="2"/>
  <c r="E39" i="2"/>
  <c r="I27" i="2"/>
  <c r="I29" i="2" s="1"/>
  <c r="I39" i="2"/>
  <c r="I38" i="2"/>
  <c r="K27" i="2"/>
  <c r="K29" i="2" s="1"/>
  <c r="AB29" i="2" s="1"/>
  <c r="AB40" i="2" s="1"/>
  <c r="K39" i="2"/>
  <c r="K38" i="2"/>
  <c r="F27" i="2"/>
  <c r="F29" i="2" s="1"/>
  <c r="F38" i="2"/>
  <c r="F39" i="2"/>
  <c r="H27" i="2"/>
  <c r="H29" i="2" s="1"/>
  <c r="H38" i="2"/>
  <c r="H39" i="2"/>
  <c r="Y15" i="2"/>
  <c r="Y48" i="2"/>
  <c r="Y45" i="2"/>
  <c r="Y49" i="2"/>
  <c r="Y50" i="2"/>
  <c r="Y46" i="2"/>
  <c r="Y47" i="2"/>
  <c r="J27" i="2"/>
  <c r="J29" i="2" s="1"/>
  <c r="J38" i="2"/>
  <c r="J39" i="2"/>
  <c r="G27" i="2"/>
  <c r="G29" i="2" s="1"/>
  <c r="G38" i="2"/>
  <c r="G39" i="2"/>
  <c r="D105" i="2"/>
  <c r="E104" i="2" s="1"/>
  <c r="E105" i="2" s="1"/>
  <c r="F104" i="2" s="1"/>
  <c r="F105" i="2" s="1"/>
  <c r="G104" i="2" s="1"/>
  <c r="G105" i="2" s="1"/>
  <c r="H104" i="2" s="1"/>
  <c r="H105" i="2" s="1"/>
  <c r="I104" i="2" s="1"/>
  <c r="I105" i="2" s="1"/>
  <c r="J104" i="2" s="1"/>
  <c r="J105" i="2" s="1"/>
  <c r="K104" i="2" s="1"/>
  <c r="K105" i="2" s="1"/>
  <c r="L104" i="2" s="1"/>
  <c r="L105" i="2" s="1"/>
  <c r="L27" i="2"/>
  <c r="L29" i="2" s="1"/>
  <c r="L38" i="2"/>
  <c r="L39" i="2"/>
  <c r="Z15" i="2"/>
  <c r="Z43" i="2"/>
  <c r="AA15" i="2"/>
  <c r="AA43" i="2"/>
  <c r="AB31" i="2" l="1"/>
  <c r="AI9" i="2"/>
  <c r="AH29" i="2"/>
  <c r="E40" i="2"/>
  <c r="E31" i="2"/>
  <c r="E78" i="2"/>
  <c r="I40" i="2"/>
  <c r="I31" i="2"/>
  <c r="I78" i="2"/>
  <c r="H40" i="2"/>
  <c r="H31" i="2"/>
  <c r="H78" i="2"/>
  <c r="Y22" i="2"/>
  <c r="Y36" i="2"/>
  <c r="Y35" i="2"/>
  <c r="Y37" i="2"/>
  <c r="Z22" i="2"/>
  <c r="Z36" i="2"/>
  <c r="Z37" i="2"/>
  <c r="Z35" i="2"/>
  <c r="C40" i="2"/>
  <c r="C31" i="2"/>
  <c r="C78" i="2"/>
  <c r="G40" i="2"/>
  <c r="G78" i="2"/>
  <c r="G31" i="2"/>
  <c r="J40" i="2"/>
  <c r="J78" i="2"/>
  <c r="J31" i="2"/>
  <c r="K40" i="2"/>
  <c r="K31" i="2"/>
  <c r="K78" i="2"/>
  <c r="F40" i="2"/>
  <c r="F78" i="2"/>
  <c r="F31" i="2"/>
  <c r="AA22" i="2"/>
  <c r="AA35" i="2"/>
  <c r="AA36" i="2"/>
  <c r="AA37" i="2"/>
  <c r="D40" i="2"/>
  <c r="D31" i="2"/>
  <c r="D78" i="2"/>
  <c r="L40" i="2"/>
  <c r="L78" i="2"/>
  <c r="L31" i="2"/>
  <c r="AJ9" i="2" l="1"/>
  <c r="AI29" i="2"/>
  <c r="Y27" i="2"/>
  <c r="Y29" i="2" s="1"/>
  <c r="Y38" i="2"/>
  <c r="Y39" i="2"/>
  <c r="AA27" i="2"/>
  <c r="AA29" i="2" s="1"/>
  <c r="AA38" i="2"/>
  <c r="AA39" i="2"/>
  <c r="Z27" i="2"/>
  <c r="Z29" i="2" s="1"/>
  <c r="Z38" i="2"/>
  <c r="Z39" i="2"/>
  <c r="AK9" i="2" l="1"/>
  <c r="AJ29" i="2"/>
  <c r="Z40" i="2"/>
  <c r="Z31" i="2"/>
  <c r="Z78" i="2"/>
  <c r="AA40" i="2"/>
  <c r="AA31" i="2"/>
  <c r="AA78" i="2"/>
  <c r="Y40" i="2"/>
  <c r="Y31" i="2"/>
  <c r="Y78" i="2"/>
  <c r="AL9" i="2" l="1"/>
  <c r="AK29" i="2"/>
  <c r="AM9" i="2" l="1"/>
  <c r="AL29" i="2"/>
  <c r="AN9" i="2" l="1"/>
  <c r="AM29" i="2"/>
  <c r="AO9" i="2" l="1"/>
  <c r="AN29" i="2"/>
  <c r="AP9" i="2" l="1"/>
  <c r="AO29" i="2"/>
  <c r="AQ9" i="2" l="1"/>
  <c r="AP29" i="2"/>
  <c r="AR9" i="2" l="1"/>
  <c r="AQ29" i="2"/>
  <c r="AS9" i="2" l="1"/>
  <c r="AR29" i="2"/>
  <c r="AT9" i="2" l="1"/>
  <c r="AS29" i="2"/>
  <c r="AU9" i="2" l="1"/>
  <c r="AT29" i="2"/>
  <c r="AV9" i="2" l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GM29" i="2" s="1"/>
  <c r="GN29" i="2" s="1"/>
  <c r="GO29" i="2" s="1"/>
  <c r="GP29" i="2" s="1"/>
  <c r="GQ29" i="2" s="1"/>
  <c r="GR29" i="2" s="1"/>
  <c r="GS29" i="2" s="1"/>
  <c r="GT29" i="2" s="1"/>
  <c r="GU29" i="2" s="1"/>
  <c r="GV29" i="2" s="1"/>
  <c r="GW29" i="2" s="1"/>
  <c r="GX29" i="2" s="1"/>
  <c r="GY29" i="2" s="1"/>
  <c r="GZ29" i="2" s="1"/>
  <c r="HA29" i="2" s="1"/>
  <c r="HB29" i="2" s="1"/>
  <c r="HC29" i="2" s="1"/>
  <c r="HD29" i="2" s="1"/>
  <c r="HE29" i="2" s="1"/>
  <c r="HF29" i="2" s="1"/>
  <c r="HG29" i="2" s="1"/>
  <c r="HH29" i="2" s="1"/>
  <c r="HI29" i="2" s="1"/>
  <c r="HJ29" i="2" s="1"/>
  <c r="HK29" i="2" s="1"/>
  <c r="HL29" i="2" s="1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W29" i="2" s="1"/>
  <c r="HX29" i="2" s="1"/>
  <c r="HY29" i="2" s="1"/>
  <c r="HZ29" i="2" s="1"/>
  <c r="IA29" i="2" s="1"/>
  <c r="IB29" i="2" s="1"/>
  <c r="IC29" i="2" s="1"/>
  <c r="ID29" i="2" s="1"/>
  <c r="IE29" i="2" s="1"/>
  <c r="IF29" i="2" s="1"/>
  <c r="IG29" i="2" s="1"/>
  <c r="IH29" i="2" s="1"/>
  <c r="II29" i="2" s="1"/>
  <c r="IJ29" i="2" s="1"/>
  <c r="IK29" i="2" s="1"/>
  <c r="IL29" i="2" s="1"/>
  <c r="IM29" i="2" s="1"/>
  <c r="IN29" i="2" s="1"/>
  <c r="IO29" i="2" s="1"/>
  <c r="IP29" i="2" s="1"/>
  <c r="IQ29" i="2" s="1"/>
  <c r="IR29" i="2" s="1"/>
  <c r="IS29" i="2" s="1"/>
  <c r="IT29" i="2" s="1"/>
  <c r="IU29" i="2" s="1"/>
  <c r="IV29" i="2" s="1"/>
  <c r="IW29" i="2" s="1"/>
  <c r="IX29" i="2" s="1"/>
  <c r="IY29" i="2" s="1"/>
  <c r="IZ29" i="2" s="1"/>
  <c r="JA29" i="2" s="1"/>
  <c r="JB29" i="2" s="1"/>
  <c r="JC29" i="2" s="1"/>
  <c r="JD29" i="2" s="1"/>
  <c r="JE29" i="2" s="1"/>
  <c r="JF29" i="2" s="1"/>
  <c r="JG29" i="2" s="1"/>
  <c r="JH29" i="2" s="1"/>
  <c r="JI29" i="2" s="1"/>
  <c r="JJ29" i="2" s="1"/>
  <c r="JK29" i="2" s="1"/>
  <c r="JL29" i="2" s="1"/>
  <c r="JM29" i="2" s="1"/>
  <c r="JN29" i="2" s="1"/>
  <c r="JO29" i="2" s="1"/>
  <c r="JP29" i="2" s="1"/>
  <c r="JQ29" i="2" s="1"/>
  <c r="JR29" i="2" s="1"/>
  <c r="JS29" i="2" s="1"/>
  <c r="JT29" i="2" s="1"/>
  <c r="JU29" i="2" s="1"/>
  <c r="JV29" i="2" s="1"/>
  <c r="JW29" i="2" s="1"/>
  <c r="JX29" i="2" s="1"/>
  <c r="JY29" i="2" s="1"/>
  <c r="JZ29" i="2" s="1"/>
  <c r="KA29" i="2" s="1"/>
  <c r="KB29" i="2" s="1"/>
  <c r="KC29" i="2" s="1"/>
  <c r="KD29" i="2" s="1"/>
  <c r="KE29" i="2" s="1"/>
  <c r="KF29" i="2" s="1"/>
  <c r="KG29" i="2" s="1"/>
  <c r="KH29" i="2" s="1"/>
  <c r="KI29" i="2" s="1"/>
  <c r="KJ29" i="2" s="1"/>
  <c r="KK29" i="2" s="1"/>
  <c r="KL29" i="2" s="1"/>
  <c r="KM29" i="2" s="1"/>
  <c r="KN29" i="2" s="1"/>
  <c r="KO29" i="2" s="1"/>
  <c r="KP29" i="2" s="1"/>
  <c r="KQ29" i="2" s="1"/>
  <c r="KR29" i="2" s="1"/>
  <c r="KS29" i="2" s="1"/>
  <c r="KT29" i="2" s="1"/>
  <c r="KU29" i="2" s="1"/>
  <c r="KV29" i="2" s="1"/>
  <c r="KW29" i="2" s="1"/>
  <c r="KX29" i="2" s="1"/>
  <c r="KY29" i="2" s="1"/>
  <c r="KZ29" i="2" s="1"/>
  <c r="LA29" i="2" s="1"/>
  <c r="LB29" i="2" s="1"/>
  <c r="LC29" i="2" s="1"/>
  <c r="LD29" i="2" s="1"/>
  <c r="LE29" i="2" s="1"/>
  <c r="LF29" i="2" s="1"/>
  <c r="LG29" i="2" s="1"/>
  <c r="LH29" i="2" s="1"/>
  <c r="LI29" i="2" s="1"/>
  <c r="LJ29" i="2" s="1"/>
  <c r="LK29" i="2" s="1"/>
  <c r="LL29" i="2" s="1"/>
  <c r="LM29" i="2" s="1"/>
  <c r="LN29" i="2" s="1"/>
  <c r="LO29" i="2" s="1"/>
  <c r="LP29" i="2" s="1"/>
  <c r="LQ29" i="2" s="1"/>
  <c r="LR29" i="2" s="1"/>
  <c r="LS29" i="2" s="1"/>
  <c r="LT29" i="2" s="1"/>
  <c r="LU29" i="2" s="1"/>
  <c r="LV29" i="2" s="1"/>
  <c r="LW29" i="2" s="1"/>
  <c r="LX29" i="2" s="1"/>
  <c r="LY29" i="2" s="1"/>
  <c r="LZ29" i="2" s="1"/>
  <c r="MA29" i="2" s="1"/>
  <c r="MB29" i="2" s="1"/>
  <c r="MC29" i="2" s="1"/>
  <c r="MD29" i="2" s="1"/>
  <c r="ME29" i="2" s="1"/>
  <c r="MF29" i="2" s="1"/>
  <c r="MG29" i="2" s="1"/>
  <c r="MH29" i="2" s="1"/>
  <c r="MI29" i="2" s="1"/>
  <c r="MJ29" i="2" s="1"/>
  <c r="MK29" i="2" s="1"/>
  <c r="ML29" i="2" s="1"/>
  <c r="MM29" i="2" s="1"/>
  <c r="MN29" i="2" s="1"/>
  <c r="MO29" i="2" s="1"/>
  <c r="MP29" i="2" s="1"/>
  <c r="MQ29" i="2" s="1"/>
  <c r="MR29" i="2" s="1"/>
  <c r="MS29" i="2" s="1"/>
  <c r="MT29" i="2" s="1"/>
  <c r="MU29" i="2" s="1"/>
  <c r="MV29" i="2" s="1"/>
  <c r="MW29" i="2" s="1"/>
  <c r="MX29" i="2" s="1"/>
  <c r="MY29" i="2" s="1"/>
  <c r="MZ29" i="2" s="1"/>
  <c r="NA29" i="2" s="1"/>
  <c r="NB29" i="2" s="1"/>
  <c r="NC29" i="2" s="1"/>
  <c r="ND29" i="2" s="1"/>
  <c r="NE29" i="2" s="1"/>
  <c r="NF29" i="2" s="1"/>
  <c r="NG29" i="2" s="1"/>
  <c r="NH29" i="2" s="1"/>
  <c r="NI29" i="2" s="1"/>
  <c r="NJ29" i="2" s="1"/>
  <c r="NK29" i="2" s="1"/>
  <c r="NL29" i="2" s="1"/>
  <c r="NM29" i="2" s="1"/>
  <c r="NN29" i="2" s="1"/>
  <c r="NO29" i="2" s="1"/>
  <c r="NP29" i="2" s="1"/>
  <c r="NQ29" i="2" s="1"/>
  <c r="NR29" i="2" s="1"/>
  <c r="NS29" i="2" s="1"/>
  <c r="NT29" i="2" s="1"/>
  <c r="NU29" i="2" s="1"/>
  <c r="NV29" i="2" s="1"/>
  <c r="NW29" i="2" s="1"/>
  <c r="NX29" i="2" s="1"/>
  <c r="NY29" i="2" s="1"/>
  <c r="NZ29" i="2" s="1"/>
  <c r="OA29" i="2" s="1"/>
  <c r="OB29" i="2" s="1"/>
  <c r="OC29" i="2" s="1"/>
  <c r="OD29" i="2" s="1"/>
  <c r="OE29" i="2" s="1"/>
  <c r="OF29" i="2" s="1"/>
  <c r="OG29" i="2" s="1"/>
  <c r="OH29" i="2" s="1"/>
  <c r="OI29" i="2" s="1"/>
  <c r="OJ29" i="2" s="1"/>
  <c r="OK29" i="2" s="1"/>
  <c r="OL29" i="2" s="1"/>
  <c r="OM29" i="2" s="1"/>
  <c r="ON29" i="2" s="1"/>
  <c r="OO29" i="2" s="1"/>
  <c r="OP29" i="2" s="1"/>
  <c r="AZ34" i="2" s="1"/>
  <c r="AZ35" i="2" s="1"/>
  <c r="AZ37" i="2" s="1"/>
  <c r="AU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199" authorId="0" shapeId="0" xr:uid="{3D5DCEB3-2A78-43FD-AC21-C5555064D0DD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Contract value/duration in years
</t>
        </r>
      </text>
    </comment>
  </commentList>
</comments>
</file>

<file path=xl/sharedStrings.xml><?xml version="1.0" encoding="utf-8"?>
<sst xmlns="http://schemas.openxmlformats.org/spreadsheetml/2006/main" count="253" uniqueCount="168">
  <si>
    <t>P</t>
  </si>
  <si>
    <t>S/O</t>
  </si>
  <si>
    <t>MC</t>
  </si>
  <si>
    <t>Cash</t>
  </si>
  <si>
    <t>Debt</t>
  </si>
  <si>
    <t>EV</t>
  </si>
  <si>
    <t>Main</t>
  </si>
  <si>
    <t>Subscription services</t>
  </si>
  <si>
    <t>Subscription license</t>
  </si>
  <si>
    <t>Consulting</t>
  </si>
  <si>
    <t>Perpetual license</t>
  </si>
  <si>
    <t>Total revenue</t>
  </si>
  <si>
    <t>Total cost</t>
  </si>
  <si>
    <t>Gross Profit</t>
  </si>
  <si>
    <t>S&amp;M</t>
  </si>
  <si>
    <t>G&amp;A</t>
  </si>
  <si>
    <t>R&amp;D</t>
  </si>
  <si>
    <t>Litigation</t>
  </si>
  <si>
    <t>Restructuring</t>
  </si>
  <si>
    <t>Operating expenses</t>
  </si>
  <si>
    <t>Operating profit</t>
  </si>
  <si>
    <t>Interest income</t>
  </si>
  <si>
    <t>Interest expense</t>
  </si>
  <si>
    <t>Other income</t>
  </si>
  <si>
    <t>Pretax income</t>
  </si>
  <si>
    <t>Taxes</t>
  </si>
  <si>
    <t>Net Income</t>
  </si>
  <si>
    <t>EPS</t>
  </si>
  <si>
    <t>Q225</t>
  </si>
  <si>
    <t>Q223</t>
  </si>
  <si>
    <t>Q323</t>
  </si>
  <si>
    <t>Q423</t>
  </si>
  <si>
    <t>Q124</t>
  </si>
  <si>
    <t>Q224</t>
  </si>
  <si>
    <t>Q324</t>
  </si>
  <si>
    <t>Q424</t>
  </si>
  <si>
    <t>Q125</t>
  </si>
  <si>
    <t>Q123</t>
  </si>
  <si>
    <t>($ thousands)</t>
  </si>
  <si>
    <t xml:space="preserve">FX </t>
  </si>
  <si>
    <t>Gross margin</t>
  </si>
  <si>
    <t>S&amp;M margin</t>
  </si>
  <si>
    <t>R&amp;D margin</t>
  </si>
  <si>
    <t>Operating margin</t>
  </si>
  <si>
    <t>Interest margin</t>
  </si>
  <si>
    <t>Net margin</t>
  </si>
  <si>
    <t>Revenue Y/Y</t>
  </si>
  <si>
    <t>Service % of revenue</t>
  </si>
  <si>
    <t>License %</t>
  </si>
  <si>
    <t>Consulting %</t>
  </si>
  <si>
    <t>Perp. License %</t>
  </si>
  <si>
    <t>Securities</t>
  </si>
  <si>
    <t>Net cash</t>
  </si>
  <si>
    <t>A/R</t>
  </si>
  <si>
    <t>Unbilled Receivables</t>
  </si>
  <si>
    <t>OCA</t>
  </si>
  <si>
    <t>Long-term unbilled receivables</t>
  </si>
  <si>
    <t>Goodwill</t>
  </si>
  <si>
    <t>ONCA</t>
  </si>
  <si>
    <t>Total Assets</t>
  </si>
  <si>
    <t>A/P</t>
  </si>
  <si>
    <t>Accrued expenses</t>
  </si>
  <si>
    <t>Accrued compensation</t>
  </si>
  <si>
    <t>Deferred revenue</t>
  </si>
  <si>
    <t>Convertible senior notes</t>
  </si>
  <si>
    <t>OCL</t>
  </si>
  <si>
    <t>Long-term operating lease liabilities</t>
  </si>
  <si>
    <t>ONCL</t>
  </si>
  <si>
    <t xml:space="preserve">SE  </t>
  </si>
  <si>
    <t>L+SE</t>
  </si>
  <si>
    <t>Total liabilities</t>
  </si>
  <si>
    <t>Pega Cloud</t>
  </si>
  <si>
    <t>Maintenance</t>
  </si>
  <si>
    <t>Cloud Y/Y</t>
  </si>
  <si>
    <t>Cloud %</t>
  </si>
  <si>
    <t>Maintenece %</t>
  </si>
  <si>
    <t>Model NI</t>
  </si>
  <si>
    <t>GAAP NI</t>
  </si>
  <si>
    <t>Stock-based comp.</t>
  </si>
  <si>
    <t>Amortization of deferred commissions</t>
  </si>
  <si>
    <t>D&amp;A</t>
  </si>
  <si>
    <t>Amortization of ROU lease assets</t>
  </si>
  <si>
    <t>Capped call transactions</t>
  </si>
  <si>
    <t>Deferred income taxes</t>
  </si>
  <si>
    <t>Accretion of investments</t>
  </si>
  <si>
    <t>Gain on investments</t>
  </si>
  <si>
    <t>Other non-cash</t>
  </si>
  <si>
    <t>Change in operating assets and liabilities</t>
  </si>
  <si>
    <t>CFFO</t>
  </si>
  <si>
    <t>Purchases of investmetns</t>
  </si>
  <si>
    <t>Proceeds from maturities</t>
  </si>
  <si>
    <t>Sales of investments</t>
  </si>
  <si>
    <t>CapEx</t>
  </si>
  <si>
    <t>CFFI</t>
  </si>
  <si>
    <t>Repurchase of convertible senior notes</t>
  </si>
  <si>
    <t>Dividends</t>
  </si>
  <si>
    <t>Proceeds from employee stock plans</t>
  </si>
  <si>
    <t>Stock repurchases</t>
  </si>
  <si>
    <t>CFFF</t>
  </si>
  <si>
    <t>FX adj.</t>
  </si>
  <si>
    <t>CF</t>
  </si>
  <si>
    <t>FCF</t>
  </si>
  <si>
    <t>CapEx margin</t>
  </si>
  <si>
    <t>BOP Cash</t>
  </si>
  <si>
    <t>EOP Cash</t>
  </si>
  <si>
    <t>U.S.</t>
  </si>
  <si>
    <t>Other Americas</t>
  </si>
  <si>
    <t>U.K.</t>
  </si>
  <si>
    <t>Europe, Middle East and Africa</t>
  </si>
  <si>
    <t>Asia-Pacific</t>
  </si>
  <si>
    <t>Total Revenue</t>
  </si>
  <si>
    <t>U.S.Y/Y</t>
  </si>
  <si>
    <t>Other Americas Y/Y</t>
  </si>
  <si>
    <t>U.K. Y/Y</t>
  </si>
  <si>
    <t>Europe, Middle East and Africa Y/Y</t>
  </si>
  <si>
    <t>Asia-Pacific Y/Y</t>
  </si>
  <si>
    <t>Y/Y</t>
  </si>
  <si>
    <t>U.S. %</t>
  </si>
  <si>
    <t>Other Americas %</t>
  </si>
  <si>
    <t>U.K. %</t>
  </si>
  <si>
    <t>Europe, Middle East and Africa %</t>
  </si>
  <si>
    <t>Asia-Pacific %</t>
  </si>
  <si>
    <r>
      <t>Remaining performace obligations (</t>
    </r>
    <r>
      <rPr>
        <b/>
        <sz val="10"/>
        <color theme="1"/>
        <rFont val="Arial"/>
        <family val="2"/>
      </rPr>
      <t>Backlog</t>
    </r>
    <r>
      <rPr>
        <sz val="10"/>
        <color theme="1"/>
        <rFont val="Arial"/>
        <family val="2"/>
      </rPr>
      <t>)</t>
    </r>
  </si>
  <si>
    <t>1-2yrs</t>
  </si>
  <si>
    <t>2-3yrs</t>
  </si>
  <si>
    <t>&gt; 3yrs</t>
  </si>
  <si>
    <t>&lt; 1yr</t>
  </si>
  <si>
    <t>Total</t>
  </si>
  <si>
    <t>Q/Q</t>
  </si>
  <si>
    <t>%</t>
  </si>
  <si>
    <t>ACV</t>
  </si>
  <si>
    <t>Annual contract value (“ACV”)</t>
  </si>
  <si>
    <t>Constant currency ACV</t>
  </si>
  <si>
    <t>Pega Cloud Y/Y</t>
  </si>
  <si>
    <t>Maintenance Y/Y</t>
  </si>
  <si>
    <t>Subscription license Y/Y</t>
  </si>
  <si>
    <t>ACV Y/Y</t>
  </si>
  <si>
    <t>Margins</t>
  </si>
  <si>
    <t>Gross total</t>
  </si>
  <si>
    <t>Pega Cloud Q/Q</t>
  </si>
  <si>
    <t>Maintenance Q/Q</t>
  </si>
  <si>
    <t>Subscription license Q/Q</t>
  </si>
  <si>
    <t>ACV Q/Q</t>
  </si>
  <si>
    <t>Employees</t>
  </si>
  <si>
    <t>Americas</t>
  </si>
  <si>
    <t>Europe</t>
  </si>
  <si>
    <t>India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</si>
  <si>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</si>
  <si>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</si>
  <si>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</si>
  <si>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</si>
  <si>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</si>
  <si>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</si>
  <si>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</si>
  <si>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</si>
  <si>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</si>
  <si>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</si>
  <si>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 xml:space="preserve"> </t>
  </si>
  <si>
    <t>Maturity</t>
  </si>
  <si>
    <t>Discount</t>
  </si>
  <si>
    <t>NPV</t>
  </si>
  <si>
    <t>Share</t>
  </si>
  <si>
    <t>Return</t>
  </si>
  <si>
    <t>Current</t>
  </si>
  <si>
    <t>NI Model</t>
  </si>
  <si>
    <t>FCF Model</t>
  </si>
  <si>
    <t>FCF Y/Y</t>
  </si>
  <si>
    <t>FCF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</si>
</sst>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4" fillId="0" borderId="0" xfId="1"/>
    <xf numFmtId="0" fontId="3" fillId="0" borderId="0" xfId="0" applyFont="1"/>
    <xf numFmtId="0" fontId="3" fillId="0" borderId="0" xfId="0" applyFont="1" applyAlignment="1">
      <alignment horizontal="left" indent="1"/>
    </xf>
    <xf numFmtId="3" fontId="3" fillId="0" borderId="0" xfId="0" applyNumberFormat="1" applyFont="1" applyAlignment="1">
      <alignment horizontal="left" indent="1"/>
    </xf>
    <xf numFmtId="3" fontId="3" fillId="0" borderId="0" xfId="0" applyNumberFormat="1" applyFont="1"/>
    <xf numFmtId="4" fontId="3" fillId="0" borderId="0" xfId="0" applyNumberFormat="1" applyFont="1"/>
    <xf numFmtId="3" fontId="2" fillId="0" borderId="0" xfId="0" applyNumberFormat="1" applyFont="1" applyAlignment="1">
      <alignment horizontal="left" indent="1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1"/>
    </xf>
    <xf numFmtId="164" fontId="2" fillId="0" borderId="0" xfId="0" applyNumberFormat="1" applyFont="1"/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" fontId="2" fillId="0" borderId="0" xfId="0" applyNumberFormat="1" applyFont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22860</xdr:rowOff>
    </xdr:from>
    <xdr:to>
      <xdr:col>27</xdr:col>
      <xdr:colOff>0</xdr:colOff>
      <xdr:row>215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EAA3B78-5CB3-95A1-4710-3E1D0C343F6F}"/>
            </a:ext>
          </a:extLst>
        </xdr:cNvPr>
        <xdr:cNvCxnSpPr/>
      </xdr:nvCxnSpPr>
      <xdr:spPr>
        <a:xfrm flipV="1">
          <a:off x="16893540" y="22860"/>
          <a:ext cx="0" cy="35905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0</xdr:row>
      <xdr:rowOff>38100</xdr:rowOff>
    </xdr:from>
    <xdr:to>
      <xdr:col>12</xdr:col>
      <xdr:colOff>7620</xdr:colOff>
      <xdr:row>216</xdr:row>
      <xdr:rowOff>15240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8163F67-AC48-9AEF-020E-3A15C1F1614A}"/>
            </a:ext>
          </a:extLst>
        </xdr:cNvPr>
        <xdr:cNvCxnSpPr/>
      </xdr:nvCxnSpPr>
      <xdr:spPr>
        <a:xfrm>
          <a:off x="7429500" y="38100"/>
          <a:ext cx="7620" cy="36034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6:K12"/>
  <sheetViews>
    <sheetView workbookViewId="0"/>
  </sheetViews>
  <sheetFormatPr defaultRowHeight="13.2" x14ac:dyDescent="0.25"/>
  <cols>
    <col min="1" max="16384" width="8.88671875" style="1"/>
  </cols>
  <sheetData>
    <row r="6" spans="10:11" x14ac:dyDescent="0.25">
      <c r="J6" s="1" t="s">
        <v>0</v>
      </c>
      <c r="K6" s="1">
        <v>51.22</v>
      </c>
    </row>
    <row r="7" spans="10:11" x14ac:dyDescent="0.25">
      <c r="J7" s="1" t="s">
        <v>1</v>
      </c>
      <c r="K7" s="2">
        <f>Model!L30/1000</f>
        <v>170.77600000000001</v>
      </c>
    </row>
    <row r="8" spans="10:11" x14ac:dyDescent="0.25">
      <c r="J8" s="1" t="s">
        <v>2</v>
      </c>
      <c r="K8" s="2">
        <f>K6*K7</f>
        <v>8747.1467200000006</v>
      </c>
    </row>
    <row r="9" spans="10:11" x14ac:dyDescent="0.25">
      <c r="J9" s="1" t="s">
        <v>3</v>
      </c>
      <c r="K9" s="2">
        <f>(Model!L55+Model!L56)/1000</f>
        <v>411.56700000000001</v>
      </c>
    </row>
    <row r="10" spans="10:11" x14ac:dyDescent="0.25">
      <c r="J10" s="1" t="s">
        <v>4</v>
      </c>
      <c r="K10" s="2">
        <f>+Model!L68/1000</f>
        <v>0</v>
      </c>
    </row>
    <row r="11" spans="10:11" x14ac:dyDescent="0.25">
      <c r="K11" s="2"/>
    </row>
    <row r="12" spans="10:11" x14ac:dyDescent="0.25">
      <c r="J12" s="1" t="s">
        <v>5</v>
      </c>
      <c r="K12" s="2">
        <f>+K8-K9+K10</f>
        <v>8335.5797200000015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D926-8CE9-4619-8275-218886D8488D}">
  <dimension ref="A1:OP250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B7" sqref="AB7"/>
    </sheetView>
  </sheetViews>
  <sheetFormatPr defaultRowHeight="13.2" x14ac:dyDescent="0.25"/>
  <cols>
    <col min="1" max="2" width="8.88671875" style="1"/>
    <col min="3" max="4" width="9.109375" style="1" bestFit="1" customWidth="1"/>
    <col min="5" max="5" width="8.88671875" style="1"/>
    <col min="6" max="6" width="9.6640625" style="1" customWidth="1"/>
    <col min="7" max="10" width="8.88671875" style="1"/>
    <col min="11" max="12" width="9.109375" style="1" bestFit="1" customWidth="1"/>
    <col min="13" max="24" width="8.88671875" style="1"/>
    <col min="25" max="27" width="10.44140625" style="1" bestFit="1" customWidth="1"/>
    <col min="28" max="31" width="9.109375" style="1" bestFit="1" customWidth="1"/>
    <col min="32" max="36" width="8.88671875" style="1"/>
    <col min="37" max="38" width="9.109375" style="1" bestFit="1" customWidth="1"/>
    <col min="39" max="48" width="8.88671875" style="1"/>
    <col min="49" max="49" width="9.109375" style="1" bestFit="1" customWidth="1"/>
    <col min="50" max="50" width="8.88671875" style="1"/>
    <col min="51" max="52" width="9.109375" style="1" bestFit="1" customWidth="1"/>
    <col min="53" max="55" width="8.88671875" style="1"/>
    <col min="56" max="56" width="9.109375" style="1" bestFit="1" customWidth="1"/>
    <col min="57" max="16384" width="8.88671875" style="1"/>
  </cols>
  <sheetData>
    <row r="1" spans="1:63" ht="14.4" x14ac:dyDescent="0.3">
      <c r="A1" s="3" t="s">
        <v>6</v>
      </c>
      <c r="C1" s="4" t="s">
        <v>38</v>
      </c>
    </row>
    <row r="2" spans="1:63" x14ac:dyDescent="0.25">
      <c r="C2" s="1" t="s">
        <v>37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28</v>
      </c>
      <c r="M2" s="1" t="s">
        <v>147</v>
      </c>
      <c r="N2" s="1" t="s">
        <v>148</v>
      </c>
      <c r="O2" s="1" t="s">
        <v>149</v>
      </c>
      <c r="P2" s="1" t="s">
        <v>150</v>
      </c>
      <c r="Q2" s="1" t="s">
        <v>151</v>
      </c>
      <c r="R2" s="1" t="s">
        <v>152</v>
      </c>
      <c r="S2" s="1" t="s">
        <v>153</v>
      </c>
      <c r="T2" s="1" t="s">
        <v>154</v>
      </c>
      <c r="U2" s="1" t="s">
        <v>155</v>
      </c>
      <c r="V2" s="1" t="s">
        <v>156</v>
      </c>
      <c r="Y2" s="1">
        <v>2022</v>
      </c>
      <c r="Z2" s="1">
        <v>2023</v>
      </c>
      <c r="AA2" s="1">
        <v>2024</v>
      </c>
      <c r="AB2" s="1">
        <v>2025</v>
      </c>
      <c r="AC2" s="1">
        <v>2026</v>
      </c>
      <c r="AD2" s="1">
        <v>2027</v>
      </c>
      <c r="AE2" s="1">
        <v>2028</v>
      </c>
      <c r="AF2" s="1">
        <v>2029</v>
      </c>
      <c r="AG2" s="1">
        <v>2030</v>
      </c>
      <c r="AH2" s="1">
        <v>2031</v>
      </c>
      <c r="AI2" s="1">
        <v>2032</v>
      </c>
      <c r="AJ2" s="1">
        <v>2033</v>
      </c>
      <c r="AK2" s="1">
        <v>2034</v>
      </c>
      <c r="AL2" s="1">
        <v>2035</v>
      </c>
      <c r="AM2" s="1">
        <v>2036</v>
      </c>
      <c r="AN2" s="1">
        <v>2037</v>
      </c>
      <c r="AO2" s="1">
        <v>2038</v>
      </c>
      <c r="AP2" s="1">
        <v>2039</v>
      </c>
      <c r="AQ2" s="1">
        <v>2040</v>
      </c>
      <c r="AR2" s="1">
        <v>2041</v>
      </c>
      <c r="AS2" s="1">
        <v>2042</v>
      </c>
      <c r="AT2" s="1">
        <v>2043</v>
      </c>
      <c r="AU2" s="1">
        <v>2044</v>
      </c>
      <c r="AV2" s="1">
        <v>2045</v>
      </c>
      <c r="AW2" s="1">
        <v>2046</v>
      </c>
      <c r="AX2" s="1">
        <v>2047</v>
      </c>
      <c r="AY2" s="1">
        <v>2048</v>
      </c>
      <c r="AZ2" s="1">
        <v>2049</v>
      </c>
      <c r="BA2" s="1">
        <v>2050</v>
      </c>
      <c r="BB2" s="1">
        <v>2051</v>
      </c>
      <c r="BC2" s="1">
        <v>2052</v>
      </c>
      <c r="BD2" s="1">
        <v>2053</v>
      </c>
      <c r="BE2" s="1">
        <v>2054</v>
      </c>
      <c r="BF2" s="1">
        <v>2055</v>
      </c>
      <c r="BG2" s="1">
        <v>2056</v>
      </c>
      <c r="BH2" s="1">
        <v>2057</v>
      </c>
      <c r="BI2" s="1">
        <v>2058</v>
      </c>
      <c r="BJ2" s="1">
        <v>2059</v>
      </c>
      <c r="BK2" s="1">
        <v>2060</v>
      </c>
    </row>
    <row r="3" spans="1:63" s="2" customFormat="1" x14ac:dyDescent="0.25">
      <c r="B3" s="2" t="s">
        <v>71</v>
      </c>
      <c r="C3" s="2">
        <v>107879</v>
      </c>
      <c r="D3" s="2">
        <v>115063</v>
      </c>
      <c r="E3" s="2">
        <v>118040</v>
      </c>
      <c r="F3" s="2">
        <v>120346</v>
      </c>
      <c r="G3" s="2">
        <v>130902</v>
      </c>
      <c r="H3" s="2">
        <v>134086</v>
      </c>
      <c r="I3" s="2">
        <v>144108</v>
      </c>
      <c r="J3" s="2">
        <v>149638</v>
      </c>
      <c r="K3" s="2">
        <v>151123</v>
      </c>
      <c r="L3" s="2">
        <v>166743</v>
      </c>
      <c r="Y3" s="2">
        <v>384271</v>
      </c>
      <c r="Z3" s="2">
        <v>461328</v>
      </c>
      <c r="AA3" s="2">
        <v>558734</v>
      </c>
      <c r="AB3" s="17">
        <f>0.4*AB9</f>
        <v>682458</v>
      </c>
    </row>
    <row r="4" spans="1:63" s="2" customFormat="1" x14ac:dyDescent="0.25">
      <c r="B4" s="2" t="s">
        <v>72</v>
      </c>
      <c r="C4" s="2">
        <v>79630</v>
      </c>
      <c r="D4" s="2">
        <v>82042</v>
      </c>
      <c r="E4" s="2">
        <v>83538</v>
      </c>
      <c r="F4" s="2">
        <v>86646</v>
      </c>
      <c r="G4" s="2">
        <v>81001</v>
      </c>
      <c r="H4" s="2">
        <v>80344</v>
      </c>
      <c r="I4" s="2">
        <v>80702</v>
      </c>
      <c r="J4" s="2">
        <v>81257</v>
      </c>
      <c r="K4" s="2">
        <v>76368</v>
      </c>
      <c r="L4" s="2">
        <v>79271</v>
      </c>
      <c r="Y4" s="2">
        <v>317564</v>
      </c>
      <c r="Z4" s="2">
        <v>331856</v>
      </c>
      <c r="AA4" s="2">
        <v>323304</v>
      </c>
    </row>
    <row r="5" spans="1:63" s="6" customFormat="1" x14ac:dyDescent="0.25">
      <c r="A5" s="5"/>
      <c r="B5" s="6" t="s">
        <v>7</v>
      </c>
      <c r="C5" s="7">
        <f t="shared" ref="C5:G5" si="0">SUM(C3:C4)</f>
        <v>187509</v>
      </c>
      <c r="D5" s="7">
        <f t="shared" si="0"/>
        <v>197105</v>
      </c>
      <c r="E5" s="7">
        <f t="shared" si="0"/>
        <v>201578</v>
      </c>
      <c r="F5" s="7">
        <f t="shared" si="0"/>
        <v>206992</v>
      </c>
      <c r="G5" s="7">
        <f t="shared" si="0"/>
        <v>211903</v>
      </c>
      <c r="H5" s="7">
        <f>SUM(H3:H4)</f>
        <v>214430</v>
      </c>
      <c r="I5" s="7">
        <f t="shared" ref="I5:L5" si="1">SUM(I3:I4)</f>
        <v>224810</v>
      </c>
      <c r="J5" s="7">
        <f t="shared" si="1"/>
        <v>230895</v>
      </c>
      <c r="K5" s="7">
        <f t="shared" si="1"/>
        <v>227491</v>
      </c>
      <c r="L5" s="7">
        <f t="shared" si="1"/>
        <v>246014</v>
      </c>
      <c r="Y5" s="7">
        <f t="shared" ref="Y5:Z5" si="2">SUM(Y3:Y4)</f>
        <v>701835</v>
      </c>
      <c r="Z5" s="7">
        <f t="shared" si="2"/>
        <v>793184</v>
      </c>
      <c r="AA5" s="7">
        <f>SUM(AA3:AA4)</f>
        <v>882038</v>
      </c>
      <c r="AB5" s="7">
        <f t="shared" ref="AB5" si="3">SUM(AB3:AB4)</f>
        <v>682458</v>
      </c>
    </row>
    <row r="6" spans="1:63" s="2" customFormat="1" x14ac:dyDescent="0.25">
      <c r="A6" s="1"/>
      <c r="B6" s="2" t="s">
        <v>8</v>
      </c>
      <c r="C6" s="2">
        <v>84527</v>
      </c>
      <c r="D6" s="2">
        <v>41197</v>
      </c>
      <c r="E6" s="2">
        <v>74342</v>
      </c>
      <c r="F6" s="2">
        <v>207559</v>
      </c>
      <c r="G6" s="2">
        <v>63338</v>
      </c>
      <c r="H6" s="2">
        <v>84647</v>
      </c>
      <c r="I6" s="2">
        <v>45420</v>
      </c>
      <c r="J6" s="2">
        <v>204697</v>
      </c>
      <c r="K6" s="2">
        <v>186555</v>
      </c>
      <c r="L6" s="2">
        <v>79963</v>
      </c>
      <c r="Y6" s="2">
        <v>366063</v>
      </c>
      <c r="Z6" s="2">
        <v>407625</v>
      </c>
      <c r="AA6" s="2">
        <v>398102</v>
      </c>
    </row>
    <row r="7" spans="1:63" s="2" customFormat="1" x14ac:dyDescent="0.25">
      <c r="A7" s="1"/>
      <c r="B7" s="2" t="s">
        <v>9</v>
      </c>
      <c r="C7" s="2">
        <v>53033</v>
      </c>
      <c r="D7" s="2">
        <v>58387</v>
      </c>
      <c r="E7" s="2">
        <v>55976</v>
      </c>
      <c r="F7" s="2">
        <v>54310</v>
      </c>
      <c r="G7" s="2">
        <v>54047</v>
      </c>
      <c r="H7" s="2">
        <v>52040</v>
      </c>
      <c r="I7" s="2">
        <v>54364</v>
      </c>
      <c r="J7" s="2">
        <v>52822</v>
      </c>
      <c r="K7" s="2">
        <v>60421</v>
      </c>
      <c r="L7" s="2">
        <v>57824</v>
      </c>
      <c r="Y7" s="2">
        <v>230654</v>
      </c>
      <c r="Z7" s="2">
        <v>221706</v>
      </c>
      <c r="AA7" s="2">
        <v>213273</v>
      </c>
    </row>
    <row r="8" spans="1:63" s="2" customFormat="1" x14ac:dyDescent="0.25">
      <c r="A8" s="1"/>
      <c r="B8" s="2" t="s">
        <v>10</v>
      </c>
      <c r="C8" s="2">
        <v>403</v>
      </c>
      <c r="D8" s="2">
        <v>1579</v>
      </c>
      <c r="E8" s="2">
        <v>2747</v>
      </c>
      <c r="F8" s="2">
        <v>5372</v>
      </c>
      <c r="G8" s="2">
        <v>859</v>
      </c>
      <c r="H8" s="2">
        <v>36</v>
      </c>
      <c r="I8" s="2">
        <v>456</v>
      </c>
      <c r="J8" s="2">
        <v>2416</v>
      </c>
      <c r="K8" s="2">
        <v>1166</v>
      </c>
      <c r="L8" s="2">
        <v>711</v>
      </c>
      <c r="Y8" s="2">
        <v>19293</v>
      </c>
      <c r="Z8" s="2">
        <v>10101</v>
      </c>
      <c r="AA8" s="2">
        <v>3767</v>
      </c>
    </row>
    <row r="9" spans="1:63" s="7" customFormat="1" x14ac:dyDescent="0.25">
      <c r="A9" s="4"/>
      <c r="B9" s="7" t="s">
        <v>11</v>
      </c>
      <c r="C9" s="7">
        <f t="shared" ref="C9:L9" si="4">SUM(C5:C8)</f>
        <v>325472</v>
      </c>
      <c r="D9" s="7">
        <f t="shared" si="4"/>
        <v>298268</v>
      </c>
      <c r="E9" s="7">
        <f t="shared" si="4"/>
        <v>334643</v>
      </c>
      <c r="F9" s="7">
        <f t="shared" si="4"/>
        <v>474233</v>
      </c>
      <c r="G9" s="7">
        <f t="shared" si="4"/>
        <v>330147</v>
      </c>
      <c r="H9" s="7">
        <f t="shared" si="4"/>
        <v>351153</v>
      </c>
      <c r="I9" s="7">
        <f t="shared" si="4"/>
        <v>325050</v>
      </c>
      <c r="J9" s="7">
        <f t="shared" si="4"/>
        <v>490830</v>
      </c>
      <c r="K9" s="7">
        <f t="shared" si="4"/>
        <v>475633</v>
      </c>
      <c r="L9" s="7">
        <f t="shared" si="4"/>
        <v>384512</v>
      </c>
      <c r="M9" s="7">
        <v>352000</v>
      </c>
      <c r="N9" s="7">
        <v>494000</v>
      </c>
      <c r="O9" s="7">
        <v>478000</v>
      </c>
      <c r="P9" s="7">
        <v>412000</v>
      </c>
      <c r="Q9" s="7">
        <v>392000</v>
      </c>
      <c r="R9" s="7">
        <v>533000</v>
      </c>
      <c r="S9" s="7">
        <v>505000</v>
      </c>
      <c r="T9" s="7">
        <v>452000</v>
      </c>
      <c r="U9" s="7">
        <f>Q9*(1+U43)</f>
        <v>431200.00000000006</v>
      </c>
      <c r="V9" s="7">
        <f t="shared" ref="V9" si="5">R9*(1+V43)</f>
        <v>580970</v>
      </c>
      <c r="Y9" s="7">
        <f t="shared" ref="Y9:AA9" si="6">SUM(Y5:Y8)</f>
        <v>1317845</v>
      </c>
      <c r="Z9" s="7">
        <f t="shared" si="6"/>
        <v>1432616</v>
      </c>
      <c r="AA9" s="7">
        <f t="shared" si="6"/>
        <v>1497180</v>
      </c>
      <c r="AB9" s="7">
        <f>+K9+L9+M9+N9</f>
        <v>1706145</v>
      </c>
      <c r="AC9" s="7">
        <f>+O9+P9+Q9+R9</f>
        <v>1815000</v>
      </c>
      <c r="AD9" s="7">
        <f>S9+T9+U9+V9</f>
        <v>1969170</v>
      </c>
      <c r="AE9" s="7">
        <f>AD9*(1+AE43)</f>
        <v>2107011.9</v>
      </c>
      <c r="AF9" s="7">
        <f t="shared" ref="AF9:AV9" si="7">AE9*(1+AF43)</f>
        <v>2254502.733</v>
      </c>
      <c r="AG9" s="7">
        <f t="shared" si="7"/>
        <v>2412317.9243100001</v>
      </c>
      <c r="AH9" s="7">
        <f t="shared" si="7"/>
        <v>2581180.1790117002</v>
      </c>
      <c r="AI9" s="7">
        <f t="shared" si="7"/>
        <v>2761862.7915425193</v>
      </c>
      <c r="AJ9" s="7">
        <f t="shared" si="7"/>
        <v>2955193.1869504959</v>
      </c>
      <c r="AK9" s="7">
        <f t="shared" si="7"/>
        <v>3162056.7100370307</v>
      </c>
      <c r="AL9" s="7">
        <f t="shared" si="7"/>
        <v>3383400.6797396229</v>
      </c>
      <c r="AM9" s="7">
        <f t="shared" si="7"/>
        <v>3603321.7239226983</v>
      </c>
      <c r="AN9" s="7">
        <f t="shared" si="7"/>
        <v>3819521.0273580602</v>
      </c>
      <c r="AO9" s="7">
        <f t="shared" si="7"/>
        <v>4029594.6838627532</v>
      </c>
      <c r="AP9" s="7">
        <f t="shared" si="7"/>
        <v>4231074.4180558911</v>
      </c>
      <c r="AQ9" s="7">
        <f t="shared" si="7"/>
        <v>4421472.766868406</v>
      </c>
      <c r="AR9" s="7">
        <f t="shared" si="7"/>
        <v>4620439.0413774839</v>
      </c>
      <c r="AS9" s="7">
        <f t="shared" si="7"/>
        <v>4828358.7982394705</v>
      </c>
      <c r="AT9" s="7">
        <f t="shared" si="7"/>
        <v>5045634.9441602463</v>
      </c>
      <c r="AU9" s="7">
        <f t="shared" si="7"/>
        <v>5247460.3419266567</v>
      </c>
      <c r="AV9" s="7">
        <f t="shared" si="7"/>
        <v>5457358.7556037232</v>
      </c>
    </row>
    <row r="10" spans="1:63" s="2" customFormat="1" x14ac:dyDescent="0.25">
      <c r="A10" s="1"/>
      <c r="B10" s="2" t="s">
        <v>7</v>
      </c>
      <c r="C10" s="2">
        <v>36864</v>
      </c>
      <c r="D10" s="2">
        <v>36783</v>
      </c>
      <c r="E10" s="2">
        <v>35906</v>
      </c>
      <c r="F10" s="2">
        <v>34697</v>
      </c>
      <c r="G10" s="2">
        <v>35824</v>
      </c>
      <c r="H10" s="2">
        <v>36238</v>
      </c>
      <c r="I10" s="2">
        <v>36868</v>
      </c>
      <c r="J10" s="2">
        <v>40988</v>
      </c>
      <c r="K10" s="2">
        <v>38128</v>
      </c>
      <c r="L10" s="2">
        <v>41510</v>
      </c>
      <c r="Y10" s="2">
        <v>138736</v>
      </c>
      <c r="Z10" s="2">
        <v>144250</v>
      </c>
      <c r="AA10" s="2">
        <v>149918</v>
      </c>
    </row>
    <row r="11" spans="1:63" s="2" customFormat="1" x14ac:dyDescent="0.25">
      <c r="A11" s="1"/>
      <c r="B11" s="2" t="s">
        <v>8</v>
      </c>
      <c r="C11" s="2">
        <v>719</v>
      </c>
      <c r="D11" s="2">
        <v>623</v>
      </c>
      <c r="E11" s="2">
        <v>629</v>
      </c>
      <c r="F11" s="2">
        <v>635</v>
      </c>
      <c r="G11" s="2">
        <v>643</v>
      </c>
      <c r="H11" s="2">
        <v>477</v>
      </c>
      <c r="I11" s="2">
        <v>384</v>
      </c>
      <c r="J11" s="2">
        <v>384</v>
      </c>
      <c r="K11" s="2">
        <v>386</v>
      </c>
      <c r="L11" s="2">
        <v>360</v>
      </c>
      <c r="Y11" s="2">
        <v>2642</v>
      </c>
      <c r="Z11" s="2">
        <v>2606</v>
      </c>
      <c r="AA11" s="2">
        <v>1888</v>
      </c>
    </row>
    <row r="12" spans="1:63" s="2" customFormat="1" x14ac:dyDescent="0.25">
      <c r="A12" s="1"/>
      <c r="B12" s="2" t="s">
        <v>9</v>
      </c>
      <c r="C12" s="2">
        <v>60348</v>
      </c>
      <c r="D12" s="2">
        <v>58710</v>
      </c>
      <c r="E12" s="2">
        <v>57204</v>
      </c>
      <c r="F12" s="2">
        <v>55298</v>
      </c>
      <c r="G12" s="2">
        <v>58182</v>
      </c>
      <c r="H12" s="2">
        <v>60231</v>
      </c>
      <c r="I12" s="2">
        <v>59451</v>
      </c>
      <c r="J12" s="2">
        <v>60978</v>
      </c>
      <c r="K12" s="2">
        <v>63934</v>
      </c>
      <c r="L12" s="2">
        <v>67700</v>
      </c>
      <c r="Y12" s="2">
        <v>227082</v>
      </c>
      <c r="Z12" s="2">
        <v>231560</v>
      </c>
      <c r="AA12" s="2">
        <v>238842</v>
      </c>
    </row>
    <row r="13" spans="1:63" s="2" customFormat="1" x14ac:dyDescent="0.25">
      <c r="A13" s="1"/>
      <c r="B13" s="2" t="s">
        <v>10</v>
      </c>
      <c r="C13" s="2">
        <v>3</v>
      </c>
      <c r="D13" s="2">
        <v>24</v>
      </c>
      <c r="E13" s="2">
        <v>24</v>
      </c>
      <c r="F13" s="2">
        <v>16</v>
      </c>
      <c r="G13" s="2">
        <v>9</v>
      </c>
      <c r="I13" s="2">
        <v>3</v>
      </c>
      <c r="J13" s="2">
        <v>5</v>
      </c>
      <c r="K13" s="2">
        <v>2</v>
      </c>
      <c r="L13" s="2">
        <v>4</v>
      </c>
      <c r="Y13" s="2">
        <v>175</v>
      </c>
      <c r="Z13" s="2">
        <v>67</v>
      </c>
      <c r="AA13" s="2">
        <v>17</v>
      </c>
    </row>
    <row r="14" spans="1:63" s="7" customFormat="1" x14ac:dyDescent="0.25">
      <c r="A14" s="4"/>
      <c r="B14" s="6" t="s">
        <v>12</v>
      </c>
      <c r="C14" s="7">
        <f t="shared" ref="C14:K14" si="8">SUM(C10:C13)</f>
        <v>97934</v>
      </c>
      <c r="D14" s="7">
        <f t="shared" si="8"/>
        <v>96140</v>
      </c>
      <c r="E14" s="7">
        <f t="shared" si="8"/>
        <v>93763</v>
      </c>
      <c r="F14" s="7">
        <f t="shared" si="8"/>
        <v>90646</v>
      </c>
      <c r="G14" s="7">
        <f t="shared" si="8"/>
        <v>94658</v>
      </c>
      <c r="H14" s="7">
        <f t="shared" si="8"/>
        <v>96946</v>
      </c>
      <c r="I14" s="7">
        <f t="shared" si="8"/>
        <v>96706</v>
      </c>
      <c r="J14" s="7">
        <f t="shared" si="8"/>
        <v>102355</v>
      </c>
      <c r="K14" s="7">
        <f t="shared" si="8"/>
        <v>102450</v>
      </c>
      <c r="L14" s="7">
        <f>SUM(L10:L13)</f>
        <v>109574</v>
      </c>
      <c r="Y14" s="7">
        <f t="shared" ref="Y14" si="9">SUM(Y10:Y13)</f>
        <v>368635</v>
      </c>
      <c r="Z14" s="7">
        <f t="shared" ref="Z14" si="10">SUM(Z10:Z13)</f>
        <v>378483</v>
      </c>
      <c r="AA14" s="7">
        <f t="shared" ref="AA14" si="11">SUM(AA10:AA13)</f>
        <v>390665</v>
      </c>
      <c r="AB14" s="7">
        <f t="shared" ref="AB14" si="12">SUM(AB10:AB13)</f>
        <v>0</v>
      </c>
    </row>
    <row r="15" spans="1:63" s="7" customFormat="1" x14ac:dyDescent="0.25">
      <c r="A15" s="4"/>
      <c r="B15" s="7" t="s">
        <v>13</v>
      </c>
      <c r="C15" s="7">
        <f t="shared" ref="C15:L15" si="13">C9-C14</f>
        <v>227538</v>
      </c>
      <c r="D15" s="7">
        <f t="shared" si="13"/>
        <v>202128</v>
      </c>
      <c r="E15" s="7">
        <f t="shared" si="13"/>
        <v>240880</v>
      </c>
      <c r="F15" s="7">
        <f t="shared" si="13"/>
        <v>383587</v>
      </c>
      <c r="G15" s="7">
        <f t="shared" si="13"/>
        <v>235489</v>
      </c>
      <c r="H15" s="7">
        <f t="shared" si="13"/>
        <v>254207</v>
      </c>
      <c r="I15" s="7">
        <f t="shared" si="13"/>
        <v>228344</v>
      </c>
      <c r="J15" s="7">
        <f t="shared" si="13"/>
        <v>388475</v>
      </c>
      <c r="K15" s="7">
        <f t="shared" si="13"/>
        <v>373183</v>
      </c>
      <c r="L15" s="7">
        <f t="shared" si="13"/>
        <v>274938</v>
      </c>
      <c r="Y15" s="7">
        <f t="shared" ref="Y15:AB15" si="14">Y9-Y14</f>
        <v>949210</v>
      </c>
      <c r="Z15" s="7">
        <f t="shared" si="14"/>
        <v>1054133</v>
      </c>
      <c r="AA15" s="7">
        <f t="shared" si="14"/>
        <v>1106515</v>
      </c>
      <c r="AB15" s="7">
        <f t="shared" si="14"/>
        <v>1706145</v>
      </c>
    </row>
    <row r="16" spans="1:63" s="2" customFormat="1" x14ac:dyDescent="0.25">
      <c r="A16" s="1"/>
      <c r="B16" s="2" t="s">
        <v>14</v>
      </c>
      <c r="C16" s="2">
        <v>149797</v>
      </c>
      <c r="D16" s="2">
        <v>143858</v>
      </c>
      <c r="E16" s="2">
        <v>131598</v>
      </c>
      <c r="F16" s="2">
        <v>133924</v>
      </c>
      <c r="G16" s="2">
        <v>127695</v>
      </c>
      <c r="H16" s="2">
        <v>139761</v>
      </c>
      <c r="I16" s="2">
        <v>127669</v>
      </c>
      <c r="J16" s="2">
        <v>139655</v>
      </c>
      <c r="K16" s="2">
        <v>138069</v>
      </c>
      <c r="L16" s="2">
        <v>147131</v>
      </c>
      <c r="Y16" s="2">
        <v>624789</v>
      </c>
      <c r="Z16" s="2">
        <v>559177</v>
      </c>
      <c r="AA16" s="2">
        <v>534780</v>
      </c>
    </row>
    <row r="17" spans="1:406" s="2" customFormat="1" x14ac:dyDescent="0.25">
      <c r="A17" s="1"/>
      <c r="B17" s="2" t="s">
        <v>16</v>
      </c>
      <c r="C17" s="2">
        <v>75376</v>
      </c>
      <c r="D17" s="2">
        <v>73931</v>
      </c>
      <c r="E17" s="2">
        <v>74955</v>
      </c>
      <c r="F17" s="2">
        <v>71250</v>
      </c>
      <c r="G17" s="2">
        <v>72113</v>
      </c>
      <c r="H17" s="2">
        <v>75425</v>
      </c>
      <c r="I17" s="2">
        <v>74157</v>
      </c>
      <c r="J17" s="2">
        <v>76379</v>
      </c>
      <c r="K17" s="2">
        <v>74286</v>
      </c>
      <c r="L17" s="2">
        <v>78784</v>
      </c>
      <c r="Y17" s="2">
        <v>294349</v>
      </c>
      <c r="Z17" s="2">
        <v>295512</v>
      </c>
      <c r="AA17" s="2">
        <v>298074</v>
      </c>
    </row>
    <row r="18" spans="1:406" s="2" customFormat="1" x14ac:dyDescent="0.25">
      <c r="A18" s="1"/>
      <c r="B18" s="2" t="s">
        <v>15</v>
      </c>
      <c r="C18" s="2">
        <v>23110</v>
      </c>
      <c r="D18" s="2">
        <v>23462</v>
      </c>
      <c r="E18" s="2">
        <v>27321</v>
      </c>
      <c r="F18" s="2">
        <v>22850</v>
      </c>
      <c r="G18" s="2">
        <v>23527</v>
      </c>
      <c r="H18" s="2">
        <v>25420</v>
      </c>
      <c r="I18" s="2">
        <v>35694</v>
      </c>
      <c r="J18" s="2">
        <v>28207</v>
      </c>
      <c r="K18" s="2">
        <v>33828</v>
      </c>
      <c r="L18" s="2">
        <v>31788</v>
      </c>
      <c r="Y18" s="2">
        <v>117734</v>
      </c>
      <c r="Z18" s="2">
        <v>96743</v>
      </c>
      <c r="AA18" s="2">
        <v>112848</v>
      </c>
    </row>
    <row r="19" spans="1:406" s="2" customFormat="1" x14ac:dyDescent="0.25">
      <c r="A19" s="1"/>
      <c r="B19" s="2" t="s">
        <v>17</v>
      </c>
      <c r="G19" s="2">
        <v>32403</v>
      </c>
      <c r="AA19" s="2">
        <v>32403</v>
      </c>
    </row>
    <row r="20" spans="1:406" s="2" customFormat="1" x14ac:dyDescent="0.25">
      <c r="A20" s="1"/>
      <c r="B20" s="2" t="s">
        <v>18</v>
      </c>
      <c r="C20" s="2">
        <v>1461</v>
      </c>
      <c r="D20" s="2">
        <v>2167</v>
      </c>
      <c r="E20" s="2">
        <v>17822</v>
      </c>
      <c r="F20" s="2">
        <v>297</v>
      </c>
      <c r="G20" s="2">
        <v>163</v>
      </c>
      <c r="H20" s="2">
        <v>635</v>
      </c>
      <c r="I20" s="2">
        <v>2485</v>
      </c>
      <c r="J20" s="2">
        <v>1245</v>
      </c>
      <c r="K20" s="2">
        <v>11</v>
      </c>
      <c r="L20" s="2">
        <v>-44</v>
      </c>
      <c r="Y20" s="2">
        <v>21743</v>
      </c>
      <c r="Z20" s="2">
        <v>21747</v>
      </c>
      <c r="AA20" s="2">
        <v>4528</v>
      </c>
    </row>
    <row r="21" spans="1:406" s="7" customFormat="1" x14ac:dyDescent="0.25">
      <c r="A21" s="4"/>
      <c r="B21" s="7" t="s">
        <v>19</v>
      </c>
      <c r="C21" s="7">
        <f t="shared" ref="C21:K21" si="15">SUM(C16:C20)</f>
        <v>249744</v>
      </c>
      <c r="D21" s="7">
        <f t="shared" si="15"/>
        <v>243418</v>
      </c>
      <c r="E21" s="7">
        <f t="shared" si="15"/>
        <v>251696</v>
      </c>
      <c r="F21" s="7">
        <f t="shared" si="15"/>
        <v>228321</v>
      </c>
      <c r="G21" s="7">
        <f t="shared" si="15"/>
        <v>255901</v>
      </c>
      <c r="H21" s="7">
        <f t="shared" si="15"/>
        <v>241241</v>
      </c>
      <c r="I21" s="7">
        <f t="shared" si="15"/>
        <v>240005</v>
      </c>
      <c r="J21" s="7">
        <f t="shared" si="15"/>
        <v>245486</v>
      </c>
      <c r="K21" s="7">
        <f t="shared" si="15"/>
        <v>246194</v>
      </c>
      <c r="L21" s="7">
        <f>SUM(L16:L20)</f>
        <v>257659</v>
      </c>
      <c r="Y21" s="7">
        <f t="shared" ref="Y21" si="16">SUM(Y16:Y20)</f>
        <v>1058615</v>
      </c>
      <c r="Z21" s="7">
        <f t="shared" ref="Z21" si="17">SUM(Z16:Z20)</f>
        <v>973179</v>
      </c>
      <c r="AA21" s="7">
        <f t="shared" ref="AA21" si="18">SUM(AA16:AA20)</f>
        <v>982633</v>
      </c>
      <c r="AB21" s="7">
        <f t="shared" ref="AB21" si="19">SUM(AB16:AB20)</f>
        <v>0</v>
      </c>
    </row>
    <row r="22" spans="1:406" s="7" customFormat="1" x14ac:dyDescent="0.25">
      <c r="A22" s="4"/>
      <c r="B22" s="7" t="s">
        <v>20</v>
      </c>
      <c r="C22" s="7">
        <f t="shared" ref="C22:K22" si="20">C15-C21</f>
        <v>-22206</v>
      </c>
      <c r="D22" s="7">
        <f t="shared" si="20"/>
        <v>-41290</v>
      </c>
      <c r="E22" s="7">
        <f t="shared" si="20"/>
        <v>-10816</v>
      </c>
      <c r="F22" s="7">
        <f t="shared" si="20"/>
        <v>155266</v>
      </c>
      <c r="G22" s="7">
        <f t="shared" si="20"/>
        <v>-20412</v>
      </c>
      <c r="H22" s="7">
        <f t="shared" si="20"/>
        <v>12966</v>
      </c>
      <c r="I22" s="7">
        <f t="shared" si="20"/>
        <v>-11661</v>
      </c>
      <c r="J22" s="7">
        <f t="shared" si="20"/>
        <v>142989</v>
      </c>
      <c r="K22" s="7">
        <f t="shared" si="20"/>
        <v>126989</v>
      </c>
      <c r="L22" s="7">
        <f>L15-L21</f>
        <v>17279</v>
      </c>
      <c r="Y22" s="7">
        <f t="shared" ref="Y22" si="21">Y15-Y21</f>
        <v>-109405</v>
      </c>
      <c r="Z22" s="7">
        <f t="shared" ref="Z22" si="22">Z15-Z21</f>
        <v>80954</v>
      </c>
      <c r="AA22" s="7">
        <f t="shared" ref="AA22" si="23">AA15-AA21</f>
        <v>123882</v>
      </c>
      <c r="AB22" s="7">
        <f t="shared" ref="AB22" si="24">AB15-AB21</f>
        <v>1706145</v>
      </c>
    </row>
    <row r="23" spans="1:406" s="2" customFormat="1" x14ac:dyDescent="0.25">
      <c r="A23" s="1"/>
      <c r="B23" s="2" t="s">
        <v>39</v>
      </c>
      <c r="C23" s="2">
        <v>-2675</v>
      </c>
      <c r="D23" s="2">
        <v>-3290</v>
      </c>
      <c r="E23" s="2">
        <v>1994</v>
      </c>
      <c r="F23" s="2">
        <v>-1271</v>
      </c>
      <c r="G23" s="2">
        <v>-3262</v>
      </c>
      <c r="H23" s="2">
        <v>437</v>
      </c>
      <c r="I23" s="2">
        <v>-4405</v>
      </c>
      <c r="J23" s="2">
        <v>6318</v>
      </c>
      <c r="K23" s="2">
        <v>-5325</v>
      </c>
      <c r="L23" s="2">
        <v>-14008</v>
      </c>
      <c r="Y23" s="2">
        <v>4560</v>
      </c>
      <c r="Z23" s="2">
        <v>-5242</v>
      </c>
      <c r="AA23" s="2">
        <v>-912</v>
      </c>
    </row>
    <row r="24" spans="1:406" s="2" customFormat="1" x14ac:dyDescent="0.25">
      <c r="A24" s="1"/>
      <c r="B24" s="2" t="s">
        <v>21</v>
      </c>
      <c r="C24" s="2">
        <v>1485</v>
      </c>
      <c r="D24" s="2">
        <v>1814</v>
      </c>
      <c r="E24" s="2">
        <v>2532</v>
      </c>
      <c r="F24" s="2">
        <v>3428</v>
      </c>
      <c r="G24" s="2">
        <v>5281</v>
      </c>
      <c r="H24" s="2">
        <v>6785</v>
      </c>
      <c r="I24" s="2">
        <v>6769</v>
      </c>
      <c r="J24" s="2">
        <v>6944</v>
      </c>
      <c r="K24" s="2">
        <v>5335</v>
      </c>
      <c r="L24" s="2">
        <v>3248</v>
      </c>
      <c r="Y24" s="2">
        <v>1643</v>
      </c>
      <c r="Z24" s="2">
        <v>9259</v>
      </c>
      <c r="AA24" s="2">
        <v>25779</v>
      </c>
    </row>
    <row r="25" spans="1:406" s="2" customFormat="1" x14ac:dyDescent="0.25">
      <c r="A25" s="1"/>
      <c r="B25" s="2" t="s">
        <v>22</v>
      </c>
      <c r="C25" s="2">
        <v>-1918</v>
      </c>
      <c r="D25" s="2">
        <v>-1778</v>
      </c>
      <c r="E25" s="2">
        <v>-1533</v>
      </c>
      <c r="F25" s="2">
        <v>-1647</v>
      </c>
      <c r="G25" s="2">
        <v>-1752</v>
      </c>
      <c r="H25" s="2">
        <v>-1656</v>
      </c>
      <c r="I25" s="2">
        <v>-1639</v>
      </c>
      <c r="J25" s="2">
        <v>-1788</v>
      </c>
      <c r="K25" s="2">
        <v>-1027</v>
      </c>
      <c r="L25" s="2">
        <v>-1</v>
      </c>
      <c r="Y25" s="2">
        <v>-7792</v>
      </c>
      <c r="Z25" s="2">
        <v>-6876</v>
      </c>
      <c r="AA25" s="2">
        <v>-6835</v>
      </c>
    </row>
    <row r="26" spans="1:406" s="2" customFormat="1" x14ac:dyDescent="0.25">
      <c r="A26" s="1"/>
      <c r="B26" s="2" t="s">
        <v>23</v>
      </c>
      <c r="C26" s="2">
        <f>3206+6583</f>
        <v>9789</v>
      </c>
      <c r="D26" s="2">
        <f>-1361+5702</f>
        <v>4341</v>
      </c>
      <c r="E26" s="2">
        <f>-2294+6383</f>
        <v>4089</v>
      </c>
      <c r="F26" s="2">
        <f>-899+25</f>
        <v>-874</v>
      </c>
      <c r="G26" s="2">
        <f>3299+1684</f>
        <v>4983</v>
      </c>
      <c r="H26" s="2">
        <v>-3277</v>
      </c>
      <c r="I26" s="2">
        <v>-689</v>
      </c>
      <c r="J26" s="2">
        <f>4-299</f>
        <v>-295</v>
      </c>
      <c r="K26" s="2">
        <f>-223+561</f>
        <v>338</v>
      </c>
      <c r="L26" s="2">
        <v>18729</v>
      </c>
      <c r="Y26" s="2">
        <f>-57382+6579</f>
        <v>-50803</v>
      </c>
      <c r="Z26" s="2">
        <f>-1348+18693</f>
        <v>17345</v>
      </c>
      <c r="AA26" s="2">
        <f>-663+1385</f>
        <v>722</v>
      </c>
    </row>
    <row r="27" spans="1:406" s="7" customFormat="1" x14ac:dyDescent="0.25">
      <c r="A27" s="4"/>
      <c r="B27" s="7" t="s">
        <v>24</v>
      </c>
      <c r="C27" s="7">
        <f t="shared" ref="C27:K27" si="25">C22+SUM(C23:C26)</f>
        <v>-15525</v>
      </c>
      <c r="D27" s="7">
        <f t="shared" si="25"/>
        <v>-40203</v>
      </c>
      <c r="E27" s="7">
        <f t="shared" si="25"/>
        <v>-3734</v>
      </c>
      <c r="F27" s="7">
        <f t="shared" si="25"/>
        <v>154902</v>
      </c>
      <c r="G27" s="7">
        <f t="shared" si="25"/>
        <v>-15162</v>
      </c>
      <c r="H27" s="7">
        <f t="shared" si="25"/>
        <v>15255</v>
      </c>
      <c r="I27" s="7">
        <f t="shared" si="25"/>
        <v>-11625</v>
      </c>
      <c r="J27" s="7">
        <f t="shared" si="25"/>
        <v>154168</v>
      </c>
      <c r="K27" s="7">
        <f t="shared" si="25"/>
        <v>126310</v>
      </c>
      <c r="L27" s="7">
        <f>L22+SUM(L23:L26)</f>
        <v>25247</v>
      </c>
      <c r="Y27" s="7">
        <f t="shared" ref="Y27" si="26">Y22+SUM(Y23:Y26)</f>
        <v>-161797</v>
      </c>
      <c r="Z27" s="7">
        <f t="shared" ref="Z27" si="27">Z22+SUM(Z23:Z26)</f>
        <v>95440</v>
      </c>
      <c r="AA27" s="7">
        <f t="shared" ref="AA27" si="28">AA22+SUM(AA23:AA26)</f>
        <v>142636</v>
      </c>
      <c r="AB27" s="7">
        <f t="shared" ref="AB27" si="29">AB22+SUM(AB23:AB26)</f>
        <v>1706145</v>
      </c>
    </row>
    <row r="28" spans="1:406" s="2" customFormat="1" x14ac:dyDescent="0.25">
      <c r="A28" s="1"/>
      <c r="B28" s="2" t="s">
        <v>25</v>
      </c>
      <c r="C28" s="2">
        <v>5249</v>
      </c>
      <c r="D28" s="2">
        <v>6601</v>
      </c>
      <c r="E28" s="2">
        <v>3545</v>
      </c>
      <c r="F28" s="2">
        <v>12237</v>
      </c>
      <c r="G28" s="2">
        <v>-3038</v>
      </c>
      <c r="H28" s="2">
        <v>8642</v>
      </c>
      <c r="I28" s="2">
        <v>2765</v>
      </c>
      <c r="J28" s="2">
        <v>35078</v>
      </c>
      <c r="K28" s="2">
        <v>40888</v>
      </c>
      <c r="L28" s="2">
        <v>-4830</v>
      </c>
      <c r="Y28" s="2">
        <v>183785</v>
      </c>
      <c r="Z28" s="2">
        <v>27632</v>
      </c>
      <c r="AA28" s="2">
        <v>43447</v>
      </c>
    </row>
    <row r="29" spans="1:406" s="7" customFormat="1" x14ac:dyDescent="0.25">
      <c r="A29" s="4"/>
      <c r="B29" s="7" t="s">
        <v>26</v>
      </c>
      <c r="C29" s="7">
        <f t="shared" ref="C29:K29" si="30">C27-C28</f>
        <v>-20774</v>
      </c>
      <c r="D29" s="7">
        <f t="shared" si="30"/>
        <v>-46804</v>
      </c>
      <c r="E29" s="7">
        <f t="shared" si="30"/>
        <v>-7279</v>
      </c>
      <c r="F29" s="7">
        <f t="shared" si="30"/>
        <v>142665</v>
      </c>
      <c r="G29" s="7">
        <f t="shared" si="30"/>
        <v>-12124</v>
      </c>
      <c r="H29" s="7">
        <f t="shared" si="30"/>
        <v>6613</v>
      </c>
      <c r="I29" s="7">
        <f t="shared" si="30"/>
        <v>-14390</v>
      </c>
      <c r="J29" s="7">
        <f t="shared" si="30"/>
        <v>119090</v>
      </c>
      <c r="K29" s="7">
        <f t="shared" si="30"/>
        <v>85422</v>
      </c>
      <c r="L29" s="7">
        <f>L27-L28</f>
        <v>30077</v>
      </c>
      <c r="M29" s="7">
        <v>-280</v>
      </c>
      <c r="N29" s="7">
        <v>106000</v>
      </c>
      <c r="O29" s="7">
        <v>84000</v>
      </c>
      <c r="P29" s="7">
        <v>30340</v>
      </c>
      <c r="Q29" s="7">
        <v>10210</v>
      </c>
      <c r="R29" s="7">
        <v>125000</v>
      </c>
      <c r="S29" s="7">
        <v>73120</v>
      </c>
      <c r="T29" s="7">
        <v>42000</v>
      </c>
      <c r="U29" s="7">
        <v>15180</v>
      </c>
      <c r="V29" s="7">
        <v>143000</v>
      </c>
      <c r="Y29" s="7">
        <f t="shared" ref="Y29" si="31">Y27-Y28</f>
        <v>-345582</v>
      </c>
      <c r="Z29" s="7">
        <f t="shared" ref="Z29" si="32">Z27-Z28</f>
        <v>67808</v>
      </c>
      <c r="AA29" s="7">
        <f t="shared" ref="AA29" si="33">AA27-AA28</f>
        <v>99189</v>
      </c>
      <c r="AB29" s="7">
        <f>+K29+L29+M29+N29</f>
        <v>221219</v>
      </c>
      <c r="AC29" s="7">
        <f>+O29+P29+Q29+R29</f>
        <v>249550</v>
      </c>
      <c r="AD29" s="7">
        <f>S29+T29+U29+V29</f>
        <v>273300</v>
      </c>
      <c r="AE29" s="7">
        <f>AE9*(AE40)</f>
        <v>294981.66600000003</v>
      </c>
      <c r="AF29" s="7">
        <f t="shared" ref="AF29:AV29" si="34">AF9*(AF40)</f>
        <v>320139.38808599999</v>
      </c>
      <c r="AG29" s="7">
        <f t="shared" si="34"/>
        <v>349786.09902495</v>
      </c>
      <c r="AH29" s="7">
        <f t="shared" si="34"/>
        <v>379433.48631471989</v>
      </c>
      <c r="AI29" s="7">
        <f t="shared" si="34"/>
        <v>411517.55593983538</v>
      </c>
      <c r="AJ29" s="7">
        <f t="shared" si="34"/>
        <v>443278.97804257437</v>
      </c>
      <c r="AK29" s="7">
        <f t="shared" si="34"/>
        <v>474308.5065055546</v>
      </c>
      <c r="AL29" s="7">
        <f t="shared" si="34"/>
        <v>507510.10196094343</v>
      </c>
      <c r="AM29" s="7">
        <f t="shared" si="34"/>
        <v>540498.25858840474</v>
      </c>
      <c r="AN29" s="7">
        <f t="shared" si="34"/>
        <v>572928.15410370904</v>
      </c>
      <c r="AO29" s="7">
        <f t="shared" si="34"/>
        <v>604439.20257941296</v>
      </c>
      <c r="AP29" s="7">
        <f t="shared" si="34"/>
        <v>634661.16270838364</v>
      </c>
      <c r="AQ29" s="7">
        <f t="shared" si="34"/>
        <v>663220.91503026092</v>
      </c>
      <c r="AR29" s="7">
        <f t="shared" si="34"/>
        <v>693065.85620662256</v>
      </c>
      <c r="AS29" s="7">
        <f t="shared" si="34"/>
        <v>724253.81973592052</v>
      </c>
      <c r="AT29" s="7">
        <f t="shared" si="34"/>
        <v>756845.24162403692</v>
      </c>
      <c r="AU29" s="7">
        <f t="shared" si="34"/>
        <v>787119.05128899845</v>
      </c>
      <c r="AV29" s="7">
        <f t="shared" si="34"/>
        <v>818603.81334055844</v>
      </c>
      <c r="AW29" s="7">
        <f>AV29*(1-$AZ$32)</f>
        <v>794045.69894034171</v>
      </c>
      <c r="AX29" s="7">
        <f t="shared" ref="AX29:DI29" si="35">AW29*(1-$AZ$32)</f>
        <v>770224.32797213143</v>
      </c>
      <c r="AY29" s="7">
        <f t="shared" si="35"/>
        <v>747117.59813296748</v>
      </c>
      <c r="AZ29" s="7">
        <f t="shared" si="35"/>
        <v>724704.07018897845</v>
      </c>
      <c r="BA29" s="7">
        <f t="shared" si="35"/>
        <v>702962.94808330911</v>
      </c>
      <c r="BB29" s="7">
        <f t="shared" si="35"/>
        <v>681874.05964080978</v>
      </c>
      <c r="BC29" s="7">
        <f t="shared" si="35"/>
        <v>661417.83785158547</v>
      </c>
      <c r="BD29" s="7">
        <f t="shared" si="35"/>
        <v>641575.30271603784</v>
      </c>
      <c r="BE29" s="7">
        <f t="shared" si="35"/>
        <v>622328.0436345567</v>
      </c>
      <c r="BF29" s="7">
        <f t="shared" si="35"/>
        <v>603658.20232551999</v>
      </c>
      <c r="BG29" s="7">
        <f t="shared" si="35"/>
        <v>585548.45625575434</v>
      </c>
      <c r="BH29" s="7">
        <f t="shared" si="35"/>
        <v>567982.00256808172</v>
      </c>
      <c r="BI29" s="7">
        <f t="shared" si="35"/>
        <v>550942.54249103926</v>
      </c>
      <c r="BJ29" s="7">
        <f t="shared" si="35"/>
        <v>534414.26621630811</v>
      </c>
      <c r="BK29" s="7">
        <f t="shared" si="35"/>
        <v>518381.83822981885</v>
      </c>
      <c r="BL29" s="7">
        <f t="shared" si="35"/>
        <v>502830.38308292429</v>
      </c>
      <c r="BM29" s="7">
        <f t="shared" si="35"/>
        <v>487745.47159043653</v>
      </c>
      <c r="BN29" s="7">
        <f t="shared" si="35"/>
        <v>473113.10744272341</v>
      </c>
      <c r="BO29" s="7">
        <f t="shared" si="35"/>
        <v>458919.7142194417</v>
      </c>
      <c r="BP29" s="7">
        <f t="shared" si="35"/>
        <v>445152.12279285846</v>
      </c>
      <c r="BQ29" s="7">
        <f t="shared" si="35"/>
        <v>431797.55910907267</v>
      </c>
      <c r="BR29" s="7">
        <f t="shared" si="35"/>
        <v>418843.6323358005</v>
      </c>
      <c r="BS29" s="7">
        <f t="shared" si="35"/>
        <v>406278.32336572645</v>
      </c>
      <c r="BT29" s="7">
        <f t="shared" si="35"/>
        <v>394089.97366475465</v>
      </c>
      <c r="BU29" s="7">
        <f t="shared" si="35"/>
        <v>382267.274454812</v>
      </c>
      <c r="BV29" s="7">
        <f t="shared" si="35"/>
        <v>370799.25622116763</v>
      </c>
      <c r="BW29" s="7">
        <f t="shared" si="35"/>
        <v>359675.27853453258</v>
      </c>
      <c r="BX29" s="7">
        <f t="shared" si="35"/>
        <v>348885.0201784966</v>
      </c>
      <c r="BY29" s="7">
        <f t="shared" si="35"/>
        <v>338418.46957314172</v>
      </c>
      <c r="BZ29" s="7">
        <f t="shared" si="35"/>
        <v>328265.91548594745</v>
      </c>
      <c r="CA29" s="7">
        <f t="shared" si="35"/>
        <v>318417.93802136905</v>
      </c>
      <c r="CB29" s="7">
        <f t="shared" si="35"/>
        <v>308865.39988072799</v>
      </c>
      <c r="CC29" s="7">
        <f t="shared" si="35"/>
        <v>299599.43788430613</v>
      </c>
      <c r="CD29" s="7">
        <f t="shared" si="35"/>
        <v>290611.45474777691</v>
      </c>
      <c r="CE29" s="7">
        <f t="shared" si="35"/>
        <v>281893.11110534362</v>
      </c>
      <c r="CF29" s="7">
        <f t="shared" si="35"/>
        <v>273436.31777218328</v>
      </c>
      <c r="CG29" s="7">
        <f t="shared" si="35"/>
        <v>265233.22823901777</v>
      </c>
      <c r="CH29" s="7">
        <f t="shared" si="35"/>
        <v>257276.23139184722</v>
      </c>
      <c r="CI29" s="7">
        <f t="shared" si="35"/>
        <v>249557.9444500918</v>
      </c>
      <c r="CJ29" s="7">
        <f t="shared" si="35"/>
        <v>242071.20611658905</v>
      </c>
      <c r="CK29" s="7">
        <f t="shared" si="35"/>
        <v>234809.06993309138</v>
      </c>
      <c r="CL29" s="7">
        <f t="shared" si="35"/>
        <v>227764.79783509864</v>
      </c>
      <c r="CM29" s="7">
        <f t="shared" si="35"/>
        <v>220931.85390004568</v>
      </c>
      <c r="CN29" s="7">
        <f t="shared" si="35"/>
        <v>214303.89828304431</v>
      </c>
      <c r="CO29" s="7">
        <f t="shared" si="35"/>
        <v>207874.78133455297</v>
      </c>
      <c r="CP29" s="7">
        <f t="shared" si="35"/>
        <v>201638.53789451637</v>
      </c>
      <c r="CQ29" s="7">
        <f t="shared" si="35"/>
        <v>195589.38175768088</v>
      </c>
      <c r="CR29" s="7">
        <f t="shared" si="35"/>
        <v>189721.70030495044</v>
      </c>
      <c r="CS29" s="7">
        <f t="shared" si="35"/>
        <v>184030.04929580193</v>
      </c>
      <c r="CT29" s="7">
        <f t="shared" si="35"/>
        <v>178509.14781692787</v>
      </c>
      <c r="CU29" s="7">
        <f t="shared" si="35"/>
        <v>173153.87338242002</v>
      </c>
      <c r="CV29" s="7">
        <f t="shared" si="35"/>
        <v>167959.2571809474</v>
      </c>
      <c r="CW29" s="7">
        <f t="shared" si="35"/>
        <v>162920.47946551899</v>
      </c>
      <c r="CX29" s="7">
        <f t="shared" si="35"/>
        <v>158032.86508155341</v>
      </c>
      <c r="CY29" s="7">
        <f t="shared" si="35"/>
        <v>153291.87912910679</v>
      </c>
      <c r="CZ29" s="7">
        <f t="shared" si="35"/>
        <v>148693.12275523358</v>
      </c>
      <c r="DA29" s="7">
        <f t="shared" si="35"/>
        <v>144232.32907257657</v>
      </c>
      <c r="DB29" s="7">
        <f t="shared" si="35"/>
        <v>139905.35920039928</v>
      </c>
      <c r="DC29" s="7">
        <f t="shared" si="35"/>
        <v>135708.19842438729</v>
      </c>
      <c r="DD29" s="7">
        <f t="shared" si="35"/>
        <v>131636.95247165568</v>
      </c>
      <c r="DE29" s="7">
        <f t="shared" si="35"/>
        <v>127687.843897506</v>
      </c>
      <c r="DF29" s="7">
        <f t="shared" si="35"/>
        <v>123857.20858058082</v>
      </c>
      <c r="DG29" s="7">
        <f t="shared" si="35"/>
        <v>120141.49232316339</v>
      </c>
      <c r="DH29" s="7">
        <f t="shared" si="35"/>
        <v>116537.24755346848</v>
      </c>
      <c r="DI29" s="7">
        <f t="shared" si="35"/>
        <v>113041.13012686442</v>
      </c>
      <c r="DJ29" s="7">
        <f t="shared" ref="DJ29:FU29" si="36">DI29*(1-$AZ$32)</f>
        <v>109649.89622305849</v>
      </c>
      <c r="DK29" s="7">
        <f t="shared" si="36"/>
        <v>106360.39933636673</v>
      </c>
      <c r="DL29" s="7">
        <f t="shared" si="36"/>
        <v>103169.58735627572</v>
      </c>
      <c r="DM29" s="7">
        <f t="shared" si="36"/>
        <v>100074.49973558745</v>
      </c>
      <c r="DN29" s="7">
        <f t="shared" si="36"/>
        <v>97072.264743519831</v>
      </c>
      <c r="DO29" s="7">
        <f t="shared" si="36"/>
        <v>94160.09680121424</v>
      </c>
      <c r="DP29" s="7">
        <f t="shared" si="36"/>
        <v>91335.293897177806</v>
      </c>
      <c r="DQ29" s="7">
        <f t="shared" si="36"/>
        <v>88595.235080262471</v>
      </c>
      <c r="DR29" s="7">
        <f t="shared" si="36"/>
        <v>85937.378027854589</v>
      </c>
      <c r="DS29" s="7">
        <f t="shared" si="36"/>
        <v>83359.256687018948</v>
      </c>
      <c r="DT29" s="7">
        <f t="shared" si="36"/>
        <v>80858.478986408372</v>
      </c>
      <c r="DU29" s="7">
        <f t="shared" si="36"/>
        <v>78432.724616816122</v>
      </c>
      <c r="DV29" s="7">
        <f t="shared" si="36"/>
        <v>76079.742878311634</v>
      </c>
      <c r="DW29" s="7">
        <f t="shared" si="36"/>
        <v>73797.350591962284</v>
      </c>
      <c r="DX29" s="7">
        <f t="shared" si="36"/>
        <v>71583.43007420341</v>
      </c>
      <c r="DY29" s="7">
        <f t="shared" si="36"/>
        <v>69435.92717197731</v>
      </c>
      <c r="DZ29" s="7">
        <f t="shared" si="36"/>
        <v>67352.849356817984</v>
      </c>
      <c r="EA29" s="7">
        <f t="shared" si="36"/>
        <v>65332.263876113444</v>
      </c>
      <c r="EB29" s="7">
        <f t="shared" si="36"/>
        <v>63372.295959830037</v>
      </c>
      <c r="EC29" s="7">
        <f t="shared" si="36"/>
        <v>61471.127081035134</v>
      </c>
      <c r="ED29" s="7">
        <f t="shared" si="36"/>
        <v>59626.993268604077</v>
      </c>
      <c r="EE29" s="7">
        <f t="shared" si="36"/>
        <v>57838.183470545955</v>
      </c>
      <c r="EF29" s="7">
        <f t="shared" si="36"/>
        <v>56103.037966429576</v>
      </c>
      <c r="EG29" s="7">
        <f t="shared" si="36"/>
        <v>54419.946827436688</v>
      </c>
      <c r="EH29" s="7">
        <f t="shared" si="36"/>
        <v>52787.348422613584</v>
      </c>
      <c r="EI29" s="7">
        <f t="shared" si="36"/>
        <v>51203.727969935178</v>
      </c>
      <c r="EJ29" s="7">
        <f t="shared" si="36"/>
        <v>49667.616130837123</v>
      </c>
      <c r="EK29" s="7">
        <f t="shared" si="36"/>
        <v>48177.587646912005</v>
      </c>
      <c r="EL29" s="7">
        <f t="shared" si="36"/>
        <v>46732.260017504646</v>
      </c>
      <c r="EM29" s="7">
        <f t="shared" si="36"/>
        <v>45330.292216979506</v>
      </c>
      <c r="EN29" s="7">
        <f t="shared" si="36"/>
        <v>43970.383450470123</v>
      </c>
      <c r="EO29" s="7">
        <f t="shared" si="36"/>
        <v>42651.271946956018</v>
      </c>
      <c r="EP29" s="7">
        <f t="shared" si="36"/>
        <v>41371.733788547339</v>
      </c>
      <c r="EQ29" s="7">
        <f t="shared" si="36"/>
        <v>40130.581774890918</v>
      </c>
      <c r="ER29" s="7">
        <f t="shared" si="36"/>
        <v>38926.664321644188</v>
      </c>
      <c r="ES29" s="7">
        <f t="shared" si="36"/>
        <v>37758.864391994859</v>
      </c>
      <c r="ET29" s="7">
        <f t="shared" si="36"/>
        <v>36626.098460235014</v>
      </c>
      <c r="EU29" s="7">
        <f t="shared" si="36"/>
        <v>35527.315506427964</v>
      </c>
      <c r="EV29" s="7">
        <f t="shared" si="36"/>
        <v>34461.496041235121</v>
      </c>
      <c r="EW29" s="7">
        <f t="shared" si="36"/>
        <v>33427.651159998066</v>
      </c>
      <c r="EX29" s="7">
        <f t="shared" si="36"/>
        <v>32424.821625198121</v>
      </c>
      <c r="EY29" s="7">
        <f t="shared" si="36"/>
        <v>31452.076976442178</v>
      </c>
      <c r="EZ29" s="7">
        <f t="shared" si="36"/>
        <v>30508.514667148913</v>
      </c>
      <c r="FA29" s="7">
        <f t="shared" si="36"/>
        <v>29593.259227134444</v>
      </c>
      <c r="FB29" s="7">
        <f t="shared" si="36"/>
        <v>28705.46145032041</v>
      </c>
      <c r="FC29" s="7">
        <f t="shared" si="36"/>
        <v>27844.297606810796</v>
      </c>
      <c r="FD29" s="7">
        <f t="shared" si="36"/>
        <v>27008.96867860647</v>
      </c>
      <c r="FE29" s="7">
        <f t="shared" si="36"/>
        <v>26198.699618248276</v>
      </c>
      <c r="FF29" s="7">
        <f t="shared" si="36"/>
        <v>25412.738629700827</v>
      </c>
      <c r="FG29" s="7">
        <f t="shared" si="36"/>
        <v>24650.356470809802</v>
      </c>
      <c r="FH29" s="7">
        <f t="shared" si="36"/>
        <v>23910.845776685506</v>
      </c>
      <c r="FI29" s="7">
        <f t="shared" si="36"/>
        <v>23193.52040338494</v>
      </c>
      <c r="FJ29" s="7">
        <f t="shared" si="36"/>
        <v>22497.71479128339</v>
      </c>
      <c r="FK29" s="7">
        <f t="shared" si="36"/>
        <v>21822.783347544886</v>
      </c>
      <c r="FL29" s="7">
        <f t="shared" si="36"/>
        <v>21168.099847118538</v>
      </c>
      <c r="FM29" s="7">
        <f t="shared" si="36"/>
        <v>20533.05685170498</v>
      </c>
      <c r="FN29" s="7">
        <f t="shared" si="36"/>
        <v>19917.065146153829</v>
      </c>
      <c r="FO29" s="7">
        <f t="shared" si="36"/>
        <v>19319.553191769213</v>
      </c>
      <c r="FP29" s="7">
        <f t="shared" si="36"/>
        <v>18739.966596016136</v>
      </c>
      <c r="FQ29" s="7">
        <f t="shared" si="36"/>
        <v>18177.767598135651</v>
      </c>
      <c r="FR29" s="7">
        <f t="shared" si="36"/>
        <v>17632.434570191581</v>
      </c>
      <c r="FS29" s="7">
        <f t="shared" si="36"/>
        <v>17103.461533085832</v>
      </c>
      <c r="FT29" s="7">
        <f t="shared" si="36"/>
        <v>16590.357687093256</v>
      </c>
      <c r="FU29" s="7">
        <f t="shared" si="36"/>
        <v>16092.646956480457</v>
      </c>
      <c r="FV29" s="7">
        <f t="shared" ref="FV29:IG29" si="37">FU29*(1-$AZ$32)</f>
        <v>15609.867547786043</v>
      </c>
      <c r="FW29" s="7">
        <f t="shared" si="37"/>
        <v>15141.571521352462</v>
      </c>
      <c r="FX29" s="7">
        <f t="shared" si="37"/>
        <v>14687.324375711887</v>
      </c>
      <c r="FY29" s="7">
        <f t="shared" si="37"/>
        <v>14246.70464444053</v>
      </c>
      <c r="FZ29" s="7">
        <f t="shared" si="37"/>
        <v>13819.303505107313</v>
      </c>
      <c r="GA29" s="7">
        <f t="shared" si="37"/>
        <v>13404.724399954093</v>
      </c>
      <c r="GB29" s="7">
        <f t="shared" si="37"/>
        <v>13002.58266795547</v>
      </c>
      <c r="GC29" s="7">
        <f t="shared" si="37"/>
        <v>12612.505187916806</v>
      </c>
      <c r="GD29" s="7">
        <f t="shared" si="37"/>
        <v>12234.130032279301</v>
      </c>
      <c r="GE29" s="7">
        <f t="shared" si="37"/>
        <v>11867.106131310922</v>
      </c>
      <c r="GF29" s="7">
        <f t="shared" si="37"/>
        <v>11511.092947371593</v>
      </c>
      <c r="GG29" s="7">
        <f t="shared" si="37"/>
        <v>11165.760158950445</v>
      </c>
      <c r="GH29" s="7">
        <f t="shared" si="37"/>
        <v>10830.787354181932</v>
      </c>
      <c r="GI29" s="7">
        <f t="shared" si="37"/>
        <v>10505.863733556473</v>
      </c>
      <c r="GJ29" s="7">
        <f t="shared" si="37"/>
        <v>10190.687821549778</v>
      </c>
      <c r="GK29" s="7">
        <f t="shared" si="37"/>
        <v>9884.9671869032845</v>
      </c>
      <c r="GL29" s="7">
        <f t="shared" si="37"/>
        <v>9588.4181712961854</v>
      </c>
      <c r="GM29" s="7">
        <f t="shared" si="37"/>
        <v>9300.7656261572993</v>
      </c>
      <c r="GN29" s="7">
        <f t="shared" si="37"/>
        <v>9021.7426573725807</v>
      </c>
      <c r="GO29" s="7">
        <f t="shared" si="37"/>
        <v>8751.0903776514024</v>
      </c>
      <c r="GP29" s="7">
        <f t="shared" si="37"/>
        <v>8488.5576663218599</v>
      </c>
      <c r="GQ29" s="7">
        <f t="shared" si="37"/>
        <v>8233.9009363322039</v>
      </c>
      <c r="GR29" s="7">
        <f t="shared" si="37"/>
        <v>7986.8839082422373</v>
      </c>
      <c r="GS29" s="7">
        <f t="shared" si="37"/>
        <v>7747.2773909949701</v>
      </c>
      <c r="GT29" s="7">
        <f t="shared" si="37"/>
        <v>7514.8590692651205</v>
      </c>
      <c r="GU29" s="7">
        <f t="shared" si="37"/>
        <v>7289.4132971871668</v>
      </c>
      <c r="GV29" s="7">
        <f t="shared" si="37"/>
        <v>7070.7308982715513</v>
      </c>
      <c r="GW29" s="7">
        <f t="shared" si="37"/>
        <v>6858.6089713234041</v>
      </c>
      <c r="GX29" s="7">
        <f t="shared" si="37"/>
        <v>6652.8507021837022</v>
      </c>
      <c r="GY29" s="7">
        <f t="shared" si="37"/>
        <v>6453.2651811181913</v>
      </c>
      <c r="GZ29" s="7">
        <f t="shared" si="37"/>
        <v>6259.667225684645</v>
      </c>
      <c r="HA29" s="7">
        <f t="shared" si="37"/>
        <v>6071.8772089141057</v>
      </c>
      <c r="HB29" s="7">
        <f t="shared" si="37"/>
        <v>5889.7208926466828</v>
      </c>
      <c r="HC29" s="7">
        <f t="shared" si="37"/>
        <v>5713.0292658672824</v>
      </c>
      <c r="HD29" s="7">
        <f t="shared" si="37"/>
        <v>5541.6383878912638</v>
      </c>
      <c r="HE29" s="7">
        <f t="shared" si="37"/>
        <v>5375.3892362545257</v>
      </c>
      <c r="HF29" s="7">
        <f t="shared" si="37"/>
        <v>5214.12755916689</v>
      </c>
      <c r="HG29" s="7">
        <f t="shared" si="37"/>
        <v>5057.703732391883</v>
      </c>
      <c r="HH29" s="7">
        <f t="shared" si="37"/>
        <v>4905.9726204201261</v>
      </c>
      <c r="HI29" s="7">
        <f t="shared" si="37"/>
        <v>4758.793441807522</v>
      </c>
      <c r="HJ29" s="7">
        <f t="shared" si="37"/>
        <v>4616.0296385532965</v>
      </c>
      <c r="HK29" s="7">
        <f t="shared" si="37"/>
        <v>4477.5487493966975</v>
      </c>
      <c r="HL29" s="7">
        <f t="shared" si="37"/>
        <v>4343.2222869147963</v>
      </c>
      <c r="HM29" s="7">
        <f t="shared" si="37"/>
        <v>4212.9256183073521</v>
      </c>
      <c r="HN29" s="7">
        <f t="shared" si="37"/>
        <v>4086.5378497581314</v>
      </c>
      <c r="HO29" s="7">
        <f t="shared" si="37"/>
        <v>3963.9417142653874</v>
      </c>
      <c r="HP29" s="7">
        <f t="shared" si="37"/>
        <v>3845.0234628374255</v>
      </c>
      <c r="HQ29" s="7">
        <f t="shared" si="37"/>
        <v>3729.6727589523025</v>
      </c>
      <c r="HR29" s="7">
        <f t="shared" si="37"/>
        <v>3617.7825761837335</v>
      </c>
      <c r="HS29" s="7">
        <f t="shared" si="37"/>
        <v>3509.2490988982213</v>
      </c>
      <c r="HT29" s="7">
        <f t="shared" si="37"/>
        <v>3403.9716259312745</v>
      </c>
      <c r="HU29" s="7">
        <f t="shared" si="37"/>
        <v>3301.8524771533362</v>
      </c>
      <c r="HV29" s="7">
        <f t="shared" si="37"/>
        <v>3202.7969028387361</v>
      </c>
      <c r="HW29" s="7">
        <f t="shared" si="37"/>
        <v>3106.712995753574</v>
      </c>
      <c r="HX29" s="7">
        <f t="shared" si="37"/>
        <v>3013.5116058809667</v>
      </c>
      <c r="HY29" s="7">
        <f t="shared" si="37"/>
        <v>2923.1062577045377</v>
      </c>
      <c r="HZ29" s="7">
        <f t="shared" si="37"/>
        <v>2835.4130699734014</v>
      </c>
      <c r="IA29" s="7">
        <f t="shared" si="37"/>
        <v>2750.3506778741994</v>
      </c>
      <c r="IB29" s="7">
        <f t="shared" si="37"/>
        <v>2667.8401575379735</v>
      </c>
      <c r="IC29" s="7">
        <f t="shared" si="37"/>
        <v>2587.804952811834</v>
      </c>
      <c r="ID29" s="7">
        <f t="shared" si="37"/>
        <v>2510.170804227479</v>
      </c>
      <c r="IE29" s="7">
        <f t="shared" si="37"/>
        <v>2434.8656801006546</v>
      </c>
      <c r="IF29" s="7">
        <f t="shared" si="37"/>
        <v>2361.8197096976351</v>
      </c>
      <c r="IG29" s="7">
        <f t="shared" si="37"/>
        <v>2290.9651184067061</v>
      </c>
      <c r="IH29" s="7">
        <f t="shared" ref="IH29:KS29" si="38">IG29*(1-$AZ$32)</f>
        <v>2222.2361648545048</v>
      </c>
      <c r="II29" s="7">
        <f t="shared" si="38"/>
        <v>2155.5690799088698</v>
      </c>
      <c r="IJ29" s="7">
        <f t="shared" si="38"/>
        <v>2090.9020075116036</v>
      </c>
      <c r="IK29" s="7">
        <f t="shared" si="38"/>
        <v>2028.1749472862555</v>
      </c>
      <c r="IL29" s="7">
        <f t="shared" si="38"/>
        <v>1967.3296988676677</v>
      </c>
      <c r="IM29" s="7">
        <f t="shared" si="38"/>
        <v>1908.3098079016377</v>
      </c>
      <c r="IN29" s="7">
        <f t="shared" si="38"/>
        <v>1851.0605136645886</v>
      </c>
      <c r="IO29" s="7">
        <f t="shared" si="38"/>
        <v>1795.5286982546509</v>
      </c>
      <c r="IP29" s="7">
        <f t="shared" si="38"/>
        <v>1741.6628373070114</v>
      </c>
      <c r="IQ29" s="7">
        <f t="shared" si="38"/>
        <v>1689.412952187801</v>
      </c>
      <c r="IR29" s="7">
        <f t="shared" si="38"/>
        <v>1638.730563622167</v>
      </c>
      <c r="IS29" s="7">
        <f t="shared" si="38"/>
        <v>1589.5686467135019</v>
      </c>
      <c r="IT29" s="7">
        <f t="shared" si="38"/>
        <v>1541.8815873120968</v>
      </c>
      <c r="IU29" s="7">
        <f t="shared" si="38"/>
        <v>1495.6251396927339</v>
      </c>
      <c r="IV29" s="7">
        <f t="shared" si="38"/>
        <v>1450.7563855019519</v>
      </c>
      <c r="IW29" s="7">
        <f t="shared" si="38"/>
        <v>1407.2336939368934</v>
      </c>
      <c r="IX29" s="7">
        <f t="shared" si="38"/>
        <v>1365.0166831187864</v>
      </c>
      <c r="IY29" s="7">
        <f t="shared" si="38"/>
        <v>1324.0661826252228</v>
      </c>
      <c r="IZ29" s="7">
        <f t="shared" si="38"/>
        <v>1284.3441971464661</v>
      </c>
      <c r="JA29" s="7">
        <f t="shared" si="38"/>
        <v>1245.813871232072</v>
      </c>
      <c r="JB29" s="7">
        <f t="shared" si="38"/>
        <v>1208.4394550951097</v>
      </c>
      <c r="JC29" s="7">
        <f t="shared" si="38"/>
        <v>1172.1862714422564</v>
      </c>
      <c r="JD29" s="7">
        <f t="shared" si="38"/>
        <v>1137.0206832989886</v>
      </c>
      <c r="JE29" s="7">
        <f t="shared" si="38"/>
        <v>1102.910062800019</v>
      </c>
      <c r="JF29" s="7">
        <f t="shared" si="38"/>
        <v>1069.8227609160183</v>
      </c>
      <c r="JG29" s="7">
        <f t="shared" si="38"/>
        <v>1037.7280780885378</v>
      </c>
      <c r="JH29" s="7">
        <f t="shared" si="38"/>
        <v>1006.5962357458817</v>
      </c>
      <c r="JI29" s="7">
        <f t="shared" si="38"/>
        <v>976.39834867350521</v>
      </c>
      <c r="JJ29" s="7">
        <f t="shared" si="38"/>
        <v>947.10639821330005</v>
      </c>
      <c r="JK29" s="7">
        <f t="shared" si="38"/>
        <v>918.69320626690103</v>
      </c>
      <c r="JL29" s="7">
        <f t="shared" si="38"/>
        <v>891.13241007889394</v>
      </c>
      <c r="JM29" s="7">
        <f t="shared" si="38"/>
        <v>864.39843777652709</v>
      </c>
      <c r="JN29" s="7">
        <f t="shared" si="38"/>
        <v>838.4664846432313</v>
      </c>
      <c r="JO29" s="7">
        <f t="shared" si="38"/>
        <v>813.31249010393435</v>
      </c>
      <c r="JP29" s="7">
        <f t="shared" si="38"/>
        <v>788.91311540081631</v>
      </c>
      <c r="JQ29" s="7">
        <f t="shared" si="38"/>
        <v>765.2457219387918</v>
      </c>
      <c r="JR29" s="7">
        <f t="shared" si="38"/>
        <v>742.28835028062804</v>
      </c>
      <c r="JS29" s="7">
        <f t="shared" si="38"/>
        <v>720.01969977220915</v>
      </c>
      <c r="JT29" s="7">
        <f t="shared" si="38"/>
        <v>698.41910877904286</v>
      </c>
      <c r="JU29" s="7">
        <f t="shared" si="38"/>
        <v>677.46653551567158</v>
      </c>
      <c r="JV29" s="7">
        <f t="shared" si="38"/>
        <v>657.14253945020141</v>
      </c>
      <c r="JW29" s="7">
        <f t="shared" si="38"/>
        <v>637.42826326669535</v>
      </c>
      <c r="JX29" s="7">
        <f t="shared" si="38"/>
        <v>618.30541536869453</v>
      </c>
      <c r="JY29" s="7">
        <f t="shared" si="38"/>
        <v>599.75625290763367</v>
      </c>
      <c r="JZ29" s="7">
        <f t="shared" si="38"/>
        <v>581.76356532040461</v>
      </c>
      <c r="KA29" s="7">
        <f t="shared" si="38"/>
        <v>564.31065836079244</v>
      </c>
      <c r="KB29" s="7">
        <f t="shared" si="38"/>
        <v>547.38133860996868</v>
      </c>
      <c r="KC29" s="7">
        <f t="shared" si="38"/>
        <v>530.95989845166957</v>
      </c>
      <c r="KD29" s="7">
        <f t="shared" si="38"/>
        <v>515.03110149811948</v>
      </c>
      <c r="KE29" s="7">
        <f t="shared" si="38"/>
        <v>499.58016845317587</v>
      </c>
      <c r="KF29" s="7">
        <f t="shared" si="38"/>
        <v>484.59276339958058</v>
      </c>
      <c r="KG29" s="7">
        <f t="shared" si="38"/>
        <v>470.05498049759314</v>
      </c>
      <c r="KH29" s="7">
        <f t="shared" si="38"/>
        <v>455.95333108266533</v>
      </c>
      <c r="KI29" s="7">
        <f t="shared" si="38"/>
        <v>442.27473115018535</v>
      </c>
      <c r="KJ29" s="7">
        <f t="shared" si="38"/>
        <v>429.00648921567978</v>
      </c>
      <c r="KK29" s="7">
        <f t="shared" si="38"/>
        <v>416.13629453920936</v>
      </c>
      <c r="KL29" s="7">
        <f t="shared" si="38"/>
        <v>403.65220570303308</v>
      </c>
      <c r="KM29" s="7">
        <f t="shared" si="38"/>
        <v>391.54263953194209</v>
      </c>
      <c r="KN29" s="7">
        <f t="shared" si="38"/>
        <v>379.79636034598383</v>
      </c>
      <c r="KO29" s="7">
        <f t="shared" si="38"/>
        <v>368.40246953560433</v>
      </c>
      <c r="KP29" s="7">
        <f t="shared" si="38"/>
        <v>357.35039544953617</v>
      </c>
      <c r="KQ29" s="7">
        <f t="shared" si="38"/>
        <v>346.62988358605008</v>
      </c>
      <c r="KR29" s="7">
        <f t="shared" si="38"/>
        <v>336.23098707846856</v>
      </c>
      <c r="KS29" s="7">
        <f t="shared" si="38"/>
        <v>326.14405746611448</v>
      </c>
      <c r="KT29" s="7">
        <f t="shared" ref="KT29:NE29" si="39">KS29*(1-$AZ$32)</f>
        <v>316.35973574213102</v>
      </c>
      <c r="KU29" s="7">
        <f t="shared" si="39"/>
        <v>306.86894366986706</v>
      </c>
      <c r="KV29" s="7">
        <f t="shared" si="39"/>
        <v>297.66287535977102</v>
      </c>
      <c r="KW29" s="7">
        <f t="shared" si="39"/>
        <v>288.7329890989779</v>
      </c>
      <c r="KX29" s="7">
        <f t="shared" si="39"/>
        <v>280.07099942600854</v>
      </c>
      <c r="KY29" s="7">
        <f t="shared" si="39"/>
        <v>271.66886944322829</v>
      </c>
      <c r="KZ29" s="7">
        <f t="shared" si="39"/>
        <v>263.51880335993144</v>
      </c>
      <c r="LA29" s="7">
        <f t="shared" si="39"/>
        <v>255.61323925913348</v>
      </c>
      <c r="LB29" s="7">
        <f t="shared" si="39"/>
        <v>247.94484208135947</v>
      </c>
      <c r="LC29" s="7">
        <f t="shared" si="39"/>
        <v>240.50649681891869</v>
      </c>
      <c r="LD29" s="7">
        <f t="shared" si="39"/>
        <v>233.29130191435112</v>
      </c>
      <c r="LE29" s="7">
        <f t="shared" si="39"/>
        <v>226.2925628569206</v>
      </c>
      <c r="LF29" s="7">
        <f t="shared" si="39"/>
        <v>219.50378597121298</v>
      </c>
      <c r="LG29" s="7">
        <f t="shared" si="39"/>
        <v>212.91867239207659</v>
      </c>
      <c r="LH29" s="7">
        <f t="shared" si="39"/>
        <v>206.53111222031427</v>
      </c>
      <c r="LI29" s="7">
        <f t="shared" si="39"/>
        <v>200.33517885370483</v>
      </c>
      <c r="LJ29" s="7">
        <f t="shared" si="39"/>
        <v>194.32512348809368</v>
      </c>
      <c r="LK29" s="7">
        <f t="shared" si="39"/>
        <v>188.49536978345085</v>
      </c>
      <c r="LL29" s="7">
        <f t="shared" si="39"/>
        <v>182.84050868994731</v>
      </c>
      <c r="LM29" s="7">
        <f t="shared" si="39"/>
        <v>177.35529342924889</v>
      </c>
      <c r="LN29" s="7">
        <f t="shared" si="39"/>
        <v>172.03463462637143</v>
      </c>
      <c r="LO29" s="7">
        <f t="shared" si="39"/>
        <v>166.87359558758027</v>
      </c>
      <c r="LP29" s="7">
        <f t="shared" si="39"/>
        <v>161.86738771995286</v>
      </c>
      <c r="LQ29" s="7">
        <f t="shared" si="39"/>
        <v>157.01136608835427</v>
      </c>
      <c r="LR29" s="7">
        <f t="shared" si="39"/>
        <v>152.30102510570364</v>
      </c>
      <c r="LS29" s="7">
        <f t="shared" si="39"/>
        <v>147.73199435253252</v>
      </c>
      <c r="LT29" s="7">
        <f t="shared" si="39"/>
        <v>143.30003452195655</v>
      </c>
      <c r="LU29" s="7">
        <f t="shared" si="39"/>
        <v>139.00103348629784</v>
      </c>
      <c r="LV29" s="7">
        <f t="shared" si="39"/>
        <v>134.83100248170891</v>
      </c>
      <c r="LW29" s="7">
        <f t="shared" si="39"/>
        <v>130.78607240725765</v>
      </c>
      <c r="LX29" s="7">
        <f t="shared" si="39"/>
        <v>126.86249023503991</v>
      </c>
      <c r="LY29" s="7">
        <f t="shared" si="39"/>
        <v>123.05661552798871</v>
      </c>
      <c r="LZ29" s="7">
        <f t="shared" si="39"/>
        <v>119.36491706214905</v>
      </c>
      <c r="MA29" s="7">
        <f t="shared" si="39"/>
        <v>115.78396955028457</v>
      </c>
      <c r="MB29" s="7">
        <f t="shared" si="39"/>
        <v>112.31045046377602</v>
      </c>
      <c r="MC29" s="7">
        <f t="shared" si="39"/>
        <v>108.94113694986274</v>
      </c>
      <c r="MD29" s="7">
        <f t="shared" si="39"/>
        <v>105.67290284136685</v>
      </c>
      <c r="ME29" s="7">
        <f t="shared" si="39"/>
        <v>102.50271575612584</v>
      </c>
      <c r="MF29" s="7">
        <f t="shared" si="39"/>
        <v>99.42763428344206</v>
      </c>
      <c r="MG29" s="7">
        <f t="shared" si="39"/>
        <v>96.4448052549388</v>
      </c>
      <c r="MH29" s="7">
        <f t="shared" si="39"/>
        <v>93.551461097290627</v>
      </c>
      <c r="MI29" s="7">
        <f t="shared" si="39"/>
        <v>90.744917264371907</v>
      </c>
      <c r="MJ29" s="7">
        <f t="shared" si="39"/>
        <v>88.022569746440752</v>
      </c>
      <c r="MK29" s="7">
        <f t="shared" si="39"/>
        <v>85.381892654047533</v>
      </c>
      <c r="ML29" s="7">
        <f t="shared" si="39"/>
        <v>82.82043587442611</v>
      </c>
      <c r="MM29" s="7">
        <f t="shared" si="39"/>
        <v>80.33582279819332</v>
      </c>
      <c r="MN29" s="7">
        <f t="shared" si="39"/>
        <v>77.925748114247511</v>
      </c>
      <c r="MO29" s="7">
        <f t="shared" si="39"/>
        <v>75.587975670820086</v>
      </c>
      <c r="MP29" s="7">
        <f t="shared" si="39"/>
        <v>73.320336400695481</v>
      </c>
      <c r="MQ29" s="7">
        <f t="shared" si="39"/>
        <v>71.12072630867462</v>
      </c>
      <c r="MR29" s="7">
        <f t="shared" si="39"/>
        <v>68.987104519414373</v>
      </c>
      <c r="MS29" s="7">
        <f t="shared" si="39"/>
        <v>66.917491383831944</v>
      </c>
      <c r="MT29" s="7">
        <f t="shared" si="39"/>
        <v>64.909966642316988</v>
      </c>
      <c r="MU29" s="7">
        <f t="shared" si="39"/>
        <v>62.962667643047475</v>
      </c>
      <c r="MV29" s="7">
        <f t="shared" si="39"/>
        <v>61.073787613756046</v>
      </c>
      <c r="MW29" s="7">
        <f t="shared" si="39"/>
        <v>59.241573985343365</v>
      </c>
      <c r="MX29" s="7">
        <f t="shared" si="39"/>
        <v>57.464326765783063</v>
      </c>
      <c r="MY29" s="7">
        <f t="shared" si="39"/>
        <v>55.740396962809569</v>
      </c>
      <c r="MZ29" s="7">
        <f t="shared" si="39"/>
        <v>54.068185053925284</v>
      </c>
      <c r="NA29" s="7">
        <f t="shared" si="39"/>
        <v>52.446139502307524</v>
      </c>
      <c r="NB29" s="7">
        <f t="shared" si="39"/>
        <v>50.872755317238294</v>
      </c>
      <c r="NC29" s="7">
        <f t="shared" si="39"/>
        <v>49.346572657721147</v>
      </c>
      <c r="ND29" s="7">
        <f t="shared" si="39"/>
        <v>47.866175477989515</v>
      </c>
      <c r="NE29" s="7">
        <f t="shared" si="39"/>
        <v>46.43019021364983</v>
      </c>
      <c r="NF29" s="7">
        <f t="shared" ref="NF29:OP29" si="40">NE29*(1-$AZ$32)</f>
        <v>45.037284507240336</v>
      </c>
      <c r="NG29" s="7">
        <f t="shared" si="40"/>
        <v>43.686165972023126</v>
      </c>
      <c r="NH29" s="7">
        <f t="shared" si="40"/>
        <v>42.375580992862432</v>
      </c>
      <c r="NI29" s="7">
        <f t="shared" si="40"/>
        <v>41.104313563076559</v>
      </c>
      <c r="NJ29" s="7">
        <f t="shared" si="40"/>
        <v>39.871184156184263</v>
      </c>
      <c r="NK29" s="7">
        <f t="shared" si="40"/>
        <v>38.675048631498733</v>
      </c>
      <c r="NL29" s="7">
        <f t="shared" si="40"/>
        <v>37.51479717255377</v>
      </c>
      <c r="NM29" s="7">
        <f t="shared" si="40"/>
        <v>36.389353257377159</v>
      </c>
      <c r="NN29" s="7">
        <f t="shared" si="40"/>
        <v>35.297672659655845</v>
      </c>
      <c r="NO29" s="7">
        <f t="shared" si="40"/>
        <v>34.238742479866168</v>
      </c>
      <c r="NP29" s="7">
        <f t="shared" si="40"/>
        <v>33.211580205470185</v>
      </c>
      <c r="NQ29" s="7">
        <f t="shared" si="40"/>
        <v>32.215232799306079</v>
      </c>
      <c r="NR29" s="7">
        <f t="shared" si="40"/>
        <v>31.248775815326898</v>
      </c>
      <c r="NS29" s="7">
        <f t="shared" si="40"/>
        <v>30.311312540867089</v>
      </c>
      <c r="NT29" s="7">
        <f t="shared" si="40"/>
        <v>29.401973164641074</v>
      </c>
      <c r="NU29" s="7">
        <f t="shared" si="40"/>
        <v>28.51991396970184</v>
      </c>
      <c r="NV29" s="7">
        <f t="shared" si="40"/>
        <v>27.664316550610785</v>
      </c>
      <c r="NW29" s="7">
        <f t="shared" si="40"/>
        <v>26.83438705409246</v>
      </c>
      <c r="NX29" s="7">
        <f t="shared" si="40"/>
        <v>26.029355442469686</v>
      </c>
      <c r="NY29" s="7">
        <f t="shared" si="40"/>
        <v>25.248474779195597</v>
      </c>
      <c r="NZ29" s="7">
        <f t="shared" si="40"/>
        <v>24.491020535819729</v>
      </c>
      <c r="OA29" s="7">
        <f t="shared" si="40"/>
        <v>23.756289919745136</v>
      </c>
      <c r="OB29" s="7">
        <f t="shared" si="40"/>
        <v>23.04360122215278</v>
      </c>
      <c r="OC29" s="7">
        <f t="shared" si="40"/>
        <v>22.352293185488197</v>
      </c>
      <c r="OD29" s="7">
        <f t="shared" si="40"/>
        <v>21.681724389923549</v>
      </c>
      <c r="OE29" s="7">
        <f t="shared" si="40"/>
        <v>21.031272658225841</v>
      </c>
      <c r="OF29" s="7">
        <f t="shared" si="40"/>
        <v>20.400334478479067</v>
      </c>
      <c r="OG29" s="7">
        <f t="shared" si="40"/>
        <v>19.788324444124694</v>
      </c>
      <c r="OH29" s="7">
        <f t="shared" si="40"/>
        <v>19.194674710800953</v>
      </c>
      <c r="OI29" s="7">
        <f t="shared" si="40"/>
        <v>18.618834469476923</v>
      </c>
      <c r="OJ29" s="7">
        <f t="shared" si="40"/>
        <v>18.060269435392616</v>
      </c>
      <c r="OK29" s="7">
        <f t="shared" si="40"/>
        <v>17.518461352330839</v>
      </c>
      <c r="OL29" s="7">
        <f t="shared" si="40"/>
        <v>16.992907511760912</v>
      </c>
      <c r="OM29" s="7">
        <f t="shared" si="40"/>
        <v>16.483120286408084</v>
      </c>
      <c r="ON29" s="7">
        <f t="shared" si="40"/>
        <v>15.988626677815841</v>
      </c>
      <c r="OO29" s="7">
        <f t="shared" si="40"/>
        <v>15.508967877481366</v>
      </c>
      <c r="OP29" s="7">
        <f t="shared" si="40"/>
        <v>15.043698841156925</v>
      </c>
    </row>
    <row r="30" spans="1:406" s="2" customFormat="1" x14ac:dyDescent="0.25">
      <c r="A30" s="1"/>
      <c r="B30" s="2" t="s">
        <v>1</v>
      </c>
      <c r="C30" s="2">
        <v>82604</v>
      </c>
      <c r="D30" s="2">
        <v>83039</v>
      </c>
      <c r="E30" s="2">
        <v>83336</v>
      </c>
      <c r="F30" s="2">
        <v>83654</v>
      </c>
      <c r="G30" s="2">
        <v>84266</v>
      </c>
      <c r="H30" s="2">
        <v>170314</v>
      </c>
      <c r="I30" s="2">
        <v>85625</v>
      </c>
      <c r="J30" s="2">
        <v>86000</v>
      </c>
      <c r="K30" s="2">
        <v>85902</v>
      </c>
      <c r="L30" s="2">
        <v>170776</v>
      </c>
      <c r="Y30" s="2">
        <v>81947</v>
      </c>
      <c r="Z30" s="2">
        <v>83162</v>
      </c>
      <c r="AA30" s="2">
        <v>85265</v>
      </c>
    </row>
    <row r="31" spans="1:406" s="8" customFormat="1" x14ac:dyDescent="0.25">
      <c r="B31" s="8" t="s">
        <v>27</v>
      </c>
      <c r="C31" s="8">
        <f t="shared" ref="C31:K31" si="41">C29/C30</f>
        <v>-0.25148903200813522</v>
      </c>
      <c r="D31" s="8">
        <f t="shared" si="41"/>
        <v>-0.56363877214320979</v>
      </c>
      <c r="E31" s="8">
        <f t="shared" si="41"/>
        <v>-8.7345204953441488E-2</v>
      </c>
      <c r="F31" s="8">
        <f t="shared" si="41"/>
        <v>1.7054175532550744</v>
      </c>
      <c r="G31" s="8">
        <f t="shared" si="41"/>
        <v>-0.14387772055158665</v>
      </c>
      <c r="H31" s="8">
        <f t="shared" si="41"/>
        <v>3.8828281879352257E-2</v>
      </c>
      <c r="I31" s="8">
        <f t="shared" si="41"/>
        <v>-0.16805839416058393</v>
      </c>
      <c r="J31" s="8">
        <f t="shared" si="41"/>
        <v>1.3847674418604652</v>
      </c>
      <c r="K31" s="8">
        <f t="shared" si="41"/>
        <v>0.99441223720053085</v>
      </c>
      <c r="L31" s="8">
        <f>L29/L30</f>
        <v>0.17611959525928703</v>
      </c>
      <c r="Y31" s="8">
        <f t="shared" ref="Y31" si="42">Y29/Y30</f>
        <v>-4.217140346809523</v>
      </c>
      <c r="Z31" s="8">
        <f t="shared" ref="Z31" si="43">Z29/Z30</f>
        <v>0.8153724056660494</v>
      </c>
      <c r="AA31" s="8">
        <f t="shared" ref="AA31" si="44">AA29/AA30</f>
        <v>1.163302644695948</v>
      </c>
      <c r="AB31" s="8" t="e">
        <f t="shared" ref="AB31" si="45">AB29/AB30</f>
        <v>#DIV/0!</v>
      </c>
      <c r="AY31" s="8" t="s">
        <v>164</v>
      </c>
      <c r="BC31" s="8" t="s">
        <v>165</v>
      </c>
    </row>
    <row r="32" spans="1:406" x14ac:dyDescent="0.25">
      <c r="AY32" s="1" t="s">
        <v>158</v>
      </c>
      <c r="AZ32" s="12">
        <v>0.03</v>
      </c>
      <c r="BC32" s="1" t="s">
        <v>158</v>
      </c>
      <c r="BD32" s="12">
        <v>0.03</v>
      </c>
    </row>
    <row r="33" spans="2:56" x14ac:dyDescent="0.25">
      <c r="AY33" s="1" t="s">
        <v>159</v>
      </c>
      <c r="AZ33" s="12">
        <v>0.115</v>
      </c>
      <c r="BC33" s="1" t="s">
        <v>159</v>
      </c>
      <c r="BD33" s="12">
        <v>0.115</v>
      </c>
    </row>
    <row r="34" spans="2:56" x14ac:dyDescent="0.25">
      <c r="AY34" s="1" t="s">
        <v>160</v>
      </c>
      <c r="AZ34" s="2">
        <f>NPV(AZ33,AC29:OP29)+AB29+L54</f>
        <v>4511495.3999534659</v>
      </c>
      <c r="BC34" s="1" t="s">
        <v>160</v>
      </c>
      <c r="BD34" s="2">
        <f>NPV(BD33,AC107:OP107)+AB107+L54</f>
        <v>9084927.1296325326</v>
      </c>
    </row>
    <row r="35" spans="2:56" s="12" customFormat="1" x14ac:dyDescent="0.25">
      <c r="B35" s="12" t="s">
        <v>40</v>
      </c>
      <c r="C35" s="12">
        <f t="shared" ref="C35:J35" si="46">C15/C9</f>
        <v>0.69910161242748992</v>
      </c>
      <c r="D35" s="12">
        <f t="shared" si="46"/>
        <v>0.67767242882240131</v>
      </c>
      <c r="E35" s="12">
        <f t="shared" si="46"/>
        <v>0.71981185920518287</v>
      </c>
      <c r="F35" s="12">
        <f t="shared" si="46"/>
        <v>0.80885767122912156</v>
      </c>
      <c r="G35" s="12">
        <f t="shared" si="46"/>
        <v>0.71328529412655572</v>
      </c>
      <c r="H35" s="12">
        <f t="shared" si="46"/>
        <v>0.72392091196714825</v>
      </c>
      <c r="I35" s="12">
        <f t="shared" si="46"/>
        <v>0.70248884786955856</v>
      </c>
      <c r="J35" s="12">
        <f t="shared" si="46"/>
        <v>0.79146547684534363</v>
      </c>
      <c r="K35" s="12">
        <f t="shared" ref="K35" si="47">K15/K9</f>
        <v>0.78460283453839408</v>
      </c>
      <c r="L35" s="12">
        <f>L15/L9</f>
        <v>0.71503100033288947</v>
      </c>
      <c r="Y35" s="12">
        <f t="shared" ref="Y35:AA35" si="48">Y15/Y9</f>
        <v>0.7202743873520786</v>
      </c>
      <c r="Z35" s="12">
        <f t="shared" si="48"/>
        <v>0.73580987508166873</v>
      </c>
      <c r="AA35" s="12">
        <f t="shared" si="48"/>
        <v>0.73906611095526253</v>
      </c>
      <c r="AK35" s="2"/>
      <c r="AY35" s="12" t="s">
        <v>161</v>
      </c>
      <c r="AZ35" s="16">
        <f>AZ34/L30</f>
        <v>26.417619571564305</v>
      </c>
      <c r="BC35" s="12" t="s">
        <v>161</v>
      </c>
      <c r="BD35" s="16">
        <f>BD34/L30</f>
        <v>53.197914985902777</v>
      </c>
    </row>
    <row r="36" spans="2:56" s="12" customFormat="1" x14ac:dyDescent="0.25">
      <c r="B36" s="12" t="s">
        <v>41</v>
      </c>
      <c r="C36" s="12">
        <f t="shared" ref="C36:J36" si="49">C16/C15</f>
        <v>0.65833838743418682</v>
      </c>
      <c r="D36" s="12">
        <f t="shared" si="49"/>
        <v>0.71171732763397455</v>
      </c>
      <c r="E36" s="12">
        <f t="shared" si="49"/>
        <v>0.54632181999335772</v>
      </c>
      <c r="F36" s="12">
        <f t="shared" si="49"/>
        <v>0.349135919621885</v>
      </c>
      <c r="G36" s="12">
        <f t="shared" si="49"/>
        <v>0.54225462760468646</v>
      </c>
      <c r="H36" s="12">
        <f t="shared" si="49"/>
        <v>0.54979209856534239</v>
      </c>
      <c r="I36" s="12">
        <f t="shared" si="49"/>
        <v>0.55910818764670844</v>
      </c>
      <c r="J36" s="12">
        <f t="shared" si="49"/>
        <v>0.35949546302850893</v>
      </c>
      <c r="K36" s="12">
        <f t="shared" ref="K36" si="50">K16/K15</f>
        <v>0.36997666024443771</v>
      </c>
      <c r="L36" s="12">
        <f>L16/L15</f>
        <v>0.53514246848380365</v>
      </c>
      <c r="Y36" s="12">
        <f t="shared" ref="Y36:AA36" si="51">Y16/Y15</f>
        <v>0.65821999346825255</v>
      </c>
      <c r="Z36" s="12">
        <f t="shared" si="51"/>
        <v>0.53046152620210163</v>
      </c>
      <c r="AA36" s="12">
        <f t="shared" si="51"/>
        <v>0.48330117531167677</v>
      </c>
      <c r="AK36" s="2"/>
      <c r="AY36" s="12" t="s">
        <v>163</v>
      </c>
      <c r="AZ36" s="16">
        <f>Main!K6</f>
        <v>51.22</v>
      </c>
      <c r="BC36" s="12" t="s">
        <v>163</v>
      </c>
      <c r="BD36" s="16">
        <f>Main!K6</f>
        <v>51.22</v>
      </c>
    </row>
    <row r="37" spans="2:56" s="12" customFormat="1" x14ac:dyDescent="0.25">
      <c r="B37" s="12" t="s">
        <v>42</v>
      </c>
      <c r="C37" s="12">
        <f t="shared" ref="C37:J37" si="52">C17/C15</f>
        <v>0.33126774428886602</v>
      </c>
      <c r="D37" s="12">
        <f t="shared" si="52"/>
        <v>0.36576327871447795</v>
      </c>
      <c r="E37" s="12">
        <f t="shared" si="52"/>
        <v>0.31117153769511791</v>
      </c>
      <c r="F37" s="12">
        <f t="shared" si="52"/>
        <v>0.18574664939114205</v>
      </c>
      <c r="G37" s="12">
        <f t="shared" si="52"/>
        <v>0.306226617803804</v>
      </c>
      <c r="H37" s="12">
        <f t="shared" si="52"/>
        <v>0.29670701436231101</v>
      </c>
      <c r="I37" s="12">
        <f t="shared" si="52"/>
        <v>0.32476001121115511</v>
      </c>
      <c r="J37" s="12">
        <f t="shared" si="52"/>
        <v>0.19661239461998842</v>
      </c>
      <c r="K37" s="12">
        <f t="shared" ref="K37" si="53">K17/K15</f>
        <v>0.19906051454648255</v>
      </c>
      <c r="L37" s="12">
        <f>L17/L15</f>
        <v>0.28655187715048486</v>
      </c>
      <c r="Y37" s="12">
        <f t="shared" ref="Y37:AA37" si="54">Y17/Y15</f>
        <v>0.31009892436868552</v>
      </c>
      <c r="Z37" s="12">
        <f t="shared" si="54"/>
        <v>0.28033654197335628</v>
      </c>
      <c r="AA37" s="12">
        <f t="shared" si="54"/>
        <v>0.26938089406831356</v>
      </c>
      <c r="AY37" s="10" t="s">
        <v>162</v>
      </c>
      <c r="AZ37" s="10">
        <f>AZ35/AZ36-1</f>
        <v>-0.48423233948527322</v>
      </c>
      <c r="BC37" s="10" t="s">
        <v>162</v>
      </c>
      <c r="BD37" s="10">
        <f>BD35/BD36-1</f>
        <v>3.8616067666981113E-2</v>
      </c>
    </row>
    <row r="38" spans="2:56" s="12" customFormat="1" x14ac:dyDescent="0.25">
      <c r="B38" s="12" t="s">
        <v>43</v>
      </c>
      <c r="C38" s="12">
        <f t="shared" ref="C38:J38" si="55">C22/C9</f>
        <v>-6.8227067151705831E-2</v>
      </c>
      <c r="D38" s="12">
        <f t="shared" si="55"/>
        <v>-0.13843255059208498</v>
      </c>
      <c r="E38" s="12">
        <f t="shared" si="55"/>
        <v>-3.2321010748768093E-2</v>
      </c>
      <c r="F38" s="12">
        <f t="shared" si="55"/>
        <v>0.32740446151997016</v>
      </c>
      <c r="G38" s="12">
        <f t="shared" si="55"/>
        <v>-6.182700433443284E-2</v>
      </c>
      <c r="H38" s="12">
        <f t="shared" si="55"/>
        <v>3.6924075830193678E-2</v>
      </c>
      <c r="I38" s="12">
        <f t="shared" si="55"/>
        <v>-3.5874480849100138E-2</v>
      </c>
      <c r="J38" s="12">
        <f t="shared" si="55"/>
        <v>0.29132082391051894</v>
      </c>
      <c r="K38" s="12">
        <f t="shared" ref="K38" si="56">K22/K9</f>
        <v>0.26698946456616762</v>
      </c>
      <c r="L38" s="12">
        <f>L22/L9</f>
        <v>4.4937479194407458E-2</v>
      </c>
      <c r="Y38" s="12">
        <f t="shared" ref="Y38:AA38" si="57">Y22/Y9</f>
        <v>-8.3018109109948432E-2</v>
      </c>
      <c r="Z38" s="12">
        <f t="shared" si="57"/>
        <v>5.6507815073962596E-2</v>
      </c>
      <c r="AA38" s="12">
        <f t="shared" si="57"/>
        <v>8.2743557888831004E-2</v>
      </c>
    </row>
    <row r="39" spans="2:56" s="12" customFormat="1" x14ac:dyDescent="0.25">
      <c r="B39" s="12" t="s">
        <v>44</v>
      </c>
      <c r="C39" s="12">
        <f t="shared" ref="C39:J39" si="58">SUM(C23:C26)/C22</f>
        <v>-0.30086463118076195</v>
      </c>
      <c r="D39" s="12">
        <f t="shared" si="58"/>
        <v>-2.6325986921772827E-2</v>
      </c>
      <c r="E39" s="12">
        <f t="shared" si="58"/>
        <v>-0.65477071005917165</v>
      </c>
      <c r="F39" s="12">
        <f t="shared" si="58"/>
        <v>-2.3443638658817772E-3</v>
      </c>
      <c r="G39" s="12">
        <f t="shared" si="58"/>
        <v>-0.25720164609053497</v>
      </c>
      <c r="H39" s="12">
        <f t="shared" si="58"/>
        <v>0.17653863951874132</v>
      </c>
      <c r="I39" s="12">
        <f t="shared" si="58"/>
        <v>-3.0872137895549268E-3</v>
      </c>
      <c r="J39" s="12">
        <f t="shared" si="58"/>
        <v>7.8180839085524062E-2</v>
      </c>
      <c r="K39" s="12">
        <f t="shared" ref="K39" si="59">SUM(K23:K26)/K22</f>
        <v>-5.3469198119522167E-3</v>
      </c>
      <c r="L39" s="12">
        <f>SUM(L23:L26)/L22</f>
        <v>0.46113779732623417</v>
      </c>
      <c r="Y39" s="12">
        <f t="shared" ref="Y39:AA39" si="60">SUM(Y23:Y26)/Y22</f>
        <v>0.47888122115077009</v>
      </c>
      <c r="Z39" s="12">
        <f t="shared" si="60"/>
        <v>0.17894112705981174</v>
      </c>
      <c r="AA39" s="12">
        <f t="shared" si="60"/>
        <v>0.15138599635136663</v>
      </c>
    </row>
    <row r="40" spans="2:56" s="12" customFormat="1" x14ac:dyDescent="0.25">
      <c r="B40" s="12" t="s">
        <v>45</v>
      </c>
      <c r="C40" s="12">
        <f t="shared" ref="C40:J40" si="61">C29/C9</f>
        <v>-6.3827303116704356E-2</v>
      </c>
      <c r="D40" s="12">
        <f t="shared" si="61"/>
        <v>-0.15691928064693497</v>
      </c>
      <c r="E40" s="12">
        <f t="shared" si="61"/>
        <v>-2.1751538206387106E-2</v>
      </c>
      <c r="F40" s="12">
        <f t="shared" si="61"/>
        <v>0.30083313476708706</v>
      </c>
      <c r="G40" s="12">
        <f t="shared" si="61"/>
        <v>-3.6723035496309217E-2</v>
      </c>
      <c r="H40" s="12">
        <f t="shared" si="61"/>
        <v>1.8832246912314575E-2</v>
      </c>
      <c r="I40" s="12">
        <f t="shared" si="61"/>
        <v>-4.4270112290416858E-2</v>
      </c>
      <c r="J40" s="12">
        <f t="shared" si="61"/>
        <v>0.24262983110241834</v>
      </c>
      <c r="K40" s="12">
        <f t="shared" ref="K40" si="62">K29/K9</f>
        <v>0.17959645356819229</v>
      </c>
      <c r="L40" s="12">
        <f>L29/L9</f>
        <v>7.8221225865512653E-2</v>
      </c>
      <c r="Y40" s="12">
        <f t="shared" ref="Y40:AD40" si="63">Y29/Y9</f>
        <v>-0.26223266013833191</v>
      </c>
      <c r="Z40" s="12">
        <f t="shared" si="63"/>
        <v>4.7331594788833857E-2</v>
      </c>
      <c r="AA40" s="12">
        <f t="shared" si="63"/>
        <v>6.6250551035947583E-2</v>
      </c>
      <c r="AB40" s="12">
        <f t="shared" si="63"/>
        <v>0.12966014025771549</v>
      </c>
      <c r="AC40" s="12">
        <f t="shared" si="63"/>
        <v>0.1374931129476584</v>
      </c>
      <c r="AD40" s="12">
        <f t="shared" si="63"/>
        <v>0.13878943920535047</v>
      </c>
      <c r="AE40" s="12">
        <v>0.14000000000000001</v>
      </c>
      <c r="AF40" s="12">
        <v>0.14199999999999999</v>
      </c>
      <c r="AG40" s="12">
        <v>0.14499999999999999</v>
      </c>
      <c r="AH40" s="12">
        <v>0.14699999999999999</v>
      </c>
      <c r="AI40" s="12">
        <v>0.14899999999999999</v>
      </c>
      <c r="AJ40" s="12">
        <v>0.15</v>
      </c>
      <c r="AK40" s="12">
        <v>0.15</v>
      </c>
      <c r="AL40" s="12">
        <v>0.15</v>
      </c>
      <c r="AM40" s="12">
        <v>0.15</v>
      </c>
      <c r="AN40" s="12">
        <v>0.15</v>
      </c>
      <c r="AO40" s="12">
        <v>0.15</v>
      </c>
      <c r="AP40" s="12">
        <v>0.15</v>
      </c>
      <c r="AQ40" s="12">
        <v>0.15</v>
      </c>
      <c r="AR40" s="12">
        <v>0.15</v>
      </c>
      <c r="AS40" s="12">
        <v>0.15</v>
      </c>
      <c r="AT40" s="12">
        <v>0.15</v>
      </c>
      <c r="AU40" s="12">
        <v>0.15</v>
      </c>
      <c r="AV40" s="12">
        <v>0.15</v>
      </c>
    </row>
    <row r="41" spans="2:56" s="12" customFormat="1" x14ac:dyDescent="0.25"/>
    <row r="42" spans="2:56" s="12" customFormat="1" x14ac:dyDescent="0.25">
      <c r="B42" s="12" t="s">
        <v>73</v>
      </c>
      <c r="G42" s="12">
        <f t="shared" ref="G42:K42" si="64">G3/C3-1</f>
        <v>0.21341502980190774</v>
      </c>
      <c r="H42" s="12">
        <f t="shared" si="64"/>
        <v>0.1653268209589529</v>
      </c>
      <c r="I42" s="12">
        <f t="shared" si="64"/>
        <v>0.22084039308708903</v>
      </c>
      <c r="J42" s="12">
        <f t="shared" si="64"/>
        <v>0.24339820185132877</v>
      </c>
      <c r="K42" s="12">
        <f t="shared" si="64"/>
        <v>0.15447433958228296</v>
      </c>
      <c r="L42" s="12">
        <f>L3/H3-1</f>
        <v>0.24355264531718457</v>
      </c>
      <c r="Z42" s="12">
        <f t="shared" ref="Z42" si="65">Z3/Y3-1</f>
        <v>0.20052775254963295</v>
      </c>
      <c r="AA42" s="12">
        <f>AA3/Z3-1</f>
        <v>0.21114261436548398</v>
      </c>
    </row>
    <row r="43" spans="2:56" s="12" customFormat="1" x14ac:dyDescent="0.25">
      <c r="B43" s="12" t="s">
        <v>46</v>
      </c>
      <c r="G43" s="12">
        <f t="shared" ref="G43:K43" si="66">G9/C9-1</f>
        <v>1.4363754793039085E-2</v>
      </c>
      <c r="H43" s="12">
        <f t="shared" si="66"/>
        <v>0.17730698566389957</v>
      </c>
      <c r="I43" s="12">
        <f t="shared" si="66"/>
        <v>-2.8666369832926475E-2</v>
      </c>
      <c r="J43" s="12">
        <f t="shared" si="66"/>
        <v>3.4997564488342237E-2</v>
      </c>
      <c r="K43" s="12">
        <f t="shared" si="66"/>
        <v>0.4406703680481725</v>
      </c>
      <c r="L43" s="12">
        <f>L9/H9-1</f>
        <v>9.4998476447588409E-2</v>
      </c>
      <c r="M43" s="12">
        <f t="shared" ref="M43:T43" si="67">M9/I9-1</f>
        <v>8.2910321489001682E-2</v>
      </c>
      <c r="N43" s="12">
        <f t="shared" si="67"/>
        <v>6.4584479351303958E-3</v>
      </c>
      <c r="O43" s="12">
        <f t="shared" si="67"/>
        <v>4.976526019010441E-3</v>
      </c>
      <c r="P43" s="12">
        <f t="shared" si="67"/>
        <v>7.148801597869503E-2</v>
      </c>
      <c r="Q43" s="12">
        <f t="shared" si="67"/>
        <v>0.11363636363636354</v>
      </c>
      <c r="R43" s="12">
        <f t="shared" si="67"/>
        <v>7.8947368421052655E-2</v>
      </c>
      <c r="S43" s="12">
        <f t="shared" si="67"/>
        <v>5.6485355648535629E-2</v>
      </c>
      <c r="T43" s="12">
        <f t="shared" si="67"/>
        <v>9.7087378640776656E-2</v>
      </c>
      <c r="U43" s="12">
        <v>0.1</v>
      </c>
      <c r="V43" s="12">
        <v>0.09</v>
      </c>
      <c r="Z43" s="12">
        <f>Z9/Y9-1</f>
        <v>8.7089908145494999E-2</v>
      </c>
      <c r="AA43" s="12">
        <f>AA9/Z9-1</f>
        <v>4.5067205727145287E-2</v>
      </c>
      <c r="AB43" s="12">
        <f t="shared" ref="AB43:AD43" si="68">AB9/AA9-1</f>
        <v>0.13957239610467687</v>
      </c>
      <c r="AC43" s="12">
        <f t="shared" si="68"/>
        <v>6.3801728458015017E-2</v>
      </c>
      <c r="AD43" s="12">
        <f t="shared" si="68"/>
        <v>8.4942148760330571E-2</v>
      </c>
      <c r="AE43" s="12">
        <v>7.0000000000000007E-2</v>
      </c>
      <c r="AF43" s="12">
        <v>7.0000000000000007E-2</v>
      </c>
      <c r="AG43" s="12">
        <v>7.0000000000000007E-2</v>
      </c>
      <c r="AH43" s="12">
        <v>7.0000000000000007E-2</v>
      </c>
      <c r="AI43" s="12">
        <v>7.0000000000000007E-2</v>
      </c>
      <c r="AJ43" s="12">
        <v>7.0000000000000007E-2</v>
      </c>
      <c r="AK43" s="12">
        <v>7.0000000000000007E-2</v>
      </c>
      <c r="AL43" s="12">
        <v>7.0000000000000007E-2</v>
      </c>
      <c r="AM43" s="12">
        <v>6.5000000000000002E-2</v>
      </c>
      <c r="AN43" s="12">
        <v>0.06</v>
      </c>
      <c r="AO43" s="12">
        <v>5.5E-2</v>
      </c>
      <c r="AP43" s="12">
        <v>0.05</v>
      </c>
      <c r="AQ43" s="12">
        <v>4.4999999999999998E-2</v>
      </c>
      <c r="AR43" s="12">
        <v>4.4999999999999998E-2</v>
      </c>
      <c r="AS43" s="12">
        <v>4.4999999999999998E-2</v>
      </c>
      <c r="AT43" s="12">
        <v>4.4999999999999998E-2</v>
      </c>
      <c r="AU43" s="12">
        <v>0.04</v>
      </c>
      <c r="AV43" s="12">
        <v>0.04</v>
      </c>
    </row>
    <row r="44" spans="2:56" s="12" customFormat="1" x14ac:dyDescent="0.25"/>
    <row r="45" spans="2:56" s="12" customFormat="1" x14ac:dyDescent="0.25">
      <c r="B45" s="12" t="s">
        <v>74</v>
      </c>
      <c r="C45" s="12">
        <f t="shared" ref="C45:J45" si="69">C3/C$9</f>
        <v>0.33145401140497494</v>
      </c>
      <c r="D45" s="12">
        <f t="shared" si="69"/>
        <v>0.38577051510721899</v>
      </c>
      <c r="E45" s="12">
        <f t="shared" si="69"/>
        <v>0.35273410769088254</v>
      </c>
      <c r="F45" s="12">
        <f t="shared" si="69"/>
        <v>0.25376977139929108</v>
      </c>
      <c r="G45" s="12">
        <f t="shared" si="69"/>
        <v>0.39649610627992987</v>
      </c>
      <c r="H45" s="12">
        <f t="shared" si="69"/>
        <v>0.3818449507764422</v>
      </c>
      <c r="I45" s="12">
        <f t="shared" si="69"/>
        <v>0.44334102445777573</v>
      </c>
      <c r="J45" s="12">
        <f t="shared" si="69"/>
        <v>0.30486726565205874</v>
      </c>
      <c r="K45" s="12">
        <f t="shared" ref="K45" si="70">K3/K$9</f>
        <v>0.31773026682337013</v>
      </c>
      <c r="L45" s="12">
        <f t="shared" ref="L45:L50" si="71">L3/L$9</f>
        <v>0.43364836468042611</v>
      </c>
      <c r="Y45" s="12">
        <f t="shared" ref="Y45:AA45" si="72">Y3/Y$9</f>
        <v>0.29159043741866458</v>
      </c>
      <c r="Z45" s="12">
        <f t="shared" si="72"/>
        <v>0.32201790291327193</v>
      </c>
      <c r="AA45" s="12">
        <f t="shared" si="72"/>
        <v>0.37319093228603106</v>
      </c>
    </row>
    <row r="46" spans="2:56" s="12" customFormat="1" x14ac:dyDescent="0.25">
      <c r="B46" s="12" t="s">
        <v>75</v>
      </c>
      <c r="C46" s="12">
        <f t="shared" ref="C46:J46" si="73">C4/C$9</f>
        <v>0.24466006292399961</v>
      </c>
      <c r="D46" s="12">
        <f t="shared" si="73"/>
        <v>0.27506135421835398</v>
      </c>
      <c r="E46" s="12">
        <f t="shared" si="73"/>
        <v>0.24963319119180738</v>
      </c>
      <c r="F46" s="12">
        <f t="shared" si="73"/>
        <v>0.18270765636301142</v>
      </c>
      <c r="G46" s="12">
        <f t="shared" si="73"/>
        <v>0.24534828424913752</v>
      </c>
      <c r="H46" s="12">
        <f t="shared" si="73"/>
        <v>0.22880055132662971</v>
      </c>
      <c r="I46" s="12">
        <f t="shared" si="73"/>
        <v>0.24827564990001538</v>
      </c>
      <c r="J46" s="12">
        <f t="shared" si="73"/>
        <v>0.1655501904936536</v>
      </c>
      <c r="K46" s="12">
        <f t="shared" ref="K46" si="74">K4/K$9</f>
        <v>0.16056076849167319</v>
      </c>
      <c r="L46" s="12">
        <f t="shared" si="71"/>
        <v>0.20616001581225032</v>
      </c>
      <c r="Y46" s="12">
        <f t="shared" ref="Y46:AA46" si="75">Y4/Y$9</f>
        <v>0.24097219323972091</v>
      </c>
      <c r="Z46" s="12">
        <f t="shared" si="75"/>
        <v>0.23164337128721166</v>
      </c>
      <c r="AA46" s="12">
        <f t="shared" si="75"/>
        <v>0.21594197090530196</v>
      </c>
    </row>
    <row r="47" spans="2:56" s="12" customFormat="1" x14ac:dyDescent="0.25">
      <c r="B47" s="12" t="s">
        <v>47</v>
      </c>
      <c r="C47" s="12">
        <f t="shared" ref="C47:J47" si="76">C5/C$9</f>
        <v>0.57611407432897455</v>
      </c>
      <c r="D47" s="12">
        <f t="shared" si="76"/>
        <v>0.66083186932557303</v>
      </c>
      <c r="E47" s="12">
        <f t="shared" si="76"/>
        <v>0.60236729888268992</v>
      </c>
      <c r="F47" s="12">
        <f t="shared" si="76"/>
        <v>0.43647742776230247</v>
      </c>
      <c r="G47" s="12">
        <f t="shared" si="76"/>
        <v>0.64184439052906739</v>
      </c>
      <c r="H47" s="12">
        <f t="shared" si="76"/>
        <v>0.61064550210307189</v>
      </c>
      <c r="I47" s="12">
        <f t="shared" si="76"/>
        <v>0.69161667435779106</v>
      </c>
      <c r="J47" s="12">
        <f t="shared" si="76"/>
        <v>0.47041745614571234</v>
      </c>
      <c r="K47" s="12">
        <f t="shared" ref="K47" si="77">K5/K$9</f>
        <v>0.4782910353150433</v>
      </c>
      <c r="L47" s="12">
        <f t="shared" si="71"/>
        <v>0.63980838049267641</v>
      </c>
      <c r="Y47" s="12">
        <f t="shared" ref="Y47:AA47" si="78">Y5/Y$9</f>
        <v>0.53256263065838549</v>
      </c>
      <c r="Z47" s="12">
        <f t="shared" si="78"/>
        <v>0.55366127420048361</v>
      </c>
      <c r="AA47" s="12">
        <f t="shared" si="78"/>
        <v>0.58913290319133305</v>
      </c>
    </row>
    <row r="48" spans="2:56" s="12" customFormat="1" x14ac:dyDescent="0.25">
      <c r="B48" s="12" t="s">
        <v>48</v>
      </c>
      <c r="C48" s="12">
        <f t="shared" ref="C48:J48" si="79">C6/C$9</f>
        <v>0.2597059040409006</v>
      </c>
      <c r="D48" s="12">
        <f t="shared" si="79"/>
        <v>0.13812075046602384</v>
      </c>
      <c r="E48" s="12">
        <f t="shared" si="79"/>
        <v>0.22215316023344281</v>
      </c>
      <c r="F48" s="12">
        <f t="shared" si="79"/>
        <v>0.43767304257611767</v>
      </c>
      <c r="G48" s="12">
        <f t="shared" si="79"/>
        <v>0.19184787382590179</v>
      </c>
      <c r="H48" s="12">
        <f t="shared" si="79"/>
        <v>0.24105446913453679</v>
      </c>
      <c r="I48" s="12">
        <f t="shared" si="79"/>
        <v>0.13973234886940469</v>
      </c>
      <c r="J48" s="12">
        <f t="shared" si="79"/>
        <v>0.41704256056068295</v>
      </c>
      <c r="K48" s="12">
        <f t="shared" ref="K48" si="80">K6/K$9</f>
        <v>0.39222467742986716</v>
      </c>
      <c r="L48" s="12">
        <f t="shared" si="71"/>
        <v>0.20795969956724367</v>
      </c>
      <c r="Y48" s="12">
        <f t="shared" ref="Y48:AA48" si="81">Y6/Y$9</f>
        <v>0.27777394154851293</v>
      </c>
      <c r="Z48" s="12">
        <f t="shared" si="81"/>
        <v>0.28453193319075037</v>
      </c>
      <c r="AA48" s="12">
        <f t="shared" si="81"/>
        <v>0.26590122764129898</v>
      </c>
    </row>
    <row r="49" spans="2:29" s="12" customFormat="1" x14ac:dyDescent="0.25">
      <c r="B49" s="12" t="s">
        <v>49</v>
      </c>
      <c r="C49" s="12">
        <f t="shared" ref="C49:J49" si="82">C7/C$9</f>
        <v>0.16294181988005113</v>
      </c>
      <c r="D49" s="12">
        <f t="shared" si="82"/>
        <v>0.19575348344441912</v>
      </c>
      <c r="E49" s="12">
        <f t="shared" si="82"/>
        <v>0.16727079305409048</v>
      </c>
      <c r="F49" s="12">
        <f t="shared" si="82"/>
        <v>0.11452176461781445</v>
      </c>
      <c r="G49" s="12">
        <f t="shared" si="82"/>
        <v>0.16370586435739232</v>
      </c>
      <c r="H49" s="12">
        <f t="shared" si="82"/>
        <v>0.14819750934777717</v>
      </c>
      <c r="I49" s="12">
        <f t="shared" si="82"/>
        <v>0.16724811567451162</v>
      </c>
      <c r="J49" s="12">
        <f t="shared" si="82"/>
        <v>0.10761770877900699</v>
      </c>
      <c r="K49" s="12">
        <f t="shared" ref="K49" si="83">K7/K$9</f>
        <v>0.12703281731923563</v>
      </c>
      <c r="L49" s="12">
        <f t="shared" si="71"/>
        <v>0.15038282290279628</v>
      </c>
      <c r="Y49" s="12">
        <f t="shared" ref="Y49:AA49" si="84">Y7/Y$9</f>
        <v>0.17502361810379824</v>
      </c>
      <c r="Z49" s="12">
        <f t="shared" si="84"/>
        <v>0.15475605465805212</v>
      </c>
      <c r="AA49" s="12">
        <f t="shared" si="84"/>
        <v>0.14244980563459303</v>
      </c>
    </row>
    <row r="50" spans="2:29" s="12" customFormat="1" x14ac:dyDescent="0.25">
      <c r="B50" s="12" t="s">
        <v>50</v>
      </c>
      <c r="C50" s="12">
        <f t="shared" ref="C50:J50" si="85">C8/C$9</f>
        <v>1.238201750073739E-3</v>
      </c>
      <c r="D50" s="12">
        <f t="shared" si="85"/>
        <v>5.293896763984068E-3</v>
      </c>
      <c r="E50" s="12">
        <f t="shared" si="85"/>
        <v>8.2087478297768069E-3</v>
      </c>
      <c r="F50" s="12">
        <f t="shared" si="85"/>
        <v>1.1327765043765406E-2</v>
      </c>
      <c r="G50" s="12">
        <f t="shared" si="85"/>
        <v>2.6018712876385366E-3</v>
      </c>
      <c r="H50" s="12">
        <f t="shared" si="85"/>
        <v>1.0251941461414255E-4</v>
      </c>
      <c r="I50" s="12">
        <f t="shared" si="85"/>
        <v>1.4028610982925703E-3</v>
      </c>
      <c r="J50" s="12">
        <f t="shared" si="85"/>
        <v>4.922274514597722E-3</v>
      </c>
      <c r="K50" s="12">
        <f t="shared" ref="K50" si="86">K8/K$9</f>
        <v>2.4514699358539043E-3</v>
      </c>
      <c r="L50" s="12">
        <f t="shared" si="71"/>
        <v>1.8490970372836218E-3</v>
      </c>
      <c r="Y50" s="12">
        <f t="shared" ref="Y50:AA50" si="87">Y8/Y$9</f>
        <v>1.463980968930337E-2</v>
      </c>
      <c r="Z50" s="12">
        <f t="shared" si="87"/>
        <v>7.0507379507139386E-3</v>
      </c>
      <c r="AA50" s="12">
        <f t="shared" si="87"/>
        <v>2.5160635327749503E-3</v>
      </c>
    </row>
    <row r="52" spans="2:29" x14ac:dyDescent="0.25">
      <c r="AC52" s="1" t="s">
        <v>157</v>
      </c>
    </row>
    <row r="54" spans="2:29" s="2" customFormat="1" x14ac:dyDescent="0.25">
      <c r="B54" s="2" t="s">
        <v>52</v>
      </c>
      <c r="C54" s="2">
        <f t="shared" ref="C54:K54" si="88">C55+C56-C68</f>
        <v>0</v>
      </c>
      <c r="D54" s="2">
        <f t="shared" si="88"/>
        <v>0</v>
      </c>
      <c r="E54" s="2">
        <f t="shared" si="88"/>
        <v>0</v>
      </c>
      <c r="F54" s="2">
        <f t="shared" si="88"/>
        <v>-76030</v>
      </c>
      <c r="G54" s="2">
        <f t="shared" si="88"/>
        <v>118964</v>
      </c>
      <c r="H54" s="2">
        <f t="shared" si="88"/>
        <v>164472</v>
      </c>
      <c r="I54" s="2">
        <f t="shared" si="88"/>
        <v>201765</v>
      </c>
      <c r="J54" s="2">
        <f t="shared" si="88"/>
        <v>272503</v>
      </c>
      <c r="K54" s="2">
        <f t="shared" si="88"/>
        <v>371736</v>
      </c>
      <c r="L54" s="2">
        <f>L55+L56-L68</f>
        <v>411567</v>
      </c>
      <c r="Z54" s="2">
        <f t="shared" ref="Z54" si="89">Z55+Z56-Z68</f>
        <v>-76030</v>
      </c>
      <c r="AA54" s="2">
        <f t="shared" ref="AA54" si="90">AA55+AA56-AA68</f>
        <v>272503</v>
      </c>
    </row>
    <row r="55" spans="2:29" s="2" customFormat="1" x14ac:dyDescent="0.25">
      <c r="B55" s="2" t="s">
        <v>3</v>
      </c>
      <c r="F55" s="2">
        <v>229902</v>
      </c>
      <c r="G55" s="2">
        <v>291905</v>
      </c>
      <c r="H55" s="2">
        <v>258257</v>
      </c>
      <c r="I55" s="2">
        <v>287649</v>
      </c>
      <c r="J55" s="2">
        <v>337103</v>
      </c>
      <c r="K55" s="2">
        <v>231129</v>
      </c>
      <c r="L55" s="2">
        <v>201565</v>
      </c>
      <c r="Z55" s="2">
        <v>229902</v>
      </c>
      <c r="AA55" s="2">
        <v>337103</v>
      </c>
    </row>
    <row r="56" spans="2:29" s="2" customFormat="1" x14ac:dyDescent="0.25">
      <c r="B56" s="2" t="s">
        <v>51</v>
      </c>
      <c r="F56" s="2">
        <v>193436</v>
      </c>
      <c r="G56" s="2">
        <v>327044</v>
      </c>
      <c r="H56" s="2">
        <v>406819</v>
      </c>
      <c r="I56" s="2">
        <v>415341</v>
      </c>
      <c r="J56" s="2">
        <v>402870</v>
      </c>
      <c r="K56" s="2">
        <v>140607</v>
      </c>
      <c r="L56" s="2">
        <v>210002</v>
      </c>
      <c r="Z56" s="2">
        <v>193436</v>
      </c>
      <c r="AA56" s="2">
        <v>402870</v>
      </c>
    </row>
    <row r="57" spans="2:29" s="2" customFormat="1" x14ac:dyDescent="0.25">
      <c r="B57" s="2" t="s">
        <v>53</v>
      </c>
      <c r="F57" s="2">
        <v>300173</v>
      </c>
      <c r="G57" s="2">
        <v>191987</v>
      </c>
      <c r="H57" s="2">
        <v>165723</v>
      </c>
      <c r="I57" s="2">
        <v>173623</v>
      </c>
      <c r="J57" s="2">
        <v>305468</v>
      </c>
      <c r="K57" s="2">
        <v>202869</v>
      </c>
      <c r="L57" s="2">
        <v>156470</v>
      </c>
      <c r="Z57" s="2">
        <v>300173</v>
      </c>
      <c r="AA57" s="2">
        <v>305468</v>
      </c>
    </row>
    <row r="58" spans="2:29" s="2" customFormat="1" x14ac:dyDescent="0.25">
      <c r="B58" s="2" t="s">
        <v>54</v>
      </c>
      <c r="F58" s="2">
        <v>237379</v>
      </c>
      <c r="G58" s="2">
        <v>170458</v>
      </c>
      <c r="H58" s="2">
        <v>164533</v>
      </c>
      <c r="I58" s="2">
        <v>157281</v>
      </c>
      <c r="J58" s="2">
        <v>173085</v>
      </c>
      <c r="K58" s="2">
        <v>179093</v>
      </c>
      <c r="L58" s="2">
        <v>184184</v>
      </c>
      <c r="Z58" s="2">
        <v>237379</v>
      </c>
      <c r="AA58" s="2">
        <v>173085</v>
      </c>
    </row>
    <row r="59" spans="2:29" s="2" customFormat="1" x14ac:dyDescent="0.25">
      <c r="B59" s="2" t="s">
        <v>55</v>
      </c>
      <c r="F59" s="2">
        <v>68137</v>
      </c>
      <c r="G59" s="2">
        <v>78193</v>
      </c>
      <c r="H59" s="2">
        <v>76323</v>
      </c>
      <c r="I59" s="2">
        <v>85186</v>
      </c>
      <c r="J59" s="2">
        <v>115178</v>
      </c>
      <c r="K59" s="2">
        <v>92794</v>
      </c>
      <c r="L59" s="2">
        <v>93403</v>
      </c>
      <c r="Z59" s="2">
        <v>68137</v>
      </c>
      <c r="AA59" s="2">
        <v>115178</v>
      </c>
    </row>
    <row r="60" spans="2:29" s="2" customFormat="1" x14ac:dyDescent="0.25">
      <c r="B60" s="2" t="s">
        <v>56</v>
      </c>
      <c r="F60" s="2">
        <v>85402</v>
      </c>
      <c r="G60" s="2">
        <v>72814</v>
      </c>
      <c r="H60" s="2">
        <v>81218</v>
      </c>
      <c r="I60" s="2">
        <v>77576</v>
      </c>
      <c r="J60" s="2">
        <v>61407</v>
      </c>
      <c r="K60" s="2">
        <v>98251</v>
      </c>
      <c r="L60" s="2">
        <v>104298</v>
      </c>
      <c r="Z60" s="2">
        <v>85402</v>
      </c>
      <c r="AA60" s="2">
        <v>61407</v>
      </c>
    </row>
    <row r="61" spans="2:29" s="2" customFormat="1" x14ac:dyDescent="0.25">
      <c r="B61" s="2" t="s">
        <v>57</v>
      </c>
      <c r="F61" s="2">
        <v>81611</v>
      </c>
      <c r="G61" s="2">
        <v>81467</v>
      </c>
      <c r="H61" s="2">
        <v>81410</v>
      </c>
      <c r="I61" s="2">
        <v>81568</v>
      </c>
      <c r="J61" s="2">
        <v>81113</v>
      </c>
      <c r="K61" s="2">
        <v>81186</v>
      </c>
      <c r="L61" s="2">
        <v>81538</v>
      </c>
      <c r="Z61" s="2">
        <v>81611</v>
      </c>
      <c r="AA61" s="2">
        <v>81113</v>
      </c>
    </row>
    <row r="62" spans="2:29" s="2" customFormat="1" x14ac:dyDescent="0.25">
      <c r="B62" s="2" t="s">
        <v>58</v>
      </c>
      <c r="F62" s="2">
        <v>314696</v>
      </c>
      <c r="G62" s="2">
        <v>297860</v>
      </c>
      <c r="H62" s="2">
        <v>302249</v>
      </c>
      <c r="I62" s="2">
        <v>301008</v>
      </c>
      <c r="J62" s="2">
        <v>292049</v>
      </c>
      <c r="K62" s="2">
        <v>296021</v>
      </c>
      <c r="L62" s="2">
        <v>292957</v>
      </c>
      <c r="Z62" s="2">
        <v>314696</v>
      </c>
      <c r="AA62" s="2">
        <v>292049</v>
      </c>
    </row>
    <row r="63" spans="2:29" s="7" customFormat="1" x14ac:dyDescent="0.25">
      <c r="B63" s="7" t="s">
        <v>59</v>
      </c>
      <c r="C63" s="7">
        <f t="shared" ref="C63:K63" si="91">SUM(C55:C62)</f>
        <v>0</v>
      </c>
      <c r="D63" s="7">
        <f t="shared" si="91"/>
        <v>0</v>
      </c>
      <c r="E63" s="7">
        <f t="shared" si="91"/>
        <v>0</v>
      </c>
      <c r="F63" s="7">
        <f t="shared" si="91"/>
        <v>1510736</v>
      </c>
      <c r="G63" s="7">
        <f t="shared" si="91"/>
        <v>1511728</v>
      </c>
      <c r="H63" s="7">
        <f t="shared" si="91"/>
        <v>1536532</v>
      </c>
      <c r="I63" s="7">
        <f t="shared" si="91"/>
        <v>1579232</v>
      </c>
      <c r="J63" s="7">
        <f t="shared" si="91"/>
        <v>1768273</v>
      </c>
      <c r="K63" s="7">
        <f t="shared" si="91"/>
        <v>1321950</v>
      </c>
      <c r="L63" s="7">
        <f>SUM(L55:L62)</f>
        <v>1324417</v>
      </c>
      <c r="Z63" s="7">
        <f t="shared" ref="Z63" si="92">SUM(Z55:Z62)</f>
        <v>1510736</v>
      </c>
      <c r="AA63" s="7">
        <f t="shared" ref="AA63" si="93">SUM(AA55:AA62)</f>
        <v>1768273</v>
      </c>
    </row>
    <row r="64" spans="2:29" s="2" customFormat="1" x14ac:dyDescent="0.25">
      <c r="B64" s="2" t="s">
        <v>60</v>
      </c>
      <c r="F64" s="2">
        <v>11290</v>
      </c>
      <c r="G64" s="2">
        <v>6353</v>
      </c>
      <c r="H64" s="2">
        <v>16682</v>
      </c>
      <c r="I64" s="2">
        <v>20103</v>
      </c>
      <c r="J64" s="2">
        <v>6226</v>
      </c>
      <c r="K64" s="2">
        <v>16649</v>
      </c>
      <c r="L64" s="2">
        <v>17101</v>
      </c>
      <c r="Z64" s="2">
        <v>11290</v>
      </c>
      <c r="AA64" s="2">
        <v>6226</v>
      </c>
    </row>
    <row r="65" spans="2:27" s="2" customFormat="1" x14ac:dyDescent="0.25">
      <c r="B65" s="2" t="s">
        <v>61</v>
      </c>
      <c r="F65" s="2">
        <v>39941</v>
      </c>
      <c r="G65" s="2">
        <v>80642</v>
      </c>
      <c r="H65" s="2">
        <v>44875</v>
      </c>
      <c r="I65" s="2">
        <v>41236</v>
      </c>
      <c r="J65" s="2">
        <v>31544</v>
      </c>
      <c r="K65" s="2">
        <v>49875</v>
      </c>
      <c r="L65" s="2">
        <v>51430</v>
      </c>
      <c r="Z65" s="2">
        <v>39941</v>
      </c>
      <c r="AA65" s="2">
        <v>31544</v>
      </c>
    </row>
    <row r="66" spans="2:27" s="2" customFormat="1" x14ac:dyDescent="0.25">
      <c r="B66" s="2" t="s">
        <v>62</v>
      </c>
      <c r="F66" s="2">
        <v>126640</v>
      </c>
      <c r="G66" s="2">
        <v>55438</v>
      </c>
      <c r="H66" s="2">
        <v>81110</v>
      </c>
      <c r="I66" s="2">
        <v>98033</v>
      </c>
      <c r="J66" s="2">
        <v>138042</v>
      </c>
      <c r="K66" s="2">
        <v>55919</v>
      </c>
      <c r="L66" s="2">
        <v>91769</v>
      </c>
      <c r="Z66" s="2">
        <v>126640</v>
      </c>
      <c r="AA66" s="2">
        <v>138042</v>
      </c>
    </row>
    <row r="67" spans="2:27" s="2" customFormat="1" x14ac:dyDescent="0.25">
      <c r="B67" s="2" t="s">
        <v>63</v>
      </c>
      <c r="F67" s="2">
        <v>377845</v>
      </c>
      <c r="G67" s="2">
        <v>382765</v>
      </c>
      <c r="H67" s="2">
        <v>352618</v>
      </c>
      <c r="I67" s="2">
        <v>345574</v>
      </c>
      <c r="J67" s="2">
        <v>423910</v>
      </c>
      <c r="K67" s="2">
        <v>469298</v>
      </c>
      <c r="L67" s="2">
        <v>418931</v>
      </c>
      <c r="Z67" s="2">
        <v>377845</v>
      </c>
      <c r="AA67" s="2">
        <v>423910</v>
      </c>
    </row>
    <row r="68" spans="2:27" s="2" customFormat="1" x14ac:dyDescent="0.25">
      <c r="B68" s="2" t="s">
        <v>64</v>
      </c>
      <c r="F68" s="2">
        <v>499368</v>
      </c>
      <c r="G68" s="2">
        <v>499985</v>
      </c>
      <c r="H68" s="2">
        <v>500604</v>
      </c>
      <c r="I68" s="2">
        <v>501225</v>
      </c>
      <c r="J68" s="2">
        <v>467470</v>
      </c>
      <c r="Z68" s="2">
        <v>499368</v>
      </c>
      <c r="AA68" s="2">
        <v>467470</v>
      </c>
    </row>
    <row r="69" spans="2:27" s="2" customFormat="1" x14ac:dyDescent="0.25">
      <c r="B69" s="2" t="s">
        <v>65</v>
      </c>
      <c r="F69" s="2">
        <v>21343</v>
      </c>
      <c r="G69" s="2">
        <v>19096</v>
      </c>
      <c r="H69" s="2">
        <v>20677</v>
      </c>
      <c r="I69" s="2">
        <v>18372</v>
      </c>
      <c r="J69" s="2">
        <v>18866</v>
      </c>
      <c r="K69" s="2">
        <v>17395</v>
      </c>
      <c r="L69" s="2">
        <v>20387</v>
      </c>
      <c r="Z69" s="2">
        <v>21343</v>
      </c>
      <c r="AA69" s="2">
        <v>18866</v>
      </c>
    </row>
    <row r="70" spans="2:27" s="2" customFormat="1" x14ac:dyDescent="0.25">
      <c r="B70" s="2" t="s">
        <v>66</v>
      </c>
      <c r="F70" s="2">
        <v>66901</v>
      </c>
      <c r="G70" s="2">
        <v>63645</v>
      </c>
      <c r="H70" s="2">
        <v>70202</v>
      </c>
      <c r="I70" s="2">
        <v>66750</v>
      </c>
      <c r="J70" s="2">
        <v>67647</v>
      </c>
      <c r="K70" s="2">
        <v>65117</v>
      </c>
      <c r="L70" s="2">
        <v>65191</v>
      </c>
      <c r="Z70" s="2">
        <v>66901</v>
      </c>
      <c r="AA70" s="2">
        <v>67647</v>
      </c>
    </row>
    <row r="71" spans="2:27" s="2" customFormat="1" x14ac:dyDescent="0.25">
      <c r="B71" s="2" t="s">
        <v>67</v>
      </c>
      <c r="F71" s="2">
        <v>13570</v>
      </c>
      <c r="G71" s="2">
        <v>13618</v>
      </c>
      <c r="H71" s="2">
        <v>14362</v>
      </c>
      <c r="I71" s="2">
        <v>14916</v>
      </c>
      <c r="J71" s="2">
        <v>29088</v>
      </c>
      <c r="K71" s="2">
        <v>36428</v>
      </c>
      <c r="L71" s="2">
        <v>35066</v>
      </c>
      <c r="Z71" s="2">
        <v>13570</v>
      </c>
      <c r="AA71" s="2">
        <v>29088</v>
      </c>
    </row>
    <row r="72" spans="2:27" s="7" customFormat="1" x14ac:dyDescent="0.25">
      <c r="B72" s="7" t="s">
        <v>70</v>
      </c>
      <c r="C72" s="7">
        <f t="shared" ref="C72:L72" si="94">SUM(C64:C71)</f>
        <v>0</v>
      </c>
      <c r="D72" s="7">
        <f t="shared" si="94"/>
        <v>0</v>
      </c>
      <c r="E72" s="7">
        <f t="shared" si="94"/>
        <v>0</v>
      </c>
      <c r="F72" s="7">
        <f t="shared" si="94"/>
        <v>1156898</v>
      </c>
      <c r="G72" s="7">
        <f t="shared" si="94"/>
        <v>1121542</v>
      </c>
      <c r="H72" s="7">
        <f t="shared" si="94"/>
        <v>1101130</v>
      </c>
      <c r="I72" s="7">
        <f t="shared" si="94"/>
        <v>1106209</v>
      </c>
      <c r="J72" s="7">
        <f t="shared" si="94"/>
        <v>1182793</v>
      </c>
      <c r="K72" s="7">
        <f t="shared" si="94"/>
        <v>710681</v>
      </c>
      <c r="L72" s="7">
        <f t="shared" si="94"/>
        <v>699875</v>
      </c>
      <c r="Z72" s="7">
        <f>SUM(Z64:Z71)</f>
        <v>1156898</v>
      </c>
      <c r="AA72" s="7">
        <f>SUM(AA64:AA71)</f>
        <v>1182793</v>
      </c>
    </row>
    <row r="73" spans="2:27" s="2" customFormat="1" x14ac:dyDescent="0.25">
      <c r="B73" s="2" t="s">
        <v>68</v>
      </c>
      <c r="F73" s="2">
        <v>353838</v>
      </c>
      <c r="G73" s="2">
        <v>390186</v>
      </c>
      <c r="H73" s="2">
        <v>435402</v>
      </c>
      <c r="I73" s="2">
        <v>473023</v>
      </c>
      <c r="J73" s="2">
        <v>585480</v>
      </c>
      <c r="K73" s="2">
        <v>611269</v>
      </c>
      <c r="L73" s="2">
        <v>624542</v>
      </c>
      <c r="Z73" s="2">
        <v>353838</v>
      </c>
      <c r="AA73" s="2">
        <v>585480</v>
      </c>
    </row>
    <row r="74" spans="2:27" s="7" customFormat="1" x14ac:dyDescent="0.25">
      <c r="B74" s="7" t="s">
        <v>69</v>
      </c>
      <c r="C74" s="7">
        <f t="shared" ref="C74:K74" si="95">C73+C72</f>
        <v>0</v>
      </c>
      <c r="D74" s="7">
        <f t="shared" si="95"/>
        <v>0</v>
      </c>
      <c r="E74" s="7">
        <f t="shared" si="95"/>
        <v>0</v>
      </c>
      <c r="F74" s="7">
        <f t="shared" si="95"/>
        <v>1510736</v>
      </c>
      <c r="G74" s="7">
        <f t="shared" si="95"/>
        <v>1511728</v>
      </c>
      <c r="H74" s="7">
        <f t="shared" si="95"/>
        <v>1536532</v>
      </c>
      <c r="I74" s="7">
        <f t="shared" si="95"/>
        <v>1579232</v>
      </c>
      <c r="J74" s="7">
        <f t="shared" si="95"/>
        <v>1768273</v>
      </c>
      <c r="K74" s="7">
        <f t="shared" si="95"/>
        <v>1321950</v>
      </c>
      <c r="L74" s="7">
        <f>L73+L72</f>
        <v>1324417</v>
      </c>
      <c r="Z74" s="7">
        <f t="shared" ref="Z74" si="96">Z73+Z72</f>
        <v>1510736</v>
      </c>
      <c r="AA74" s="7">
        <f t="shared" ref="AA74" si="97">AA73+AA72</f>
        <v>1768273</v>
      </c>
    </row>
    <row r="78" spans="2:27" s="2" customFormat="1" x14ac:dyDescent="0.25">
      <c r="B78" s="2" t="s">
        <v>76</v>
      </c>
      <c r="C78" s="2">
        <f t="shared" ref="C78:L78" si="98">C29</f>
        <v>-20774</v>
      </c>
      <c r="D78" s="2">
        <f t="shared" si="98"/>
        <v>-46804</v>
      </c>
      <c r="E78" s="2">
        <f t="shared" si="98"/>
        <v>-7279</v>
      </c>
      <c r="F78" s="2">
        <f t="shared" si="98"/>
        <v>142665</v>
      </c>
      <c r="G78" s="2">
        <f t="shared" si="98"/>
        <v>-12124</v>
      </c>
      <c r="H78" s="2">
        <f t="shared" si="98"/>
        <v>6613</v>
      </c>
      <c r="I78" s="2">
        <f t="shared" si="98"/>
        <v>-14390</v>
      </c>
      <c r="J78" s="2">
        <f t="shared" si="98"/>
        <v>119090</v>
      </c>
      <c r="K78" s="2">
        <f t="shared" si="98"/>
        <v>85422</v>
      </c>
      <c r="L78" s="2">
        <f t="shared" si="98"/>
        <v>30077</v>
      </c>
      <c r="Y78" s="2">
        <f>Y29</f>
        <v>-345582</v>
      </c>
      <c r="Z78" s="2">
        <f>Z29</f>
        <v>67808</v>
      </c>
      <c r="AA78" s="2">
        <f>AA29</f>
        <v>99189</v>
      </c>
    </row>
    <row r="79" spans="2:27" s="2" customFormat="1" x14ac:dyDescent="0.25">
      <c r="B79" s="2" t="s">
        <v>77</v>
      </c>
      <c r="C79" s="2">
        <v>-20774</v>
      </c>
      <c r="D79" s="2">
        <v>-46804</v>
      </c>
      <c r="E79" s="2">
        <v>-7279</v>
      </c>
      <c r="F79" s="2">
        <v>142665</v>
      </c>
      <c r="G79" s="2">
        <v>-12124</v>
      </c>
      <c r="H79" s="2">
        <v>6613</v>
      </c>
      <c r="I79" s="2">
        <v>-14390</v>
      </c>
      <c r="J79" s="2">
        <v>119090</v>
      </c>
      <c r="K79" s="2">
        <v>85422</v>
      </c>
      <c r="L79" s="2">
        <v>30077</v>
      </c>
      <c r="Y79" s="2">
        <v>-345582</v>
      </c>
      <c r="Z79" s="2">
        <v>67808</v>
      </c>
      <c r="AA79" s="2">
        <v>99189</v>
      </c>
    </row>
    <row r="80" spans="2:27" s="2" customFormat="1" x14ac:dyDescent="0.25">
      <c r="B80" s="2" t="s">
        <v>78</v>
      </c>
      <c r="C80" s="2">
        <v>42557</v>
      </c>
      <c r="D80" s="2">
        <v>36227</v>
      </c>
      <c r="E80" s="2">
        <v>31299</v>
      </c>
      <c r="F80" s="2">
        <v>33269</v>
      </c>
      <c r="G80" s="2">
        <v>34781</v>
      </c>
      <c r="H80" s="2">
        <v>36224</v>
      </c>
      <c r="I80" s="2">
        <v>37213</v>
      </c>
      <c r="J80" s="2">
        <v>34500</v>
      </c>
      <c r="K80" s="2">
        <v>41425</v>
      </c>
      <c r="L80" s="2">
        <v>36730</v>
      </c>
      <c r="Y80" s="2">
        <v>122210</v>
      </c>
      <c r="Z80" s="2">
        <v>143352</v>
      </c>
      <c r="AA80" s="2">
        <v>142718</v>
      </c>
    </row>
    <row r="81" spans="2:27" s="2" customFormat="1" x14ac:dyDescent="0.25">
      <c r="B81" s="2" t="s">
        <v>79</v>
      </c>
      <c r="C81" s="2">
        <v>14277</v>
      </c>
      <c r="D81" s="2">
        <v>14750</v>
      </c>
      <c r="E81" s="2">
        <v>14947</v>
      </c>
      <c r="F81" s="2">
        <v>15487</v>
      </c>
      <c r="G81" s="2">
        <v>17282</v>
      </c>
      <c r="H81" s="2">
        <v>14994</v>
      </c>
      <c r="I81" s="2">
        <v>14867</v>
      </c>
      <c r="J81" s="2">
        <v>15126</v>
      </c>
      <c r="K81" s="2">
        <v>18504</v>
      </c>
      <c r="L81" s="2">
        <v>15074</v>
      </c>
      <c r="Y81" s="2">
        <v>53471</v>
      </c>
      <c r="Z81" s="2">
        <v>59461</v>
      </c>
      <c r="AA81" s="2">
        <v>62269</v>
      </c>
    </row>
    <row r="82" spans="2:27" s="2" customFormat="1" x14ac:dyDescent="0.25">
      <c r="B82" s="2" t="s">
        <v>80</v>
      </c>
      <c r="C82" s="2">
        <v>4724</v>
      </c>
      <c r="D82" s="2">
        <v>4829</v>
      </c>
      <c r="E82" s="2">
        <v>4628</v>
      </c>
      <c r="F82" s="2">
        <v>4565</v>
      </c>
      <c r="G82" s="2">
        <v>4254</v>
      </c>
      <c r="H82" s="2">
        <v>4558</v>
      </c>
      <c r="I82" s="2">
        <v>4477</v>
      </c>
      <c r="J82" s="2">
        <v>4296</v>
      </c>
      <c r="K82" s="2">
        <v>3137</v>
      </c>
      <c r="L82" s="2">
        <v>3182</v>
      </c>
      <c r="Y82" s="2">
        <v>18780</v>
      </c>
      <c r="Z82" s="2">
        <v>18746</v>
      </c>
      <c r="AA82" s="2">
        <v>17585</v>
      </c>
    </row>
    <row r="83" spans="2:27" s="2" customFormat="1" x14ac:dyDescent="0.25">
      <c r="B83" s="2" t="s">
        <v>81</v>
      </c>
      <c r="C83" s="2">
        <v>4594</v>
      </c>
      <c r="D83" s="2">
        <v>3592</v>
      </c>
      <c r="E83" s="2">
        <v>3832</v>
      </c>
      <c r="F83" s="2">
        <v>3894</v>
      </c>
      <c r="G83" s="2">
        <v>3472</v>
      </c>
      <c r="H83" s="2">
        <v>4372</v>
      </c>
      <c r="I83" s="2">
        <v>5904</v>
      </c>
      <c r="J83" s="2">
        <v>4094</v>
      </c>
      <c r="K83" s="2">
        <v>2826</v>
      </c>
      <c r="L83" s="2">
        <v>2977</v>
      </c>
      <c r="Y83" s="2">
        <v>15940</v>
      </c>
      <c r="Z83" s="2">
        <v>15912</v>
      </c>
      <c r="AA83" s="2">
        <v>17842</v>
      </c>
    </row>
    <row r="84" spans="2:27" s="2" customFormat="1" x14ac:dyDescent="0.25">
      <c r="B84" s="2" t="s">
        <v>39</v>
      </c>
      <c r="C84" s="2">
        <v>2675</v>
      </c>
      <c r="D84" s="2">
        <v>3290</v>
      </c>
      <c r="E84" s="2">
        <v>-1994</v>
      </c>
      <c r="F84" s="2">
        <v>1271</v>
      </c>
      <c r="G84" s="2">
        <v>3262</v>
      </c>
      <c r="H84" s="2">
        <v>-437</v>
      </c>
      <c r="I84" s="2">
        <v>4405</v>
      </c>
      <c r="J84" s="2">
        <v>-6318</v>
      </c>
      <c r="K84" s="2">
        <v>5325</v>
      </c>
      <c r="L84" s="2">
        <v>14008</v>
      </c>
      <c r="Y84" s="2">
        <v>-4560</v>
      </c>
      <c r="Z84" s="2">
        <v>5242</v>
      </c>
      <c r="AA84" s="2">
        <v>912</v>
      </c>
    </row>
    <row r="85" spans="2:27" s="2" customFormat="1" x14ac:dyDescent="0.25">
      <c r="B85" s="2" t="s">
        <v>82</v>
      </c>
      <c r="C85" s="2">
        <v>-3206</v>
      </c>
      <c r="D85" s="2">
        <v>1361</v>
      </c>
      <c r="E85" s="2">
        <v>2294</v>
      </c>
      <c r="F85" s="2">
        <v>899</v>
      </c>
      <c r="G85" s="2">
        <v>-3299</v>
      </c>
      <c r="H85" s="2">
        <v>3277</v>
      </c>
      <c r="I85" s="2">
        <v>689</v>
      </c>
      <c r="J85" s="2">
        <v>-4</v>
      </c>
      <c r="K85" s="2">
        <v>223</v>
      </c>
      <c r="L85" s="2">
        <v>0</v>
      </c>
      <c r="Y85" s="2">
        <v>57382</v>
      </c>
      <c r="Z85" s="2">
        <v>1348</v>
      </c>
      <c r="AA85" s="2">
        <v>663</v>
      </c>
    </row>
    <row r="86" spans="2:27" s="2" customFormat="1" x14ac:dyDescent="0.25">
      <c r="B86" s="2" t="s">
        <v>83</v>
      </c>
      <c r="C86" s="2">
        <v>-126</v>
      </c>
      <c r="D86" s="2">
        <v>-10</v>
      </c>
      <c r="E86" s="2">
        <v>-52</v>
      </c>
      <c r="F86" s="2">
        <v>551</v>
      </c>
      <c r="G86" s="2">
        <v>-646</v>
      </c>
      <c r="H86" s="2">
        <v>878</v>
      </c>
      <c r="I86" s="2">
        <v>-299</v>
      </c>
      <c r="J86" s="2">
        <v>-1477</v>
      </c>
      <c r="K86" s="2">
        <v>179</v>
      </c>
      <c r="L86" s="2">
        <v>103</v>
      </c>
      <c r="Y86" s="2">
        <v>168890</v>
      </c>
      <c r="Z86" s="2">
        <v>363</v>
      </c>
      <c r="AA86" s="2">
        <v>-1544</v>
      </c>
    </row>
    <row r="87" spans="2:27" s="2" customFormat="1" x14ac:dyDescent="0.25">
      <c r="B87" s="2" t="s">
        <v>84</v>
      </c>
      <c r="C87" s="2">
        <v>-3802</v>
      </c>
      <c r="D87" s="2">
        <v>-628</v>
      </c>
      <c r="E87" s="2">
        <v>4430</v>
      </c>
      <c r="F87" s="2">
        <v>-3302</v>
      </c>
      <c r="G87" s="2">
        <v>-2612</v>
      </c>
      <c r="H87" s="2">
        <v>-3923</v>
      </c>
      <c r="I87" s="2">
        <v>6535</v>
      </c>
      <c r="J87" s="2">
        <v>-15263</v>
      </c>
      <c r="K87" s="2">
        <v>-1526</v>
      </c>
      <c r="L87" s="2">
        <v>-584</v>
      </c>
      <c r="Y87" s="2">
        <v>1972</v>
      </c>
      <c r="Z87" s="2">
        <v>-3302</v>
      </c>
      <c r="AA87" s="2">
        <v>-15263</v>
      </c>
    </row>
    <row r="88" spans="2:27" s="2" customFormat="1" x14ac:dyDescent="0.25">
      <c r="B88" s="2" t="s">
        <v>85</v>
      </c>
      <c r="C88" s="2">
        <v>-2781</v>
      </c>
      <c r="D88" s="2">
        <v>-5074</v>
      </c>
      <c r="E88" s="2">
        <v>-2986</v>
      </c>
      <c r="F88" s="2">
        <v>0</v>
      </c>
      <c r="G88" s="2">
        <v>-1628</v>
      </c>
      <c r="H88" s="2">
        <v>0</v>
      </c>
      <c r="I88" s="2">
        <v>0</v>
      </c>
      <c r="J88" s="2">
        <v>759</v>
      </c>
      <c r="K88" s="2">
        <v>-751</v>
      </c>
      <c r="L88" s="2">
        <v>-18729</v>
      </c>
      <c r="Y88" s="2">
        <v>-6578</v>
      </c>
      <c r="Z88" s="2">
        <v>-10841</v>
      </c>
      <c r="AA88" s="2">
        <v>-869</v>
      </c>
    </row>
    <row r="89" spans="2:27" s="2" customFormat="1" x14ac:dyDescent="0.25">
      <c r="B89" s="2" t="s">
        <v>86</v>
      </c>
      <c r="C89" s="2">
        <v>854</v>
      </c>
      <c r="D89" s="2">
        <v>1268</v>
      </c>
      <c r="E89" s="2">
        <v>-7768</v>
      </c>
      <c r="F89" s="2">
        <v>3348</v>
      </c>
      <c r="G89" s="2">
        <v>726</v>
      </c>
      <c r="H89" s="2">
        <v>753</v>
      </c>
      <c r="I89" s="2">
        <v>-10043</v>
      </c>
      <c r="J89" s="2">
        <v>11833</v>
      </c>
      <c r="K89" s="2">
        <v>1067</v>
      </c>
      <c r="L89" s="2">
        <v>0</v>
      </c>
      <c r="Y89" s="2">
        <v>4763</v>
      </c>
      <c r="Z89" s="2">
        <f>-7855+5557</f>
        <v>-2298</v>
      </c>
      <c r="AA89" s="2">
        <f>-459+3728</f>
        <v>3269</v>
      </c>
    </row>
    <row r="90" spans="2:27" s="2" customFormat="1" x14ac:dyDescent="0.25">
      <c r="B90" s="2" t="s">
        <v>87</v>
      </c>
      <c r="C90" s="2">
        <v>29115</v>
      </c>
      <c r="D90" s="2">
        <v>32844</v>
      </c>
      <c r="E90" s="2">
        <v>-17183</v>
      </c>
      <c r="F90" s="2">
        <v>-122782</v>
      </c>
      <c r="G90" s="2">
        <v>136678</v>
      </c>
      <c r="H90" s="2">
        <v>-27212</v>
      </c>
      <c r="I90" s="2">
        <v>-18904</v>
      </c>
      <c r="J90" s="2">
        <v>-71407</v>
      </c>
      <c r="K90" s="2">
        <v>48397</v>
      </c>
      <c r="L90" s="2">
        <v>3430</v>
      </c>
      <c r="Y90" s="2">
        <f>-51157-9133+529+62578-53857-13312</f>
        <v>-64352</v>
      </c>
      <c r="Z90" s="2">
        <f>-57602+11360-8777+45123-44529-23581</f>
        <v>-78006</v>
      </c>
      <c r="AA90" s="2">
        <f>79034-50005-7115+48360-57628+6509</f>
        <v>19155</v>
      </c>
    </row>
    <row r="91" spans="2:27" s="7" customFormat="1" x14ac:dyDescent="0.25">
      <c r="B91" s="7" t="s">
        <v>88</v>
      </c>
      <c r="C91" s="7">
        <f t="shared" ref="C91:L91" si="99">SUM(C79:C90)</f>
        <v>68107</v>
      </c>
      <c r="D91" s="7">
        <f t="shared" si="99"/>
        <v>45645</v>
      </c>
      <c r="E91" s="7">
        <f t="shared" si="99"/>
        <v>24168</v>
      </c>
      <c r="F91" s="7">
        <f t="shared" si="99"/>
        <v>79865</v>
      </c>
      <c r="G91" s="7">
        <f t="shared" si="99"/>
        <v>180146</v>
      </c>
      <c r="H91" s="7">
        <f t="shared" si="99"/>
        <v>40097</v>
      </c>
      <c r="I91" s="7">
        <f t="shared" si="99"/>
        <v>30454</v>
      </c>
      <c r="J91" s="7">
        <f t="shared" si="99"/>
        <v>95229</v>
      </c>
      <c r="K91" s="7">
        <f t="shared" si="99"/>
        <v>204228</v>
      </c>
      <c r="L91" s="7">
        <f t="shared" si="99"/>
        <v>86268</v>
      </c>
      <c r="M91" s="7">
        <v>42520</v>
      </c>
      <c r="N91" s="7">
        <v>137000</v>
      </c>
      <c r="O91" s="7">
        <v>235000</v>
      </c>
      <c r="P91" s="7">
        <v>97620</v>
      </c>
      <c r="Q91" s="7">
        <v>74190</v>
      </c>
      <c r="R91" s="7">
        <v>154000</v>
      </c>
      <c r="S91" s="7">
        <v>266000</v>
      </c>
      <c r="T91" s="7">
        <v>112000</v>
      </c>
      <c r="U91" s="7">
        <f>Q91*1.15</f>
        <v>85318.5</v>
      </c>
      <c r="V91" s="7">
        <f t="shared" ref="V91" si="100">R91*1.15</f>
        <v>177100</v>
      </c>
      <c r="Y91" s="7">
        <f t="shared" ref="Y91" si="101">SUM(Y79:Y90)</f>
        <v>22336</v>
      </c>
      <c r="Z91" s="7">
        <f t="shared" ref="Z91" si="102">SUM(Z79:Z90)</f>
        <v>217785</v>
      </c>
      <c r="AA91" s="7">
        <f t="shared" ref="AA91" si="103">SUM(AA79:AA90)</f>
        <v>345926</v>
      </c>
    </row>
    <row r="92" spans="2:27" s="2" customFormat="1" x14ac:dyDescent="0.25">
      <c r="B92" s="2" t="s">
        <v>89</v>
      </c>
      <c r="C92" s="2">
        <v>-39401</v>
      </c>
      <c r="D92" s="2">
        <v>-30261</v>
      </c>
      <c r="E92" s="2">
        <v>-120804</v>
      </c>
      <c r="F92" s="2">
        <v>-96821</v>
      </c>
      <c r="G92" s="2">
        <v>-161438</v>
      </c>
      <c r="H92" s="2">
        <v>-130372</v>
      </c>
      <c r="I92" s="2">
        <v>-125500</v>
      </c>
      <c r="J92" s="2">
        <v>-142055</v>
      </c>
      <c r="K92" s="2">
        <v>-69318</v>
      </c>
      <c r="L92" s="2">
        <v>-89385</v>
      </c>
      <c r="Y92" s="2">
        <v>-41015</v>
      </c>
      <c r="Z92" s="2">
        <v>-287287</v>
      </c>
      <c r="AA92" s="2">
        <v>-559365</v>
      </c>
    </row>
    <row r="93" spans="2:27" s="2" customFormat="1" x14ac:dyDescent="0.25">
      <c r="B93" s="2" t="s">
        <v>90</v>
      </c>
      <c r="C93" s="2">
        <v>36475</v>
      </c>
      <c r="D93" s="2">
        <v>52374</v>
      </c>
      <c r="E93" s="2">
        <v>80987</v>
      </c>
      <c r="F93" s="2">
        <v>72757</v>
      </c>
      <c r="G93" s="2">
        <v>29643</v>
      </c>
      <c r="H93" s="2">
        <v>54324</v>
      </c>
      <c r="I93" s="2">
        <v>122265</v>
      </c>
      <c r="J93" s="2">
        <v>158269</v>
      </c>
      <c r="K93" s="2">
        <v>324596</v>
      </c>
      <c r="L93" s="2">
        <v>20570</v>
      </c>
      <c r="Y93" s="2">
        <v>66583</v>
      </c>
      <c r="Z93" s="2">
        <v>242593</v>
      </c>
      <c r="AA93" s="2">
        <v>364501</v>
      </c>
    </row>
    <row r="94" spans="2:27" s="2" customFormat="1" x14ac:dyDescent="0.25">
      <c r="B94" s="2" t="s">
        <v>91</v>
      </c>
      <c r="D94" s="2">
        <v>10725</v>
      </c>
      <c r="E94" s="2">
        <v>0</v>
      </c>
      <c r="F94" s="2">
        <v>0</v>
      </c>
      <c r="H94" s="2">
        <v>0</v>
      </c>
      <c r="I94" s="2">
        <v>0</v>
      </c>
      <c r="J94" s="2">
        <v>0</v>
      </c>
      <c r="K94" s="2">
        <v>8497</v>
      </c>
      <c r="L94" s="2">
        <v>22050</v>
      </c>
      <c r="Y94" s="2">
        <f>23808-922</f>
        <v>22886</v>
      </c>
      <c r="Z94" s="2">
        <v>10725</v>
      </c>
    </row>
    <row r="95" spans="2:27" s="2" customFormat="1" x14ac:dyDescent="0.25">
      <c r="B95" s="2" t="s">
        <v>92</v>
      </c>
      <c r="C95" s="2">
        <v>-11487</v>
      </c>
      <c r="D95" s="2">
        <v>-2446</v>
      </c>
      <c r="E95" s="2">
        <v>-338</v>
      </c>
      <c r="F95" s="2">
        <v>-2510</v>
      </c>
      <c r="G95" s="2">
        <v>-604</v>
      </c>
      <c r="H95" s="2">
        <v>-1253</v>
      </c>
      <c r="I95" s="2">
        <v>-3064</v>
      </c>
      <c r="J95" s="2">
        <v>-2791</v>
      </c>
      <c r="K95" s="2">
        <v>-1880</v>
      </c>
      <c r="L95" s="2">
        <v>-2135</v>
      </c>
      <c r="M95" s="2">
        <v>-4000</v>
      </c>
      <c r="N95" s="2">
        <v>-4000</v>
      </c>
      <c r="O95" s="2">
        <v>-4000</v>
      </c>
      <c r="P95" s="2">
        <v>-4000</v>
      </c>
      <c r="Q95" s="2">
        <v>-4000</v>
      </c>
      <c r="R95" s="2">
        <v>-4000</v>
      </c>
      <c r="S95" s="2">
        <v>-4000</v>
      </c>
      <c r="T95" s="2">
        <v>-4000</v>
      </c>
      <c r="U95" s="2">
        <v>-4000</v>
      </c>
      <c r="V95" s="2">
        <v>-4000</v>
      </c>
      <c r="Y95" s="2">
        <v>-35379</v>
      </c>
      <c r="Z95" s="2">
        <v>-16781</v>
      </c>
      <c r="AA95" s="2">
        <v>-7712</v>
      </c>
    </row>
    <row r="96" spans="2:27" s="7" customFormat="1" x14ac:dyDescent="0.25">
      <c r="B96" s="7" t="s">
        <v>93</v>
      </c>
      <c r="C96" s="7">
        <f t="shared" ref="C96:L96" si="104">SUM(C92:C95)</f>
        <v>-14413</v>
      </c>
      <c r="D96" s="7">
        <f t="shared" si="104"/>
        <v>30392</v>
      </c>
      <c r="E96" s="7">
        <f t="shared" si="104"/>
        <v>-40155</v>
      </c>
      <c r="F96" s="7">
        <f t="shared" si="104"/>
        <v>-26574</v>
      </c>
      <c r="G96" s="7">
        <f t="shared" si="104"/>
        <v>-132399</v>
      </c>
      <c r="H96" s="7">
        <f t="shared" si="104"/>
        <v>-77301</v>
      </c>
      <c r="I96" s="7">
        <f t="shared" si="104"/>
        <v>-6299</v>
      </c>
      <c r="J96" s="7">
        <f t="shared" si="104"/>
        <v>13423</v>
      </c>
      <c r="K96" s="7">
        <f t="shared" si="104"/>
        <v>261895</v>
      </c>
      <c r="L96" s="7">
        <f t="shared" si="104"/>
        <v>-48900</v>
      </c>
      <c r="N96" s="2"/>
      <c r="O96" s="2"/>
      <c r="P96" s="2"/>
      <c r="Q96" s="2"/>
      <c r="R96" s="2"/>
      <c r="S96" s="2"/>
      <c r="T96" s="2"/>
      <c r="W96" s="2"/>
      <c r="Y96" s="7">
        <f t="shared" ref="Y96" si="105">SUM(Y92:Y95)</f>
        <v>13075</v>
      </c>
      <c r="Z96" s="7">
        <f t="shared" ref="Z96" si="106">SUM(Z92:Z95)</f>
        <v>-50750</v>
      </c>
      <c r="AA96" s="7">
        <f t="shared" ref="AA96" si="107">SUM(AA92:AA95)</f>
        <v>-202576</v>
      </c>
    </row>
    <row r="97" spans="2:406" s="2" customFormat="1" x14ac:dyDescent="0.25">
      <c r="B97" s="2" t="s">
        <v>94</v>
      </c>
      <c r="C97" s="2">
        <v>-29901</v>
      </c>
      <c r="D97" s="2">
        <v>-59088</v>
      </c>
      <c r="E97" s="2">
        <v>0</v>
      </c>
      <c r="F97" s="2">
        <v>0</v>
      </c>
      <c r="H97" s="2">
        <v>0</v>
      </c>
      <c r="I97" s="2">
        <v>0</v>
      </c>
      <c r="J97" s="2">
        <v>-33890</v>
      </c>
      <c r="K97" s="2">
        <v>-467864</v>
      </c>
      <c r="L97" s="2">
        <v>0</v>
      </c>
      <c r="Z97" s="2">
        <v>-88989</v>
      </c>
      <c r="AA97" s="2">
        <v>-33890</v>
      </c>
    </row>
    <row r="98" spans="2:406" s="2" customFormat="1" x14ac:dyDescent="0.25">
      <c r="B98" s="2" t="s">
        <v>95</v>
      </c>
      <c r="C98" s="2">
        <v>-2474</v>
      </c>
      <c r="D98" s="2">
        <v>-2488</v>
      </c>
      <c r="E98" s="2">
        <v>-2496</v>
      </c>
      <c r="F98" s="2">
        <v>-2506</v>
      </c>
      <c r="G98" s="2">
        <v>-2515</v>
      </c>
      <c r="H98" s="2">
        <v>-2550</v>
      </c>
      <c r="I98" s="2">
        <v>-2561</v>
      </c>
      <c r="J98" s="2">
        <v>-2573</v>
      </c>
      <c r="K98" s="2">
        <v>-2583</v>
      </c>
      <c r="L98" s="2">
        <v>-2567</v>
      </c>
      <c r="Y98" s="2">
        <v>-9834</v>
      </c>
      <c r="Z98" s="2">
        <v>-9964</v>
      </c>
      <c r="AA98" s="2">
        <v>-10199</v>
      </c>
    </row>
    <row r="99" spans="2:406" s="2" customFormat="1" x14ac:dyDescent="0.25">
      <c r="B99" s="2" t="s">
        <v>96</v>
      </c>
      <c r="C99" s="2">
        <v>3922</v>
      </c>
      <c r="D99" s="2">
        <v>4122</v>
      </c>
      <c r="E99" s="2">
        <v>4685</v>
      </c>
      <c r="F99" s="2">
        <v>-4985</v>
      </c>
      <c r="G99" s="2">
        <v>22419</v>
      </c>
      <c r="H99" s="2">
        <v>7509</v>
      </c>
      <c r="I99" s="2">
        <v>18883</v>
      </c>
      <c r="J99" s="2">
        <v>-42102</v>
      </c>
      <c r="K99" s="2">
        <v>13969</v>
      </c>
      <c r="L99" s="2">
        <v>71018</v>
      </c>
      <c r="Y99" s="2">
        <v>9172</v>
      </c>
      <c r="Z99" s="2">
        <v>7744</v>
      </c>
      <c r="AA99" s="2">
        <v>6709</v>
      </c>
    </row>
    <row r="100" spans="2:406" s="2" customFormat="1" x14ac:dyDescent="0.25">
      <c r="B100" s="2" t="s">
        <v>97</v>
      </c>
      <c r="C100" s="2">
        <f>-1107+188</f>
        <v>-919</v>
      </c>
      <c r="D100" s="2">
        <v>-162</v>
      </c>
      <c r="E100" s="2">
        <v>-232</v>
      </c>
      <c r="F100" s="2">
        <v>10559</v>
      </c>
      <c r="G100" s="2">
        <v>-2005</v>
      </c>
      <c r="H100" s="2">
        <v>-355</v>
      </c>
      <c r="I100" s="2">
        <v>-11876</v>
      </c>
      <c r="J100" s="2">
        <v>21402</v>
      </c>
      <c r="K100" s="2">
        <f>-2304-117204</f>
        <v>-119508</v>
      </c>
      <c r="L100" s="2">
        <v>-138781</v>
      </c>
      <c r="Y100" s="2">
        <f>-20620-25707</f>
        <v>-46327</v>
      </c>
      <c r="Z100" s="2">
        <f>10821-1916+341</f>
        <v>9246</v>
      </c>
      <c r="AA100" s="2">
        <f>80651-5435-68057+7</f>
        <v>7166</v>
      </c>
    </row>
    <row r="101" spans="2:406" s="7" customFormat="1" x14ac:dyDescent="0.25">
      <c r="B101" s="7" t="s">
        <v>98</v>
      </c>
      <c r="C101" s="7">
        <f t="shared" ref="C101:L101" si="108">SUM(C97:C100)</f>
        <v>-29372</v>
      </c>
      <c r="D101" s="7">
        <f t="shared" si="108"/>
        <v>-57616</v>
      </c>
      <c r="E101" s="7">
        <f t="shared" si="108"/>
        <v>1957</v>
      </c>
      <c r="F101" s="7">
        <f t="shared" si="108"/>
        <v>3068</v>
      </c>
      <c r="G101" s="7">
        <f t="shared" si="108"/>
        <v>17899</v>
      </c>
      <c r="H101" s="7">
        <f t="shared" si="108"/>
        <v>4604</v>
      </c>
      <c r="I101" s="7">
        <f t="shared" si="108"/>
        <v>4446</v>
      </c>
      <c r="J101" s="7">
        <f t="shared" si="108"/>
        <v>-57163</v>
      </c>
      <c r="K101" s="7">
        <f t="shared" si="108"/>
        <v>-575986</v>
      </c>
      <c r="L101" s="7">
        <f t="shared" si="108"/>
        <v>-70330</v>
      </c>
      <c r="N101" s="2"/>
      <c r="O101" s="2"/>
      <c r="P101" s="2"/>
      <c r="Q101" s="2"/>
      <c r="R101" s="2"/>
      <c r="S101" s="2"/>
      <c r="T101" s="2"/>
      <c r="W101" s="2"/>
      <c r="Y101" s="7">
        <f t="shared" ref="Y101" si="109">SUM(Y97:Y100)</f>
        <v>-46989</v>
      </c>
      <c r="Z101" s="7">
        <f t="shared" ref="Z101" si="110">SUM(Z97:Z100)</f>
        <v>-81963</v>
      </c>
      <c r="AA101" s="7">
        <f t="shared" ref="AA101" si="111">SUM(AA97:AA100)</f>
        <v>-30214</v>
      </c>
    </row>
    <row r="102" spans="2:406" s="2" customFormat="1" x14ac:dyDescent="0.25">
      <c r="B102" s="2" t="s">
        <v>99</v>
      </c>
      <c r="C102" s="2">
        <v>782</v>
      </c>
      <c r="D102" s="2">
        <v>228</v>
      </c>
      <c r="E102" s="2">
        <v>-2631</v>
      </c>
      <c r="F102" s="2">
        <v>4322</v>
      </c>
      <c r="G102" s="2">
        <v>-2803</v>
      </c>
      <c r="H102" s="2">
        <v>-39</v>
      </c>
      <c r="I102" s="2">
        <v>7433</v>
      </c>
      <c r="J102" s="2">
        <v>-9025</v>
      </c>
      <c r="K102" s="2">
        <v>3570</v>
      </c>
      <c r="L102" s="2">
        <v>3837</v>
      </c>
      <c r="Y102" s="2">
        <v>-3333</v>
      </c>
      <c r="Z102" s="2">
        <v>2701</v>
      </c>
      <c r="AA102" s="2">
        <v>-4434</v>
      </c>
    </row>
    <row r="103" spans="2:406" s="7" customFormat="1" x14ac:dyDescent="0.25">
      <c r="B103" s="7" t="s">
        <v>100</v>
      </c>
      <c r="C103" s="7">
        <f t="shared" ref="C103:L103" si="112">C91+C96+C101+C102</f>
        <v>25104</v>
      </c>
      <c r="D103" s="7">
        <f t="shared" si="112"/>
        <v>18649</v>
      </c>
      <c r="E103" s="7">
        <f t="shared" si="112"/>
        <v>-16661</v>
      </c>
      <c r="F103" s="7">
        <f t="shared" si="112"/>
        <v>60681</v>
      </c>
      <c r="G103" s="7">
        <f t="shared" si="112"/>
        <v>62843</v>
      </c>
      <c r="H103" s="7">
        <f t="shared" si="112"/>
        <v>-32639</v>
      </c>
      <c r="I103" s="7">
        <f t="shared" si="112"/>
        <v>36034</v>
      </c>
      <c r="J103" s="7">
        <f t="shared" si="112"/>
        <v>42464</v>
      </c>
      <c r="K103" s="7">
        <f t="shared" si="112"/>
        <v>-106293</v>
      </c>
      <c r="L103" s="7">
        <f t="shared" si="112"/>
        <v>-29125</v>
      </c>
      <c r="N103" s="2"/>
      <c r="O103" s="2"/>
      <c r="P103" s="2"/>
      <c r="Q103" s="2"/>
      <c r="R103" s="2"/>
      <c r="S103" s="2"/>
      <c r="T103" s="2"/>
      <c r="W103" s="2"/>
      <c r="Y103" s="7">
        <f t="shared" ref="Y103" si="113">Y91+Y96+Y101+Y102</f>
        <v>-14911</v>
      </c>
      <c r="Z103" s="7">
        <f t="shared" ref="Z103" si="114">Z91+Z96+Z101+Z102</f>
        <v>87773</v>
      </c>
      <c r="AA103" s="7">
        <f t="shared" ref="AA103" si="115">AA91+AA96+AA101+AA102</f>
        <v>108702</v>
      </c>
    </row>
    <row r="104" spans="2:406" s="2" customFormat="1" x14ac:dyDescent="0.25">
      <c r="B104" s="2" t="s">
        <v>103</v>
      </c>
      <c r="C104" s="2">
        <v>145054</v>
      </c>
      <c r="D104" s="2">
        <f>C105</f>
        <v>170158</v>
      </c>
      <c r="E104" s="2">
        <f t="shared" ref="E104:L104" si="116">D105</f>
        <v>188807</v>
      </c>
      <c r="F104" s="2">
        <f t="shared" si="116"/>
        <v>172146</v>
      </c>
      <c r="G104" s="2">
        <f t="shared" si="116"/>
        <v>232827</v>
      </c>
      <c r="H104" s="2">
        <f t="shared" si="116"/>
        <v>295670</v>
      </c>
      <c r="I104" s="2">
        <f t="shared" si="116"/>
        <v>263031</v>
      </c>
      <c r="J104" s="2">
        <f t="shared" si="116"/>
        <v>299065</v>
      </c>
      <c r="K104" s="2">
        <f t="shared" si="116"/>
        <v>341529</v>
      </c>
      <c r="L104" s="2">
        <f t="shared" si="116"/>
        <v>235236</v>
      </c>
      <c r="Y104" s="2">
        <v>159965</v>
      </c>
      <c r="Z104" s="2">
        <f>Y105</f>
        <v>145054</v>
      </c>
      <c r="AA104" s="2">
        <f>Z105</f>
        <v>232827</v>
      </c>
    </row>
    <row r="105" spans="2:406" s="2" customFormat="1" x14ac:dyDescent="0.25">
      <c r="B105" s="2" t="s">
        <v>104</v>
      </c>
      <c r="C105" s="2">
        <f t="shared" ref="C105:L105" si="117">C103+C104</f>
        <v>170158</v>
      </c>
      <c r="D105" s="2">
        <f t="shared" si="117"/>
        <v>188807</v>
      </c>
      <c r="E105" s="2">
        <f t="shared" si="117"/>
        <v>172146</v>
      </c>
      <c r="F105" s="2">
        <f t="shared" si="117"/>
        <v>232827</v>
      </c>
      <c r="G105" s="2">
        <f t="shared" si="117"/>
        <v>295670</v>
      </c>
      <c r="H105" s="2">
        <f t="shared" si="117"/>
        <v>263031</v>
      </c>
      <c r="I105" s="2">
        <f t="shared" si="117"/>
        <v>299065</v>
      </c>
      <c r="J105" s="2">
        <f t="shared" si="117"/>
        <v>341529</v>
      </c>
      <c r="K105" s="2">
        <f t="shared" si="117"/>
        <v>235236</v>
      </c>
      <c r="L105" s="2">
        <f t="shared" si="117"/>
        <v>206111</v>
      </c>
      <c r="N105" s="7"/>
      <c r="O105" s="7"/>
      <c r="P105" s="7"/>
      <c r="Q105" s="7"/>
      <c r="R105" s="7"/>
      <c r="S105" s="7"/>
      <c r="T105" s="7"/>
      <c r="U105" s="7"/>
      <c r="Y105" s="2">
        <f t="shared" ref="Y105" si="118">Y103+Y104</f>
        <v>145054</v>
      </c>
      <c r="Z105" s="2">
        <f t="shared" ref="Z105" si="119">Z103+Z104</f>
        <v>232827</v>
      </c>
      <c r="AA105" s="2">
        <f t="shared" ref="AA105" si="120">AA103+AA104</f>
        <v>341529</v>
      </c>
    </row>
    <row r="106" spans="2:406" s="2" customFormat="1" x14ac:dyDescent="0.25"/>
    <row r="107" spans="2:406" s="2" customFormat="1" x14ac:dyDescent="0.25">
      <c r="B107" s="2" t="s">
        <v>101</v>
      </c>
      <c r="C107" s="2">
        <f t="shared" ref="C107:K107" si="121">C91+C95</f>
        <v>56620</v>
      </c>
      <c r="D107" s="2">
        <f t="shared" si="121"/>
        <v>43199</v>
      </c>
      <c r="E107" s="2">
        <f t="shared" si="121"/>
        <v>23830</v>
      </c>
      <c r="F107" s="2">
        <f t="shared" si="121"/>
        <v>77355</v>
      </c>
      <c r="G107" s="2">
        <f t="shared" si="121"/>
        <v>179542</v>
      </c>
      <c r="H107" s="2">
        <f t="shared" si="121"/>
        <v>38844</v>
      </c>
      <c r="I107" s="2">
        <f t="shared" si="121"/>
        <v>27390</v>
      </c>
      <c r="J107" s="2">
        <f t="shared" si="121"/>
        <v>92438</v>
      </c>
      <c r="K107" s="2">
        <f t="shared" si="121"/>
        <v>202348</v>
      </c>
      <c r="L107" s="2">
        <f>L91+L95</f>
        <v>84133</v>
      </c>
      <c r="M107" s="2">
        <f t="shared" ref="M107:V107" si="122">M91+M95</f>
        <v>38520</v>
      </c>
      <c r="N107" s="2">
        <f t="shared" si="122"/>
        <v>133000</v>
      </c>
      <c r="O107" s="2">
        <f t="shared" si="122"/>
        <v>231000</v>
      </c>
      <c r="P107" s="2">
        <f t="shared" si="122"/>
        <v>93620</v>
      </c>
      <c r="Q107" s="2">
        <f t="shared" si="122"/>
        <v>70190</v>
      </c>
      <c r="R107" s="2">
        <f t="shared" si="122"/>
        <v>150000</v>
      </c>
      <c r="S107" s="2">
        <f t="shared" si="122"/>
        <v>262000</v>
      </c>
      <c r="T107" s="2">
        <f t="shared" si="122"/>
        <v>108000</v>
      </c>
      <c r="U107" s="2">
        <f t="shared" si="122"/>
        <v>81318.5</v>
      </c>
      <c r="V107" s="2">
        <f t="shared" si="122"/>
        <v>173100</v>
      </c>
      <c r="Y107" s="2">
        <f t="shared" ref="Y107:AA107" si="123">Y91+Y95</f>
        <v>-13043</v>
      </c>
      <c r="Z107" s="2">
        <f t="shared" si="123"/>
        <v>201004</v>
      </c>
      <c r="AA107" s="2">
        <f t="shared" si="123"/>
        <v>338214</v>
      </c>
      <c r="AB107" s="2">
        <f>+K107+L107+M107+N107</f>
        <v>458001</v>
      </c>
      <c r="AC107" s="2">
        <f>+O107+P107+Q107+R107</f>
        <v>544810</v>
      </c>
      <c r="AD107" s="2">
        <f>S107+T107+U107+V107</f>
        <v>624418.5</v>
      </c>
      <c r="AE107" s="2">
        <f>AE9*AE110</f>
        <v>674243.80799999996</v>
      </c>
      <c r="AF107" s="2">
        <f t="shared" ref="AF107:AK107" si="124">AF9*AF110</f>
        <v>721440.87456000003</v>
      </c>
      <c r="AG107" s="2">
        <f t="shared" si="124"/>
        <v>771941.7357792001</v>
      </c>
      <c r="AH107" s="2">
        <f t="shared" si="124"/>
        <v>825977.65728374408</v>
      </c>
      <c r="AI107" s="2">
        <f t="shared" si="124"/>
        <v>897605.4072513188</v>
      </c>
      <c r="AJ107" s="2">
        <f t="shared" si="124"/>
        <v>960437.78575891117</v>
      </c>
      <c r="AK107" s="2">
        <f t="shared" si="124"/>
        <v>1027668.4307620351</v>
      </c>
      <c r="AL107" s="2">
        <f>AL9*AL110</f>
        <v>1099605.2209153774</v>
      </c>
      <c r="AM107" s="2">
        <f t="shared" ref="AM107:AV107" si="125">AM9*AM110</f>
        <v>1117029.7344160364</v>
      </c>
      <c r="AN107" s="2">
        <f t="shared" si="125"/>
        <v>1184051.5184809987</v>
      </c>
      <c r="AO107" s="2">
        <f t="shared" si="125"/>
        <v>1249174.3519974535</v>
      </c>
      <c r="AP107" s="2">
        <f t="shared" si="125"/>
        <v>1311633.0695973262</v>
      </c>
      <c r="AQ107" s="2">
        <f t="shared" si="125"/>
        <v>1326441.8300605218</v>
      </c>
      <c r="AR107" s="2">
        <f t="shared" si="125"/>
        <v>1386131.7124132451</v>
      </c>
      <c r="AS107" s="2">
        <f t="shared" si="125"/>
        <v>1448507.639471841</v>
      </c>
      <c r="AT107" s="2">
        <f t="shared" si="125"/>
        <v>1513690.4832480738</v>
      </c>
      <c r="AU107" s="2">
        <f t="shared" si="125"/>
        <v>1574238.1025779969</v>
      </c>
      <c r="AV107" s="2">
        <f t="shared" si="125"/>
        <v>1637207.6266811169</v>
      </c>
      <c r="AW107" s="2">
        <f>AV107*(1-$BD$32)</f>
        <v>1588091.3978806834</v>
      </c>
      <c r="AX107" s="2">
        <f t="shared" ref="AX107:DI107" si="126">AW107*(1-$BD$32)</f>
        <v>1540448.6559442629</v>
      </c>
      <c r="AY107" s="2">
        <f t="shared" si="126"/>
        <v>1494235.196265935</v>
      </c>
      <c r="AZ107" s="2">
        <f t="shared" si="126"/>
        <v>1449408.1403779569</v>
      </c>
      <c r="BA107" s="2">
        <f t="shared" si="126"/>
        <v>1405925.8961666182</v>
      </c>
      <c r="BB107" s="2">
        <f t="shared" si="126"/>
        <v>1363748.1192816196</v>
      </c>
      <c r="BC107" s="2">
        <f t="shared" si="126"/>
        <v>1322835.6757031709</v>
      </c>
      <c r="BD107" s="2">
        <f t="shared" si="126"/>
        <v>1283150.6054320757</v>
      </c>
      <c r="BE107" s="2">
        <f t="shared" si="126"/>
        <v>1244656.0872691134</v>
      </c>
      <c r="BF107" s="2">
        <f t="shared" si="126"/>
        <v>1207316.40465104</v>
      </c>
      <c r="BG107" s="2">
        <f t="shared" si="126"/>
        <v>1171096.9125115087</v>
      </c>
      <c r="BH107" s="2">
        <f t="shared" si="126"/>
        <v>1135964.0051361634</v>
      </c>
      <c r="BI107" s="2">
        <f t="shared" si="126"/>
        <v>1101885.0849820785</v>
      </c>
      <c r="BJ107" s="2">
        <f t="shared" si="126"/>
        <v>1068828.5324326162</v>
      </c>
      <c r="BK107" s="2">
        <f t="shared" si="126"/>
        <v>1036763.6764596377</v>
      </c>
      <c r="BL107" s="2">
        <f t="shared" si="126"/>
        <v>1005660.7661658486</v>
      </c>
      <c r="BM107" s="2">
        <f t="shared" si="126"/>
        <v>975490.94318087306</v>
      </c>
      <c r="BN107" s="2">
        <f t="shared" si="126"/>
        <v>946226.21488544683</v>
      </c>
      <c r="BO107" s="2">
        <f t="shared" si="126"/>
        <v>917839.42843888339</v>
      </c>
      <c r="BP107" s="2">
        <f t="shared" si="126"/>
        <v>890304.24558571691</v>
      </c>
      <c r="BQ107" s="2">
        <f t="shared" si="126"/>
        <v>863595.11821814533</v>
      </c>
      <c r="BR107" s="2">
        <f t="shared" si="126"/>
        <v>837687.26467160101</v>
      </c>
      <c r="BS107" s="2">
        <f t="shared" si="126"/>
        <v>812556.6467314529</v>
      </c>
      <c r="BT107" s="2">
        <f t="shared" si="126"/>
        <v>788179.9473295093</v>
      </c>
      <c r="BU107" s="2">
        <f t="shared" si="126"/>
        <v>764534.54890962399</v>
      </c>
      <c r="BV107" s="2">
        <f t="shared" si="126"/>
        <v>741598.51244233525</v>
      </c>
      <c r="BW107" s="2">
        <f t="shared" si="126"/>
        <v>719350.55706906517</v>
      </c>
      <c r="BX107" s="2">
        <f t="shared" si="126"/>
        <v>697770.04035699321</v>
      </c>
      <c r="BY107" s="2">
        <f t="shared" si="126"/>
        <v>676836.93914628343</v>
      </c>
      <c r="BZ107" s="2">
        <f t="shared" si="126"/>
        <v>656531.8309718949</v>
      </c>
      <c r="CA107" s="2">
        <f t="shared" si="126"/>
        <v>636835.87604273809</v>
      </c>
      <c r="CB107" s="2">
        <f t="shared" si="126"/>
        <v>617730.79976145597</v>
      </c>
      <c r="CC107" s="2">
        <f t="shared" si="126"/>
        <v>599198.87576861226</v>
      </c>
      <c r="CD107" s="2">
        <f t="shared" si="126"/>
        <v>581222.90949555382</v>
      </c>
      <c r="CE107" s="2">
        <f t="shared" si="126"/>
        <v>563786.22221068724</v>
      </c>
      <c r="CF107" s="2">
        <f t="shared" si="126"/>
        <v>546872.63554436655</v>
      </c>
      <c r="CG107" s="2">
        <f t="shared" si="126"/>
        <v>530466.45647803554</v>
      </c>
      <c r="CH107" s="2">
        <f t="shared" si="126"/>
        <v>514552.46278369444</v>
      </c>
      <c r="CI107" s="2">
        <f t="shared" si="126"/>
        <v>499115.88890018361</v>
      </c>
      <c r="CJ107" s="2">
        <f t="shared" si="126"/>
        <v>484142.4122331781</v>
      </c>
      <c r="CK107" s="2">
        <f t="shared" si="126"/>
        <v>469618.13986618276</v>
      </c>
      <c r="CL107" s="2">
        <f t="shared" si="126"/>
        <v>455529.59567019728</v>
      </c>
      <c r="CM107" s="2">
        <f t="shared" si="126"/>
        <v>441863.70780009136</v>
      </c>
      <c r="CN107" s="2">
        <f t="shared" si="126"/>
        <v>428607.79656608863</v>
      </c>
      <c r="CO107" s="2">
        <f t="shared" si="126"/>
        <v>415749.56266910594</v>
      </c>
      <c r="CP107" s="2">
        <f t="shared" si="126"/>
        <v>403277.07578903274</v>
      </c>
      <c r="CQ107" s="2">
        <f t="shared" si="126"/>
        <v>391178.76351536176</v>
      </c>
      <c r="CR107" s="2">
        <f t="shared" si="126"/>
        <v>379443.40060990088</v>
      </c>
      <c r="CS107" s="2">
        <f t="shared" si="126"/>
        <v>368060.09859160386</v>
      </c>
      <c r="CT107" s="2">
        <f t="shared" si="126"/>
        <v>357018.29563385574</v>
      </c>
      <c r="CU107" s="2">
        <f t="shared" si="126"/>
        <v>346307.74676484003</v>
      </c>
      <c r="CV107" s="2">
        <f t="shared" si="126"/>
        <v>335918.51436189481</v>
      </c>
      <c r="CW107" s="2">
        <f t="shared" si="126"/>
        <v>325840.95893103798</v>
      </c>
      <c r="CX107" s="2">
        <f t="shared" si="126"/>
        <v>316065.73016310681</v>
      </c>
      <c r="CY107" s="2">
        <f t="shared" si="126"/>
        <v>306583.75825821358</v>
      </c>
      <c r="CZ107" s="2">
        <f t="shared" si="126"/>
        <v>297386.24551046715</v>
      </c>
      <c r="DA107" s="2">
        <f t="shared" si="126"/>
        <v>288464.65814515314</v>
      </c>
      <c r="DB107" s="2">
        <f t="shared" si="126"/>
        <v>279810.71840079856</v>
      </c>
      <c r="DC107" s="2">
        <f t="shared" si="126"/>
        <v>271416.39684877457</v>
      </c>
      <c r="DD107" s="2">
        <f t="shared" si="126"/>
        <v>263273.90494331135</v>
      </c>
      <c r="DE107" s="2">
        <f t="shared" si="126"/>
        <v>255375.687795012</v>
      </c>
      <c r="DF107" s="2">
        <f t="shared" si="126"/>
        <v>247714.41716116163</v>
      </c>
      <c r="DG107" s="2">
        <f t="shared" si="126"/>
        <v>240282.98464632677</v>
      </c>
      <c r="DH107" s="2">
        <f t="shared" si="126"/>
        <v>233074.49510693696</v>
      </c>
      <c r="DI107" s="2">
        <f t="shared" si="126"/>
        <v>226082.26025372883</v>
      </c>
      <c r="DJ107" s="2">
        <f t="shared" ref="DJ107:FU107" si="127">DI107*(1-$BD$32)</f>
        <v>219299.79244611698</v>
      </c>
      <c r="DK107" s="2">
        <f t="shared" si="127"/>
        <v>212720.79867273345</v>
      </c>
      <c r="DL107" s="2">
        <f t="shared" si="127"/>
        <v>206339.17471255144</v>
      </c>
      <c r="DM107" s="2">
        <f t="shared" si="127"/>
        <v>200148.9994711749</v>
      </c>
      <c r="DN107" s="2">
        <f t="shared" si="127"/>
        <v>194144.52948703966</v>
      </c>
      <c r="DO107" s="2">
        <f t="shared" si="127"/>
        <v>188320.19360242848</v>
      </c>
      <c r="DP107" s="2">
        <f t="shared" si="127"/>
        <v>182670.58779435561</v>
      </c>
      <c r="DQ107" s="2">
        <f t="shared" si="127"/>
        <v>177190.47016052494</v>
      </c>
      <c r="DR107" s="2">
        <f t="shared" si="127"/>
        <v>171874.75605570918</v>
      </c>
      <c r="DS107" s="2">
        <f t="shared" si="127"/>
        <v>166718.5133740379</v>
      </c>
      <c r="DT107" s="2">
        <f t="shared" si="127"/>
        <v>161716.95797281674</v>
      </c>
      <c r="DU107" s="2">
        <f t="shared" si="127"/>
        <v>156865.44923363224</v>
      </c>
      <c r="DV107" s="2">
        <f t="shared" si="127"/>
        <v>152159.48575662327</v>
      </c>
      <c r="DW107" s="2">
        <f t="shared" si="127"/>
        <v>147594.70118392457</v>
      </c>
      <c r="DX107" s="2">
        <f t="shared" si="127"/>
        <v>143166.86014840682</v>
      </c>
      <c r="DY107" s="2">
        <f t="shared" si="127"/>
        <v>138871.85434395462</v>
      </c>
      <c r="DZ107" s="2">
        <f t="shared" si="127"/>
        <v>134705.69871363597</v>
      </c>
      <c r="EA107" s="2">
        <f t="shared" si="127"/>
        <v>130664.52775222689</v>
      </c>
      <c r="EB107" s="2">
        <f t="shared" si="127"/>
        <v>126744.59191966007</v>
      </c>
      <c r="EC107" s="2">
        <f t="shared" si="127"/>
        <v>122942.25416207027</v>
      </c>
      <c r="ED107" s="2">
        <f t="shared" si="127"/>
        <v>119253.98653720815</v>
      </c>
      <c r="EE107" s="2">
        <f t="shared" si="127"/>
        <v>115676.36694109191</v>
      </c>
      <c r="EF107" s="2">
        <f t="shared" si="127"/>
        <v>112206.07593285915</v>
      </c>
      <c r="EG107" s="2">
        <f t="shared" si="127"/>
        <v>108839.89365487338</v>
      </c>
      <c r="EH107" s="2">
        <f t="shared" si="127"/>
        <v>105574.69684522717</v>
      </c>
      <c r="EI107" s="2">
        <f t="shared" si="127"/>
        <v>102407.45593987036</v>
      </c>
      <c r="EJ107" s="2">
        <f t="shared" si="127"/>
        <v>99335.232261674246</v>
      </c>
      <c r="EK107" s="2">
        <f t="shared" si="127"/>
        <v>96355.17529382401</v>
      </c>
      <c r="EL107" s="2">
        <f t="shared" si="127"/>
        <v>93464.520035009293</v>
      </c>
      <c r="EM107" s="2">
        <f t="shared" si="127"/>
        <v>90660.584433959011</v>
      </c>
      <c r="EN107" s="2">
        <f t="shared" si="127"/>
        <v>87940.766900940245</v>
      </c>
      <c r="EO107" s="2">
        <f t="shared" si="127"/>
        <v>85302.543893912036</v>
      </c>
      <c r="EP107" s="2">
        <f t="shared" si="127"/>
        <v>82743.467577094678</v>
      </c>
      <c r="EQ107" s="2">
        <f t="shared" si="127"/>
        <v>80261.163549781835</v>
      </c>
      <c r="ER107" s="2">
        <f t="shared" si="127"/>
        <v>77853.328643288376</v>
      </c>
      <c r="ES107" s="2">
        <f t="shared" si="127"/>
        <v>75517.728783989718</v>
      </c>
      <c r="ET107" s="2">
        <f t="shared" si="127"/>
        <v>73252.196920470029</v>
      </c>
      <c r="EU107" s="2">
        <f t="shared" si="127"/>
        <v>71054.631012855927</v>
      </c>
      <c r="EV107" s="2">
        <f t="shared" si="127"/>
        <v>68922.992082470242</v>
      </c>
      <c r="EW107" s="2">
        <f t="shared" si="127"/>
        <v>66855.302319996132</v>
      </c>
      <c r="EX107" s="2">
        <f t="shared" si="127"/>
        <v>64849.643250396242</v>
      </c>
      <c r="EY107" s="2">
        <f t="shared" si="127"/>
        <v>62904.153952884357</v>
      </c>
      <c r="EZ107" s="2">
        <f t="shared" si="127"/>
        <v>61017.029334297826</v>
      </c>
      <c r="FA107" s="2">
        <f t="shared" si="127"/>
        <v>59186.518454268888</v>
      </c>
      <c r="FB107" s="2">
        <f t="shared" si="127"/>
        <v>57410.92290064082</v>
      </c>
      <c r="FC107" s="2">
        <f t="shared" si="127"/>
        <v>55688.595213621593</v>
      </c>
      <c r="FD107" s="2">
        <f t="shared" si="127"/>
        <v>54017.937357212941</v>
      </c>
      <c r="FE107" s="2">
        <f t="shared" si="127"/>
        <v>52397.399236496552</v>
      </c>
      <c r="FF107" s="2">
        <f t="shared" si="127"/>
        <v>50825.477259401654</v>
      </c>
      <c r="FG107" s="2">
        <f t="shared" si="127"/>
        <v>49300.712941619604</v>
      </c>
      <c r="FH107" s="2">
        <f t="shared" si="127"/>
        <v>47821.691553371013</v>
      </c>
      <c r="FI107" s="2">
        <f t="shared" si="127"/>
        <v>46387.040806769881</v>
      </c>
      <c r="FJ107" s="2">
        <f t="shared" si="127"/>
        <v>44995.42958256678</v>
      </c>
      <c r="FK107" s="2">
        <f t="shared" si="127"/>
        <v>43645.566695089772</v>
      </c>
      <c r="FL107" s="2">
        <f t="shared" si="127"/>
        <v>42336.199694237075</v>
      </c>
      <c r="FM107" s="2">
        <f t="shared" si="127"/>
        <v>41066.113703409959</v>
      </c>
      <c r="FN107" s="2">
        <f t="shared" si="127"/>
        <v>39834.130292307658</v>
      </c>
      <c r="FO107" s="2">
        <f t="shared" si="127"/>
        <v>38639.106383538427</v>
      </c>
      <c r="FP107" s="2">
        <f t="shared" si="127"/>
        <v>37479.933192032273</v>
      </c>
      <c r="FQ107" s="2">
        <f t="shared" si="127"/>
        <v>36355.535196271303</v>
      </c>
      <c r="FR107" s="2">
        <f t="shared" si="127"/>
        <v>35264.869140383162</v>
      </c>
      <c r="FS107" s="2">
        <f t="shared" si="127"/>
        <v>34206.923066171665</v>
      </c>
      <c r="FT107" s="2">
        <f t="shared" si="127"/>
        <v>33180.715374186511</v>
      </c>
      <c r="FU107" s="2">
        <f t="shared" si="127"/>
        <v>32185.293912960915</v>
      </c>
      <c r="FV107" s="2">
        <f t="shared" ref="FV107:IG107" si="128">FU107*(1-$BD$32)</f>
        <v>31219.735095572087</v>
      </c>
      <c r="FW107" s="2">
        <f t="shared" si="128"/>
        <v>30283.143042704924</v>
      </c>
      <c r="FX107" s="2">
        <f t="shared" si="128"/>
        <v>29374.648751423774</v>
      </c>
      <c r="FY107" s="2">
        <f t="shared" si="128"/>
        <v>28493.409288881059</v>
      </c>
      <c r="FZ107" s="2">
        <f t="shared" si="128"/>
        <v>27638.607010214626</v>
      </c>
      <c r="GA107" s="2">
        <f t="shared" si="128"/>
        <v>26809.448799908187</v>
      </c>
      <c r="GB107" s="2">
        <f t="shared" si="128"/>
        <v>26005.16533591094</v>
      </c>
      <c r="GC107" s="2">
        <f t="shared" si="128"/>
        <v>25225.010375833612</v>
      </c>
      <c r="GD107" s="2">
        <f t="shared" si="128"/>
        <v>24468.260064558603</v>
      </c>
      <c r="GE107" s="2">
        <f t="shared" si="128"/>
        <v>23734.212262621844</v>
      </c>
      <c r="GF107" s="2">
        <f t="shared" si="128"/>
        <v>23022.185894743187</v>
      </c>
      <c r="GG107" s="2">
        <f t="shared" si="128"/>
        <v>22331.520317900889</v>
      </c>
      <c r="GH107" s="2">
        <f t="shared" si="128"/>
        <v>21661.574708363863</v>
      </c>
      <c r="GI107" s="2">
        <f t="shared" si="128"/>
        <v>21011.727467112945</v>
      </c>
      <c r="GJ107" s="2">
        <f t="shared" si="128"/>
        <v>20381.375643099556</v>
      </c>
      <c r="GK107" s="2">
        <f t="shared" si="128"/>
        <v>19769.934373806569</v>
      </c>
      <c r="GL107" s="2">
        <f t="shared" si="128"/>
        <v>19176.836342592371</v>
      </c>
      <c r="GM107" s="2">
        <f t="shared" si="128"/>
        <v>18601.531252314599</v>
      </c>
      <c r="GN107" s="2">
        <f t="shared" si="128"/>
        <v>18043.485314745161</v>
      </c>
      <c r="GO107" s="2">
        <f t="shared" si="128"/>
        <v>17502.180755302805</v>
      </c>
      <c r="GP107" s="2">
        <f t="shared" si="128"/>
        <v>16977.11533264372</v>
      </c>
      <c r="GQ107" s="2">
        <f t="shared" si="128"/>
        <v>16467.801872664408</v>
      </c>
      <c r="GR107" s="2">
        <f t="shared" si="128"/>
        <v>15973.767816484475</v>
      </c>
      <c r="GS107" s="2">
        <f t="shared" si="128"/>
        <v>15494.55478198994</v>
      </c>
      <c r="GT107" s="2">
        <f t="shared" si="128"/>
        <v>15029.718138530241</v>
      </c>
      <c r="GU107" s="2">
        <f t="shared" si="128"/>
        <v>14578.826594374334</v>
      </c>
      <c r="GV107" s="2">
        <f t="shared" si="128"/>
        <v>14141.461796543103</v>
      </c>
      <c r="GW107" s="2">
        <f t="shared" si="128"/>
        <v>13717.217942646808</v>
      </c>
      <c r="GX107" s="2">
        <f t="shared" si="128"/>
        <v>13305.701404367404</v>
      </c>
      <c r="GY107" s="2">
        <f t="shared" si="128"/>
        <v>12906.530362236383</v>
      </c>
      <c r="GZ107" s="2">
        <f t="shared" si="128"/>
        <v>12519.33445136929</v>
      </c>
      <c r="HA107" s="2">
        <f t="shared" si="128"/>
        <v>12143.754417828211</v>
      </c>
      <c r="HB107" s="2">
        <f t="shared" si="128"/>
        <v>11779.441785293366</v>
      </c>
      <c r="HC107" s="2">
        <f t="shared" si="128"/>
        <v>11426.058531734565</v>
      </c>
      <c r="HD107" s="2">
        <f t="shared" si="128"/>
        <v>11083.276775782528</v>
      </c>
      <c r="HE107" s="2">
        <f t="shared" si="128"/>
        <v>10750.778472509051</v>
      </c>
      <c r="HF107" s="2">
        <f t="shared" si="128"/>
        <v>10428.25511833378</v>
      </c>
      <c r="HG107" s="2">
        <f t="shared" si="128"/>
        <v>10115.407464783766</v>
      </c>
      <c r="HH107" s="2">
        <f t="shared" si="128"/>
        <v>9811.9452408402522</v>
      </c>
      <c r="HI107" s="2">
        <f t="shared" si="128"/>
        <v>9517.5868836150439</v>
      </c>
      <c r="HJ107" s="2">
        <f t="shared" si="128"/>
        <v>9232.0592771065931</v>
      </c>
      <c r="HK107" s="2">
        <f t="shared" si="128"/>
        <v>8955.0974987933951</v>
      </c>
      <c r="HL107" s="2">
        <f t="shared" si="128"/>
        <v>8686.4445738295926</v>
      </c>
      <c r="HM107" s="2">
        <f t="shared" si="128"/>
        <v>8425.8512366147042</v>
      </c>
      <c r="HN107" s="2">
        <f t="shared" si="128"/>
        <v>8173.0756995162628</v>
      </c>
      <c r="HO107" s="2">
        <f t="shared" si="128"/>
        <v>7927.8834285307748</v>
      </c>
      <c r="HP107" s="2">
        <f t="shared" si="128"/>
        <v>7690.0469256748511</v>
      </c>
      <c r="HQ107" s="2">
        <f t="shared" si="128"/>
        <v>7459.345517904605</v>
      </c>
      <c r="HR107" s="2">
        <f t="shared" si="128"/>
        <v>7235.5651523674669</v>
      </c>
      <c r="HS107" s="2">
        <f t="shared" si="128"/>
        <v>7018.4981977964426</v>
      </c>
      <c r="HT107" s="2">
        <f t="shared" si="128"/>
        <v>6807.943251862549</v>
      </c>
      <c r="HU107" s="2">
        <f t="shared" si="128"/>
        <v>6603.7049543066723</v>
      </c>
      <c r="HV107" s="2">
        <f t="shared" si="128"/>
        <v>6405.5938056774721</v>
      </c>
      <c r="HW107" s="2">
        <f t="shared" si="128"/>
        <v>6213.425991507148</v>
      </c>
      <c r="HX107" s="2">
        <f t="shared" si="128"/>
        <v>6027.0232117619335</v>
      </c>
      <c r="HY107" s="2">
        <f t="shared" si="128"/>
        <v>5846.2125154090754</v>
      </c>
      <c r="HZ107" s="2">
        <f t="shared" si="128"/>
        <v>5670.8261399468029</v>
      </c>
      <c r="IA107" s="2">
        <f t="shared" si="128"/>
        <v>5500.7013557483988</v>
      </c>
      <c r="IB107" s="2">
        <f t="shared" si="128"/>
        <v>5335.680315075947</v>
      </c>
      <c r="IC107" s="2">
        <f t="shared" si="128"/>
        <v>5175.6099056236681</v>
      </c>
      <c r="ID107" s="2">
        <f t="shared" si="128"/>
        <v>5020.3416084549581</v>
      </c>
      <c r="IE107" s="2">
        <f t="shared" si="128"/>
        <v>4869.7313602013091</v>
      </c>
      <c r="IF107" s="2">
        <f t="shared" si="128"/>
        <v>4723.6394193952701</v>
      </c>
      <c r="IG107" s="2">
        <f t="shared" si="128"/>
        <v>4581.9302368134122</v>
      </c>
      <c r="IH107" s="2">
        <f t="shared" ref="IH107:KS107" si="129">IG107*(1-$BD$32)</f>
        <v>4444.4723297090095</v>
      </c>
      <c r="II107" s="2">
        <f t="shared" si="129"/>
        <v>4311.1381598177395</v>
      </c>
      <c r="IJ107" s="2">
        <f t="shared" si="129"/>
        <v>4181.8040150232073</v>
      </c>
      <c r="IK107" s="2">
        <f t="shared" si="129"/>
        <v>4056.3498945725109</v>
      </c>
      <c r="IL107" s="2">
        <f t="shared" si="129"/>
        <v>3934.6593977353355</v>
      </c>
      <c r="IM107" s="2">
        <f t="shared" si="129"/>
        <v>3816.6196158032753</v>
      </c>
      <c r="IN107" s="2">
        <f t="shared" si="129"/>
        <v>3702.1210273291772</v>
      </c>
      <c r="IO107" s="2">
        <f t="shared" si="129"/>
        <v>3591.0573965093017</v>
      </c>
      <c r="IP107" s="2">
        <f t="shared" si="129"/>
        <v>3483.3256746140228</v>
      </c>
      <c r="IQ107" s="2">
        <f t="shared" si="129"/>
        <v>3378.825904375602</v>
      </c>
      <c r="IR107" s="2">
        <f t="shared" si="129"/>
        <v>3277.461127244334</v>
      </c>
      <c r="IS107" s="2">
        <f t="shared" si="129"/>
        <v>3179.1372934270039</v>
      </c>
      <c r="IT107" s="2">
        <f t="shared" si="129"/>
        <v>3083.7631746241937</v>
      </c>
      <c r="IU107" s="2">
        <f t="shared" si="129"/>
        <v>2991.2502793854678</v>
      </c>
      <c r="IV107" s="2">
        <f t="shared" si="129"/>
        <v>2901.5127710039037</v>
      </c>
      <c r="IW107" s="2">
        <f t="shared" si="129"/>
        <v>2814.4673878737867</v>
      </c>
      <c r="IX107" s="2">
        <f t="shared" si="129"/>
        <v>2730.0333662375729</v>
      </c>
      <c r="IY107" s="2">
        <f t="shared" si="129"/>
        <v>2648.1323652504457</v>
      </c>
      <c r="IZ107" s="2">
        <f t="shared" si="129"/>
        <v>2568.6883942929321</v>
      </c>
      <c r="JA107" s="2">
        <f t="shared" si="129"/>
        <v>2491.6277424641439</v>
      </c>
      <c r="JB107" s="2">
        <f t="shared" si="129"/>
        <v>2416.8789101902194</v>
      </c>
      <c r="JC107" s="2">
        <f t="shared" si="129"/>
        <v>2344.3725428845128</v>
      </c>
      <c r="JD107" s="2">
        <f t="shared" si="129"/>
        <v>2274.0413665979772</v>
      </c>
      <c r="JE107" s="2">
        <f t="shared" si="129"/>
        <v>2205.820125600038</v>
      </c>
      <c r="JF107" s="2">
        <f t="shared" si="129"/>
        <v>2139.6455218320366</v>
      </c>
      <c r="JG107" s="2">
        <f t="shared" si="129"/>
        <v>2075.4561561770756</v>
      </c>
      <c r="JH107" s="2">
        <f t="shared" si="129"/>
        <v>2013.1924714917634</v>
      </c>
      <c r="JI107" s="2">
        <f t="shared" si="129"/>
        <v>1952.7966973470104</v>
      </c>
      <c r="JJ107" s="2">
        <f t="shared" si="129"/>
        <v>1894.2127964266001</v>
      </c>
      <c r="JK107" s="2">
        <f t="shared" si="129"/>
        <v>1837.3864125338021</v>
      </c>
      <c r="JL107" s="2">
        <f t="shared" si="129"/>
        <v>1782.2648201577879</v>
      </c>
      <c r="JM107" s="2">
        <f t="shared" si="129"/>
        <v>1728.7968755530542</v>
      </c>
      <c r="JN107" s="2">
        <f t="shared" si="129"/>
        <v>1676.9329692864626</v>
      </c>
      <c r="JO107" s="2">
        <f t="shared" si="129"/>
        <v>1626.6249802078687</v>
      </c>
      <c r="JP107" s="2">
        <f t="shared" si="129"/>
        <v>1577.8262308016326</v>
      </c>
      <c r="JQ107" s="2">
        <f t="shared" si="129"/>
        <v>1530.4914438775836</v>
      </c>
      <c r="JR107" s="2">
        <f t="shared" si="129"/>
        <v>1484.5767005612561</v>
      </c>
      <c r="JS107" s="2">
        <f t="shared" si="129"/>
        <v>1440.0393995444183</v>
      </c>
      <c r="JT107" s="2">
        <f t="shared" si="129"/>
        <v>1396.8382175580857</v>
      </c>
      <c r="JU107" s="2">
        <f t="shared" si="129"/>
        <v>1354.9330710313432</v>
      </c>
      <c r="JV107" s="2">
        <f t="shared" si="129"/>
        <v>1314.2850789004028</v>
      </c>
      <c r="JW107" s="2">
        <f t="shared" si="129"/>
        <v>1274.8565265333907</v>
      </c>
      <c r="JX107" s="2">
        <f t="shared" si="129"/>
        <v>1236.6108307373891</v>
      </c>
      <c r="JY107" s="2">
        <f t="shared" si="129"/>
        <v>1199.5125058152673</v>
      </c>
      <c r="JZ107" s="2">
        <f t="shared" si="129"/>
        <v>1163.5271306408092</v>
      </c>
      <c r="KA107" s="2">
        <f t="shared" si="129"/>
        <v>1128.6213167215849</v>
      </c>
      <c r="KB107" s="2">
        <f t="shared" si="129"/>
        <v>1094.7626772199374</v>
      </c>
      <c r="KC107" s="2">
        <f t="shared" si="129"/>
        <v>1061.9197969033391</v>
      </c>
      <c r="KD107" s="2">
        <f t="shared" si="129"/>
        <v>1030.062202996239</v>
      </c>
      <c r="KE107" s="2">
        <f t="shared" si="129"/>
        <v>999.16033690635174</v>
      </c>
      <c r="KF107" s="2">
        <f t="shared" si="129"/>
        <v>969.18552679916115</v>
      </c>
      <c r="KG107" s="2">
        <f t="shared" si="129"/>
        <v>940.10996099518627</v>
      </c>
      <c r="KH107" s="2">
        <f t="shared" si="129"/>
        <v>911.90666216533066</v>
      </c>
      <c r="KI107" s="2">
        <f t="shared" si="129"/>
        <v>884.54946230037069</v>
      </c>
      <c r="KJ107" s="2">
        <f t="shared" si="129"/>
        <v>858.01297843135956</v>
      </c>
      <c r="KK107" s="2">
        <f t="shared" si="129"/>
        <v>832.27258907841872</v>
      </c>
      <c r="KL107" s="2">
        <f t="shared" si="129"/>
        <v>807.30441140606615</v>
      </c>
      <c r="KM107" s="2">
        <f t="shared" si="129"/>
        <v>783.08527906388417</v>
      </c>
      <c r="KN107" s="2">
        <f t="shared" si="129"/>
        <v>759.59272069196766</v>
      </c>
      <c r="KO107" s="2">
        <f t="shared" si="129"/>
        <v>736.80493907120865</v>
      </c>
      <c r="KP107" s="2">
        <f t="shared" si="129"/>
        <v>714.70079089907233</v>
      </c>
      <c r="KQ107" s="2">
        <f t="shared" si="129"/>
        <v>693.25976717210017</v>
      </c>
      <c r="KR107" s="2">
        <f t="shared" si="129"/>
        <v>672.46197415693712</v>
      </c>
      <c r="KS107" s="2">
        <f t="shared" si="129"/>
        <v>652.28811493222895</v>
      </c>
      <c r="KT107" s="2">
        <f t="shared" ref="KT107:NE107" si="130">KS107*(1-$BD$32)</f>
        <v>632.71947148426204</v>
      </c>
      <c r="KU107" s="2">
        <f t="shared" si="130"/>
        <v>613.73788733973413</v>
      </c>
      <c r="KV107" s="2">
        <f t="shared" si="130"/>
        <v>595.32575071954204</v>
      </c>
      <c r="KW107" s="2">
        <f t="shared" si="130"/>
        <v>577.46597819795579</v>
      </c>
      <c r="KX107" s="2">
        <f t="shared" si="130"/>
        <v>560.14199885201708</v>
      </c>
      <c r="KY107" s="2">
        <f t="shared" si="130"/>
        <v>543.33773888645658</v>
      </c>
      <c r="KZ107" s="2">
        <f t="shared" si="130"/>
        <v>527.03760671986288</v>
      </c>
      <c r="LA107" s="2">
        <f t="shared" si="130"/>
        <v>511.22647851826696</v>
      </c>
      <c r="LB107" s="2">
        <f t="shared" si="130"/>
        <v>495.88968416271894</v>
      </c>
      <c r="LC107" s="2">
        <f t="shared" si="130"/>
        <v>481.01299363783738</v>
      </c>
      <c r="LD107" s="2">
        <f t="shared" si="130"/>
        <v>466.58260382870225</v>
      </c>
      <c r="LE107" s="2">
        <f t="shared" si="130"/>
        <v>452.58512571384119</v>
      </c>
      <c r="LF107" s="2">
        <f t="shared" si="130"/>
        <v>439.00757194242595</v>
      </c>
      <c r="LG107" s="2">
        <f t="shared" si="130"/>
        <v>425.83734478415317</v>
      </c>
      <c r="LH107" s="2">
        <f t="shared" si="130"/>
        <v>413.06222444062854</v>
      </c>
      <c r="LI107" s="2">
        <f t="shared" si="130"/>
        <v>400.67035770740966</v>
      </c>
      <c r="LJ107" s="2">
        <f t="shared" si="130"/>
        <v>388.65024697618736</v>
      </c>
      <c r="LK107" s="2">
        <f t="shared" si="130"/>
        <v>376.99073956690171</v>
      </c>
      <c r="LL107" s="2">
        <f t="shared" si="130"/>
        <v>365.68101737989463</v>
      </c>
      <c r="LM107" s="2">
        <f t="shared" si="130"/>
        <v>354.71058685849778</v>
      </c>
      <c r="LN107" s="2">
        <f t="shared" si="130"/>
        <v>344.06926925274286</v>
      </c>
      <c r="LO107" s="2">
        <f t="shared" si="130"/>
        <v>333.74719117516054</v>
      </c>
      <c r="LP107" s="2">
        <f t="shared" si="130"/>
        <v>323.73477543990572</v>
      </c>
      <c r="LQ107" s="2">
        <f t="shared" si="130"/>
        <v>314.02273217670853</v>
      </c>
      <c r="LR107" s="2">
        <f t="shared" si="130"/>
        <v>304.60205021140729</v>
      </c>
      <c r="LS107" s="2">
        <f t="shared" si="130"/>
        <v>295.46398870506505</v>
      </c>
      <c r="LT107" s="2">
        <f t="shared" si="130"/>
        <v>286.60006904391309</v>
      </c>
      <c r="LU107" s="2">
        <f t="shared" si="130"/>
        <v>278.00206697259569</v>
      </c>
      <c r="LV107" s="2">
        <f t="shared" si="130"/>
        <v>269.66200496341781</v>
      </c>
      <c r="LW107" s="2">
        <f t="shared" si="130"/>
        <v>261.5721448145153</v>
      </c>
      <c r="LX107" s="2">
        <f t="shared" si="130"/>
        <v>253.72498047007983</v>
      </c>
      <c r="LY107" s="2">
        <f t="shared" si="130"/>
        <v>246.11323105597742</v>
      </c>
      <c r="LZ107" s="2">
        <f t="shared" si="130"/>
        <v>238.72983412429809</v>
      </c>
      <c r="MA107" s="2">
        <f t="shared" si="130"/>
        <v>231.56793910056913</v>
      </c>
      <c r="MB107" s="2">
        <f t="shared" si="130"/>
        <v>224.62090092755204</v>
      </c>
      <c r="MC107" s="2">
        <f t="shared" si="130"/>
        <v>217.88227389972548</v>
      </c>
      <c r="MD107" s="2">
        <f t="shared" si="130"/>
        <v>211.3458056827337</v>
      </c>
      <c r="ME107" s="2">
        <f t="shared" si="130"/>
        <v>205.00543151225168</v>
      </c>
      <c r="MF107" s="2">
        <f t="shared" si="130"/>
        <v>198.85526856688412</v>
      </c>
      <c r="MG107" s="2">
        <f t="shared" si="130"/>
        <v>192.8896105098776</v>
      </c>
      <c r="MH107" s="2">
        <f t="shared" si="130"/>
        <v>187.10292219458125</v>
      </c>
      <c r="MI107" s="2">
        <f t="shared" si="130"/>
        <v>181.48983452874381</v>
      </c>
      <c r="MJ107" s="2">
        <f t="shared" si="130"/>
        <v>176.0451394928815</v>
      </c>
      <c r="MK107" s="2">
        <f t="shared" si="130"/>
        <v>170.76378530809507</v>
      </c>
      <c r="ML107" s="2">
        <f t="shared" si="130"/>
        <v>165.64087174885222</v>
      </c>
      <c r="MM107" s="2">
        <f t="shared" si="130"/>
        <v>160.67164559638664</v>
      </c>
      <c r="MN107" s="2">
        <f t="shared" si="130"/>
        <v>155.85149622849502</v>
      </c>
      <c r="MO107" s="2">
        <f t="shared" si="130"/>
        <v>151.17595134164017</v>
      </c>
      <c r="MP107" s="2">
        <f t="shared" si="130"/>
        <v>146.64067280139096</v>
      </c>
      <c r="MQ107" s="2">
        <f t="shared" si="130"/>
        <v>142.24145261734924</v>
      </c>
      <c r="MR107" s="2">
        <f t="shared" si="130"/>
        <v>137.97420903882875</v>
      </c>
      <c r="MS107" s="2">
        <f t="shared" si="130"/>
        <v>133.83498276766389</v>
      </c>
      <c r="MT107" s="2">
        <f t="shared" si="130"/>
        <v>129.81993328463398</v>
      </c>
      <c r="MU107" s="2">
        <f t="shared" si="130"/>
        <v>125.92533528609495</v>
      </c>
      <c r="MV107" s="2">
        <f t="shared" si="130"/>
        <v>122.14757522751209</v>
      </c>
      <c r="MW107" s="2">
        <f t="shared" si="130"/>
        <v>118.48314797068673</v>
      </c>
      <c r="MX107" s="2">
        <f t="shared" si="130"/>
        <v>114.92865353156613</v>
      </c>
      <c r="MY107" s="2">
        <f t="shared" si="130"/>
        <v>111.48079392561914</v>
      </c>
      <c r="MZ107" s="2">
        <f t="shared" si="130"/>
        <v>108.13637010785057</v>
      </c>
      <c r="NA107" s="2">
        <f t="shared" si="130"/>
        <v>104.89227900461505</v>
      </c>
      <c r="NB107" s="2">
        <f t="shared" si="130"/>
        <v>101.74551063447659</v>
      </c>
      <c r="NC107" s="2">
        <f t="shared" si="130"/>
        <v>98.693145315442294</v>
      </c>
      <c r="ND107" s="2">
        <f t="shared" si="130"/>
        <v>95.73235095597903</v>
      </c>
      <c r="NE107" s="2">
        <f t="shared" si="130"/>
        <v>92.86038042729966</v>
      </c>
      <c r="NF107" s="2">
        <f t="shared" ref="NF107:OP107" si="131">NE107*(1-$BD$32)</f>
        <v>90.074569014480673</v>
      </c>
      <c r="NG107" s="2">
        <f t="shared" si="131"/>
        <v>87.372331944046252</v>
      </c>
      <c r="NH107" s="2">
        <f t="shared" si="131"/>
        <v>84.751161985724863</v>
      </c>
      <c r="NI107" s="2">
        <f t="shared" si="131"/>
        <v>82.208627126153118</v>
      </c>
      <c r="NJ107" s="2">
        <f t="shared" si="131"/>
        <v>79.742368312368527</v>
      </c>
      <c r="NK107" s="2">
        <f t="shared" si="131"/>
        <v>77.350097262997465</v>
      </c>
      <c r="NL107" s="2">
        <f t="shared" si="131"/>
        <v>75.02959434510754</v>
      </c>
      <c r="NM107" s="2">
        <f t="shared" si="131"/>
        <v>72.778706514754319</v>
      </c>
      <c r="NN107" s="2">
        <f t="shared" si="131"/>
        <v>70.59534531931169</v>
      </c>
      <c r="NO107" s="2">
        <f t="shared" si="131"/>
        <v>68.477484959732337</v>
      </c>
      <c r="NP107" s="2">
        <f t="shared" si="131"/>
        <v>66.423160410940369</v>
      </c>
      <c r="NQ107" s="2">
        <f t="shared" si="131"/>
        <v>64.430465598612159</v>
      </c>
      <c r="NR107" s="2">
        <f t="shared" si="131"/>
        <v>62.497551630653795</v>
      </c>
      <c r="NS107" s="2">
        <f t="shared" si="131"/>
        <v>60.622625081734178</v>
      </c>
      <c r="NT107" s="2">
        <f t="shared" si="131"/>
        <v>58.803946329282148</v>
      </c>
      <c r="NU107" s="2">
        <f t="shared" si="131"/>
        <v>57.039827939403679</v>
      </c>
      <c r="NV107" s="2">
        <f t="shared" si="131"/>
        <v>55.32863310122157</v>
      </c>
      <c r="NW107" s="2">
        <f t="shared" si="131"/>
        <v>53.66877410818492</v>
      </c>
      <c r="NX107" s="2">
        <f t="shared" si="131"/>
        <v>52.058710884939373</v>
      </c>
      <c r="NY107" s="2">
        <f t="shared" si="131"/>
        <v>50.496949558391194</v>
      </c>
      <c r="NZ107" s="2">
        <f t="shared" si="131"/>
        <v>48.982041071639458</v>
      </c>
      <c r="OA107" s="2">
        <f t="shared" si="131"/>
        <v>47.512579839490272</v>
      </c>
      <c r="OB107" s="2">
        <f t="shared" si="131"/>
        <v>46.087202444305561</v>
      </c>
      <c r="OC107" s="2">
        <f t="shared" si="131"/>
        <v>44.704586370976394</v>
      </c>
      <c r="OD107" s="2">
        <f t="shared" si="131"/>
        <v>43.363448779847097</v>
      </c>
      <c r="OE107" s="2">
        <f t="shared" si="131"/>
        <v>42.062545316451683</v>
      </c>
      <c r="OF107" s="2">
        <f t="shared" si="131"/>
        <v>40.800668956958134</v>
      </c>
      <c r="OG107" s="2">
        <f t="shared" si="131"/>
        <v>39.576648888249387</v>
      </c>
      <c r="OH107" s="2">
        <f t="shared" si="131"/>
        <v>38.389349421601906</v>
      </c>
      <c r="OI107" s="2">
        <f t="shared" si="131"/>
        <v>37.237668938953846</v>
      </c>
      <c r="OJ107" s="2">
        <f t="shared" si="131"/>
        <v>36.120538870785232</v>
      </c>
      <c r="OK107" s="2">
        <f t="shared" si="131"/>
        <v>35.036922704661677</v>
      </c>
      <c r="OL107" s="2">
        <f t="shared" si="131"/>
        <v>33.985815023521823</v>
      </c>
      <c r="OM107" s="2">
        <f t="shared" si="131"/>
        <v>32.966240572816169</v>
      </c>
      <c r="ON107" s="2">
        <f t="shared" si="131"/>
        <v>31.977253355631682</v>
      </c>
      <c r="OO107" s="2">
        <f t="shared" si="131"/>
        <v>31.017935754962732</v>
      </c>
      <c r="OP107" s="2">
        <f t="shared" si="131"/>
        <v>30.087397682313849</v>
      </c>
    </row>
    <row r="108" spans="2:406" x14ac:dyDescent="0.25">
      <c r="B108" s="1" t="s">
        <v>102</v>
      </c>
      <c r="C108" s="12">
        <f t="shared" ref="C108:K108" si="132">-C95/C79</f>
        <v>-0.55295080388947726</v>
      </c>
      <c r="D108" s="12">
        <f t="shared" si="132"/>
        <v>-5.2260490556362706E-2</v>
      </c>
      <c r="E108" s="12">
        <f t="shared" si="132"/>
        <v>-4.6434949855749419E-2</v>
      </c>
      <c r="F108" s="12">
        <f t="shared" si="132"/>
        <v>1.7593663477377071E-2</v>
      </c>
      <c r="G108" s="12">
        <f t="shared" si="132"/>
        <v>-4.9818541735400859E-2</v>
      </c>
      <c r="H108" s="12">
        <f t="shared" si="132"/>
        <v>0.18947527597157116</v>
      </c>
      <c r="I108" s="12">
        <f t="shared" si="132"/>
        <v>-0.2129256428075052</v>
      </c>
      <c r="J108" s="12">
        <f t="shared" si="132"/>
        <v>2.3436056763792089E-2</v>
      </c>
      <c r="K108" s="12">
        <f t="shared" si="132"/>
        <v>2.2008381915665752E-2</v>
      </c>
      <c r="L108" s="12">
        <f>-L95/L79</f>
        <v>7.0984473185490574E-2</v>
      </c>
      <c r="Y108" s="12">
        <f t="shared" ref="Y108:AA108" si="133">-Y95/Y79</f>
        <v>-0.1023751237043596</v>
      </c>
      <c r="Z108" s="12">
        <f t="shared" si="133"/>
        <v>0.24747817366682398</v>
      </c>
      <c r="AA108" s="12">
        <f t="shared" si="133"/>
        <v>7.7750557017411209E-2</v>
      </c>
    </row>
    <row r="109" spans="2:406" s="12" customFormat="1" x14ac:dyDescent="0.25">
      <c r="B109" s="12" t="s">
        <v>166</v>
      </c>
      <c r="G109" s="12">
        <f>G107/C107-1</f>
        <v>2.1709996467679264</v>
      </c>
      <c r="H109" s="12">
        <f t="shared" ref="H109:V109" si="134">H107/D107-1</f>
        <v>-0.10081251880830577</v>
      </c>
      <c r="I109" s="12">
        <f t="shared" si="134"/>
        <v>0.14939152328997052</v>
      </c>
      <c r="J109" s="12">
        <f t="shared" si="134"/>
        <v>0.1949841639195915</v>
      </c>
      <c r="K109" s="12">
        <f t="shared" si="134"/>
        <v>0.12702320348442142</v>
      </c>
      <c r="L109" s="12">
        <f t="shared" si="134"/>
        <v>1.165920090618886</v>
      </c>
      <c r="M109" s="12">
        <f t="shared" si="134"/>
        <v>0.4063526834611173</v>
      </c>
      <c r="N109" s="12">
        <f t="shared" si="134"/>
        <v>0.43880222419351345</v>
      </c>
      <c r="O109" s="12">
        <f t="shared" si="134"/>
        <v>0.14159764366339167</v>
      </c>
      <c r="P109" s="12">
        <f t="shared" si="134"/>
        <v>0.11276193645775145</v>
      </c>
      <c r="Q109" s="12">
        <f t="shared" si="134"/>
        <v>0.82217030114226386</v>
      </c>
      <c r="R109" s="12">
        <f t="shared" si="134"/>
        <v>0.1278195488721805</v>
      </c>
      <c r="S109" s="12">
        <f t="shared" si="134"/>
        <v>0.13419913419913421</v>
      </c>
      <c r="T109" s="12">
        <f t="shared" si="134"/>
        <v>0.15359965819269394</v>
      </c>
      <c r="U109" s="12">
        <f t="shared" si="134"/>
        <v>0.15854822624305465</v>
      </c>
      <c r="V109" s="12">
        <f t="shared" si="134"/>
        <v>0.15399999999999991</v>
      </c>
      <c r="AA109" s="12">
        <f>AA107/Z107-1</f>
        <v>0.68262323137848013</v>
      </c>
    </row>
    <row r="110" spans="2:406" s="12" customFormat="1" x14ac:dyDescent="0.25">
      <c r="B110" s="12" t="s">
        <v>167</v>
      </c>
      <c r="C110" s="12">
        <f t="shared" ref="C110:F110" si="135">C107/C9</f>
        <v>0.17396273719398289</v>
      </c>
      <c r="D110" s="12">
        <f t="shared" si="135"/>
        <v>0.14483283490015691</v>
      </c>
      <c r="E110" s="12">
        <f t="shared" si="135"/>
        <v>7.1210215065009574E-2</v>
      </c>
      <c r="F110" s="12">
        <f t="shared" si="135"/>
        <v>0.16311602102763831</v>
      </c>
      <c r="G110" s="12">
        <f t="shared" ref="G110:K110" si="136">G107/G9</f>
        <v>0.543824417607914</v>
      </c>
      <c r="H110" s="12">
        <f t="shared" si="136"/>
        <v>0.11061844836865982</v>
      </c>
      <c r="I110" s="12">
        <f t="shared" si="136"/>
        <v>8.4263959390862939E-2</v>
      </c>
      <c r="J110" s="12">
        <f t="shared" si="136"/>
        <v>0.18832997168062263</v>
      </c>
      <c r="K110" s="12">
        <f t="shared" si="136"/>
        <v>0.42542884955417309</v>
      </c>
      <c r="L110" s="12">
        <f>L107/L9</f>
        <v>0.21880461468042608</v>
      </c>
      <c r="Y110" s="12">
        <f t="shared" ref="Y110:Z110" si="137">Y107/Y9</f>
        <v>-9.8972185651575104E-3</v>
      </c>
      <c r="Z110" s="12">
        <f t="shared" si="137"/>
        <v>0.14030556687905202</v>
      </c>
      <c r="AA110" s="12">
        <f>AA107/AA9</f>
        <v>0.22590069330341042</v>
      </c>
      <c r="AB110" s="12">
        <f t="shared" ref="AB110:AD110" si="138">AB107/AB9</f>
        <v>0.26844201401404921</v>
      </c>
      <c r="AC110" s="12">
        <f t="shared" si="138"/>
        <v>0.30017079889807163</v>
      </c>
      <c r="AD110" s="12">
        <f t="shared" si="138"/>
        <v>0.31709730495589511</v>
      </c>
      <c r="AE110" s="12">
        <v>0.32</v>
      </c>
      <c r="AF110" s="12">
        <v>0.32</v>
      </c>
      <c r="AG110" s="12">
        <v>0.32</v>
      </c>
      <c r="AH110" s="12">
        <v>0.32</v>
      </c>
      <c r="AI110" s="12">
        <v>0.32500000000000001</v>
      </c>
      <c r="AJ110" s="12">
        <v>0.32500000000000001</v>
      </c>
      <c r="AK110" s="12">
        <v>0.32500000000000001</v>
      </c>
      <c r="AL110" s="12">
        <v>0.32500000000000001</v>
      </c>
      <c r="AM110" s="12">
        <v>0.31</v>
      </c>
      <c r="AN110" s="12">
        <v>0.31</v>
      </c>
      <c r="AO110" s="12">
        <v>0.31</v>
      </c>
      <c r="AP110" s="12">
        <v>0.31</v>
      </c>
      <c r="AQ110" s="12">
        <v>0.3</v>
      </c>
      <c r="AR110" s="12">
        <v>0.3</v>
      </c>
      <c r="AS110" s="12">
        <v>0.3</v>
      </c>
      <c r="AT110" s="12">
        <v>0.3</v>
      </c>
      <c r="AU110" s="12">
        <v>0.3</v>
      </c>
      <c r="AV110" s="12">
        <v>0.3</v>
      </c>
    </row>
    <row r="114" spans="2:27" s="2" customFormat="1" x14ac:dyDescent="0.25">
      <c r="B114" s="2" t="s">
        <v>105</v>
      </c>
      <c r="C114" s="2">
        <v>184519</v>
      </c>
      <c r="D114" s="2">
        <v>150385</v>
      </c>
      <c r="E114" s="2">
        <v>154741</v>
      </c>
      <c r="F114" s="2">
        <v>295384</v>
      </c>
      <c r="G114" s="2">
        <v>180983</v>
      </c>
      <c r="H114" s="2">
        <v>189214</v>
      </c>
      <c r="I114" s="2">
        <v>156135</v>
      </c>
      <c r="J114" s="2">
        <f>AA114-SUM(G114:I114)</f>
        <v>302000</v>
      </c>
      <c r="K114" s="2">
        <v>269192</v>
      </c>
      <c r="L114" s="2">
        <v>208116</v>
      </c>
      <c r="Y114" s="2">
        <v>763558</v>
      </c>
      <c r="Z114" s="2">
        <v>785029</v>
      </c>
      <c r="AA114" s="2">
        <v>828332</v>
      </c>
    </row>
    <row r="115" spans="2:27" s="2" customFormat="1" x14ac:dyDescent="0.25">
      <c r="B115" s="2" t="s">
        <v>106</v>
      </c>
      <c r="C115" s="2">
        <v>15011</v>
      </c>
      <c r="D115" s="2">
        <v>19505</v>
      </c>
      <c r="E115" s="2">
        <v>23497</v>
      </c>
      <c r="F115" s="2">
        <v>27136</v>
      </c>
      <c r="G115" s="2">
        <v>21786</v>
      </c>
      <c r="H115" s="2">
        <v>21314</v>
      </c>
      <c r="I115" s="2">
        <v>28836</v>
      </c>
      <c r="J115" s="2">
        <f t="shared" ref="J115:J118" si="139">AA115-SUM(G115:I115)</f>
        <v>23762</v>
      </c>
      <c r="K115" s="2">
        <v>33741</v>
      </c>
      <c r="L115" s="2">
        <v>19632</v>
      </c>
      <c r="Y115" s="2">
        <v>102980</v>
      </c>
      <c r="Z115" s="2">
        <v>85149</v>
      </c>
      <c r="AA115" s="2">
        <v>95698</v>
      </c>
    </row>
    <row r="116" spans="2:27" s="2" customFormat="1" x14ac:dyDescent="0.25">
      <c r="B116" s="2" t="s">
        <v>107</v>
      </c>
      <c r="C116" s="2">
        <v>42237</v>
      </c>
      <c r="D116" s="2">
        <v>28892</v>
      </c>
      <c r="E116" s="2">
        <v>41622</v>
      </c>
      <c r="F116" s="2">
        <v>45263</v>
      </c>
      <c r="G116" s="2">
        <v>32117</v>
      </c>
      <c r="H116" s="2">
        <v>38628</v>
      </c>
      <c r="I116" s="2">
        <v>37593</v>
      </c>
      <c r="J116" s="2">
        <f t="shared" si="139"/>
        <v>49492</v>
      </c>
      <c r="K116" s="2">
        <v>40742</v>
      </c>
      <c r="L116" s="2">
        <v>40634</v>
      </c>
      <c r="Y116" s="2">
        <v>115793</v>
      </c>
      <c r="Z116" s="2">
        <v>158014</v>
      </c>
      <c r="AA116" s="2">
        <v>157830</v>
      </c>
    </row>
    <row r="117" spans="2:27" s="2" customFormat="1" x14ac:dyDescent="0.25">
      <c r="B117" s="2" t="s">
        <v>108</v>
      </c>
      <c r="C117" s="2">
        <v>51318</v>
      </c>
      <c r="D117" s="2">
        <v>54353</v>
      </c>
      <c r="E117" s="2">
        <v>67880</v>
      </c>
      <c r="F117" s="2">
        <v>68752</v>
      </c>
      <c r="G117" s="2">
        <v>61847</v>
      </c>
      <c r="H117" s="2">
        <v>53360</v>
      </c>
      <c r="I117" s="2">
        <v>60048</v>
      </c>
      <c r="J117" s="2">
        <f t="shared" si="139"/>
        <v>74070</v>
      </c>
      <c r="K117" s="2">
        <v>74056</v>
      </c>
      <c r="L117" s="2">
        <v>64420</v>
      </c>
      <c r="Y117" s="2">
        <v>194563</v>
      </c>
      <c r="Z117" s="2">
        <v>242303</v>
      </c>
      <c r="AA117" s="2">
        <v>249325</v>
      </c>
    </row>
    <row r="118" spans="2:27" s="2" customFormat="1" x14ac:dyDescent="0.25">
      <c r="B118" s="2" t="s">
        <v>109</v>
      </c>
      <c r="C118" s="2">
        <v>32387</v>
      </c>
      <c r="D118" s="2">
        <v>45133</v>
      </c>
      <c r="E118" s="2">
        <v>46903</v>
      </c>
      <c r="F118" s="2">
        <v>37698</v>
      </c>
      <c r="G118" s="2">
        <v>33414</v>
      </c>
      <c r="H118" s="2">
        <v>48637</v>
      </c>
      <c r="I118" s="2">
        <v>42438</v>
      </c>
      <c r="J118" s="2">
        <f t="shared" si="139"/>
        <v>41506</v>
      </c>
      <c r="K118" s="2">
        <v>57902</v>
      </c>
      <c r="L118" s="2">
        <v>51710</v>
      </c>
      <c r="Y118" s="2">
        <v>140951</v>
      </c>
      <c r="Z118" s="2">
        <v>162121</v>
      </c>
      <c r="AA118" s="2">
        <v>165995</v>
      </c>
    </row>
    <row r="119" spans="2:27" s="6" customFormat="1" x14ac:dyDescent="0.25">
      <c r="B119" s="6" t="s">
        <v>110</v>
      </c>
      <c r="C119" s="6">
        <f t="shared" ref="C119:J119" si="140">SUM(C114:C118)</f>
        <v>325472</v>
      </c>
      <c r="D119" s="6">
        <f t="shared" si="140"/>
        <v>298268</v>
      </c>
      <c r="E119" s="6">
        <f t="shared" si="140"/>
        <v>334643</v>
      </c>
      <c r="F119" s="6">
        <f t="shared" si="140"/>
        <v>474233</v>
      </c>
      <c r="G119" s="6">
        <f t="shared" si="140"/>
        <v>330147</v>
      </c>
      <c r="H119" s="6">
        <f t="shared" si="140"/>
        <v>351153</v>
      </c>
      <c r="I119" s="6">
        <f t="shared" si="140"/>
        <v>325050</v>
      </c>
      <c r="J119" s="6">
        <f t="shared" si="140"/>
        <v>490830</v>
      </c>
      <c r="K119" s="6">
        <f>SUM(K114:K118)</f>
        <v>475633</v>
      </c>
      <c r="L119" s="6">
        <f t="shared" ref="L119" si="141">SUM(L114:L118)</f>
        <v>384512</v>
      </c>
      <c r="Y119" s="6">
        <f t="shared" ref="Y119" si="142">SUM(Y114:Y118)</f>
        <v>1317845</v>
      </c>
      <c r="Z119" s="6">
        <f t="shared" ref="Z119" si="143">SUM(Z114:Z118)</f>
        <v>1432616</v>
      </c>
      <c r="AA119" s="6">
        <f t="shared" ref="AA119" si="144">SUM(AA114:AA118)</f>
        <v>1497180</v>
      </c>
    </row>
    <row r="121" spans="2:27" x14ac:dyDescent="0.25">
      <c r="B121" s="1" t="s">
        <v>111</v>
      </c>
      <c r="G121" s="12">
        <f t="shared" ref="G121:J125" si="145">G114/C114-1</f>
        <v>-1.9163338192814794E-2</v>
      </c>
      <c r="H121" s="12">
        <f t="shared" si="145"/>
        <v>0.25819729361305988</v>
      </c>
      <c r="I121" s="12">
        <f t="shared" si="145"/>
        <v>9.0086014695522909E-3</v>
      </c>
      <c r="J121" s="12">
        <f t="shared" si="145"/>
        <v>2.2397963329090276E-2</v>
      </c>
      <c r="K121" s="12">
        <f>K114/G114-1</f>
        <v>0.48738831823983464</v>
      </c>
      <c r="L121" s="12">
        <f t="shared" ref="L121:L125" si="146">L114/H114-1</f>
        <v>9.9897470588857118E-2</v>
      </c>
      <c r="Z121" s="12">
        <f t="shared" ref="Z121" si="147">Z114/Y114-1</f>
        <v>2.8119671328176832E-2</v>
      </c>
      <c r="AA121" s="12">
        <f>AA114/Z114-1</f>
        <v>5.5161019529214927E-2</v>
      </c>
    </row>
    <row r="122" spans="2:27" x14ac:dyDescent="0.25">
      <c r="B122" s="1" t="s">
        <v>112</v>
      </c>
      <c r="G122" s="12">
        <f t="shared" si="145"/>
        <v>0.45133568716274741</v>
      </c>
      <c r="H122" s="12">
        <f t="shared" si="145"/>
        <v>9.2745449884644948E-2</v>
      </c>
      <c r="I122" s="12">
        <f t="shared" si="145"/>
        <v>0.22722049623356178</v>
      </c>
      <c r="J122" s="12">
        <f t="shared" si="145"/>
        <v>-0.12433667452830188</v>
      </c>
      <c r="K122" s="12">
        <f t="shared" ref="K122:K125" si="148">K115/G115-1</f>
        <v>0.54874690167997797</v>
      </c>
      <c r="L122" s="12">
        <f t="shared" si="146"/>
        <v>-7.8915266960683073E-2</v>
      </c>
      <c r="Z122" s="12">
        <f t="shared" ref="Z122:AA122" si="149">Z115/Y115-1</f>
        <v>-0.17315012623810444</v>
      </c>
      <c r="AA122" s="12">
        <f t="shared" si="149"/>
        <v>0.123888712727102</v>
      </c>
    </row>
    <row r="123" spans="2:27" x14ac:dyDescent="0.25">
      <c r="B123" s="1" t="s">
        <v>113</v>
      </c>
      <c r="G123" s="12">
        <f t="shared" si="145"/>
        <v>-0.23960035040367456</v>
      </c>
      <c r="H123" s="12">
        <f t="shared" si="145"/>
        <v>0.3369790945590474</v>
      </c>
      <c r="I123" s="12">
        <f t="shared" si="145"/>
        <v>-9.6799769352746146E-2</v>
      </c>
      <c r="J123" s="12">
        <f t="shared" si="145"/>
        <v>9.3431721273446344E-2</v>
      </c>
      <c r="K123" s="12">
        <f t="shared" si="148"/>
        <v>0.26854936637917604</v>
      </c>
      <c r="L123" s="12">
        <f t="shared" si="146"/>
        <v>5.1931241586413934E-2</v>
      </c>
      <c r="Z123" s="12">
        <f t="shared" ref="Z123:AA123" si="150">Z116/Y116-1</f>
        <v>0.36462480460822322</v>
      </c>
      <c r="AA123" s="12">
        <f t="shared" si="150"/>
        <v>-1.1644537825762358E-3</v>
      </c>
    </row>
    <row r="124" spans="2:27" x14ac:dyDescent="0.25">
      <c r="B124" s="1" t="s">
        <v>114</v>
      </c>
      <c r="G124" s="12">
        <f t="shared" si="145"/>
        <v>0.20517167465606612</v>
      </c>
      <c r="H124" s="12">
        <f t="shared" si="145"/>
        <v>-1.8269460747336819E-2</v>
      </c>
      <c r="I124" s="12">
        <f t="shared" si="145"/>
        <v>-0.11538008249852683</v>
      </c>
      <c r="J124" s="12">
        <f t="shared" si="145"/>
        <v>7.7350477077030577E-2</v>
      </c>
      <c r="K124" s="12">
        <f t="shared" si="148"/>
        <v>0.19740650314485753</v>
      </c>
      <c r="L124" s="12">
        <f t="shared" si="146"/>
        <v>0.20727136431784099</v>
      </c>
      <c r="Z124" s="12">
        <f t="shared" ref="Z124:AA124" si="151">Z117/Y117-1</f>
        <v>0.24537039416538597</v>
      </c>
      <c r="AA124" s="12">
        <f t="shared" si="151"/>
        <v>2.8980243744402667E-2</v>
      </c>
    </row>
    <row r="125" spans="2:27" x14ac:dyDescent="0.25">
      <c r="B125" s="1" t="s">
        <v>115</v>
      </c>
      <c r="G125" s="12">
        <f t="shared" si="145"/>
        <v>3.1710254114305059E-2</v>
      </c>
      <c r="H125" s="12">
        <f t="shared" si="145"/>
        <v>7.7637205592360425E-2</v>
      </c>
      <c r="I125" s="12">
        <f t="shared" si="145"/>
        <v>-9.5196469308999387E-2</v>
      </c>
      <c r="J125" s="12">
        <f t="shared" si="145"/>
        <v>0.10101331635630539</v>
      </c>
      <c r="K125" s="12">
        <f t="shared" si="148"/>
        <v>0.73286646315915482</v>
      </c>
      <c r="L125" s="12">
        <f t="shared" si="146"/>
        <v>6.318235088512858E-2</v>
      </c>
      <c r="Z125" s="12">
        <f t="shared" ref="Z125:AA125" si="152">Z118/Y118-1</f>
        <v>0.1501940390632206</v>
      </c>
      <c r="AA125" s="12">
        <f t="shared" si="152"/>
        <v>2.3895732200023501E-2</v>
      </c>
    </row>
    <row r="127" spans="2:27" x14ac:dyDescent="0.25">
      <c r="B127" s="1" t="s">
        <v>117</v>
      </c>
      <c r="C127" s="12">
        <f t="shared" ref="C127:J127" si="153">C114/C$119</f>
        <v>0.56692741618326614</v>
      </c>
      <c r="D127" s="12">
        <f t="shared" si="153"/>
        <v>0.50419421459895131</v>
      </c>
      <c r="E127" s="12">
        <f t="shared" si="153"/>
        <v>0.46240620601656091</v>
      </c>
      <c r="F127" s="12">
        <f t="shared" si="153"/>
        <v>0.62286681863134785</v>
      </c>
      <c r="G127" s="12">
        <f>G114/G$119</f>
        <v>0.5481891399891563</v>
      </c>
      <c r="H127" s="12">
        <f t="shared" si="153"/>
        <v>0.5388363476888991</v>
      </c>
      <c r="I127" s="12">
        <f t="shared" si="153"/>
        <v>0.48034148592524228</v>
      </c>
      <c r="J127" s="12">
        <f t="shared" si="153"/>
        <v>0.61528431432471531</v>
      </c>
      <c r="K127" s="12">
        <f>K114/K$119</f>
        <v>0.56596577613412025</v>
      </c>
      <c r="L127" s="12">
        <f t="shared" ref="L127:L131" si="154">L114/L$119</f>
        <v>0.54124708721704395</v>
      </c>
      <c r="Y127" s="12">
        <f t="shared" ref="Y127:AA131" si="155">Y114/Y$119</f>
        <v>0.57939894297129024</v>
      </c>
      <c r="Z127" s="12">
        <f t="shared" si="155"/>
        <v>0.5479688904772807</v>
      </c>
      <c r="AA127" s="12">
        <f t="shared" si="155"/>
        <v>0.55326146488732153</v>
      </c>
    </row>
    <row r="128" spans="2:27" x14ac:dyDescent="0.25">
      <c r="B128" s="1" t="s">
        <v>118</v>
      </c>
      <c r="C128" s="12">
        <f t="shared" ref="C128:K128" si="156">C115/C$119</f>
        <v>4.6120710844558058E-2</v>
      </c>
      <c r="D128" s="12">
        <f t="shared" si="156"/>
        <v>6.5394209234648032E-2</v>
      </c>
      <c r="E128" s="12">
        <f t="shared" si="156"/>
        <v>7.0215124774759968E-2</v>
      </c>
      <c r="F128" s="12">
        <f t="shared" si="156"/>
        <v>5.722081761496986E-2</v>
      </c>
      <c r="G128" s="12">
        <f>G115/G$119</f>
        <v>6.5988786813146877E-2</v>
      </c>
      <c r="H128" s="12">
        <f t="shared" si="156"/>
        <v>6.0697188974606513E-2</v>
      </c>
      <c r="I128" s="12">
        <f t="shared" si="156"/>
        <v>8.871250576834333E-2</v>
      </c>
      <c r="J128" s="12">
        <f t="shared" si="156"/>
        <v>4.8411873764847298E-2</v>
      </c>
      <c r="K128" s="12">
        <f t="shared" si="156"/>
        <v>7.0939148461103413E-2</v>
      </c>
      <c r="L128" s="12">
        <f t="shared" si="154"/>
        <v>5.10569241011984E-2</v>
      </c>
      <c r="Y128" s="12">
        <f t="shared" si="155"/>
        <v>7.8142725434326502E-2</v>
      </c>
      <c r="Z128" s="12">
        <f t="shared" si="155"/>
        <v>5.9436024726793504E-2</v>
      </c>
      <c r="AA128" s="12">
        <f t="shared" si="155"/>
        <v>6.3918834074727149E-2</v>
      </c>
    </row>
    <row r="129" spans="2:27" x14ac:dyDescent="0.25">
      <c r="B129" s="1" t="s">
        <v>119</v>
      </c>
      <c r="C129" s="12">
        <f t="shared" ref="C129:K129" si="157">C116/C$119</f>
        <v>0.12977153180611542</v>
      </c>
      <c r="D129" s="12">
        <f t="shared" si="157"/>
        <v>9.6865905829656554E-2</v>
      </c>
      <c r="E129" s="12">
        <f t="shared" si="157"/>
        <v>0.12437732150381152</v>
      </c>
      <c r="F129" s="12">
        <f t="shared" si="157"/>
        <v>9.5444644299321216E-2</v>
      </c>
      <c r="G129" s="12">
        <f>G116/G$119</f>
        <v>9.7280908201498123E-2</v>
      </c>
      <c r="H129" s="12">
        <f t="shared" si="157"/>
        <v>0.11000333188097496</v>
      </c>
      <c r="I129" s="12">
        <f t="shared" si="157"/>
        <v>0.11565297646515921</v>
      </c>
      <c r="J129" s="12">
        <f t="shared" si="157"/>
        <v>0.10083328239920135</v>
      </c>
      <c r="K129" s="12">
        <f t="shared" si="157"/>
        <v>8.5658480382984362E-2</v>
      </c>
      <c r="L129" s="12">
        <f t="shared" si="154"/>
        <v>0.10567680592543276</v>
      </c>
      <c r="Y129" s="12">
        <f t="shared" si="155"/>
        <v>8.7865416646115441E-2</v>
      </c>
      <c r="Z129" s="12">
        <f t="shared" si="155"/>
        <v>0.11029752564539276</v>
      </c>
      <c r="AA129" s="12">
        <f t="shared" si="155"/>
        <v>0.10541818619003727</v>
      </c>
    </row>
    <row r="130" spans="2:27" x14ac:dyDescent="0.25">
      <c r="B130" s="1" t="s">
        <v>120</v>
      </c>
      <c r="C130" s="12">
        <f t="shared" ref="C130:K130" si="158">C117/C$119</f>
        <v>0.15767254940517156</v>
      </c>
      <c r="D130" s="12">
        <f t="shared" si="158"/>
        <v>0.18222873389032682</v>
      </c>
      <c r="E130" s="12">
        <f t="shared" si="158"/>
        <v>0.20284302973616661</v>
      </c>
      <c r="F130" s="12">
        <f t="shared" si="158"/>
        <v>0.14497514934641831</v>
      </c>
      <c r="G130" s="12">
        <f t="shared" si="158"/>
        <v>0.18733170375620556</v>
      </c>
      <c r="H130" s="12">
        <f t="shared" si="158"/>
        <v>0.15195655455029575</v>
      </c>
      <c r="I130" s="12">
        <f t="shared" si="158"/>
        <v>0.18473465620673743</v>
      </c>
      <c r="J130" s="12">
        <f t="shared" si="158"/>
        <v>0.15090764623189293</v>
      </c>
      <c r="K130" s="12">
        <f t="shared" si="158"/>
        <v>0.15569987784699549</v>
      </c>
      <c r="L130" s="12">
        <f t="shared" si="154"/>
        <v>0.16753703395472702</v>
      </c>
      <c r="Y130" s="12">
        <f t="shared" si="155"/>
        <v>0.14763724110195053</v>
      </c>
      <c r="Z130" s="12">
        <f t="shared" si="155"/>
        <v>0.16913324994276205</v>
      </c>
      <c r="AA130" s="12">
        <f t="shared" si="155"/>
        <v>0.16652974258272218</v>
      </c>
    </row>
    <row r="131" spans="2:27" x14ac:dyDescent="0.25">
      <c r="B131" s="1" t="s">
        <v>121</v>
      </c>
      <c r="C131" s="12">
        <f t="shared" ref="C131:K131" si="159">C118/C$119</f>
        <v>9.9507791760888795E-2</v>
      </c>
      <c r="D131" s="12">
        <f t="shared" si="159"/>
        <v>0.15131693644641731</v>
      </c>
      <c r="E131" s="12">
        <f t="shared" si="159"/>
        <v>0.14015831796870099</v>
      </c>
      <c r="F131" s="12">
        <f t="shared" si="159"/>
        <v>7.9492570107942723E-2</v>
      </c>
      <c r="G131" s="12">
        <f t="shared" si="159"/>
        <v>0.1012094612399931</v>
      </c>
      <c r="H131" s="12">
        <f t="shared" si="159"/>
        <v>0.13850657690522364</v>
      </c>
      <c r="I131" s="12">
        <f t="shared" si="159"/>
        <v>0.13055837563451778</v>
      </c>
      <c r="J131" s="12">
        <f t="shared" si="159"/>
        <v>8.4562883279343151E-2</v>
      </c>
      <c r="K131" s="12">
        <f t="shared" si="159"/>
        <v>0.12173671717479653</v>
      </c>
      <c r="L131" s="12">
        <f t="shared" si="154"/>
        <v>0.13448214880159787</v>
      </c>
      <c r="Y131" s="12">
        <f t="shared" si="155"/>
        <v>0.10695567384631728</v>
      </c>
      <c r="Z131" s="12">
        <f t="shared" si="155"/>
        <v>0.11316430920777096</v>
      </c>
      <c r="AA131" s="12">
        <f t="shared" si="155"/>
        <v>0.11087177226519189</v>
      </c>
    </row>
    <row r="134" spans="2:27" x14ac:dyDescent="0.25">
      <c r="B134" s="1" t="s">
        <v>122</v>
      </c>
    </row>
    <row r="135" spans="2:27" x14ac:dyDescent="0.25">
      <c r="B135" s="1" t="s">
        <v>71</v>
      </c>
    </row>
    <row r="136" spans="2:27" s="2" customFormat="1" x14ac:dyDescent="0.25">
      <c r="B136" s="2" t="s">
        <v>126</v>
      </c>
      <c r="C136" s="2">
        <v>389632</v>
      </c>
      <c r="D136" s="2">
        <v>397183</v>
      </c>
      <c r="E136" s="2">
        <v>391324</v>
      </c>
      <c r="F136" s="2">
        <v>446160</v>
      </c>
      <c r="G136" s="2">
        <v>461928</v>
      </c>
      <c r="H136" s="2">
        <v>470379</v>
      </c>
      <c r="I136" s="2">
        <v>495637</v>
      </c>
      <c r="J136" s="2">
        <v>525133</v>
      </c>
      <c r="K136" s="2">
        <v>572341</v>
      </c>
      <c r="L136" s="2">
        <v>603683</v>
      </c>
    </row>
    <row r="137" spans="2:27" s="2" customFormat="1" x14ac:dyDescent="0.25">
      <c r="B137" s="2" t="s">
        <v>123</v>
      </c>
      <c r="C137" s="2">
        <v>239228</v>
      </c>
      <c r="D137" s="2">
        <v>238691</v>
      </c>
      <c r="E137" s="2">
        <v>239787</v>
      </c>
      <c r="F137" s="2">
        <v>279474</v>
      </c>
      <c r="G137" s="2">
        <v>292787</v>
      </c>
      <c r="H137" s="2">
        <v>301070</v>
      </c>
      <c r="I137" s="2">
        <v>310020</v>
      </c>
      <c r="J137" s="2">
        <v>328234</v>
      </c>
      <c r="K137" s="2">
        <v>331572</v>
      </c>
      <c r="L137" s="2">
        <v>334586</v>
      </c>
    </row>
    <row r="138" spans="2:27" s="2" customFormat="1" x14ac:dyDescent="0.25">
      <c r="B138" s="2" t="s">
        <v>124</v>
      </c>
      <c r="C138" s="2">
        <v>131085</v>
      </c>
      <c r="D138" s="2">
        <v>124616</v>
      </c>
      <c r="E138" s="2">
        <v>121778</v>
      </c>
      <c r="F138" s="2">
        <v>144453</v>
      </c>
      <c r="G138" s="2">
        <v>149797</v>
      </c>
      <c r="H138" s="2">
        <v>152839</v>
      </c>
      <c r="I138" s="2">
        <v>146877</v>
      </c>
      <c r="J138" s="2">
        <v>159536</v>
      </c>
      <c r="K138" s="2">
        <v>161259</v>
      </c>
      <c r="L138" s="2">
        <v>172513</v>
      </c>
    </row>
    <row r="139" spans="2:27" s="2" customFormat="1" x14ac:dyDescent="0.25">
      <c r="B139" s="2" t="s">
        <v>125</v>
      </c>
      <c r="C139" s="2">
        <v>106778</v>
      </c>
      <c r="D139" s="2">
        <v>101494</v>
      </c>
      <c r="E139" s="2">
        <v>89870</v>
      </c>
      <c r="F139" s="2">
        <v>90177</v>
      </c>
      <c r="G139" s="2">
        <v>86601</v>
      </c>
      <c r="H139" s="2">
        <v>90474</v>
      </c>
      <c r="I139" s="2">
        <v>112002</v>
      </c>
      <c r="J139" s="2">
        <v>114256</v>
      </c>
      <c r="K139" s="2">
        <v>185939</v>
      </c>
      <c r="L139" s="2">
        <v>210416</v>
      </c>
    </row>
    <row r="140" spans="2:27" s="7" customFormat="1" x14ac:dyDescent="0.25">
      <c r="B140" s="6" t="s">
        <v>127</v>
      </c>
      <c r="C140" s="7">
        <f t="shared" ref="C140:K140" si="160">SUM(C136:C139)</f>
        <v>866723</v>
      </c>
      <c r="D140" s="7">
        <f t="shared" si="160"/>
        <v>861984</v>
      </c>
      <c r="E140" s="7">
        <f t="shared" si="160"/>
        <v>842759</v>
      </c>
      <c r="F140" s="7">
        <f t="shared" si="160"/>
        <v>960264</v>
      </c>
      <c r="G140" s="7">
        <f t="shared" si="160"/>
        <v>991113</v>
      </c>
      <c r="H140" s="7">
        <f t="shared" si="160"/>
        <v>1014762</v>
      </c>
      <c r="I140" s="7">
        <f t="shared" si="160"/>
        <v>1064536</v>
      </c>
      <c r="J140" s="7">
        <f t="shared" si="160"/>
        <v>1127159</v>
      </c>
      <c r="K140" s="7">
        <f t="shared" si="160"/>
        <v>1251111</v>
      </c>
      <c r="L140" s="7">
        <f>SUM(L136:L139)</f>
        <v>1321198</v>
      </c>
    </row>
    <row r="141" spans="2:27" s="4" customFormat="1" x14ac:dyDescent="0.25">
      <c r="B141" s="5" t="s">
        <v>116</v>
      </c>
      <c r="G141" s="10">
        <f t="shared" ref="G141:K141" si="161">G140/C140-1</f>
        <v>0.14351759443328493</v>
      </c>
      <c r="H141" s="10">
        <f t="shared" si="161"/>
        <v>0.17723994876935079</v>
      </c>
      <c r="I141" s="10">
        <f t="shared" si="161"/>
        <v>0.26315589628826275</v>
      </c>
      <c r="J141" s="10">
        <f t="shared" si="161"/>
        <v>0.17380116301350457</v>
      </c>
      <c r="K141" s="10">
        <f t="shared" si="161"/>
        <v>0.26232932067281944</v>
      </c>
      <c r="L141" s="10">
        <f>L140/H140-1</f>
        <v>0.30197819784343527</v>
      </c>
    </row>
    <row r="142" spans="2:27" s="4" customFormat="1" x14ac:dyDescent="0.25">
      <c r="B142" s="5" t="s">
        <v>128</v>
      </c>
      <c r="D142" s="10">
        <f t="shared" ref="D142:K142" si="162">D136/C136-1</f>
        <v>1.9379825065703127E-2</v>
      </c>
      <c r="E142" s="10">
        <f t="shared" si="162"/>
        <v>-1.4751386640415087E-2</v>
      </c>
      <c r="F142" s="10">
        <f t="shared" si="162"/>
        <v>0.14012940683423447</v>
      </c>
      <c r="G142" s="10">
        <f t="shared" si="162"/>
        <v>3.5341581495427654E-2</v>
      </c>
      <c r="H142" s="10">
        <f t="shared" si="162"/>
        <v>1.8295058970229094E-2</v>
      </c>
      <c r="I142" s="10">
        <f t="shared" si="162"/>
        <v>5.3697125084240627E-2</v>
      </c>
      <c r="J142" s="10">
        <f t="shared" si="162"/>
        <v>5.9511295565101152E-2</v>
      </c>
      <c r="K142" s="10">
        <f t="shared" si="162"/>
        <v>8.9897226036070865E-2</v>
      </c>
      <c r="L142" s="10">
        <f>L136/K136-1</f>
        <v>5.4761060277002782E-2</v>
      </c>
    </row>
    <row r="143" spans="2:27" s="10" customFormat="1" x14ac:dyDescent="0.25">
      <c r="B143" s="11" t="s">
        <v>129</v>
      </c>
      <c r="C143" s="10">
        <f t="shared" ref="C143:J143" si="163">C140/(C140+C149+C158+C167+C176)</f>
        <v>0.66258971136410205</v>
      </c>
      <c r="D143" s="10">
        <f t="shared" si="163"/>
        <v>0.68082041172233387</v>
      </c>
      <c r="E143" s="10">
        <f t="shared" si="163"/>
        <v>0.66601942361386068</v>
      </c>
      <c r="F143" s="10">
        <f t="shared" si="163"/>
        <v>0.65620131094844225</v>
      </c>
      <c r="G143" s="10">
        <f t="shared" si="163"/>
        <v>0.69564384288523817</v>
      </c>
      <c r="H143" s="10">
        <f t="shared" si="163"/>
        <v>0.7216090464775442</v>
      </c>
      <c r="I143" s="10">
        <f t="shared" si="163"/>
        <v>0.72158087634711443</v>
      </c>
      <c r="J143" s="10">
        <f t="shared" si="163"/>
        <v>0.69428060008919046</v>
      </c>
      <c r="K143" s="10">
        <f>K140/(K140+K149+K158+K167+K176)</f>
        <v>0.72381355152649784</v>
      </c>
      <c r="L143" s="10">
        <f>L140/(L140+L149+L158+L167+L176)</f>
        <v>0.71986984349944882</v>
      </c>
    </row>
    <row r="144" spans="2:27" s="2" customFormat="1" x14ac:dyDescent="0.25">
      <c r="B144" s="2" t="s">
        <v>72</v>
      </c>
    </row>
    <row r="145" spans="2:12" s="2" customFormat="1" x14ac:dyDescent="0.25">
      <c r="B145" s="2" t="s">
        <v>126</v>
      </c>
      <c r="C145" s="2">
        <v>235315</v>
      </c>
      <c r="D145" s="2">
        <v>214579</v>
      </c>
      <c r="E145" s="2">
        <v>202610</v>
      </c>
      <c r="F145" s="2">
        <v>245271</v>
      </c>
      <c r="G145" s="2">
        <v>225598</v>
      </c>
      <c r="H145" s="2">
        <v>209655</v>
      </c>
      <c r="I145" s="2">
        <v>188905</v>
      </c>
      <c r="J145" s="2">
        <v>230866</v>
      </c>
      <c r="K145" s="2">
        <v>229180</v>
      </c>
      <c r="L145" s="2">
        <v>220954</v>
      </c>
    </row>
    <row r="146" spans="2:12" s="2" customFormat="1" x14ac:dyDescent="0.25">
      <c r="B146" s="2" t="s">
        <v>123</v>
      </c>
      <c r="C146" s="2">
        <v>66272</v>
      </c>
      <c r="D146" s="2">
        <v>58551</v>
      </c>
      <c r="E146" s="2">
        <v>58610</v>
      </c>
      <c r="F146" s="2">
        <v>67720</v>
      </c>
      <c r="G146" s="2">
        <v>65605</v>
      </c>
      <c r="H146" s="2">
        <v>63266</v>
      </c>
      <c r="I146" s="2">
        <v>63701</v>
      </c>
      <c r="J146" s="2">
        <v>65461</v>
      </c>
      <c r="K146" s="2">
        <v>73500</v>
      </c>
      <c r="L146" s="2">
        <v>79345</v>
      </c>
    </row>
    <row r="147" spans="2:12" s="2" customFormat="1" x14ac:dyDescent="0.25">
      <c r="B147" s="2" t="s">
        <v>124</v>
      </c>
      <c r="C147" s="2">
        <v>29295</v>
      </c>
      <c r="D147" s="2">
        <v>25103</v>
      </c>
      <c r="E147" s="2">
        <v>28585</v>
      </c>
      <c r="F147" s="2">
        <v>37142</v>
      </c>
      <c r="G147" s="2">
        <v>32307</v>
      </c>
      <c r="H147" s="2">
        <v>30032</v>
      </c>
      <c r="I147" s="2">
        <v>26436</v>
      </c>
      <c r="J147" s="2">
        <v>24598</v>
      </c>
      <c r="K147" s="2">
        <v>37779</v>
      </c>
      <c r="L147" s="2">
        <v>49587</v>
      </c>
    </row>
    <row r="148" spans="2:12" s="2" customFormat="1" x14ac:dyDescent="0.25">
      <c r="B148" s="2" t="s">
        <v>125</v>
      </c>
      <c r="C148" s="2">
        <v>7479</v>
      </c>
      <c r="D148" s="2">
        <v>7592</v>
      </c>
      <c r="E148" s="2">
        <v>17478</v>
      </c>
      <c r="F148" s="2">
        <v>24421</v>
      </c>
      <c r="G148" s="2">
        <v>21650</v>
      </c>
      <c r="H148" s="2">
        <v>17953</v>
      </c>
      <c r="I148" s="2">
        <v>18854</v>
      </c>
      <c r="J148" s="2">
        <v>19935</v>
      </c>
      <c r="K148" s="2">
        <v>43939</v>
      </c>
      <c r="L148" s="2">
        <v>46843</v>
      </c>
    </row>
    <row r="149" spans="2:12" s="2" customFormat="1" x14ac:dyDescent="0.25">
      <c r="B149" s="6" t="s">
        <v>127</v>
      </c>
      <c r="C149" s="7">
        <f t="shared" ref="C149:K149" si="164">SUM(C145:C148)</f>
        <v>338361</v>
      </c>
      <c r="D149" s="7">
        <f t="shared" si="164"/>
        <v>305825</v>
      </c>
      <c r="E149" s="7">
        <f t="shared" si="164"/>
        <v>307283</v>
      </c>
      <c r="F149" s="7">
        <f t="shared" si="164"/>
        <v>374554</v>
      </c>
      <c r="G149" s="7">
        <f t="shared" si="164"/>
        <v>345160</v>
      </c>
      <c r="H149" s="7">
        <f t="shared" si="164"/>
        <v>320906</v>
      </c>
      <c r="I149" s="7">
        <f t="shared" si="164"/>
        <v>297896</v>
      </c>
      <c r="J149" s="7">
        <f t="shared" si="164"/>
        <v>340860</v>
      </c>
      <c r="K149" s="7">
        <f t="shared" si="164"/>
        <v>384398</v>
      </c>
      <c r="L149" s="7">
        <f>SUM(L145:L148)</f>
        <v>396729</v>
      </c>
    </row>
    <row r="150" spans="2:12" x14ac:dyDescent="0.25">
      <c r="B150" s="5" t="s">
        <v>116</v>
      </c>
      <c r="G150" s="10">
        <f t="shared" ref="G150" si="165">G149/C149-1</f>
        <v>2.0093923354050913E-2</v>
      </c>
      <c r="H150" s="10">
        <f t="shared" ref="H150" si="166">H149/D149-1</f>
        <v>4.9312515327393225E-2</v>
      </c>
      <c r="I150" s="10">
        <f t="shared" ref="I150" si="167">I149/E149-1</f>
        <v>-3.0548386991795851E-2</v>
      </c>
      <c r="J150" s="10">
        <f t="shared" ref="J150" si="168">J149/F149-1</f>
        <v>-8.9957656305899802E-2</v>
      </c>
      <c r="K150" s="10">
        <f t="shared" ref="K150" si="169">K149/G149-1</f>
        <v>0.11368061189013789</v>
      </c>
      <c r="L150" s="10">
        <f>L149/H149-1</f>
        <v>0.23627791315837032</v>
      </c>
    </row>
    <row r="151" spans="2:12" x14ac:dyDescent="0.25">
      <c r="B151" s="5" t="s">
        <v>128</v>
      </c>
      <c r="D151" s="10">
        <f t="shared" ref="D151:K151" si="170">D145/C145-1</f>
        <v>-8.8120179334084114E-2</v>
      </c>
      <c r="E151" s="10">
        <f t="shared" si="170"/>
        <v>-5.5778990488351554E-2</v>
      </c>
      <c r="F151" s="10">
        <f t="shared" si="170"/>
        <v>0.2105572281723509</v>
      </c>
      <c r="G151" s="10">
        <f t="shared" si="170"/>
        <v>-8.0209237944967038E-2</v>
      </c>
      <c r="H151" s="10">
        <f t="shared" si="170"/>
        <v>-7.0669952747808074E-2</v>
      </c>
      <c r="I151" s="10">
        <f t="shared" si="170"/>
        <v>-9.8972120865230995E-2</v>
      </c>
      <c r="J151" s="10">
        <f t="shared" si="170"/>
        <v>0.22212752441703509</v>
      </c>
      <c r="K151" s="10">
        <f t="shared" si="170"/>
        <v>-7.3029376348184849E-3</v>
      </c>
      <c r="L151" s="10">
        <f>L145/K145-1</f>
        <v>-3.5893184396544209E-2</v>
      </c>
    </row>
    <row r="152" spans="2:12" s="10" customFormat="1" x14ac:dyDescent="0.25">
      <c r="B152" s="11" t="s">
        <v>129</v>
      </c>
      <c r="C152" s="10">
        <f t="shared" ref="C152:K152" si="171">C149/(C140+C149+C158+C167+C176)</f>
        <v>0.25866916803508033</v>
      </c>
      <c r="D152" s="10">
        <f t="shared" si="171"/>
        <v>0.24154961393132907</v>
      </c>
      <c r="E152" s="10">
        <f t="shared" si="171"/>
        <v>0.24284100976238515</v>
      </c>
      <c r="F152" s="10">
        <f t="shared" si="171"/>
        <v>0.25595338971468556</v>
      </c>
      <c r="G152" s="10">
        <f t="shared" si="171"/>
        <v>0.24226140592472181</v>
      </c>
      <c r="H152" s="10">
        <f t="shared" si="171"/>
        <v>0.22819998449776677</v>
      </c>
      <c r="I152" s="10">
        <f t="shared" si="171"/>
        <v>0.20192464767776758</v>
      </c>
      <c r="J152" s="10">
        <f t="shared" si="171"/>
        <v>0.2099548380897473</v>
      </c>
      <c r="K152" s="10">
        <f t="shared" si="171"/>
        <v>0.22238832651913595</v>
      </c>
      <c r="L152" s="10">
        <f>L149/(L140+L149+L158+L167+L176)</f>
        <v>0.2161623338376934</v>
      </c>
    </row>
    <row r="153" spans="2:12" s="2" customFormat="1" x14ac:dyDescent="0.25">
      <c r="B153" s="2" t="s">
        <v>8</v>
      </c>
    </row>
    <row r="154" spans="2:12" s="2" customFormat="1" x14ac:dyDescent="0.25">
      <c r="B154" s="2" t="s">
        <v>126</v>
      </c>
      <c r="C154" s="2">
        <v>35346</v>
      </c>
      <c r="D154" s="2">
        <v>35616</v>
      </c>
      <c r="E154" s="2">
        <v>48427</v>
      </c>
      <c r="F154" s="2">
        <v>62070</v>
      </c>
      <c r="G154" s="2">
        <v>33985</v>
      </c>
      <c r="H154" s="2">
        <v>23931</v>
      </c>
      <c r="I154" s="2">
        <v>38175</v>
      </c>
      <c r="J154" s="2">
        <v>88880</v>
      </c>
      <c r="K154" s="2">
        <v>33202</v>
      </c>
      <c r="L154" s="2">
        <v>61905</v>
      </c>
    </row>
    <row r="155" spans="2:12" s="2" customFormat="1" x14ac:dyDescent="0.25">
      <c r="B155" s="2" t="s">
        <v>123</v>
      </c>
      <c r="C155" s="2">
        <v>3215</v>
      </c>
      <c r="D155" s="2">
        <v>3026</v>
      </c>
      <c r="E155" s="2">
        <v>4356</v>
      </c>
      <c r="F155" s="2">
        <v>9138</v>
      </c>
      <c r="G155" s="2">
        <v>10008</v>
      </c>
      <c r="H155" s="2">
        <v>10078</v>
      </c>
      <c r="I155" s="2">
        <v>9686</v>
      </c>
      <c r="J155" s="2">
        <v>10874</v>
      </c>
      <c r="K155" s="2">
        <v>3718</v>
      </c>
      <c r="L155" s="2">
        <v>4262</v>
      </c>
    </row>
    <row r="156" spans="2:12" s="2" customFormat="1" x14ac:dyDescent="0.25">
      <c r="B156" s="2" t="s">
        <v>124</v>
      </c>
      <c r="C156" s="2">
        <v>6777</v>
      </c>
      <c r="D156" s="2">
        <v>6764</v>
      </c>
      <c r="E156" s="2">
        <v>8518</v>
      </c>
      <c r="F156" s="2">
        <v>9789</v>
      </c>
      <c r="G156" s="2">
        <v>2903</v>
      </c>
      <c r="H156" s="2">
        <v>2884</v>
      </c>
      <c r="I156" s="2">
        <v>3046</v>
      </c>
      <c r="J156" s="2">
        <v>733</v>
      </c>
      <c r="K156" s="2">
        <v>731</v>
      </c>
      <c r="L156" s="2">
        <v>746</v>
      </c>
    </row>
    <row r="157" spans="2:12" s="2" customFormat="1" x14ac:dyDescent="0.25">
      <c r="B157" s="2" t="s">
        <v>125</v>
      </c>
      <c r="E157" s="2">
        <v>2664</v>
      </c>
      <c r="F157" s="2">
        <v>100</v>
      </c>
      <c r="G157" s="2">
        <v>98</v>
      </c>
      <c r="H157" s="2">
        <v>97</v>
      </c>
      <c r="I157" s="2">
        <v>102</v>
      </c>
      <c r="J157" s="2">
        <v>678</v>
      </c>
      <c r="K157" s="2">
        <v>7215</v>
      </c>
      <c r="L157" s="2">
        <v>7220</v>
      </c>
    </row>
    <row r="158" spans="2:12" s="2" customFormat="1" x14ac:dyDescent="0.25">
      <c r="B158" s="6" t="s">
        <v>127</v>
      </c>
      <c r="C158" s="7">
        <f t="shared" ref="C158" si="172">SUM(C154:C157)</f>
        <v>45338</v>
      </c>
      <c r="D158" s="7">
        <f t="shared" ref="D158" si="173">SUM(D154:D157)</f>
        <v>45406</v>
      </c>
      <c r="E158" s="7">
        <f t="shared" ref="E158" si="174">SUM(E154:E157)</f>
        <v>63965</v>
      </c>
      <c r="F158" s="7">
        <f t="shared" ref="F158" si="175">SUM(F154:F157)</f>
        <v>81097</v>
      </c>
      <c r="G158" s="7">
        <f t="shared" ref="G158" si="176">SUM(G154:G157)</f>
        <v>46994</v>
      </c>
      <c r="H158" s="7">
        <f t="shared" ref="H158" si="177">SUM(H154:H157)</f>
        <v>36990</v>
      </c>
      <c r="I158" s="7">
        <f t="shared" ref="I158" si="178">SUM(I154:I157)</f>
        <v>51009</v>
      </c>
      <c r="J158" s="7">
        <f t="shared" ref="J158" si="179">SUM(J154:J157)</f>
        <v>101165</v>
      </c>
      <c r="K158" s="7">
        <f t="shared" ref="K158" si="180">SUM(K154:K157)</f>
        <v>44866</v>
      </c>
      <c r="L158" s="7">
        <f>SUM(L154:L157)</f>
        <v>74133</v>
      </c>
    </row>
    <row r="159" spans="2:12" x14ac:dyDescent="0.25">
      <c r="B159" s="5" t="s">
        <v>116</v>
      </c>
      <c r="G159" s="10">
        <f t="shared" ref="G159" si="181">G158/C158-1</f>
        <v>3.6525651771141199E-2</v>
      </c>
      <c r="H159" s="10">
        <f t="shared" ref="H159" si="182">H158/D158-1</f>
        <v>-0.1853499537506057</v>
      </c>
      <c r="I159" s="10">
        <f t="shared" ref="I159" si="183">I158/E158-1</f>
        <v>-0.20254826858438213</v>
      </c>
      <c r="J159" s="10">
        <f t="shared" ref="J159" si="184">J158/F158-1</f>
        <v>0.24745674932488249</v>
      </c>
      <c r="K159" s="10">
        <f t="shared" ref="K159" si="185">K158/G158-1</f>
        <v>-4.5282376473592345E-2</v>
      </c>
      <c r="L159" s="10">
        <f>L158/H158-1</f>
        <v>1.0041362530413624</v>
      </c>
    </row>
    <row r="160" spans="2:12" x14ac:dyDescent="0.25">
      <c r="B160" s="5" t="s">
        <v>128</v>
      </c>
      <c r="D160" s="10">
        <f t="shared" ref="D160:K160" si="186">D154/C154-1</f>
        <v>7.6387710066203596E-3</v>
      </c>
      <c r="E160" s="10">
        <f t="shared" si="186"/>
        <v>0.359697888589398</v>
      </c>
      <c r="F160" s="10">
        <f t="shared" si="186"/>
        <v>0.28172300576124898</v>
      </c>
      <c r="G160" s="10">
        <f t="shared" si="186"/>
        <v>-0.45247301433864995</v>
      </c>
      <c r="H160" s="10">
        <f t="shared" si="186"/>
        <v>-0.29583639841106368</v>
      </c>
      <c r="I160" s="10">
        <f t="shared" si="186"/>
        <v>0.59521123229284201</v>
      </c>
      <c r="J160" s="10">
        <f t="shared" si="186"/>
        <v>1.3282252783235102</v>
      </c>
      <c r="K160" s="10">
        <f t="shared" si="186"/>
        <v>-0.6264401440144014</v>
      </c>
      <c r="L160" s="10">
        <f>L154/K154-1</f>
        <v>0.86449611469188614</v>
      </c>
    </row>
    <row r="161" spans="2:12" s="10" customFormat="1" x14ac:dyDescent="0.25">
      <c r="B161" s="11" t="s">
        <v>129</v>
      </c>
      <c r="C161" s="10">
        <f t="shared" ref="C161:K161" si="187">C158/(C140+C149+C158+C167+C176)</f>
        <v>3.4659853648542446E-2</v>
      </c>
      <c r="D161" s="10">
        <f t="shared" si="187"/>
        <v>3.5862999330224563E-2</v>
      </c>
      <c r="E161" s="10">
        <f t="shared" si="187"/>
        <v>5.0550551737164003E-2</v>
      </c>
      <c r="F161" s="10">
        <f t="shared" si="187"/>
        <v>5.5418049321838386E-2</v>
      </c>
      <c r="G161" s="10">
        <f t="shared" si="187"/>
        <v>3.2984217493412842E-2</v>
      </c>
      <c r="H161" s="10">
        <f t="shared" si="187"/>
        <v>2.6304018705079969E-2</v>
      </c>
      <c r="I161" s="10">
        <f t="shared" si="187"/>
        <v>3.4575739027698414E-2</v>
      </c>
      <c r="J161" s="10">
        <f t="shared" si="187"/>
        <v>6.2313211275448234E-2</v>
      </c>
      <c r="K161" s="10">
        <f t="shared" si="187"/>
        <v>2.5956624794113273E-2</v>
      </c>
      <c r="L161" s="10">
        <f>L158/(L140+L149+L158+L167+L176)</f>
        <v>4.0392213058258221E-2</v>
      </c>
    </row>
    <row r="162" spans="2:12" s="2" customFormat="1" x14ac:dyDescent="0.25">
      <c r="B162" s="2" t="s">
        <v>10</v>
      </c>
    </row>
    <row r="163" spans="2:12" s="2" customFormat="1" x14ac:dyDescent="0.25">
      <c r="B163" s="2" t="s">
        <v>126</v>
      </c>
      <c r="C163" s="2">
        <v>5262</v>
      </c>
      <c r="D163" s="2">
        <v>4979</v>
      </c>
      <c r="E163" s="2">
        <v>4567</v>
      </c>
      <c r="F163" s="2">
        <v>2284</v>
      </c>
      <c r="G163" s="2">
        <v>2727</v>
      </c>
      <c r="H163" s="2">
        <v>2696</v>
      </c>
      <c r="I163" s="2">
        <v>2252</v>
      </c>
      <c r="J163" s="2">
        <v>317</v>
      </c>
      <c r="K163" s="2">
        <v>317</v>
      </c>
      <c r="L163" s="2">
        <v>317</v>
      </c>
    </row>
    <row r="164" spans="2:12" s="2" customFormat="1" x14ac:dyDescent="0.25">
      <c r="B164" s="2" t="s">
        <v>123</v>
      </c>
      <c r="C164" s="2">
        <v>2252</v>
      </c>
      <c r="D164" s="2">
        <v>2252</v>
      </c>
      <c r="E164" s="2">
        <v>2696</v>
      </c>
      <c r="F164" s="2">
        <v>443</v>
      </c>
      <c r="I164" s="2">
        <v>317</v>
      </c>
    </row>
    <row r="165" spans="2:12" s="2" customFormat="1" x14ac:dyDescent="0.25">
      <c r="B165" s="2" t="s">
        <v>124</v>
      </c>
    </row>
    <row r="166" spans="2:12" s="2" customFormat="1" x14ac:dyDescent="0.25">
      <c r="B166" s="2" t="s">
        <v>125</v>
      </c>
    </row>
    <row r="167" spans="2:12" s="2" customFormat="1" x14ac:dyDescent="0.25">
      <c r="B167" s="6" t="s">
        <v>127</v>
      </c>
      <c r="C167" s="7">
        <f t="shared" ref="C167" si="188">SUM(C163:C166)</f>
        <v>7514</v>
      </c>
      <c r="D167" s="7">
        <f t="shared" ref="D167" si="189">SUM(D163:D166)</f>
        <v>7231</v>
      </c>
      <c r="E167" s="7">
        <f t="shared" ref="E167" si="190">SUM(E163:E166)</f>
        <v>7263</v>
      </c>
      <c r="F167" s="7">
        <f t="shared" ref="F167" si="191">SUM(F163:F166)</f>
        <v>2727</v>
      </c>
      <c r="G167" s="7">
        <f t="shared" ref="G167" si="192">SUM(G163:G166)</f>
        <v>2727</v>
      </c>
      <c r="H167" s="7">
        <f t="shared" ref="H167" si="193">SUM(H163:H166)</f>
        <v>2696</v>
      </c>
      <c r="I167" s="7">
        <f t="shared" ref="I167" si="194">SUM(I163:I166)</f>
        <v>2569</v>
      </c>
      <c r="J167" s="7">
        <f t="shared" ref="J167" si="195">SUM(J163:J166)</f>
        <v>317</v>
      </c>
      <c r="K167" s="7">
        <f t="shared" ref="K167" si="196">SUM(K163:K166)</f>
        <v>317</v>
      </c>
      <c r="L167" s="7">
        <f>SUM(L163:L166)</f>
        <v>317</v>
      </c>
    </row>
    <row r="168" spans="2:12" x14ac:dyDescent="0.25">
      <c r="B168" s="5" t="s">
        <v>116</v>
      </c>
      <c r="G168" s="10">
        <f t="shared" ref="G168" si="197">G167/C167-1</f>
        <v>-0.63707745541655569</v>
      </c>
      <c r="H168" s="10">
        <f t="shared" ref="H168" si="198">H167/D167-1</f>
        <v>-0.62716083529249067</v>
      </c>
      <c r="I168" s="10">
        <f t="shared" ref="I168" si="199">I167/E167-1</f>
        <v>-0.64628941208866864</v>
      </c>
      <c r="J168" s="10">
        <f t="shared" ref="J168" si="200">J167/F167-1</f>
        <v>-0.88375504217088374</v>
      </c>
      <c r="K168" s="10">
        <f t="shared" ref="K168" si="201">K167/G167-1</f>
        <v>-0.88375504217088374</v>
      </c>
      <c r="L168" s="10">
        <f>L167/H167-1</f>
        <v>-0.88241839762611274</v>
      </c>
    </row>
    <row r="169" spans="2:12" x14ac:dyDescent="0.25">
      <c r="B169" s="5" t="s">
        <v>128</v>
      </c>
      <c r="D169" s="10">
        <f t="shared" ref="D169:K169" si="202">D163/C163-1</f>
        <v>-5.3781832003040653E-2</v>
      </c>
      <c r="E169" s="10">
        <f t="shared" si="202"/>
        <v>-8.2747539666599756E-2</v>
      </c>
      <c r="F169" s="10">
        <f t="shared" si="202"/>
        <v>-0.49989051894022329</v>
      </c>
      <c r="G169" s="10">
        <f t="shared" si="202"/>
        <v>0.19395796847635727</v>
      </c>
      <c r="H169" s="10">
        <f t="shared" si="202"/>
        <v>-1.1367803447011382E-2</v>
      </c>
      <c r="I169" s="10">
        <f t="shared" si="202"/>
        <v>-0.16468842729970323</v>
      </c>
      <c r="J169" s="10">
        <f t="shared" si="202"/>
        <v>-0.85923623445825936</v>
      </c>
      <c r="K169" s="10">
        <f t="shared" si="202"/>
        <v>0</v>
      </c>
      <c r="L169" s="10">
        <f>L163/K163-1</f>
        <v>0</v>
      </c>
    </row>
    <row r="170" spans="2:12" s="10" customFormat="1" x14ac:dyDescent="0.25">
      <c r="B170" s="11" t="s">
        <v>129</v>
      </c>
      <c r="C170" s="10">
        <f t="shared" ref="C170:K170" si="203">C167/(C140+C149+C158+C167+C176)</f>
        <v>5.7442794193645055E-3</v>
      </c>
      <c r="D170" s="10">
        <f t="shared" si="203"/>
        <v>5.7112572822282034E-3</v>
      </c>
      <c r="E170" s="10">
        <f t="shared" si="203"/>
        <v>5.7398367430160574E-3</v>
      </c>
      <c r="F170" s="10">
        <f t="shared" si="203"/>
        <v>1.8635093838323647E-3</v>
      </c>
      <c r="G170" s="10">
        <f t="shared" si="203"/>
        <v>1.9140307508306767E-3</v>
      </c>
      <c r="H170" s="10">
        <f t="shared" si="203"/>
        <v>1.9171569188671423E-3</v>
      </c>
      <c r="I170" s="10">
        <f t="shared" si="203"/>
        <v>1.7413608100954191E-3</v>
      </c>
      <c r="J170" s="10">
        <f t="shared" si="203"/>
        <v>1.9525812261470953E-4</v>
      </c>
      <c r="K170" s="10">
        <f t="shared" si="203"/>
        <v>1.8339611420081816E-4</v>
      </c>
      <c r="L170" s="10">
        <f>L167/(L140+L149+L158+L167+L176)</f>
        <v>1.7272107616672541E-4</v>
      </c>
    </row>
    <row r="171" spans="2:12" s="2" customFormat="1" x14ac:dyDescent="0.25">
      <c r="B171" s="2" t="s">
        <v>9</v>
      </c>
    </row>
    <row r="172" spans="2:12" s="2" customFormat="1" x14ac:dyDescent="0.25">
      <c r="B172" s="2" t="s">
        <v>126</v>
      </c>
      <c r="C172" s="2">
        <v>41203</v>
      </c>
      <c r="D172" s="2">
        <v>37355</v>
      </c>
      <c r="E172" s="2">
        <v>39335</v>
      </c>
      <c r="F172" s="2">
        <v>39810</v>
      </c>
      <c r="G172" s="2">
        <v>34716</v>
      </c>
      <c r="H172" s="2">
        <v>25953</v>
      </c>
      <c r="I172" s="2">
        <v>54203</v>
      </c>
      <c r="J172" s="2">
        <v>50519</v>
      </c>
      <c r="K172" s="2">
        <v>45320</v>
      </c>
      <c r="L172" s="2">
        <v>39798</v>
      </c>
    </row>
    <row r="173" spans="2:12" s="2" customFormat="1" x14ac:dyDescent="0.25">
      <c r="B173" s="2" t="s">
        <v>123</v>
      </c>
      <c r="C173" s="2">
        <v>6653</v>
      </c>
      <c r="D173" s="2">
        <v>6772</v>
      </c>
      <c r="E173" s="2">
        <v>3662</v>
      </c>
      <c r="F173" s="2">
        <v>2020</v>
      </c>
      <c r="G173" s="2">
        <v>1604</v>
      </c>
      <c r="H173" s="2">
        <v>2469</v>
      </c>
      <c r="I173" s="2">
        <v>3062</v>
      </c>
      <c r="J173" s="2">
        <v>3297</v>
      </c>
      <c r="K173" s="2">
        <v>2291</v>
      </c>
      <c r="L173" s="2">
        <v>2846</v>
      </c>
    </row>
    <row r="174" spans="2:12" s="2" customFormat="1" x14ac:dyDescent="0.25">
      <c r="B174" s="2" t="s">
        <v>124</v>
      </c>
      <c r="C174" s="2">
        <v>2292</v>
      </c>
      <c r="D174" s="2">
        <v>1523</v>
      </c>
      <c r="E174" s="2">
        <v>1100</v>
      </c>
      <c r="F174" s="2">
        <v>2896</v>
      </c>
      <c r="G174" s="2">
        <v>2428</v>
      </c>
      <c r="H174" s="2">
        <v>2473</v>
      </c>
      <c r="I174" s="2">
        <v>2008</v>
      </c>
      <c r="J174" s="2">
        <v>125</v>
      </c>
      <c r="K174" s="2">
        <v>144</v>
      </c>
      <c r="L174" s="2">
        <v>252</v>
      </c>
    </row>
    <row r="175" spans="2:12" s="2" customFormat="1" x14ac:dyDescent="0.25">
      <c r="B175" s="2" t="s">
        <v>125</v>
      </c>
      <c r="J175" s="2">
        <v>50</v>
      </c>
      <c r="K175" s="2">
        <v>52</v>
      </c>
      <c r="L175" s="2">
        <v>56</v>
      </c>
    </row>
    <row r="176" spans="2:12" s="2" customFormat="1" x14ac:dyDescent="0.25">
      <c r="B176" s="6" t="s">
        <v>127</v>
      </c>
      <c r="C176" s="7">
        <f t="shared" ref="C176" si="204">SUM(C172:C175)</f>
        <v>50148</v>
      </c>
      <c r="D176" s="7">
        <f t="shared" ref="D176" si="205">SUM(D172:D175)</f>
        <v>45650</v>
      </c>
      <c r="E176" s="7">
        <f t="shared" ref="E176" si="206">SUM(E172:E175)</f>
        <v>44097</v>
      </c>
      <c r="F176" s="7">
        <f t="shared" ref="F176" si="207">SUM(F172:F175)</f>
        <v>44726</v>
      </c>
      <c r="G176" s="7">
        <f t="shared" ref="G176" si="208">SUM(G172:G175)</f>
        <v>38748</v>
      </c>
      <c r="H176" s="7">
        <f t="shared" ref="H176" si="209">SUM(H172:H175)</f>
        <v>30895</v>
      </c>
      <c r="I176" s="7">
        <f t="shared" ref="I176" si="210">SUM(I172:I175)</f>
        <v>59273</v>
      </c>
      <c r="J176" s="7">
        <f t="shared" ref="J176" si="211">SUM(J172:J175)</f>
        <v>53991</v>
      </c>
      <c r="K176" s="7">
        <f t="shared" ref="K176" si="212">SUM(K172:K175)</f>
        <v>47807</v>
      </c>
      <c r="L176" s="7">
        <f>SUM(L172:L175)</f>
        <v>42952</v>
      </c>
    </row>
    <row r="177" spans="2:12" x14ac:dyDescent="0.25">
      <c r="B177" s="5" t="s">
        <v>116</v>
      </c>
      <c r="G177" s="10">
        <f t="shared" ref="G177" si="213">G176/C176-1</f>
        <v>-0.22732711174922227</v>
      </c>
      <c r="H177" s="10">
        <f t="shared" ref="H177" si="214">H176/D176-1</f>
        <v>-0.32322015334063525</v>
      </c>
      <c r="I177" s="10">
        <f t="shared" ref="I177" si="215">I176/E176-1</f>
        <v>0.34415039571852968</v>
      </c>
      <c r="J177" s="10">
        <f t="shared" ref="J177" si="216">J176/F176-1</f>
        <v>0.20715020346107416</v>
      </c>
      <c r="K177" s="10">
        <f t="shared" ref="K177" si="217">K176/G176-1</f>
        <v>0.23379271188190365</v>
      </c>
      <c r="L177" s="10">
        <f>L176/H176-1</f>
        <v>0.39025732319145501</v>
      </c>
    </row>
    <row r="178" spans="2:12" x14ac:dyDescent="0.25">
      <c r="B178" s="5" t="s">
        <v>128</v>
      </c>
      <c r="D178" s="10">
        <f t="shared" ref="D178:K178" si="218">D172/C172-1</f>
        <v>-9.3391257918112758E-2</v>
      </c>
      <c r="E178" s="10">
        <f t="shared" si="218"/>
        <v>5.3004952482933909E-2</v>
      </c>
      <c r="F178" s="10">
        <f t="shared" si="218"/>
        <v>1.2075759501716021E-2</v>
      </c>
      <c r="G178" s="10">
        <f t="shared" si="218"/>
        <v>-0.12795779954785225</v>
      </c>
      <c r="H178" s="10">
        <f t="shared" si="218"/>
        <v>-0.25241963359834085</v>
      </c>
      <c r="I178" s="10">
        <f t="shared" si="218"/>
        <v>1.0885061457249643</v>
      </c>
      <c r="J178" s="10">
        <f t="shared" si="218"/>
        <v>-6.796671770935192E-2</v>
      </c>
      <c r="K178" s="10">
        <f t="shared" si="218"/>
        <v>-0.10291177576753296</v>
      </c>
      <c r="L178" s="10">
        <f>L172/K172-1</f>
        <v>-0.12184466019417473</v>
      </c>
    </row>
    <row r="179" spans="2:12" s="10" customFormat="1" x14ac:dyDescent="0.25">
      <c r="B179" s="11" t="s">
        <v>129</v>
      </c>
      <c r="C179" s="10">
        <f t="shared" ref="C179:K179" si="219">C176/(C140+C149+C158+C167+C176)</f>
        <v>3.8336987532910732E-2</v>
      </c>
      <c r="D179" s="10">
        <f t="shared" si="219"/>
        <v>3.6055717733884315E-2</v>
      </c>
      <c r="E179" s="10">
        <f t="shared" si="219"/>
        <v>3.4849178143574154E-2</v>
      </c>
      <c r="F179" s="10">
        <f t="shared" si="219"/>
        <v>3.0563740631201448E-2</v>
      </c>
      <c r="G179" s="10">
        <f t="shared" si="219"/>
        <v>2.7196502945796501E-2</v>
      </c>
      <c r="H179" s="10">
        <f t="shared" si="219"/>
        <v>2.1969793400741972E-2</v>
      </c>
      <c r="I179" s="10">
        <f t="shared" si="219"/>
        <v>4.017737613732416E-2</v>
      </c>
      <c r="J179" s="10">
        <f t="shared" si="219"/>
        <v>3.325609242299931E-2</v>
      </c>
      <c r="K179" s="10">
        <f t="shared" si="219"/>
        <v>2.7658101046052094E-2</v>
      </c>
      <c r="L179" s="10">
        <f>L176/(L140+L149+L158+L167+L176)</f>
        <v>2.3402888528432777E-2</v>
      </c>
    </row>
    <row r="181" spans="2:12" x14ac:dyDescent="0.25">
      <c r="B181" s="13" t="s">
        <v>127</v>
      </c>
      <c r="C181" s="2">
        <f t="shared" ref="C181:K181" si="220">C176+C167+C158+C149+C140</f>
        <v>1308084</v>
      </c>
      <c r="D181" s="2">
        <f t="shared" si="220"/>
        <v>1266096</v>
      </c>
      <c r="E181" s="2">
        <f t="shared" si="220"/>
        <v>1265367</v>
      </c>
      <c r="F181" s="2">
        <f t="shared" si="220"/>
        <v>1463368</v>
      </c>
      <c r="G181" s="2">
        <f t="shared" si="220"/>
        <v>1424742</v>
      </c>
      <c r="H181" s="2">
        <f t="shared" si="220"/>
        <v>1406249</v>
      </c>
      <c r="I181" s="2">
        <f t="shared" si="220"/>
        <v>1475283</v>
      </c>
      <c r="J181" s="2">
        <f t="shared" si="220"/>
        <v>1623492</v>
      </c>
      <c r="K181" s="2">
        <f t="shared" si="220"/>
        <v>1728499</v>
      </c>
      <c r="L181" s="2">
        <f>L176+L167+L158+L149+L140</f>
        <v>1835329</v>
      </c>
    </row>
    <row r="182" spans="2:12" x14ac:dyDescent="0.25">
      <c r="B182" s="2" t="s">
        <v>126</v>
      </c>
      <c r="C182" s="2">
        <f t="shared" ref="C182:K184" si="221">C136+C145+C154+C163+C172</f>
        <v>706758</v>
      </c>
      <c r="D182" s="2">
        <f t="shared" si="221"/>
        <v>689712</v>
      </c>
      <c r="E182" s="2">
        <f t="shared" si="221"/>
        <v>686263</v>
      </c>
      <c r="F182" s="2">
        <f t="shared" si="221"/>
        <v>795595</v>
      </c>
      <c r="G182" s="2">
        <f t="shared" si="221"/>
        <v>758954</v>
      </c>
      <c r="H182" s="2">
        <f t="shared" si="221"/>
        <v>732614</v>
      </c>
      <c r="I182" s="2">
        <f t="shared" si="221"/>
        <v>779172</v>
      </c>
      <c r="J182" s="2">
        <f t="shared" si="221"/>
        <v>895715</v>
      </c>
      <c r="K182" s="2">
        <f t="shared" si="221"/>
        <v>880360</v>
      </c>
      <c r="L182" s="2">
        <f>L136+L145+L154+L163+L172</f>
        <v>926657</v>
      </c>
    </row>
    <row r="183" spans="2:12" x14ac:dyDescent="0.25">
      <c r="B183" s="2" t="s">
        <v>123</v>
      </c>
      <c r="C183" s="2">
        <f t="shared" si="221"/>
        <v>317620</v>
      </c>
      <c r="D183" s="2">
        <f t="shared" si="221"/>
        <v>309292</v>
      </c>
      <c r="E183" s="2">
        <f t="shared" si="221"/>
        <v>309111</v>
      </c>
      <c r="F183" s="2">
        <f t="shared" si="221"/>
        <v>358795</v>
      </c>
      <c r="G183" s="2">
        <f t="shared" si="221"/>
        <v>370004</v>
      </c>
      <c r="H183" s="2">
        <f t="shared" si="221"/>
        <v>376883</v>
      </c>
      <c r="I183" s="2">
        <f t="shared" si="221"/>
        <v>386786</v>
      </c>
      <c r="J183" s="2">
        <f t="shared" si="221"/>
        <v>407866</v>
      </c>
      <c r="K183" s="2">
        <f t="shared" si="221"/>
        <v>411081</v>
      </c>
      <c r="L183" s="2">
        <f t="shared" ref="L183:L184" si="222">L137+L146+L155+L164+L173</f>
        <v>421039</v>
      </c>
    </row>
    <row r="184" spans="2:12" x14ac:dyDescent="0.25">
      <c r="B184" s="2" t="s">
        <v>124</v>
      </c>
      <c r="C184" s="2">
        <f t="shared" si="221"/>
        <v>169449</v>
      </c>
      <c r="D184" s="2">
        <f t="shared" si="221"/>
        <v>158006</v>
      </c>
      <c r="E184" s="2">
        <f t="shared" si="221"/>
        <v>159981</v>
      </c>
      <c r="F184" s="2">
        <f t="shared" si="221"/>
        <v>194280</v>
      </c>
      <c r="G184" s="2">
        <f t="shared" si="221"/>
        <v>187435</v>
      </c>
      <c r="H184" s="2">
        <f t="shared" si="221"/>
        <v>188228</v>
      </c>
      <c r="I184" s="2">
        <f t="shared" si="221"/>
        <v>178367</v>
      </c>
      <c r="J184" s="2">
        <f t="shared" si="221"/>
        <v>184992</v>
      </c>
      <c r="K184" s="2">
        <f t="shared" si="221"/>
        <v>199913</v>
      </c>
      <c r="L184" s="2">
        <f t="shared" si="222"/>
        <v>223098</v>
      </c>
    </row>
    <row r="185" spans="2:12" x14ac:dyDescent="0.25">
      <c r="B185" s="2" t="s">
        <v>125</v>
      </c>
      <c r="C185" s="2">
        <f t="shared" ref="C185:K185" si="223">C139+C148+C157+C166+C175</f>
        <v>114257</v>
      </c>
      <c r="D185" s="2">
        <f t="shared" si="223"/>
        <v>109086</v>
      </c>
      <c r="E185" s="2">
        <f t="shared" si="223"/>
        <v>110012</v>
      </c>
      <c r="F185" s="2">
        <f t="shared" si="223"/>
        <v>114698</v>
      </c>
      <c r="G185" s="2">
        <f t="shared" si="223"/>
        <v>108349</v>
      </c>
      <c r="H185" s="2">
        <f t="shared" si="223"/>
        <v>108524</v>
      </c>
      <c r="I185" s="2">
        <f t="shared" si="223"/>
        <v>130958</v>
      </c>
      <c r="J185" s="2">
        <f t="shared" si="223"/>
        <v>134919</v>
      </c>
      <c r="K185" s="2">
        <f t="shared" si="223"/>
        <v>237145</v>
      </c>
      <c r="L185" s="2">
        <f>L139+L148+L157+L166+L175</f>
        <v>264535</v>
      </c>
    </row>
    <row r="186" spans="2:12" s="12" customFormat="1" x14ac:dyDescent="0.25">
      <c r="B186" s="15" t="s">
        <v>116</v>
      </c>
      <c r="G186" s="12">
        <f t="shared" ref="G186:L186" si="224">G181/C181-1</f>
        <v>8.9182346087866016E-2</v>
      </c>
      <c r="H186" s="12">
        <f t="shared" si="224"/>
        <v>0.11069697716444882</v>
      </c>
      <c r="I186" s="12">
        <f t="shared" si="224"/>
        <v>0.1658933732268979</v>
      </c>
      <c r="J186" s="12">
        <f t="shared" si="224"/>
        <v>0.10942155356684036</v>
      </c>
      <c r="K186" s="12">
        <f t="shared" si="224"/>
        <v>0.21320140769346319</v>
      </c>
      <c r="L186" s="12">
        <f t="shared" si="224"/>
        <v>0.30512377253246048</v>
      </c>
    </row>
    <row r="187" spans="2:12" s="12" customFormat="1" x14ac:dyDescent="0.25">
      <c r="B187" s="2" t="s">
        <v>126</v>
      </c>
      <c r="G187" s="12">
        <f t="shared" ref="G187:G190" si="225">G182/C182-1</f>
        <v>7.385271903536994E-2</v>
      </c>
      <c r="H187" s="12">
        <f t="shared" ref="H187:H190" si="226">H182/D182-1</f>
        <v>6.2202774491382007E-2</v>
      </c>
      <c r="I187" s="12">
        <f t="shared" ref="I187:I190" si="227">I182/E182-1</f>
        <v>0.13538395629663835</v>
      </c>
      <c r="J187" s="12">
        <f t="shared" ref="J187:J190" si="228">J182/F182-1</f>
        <v>0.12584292259252505</v>
      </c>
      <c r="K187" s="12">
        <f t="shared" ref="K187:K190" si="229">K182/G182-1</f>
        <v>0.15996489905844102</v>
      </c>
      <c r="L187" s="12">
        <f t="shared" ref="L187:L190" si="230">L182/H182-1</f>
        <v>0.2648638983148015</v>
      </c>
    </row>
    <row r="188" spans="2:12" s="12" customFormat="1" x14ac:dyDescent="0.25">
      <c r="B188" s="2" t="s">
        <v>123</v>
      </c>
      <c r="G188" s="12">
        <f t="shared" si="225"/>
        <v>0.16492664189912465</v>
      </c>
      <c r="H188" s="12">
        <f t="shared" si="226"/>
        <v>0.21853458867348663</v>
      </c>
      <c r="I188" s="12">
        <f t="shared" si="227"/>
        <v>0.25128513705432676</v>
      </c>
      <c r="J188" s="12">
        <f t="shared" si="228"/>
        <v>0.1367661199292074</v>
      </c>
      <c r="K188" s="12">
        <f t="shared" si="229"/>
        <v>0.1110177187273651</v>
      </c>
      <c r="L188" s="12">
        <f t="shared" si="230"/>
        <v>0.11716102875428192</v>
      </c>
    </row>
    <row r="189" spans="2:12" s="12" customFormat="1" x14ac:dyDescent="0.25">
      <c r="B189" s="2" t="s">
        <v>124</v>
      </c>
      <c r="G189" s="12">
        <f t="shared" si="225"/>
        <v>0.10614403153751284</v>
      </c>
      <c r="H189" s="12">
        <f t="shared" si="226"/>
        <v>0.19127121754870058</v>
      </c>
      <c r="I189" s="12">
        <f t="shared" si="227"/>
        <v>0.11492614748001317</v>
      </c>
      <c r="J189" s="12">
        <f t="shared" si="228"/>
        <v>-4.7807288449660312E-2</v>
      </c>
      <c r="K189" s="12">
        <f t="shared" si="229"/>
        <v>6.6572411769413309E-2</v>
      </c>
      <c r="L189" s="12">
        <f t="shared" si="230"/>
        <v>0.18525405359457681</v>
      </c>
    </row>
    <row r="190" spans="2:12" s="12" customFormat="1" x14ac:dyDescent="0.25">
      <c r="B190" s="2" t="s">
        <v>125</v>
      </c>
      <c r="G190" s="12">
        <f t="shared" si="225"/>
        <v>-5.1707991632897743E-2</v>
      </c>
      <c r="H190" s="12">
        <f t="shared" si="226"/>
        <v>-5.1518985020992947E-3</v>
      </c>
      <c r="I190" s="12">
        <f t="shared" si="227"/>
        <v>0.19039741119150633</v>
      </c>
      <c r="J190" s="12">
        <f t="shared" si="228"/>
        <v>0.17629775584578633</v>
      </c>
      <c r="K190" s="12">
        <f t="shared" si="229"/>
        <v>1.1887142474780572</v>
      </c>
      <c r="L190" s="12">
        <f t="shared" si="230"/>
        <v>1.4375714127750543</v>
      </c>
    </row>
    <row r="191" spans="2:12" x14ac:dyDescent="0.25">
      <c r="B191" s="14" t="s">
        <v>128</v>
      </c>
      <c r="D191" s="12">
        <f t="shared" ref="D191:K191" si="231">D181/C181-1</f>
        <v>-3.209885603676832E-2</v>
      </c>
      <c r="E191" s="12">
        <f t="shared" si="231"/>
        <v>-5.7578572240968295E-4</v>
      </c>
      <c r="F191" s="12">
        <f t="shared" si="231"/>
        <v>0.15647713272117891</v>
      </c>
      <c r="G191" s="12">
        <f t="shared" si="231"/>
        <v>-2.6395274462746254E-2</v>
      </c>
      <c r="H191" s="12">
        <f t="shared" si="231"/>
        <v>-1.2979893903597994E-2</v>
      </c>
      <c r="I191" s="12">
        <f t="shared" si="231"/>
        <v>4.9090879353514305E-2</v>
      </c>
      <c r="J191" s="12">
        <f t="shared" si="231"/>
        <v>0.10046140299861106</v>
      </c>
      <c r="K191" s="12">
        <f t="shared" si="231"/>
        <v>6.4679715083289624E-2</v>
      </c>
      <c r="L191" s="12">
        <f>L181/K181-1</f>
        <v>6.180506902231353E-2</v>
      </c>
    </row>
    <row r="192" spans="2:12" x14ac:dyDescent="0.25">
      <c r="B192" s="2" t="s">
        <v>126</v>
      </c>
      <c r="D192" s="12">
        <f t="shared" ref="D192:L192" si="232">D182/C182-1</f>
        <v>-2.4118580900393094E-2</v>
      </c>
      <c r="E192" s="12">
        <f t="shared" si="232"/>
        <v>-5.0006379474331064E-3</v>
      </c>
      <c r="F192" s="12">
        <f t="shared" si="232"/>
        <v>0.15931501479753396</v>
      </c>
      <c r="G192" s="12">
        <f t="shared" si="232"/>
        <v>-4.6054839459775399E-2</v>
      </c>
      <c r="H192" s="12">
        <f t="shared" si="232"/>
        <v>-3.4705660685627859E-2</v>
      </c>
      <c r="I192" s="12">
        <f t="shared" si="232"/>
        <v>6.3550519100099123E-2</v>
      </c>
      <c r="J192" s="12">
        <f t="shared" si="232"/>
        <v>0.14957287992895019</v>
      </c>
      <c r="K192" s="12">
        <f t="shared" si="232"/>
        <v>-1.71427295512524E-2</v>
      </c>
      <c r="L192" s="12">
        <f t="shared" si="232"/>
        <v>5.2588713708028534E-2</v>
      </c>
    </row>
    <row r="193" spans="2:28" x14ac:dyDescent="0.25">
      <c r="B193" s="2" t="s">
        <v>123</v>
      </c>
      <c r="D193" s="12">
        <f t="shared" ref="D193:L193" si="233">D183/C183-1</f>
        <v>-2.6220011334298854E-2</v>
      </c>
      <c r="E193" s="12">
        <f t="shared" si="233"/>
        <v>-5.852075061754114E-4</v>
      </c>
      <c r="F193" s="12">
        <f t="shared" si="233"/>
        <v>0.16073190536732751</v>
      </c>
      <c r="G193" s="12">
        <f t="shared" si="233"/>
        <v>3.1240680611491323E-2</v>
      </c>
      <c r="H193" s="12">
        <f t="shared" si="233"/>
        <v>1.8591690900638946E-2</v>
      </c>
      <c r="I193" s="12">
        <f t="shared" si="233"/>
        <v>2.6276059148329756E-2</v>
      </c>
      <c r="J193" s="12">
        <f t="shared" si="233"/>
        <v>5.4500421421664669E-2</v>
      </c>
      <c r="K193" s="12">
        <f t="shared" si="233"/>
        <v>7.8824908180628039E-3</v>
      </c>
      <c r="L193" s="12">
        <f t="shared" si="233"/>
        <v>2.4223936401828405E-2</v>
      </c>
    </row>
    <row r="194" spans="2:28" x14ac:dyDescent="0.25">
      <c r="B194" s="2" t="s">
        <v>124</v>
      </c>
      <c r="D194" s="12">
        <f t="shared" ref="D194:L194" si="234">D184/C184-1</f>
        <v>-6.7530643438438731E-2</v>
      </c>
      <c r="E194" s="12">
        <f t="shared" si="234"/>
        <v>1.2499525334481065E-2</v>
      </c>
      <c r="F194" s="12">
        <f t="shared" si="234"/>
        <v>0.21439420931235587</v>
      </c>
      <c r="G194" s="12">
        <f t="shared" si="234"/>
        <v>-3.5232653901585365E-2</v>
      </c>
      <c r="H194" s="12">
        <f t="shared" si="234"/>
        <v>4.2308000106703325E-3</v>
      </c>
      <c r="I194" s="12">
        <f t="shared" si="234"/>
        <v>-5.2388592557961577E-2</v>
      </c>
      <c r="J194" s="12">
        <f t="shared" si="234"/>
        <v>3.7142520757763586E-2</v>
      </c>
      <c r="K194" s="12">
        <f t="shared" si="234"/>
        <v>8.0657541947759981E-2</v>
      </c>
      <c r="L194" s="12">
        <f t="shared" si="234"/>
        <v>0.11597544932045434</v>
      </c>
    </row>
    <row r="195" spans="2:28" x14ac:dyDescent="0.25">
      <c r="B195" s="2" t="s">
        <v>125</v>
      </c>
      <c r="D195" s="12">
        <f t="shared" ref="D195:L195" si="235">D185/C185-1</f>
        <v>-4.5257620977270485E-2</v>
      </c>
      <c r="E195" s="12">
        <f t="shared" si="235"/>
        <v>8.4887153255230885E-3</v>
      </c>
      <c r="F195" s="12">
        <f t="shared" si="235"/>
        <v>4.2595353234192723E-2</v>
      </c>
      <c r="G195" s="12">
        <f t="shared" si="235"/>
        <v>-5.5354060227728485E-2</v>
      </c>
      <c r="H195" s="12">
        <f t="shared" si="235"/>
        <v>1.6151510396957836E-3</v>
      </c>
      <c r="I195" s="12">
        <f t="shared" si="235"/>
        <v>0.20671925104124433</v>
      </c>
      <c r="J195" s="12">
        <f t="shared" si="235"/>
        <v>3.0246338520747207E-2</v>
      </c>
      <c r="K195" s="12">
        <f t="shared" si="235"/>
        <v>0.75768424017373381</v>
      </c>
      <c r="L195" s="12">
        <f t="shared" si="235"/>
        <v>0.11549895633473195</v>
      </c>
    </row>
    <row r="199" spans="2:28" x14ac:dyDescent="0.25">
      <c r="B199" s="4" t="s">
        <v>131</v>
      </c>
    </row>
    <row r="200" spans="2:28" s="2" customFormat="1" x14ac:dyDescent="0.25">
      <c r="B200" s="2" t="s">
        <v>71</v>
      </c>
      <c r="E200" s="2">
        <v>494571</v>
      </c>
      <c r="F200" s="2">
        <v>552998</v>
      </c>
      <c r="G200" s="2">
        <v>570356</v>
      </c>
      <c r="H200" s="2">
        <v>593752</v>
      </c>
      <c r="I200" s="2">
        <v>640574</v>
      </c>
      <c r="J200" s="2">
        <v>652443</v>
      </c>
      <c r="K200" s="2">
        <v>701311</v>
      </c>
      <c r="L200" s="2">
        <v>761051</v>
      </c>
      <c r="M200" s="2">
        <f>L200*(1+M212)</f>
        <v>814324.57000000007</v>
      </c>
      <c r="N200" s="2">
        <f t="shared" ref="N200:N202" si="236">M200*(1+N212)</f>
        <v>871327.28990000009</v>
      </c>
      <c r="Z200" s="2">
        <v>552998</v>
      </c>
      <c r="AA200" s="2">
        <f>J200</f>
        <v>652443</v>
      </c>
      <c r="AB200" s="2">
        <f>N200</f>
        <v>871327.28990000009</v>
      </c>
    </row>
    <row r="201" spans="2:28" s="2" customFormat="1" x14ac:dyDescent="0.25">
      <c r="B201" s="2" t="s">
        <v>72</v>
      </c>
      <c r="E201" s="2">
        <v>319250</v>
      </c>
      <c r="F201" s="2">
        <v>324091</v>
      </c>
      <c r="G201" s="2">
        <v>313550</v>
      </c>
      <c r="H201" s="2">
        <v>310608</v>
      </c>
      <c r="I201" s="2">
        <v>306753</v>
      </c>
      <c r="J201" s="2">
        <v>291807</v>
      </c>
      <c r="K201" s="2">
        <v>298422</v>
      </c>
      <c r="L201" s="2">
        <v>301375</v>
      </c>
      <c r="M201" s="2">
        <f t="shared" ref="M201" si="237">L201*(1+M213)</f>
        <v>301375</v>
      </c>
      <c r="N201" s="2">
        <f t="shared" si="236"/>
        <v>301375</v>
      </c>
      <c r="Z201" s="2">
        <v>324091</v>
      </c>
      <c r="AA201" s="2">
        <f t="shared" ref="AA201:AA205" si="238">J201</f>
        <v>291807</v>
      </c>
      <c r="AB201" s="2">
        <f t="shared" ref="AB201:AB203" si="239">N201</f>
        <v>301375</v>
      </c>
    </row>
    <row r="202" spans="2:28" s="2" customFormat="1" x14ac:dyDescent="0.25">
      <c r="B202" s="2" t="s">
        <v>8</v>
      </c>
      <c r="E202" s="2">
        <v>355055</v>
      </c>
      <c r="F202" s="2">
        <v>377794</v>
      </c>
      <c r="G202" s="2">
        <v>389431</v>
      </c>
      <c r="H202" s="2">
        <v>400949</v>
      </c>
      <c r="I202" s="2">
        <v>412678</v>
      </c>
      <c r="J202" s="2">
        <v>427268</v>
      </c>
      <c r="K202" s="2">
        <v>445677</v>
      </c>
      <c r="L202" s="2">
        <v>451591</v>
      </c>
      <c r="M202" s="2">
        <f t="shared" ref="M202" si="240">L202*(1+M214)</f>
        <v>460622.82</v>
      </c>
      <c r="N202" s="2">
        <f t="shared" si="236"/>
        <v>469835.27640000003</v>
      </c>
      <c r="Z202" s="2">
        <v>377794</v>
      </c>
      <c r="AA202" s="2">
        <f t="shared" si="238"/>
        <v>427268</v>
      </c>
      <c r="AB202" s="2">
        <f t="shared" si="239"/>
        <v>469835.27640000003</v>
      </c>
    </row>
    <row r="203" spans="2:28" s="7" customFormat="1" x14ac:dyDescent="0.25">
      <c r="B203" s="7" t="s">
        <v>130</v>
      </c>
      <c r="C203" s="7">
        <v>1174000</v>
      </c>
      <c r="D203" s="7">
        <v>1164000</v>
      </c>
      <c r="E203" s="7">
        <f t="shared" ref="E203:K203" si="241">SUM(E200:E202)</f>
        <v>1168876</v>
      </c>
      <c r="F203" s="7">
        <f t="shared" si="241"/>
        <v>1254883</v>
      </c>
      <c r="G203" s="7">
        <f t="shared" si="241"/>
        <v>1273337</v>
      </c>
      <c r="H203" s="7">
        <f t="shared" si="241"/>
        <v>1305309</v>
      </c>
      <c r="I203" s="7">
        <f t="shared" si="241"/>
        <v>1360005</v>
      </c>
      <c r="J203" s="7">
        <f t="shared" si="241"/>
        <v>1371518</v>
      </c>
      <c r="K203" s="7">
        <f t="shared" si="241"/>
        <v>1445410</v>
      </c>
      <c r="L203" s="7">
        <f>SUM(L200:L202)</f>
        <v>1514017</v>
      </c>
      <c r="M203" s="7">
        <f t="shared" ref="M203:N203" si="242">SUM(M200:M202)</f>
        <v>1576322.3900000001</v>
      </c>
      <c r="N203" s="7">
        <f t="shared" si="242"/>
        <v>1642537.5663000003</v>
      </c>
      <c r="Z203" s="7">
        <f t="shared" ref="Z203" si="243">SUM(Z200:Z202)</f>
        <v>1254883</v>
      </c>
      <c r="AA203" s="7">
        <f t="shared" si="238"/>
        <v>1371518</v>
      </c>
      <c r="AB203" s="7">
        <f t="shared" si="239"/>
        <v>1642537.5663000003</v>
      </c>
    </row>
    <row r="204" spans="2:28" s="2" customFormat="1" x14ac:dyDescent="0.25">
      <c r="B204" s="2" t="s">
        <v>99</v>
      </c>
      <c r="H204" s="2">
        <v>5000</v>
      </c>
      <c r="I204" s="2">
        <v>-28000</v>
      </c>
      <c r="K204" s="2">
        <v>-700</v>
      </c>
      <c r="L204" s="2">
        <v>-32000</v>
      </c>
    </row>
    <row r="205" spans="2:28" s="7" customFormat="1" x14ac:dyDescent="0.25">
      <c r="B205" s="7" t="s">
        <v>132</v>
      </c>
      <c r="C205" s="7">
        <f t="shared" ref="C205:K205" si="244">C203+C204</f>
        <v>1174000</v>
      </c>
      <c r="D205" s="7">
        <f t="shared" si="244"/>
        <v>1164000</v>
      </c>
      <c r="E205" s="7">
        <f t="shared" si="244"/>
        <v>1168876</v>
      </c>
      <c r="F205" s="7">
        <f t="shared" si="244"/>
        <v>1254883</v>
      </c>
      <c r="G205" s="7">
        <f t="shared" si="244"/>
        <v>1273337</v>
      </c>
      <c r="H205" s="7">
        <f t="shared" si="244"/>
        <v>1310309</v>
      </c>
      <c r="I205" s="7">
        <f t="shared" si="244"/>
        <v>1332005</v>
      </c>
      <c r="J205" s="7">
        <f t="shared" si="244"/>
        <v>1371518</v>
      </c>
      <c r="K205" s="7">
        <f t="shared" si="244"/>
        <v>1444710</v>
      </c>
      <c r="L205" s="7">
        <f>L203+L204</f>
        <v>1482017</v>
      </c>
      <c r="Z205" s="7">
        <f t="shared" ref="Z205" si="245">Z203+Z204</f>
        <v>1254883</v>
      </c>
      <c r="AA205" s="7">
        <f t="shared" si="238"/>
        <v>1371518</v>
      </c>
      <c r="AB205" s="7">
        <f>AB203+AB204</f>
        <v>1642537.5663000003</v>
      </c>
    </row>
    <row r="207" spans="2:28" s="12" customFormat="1" x14ac:dyDescent="0.25">
      <c r="B207" s="12" t="s">
        <v>133</v>
      </c>
      <c r="I207" s="12">
        <f t="shared" ref="G207:K210" si="246">I200/E200-1</f>
        <v>0.29521140544027036</v>
      </c>
      <c r="J207" s="12">
        <f t="shared" si="246"/>
        <v>0.17982886014054311</v>
      </c>
      <c r="K207" s="12">
        <f t="shared" si="246"/>
        <v>0.2296022133544664</v>
      </c>
      <c r="L207" s="12">
        <f>L200/H200-1</f>
        <v>0.28176578773629402</v>
      </c>
      <c r="AA207" s="12">
        <f>AA200/Z200-1</f>
        <v>0.17982886014054311</v>
      </c>
      <c r="AB207" s="12">
        <f>AB200/AA200-1</f>
        <v>0.33548415708345414</v>
      </c>
    </row>
    <row r="208" spans="2:28" x14ac:dyDescent="0.25">
      <c r="B208" s="1" t="s">
        <v>134</v>
      </c>
      <c r="G208" s="12"/>
      <c r="H208" s="12"/>
      <c r="I208" s="12">
        <f t="shared" si="246"/>
        <v>-3.914487079091622E-2</v>
      </c>
      <c r="J208" s="12">
        <f t="shared" si="246"/>
        <v>-9.9613997303226509E-2</v>
      </c>
      <c r="K208" s="12">
        <f t="shared" si="246"/>
        <v>-4.8247488438845521E-2</v>
      </c>
      <c r="L208" s="12">
        <f t="shared" ref="L208:L210" si="247">L201/H201-1</f>
        <v>-2.9725570493998821E-2</v>
      </c>
      <c r="AA208" s="12">
        <f t="shared" ref="AA208:AB210" si="248">AA201/Z201-1</f>
        <v>-9.9613997303226509E-2</v>
      </c>
      <c r="AB208" s="12">
        <f t="shared" si="248"/>
        <v>3.278879533390211E-2</v>
      </c>
    </row>
    <row r="209" spans="2:29" x14ac:dyDescent="0.25">
      <c r="B209" s="1" t="s">
        <v>135</v>
      </c>
      <c r="G209" s="12"/>
      <c r="H209" s="12"/>
      <c r="I209" s="12">
        <f t="shared" si="246"/>
        <v>0.16229316584754483</v>
      </c>
      <c r="J209" s="12">
        <f t="shared" si="246"/>
        <v>0.13095496487503766</v>
      </c>
      <c r="K209" s="12">
        <f t="shared" si="246"/>
        <v>0.14443123428797389</v>
      </c>
      <c r="L209" s="12">
        <f t="shared" si="247"/>
        <v>0.12630534057947518</v>
      </c>
      <c r="AA209" s="12">
        <f t="shared" si="248"/>
        <v>0.13095496487503766</v>
      </c>
      <c r="AB209" s="12">
        <f t="shared" si="248"/>
        <v>9.9626642762856266E-2</v>
      </c>
    </row>
    <row r="210" spans="2:29" x14ac:dyDescent="0.25">
      <c r="B210" s="4" t="s">
        <v>136</v>
      </c>
      <c r="G210" s="12">
        <f t="shared" si="246"/>
        <v>8.4614139693355961E-2</v>
      </c>
      <c r="H210" s="12">
        <f t="shared" si="246"/>
        <v>0.1213994845360824</v>
      </c>
      <c r="I210" s="12">
        <f t="shared" si="246"/>
        <v>0.16351520606120751</v>
      </c>
      <c r="J210" s="12">
        <f t="shared" si="246"/>
        <v>9.2944919964650152E-2</v>
      </c>
      <c r="K210" s="12">
        <f t="shared" si="246"/>
        <v>0.13513547474077958</v>
      </c>
      <c r="L210" s="12">
        <f t="shared" si="247"/>
        <v>0.15989164251529719</v>
      </c>
      <c r="AA210" s="12">
        <f t="shared" si="248"/>
        <v>9.2944919964650152E-2</v>
      </c>
      <c r="AB210" s="12">
        <f t="shared" si="248"/>
        <v>0.19760554823195919</v>
      </c>
      <c r="AC210" s="12">
        <v>7.0000000000000007E-2</v>
      </c>
    </row>
    <row r="211" spans="2:29" x14ac:dyDescent="0.25">
      <c r="B211" s="4"/>
      <c r="G211" s="12"/>
      <c r="H211" s="12"/>
      <c r="I211" s="12"/>
      <c r="J211" s="12"/>
      <c r="K211" s="12"/>
      <c r="L211" s="12"/>
    </row>
    <row r="212" spans="2:29" x14ac:dyDescent="0.25">
      <c r="B212" s="1" t="s">
        <v>139</v>
      </c>
      <c r="D212" s="12"/>
      <c r="E212" s="12"/>
      <c r="F212" s="12">
        <f t="shared" ref="F212:K212" si="249">F200/E200-1</f>
        <v>0.11813672859912927</v>
      </c>
      <c r="G212" s="12">
        <f t="shared" si="249"/>
        <v>3.138890194901256E-2</v>
      </c>
      <c r="H212" s="12">
        <f t="shared" si="249"/>
        <v>4.1019994529732262E-2</v>
      </c>
      <c r="I212" s="12">
        <f t="shared" si="249"/>
        <v>7.8857839636750748E-2</v>
      </c>
      <c r="J212" s="12">
        <f t="shared" si="249"/>
        <v>1.8528694577051308E-2</v>
      </c>
      <c r="K212" s="12">
        <f t="shared" si="249"/>
        <v>7.490002958112818E-2</v>
      </c>
      <c r="L212" s="12">
        <f>L200/K200-1</f>
        <v>8.5183320951760289E-2</v>
      </c>
      <c r="M212" s="12">
        <v>7.0000000000000007E-2</v>
      </c>
      <c r="N212" s="12">
        <v>7.0000000000000007E-2</v>
      </c>
    </row>
    <row r="213" spans="2:29" x14ac:dyDescent="0.25">
      <c r="B213" s="1" t="s">
        <v>140</v>
      </c>
      <c r="D213" s="12"/>
      <c r="E213" s="12"/>
      <c r="F213" s="12">
        <f t="shared" ref="F213:L213" si="250">F201/E201-1</f>
        <v>1.5163664839467517E-2</v>
      </c>
      <c r="G213" s="12">
        <f t="shared" si="250"/>
        <v>-3.2524815561061571E-2</v>
      </c>
      <c r="H213" s="12">
        <f t="shared" si="250"/>
        <v>-9.3828735448892031E-3</v>
      </c>
      <c r="I213" s="12">
        <f t="shared" si="250"/>
        <v>-1.2411142018235233E-2</v>
      </c>
      <c r="J213" s="12">
        <f t="shared" si="250"/>
        <v>-4.8723239870514745E-2</v>
      </c>
      <c r="K213" s="12">
        <f t="shared" si="250"/>
        <v>2.2669092927859902E-2</v>
      </c>
      <c r="L213" s="12">
        <f t="shared" si="250"/>
        <v>9.8953830481667282E-3</v>
      </c>
      <c r="M213" s="12">
        <v>0</v>
      </c>
      <c r="N213" s="12">
        <v>0</v>
      </c>
    </row>
    <row r="214" spans="2:29" x14ac:dyDescent="0.25">
      <c r="B214" s="1" t="s">
        <v>141</v>
      </c>
      <c r="D214" s="12"/>
      <c r="E214" s="12"/>
      <c r="F214" s="12">
        <f t="shared" ref="F214:L214" si="251">F202/E202-1</f>
        <v>6.404359887904687E-2</v>
      </c>
      <c r="G214" s="12">
        <f t="shared" si="251"/>
        <v>3.0802500833787771E-2</v>
      </c>
      <c r="H214" s="12">
        <f t="shared" si="251"/>
        <v>2.9576484666089753E-2</v>
      </c>
      <c r="I214" s="12">
        <f t="shared" si="251"/>
        <v>2.9253097027302832E-2</v>
      </c>
      <c r="J214" s="12">
        <f t="shared" si="251"/>
        <v>3.5354440992735325E-2</v>
      </c>
      <c r="K214" s="12">
        <f t="shared" si="251"/>
        <v>4.3085370306224613E-2</v>
      </c>
      <c r="L214" s="12">
        <f t="shared" si="251"/>
        <v>1.3269699805015689E-2</v>
      </c>
      <c r="M214" s="12">
        <v>0.02</v>
      </c>
      <c r="N214" s="12">
        <v>0.02</v>
      </c>
    </row>
    <row r="215" spans="2:29" x14ac:dyDescent="0.25">
      <c r="B215" s="4" t="s">
        <v>142</v>
      </c>
      <c r="D215" s="12">
        <f t="shared" ref="D215:N215" si="252">D203/C203-1</f>
        <v>-8.5178875638841633E-3</v>
      </c>
      <c r="E215" s="12">
        <f t="shared" si="252"/>
        <v>4.1890034364260309E-3</v>
      </c>
      <c r="F215" s="12">
        <f t="shared" si="252"/>
        <v>7.3580944428664807E-2</v>
      </c>
      <c r="G215" s="12">
        <f t="shared" si="252"/>
        <v>1.4705753444743452E-2</v>
      </c>
      <c r="H215" s="12">
        <f t="shared" si="252"/>
        <v>2.5108828220651747E-2</v>
      </c>
      <c r="I215" s="12">
        <f t="shared" si="252"/>
        <v>4.1902721884243599E-2</v>
      </c>
      <c r="J215" s="12">
        <f t="shared" si="252"/>
        <v>8.4654100536394328E-3</v>
      </c>
      <c r="K215" s="12">
        <f t="shared" si="252"/>
        <v>5.3876070164591283E-2</v>
      </c>
      <c r="L215" s="12">
        <f t="shared" si="252"/>
        <v>4.7465425035111197E-2</v>
      </c>
      <c r="M215" s="12">
        <f t="shared" si="252"/>
        <v>4.1152371472711335E-2</v>
      </c>
      <c r="N215" s="12">
        <f t="shared" si="252"/>
        <v>4.2006112911965987E-2</v>
      </c>
    </row>
    <row r="219" spans="2:29" x14ac:dyDescent="0.25">
      <c r="B219" s="4" t="s">
        <v>13</v>
      </c>
    </row>
    <row r="220" spans="2:29" s="2" customFormat="1" x14ac:dyDescent="0.25">
      <c r="B220" s="2" t="s">
        <v>71</v>
      </c>
      <c r="C220" s="2">
        <v>77629</v>
      </c>
      <c r="D220" s="2">
        <v>84761</v>
      </c>
      <c r="E220" s="2">
        <v>88553</v>
      </c>
      <c r="F220" s="2">
        <v>91727</v>
      </c>
      <c r="G220" s="2">
        <v>101305</v>
      </c>
      <c r="H220" s="2">
        <v>104331</v>
      </c>
      <c r="I220" s="2">
        <v>113625</v>
      </c>
      <c r="J220" s="2">
        <v>115000</v>
      </c>
      <c r="K220" s="2">
        <v>118654</v>
      </c>
      <c r="L220" s="2">
        <v>130985</v>
      </c>
      <c r="Z220" s="2">
        <v>342670</v>
      </c>
      <c r="AA220" s="2">
        <v>434261</v>
      </c>
    </row>
    <row r="221" spans="2:29" s="2" customFormat="1" x14ac:dyDescent="0.25">
      <c r="B221" s="2" t="s">
        <v>72</v>
      </c>
      <c r="C221" s="2">
        <v>73016</v>
      </c>
      <c r="D221" s="2">
        <v>75561</v>
      </c>
      <c r="E221" s="2">
        <v>77119</v>
      </c>
      <c r="F221" s="2">
        <v>80568</v>
      </c>
      <c r="G221" s="2">
        <v>74774</v>
      </c>
      <c r="H221" s="2">
        <v>73861</v>
      </c>
      <c r="I221" s="2">
        <v>74317</v>
      </c>
      <c r="J221" s="2">
        <v>74907</v>
      </c>
      <c r="K221" s="2">
        <v>70709</v>
      </c>
      <c r="L221" s="2">
        <v>73519</v>
      </c>
      <c r="Z221" s="2">
        <v>306264</v>
      </c>
      <c r="AA221" s="2">
        <v>297859</v>
      </c>
    </row>
    <row r="222" spans="2:29" s="7" customFormat="1" x14ac:dyDescent="0.25">
      <c r="B222" s="6" t="s">
        <v>7</v>
      </c>
      <c r="C222" s="7">
        <f t="shared" ref="C222:K222" si="253">SUM(C220:C221)</f>
        <v>150645</v>
      </c>
      <c r="D222" s="7">
        <f t="shared" si="253"/>
        <v>160322</v>
      </c>
      <c r="E222" s="7">
        <f t="shared" si="253"/>
        <v>165672</v>
      </c>
      <c r="F222" s="7">
        <f t="shared" si="253"/>
        <v>172295</v>
      </c>
      <c r="G222" s="7">
        <f t="shared" si="253"/>
        <v>176079</v>
      </c>
      <c r="H222" s="7">
        <f t="shared" si="253"/>
        <v>178192</v>
      </c>
      <c r="I222" s="7">
        <f t="shared" si="253"/>
        <v>187942</v>
      </c>
      <c r="J222" s="7">
        <f t="shared" si="253"/>
        <v>189907</v>
      </c>
      <c r="K222" s="7">
        <f t="shared" si="253"/>
        <v>189363</v>
      </c>
      <c r="L222" s="7">
        <f>SUM(L220:L221)</f>
        <v>204504</v>
      </c>
      <c r="Z222" s="7">
        <f t="shared" ref="Z222:AA222" si="254">SUM(Z220:Z221)</f>
        <v>648934</v>
      </c>
      <c r="AA222" s="7">
        <f t="shared" si="254"/>
        <v>732120</v>
      </c>
    </row>
    <row r="223" spans="2:29" s="2" customFormat="1" x14ac:dyDescent="0.25">
      <c r="B223" s="2" t="s">
        <v>8</v>
      </c>
      <c r="C223" s="2">
        <f t="shared" ref="C223:L223" si="255">C6-C11</f>
        <v>83808</v>
      </c>
      <c r="D223" s="2">
        <f t="shared" si="255"/>
        <v>40574</v>
      </c>
      <c r="E223" s="2">
        <f t="shared" si="255"/>
        <v>73713</v>
      </c>
      <c r="F223" s="2">
        <f t="shared" si="255"/>
        <v>206924</v>
      </c>
      <c r="G223" s="2">
        <f t="shared" si="255"/>
        <v>62695</v>
      </c>
      <c r="H223" s="2">
        <f t="shared" si="255"/>
        <v>84170</v>
      </c>
      <c r="I223" s="2">
        <f t="shared" si="255"/>
        <v>45036</v>
      </c>
      <c r="J223" s="2">
        <f t="shared" si="255"/>
        <v>204313</v>
      </c>
      <c r="K223" s="2">
        <f t="shared" si="255"/>
        <v>186169</v>
      </c>
      <c r="L223" s="2">
        <f t="shared" si="255"/>
        <v>79603</v>
      </c>
      <c r="Z223" s="2">
        <f t="shared" ref="Z223:AA225" si="256">Z6-Z11</f>
        <v>405019</v>
      </c>
      <c r="AA223" s="2">
        <f t="shared" si="256"/>
        <v>396214</v>
      </c>
    </row>
    <row r="224" spans="2:29" s="2" customFormat="1" x14ac:dyDescent="0.25">
      <c r="B224" s="2" t="s">
        <v>9</v>
      </c>
      <c r="C224" s="2">
        <f t="shared" ref="C224:L224" si="257">C7-C12</f>
        <v>-7315</v>
      </c>
      <c r="D224" s="2">
        <f t="shared" si="257"/>
        <v>-323</v>
      </c>
      <c r="E224" s="2">
        <f t="shared" si="257"/>
        <v>-1228</v>
      </c>
      <c r="F224" s="2">
        <f t="shared" si="257"/>
        <v>-988</v>
      </c>
      <c r="G224" s="2">
        <f t="shared" si="257"/>
        <v>-4135</v>
      </c>
      <c r="H224" s="2">
        <f t="shared" si="257"/>
        <v>-8191</v>
      </c>
      <c r="I224" s="2">
        <f t="shared" si="257"/>
        <v>-5087</v>
      </c>
      <c r="J224" s="2">
        <f t="shared" si="257"/>
        <v>-8156</v>
      </c>
      <c r="K224" s="2">
        <f t="shared" si="257"/>
        <v>-3513</v>
      </c>
      <c r="L224" s="2">
        <f t="shared" si="257"/>
        <v>-9876</v>
      </c>
      <c r="Z224" s="2">
        <f t="shared" si="256"/>
        <v>-9854</v>
      </c>
      <c r="AA224" s="2">
        <f t="shared" si="256"/>
        <v>-25569</v>
      </c>
    </row>
    <row r="225" spans="1:28" s="2" customFormat="1" x14ac:dyDescent="0.25">
      <c r="B225" s="2" t="s">
        <v>10</v>
      </c>
      <c r="C225" s="2">
        <f t="shared" ref="C225:L225" si="258">C8-C13</f>
        <v>400</v>
      </c>
      <c r="D225" s="2">
        <f t="shared" si="258"/>
        <v>1555</v>
      </c>
      <c r="E225" s="2">
        <f t="shared" si="258"/>
        <v>2723</v>
      </c>
      <c r="F225" s="2">
        <f t="shared" si="258"/>
        <v>5356</v>
      </c>
      <c r="G225" s="2">
        <f t="shared" si="258"/>
        <v>850</v>
      </c>
      <c r="H225" s="2">
        <f t="shared" si="258"/>
        <v>36</v>
      </c>
      <c r="I225" s="2">
        <f t="shared" si="258"/>
        <v>453</v>
      </c>
      <c r="J225" s="2">
        <f t="shared" si="258"/>
        <v>2411</v>
      </c>
      <c r="K225" s="2">
        <f t="shared" si="258"/>
        <v>1164</v>
      </c>
      <c r="L225" s="2">
        <f t="shared" si="258"/>
        <v>707</v>
      </c>
      <c r="Z225" s="2">
        <f t="shared" si="256"/>
        <v>10034</v>
      </c>
      <c r="AA225" s="2">
        <f t="shared" si="256"/>
        <v>3750</v>
      </c>
    </row>
    <row r="226" spans="1:28" s="4" customFormat="1" x14ac:dyDescent="0.25">
      <c r="B226" s="4" t="s">
        <v>127</v>
      </c>
      <c r="C226" s="7">
        <f t="shared" ref="C226:K226" si="259">C222+C223+C224+C225</f>
        <v>227538</v>
      </c>
      <c r="D226" s="7">
        <f t="shared" si="259"/>
        <v>202128</v>
      </c>
      <c r="E226" s="7">
        <f t="shared" si="259"/>
        <v>240880</v>
      </c>
      <c r="F226" s="7">
        <f t="shared" si="259"/>
        <v>383587</v>
      </c>
      <c r="G226" s="7">
        <f t="shared" si="259"/>
        <v>235489</v>
      </c>
      <c r="H226" s="7">
        <f t="shared" si="259"/>
        <v>254207</v>
      </c>
      <c r="I226" s="7">
        <f t="shared" si="259"/>
        <v>228344</v>
      </c>
      <c r="J226" s="7">
        <f t="shared" si="259"/>
        <v>388475</v>
      </c>
      <c r="K226" s="7">
        <f t="shared" si="259"/>
        <v>373183</v>
      </c>
      <c r="L226" s="7">
        <f>L222+L223+L224+L225</f>
        <v>274938</v>
      </c>
      <c r="Y226" s="7"/>
      <c r="Z226" s="7">
        <f t="shared" ref="Z226:AA226" si="260">Z222+Z223+Z224+Z225</f>
        <v>1054133</v>
      </c>
      <c r="AA226" s="7">
        <f t="shared" si="260"/>
        <v>1106515</v>
      </c>
      <c r="AB226" s="7"/>
    </row>
    <row r="228" spans="1:28" x14ac:dyDescent="0.25">
      <c r="B228" s="4" t="s">
        <v>137</v>
      </c>
    </row>
    <row r="229" spans="1:28" s="12" customFormat="1" x14ac:dyDescent="0.25">
      <c r="A229" s="1"/>
      <c r="B229" s="2" t="s">
        <v>71</v>
      </c>
      <c r="C229" s="12">
        <f t="shared" ref="C229:L229" si="261">C220/C3</f>
        <v>0.71959324799080449</v>
      </c>
      <c r="D229" s="12">
        <f t="shared" si="261"/>
        <v>0.73664861858286335</v>
      </c>
      <c r="E229" s="12">
        <f t="shared" si="261"/>
        <v>0.75019484920365975</v>
      </c>
      <c r="F229" s="12">
        <f t="shared" si="261"/>
        <v>0.76219400727901221</v>
      </c>
      <c r="G229" s="12">
        <f t="shared" si="261"/>
        <v>0.77389955844830483</v>
      </c>
      <c r="H229" s="12">
        <f t="shared" si="261"/>
        <v>0.77809018092865778</v>
      </c>
      <c r="I229" s="12">
        <f t="shared" si="261"/>
        <v>0.78847114664001994</v>
      </c>
      <c r="J229" s="12">
        <f t="shared" si="261"/>
        <v>0.76852136489394407</v>
      </c>
      <c r="K229" s="12">
        <f t="shared" si="261"/>
        <v>0.78514852140309555</v>
      </c>
      <c r="L229" s="12">
        <f t="shared" si="261"/>
        <v>0.7855502180001559</v>
      </c>
      <c r="Z229" s="12">
        <f t="shared" ref="Z229:AA235" si="262">Z220/Z3</f>
        <v>0.74279037907952694</v>
      </c>
      <c r="AA229" s="12">
        <f t="shared" si="262"/>
        <v>0.77722315090901928</v>
      </c>
    </row>
    <row r="230" spans="1:28" s="12" customFormat="1" x14ac:dyDescent="0.25">
      <c r="A230" s="1"/>
      <c r="B230" s="2" t="s">
        <v>72</v>
      </c>
      <c r="C230" s="12">
        <f t="shared" ref="C230:L230" si="263">C221/C4</f>
        <v>0.91694085143790027</v>
      </c>
      <c r="D230" s="12">
        <f t="shared" si="263"/>
        <v>0.92100387606347967</v>
      </c>
      <c r="E230" s="12">
        <f t="shared" si="263"/>
        <v>0.92316071727836435</v>
      </c>
      <c r="F230" s="12">
        <f t="shared" si="263"/>
        <v>0.92985250328924585</v>
      </c>
      <c r="G230" s="12">
        <f t="shared" si="263"/>
        <v>0.92312440587153244</v>
      </c>
      <c r="H230" s="12">
        <f t="shared" si="263"/>
        <v>0.91930946928208701</v>
      </c>
      <c r="I230" s="12">
        <f t="shared" si="263"/>
        <v>0.92088176253376619</v>
      </c>
      <c r="J230" s="12">
        <f t="shared" si="263"/>
        <v>0.92185288652054598</v>
      </c>
      <c r="K230" s="12">
        <f t="shared" si="263"/>
        <v>0.92589828200293312</v>
      </c>
      <c r="L230" s="12">
        <f t="shared" si="263"/>
        <v>0.92743878593684959</v>
      </c>
      <c r="Z230" s="12">
        <f t="shared" si="262"/>
        <v>0.92288221397232539</v>
      </c>
      <c r="AA230" s="12">
        <f t="shared" si="262"/>
        <v>0.92129698364387702</v>
      </c>
    </row>
    <row r="231" spans="1:28" s="12" customFormat="1" x14ac:dyDescent="0.25">
      <c r="A231" s="1"/>
      <c r="B231" s="9" t="s">
        <v>7</v>
      </c>
      <c r="C231" s="12">
        <f t="shared" ref="C231:L231" si="264">C222/C5</f>
        <v>0.80340143673103692</v>
      </c>
      <c r="D231" s="12">
        <f t="shared" si="264"/>
        <v>0.81338372948428506</v>
      </c>
      <c r="E231" s="12">
        <f t="shared" si="264"/>
        <v>0.82187540306977946</v>
      </c>
      <c r="F231" s="12">
        <f t="shared" si="264"/>
        <v>0.83237516425755587</v>
      </c>
      <c r="G231" s="12">
        <f t="shared" si="264"/>
        <v>0.83094151569350128</v>
      </c>
      <c r="H231" s="12">
        <f t="shared" si="264"/>
        <v>0.83100312456279435</v>
      </c>
      <c r="I231" s="12">
        <f t="shared" si="264"/>
        <v>0.83600373648859039</v>
      </c>
      <c r="J231" s="12">
        <f t="shared" si="264"/>
        <v>0.82248208059940664</v>
      </c>
      <c r="K231" s="12">
        <f t="shared" si="264"/>
        <v>0.83239776518631503</v>
      </c>
      <c r="L231" s="12">
        <f t="shared" si="264"/>
        <v>0.83126976513531747</v>
      </c>
      <c r="Z231" s="12">
        <f t="shared" si="262"/>
        <v>0.81813803606729329</v>
      </c>
      <c r="AA231" s="12">
        <f t="shared" si="262"/>
        <v>0.83003226618354309</v>
      </c>
    </row>
    <row r="232" spans="1:28" s="12" customFormat="1" x14ac:dyDescent="0.25">
      <c r="A232" s="1"/>
      <c r="B232" s="2" t="s">
        <v>8</v>
      </c>
      <c r="C232" s="12">
        <f t="shared" ref="C232:L232" si="265">C223/C6</f>
        <v>0.99149384220426606</v>
      </c>
      <c r="D232" s="12">
        <f t="shared" si="265"/>
        <v>0.98487753962667179</v>
      </c>
      <c r="E232" s="12">
        <f t="shared" si="265"/>
        <v>0.99153910306421678</v>
      </c>
      <c r="F232" s="12">
        <f t="shared" si="265"/>
        <v>0.99694062892960555</v>
      </c>
      <c r="G232" s="12">
        <f t="shared" si="265"/>
        <v>0.98984811645457704</v>
      </c>
      <c r="H232" s="12">
        <f t="shared" si="265"/>
        <v>0.99436483277611731</v>
      </c>
      <c r="I232" s="12">
        <f t="shared" si="265"/>
        <v>0.99154557463672388</v>
      </c>
      <c r="J232" s="12">
        <f t="shared" si="265"/>
        <v>0.99812405653233804</v>
      </c>
      <c r="K232" s="12">
        <f t="shared" si="265"/>
        <v>0.99793090509501214</v>
      </c>
      <c r="L232" s="12">
        <f t="shared" si="265"/>
        <v>0.99549791778697649</v>
      </c>
      <c r="Z232" s="12">
        <f t="shared" si="262"/>
        <v>0.99360686905857099</v>
      </c>
      <c r="AA232" s="12">
        <f t="shared" si="262"/>
        <v>0.99525749682242237</v>
      </c>
    </row>
    <row r="233" spans="1:28" s="12" customFormat="1" x14ac:dyDescent="0.25">
      <c r="A233" s="1"/>
      <c r="B233" s="2" t="s">
        <v>9</v>
      </c>
      <c r="C233" s="12">
        <f t="shared" ref="C233:L233" si="266">C224/C7</f>
        <v>-0.1379329851224709</v>
      </c>
      <c r="D233" s="12">
        <f t="shared" si="266"/>
        <v>-5.5320533680442568E-3</v>
      </c>
      <c r="E233" s="12">
        <f t="shared" si="266"/>
        <v>-2.1937973417178791E-2</v>
      </c>
      <c r="F233" s="12">
        <f t="shared" si="266"/>
        <v>-1.8191861535628798E-2</v>
      </c>
      <c r="G233" s="12">
        <f t="shared" si="266"/>
        <v>-7.6507484226691583E-2</v>
      </c>
      <c r="H233" s="12">
        <f t="shared" si="266"/>
        <v>-0.15739815526518064</v>
      </c>
      <c r="I233" s="12">
        <f t="shared" si="266"/>
        <v>-9.3572952689279676E-2</v>
      </c>
      <c r="J233" s="12">
        <f t="shared" si="266"/>
        <v>-0.15440536140244596</v>
      </c>
      <c r="K233" s="12">
        <f t="shared" si="266"/>
        <v>-5.814203670909121E-2</v>
      </c>
      <c r="L233" s="12">
        <f t="shared" si="266"/>
        <v>-0.17079413392363033</v>
      </c>
      <c r="Z233" s="12">
        <f t="shared" si="262"/>
        <v>-4.444624863558045E-2</v>
      </c>
      <c r="AA233" s="12">
        <f t="shared" si="262"/>
        <v>-0.1198885934928472</v>
      </c>
    </row>
    <row r="234" spans="1:28" s="12" customFormat="1" x14ac:dyDescent="0.25">
      <c r="A234" s="1"/>
      <c r="B234" s="2" t="s">
        <v>10</v>
      </c>
      <c r="C234" s="12">
        <f t="shared" ref="C234:L234" si="267">C225/C8</f>
        <v>0.99255583126550873</v>
      </c>
      <c r="D234" s="12">
        <f t="shared" si="267"/>
        <v>0.98480050664977836</v>
      </c>
      <c r="E234" s="12">
        <f t="shared" si="267"/>
        <v>0.99126319621405168</v>
      </c>
      <c r="F234" s="12">
        <f t="shared" si="267"/>
        <v>0.99702159344750563</v>
      </c>
      <c r="G234" s="12">
        <f t="shared" si="267"/>
        <v>0.98952270081490101</v>
      </c>
      <c r="H234" s="12">
        <f t="shared" si="267"/>
        <v>1</v>
      </c>
      <c r="I234" s="12">
        <f t="shared" si="267"/>
        <v>0.99342105263157898</v>
      </c>
      <c r="J234" s="12">
        <f t="shared" si="267"/>
        <v>0.99793046357615889</v>
      </c>
      <c r="K234" s="12">
        <f t="shared" si="267"/>
        <v>0.99828473413379071</v>
      </c>
      <c r="L234" s="12">
        <f t="shared" si="267"/>
        <v>0.99437412095639943</v>
      </c>
      <c r="Z234" s="12">
        <f t="shared" si="262"/>
        <v>0.99336699336699341</v>
      </c>
      <c r="AA234" s="12">
        <f t="shared" si="262"/>
        <v>0.99548712503318293</v>
      </c>
    </row>
    <row r="235" spans="1:28" s="12" customFormat="1" x14ac:dyDescent="0.25">
      <c r="A235" s="1"/>
      <c r="B235" s="1" t="s">
        <v>138</v>
      </c>
      <c r="C235" s="12">
        <f t="shared" ref="C235:L235" si="268">C226/C9</f>
        <v>0.69910161242748992</v>
      </c>
      <c r="D235" s="12">
        <f t="shared" si="268"/>
        <v>0.67767242882240131</v>
      </c>
      <c r="E235" s="12">
        <f t="shared" si="268"/>
        <v>0.71981185920518287</v>
      </c>
      <c r="F235" s="12">
        <f t="shared" si="268"/>
        <v>0.80885767122912156</v>
      </c>
      <c r="G235" s="12">
        <f t="shared" si="268"/>
        <v>0.71328529412655572</v>
      </c>
      <c r="H235" s="12">
        <f t="shared" si="268"/>
        <v>0.72392091196714825</v>
      </c>
      <c r="I235" s="12">
        <f t="shared" si="268"/>
        <v>0.70248884786955856</v>
      </c>
      <c r="J235" s="12">
        <f t="shared" si="268"/>
        <v>0.79146547684534363</v>
      </c>
      <c r="K235" s="12">
        <f t="shared" si="268"/>
        <v>0.78460283453839408</v>
      </c>
      <c r="L235" s="12">
        <f t="shared" si="268"/>
        <v>0.71503100033288947</v>
      </c>
      <c r="Z235" s="12">
        <f t="shared" si="262"/>
        <v>0.73580987508166873</v>
      </c>
      <c r="AA235" s="12">
        <f t="shared" si="262"/>
        <v>0.73906611095526253</v>
      </c>
    </row>
    <row r="239" spans="1:28" x14ac:dyDescent="0.25">
      <c r="B239" s="1" t="s">
        <v>143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28" s="2" customFormat="1" x14ac:dyDescent="0.25">
      <c r="B240" s="2" t="s">
        <v>144</v>
      </c>
      <c r="J240" s="2">
        <v>1995</v>
      </c>
    </row>
    <row r="241" spans="2:12" s="2" customFormat="1" x14ac:dyDescent="0.25">
      <c r="B241" s="2" t="s">
        <v>145</v>
      </c>
      <c r="J241" s="2">
        <v>1223</v>
      </c>
    </row>
    <row r="242" spans="2:12" s="2" customFormat="1" x14ac:dyDescent="0.25">
      <c r="B242" s="2" t="s">
        <v>146</v>
      </c>
      <c r="J242" s="2">
        <v>1904</v>
      </c>
    </row>
    <row r="243" spans="2:12" s="2" customFormat="1" x14ac:dyDescent="0.25">
      <c r="B243" s="2" t="s">
        <v>109</v>
      </c>
      <c r="J243" s="2">
        <v>321</v>
      </c>
    </row>
    <row r="244" spans="2:12" s="7" customFormat="1" x14ac:dyDescent="0.25">
      <c r="B244" s="6" t="s">
        <v>127</v>
      </c>
      <c r="C244" s="7">
        <f t="shared" ref="C244:I244" si="269">SUM(C240:C243)</f>
        <v>0</v>
      </c>
      <c r="D244" s="7">
        <f t="shared" si="269"/>
        <v>0</v>
      </c>
      <c r="E244" s="7">
        <f t="shared" si="269"/>
        <v>0</v>
      </c>
      <c r="F244" s="7">
        <f t="shared" si="269"/>
        <v>0</v>
      </c>
      <c r="G244" s="7">
        <f t="shared" si="269"/>
        <v>0</v>
      </c>
      <c r="H244" s="7">
        <f t="shared" si="269"/>
        <v>0</v>
      </c>
      <c r="I244" s="7">
        <f t="shared" si="269"/>
        <v>0</v>
      </c>
      <c r="J244" s="7">
        <f>SUM(J240:J243)</f>
        <v>5443</v>
      </c>
      <c r="K244" s="7">
        <f t="shared" ref="K244:L244" si="270">SUM(K240:K243)</f>
        <v>0</v>
      </c>
      <c r="L244" s="7">
        <f t="shared" si="270"/>
        <v>0</v>
      </c>
    </row>
    <row r="246" spans="2:12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2:12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2:12" s="4" customFormat="1" x14ac:dyDescent="0.25"/>
  </sheetData>
  <phoneticPr fontId="5" type="noConversion"/>
  <hyperlinks>
    <hyperlink ref="A1" location="Main!A1" display="Main" xr:uid="{BDE2517F-E27D-409E-8397-6936D0030943}"/>
  </hyperlinks>
  <pageMargins left="0.7" right="0.7" top="0.75" bottom="0.75" header="0.3" footer="0.3"/>
  <ignoredErrors>
    <ignoredError sqref="Y5:AB5 J114:J118" formulaRange="1"/>
    <ignoredError sqref="AA203:AA205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2025-08-13T15:35:44Z</dcterms:modified>
</cp:coreProperties>
</file>