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6C698110-4995-477E-81ED-E20CB098DE56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Main!$C$2:$Y$165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H140" i="1"/>
  <c r="E140" i="1"/>
  <c r="F50" i="1"/>
  <c r="H16" i="1" l="1"/>
  <c r="H50" i="1"/>
  <c r="E50" i="1" l="1"/>
  <c r="G50" i="1" s="1"/>
  <c r="I50" i="1" s="1"/>
  <c r="E64" i="1"/>
  <c r="H64" i="1"/>
  <c r="H128" i="1" l="1"/>
  <c r="H17" i="1" l="1"/>
  <c r="H67" i="1" l="1"/>
  <c r="H9" i="1" l="1"/>
  <c r="G156" i="1" l="1"/>
  <c r="G136" i="1"/>
  <c r="G162" i="1"/>
  <c r="G26" i="1"/>
  <c r="G126" i="1"/>
  <c r="M126" i="1" s="1"/>
  <c r="G36" i="1"/>
  <c r="G151" i="1"/>
  <c r="G34" i="1"/>
  <c r="G41" i="1"/>
  <c r="G106" i="1"/>
  <c r="G93" i="1"/>
  <c r="G21" i="1"/>
  <c r="G83" i="1"/>
  <c r="M83" i="1" s="1"/>
  <c r="G150" i="1"/>
  <c r="G107" i="1"/>
  <c r="G28" i="1"/>
  <c r="G91" i="1"/>
  <c r="G159" i="1"/>
  <c r="G96" i="1"/>
  <c r="G45" i="1"/>
  <c r="M45" i="1" s="1"/>
  <c r="G116" i="1"/>
  <c r="G6" i="1"/>
  <c r="M6" i="1" s="1"/>
  <c r="G22" i="1"/>
  <c r="G59" i="1"/>
  <c r="M59" i="1" s="1"/>
  <c r="G46" i="1"/>
  <c r="M46" i="1" s="1"/>
  <c r="G154" i="1"/>
  <c r="M154" i="1" s="1"/>
  <c r="G165" i="1"/>
  <c r="M165" i="1" s="1"/>
  <c r="G92" i="1"/>
  <c r="M92" i="1" s="1"/>
  <c r="G30" i="1"/>
  <c r="G42" i="1"/>
  <c r="G72" i="1"/>
  <c r="M72" i="1" s="1"/>
  <c r="G125" i="1"/>
  <c r="G163" i="1"/>
  <c r="G97" i="1"/>
  <c r="M97" i="1" s="1"/>
  <c r="G20" i="1"/>
  <c r="M20" i="1" s="1"/>
  <c r="G147" i="1"/>
  <c r="M147" i="1" s="1"/>
  <c r="G155" i="1"/>
  <c r="G143" i="1"/>
  <c r="G134" i="1"/>
  <c r="G87" i="1"/>
  <c r="M87" i="1" s="1"/>
  <c r="G122" i="1"/>
  <c r="M122" i="1" s="1"/>
  <c r="G66" i="1"/>
  <c r="M71" i="1" s="1"/>
  <c r="G57" i="1"/>
  <c r="G52" i="1"/>
  <c r="M52" i="1" s="1"/>
  <c r="G124" i="1"/>
  <c r="M124" i="1" s="1"/>
  <c r="G4" i="1"/>
  <c r="M4" i="1" s="1"/>
  <c r="G80" i="1"/>
  <c r="G108" i="1"/>
  <c r="G100" i="1"/>
  <c r="M100" i="1" s="1"/>
  <c r="G113" i="1"/>
  <c r="G56" i="1"/>
  <c r="M56" i="1" s="1"/>
  <c r="G132" i="1"/>
  <c r="G71" i="1"/>
  <c r="G18" i="1"/>
  <c r="G123" i="1"/>
  <c r="G55" i="1"/>
  <c r="G145" i="1"/>
  <c r="G104" i="1"/>
  <c r="M163" i="1" s="1"/>
  <c r="G63" i="1"/>
  <c r="M133" i="1" s="1"/>
  <c r="G74" i="1"/>
  <c r="G15" i="1"/>
  <c r="G148" i="1"/>
  <c r="G62" i="1"/>
  <c r="G146" i="1"/>
  <c r="G48" i="1"/>
  <c r="G133" i="1"/>
  <c r="G51" i="1"/>
  <c r="M51" i="1" s="1"/>
  <c r="G109" i="1"/>
  <c r="G115" i="1"/>
  <c r="M115" i="1" s="1"/>
  <c r="G78" i="1"/>
  <c r="G131" i="1"/>
  <c r="M18" i="1" s="1"/>
  <c r="G7" i="1"/>
  <c r="G102" i="1"/>
  <c r="G119" i="1"/>
  <c r="G160" i="1"/>
  <c r="M160" i="1" s="1"/>
  <c r="G164" i="1"/>
  <c r="G130" i="1"/>
  <c r="G53" i="1"/>
  <c r="G111" i="1"/>
  <c r="G142" i="1"/>
  <c r="G5" i="1"/>
  <c r="M145" i="1" s="1"/>
  <c r="G105" i="1"/>
  <c r="M3" i="1" s="1"/>
  <c r="G58" i="1"/>
  <c r="M58" i="1" s="1"/>
  <c r="G94" i="1"/>
  <c r="M94" i="1" s="1"/>
  <c r="G120" i="1"/>
  <c r="G65" i="1"/>
  <c r="M65" i="1" s="1"/>
  <c r="G60" i="1"/>
  <c r="G27" i="1"/>
  <c r="M27" i="1" s="1"/>
  <c r="G73" i="1"/>
  <c r="M73" i="1" s="1"/>
  <c r="G89" i="1"/>
  <c r="M130" i="1" s="1"/>
  <c r="G82" i="1"/>
  <c r="G49" i="1"/>
  <c r="M49" i="1" s="1"/>
  <c r="G101" i="1"/>
  <c r="G161" i="1"/>
  <c r="M161" i="1" s="1"/>
  <c r="G118" i="1"/>
  <c r="M123" i="1" s="1"/>
  <c r="G68" i="1"/>
  <c r="G153" i="1"/>
  <c r="G81" i="1"/>
  <c r="M81" i="1" s="1"/>
  <c r="G149" i="1"/>
  <c r="M149" i="1" s="1"/>
  <c r="G76" i="1"/>
  <c r="M76" i="1" s="1"/>
  <c r="G10" i="1"/>
  <c r="G128" i="1"/>
  <c r="G88" i="1"/>
  <c r="M88" i="1" s="1"/>
  <c r="G98" i="1"/>
  <c r="G31" i="1"/>
  <c r="G33" i="1"/>
  <c r="G138" i="1"/>
  <c r="G35" i="1"/>
  <c r="G141" i="1"/>
  <c r="G17" i="1"/>
  <c r="G24" i="1"/>
  <c r="G39" i="1"/>
  <c r="G121" i="1"/>
  <c r="G44" i="1"/>
  <c r="G85" i="1"/>
  <c r="G11" i="1"/>
  <c r="G43" i="1"/>
  <c r="G139" i="1"/>
  <c r="G69" i="1"/>
  <c r="M121" i="1" s="1"/>
  <c r="G75" i="1"/>
  <c r="G127" i="1"/>
  <c r="M141" i="1" s="1"/>
  <c r="G114" i="1"/>
  <c r="G152" i="1"/>
  <c r="M152" i="1" s="1"/>
  <c r="G19" i="1"/>
  <c r="G14" i="1"/>
  <c r="G37" i="1"/>
  <c r="M54" i="1" s="1"/>
  <c r="G95" i="1"/>
  <c r="G103" i="1"/>
  <c r="M103" i="1" s="1"/>
  <c r="G61" i="1"/>
  <c r="G32" i="1"/>
  <c r="G157" i="1"/>
  <c r="M157" i="1" s="1"/>
  <c r="G25" i="1"/>
  <c r="M25" i="1" s="1"/>
  <c r="G47" i="1"/>
  <c r="G135" i="1"/>
  <c r="M135" i="1" s="1"/>
  <c r="G40" i="1"/>
  <c r="G86" i="1"/>
  <c r="G158" i="1"/>
  <c r="M158" i="1" s="1"/>
  <c r="G144" i="1"/>
  <c r="G8" i="1"/>
  <c r="G112" i="1"/>
  <c r="M112" i="1" s="1"/>
  <c r="G99" i="1"/>
  <c r="M99" i="1" s="1"/>
  <c r="G117" i="1"/>
  <c r="G64" i="1"/>
  <c r="M64" i="1" s="1"/>
  <c r="G79" i="1"/>
  <c r="M79" i="1" s="1"/>
  <c r="G12" i="1"/>
  <c r="G140" i="1"/>
  <c r="G110" i="1"/>
  <c r="G54" i="1"/>
  <c r="G29" i="1"/>
  <c r="G129" i="1"/>
  <c r="G23" i="1"/>
  <c r="M23" i="1" s="1"/>
  <c r="G77" i="1"/>
  <c r="G3" i="1"/>
  <c r="G137" i="1"/>
  <c r="G90" i="1"/>
  <c r="M90" i="1" s="1"/>
  <c r="G13" i="1"/>
  <c r="G84" i="1"/>
  <c r="M84" i="1" s="1"/>
  <c r="G70" i="1"/>
  <c r="M70" i="1" s="1"/>
  <c r="G16" i="1"/>
  <c r="I16" i="1" s="1"/>
  <c r="M50" i="1"/>
  <c r="G67" i="1"/>
  <c r="G38" i="1"/>
  <c r="G9" i="1"/>
  <c r="M134" i="1" l="1"/>
  <c r="M16" i="1"/>
  <c r="M62" i="1"/>
  <c r="M107" i="1"/>
  <c r="M140" i="1"/>
  <c r="I140" i="1"/>
  <c r="M102" i="1"/>
  <c r="M156" i="1"/>
  <c r="M153" i="1"/>
  <c r="M114" i="1"/>
  <c r="M15" i="1"/>
  <c r="M127" i="1"/>
  <c r="M119" i="1"/>
  <c r="M143" i="1"/>
  <c r="M120" i="1"/>
  <c r="M155" i="1"/>
  <c r="M26" i="1"/>
  <c r="I64" i="1"/>
  <c r="M68" i="1"/>
  <c r="M108" i="1"/>
  <c r="M7" i="1"/>
  <c r="M74" i="1"/>
  <c r="M35" i="1"/>
  <c r="M21" i="1"/>
  <c r="M75" i="1"/>
  <c r="M17" i="1"/>
  <c r="M47" i="1"/>
  <c r="M36" i="1"/>
  <c r="M55" i="1"/>
  <c r="M19" i="1"/>
  <c r="M39" i="1"/>
  <c r="M67" i="1"/>
  <c r="M82" i="1"/>
  <c r="M110" i="1"/>
  <c r="M113" i="1"/>
  <c r="M12" i="1"/>
  <c r="M144" i="1"/>
  <c r="M129" i="1"/>
  <c r="M41" i="1"/>
  <c r="M24" i="1"/>
  <c r="M48" i="1"/>
  <c r="M38" i="1"/>
  <c r="M136" i="1"/>
  <c r="M10" i="1"/>
  <c r="M148" i="1"/>
  <c r="M162" i="1"/>
  <c r="M14" i="1"/>
  <c r="M106" i="1"/>
  <c r="M80" i="1"/>
  <c r="M69" i="1"/>
  <c r="M98" i="1"/>
  <c r="M101" i="1"/>
  <c r="M105" i="1"/>
  <c r="M117" i="1"/>
  <c r="M78" i="1"/>
  <c r="M125" i="1"/>
  <c r="M57" i="1"/>
  <c r="M104" i="1"/>
  <c r="M63" i="1"/>
  <c r="M9" i="1"/>
  <c r="M138" i="1"/>
  <c r="M34" i="1"/>
  <c r="M89" i="1"/>
  <c r="M146" i="1"/>
  <c r="M116" i="1"/>
  <c r="M53" i="1"/>
  <c r="M151" i="1"/>
  <c r="M66" i="1"/>
  <c r="M11" i="1"/>
  <c r="M131" i="1"/>
  <c r="M37" i="1"/>
  <c r="M40" i="1"/>
  <c r="M42" i="1"/>
  <c r="M32" i="1"/>
  <c r="M159" i="1"/>
  <c r="M33" i="1"/>
  <c r="M137" i="1"/>
  <c r="M142" i="1"/>
  <c r="M77" i="1"/>
  <c r="M8" i="1"/>
  <c r="M95" i="1"/>
  <c r="M61" i="1"/>
  <c r="M128" i="1"/>
  <c r="M85" i="1"/>
  <c r="M164" i="1"/>
  <c r="M91" i="1"/>
  <c r="M86" i="1"/>
  <c r="M30" i="1"/>
  <c r="M118" i="1"/>
  <c r="M22" i="1"/>
  <c r="M111" i="1"/>
  <c r="M96" i="1"/>
  <c r="M150" i="1"/>
  <c r="M109" i="1"/>
  <c r="M93" i="1"/>
  <c r="M139" i="1"/>
  <c r="M132" i="1"/>
  <c r="M43" i="1"/>
  <c r="M31" i="1"/>
  <c r="M29" i="1"/>
  <c r="M60" i="1"/>
  <c r="I9" i="1"/>
  <c r="M44" i="1"/>
  <c r="I128" i="1"/>
  <c r="M28" i="1"/>
  <c r="I67" i="1"/>
  <c r="M5" i="1"/>
  <c r="I17" i="1"/>
  <c r="M13" i="1"/>
</calcChain>
</file>

<file path=xl/sharedStrings.xml><?xml version="1.0" encoding="utf-8"?>
<sst xmlns="http://schemas.openxmlformats.org/spreadsheetml/2006/main" count="1750" uniqueCount="1603">
  <si>
    <t>Company</t>
  </si>
  <si>
    <t>Ticker</t>
  </si>
  <si>
    <t>Price</t>
  </si>
  <si>
    <t>Oracle</t>
  </si>
  <si>
    <t>Netflix</t>
  </si>
  <si>
    <t>Palantir</t>
  </si>
  <si>
    <t>Salesforce</t>
  </si>
  <si>
    <t>Intuit</t>
  </si>
  <si>
    <t>ServiceNow</t>
  </si>
  <si>
    <t>Shopify</t>
  </si>
  <si>
    <t>Adobe</t>
  </si>
  <si>
    <t>Spotify</t>
  </si>
  <si>
    <t>AppLovin</t>
  </si>
  <si>
    <t>Automatic Data Processing</t>
  </si>
  <si>
    <t>Palo Alto Networks</t>
  </si>
  <si>
    <t>Synopsys</t>
  </si>
  <si>
    <t>CrowdStrike</t>
  </si>
  <si>
    <t>MicroStrategy</t>
  </si>
  <si>
    <t>Fortinet</t>
  </si>
  <si>
    <t>Cloudflare</t>
  </si>
  <si>
    <t>Snowflake</t>
  </si>
  <si>
    <t>Autodesk</t>
  </si>
  <si>
    <t>Workday</t>
  </si>
  <si>
    <t>Atlassian</t>
  </si>
  <si>
    <t>Datadog</t>
  </si>
  <si>
    <t>Zscaler</t>
  </si>
  <si>
    <t>The Trade Desk</t>
  </si>
  <si>
    <t>Ansys</t>
  </si>
  <si>
    <t>KingSoft Cloud</t>
  </si>
  <si>
    <t>Toast</t>
  </si>
  <si>
    <t>HubSpot</t>
  </si>
  <si>
    <t>Godaddy</t>
  </si>
  <si>
    <t>Zoom</t>
  </si>
  <si>
    <t>CyberArk</t>
  </si>
  <si>
    <t>SS&amp;C Technologies</t>
  </si>
  <si>
    <t>Samsara</t>
  </si>
  <si>
    <t>Check Point Software Technologies</t>
  </si>
  <si>
    <t>Guidewire Software</t>
  </si>
  <si>
    <t>Twilio</t>
  </si>
  <si>
    <t>MongoDB</t>
  </si>
  <si>
    <t>F5 Networks</t>
  </si>
  <si>
    <t>Gen Digital</t>
  </si>
  <si>
    <t>Bentley Systems</t>
  </si>
  <si>
    <t>Rubrik</t>
  </si>
  <si>
    <t>Okta</t>
  </si>
  <si>
    <t>Duolingo</t>
  </si>
  <si>
    <t>Dynatrace</t>
  </si>
  <si>
    <t>DocuSign</t>
  </si>
  <si>
    <t>Monday</t>
  </si>
  <si>
    <t>Paycom</t>
  </si>
  <si>
    <t>Descartes Systems</t>
  </si>
  <si>
    <t>AppFolio</t>
  </si>
  <si>
    <t>Akamai</t>
  </si>
  <si>
    <t>Doximity</t>
  </si>
  <si>
    <t>Paylocity</t>
  </si>
  <si>
    <t>Nice</t>
  </si>
  <si>
    <t>Pegasystems</t>
  </si>
  <si>
    <t>Elastic NV</t>
  </si>
  <si>
    <t>Match Group</t>
  </si>
  <si>
    <t>Klaviyo</t>
  </si>
  <si>
    <t>Informatica</t>
  </si>
  <si>
    <t>OpenText</t>
  </si>
  <si>
    <t>Dropbox</t>
  </si>
  <si>
    <t>Wix</t>
  </si>
  <si>
    <t>GitLab</t>
  </si>
  <si>
    <t>CCC Intelligent Solutions Holdings</t>
  </si>
  <si>
    <t>Varonis</t>
  </si>
  <si>
    <t>SentinelOne</t>
  </si>
  <si>
    <t>UiPath</t>
  </si>
  <si>
    <t>Confluent</t>
  </si>
  <si>
    <t>Clearwater Analytics</t>
  </si>
  <si>
    <t>OneStream</t>
  </si>
  <si>
    <t>Vertex</t>
  </si>
  <si>
    <t>Jfrog</t>
  </si>
  <si>
    <t>Qualys</t>
  </si>
  <si>
    <t>Box</t>
  </si>
  <si>
    <t>BILL Holdings</t>
  </si>
  <si>
    <t>SoundHound AI</t>
  </si>
  <si>
    <t>SPS Commerce</t>
  </si>
  <si>
    <t>AvePoint</t>
  </si>
  <si>
    <t>Tenable</t>
  </si>
  <si>
    <t>Freshworks</t>
  </si>
  <si>
    <t>Zeta Global</t>
  </si>
  <si>
    <t>ZoomInfo</t>
  </si>
  <si>
    <t>Asana</t>
  </si>
  <si>
    <t>Agilysys</t>
  </si>
  <si>
    <t>Ncino</t>
  </si>
  <si>
    <t>C3 AI</t>
  </si>
  <si>
    <t>Genius Sports</t>
  </si>
  <si>
    <t>Braze</t>
  </si>
  <si>
    <t>Alight</t>
  </si>
  <si>
    <t>Rumble</t>
  </si>
  <si>
    <t>Marqeta</t>
  </si>
  <si>
    <t>DoubleVerify</t>
  </si>
  <si>
    <t>PAR Technology</t>
  </si>
  <si>
    <t>DigitalOcean</t>
  </si>
  <si>
    <t>Lightspeed POS</t>
  </si>
  <si>
    <t>Sprinklr</t>
  </si>
  <si>
    <t>Alkami Technology</t>
  </si>
  <si>
    <t>RingCentral</t>
  </si>
  <si>
    <t>LiveRamp</t>
  </si>
  <si>
    <t>Appian</t>
  </si>
  <si>
    <t>Coursera</t>
  </si>
  <si>
    <t>Five9</t>
  </si>
  <si>
    <t>EverCommerce</t>
  </si>
  <si>
    <t>CSG International</t>
  </si>
  <si>
    <t>Olo</t>
  </si>
  <si>
    <t>LegalZoom</t>
  </si>
  <si>
    <t>Certara</t>
  </si>
  <si>
    <t>Amplitude</t>
  </si>
  <si>
    <t>N-Able</t>
  </si>
  <si>
    <t>PagerDuty</t>
  </si>
  <si>
    <t>Donnelley Financial Solutions</t>
  </si>
  <si>
    <t>Karooooo</t>
  </si>
  <si>
    <t>Couchbase</t>
  </si>
  <si>
    <t>Rapid7</t>
  </si>
  <si>
    <t>Integral Ad Science</t>
  </si>
  <si>
    <t>Semrush</t>
  </si>
  <si>
    <t>Livongo</t>
  </si>
  <si>
    <t>Docebo</t>
  </si>
  <si>
    <t>Sabre</t>
  </si>
  <si>
    <t>Udemy</t>
  </si>
  <si>
    <t>VTEX</t>
  </si>
  <si>
    <t>E2open</t>
  </si>
  <si>
    <t>Jamf</t>
  </si>
  <si>
    <t>Sprout Social</t>
  </si>
  <si>
    <t>Yext</t>
  </si>
  <si>
    <t>Fastly</t>
  </si>
  <si>
    <t>Blend Labs</t>
  </si>
  <si>
    <t>Bumble</t>
  </si>
  <si>
    <t>Riskified</t>
  </si>
  <si>
    <t>Pros Holding</t>
  </si>
  <si>
    <t>Similarweb</t>
  </si>
  <si>
    <t>Cognyte Software</t>
  </si>
  <si>
    <t>Domo</t>
  </si>
  <si>
    <t>Vimeo</t>
  </si>
  <si>
    <t>Digital Turbine</t>
  </si>
  <si>
    <t>OneSpan</t>
  </si>
  <si>
    <t>PubMatic</t>
  </si>
  <si>
    <t>Thryv</t>
  </si>
  <si>
    <t>Weave Communications</t>
  </si>
  <si>
    <t>TechTarget</t>
  </si>
  <si>
    <t>Perion Network</t>
  </si>
  <si>
    <t>Mitek Systems</t>
  </si>
  <si>
    <t>Spok Holdings</t>
  </si>
  <si>
    <t>Big Commerce</t>
  </si>
  <si>
    <t>Rackspace Technology</t>
  </si>
  <si>
    <t>Backblaze</t>
  </si>
  <si>
    <t>Nerdy</t>
  </si>
  <si>
    <t>Kaltura</t>
  </si>
  <si>
    <t>8×8</t>
  </si>
  <si>
    <t>Health Catalyst</t>
  </si>
  <si>
    <t>CS Disco</t>
  </si>
  <si>
    <t>Teads Holding</t>
  </si>
  <si>
    <t>Asure Software</t>
  </si>
  <si>
    <t>Eventbrite</t>
  </si>
  <si>
    <t>Expensify</t>
  </si>
  <si>
    <t>eGain</t>
  </si>
  <si>
    <t>Intellicheck</t>
  </si>
  <si>
    <t>FiscalNote Holdings</t>
  </si>
  <si>
    <t>LivePerson</t>
  </si>
  <si>
    <t>Upland Software</t>
  </si>
  <si>
    <t>Aware</t>
  </si>
  <si>
    <t>Blackboxstocks</t>
  </si>
  <si>
    <t>AppTech Payments</t>
  </si>
  <si>
    <t>My Size</t>
  </si>
  <si>
    <t>ORCL</t>
  </si>
  <si>
    <t>NFLX</t>
  </si>
  <si>
    <t>PLTR</t>
  </si>
  <si>
    <t>CRM</t>
  </si>
  <si>
    <t>INTU</t>
  </si>
  <si>
    <t>NOW</t>
  </si>
  <si>
    <t>SHOP</t>
  </si>
  <si>
    <t>ADBE</t>
  </si>
  <si>
    <t>SPOT</t>
  </si>
  <si>
    <t>APP</t>
  </si>
  <si>
    <t>ADP</t>
  </si>
  <si>
    <t>PANW</t>
  </si>
  <si>
    <t>SNPS</t>
  </si>
  <si>
    <t>CRWD</t>
  </si>
  <si>
    <t>MSTR</t>
  </si>
  <si>
    <t>FTNT</t>
  </si>
  <si>
    <t>NET</t>
  </si>
  <si>
    <t>SNOW</t>
  </si>
  <si>
    <t>ADSK</t>
  </si>
  <si>
    <t>WDAY</t>
  </si>
  <si>
    <t>TEAM</t>
  </si>
  <si>
    <t>DDOG</t>
  </si>
  <si>
    <t>ZS</t>
  </si>
  <si>
    <t>TTD</t>
  </si>
  <si>
    <t>ANSS</t>
  </si>
  <si>
    <t>KC</t>
  </si>
  <si>
    <t>TOST</t>
  </si>
  <si>
    <t>HUBS</t>
  </si>
  <si>
    <t>GDDY</t>
  </si>
  <si>
    <t>ZM</t>
  </si>
  <si>
    <t>CYBR</t>
  </si>
  <si>
    <t>SSNC</t>
  </si>
  <si>
    <t>IOT</t>
  </si>
  <si>
    <t>CHKP</t>
  </si>
  <si>
    <t>GWRE</t>
  </si>
  <si>
    <t>TWLO</t>
  </si>
  <si>
    <t>MDB</t>
  </si>
  <si>
    <t>FFIV</t>
  </si>
  <si>
    <t>GEN</t>
  </si>
  <si>
    <t>BSY</t>
  </si>
  <si>
    <t>RBRK</t>
  </si>
  <si>
    <t>OKTA</t>
  </si>
  <si>
    <t>DUOL</t>
  </si>
  <si>
    <t>DT</t>
  </si>
  <si>
    <t>DOCU</t>
  </si>
  <si>
    <t>MNDY</t>
  </si>
  <si>
    <t>PAYC</t>
  </si>
  <si>
    <t>DSGX</t>
  </si>
  <si>
    <t>APPF</t>
  </si>
  <si>
    <t>AKAM</t>
  </si>
  <si>
    <t>DOCS</t>
  </si>
  <si>
    <t>PCTY</t>
  </si>
  <si>
    <t>NICE</t>
  </si>
  <si>
    <t>PEGA</t>
  </si>
  <si>
    <t>ESTC</t>
  </si>
  <si>
    <t>MTCH</t>
  </si>
  <si>
    <t>KVYO</t>
  </si>
  <si>
    <t>INFA</t>
  </si>
  <si>
    <t>OTEX</t>
  </si>
  <si>
    <t>DBX</t>
  </si>
  <si>
    <t>WIX</t>
  </si>
  <si>
    <t>GTLB</t>
  </si>
  <si>
    <t>CCCS</t>
  </si>
  <si>
    <t>VRNS</t>
  </si>
  <si>
    <t>S</t>
  </si>
  <si>
    <t>PATH</t>
  </si>
  <si>
    <t>CFLT</t>
  </si>
  <si>
    <t>CWAN</t>
  </si>
  <si>
    <t>OS</t>
  </si>
  <si>
    <t>VERX</t>
  </si>
  <si>
    <t>FROG</t>
  </si>
  <si>
    <t>QLYS</t>
  </si>
  <si>
    <t>BOX</t>
  </si>
  <si>
    <t>BILL</t>
  </si>
  <si>
    <t>SOUN</t>
  </si>
  <si>
    <t>SPSC</t>
  </si>
  <si>
    <t>AVPT</t>
  </si>
  <si>
    <t>TENB</t>
  </si>
  <si>
    <t>FRSH</t>
  </si>
  <si>
    <t>ZETA</t>
  </si>
  <si>
    <t>GTM</t>
  </si>
  <si>
    <t>ASAN</t>
  </si>
  <si>
    <t>AGYS</t>
  </si>
  <si>
    <t>NCNO</t>
  </si>
  <si>
    <t>AI</t>
  </si>
  <si>
    <t>GENI</t>
  </si>
  <si>
    <t>BRZE</t>
  </si>
  <si>
    <t>ALIT</t>
  </si>
  <si>
    <t>RUM</t>
  </si>
  <si>
    <t>MQ</t>
  </si>
  <si>
    <t>DV</t>
  </si>
  <si>
    <t>PAR</t>
  </si>
  <si>
    <t>DOCN</t>
  </si>
  <si>
    <t>LSPD</t>
  </si>
  <si>
    <t>CXM</t>
  </si>
  <si>
    <t>ALKT</t>
  </si>
  <si>
    <t>RNG</t>
  </si>
  <si>
    <t>RAMP</t>
  </si>
  <si>
    <t>APPN</t>
  </si>
  <si>
    <t>COUR</t>
  </si>
  <si>
    <t>FIVN</t>
  </si>
  <si>
    <t>EVCM</t>
  </si>
  <si>
    <t>CSGS</t>
  </si>
  <si>
    <t>OLO</t>
  </si>
  <si>
    <t>LZ</t>
  </si>
  <si>
    <t>CERT</t>
  </si>
  <si>
    <t>AMPL</t>
  </si>
  <si>
    <t>NABL</t>
  </si>
  <si>
    <t>PD</t>
  </si>
  <si>
    <t>DFIN</t>
  </si>
  <si>
    <t>KARO</t>
  </si>
  <si>
    <t>BASE</t>
  </si>
  <si>
    <t>RPD</t>
  </si>
  <si>
    <t>IAS</t>
  </si>
  <si>
    <t>SEMR</t>
  </si>
  <si>
    <t>TDOC</t>
  </si>
  <si>
    <t>DCBO</t>
  </si>
  <si>
    <t>SABR</t>
  </si>
  <si>
    <t>UDMY</t>
  </si>
  <si>
    <t>ETWO</t>
  </si>
  <si>
    <t>JAMF</t>
  </si>
  <si>
    <t>SPT</t>
  </si>
  <si>
    <t>YEXT</t>
  </si>
  <si>
    <t>FSLY</t>
  </si>
  <si>
    <t>BLND</t>
  </si>
  <si>
    <t>BMBL</t>
  </si>
  <si>
    <t>RSKD</t>
  </si>
  <si>
    <t>PRO</t>
  </si>
  <si>
    <t>SMWB</t>
  </si>
  <si>
    <t>CGNT</t>
  </si>
  <si>
    <t>DOMO</t>
  </si>
  <si>
    <t>VMEO</t>
  </si>
  <si>
    <t>APPS</t>
  </si>
  <si>
    <t>OSPN</t>
  </si>
  <si>
    <t>PUBM</t>
  </si>
  <si>
    <t>THRY</t>
  </si>
  <si>
    <t>WEAV</t>
  </si>
  <si>
    <t>TTGT</t>
  </si>
  <si>
    <t>PERI</t>
  </si>
  <si>
    <t>MITK</t>
  </si>
  <si>
    <t>SPOK</t>
  </si>
  <si>
    <t>CMRC</t>
  </si>
  <si>
    <t>RXT</t>
  </si>
  <si>
    <t>BLZE</t>
  </si>
  <si>
    <t>NRDY</t>
  </si>
  <si>
    <t>KLTR</t>
  </si>
  <si>
    <t>EGHT</t>
  </si>
  <si>
    <t>HCAT</t>
  </si>
  <si>
    <t>LAW</t>
  </si>
  <si>
    <t>TEAD</t>
  </si>
  <si>
    <t>ASUR</t>
  </si>
  <si>
    <t>EB</t>
  </si>
  <si>
    <t>EXFY</t>
  </si>
  <si>
    <t>EGAN</t>
  </si>
  <si>
    <t>IDN</t>
  </si>
  <si>
    <t>NOTE</t>
  </si>
  <si>
    <t>LPSN</t>
  </si>
  <si>
    <t>UPLD</t>
  </si>
  <si>
    <t>AWRE</t>
  </si>
  <si>
    <t>BLBX</t>
  </si>
  <si>
    <t>APCX</t>
  </si>
  <si>
    <t>MYSZ</t>
  </si>
  <si>
    <t>S/O</t>
  </si>
  <si>
    <t>MC</t>
  </si>
  <si>
    <t>Net Cash</t>
  </si>
  <si>
    <t>EV</t>
  </si>
  <si>
    <t>IPO Year</t>
  </si>
  <si>
    <t>Year Founded</t>
  </si>
  <si>
    <t>Founder(s)</t>
  </si>
  <si>
    <t>Headquarters</t>
  </si>
  <si>
    <t>Chi-Shin Wang, Y.W. Sing</t>
  </si>
  <si>
    <t>John Warnock, Charles Geschke</t>
  </si>
  <si>
    <t>San Jose, California, United States</t>
  </si>
  <si>
    <t>Arthur Rhein, William R. Loomis</t>
  </si>
  <si>
    <t>Alpharetta, Georgia, United States</t>
  </si>
  <si>
    <t>Tom Leighton, Daniel Lewin</t>
  </si>
  <si>
    <t>Cambridge, Massachusetts, United States</t>
  </si>
  <si>
    <t>Stephan Scholl</t>
  </si>
  <si>
    <t>Chicago, Illinois, United States</t>
  </si>
  <si>
    <t>Stephen Bohanon</t>
  </si>
  <si>
    <t>Plano, Texas, United States</t>
  </si>
  <si>
    <t>Spenser Skates, Curtis Liu, Jeffrey Wang</t>
  </si>
  <si>
    <t>San Francisco, California, United States</t>
  </si>
  <si>
    <t>John Swanson</t>
  </si>
  <si>
    <t>Canonsburg, Pennsylvania, United States</t>
  </si>
  <si>
    <t>Brian Donahoo, Klaus Schauser, Jonathan Walker</t>
  </si>
  <si>
    <t>Santa Barbara, California, United States</t>
  </si>
  <si>
    <t>Matt Calkins, Michael Beckley, and Bob Kramer</t>
  </si>
  <si>
    <t>McLean, Virginia, United States</t>
  </si>
  <si>
    <t>Adam Foroughi, Andrew Karam</t>
  </si>
  <si>
    <t>Palo Alto, California, United States</t>
  </si>
  <si>
    <t>Eric Ottens, Luke D'Angelo</t>
  </si>
  <si>
    <t>Las Vegas, Nevada, United States</t>
  </si>
  <si>
    <t>Dustin Moskovitz, Justin Rosenstein</t>
  </si>
  <si>
    <t>Pat Goepel</t>
  </si>
  <si>
    <t>Austin, Texas, United States</t>
  </si>
  <si>
    <t>Mike Cannon-Brookes, Scott Farquhar</t>
  </si>
  <si>
    <t>Sydney, Australia</t>
  </si>
  <si>
    <t>John Walker, Dan Drake</t>
  </si>
  <si>
    <t>San Rafael, California, United States</t>
  </si>
  <si>
    <t>Henry Taub, Joe Taub</t>
  </si>
  <si>
    <t>Roseland, New Jersey, United States</t>
  </si>
  <si>
    <t>Tianyi Jiang, Kai Gong</t>
  </si>
  <si>
    <t>Jersey City, New Jersey, United States</t>
  </si>
  <si>
    <t>Edmund Reiter</t>
  </si>
  <si>
    <t>Bedford, Massachusetts, United States</t>
  </si>
  <si>
    <t>Gleb Budman, Brian Wilson</t>
  </si>
  <si>
    <t>San Mateo, California, United States</t>
  </si>
  <si>
    <t>Keith Bentley, Barry Bentley</t>
  </si>
  <si>
    <t>Exton, Pennsylvania, United States</t>
  </si>
  <si>
    <t>Eddie Machaalani, Mitchell Harper</t>
  </si>
  <si>
    <t>René Lacerte</t>
  </si>
  <si>
    <t>Todd M. Mitchell</t>
  </si>
  <si>
    <t>Boca Raton, Florida, United States</t>
  </si>
  <si>
    <t>Nima Ghamsari, Erin Collard, Rosco Hill</t>
  </si>
  <si>
    <t>Aaron Levie, Dylan Smith</t>
  </si>
  <si>
    <t>Redwood City, California, United States</t>
  </si>
  <si>
    <t>Jon Hyman, Mark Ghermezian, Bill Magnuson, and Jon Hyman</t>
  </si>
  <si>
    <t>New York City, United States</t>
  </si>
  <si>
    <t>Whitney Wolfe Herd</t>
  </si>
  <si>
    <t>Thomas M. Siebel</t>
  </si>
  <si>
    <t>Frank Pope, David Marchese</t>
  </si>
  <si>
    <t>Mark L. Mathieu, Daniel Weiner</t>
  </si>
  <si>
    <t>Princeton, New Jersey, United States</t>
  </si>
  <si>
    <t>Gil Shwed, Marius Nacht, Shlomo Kramer</t>
  </si>
  <si>
    <t>Tel Aviv, Israel</t>
  </si>
  <si>
    <t>Courtney McQuade, Michael Boren</t>
  </si>
  <si>
    <t>Boise, Idaho, United States</t>
  </si>
  <si>
    <t>Matthew Prince, Michelle Zatlyn, Lee Holloway</t>
  </si>
  <si>
    <t>Yuval Diskin, Ehud Schneorson</t>
  </si>
  <si>
    <t>Herzliya, Israel</t>
  </si>
  <si>
    <t>Jay Kreps, Neha Narkhede, Jun Rao</t>
  </si>
  <si>
    <t>Mountain View, California, United States</t>
  </si>
  <si>
    <t>Damien Katz, J. Chris Anderson, Jan Lehnardt, Noah Slater, and Robert Newson</t>
  </si>
  <si>
    <t>Andrew Ng, Daphne Koller</t>
  </si>
  <si>
    <t>George Kurtz, Dmitri Alperovitch</t>
  </si>
  <si>
    <t>Sunnyvale, California, United States</t>
  </si>
  <si>
    <t>Kent Radford, Gabe Krambs</t>
  </si>
  <si>
    <t>Houston, Texas, United States</t>
  </si>
  <si>
    <t>Neal Hansen</t>
  </si>
  <si>
    <t>Englewood, Colorado, United States</t>
  </si>
  <si>
    <t>Udi Mokady, Alon N. Cohen, and Ehud Mokady</t>
  </si>
  <si>
    <t>Newton, Massachusetts, United States</t>
  </si>
  <si>
    <t>Olivier Pomel, Alexis Lê-Quôc</t>
  </si>
  <si>
    <t>New York City, New York, United States</t>
  </si>
  <si>
    <t>Edward J. Ryan</t>
  </si>
  <si>
    <t>Waterloo, Ontario, Canada</t>
  </si>
  <si>
    <t>Bill Stone, Rob Deutschman</t>
  </si>
  <si>
    <t>Ben Uretsky, Moisey Uretsky, Jeff Carr, Alec Hartman, Mitch Wainer</t>
  </si>
  <si>
    <t>Claudio Erba</t>
  </si>
  <si>
    <t>Toronto, Ontario, Canada</t>
  </si>
  <si>
    <t>Tom Gonser, Court Lorenzini, Eric Ranft</t>
  </si>
  <si>
    <t>Josh James</t>
  </si>
  <si>
    <t>American Fork, Utah, United States</t>
  </si>
  <si>
    <t>R.R. Donnelley &amp; Sons Company</t>
  </si>
  <si>
    <t>Oren Netzer, Eli Weissbuch</t>
  </si>
  <si>
    <t>Jeff Tangney, Nate Gross</t>
  </si>
  <si>
    <t>Drew Houston, Arash Ferdowsi</t>
  </si>
  <si>
    <t>Luis von Ahn, Severin Hacker</t>
  </si>
  <si>
    <t>Pittsburgh, Pennsylvania, United States</t>
  </si>
  <si>
    <t>Bernd Greifeneder, Alois Reitbauer, Peter Putz</t>
  </si>
  <si>
    <t>Waltham, Massachusetts, United States</t>
  </si>
  <si>
    <t>John Mumford, Srini Srinivasan</t>
  </si>
  <si>
    <t>Ashutosh Roy, Gunjan Sinha</t>
  </si>
  <si>
    <t>Shay Banon, Steven Schuurman, Simon Willnauer, and Uri Boness</t>
  </si>
  <si>
    <t>Kevin Hartz, Julia Hartz, Renaud Visage</t>
  </si>
  <si>
    <t>Eric Remer, Amber Remer</t>
  </si>
  <si>
    <t>Denver, Colorado, United States</t>
  </si>
  <si>
    <t>David Barrett</t>
  </si>
  <si>
    <t>Judith A. Estrin, Jeffrey S. Hussey, Alan J. Higginson, Michael L. Malcolm</t>
  </si>
  <si>
    <t>Seattle, Washington, United States</t>
  </si>
  <si>
    <t>Artur Bergman, Simon Wistow, and Gil Penchina</t>
  </si>
  <si>
    <t>Timothy Hwang, Gerald Yao, Jonathan Chen</t>
  </si>
  <si>
    <t>Washington, D.C., United States</t>
  </si>
  <si>
    <t>Wendell R. Anderson, Brian Silverman, David T. Van Everen</t>
  </si>
  <si>
    <t>San Ramon, California, United States</t>
  </si>
  <si>
    <t>Ken Xie, Michael Xie, and Yan Kei-Ming</t>
  </si>
  <si>
    <t>Girish Mathrubootham, Shan Krishnasamy</t>
  </si>
  <si>
    <t>Gary Hendrix, Anthony Antonuccio</t>
  </si>
  <si>
    <t>Tempe, Arizona, United States</t>
  </si>
  <si>
    <t>Mark Locke, William MacMullan</t>
  </si>
  <si>
    <t>London, England</t>
  </si>
  <si>
    <t>Sid Sijbrandij, Dmitriy Zaporozhets</t>
  </si>
  <si>
    <t>Bob Parsons</t>
  </si>
  <si>
    <t>Scottsdale, Arizona, United States</t>
  </si>
  <si>
    <t>Marcus Ryu, Ken Branson, John Raguin</t>
  </si>
  <si>
    <t>Steven C. Barlow, Thomas D. Burton, Dale Sanders, Paul Horstmeier</t>
  </si>
  <si>
    <t>Salt Lake City, Utah, United States</t>
  </si>
  <si>
    <t>Brian Halligan, Dharmesh Shah</t>
  </si>
  <si>
    <t>Gaurav Dhillon, Diaz Nesamoney, and Sanjay Poonen</t>
  </si>
  <si>
    <t>Scott Knoll, Will Luttrell</t>
  </si>
  <si>
    <t>William Roof</t>
  </si>
  <si>
    <t>Melville, New York, United States</t>
  </si>
  <si>
    <t>Scott Cook, Tom Proulx</t>
  </si>
  <si>
    <t>Zach Halmstad, Chip Pearson</t>
  </si>
  <si>
    <t>Minneapolis, Minnesota, United States</t>
  </si>
  <si>
    <t>Shlomi Ben Haim, Yoav Landman, Fred Simon, Asaf Yigal</t>
  </si>
  <si>
    <t>Ron Yekutiel, Shay David, Eran Etam</t>
  </si>
  <si>
    <t>Zak Calisto</t>
  </si>
  <si>
    <t>Midrand, South Africa</t>
  </si>
  <si>
    <t>Peng Lei</t>
  </si>
  <si>
    <t>Beijing, China</t>
  </si>
  <si>
    <t>Andrew Bialecki, Ed Hallen</t>
  </si>
  <si>
    <t>Boston, Massachusetts, United States</t>
  </si>
  <si>
    <t>Brian P. Liu, Robert Shapiro, Eddie Hartman, Brian S. Lee</t>
  </si>
  <si>
    <t>Glendale, California, United States</t>
  </si>
  <si>
    <t>Dax Dasilva</t>
  </si>
  <si>
    <t>Montreal, Canada</t>
  </si>
  <si>
    <t>Robert LoCascio</t>
  </si>
  <si>
    <t>Aneel Bhusri, Mike Driscoll</t>
  </si>
  <si>
    <t>Glen Tullman, Lee Shapiro</t>
  </si>
  <si>
    <t>Jason Gardner, Omri Dahan, and Amy Pressman</t>
  </si>
  <si>
    <t>Oakland, California, United States</t>
  </si>
  <si>
    <t>Gary Kremen, Peng T. Ong, Fran Maier, Will Bunker, Jim Young</t>
  </si>
  <si>
    <t>Dallas, Texas, United States</t>
  </si>
  <si>
    <t>Michael J. Saylor</t>
  </si>
  <si>
    <t>Tysons, Virginia, United States</t>
  </si>
  <si>
    <t>John M. Thornton, James B. DeBello</t>
  </si>
  <si>
    <t>San Diego, California, United States</t>
  </si>
  <si>
    <t>Roy Mann, Eran Zinman, and Eran Yahav</t>
  </si>
  <si>
    <t>Eliot Horowitz, Dwight Merriman, Kevin Ryan</t>
  </si>
  <si>
    <t>Ronen Luzon</t>
  </si>
  <si>
    <t>Airport City, Israel</t>
  </si>
  <si>
    <t>Gavin Garbutt</t>
  </si>
  <si>
    <t>Ottawa, Canada</t>
  </si>
  <si>
    <t>Pierre Naudé</t>
  </si>
  <si>
    <t>Wilmington, North Carolina, United States</t>
  </si>
  <si>
    <t>Chuck Cohn</t>
  </si>
  <si>
    <t>Reed Hastings, Marc Randolph</t>
  </si>
  <si>
    <t>Los Gatos, California, United States</t>
  </si>
  <si>
    <t>Benny Levin</t>
  </si>
  <si>
    <t>Ra'anana, Israel</t>
  </si>
  <si>
    <t>Todd McKinnon, Frederic Kerrest</t>
  </si>
  <si>
    <t>Noah Glass, Matthew Tucker, and Damir Becirovic</t>
  </si>
  <si>
    <t>T. Kendall Hunt</t>
  </si>
  <si>
    <t>Tom Shea, Bob Powers, and Craig Colby</t>
  </si>
  <si>
    <t>Birmingham, Michigan, United States</t>
  </si>
  <si>
    <t>Tom Jenkins, Tim Bray, Frank Tompa, Gaston Gonnet</t>
  </si>
  <si>
    <t>Larry Ellison, Bob Miner, Ed Oates</t>
  </si>
  <si>
    <t>Alex Solomon, Andrew Miklas, Baskar Puvanathasan, Dan Alexandru, Dan Mills, David Shackleton, Devananda van der Veen, Jennifer Tejada, John Laban, Julian Dunn, Michael Basnight, Ramin Sayar, Rob Malnati, Sean Higgins</t>
  </si>
  <si>
    <t>Peter Thiel, Alex Karp, Joe Lonsdale, Stephen Cohen, and Adi Tatarko</t>
  </si>
  <si>
    <t>Nir Zuk</t>
  </si>
  <si>
    <t>Santa Clara, California, United States</t>
  </si>
  <si>
    <t>John W. Sammon Jr., Donald H. Foley</t>
  </si>
  <si>
    <t>New Hartford, New York, United States</t>
  </si>
  <si>
    <t>Chad Richison</t>
  </si>
  <si>
    <t>Oklahoma City, Oklahoma, United States</t>
  </si>
  <si>
    <t>Steve Sarowitz</t>
  </si>
  <si>
    <t>Schaumburg, Illinois, United States</t>
  </si>
  <si>
    <t>Alan Trefler</t>
  </si>
  <si>
    <t>Ofer Adler, Yaron Adler</t>
  </si>
  <si>
    <t>Andres Reiner, Ronald F. Woestemeyer</t>
  </si>
  <si>
    <t>Rajeev Goel, Amar Goel, Anand Das, Amar Goel</t>
  </si>
  <si>
    <t>Philippe Courtot</t>
  </si>
  <si>
    <t>Foster City, California, United States</t>
  </si>
  <si>
    <t>Graham Weston, Dirk Elmendorf, Pat Condon, Richard Yoo</t>
  </si>
  <si>
    <t>San Antonio, Texas, United States</t>
  </si>
  <si>
    <t>Alan Matthews, Tas Giakouminakis</t>
  </si>
  <si>
    <t>Vlad Shmunis</t>
  </si>
  <si>
    <t>Belmont, California, United States</t>
  </si>
  <si>
    <t>Eido Gal, Assaf Feldman, and Shaked Zin</t>
  </si>
  <si>
    <t>Bipul Sinha, Arvind Jain, Soham Mazumdar, Arvind Nithrakashyap</t>
  </si>
  <si>
    <t>Palo Alto, CA</t>
  </si>
  <si>
    <t>Nikola Mrkšić, Adam Cann</t>
  </si>
  <si>
    <t>American Airlines</t>
  </si>
  <si>
    <t>Ventura, California, United States</t>
  </si>
  <si>
    <t>Marc Benioff, Parker Harris, Dave Moellenhoff, Frank Dominguez</t>
  </si>
  <si>
    <t>Sanjit Biswas, John Bicket, and John Sleiter</t>
  </si>
  <si>
    <t>Oleg Shchegolev, Dmitry Melnikov</t>
  </si>
  <si>
    <t>Tomer Weingarten, Almog Cohen, Ehud Shamir, and Itay Yanovski</t>
  </si>
  <si>
    <t>Fred Luddy</t>
  </si>
  <si>
    <t>Tobias Lütke, Daniel Weinand, Scott Lake</t>
  </si>
  <si>
    <t>Or Offer, Nir Cohen, and Shlomi Hod</t>
  </si>
  <si>
    <t>Benjamin Christian, Thierry Cruanes, Marcin Zukowski</t>
  </si>
  <si>
    <t>Keyvan Mohajer, Majid Emami</t>
  </si>
  <si>
    <t>Vincent D. Kelly</t>
  </si>
  <si>
    <t>Springfield, Virginia, United States</t>
  </si>
  <si>
    <t>Daniel Ek, Martin Lorentzon</t>
  </si>
  <si>
    <t>Stockholm, Sweden</t>
  </si>
  <si>
    <t>Ragy Thomas</t>
  </si>
  <si>
    <t>Justyn Howard, Aaron Rankin, Gil Lara</t>
  </si>
  <si>
    <t>Gary W. Anderson, Roger Anderson</t>
  </si>
  <si>
    <t>Bill Stone</t>
  </si>
  <si>
    <t>Windsor, Connecticut, United States</t>
  </si>
  <si>
    <t>Aart de Geus, David Gregory and Bill Krieger</t>
  </si>
  <si>
    <t>Yaron Galai, Ori Lahav</t>
  </si>
  <si>
    <t>Greg Strakosch, Don Hawk</t>
  </si>
  <si>
    <t>Ron Gula, Jack Huffard, Renaud Deraison, and Marcus Ranum</t>
  </si>
  <si>
    <t>Columbia, Maryland, United States</t>
  </si>
  <si>
    <t>Jeff Green, Dave Pickles</t>
  </si>
  <si>
    <t>Joe Walsh</t>
  </si>
  <si>
    <t>Steve Fredette, Aman Narang, Jonathan Grimm</t>
  </si>
  <si>
    <t>Jeff Lawson, Evan Cooke, John Wolthuis</t>
  </si>
  <si>
    <t>Eren Bali, Oktay Caglar, Gagan Biyani</t>
  </si>
  <si>
    <t>Daniel Dines, Marius Tirca, and Marius Ionescu</t>
  </si>
  <si>
    <t>New York, United States</t>
  </si>
  <si>
    <t>Tim Mattox, Craig Harris</t>
  </si>
  <si>
    <t>Yaki Faitelson, Ohad Korkus</t>
  </si>
  <si>
    <t>David DeWalt</t>
  </si>
  <si>
    <t>King of Prussia, Pennsylvania, United States</t>
  </si>
  <si>
    <t>Jake Lodwick, Zach Klein</t>
  </si>
  <si>
    <t>Geraldo Thomaz, Mariano Gomide de Faria, and Ricardo Piovan.</t>
  </si>
  <si>
    <t>Rio de Janeiro, Brazil</t>
  </si>
  <si>
    <t>Brandon Rodman, Jared Rodman</t>
  </si>
  <si>
    <t>Lehi, Utah, United States</t>
  </si>
  <si>
    <t>Avishai Abrahami, Nadav Abrahami, Giora Kaplan</t>
  </si>
  <si>
    <t>David Duffield, Aneel Bhusri</t>
  </si>
  <si>
    <t>Pleasanton, California, United States</t>
  </si>
  <si>
    <t>Howard Lerman, Brian Distelburger, Brent Metz</t>
  </si>
  <si>
    <t>David A. Steinberg, John Sculley</t>
  </si>
  <si>
    <t>Eric Yuan</t>
  </si>
  <si>
    <t>Yonatan Stern.</t>
  </si>
  <si>
    <t>Vancouver, Washington, United States</t>
  </si>
  <si>
    <t>Jay Chaudhry, K. Kailash</t>
  </si>
  <si>
    <t>Lead Investor(s) Pre-IPO</t>
  </si>
  <si>
    <t>Pre-IPO Venture Funding Estimate</t>
  </si>
  <si>
    <t>Employee Count</t>
  </si>
  <si>
    <t>N/A</t>
  </si>
  <si>
    <t>Sequoia Capital</t>
  </si>
  <si>
    <t>$2.5 million</t>
  </si>
  <si>
    <t>BlackRock, Vanguard Group</t>
  </si>
  <si>
    <t>Battery Ventures, Polaris Venture Partners</t>
  </si>
  <si>
    <t>$8.3 million</t>
  </si>
  <si>
    <t>Blackstone Group, Hellman &amp; Friedman</t>
  </si>
  <si>
    <t>$11.5 million</t>
  </si>
  <si>
    <t>General Atlantic, D1 Capital Partners</t>
  </si>
  <si>
    <t>$225 million</t>
  </si>
  <si>
    <t>Benchmark Capital, IVP (Institutional Venture Partners)</t>
  </si>
  <si>
    <t>$186 million</t>
  </si>
  <si>
    <t>Battery Ventures, Commonwealth Capital Ventures</t>
  </si>
  <si>
    <t>$30 million</t>
  </si>
  <si>
    <t>New Enterprise Associates (NEA), Novak Biddle Venture Partners, Kinetic Ventures</t>
  </si>
  <si>
    <t>$196 million</t>
  </si>
  <si>
    <t>KKR, Orient Hontai Capital</t>
  </si>
  <si>
    <t>$2 billion</t>
  </si>
  <si>
    <t>$1.5 million</t>
  </si>
  <si>
    <t>Generation Investment Management, 8VC, Founders Fund</t>
  </si>
  <si>
    <t>$213.2 million</t>
  </si>
  <si>
    <t>Bessemer Venture Partners, Austin Ventures</t>
  </si>
  <si>
    <t>$40 million</t>
  </si>
  <si>
    <t>Accel Partners, T. Rowe Price, Dragoneer Investment Group</t>
  </si>
  <si>
    <t>$210 million</t>
  </si>
  <si>
    <t>Crosspoint Venture Partners, Sequoia Capital</t>
  </si>
  <si>
    <t>$26 million</t>
  </si>
  <si>
    <t>Warburg Pincus, General Atlantic</t>
  </si>
  <si>
    <t>Ticonderoga Capital, Goldman Sachs, Summit Partners</t>
  </si>
  <si>
    <t>$294 million</t>
  </si>
  <si>
    <t>Venrock, Sigma Partners</t>
  </si>
  <si>
    <t>$100 million</t>
  </si>
  <si>
    <t>T. Rowe Price, Bessemer Venture Partners</t>
  </si>
  <si>
    <t>$5.3 million</t>
  </si>
  <si>
    <t>$1.05 billion</t>
  </si>
  <si>
    <t>General Catalyst, GGV Capital, SoftBank</t>
  </si>
  <si>
    <t>$415 million</t>
  </si>
  <si>
    <t>Mastercard, Franklin Templeton, Bank of America</t>
  </si>
  <si>
    <t>$345 million</t>
  </si>
  <si>
    <t>$2.5 million.</t>
  </si>
  <si>
    <t>General Atlantic, Tiger Global Management, 8VC</t>
  </si>
  <si>
    <t>$665 million</t>
  </si>
  <si>
    <t>Draper Fisher Jurvetson, U.S. Venture Partners, Scale Venture Partners</t>
  </si>
  <si>
    <t>$547 million</t>
  </si>
  <si>
    <t>Battery Ventures, ICONIQ Capital</t>
  </si>
  <si>
    <t>$175 million</t>
  </si>
  <si>
    <t>Blackstone Group, Accel, Badoo Trading Limited</t>
  </si>
  <si>
    <t>$2.2 billion</t>
  </si>
  <si>
    <t>TPG, Breyer Capital, and Sutter Hill Ventures</t>
  </si>
  <si>
    <t>$1.4 billion</t>
  </si>
  <si>
    <t>Vector Capital, Arsenal Capital Partners</t>
  </si>
  <si>
    <t>$250 million</t>
  </si>
  <si>
    <t>Warburg Pincus, Permira</t>
  </si>
  <si>
    <t>New Enterprise Associates (NEA), Pelion Venture Partners, Venrock, Union Square Ventures</t>
  </si>
  <si>
    <t>$332 million</t>
  </si>
  <si>
    <t>Advent International, Thoma Bravo</t>
  </si>
  <si>
    <t>$80 million</t>
  </si>
  <si>
    <t>Sequoia Capital, Index Ventures</t>
  </si>
  <si>
    <t>$456 million</t>
  </si>
  <si>
    <t>Accel Partners, Mayfield Fund, Sorenson Capital</t>
  </si>
  <si>
    <t>$300 million</t>
  </si>
  <si>
    <t>Arctic Ventures, Black River Ventures</t>
  </si>
  <si>
    <t>$130 million</t>
  </si>
  <si>
    <t>Accel, Warburg Pincus, CapitalG</t>
  </si>
  <si>
    <t>$481 million</t>
  </si>
  <si>
    <t>Sapphire Ventures, Bessemer Venture Partners</t>
  </si>
  <si>
    <t>$235 million</t>
  </si>
  <si>
    <t>Accel-KKR, Warburg Pincus</t>
  </si>
  <si>
    <t>JVP, Vertex Venture Capital, Jerusalem Venture Partners</t>
  </si>
  <si>
    <t>Index Ventures, ICONIQ Capital</t>
  </si>
  <si>
    <t>$148.7 million.</t>
  </si>
  <si>
    <t>Wellington Management Company, Fidelity Investments</t>
  </si>
  <si>
    <t>$20 million</t>
  </si>
  <si>
    <t>J.P. Morgan Securities LLC, Stephens Inc.</t>
  </si>
  <si>
    <t>$50 million</t>
  </si>
  <si>
    <t>Access Industries, Andreessen Horowitz, IA Ventures, Andreessen Horowitz Cultural Leadership Fund</t>
  </si>
  <si>
    <t>Klass Capital, Intercap Equity Inc.</t>
  </si>
  <si>
    <t>$21 million</t>
  </si>
  <si>
    <t>Accel Partners, Bain Capital Ventures, Sigma Partners</t>
  </si>
  <si>
    <t>$443 million</t>
  </si>
  <si>
    <t>Benchmark Capital, BlackRock, GGV Capital, Greylock Partners, IVP, TPG Growth</t>
  </si>
  <si>
    <t>$690 million</t>
  </si>
  <si>
    <t>Blackstone Group, Vista Equity Partners</t>
  </si>
  <si>
    <t>Providence Equity Partners</t>
  </si>
  <si>
    <t>$350 million</t>
  </si>
  <si>
    <t>Morgan Stanley, T. Rowe Price, Baillie Gifford</t>
  </si>
  <si>
    <t>$319 million</t>
  </si>
  <si>
    <t>Sequoia Capital, Accel Partners, Index Ventures</t>
  </si>
  <si>
    <t>$1.7 billion</t>
  </si>
  <si>
    <t>CapitalG, New Enterprise Associates and General Atlantic</t>
  </si>
  <si>
    <t>$150 million</t>
  </si>
  <si>
    <t>Thoma Bravo</t>
  </si>
  <si>
    <t>$168 million</t>
  </si>
  <si>
    <t>Sequoia Capital, Insight Partners</t>
  </si>
  <si>
    <t>Sequoia Capital, Technology Crossover Ventures</t>
  </si>
  <si>
    <t>$60 million</t>
  </si>
  <si>
    <t>Benchmark Capital, Index Ventures, New Enterprise Associates (NEA), Future Fund</t>
  </si>
  <si>
    <t>$162 million</t>
  </si>
  <si>
    <t>T. Rowe Price, Tiger Global Management, Sequoia Capital</t>
  </si>
  <si>
    <t>$330 million</t>
  </si>
  <si>
    <t>$241 million</t>
  </si>
  <si>
    <t>OpenView Venture Partners, Redpoint Ventures</t>
  </si>
  <si>
    <t>$38.9 million</t>
  </si>
  <si>
    <t>Sequoia Capital, Madrona Venture Group</t>
  </si>
  <si>
    <t>$10 million</t>
  </si>
  <si>
    <t>August Capital, Battery Ventures, Iconiq Capital, O'Reilly AlphaTech Ventures, Amplify Partners</t>
  </si>
  <si>
    <t>$219 million</t>
  </si>
  <si>
    <t>Revolution Growth, Renren, Green Visor Capital</t>
  </si>
  <si>
    <t>$74 million</t>
  </si>
  <si>
    <t>Redpoint Ventures, Meritech Capital Partners, Acorn Campus Ventures</t>
  </si>
  <si>
    <t>$93 million</t>
  </si>
  <si>
    <t>Accel, Tiger Global Management, Sequoia Capital</t>
  </si>
  <si>
    <t>$400 million</t>
  </si>
  <si>
    <t>Snowden Capital Advisors, Brewin Dolphin</t>
  </si>
  <si>
    <t>Apax Partners, Brunswick Capital, Three Hills Capital Partners</t>
  </si>
  <si>
    <t>$1.5 billion</t>
  </si>
  <si>
    <t>Sequoia Capital, Khosla Ventures, Google Ventures</t>
  </si>
  <si>
    <t>$426 million</t>
  </si>
  <si>
    <t>KKR, Silver Lake Partners, Technology Crossover Ventures</t>
  </si>
  <si>
    <t>Bain Capital Ventures, U.S. Venture Partners, Battery Ventures</t>
  </si>
  <si>
    <t>$65 million</t>
  </si>
  <si>
    <t>OrbiMed Advisors, Sequoia Capital, Norwest Venture Partners, Sands Capital Ventures</t>
  </si>
  <si>
    <t>$377 million</t>
  </si>
  <si>
    <t>General Catalyst, Matrix Partners</t>
  </si>
  <si>
    <t>Silver Lake Partners, Microsoft</t>
  </si>
  <si>
    <t>$71 million</t>
  </si>
  <si>
    <t>August Capital, Sapphire Ventures</t>
  </si>
  <si>
    <t>$116 million</t>
  </si>
  <si>
    <t>Crosslink Capital, Hudson Bay Capital Management</t>
  </si>
  <si>
    <t>$15 million</t>
  </si>
  <si>
    <t>$1.3 million</t>
  </si>
  <si>
    <t>Vista Equity Partners</t>
  </si>
  <si>
    <t>$49 million</t>
  </si>
  <si>
    <t>Battery Ventures, Sapphire Ventures</t>
  </si>
  <si>
    <t>$227 million</t>
  </si>
  <si>
    <t>Morgan Stanley, SAP, Goldman Sachs</t>
  </si>
  <si>
    <t>$166 million</t>
  </si>
  <si>
    <t>Xiaomi Corporation, Tencent Holdings Limited.</t>
  </si>
  <si>
    <t>$1.8 billion</t>
  </si>
  <si>
    <t>Summit Partners, Shopify, Accel</t>
  </si>
  <si>
    <t>$775 million</t>
  </si>
  <si>
    <t>Kleiner Perkins, Institutional Venture Partners</t>
  </si>
  <si>
    <t>$266 million</t>
  </si>
  <si>
    <t>Accel Partners, Caisse de dépôt et placement du Québec (CDPQ), iNovia Capital.</t>
  </si>
  <si>
    <t>$292 million</t>
  </si>
  <si>
    <t>Sierra Ventures, Benchmark Capital</t>
  </si>
  <si>
    <t>Acxiom Ventures, Institutional Venture Partners (IVP)</t>
  </si>
  <si>
    <t>$63 million</t>
  </si>
  <si>
    <t>General Catalyst, Kinnevik, Kleiner Perkins, Merck Global Health Innovation Fund, Sapphire Ventures</t>
  </si>
  <si>
    <t>Coatue Management, Vitruvian Partners, Granite Ventures, Iconiq Capital</t>
  </si>
  <si>
    <t>$528 million</t>
  </si>
  <si>
    <t>Blackstone Group, General Atlantic</t>
  </si>
  <si>
    <t>American Research and Development Corporation, In-Q-Tel</t>
  </si>
  <si>
    <t>Insight Venture Partners, Sutter Hill Ventures</t>
  </si>
  <si>
    <t>$32 million</t>
  </si>
  <si>
    <t>Insight Partners, Hamilton Lane</t>
  </si>
  <si>
    <t>$234 million</t>
  </si>
  <si>
    <t>Sequoia Capital, Flybridge Capital Partners, Union Square Ventures</t>
  </si>
  <si>
    <t>$311 million</t>
  </si>
  <si>
    <t>$5.5 million.</t>
  </si>
  <si>
    <t>Insight Partners</t>
  </si>
  <si>
    <t>$4.5 million</t>
  </si>
  <si>
    <t>Wellington Management, Salesforce Ventures</t>
  </si>
  <si>
    <t>$213 million</t>
  </si>
  <si>
    <t>TPG Capital, Oakley Capital</t>
  </si>
  <si>
    <t>Technology Crossover Ventures</t>
  </si>
  <si>
    <t>$30 Million</t>
  </si>
  <si>
    <t>Sequoia Capital, Andreessen Horowitz</t>
  </si>
  <si>
    <t>$229 million</t>
  </si>
  <si>
    <t>RRE Ventures, Tiger Global Management, The Raine Group</t>
  </si>
  <si>
    <t>$91 million</t>
  </si>
  <si>
    <t>Bessemer Venture Partners, Trident Capital, Fidelity Investments</t>
  </si>
  <si>
    <t>$47 million</t>
  </si>
  <si>
    <t>D1 Capital Partners, Tiger Global, Investment Group of Santa Barbara</t>
  </si>
  <si>
    <t>$200 million</t>
  </si>
  <si>
    <t>Battery Ventures, Sequoia Capital</t>
  </si>
  <si>
    <t>$2 million</t>
  </si>
  <si>
    <t>Andreessen Horowitz, Accel, Bessemer Venture Partners</t>
  </si>
  <si>
    <t>$173.6 million</t>
  </si>
  <si>
    <t>Founders Fund, In-Q-Tel, 17 Capital, Tiger Global Management</t>
  </si>
  <si>
    <t>$2.6 billion</t>
  </si>
  <si>
    <t>Greylock Partners, Sequoia Capital</t>
  </si>
  <si>
    <t>$27 million</t>
  </si>
  <si>
    <t>Adams Street Partners, Great Hill Partners</t>
  </si>
  <si>
    <t>Bessemer Venture Partners, Matrix Partners</t>
  </si>
  <si>
    <t>$5 million</t>
  </si>
  <si>
    <t>TA Associates, Fidelity Investments</t>
  </si>
  <si>
    <t>August Capital, Draper Fisher Jurvetson (DFJ), Helion Venture Partners, Nexus Venture Partners</t>
  </si>
  <si>
    <t>$76 million</t>
  </si>
  <si>
    <t>Trident Capital, ABS Ventures</t>
  </si>
  <si>
    <t>Apollo Global Management</t>
  </si>
  <si>
    <t>$1.3 billion</t>
  </si>
  <si>
    <t>Bain Capital Ventures, Technology Crossover Ventures</t>
  </si>
  <si>
    <t>Sequoia Capital, Khosla Ventures</t>
  </si>
  <si>
    <t>Qumra Capital, Pitango Venture Capital, Genesis Partners</t>
  </si>
  <si>
    <t>$228 million</t>
  </si>
  <si>
    <t>Lightspeed Venture Partners, Greylock Partners, Bain Capital Ventures</t>
  </si>
  <si>
    <t>$550 million</t>
  </si>
  <si>
    <t>Sequoia Capital, Accel Partners</t>
  </si>
  <si>
    <t>$64 million</t>
  </si>
  <si>
    <t>Andreessen Horowitz, General Catalyst, Tiger Global Management</t>
  </si>
  <si>
    <t>$930 million</t>
  </si>
  <si>
    <t>Greycroft, e.ventures, Siguler Guff &amp; Company</t>
  </si>
  <si>
    <t>Insight Partners, Tiger Global Management, Third Point Ventures</t>
  </si>
  <si>
    <t>$696 million</t>
  </si>
  <si>
    <t>JMI Equity, Sequoia Capital</t>
  </si>
  <si>
    <t>$83.7 million</t>
  </si>
  <si>
    <t>OMERS Ventures, Bessemer Venture Partners, FirstMark Capital, Felicis Ventures</t>
  </si>
  <si>
    <t>$122 million</t>
  </si>
  <si>
    <t>Viola Growth, Saban Ventures, Naspers, Insight Partners</t>
  </si>
  <si>
    <t>$240 million</t>
  </si>
  <si>
    <t>Sequoia Capital, Sutter Hill Ventures, ICONIQ Capital</t>
  </si>
  <si>
    <t>$1.4 billion.</t>
  </si>
  <si>
    <t>Khosla Ventures, NVIDIA, Samsung Catalyst Fund</t>
  </si>
  <si>
    <t>$215 million</t>
  </si>
  <si>
    <t>Sequoia Capital, Technology Crossover Ventures, Accel Partners</t>
  </si>
  <si>
    <t>Battery Ventures, ICONIQ Capital, Silver Lake</t>
  </si>
  <si>
    <t>Goldman Sachs, New Enterprise Associates, Future Fund, Lightbank</t>
  </si>
  <si>
    <t>$111 million</t>
  </si>
  <si>
    <t>Battery Ventures, Split Rock Partners</t>
  </si>
  <si>
    <t>$23 million</t>
  </si>
  <si>
    <t>The Carlyle Group, Stone Point Capital</t>
  </si>
  <si>
    <t>Green Pine Capital Partners, New Enterprise Associates</t>
  </si>
  <si>
    <t>Lightspeed Venture Partners, Index Ventures, Gemini Israel Ventures</t>
  </si>
  <si>
    <t>$99 million</t>
  </si>
  <si>
    <t>Technology Crossover Ventures, Polaris Venture Partners</t>
  </si>
  <si>
    <t>$70 million</t>
  </si>
  <si>
    <t>Accel Partners, Insight Venture Partners</t>
  </si>
  <si>
    <t>Hillhouse Capital Group, Wellington Management Company</t>
  </si>
  <si>
    <t>TPG Capital, Vista Equity Partners</t>
  </si>
  <si>
    <t>$1.6 billion</t>
  </si>
  <si>
    <t>T. Rowe Price, Tiger Global Management, Bessemer Venture Partners</t>
  </si>
  <si>
    <t>$910 million</t>
  </si>
  <si>
    <t>Union Square Ventures, Fidelity Investments, T. Rowe Price, Bessemer Venture Partners</t>
  </si>
  <si>
    <t>$233 million</t>
  </si>
  <si>
    <t>Bessemer Venture Partners, Insight Partners, Norwest Venture Partners</t>
  </si>
  <si>
    <t>$223 million</t>
  </si>
  <si>
    <t>Accel, Alkeon Capital Management, Coatue Management, Dragoneer Investment Group, IVP (Institutional Venture Partners), Sequoia Capital, Tiger Global Management</t>
  </si>
  <si>
    <t>$1.2 billion</t>
  </si>
  <si>
    <t>K1 Investment Management, Vista Equity Partners</t>
  </si>
  <si>
    <t>Accel Partners, Evergreen Venture Partners</t>
  </si>
  <si>
    <t>$34 million</t>
  </si>
  <si>
    <t>Sequoia Capital, Accel</t>
  </si>
  <si>
    <t>$131 million</t>
  </si>
  <si>
    <t>Highland Capital Partners, Thrive Capital</t>
  </si>
  <si>
    <t>$134 million</t>
  </si>
  <si>
    <t>SoftBank Group Corp, Gávea Investimentos, Constellation Software</t>
  </si>
  <si>
    <t>$365 million</t>
  </si>
  <si>
    <t>Kleiner Perkins, Bessemer Venture Partners</t>
  </si>
  <si>
    <t>Benchmark Capital, Mangrove Capital Partners, Bessemer Venture Partners</t>
  </si>
  <si>
    <t>$61 million</t>
  </si>
  <si>
    <t>Greylock Partners, New Enterprise Associates (NEA), T. Rowe Price</t>
  </si>
  <si>
    <t>Sutter Hill Ventures, Institutional Venture Partners (IVP), W Capital Partners</t>
  </si>
  <si>
    <t>$117 million</t>
  </si>
  <si>
    <t>Blackstone Group, GSO Capital Partners</t>
  </si>
  <si>
    <t>$380 million</t>
  </si>
  <si>
    <t>Sequoia Capital, Emergence Capital, Horizons Ventures</t>
  </si>
  <si>
    <t>$160 million</t>
  </si>
  <si>
    <t>TA Associates, The Carlyle Group</t>
  </si>
  <si>
    <t>$145 million</t>
  </si>
  <si>
    <t>Tiger Global Management, CapitalG</t>
  </si>
  <si>
    <t>$148 million</t>
  </si>
  <si>
    <t>Product Description</t>
  </si>
  <si>
    <t>Communication solutions, including cloud-based voice, video, chat, and contact center services</t>
  </si>
  <si>
    <t>Applications for graphic design, video editing, web development, and document management.</t>
  </si>
  <si>
    <t>Hospitality management solutions, including point-of-sale, property management, and inventory management systems.</t>
  </si>
  <si>
    <t>Enterprise content delivery network (CDN) services, helping businesses deliver online content quickly and securely.</t>
  </si>
  <si>
    <t>Platform for human resources, payroll, and financial operations.</t>
  </si>
  <si>
    <t>Digital banking platform that offers personalized banking experiences and advanced features for financial institutions.</t>
  </si>
  <si>
    <t>Platform for the measurement, storage, and analysis of user behavior in apps and on websites.</t>
  </si>
  <si>
    <t>Engineering simulation solutions, for product design and testing virtually before physical prototypes are built.</t>
  </si>
  <si>
    <t>Property management solutions, including online rent payments, maintenance requests, and tenant screening.</t>
  </si>
  <si>
    <t>Low-code development platform that enables businesses to build and deploy enterprise applications.</t>
  </si>
  <si>
    <t>Mobile advertising platform geared towards app developers to optimize their app listings and targeted ads.</t>
  </si>
  <si>
    <t>Mobile payments, with features like digital wallets and transaction processing.</t>
  </si>
  <si>
    <t>Project management solution for task management, collaboration, and progress tracking.</t>
  </si>
  <si>
    <t>Workforce management, including time and attendance tracking, scheduling, and workspace management.</t>
  </si>
  <si>
    <t>Collaboration and productivity tools, including sub-brands Jira, Confluence, and Trello.</t>
  </si>
  <si>
    <t>Design and engineering software for various industries, including architecture, engineering, construction, and manufacturing.</t>
  </si>
  <si>
    <t>Human resources solutions, including payroll, HR, time and attendance, and benefits administration.</t>
  </si>
  <si>
    <t>Software solutions on top of Microsoft Office 365 and SharePoint, including data management, governance, and data migration tools.</t>
  </si>
  <si>
    <t>Biometric authentication solutions, including face and voice recognition, for access management.</t>
  </si>
  <si>
    <t>Cloud backup and storage solution.</t>
  </si>
  <si>
    <t>Platform for infrastructure design, construction, and operation. Its main features include 3D modeling, simulation, and collaboration tools.</t>
  </si>
  <si>
    <t>E-commerce platform for online stores, with customizable web templates and widgets, payment processing, and inventory management.</t>
  </si>
  <si>
    <t>Cloud-based software to streamline and automate accounts payable and accounts receivable processes</t>
  </si>
  <si>
    <t>Real-time stock market data, alerts, and analysis for stock traders.</t>
  </si>
  <si>
    <t>A digital lending platform for financial institutions geared towards the automation of the lending process.</t>
  </si>
  <si>
    <t>Content management and file sharing platform for file storage, access management, and collaboration.</t>
  </si>
  <si>
    <t>Customer engagament platform for personalized multi-channel messaging and targeted marketing campaigns.</t>
  </si>
  <si>
    <t>Dating and social networking application that allows users to connect, chat, and form relationships.</t>
  </si>
  <si>
    <t>Enterprise AI software for developing and deploying AI applications for various industries.</t>
  </si>
  <si>
    <t>Software solutions for automotive claims processing and related industries.</t>
  </si>
  <si>
    <t>Drug development and regulatory science solutions for pharmaceutical companies to manage their drug development process.</t>
  </si>
  <si>
    <t>Cybersecurity solutions including firewall and VPN software to protect networks and endpoints against cyber threats</t>
  </si>
  <si>
    <t>Investment data management, reporting, and analytics platform for institutional investors.</t>
  </si>
  <si>
    <t>Content delivery network (CDN), DDoS protection, and internet security mostly for SMBs.</t>
  </si>
  <si>
    <t>Security analytics software for detection, investigation, and response to security threats in real-time.</t>
  </si>
  <si>
    <t>Real-time data processing and analytics including data integration, event streaming, and data management.</t>
  </si>
  <si>
    <t>NoSQL database</t>
  </si>
  <si>
    <t>Online courses and educational content in partnership with universities and organizations worldwide.</t>
  </si>
  <si>
    <t>Cybersecurity platform for endpoint protection, threat intelligence, and incident response.</t>
  </si>
  <si>
    <t>Application for legal professionals, offering eDiscovery and litigation support services.</t>
  </si>
  <si>
    <t>Revenue management, customer experience, and digital monetization.</t>
  </si>
  <si>
    <t>Cybersecurity solutions to protect against cyber threats and unauthorized accesses.</t>
  </si>
  <si>
    <t>Monitoring and analytics for website and app infrastructure, applications, and web logs.</t>
  </si>
  <si>
    <t>Logistics and supply chain management solutions, including route planning, fleet management, and customs compliance.</t>
  </si>
  <si>
    <t>Mobile app platform enabling app developers to reach users through personalized recommendations and targeted advertising.</t>
  </si>
  <si>
    <t>Virtual servers, web hosting, storage, and networking solutions for developers and businesses.</t>
  </si>
  <si>
    <t>Learning management system (LMS) for the creation, management, and delivery of online training and e-learning courses.</t>
  </si>
  <si>
    <t>Electronic signature software</t>
  </si>
  <si>
    <t>Business intelligence and data visualization.</t>
  </si>
  <si>
    <t>Financial reporting, regulatory compliance, and financial data analytics.</t>
  </si>
  <si>
    <t>Digital media measurement and analytics for digital advertising.</t>
  </si>
  <si>
    <t>Healthcare collaboration, patient data management, and healthcare job opportunities.</t>
  </si>
  <si>
    <t>File storage and file synchronization application.</t>
  </si>
  <si>
    <t>Language-learning platform that gamifies the process of acquiring new languages through interactive lessons and exercises.</t>
  </si>
  <si>
    <t>Website and application performance monitoring software</t>
  </si>
  <si>
    <t>Supply chain management solutions</t>
  </si>
  <si>
    <t>Customer engagement solutions, including AI-powered virtual assistants, knowledge management, and analytics.</t>
  </si>
  <si>
    <t>Open-source software suite that enables search, logging, and analytics.</t>
  </si>
  <si>
    <t>Event management platform that allows users to create, promote, and sell tickets for events online.</t>
  </si>
  <si>
    <t>Marketing and business management platform for service-based industries.</t>
  </si>
  <si>
    <t>Expense management application that automates expense reporting, receipt tracking, and reimbursement processes.</t>
  </si>
  <si>
    <t>Application delivery and security solutions, including load balancing, traffic management, and application security.</t>
  </si>
  <si>
    <t>Enterprise content delivery network (CDN).</t>
  </si>
  <si>
    <t>Helps organizations track and analyze government regulations and policies.</t>
  </si>
  <si>
    <t>Contact center software that offers features like omnichannel routing, workforce optimization, and AI-powered virtual agents.</t>
  </si>
  <si>
    <t>Cybersecurity solutions, including firewalls, VPNs, and antivirus software.</t>
  </si>
  <si>
    <t>Customer engagement tools, including customer support, CRM, and marketing automation.</t>
  </si>
  <si>
    <t>Cybersecurity and identity theft protection software and services to consumers and businesses</t>
  </si>
  <si>
    <t>Sports data and other solutions for sports leagues, teams, and sports media organizations.</t>
  </si>
  <si>
    <t>Version control, CI/CD pipelines, issue tracking, and collaboration tools for developers.</t>
  </si>
  <si>
    <t>Domain registration, web hosting, and online marketing services, enabling individuals and businesses to establish and grow their online presence</t>
  </si>
  <si>
    <t>Solutions for the insurance industry, including claims management, policy administration, and billing.</t>
  </si>
  <si>
    <t>Healthcare analytics platform to help organizations improve patient outcomes and reduce costs.</t>
  </si>
  <si>
    <t>Large variety of tools for marketing, sales, and customer service, both SMB and Enterprise focused.</t>
  </si>
  <si>
    <t>Data integration and data management solutions.</t>
  </si>
  <si>
    <t>Digital ad verification and distribution solutions geared at brand safety, viewability, and ad fraud detection.</t>
  </si>
  <si>
    <t>Identity verification solutions, including ID authentication, age verification, and fraud prevention.</t>
  </si>
  <si>
    <t>Main application is QuickBooks, a financial management tool for accounting, invoicing, and tax preparation.</t>
  </si>
  <si>
    <t>Apple device management software that helps organizations manage and secure their Apple devices, with features like device deployment, inventory management, and security controls.</t>
  </si>
  <si>
    <t>DevOps platform for developers to manage and distribute software packages.</t>
  </si>
  <si>
    <t>Video platform for managing, creating, and distributing video content.</t>
  </si>
  <si>
    <t>Telematics and fleet management solutions using advanced technology and data analytics to optimize vehicle tracking, driver behavior monitoring, and asset management</t>
  </si>
  <si>
    <t>Cloud computing, including storage, data processing, and data analytics.</t>
  </si>
  <si>
    <t>Targeted marketing automation system with features like email marketing, personalized messaging, segmentation, and analytics.</t>
  </si>
  <si>
    <t>Legal documents, forms, and legal services for individuals and SMBs.</t>
  </si>
  <si>
    <t>Point-of-sale solution with features like transaction processing, inventory management, analytics, and customer record management.</t>
  </si>
  <si>
    <t>A customer messaging with real-time chatbots and customer data analytics.</t>
  </si>
  <si>
    <t>Data connectivity and data management solutions aimed at unifying data from various marketing platforms.</t>
  </si>
  <si>
    <t>Mobile application in the healthcare space for managing chronic conditions, providing personalized insights, coaching, and support.</t>
  </si>
  <si>
    <t>Card issuing platform, enabling businesses to create and manage payment cards.</t>
  </si>
  <si>
    <t>Online dating apps, including Tinder, OkCupid, and Match.com.</t>
  </si>
  <si>
    <t>Business intelligence, mobile software, and cloud-based services for data analysis and visualization. Also well known for holding a lot of Bitcoin.</t>
  </si>
  <si>
    <t>Mobile capture and identity verification solutions enabling financial transactions through mobile devices.</t>
  </si>
  <si>
    <t>Project management software that helps teams plan, track, and collaborate on tasks, with features like customizable workflows, automation, and visual dashboards.</t>
  </si>
  <si>
    <t>NoSQL database for storing and managing large volumes of unstructured data.</t>
  </si>
  <si>
    <t>Mobile measurement solution, allowing users to accurately measure objects using their smartphone camera.</t>
  </si>
  <si>
    <t>Remote monitoring and management solutions for IT service providers.</t>
  </si>
  <si>
    <t>Platform for financial institutions to streamline loan origination, document management, and customer relationship management.</t>
  </si>
  <si>
    <t>Online learning platform that connects students with tutors for personalized lessons in various subjects.</t>
  </si>
  <si>
    <t>Subscription-based streaming service for TV shows, movies, documentaries, etc.</t>
  </si>
  <si>
    <t>Software solutions for enterprise organizations, specializing in customer experience management, workforce optimization, and fraud prevention</t>
  </si>
  <si>
    <t>Identity management solutions for secure access to applications and data.</t>
  </si>
  <si>
    <t>Online ordering platform for restaurants, enabling customers to order food for delivery or pickup.</t>
  </si>
  <si>
    <t>Digital identity and authentication solutions enabling secure transactions and preventing fraud.</t>
  </si>
  <si>
    <t>Unified corporate performance management (CPM) platform designed to streamline financial consolidation, planning, reporting, and analysis.</t>
  </si>
  <si>
    <t>Enterprise information management software with content management, business process management, and customer experience management features.</t>
  </si>
  <si>
    <t>Wide range of enterprise software platforms, including database management systems, cloud services, and business applications.</t>
  </si>
  <si>
    <t>Incident management platform that helps businesses respond to critical issues, providing real-time alerts, on-call scheduling, and automated escalations.</t>
  </si>
  <si>
    <t>Data integration, machine learning and data analysis platforms for governement and enterprise.</t>
  </si>
  <si>
    <t>Cybersecurity solutions including next-generation firewalls, cloud security, and threat intelligence services to protect organizations from cyber threats and safeguard their digital assets and networks</t>
  </si>
  <si>
    <t>Software solutions for the hospitality industry, including point-of-sale systems, workforce management, and food safety compliance.</t>
  </si>
  <si>
    <t>Human resources platform with features like payroll, HR, talent acquisition, and time and labor management.</t>
  </si>
  <si>
    <t>Payroll and human resources solutions for SMBs and Enterprise.</t>
  </si>
  <si>
    <t>Business process automation, operations management, and customer engagement solutions.</t>
  </si>
  <si>
    <t>Digital advertising tools, including ad-blocking, search monetization, and social media advertising.</t>
  </si>
  <si>
    <t>Pricing and revenue management solutions.</t>
  </si>
  <si>
    <t>Digital advertising with features like programmatic advertising, real-time bid management, and analytics.</t>
  </si>
  <si>
    <t>Cloud-based security and compliance solutions, including vulnerability management, threat protection, and asset inventory services</t>
  </si>
  <si>
    <t>Managed cloud services, multi-cloud solutions, and professional services.</t>
  </si>
  <si>
    <t>Cybersecurity solutions, including vulnerability management, incident detection and response, and security analytics</t>
  </si>
  <si>
    <t>Cloud-based communication and collaboration solutions, including voice, video, messaging, and contact center services.</t>
  </si>
  <si>
    <t>Fraud prevention and chargeback protection solutions for e-commerce businesses.</t>
  </si>
  <si>
    <t>Cloud data management platform that simplifies data protection, recovery, and management across hybrid environments.</t>
  </si>
  <si>
    <t>Video hosting, sharing, and monetization for content creators and businesses.</t>
  </si>
  <si>
    <t>Technology solutions for the travel and tourism industry, including global distribution systems, airline and hospitality software, and travel management solutions.</t>
  </si>
  <si>
    <t>Customer relationship management (CRM) software with a focus on enterprise. One of the first successful SaaS companies</t>
  </si>
  <si>
    <t>Fleet management and industrial IoT solutions, including GPS tracking, real-time monitoring, and data analytics.</t>
  </si>
  <si>
    <t>Tools for SEO, content marketing, social media marketing, digital advertising, and competitive website research.</t>
  </si>
  <si>
    <t>Endpoint security platform that uses AI to provide threat prevention, detection, and response.</t>
  </si>
  <si>
    <t>Solutions for IT service management, IT operations management, and IT business management.</t>
  </si>
  <si>
    <t>E-commerce platform for the creation of online storefronts, management of inventory, processing payments, and tracking sales.</t>
  </si>
  <si>
    <t>Insights and analytics on website traffic, audience behavior, and digital marketing strategies.</t>
  </si>
  <si>
    <t>Data warehousing platform for large amounts of data and machine learning enablement.</t>
  </si>
  <si>
    <t>Voice recognition technology to identify songs, provide lyrics, and offer music recommendations.</t>
  </si>
  <si>
    <t>Communication solutions for healthcare organizations, including secure messaging, call center management, and emergency notification systems.</t>
  </si>
  <si>
    <t>B2C music streaming platform with vast library of songs, playlist functionality, discovery tools for new music.</t>
  </si>
  <si>
    <t>Enterprise social media management, customer interaction management, and marketing campaigns.</t>
  </si>
  <si>
    <t>Social media management platform that helps businesses manage, schedule, and analyze their social media content.</t>
  </si>
  <si>
    <t>Supply chain management software for streamlined operations and improving collaboration with trading partners.</t>
  </si>
  <si>
    <t>Solutions for financial services firms, including portfolio management, trading, accounting, and reporting.</t>
  </si>
  <si>
    <t>Electronic design automation (EDA) software that streamlines the design, verification, and manufacturing processes for semiconductor and electronic systems.</t>
  </si>
  <si>
    <t>Content discovery platform that recommends personalized articles, videos, and other content to users based on their interests and browsing behavior.</t>
  </si>
  <si>
    <t>Platform for targeted marketing, sales, and audience intelligence.</t>
  </si>
  <si>
    <t>Vulnerability management solutions to help organizations identify and address cybersecurity risks.</t>
  </si>
  <si>
    <t>Demand-side platform for digital advertising, offering features like real-time bidding and audience targeting.</t>
  </si>
  <si>
    <t>Operations management, including customer communication, online presence, appointment scheduling, and payment processing for SMBs.</t>
  </si>
  <si>
    <t>POS platform for restaurants to manage orders, payments, menus, and employee operations.</t>
  </si>
  <si>
    <t>Cloud communications platform to integrate messaging, voice, and video capabilities into applications.</t>
  </si>
  <si>
    <t>Online learning platform that offers a wide range of courses on various subjects, and enables course creators to reach their audience.</t>
  </si>
  <si>
    <t>Platform for robotic process automation (RPA), allowing customers to automate repetitive tasks and streamline workflows.</t>
  </si>
  <si>
    <t>Enterprise project management software</t>
  </si>
  <si>
    <t>Data security and analytics, threat detection, and automation of data management.</t>
  </si>
  <si>
    <t>Tax technology solutions, including tax compliance, tax determination, and tax data management.</t>
  </si>
  <si>
    <t>Video-sharing platform that allows users to upload, share, and watch videos with customizable privacy settings.</t>
  </si>
  <si>
    <t>E-commerce platform with features like order management, inventory control, and customer relationship management.</t>
  </si>
  <si>
    <t>Communication platform with features like messaging, phone calls, and appointment scheduling.</t>
  </si>
  <si>
    <t>Website builder software (CMS) that allows for the creation of customized websites using drag-and-drop tools, templates, and various widgets and plugins.</t>
  </si>
  <si>
    <t>Applications for human resources, finance, business planning, workforce management.</t>
  </si>
  <si>
    <t>Online marketing platform with a focus on various directories and search engines.</t>
  </si>
  <si>
    <t>Customer relationship management (CRM) platform and marketing automation tools.</t>
  </si>
  <si>
    <t>Video conferencing for virtual meetings, webinars, and online events.</t>
  </si>
  <si>
    <t>Database of business and contect information for lead generation and sales and marketing prospecting.</t>
  </si>
  <si>
    <t>Security platform that provides secure access to the internet and protects organizations from cyber threats.</t>
  </si>
  <si>
    <t>Company Website</t>
  </si>
  <si>
    <t>Company Investor Relations Page</t>
  </si>
  <si>
    <t>S-1 Filing</t>
  </si>
  <si>
    <t>2023 10-K Filing</t>
  </si>
  <si>
    <t>http://www.8×8.com</t>
  </si>
  <si>
    <t>http://8×8.gcs-web.com</t>
  </si>
  <si>
    <t>https://www.sec.gov/Archives/edgar/data/1023731/000102373124000042/eght-20240331.htm</t>
  </si>
  <si>
    <t>http://www.adobe.com</t>
  </si>
  <si>
    <t>http://www.adobe.com/investor-relations</t>
  </si>
  <si>
    <t>https://www.sec.gov/Archives/edgar/data/796343/000079634324000006/adbe-20231201.htm</t>
  </si>
  <si>
    <t>http://www.agilysys.com</t>
  </si>
  <si>
    <t>http://www.agilysys.com/en/investor-relations/</t>
  </si>
  <si>
    <t>https://www.sec.gov/Archives/edgar/data/78749/000095017024063222/agys-20240331.htm</t>
  </si>
  <si>
    <t>http://www.akamai.com</t>
  </si>
  <si>
    <t>http://www.ir.akamai.com</t>
  </si>
  <si>
    <t>https://www.sec.gov/Archives/edgar/data/1086222/000108622224000040/akam-20231231.htm</t>
  </si>
  <si>
    <t>http://www.alight.com</t>
  </si>
  <si>
    <t>http://investor.alight.com</t>
  </si>
  <si>
    <t>https://www.sec.gov/Archives/edgar/data/1809104/000110465920058905/tm2015214-3_s1.htm</t>
  </si>
  <si>
    <t>https://www.sec.gov/Archives/edgar/data/1809104/000095017024022978/alit-20231231.htm</t>
  </si>
  <si>
    <t>http://www.alkami.com</t>
  </si>
  <si>
    <t>http://investors.alkami.com</t>
  </si>
  <si>
    <t>https://www.sec.gov/Archives/edgar/data/1529274/000119312521076443/d70489ds1.htm</t>
  </si>
  <si>
    <t>https://www.sec.gov/Archives/edgar/data/1529274/000152927424000029/alk-20231231.htm</t>
  </si>
  <si>
    <t>http://www.amplitude.com</t>
  </si>
  <si>
    <t>http://investors.amplitude.com</t>
  </si>
  <si>
    <t>https://www.sec.gov/Archives/edgar/data/1866692/000119312521260696/d143868ds1.htm</t>
  </si>
  <si>
    <t>https://www.sec.gov/Archives/edgar/data/1866692/000095017024017102/ampl-20231231.htm</t>
  </si>
  <si>
    <t>http://www.ansys.com</t>
  </si>
  <si>
    <t>http://investors.ansys.com</t>
  </si>
  <si>
    <t>https://www.sec.gov/Archives/edgar/data/1013462/000101346224000007/anss-20231231.htm</t>
  </si>
  <si>
    <t>http://www.appfolio.com</t>
  </si>
  <si>
    <t>http://ir.appfolioinc.com</t>
  </si>
  <si>
    <t>https://www.sec.gov/Archives/edgar/data/1433195/000119312515191809/d907976ds1.htm</t>
  </si>
  <si>
    <t>https://www.sec.gov/Archives/edgar/data/1433195/000143319524000023/appf-20231231.htm</t>
  </si>
  <si>
    <t>http://www.appian.com</t>
  </si>
  <si>
    <t>http://investors.appian.com</t>
  </si>
  <si>
    <t>https://www.sec.gov/Archives/edgar/data/1441683/000119312517143330/d363139ds1.htm</t>
  </si>
  <si>
    <t>https://www.sec.gov/Archives/edgar/data/1441683/000144168324000016/appn-20231231.htm</t>
  </si>
  <si>
    <t>http://www.applovin.com</t>
  </si>
  <si>
    <t>http://investors.applovin.com</t>
  </si>
  <si>
    <t>https://www.sec.gov/Archives/edgar/data/1751008/000119312521065782/d73804ds1.htm</t>
  </si>
  <si>
    <t>https://www.sec.gov/Archives/edgar/data/1751008/000175100824000012/app-20231231.htm</t>
  </si>
  <si>
    <t>http://www.apptechcorp.com</t>
  </si>
  <si>
    <t>http://www.apptechcorp.com/departments/investor-relations/</t>
  </si>
  <si>
    <t>https://www.sec.gov/Archives/edgar/data/1070050/000157570521000053/apcx_s1.htm</t>
  </si>
  <si>
    <t>https://www.sec.gov/Archives/edgar/data/1070050/000168316824002017/apptech_i10k-123123.htm</t>
  </si>
  <si>
    <t>http://www.asana.com</t>
  </si>
  <si>
    <t>http://investors.asana.com</t>
  </si>
  <si>
    <t>https://www.sec.gov/Archives/edgar/data/1477720/000119312520228462/d855753ds1.htm</t>
  </si>
  <si>
    <t>https://www.sec.gov/Archives/edgar/data/1477720/000147772024000011/asan-20240131.htm</t>
  </si>
  <si>
    <t>http://www.asuresoftware.com</t>
  </si>
  <si>
    <t>http://investor.asuresoftware.com</t>
  </si>
  <si>
    <t>https://www.sec.gov/Archives/edgar/data/884144/000088414424000022/asur-20231231.htm</t>
  </si>
  <si>
    <t>http://www.atlassian.com</t>
  </si>
  <si>
    <t>http://investors.atlassian.com</t>
  </si>
  <si>
    <t>https://www.sec.gov/Archives/edgar/data/1650372/000165037224000036/team-20240630.htm</t>
  </si>
  <si>
    <t>http://www.autodesk.com</t>
  </si>
  <si>
    <t>http://investors.autodesk.com</t>
  </si>
  <si>
    <t>https://www.sec.gov/Archives/edgar/data/769397/000076939724000090/adsk-20240131.htm</t>
  </si>
  <si>
    <t>http://www.adp.com</t>
  </si>
  <si>
    <t>http://investors.adp.com</t>
  </si>
  <si>
    <t>https://www.sec.gov/Archives/edgar/data/8670/000000867024000024/adp-20240630.htm</t>
  </si>
  <si>
    <t>http://www.avepoint.com</t>
  </si>
  <si>
    <t>http://ir.avepoint.com</t>
  </si>
  <si>
    <t>https://www.sec.gov/Archives/edgar/data/1777921/000121390019016033/fs12019_apextechnology.htm</t>
  </si>
  <si>
    <t>https://www.sec.gov/Archives/edgar/data/1777921/000143774924006145/avpt20231231_10k.htm</t>
  </si>
  <si>
    <t>http://www.aware.com</t>
  </si>
  <si>
    <t>http://www.aware.com/investor-relations/</t>
  </si>
  <si>
    <t>https://www.sec.gov/Archives/edgar/data/1015739/000095017024032239/awre-20231231.htm</t>
  </si>
  <si>
    <t>http://www.backblaze.com</t>
  </si>
  <si>
    <t>http://ir.backblaze.com</t>
  </si>
  <si>
    <t>https://www.sec.gov/Archives/edgar/data/1462056/000119312521301141/d62601ds1.htm</t>
  </si>
  <si>
    <t>https://www.sec.gov/Archives/edgar/data/1462056/000146205624000033/blze-20231231.htm</t>
  </si>
  <si>
    <t>http://www.bentley.com</t>
  </si>
  <si>
    <t>http://investors.bentley.com</t>
  </si>
  <si>
    <t>https://www.sec.gov/Archives/edgar/data/1031308/000089322002000491/w59294s-1.htm</t>
  </si>
  <si>
    <t>https://www.sec.gov/Archives/edgar/data/1031308/000103130824000002/bsy-20231231.htm</t>
  </si>
  <si>
    <t>http://www.bigcommerce.com</t>
  </si>
  <si>
    <t>http://investors.bigcommerce.com</t>
  </si>
  <si>
    <t>https://www.sec.gov/Archives/edgar/data/1626450/000119312520191966/d844671ds1.htm</t>
  </si>
  <si>
    <t>https://www.sec.gov/Archives/edgar/data/1626450/000095017024022864/bigc-20231231.htm</t>
  </si>
  <si>
    <t>http://www.bill.com</t>
  </si>
  <si>
    <t>http://investor.bill.com</t>
  </si>
  <si>
    <t>https://www.sec.gov/Archives/edgar/data/1786352/000119312519293348/d710902ds1.htm</t>
  </si>
  <si>
    <t>https://www.sec.gov/Archives/edgar/data/1786352/000178635224000035/bill-20240630.htm</t>
  </si>
  <si>
    <t>http://www.blackboxstocks.com</t>
  </si>
  <si>
    <t>https://www.sec.gov/Archives/edgar/data/1567900/000143774921023307/blkbx20211001_s1.htm</t>
  </si>
  <si>
    <t>https://www.sec.gov/Archives/edgar/data/1567900/000143774924010302/blkbx20231231_10k.htm</t>
  </si>
  <si>
    <t>http://www.blend.com</t>
  </si>
  <si>
    <t>http://investor.blend.com</t>
  </si>
  <si>
    <t>https://www.sec.gov/Archives/edgar/data/1855747/000119312521194971/d162671ds1.htm</t>
  </si>
  <si>
    <t>https://www.sec.gov/Archives/edgar/data/1855747/000185574724000015/blnd-20231231.htm</t>
  </si>
  <si>
    <t>http://www.box.com</t>
  </si>
  <si>
    <t>http://www.boxinvestorrelations.com</t>
  </si>
  <si>
    <t>https://www.sec.gov/Archives/edgar/data/1372612/000119312514112417/d642425ds1.htm</t>
  </si>
  <si>
    <t>https://www.sec.gov/Archives/edgar/data/1372612/000095017024029241/box-20240131.htm</t>
  </si>
  <si>
    <t>http://www.braze.com</t>
  </si>
  <si>
    <t>http://investors.braze.com</t>
  </si>
  <si>
    <t>https://www.sec.gov/Archives/edgar/data/1676238/000119312521304909/d40379ds1.htm</t>
  </si>
  <si>
    <t>https://www.sec.gov/Archives/edgar/data/1676238/000167623824000049/brze-20240131.htm</t>
  </si>
  <si>
    <t>http://www.bumble.com</t>
  </si>
  <si>
    <t>http://ir.bumble.com</t>
  </si>
  <si>
    <t>https://www.sec.gov/Archives/edgar/data/1830043/000119312521009745/d20761ds1.htm</t>
  </si>
  <si>
    <t>https://www.sec.gov/Archives/edgar/data/1830043/000095017024022104/bmbl-20231231.htm</t>
  </si>
  <si>
    <t>http://www.c3.ai</t>
  </si>
  <si>
    <t>http://ir.c3.ai</t>
  </si>
  <si>
    <t>https://www.sec.gov/Archives/edgar/data/1577526/000162828020016443/c3ais-1.htm</t>
  </si>
  <si>
    <t>https://www.sec.gov/Archives/edgar/data/1577526/000162828024028786/ai-20240430.htm</t>
  </si>
  <si>
    <t>http://www.cccis.com</t>
  </si>
  <si>
    <t>http://ir.cccis.com</t>
  </si>
  <si>
    <t>https://www.sec.gov/Archives/edgar/data/1818201/000114036120016639/nt10013544x2_s1.htm</t>
  </si>
  <si>
    <t>https://www.sec.gov/Archives/edgar/data/1818201/000095017024022253/cccs-20231231.htm</t>
  </si>
  <si>
    <t>http://www.certara.com</t>
  </si>
  <si>
    <t>http://ir.certara.com</t>
  </si>
  <si>
    <t>https://www.sec.gov/Archives/edgar/data/1827090/000110465920126924/tm2030105-7_s1.htm</t>
  </si>
  <si>
    <t>https://www.sec.gov/Archives/edgar/data/1827090/000182709024000006/cert-20231231.htm</t>
  </si>
  <si>
    <t>http://www.checkpoint.com</t>
  </si>
  <si>
    <t>http://www.checkpoint.com/about-us/investor-relations/</t>
  </si>
  <si>
    <t>http://www.clearwateranalytics.com</t>
  </si>
  <si>
    <t>http://investors.clearwateranalytics.com</t>
  </si>
  <si>
    <t>https://www.sec.gov/Archives/edgar/data/1866368/000119312521260325/d179113ds1.htm</t>
  </si>
  <si>
    <t>https://www.sec.gov/Archives/edgar/data/1866368/000162828024007825/cwan-20231231.htm</t>
  </si>
  <si>
    <t>http://www.cloudflare.com</t>
  </si>
  <si>
    <t>http://www.cloudflare.net</t>
  </si>
  <si>
    <t>https://www.sec.gov/Archives/edgar/data/1477333/000119312519222176/d735023ds1.htm</t>
  </si>
  <si>
    <t>https://www.sec.gov/Archives/edgar/data/1477333/000147733324000013/cloud-20231231.htm</t>
  </si>
  <si>
    <t>http://www.cognyte.com</t>
  </si>
  <si>
    <t>http://www.cognyte.com/investors/</t>
  </si>
  <si>
    <t>http://www.confluent.io</t>
  </si>
  <si>
    <t>http://investors.confluent.io</t>
  </si>
  <si>
    <t>https://www.sec.gov/Archives/edgar/data/1699838/000119312521178773/d63025ds1.htm</t>
  </si>
  <si>
    <t>https://www.sec.gov/Archives/edgar/data/1699838/000095017024018036/cflt-20231231.htm</t>
  </si>
  <si>
    <t>http://www.couchbase.com</t>
  </si>
  <si>
    <t>http://investors.couchbase.com</t>
  </si>
  <si>
    <t>https://www.sec.gov/Archives/edgar/data/1845022/000119312521194292/d73036ds1.htm</t>
  </si>
  <si>
    <t>https://www.sec.gov/Archives/edgar/data/1845022/000184502224000020/base-20240131.htm</t>
  </si>
  <si>
    <t>http://www.coursera.org</t>
  </si>
  <si>
    <t>http://investor.coursera.com</t>
  </si>
  <si>
    <t>https://www.sec.gov/Archives/edgar/data/1651562/000119312521071525/d65490ds1.htm</t>
  </si>
  <si>
    <t>https://www.sec.gov/Archives/edgar/data/1651562/000165156224000012/cour-20231231.htm</t>
  </si>
  <si>
    <t>http://www.crowdstrike.com</t>
  </si>
  <si>
    <t>http://ir.crowdstrike.com</t>
  </si>
  <si>
    <t>https://www.sec.gov/Archives/edgar/data/1535527/000104746919003095/a2238800zs-1.htm</t>
  </si>
  <si>
    <t>https://www.sec.gov/Archives/edgar/data/1535527/000153552724000007/crwd-20240131.htm</t>
  </si>
  <si>
    <t>http://www.csdisco.com</t>
  </si>
  <si>
    <t>http://ir.csdisco.com</t>
  </si>
  <si>
    <t>https://www.sec.gov/Archives/edgar/data/1625641/000119312521200525/d176601ds1.htm</t>
  </si>
  <si>
    <t>https://www.sec.gov/Archives/edgar/data/1625641/000162564124000043/law-20231231.htm</t>
  </si>
  <si>
    <t>http://www.csgi.com</t>
  </si>
  <si>
    <t>http://ir.csgi.com</t>
  </si>
  <si>
    <t>https://www.sec.gov/Archives/edgar/data/1005757/000095017024016286/csgs-20231231.htm</t>
  </si>
  <si>
    <t>http://www.cyberark.com</t>
  </si>
  <si>
    <t>http://investors.cyberark.com</t>
  </si>
  <si>
    <t>http://www.datadoghq.com</t>
  </si>
  <si>
    <t>http://investors.datadoghq.com</t>
  </si>
  <si>
    <t>https://www.sec.gov/Archives/edgar/data/1561550/000119312519227783/d745413ds1.htm</t>
  </si>
  <si>
    <t>https://www.sec.gov/Archives/edgar/data/1561550/000156155024000009/ddog-20231231.htm</t>
  </si>
  <si>
    <t>http://www.descartes.com</t>
  </si>
  <si>
    <t>http://www.descartes.com/who-we-are/investor-relations</t>
  </si>
  <si>
    <t>http://www.digitalturbine.com</t>
  </si>
  <si>
    <t>http://ir.digitalturbine.com</t>
  </si>
  <si>
    <t>https://www.sec.gov/Archives/edgar/data/317788/000114420416130337/v451432_s1.htm</t>
  </si>
  <si>
    <t>https://www.sec.gov/Archives/edgar/data/317788/000162828024025455/apps-20240331.htm</t>
  </si>
  <si>
    <t>http://www.digitalocean.com</t>
  </si>
  <si>
    <t>http://investors.digitalocean.com</t>
  </si>
  <si>
    <t>https://www.sec.gov/Archives/edgar/data/1582961/000119312521055798/d898181ds1.htm</t>
  </si>
  <si>
    <t>https://www.sec.gov/Archives/edgar/data/1582961/000158296124000031/docn-20231231.htm</t>
  </si>
  <si>
    <t>http://www.docebo.com</t>
  </si>
  <si>
    <t>http://www.docebo.inc</t>
  </si>
  <si>
    <t>http://www.docusign.com</t>
  </si>
  <si>
    <t>http://investor.docusign.com</t>
  </si>
  <si>
    <t>https://www.sec.gov/Archives/edgar/data/1261333/000119312518099555/d506878ds1.htm</t>
  </si>
  <si>
    <t>https://www.sec.gov/Archives/edgar/data/1261333/000126133324000045/docu-20240131.htm</t>
  </si>
  <si>
    <t>http://www.domo.com</t>
  </si>
  <si>
    <t>http://www.domoinvestors.com</t>
  </si>
  <si>
    <t>https://www.sec.gov/Archives/edgar/data/1505952/000162828018007487/domoincs-1.htm</t>
  </si>
  <si>
    <t>https://www.sec.gov/Archives/edgar/data/1505952/000150595224000015/domo-20240131.htm</t>
  </si>
  <si>
    <t>http://www.dfinsolutions.com</t>
  </si>
  <si>
    <t>http://investor.dfinsolutions.com</t>
  </si>
  <si>
    <t>https://www.sec.gov/Archives/edgar/data/1669811/000119312517095623/d364339ds1.htm</t>
  </si>
  <si>
    <t>https://www.sec.gov/Archives/edgar/data/1669811/000095017024017094/dfin-20231231.htm</t>
  </si>
  <si>
    <t>http://www.doubleverify.com</t>
  </si>
  <si>
    <t>http://ir.doubleverify.com</t>
  </si>
  <si>
    <t>https://www.sec.gov/Archives/edgar/data/1819928/000104746921000623/a2243008zs-1.htm</t>
  </si>
  <si>
    <t>https://www.sec.gov/Archives/edgar/data/1819928/000155837024002008/dv-20231231x10k.htm</t>
  </si>
  <si>
    <t>http://www.doximity.com</t>
  </si>
  <si>
    <t>http://investors.doximity.com</t>
  </si>
  <si>
    <t>https://www.sec.gov/Archives/edgar/data/1516513/000162828021011269/doximity-sx1.htm</t>
  </si>
  <si>
    <t>https://www.sec.gov/Archives/edgar/data/1516513/000151651324000035/docs-20240331.htm</t>
  </si>
  <si>
    <t>http://www.dropbox.com</t>
  </si>
  <si>
    <t>http://dropbox.gcs-web.com</t>
  </si>
  <si>
    <t>https://www.sec.gov/Archives/edgar/data/1467623/000119312518055809/d451946ds1.htm</t>
  </si>
  <si>
    <t>https://www.sec.gov/Archives/edgar/data/1467623/000146762324000008/dbx-20231231.htm</t>
  </si>
  <si>
    <t>http://www.duolingo.com</t>
  </si>
  <si>
    <t>http://investors.duolingo.com/investor-relations</t>
  </si>
  <si>
    <t>https://www.sec.gov/Archives/edgar/data/1562088/000162828021013065/duolingos-1.htm</t>
  </si>
  <si>
    <t>https://www.sec.gov/Archives/edgar/data/1562088/000156208824000050/duol-20231231.htm</t>
  </si>
  <si>
    <t>http://www.dynatrace.com</t>
  </si>
  <si>
    <t>http://ir.dynatrace.com</t>
  </si>
  <si>
    <t>https://www.sec.gov/Archives/edgar/data/1773383/000119312519189566/d668054ds1.htm</t>
  </si>
  <si>
    <t>https://www.sec.gov/Archives/edgar/data/1773383/000177338324000076/dt-20240331.htm</t>
  </si>
  <si>
    <t>http://www.e2open.com</t>
  </si>
  <si>
    <t>http://investors.e2open.com</t>
  </si>
  <si>
    <t>https://www.sec.gov/Archives/edgar/data/1800347/000104746920001294/a2240689zs-1.htm</t>
  </si>
  <si>
    <t>https://www.sec.gov/Archives/edgar/data/1800347/000095017024049948/etwo-20240229.htm</t>
  </si>
  <si>
    <t>http://www.egain.com</t>
  </si>
  <si>
    <t>http://www.egain.com/company/investors/</t>
  </si>
  <si>
    <t>https://www.sec.gov/Archives/edgar/data/1066194/000155837024012767/egan-20240630x10k.htm</t>
  </si>
  <si>
    <t>http://www.elastic.co</t>
  </si>
  <si>
    <t>http://ir.elastic.co</t>
  </si>
  <si>
    <t>https://www.sec.gov/Archives/edgar/data/1707753/000119312518266861/d588632ds1.htm</t>
  </si>
  <si>
    <t>https://www.sec.gov/Archives/edgar/data/1707753/000170775324000014/estc-20240430.htm</t>
  </si>
  <si>
    <t>http://www.eventbrite.com</t>
  </si>
  <si>
    <t>http://investor.eventbrite.com</t>
  </si>
  <si>
    <t>https://www.sec.gov/Archives/edgar/data/1475115/000119312518255960/d593770ds1.htm</t>
  </si>
  <si>
    <t>https://www.sec.gov/Archives/edgar/data/1475115/000147511524000042/eb-20231231.htm</t>
  </si>
  <si>
    <t>http://www.evercommerce.com</t>
  </si>
  <si>
    <t>http://investors.evercommerce.com</t>
  </si>
  <si>
    <t>https://www.sec.gov/Archives/edgar/data/1853145/000114036121019260/nt10022251x4_s1.htm</t>
  </si>
  <si>
    <t>https://www.sec.gov/Archives/edgar/data/1853145/000185314524000026/evcm-20231231.htm</t>
  </si>
  <si>
    <t>http://www.expensify.com</t>
  </si>
  <si>
    <t>http://ir.expensify.com</t>
  </si>
  <si>
    <t>https://www.sec.gov/Archives/edgar/data/1476840/000162828021020115/expensifys-1.htm</t>
  </si>
  <si>
    <t>https://www.sec.gov/Archives/edgar/data/1476840/000147684024000016/exfy-20231231.htm</t>
  </si>
  <si>
    <t>http://www.f5.com</t>
  </si>
  <si>
    <t>http://investors.f5.com</t>
  </si>
  <si>
    <t>https://www.sec.gov/Archives/edgar/data/1048695/000104869524000185/ffiv-20240930.htm</t>
  </si>
  <si>
    <t>http://www.fastly.com</t>
  </si>
  <si>
    <t>http://investors.fastly.com</t>
  </si>
  <si>
    <t>https://www.sec.gov/Archives/edgar/data/1517413/000119312519111675/d702138ds1.htm</t>
  </si>
  <si>
    <t>https://www.sec.gov/Archives/edgar/data/1517413/000151741324000048/fsly-20231231.htm</t>
  </si>
  <si>
    <t>http://www.fiscalnote.com</t>
  </si>
  <si>
    <t>http://investors.fiscalnote.com</t>
  </si>
  <si>
    <t>https://www.sec.gov/Archives/edgar/data/1823466/000095010320019390/dp137951_s1.htm</t>
  </si>
  <si>
    <t>https://www.sec.gov/Archives/edgar/data/1823466/000095017024031826/note-20231231.htm</t>
  </si>
  <si>
    <t>http://www.five9.com</t>
  </si>
  <si>
    <t>http://investors.five9.com</t>
  </si>
  <si>
    <t>https://www.sec.gov/Archives/edgar/data/1288847/000119312514078791/d626745ds1.htm</t>
  </si>
  <si>
    <t>https://www.sec.gov/Archives/edgar/data/1288847/000128884724000012/fivn-20231231.htm</t>
  </si>
  <si>
    <t>http://www.fortinet.com</t>
  </si>
  <si>
    <t>http://investor.fortinet.com</t>
  </si>
  <si>
    <t>https://www.sec.gov/Archives/edgar/data/1262039/000119312509169817/ds1.htm</t>
  </si>
  <si>
    <t>https://www.sec.gov/Archives/edgar/data/1262039/000126203924000014/ftnt-20231231.htm</t>
  </si>
  <si>
    <t>http://www.freshworks.com</t>
  </si>
  <si>
    <t>http://ir.freshworks.com</t>
  </si>
  <si>
    <t>https://www.sec.gov/Archives/edgar/data/1544522/000162828021017717/freshworkss-1.htm</t>
  </si>
  <si>
    <t>https://www.sec.gov/Archives/edgar/data/1544522/000154452224000012/frsh-20231231.htm</t>
  </si>
  <si>
    <t>http://www.gendigital.com</t>
  </si>
  <si>
    <t>http://investor.gendigital.com</t>
  </si>
  <si>
    <t>https://www.sec.gov/Archives/edgar/data/849399/000084939924000036/gen-20240329.htm</t>
  </si>
  <si>
    <t>http://www.geniussports.com</t>
  </si>
  <si>
    <t>http://investors.geniussports.com</t>
  </si>
  <si>
    <t>http://www.gitlab.com</t>
  </si>
  <si>
    <t>http://ir.gitlab.com</t>
  </si>
  <si>
    <t>https://www.sec.gov/Archives/edgar/data/1653482/000162828021018818/gitlab-sx1.htm</t>
  </si>
  <si>
    <t>https://www.sec.gov/Archives/edgar/data/1653482/000162828024012963/gtlb-20240131.htm</t>
  </si>
  <si>
    <t>http://www.godaddy.com</t>
  </si>
  <si>
    <t>http://aboutus.godaddy.net/investor-relations</t>
  </si>
  <si>
    <t>https://www.sec.gov/Archives/edgar/data/1609711/000119312514230425/d728713ds1.htm</t>
  </si>
  <si>
    <t>https://www.sec.gov/Archives/edgar/data/1609711/000160971124000022/gddy-20231231.htm</t>
  </si>
  <si>
    <t>http://www.guidewire.com</t>
  </si>
  <si>
    <t>http://ir.guidewire.com</t>
  </si>
  <si>
    <t>https://www.sec.gov/Archives/edgar/data/1528396/000119312511240194/ds1.htm</t>
  </si>
  <si>
    <t>https://www.sec.gov/Archives/edgar/data/1528396/000152839624000105/gwre-20240731.htm</t>
  </si>
  <si>
    <t>http://www.healthcatalyst.com</t>
  </si>
  <si>
    <t>http://ir.healthcatalyst.com</t>
  </si>
  <si>
    <t>https://www.sec.gov/Archives/edgar/data/1636422/000162828019008426/healthcatalysts-1.htm</t>
  </si>
  <si>
    <t>https://www.sec.gov/Archives/edgar/data/1636422/000163642224000016/hcat-20231231.htm</t>
  </si>
  <si>
    <t>http://www.hubspot.com</t>
  </si>
  <si>
    <t>http://ir.hubspot.com</t>
  </si>
  <si>
    <t>https://www.sec.gov/Archives/edgar/data/1404655/000119312514320044/d697256ds1.htm</t>
  </si>
  <si>
    <t>https://www.sec.gov/Archives/edgar/data/1404655/000095017024015277/hubs-20231231.htm</t>
  </si>
  <si>
    <t>http://www.informatica.com</t>
  </si>
  <si>
    <t>http://investors.informatica.com</t>
  </si>
  <si>
    <t>https://www.sec.gov/Archives/edgar/data/1868778/000119312521300476/d169828ds1a.htm</t>
  </si>
  <si>
    <t>https://www.sec.gov/Archives/edgar/data/1868778/000186877824000006/infa-20231231.htm</t>
  </si>
  <si>
    <t>http://www.integralads.com</t>
  </si>
  <si>
    <t>http://investors.integralads.com</t>
  </si>
  <si>
    <t>https://www.sec.gov/Archives/edgar/data/1842718/000119312521181985/d35256ds1.htm</t>
  </si>
  <si>
    <t>https://www.sec.gov/Archives/edgar/data/1842718/000184271824000013/ias-20231231.htm</t>
  </si>
  <si>
    <t>http://www.intellicheck.com</t>
  </si>
  <si>
    <t>http://www.intellicheck.com/investors</t>
  </si>
  <si>
    <t>https://www.sec.gov/Archives/edgar/data/1040896/000114420414075072/v396872_s1.htm</t>
  </si>
  <si>
    <t>https://www.sec.gov/Archives/edgar/data/1040896/000162828024013949/idn-20231231.htm</t>
  </si>
  <si>
    <t>http://www.intuit.com</t>
  </si>
  <si>
    <t>http://investors.intuit.com</t>
  </si>
  <si>
    <t>https://www.sec.gov/Archives/edgar/data/896878/000089687824000039/intu-20240731.htm</t>
  </si>
  <si>
    <t>http://www.jamf.com</t>
  </si>
  <si>
    <t>http://ir.jamf.com</t>
  </si>
  <si>
    <t>https://www.sec.gov/Archives/edgar/data/1721947/000104746920003905/a2241939zs-1.htm</t>
  </si>
  <si>
    <t>https://www.sec.gov/Archives/edgar/data/1721947/000162828024007212/jamf-20231231.htm</t>
  </si>
  <si>
    <t>http://www.jfrog.com</t>
  </si>
  <si>
    <t>http://investors.jfrog.com</t>
  </si>
  <si>
    <t>https://www.sec.gov/Archives/edgar/data/1800667/000119312520228195/d841831ds1.htm</t>
  </si>
  <si>
    <t>https://www.sec.gov/Archives/edgar/data/1800667/000095017024015873/frog-20231231.htm</t>
  </si>
  <si>
    <t>http://www.kaltura.com</t>
  </si>
  <si>
    <t>http://investors.kaltura.com</t>
  </si>
  <si>
    <t>https://www.sec.gov/Archives/edgar/data/1432133/000162828021003617/kalturas-1.htm</t>
  </si>
  <si>
    <t>https://www.sec.gov/Archives/edgar/data/1432133/000143213324000088/kltr-20231231.htm</t>
  </si>
  <si>
    <t>http://www.karooooo.com</t>
  </si>
  <si>
    <t>http://www.karooooo.com/investor-relations</t>
  </si>
  <si>
    <t>http://www.kingsoftcloud.com</t>
  </si>
  <si>
    <t>http://ir.ksyun.com</t>
  </si>
  <si>
    <t>http://www.klaviyo.com</t>
  </si>
  <si>
    <t>http://investors.klaviyo.com</t>
  </si>
  <si>
    <t>https://www.sec.gov/Archives/edgar/data/1835830/000162828023030618/klaviyoincs-1.htm</t>
  </si>
  <si>
    <t>https://www.sec.gov/Archives/edgar/data/1835830/000183583024000022/kvyo-20231231.htm</t>
  </si>
  <si>
    <t>http://www.legalzoom.com</t>
  </si>
  <si>
    <t>http://investors.legalzoom.com</t>
  </si>
  <si>
    <t>https://www.sec.gov/Archives/edgar/data/1286139/000104746912005763/a2209299zs-1.htm</t>
  </si>
  <si>
    <t>https://www.sec.gov/Archives/edgar/data/1286139/000128613924000031/lz-20231231.htm</t>
  </si>
  <si>
    <t>http://www.lightspeedhq.com</t>
  </si>
  <si>
    <t>http://investors.lightspeedhq.com</t>
  </si>
  <si>
    <t>http://www.liveperson.com</t>
  </si>
  <si>
    <t>http://ir.liveperson.com</t>
  </si>
  <si>
    <t>https://www.sec.gov/Archives/edgar/data/1102993/000110299324000037/lpsn-20231231.htm</t>
  </si>
  <si>
    <t>http://www.liveramp.com</t>
  </si>
  <si>
    <t>http://investors.liveramp.com</t>
  </si>
  <si>
    <t>https://www.sec.gov/Archives/edgar/data/733269/000073326924000018/ramp-20240331.htm</t>
  </si>
  <si>
    <t>http://www.livongo.com</t>
  </si>
  <si>
    <t>http://ir.teladochealth.com</t>
  </si>
  <si>
    <t>https://www.sec.gov/Archives/edgar/data/1477449/000104746915005109/a2224910zs-1.htm</t>
  </si>
  <si>
    <t>https://www.sec.gov/Archives/edgar/data/1477449/000147744924000023/tdoc-20231231.htm</t>
  </si>
  <si>
    <t>http://www.marqeta.com</t>
  </si>
  <si>
    <t>http://investors.marqeta.com</t>
  </si>
  <si>
    <t>https://www.sec.gov/Archives/edgar/data/1522540/000119312521162113/d64065ds1.htm</t>
  </si>
  <si>
    <t>https://www.sec.gov/Archives/edgar/data/1522540/000162828024007663/mq-20231231.htm</t>
  </si>
  <si>
    <t>http://www.match.com</t>
  </si>
  <si>
    <t>http://ir.mtch.com</t>
  </si>
  <si>
    <t>https://www.sec.gov/Archives/edgar/data/891103/000089110324000014/mtch-20231231.htm</t>
  </si>
  <si>
    <t>http://www.microstrategy.com</t>
  </si>
  <si>
    <t>http://www.microstrategy.com/investor-relations</t>
  </si>
  <si>
    <t>https://www.sec.gov/Archives/edgar/data/1050446/000095017024015847/mstr-20231231.htm</t>
  </si>
  <si>
    <t>http://www.miteksystems.com</t>
  </si>
  <si>
    <t>http://investors.miteksystems.com</t>
  </si>
  <si>
    <t>https://www.sec.gov/Archives/edgar/data/807863/000095012324002926/mitk-20230930.htm</t>
  </si>
  <si>
    <t>http://www.monday.com</t>
  </si>
  <si>
    <t>http://ir.monday.com</t>
  </si>
  <si>
    <t>http://www.mongodb.com</t>
  </si>
  <si>
    <t>http://investors.mongodb.com</t>
  </si>
  <si>
    <t>https://www.sec.gov/Archives/edgar/data/1441816/000104746917006014/a2233365zs-1.htm</t>
  </si>
  <si>
    <t>https://www.sec.gov/Archives/edgar/data/1441816/000144181624000049/mdb-20240131.htm</t>
  </si>
  <si>
    <t>http://www.mysizeid.com</t>
  </si>
  <si>
    <t>http://mysizeid.com/investors/</t>
  </si>
  <si>
    <t>https://www.sec.gov/Archives/edgar/data/1211805/000121390017012574/fs12017_mysize.htm</t>
  </si>
  <si>
    <t>https://www.sec.gov/Archives/edgar/data/1211805/000149315224012542/form10-k.htm</t>
  </si>
  <si>
    <t>http://www.n-able.com</t>
  </si>
  <si>
    <t>http://investors.n-able.com</t>
  </si>
  <si>
    <t>https://www.sec.gov/Archives/edgar/data/1834488/000162828021017497/nabl-20210823.htm</t>
  </si>
  <si>
    <t>https://www.sec.gov/Archives/edgar/data/1834488/000183448824000032/nabl-20231231.htm</t>
  </si>
  <si>
    <t>http://www.ncino.com</t>
  </si>
  <si>
    <t>http://investor.ncino.com</t>
  </si>
  <si>
    <t>https://www.sec.gov/Archives/edgar/data/1902733/000190273324000053/ncno-20240131.htm</t>
  </si>
  <si>
    <t>http://www.nerdy.com</t>
  </si>
  <si>
    <t>http://investors.nerdy.com</t>
  </si>
  <si>
    <t>https://www.sec.gov/Archives/edgar/data/1819404/000119312521299492/d189572ds1.htm</t>
  </si>
  <si>
    <t>https://www.sec.gov/Archives/edgar/data/1819404/000181940424000019/nrdy-20231231.htm</t>
  </si>
  <si>
    <t>http://www.netflix.com</t>
  </si>
  <si>
    <t>http://ir.netflix.net</t>
  </si>
  <si>
    <t>https://www.sec.gov/Archives/edgar/data/1065280/000101287002002125/ds1a.htm</t>
  </si>
  <si>
    <t>https://www.sec.gov/Archives/edgar/data/1065280/000106528024000030/nflx-20231231.htm</t>
  </si>
  <si>
    <t>http://www.nice.com</t>
  </si>
  <si>
    <t>http://www.nice.com/company/investors</t>
  </si>
  <si>
    <t>http://www.okta.com</t>
  </si>
  <si>
    <t>http://investor.okta.com</t>
  </si>
  <si>
    <t>https://www.sec.gov/Archives/edgar/data/1660134/000119312517080301/d289173ds1.htm</t>
  </si>
  <si>
    <t>https://www.sec.gov/Archives/edgar/data/1660134/000166013424000025/okta-20240131.htm</t>
  </si>
  <si>
    <t>http://www.olo.com</t>
  </si>
  <si>
    <t>http://investors.olo.com</t>
  </si>
  <si>
    <t>https://www.sec.gov/Archives/edgar/data/1431695/000119312521049073/d867519ds1.htm</t>
  </si>
  <si>
    <t>https://www.sec.gov/Archives/edgar/data/1431695/000143169524000008/olo-20231231.htm</t>
  </si>
  <si>
    <t>http://www.onespan.com</t>
  </si>
  <si>
    <t>http://investors.onespan.com</t>
  </si>
  <si>
    <t>https://www.sec.gov/Archives/edgar/data/1044777/000095013606000265/file001.htm</t>
  </si>
  <si>
    <t>https://www.sec.gov/Archives/edgar/data/1044777/000162828024009466/ospn-20231231.htm</t>
  </si>
  <si>
    <t>http://www.onestream.com</t>
  </si>
  <si>
    <t>https://investor.onestream.com/</t>
  </si>
  <si>
    <t>https://www.sec.gov/Archives/edgar/data/1889956/000095017024079050/onestream_s-1_ipo.htm</t>
  </si>
  <si>
    <t>http://www.opentext.com</t>
  </si>
  <si>
    <t>http://investors.opentext.com</t>
  </si>
  <si>
    <t>https://www.sec.gov/Archives/edgar/data/1002638/000100263824000052/otex-20240630.htm</t>
  </si>
  <si>
    <t>http://www.oracle.com</t>
  </si>
  <si>
    <t>http://investor.oracle.com</t>
  </si>
  <si>
    <t>https://www.sec.gov/Archives/edgar/data/1341439/000095017024075605/orcl-20240531.htm</t>
  </si>
  <si>
    <t>http://www.pagerduty.com</t>
  </si>
  <si>
    <t>http://investor.pagerduty.com</t>
  </si>
  <si>
    <t>https://www.sec.gov/Archives/edgar/data/1568100/000162828019003003/pagerdutys-1.htm</t>
  </si>
  <si>
    <t>https://www.sec.gov/Archives/edgar/data/1568100/000156810024000013/pd-20240131.htm</t>
  </si>
  <si>
    <t>http://www.palantir.com</t>
  </si>
  <si>
    <t>http://investors.palantir.com</t>
  </si>
  <si>
    <t>https://www.sec.gov/Archives/edgar/data/1321655/000119312520230013/d904406ds1.htm</t>
  </si>
  <si>
    <t>https://www.sec.gov/Archives/edgar/data/1321655/000132165524000022/pltr-20231231.htm</t>
  </si>
  <si>
    <t>http://www.paloaltonetworks.com</t>
  </si>
  <si>
    <t>http://investors.paloaltonetworks.com</t>
  </si>
  <si>
    <t>https://www.sec.gov/Archives/edgar/data/1327567/000119312512153764/d318373ds1.htm</t>
  </si>
  <si>
    <t>https://www.sec.gov/Archives/edgar/data/1327567/000132756724000029/panw-20240731.htm</t>
  </si>
  <si>
    <t>http://www.partech.com</t>
  </si>
  <si>
    <t>http://www.partech.com/investor-relations/</t>
  </si>
  <si>
    <t>https://www.sec.gov/Archives/edgar/data/708821/000070882124000014/par-20231231.htm</t>
  </si>
  <si>
    <t>http://www.paycom.com</t>
  </si>
  <si>
    <t>http://investors.paycom.com</t>
  </si>
  <si>
    <t>https://www.sec.gov/Archives/edgar/data/1590955/000119312514091543/d609623ds1.htm</t>
  </si>
  <si>
    <t>https://www.sec.gov/Archives/edgar/data/1590955/000095017024015863/payc-20231231.htm</t>
  </si>
  <si>
    <t>http://www.paylocity.com</t>
  </si>
  <si>
    <t>http://investors.paylocity.com</t>
  </si>
  <si>
    <t>https://www.sec.gov/Archives/edgar/data/1591698/000104746914002485/a2218484zs-1a.htm</t>
  </si>
  <si>
    <t>https://www.sec.gov/Archives/edgar/data/1591698/000159169824000151/pcty-20240630.htm</t>
  </si>
  <si>
    <t>http://www.pega.com</t>
  </si>
  <si>
    <t>http://www.pega.com/about/investors</t>
  </si>
  <si>
    <t>https://www.sec.gov/Archives/edgar/data/1013857/000101385724000012/pega-20231231.htm</t>
  </si>
  <si>
    <t>http://www.perion.com</t>
  </si>
  <si>
    <t>http://www.perion.com/investors/</t>
  </si>
  <si>
    <t>http://www.pros.com</t>
  </si>
  <si>
    <t>http://ir.pros.com</t>
  </si>
  <si>
    <t>https://www.sec.gov/Archives/edgar/data/1392972/000104746907002561/a2176970zs-1.htm</t>
  </si>
  <si>
    <t>https://www.sec.gov/Archives/edgar/data/1392972/000139297224000025/pro-20231231.htm</t>
  </si>
  <si>
    <t>http://www.pubmatic.com</t>
  </si>
  <si>
    <t>http://investors.pubmatic.com</t>
  </si>
  <si>
    <t>https://www.sec.gov/Archives/edgar/data/1422930/000162828020016438/pubmatics-12020.htm</t>
  </si>
  <si>
    <t>https://www.sec.gov/Archives/edgar/data/1422930/000142293024000012/pubm-20231231.htm</t>
  </si>
  <si>
    <t>http://www.qualys.com</t>
  </si>
  <si>
    <t>http://investor.qualys.com</t>
  </si>
  <si>
    <t>https://www.sec.gov/Archives/edgar/data/1107843/000119312512265366/d355355ds1.htm</t>
  </si>
  <si>
    <t>https://www.sec.gov/Archives/edgar/data/1107843/000110784324000008/qlys-20231231.htm</t>
  </si>
  <si>
    <t>http://www.rackspace.com</t>
  </si>
  <si>
    <t>http://ir.rackspace.com</t>
  </si>
  <si>
    <t>https://www.sec.gov/Archives/edgar/data/1810019/000119312520190902/d915709ds1.htm</t>
  </si>
  <si>
    <t>https://www.sec.gov/Archives/edgar/data/1810019/000181001924000042/rxt-20231231.htm</t>
  </si>
  <si>
    <t>http://www.rapid7.com</t>
  </si>
  <si>
    <t>http://investors.rapid7.com</t>
  </si>
  <si>
    <t>https://www.sec.gov/Archives/edgar/data/1560327/000119312515220243/d908531ds1.htm</t>
  </si>
  <si>
    <t>https://www.sec.gov/Archives/edgar/data/1560327/000156032724000021/rp-20231231.htm</t>
  </si>
  <si>
    <t>http://www.ringcentral.com</t>
  </si>
  <si>
    <t>http://ir.ringcentral.com</t>
  </si>
  <si>
    <t>https://www.sec.gov/Archives/edgar/data/1384905/000119312513346260/d310247ds1.htm</t>
  </si>
  <si>
    <t>https://www.sec.gov/Archives/edgar/data/1384905/000138490524000013/rng-20231231.htm</t>
  </si>
  <si>
    <t>http://www.riskified.com</t>
  </si>
  <si>
    <t>http://ir.riskified.com</t>
  </si>
  <si>
    <t>http://www.rubrik.com</t>
  </si>
  <si>
    <t>http://ir.rubrik.com</t>
  </si>
  <si>
    <t>https://www.sec.gov/Archives/edgar/data/1943896/000119312524083525/d359771ds1.htm</t>
  </si>
  <si>
    <t>http://www.rumble.com</t>
  </si>
  <si>
    <t>http://investors.rumble.com</t>
  </si>
  <si>
    <t>https://www.sec.gov/Archives/edgar/data/1830081/000121390021005460/fs2021_cfacqcorp6.htm</t>
  </si>
  <si>
    <t>https://www.sec.gov/Archives/edgar/data/1830081/000121390024026599/ea0202455-10k_rumble.htm</t>
  </si>
  <si>
    <t>http://www.sabre.com</t>
  </si>
  <si>
    <t>http://investors.sabre.com</t>
  </si>
  <si>
    <t>https://www.sec.gov/Archives/edgar/data/1597033/000119312514015201/d652688ds1.htm</t>
  </si>
  <si>
    <t>https://www.sec.gov/Archives/edgar/data/1597033/000159703324000020/sabr-20231231.htm</t>
  </si>
  <si>
    <t>http://www.salesforce.com</t>
  </si>
  <si>
    <t>http://investor.salesforce.com</t>
  </si>
  <si>
    <t>https://www.sec.gov/Archives/edgar/data/1108524/000119312503096073/ds1.htm</t>
  </si>
  <si>
    <t>https://www.sec.gov/Archives/edgar/data/1108524/000110852424000005/crm-20240131.htm</t>
  </si>
  <si>
    <t>http://www.samsara.com</t>
  </si>
  <si>
    <t>http://investors.samsara.com</t>
  </si>
  <si>
    <t>https://www.sec.gov/Archives/edgar/data/1642896/000119312521334578/d261594ds1.htm</t>
  </si>
  <si>
    <t>https://www.sec.gov/Archives/edgar/data/1642896/000164289624000016/iot-20240203.htm</t>
  </si>
  <si>
    <t>http://www.semrush.com</t>
  </si>
  <si>
    <t>http://investors.semrush.com</t>
  </si>
  <si>
    <t>https://www.sec.gov/Archives/edgar/data/1831840/000162828021003658/semrushforms-1.htm</t>
  </si>
  <si>
    <t>https://www.sec.gov/Archives/edgar/data/1831840/000162828024009657/semr-20231231.htm</t>
  </si>
  <si>
    <t>http://www.sentinelone.com</t>
  </si>
  <si>
    <t>http://investors.sentinelone.com</t>
  </si>
  <si>
    <t>https://www.sec.gov/Archives/edgar/data/1583708/000162828021011624/sentineloneincs-1initialpu.htm</t>
  </si>
  <si>
    <t>https://www.sec.gov/Archives/edgar/data/1583708/000158370824000016/s-20240131.htm</t>
  </si>
  <si>
    <t>http://www.servicenow.com</t>
  </si>
  <si>
    <t>http://www.servicenow.com/company/investor-relations.html</t>
  </si>
  <si>
    <t>https://www.sec.gov/Archives/edgar/data/1373715/000119312512280645/d301887ds1a.htm</t>
  </si>
  <si>
    <t>https://www.sec.gov/Archives/edgar/data/1373715/000137371524000030/now-20231231.htm</t>
  </si>
  <si>
    <t>http://www.shopify.com</t>
  </si>
  <si>
    <t>http://investors.shopify.com</t>
  </si>
  <si>
    <t>http://www.similarweb.com</t>
  </si>
  <si>
    <t>http://ir.similarweb.com</t>
  </si>
  <si>
    <t>http://www.snowflake.com</t>
  </si>
  <si>
    <t>http://investors.snowflake.com</t>
  </si>
  <si>
    <t>https://www.sec.gov/Archives/edgar/data/1640147/000162828020013010/snowflakes-1.htm</t>
  </si>
  <si>
    <t>https://www.sec.gov/Archives/edgar/data/1640147/000164014724000101/snow-20240131.htm</t>
  </si>
  <si>
    <t>http://www.soundhound.com</t>
  </si>
  <si>
    <t>http://investors.soundhound.com</t>
  </si>
  <si>
    <t>https://www.sec.gov/Archives/edgar/data/1840856/000121390021009092/fs12021_archimedes.htm</t>
  </si>
  <si>
    <t>https://www.sec.gov/Archives/edgar/data/1840856/000184085624000013/soun-20231231.htm</t>
  </si>
  <si>
    <t>http://www.spok.com</t>
  </si>
  <si>
    <t>http://investors.spok.com</t>
  </si>
  <si>
    <t>https://www.sec.gov/Archives/edgar/data/1289945/000128994524000010/spok-20231231.htm</t>
  </si>
  <si>
    <t>http://www.spotify.com</t>
  </si>
  <si>
    <t>http://investors.spotify.com</t>
  </si>
  <si>
    <t>http://www.sprinklr.com</t>
  </si>
  <si>
    <t>http://investors.sprinklr.com</t>
  </si>
  <si>
    <t>https://www.sec.gov/Archives/edgar/data/1569345/000119312521177215/d58050ds1.htm</t>
  </si>
  <si>
    <t>https://www.sec.gov/Archives/edgar/data/1569345/000156934524000019/cxm-20240131.htm</t>
  </si>
  <si>
    <t>http://www.sproutsocial.com</t>
  </si>
  <si>
    <t>http://investors.sproutsocial.com</t>
  </si>
  <si>
    <t>https://www.sec.gov/Archives/edgar/data/1517375/000162828019012563/sproutsocials-1.htm</t>
  </si>
  <si>
    <t>https://www.sec.gov/Archives/edgar/data/1517375/000151737524000020/spt-20231231.htm</t>
  </si>
  <si>
    <t>http://www.spscommerce.com</t>
  </si>
  <si>
    <t>http://investors.spscommerce.com</t>
  </si>
  <si>
    <t>https://www.sec.gov/Archives/edgar/data/1092699/000095012309068120/c54716sv1.htm</t>
  </si>
  <si>
    <t>https://www.sec.gov/Archives/edgar/data/1092699/000109269924000012/spsc-20231231.htm</t>
  </si>
  <si>
    <t>http://www.ssctech.com</t>
  </si>
  <si>
    <t>http://investor.ssctech.com</t>
  </si>
  <si>
    <t>https://www.sec.gov/Archives/edgar/data/1402436/000095013507003645/b65660s1sv1.htm</t>
  </si>
  <si>
    <t>https://www.sec.gov/Archives/edgar/data/1402436/000095017024022080/ssnc-20231231.htm</t>
  </si>
  <si>
    <t>http://www.synopsys.com</t>
  </si>
  <si>
    <t>http://investor.synopsys.com</t>
  </si>
  <si>
    <t>https://www.sec.gov/Archives/edgar/data/883241/000088324123000019/snps-20231031.htm</t>
  </si>
  <si>
    <t>http://www.teads.com</t>
  </si>
  <si>
    <t>https://investors.teads.com</t>
  </si>
  <si>
    <t>https://www.sec.gov/Archives/edgar/data/1454938/000110465921086945/tm2113258-10_s1.htm</t>
  </si>
  <si>
    <t>https://www.sec.gov/Archives/edgar/data/1454938/000145493824000024/outbrain-20231231.htm</t>
  </si>
  <si>
    <t>http://www.techtarget.com</t>
  </si>
  <si>
    <t>http://investor.techtarget.com</t>
  </si>
  <si>
    <t>https://www.sec.gov/Archives/edgar/data/1293282/000104746907000760/a2175858zs-1.htm</t>
  </si>
  <si>
    <t>https://www.sec.gov/Archives/edgar/data/1293282/000095017024022035/ttgt-20231231.htm</t>
  </si>
  <si>
    <t>http://www.tenable.com</t>
  </si>
  <si>
    <t>http://investors.tenable.com</t>
  </si>
  <si>
    <t>https://www.sec.gov/Archives/edgar/data/1660280/000119312518209705/d548092ds1.htm</t>
  </si>
  <si>
    <t>https://www.sec.gov/Archives/edgar/data/1660280/000166028024000033/tenb-20231231.htm</t>
  </si>
  <si>
    <t>http://www.thetradedesk.com</t>
  </si>
  <si>
    <t>http://investors.thetradedesk.com</t>
  </si>
  <si>
    <t>https://www.sec.gov/Archives/edgar/data/1671933/000104746916015272/a2229540zs-1a.htm</t>
  </si>
  <si>
    <t>https://www.sec.gov/Archives/edgar/data/1671933/000167193324000014/ttd-20231231.htm</t>
  </si>
  <si>
    <t>http://www.thryv.com</t>
  </si>
  <si>
    <t>http://investor.thryv.com</t>
  </si>
  <si>
    <t>https://www.sec.gov/Archives/edgar/data/1556739/000114036120019569/nt10007762x12_s1.htm</t>
  </si>
  <si>
    <t>https://www.sec.gov/Archives/edgar/data/1556739/000155673924000015/thry-20231231.htm</t>
  </si>
  <si>
    <t>http://www.toasttab.com</t>
  </si>
  <si>
    <t>http://investors.toasttab.com</t>
  </si>
  <si>
    <t>https://www.sec.gov/Archives/edgar/data/1650164/000119312521258447/d166297ds1.htm</t>
  </si>
  <si>
    <t>https://www.sec.gov/Archives/edgar/data/1650164/000165016424000084/tost-20231231.htm</t>
  </si>
  <si>
    <t>http://www.twilio.com</t>
  </si>
  <si>
    <t>http://investors.twilio.com</t>
  </si>
  <si>
    <t>https://www.sec.gov/Archives/edgar/data/1447669/000104746916013448/a2227414zs-1.htm</t>
  </si>
  <si>
    <t>https://www.sec.gov/Archives/edgar/data/1447669/000144766924000034/twlo-20231231.htm</t>
  </si>
  <si>
    <t>http://www.udemy.com</t>
  </si>
  <si>
    <t>http://investors.udemy.com</t>
  </si>
  <si>
    <t>https://www.sec.gov/Archives/edgar/data/1607939/000119312521291460/d163445ds1.htm</t>
  </si>
  <si>
    <t>https://www.sec.gov/Archives/edgar/data/1607939/000160793924000037/udmy-20231231.htm</t>
  </si>
  <si>
    <t>http://www.uipath.com</t>
  </si>
  <si>
    <t>http://ir.uipath.com</t>
  </si>
  <si>
    <t>https://www.sec.gov/Archives/edgar/data/1734722/000119312521094920/d98556ds1.htm</t>
  </si>
  <si>
    <t>https://www.sec.gov/Archives/edgar/data/1734722/000173472224000011/path-20240131.htm</t>
  </si>
  <si>
    <t>http://www.uplandsoftware.com</t>
  </si>
  <si>
    <t>http://investor.uplandsoftware.com</t>
  </si>
  <si>
    <t>https://www.sec.gov/Archives/edgar/data/1505155/000119312514332241/d710680ds1.htm</t>
  </si>
  <si>
    <t>https://www.sec.gov/Archives/edgar/data/1505155/000150515524000013/upld-20231231.htm</t>
  </si>
  <si>
    <t>http://www.varonis.com</t>
  </si>
  <si>
    <t>http://ir.varonis.com</t>
  </si>
  <si>
    <t>https://www.sec.gov/Archives/edgar/data/1361113/000119312513405885/d587800ds1.htm</t>
  </si>
  <si>
    <t>https://www.sec.gov/Archives/edgar/data/1361113/000162828024003498/vrns-20231231.htm</t>
  </si>
  <si>
    <t>http://www.vertexinc.com</t>
  </si>
  <si>
    <t>http://ir.vertexinc.com</t>
  </si>
  <si>
    <t>https://www.sec.gov/Archives/edgar/data/1806837/000104746920003952/a2241987zs-1.htm</t>
  </si>
  <si>
    <t>https://www.sec.gov/Archives/edgar/data/1806837/000155837024002192/verx-20231231x10k.htm</t>
  </si>
  <si>
    <t>http://www.vimeo.com</t>
  </si>
  <si>
    <t>http://investors.vimeo.com</t>
  </si>
  <si>
    <t>https://www.sec.gov/Archives/edgar/data/1837686/000110465921072526/tm2116929-1_s1.htm</t>
  </si>
  <si>
    <t>https://www.sec.gov/Archives/edgar/data/1837686/000183768624000021/vmeo-20231231.htm</t>
  </si>
  <si>
    <t>http://www.vtex.com</t>
  </si>
  <si>
    <t>http://www.investors.vtex.com</t>
  </si>
  <si>
    <t>http://www.getweave.com</t>
  </si>
  <si>
    <t>http://investors.getweave.com</t>
  </si>
  <si>
    <t>https://www.sec.gov/Archives/edgar/data/1609151/000162828021020169/weaves-1.htm</t>
  </si>
  <si>
    <t>https://www.sec.gov/Archives/edgar/data/1609151/000160915124000021/weav-20231231.htm</t>
  </si>
  <si>
    <t>http://www.wix.com</t>
  </si>
  <si>
    <t>http://investors.wix.com</t>
  </si>
  <si>
    <t>http://www.workday.com</t>
  </si>
  <si>
    <t>http://investor.workday.com</t>
  </si>
  <si>
    <t>https://www.sec.gov/Archives/edgar/data/1327811/000119312512375787/d385110ds1.htm</t>
  </si>
  <si>
    <t>https://www.sec.gov/Archives/edgar/data/1327811/000132781124000044/wday-20240131.htm</t>
  </si>
  <si>
    <t>http://www.yext.com</t>
  </si>
  <si>
    <t>http://investors.yext.com</t>
  </si>
  <si>
    <t>https://www.sec.gov/Archives/edgar/data/1614178/000104746917001510/a2231179zs-1.htm</t>
  </si>
  <si>
    <t>https://www.sec.gov/Archives/edgar/data/1614178/000161417824000023/yext-20240131.htm</t>
  </si>
  <si>
    <t>http://www.zetaglobal.com</t>
  </si>
  <si>
    <t>http://investors.zetaglobal.com</t>
  </si>
  <si>
    <t>https://www.sec.gov/Archives/edgar/data/1851003/000119312521130521/d379381ds1.htm</t>
  </si>
  <si>
    <t>https://www.sec.gov/Archives/edgar/data/1851003/000095017024021671/zeta-20231231.htm</t>
  </si>
  <si>
    <t>http://www.zoom.us</t>
  </si>
  <si>
    <t>http://investors.zoom.us</t>
  </si>
  <si>
    <t>https://www.sec.gov/Archives/edgar/data/1585521/000119312519083351/d642624ds1.htm</t>
  </si>
  <si>
    <t>https://www.sec.gov/Archives/edgar/data/1585521/000158552124000030/zm-20240131.htm</t>
  </si>
  <si>
    <t>http://www.zoominfo.com</t>
  </si>
  <si>
    <t>http://ir.zoominfo.com</t>
  </si>
  <si>
    <t>https://www.sec.gov/Archives/edgar/data/1794515/000162828020002344/zoominfos-1.htm</t>
  </si>
  <si>
    <t>https://www.sec.gov/Archives/edgar/data/1794515/000179451524000016/zi-20231231.htm</t>
  </si>
  <si>
    <t>http://www.zscaler.com</t>
  </si>
  <si>
    <t>http://ir.zscaler.com</t>
  </si>
  <si>
    <t>https://www.sec.gov/Archives/edgar/data/1713683/000119312518048303/d400527ds1.htm</t>
  </si>
  <si>
    <t>https://www.sec.gov/Archives/edgar/data/1713683/000171368324000109/zs-20240731.htm</t>
  </si>
  <si>
    <t>Last Q Rev.</t>
  </si>
  <si>
    <t>Annualized Rev.</t>
  </si>
  <si>
    <t>YoY Growth%</t>
  </si>
  <si>
    <t>P/S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</si>
</sst>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/>
  </cellStyleXfs>
  <cellXfs count="23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1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9" fillId="0" borderId="0" xfId="0" applyFont="1"/>
    <xf numFmtId="4" fontId="3" fillId="0" borderId="0" xfId="0" applyNumberFormat="1" applyFont="1"/>
    <xf numFmtId="1" fontId="3" fillId="0" borderId="0" xfId="0" applyNumberFormat="1" applyFont="1"/>
    <xf numFmtId="3" fontId="9" fillId="0" borderId="0" xfId="0" applyNumberFormat="1" applyFont="1"/>
    <xf numFmtId="165" fontId="3" fillId="0" borderId="0" xfId="0" applyNumberFormat="1" applyFont="1"/>
    <xf numFmtId="165" fontId="8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1"/>
    <xf numFmtId="0" fontId="3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5" fillId="0" borderId="0" xfId="1" applyFill="1"/>
  </cellXfs>
  <cellStyles count="3">
    <cellStyle name="Hyperlink" xfId="1" builtinId="8"/>
    <cellStyle name="Normal" xfId="0" builtinId="0"/>
    <cellStyle name="Normal 2" xfId="2" xr:uid="{E3F06779-7305-4EB8-96EE-B0FCC2596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ORCL.xlsx" TargetMode="External"/><Relationship Id="rId1" Type="http://schemas.openxmlformats.org/officeDocument/2006/relationships/externalLinkPath" Target="ORC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NTU.xlsx" TargetMode="External"/><Relationship Id="rId1" Type="http://schemas.openxmlformats.org/officeDocument/2006/relationships/externalLinkPath" Target="INTU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PEGA.xlsx" TargetMode="External"/><Relationship Id="rId1" Type="http://schemas.openxmlformats.org/officeDocument/2006/relationships/externalLinkPath" Target="PEG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CRM.xlsx" TargetMode="External"/><Relationship Id="rId1" Type="http://schemas.openxmlformats.org/officeDocument/2006/relationships/externalLinkPath" Target="CRM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TEAM.xlsx" TargetMode="External"/><Relationship Id="rId1" Type="http://schemas.openxmlformats.org/officeDocument/2006/relationships/externalLinkPath" Target="TEA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PLTR.xlsx" TargetMode="External"/><Relationship Id="rId1" Type="http://schemas.openxmlformats.org/officeDocument/2006/relationships/externalLinkPath" Target="PLTR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GTLB.xlsx" TargetMode="External"/><Relationship Id="rId1" Type="http://schemas.openxmlformats.org/officeDocument/2006/relationships/externalLinkPath" Target="GTLB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SNOW.xlsx" TargetMode="External"/><Relationship Id="rId1" Type="http://schemas.openxmlformats.org/officeDocument/2006/relationships/externalLinkPath" Target="SN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9">
          <cell r="K9">
            <v>11005</v>
          </cell>
        </row>
        <row r="10">
          <cell r="K10">
            <v>91315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10">
          <cell r="J10">
            <v>661.8</v>
          </cell>
        </row>
        <row r="13">
          <cell r="J13">
            <v>4646</v>
          </cell>
        </row>
        <row r="14">
          <cell r="J14">
            <v>5973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9">
          <cell r="K9">
            <v>411.56700000000001</v>
          </cell>
        </row>
        <row r="10">
          <cell r="K10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usiness"/>
      <sheetName val="Model"/>
    </sheetNames>
    <sheetDataSet>
      <sheetData sheetId="0">
        <row r="7">
          <cell r="J7">
            <v>233.6</v>
          </cell>
        </row>
        <row r="8">
          <cell r="J8">
            <v>960</v>
          </cell>
        </row>
        <row r="10">
          <cell r="J10">
            <v>17408</v>
          </cell>
        </row>
        <row r="11">
          <cell r="J11">
            <v>8435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I"/>
    </sheetNames>
    <sheetDataSet>
      <sheetData sheetId="0">
        <row r="2">
          <cell r="L2">
            <v>160.4</v>
          </cell>
        </row>
        <row r="5">
          <cell r="L5">
            <v>2937.1419999999998</v>
          </cell>
        </row>
        <row r="6">
          <cell r="L6">
            <v>987.68399999999997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9">
          <cell r="J9">
            <v>5430.6890000000003</v>
          </cell>
        </row>
        <row r="10">
          <cell r="J10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FS"/>
      <sheetName val="FA"/>
      <sheetName val="Segments"/>
      <sheetName val="Comp."/>
      <sheetName val="Sentiment"/>
    </sheetNames>
    <sheetDataSet>
      <sheetData sheetId="0">
        <row r="8">
          <cell r="J8">
            <v>1165.1769999999999</v>
          </cell>
        </row>
        <row r="9">
          <cell r="J9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228.2</v>
          </cell>
        </row>
        <row r="8">
          <cell r="J8">
            <v>4599.5879999999997</v>
          </cell>
        </row>
        <row r="9">
          <cell r="J9">
            <v>2275.674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INTU.xlsx" TargetMode="External"/><Relationship Id="rId3" Type="http://schemas.openxmlformats.org/officeDocument/2006/relationships/hyperlink" Target="PLTR.xlsx" TargetMode="External"/><Relationship Id="rId7" Type="http://schemas.openxmlformats.org/officeDocument/2006/relationships/hyperlink" Target="SNOW.xlsx" TargetMode="External"/><Relationship Id="rId2" Type="http://schemas.openxmlformats.org/officeDocument/2006/relationships/hyperlink" Target="ORCL.xlsx" TargetMode="External"/><Relationship Id="rId1" Type="http://schemas.openxmlformats.org/officeDocument/2006/relationships/hyperlink" Target="GTLB.xlsx" TargetMode="External"/><Relationship Id="rId6" Type="http://schemas.openxmlformats.org/officeDocument/2006/relationships/hyperlink" Target="CRM.xlsx" TargetMode="External"/><Relationship Id="rId5" Type="http://schemas.openxmlformats.org/officeDocument/2006/relationships/hyperlink" Target="TEAM.xlsx" TargetMode="External"/><Relationship Id="rId4" Type="http://schemas.openxmlformats.org/officeDocument/2006/relationships/hyperlink" Target="PEG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Y165"/>
  <sheetViews>
    <sheetView tabSelected="1" zoomScale="10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defaultRowHeight="13.2" x14ac:dyDescent="0.25"/>
  <cols>
    <col min="1" max="2" width="8.88671875" style="2"/>
    <col min="3" max="3" width="30.33203125" style="2" bestFit="1" customWidth="1"/>
    <col min="4" max="4" width="8.88671875" style="2"/>
    <col min="5" max="5" width="8.77734375" style="4" bestFit="1" customWidth="1"/>
    <col min="6" max="7" width="8.88671875" style="5"/>
    <col min="8" max="9" width="8.88671875" style="2"/>
    <col min="10" max="10" width="10.88671875" style="2" customWidth="1"/>
    <col min="11" max="11" width="15.109375" style="2" bestFit="1" customWidth="1"/>
    <col min="12" max="12" width="12.21875" style="16" bestFit="1" customWidth="1"/>
    <col min="13" max="13" width="8.5546875" style="14" customWidth="1"/>
    <col min="14" max="15" width="8.88671875" style="2"/>
    <col min="16" max="16" width="20.88671875" style="2" customWidth="1"/>
    <col min="17" max="17" width="8.88671875" style="2"/>
    <col min="18" max="18" width="21.109375" style="2" customWidth="1"/>
    <col min="19" max="19" width="30.109375" style="2" bestFit="1" customWidth="1"/>
    <col min="20" max="20" width="15" style="5" bestFit="1" customWidth="1"/>
    <col min="21" max="21" width="17.77734375" style="2" customWidth="1"/>
    <col min="22" max="22" width="31.88671875" style="2" bestFit="1" customWidth="1"/>
    <col min="23" max="23" width="53.77734375" style="2" bestFit="1" customWidth="1"/>
    <col min="24" max="24" width="44.6640625" style="2" customWidth="1"/>
    <col min="25" max="16384" width="8.88671875" style="2"/>
  </cols>
  <sheetData>
    <row r="2" spans="3:25" s="1" customFormat="1" ht="14.4" x14ac:dyDescent="0.3">
      <c r="C2" s="1" t="s">
        <v>0</v>
      </c>
      <c r="D2" s="1" t="s">
        <v>1</v>
      </c>
      <c r="E2" s="7" t="s">
        <v>2</v>
      </c>
      <c r="F2" s="6" t="s">
        <v>328</v>
      </c>
      <c r="G2" s="6" t="s">
        <v>329</v>
      </c>
      <c r="H2" s="1" t="s">
        <v>330</v>
      </c>
      <c r="I2" s="1" t="s">
        <v>331</v>
      </c>
      <c r="J2" s="1" t="s">
        <v>1599</v>
      </c>
      <c r="K2" s="1" t="s">
        <v>1600</v>
      </c>
      <c r="L2" s="15" t="s">
        <v>1601</v>
      </c>
      <c r="M2" s="13" t="s">
        <v>1602</v>
      </c>
      <c r="N2" s="8" t="s">
        <v>332</v>
      </c>
      <c r="O2" s="8" t="s">
        <v>333</v>
      </c>
      <c r="P2" s="8" t="s">
        <v>334</v>
      </c>
      <c r="Q2" s="8" t="s">
        <v>335</v>
      </c>
      <c r="R2" s="8" t="s">
        <v>580</v>
      </c>
      <c r="S2" s="8" t="s">
        <v>581</v>
      </c>
      <c r="T2" s="11" t="s">
        <v>582</v>
      </c>
      <c r="U2" s="8" t="s">
        <v>845</v>
      </c>
      <c r="V2" s="8" t="s">
        <v>1009</v>
      </c>
      <c r="W2" s="8" t="s">
        <v>1010</v>
      </c>
      <c r="X2" s="8" t="s">
        <v>1011</v>
      </c>
      <c r="Y2" s="8" t="s">
        <v>1012</v>
      </c>
    </row>
    <row r="3" spans="3:25" x14ac:dyDescent="0.25">
      <c r="C3" s="2" t="s">
        <v>13</v>
      </c>
      <c r="D3" s="20" t="s">
        <v>176</v>
      </c>
      <c r="E3" s="9">
        <v>305.81</v>
      </c>
      <c r="F3" s="5">
        <v>405.29889500000002</v>
      </c>
      <c r="G3" s="5">
        <f t="shared" ref="G3:G34" si="0">E3*F3</f>
        <v>123944.45507995</v>
      </c>
      <c r="J3" s="12">
        <v>5130</v>
      </c>
      <c r="K3" s="12">
        <v>20520</v>
      </c>
      <c r="L3" s="16">
        <v>7.51E-2</v>
      </c>
      <c r="M3" s="14">
        <f t="shared" ref="M3:M34" si="1">G3/K3</f>
        <v>6.0401781228045808</v>
      </c>
      <c r="N3" s="10">
        <v>1983</v>
      </c>
      <c r="O3" s="10">
        <v>1949</v>
      </c>
      <c r="P3" s="2" t="s">
        <v>366</v>
      </c>
      <c r="Q3" s="2" t="s">
        <v>367</v>
      </c>
      <c r="R3" s="2" t="s">
        <v>610</v>
      </c>
      <c r="S3" s="2" t="s">
        <v>583</v>
      </c>
      <c r="T3" s="5">
        <v>64000</v>
      </c>
      <c r="U3" s="2" t="s">
        <v>862</v>
      </c>
      <c r="V3" s="2" t="s">
        <v>1069</v>
      </c>
      <c r="W3" s="2" t="s">
        <v>1070</v>
      </c>
      <c r="Y3" s="2" t="s">
        <v>1071</v>
      </c>
    </row>
    <row r="4" spans="3:25" x14ac:dyDescent="0.25">
      <c r="C4" s="2" t="s">
        <v>120</v>
      </c>
      <c r="D4" s="2" t="s">
        <v>283</v>
      </c>
      <c r="E4" s="9">
        <v>1.89</v>
      </c>
      <c r="F4" s="5">
        <v>387.71331099999998</v>
      </c>
      <c r="G4" s="5">
        <f t="shared" si="0"/>
        <v>732.77815778999991</v>
      </c>
      <c r="J4" s="12">
        <v>776.62</v>
      </c>
      <c r="K4" s="12">
        <v>3106.48</v>
      </c>
      <c r="L4" s="16">
        <v>-8.0000000000000002E-3</v>
      </c>
      <c r="M4" s="14">
        <f t="shared" si="1"/>
        <v>0.23588697103795933</v>
      </c>
      <c r="N4" s="10">
        <v>2014</v>
      </c>
      <c r="O4" s="10">
        <v>1960</v>
      </c>
      <c r="P4" s="2" t="s">
        <v>530</v>
      </c>
      <c r="Q4" s="2" t="s">
        <v>531</v>
      </c>
      <c r="R4" s="2" t="s">
        <v>583</v>
      </c>
      <c r="S4" s="2" t="s">
        <v>583</v>
      </c>
      <c r="T4" s="5">
        <v>6253</v>
      </c>
      <c r="U4" s="2" t="s">
        <v>970</v>
      </c>
      <c r="V4" s="2" t="s">
        <v>1455</v>
      </c>
      <c r="W4" s="2" t="s">
        <v>1456</v>
      </c>
      <c r="X4" s="2" t="s">
        <v>1457</v>
      </c>
      <c r="Y4" s="2" t="s">
        <v>1458</v>
      </c>
    </row>
    <row r="5" spans="3:25" x14ac:dyDescent="0.25">
      <c r="C5" s="2" t="s">
        <v>85</v>
      </c>
      <c r="D5" s="2" t="s">
        <v>248</v>
      </c>
      <c r="E5" s="9">
        <v>103.75</v>
      </c>
      <c r="F5" s="5">
        <v>28.045916999999999</v>
      </c>
      <c r="G5" s="5">
        <f t="shared" si="0"/>
        <v>2909.7638887499998</v>
      </c>
      <c r="J5" s="12">
        <v>76.680000000000007</v>
      </c>
      <c r="K5" s="12">
        <v>306.72000000000003</v>
      </c>
      <c r="L5" s="16">
        <v>0.20730000000000001</v>
      </c>
      <c r="M5" s="14">
        <f t="shared" si="1"/>
        <v>9.4867106440727689</v>
      </c>
      <c r="N5" s="10">
        <v>1983</v>
      </c>
      <c r="O5" s="10">
        <v>1963</v>
      </c>
      <c r="P5" s="2" t="s">
        <v>339</v>
      </c>
      <c r="Q5" s="2" t="s">
        <v>340</v>
      </c>
      <c r="R5" s="2" t="s">
        <v>586</v>
      </c>
      <c r="S5" s="2" t="s">
        <v>583</v>
      </c>
      <c r="T5" s="5">
        <v>2200</v>
      </c>
      <c r="U5" s="2" t="s">
        <v>848</v>
      </c>
      <c r="V5" s="2" t="s">
        <v>1019</v>
      </c>
      <c r="W5" s="2" t="s">
        <v>1020</v>
      </c>
      <c r="Y5" s="2" t="s">
        <v>1021</v>
      </c>
    </row>
    <row r="6" spans="3:25" x14ac:dyDescent="0.25">
      <c r="C6" s="2" t="s">
        <v>144</v>
      </c>
      <c r="D6" s="2" t="s">
        <v>306</v>
      </c>
      <c r="E6" s="9">
        <v>18.21</v>
      </c>
      <c r="F6" s="5">
        <v>20.583468</v>
      </c>
      <c r="G6" s="5">
        <f t="shared" si="0"/>
        <v>374.82495227999999</v>
      </c>
      <c r="J6" s="12">
        <v>35.69</v>
      </c>
      <c r="K6" s="12">
        <v>142.76</v>
      </c>
      <c r="L6" s="16">
        <v>5.0099999999999999E-2</v>
      </c>
      <c r="M6" s="14">
        <f t="shared" si="1"/>
        <v>2.6255600467918185</v>
      </c>
      <c r="N6" s="10">
        <v>2002</v>
      </c>
      <c r="O6" s="10">
        <v>1965</v>
      </c>
      <c r="P6" s="2" t="s">
        <v>541</v>
      </c>
      <c r="Q6" s="2" t="s">
        <v>542</v>
      </c>
      <c r="R6" s="2" t="s">
        <v>583</v>
      </c>
      <c r="S6" s="2" t="s">
        <v>583</v>
      </c>
      <c r="T6" s="5">
        <v>418</v>
      </c>
      <c r="U6" s="2" t="s">
        <v>980</v>
      </c>
      <c r="V6" s="2" t="s">
        <v>1491</v>
      </c>
      <c r="W6" s="2" t="s">
        <v>1492</v>
      </c>
      <c r="Y6" s="2" t="s">
        <v>1493</v>
      </c>
    </row>
    <row r="7" spans="3:25" x14ac:dyDescent="0.25">
      <c r="C7" s="18" t="s">
        <v>94</v>
      </c>
      <c r="D7" s="2" t="s">
        <v>257</v>
      </c>
      <c r="E7" s="9">
        <v>46.73</v>
      </c>
      <c r="F7" s="5">
        <v>40.505032999999997</v>
      </c>
      <c r="G7" s="5">
        <f t="shared" si="0"/>
        <v>1892.8001920899997</v>
      </c>
      <c r="J7" s="12">
        <v>103.86</v>
      </c>
      <c r="K7" s="12">
        <v>415.44</v>
      </c>
      <c r="L7" s="16">
        <v>0.48219999999999996</v>
      </c>
      <c r="M7" s="14">
        <f t="shared" si="1"/>
        <v>4.556133718683804</v>
      </c>
      <c r="N7" s="10">
        <v>1983</v>
      </c>
      <c r="O7" s="10">
        <v>1968</v>
      </c>
      <c r="P7" s="2" t="s">
        <v>509</v>
      </c>
      <c r="Q7" s="2" t="s">
        <v>510</v>
      </c>
      <c r="R7" s="2" t="s">
        <v>586</v>
      </c>
      <c r="S7" s="2" t="s">
        <v>583</v>
      </c>
      <c r="T7" s="5">
        <v>1583</v>
      </c>
      <c r="U7" s="2" t="s">
        <v>956</v>
      </c>
      <c r="V7" s="2" t="s">
        <v>1406</v>
      </c>
      <c r="W7" s="2" t="s">
        <v>1407</v>
      </c>
      <c r="Y7" s="2" t="s">
        <v>1408</v>
      </c>
    </row>
    <row r="8" spans="3:25" x14ac:dyDescent="0.25">
      <c r="C8" s="2" t="s">
        <v>27</v>
      </c>
      <c r="D8" s="2" t="s">
        <v>190</v>
      </c>
      <c r="E8" s="9">
        <v>6824.66</v>
      </c>
      <c r="F8" s="5">
        <v>4.8217790000000003</v>
      </c>
      <c r="G8" s="5">
        <f t="shared" si="0"/>
        <v>32907.002270140001</v>
      </c>
      <c r="J8" s="12">
        <v>504.89</v>
      </c>
      <c r="K8" s="12">
        <v>2019.56</v>
      </c>
      <c r="L8" s="16">
        <v>8.2100000000000006E-2</v>
      </c>
      <c r="M8" s="14">
        <f t="shared" si="1"/>
        <v>16.294144402810513</v>
      </c>
      <c r="N8" s="10">
        <v>1996</v>
      </c>
      <c r="O8" s="10">
        <v>1970</v>
      </c>
      <c r="P8" s="2" t="s">
        <v>349</v>
      </c>
      <c r="Q8" s="2" t="s">
        <v>350</v>
      </c>
      <c r="R8" s="2" t="s">
        <v>595</v>
      </c>
      <c r="S8" s="2" t="s">
        <v>583</v>
      </c>
      <c r="T8" s="5">
        <v>6600</v>
      </c>
      <c r="U8" s="2" t="s">
        <v>853</v>
      </c>
      <c r="V8" s="2" t="s">
        <v>1037</v>
      </c>
      <c r="W8" s="2" t="s">
        <v>1038</v>
      </c>
      <c r="Y8" s="2" t="s">
        <v>1039</v>
      </c>
    </row>
    <row r="9" spans="3:25" x14ac:dyDescent="0.25">
      <c r="C9" s="3" t="s">
        <v>3</v>
      </c>
      <c r="D9" s="2" t="s">
        <v>166</v>
      </c>
      <c r="E9" s="9">
        <v>250.05</v>
      </c>
      <c r="F9" s="5">
        <v>2808.8331560000001</v>
      </c>
      <c r="G9" s="5">
        <f t="shared" si="0"/>
        <v>702348.7306578001</v>
      </c>
      <c r="H9" s="5">
        <f>[1]Main!$K$9-[1]Main!$K$10</f>
        <v>-80310</v>
      </c>
      <c r="I9" s="5">
        <f>G9-H9</f>
        <v>782658.7306578001</v>
      </c>
      <c r="J9" s="12">
        <v>15900</v>
      </c>
      <c r="K9" s="12">
        <v>63600</v>
      </c>
      <c r="L9" s="16">
        <v>0.11310000000000001</v>
      </c>
      <c r="M9" s="14">
        <f t="shared" si="1"/>
        <v>11.043219035500002</v>
      </c>
      <c r="N9" s="10">
        <v>1986</v>
      </c>
      <c r="O9" s="10">
        <v>1977</v>
      </c>
      <c r="P9" s="2" t="s">
        <v>504</v>
      </c>
      <c r="Q9" s="2" t="s">
        <v>382</v>
      </c>
      <c r="R9" s="2" t="s">
        <v>584</v>
      </c>
      <c r="S9" s="2" t="s">
        <v>759</v>
      </c>
      <c r="T9" s="5">
        <v>162000</v>
      </c>
      <c r="U9" s="2" t="s">
        <v>952</v>
      </c>
      <c r="V9" s="2" t="s">
        <v>1391</v>
      </c>
      <c r="W9" s="2" t="s">
        <v>1392</v>
      </c>
      <c r="Y9" s="2" t="s">
        <v>1393</v>
      </c>
    </row>
    <row r="10" spans="3:25" x14ac:dyDescent="0.25">
      <c r="C10" s="21" t="s">
        <v>65</v>
      </c>
      <c r="D10" s="2" t="s">
        <v>228</v>
      </c>
      <c r="E10" s="9">
        <v>9.52</v>
      </c>
      <c r="F10" s="5">
        <v>659.09558100000004</v>
      </c>
      <c r="G10" s="5">
        <f t="shared" si="0"/>
        <v>6274.5899311200001</v>
      </c>
      <c r="J10" s="12">
        <v>260.45</v>
      </c>
      <c r="K10" s="12">
        <v>1041.8</v>
      </c>
      <c r="L10" s="16">
        <v>0.1197</v>
      </c>
      <c r="M10" s="14">
        <f t="shared" si="1"/>
        <v>6.0228354109425997</v>
      </c>
      <c r="N10" s="10">
        <v>2021</v>
      </c>
      <c r="O10" s="10">
        <v>1980</v>
      </c>
      <c r="P10" s="2" t="s">
        <v>387</v>
      </c>
      <c r="Q10" s="2" t="s">
        <v>344</v>
      </c>
      <c r="R10" s="2" t="s">
        <v>583</v>
      </c>
      <c r="S10" s="2" t="s">
        <v>583</v>
      </c>
      <c r="T10" s="5">
        <v>7</v>
      </c>
      <c r="U10" s="2" t="s">
        <v>875</v>
      </c>
      <c r="V10" s="2" t="s">
        <v>1118</v>
      </c>
      <c r="W10" s="2" t="s">
        <v>1119</v>
      </c>
      <c r="X10" s="2" t="s">
        <v>1120</v>
      </c>
      <c r="Y10" s="2" t="s">
        <v>1121</v>
      </c>
    </row>
    <row r="11" spans="3:25" x14ac:dyDescent="0.25">
      <c r="C11" s="2" t="s">
        <v>50</v>
      </c>
      <c r="D11" s="2" t="s">
        <v>213</v>
      </c>
      <c r="E11" s="9">
        <v>101.23</v>
      </c>
      <c r="F11" s="5">
        <v>118.523837</v>
      </c>
      <c r="G11" s="5">
        <f t="shared" si="0"/>
        <v>11998.16801951</v>
      </c>
      <c r="J11" s="12">
        <v>168.74</v>
      </c>
      <c r="K11" s="12">
        <v>674.96</v>
      </c>
      <c r="L11" s="16">
        <v>0.1149</v>
      </c>
      <c r="M11" s="14">
        <f t="shared" si="1"/>
        <v>17.776117132141163</v>
      </c>
      <c r="N11" s="10">
        <v>1999</v>
      </c>
      <c r="O11" s="10">
        <v>1981</v>
      </c>
      <c r="P11" s="2" t="s">
        <v>411</v>
      </c>
      <c r="Q11" s="2" t="s">
        <v>412</v>
      </c>
      <c r="R11" s="2" t="s">
        <v>654</v>
      </c>
      <c r="S11" s="2" t="s">
        <v>655</v>
      </c>
      <c r="T11" s="5">
        <v>2079</v>
      </c>
      <c r="U11" s="2" t="s">
        <v>889</v>
      </c>
      <c r="V11" s="2" t="s">
        <v>1167</v>
      </c>
      <c r="W11" s="2" t="s">
        <v>1168</v>
      </c>
    </row>
    <row r="12" spans="3:25" x14ac:dyDescent="0.25">
      <c r="C12" s="2" t="s">
        <v>21</v>
      </c>
      <c r="D12" s="2" t="s">
        <v>184</v>
      </c>
      <c r="E12" s="9">
        <v>290.68</v>
      </c>
      <c r="F12" s="5">
        <v>213.99905699999999</v>
      </c>
      <c r="G12" s="5">
        <f t="shared" si="0"/>
        <v>62205.245888760001</v>
      </c>
      <c r="J12" s="12">
        <v>1630</v>
      </c>
      <c r="K12" s="12">
        <v>6520</v>
      </c>
      <c r="L12" s="16">
        <v>0.15240000000000001</v>
      </c>
      <c r="M12" s="14">
        <f t="shared" si="1"/>
        <v>9.5406818847791417</v>
      </c>
      <c r="N12" s="10">
        <v>1994</v>
      </c>
      <c r="O12" s="10">
        <v>1982</v>
      </c>
      <c r="P12" s="2" t="s">
        <v>364</v>
      </c>
      <c r="Q12" s="2" t="s">
        <v>365</v>
      </c>
      <c r="R12" s="2" t="s">
        <v>608</v>
      </c>
      <c r="S12" s="2" t="s">
        <v>609</v>
      </c>
      <c r="T12" s="5">
        <v>15300</v>
      </c>
      <c r="U12" s="2" t="s">
        <v>861</v>
      </c>
      <c r="V12" s="2" t="s">
        <v>1066</v>
      </c>
      <c r="W12" s="2" t="s">
        <v>1067</v>
      </c>
      <c r="Y12" s="2" t="s">
        <v>1068</v>
      </c>
    </row>
    <row r="13" spans="3:25" x14ac:dyDescent="0.25">
      <c r="C13" s="2" t="s">
        <v>10</v>
      </c>
      <c r="D13" s="2" t="s">
        <v>173</v>
      </c>
      <c r="E13" s="9">
        <v>341.05</v>
      </c>
      <c r="F13" s="5">
        <v>424.20069000000001</v>
      </c>
      <c r="G13" s="5">
        <f t="shared" si="0"/>
        <v>144673.64532450002</v>
      </c>
      <c r="J13" s="12">
        <v>5870</v>
      </c>
      <c r="K13" s="12">
        <v>23480</v>
      </c>
      <c r="L13" s="16">
        <v>0.10619999999999999</v>
      </c>
      <c r="M13" s="14">
        <f t="shared" si="1"/>
        <v>6.1615692216567295</v>
      </c>
      <c r="N13" s="10">
        <v>1986</v>
      </c>
      <c r="O13" s="10">
        <v>1982</v>
      </c>
      <c r="P13" s="2" t="s">
        <v>337</v>
      </c>
      <c r="Q13" s="2" t="s">
        <v>338</v>
      </c>
      <c r="R13" s="2" t="s">
        <v>584</v>
      </c>
      <c r="S13" s="2" t="s">
        <v>585</v>
      </c>
      <c r="T13" s="5">
        <v>30709</v>
      </c>
      <c r="U13" s="2" t="s">
        <v>847</v>
      </c>
      <c r="V13" s="2" t="s">
        <v>1016</v>
      </c>
      <c r="W13" s="2" t="s">
        <v>1017</v>
      </c>
      <c r="Y13" s="2" t="s">
        <v>1018</v>
      </c>
    </row>
    <row r="14" spans="3:25" x14ac:dyDescent="0.25">
      <c r="C14" s="21" t="s">
        <v>41</v>
      </c>
      <c r="D14" s="2" t="s">
        <v>204</v>
      </c>
      <c r="E14" s="9">
        <v>30.45</v>
      </c>
      <c r="F14" s="5">
        <v>615.66516200000001</v>
      </c>
      <c r="G14" s="5">
        <f t="shared" si="0"/>
        <v>18747.0041829</v>
      </c>
      <c r="J14" s="12">
        <v>1010</v>
      </c>
      <c r="K14" s="12">
        <v>4040</v>
      </c>
      <c r="L14" s="16">
        <v>4.7699999999999992E-2</v>
      </c>
      <c r="M14" s="14">
        <f t="shared" si="1"/>
        <v>4.640347570024753</v>
      </c>
      <c r="N14" s="10">
        <v>1989</v>
      </c>
      <c r="O14" s="10">
        <v>1982</v>
      </c>
      <c r="P14" s="2" t="s">
        <v>444</v>
      </c>
      <c r="Q14" s="2" t="s">
        <v>445</v>
      </c>
      <c r="R14" s="2" t="s">
        <v>696</v>
      </c>
      <c r="S14" s="2" t="s">
        <v>583</v>
      </c>
      <c r="T14" s="5">
        <v>3500</v>
      </c>
      <c r="U14" s="2" t="s">
        <v>913</v>
      </c>
      <c r="V14" s="2" t="s">
        <v>1257</v>
      </c>
      <c r="W14" s="2" t="s">
        <v>1258</v>
      </c>
      <c r="Y14" s="2" t="s">
        <v>1259</v>
      </c>
    </row>
    <row r="15" spans="3:25" x14ac:dyDescent="0.25">
      <c r="C15" s="2" t="s">
        <v>105</v>
      </c>
      <c r="D15" s="2" t="s">
        <v>268</v>
      </c>
      <c r="E15" s="9">
        <v>64.53</v>
      </c>
      <c r="F15" s="5">
        <v>28.978114000000001</v>
      </c>
      <c r="G15" s="5">
        <f t="shared" si="0"/>
        <v>1869.95769642</v>
      </c>
      <c r="J15" s="12">
        <v>299.45</v>
      </c>
      <c r="K15" s="12">
        <v>1197.8</v>
      </c>
      <c r="L15" s="16">
        <v>1.46E-2</v>
      </c>
      <c r="M15" s="14">
        <f t="shared" si="1"/>
        <v>1.5611602073968944</v>
      </c>
      <c r="N15" s="10">
        <v>1996</v>
      </c>
      <c r="O15" s="10">
        <v>1982</v>
      </c>
      <c r="P15" s="2" t="s">
        <v>405</v>
      </c>
      <c r="Q15" s="2" t="s">
        <v>406</v>
      </c>
      <c r="R15" s="2" t="s">
        <v>650</v>
      </c>
      <c r="S15" s="2" t="s">
        <v>583</v>
      </c>
      <c r="T15" s="5">
        <v>5800</v>
      </c>
      <c r="U15" s="2" t="s">
        <v>886</v>
      </c>
      <c r="V15" s="2" t="s">
        <v>1158</v>
      </c>
      <c r="W15" s="2" t="s">
        <v>1159</v>
      </c>
      <c r="Y15" s="2" t="s">
        <v>1160</v>
      </c>
    </row>
    <row r="16" spans="3:25" ht="14.4" x14ac:dyDescent="0.3">
      <c r="C16" s="22" t="s">
        <v>7</v>
      </c>
      <c r="D16" s="2" t="s">
        <v>170</v>
      </c>
      <c r="E16" s="9">
        <f>[2]Main!$J$10</f>
        <v>661.8</v>
      </c>
      <c r="F16" s="5">
        <v>278.94736799999998</v>
      </c>
      <c r="G16" s="5">
        <f t="shared" si="0"/>
        <v>184607.36814239997</v>
      </c>
      <c r="H16" s="5">
        <f>[2]Main!$J$13-[2]Main!$J$14</f>
        <v>-1327</v>
      </c>
      <c r="I16" s="5">
        <f>G16-H16</f>
        <v>185934.36814239997</v>
      </c>
      <c r="J16" s="12">
        <v>7750</v>
      </c>
      <c r="K16" s="12">
        <v>31000</v>
      </c>
      <c r="L16" s="16">
        <v>0.151</v>
      </c>
      <c r="M16" s="14">
        <f t="shared" si="1"/>
        <v>5.9550763916903211</v>
      </c>
      <c r="N16" s="10">
        <v>1993</v>
      </c>
      <c r="O16" s="10">
        <v>1983</v>
      </c>
      <c r="P16" s="2" t="s">
        <v>459</v>
      </c>
      <c r="Q16" s="2" t="s">
        <v>398</v>
      </c>
      <c r="R16" s="2" t="s">
        <v>584</v>
      </c>
      <c r="S16" s="2" t="s">
        <v>713</v>
      </c>
      <c r="T16" s="5">
        <v>18800</v>
      </c>
      <c r="U16" s="2" t="s">
        <v>923</v>
      </c>
      <c r="V16" s="2" t="s">
        <v>1294</v>
      </c>
      <c r="W16" s="2" t="s">
        <v>1295</v>
      </c>
      <c r="Y16" s="2" t="s">
        <v>1296</v>
      </c>
    </row>
    <row r="17" spans="3:25" x14ac:dyDescent="0.25">
      <c r="C17" s="3" t="s">
        <v>56</v>
      </c>
      <c r="D17" s="2" t="s">
        <v>219</v>
      </c>
      <c r="E17" s="9">
        <v>51.22</v>
      </c>
      <c r="F17" s="5">
        <v>171.080139</v>
      </c>
      <c r="G17" s="5">
        <f t="shared" si="0"/>
        <v>8762.7247195799991</v>
      </c>
      <c r="H17" s="5">
        <f>[3]Main!$K$9-[3]Main!$K$10</f>
        <v>411.56700000000001</v>
      </c>
      <c r="I17" s="5">
        <f>G17-H17</f>
        <v>8351.1577195799982</v>
      </c>
      <c r="J17" s="12">
        <v>384.51</v>
      </c>
      <c r="K17" s="12">
        <v>1538.04</v>
      </c>
      <c r="L17" s="16">
        <v>9.5000000000000001E-2</v>
      </c>
      <c r="M17" s="14">
        <f t="shared" si="1"/>
        <v>5.6973321367324639</v>
      </c>
      <c r="N17" s="10">
        <v>1996</v>
      </c>
      <c r="O17" s="10">
        <v>1983</v>
      </c>
      <c r="P17" s="2" t="s">
        <v>515</v>
      </c>
      <c r="Q17" s="2" t="s">
        <v>342</v>
      </c>
      <c r="R17" s="2" t="s">
        <v>767</v>
      </c>
      <c r="S17" s="2" t="s">
        <v>768</v>
      </c>
      <c r="T17" s="5">
        <v>5443</v>
      </c>
      <c r="U17" s="2" t="s">
        <v>959</v>
      </c>
      <c r="V17" s="2" t="s">
        <v>1417</v>
      </c>
      <c r="W17" s="2" t="s">
        <v>1418</v>
      </c>
      <c r="Y17" s="2" t="s">
        <v>1419</v>
      </c>
    </row>
    <row r="18" spans="3:25" x14ac:dyDescent="0.25">
      <c r="C18" s="2" t="s">
        <v>112</v>
      </c>
      <c r="D18" s="2" t="s">
        <v>275</v>
      </c>
      <c r="E18" s="9">
        <v>51.92</v>
      </c>
      <c r="F18" s="5">
        <v>27.648326000000001</v>
      </c>
      <c r="G18" s="5">
        <f t="shared" si="0"/>
        <v>1435.5010859200002</v>
      </c>
      <c r="J18" s="12">
        <v>218.1</v>
      </c>
      <c r="K18" s="12">
        <v>872.4</v>
      </c>
      <c r="L18" s="16">
        <v>-0.1014</v>
      </c>
      <c r="M18" s="14">
        <f t="shared" si="1"/>
        <v>1.6454620425492896</v>
      </c>
      <c r="N18" s="10">
        <v>2016</v>
      </c>
      <c r="O18" s="10">
        <v>1983</v>
      </c>
      <c r="P18" s="2" t="s">
        <v>420</v>
      </c>
      <c r="Q18" s="2" t="s">
        <v>344</v>
      </c>
      <c r="R18" s="2" t="s">
        <v>665</v>
      </c>
      <c r="S18" s="2" t="s">
        <v>583</v>
      </c>
      <c r="T18" s="5">
        <v>1800</v>
      </c>
      <c r="U18" s="2" t="s">
        <v>895</v>
      </c>
      <c r="V18" s="2" t="s">
        <v>1187</v>
      </c>
      <c r="W18" s="2" t="s">
        <v>1188</v>
      </c>
      <c r="X18" s="2" t="s">
        <v>1189</v>
      </c>
      <c r="Y18" s="2" t="s">
        <v>1190</v>
      </c>
    </row>
    <row r="19" spans="3:25" x14ac:dyDescent="0.25">
      <c r="C19" s="2" t="s">
        <v>42</v>
      </c>
      <c r="D19" s="2" t="s">
        <v>205</v>
      </c>
      <c r="E19" s="9">
        <v>53.49</v>
      </c>
      <c r="F19" s="5">
        <v>303.37885199999999</v>
      </c>
      <c r="G19" s="5">
        <f t="shared" si="0"/>
        <v>16227.73479348</v>
      </c>
      <c r="J19" s="12">
        <v>370.54</v>
      </c>
      <c r="K19" s="12">
        <v>1482.16</v>
      </c>
      <c r="L19" s="16">
        <v>9.6999999999999989E-2</v>
      </c>
      <c r="M19" s="14">
        <f t="shared" si="1"/>
        <v>10.948706478032062</v>
      </c>
      <c r="N19" s="10">
        <v>2020</v>
      </c>
      <c r="O19" s="10">
        <v>1984</v>
      </c>
      <c r="P19" s="2" t="s">
        <v>374</v>
      </c>
      <c r="Q19" s="2" t="s">
        <v>375</v>
      </c>
      <c r="R19" s="2" t="s">
        <v>583</v>
      </c>
      <c r="S19" s="2" t="s">
        <v>617</v>
      </c>
      <c r="T19" s="5">
        <v>5500</v>
      </c>
      <c r="U19" s="2" t="s">
        <v>866</v>
      </c>
      <c r="V19" s="2" t="s">
        <v>1083</v>
      </c>
      <c r="W19" s="2" t="s">
        <v>1084</v>
      </c>
      <c r="X19" s="2" t="s">
        <v>1085</v>
      </c>
      <c r="Y19" s="2" t="s">
        <v>1086</v>
      </c>
    </row>
    <row r="20" spans="3:25" x14ac:dyDescent="0.25">
      <c r="C20" s="2" t="s">
        <v>131</v>
      </c>
      <c r="D20" s="2" t="s">
        <v>293</v>
      </c>
      <c r="E20" s="9">
        <v>14.65</v>
      </c>
      <c r="F20" s="5">
        <v>47.884486000000003</v>
      </c>
      <c r="G20" s="5">
        <f t="shared" si="0"/>
        <v>701.5077199000001</v>
      </c>
      <c r="J20" s="12">
        <v>88.72</v>
      </c>
      <c r="K20" s="12">
        <v>354.88</v>
      </c>
      <c r="L20" s="16">
        <v>8.1699999999999995E-2</v>
      </c>
      <c r="M20" s="14">
        <f t="shared" si="1"/>
        <v>1.9767462801510374</v>
      </c>
      <c r="N20" s="10">
        <v>2007</v>
      </c>
      <c r="O20" s="10">
        <v>1985</v>
      </c>
      <c r="P20" s="2" t="s">
        <v>517</v>
      </c>
      <c r="Q20" s="2" t="s">
        <v>404</v>
      </c>
      <c r="R20" s="2" t="s">
        <v>769</v>
      </c>
      <c r="S20" s="2" t="s">
        <v>605</v>
      </c>
      <c r="T20" s="5">
        <v>1501</v>
      </c>
      <c r="U20" s="2" t="s">
        <v>961</v>
      </c>
      <c r="V20" s="2" t="s">
        <v>1422</v>
      </c>
      <c r="W20" s="2" t="s">
        <v>1423</v>
      </c>
      <c r="X20" s="2" t="s">
        <v>1424</v>
      </c>
      <c r="Y20" s="2" t="s">
        <v>1425</v>
      </c>
    </row>
    <row r="21" spans="3:25" x14ac:dyDescent="0.25">
      <c r="C21" s="2" t="s">
        <v>154</v>
      </c>
      <c r="D21" s="2" t="s">
        <v>316</v>
      </c>
      <c r="E21" s="9">
        <v>8.2100000000000009</v>
      </c>
      <c r="F21" s="5">
        <v>27.120668999999999</v>
      </c>
      <c r="G21" s="5">
        <f t="shared" si="0"/>
        <v>222.66069249000003</v>
      </c>
      <c r="J21" s="12">
        <v>30.12</v>
      </c>
      <c r="K21" s="12">
        <v>120.48</v>
      </c>
      <c r="L21" s="16">
        <v>7.4200000000000002E-2</v>
      </c>
      <c r="M21" s="14">
        <f t="shared" si="1"/>
        <v>1.8481133174800799</v>
      </c>
      <c r="N21" s="10">
        <v>1992</v>
      </c>
      <c r="O21" s="10">
        <v>1985</v>
      </c>
      <c r="P21" s="2" t="s">
        <v>360</v>
      </c>
      <c r="Q21" s="2" t="s">
        <v>361</v>
      </c>
      <c r="R21" s="2" t="s">
        <v>604</v>
      </c>
      <c r="S21" s="2" t="s">
        <v>605</v>
      </c>
      <c r="T21" s="5">
        <v>628</v>
      </c>
      <c r="U21" s="2" t="s">
        <v>859</v>
      </c>
      <c r="V21" s="2" t="s">
        <v>1060</v>
      </c>
      <c r="W21" s="2" t="s">
        <v>1061</v>
      </c>
      <c r="Y21" s="2" t="s">
        <v>1062</v>
      </c>
    </row>
    <row r="22" spans="3:25" x14ac:dyDescent="0.25">
      <c r="C22" s="2" t="s">
        <v>143</v>
      </c>
      <c r="D22" s="2" t="s">
        <v>305</v>
      </c>
      <c r="E22" s="9">
        <v>9.94</v>
      </c>
      <c r="F22" s="5">
        <v>45.568182</v>
      </c>
      <c r="G22" s="5">
        <f t="shared" si="0"/>
        <v>452.94772907999999</v>
      </c>
      <c r="J22" s="12">
        <v>51.93</v>
      </c>
      <c r="K22" s="12">
        <v>207.72</v>
      </c>
      <c r="L22" s="16">
        <v>0.1056</v>
      </c>
      <c r="M22" s="14">
        <f t="shared" si="1"/>
        <v>2.1805686938186017</v>
      </c>
      <c r="N22" s="10">
        <v>1988</v>
      </c>
      <c r="O22" s="10">
        <v>1986</v>
      </c>
      <c r="P22" s="2" t="s">
        <v>483</v>
      </c>
      <c r="Q22" s="2" t="s">
        <v>484</v>
      </c>
      <c r="R22" s="2" t="s">
        <v>736</v>
      </c>
      <c r="S22" s="2" t="s">
        <v>737</v>
      </c>
      <c r="T22" s="5">
        <v>598</v>
      </c>
      <c r="U22" s="2" t="s">
        <v>938</v>
      </c>
      <c r="V22" s="2" t="s">
        <v>1343</v>
      </c>
      <c r="W22" s="2" t="s">
        <v>1344</v>
      </c>
      <c r="Y22" s="2" t="s">
        <v>1345</v>
      </c>
    </row>
    <row r="23" spans="3:25" x14ac:dyDescent="0.25">
      <c r="C23" s="2" t="s">
        <v>15</v>
      </c>
      <c r="D23" s="2" t="s">
        <v>178</v>
      </c>
      <c r="E23" s="9">
        <v>619.41999999999996</v>
      </c>
      <c r="F23" s="5">
        <v>185.043239</v>
      </c>
      <c r="G23" s="5">
        <f t="shared" si="0"/>
        <v>114619.48310138</v>
      </c>
      <c r="J23" s="12">
        <v>1600</v>
      </c>
      <c r="K23" s="12">
        <v>6400</v>
      </c>
      <c r="L23" s="16">
        <v>0.10279999999999999</v>
      </c>
      <c r="M23" s="14">
        <f t="shared" si="1"/>
        <v>17.909294234590625</v>
      </c>
      <c r="N23" s="10">
        <v>1992</v>
      </c>
      <c r="O23" s="10">
        <v>1986</v>
      </c>
      <c r="P23" s="2" t="s">
        <v>550</v>
      </c>
      <c r="Q23" s="2" t="s">
        <v>402</v>
      </c>
      <c r="R23" s="2" t="s">
        <v>805</v>
      </c>
      <c r="S23" s="2" t="s">
        <v>643</v>
      </c>
      <c r="T23" s="5">
        <v>20000</v>
      </c>
      <c r="U23" s="2" t="s">
        <v>986</v>
      </c>
      <c r="V23" s="2" t="s">
        <v>1512</v>
      </c>
      <c r="W23" s="2" t="s">
        <v>1513</v>
      </c>
      <c r="Y23" s="2" t="s">
        <v>1514</v>
      </c>
    </row>
    <row r="24" spans="3:25" x14ac:dyDescent="0.25">
      <c r="C24" s="2" t="s">
        <v>55</v>
      </c>
      <c r="D24" s="2" t="s">
        <v>218</v>
      </c>
      <c r="E24" s="9">
        <v>148.66</v>
      </c>
      <c r="F24" s="5">
        <v>65.362689000000003</v>
      </c>
      <c r="G24" s="5">
        <f t="shared" si="0"/>
        <v>9716.8173467400011</v>
      </c>
      <c r="J24" s="12">
        <v>700.19</v>
      </c>
      <c r="K24" s="12">
        <v>2800.76</v>
      </c>
      <c r="L24" s="16">
        <v>6.2E-2</v>
      </c>
      <c r="M24" s="14">
        <f t="shared" si="1"/>
        <v>3.4693502287736186</v>
      </c>
      <c r="N24" s="10">
        <v>1996</v>
      </c>
      <c r="O24" s="10">
        <v>1986</v>
      </c>
      <c r="P24" s="2" t="s">
        <v>496</v>
      </c>
      <c r="Q24" s="2" t="s">
        <v>497</v>
      </c>
      <c r="R24" s="2" t="s">
        <v>583</v>
      </c>
      <c r="S24" s="2" t="s">
        <v>583</v>
      </c>
      <c r="T24" s="5">
        <v>8726</v>
      </c>
      <c r="U24" s="2" t="s">
        <v>946</v>
      </c>
      <c r="V24" s="2" t="s">
        <v>1371</v>
      </c>
      <c r="W24" s="2" t="s">
        <v>1372</v>
      </c>
    </row>
    <row r="25" spans="3:25" x14ac:dyDescent="0.25">
      <c r="C25" s="2" t="s">
        <v>34</v>
      </c>
      <c r="D25" s="2" t="s">
        <v>197</v>
      </c>
      <c r="E25" s="9">
        <v>86.8</v>
      </c>
      <c r="F25" s="5">
        <v>244.22414800000001</v>
      </c>
      <c r="G25" s="5">
        <f t="shared" si="0"/>
        <v>21198.656046399999</v>
      </c>
      <c r="J25" s="12">
        <v>1540</v>
      </c>
      <c r="K25" s="12">
        <v>6160</v>
      </c>
      <c r="L25" s="16">
        <v>5.8799999999999998E-2</v>
      </c>
      <c r="M25" s="14">
        <f t="shared" si="1"/>
        <v>3.4413402672727273</v>
      </c>
      <c r="N25" s="10">
        <v>2010</v>
      </c>
      <c r="O25" s="10">
        <v>1986</v>
      </c>
      <c r="P25" s="2" t="s">
        <v>548</v>
      </c>
      <c r="Q25" s="2" t="s">
        <v>549</v>
      </c>
      <c r="R25" s="2" t="s">
        <v>804</v>
      </c>
      <c r="S25" s="2" t="s">
        <v>583</v>
      </c>
      <c r="T25" s="5">
        <v>26800</v>
      </c>
      <c r="U25" s="2" t="s">
        <v>985</v>
      </c>
      <c r="V25" s="2" t="s">
        <v>1508</v>
      </c>
      <c r="W25" s="2" t="s">
        <v>1509</v>
      </c>
      <c r="X25" s="2" t="s">
        <v>1510</v>
      </c>
      <c r="Y25" s="2" t="s">
        <v>1511</v>
      </c>
    </row>
    <row r="26" spans="3:25" x14ac:dyDescent="0.25">
      <c r="C26" s="2" t="s">
        <v>162</v>
      </c>
      <c r="D26" s="2" t="s">
        <v>324</v>
      </c>
      <c r="E26" s="9">
        <v>2.25</v>
      </c>
      <c r="F26" s="5">
        <v>21.198156999999998</v>
      </c>
      <c r="G26" s="5">
        <f t="shared" si="0"/>
        <v>47.695853249999999</v>
      </c>
      <c r="J26" s="12">
        <v>3.9</v>
      </c>
      <c r="K26" s="12">
        <v>15.6</v>
      </c>
      <c r="L26" s="16">
        <v>-9.8800000000000013E-2</v>
      </c>
      <c r="M26" s="14">
        <f t="shared" si="1"/>
        <v>3.0574264903846156</v>
      </c>
      <c r="N26" s="10">
        <v>1996</v>
      </c>
      <c r="O26" s="10">
        <v>1986</v>
      </c>
      <c r="P26" s="2" t="s">
        <v>370</v>
      </c>
      <c r="Q26" s="2" t="s">
        <v>371</v>
      </c>
      <c r="R26" s="2" t="s">
        <v>613</v>
      </c>
      <c r="S26" s="2" t="s">
        <v>614</v>
      </c>
      <c r="T26" s="5">
        <v>64</v>
      </c>
      <c r="U26" s="2" t="s">
        <v>864</v>
      </c>
      <c r="V26" s="2" t="s">
        <v>1076</v>
      </c>
      <c r="W26" s="2" t="s">
        <v>1077</v>
      </c>
      <c r="Y26" s="2" t="s">
        <v>1078</v>
      </c>
    </row>
    <row r="27" spans="3:25" x14ac:dyDescent="0.25">
      <c r="C27" s="2" t="s">
        <v>78</v>
      </c>
      <c r="D27" s="2" t="s">
        <v>241</v>
      </c>
      <c r="E27" s="9">
        <v>106.25</v>
      </c>
      <c r="F27" s="5">
        <v>37.909126000000001</v>
      </c>
      <c r="G27" s="5">
        <f t="shared" si="0"/>
        <v>4027.8446374999999</v>
      </c>
      <c r="J27" s="12">
        <v>187.4</v>
      </c>
      <c r="K27" s="12">
        <v>749.6</v>
      </c>
      <c r="L27" s="16">
        <v>0.22010000000000002</v>
      </c>
      <c r="M27" s="14">
        <f t="shared" si="1"/>
        <v>5.3733252901547486</v>
      </c>
      <c r="N27" s="10">
        <v>2010</v>
      </c>
      <c r="O27" s="10">
        <v>1987</v>
      </c>
      <c r="P27" s="2" t="s">
        <v>547</v>
      </c>
      <c r="Q27" s="2" t="s">
        <v>461</v>
      </c>
      <c r="R27" s="2" t="s">
        <v>802</v>
      </c>
      <c r="S27" s="2" t="s">
        <v>803</v>
      </c>
      <c r="T27" s="5">
        <v>2783</v>
      </c>
      <c r="U27" s="2" t="s">
        <v>984</v>
      </c>
      <c r="V27" s="2" t="s">
        <v>1504</v>
      </c>
      <c r="W27" s="2" t="s">
        <v>1505</v>
      </c>
      <c r="X27" s="2" t="s">
        <v>1506</v>
      </c>
      <c r="Y27" s="2" t="s">
        <v>1507</v>
      </c>
    </row>
    <row r="28" spans="3:25" x14ac:dyDescent="0.25">
      <c r="C28" s="2" t="s">
        <v>150</v>
      </c>
      <c r="D28" s="2" t="s">
        <v>312</v>
      </c>
      <c r="E28" s="9">
        <v>1.93</v>
      </c>
      <c r="F28" s="5">
        <v>135.294118</v>
      </c>
      <c r="G28" s="5">
        <f t="shared" si="0"/>
        <v>261.11764774</v>
      </c>
      <c r="J28" s="12">
        <v>177.04</v>
      </c>
      <c r="K28" s="12">
        <v>708.16</v>
      </c>
      <c r="L28" s="16">
        <v>-1.32E-2</v>
      </c>
      <c r="M28" s="14">
        <f t="shared" si="1"/>
        <v>0.36872690880591957</v>
      </c>
      <c r="N28" s="10">
        <v>1996</v>
      </c>
      <c r="O28" s="10">
        <v>1987</v>
      </c>
      <c r="P28" s="2" t="s">
        <v>336</v>
      </c>
      <c r="R28" s="2" t="s">
        <v>583</v>
      </c>
      <c r="S28" s="2" t="s">
        <v>583</v>
      </c>
      <c r="T28" s="5">
        <v>1942</v>
      </c>
      <c r="U28" s="2" t="s">
        <v>846</v>
      </c>
      <c r="V28" s="2" t="s">
        <v>1013</v>
      </c>
      <c r="W28" s="2" t="s">
        <v>1014</v>
      </c>
      <c r="Y28" s="2" t="s">
        <v>1015</v>
      </c>
    </row>
    <row r="29" spans="3:25" x14ac:dyDescent="0.25">
      <c r="C29" s="2" t="s">
        <v>17</v>
      </c>
      <c r="D29" s="2" t="s">
        <v>180</v>
      </c>
      <c r="E29" s="9">
        <v>395.13</v>
      </c>
      <c r="F29" s="5">
        <v>280.95900499999999</v>
      </c>
      <c r="G29" s="5">
        <f t="shared" si="0"/>
        <v>111015.33164564999</v>
      </c>
      <c r="J29" s="12">
        <v>114.49</v>
      </c>
      <c r="K29" s="12">
        <v>457.96</v>
      </c>
      <c r="L29" s="16">
        <v>2.7300000000000001E-2</v>
      </c>
      <c r="M29" s="14">
        <f t="shared" si="1"/>
        <v>242.41272522851338</v>
      </c>
      <c r="N29" s="10">
        <v>1998</v>
      </c>
      <c r="O29" s="10">
        <v>1989</v>
      </c>
      <c r="P29" s="2" t="s">
        <v>481</v>
      </c>
      <c r="Q29" s="2" t="s">
        <v>482</v>
      </c>
      <c r="R29" s="2" t="s">
        <v>735</v>
      </c>
      <c r="S29" s="2" t="s">
        <v>687</v>
      </c>
      <c r="T29" s="5">
        <v>1483</v>
      </c>
      <c r="U29" s="2" t="s">
        <v>937</v>
      </c>
      <c r="V29" s="2" t="s">
        <v>1340</v>
      </c>
      <c r="W29" s="2" t="s">
        <v>1341</v>
      </c>
      <c r="Y29" s="2" t="s">
        <v>1342</v>
      </c>
    </row>
    <row r="30" spans="3:25" x14ac:dyDescent="0.25">
      <c r="C30" s="2" t="s">
        <v>137</v>
      </c>
      <c r="D30" s="2" t="s">
        <v>299</v>
      </c>
      <c r="E30" s="9">
        <v>12.91</v>
      </c>
      <c r="F30" s="5">
        <v>38.235294000000003</v>
      </c>
      <c r="G30" s="5">
        <f t="shared" si="0"/>
        <v>493.61764554000007</v>
      </c>
      <c r="J30" s="12">
        <v>63.37</v>
      </c>
      <c r="K30" s="12">
        <v>253.48</v>
      </c>
      <c r="L30" s="16">
        <v>-2.2799999999999997E-2</v>
      </c>
      <c r="M30" s="14">
        <f t="shared" si="1"/>
        <v>1.9473632852296043</v>
      </c>
      <c r="N30" s="10">
        <v>1998</v>
      </c>
      <c r="O30" s="10">
        <v>1991</v>
      </c>
      <c r="P30" s="2" t="s">
        <v>500</v>
      </c>
      <c r="Q30" s="2" t="s">
        <v>344</v>
      </c>
      <c r="R30" s="2" t="s">
        <v>754</v>
      </c>
      <c r="S30" s="2" t="s">
        <v>755</v>
      </c>
      <c r="T30" s="5">
        <v>465</v>
      </c>
      <c r="U30" s="2" t="s">
        <v>949</v>
      </c>
      <c r="V30" s="2" t="s">
        <v>1381</v>
      </c>
      <c r="W30" s="2" t="s">
        <v>1382</v>
      </c>
      <c r="X30" s="2" t="s">
        <v>1383</v>
      </c>
      <c r="Y30" s="2" t="s">
        <v>1384</v>
      </c>
    </row>
    <row r="31" spans="3:25" x14ac:dyDescent="0.25">
      <c r="C31" s="2" t="s">
        <v>61</v>
      </c>
      <c r="D31" s="2" t="s">
        <v>224</v>
      </c>
      <c r="E31" s="9">
        <v>30.91</v>
      </c>
      <c r="F31" s="5">
        <v>259.33756199999999</v>
      </c>
      <c r="G31" s="5">
        <f t="shared" si="0"/>
        <v>8016.1240414200001</v>
      </c>
      <c r="J31" s="12">
        <v>1250</v>
      </c>
      <c r="K31" s="12">
        <v>5000</v>
      </c>
      <c r="L31" s="16">
        <v>-0.13320000000000001</v>
      </c>
      <c r="M31" s="14">
        <f t="shared" si="1"/>
        <v>1.6032248082839999</v>
      </c>
      <c r="N31" s="10">
        <v>1996</v>
      </c>
      <c r="O31" s="10">
        <v>1991</v>
      </c>
      <c r="P31" s="2" t="s">
        <v>503</v>
      </c>
      <c r="Q31" s="2" t="s">
        <v>412</v>
      </c>
      <c r="R31" s="2" t="s">
        <v>758</v>
      </c>
      <c r="S31" s="2" t="s">
        <v>601</v>
      </c>
      <c r="T31" s="5">
        <v>21700</v>
      </c>
      <c r="U31" s="2" t="s">
        <v>951</v>
      </c>
      <c r="V31" s="2" t="s">
        <v>1388</v>
      </c>
      <c r="W31" s="2" t="s">
        <v>1389</v>
      </c>
      <c r="Y31" s="2" t="s">
        <v>1390</v>
      </c>
    </row>
    <row r="32" spans="3:25" x14ac:dyDescent="0.25">
      <c r="C32" s="2" t="s">
        <v>36</v>
      </c>
      <c r="D32" s="2" t="s">
        <v>199</v>
      </c>
      <c r="E32" s="9">
        <v>183.32</v>
      </c>
      <c r="F32" s="5">
        <v>108.367801</v>
      </c>
      <c r="G32" s="5">
        <f t="shared" si="0"/>
        <v>19865.985279320001</v>
      </c>
      <c r="J32" s="12">
        <v>665.2</v>
      </c>
      <c r="K32" s="12">
        <v>2660.8</v>
      </c>
      <c r="L32" s="16">
        <v>6.0199999999999997E-2</v>
      </c>
      <c r="M32" s="14">
        <f t="shared" si="1"/>
        <v>7.4661700538634994</v>
      </c>
      <c r="N32" s="10">
        <v>1996</v>
      </c>
      <c r="O32" s="10">
        <v>1993</v>
      </c>
      <c r="P32" s="2" t="s">
        <v>390</v>
      </c>
      <c r="Q32" s="2" t="s">
        <v>391</v>
      </c>
      <c r="R32" s="2" t="s">
        <v>583</v>
      </c>
      <c r="S32" s="2" t="s">
        <v>583</v>
      </c>
      <c r="T32" s="5">
        <v>6669</v>
      </c>
      <c r="U32" s="2" t="s">
        <v>877</v>
      </c>
      <c r="V32" s="2" t="s">
        <v>1126</v>
      </c>
      <c r="W32" s="2" t="s">
        <v>1127</v>
      </c>
    </row>
    <row r="33" spans="3:25" x14ac:dyDescent="0.25">
      <c r="C33" s="2" t="s">
        <v>60</v>
      </c>
      <c r="D33" s="2" t="s">
        <v>223</v>
      </c>
      <c r="E33" s="9">
        <v>24.67</v>
      </c>
      <c r="F33" s="5">
        <v>303.451076</v>
      </c>
      <c r="G33" s="5">
        <f t="shared" si="0"/>
        <v>7486.1380449200005</v>
      </c>
      <c r="J33" s="12">
        <v>403.9</v>
      </c>
      <c r="K33" s="12">
        <v>1615.6</v>
      </c>
      <c r="L33" s="16">
        <v>3.9300000000000002E-2</v>
      </c>
      <c r="M33" s="14">
        <f t="shared" si="1"/>
        <v>4.6336581114879927</v>
      </c>
      <c r="N33" s="10">
        <v>2021</v>
      </c>
      <c r="O33" s="10">
        <v>1993</v>
      </c>
      <c r="P33" s="2" t="s">
        <v>455</v>
      </c>
      <c r="Q33" s="2" t="s">
        <v>382</v>
      </c>
      <c r="R33" s="2" t="s">
        <v>707</v>
      </c>
      <c r="S33" s="2" t="s">
        <v>708</v>
      </c>
      <c r="T33" s="5">
        <v>5200</v>
      </c>
      <c r="U33" s="2" t="s">
        <v>920</v>
      </c>
      <c r="V33" s="2" t="s">
        <v>1282</v>
      </c>
      <c r="W33" s="2" t="s">
        <v>1283</v>
      </c>
      <c r="X33" s="2" t="s">
        <v>1284</v>
      </c>
      <c r="Y33" s="2" t="s">
        <v>1285</v>
      </c>
    </row>
    <row r="34" spans="3:25" x14ac:dyDescent="0.25">
      <c r="C34" s="2" t="s">
        <v>158</v>
      </c>
      <c r="D34" s="2" t="s">
        <v>320</v>
      </c>
      <c r="E34" s="9">
        <v>4.8899999999999997</v>
      </c>
      <c r="F34" s="5">
        <v>19.917012</v>
      </c>
      <c r="G34" s="5">
        <f t="shared" si="0"/>
        <v>97.394188679999999</v>
      </c>
      <c r="J34" s="12">
        <v>4.8899999999999997</v>
      </c>
      <c r="K34" s="12">
        <v>19.559999999999999</v>
      </c>
      <c r="L34" s="16">
        <v>4.5700000000000005E-2</v>
      </c>
      <c r="M34" s="14">
        <f t="shared" si="1"/>
        <v>4.9792529999999999</v>
      </c>
      <c r="N34" s="10">
        <v>1999</v>
      </c>
      <c r="O34" s="10">
        <v>1994</v>
      </c>
      <c r="P34" s="2" t="s">
        <v>457</v>
      </c>
      <c r="Q34" s="2" t="s">
        <v>458</v>
      </c>
      <c r="R34" s="2" t="s">
        <v>711</v>
      </c>
      <c r="S34" s="2" t="s">
        <v>712</v>
      </c>
      <c r="T34" s="5">
        <v>47</v>
      </c>
      <c r="U34" s="2" t="s">
        <v>922</v>
      </c>
      <c r="V34" s="2" t="s">
        <v>1290</v>
      </c>
      <c r="W34" s="2" t="s">
        <v>1291</v>
      </c>
      <c r="X34" s="2" t="s">
        <v>1292</v>
      </c>
      <c r="Y34" s="2" t="s">
        <v>1293</v>
      </c>
    </row>
    <row r="35" spans="3:25" x14ac:dyDescent="0.25">
      <c r="C35" s="2" t="s">
        <v>58</v>
      </c>
      <c r="D35" s="2" t="s">
        <v>221</v>
      </c>
      <c r="E35" s="9">
        <v>36.090000000000003</v>
      </c>
      <c r="F35" s="5">
        <v>245.23809499999999</v>
      </c>
      <c r="G35" s="5">
        <f t="shared" ref="G35:G66" si="2">E35*F35</f>
        <v>8850.6428485500001</v>
      </c>
      <c r="J35" s="12">
        <v>864.06600000000003</v>
      </c>
      <c r="K35" s="12">
        <v>3456.2640000000001</v>
      </c>
      <c r="L35" s="16">
        <v>4.1599999999999998E-2</v>
      </c>
      <c r="M35" s="14">
        <f t="shared" ref="M35:M66" si="3">G35/K35</f>
        <v>2.5607542851327327</v>
      </c>
      <c r="N35" s="10">
        <v>2020</v>
      </c>
      <c r="O35" s="10">
        <v>1995</v>
      </c>
      <c r="P35" s="2" t="s">
        <v>479</v>
      </c>
      <c r="Q35" s="2" t="s">
        <v>480</v>
      </c>
      <c r="R35" s="2" t="s">
        <v>734</v>
      </c>
      <c r="S35" s="2" t="s">
        <v>721</v>
      </c>
      <c r="T35" s="5">
        <v>2500</v>
      </c>
      <c r="U35" s="2" t="s">
        <v>936</v>
      </c>
      <c r="V35" s="2" t="s">
        <v>1337</v>
      </c>
      <c r="W35" s="2" t="s">
        <v>1338</v>
      </c>
      <c r="Y35" s="2" t="s">
        <v>1339</v>
      </c>
    </row>
    <row r="36" spans="3:25" x14ac:dyDescent="0.25">
      <c r="C36" s="2" t="s">
        <v>160</v>
      </c>
      <c r="D36" s="2" t="s">
        <v>322</v>
      </c>
      <c r="E36" s="9">
        <v>1.21</v>
      </c>
      <c r="F36" s="5">
        <v>94.047618999999997</v>
      </c>
      <c r="G36" s="5">
        <f t="shared" si="2"/>
        <v>113.79761898999999</v>
      </c>
      <c r="J36" s="12">
        <v>64.7</v>
      </c>
      <c r="K36" s="12">
        <v>258.8</v>
      </c>
      <c r="L36" s="16">
        <v>-0.2402</v>
      </c>
      <c r="M36" s="14">
        <f t="shared" si="3"/>
        <v>0.43971259269706331</v>
      </c>
      <c r="N36" s="10">
        <v>2000</v>
      </c>
      <c r="O36" s="10">
        <v>1995</v>
      </c>
      <c r="P36" s="2" t="s">
        <v>474</v>
      </c>
      <c r="Q36" s="2" t="s">
        <v>410</v>
      </c>
      <c r="R36" s="2" t="s">
        <v>728</v>
      </c>
      <c r="S36" s="2" t="s">
        <v>691</v>
      </c>
      <c r="T36" s="5">
        <v>896</v>
      </c>
      <c r="U36" s="2" t="s">
        <v>932</v>
      </c>
      <c r="V36" s="2" t="s">
        <v>1323</v>
      </c>
      <c r="W36" s="2" t="s">
        <v>1324</v>
      </c>
      <c r="Y36" s="2" t="s">
        <v>1325</v>
      </c>
    </row>
    <row r="37" spans="3:25" x14ac:dyDescent="0.25">
      <c r="C37" s="2" t="s">
        <v>40</v>
      </c>
      <c r="D37" s="2" t="s">
        <v>203</v>
      </c>
      <c r="E37" s="9">
        <v>321.77</v>
      </c>
      <c r="F37" s="5">
        <v>57.866830999999998</v>
      </c>
      <c r="G37" s="5">
        <f t="shared" si="2"/>
        <v>18619.810210869997</v>
      </c>
      <c r="J37" s="12">
        <v>780.37</v>
      </c>
      <c r="K37" s="12">
        <v>3121.48</v>
      </c>
      <c r="L37" s="16">
        <v>0.122</v>
      </c>
      <c r="M37" s="14">
        <f t="shared" si="3"/>
        <v>5.9650583091578344</v>
      </c>
      <c r="N37" s="10">
        <v>1999</v>
      </c>
      <c r="O37" s="10">
        <v>1996</v>
      </c>
      <c r="P37" s="2" t="s">
        <v>435</v>
      </c>
      <c r="Q37" s="2" t="s">
        <v>436</v>
      </c>
      <c r="R37" s="2" t="s">
        <v>686</v>
      </c>
      <c r="S37" s="2" t="s">
        <v>687</v>
      </c>
      <c r="T37" s="5">
        <v>6114</v>
      </c>
      <c r="U37" s="2" t="s">
        <v>907</v>
      </c>
      <c r="V37" s="2" t="s">
        <v>1234</v>
      </c>
      <c r="W37" s="2" t="s">
        <v>1235</v>
      </c>
      <c r="Y37" s="2" t="s">
        <v>1236</v>
      </c>
    </row>
    <row r="38" spans="3:25" x14ac:dyDescent="0.25">
      <c r="C38" s="2" t="s">
        <v>4</v>
      </c>
      <c r="D38" s="2" t="s">
        <v>167</v>
      </c>
      <c r="E38" s="9">
        <v>1211.6400000000001</v>
      </c>
      <c r="F38" s="5">
        <v>424.92663599999997</v>
      </c>
      <c r="G38" s="5">
        <f t="shared" si="2"/>
        <v>514858.10924304003</v>
      </c>
      <c r="J38" s="12">
        <v>11080</v>
      </c>
      <c r="K38" s="12">
        <v>44320</v>
      </c>
      <c r="L38" s="16">
        <v>0.159</v>
      </c>
      <c r="M38" s="14">
        <f t="shared" si="3"/>
        <v>11.616834594833936</v>
      </c>
      <c r="N38" s="10">
        <v>2002</v>
      </c>
      <c r="O38" s="10">
        <v>1997</v>
      </c>
      <c r="P38" s="2" t="s">
        <v>494</v>
      </c>
      <c r="Q38" s="2" t="s">
        <v>495</v>
      </c>
      <c r="R38" s="2" t="s">
        <v>748</v>
      </c>
      <c r="S38" s="2" t="s">
        <v>749</v>
      </c>
      <c r="T38" s="5">
        <v>14000</v>
      </c>
      <c r="U38" s="2" t="s">
        <v>945</v>
      </c>
      <c r="V38" s="2" t="s">
        <v>1367</v>
      </c>
      <c r="W38" s="2" t="s">
        <v>1368</v>
      </c>
      <c r="X38" s="2" t="s">
        <v>1369</v>
      </c>
      <c r="Y38" s="2" t="s">
        <v>1370</v>
      </c>
    </row>
    <row r="39" spans="3:25" x14ac:dyDescent="0.25">
      <c r="C39" s="2" t="s">
        <v>54</v>
      </c>
      <c r="D39" s="2" t="s">
        <v>217</v>
      </c>
      <c r="E39" s="9">
        <v>176.94</v>
      </c>
      <c r="F39" s="5">
        <v>55.227912000000003</v>
      </c>
      <c r="G39" s="5">
        <f t="shared" si="2"/>
        <v>9772.0267492800012</v>
      </c>
      <c r="J39" s="12">
        <v>454.55</v>
      </c>
      <c r="K39" s="12">
        <v>1818.2</v>
      </c>
      <c r="L39" s="16">
        <v>0.13269999999999998</v>
      </c>
      <c r="M39" s="14">
        <f t="shared" si="3"/>
        <v>5.3745609664943359</v>
      </c>
      <c r="N39" s="10">
        <v>2014</v>
      </c>
      <c r="O39" s="10">
        <v>1997</v>
      </c>
      <c r="P39" s="2" t="s">
        <v>513</v>
      </c>
      <c r="Q39" s="2" t="s">
        <v>514</v>
      </c>
      <c r="R39" s="2" t="s">
        <v>766</v>
      </c>
      <c r="S39" s="2" t="s">
        <v>765</v>
      </c>
      <c r="T39" s="5">
        <v>6400</v>
      </c>
      <c r="U39" s="2" t="s">
        <v>958</v>
      </c>
      <c r="V39" s="2" t="s">
        <v>1413</v>
      </c>
      <c r="W39" s="2" t="s">
        <v>1414</v>
      </c>
      <c r="X39" s="2" t="s">
        <v>1415</v>
      </c>
      <c r="Y39" s="2" t="s">
        <v>1416</v>
      </c>
    </row>
    <row r="40" spans="3:25" x14ac:dyDescent="0.25">
      <c r="C40" s="2" t="s">
        <v>31</v>
      </c>
      <c r="D40" s="2" t="s">
        <v>194</v>
      </c>
      <c r="E40" s="9">
        <v>133.35</v>
      </c>
      <c r="F40" s="5">
        <v>142.48737800000001</v>
      </c>
      <c r="G40" s="5">
        <f t="shared" si="2"/>
        <v>19000.6918563</v>
      </c>
      <c r="J40" s="12">
        <v>1190</v>
      </c>
      <c r="K40" s="12">
        <v>4760</v>
      </c>
      <c r="L40" s="16">
        <v>7.7399999999999997E-2</v>
      </c>
      <c r="M40" s="14">
        <f t="shared" si="3"/>
        <v>3.9917419866176469</v>
      </c>
      <c r="N40" s="10">
        <v>2015</v>
      </c>
      <c r="O40" s="10">
        <v>1997</v>
      </c>
      <c r="P40" s="2" t="s">
        <v>449</v>
      </c>
      <c r="Q40" s="2" t="s">
        <v>450</v>
      </c>
      <c r="R40" s="2" t="s">
        <v>701</v>
      </c>
      <c r="S40" s="2" t="s">
        <v>630</v>
      </c>
      <c r="T40" s="5">
        <v>5518</v>
      </c>
      <c r="U40" s="2" t="s">
        <v>916</v>
      </c>
      <c r="V40" s="2" t="s">
        <v>1266</v>
      </c>
      <c r="W40" s="2" t="s">
        <v>1267</v>
      </c>
      <c r="X40" s="2" t="s">
        <v>1268</v>
      </c>
      <c r="Y40" s="2" t="s">
        <v>1269</v>
      </c>
    </row>
    <row r="41" spans="3:25" x14ac:dyDescent="0.25">
      <c r="C41" s="2" t="s">
        <v>157</v>
      </c>
      <c r="D41" s="2" t="s">
        <v>319</v>
      </c>
      <c r="E41" s="9">
        <v>5.76</v>
      </c>
      <c r="F41" s="5">
        <v>27.319588</v>
      </c>
      <c r="G41" s="5">
        <f t="shared" si="2"/>
        <v>157.36082687999999</v>
      </c>
      <c r="J41" s="12">
        <v>21.01</v>
      </c>
      <c r="K41" s="12">
        <v>84.04</v>
      </c>
      <c r="L41" s="16">
        <v>-0.06</v>
      </c>
      <c r="M41" s="14">
        <f t="shared" si="3"/>
        <v>1.8724515335554495</v>
      </c>
      <c r="N41" s="10">
        <v>1999</v>
      </c>
      <c r="O41" s="10">
        <v>1997</v>
      </c>
      <c r="P41" s="2" t="s">
        <v>429</v>
      </c>
      <c r="Q41" s="2" t="s">
        <v>402</v>
      </c>
      <c r="R41" s="2" t="s">
        <v>677</v>
      </c>
      <c r="S41" s="2" t="s">
        <v>678</v>
      </c>
      <c r="T41" s="5">
        <v>542</v>
      </c>
      <c r="U41" s="2" t="s">
        <v>902</v>
      </c>
      <c r="V41" s="2" t="s">
        <v>1215</v>
      </c>
      <c r="W41" s="2" t="s">
        <v>1216</v>
      </c>
      <c r="Y41" s="2" t="s">
        <v>1217</v>
      </c>
    </row>
    <row r="42" spans="3:25" x14ac:dyDescent="0.25">
      <c r="C42" s="2" t="s">
        <v>136</v>
      </c>
      <c r="D42" s="2" t="s">
        <v>298</v>
      </c>
      <c r="E42" s="9">
        <v>4.3499999999999996</v>
      </c>
      <c r="F42" s="5">
        <v>108.007813</v>
      </c>
      <c r="G42" s="5">
        <f t="shared" si="2"/>
        <v>469.83398654999996</v>
      </c>
      <c r="J42" s="12">
        <v>119.15</v>
      </c>
      <c r="K42" s="12">
        <v>476.6</v>
      </c>
      <c r="L42" s="16">
        <v>6.1699999999999998E-2</v>
      </c>
      <c r="M42" s="14">
        <f t="shared" si="3"/>
        <v>0.9858035806756188</v>
      </c>
      <c r="N42" s="10">
        <v>2006</v>
      </c>
      <c r="O42" s="10">
        <v>1998</v>
      </c>
      <c r="P42" s="2" t="s">
        <v>413</v>
      </c>
      <c r="Q42" s="2" t="s">
        <v>361</v>
      </c>
      <c r="R42" s="2" t="s">
        <v>656</v>
      </c>
      <c r="S42" s="2" t="s">
        <v>657</v>
      </c>
      <c r="T42" s="5">
        <v>647</v>
      </c>
      <c r="U42" s="2" t="s">
        <v>890</v>
      </c>
      <c r="V42" s="2" t="s">
        <v>1169</v>
      </c>
      <c r="W42" s="2" t="s">
        <v>1170</v>
      </c>
      <c r="X42" s="2" t="s">
        <v>1171</v>
      </c>
      <c r="Y42" s="2" t="s">
        <v>1172</v>
      </c>
    </row>
    <row r="43" spans="3:25" x14ac:dyDescent="0.25">
      <c r="C43" s="2" t="s">
        <v>49</v>
      </c>
      <c r="D43" s="2" t="s">
        <v>212</v>
      </c>
      <c r="E43" s="9">
        <v>229.85</v>
      </c>
      <c r="F43" s="5">
        <v>56.019255000000001</v>
      </c>
      <c r="G43" s="5">
        <f t="shared" si="2"/>
        <v>12876.025761749999</v>
      </c>
      <c r="J43" s="12">
        <v>530.5</v>
      </c>
      <c r="K43" s="12">
        <v>2122</v>
      </c>
      <c r="L43" s="16">
        <v>6.1200000000000004E-2</v>
      </c>
      <c r="M43" s="14">
        <f t="shared" si="3"/>
        <v>6.0678726492695567</v>
      </c>
      <c r="N43" s="10">
        <v>2014</v>
      </c>
      <c r="O43" s="10">
        <v>1998</v>
      </c>
      <c r="P43" s="2" t="s">
        <v>511</v>
      </c>
      <c r="Q43" s="2" t="s">
        <v>512</v>
      </c>
      <c r="R43" s="2" t="s">
        <v>583</v>
      </c>
      <c r="S43" s="2" t="s">
        <v>765</v>
      </c>
      <c r="T43" s="5">
        <v>7306</v>
      </c>
      <c r="U43" s="2" t="s">
        <v>957</v>
      </c>
      <c r="V43" s="2" t="s">
        <v>1409</v>
      </c>
      <c r="W43" s="2" t="s">
        <v>1410</v>
      </c>
      <c r="X43" s="2" t="s">
        <v>1411</v>
      </c>
      <c r="Y43" s="2" t="s">
        <v>1412</v>
      </c>
    </row>
    <row r="44" spans="3:25" x14ac:dyDescent="0.25">
      <c r="C44" s="2" t="s">
        <v>52</v>
      </c>
      <c r="D44" s="2" t="s">
        <v>215</v>
      </c>
      <c r="E44" s="9">
        <v>70.53</v>
      </c>
      <c r="F44" s="5">
        <v>146.20865800000001</v>
      </c>
      <c r="G44" s="5">
        <f t="shared" si="2"/>
        <v>10312.096648740002</v>
      </c>
      <c r="J44" s="12">
        <v>1020</v>
      </c>
      <c r="K44" s="12">
        <v>4080</v>
      </c>
      <c r="L44" s="16">
        <v>2.8500000000000001E-2</v>
      </c>
      <c r="M44" s="14">
        <f t="shared" si="3"/>
        <v>2.5274746688088241</v>
      </c>
      <c r="N44" s="10">
        <v>1999</v>
      </c>
      <c r="O44" s="10">
        <v>1998</v>
      </c>
      <c r="P44" s="2" t="s">
        <v>341</v>
      </c>
      <c r="Q44" s="2" t="s">
        <v>342</v>
      </c>
      <c r="R44" s="2" t="s">
        <v>587</v>
      </c>
      <c r="S44" s="2" t="s">
        <v>588</v>
      </c>
      <c r="T44" s="5">
        <v>10811</v>
      </c>
      <c r="U44" s="2" t="s">
        <v>849</v>
      </c>
      <c r="V44" s="2" t="s">
        <v>1022</v>
      </c>
      <c r="W44" s="2" t="s">
        <v>1023</v>
      </c>
      <c r="Y44" s="2" t="s">
        <v>1024</v>
      </c>
    </row>
    <row r="45" spans="3:25" x14ac:dyDescent="0.25">
      <c r="C45" s="2" t="s">
        <v>146</v>
      </c>
      <c r="D45" s="2" t="s">
        <v>308</v>
      </c>
      <c r="E45" s="9">
        <v>1.21</v>
      </c>
      <c r="F45" s="5">
        <v>237.28813600000001</v>
      </c>
      <c r="G45" s="5">
        <f t="shared" si="2"/>
        <v>287.11864456000001</v>
      </c>
      <c r="J45" s="12">
        <v>665.4</v>
      </c>
      <c r="K45" s="12">
        <v>2661.6</v>
      </c>
      <c r="L45" s="16">
        <v>-3.6799999999999999E-2</v>
      </c>
      <c r="M45" s="14">
        <f t="shared" si="3"/>
        <v>0.10787445317102495</v>
      </c>
      <c r="N45" s="10">
        <v>2020</v>
      </c>
      <c r="O45" s="10">
        <v>1998</v>
      </c>
      <c r="P45" s="2" t="s">
        <v>521</v>
      </c>
      <c r="Q45" s="2" t="s">
        <v>522</v>
      </c>
      <c r="R45" s="2" t="s">
        <v>773</v>
      </c>
      <c r="S45" s="2" t="s">
        <v>774</v>
      </c>
      <c r="T45" s="5">
        <v>5100</v>
      </c>
      <c r="U45" s="2" t="s">
        <v>964</v>
      </c>
      <c r="V45" s="2" t="s">
        <v>1434</v>
      </c>
      <c r="W45" s="2" t="s">
        <v>1435</v>
      </c>
      <c r="X45" s="2" t="s">
        <v>1436</v>
      </c>
      <c r="Y45" s="2" t="s">
        <v>1437</v>
      </c>
    </row>
    <row r="46" spans="3:25" x14ac:dyDescent="0.25">
      <c r="C46" s="18" t="s">
        <v>141</v>
      </c>
      <c r="D46" s="2" t="s">
        <v>303</v>
      </c>
      <c r="E46" s="9">
        <v>6.33</v>
      </c>
      <c r="F46" s="5">
        <v>71.512482000000006</v>
      </c>
      <c r="G46" s="5">
        <f t="shared" si="2"/>
        <v>452.67401106000005</v>
      </c>
      <c r="J46" s="12">
        <v>103.89</v>
      </c>
      <c r="K46" s="12">
        <v>415.56</v>
      </c>
      <c r="L46" s="16">
        <v>0.77099999999999991</v>
      </c>
      <c r="M46" s="14">
        <f t="shared" si="3"/>
        <v>1.0893108361247474</v>
      </c>
      <c r="N46" s="10">
        <v>2007</v>
      </c>
      <c r="O46" s="10">
        <v>1999</v>
      </c>
      <c r="P46" s="2" t="s">
        <v>552</v>
      </c>
      <c r="Q46" s="2" t="s">
        <v>408</v>
      </c>
      <c r="R46" s="2" t="s">
        <v>808</v>
      </c>
      <c r="S46" s="2" t="s">
        <v>809</v>
      </c>
      <c r="T46" s="5">
        <v>2100</v>
      </c>
      <c r="U46" s="2" t="s">
        <v>988</v>
      </c>
      <c r="V46" s="2" t="s">
        <v>1519</v>
      </c>
      <c r="W46" s="2" t="s">
        <v>1520</v>
      </c>
      <c r="X46" s="2" t="s">
        <v>1521</v>
      </c>
      <c r="Y46" s="2" t="s">
        <v>1522</v>
      </c>
    </row>
    <row r="47" spans="3:25" x14ac:dyDescent="0.25">
      <c r="C47" s="2" t="s">
        <v>33</v>
      </c>
      <c r="D47" s="2" t="s">
        <v>196</v>
      </c>
      <c r="E47" s="9">
        <v>399.76</v>
      </c>
      <c r="F47" s="5">
        <v>50.294685999999999</v>
      </c>
      <c r="G47" s="5">
        <f t="shared" si="2"/>
        <v>20105.803675359999</v>
      </c>
      <c r="J47" s="12">
        <v>328.03</v>
      </c>
      <c r="K47" s="12">
        <v>1312.12</v>
      </c>
      <c r="L47" s="16">
        <v>0.45979999999999999</v>
      </c>
      <c r="M47" s="14">
        <f t="shared" si="3"/>
        <v>15.323143977197208</v>
      </c>
      <c r="N47" s="10">
        <v>2014</v>
      </c>
      <c r="O47" s="10">
        <v>1999</v>
      </c>
      <c r="P47" s="2" t="s">
        <v>407</v>
      </c>
      <c r="Q47" s="2" t="s">
        <v>408</v>
      </c>
      <c r="R47" s="2" t="s">
        <v>651</v>
      </c>
      <c r="S47" s="2" t="s">
        <v>605</v>
      </c>
      <c r="T47" s="5">
        <v>3793</v>
      </c>
      <c r="U47" s="2" t="s">
        <v>887</v>
      </c>
      <c r="V47" s="2" t="s">
        <v>1161</v>
      </c>
      <c r="W47" s="2" t="s">
        <v>1162</v>
      </c>
    </row>
    <row r="48" spans="3:25" x14ac:dyDescent="0.25">
      <c r="C48" s="2" t="s">
        <v>101</v>
      </c>
      <c r="D48" s="2" t="s">
        <v>264</v>
      </c>
      <c r="E48" s="9">
        <v>29.09</v>
      </c>
      <c r="F48" s="5">
        <v>74.236919</v>
      </c>
      <c r="G48" s="5">
        <f t="shared" si="2"/>
        <v>2159.5519737099999</v>
      </c>
      <c r="J48" s="12">
        <v>166.43</v>
      </c>
      <c r="K48" s="12">
        <v>665.72</v>
      </c>
      <c r="L48" s="16">
        <v>0.11070000000000001</v>
      </c>
      <c r="M48" s="14">
        <f t="shared" si="3"/>
        <v>3.2439343473382198</v>
      </c>
      <c r="N48" s="10">
        <v>2017</v>
      </c>
      <c r="O48" s="10">
        <v>1999</v>
      </c>
      <c r="P48" s="2" t="s">
        <v>353</v>
      </c>
      <c r="Q48" s="2" t="s">
        <v>354</v>
      </c>
      <c r="R48" s="2" t="s">
        <v>597</v>
      </c>
      <c r="S48" s="2" t="s">
        <v>598</v>
      </c>
      <c r="T48" s="5">
        <v>2033</v>
      </c>
      <c r="U48" s="2" t="s">
        <v>855</v>
      </c>
      <c r="V48" s="2" t="s">
        <v>1044</v>
      </c>
      <c r="W48" s="2" t="s">
        <v>1045</v>
      </c>
      <c r="X48" s="2" t="s">
        <v>1046</v>
      </c>
      <c r="Y48" s="2" t="s">
        <v>1047</v>
      </c>
    </row>
    <row r="49" spans="3:25" x14ac:dyDescent="0.25">
      <c r="C49" s="2" t="s">
        <v>74</v>
      </c>
      <c r="D49" s="2" t="s">
        <v>237</v>
      </c>
      <c r="E49" s="9">
        <v>128.46</v>
      </c>
      <c r="F49" s="5">
        <v>36.328812999999997</v>
      </c>
      <c r="G49" s="5">
        <f t="shared" si="2"/>
        <v>4666.7993179799996</v>
      </c>
      <c r="J49" s="12">
        <v>159.9</v>
      </c>
      <c r="K49" s="12">
        <v>639.6</v>
      </c>
      <c r="L49" s="16">
        <v>9.6699999999999994E-2</v>
      </c>
      <c r="M49" s="14">
        <f t="shared" si="3"/>
        <v>7.2964342057223259</v>
      </c>
      <c r="N49" s="10">
        <v>2012</v>
      </c>
      <c r="O49" s="10">
        <v>1999</v>
      </c>
      <c r="P49" s="2" t="s">
        <v>519</v>
      </c>
      <c r="Q49" s="2" t="s">
        <v>520</v>
      </c>
      <c r="R49" s="2" t="s">
        <v>772</v>
      </c>
      <c r="S49" s="2" t="s">
        <v>583</v>
      </c>
      <c r="T49" s="5">
        <v>2443</v>
      </c>
      <c r="U49" s="2" t="s">
        <v>963</v>
      </c>
      <c r="V49" s="2" t="s">
        <v>1430</v>
      </c>
      <c r="W49" s="2" t="s">
        <v>1431</v>
      </c>
      <c r="X49" s="2" t="s">
        <v>1432</v>
      </c>
      <c r="Y49" s="2" t="s">
        <v>1433</v>
      </c>
    </row>
    <row r="50" spans="3:25" ht="14.4" x14ac:dyDescent="0.3">
      <c r="C50" s="17" t="s">
        <v>6</v>
      </c>
      <c r="D50" s="2" t="s">
        <v>169</v>
      </c>
      <c r="E50" s="9">
        <f>[4]Main!$J$7</f>
        <v>233.6</v>
      </c>
      <c r="F50" s="5">
        <f>+[4]Main!$J$8</f>
        <v>960</v>
      </c>
      <c r="G50" s="5">
        <f t="shared" si="2"/>
        <v>224256</v>
      </c>
      <c r="H50" s="5">
        <f>+[4]Main!$J$10-[4]Main!$J$11</f>
        <v>8973</v>
      </c>
      <c r="I50" s="5">
        <f>G50-H50</f>
        <v>215283</v>
      </c>
      <c r="J50" s="12">
        <v>9830</v>
      </c>
      <c r="K50" s="12">
        <v>39320</v>
      </c>
      <c r="L50" s="16">
        <v>7.6200000000000004E-2</v>
      </c>
      <c r="M50" s="14">
        <f t="shared" si="3"/>
        <v>5.7033570701932854</v>
      </c>
      <c r="N50" s="10">
        <v>2004</v>
      </c>
      <c r="O50" s="10">
        <v>1999</v>
      </c>
      <c r="P50" s="2" t="s">
        <v>532</v>
      </c>
      <c r="Q50" s="2" t="s">
        <v>348</v>
      </c>
      <c r="R50" s="2" t="s">
        <v>584</v>
      </c>
      <c r="S50" s="2" t="s">
        <v>782</v>
      </c>
      <c r="T50" s="5">
        <v>76453</v>
      </c>
      <c r="U50" s="2" t="s">
        <v>971</v>
      </c>
      <c r="V50" s="2" t="s">
        <v>1459</v>
      </c>
      <c r="W50" s="2" t="s">
        <v>1460</v>
      </c>
      <c r="X50" s="2" t="s">
        <v>1461</v>
      </c>
      <c r="Y50" s="2" t="s">
        <v>1462</v>
      </c>
    </row>
    <row r="51" spans="3:25" x14ac:dyDescent="0.25">
      <c r="C51" s="2" t="s">
        <v>99</v>
      </c>
      <c r="D51" s="2" t="s">
        <v>262</v>
      </c>
      <c r="E51" s="9">
        <v>28.75</v>
      </c>
      <c r="F51" s="5">
        <v>89.928057999999993</v>
      </c>
      <c r="G51" s="5">
        <f t="shared" si="2"/>
        <v>2585.4316675</v>
      </c>
      <c r="J51" s="12">
        <v>612.05999999999995</v>
      </c>
      <c r="K51" s="12">
        <v>2448.2399999999998</v>
      </c>
      <c r="L51" s="16">
        <v>4.7699999999999992E-2</v>
      </c>
      <c r="M51" s="14">
        <f t="shared" si="3"/>
        <v>1.0560368540257492</v>
      </c>
      <c r="N51" s="10">
        <v>2013</v>
      </c>
      <c r="O51" s="10">
        <v>1999</v>
      </c>
      <c r="P51" s="2" t="s">
        <v>524</v>
      </c>
      <c r="Q51" s="2" t="s">
        <v>525</v>
      </c>
      <c r="R51" s="2" t="s">
        <v>776</v>
      </c>
      <c r="S51" s="2" t="s">
        <v>583</v>
      </c>
      <c r="T51" s="5">
        <v>4260</v>
      </c>
      <c r="U51" s="2" t="s">
        <v>966</v>
      </c>
      <c r="V51" s="2" t="s">
        <v>1442</v>
      </c>
      <c r="W51" s="2" t="s">
        <v>1443</v>
      </c>
      <c r="X51" s="2" t="s">
        <v>1444</v>
      </c>
      <c r="Y51" s="2" t="s">
        <v>1445</v>
      </c>
    </row>
    <row r="52" spans="3:25" x14ac:dyDescent="0.25">
      <c r="C52" s="2" t="s">
        <v>122</v>
      </c>
      <c r="D52" s="2" t="s">
        <v>122</v>
      </c>
      <c r="E52" s="9">
        <v>4.3099999999999996</v>
      </c>
      <c r="F52" s="5">
        <v>182.72884300000001</v>
      </c>
      <c r="G52" s="5">
        <f t="shared" si="2"/>
        <v>787.56131332999996</v>
      </c>
      <c r="J52" s="12">
        <v>54.16</v>
      </c>
      <c r="K52" s="12">
        <v>216.64</v>
      </c>
      <c r="L52" s="16">
        <v>2.8999999999999998E-2</v>
      </c>
      <c r="M52" s="14">
        <f t="shared" si="3"/>
        <v>3.6353457963903248</v>
      </c>
      <c r="N52" s="10">
        <v>2021</v>
      </c>
      <c r="O52" s="10">
        <v>1999</v>
      </c>
      <c r="P52" s="2" t="s">
        <v>567</v>
      </c>
      <c r="Q52" s="2" t="s">
        <v>568</v>
      </c>
      <c r="R52" s="2" t="s">
        <v>829</v>
      </c>
      <c r="S52" s="2" t="s">
        <v>830</v>
      </c>
      <c r="T52" s="5">
        <v>1368</v>
      </c>
      <c r="U52" s="2" t="s">
        <v>1000</v>
      </c>
      <c r="V52" s="2" t="s">
        <v>1567</v>
      </c>
      <c r="W52" s="2" t="s">
        <v>1568</v>
      </c>
    </row>
    <row r="53" spans="3:25" x14ac:dyDescent="0.25">
      <c r="C53" s="2" t="s">
        <v>88</v>
      </c>
      <c r="D53" s="2" t="s">
        <v>251</v>
      </c>
      <c r="E53" s="9">
        <v>12.39</v>
      </c>
      <c r="F53" s="5">
        <v>251.36986300000001</v>
      </c>
      <c r="G53" s="5">
        <f t="shared" si="2"/>
        <v>3114.4726025700002</v>
      </c>
      <c r="J53" s="12">
        <v>143.99</v>
      </c>
      <c r="K53" s="12">
        <v>575.96</v>
      </c>
      <c r="L53" s="16">
        <v>0.20280000000000001</v>
      </c>
      <c r="M53" s="14">
        <f t="shared" si="3"/>
        <v>5.4074460076567821</v>
      </c>
      <c r="N53" s="10">
        <v>2021</v>
      </c>
      <c r="O53" s="10">
        <v>2000</v>
      </c>
      <c r="P53" s="2" t="s">
        <v>446</v>
      </c>
      <c r="Q53" s="2" t="s">
        <v>447</v>
      </c>
      <c r="R53" s="2" t="s">
        <v>697</v>
      </c>
      <c r="S53" s="2" t="s">
        <v>698</v>
      </c>
      <c r="T53" s="5">
        <v>1850</v>
      </c>
      <c r="U53" s="2" t="s">
        <v>914</v>
      </c>
      <c r="V53" s="2" t="s">
        <v>1260</v>
      </c>
      <c r="W53" s="2" t="s">
        <v>1261</v>
      </c>
    </row>
    <row r="54" spans="3:25" x14ac:dyDescent="0.25">
      <c r="C54" s="2" t="s">
        <v>18</v>
      </c>
      <c r="D54" s="2" t="s">
        <v>181</v>
      </c>
      <c r="E54" s="9">
        <v>74.39</v>
      </c>
      <c r="F54" s="5">
        <v>765.41700900000001</v>
      </c>
      <c r="G54" s="5">
        <f t="shared" si="2"/>
        <v>56939.37129951</v>
      </c>
      <c r="J54" s="12">
        <v>1540</v>
      </c>
      <c r="K54" s="12">
        <v>6160</v>
      </c>
      <c r="L54" s="16">
        <v>0.13769999999999999</v>
      </c>
      <c r="M54" s="14">
        <f t="shared" si="3"/>
        <v>9.2434044317386359</v>
      </c>
      <c r="N54" s="10">
        <v>2009</v>
      </c>
      <c r="O54" s="10">
        <v>2000</v>
      </c>
      <c r="P54" s="2" t="s">
        <v>442</v>
      </c>
      <c r="Q54" s="2" t="s">
        <v>402</v>
      </c>
      <c r="R54" s="2" t="s">
        <v>692</v>
      </c>
      <c r="S54" s="2" t="s">
        <v>693</v>
      </c>
      <c r="T54" s="5">
        <v>14556</v>
      </c>
      <c r="U54" s="2" t="s">
        <v>911</v>
      </c>
      <c r="V54" s="2" t="s">
        <v>1249</v>
      </c>
      <c r="W54" s="2" t="s">
        <v>1250</v>
      </c>
      <c r="X54" s="2" t="s">
        <v>1251</v>
      </c>
      <c r="Y54" s="2" t="s">
        <v>1252</v>
      </c>
    </row>
    <row r="55" spans="3:25" x14ac:dyDescent="0.25">
      <c r="C55" s="2" t="s">
        <v>110</v>
      </c>
      <c r="D55" s="2" t="s">
        <v>273</v>
      </c>
      <c r="E55" s="9">
        <v>7.48</v>
      </c>
      <c r="F55" s="5">
        <v>189.03225800000001</v>
      </c>
      <c r="G55" s="5">
        <f t="shared" si="2"/>
        <v>1413.9612898400003</v>
      </c>
      <c r="J55" s="12">
        <v>118.2</v>
      </c>
      <c r="K55" s="12">
        <v>472.8</v>
      </c>
      <c r="L55" s="16">
        <v>3.9100000000000003E-2</v>
      </c>
      <c r="M55" s="14">
        <f t="shared" si="3"/>
        <v>2.9906118651438245</v>
      </c>
      <c r="N55" s="10">
        <v>2021</v>
      </c>
      <c r="O55" s="10">
        <v>2000</v>
      </c>
      <c r="P55" s="2" t="s">
        <v>489</v>
      </c>
      <c r="Q55" s="2" t="s">
        <v>490</v>
      </c>
      <c r="R55" s="2" t="s">
        <v>743</v>
      </c>
      <c r="S55" s="2" t="s">
        <v>744</v>
      </c>
      <c r="T55" s="5">
        <v>1800</v>
      </c>
      <c r="U55" s="2" t="s">
        <v>942</v>
      </c>
      <c r="V55" s="2" t="s">
        <v>1356</v>
      </c>
      <c r="W55" s="2" t="s">
        <v>1357</v>
      </c>
      <c r="X55" s="2" t="s">
        <v>1358</v>
      </c>
      <c r="Y55" s="2" t="s">
        <v>1359</v>
      </c>
    </row>
    <row r="56" spans="3:25" x14ac:dyDescent="0.25">
      <c r="C56" s="2" t="s">
        <v>115</v>
      </c>
      <c r="D56" s="2" t="s">
        <v>278</v>
      </c>
      <c r="E56" s="9">
        <v>17.88</v>
      </c>
      <c r="F56" s="5">
        <v>64.243615000000005</v>
      </c>
      <c r="G56" s="5">
        <f t="shared" si="2"/>
        <v>1148.6758362</v>
      </c>
      <c r="J56" s="12">
        <v>210.25</v>
      </c>
      <c r="K56" s="12">
        <v>841</v>
      </c>
      <c r="L56" s="16">
        <v>2.5099999999999997E-2</v>
      </c>
      <c r="M56" s="14">
        <f t="shared" si="3"/>
        <v>1.3658452273483948</v>
      </c>
      <c r="N56" s="10">
        <v>2015</v>
      </c>
      <c r="O56" s="10">
        <v>2000</v>
      </c>
      <c r="P56" s="2" t="s">
        <v>523</v>
      </c>
      <c r="Q56" s="2" t="s">
        <v>469</v>
      </c>
      <c r="R56" s="2" t="s">
        <v>775</v>
      </c>
      <c r="S56" s="2" t="s">
        <v>583</v>
      </c>
      <c r="T56" s="5">
        <v>2413</v>
      </c>
      <c r="U56" s="2" t="s">
        <v>965</v>
      </c>
      <c r="V56" s="2" t="s">
        <v>1438</v>
      </c>
      <c r="W56" s="2" t="s">
        <v>1439</v>
      </c>
      <c r="X56" s="2" t="s">
        <v>1440</v>
      </c>
      <c r="Y56" s="2" t="s">
        <v>1441</v>
      </c>
    </row>
    <row r="57" spans="3:25" x14ac:dyDescent="0.25">
      <c r="C57" s="2" t="s">
        <v>123</v>
      </c>
      <c r="D57" s="2" t="s">
        <v>285</v>
      </c>
      <c r="E57" s="9">
        <v>3.3</v>
      </c>
      <c r="F57" s="5">
        <v>312.72727300000003</v>
      </c>
      <c r="G57" s="5">
        <f t="shared" si="2"/>
        <v>1032.0000009</v>
      </c>
      <c r="J57" s="12">
        <v>152.61000000000001</v>
      </c>
      <c r="K57" s="12">
        <v>610.44000000000005</v>
      </c>
      <c r="L57" s="16">
        <v>9.5999999999999992E-3</v>
      </c>
      <c r="M57" s="14">
        <f t="shared" si="3"/>
        <v>1.690583842638097</v>
      </c>
      <c r="N57" s="10">
        <v>2020</v>
      </c>
      <c r="O57" s="10">
        <v>2000</v>
      </c>
      <c r="P57" s="2" t="s">
        <v>428</v>
      </c>
      <c r="Q57" s="2" t="s">
        <v>361</v>
      </c>
      <c r="R57" s="2" t="s">
        <v>676</v>
      </c>
      <c r="S57" s="2" t="s">
        <v>643</v>
      </c>
      <c r="T57" s="5">
        <v>3873</v>
      </c>
      <c r="U57" s="2" t="s">
        <v>901</v>
      </c>
      <c r="V57" s="2" t="s">
        <v>1211</v>
      </c>
      <c r="W57" s="2" t="s">
        <v>1212</v>
      </c>
      <c r="X57" s="2" t="s">
        <v>1213</v>
      </c>
      <c r="Y57" s="2" t="s">
        <v>1214</v>
      </c>
    </row>
    <row r="58" spans="3:25" x14ac:dyDescent="0.25">
      <c r="C58" s="2" t="s">
        <v>83</v>
      </c>
      <c r="D58" s="2" t="s">
        <v>246</v>
      </c>
      <c r="E58" s="9">
        <v>9.82</v>
      </c>
      <c r="F58" s="5">
        <v>338.393732</v>
      </c>
      <c r="G58" s="5">
        <f t="shared" si="2"/>
        <v>3323.0264482400003</v>
      </c>
      <c r="J58" s="12">
        <v>305.7</v>
      </c>
      <c r="K58" s="12">
        <v>1222.8</v>
      </c>
      <c r="L58" s="16">
        <v>-1.4199999999999999E-2</v>
      </c>
      <c r="M58" s="14">
        <f t="shared" si="3"/>
        <v>2.7175551588485445</v>
      </c>
      <c r="N58" s="10">
        <v>2020</v>
      </c>
      <c r="O58" s="10">
        <v>2000</v>
      </c>
      <c r="P58" s="2" t="s">
        <v>577</v>
      </c>
      <c r="Q58" s="2" t="s">
        <v>578</v>
      </c>
      <c r="R58" s="2" t="s">
        <v>841</v>
      </c>
      <c r="S58" s="2" t="s">
        <v>842</v>
      </c>
      <c r="T58" s="5">
        <v>3508</v>
      </c>
      <c r="U58" s="2" t="s">
        <v>1007</v>
      </c>
      <c r="V58" s="2" t="s">
        <v>1591</v>
      </c>
      <c r="W58" s="2" t="s">
        <v>1592</v>
      </c>
      <c r="X58" s="2" t="s">
        <v>1593</v>
      </c>
      <c r="Y58" s="2" t="s">
        <v>1594</v>
      </c>
    </row>
    <row r="59" spans="3:25" x14ac:dyDescent="0.25">
      <c r="C59" s="2" t="s">
        <v>142</v>
      </c>
      <c r="D59" s="2" t="s">
        <v>304</v>
      </c>
      <c r="E59" s="9">
        <v>10.210000000000001</v>
      </c>
      <c r="F59" s="5">
        <v>45.033113</v>
      </c>
      <c r="G59" s="5">
        <f t="shared" si="2"/>
        <v>459.78808373000004</v>
      </c>
      <c r="J59" s="12">
        <v>89.34</v>
      </c>
      <c r="K59" s="12">
        <v>357.36</v>
      </c>
      <c r="L59" s="16">
        <v>-0.43390000000000001</v>
      </c>
      <c r="M59" s="14">
        <f t="shared" si="3"/>
        <v>1.2866243668289681</v>
      </c>
      <c r="N59" s="10">
        <v>2006</v>
      </c>
      <c r="O59" s="10">
        <v>2000</v>
      </c>
      <c r="P59" s="2" t="s">
        <v>516</v>
      </c>
      <c r="Q59" s="2" t="s">
        <v>391</v>
      </c>
      <c r="R59" s="2" t="s">
        <v>583</v>
      </c>
      <c r="S59" s="2" t="s">
        <v>655</v>
      </c>
      <c r="T59" s="5">
        <v>528</v>
      </c>
      <c r="U59" s="2" t="s">
        <v>960</v>
      </c>
      <c r="V59" s="2" t="s">
        <v>1420</v>
      </c>
      <c r="W59" s="2" t="s">
        <v>1421</v>
      </c>
    </row>
    <row r="60" spans="3:25" x14ac:dyDescent="0.25">
      <c r="C60" s="2" t="s">
        <v>79</v>
      </c>
      <c r="D60" s="2" t="s">
        <v>242</v>
      </c>
      <c r="E60" s="9">
        <v>14.33</v>
      </c>
      <c r="F60" s="5">
        <v>211.86629500000001</v>
      </c>
      <c r="G60" s="5">
        <f t="shared" si="2"/>
        <v>3036.0440073500004</v>
      </c>
      <c r="J60" s="12">
        <v>93.06</v>
      </c>
      <c r="K60" s="12">
        <v>372.24</v>
      </c>
      <c r="L60" s="16">
        <v>0.24859999999999999</v>
      </c>
      <c r="M60" s="14">
        <f t="shared" si="3"/>
        <v>8.1561465918493461</v>
      </c>
      <c r="N60" s="10">
        <v>2019</v>
      </c>
      <c r="O60" s="10">
        <v>2001</v>
      </c>
      <c r="P60" s="2" t="s">
        <v>368</v>
      </c>
      <c r="Q60" s="2" t="s">
        <v>369</v>
      </c>
      <c r="R60" s="2" t="s">
        <v>611</v>
      </c>
      <c r="S60" s="2" t="s">
        <v>612</v>
      </c>
      <c r="T60" s="5">
        <v>2934</v>
      </c>
      <c r="U60" s="2" t="s">
        <v>863</v>
      </c>
      <c r="V60" s="2" t="s">
        <v>1072</v>
      </c>
      <c r="W60" s="2" t="s">
        <v>1073</v>
      </c>
      <c r="X60" s="2" t="s">
        <v>1074</v>
      </c>
      <c r="Y60" s="2" t="s">
        <v>1075</v>
      </c>
    </row>
    <row r="61" spans="3:25" x14ac:dyDescent="0.25">
      <c r="C61" s="2" t="s">
        <v>37</v>
      </c>
      <c r="D61" s="2" t="s">
        <v>200</v>
      </c>
      <c r="E61" s="9">
        <v>213.27</v>
      </c>
      <c r="F61" s="5">
        <v>84.193287999999995</v>
      </c>
      <c r="G61" s="5">
        <f t="shared" si="2"/>
        <v>17955.902531759999</v>
      </c>
      <c r="J61" s="12">
        <v>293.51</v>
      </c>
      <c r="K61" s="12">
        <v>1174.04</v>
      </c>
      <c r="L61" s="16">
        <v>0.2195</v>
      </c>
      <c r="M61" s="14">
        <f t="shared" si="3"/>
        <v>15.294114793158665</v>
      </c>
      <c r="N61" s="10">
        <v>2012</v>
      </c>
      <c r="O61" s="10">
        <v>2001</v>
      </c>
      <c r="P61" s="2" t="s">
        <v>451</v>
      </c>
      <c r="Q61" s="2" t="s">
        <v>373</v>
      </c>
      <c r="R61" s="2" t="s">
        <v>702</v>
      </c>
      <c r="S61" s="2" t="s">
        <v>703</v>
      </c>
      <c r="T61" s="5">
        <v>3596</v>
      </c>
      <c r="U61" s="2" t="s">
        <v>917</v>
      </c>
      <c r="V61" s="2" t="s">
        <v>1270</v>
      </c>
      <c r="W61" s="2" t="s">
        <v>1271</v>
      </c>
      <c r="X61" s="2" t="s">
        <v>1272</v>
      </c>
      <c r="Y61" s="2" t="s">
        <v>1273</v>
      </c>
    </row>
    <row r="62" spans="3:25" x14ac:dyDescent="0.25">
      <c r="C62" s="2" t="s">
        <v>103</v>
      </c>
      <c r="D62" s="2" t="s">
        <v>266</v>
      </c>
      <c r="E62" s="9">
        <v>24.39</v>
      </c>
      <c r="F62" s="5">
        <v>76.276770999999997</v>
      </c>
      <c r="G62" s="5">
        <f t="shared" si="2"/>
        <v>1860.3904446899999</v>
      </c>
      <c r="J62" s="12">
        <v>283.27</v>
      </c>
      <c r="K62" s="12">
        <v>1133.08</v>
      </c>
      <c r="L62" s="16">
        <v>0.12369999999999999</v>
      </c>
      <c r="M62" s="14">
        <f t="shared" si="3"/>
        <v>1.6418879908656052</v>
      </c>
      <c r="N62" s="10">
        <v>2014</v>
      </c>
      <c r="O62" s="10">
        <v>2001</v>
      </c>
      <c r="P62" s="2" t="s">
        <v>440</v>
      </c>
      <c r="Q62" s="2" t="s">
        <v>441</v>
      </c>
      <c r="R62" s="2" t="s">
        <v>648</v>
      </c>
      <c r="S62" s="2" t="s">
        <v>691</v>
      </c>
      <c r="T62" s="5">
        <v>3073</v>
      </c>
      <c r="U62" s="2" t="s">
        <v>910</v>
      </c>
      <c r="V62" s="2" t="s">
        <v>1245</v>
      </c>
      <c r="W62" s="2" t="s">
        <v>1246</v>
      </c>
      <c r="X62" s="2" t="s">
        <v>1247</v>
      </c>
      <c r="Y62" s="2" t="s">
        <v>1248</v>
      </c>
    </row>
    <row r="63" spans="3:25" x14ac:dyDescent="0.25">
      <c r="C63" s="2" t="s">
        <v>107</v>
      </c>
      <c r="D63" s="2" t="s">
        <v>270</v>
      </c>
      <c r="E63" s="9">
        <v>10.98</v>
      </c>
      <c r="F63" s="5">
        <v>181.19953899999999</v>
      </c>
      <c r="G63" s="5">
        <f t="shared" si="2"/>
        <v>1989.57093822</v>
      </c>
      <c r="J63" s="12">
        <v>183.11</v>
      </c>
      <c r="K63" s="12">
        <v>732.44</v>
      </c>
      <c r="L63" s="16">
        <v>5.1100000000000007E-2</v>
      </c>
      <c r="M63" s="14">
        <f t="shared" si="3"/>
        <v>2.7163603001201464</v>
      </c>
      <c r="N63" s="10">
        <v>2021</v>
      </c>
      <c r="O63" s="10">
        <v>2001</v>
      </c>
      <c r="P63" s="2" t="s">
        <v>470</v>
      </c>
      <c r="Q63" s="2" t="s">
        <v>471</v>
      </c>
      <c r="R63" s="2" t="s">
        <v>724</v>
      </c>
      <c r="S63" s="2" t="s">
        <v>725</v>
      </c>
      <c r="T63" s="5">
        <v>964</v>
      </c>
      <c r="U63" s="2" t="s">
        <v>930</v>
      </c>
      <c r="V63" s="2" t="s">
        <v>1317</v>
      </c>
      <c r="W63" s="2" t="s">
        <v>1318</v>
      </c>
      <c r="X63" s="2" t="s">
        <v>1319</v>
      </c>
      <c r="Y63" s="2" t="s">
        <v>1320</v>
      </c>
    </row>
    <row r="64" spans="3:25" ht="14.4" x14ac:dyDescent="0.3">
      <c r="C64" s="17" t="s">
        <v>23</v>
      </c>
      <c r="D64" s="2" t="s">
        <v>186</v>
      </c>
      <c r="E64" s="9">
        <f>[5]Main!$L$2</f>
        <v>160.4</v>
      </c>
      <c r="F64" s="5">
        <v>262.50546600000001</v>
      </c>
      <c r="G64" s="5">
        <f t="shared" si="2"/>
        <v>42105.876746400005</v>
      </c>
      <c r="H64" s="5">
        <f>[5]Main!$L$5-[5]Main!$L$6</f>
        <v>1949.4579999999999</v>
      </c>
      <c r="I64" s="5">
        <f>G64-H64</f>
        <v>40156.418746400006</v>
      </c>
      <c r="J64" s="12">
        <v>1360</v>
      </c>
      <c r="K64" s="12">
        <v>5440</v>
      </c>
      <c r="L64" s="16">
        <v>0.1409</v>
      </c>
      <c r="M64" s="14">
        <f t="shared" si="3"/>
        <v>7.7400508725000012</v>
      </c>
      <c r="N64" s="10">
        <v>2015</v>
      </c>
      <c r="O64" s="10">
        <v>2002</v>
      </c>
      <c r="P64" s="2" t="s">
        <v>362</v>
      </c>
      <c r="Q64" s="2" t="s">
        <v>363</v>
      </c>
      <c r="R64" s="2" t="s">
        <v>606</v>
      </c>
      <c r="S64" s="2" t="s">
        <v>607</v>
      </c>
      <c r="T64" s="5">
        <v>12157</v>
      </c>
      <c r="U64" s="2" t="s">
        <v>860</v>
      </c>
      <c r="V64" s="2" t="s">
        <v>1063</v>
      </c>
      <c r="W64" s="2" t="s">
        <v>1064</v>
      </c>
      <c r="Y64" s="2" t="s">
        <v>1065</v>
      </c>
    </row>
    <row r="65" spans="3:25" x14ac:dyDescent="0.25">
      <c r="C65" s="2" t="s">
        <v>80</v>
      </c>
      <c r="D65" s="2" t="s">
        <v>243</v>
      </c>
      <c r="E65" s="9">
        <v>28.99</v>
      </c>
      <c r="F65" s="5">
        <v>121.000981</v>
      </c>
      <c r="G65" s="5">
        <f t="shared" si="2"/>
        <v>3507.8184391899995</v>
      </c>
      <c r="J65" s="12">
        <v>247.3</v>
      </c>
      <c r="K65" s="12">
        <v>989.2</v>
      </c>
      <c r="L65" s="16">
        <v>0.11779999999999999</v>
      </c>
      <c r="M65" s="14">
        <f t="shared" si="3"/>
        <v>3.5461164973615036</v>
      </c>
      <c r="N65" s="10">
        <v>2018</v>
      </c>
      <c r="O65" s="10">
        <v>2002</v>
      </c>
      <c r="P65" s="2" t="s">
        <v>553</v>
      </c>
      <c r="Q65" s="2" t="s">
        <v>554</v>
      </c>
      <c r="R65" s="2" t="s">
        <v>810</v>
      </c>
      <c r="S65" s="2" t="s">
        <v>643</v>
      </c>
      <c r="T65" s="5">
        <v>1872</v>
      </c>
      <c r="U65" s="2" t="s">
        <v>989</v>
      </c>
      <c r="V65" s="2" t="s">
        <v>1523</v>
      </c>
      <c r="W65" s="2" t="s">
        <v>1524</v>
      </c>
      <c r="X65" s="2" t="s">
        <v>1525</v>
      </c>
      <c r="Y65" s="2" t="s">
        <v>1526</v>
      </c>
    </row>
    <row r="66" spans="3:25" x14ac:dyDescent="0.25">
      <c r="C66" s="2" t="s">
        <v>124</v>
      </c>
      <c r="D66" s="2" t="s">
        <v>286</v>
      </c>
      <c r="E66" s="9">
        <v>7.91</v>
      </c>
      <c r="F66" s="5">
        <v>131.89189200000001</v>
      </c>
      <c r="G66" s="5">
        <f t="shared" si="2"/>
        <v>1043.2648657200002</v>
      </c>
      <c r="J66" s="12">
        <v>167.62</v>
      </c>
      <c r="K66" s="12">
        <v>670.48</v>
      </c>
      <c r="L66" s="16">
        <v>0.10189999999999999</v>
      </c>
      <c r="M66" s="14">
        <f t="shared" si="3"/>
        <v>1.5559969957642288</v>
      </c>
      <c r="N66" s="10">
        <v>2020</v>
      </c>
      <c r="O66" s="10">
        <v>2002</v>
      </c>
      <c r="P66" s="2" t="s">
        <v>460</v>
      </c>
      <c r="Q66" s="2" t="s">
        <v>461</v>
      </c>
      <c r="R66" s="2" t="s">
        <v>714</v>
      </c>
      <c r="S66" s="2" t="s">
        <v>715</v>
      </c>
      <c r="T66" s="5">
        <v>2595</v>
      </c>
      <c r="U66" s="2" t="s">
        <v>924</v>
      </c>
      <c r="V66" s="2" t="s">
        <v>1297</v>
      </c>
      <c r="W66" s="2" t="s">
        <v>1298</v>
      </c>
      <c r="X66" s="2" t="s">
        <v>1299</v>
      </c>
      <c r="Y66" s="2" t="s">
        <v>1300</v>
      </c>
    </row>
    <row r="67" spans="3:25" x14ac:dyDescent="0.25">
      <c r="C67" s="3" t="s">
        <v>5</v>
      </c>
      <c r="D67" s="2" t="s">
        <v>168</v>
      </c>
      <c r="E67" s="9">
        <v>186.96</v>
      </c>
      <c r="F67" s="5">
        <v>2359.914436</v>
      </c>
      <c r="G67" s="5">
        <f t="shared" ref="G67:G98" si="4">E67*F67</f>
        <v>441209.60295456002</v>
      </c>
      <c r="H67" s="5">
        <f>[6]Main!$J$9-[6]Main!$J$10</f>
        <v>5430.6890000000003</v>
      </c>
      <c r="I67" s="5">
        <f>G67-H67</f>
        <v>435778.91395456</v>
      </c>
      <c r="J67" s="12">
        <v>883.86</v>
      </c>
      <c r="K67" s="12">
        <v>3535.44</v>
      </c>
      <c r="L67" s="16">
        <v>0.39340000000000003</v>
      </c>
      <c r="M67" s="14">
        <f t="shared" ref="M67:M98" si="5">G67/K67</f>
        <v>124.79623553350078</v>
      </c>
      <c r="N67" s="10">
        <v>2020</v>
      </c>
      <c r="O67" s="10">
        <v>2003</v>
      </c>
      <c r="P67" s="2" t="s">
        <v>506</v>
      </c>
      <c r="Q67" s="2" t="s">
        <v>433</v>
      </c>
      <c r="R67" s="2" t="s">
        <v>762</v>
      </c>
      <c r="S67" s="2" t="s">
        <v>763</v>
      </c>
      <c r="T67" s="5">
        <v>4001</v>
      </c>
      <c r="U67" s="2" t="s">
        <v>954</v>
      </c>
      <c r="V67" s="2" t="s">
        <v>1398</v>
      </c>
      <c r="W67" s="2" t="s">
        <v>1399</v>
      </c>
      <c r="X67" s="2" t="s">
        <v>1400</v>
      </c>
      <c r="Y67" s="2" t="s">
        <v>1401</v>
      </c>
    </row>
    <row r="68" spans="3:25" x14ac:dyDescent="0.25">
      <c r="C68" s="2" t="s">
        <v>70</v>
      </c>
      <c r="D68" s="2" t="s">
        <v>233</v>
      </c>
      <c r="E68" s="9">
        <v>19.72</v>
      </c>
      <c r="F68" s="5">
        <v>283.25925899999999</v>
      </c>
      <c r="G68" s="5">
        <f t="shared" si="4"/>
        <v>5585.8725874799993</v>
      </c>
      <c r="J68" s="12">
        <v>126.86</v>
      </c>
      <c r="K68" s="12">
        <v>507.44</v>
      </c>
      <c r="L68" s="16">
        <v>0.2351</v>
      </c>
      <c r="M68" s="14">
        <f t="shared" si="5"/>
        <v>11.007946924720162</v>
      </c>
      <c r="N68" s="10">
        <v>2021</v>
      </c>
      <c r="O68" s="10">
        <v>2003</v>
      </c>
      <c r="P68" s="2" t="s">
        <v>392</v>
      </c>
      <c r="Q68" s="2" t="s">
        <v>393</v>
      </c>
      <c r="R68" s="2" t="s">
        <v>635</v>
      </c>
      <c r="S68" s="2" t="s">
        <v>628</v>
      </c>
      <c r="T68" s="5">
        <v>1915</v>
      </c>
      <c r="U68" s="2" t="s">
        <v>878</v>
      </c>
      <c r="V68" s="2" t="s">
        <v>1128</v>
      </c>
      <c r="W68" s="2" t="s">
        <v>1129</v>
      </c>
      <c r="X68" s="2" t="s">
        <v>1130</v>
      </c>
      <c r="Y68" s="2" t="s">
        <v>1131</v>
      </c>
    </row>
    <row r="69" spans="3:25" x14ac:dyDescent="0.25">
      <c r="C69" s="2" t="s">
        <v>47</v>
      </c>
      <c r="D69" s="2" t="s">
        <v>210</v>
      </c>
      <c r="E69" s="9">
        <v>69.19</v>
      </c>
      <c r="F69" s="5">
        <v>202.058505</v>
      </c>
      <c r="G69" s="5">
        <f t="shared" si="4"/>
        <v>13980.427960949999</v>
      </c>
      <c r="J69" s="12">
        <v>763.65</v>
      </c>
      <c r="K69" s="12">
        <v>3054.6</v>
      </c>
      <c r="L69" s="16">
        <v>7.6100000000000001E-2</v>
      </c>
      <c r="M69" s="14">
        <f t="shared" si="5"/>
        <v>4.5768440911903356</v>
      </c>
      <c r="N69" s="10">
        <v>2018</v>
      </c>
      <c r="O69" s="10">
        <v>2003</v>
      </c>
      <c r="P69" s="2" t="s">
        <v>417</v>
      </c>
      <c r="Q69" s="2" t="s">
        <v>348</v>
      </c>
      <c r="R69" s="2" t="s">
        <v>661</v>
      </c>
      <c r="S69" s="2" t="s">
        <v>662</v>
      </c>
      <c r="T69" s="5">
        <v>6838</v>
      </c>
      <c r="U69" s="2" t="s">
        <v>893</v>
      </c>
      <c r="V69" s="2" t="s">
        <v>1179</v>
      </c>
      <c r="W69" s="2" t="s">
        <v>1180</v>
      </c>
      <c r="X69" s="2" t="s">
        <v>1181</v>
      </c>
      <c r="Y69" s="2" t="s">
        <v>1182</v>
      </c>
    </row>
    <row r="70" spans="3:25" x14ac:dyDescent="0.25">
      <c r="C70" s="2" t="s">
        <v>8</v>
      </c>
      <c r="D70" s="2" t="s">
        <v>171</v>
      </c>
      <c r="E70" s="9">
        <v>872.51</v>
      </c>
      <c r="F70" s="5">
        <v>208.000044</v>
      </c>
      <c r="G70" s="5">
        <f t="shared" si="4"/>
        <v>181482.11839044001</v>
      </c>
      <c r="J70" s="12">
        <v>3220</v>
      </c>
      <c r="K70" s="12">
        <v>12880</v>
      </c>
      <c r="L70" s="16">
        <v>0.2238</v>
      </c>
      <c r="M70" s="14">
        <f t="shared" si="5"/>
        <v>14.090226583108697</v>
      </c>
      <c r="N70" s="10">
        <v>2012</v>
      </c>
      <c r="O70" s="10">
        <v>2004</v>
      </c>
      <c r="P70" s="2" t="s">
        <v>536</v>
      </c>
      <c r="Q70" s="2" t="s">
        <v>508</v>
      </c>
      <c r="R70" s="2" t="s">
        <v>788</v>
      </c>
      <c r="S70" s="2" t="s">
        <v>789</v>
      </c>
      <c r="T70" s="5">
        <v>26293</v>
      </c>
      <c r="U70" s="2" t="s">
        <v>975</v>
      </c>
      <c r="V70" s="2" t="s">
        <v>1475</v>
      </c>
      <c r="W70" s="2" t="s">
        <v>1476</v>
      </c>
      <c r="X70" s="2" t="s">
        <v>1477</v>
      </c>
      <c r="Y70" s="2" t="s">
        <v>1478</v>
      </c>
    </row>
    <row r="71" spans="3:25" x14ac:dyDescent="0.25">
      <c r="C71" s="2" t="s">
        <v>113</v>
      </c>
      <c r="D71" s="2" t="s">
        <v>276</v>
      </c>
      <c r="E71" s="9">
        <v>46.86</v>
      </c>
      <c r="F71" s="5">
        <v>30.543188000000001</v>
      </c>
      <c r="G71" s="5">
        <f t="shared" si="4"/>
        <v>1431.25378968</v>
      </c>
      <c r="J71" s="12">
        <v>70</v>
      </c>
      <c r="K71" s="12">
        <v>280</v>
      </c>
      <c r="L71" s="16">
        <v>0.1804</v>
      </c>
      <c r="M71" s="14">
        <f t="shared" si="5"/>
        <v>5.1116206774285713</v>
      </c>
      <c r="N71" s="10">
        <v>2021</v>
      </c>
      <c r="O71" s="10">
        <v>2004</v>
      </c>
      <c r="P71" s="2" t="s">
        <v>464</v>
      </c>
      <c r="Q71" s="2" t="s">
        <v>465</v>
      </c>
      <c r="R71" s="2" t="s">
        <v>583</v>
      </c>
      <c r="S71" s="2" t="s">
        <v>583</v>
      </c>
      <c r="T71" s="5">
        <v>5711</v>
      </c>
      <c r="U71" s="2" t="s">
        <v>927</v>
      </c>
      <c r="V71" s="2" t="s">
        <v>1309</v>
      </c>
      <c r="W71" s="2" t="s">
        <v>1310</v>
      </c>
    </row>
    <row r="72" spans="3:25" x14ac:dyDescent="0.25">
      <c r="C72" s="2" t="s">
        <v>135</v>
      </c>
      <c r="D72" s="2" t="s">
        <v>297</v>
      </c>
      <c r="E72" s="9">
        <v>3.89</v>
      </c>
      <c r="F72" s="5">
        <v>164.657534</v>
      </c>
      <c r="G72" s="5">
        <f t="shared" si="4"/>
        <v>640.51780726000004</v>
      </c>
      <c r="J72" s="12">
        <v>103.03</v>
      </c>
      <c r="K72" s="12">
        <v>412.12</v>
      </c>
      <c r="L72" s="16">
        <v>-1.7899999999999999E-2</v>
      </c>
      <c r="M72" s="14">
        <f t="shared" si="5"/>
        <v>1.55420219174027</v>
      </c>
      <c r="N72" s="10">
        <v>2021</v>
      </c>
      <c r="O72" s="10">
        <v>2004</v>
      </c>
      <c r="P72" s="2" t="s">
        <v>566</v>
      </c>
      <c r="Q72" s="2" t="s">
        <v>384</v>
      </c>
      <c r="R72" s="2" t="s">
        <v>827</v>
      </c>
      <c r="S72" s="2" t="s">
        <v>828</v>
      </c>
      <c r="T72" s="5">
        <v>1102</v>
      </c>
      <c r="U72" s="2" t="s">
        <v>999</v>
      </c>
      <c r="V72" s="2" t="s">
        <v>1563</v>
      </c>
      <c r="W72" s="2" t="s">
        <v>1564</v>
      </c>
      <c r="X72" s="2" t="s">
        <v>1565</v>
      </c>
      <c r="Y72" s="2" t="s">
        <v>1566</v>
      </c>
    </row>
    <row r="73" spans="3:25" x14ac:dyDescent="0.25">
      <c r="C73" s="2" t="s">
        <v>77</v>
      </c>
      <c r="D73" s="2" t="s">
        <v>240</v>
      </c>
      <c r="E73" s="9">
        <v>13.55</v>
      </c>
      <c r="F73" s="5">
        <v>401.780415</v>
      </c>
      <c r="G73" s="5">
        <f t="shared" si="4"/>
        <v>5444.1246232500007</v>
      </c>
      <c r="J73" s="12">
        <v>29.13</v>
      </c>
      <c r="K73" s="12">
        <v>116.52</v>
      </c>
      <c r="L73" s="16">
        <v>1.5124000000000002</v>
      </c>
      <c r="M73" s="14">
        <f t="shared" si="5"/>
        <v>46.722662403450059</v>
      </c>
      <c r="N73" s="10">
        <v>2022</v>
      </c>
      <c r="O73" s="10">
        <v>2005</v>
      </c>
      <c r="P73" s="2" t="s">
        <v>540</v>
      </c>
      <c r="Q73" s="2" t="s">
        <v>508</v>
      </c>
      <c r="R73" s="2" t="s">
        <v>796</v>
      </c>
      <c r="S73" s="2" t="s">
        <v>797</v>
      </c>
      <c r="T73" s="5">
        <v>842</v>
      </c>
      <c r="U73" s="2" t="s">
        <v>979</v>
      </c>
      <c r="V73" s="2" t="s">
        <v>1487</v>
      </c>
      <c r="W73" s="2" t="s">
        <v>1488</v>
      </c>
      <c r="X73" s="2" t="s">
        <v>1489</v>
      </c>
      <c r="Y73" s="2" t="s">
        <v>1490</v>
      </c>
    </row>
    <row r="74" spans="3:25" x14ac:dyDescent="0.25">
      <c r="C74" s="2" t="s">
        <v>106</v>
      </c>
      <c r="D74" s="2" t="s">
        <v>269</v>
      </c>
      <c r="E74" s="9">
        <v>10.199999999999999</v>
      </c>
      <c r="F74" s="5">
        <v>169.00866199999999</v>
      </c>
      <c r="G74" s="5">
        <f t="shared" si="4"/>
        <v>1723.8883523999998</v>
      </c>
      <c r="J74" s="12">
        <v>80.680000000000007</v>
      </c>
      <c r="K74" s="12">
        <v>322.72000000000003</v>
      </c>
      <c r="L74" s="16">
        <v>0.21299999999999999</v>
      </c>
      <c r="M74" s="14">
        <f t="shared" si="5"/>
        <v>5.3417462580565189</v>
      </c>
      <c r="N74" s="10">
        <v>2021</v>
      </c>
      <c r="O74" s="10">
        <v>2005</v>
      </c>
      <c r="P74" s="2" t="s">
        <v>499</v>
      </c>
      <c r="Q74" s="2" t="s">
        <v>410</v>
      </c>
      <c r="R74" s="2" t="s">
        <v>752</v>
      </c>
      <c r="S74" s="2" t="s">
        <v>753</v>
      </c>
      <c r="T74" s="5">
        <v>617</v>
      </c>
      <c r="U74" s="2" t="s">
        <v>948</v>
      </c>
      <c r="V74" s="2" t="s">
        <v>1377</v>
      </c>
      <c r="W74" s="2" t="s">
        <v>1378</v>
      </c>
      <c r="X74" s="2" t="s">
        <v>1379</v>
      </c>
      <c r="Y74" s="2" t="s">
        <v>1380</v>
      </c>
    </row>
    <row r="75" spans="3:25" x14ac:dyDescent="0.25">
      <c r="C75" s="2" t="s">
        <v>46</v>
      </c>
      <c r="D75" s="2" t="s">
        <v>209</v>
      </c>
      <c r="E75" s="9">
        <v>46.24</v>
      </c>
      <c r="F75" s="5">
        <v>301.76202699999999</v>
      </c>
      <c r="G75" s="5">
        <f t="shared" si="4"/>
        <v>13953.476128480001</v>
      </c>
      <c r="J75" s="12">
        <v>445.16</v>
      </c>
      <c r="K75" s="12">
        <v>1780.64</v>
      </c>
      <c r="L75" s="16">
        <v>0.16889999999999999</v>
      </c>
      <c r="M75" s="14">
        <f t="shared" si="5"/>
        <v>7.8362140177015007</v>
      </c>
      <c r="N75" s="10">
        <v>2019</v>
      </c>
      <c r="O75" s="10">
        <v>2005</v>
      </c>
      <c r="P75" s="2" t="s">
        <v>426</v>
      </c>
      <c r="Q75" s="2" t="s">
        <v>427</v>
      </c>
      <c r="R75" s="2" t="s">
        <v>674</v>
      </c>
      <c r="S75" s="2" t="s">
        <v>675</v>
      </c>
      <c r="T75" s="5">
        <v>4700</v>
      </c>
      <c r="U75" s="2" t="s">
        <v>900</v>
      </c>
      <c r="V75" s="2" t="s">
        <v>1207</v>
      </c>
      <c r="W75" s="2" t="s">
        <v>1208</v>
      </c>
      <c r="X75" s="2" t="s">
        <v>1209</v>
      </c>
      <c r="Y75" s="2" t="s">
        <v>1210</v>
      </c>
    </row>
    <row r="76" spans="3:25" x14ac:dyDescent="0.25">
      <c r="C76" s="2" t="s">
        <v>66</v>
      </c>
      <c r="D76" s="2" t="s">
        <v>229</v>
      </c>
      <c r="E76" s="9">
        <v>52.79</v>
      </c>
      <c r="F76" s="5">
        <v>112.04092799999999</v>
      </c>
      <c r="G76" s="5">
        <f t="shared" si="4"/>
        <v>5914.6405891199993</v>
      </c>
      <c r="J76" s="12">
        <v>152.16</v>
      </c>
      <c r="K76" s="12">
        <v>608.64</v>
      </c>
      <c r="L76" s="16">
        <v>0.16739999999999999</v>
      </c>
      <c r="M76" s="14">
        <f t="shared" si="5"/>
        <v>9.7177980236593058</v>
      </c>
      <c r="N76" s="10">
        <v>2014</v>
      </c>
      <c r="O76" s="10">
        <v>2005</v>
      </c>
      <c r="P76" s="2" t="s">
        <v>563</v>
      </c>
      <c r="Q76" s="2" t="s">
        <v>384</v>
      </c>
      <c r="R76" s="2" t="s">
        <v>823</v>
      </c>
      <c r="S76" s="2" t="s">
        <v>824</v>
      </c>
      <c r="T76" s="5">
        <v>2406</v>
      </c>
      <c r="U76" s="2" t="s">
        <v>997</v>
      </c>
      <c r="V76" s="2" t="s">
        <v>1555</v>
      </c>
      <c r="W76" s="2" t="s">
        <v>1556</v>
      </c>
      <c r="X76" s="2" t="s">
        <v>1557</v>
      </c>
      <c r="Y76" s="2" t="s">
        <v>1558</v>
      </c>
    </row>
    <row r="77" spans="3:25" x14ac:dyDescent="0.25">
      <c r="C77" s="2" t="s">
        <v>14</v>
      </c>
      <c r="D77" s="2" t="s">
        <v>177</v>
      </c>
      <c r="E77" s="9">
        <v>167.06</v>
      </c>
      <c r="F77" s="5">
        <v>666.79777899999999</v>
      </c>
      <c r="G77" s="5">
        <f t="shared" si="4"/>
        <v>111395.23695974</v>
      </c>
      <c r="J77" s="12">
        <v>2290</v>
      </c>
      <c r="K77" s="12">
        <v>9160</v>
      </c>
      <c r="L77" s="16">
        <v>0.15329999999999999</v>
      </c>
      <c r="M77" s="14">
        <f t="shared" si="5"/>
        <v>12.161052069840611</v>
      </c>
      <c r="N77" s="10">
        <v>2012</v>
      </c>
      <c r="O77" s="10">
        <v>2005</v>
      </c>
      <c r="P77" s="2" t="s">
        <v>507</v>
      </c>
      <c r="Q77" s="2" t="s">
        <v>508</v>
      </c>
      <c r="R77" s="2" t="s">
        <v>764</v>
      </c>
      <c r="S77" s="2" t="s">
        <v>703</v>
      </c>
      <c r="T77" s="5">
        <v>15866</v>
      </c>
      <c r="U77" s="2" t="s">
        <v>955</v>
      </c>
      <c r="V77" s="2" t="s">
        <v>1402</v>
      </c>
      <c r="W77" s="2" t="s">
        <v>1403</v>
      </c>
      <c r="X77" s="2" t="s">
        <v>1404</v>
      </c>
      <c r="Y77" s="2" t="s">
        <v>1405</v>
      </c>
    </row>
    <row r="78" spans="3:25" x14ac:dyDescent="0.25">
      <c r="C78" s="2" t="s">
        <v>96</v>
      </c>
      <c r="D78" s="2" t="s">
        <v>259</v>
      </c>
      <c r="E78" s="9">
        <v>12.04</v>
      </c>
      <c r="F78" s="5">
        <v>190.081301</v>
      </c>
      <c r="G78" s="5">
        <f t="shared" si="4"/>
        <v>2288.5788640399996</v>
      </c>
      <c r="J78" s="12">
        <v>304.94</v>
      </c>
      <c r="K78" s="12">
        <v>1219.76</v>
      </c>
      <c r="L78" s="16">
        <v>0.14599999999999999</v>
      </c>
      <c r="M78" s="14">
        <f t="shared" si="5"/>
        <v>1.8762534138191116</v>
      </c>
      <c r="N78" s="10">
        <v>2019</v>
      </c>
      <c r="O78" s="10">
        <v>2005</v>
      </c>
      <c r="P78" s="2" t="s">
        <v>472</v>
      </c>
      <c r="Q78" s="2" t="s">
        <v>473</v>
      </c>
      <c r="R78" s="2" t="s">
        <v>726</v>
      </c>
      <c r="S78" s="2" t="s">
        <v>727</v>
      </c>
      <c r="T78" s="5">
        <v>3000</v>
      </c>
      <c r="U78" s="2" t="s">
        <v>931</v>
      </c>
      <c r="V78" s="2" t="s">
        <v>1321</v>
      </c>
      <c r="W78" s="2" t="s">
        <v>1322</v>
      </c>
    </row>
    <row r="79" spans="3:25" x14ac:dyDescent="0.25">
      <c r="C79" s="2" t="s">
        <v>22</v>
      </c>
      <c r="D79" s="2" t="s">
        <v>185</v>
      </c>
      <c r="E79" s="9">
        <v>222.07</v>
      </c>
      <c r="F79" s="5">
        <v>267.00117</v>
      </c>
      <c r="G79" s="5">
        <f t="shared" si="4"/>
        <v>59292.949821900002</v>
      </c>
      <c r="J79" s="12">
        <v>2240</v>
      </c>
      <c r="K79" s="12">
        <v>8960</v>
      </c>
      <c r="L79" s="16">
        <v>0.12560000000000002</v>
      </c>
      <c r="M79" s="14">
        <f t="shared" si="5"/>
        <v>6.617516721194197</v>
      </c>
      <c r="N79" s="10">
        <v>2012</v>
      </c>
      <c r="O79" s="10">
        <v>2005</v>
      </c>
      <c r="P79" s="2" t="s">
        <v>572</v>
      </c>
      <c r="Q79" s="2" t="s">
        <v>573</v>
      </c>
      <c r="R79" s="2" t="s">
        <v>834</v>
      </c>
      <c r="S79" s="2" t="s">
        <v>634</v>
      </c>
      <c r="T79" s="5">
        <v>20515</v>
      </c>
      <c r="U79" s="2" t="s">
        <v>1003</v>
      </c>
      <c r="V79" s="2" t="s">
        <v>1575</v>
      </c>
      <c r="W79" s="2" t="s">
        <v>1576</v>
      </c>
      <c r="X79" s="2" t="s">
        <v>1577</v>
      </c>
      <c r="Y79" s="2" t="s">
        <v>1578</v>
      </c>
    </row>
    <row r="80" spans="3:25" x14ac:dyDescent="0.25">
      <c r="C80" s="2" t="s">
        <v>119</v>
      </c>
      <c r="D80" s="2" t="s">
        <v>282</v>
      </c>
      <c r="E80" s="9">
        <v>30.56</v>
      </c>
      <c r="F80" s="5">
        <v>39.913303999999997</v>
      </c>
      <c r="G80" s="5">
        <f t="shared" si="4"/>
        <v>1219.7505702399999</v>
      </c>
      <c r="J80" s="12">
        <v>57.3</v>
      </c>
      <c r="K80" s="12">
        <v>229.2</v>
      </c>
      <c r="L80" s="16">
        <v>0.11460000000000001</v>
      </c>
      <c r="M80" s="14">
        <f t="shared" si="5"/>
        <v>5.3217738666666667</v>
      </c>
      <c r="N80" s="10">
        <v>2020</v>
      </c>
      <c r="O80" s="10">
        <v>2005</v>
      </c>
      <c r="P80" s="2" t="s">
        <v>415</v>
      </c>
      <c r="Q80" s="2" t="s">
        <v>416</v>
      </c>
      <c r="R80" s="2" t="s">
        <v>659</v>
      </c>
      <c r="S80" s="2" t="s">
        <v>660</v>
      </c>
      <c r="T80" s="5">
        <v>991</v>
      </c>
      <c r="U80" s="2" t="s">
        <v>892</v>
      </c>
      <c r="V80" s="2" t="s">
        <v>1177</v>
      </c>
      <c r="W80" s="2" t="s">
        <v>1178</v>
      </c>
    </row>
    <row r="81" spans="3:25" x14ac:dyDescent="0.25">
      <c r="C81" s="2" t="s">
        <v>68</v>
      </c>
      <c r="D81" s="2" t="s">
        <v>231</v>
      </c>
      <c r="E81" s="9">
        <v>10.66</v>
      </c>
      <c r="F81" s="5">
        <v>535.01350100000002</v>
      </c>
      <c r="G81" s="5">
        <f t="shared" si="4"/>
        <v>5703.2439206600002</v>
      </c>
      <c r="J81" s="12">
        <v>356.62</v>
      </c>
      <c r="K81" s="12">
        <v>1426.48</v>
      </c>
      <c r="L81" s="16">
        <v>6.4199999999999993E-2</v>
      </c>
      <c r="M81" s="14">
        <f t="shared" si="5"/>
        <v>3.9981239979950649</v>
      </c>
      <c r="N81" s="10">
        <v>2021</v>
      </c>
      <c r="O81" s="10">
        <v>2005</v>
      </c>
      <c r="P81" s="2" t="s">
        <v>560</v>
      </c>
      <c r="Q81" s="2" t="s">
        <v>561</v>
      </c>
      <c r="R81" s="2" t="s">
        <v>820</v>
      </c>
      <c r="S81" s="2" t="s">
        <v>821</v>
      </c>
      <c r="T81" s="5">
        <v>3868</v>
      </c>
      <c r="U81" s="2" t="s">
        <v>995</v>
      </c>
      <c r="V81" s="2" t="s">
        <v>1547</v>
      </c>
      <c r="W81" s="2" t="s">
        <v>1548</v>
      </c>
      <c r="X81" s="2" t="s">
        <v>1549</v>
      </c>
      <c r="Y81" s="2" t="s">
        <v>1550</v>
      </c>
    </row>
    <row r="82" spans="3:25" x14ac:dyDescent="0.25">
      <c r="C82" s="2" t="s">
        <v>75</v>
      </c>
      <c r="D82" s="2" t="s">
        <v>238</v>
      </c>
      <c r="E82" s="9">
        <v>31.81</v>
      </c>
      <c r="F82" s="5">
        <v>144.82431099999999</v>
      </c>
      <c r="G82" s="5">
        <f t="shared" si="4"/>
        <v>4606.8613329099999</v>
      </c>
      <c r="J82" s="12">
        <v>276.27</v>
      </c>
      <c r="K82" s="12">
        <v>1105.08</v>
      </c>
      <c r="L82" s="16">
        <v>4.3899999999999995E-2</v>
      </c>
      <c r="M82" s="14">
        <f t="shared" si="5"/>
        <v>4.1688034648260759</v>
      </c>
      <c r="N82" s="10">
        <v>2015</v>
      </c>
      <c r="O82" s="10">
        <v>2005</v>
      </c>
      <c r="P82" s="2" t="s">
        <v>381</v>
      </c>
      <c r="Q82" s="2" t="s">
        <v>382</v>
      </c>
      <c r="R82" s="2" t="s">
        <v>625</v>
      </c>
      <c r="S82" s="2" t="s">
        <v>626</v>
      </c>
      <c r="T82" s="5">
        <v>2810</v>
      </c>
      <c r="U82" s="2" t="s">
        <v>871</v>
      </c>
      <c r="V82" s="2" t="s">
        <v>1102</v>
      </c>
      <c r="W82" s="2" t="s">
        <v>1103</v>
      </c>
      <c r="X82" s="2" t="s">
        <v>1104</v>
      </c>
      <c r="Y82" s="2" t="s">
        <v>1105</v>
      </c>
    </row>
    <row r="83" spans="3:25" x14ac:dyDescent="0.25">
      <c r="C83" s="18" t="s">
        <v>153</v>
      </c>
      <c r="D83" s="2" t="s">
        <v>315</v>
      </c>
      <c r="E83" s="9">
        <v>1.73</v>
      </c>
      <c r="F83" s="5">
        <v>94.308942999999999</v>
      </c>
      <c r="G83" s="5">
        <f t="shared" si="4"/>
        <v>163.15447139</v>
      </c>
      <c r="J83" s="12">
        <v>286.36</v>
      </c>
      <c r="K83" s="12">
        <v>1145.44</v>
      </c>
      <c r="L83" s="16">
        <v>0.31980000000000003</v>
      </c>
      <c r="M83" s="14">
        <f t="shared" si="5"/>
        <v>0.14243825201669227</v>
      </c>
      <c r="N83" s="10">
        <v>2021</v>
      </c>
      <c r="O83" s="10">
        <v>2006</v>
      </c>
      <c r="P83" s="2" t="s">
        <v>551</v>
      </c>
      <c r="Q83" s="2" t="s">
        <v>384</v>
      </c>
      <c r="R83" s="2" t="s">
        <v>806</v>
      </c>
      <c r="S83" s="2" t="s">
        <v>807</v>
      </c>
      <c r="T83" s="5">
        <v>1800</v>
      </c>
      <c r="U83" s="2" t="s">
        <v>987</v>
      </c>
      <c r="V83" s="2" t="s">
        <v>1515</v>
      </c>
      <c r="W83" s="2" t="s">
        <v>1516</v>
      </c>
      <c r="X83" s="2" t="s">
        <v>1517</v>
      </c>
      <c r="Y83" s="2" t="s">
        <v>1518</v>
      </c>
    </row>
    <row r="84" spans="3:25" x14ac:dyDescent="0.25">
      <c r="C84" s="2" t="s">
        <v>9</v>
      </c>
      <c r="D84" s="2" t="s">
        <v>172</v>
      </c>
      <c r="E84" s="9">
        <v>149.61000000000001</v>
      </c>
      <c r="F84" s="5">
        <v>1297.3777399999999</v>
      </c>
      <c r="G84" s="5">
        <f t="shared" si="4"/>
        <v>194100.6836814</v>
      </c>
      <c r="J84" s="12">
        <v>2360</v>
      </c>
      <c r="K84" s="12">
        <v>9440</v>
      </c>
      <c r="L84" s="16">
        <v>0.2681</v>
      </c>
      <c r="M84" s="14">
        <f t="shared" si="5"/>
        <v>20.561513101843222</v>
      </c>
      <c r="N84" s="10">
        <v>2015</v>
      </c>
      <c r="O84" s="10">
        <v>2006</v>
      </c>
      <c r="P84" s="2" t="s">
        <v>537</v>
      </c>
      <c r="Q84" s="2" t="s">
        <v>490</v>
      </c>
      <c r="R84" s="2" t="s">
        <v>790</v>
      </c>
      <c r="S84" s="2" t="s">
        <v>791</v>
      </c>
      <c r="T84" s="5">
        <v>8100</v>
      </c>
      <c r="U84" s="2" t="s">
        <v>976</v>
      </c>
      <c r="V84" s="2" t="s">
        <v>1479</v>
      </c>
      <c r="W84" s="2" t="s">
        <v>1480</v>
      </c>
    </row>
    <row r="85" spans="3:25" x14ac:dyDescent="0.25">
      <c r="C85" s="2" t="s">
        <v>51</v>
      </c>
      <c r="D85" s="2" t="s">
        <v>214</v>
      </c>
      <c r="E85" s="9">
        <v>283.36</v>
      </c>
      <c r="F85" s="5">
        <v>36.030079999999998</v>
      </c>
      <c r="G85" s="5">
        <f t="shared" si="4"/>
        <v>10209.483468799999</v>
      </c>
      <c r="J85" s="12">
        <v>235.58</v>
      </c>
      <c r="K85" s="12">
        <v>942.32</v>
      </c>
      <c r="L85" s="16">
        <v>0.19350000000000001</v>
      </c>
      <c r="M85" s="14">
        <f t="shared" si="5"/>
        <v>10.834412374564902</v>
      </c>
      <c r="N85" s="10">
        <v>2015</v>
      </c>
      <c r="O85" s="10">
        <v>2006</v>
      </c>
      <c r="P85" s="2" t="s">
        <v>351</v>
      </c>
      <c r="Q85" s="2" t="s">
        <v>352</v>
      </c>
      <c r="R85" s="2" t="s">
        <v>583</v>
      </c>
      <c r="S85" s="2" t="s">
        <v>596</v>
      </c>
      <c r="T85" s="5">
        <v>1634</v>
      </c>
      <c r="U85" s="2" t="s">
        <v>854</v>
      </c>
      <c r="V85" s="2" t="s">
        <v>1040</v>
      </c>
      <c r="W85" s="2" t="s">
        <v>1041</v>
      </c>
      <c r="X85" s="2" t="s">
        <v>1042</v>
      </c>
      <c r="Y85" s="2" t="s">
        <v>1043</v>
      </c>
    </row>
    <row r="86" spans="3:25" x14ac:dyDescent="0.25">
      <c r="C86" s="2" t="s">
        <v>30</v>
      </c>
      <c r="D86" s="2" t="s">
        <v>193</v>
      </c>
      <c r="E86" s="9">
        <v>449.72</v>
      </c>
      <c r="F86" s="5">
        <v>52.737157000000003</v>
      </c>
      <c r="G86" s="5">
        <f t="shared" si="4"/>
        <v>23716.954246040004</v>
      </c>
      <c r="J86" s="12">
        <v>714.14</v>
      </c>
      <c r="K86" s="12">
        <v>2856.56</v>
      </c>
      <c r="L86" s="16">
        <v>0.15670000000000001</v>
      </c>
      <c r="M86" s="14">
        <f t="shared" si="5"/>
        <v>8.3026277221693245</v>
      </c>
      <c r="N86" s="10">
        <v>2014</v>
      </c>
      <c r="O86" s="10">
        <v>2006</v>
      </c>
      <c r="P86" s="2" t="s">
        <v>454</v>
      </c>
      <c r="Q86" s="2" t="s">
        <v>342</v>
      </c>
      <c r="R86" s="2" t="s">
        <v>706</v>
      </c>
      <c r="S86" s="2" t="s">
        <v>614</v>
      </c>
      <c r="T86" s="5">
        <v>8574</v>
      </c>
      <c r="U86" s="2" t="s">
        <v>919</v>
      </c>
      <c r="V86" s="2" t="s">
        <v>1278</v>
      </c>
      <c r="W86" s="2" t="s">
        <v>1279</v>
      </c>
      <c r="X86" s="2" t="s">
        <v>1280</v>
      </c>
      <c r="Y86" s="2" t="s">
        <v>1281</v>
      </c>
    </row>
    <row r="87" spans="3:25" x14ac:dyDescent="0.25">
      <c r="C87" s="2" t="s">
        <v>126</v>
      </c>
      <c r="D87" s="2" t="s">
        <v>288</v>
      </c>
      <c r="E87" s="9">
        <v>7.84</v>
      </c>
      <c r="F87" s="5">
        <v>122.380336</v>
      </c>
      <c r="G87" s="5">
        <f t="shared" si="4"/>
        <v>959.46183424000003</v>
      </c>
      <c r="J87" s="12">
        <v>109.48</v>
      </c>
      <c r="K87" s="12">
        <v>437.92</v>
      </c>
      <c r="L87" s="16">
        <v>0.1406</v>
      </c>
      <c r="M87" s="14">
        <f t="shared" si="5"/>
        <v>2.1909523069053707</v>
      </c>
      <c r="N87" s="10">
        <v>2017</v>
      </c>
      <c r="O87" s="10">
        <v>2006</v>
      </c>
      <c r="P87" s="2" t="s">
        <v>574</v>
      </c>
      <c r="Q87" s="2" t="s">
        <v>410</v>
      </c>
      <c r="R87" s="2" t="s">
        <v>835</v>
      </c>
      <c r="S87" s="2" t="s">
        <v>836</v>
      </c>
      <c r="T87" s="5">
        <v>1150</v>
      </c>
      <c r="U87" s="2" t="s">
        <v>1004</v>
      </c>
      <c r="V87" s="2" t="s">
        <v>1579</v>
      </c>
      <c r="W87" s="2" t="s">
        <v>1580</v>
      </c>
      <c r="X87" s="2" t="s">
        <v>1581</v>
      </c>
      <c r="Y87" s="2" t="s">
        <v>1582</v>
      </c>
    </row>
    <row r="88" spans="3:25" x14ac:dyDescent="0.25">
      <c r="C88" s="2" t="s">
        <v>63</v>
      </c>
      <c r="D88" s="2" t="s">
        <v>226</v>
      </c>
      <c r="E88" s="9">
        <v>122.85</v>
      </c>
      <c r="F88" s="5">
        <v>55.671861999999997</v>
      </c>
      <c r="G88" s="5">
        <f t="shared" si="4"/>
        <v>6839.288246699999</v>
      </c>
      <c r="J88" s="12">
        <v>473.65</v>
      </c>
      <c r="K88" s="12">
        <v>1894.6</v>
      </c>
      <c r="L88" s="16">
        <v>0.1283</v>
      </c>
      <c r="M88" s="14">
        <f t="shared" si="5"/>
        <v>3.6098850663464579</v>
      </c>
      <c r="N88" s="10">
        <v>2013</v>
      </c>
      <c r="O88" s="10">
        <v>2006</v>
      </c>
      <c r="P88" s="2" t="s">
        <v>571</v>
      </c>
      <c r="Q88" s="2" t="s">
        <v>391</v>
      </c>
      <c r="R88" s="2" t="s">
        <v>832</v>
      </c>
      <c r="S88" s="2" t="s">
        <v>833</v>
      </c>
      <c r="T88" s="5">
        <v>5275</v>
      </c>
      <c r="U88" s="2" t="s">
        <v>1002</v>
      </c>
      <c r="V88" s="2" t="s">
        <v>1573</v>
      </c>
      <c r="W88" s="2" t="s">
        <v>1574</v>
      </c>
    </row>
    <row r="89" spans="3:25" x14ac:dyDescent="0.25">
      <c r="C89" s="2" t="s">
        <v>76</v>
      </c>
      <c r="D89" s="2" t="s">
        <v>239</v>
      </c>
      <c r="E89" s="9">
        <v>40.74</v>
      </c>
      <c r="F89" s="5">
        <v>103.01940999999999</v>
      </c>
      <c r="G89" s="5">
        <f t="shared" si="4"/>
        <v>4197.0107633999996</v>
      </c>
      <c r="J89" s="12">
        <v>358.22</v>
      </c>
      <c r="K89" s="12">
        <v>1432.88</v>
      </c>
      <c r="L89" s="16">
        <v>0.10890000000000001</v>
      </c>
      <c r="M89" s="14">
        <f t="shared" si="5"/>
        <v>2.9290734488582433</v>
      </c>
      <c r="N89" s="10">
        <v>2019</v>
      </c>
      <c r="O89" s="10">
        <v>2006</v>
      </c>
      <c r="P89" s="2" t="s">
        <v>377</v>
      </c>
      <c r="Q89" s="2" t="s">
        <v>338</v>
      </c>
      <c r="R89" s="2" t="s">
        <v>620</v>
      </c>
      <c r="S89" s="2" t="s">
        <v>621</v>
      </c>
      <c r="T89" s="5">
        <v>2187</v>
      </c>
      <c r="U89" s="2" t="s">
        <v>868</v>
      </c>
      <c r="V89" s="2" t="s">
        <v>1091</v>
      </c>
      <c r="W89" s="2" t="s">
        <v>1092</v>
      </c>
      <c r="X89" s="2" t="s">
        <v>1093</v>
      </c>
      <c r="Y89" s="2" t="s">
        <v>1094</v>
      </c>
    </row>
    <row r="90" spans="3:25" x14ac:dyDescent="0.25">
      <c r="C90" s="2" t="s">
        <v>11</v>
      </c>
      <c r="D90" s="2" t="s">
        <v>174</v>
      </c>
      <c r="E90" s="9">
        <v>705.89</v>
      </c>
      <c r="F90" s="5">
        <v>204.707008</v>
      </c>
      <c r="G90" s="5">
        <f t="shared" si="4"/>
        <v>144500.62987711999</v>
      </c>
      <c r="J90" s="12">
        <v>4690</v>
      </c>
      <c r="K90" s="12">
        <v>18760</v>
      </c>
      <c r="L90" s="16">
        <v>0.1014</v>
      </c>
      <c r="M90" s="14">
        <f t="shared" si="5"/>
        <v>7.7025922109339016</v>
      </c>
      <c r="N90" s="10">
        <v>2018</v>
      </c>
      <c r="O90" s="10">
        <v>2006</v>
      </c>
      <c r="P90" s="2" t="s">
        <v>543</v>
      </c>
      <c r="Q90" s="2" t="s">
        <v>544</v>
      </c>
      <c r="R90" s="2" t="s">
        <v>798</v>
      </c>
      <c r="S90" s="2" t="s">
        <v>763</v>
      </c>
      <c r="T90" s="5">
        <v>7691</v>
      </c>
      <c r="U90" s="2" t="s">
        <v>981</v>
      </c>
      <c r="V90" s="2" t="s">
        <v>1494</v>
      </c>
      <c r="W90" s="2" t="s">
        <v>1495</v>
      </c>
    </row>
    <row r="91" spans="3:25" x14ac:dyDescent="0.25">
      <c r="C91" s="2" t="s">
        <v>149</v>
      </c>
      <c r="D91" s="2" t="s">
        <v>311</v>
      </c>
      <c r="E91" s="9">
        <v>1.74</v>
      </c>
      <c r="F91" s="5">
        <v>153.61445800000001</v>
      </c>
      <c r="G91" s="5">
        <f t="shared" si="4"/>
        <v>267.28915692000004</v>
      </c>
      <c r="J91" s="12">
        <v>46.98</v>
      </c>
      <c r="K91" s="12">
        <v>187.92</v>
      </c>
      <c r="L91" s="16">
        <v>4.9200000000000001E-2</v>
      </c>
      <c r="M91" s="14">
        <f t="shared" si="5"/>
        <v>1.4223560925925929</v>
      </c>
      <c r="N91" s="10">
        <v>2021</v>
      </c>
      <c r="O91" s="10">
        <v>2006</v>
      </c>
      <c r="P91" s="2" t="s">
        <v>463</v>
      </c>
      <c r="Q91" s="2" t="s">
        <v>384</v>
      </c>
      <c r="R91" s="2" t="s">
        <v>718</v>
      </c>
      <c r="S91" s="2" t="s">
        <v>719</v>
      </c>
      <c r="T91" s="5">
        <v>563</v>
      </c>
      <c r="U91" s="2" t="s">
        <v>926</v>
      </c>
      <c r="V91" s="2" t="s">
        <v>1305</v>
      </c>
      <c r="W91" s="2" t="s">
        <v>1306</v>
      </c>
      <c r="X91" s="2" t="s">
        <v>1307</v>
      </c>
      <c r="Y91" s="2" t="s">
        <v>1308</v>
      </c>
    </row>
    <row r="92" spans="3:25" x14ac:dyDescent="0.25">
      <c r="C92" s="2" t="s">
        <v>138</v>
      </c>
      <c r="D92" s="2" t="s">
        <v>300</v>
      </c>
      <c r="E92" s="9">
        <v>10.93</v>
      </c>
      <c r="F92" s="5">
        <v>48.561151000000002</v>
      </c>
      <c r="G92" s="5">
        <f t="shared" si="4"/>
        <v>530.77338042999997</v>
      </c>
      <c r="J92" s="12">
        <v>63.82</v>
      </c>
      <c r="K92" s="12">
        <v>255.28</v>
      </c>
      <c r="L92" s="16">
        <v>-4.3099999999999999E-2</v>
      </c>
      <c r="M92" s="14">
        <f t="shared" si="5"/>
        <v>2.0791812144703852</v>
      </c>
      <c r="N92" s="10">
        <v>2020</v>
      </c>
      <c r="O92" s="10">
        <v>2006</v>
      </c>
      <c r="P92" s="2" t="s">
        <v>518</v>
      </c>
      <c r="Q92" s="2" t="s">
        <v>382</v>
      </c>
      <c r="R92" s="2" t="s">
        <v>770</v>
      </c>
      <c r="S92" s="2" t="s">
        <v>771</v>
      </c>
      <c r="T92" s="5">
        <v>1049</v>
      </c>
      <c r="U92" s="2" t="s">
        <v>962</v>
      </c>
      <c r="V92" s="2" t="s">
        <v>1426</v>
      </c>
      <c r="W92" s="2" t="s">
        <v>1427</v>
      </c>
      <c r="X92" s="2" t="s">
        <v>1428</v>
      </c>
      <c r="Y92" s="2" t="s">
        <v>1429</v>
      </c>
    </row>
    <row r="93" spans="3:25" x14ac:dyDescent="0.25">
      <c r="C93" s="2" t="s">
        <v>155</v>
      </c>
      <c r="D93" s="2" t="s">
        <v>317</v>
      </c>
      <c r="E93" s="9">
        <v>2.54</v>
      </c>
      <c r="F93" s="5">
        <v>96.069868999999997</v>
      </c>
      <c r="G93" s="5">
        <f t="shared" si="4"/>
        <v>244.01746725999999</v>
      </c>
      <c r="J93" s="12">
        <v>73.83</v>
      </c>
      <c r="K93" s="12">
        <v>295.32</v>
      </c>
      <c r="L93" s="16">
        <v>-0.14400000000000002</v>
      </c>
      <c r="M93" s="14">
        <f t="shared" si="5"/>
        <v>0.82628154970879042</v>
      </c>
      <c r="N93" s="10">
        <v>2018</v>
      </c>
      <c r="O93" s="10">
        <v>2006</v>
      </c>
      <c r="P93" s="2" t="s">
        <v>431</v>
      </c>
      <c r="Q93" s="2" t="s">
        <v>348</v>
      </c>
      <c r="R93" s="2" t="s">
        <v>681</v>
      </c>
      <c r="S93" s="2" t="s">
        <v>682</v>
      </c>
      <c r="T93" s="5">
        <v>748</v>
      </c>
      <c r="U93" s="2" t="s">
        <v>904</v>
      </c>
      <c r="V93" s="2" t="s">
        <v>1222</v>
      </c>
      <c r="W93" s="2" t="s">
        <v>1223</v>
      </c>
      <c r="X93" s="2" t="s">
        <v>1224</v>
      </c>
      <c r="Y93" s="2" t="s">
        <v>1225</v>
      </c>
    </row>
    <row r="94" spans="3:25" x14ac:dyDescent="0.25">
      <c r="C94" s="18" t="s">
        <v>82</v>
      </c>
      <c r="D94" s="2" t="s">
        <v>245</v>
      </c>
      <c r="E94" s="9">
        <v>18.73</v>
      </c>
      <c r="F94" s="5">
        <v>235.543767</v>
      </c>
      <c r="G94" s="5">
        <f t="shared" si="4"/>
        <v>4411.7347559099999</v>
      </c>
      <c r="J94" s="12">
        <v>264.42</v>
      </c>
      <c r="K94" s="12">
        <v>1057.68</v>
      </c>
      <c r="L94" s="16">
        <v>0.35639999999999999</v>
      </c>
      <c r="M94" s="14">
        <f t="shared" si="5"/>
        <v>4.1711432152541406</v>
      </c>
      <c r="N94" s="10">
        <v>2021</v>
      </c>
      <c r="O94" s="10">
        <v>2007</v>
      </c>
      <c r="P94" s="2" t="s">
        <v>575</v>
      </c>
      <c r="Q94" s="2" t="s">
        <v>410</v>
      </c>
      <c r="R94" s="2" t="s">
        <v>837</v>
      </c>
      <c r="S94" s="2" t="s">
        <v>838</v>
      </c>
      <c r="T94" s="5">
        <v>2191</v>
      </c>
      <c r="U94" s="2" t="s">
        <v>1005</v>
      </c>
      <c r="V94" s="2" t="s">
        <v>1583</v>
      </c>
      <c r="W94" s="2" t="s">
        <v>1584</v>
      </c>
      <c r="X94" s="2" t="s">
        <v>1585</v>
      </c>
      <c r="Y94" s="2" t="s">
        <v>1586</v>
      </c>
    </row>
    <row r="95" spans="3:25" x14ac:dyDescent="0.25">
      <c r="C95" s="2" t="s">
        <v>39</v>
      </c>
      <c r="D95" s="2" t="s">
        <v>202</v>
      </c>
      <c r="E95" s="9">
        <v>209.18</v>
      </c>
      <c r="F95" s="5">
        <v>81.712450000000004</v>
      </c>
      <c r="G95" s="5">
        <f t="shared" si="4"/>
        <v>17092.610291000001</v>
      </c>
      <c r="J95" s="12">
        <v>549.01</v>
      </c>
      <c r="K95" s="12">
        <v>2196.04</v>
      </c>
      <c r="L95" s="16">
        <v>0.21850000000000003</v>
      </c>
      <c r="M95" s="14">
        <f t="shared" si="5"/>
        <v>7.7833783952022735</v>
      </c>
      <c r="N95" s="10">
        <v>2017</v>
      </c>
      <c r="O95" s="10">
        <v>2007</v>
      </c>
      <c r="P95" s="2" t="s">
        <v>486</v>
      </c>
      <c r="Q95" s="2" t="s">
        <v>384</v>
      </c>
      <c r="R95" s="2" t="s">
        <v>740</v>
      </c>
      <c r="S95" s="2" t="s">
        <v>741</v>
      </c>
      <c r="T95" s="5">
        <v>5686</v>
      </c>
      <c r="U95" s="2" t="s">
        <v>940</v>
      </c>
      <c r="V95" s="2" t="s">
        <v>1348</v>
      </c>
      <c r="W95" s="2" t="s">
        <v>1349</v>
      </c>
      <c r="X95" s="2" t="s">
        <v>1350</v>
      </c>
      <c r="Y95" s="2" t="s">
        <v>1351</v>
      </c>
    </row>
    <row r="96" spans="3:25" x14ac:dyDescent="0.25">
      <c r="C96" s="2" t="s">
        <v>147</v>
      </c>
      <c r="D96" s="2" t="s">
        <v>309</v>
      </c>
      <c r="E96" s="9">
        <v>7.14</v>
      </c>
      <c r="F96" s="5">
        <v>54.805726</v>
      </c>
      <c r="G96" s="5">
        <f t="shared" si="4"/>
        <v>391.31288364</v>
      </c>
      <c r="J96" s="12">
        <v>34.61</v>
      </c>
      <c r="K96" s="12">
        <v>138.44</v>
      </c>
      <c r="L96" s="16">
        <v>0.155</v>
      </c>
      <c r="M96" s="14">
        <f t="shared" si="5"/>
        <v>2.8265882955793122</v>
      </c>
      <c r="N96" s="10">
        <v>2021</v>
      </c>
      <c r="O96" s="10">
        <v>2007</v>
      </c>
      <c r="P96" s="2" t="s">
        <v>372</v>
      </c>
      <c r="Q96" s="2" t="s">
        <v>373</v>
      </c>
      <c r="R96" s="2" t="s">
        <v>615</v>
      </c>
      <c r="S96" s="2" t="s">
        <v>616</v>
      </c>
      <c r="T96" s="5">
        <v>346</v>
      </c>
      <c r="U96" s="2" t="s">
        <v>865</v>
      </c>
      <c r="V96" s="2" t="s">
        <v>1079</v>
      </c>
      <c r="W96" s="2" t="s">
        <v>1080</v>
      </c>
      <c r="X96" s="2" t="s">
        <v>1081</v>
      </c>
      <c r="Y96" s="2" t="s">
        <v>1082</v>
      </c>
    </row>
    <row r="97" spans="3:25" x14ac:dyDescent="0.25">
      <c r="C97" s="2" t="s">
        <v>132</v>
      </c>
      <c r="D97" s="2" t="s">
        <v>294</v>
      </c>
      <c r="E97" s="9">
        <v>7.16</v>
      </c>
      <c r="F97" s="5">
        <v>84.829329999999999</v>
      </c>
      <c r="G97" s="5">
        <f t="shared" si="4"/>
        <v>607.37800279999999</v>
      </c>
      <c r="J97" s="12">
        <v>67.09</v>
      </c>
      <c r="K97" s="12">
        <v>268.36</v>
      </c>
      <c r="L97" s="16">
        <v>0.13739999999999999</v>
      </c>
      <c r="M97" s="14">
        <f t="shared" si="5"/>
        <v>2.2632955835444921</v>
      </c>
      <c r="N97" s="10">
        <v>2021</v>
      </c>
      <c r="O97" s="10">
        <v>2007</v>
      </c>
      <c r="P97" s="2" t="s">
        <v>538</v>
      </c>
      <c r="Q97" s="2" t="s">
        <v>391</v>
      </c>
      <c r="R97" s="2" t="s">
        <v>792</v>
      </c>
      <c r="S97" s="2" t="s">
        <v>793</v>
      </c>
      <c r="T97" s="5">
        <v>1085</v>
      </c>
      <c r="U97" s="2" t="s">
        <v>977</v>
      </c>
      <c r="V97" s="2" t="s">
        <v>1481</v>
      </c>
      <c r="W97" s="2" t="s">
        <v>1482</v>
      </c>
    </row>
    <row r="98" spans="3:25" x14ac:dyDescent="0.25">
      <c r="C98" s="2" t="s">
        <v>62</v>
      </c>
      <c r="D98" s="2" t="s">
        <v>225</v>
      </c>
      <c r="E98" s="9">
        <v>26.91</v>
      </c>
      <c r="F98" s="5">
        <v>273.12925200000001</v>
      </c>
      <c r="G98" s="5">
        <f t="shared" si="4"/>
        <v>7349.9081713200003</v>
      </c>
      <c r="J98" s="12">
        <v>624.70000000000005</v>
      </c>
      <c r="K98" s="12">
        <v>2498.8000000000002</v>
      </c>
      <c r="L98" s="16">
        <v>-1.0500000000000001E-2</v>
      </c>
      <c r="M98" s="14">
        <f t="shared" si="5"/>
        <v>2.9413751285897232</v>
      </c>
      <c r="N98" s="10">
        <v>2018</v>
      </c>
      <c r="O98" s="10">
        <v>2007</v>
      </c>
      <c r="P98" s="2" t="s">
        <v>423</v>
      </c>
      <c r="Q98" s="2" t="s">
        <v>348</v>
      </c>
      <c r="R98" s="2" t="s">
        <v>670</v>
      </c>
      <c r="S98" s="2" t="s">
        <v>671</v>
      </c>
      <c r="T98" s="5">
        <v>2204</v>
      </c>
      <c r="U98" s="2" t="s">
        <v>898</v>
      </c>
      <c r="V98" s="2" t="s">
        <v>1199</v>
      </c>
      <c r="W98" s="2" t="s">
        <v>1200</v>
      </c>
      <c r="X98" s="2" t="s">
        <v>1201</v>
      </c>
      <c r="Y98" s="2" t="s">
        <v>1202</v>
      </c>
    </row>
    <row r="99" spans="3:25" x14ac:dyDescent="0.25">
      <c r="C99" s="2" t="s">
        <v>25</v>
      </c>
      <c r="D99" s="2" t="s">
        <v>188</v>
      </c>
      <c r="E99" s="9">
        <v>269.7</v>
      </c>
      <c r="F99" s="5">
        <v>155.696293</v>
      </c>
      <c r="G99" s="5">
        <f t="shared" ref="G99:G130" si="6">E99*F99</f>
        <v>41991.290222099997</v>
      </c>
      <c r="J99" s="12">
        <v>678.03</v>
      </c>
      <c r="K99" s="12">
        <v>2712.12</v>
      </c>
      <c r="L99" s="16">
        <v>0.22570000000000001</v>
      </c>
      <c r="M99" s="14">
        <f t="shared" ref="M99:M130" si="7">G99/K99</f>
        <v>15.482829012764922</v>
      </c>
      <c r="N99" s="10">
        <v>2018</v>
      </c>
      <c r="O99" s="10">
        <v>2008</v>
      </c>
      <c r="P99" s="2" t="s">
        <v>579</v>
      </c>
      <c r="Q99" s="2" t="s">
        <v>338</v>
      </c>
      <c r="R99" s="2" t="s">
        <v>843</v>
      </c>
      <c r="S99" s="2" t="s">
        <v>844</v>
      </c>
      <c r="T99" s="5">
        <v>7348</v>
      </c>
      <c r="U99" s="2" t="s">
        <v>1008</v>
      </c>
      <c r="V99" s="2" t="s">
        <v>1595</v>
      </c>
      <c r="W99" s="2" t="s">
        <v>1596</v>
      </c>
      <c r="X99" s="2" t="s">
        <v>1597</v>
      </c>
      <c r="Y99" s="2" t="s">
        <v>1598</v>
      </c>
    </row>
    <row r="100" spans="3:25" x14ac:dyDescent="0.25">
      <c r="C100" s="18" t="s">
        <v>117</v>
      </c>
      <c r="D100" s="2" t="s">
        <v>280</v>
      </c>
      <c r="E100" s="9">
        <v>7.12</v>
      </c>
      <c r="F100" s="5">
        <v>148.17432299999999</v>
      </c>
      <c r="G100" s="5">
        <f t="shared" si="6"/>
        <v>1055.00117976</v>
      </c>
      <c r="J100" s="12">
        <v>105.02</v>
      </c>
      <c r="K100" s="12">
        <v>420.08</v>
      </c>
      <c r="L100" s="16">
        <v>0.2238</v>
      </c>
      <c r="M100" s="14">
        <f t="shared" si="7"/>
        <v>2.5114292033898304</v>
      </c>
      <c r="N100" s="10">
        <v>2021</v>
      </c>
      <c r="O100" s="10">
        <v>2008</v>
      </c>
      <c r="P100" s="2" t="s">
        <v>534</v>
      </c>
      <c r="Q100" s="2" t="s">
        <v>469</v>
      </c>
      <c r="R100" s="2" t="s">
        <v>785</v>
      </c>
      <c r="S100" s="2" t="s">
        <v>605</v>
      </c>
      <c r="T100" s="5">
        <v>1561</v>
      </c>
      <c r="U100" s="2" t="s">
        <v>973</v>
      </c>
      <c r="V100" s="2" t="s">
        <v>1467</v>
      </c>
      <c r="W100" s="2" t="s">
        <v>1468</v>
      </c>
      <c r="X100" s="2" t="s">
        <v>1469</v>
      </c>
      <c r="Y100" s="2" t="s">
        <v>1470</v>
      </c>
    </row>
    <row r="101" spans="3:25" x14ac:dyDescent="0.25">
      <c r="C101" s="2" t="s">
        <v>73</v>
      </c>
      <c r="D101" s="2" t="s">
        <v>236</v>
      </c>
      <c r="E101" s="9">
        <v>43.62</v>
      </c>
      <c r="F101" s="5">
        <v>114.575382</v>
      </c>
      <c r="G101" s="5">
        <f t="shared" si="6"/>
        <v>4997.7781628399998</v>
      </c>
      <c r="J101" s="12">
        <v>122.41</v>
      </c>
      <c r="K101" s="12">
        <v>489.64</v>
      </c>
      <c r="L101" s="16">
        <v>0.22030000000000002</v>
      </c>
      <c r="M101" s="14">
        <f t="shared" si="7"/>
        <v>10.207046325545299</v>
      </c>
      <c r="N101" s="10">
        <v>2020</v>
      </c>
      <c r="O101" s="10">
        <v>2008</v>
      </c>
      <c r="P101" s="2" t="s">
        <v>462</v>
      </c>
      <c r="Q101" s="2" t="s">
        <v>402</v>
      </c>
      <c r="R101" s="2" t="s">
        <v>716</v>
      </c>
      <c r="S101" s="2" t="s">
        <v>717</v>
      </c>
      <c r="T101" s="5">
        <v>1600</v>
      </c>
      <c r="U101" s="2" t="s">
        <v>925</v>
      </c>
      <c r="V101" s="2" t="s">
        <v>1301</v>
      </c>
      <c r="W101" s="2" t="s">
        <v>1302</v>
      </c>
      <c r="X101" s="2" t="s">
        <v>1303</v>
      </c>
      <c r="Y101" s="2" t="s">
        <v>1304</v>
      </c>
    </row>
    <row r="102" spans="3:25" x14ac:dyDescent="0.25">
      <c r="C102" s="2" t="s">
        <v>93</v>
      </c>
      <c r="D102" s="2" t="s">
        <v>256</v>
      </c>
      <c r="E102" s="9">
        <v>14.88</v>
      </c>
      <c r="F102" s="5">
        <v>162.532982</v>
      </c>
      <c r="G102" s="5">
        <f t="shared" si="6"/>
        <v>2418.4907721600002</v>
      </c>
      <c r="J102" s="12">
        <v>165.06</v>
      </c>
      <c r="K102" s="12">
        <v>660.24</v>
      </c>
      <c r="L102" s="16">
        <v>0.17249999999999999</v>
      </c>
      <c r="M102" s="14">
        <f t="shared" si="7"/>
        <v>3.6630479403853147</v>
      </c>
      <c r="N102" s="10">
        <v>2021</v>
      </c>
      <c r="O102" s="10">
        <v>2008</v>
      </c>
      <c r="P102" s="2" t="s">
        <v>421</v>
      </c>
      <c r="Q102" s="2" t="s">
        <v>384</v>
      </c>
      <c r="R102" s="2" t="s">
        <v>666</v>
      </c>
      <c r="S102" s="2" t="s">
        <v>667</v>
      </c>
      <c r="T102" s="5">
        <v>1197</v>
      </c>
      <c r="U102" s="2" t="s">
        <v>896</v>
      </c>
      <c r="V102" s="2" t="s">
        <v>1191</v>
      </c>
      <c r="W102" s="2" t="s">
        <v>1192</v>
      </c>
      <c r="X102" s="2" t="s">
        <v>1193</v>
      </c>
      <c r="Y102" s="2" t="s">
        <v>1194</v>
      </c>
    </row>
    <row r="103" spans="3:25" x14ac:dyDescent="0.25">
      <c r="C103" s="2" t="s">
        <v>38</v>
      </c>
      <c r="D103" s="2" t="s">
        <v>201</v>
      </c>
      <c r="E103" s="9">
        <v>98.67</v>
      </c>
      <c r="F103" s="5">
        <v>152.67415</v>
      </c>
      <c r="G103" s="5">
        <f t="shared" si="6"/>
        <v>15064.3583805</v>
      </c>
      <c r="J103" s="12">
        <v>1170</v>
      </c>
      <c r="K103" s="12">
        <v>4680</v>
      </c>
      <c r="L103" s="16">
        <v>0.1198</v>
      </c>
      <c r="M103" s="14">
        <f t="shared" si="7"/>
        <v>3.2188799958333334</v>
      </c>
      <c r="N103" s="10">
        <v>2016</v>
      </c>
      <c r="O103" s="10">
        <v>2008</v>
      </c>
      <c r="P103" s="2" t="s">
        <v>558</v>
      </c>
      <c r="Q103" s="2" t="s">
        <v>348</v>
      </c>
      <c r="R103" s="2" t="s">
        <v>816</v>
      </c>
      <c r="S103" s="2" t="s">
        <v>817</v>
      </c>
      <c r="T103" s="5">
        <v>5535</v>
      </c>
      <c r="U103" s="2" t="s">
        <v>993</v>
      </c>
      <c r="V103" s="2" t="s">
        <v>1539</v>
      </c>
      <c r="W103" s="2" t="s">
        <v>1540</v>
      </c>
      <c r="X103" s="2" t="s">
        <v>1541</v>
      </c>
      <c r="Y103" s="2" t="s">
        <v>1542</v>
      </c>
    </row>
    <row r="104" spans="3:25" x14ac:dyDescent="0.25">
      <c r="C104" s="2" t="s">
        <v>108</v>
      </c>
      <c r="D104" s="2" t="s">
        <v>271</v>
      </c>
      <c r="E104" s="9">
        <v>10.94</v>
      </c>
      <c r="F104" s="5">
        <v>162.264151</v>
      </c>
      <c r="G104" s="5">
        <f t="shared" si="6"/>
        <v>1775.1698119399998</v>
      </c>
      <c r="J104" s="12">
        <v>106</v>
      </c>
      <c r="K104" s="12">
        <v>424</v>
      </c>
      <c r="L104" s="16">
        <v>9.6699999999999994E-2</v>
      </c>
      <c r="M104" s="14">
        <f t="shared" si="7"/>
        <v>4.1867212545754713</v>
      </c>
      <c r="N104" s="10">
        <v>2020</v>
      </c>
      <c r="O104" s="10">
        <v>2008</v>
      </c>
      <c r="P104" s="2" t="s">
        <v>388</v>
      </c>
      <c r="Q104" s="2" t="s">
        <v>389</v>
      </c>
      <c r="R104" s="2" t="s">
        <v>633</v>
      </c>
      <c r="S104" s="2" t="s">
        <v>634</v>
      </c>
      <c r="T104" s="5">
        <v>1517</v>
      </c>
      <c r="U104" s="2" t="s">
        <v>876</v>
      </c>
      <c r="V104" s="2" t="s">
        <v>1122</v>
      </c>
      <c r="W104" s="2" t="s">
        <v>1123</v>
      </c>
      <c r="X104" s="2" t="s">
        <v>1124</v>
      </c>
      <c r="Y104" s="2" t="s">
        <v>1125</v>
      </c>
    </row>
    <row r="105" spans="3:25" x14ac:dyDescent="0.25">
      <c r="C105" s="2" t="s">
        <v>84</v>
      </c>
      <c r="D105" s="2" t="s">
        <v>247</v>
      </c>
      <c r="E105" s="9">
        <v>13.54</v>
      </c>
      <c r="F105" s="5">
        <v>235.331906</v>
      </c>
      <c r="G105" s="5">
        <f t="shared" si="6"/>
        <v>3186.3940072400001</v>
      </c>
      <c r="J105" s="12">
        <v>187.27</v>
      </c>
      <c r="K105" s="12">
        <v>749.08</v>
      </c>
      <c r="L105" s="16">
        <v>8.5900000000000004E-2</v>
      </c>
      <c r="M105" s="14">
        <f t="shared" si="7"/>
        <v>4.2537432680621565</v>
      </c>
      <c r="N105" s="10">
        <v>2020</v>
      </c>
      <c r="O105" s="10">
        <v>2008</v>
      </c>
      <c r="P105" s="2" t="s">
        <v>359</v>
      </c>
      <c r="Q105" s="2" t="s">
        <v>348</v>
      </c>
      <c r="R105" s="2" t="s">
        <v>602</v>
      </c>
      <c r="S105" s="2" t="s">
        <v>603</v>
      </c>
      <c r="T105" s="5">
        <v>1819</v>
      </c>
      <c r="U105" s="2" t="s">
        <v>858</v>
      </c>
      <c r="V105" s="2" t="s">
        <v>1056</v>
      </c>
      <c r="W105" s="2" t="s">
        <v>1057</v>
      </c>
      <c r="X105" s="2" t="s">
        <v>1058</v>
      </c>
      <c r="Y105" s="2" t="s">
        <v>1059</v>
      </c>
    </row>
    <row r="106" spans="3:25" x14ac:dyDescent="0.25">
      <c r="C106" s="2" t="s">
        <v>156</v>
      </c>
      <c r="D106" s="2" t="s">
        <v>318</v>
      </c>
      <c r="E106" s="9">
        <v>1.71</v>
      </c>
      <c r="F106" s="5">
        <v>92.424242000000007</v>
      </c>
      <c r="G106" s="5">
        <f t="shared" si="6"/>
        <v>158.04545382000001</v>
      </c>
      <c r="J106" s="12">
        <v>36.07</v>
      </c>
      <c r="K106" s="12">
        <v>144.28</v>
      </c>
      <c r="L106" s="16">
        <v>7.5700000000000003E-2</v>
      </c>
      <c r="M106" s="14">
        <f t="shared" si="7"/>
        <v>1.0954079139173829</v>
      </c>
      <c r="N106" s="10">
        <v>2021</v>
      </c>
      <c r="O106" s="10">
        <v>2008</v>
      </c>
      <c r="P106" s="2" t="s">
        <v>434</v>
      </c>
      <c r="Q106" s="2" t="s">
        <v>348</v>
      </c>
      <c r="R106" s="2" t="s">
        <v>684</v>
      </c>
      <c r="S106" s="2" t="s">
        <v>685</v>
      </c>
      <c r="T106" s="5">
        <v>115</v>
      </c>
      <c r="U106" s="2" t="s">
        <v>906</v>
      </c>
      <c r="V106" s="2" t="s">
        <v>1230</v>
      </c>
      <c r="W106" s="2" t="s">
        <v>1231</v>
      </c>
      <c r="X106" s="2" t="s">
        <v>1232</v>
      </c>
      <c r="Y106" s="2" t="s">
        <v>1233</v>
      </c>
    </row>
    <row r="107" spans="3:25" x14ac:dyDescent="0.25">
      <c r="C107" s="19" t="s">
        <v>151</v>
      </c>
      <c r="D107" s="2" t="s">
        <v>313</v>
      </c>
      <c r="E107" s="9">
        <v>2.83</v>
      </c>
      <c r="F107" s="5">
        <v>69.602272999999997</v>
      </c>
      <c r="G107" s="5">
        <f t="shared" si="6"/>
        <v>196.97443258999999</v>
      </c>
      <c r="J107" s="12">
        <v>79.41</v>
      </c>
      <c r="K107" s="12">
        <v>317.64</v>
      </c>
      <c r="L107" s="16">
        <v>6.2800000000000009E-2</v>
      </c>
      <c r="M107" s="14">
        <f t="shared" si="7"/>
        <v>0.62011847560130962</v>
      </c>
      <c r="N107" s="10">
        <v>2019</v>
      </c>
      <c r="O107" s="10">
        <v>2008</v>
      </c>
      <c r="P107" s="2" t="s">
        <v>452</v>
      </c>
      <c r="Q107" s="2" t="s">
        <v>453</v>
      </c>
      <c r="R107" s="2" t="s">
        <v>704</v>
      </c>
      <c r="S107" s="2" t="s">
        <v>705</v>
      </c>
      <c r="T107" s="5">
        <v>1500</v>
      </c>
      <c r="U107" s="2" t="s">
        <v>918</v>
      </c>
      <c r="V107" s="2" t="s">
        <v>1274</v>
      </c>
      <c r="W107" s="2" t="s">
        <v>1275</v>
      </c>
      <c r="X107" s="2" t="s">
        <v>1276</v>
      </c>
      <c r="Y107" s="2" t="s">
        <v>1277</v>
      </c>
    </row>
    <row r="108" spans="3:25" x14ac:dyDescent="0.25">
      <c r="C108" s="2" t="s">
        <v>118</v>
      </c>
      <c r="D108" s="2" t="s">
        <v>281</v>
      </c>
      <c r="E108" s="9">
        <v>6.96</v>
      </c>
      <c r="F108" s="5">
        <v>176.657061</v>
      </c>
      <c r="G108" s="5">
        <f t="shared" si="6"/>
        <v>1229.53314456</v>
      </c>
      <c r="J108" s="12">
        <v>631.9</v>
      </c>
      <c r="K108" s="12">
        <v>2527.6</v>
      </c>
      <c r="L108" s="16">
        <v>-1.6399999999999998E-2</v>
      </c>
      <c r="M108" s="14">
        <f t="shared" si="7"/>
        <v>0.48644292789998417</v>
      </c>
      <c r="N108" s="10">
        <v>2015</v>
      </c>
      <c r="O108" s="10">
        <v>2008</v>
      </c>
      <c r="P108" s="2" t="s">
        <v>476</v>
      </c>
      <c r="Q108" s="2" t="s">
        <v>398</v>
      </c>
      <c r="R108" s="2" t="s">
        <v>731</v>
      </c>
      <c r="S108" s="2" t="s">
        <v>649</v>
      </c>
      <c r="T108" s="5">
        <v>5060</v>
      </c>
      <c r="U108" s="2" t="s">
        <v>934</v>
      </c>
      <c r="V108" s="2" t="s">
        <v>1329</v>
      </c>
      <c r="W108" s="2" t="s">
        <v>1330</v>
      </c>
      <c r="X108" s="2" t="s">
        <v>1331</v>
      </c>
      <c r="Y108" s="2" t="s">
        <v>1332</v>
      </c>
    </row>
    <row r="109" spans="3:25" x14ac:dyDescent="0.25">
      <c r="C109" s="2" t="s">
        <v>98</v>
      </c>
      <c r="D109" s="2" t="s">
        <v>261</v>
      </c>
      <c r="E109" s="9">
        <v>20.12</v>
      </c>
      <c r="F109" s="5">
        <v>104.09956099999999</v>
      </c>
      <c r="G109" s="5">
        <f t="shared" si="6"/>
        <v>2094.4831673200001</v>
      </c>
      <c r="J109" s="12">
        <v>112.06</v>
      </c>
      <c r="K109" s="12">
        <v>448.24</v>
      </c>
      <c r="L109" s="16">
        <v>0.3639</v>
      </c>
      <c r="M109" s="14">
        <f t="shared" si="7"/>
        <v>4.672682418615028</v>
      </c>
      <c r="N109" s="10">
        <v>2021</v>
      </c>
      <c r="O109" s="10">
        <v>2009</v>
      </c>
      <c r="P109" s="2" t="s">
        <v>345</v>
      </c>
      <c r="Q109" s="2" t="s">
        <v>346</v>
      </c>
      <c r="R109" s="2" t="s">
        <v>591</v>
      </c>
      <c r="S109" s="2" t="s">
        <v>592</v>
      </c>
      <c r="T109" s="5">
        <v>938</v>
      </c>
      <c r="U109" s="2" t="s">
        <v>851</v>
      </c>
      <c r="V109" s="2" t="s">
        <v>1029</v>
      </c>
      <c r="W109" s="2" t="s">
        <v>1030</v>
      </c>
      <c r="X109" s="2" t="s">
        <v>1031</v>
      </c>
      <c r="Y109" s="2" t="s">
        <v>1032</v>
      </c>
    </row>
    <row r="110" spans="3:25" x14ac:dyDescent="0.25">
      <c r="C110" s="2" t="s">
        <v>19</v>
      </c>
      <c r="D110" s="2" t="s">
        <v>182</v>
      </c>
      <c r="E110" s="9">
        <v>204.6</v>
      </c>
      <c r="F110" s="5">
        <v>346.60936500000003</v>
      </c>
      <c r="G110" s="5">
        <f t="shared" si="6"/>
        <v>70916.276079000003</v>
      </c>
      <c r="J110" s="12">
        <v>512.32000000000005</v>
      </c>
      <c r="K110" s="12">
        <v>2049.2800000000002</v>
      </c>
      <c r="L110" s="16">
        <v>0.27760000000000001</v>
      </c>
      <c r="M110" s="14">
        <f t="shared" si="7"/>
        <v>34.605459517001094</v>
      </c>
      <c r="N110" s="10">
        <v>2019</v>
      </c>
      <c r="O110" s="10">
        <v>2009</v>
      </c>
      <c r="P110" s="2" t="s">
        <v>394</v>
      </c>
      <c r="Q110" s="2" t="s">
        <v>348</v>
      </c>
      <c r="R110" s="2" t="s">
        <v>636</v>
      </c>
      <c r="S110" s="2" t="s">
        <v>637</v>
      </c>
      <c r="T110" s="5">
        <v>4616</v>
      </c>
      <c r="U110" s="2" t="s">
        <v>879</v>
      </c>
      <c r="V110" s="2" t="s">
        <v>1132</v>
      </c>
      <c r="W110" s="2" t="s">
        <v>1133</v>
      </c>
      <c r="X110" s="2" t="s">
        <v>1134</v>
      </c>
      <c r="Y110" s="2" t="s">
        <v>1135</v>
      </c>
    </row>
    <row r="111" spans="3:25" x14ac:dyDescent="0.25">
      <c r="C111" s="2" t="s">
        <v>87</v>
      </c>
      <c r="D111" s="2" t="s">
        <v>250</v>
      </c>
      <c r="E111" s="9">
        <v>22.13</v>
      </c>
      <c r="F111" s="5">
        <v>134.37360699999999</v>
      </c>
      <c r="G111" s="5">
        <f t="shared" si="6"/>
        <v>2973.6879229099995</v>
      </c>
      <c r="J111" s="12">
        <v>108.72</v>
      </c>
      <c r="K111" s="12">
        <v>434.88</v>
      </c>
      <c r="L111" s="16">
        <v>0.25559999999999999</v>
      </c>
      <c r="M111" s="14">
        <f t="shared" si="7"/>
        <v>6.8379505217761212</v>
      </c>
      <c r="N111" s="10">
        <v>2020</v>
      </c>
      <c r="O111" s="10">
        <v>2009</v>
      </c>
      <c r="P111" s="2" t="s">
        <v>386</v>
      </c>
      <c r="Q111" s="2" t="s">
        <v>382</v>
      </c>
      <c r="R111" s="2" t="s">
        <v>631</v>
      </c>
      <c r="S111" s="2" t="s">
        <v>632</v>
      </c>
      <c r="T111" s="5">
        <v>891</v>
      </c>
      <c r="U111" s="2" t="s">
        <v>874</v>
      </c>
      <c r="V111" s="2" t="s">
        <v>1114</v>
      </c>
      <c r="W111" s="2" t="s">
        <v>1115</v>
      </c>
      <c r="X111" s="2" t="s">
        <v>1116</v>
      </c>
      <c r="Y111" s="2" t="s">
        <v>1117</v>
      </c>
    </row>
    <row r="112" spans="3:25" x14ac:dyDescent="0.25">
      <c r="C112" s="2" t="s">
        <v>26</v>
      </c>
      <c r="D112" s="2" t="s">
        <v>189</v>
      </c>
      <c r="E112" s="9">
        <v>54.23</v>
      </c>
      <c r="F112" s="5">
        <v>488.92890299999999</v>
      </c>
      <c r="G112" s="5">
        <f t="shared" si="6"/>
        <v>26514.614409689999</v>
      </c>
      <c r="J112" s="12">
        <v>616.02</v>
      </c>
      <c r="K112" s="12">
        <v>2464.08</v>
      </c>
      <c r="L112" s="16">
        <v>0.254</v>
      </c>
      <c r="M112" s="14">
        <f t="shared" si="7"/>
        <v>10.760451937311288</v>
      </c>
      <c r="N112" s="10">
        <v>2016</v>
      </c>
      <c r="O112" s="10">
        <v>2009</v>
      </c>
      <c r="P112" s="2" t="s">
        <v>555</v>
      </c>
      <c r="Q112" s="2" t="s">
        <v>531</v>
      </c>
      <c r="R112" s="2" t="s">
        <v>811</v>
      </c>
      <c r="S112" s="2" t="s">
        <v>655</v>
      </c>
      <c r="T112" s="5">
        <v>3522</v>
      </c>
      <c r="U112" s="2" t="s">
        <v>990</v>
      </c>
      <c r="V112" s="2" t="s">
        <v>1527</v>
      </c>
      <c r="W112" s="2" t="s">
        <v>1528</v>
      </c>
      <c r="X112" s="2" t="s">
        <v>1529</v>
      </c>
      <c r="Y112" s="2" t="s">
        <v>1530</v>
      </c>
    </row>
    <row r="113" spans="3:25" x14ac:dyDescent="0.25">
      <c r="C113" s="2" t="s">
        <v>116</v>
      </c>
      <c r="D113" s="2" t="s">
        <v>279</v>
      </c>
      <c r="E113" s="9">
        <v>8.98</v>
      </c>
      <c r="F113" s="5">
        <v>165.01272299999999</v>
      </c>
      <c r="G113" s="5">
        <f t="shared" si="6"/>
        <v>1481.8142525400001</v>
      </c>
      <c r="J113" s="12">
        <v>134.07</v>
      </c>
      <c r="K113" s="12">
        <v>536.28</v>
      </c>
      <c r="L113" s="16">
        <v>0.17059999999999997</v>
      </c>
      <c r="M113" s="14">
        <f t="shared" si="7"/>
        <v>2.7631354004251514</v>
      </c>
      <c r="N113" s="10">
        <v>2021</v>
      </c>
      <c r="O113" s="10">
        <v>2009</v>
      </c>
      <c r="P113" s="2" t="s">
        <v>456</v>
      </c>
      <c r="Q113" s="2" t="s">
        <v>410</v>
      </c>
      <c r="R113" s="2" t="s">
        <v>709</v>
      </c>
      <c r="S113" s="2" t="s">
        <v>710</v>
      </c>
      <c r="T113" s="5">
        <v>902</v>
      </c>
      <c r="U113" s="2" t="s">
        <v>921</v>
      </c>
      <c r="V113" s="2" t="s">
        <v>1286</v>
      </c>
      <c r="W113" s="2" t="s">
        <v>1287</v>
      </c>
      <c r="X113" s="2" t="s">
        <v>1288</v>
      </c>
      <c r="Y113" s="2" t="s">
        <v>1289</v>
      </c>
    </row>
    <row r="114" spans="3:25" x14ac:dyDescent="0.25">
      <c r="C114" s="2" t="s">
        <v>44</v>
      </c>
      <c r="D114" s="2" t="s">
        <v>207</v>
      </c>
      <c r="E114" s="9">
        <v>91.55</v>
      </c>
      <c r="F114" s="5">
        <v>175.076212</v>
      </c>
      <c r="G114" s="5">
        <f t="shared" si="6"/>
        <v>16028.227208599999</v>
      </c>
      <c r="J114" s="12">
        <v>688</v>
      </c>
      <c r="K114" s="12">
        <v>2752</v>
      </c>
      <c r="L114" s="16">
        <v>0.11509999999999999</v>
      </c>
      <c r="M114" s="14">
        <f t="shared" si="7"/>
        <v>5.8242104682412785</v>
      </c>
      <c r="N114" s="10">
        <v>2017</v>
      </c>
      <c r="O114" s="10">
        <v>2009</v>
      </c>
      <c r="P114" s="2" t="s">
        <v>498</v>
      </c>
      <c r="Q114" s="2" t="s">
        <v>348</v>
      </c>
      <c r="R114" s="2" t="s">
        <v>750</v>
      </c>
      <c r="S114" s="2" t="s">
        <v>751</v>
      </c>
      <c r="T114" s="5">
        <v>5914</v>
      </c>
      <c r="U114" s="2" t="s">
        <v>947</v>
      </c>
      <c r="V114" s="2" t="s">
        <v>1373</v>
      </c>
      <c r="W114" s="2" t="s">
        <v>1374</v>
      </c>
      <c r="X114" s="2" t="s">
        <v>1375</v>
      </c>
      <c r="Y114" s="2" t="s">
        <v>1376</v>
      </c>
    </row>
    <row r="115" spans="3:25" x14ac:dyDescent="0.25">
      <c r="C115" s="2" t="s">
        <v>97</v>
      </c>
      <c r="D115" s="2" t="s">
        <v>260</v>
      </c>
      <c r="E115" s="9">
        <v>8.1199999999999992</v>
      </c>
      <c r="F115" s="5">
        <v>258.85780899999997</v>
      </c>
      <c r="G115" s="5">
        <f t="shared" si="6"/>
        <v>2101.9254090799996</v>
      </c>
      <c r="J115" s="12">
        <v>205.5</v>
      </c>
      <c r="K115" s="12">
        <v>822</v>
      </c>
      <c r="L115" s="16">
        <v>4.87E-2</v>
      </c>
      <c r="M115" s="14">
        <f t="shared" si="7"/>
        <v>2.5570868723600966</v>
      </c>
      <c r="N115" s="10">
        <v>2021</v>
      </c>
      <c r="O115" s="10">
        <v>2009</v>
      </c>
      <c r="P115" s="2" t="s">
        <v>545</v>
      </c>
      <c r="Q115" s="2" t="s">
        <v>410</v>
      </c>
      <c r="R115" s="2" t="s">
        <v>799</v>
      </c>
      <c r="S115" s="2" t="s">
        <v>778</v>
      </c>
      <c r="T115" s="5">
        <v>3589</v>
      </c>
      <c r="U115" s="2" t="s">
        <v>982</v>
      </c>
      <c r="V115" s="2" t="s">
        <v>1496</v>
      </c>
      <c r="W115" s="2" t="s">
        <v>1497</v>
      </c>
      <c r="X115" s="2" t="s">
        <v>1498</v>
      </c>
      <c r="Y115" s="2" t="s">
        <v>1499</v>
      </c>
    </row>
    <row r="116" spans="3:25" x14ac:dyDescent="0.25">
      <c r="C116" s="2" t="s">
        <v>145</v>
      </c>
      <c r="D116" s="2" t="s">
        <v>307</v>
      </c>
      <c r="E116" s="9">
        <v>4.3600000000000003</v>
      </c>
      <c r="F116" s="5">
        <v>80.846324999999993</v>
      </c>
      <c r="G116" s="5">
        <f t="shared" si="6"/>
        <v>352.48997700000001</v>
      </c>
      <c r="J116" s="12">
        <v>84.43</v>
      </c>
      <c r="K116" s="12">
        <v>337.72</v>
      </c>
      <c r="L116" s="16">
        <v>3.1800000000000002E-2</v>
      </c>
      <c r="M116" s="14">
        <f t="shared" si="7"/>
        <v>1.0437343864740021</v>
      </c>
      <c r="N116" s="10">
        <v>2020</v>
      </c>
      <c r="O116" s="10">
        <v>2009</v>
      </c>
      <c r="P116" s="2" t="s">
        <v>376</v>
      </c>
      <c r="Q116" s="2" t="s">
        <v>361</v>
      </c>
      <c r="R116" s="2" t="s">
        <v>618</v>
      </c>
      <c r="S116" s="2" t="s">
        <v>619</v>
      </c>
      <c r="T116" s="5">
        <v>1161</v>
      </c>
      <c r="U116" s="2" t="s">
        <v>867</v>
      </c>
      <c r="V116" s="2" t="s">
        <v>1087</v>
      </c>
      <c r="W116" s="2" t="s">
        <v>1088</v>
      </c>
      <c r="X116" s="2" t="s">
        <v>1089</v>
      </c>
      <c r="Y116" s="2" t="s">
        <v>1090</v>
      </c>
    </row>
    <row r="117" spans="3:25" x14ac:dyDescent="0.25">
      <c r="C117" s="2" t="s">
        <v>24</v>
      </c>
      <c r="D117" s="2" t="s">
        <v>187</v>
      </c>
      <c r="E117" s="9">
        <v>130.91</v>
      </c>
      <c r="F117" s="5">
        <v>345.35398199999997</v>
      </c>
      <c r="G117" s="5">
        <f t="shared" si="6"/>
        <v>45210.289783619992</v>
      </c>
      <c r="J117" s="12">
        <v>761.55</v>
      </c>
      <c r="K117" s="12">
        <v>3046.2</v>
      </c>
      <c r="L117" s="16">
        <v>0.24590000000000001</v>
      </c>
      <c r="M117" s="14">
        <f t="shared" si="7"/>
        <v>14.841536925881424</v>
      </c>
      <c r="N117" s="10">
        <v>2019</v>
      </c>
      <c r="O117" s="10">
        <v>2010</v>
      </c>
      <c r="P117" s="2" t="s">
        <v>409</v>
      </c>
      <c r="Q117" s="2" t="s">
        <v>410</v>
      </c>
      <c r="R117" s="2" t="s">
        <v>652</v>
      </c>
      <c r="S117" s="2" t="s">
        <v>653</v>
      </c>
      <c r="T117" s="5">
        <v>6500</v>
      </c>
      <c r="U117" s="2" t="s">
        <v>888</v>
      </c>
      <c r="V117" s="2" t="s">
        <v>1163</v>
      </c>
      <c r="W117" s="2" t="s">
        <v>1164</v>
      </c>
      <c r="X117" s="2" t="s">
        <v>1165</v>
      </c>
      <c r="Y117" s="2" t="s">
        <v>1166</v>
      </c>
    </row>
    <row r="118" spans="3:25" x14ac:dyDescent="0.25">
      <c r="C118" s="2" t="s">
        <v>71</v>
      </c>
      <c r="D118" s="2" t="s">
        <v>234</v>
      </c>
      <c r="E118" s="9">
        <v>20.12</v>
      </c>
      <c r="F118" s="5">
        <v>239.59500199999999</v>
      </c>
      <c r="G118" s="5">
        <f t="shared" si="6"/>
        <v>4820.6514402399998</v>
      </c>
      <c r="J118" s="12">
        <v>136.31</v>
      </c>
      <c r="K118" s="12">
        <v>545.24</v>
      </c>
      <c r="L118" s="16">
        <v>0.2359</v>
      </c>
      <c r="M118" s="14">
        <f t="shared" si="7"/>
        <v>8.8413385669429978</v>
      </c>
      <c r="N118" s="10">
        <v>2024</v>
      </c>
      <c r="O118" s="10">
        <v>2010</v>
      </c>
      <c r="P118" s="2" t="s">
        <v>501</v>
      </c>
      <c r="Q118" s="2" t="s">
        <v>502</v>
      </c>
      <c r="R118" s="2" t="s">
        <v>756</v>
      </c>
      <c r="S118" s="2" t="s">
        <v>757</v>
      </c>
      <c r="T118" s="5">
        <v>1500</v>
      </c>
      <c r="U118" s="2" t="s">
        <v>950</v>
      </c>
      <c r="V118" s="2" t="s">
        <v>1385</v>
      </c>
      <c r="W118" s="2" t="s">
        <v>1386</v>
      </c>
      <c r="X118" s="2" t="s">
        <v>1387</v>
      </c>
    </row>
    <row r="119" spans="3:25" x14ac:dyDescent="0.25">
      <c r="C119" s="2" t="s">
        <v>92</v>
      </c>
      <c r="D119" s="2" t="s">
        <v>255</v>
      </c>
      <c r="E119" s="9">
        <v>6.52</v>
      </c>
      <c r="F119" s="5">
        <v>468.35442999999998</v>
      </c>
      <c r="G119" s="5">
        <f t="shared" si="6"/>
        <v>3053.6708835999998</v>
      </c>
      <c r="J119" s="12">
        <v>139.07</v>
      </c>
      <c r="K119" s="12">
        <v>556.28</v>
      </c>
      <c r="L119" s="16">
        <v>0.1789</v>
      </c>
      <c r="M119" s="14">
        <f t="shared" si="7"/>
        <v>5.4894493485295177</v>
      </c>
      <c r="N119" s="10">
        <v>2021</v>
      </c>
      <c r="O119" s="10">
        <v>2010</v>
      </c>
      <c r="P119" s="2" t="s">
        <v>477</v>
      </c>
      <c r="Q119" s="2" t="s">
        <v>478</v>
      </c>
      <c r="R119" s="2" t="s">
        <v>732</v>
      </c>
      <c r="S119" s="2" t="s">
        <v>733</v>
      </c>
      <c r="T119" s="5">
        <v>854</v>
      </c>
      <c r="U119" s="2" t="s">
        <v>935</v>
      </c>
      <c r="V119" s="2" t="s">
        <v>1333</v>
      </c>
      <c r="W119" s="2" t="s">
        <v>1334</v>
      </c>
      <c r="X119" s="2" t="s">
        <v>1335</v>
      </c>
      <c r="Y119" s="2" t="s">
        <v>1336</v>
      </c>
    </row>
    <row r="120" spans="3:25" x14ac:dyDescent="0.25">
      <c r="C120" s="2" t="s">
        <v>81</v>
      </c>
      <c r="D120" s="2" t="s">
        <v>244</v>
      </c>
      <c r="E120" s="9">
        <v>12.63</v>
      </c>
      <c r="F120" s="5">
        <v>291.40378500000003</v>
      </c>
      <c r="G120" s="5">
        <f t="shared" si="6"/>
        <v>3680.4298045500004</v>
      </c>
      <c r="J120" s="12">
        <v>204.68</v>
      </c>
      <c r="K120" s="12">
        <v>818.72</v>
      </c>
      <c r="L120" s="16">
        <v>0.1754</v>
      </c>
      <c r="M120" s="14">
        <f t="shared" si="7"/>
        <v>4.4953461556453984</v>
      </c>
      <c r="N120" s="10">
        <v>2021</v>
      </c>
      <c r="O120" s="10">
        <v>2010</v>
      </c>
      <c r="P120" s="2" t="s">
        <v>443</v>
      </c>
      <c r="Q120" s="2" t="s">
        <v>373</v>
      </c>
      <c r="R120" s="2" t="s">
        <v>694</v>
      </c>
      <c r="S120" s="2" t="s">
        <v>695</v>
      </c>
      <c r="T120" s="5">
        <v>4400</v>
      </c>
      <c r="U120" s="2" t="s">
        <v>912</v>
      </c>
      <c r="V120" s="2" t="s">
        <v>1253</v>
      </c>
      <c r="W120" s="2" t="s">
        <v>1254</v>
      </c>
      <c r="X120" s="2" t="s">
        <v>1255</v>
      </c>
      <c r="Y120" s="2" t="s">
        <v>1256</v>
      </c>
    </row>
    <row r="121" spans="3:25" x14ac:dyDescent="0.25">
      <c r="C121" s="2" t="s">
        <v>53</v>
      </c>
      <c r="D121" s="2" t="s">
        <v>216</v>
      </c>
      <c r="E121" s="9">
        <v>66.58</v>
      </c>
      <c r="F121" s="5">
        <v>187.423687</v>
      </c>
      <c r="G121" s="5">
        <f t="shared" si="6"/>
        <v>12478.66908046</v>
      </c>
      <c r="J121" s="12">
        <v>138.29</v>
      </c>
      <c r="K121" s="12">
        <v>553.16</v>
      </c>
      <c r="L121" s="16">
        <v>0.1714</v>
      </c>
      <c r="M121" s="14">
        <f t="shared" si="7"/>
        <v>22.558878227746042</v>
      </c>
      <c r="N121" s="10">
        <v>2021</v>
      </c>
      <c r="O121" s="10">
        <v>2010</v>
      </c>
      <c r="P121" s="2" t="s">
        <v>422</v>
      </c>
      <c r="Q121" s="2" t="s">
        <v>348</v>
      </c>
      <c r="R121" s="2" t="s">
        <v>668</v>
      </c>
      <c r="S121" s="2" t="s">
        <v>669</v>
      </c>
      <c r="T121" s="5">
        <v>827</v>
      </c>
      <c r="U121" s="2" t="s">
        <v>897</v>
      </c>
      <c r="V121" s="2" t="s">
        <v>1195</v>
      </c>
      <c r="W121" s="2" t="s">
        <v>1196</v>
      </c>
      <c r="X121" s="2" t="s">
        <v>1197</v>
      </c>
      <c r="Y121" s="2" t="s">
        <v>1198</v>
      </c>
    </row>
    <row r="122" spans="3:25" x14ac:dyDescent="0.25">
      <c r="C122" s="2" t="s">
        <v>125</v>
      </c>
      <c r="D122" s="2" t="s">
        <v>287</v>
      </c>
      <c r="E122" s="9">
        <v>13.94</v>
      </c>
      <c r="F122" s="5">
        <v>58.162030999999999</v>
      </c>
      <c r="G122" s="5">
        <f t="shared" si="6"/>
        <v>810.77871213999993</v>
      </c>
      <c r="J122" s="12">
        <v>109.29</v>
      </c>
      <c r="K122" s="12">
        <v>437.16</v>
      </c>
      <c r="L122" s="16">
        <v>0.12920000000000001</v>
      </c>
      <c r="M122" s="14">
        <f t="shared" si="7"/>
        <v>1.854649812745905</v>
      </c>
      <c r="N122" s="10">
        <v>2019</v>
      </c>
      <c r="O122" s="10">
        <v>2010</v>
      </c>
      <c r="P122" s="2" t="s">
        <v>546</v>
      </c>
      <c r="Q122" s="2" t="s">
        <v>344</v>
      </c>
      <c r="R122" s="2" t="s">
        <v>800</v>
      </c>
      <c r="S122" s="2" t="s">
        <v>801</v>
      </c>
      <c r="T122" s="5">
        <v>1322</v>
      </c>
      <c r="U122" s="2" t="s">
        <v>983</v>
      </c>
      <c r="V122" s="2" t="s">
        <v>1500</v>
      </c>
      <c r="W122" s="2" t="s">
        <v>1501</v>
      </c>
      <c r="X122" s="2" t="s">
        <v>1502</v>
      </c>
      <c r="Y122" s="2" t="s">
        <v>1503</v>
      </c>
    </row>
    <row r="123" spans="3:25" x14ac:dyDescent="0.25">
      <c r="C123" s="2" t="s">
        <v>111</v>
      </c>
      <c r="D123" s="2" t="s">
        <v>274</v>
      </c>
      <c r="E123" s="9">
        <v>15.46</v>
      </c>
      <c r="F123" s="5">
        <v>92.168284999999997</v>
      </c>
      <c r="G123" s="5">
        <f t="shared" si="6"/>
        <v>1424.9216861</v>
      </c>
      <c r="J123" s="12">
        <v>119.8</v>
      </c>
      <c r="K123" s="12">
        <v>479.2</v>
      </c>
      <c r="L123" s="16">
        <v>7.7699999999999991E-2</v>
      </c>
      <c r="M123" s="14">
        <f t="shared" si="7"/>
        <v>2.9735427506260432</v>
      </c>
      <c r="N123" s="10">
        <v>2019</v>
      </c>
      <c r="O123" s="10">
        <v>2010</v>
      </c>
      <c r="P123" s="2" t="s">
        <v>505</v>
      </c>
      <c r="Q123" s="2" t="s">
        <v>348</v>
      </c>
      <c r="R123" s="2" t="s">
        <v>760</v>
      </c>
      <c r="S123" s="2" t="s">
        <v>761</v>
      </c>
      <c r="T123" s="5">
        <v>1242</v>
      </c>
      <c r="U123" s="2" t="s">
        <v>953</v>
      </c>
      <c r="V123" s="2" t="s">
        <v>1394</v>
      </c>
      <c r="W123" s="2" t="s">
        <v>1395</v>
      </c>
      <c r="X123" s="2" t="s">
        <v>1396</v>
      </c>
      <c r="Y123" s="2" t="s">
        <v>1397</v>
      </c>
    </row>
    <row r="124" spans="3:25" x14ac:dyDescent="0.25">
      <c r="C124" s="2" t="s">
        <v>121</v>
      </c>
      <c r="D124" s="2" t="s">
        <v>284</v>
      </c>
      <c r="E124" s="9">
        <v>7</v>
      </c>
      <c r="F124" s="5">
        <v>148.69326000000001</v>
      </c>
      <c r="G124" s="5">
        <f t="shared" si="6"/>
        <v>1040.8528200000001</v>
      </c>
      <c r="J124" s="12">
        <v>199.88</v>
      </c>
      <c r="K124" s="12">
        <v>799.52</v>
      </c>
      <c r="L124" s="16">
        <v>2.8399999999999998E-2</v>
      </c>
      <c r="M124" s="14">
        <f t="shared" si="7"/>
        <v>1.3018471332799681</v>
      </c>
      <c r="N124" s="10">
        <v>2021</v>
      </c>
      <c r="O124" s="10">
        <v>2010</v>
      </c>
      <c r="P124" s="2" t="s">
        <v>559</v>
      </c>
      <c r="Q124" s="2" t="s">
        <v>348</v>
      </c>
      <c r="R124" s="2" t="s">
        <v>818</v>
      </c>
      <c r="S124" s="2" t="s">
        <v>819</v>
      </c>
      <c r="T124" s="5">
        <v>1246</v>
      </c>
      <c r="U124" s="2" t="s">
        <v>994</v>
      </c>
      <c r="V124" s="2" t="s">
        <v>1543</v>
      </c>
      <c r="W124" s="2" t="s">
        <v>1544</v>
      </c>
      <c r="X124" s="2" t="s">
        <v>1545</v>
      </c>
      <c r="Y124" s="2" t="s">
        <v>1546</v>
      </c>
    </row>
    <row r="125" spans="3:25" x14ac:dyDescent="0.25">
      <c r="C125" s="2" t="s">
        <v>134</v>
      </c>
      <c r="D125" s="2" t="s">
        <v>296</v>
      </c>
      <c r="E125" s="9">
        <v>15.97</v>
      </c>
      <c r="F125" s="5">
        <v>40.223464</v>
      </c>
      <c r="G125" s="5">
        <f t="shared" si="6"/>
        <v>642.36872008</v>
      </c>
      <c r="J125" s="12">
        <v>80.11</v>
      </c>
      <c r="K125" s="12">
        <v>320.44</v>
      </c>
      <c r="L125" s="16">
        <v>1E-4</v>
      </c>
      <c r="M125" s="14">
        <f t="shared" si="7"/>
        <v>2.0046458621894896</v>
      </c>
      <c r="N125" s="10">
        <v>2018</v>
      </c>
      <c r="O125" s="10">
        <v>2010</v>
      </c>
      <c r="P125" s="2" t="s">
        <v>418</v>
      </c>
      <c r="Q125" s="2" t="s">
        <v>419</v>
      </c>
      <c r="R125" s="2" t="s">
        <v>663</v>
      </c>
      <c r="S125" s="2" t="s">
        <v>664</v>
      </c>
      <c r="T125" s="5">
        <v>888</v>
      </c>
      <c r="U125" s="2" t="s">
        <v>894</v>
      </c>
      <c r="V125" s="2" t="s">
        <v>1183</v>
      </c>
      <c r="W125" s="2" t="s">
        <v>1184</v>
      </c>
      <c r="X125" s="2" t="s">
        <v>1185</v>
      </c>
      <c r="Y125" s="2" t="s">
        <v>1186</v>
      </c>
    </row>
    <row r="126" spans="3:25" x14ac:dyDescent="0.25">
      <c r="C126" s="2" t="s">
        <v>161</v>
      </c>
      <c r="D126" s="2" t="s">
        <v>323</v>
      </c>
      <c r="E126" s="9">
        <v>1.85</v>
      </c>
      <c r="F126" s="5">
        <v>28.444444000000001</v>
      </c>
      <c r="G126" s="5">
        <f t="shared" si="6"/>
        <v>52.622221400000001</v>
      </c>
      <c r="J126" s="12">
        <v>53.38</v>
      </c>
      <c r="K126" s="12">
        <v>213.52</v>
      </c>
      <c r="L126" s="16">
        <v>-0.23010000000000003</v>
      </c>
      <c r="M126" s="14">
        <f t="shared" si="7"/>
        <v>0.24645101817159984</v>
      </c>
      <c r="N126" s="10">
        <v>2014</v>
      </c>
      <c r="O126" s="10">
        <v>2010</v>
      </c>
      <c r="P126" s="2" t="s">
        <v>562</v>
      </c>
      <c r="Q126" s="2" t="s">
        <v>361</v>
      </c>
      <c r="R126" s="2" t="s">
        <v>822</v>
      </c>
      <c r="S126" s="2" t="s">
        <v>657</v>
      </c>
      <c r="T126" s="5">
        <v>998</v>
      </c>
      <c r="U126" s="2" t="s">
        <v>996</v>
      </c>
      <c r="V126" s="2" t="s">
        <v>1551</v>
      </c>
      <c r="W126" s="2" t="s">
        <v>1552</v>
      </c>
      <c r="X126" s="2" t="s">
        <v>1553</v>
      </c>
      <c r="Y126" s="2" t="s">
        <v>1554</v>
      </c>
    </row>
    <row r="127" spans="3:25" x14ac:dyDescent="0.25">
      <c r="C127" s="2" t="s">
        <v>45</v>
      </c>
      <c r="D127" s="2" t="s">
        <v>208</v>
      </c>
      <c r="E127" s="9">
        <v>370.34</v>
      </c>
      <c r="F127" s="5">
        <v>45.455618000000001</v>
      </c>
      <c r="G127" s="5">
        <f t="shared" si="6"/>
        <v>16834.033570119998</v>
      </c>
      <c r="J127" s="12">
        <v>230.74</v>
      </c>
      <c r="K127" s="12">
        <v>922.96</v>
      </c>
      <c r="L127" s="16">
        <v>0.37709999999999999</v>
      </c>
      <c r="M127" s="14">
        <f t="shared" si="7"/>
        <v>18.239179997096297</v>
      </c>
      <c r="N127" s="10">
        <v>2021</v>
      </c>
      <c r="O127" s="10">
        <v>2011</v>
      </c>
      <c r="P127" s="2" t="s">
        <v>424</v>
      </c>
      <c r="Q127" s="2" t="s">
        <v>425</v>
      </c>
      <c r="R127" s="2" t="s">
        <v>672</v>
      </c>
      <c r="S127" s="2" t="s">
        <v>673</v>
      </c>
      <c r="T127" s="5">
        <v>830</v>
      </c>
      <c r="U127" s="2" t="s">
        <v>899</v>
      </c>
      <c r="V127" s="2" t="s">
        <v>1203</v>
      </c>
      <c r="W127" s="2" t="s">
        <v>1204</v>
      </c>
      <c r="X127" s="2" t="s">
        <v>1205</v>
      </c>
      <c r="Y127" s="2" t="s">
        <v>1206</v>
      </c>
    </row>
    <row r="128" spans="3:25" x14ac:dyDescent="0.25">
      <c r="C128" s="3" t="s">
        <v>64</v>
      </c>
      <c r="D128" s="2" t="s">
        <v>227</v>
      </c>
      <c r="E128" s="9">
        <v>40.42</v>
      </c>
      <c r="F128" s="5">
        <v>165.208034</v>
      </c>
      <c r="G128" s="5">
        <f t="shared" si="6"/>
        <v>6677.7087342800005</v>
      </c>
      <c r="H128" s="5">
        <f>[7]Main!$J$8-[7]Main!$J$9</f>
        <v>1165.1769999999999</v>
      </c>
      <c r="I128" s="5">
        <f>G128-H128</f>
        <v>5512.5317342800008</v>
      </c>
      <c r="J128" s="12">
        <v>214.51</v>
      </c>
      <c r="K128" s="12">
        <v>858.04</v>
      </c>
      <c r="L128" s="16">
        <v>0.26790000000000003</v>
      </c>
      <c r="M128" s="14">
        <f t="shared" si="7"/>
        <v>7.7825144914922388</v>
      </c>
      <c r="N128" s="10">
        <v>2021</v>
      </c>
      <c r="O128" s="10">
        <v>2011</v>
      </c>
      <c r="P128" s="2" t="s">
        <v>448</v>
      </c>
      <c r="Q128" s="2" t="s">
        <v>348</v>
      </c>
      <c r="R128" s="2" t="s">
        <v>699</v>
      </c>
      <c r="S128" s="2" t="s">
        <v>700</v>
      </c>
      <c r="T128" s="5">
        <v>2375</v>
      </c>
      <c r="U128" s="2" t="s">
        <v>915</v>
      </c>
      <c r="V128" s="2" t="s">
        <v>1262</v>
      </c>
      <c r="W128" s="2" t="s">
        <v>1263</v>
      </c>
      <c r="X128" s="2" t="s">
        <v>1264</v>
      </c>
      <c r="Y128" s="2" t="s">
        <v>1265</v>
      </c>
    </row>
    <row r="129" spans="3:25" x14ac:dyDescent="0.25">
      <c r="C129" s="2" t="s">
        <v>16</v>
      </c>
      <c r="D129" s="2" t="s">
        <v>179</v>
      </c>
      <c r="E129" s="9">
        <v>424.49</v>
      </c>
      <c r="F129" s="5">
        <v>249.24775</v>
      </c>
      <c r="G129" s="5">
        <f t="shared" si="6"/>
        <v>105803.1773975</v>
      </c>
      <c r="J129" s="12">
        <v>1100</v>
      </c>
      <c r="K129" s="12">
        <v>4400</v>
      </c>
      <c r="L129" s="16">
        <v>0.19800000000000001</v>
      </c>
      <c r="M129" s="14">
        <f t="shared" si="7"/>
        <v>24.04617668125</v>
      </c>
      <c r="N129" s="10">
        <v>2019</v>
      </c>
      <c r="O129" s="10">
        <v>2011</v>
      </c>
      <c r="P129" s="2" t="s">
        <v>401</v>
      </c>
      <c r="Q129" s="2" t="s">
        <v>402</v>
      </c>
      <c r="R129" s="2" t="s">
        <v>646</v>
      </c>
      <c r="S129" s="2" t="s">
        <v>647</v>
      </c>
      <c r="T129" s="5">
        <v>10363</v>
      </c>
      <c r="U129" s="2" t="s">
        <v>884</v>
      </c>
      <c r="V129" s="2" t="s">
        <v>1150</v>
      </c>
      <c r="W129" s="2" t="s">
        <v>1151</v>
      </c>
      <c r="X129" s="2" t="s">
        <v>1152</v>
      </c>
      <c r="Y129" s="2" t="s">
        <v>1153</v>
      </c>
    </row>
    <row r="130" spans="3:25" x14ac:dyDescent="0.25">
      <c r="C130" s="2" t="s">
        <v>89</v>
      </c>
      <c r="D130" s="2" t="s">
        <v>252</v>
      </c>
      <c r="E130" s="9">
        <v>25.31</v>
      </c>
      <c r="F130" s="5">
        <v>105.610687</v>
      </c>
      <c r="G130" s="5">
        <f t="shared" si="6"/>
        <v>2673.0064879699999</v>
      </c>
      <c r="J130" s="12">
        <v>162.06</v>
      </c>
      <c r="K130" s="12">
        <v>648.24</v>
      </c>
      <c r="L130" s="16">
        <v>0.19640000000000002</v>
      </c>
      <c r="M130" s="14">
        <f t="shared" si="7"/>
        <v>4.1234827964488456</v>
      </c>
      <c r="N130" s="10">
        <v>2021</v>
      </c>
      <c r="O130" s="10">
        <v>2011</v>
      </c>
      <c r="P130" s="2" t="s">
        <v>383</v>
      </c>
      <c r="Q130" s="2" t="s">
        <v>384</v>
      </c>
      <c r="R130" s="2" t="s">
        <v>627</v>
      </c>
      <c r="S130" s="2" t="s">
        <v>628</v>
      </c>
      <c r="T130" s="5">
        <v>1699</v>
      </c>
      <c r="U130" s="2" t="s">
        <v>872</v>
      </c>
      <c r="V130" s="2" t="s">
        <v>1106</v>
      </c>
      <c r="W130" s="2" t="s">
        <v>1107</v>
      </c>
      <c r="X130" s="2" t="s">
        <v>1108</v>
      </c>
      <c r="Y130" s="2" t="s">
        <v>1109</v>
      </c>
    </row>
    <row r="131" spans="3:25" x14ac:dyDescent="0.25">
      <c r="C131" s="2" t="s">
        <v>95</v>
      </c>
      <c r="D131" s="2" t="s">
        <v>258</v>
      </c>
      <c r="E131" s="9">
        <v>33.049999999999997</v>
      </c>
      <c r="F131" s="5">
        <v>91.025640999999993</v>
      </c>
      <c r="G131" s="5">
        <f t="shared" ref="G131:G162" si="8">E131*F131</f>
        <v>3008.3974350499993</v>
      </c>
      <c r="J131" s="12">
        <v>210.7</v>
      </c>
      <c r="K131" s="12">
        <v>842.8</v>
      </c>
      <c r="L131" s="16">
        <v>0.1406</v>
      </c>
      <c r="M131" s="14">
        <f t="shared" ref="M131:M165" si="9">G131/K131</f>
        <v>3.5695270942691022</v>
      </c>
      <c r="N131" s="10">
        <v>2021</v>
      </c>
      <c r="O131" s="10">
        <v>2011</v>
      </c>
      <c r="P131" s="2" t="s">
        <v>414</v>
      </c>
      <c r="Q131" s="2" t="s">
        <v>384</v>
      </c>
      <c r="R131" s="2" t="s">
        <v>658</v>
      </c>
      <c r="S131" s="2" t="s">
        <v>626</v>
      </c>
      <c r="T131" s="5">
        <v>1210</v>
      </c>
      <c r="U131" s="2" t="s">
        <v>891</v>
      </c>
      <c r="V131" s="2" t="s">
        <v>1173</v>
      </c>
      <c r="W131" s="2" t="s">
        <v>1174</v>
      </c>
      <c r="X131" s="2" t="s">
        <v>1175</v>
      </c>
      <c r="Y131" s="2" t="s">
        <v>1176</v>
      </c>
    </row>
    <row r="132" spans="3:25" x14ac:dyDescent="0.25">
      <c r="C132" s="2" t="s">
        <v>114</v>
      </c>
      <c r="D132" s="2" t="s">
        <v>277</v>
      </c>
      <c r="E132" s="9">
        <v>24.3</v>
      </c>
      <c r="F132" s="5">
        <v>54.826732999999997</v>
      </c>
      <c r="G132" s="5">
        <f t="shared" si="8"/>
        <v>1332.2896119</v>
      </c>
      <c r="J132" s="12">
        <v>56.52</v>
      </c>
      <c r="K132" s="12">
        <v>226.08</v>
      </c>
      <c r="L132" s="16">
        <v>0.1012</v>
      </c>
      <c r="M132" s="14">
        <f t="shared" si="9"/>
        <v>5.8930007603503176</v>
      </c>
      <c r="N132" s="10">
        <v>2021</v>
      </c>
      <c r="O132" s="10">
        <v>2011</v>
      </c>
      <c r="P132" s="2" t="s">
        <v>399</v>
      </c>
      <c r="Q132" s="2" t="s">
        <v>398</v>
      </c>
      <c r="R132" s="2" t="s">
        <v>642</v>
      </c>
      <c r="S132" s="2" t="s">
        <v>643</v>
      </c>
      <c r="T132" s="5">
        <v>804</v>
      </c>
      <c r="U132" s="2" t="s">
        <v>882</v>
      </c>
      <c r="V132" s="2" t="s">
        <v>1142</v>
      </c>
      <c r="W132" s="2" t="s">
        <v>1143</v>
      </c>
      <c r="X132" s="2" t="s">
        <v>1144</v>
      </c>
      <c r="Y132" s="2" t="s">
        <v>1145</v>
      </c>
    </row>
    <row r="133" spans="3:25" x14ac:dyDescent="0.25">
      <c r="C133" s="2" t="s">
        <v>100</v>
      </c>
      <c r="D133" s="2" t="s">
        <v>263</v>
      </c>
      <c r="E133" s="9">
        <v>26.46</v>
      </c>
      <c r="F133" s="5">
        <v>65.9375</v>
      </c>
      <c r="G133" s="5">
        <f t="shared" si="8"/>
        <v>1744.70625</v>
      </c>
      <c r="J133" s="12">
        <v>188.72</v>
      </c>
      <c r="K133" s="12">
        <v>754.88</v>
      </c>
      <c r="L133" s="16">
        <v>9.820000000000001E-2</v>
      </c>
      <c r="M133" s="14">
        <f t="shared" si="9"/>
        <v>2.3112365541543025</v>
      </c>
      <c r="N133" s="10">
        <v>2018</v>
      </c>
      <c r="O133" s="10">
        <v>2011</v>
      </c>
      <c r="P133" s="2" t="s">
        <v>475</v>
      </c>
      <c r="Q133" s="2" t="s">
        <v>348</v>
      </c>
      <c r="R133" s="2" t="s">
        <v>729</v>
      </c>
      <c r="S133" s="2" t="s">
        <v>730</v>
      </c>
      <c r="T133" s="5">
        <v>1300</v>
      </c>
      <c r="U133" s="2" t="s">
        <v>933</v>
      </c>
      <c r="V133" s="2" t="s">
        <v>1326</v>
      </c>
      <c r="W133" s="2" t="s">
        <v>1327</v>
      </c>
      <c r="Y133" s="2" t="s">
        <v>1328</v>
      </c>
    </row>
    <row r="134" spans="3:25" x14ac:dyDescent="0.25">
      <c r="C134" s="2" t="s">
        <v>127</v>
      </c>
      <c r="D134" s="2" t="s">
        <v>289</v>
      </c>
      <c r="E134" s="9">
        <v>6.99</v>
      </c>
      <c r="F134" s="5">
        <v>144.81132099999999</v>
      </c>
      <c r="G134" s="5">
        <f t="shared" si="8"/>
        <v>1012.2311337899999</v>
      </c>
      <c r="J134" s="12">
        <v>144.47</v>
      </c>
      <c r="K134" s="12">
        <v>577.88</v>
      </c>
      <c r="L134" s="16">
        <v>8.199999999999999E-2</v>
      </c>
      <c r="M134" s="14">
        <f t="shared" si="9"/>
        <v>1.7516285972693293</v>
      </c>
      <c r="N134" s="10">
        <v>2019</v>
      </c>
      <c r="O134" s="10">
        <v>2011</v>
      </c>
      <c r="P134" s="2" t="s">
        <v>437</v>
      </c>
      <c r="Q134" s="2" t="s">
        <v>348</v>
      </c>
      <c r="R134" s="2" t="s">
        <v>688</v>
      </c>
      <c r="S134" s="2" t="s">
        <v>689</v>
      </c>
      <c r="T134" s="5">
        <v>1100</v>
      </c>
      <c r="U134" s="2" t="s">
        <v>908</v>
      </c>
      <c r="V134" s="2" t="s">
        <v>1237</v>
      </c>
      <c r="W134" s="2" t="s">
        <v>1238</v>
      </c>
      <c r="X134" s="2" t="s">
        <v>1239</v>
      </c>
      <c r="Y134" s="2" t="s">
        <v>1240</v>
      </c>
    </row>
    <row r="135" spans="3:25" x14ac:dyDescent="0.25">
      <c r="C135" s="2" t="s">
        <v>32</v>
      </c>
      <c r="D135" s="2" t="s">
        <v>195</v>
      </c>
      <c r="E135" s="9">
        <v>71.569999999999993</v>
      </c>
      <c r="F135" s="5">
        <v>302.55037299999998</v>
      </c>
      <c r="G135" s="5">
        <f t="shared" si="8"/>
        <v>21653.530195609997</v>
      </c>
      <c r="J135" s="12">
        <v>1170</v>
      </c>
      <c r="K135" s="12">
        <v>4680</v>
      </c>
      <c r="L135" s="16">
        <v>2.9300000000000003E-2</v>
      </c>
      <c r="M135" s="14">
        <f t="shared" si="9"/>
        <v>4.6268226913696573</v>
      </c>
      <c r="N135" s="10">
        <v>2019</v>
      </c>
      <c r="O135" s="10">
        <v>2011</v>
      </c>
      <c r="P135" s="2" t="s">
        <v>576</v>
      </c>
      <c r="Q135" s="2" t="s">
        <v>338</v>
      </c>
      <c r="R135" s="2" t="s">
        <v>839</v>
      </c>
      <c r="S135" s="2" t="s">
        <v>840</v>
      </c>
      <c r="T135" s="5">
        <v>7412</v>
      </c>
      <c r="U135" s="2" t="s">
        <v>1006</v>
      </c>
      <c r="V135" s="2" t="s">
        <v>1587</v>
      </c>
      <c r="W135" s="2" t="s">
        <v>1588</v>
      </c>
      <c r="X135" s="2" t="s">
        <v>1589</v>
      </c>
      <c r="Y135" s="2" t="s">
        <v>1590</v>
      </c>
    </row>
    <row r="136" spans="3:25" x14ac:dyDescent="0.25">
      <c r="C136" s="2" t="s">
        <v>164</v>
      </c>
      <c r="D136" s="2" t="s">
        <v>326</v>
      </c>
      <c r="E136" s="9">
        <v>0.28000000000000003</v>
      </c>
      <c r="F136" s="5">
        <v>33.333333000000003</v>
      </c>
      <c r="G136" s="5">
        <f t="shared" si="8"/>
        <v>9.3333332400000018</v>
      </c>
      <c r="J136" s="12">
        <v>0.217</v>
      </c>
      <c r="K136" s="12">
        <v>0.86799999999999999</v>
      </c>
      <c r="L136" s="16">
        <v>1.0667</v>
      </c>
      <c r="M136" s="14">
        <f t="shared" si="9"/>
        <v>10.75268806451613</v>
      </c>
      <c r="N136" s="10">
        <v>1999</v>
      </c>
      <c r="O136" s="10">
        <v>2012</v>
      </c>
      <c r="P136" s="2" t="s">
        <v>357</v>
      </c>
      <c r="Q136" s="2" t="s">
        <v>358</v>
      </c>
      <c r="R136" s="2" t="s">
        <v>583</v>
      </c>
      <c r="S136" s="2" t="s">
        <v>601</v>
      </c>
      <c r="T136" s="5">
        <v>9</v>
      </c>
      <c r="U136" s="2" t="s">
        <v>857</v>
      </c>
      <c r="V136" s="2" t="s">
        <v>1052</v>
      </c>
      <c r="W136" s="2" t="s">
        <v>1053</v>
      </c>
      <c r="X136" s="2" t="s">
        <v>1054</v>
      </c>
      <c r="Y136" s="2" t="s">
        <v>1055</v>
      </c>
    </row>
    <row r="137" spans="3:25" x14ac:dyDescent="0.25">
      <c r="C137" s="2" t="s">
        <v>12</v>
      </c>
      <c r="D137" s="2" t="s">
        <v>175</v>
      </c>
      <c r="E137" s="9">
        <v>455.98</v>
      </c>
      <c r="F137" s="5">
        <v>338.38647600000002</v>
      </c>
      <c r="G137" s="5">
        <f t="shared" si="8"/>
        <v>154297.46532648001</v>
      </c>
      <c r="J137" s="12">
        <v>1480</v>
      </c>
      <c r="K137" s="12">
        <v>5920</v>
      </c>
      <c r="L137" s="16">
        <v>0.40250000000000002</v>
      </c>
      <c r="M137" s="14">
        <f t="shared" si="9"/>
        <v>26.063761034878382</v>
      </c>
      <c r="N137" s="10">
        <v>2021</v>
      </c>
      <c r="O137" s="10">
        <v>2012</v>
      </c>
      <c r="P137" s="2" t="s">
        <v>355</v>
      </c>
      <c r="Q137" s="2" t="s">
        <v>356</v>
      </c>
      <c r="R137" s="2" t="s">
        <v>599</v>
      </c>
      <c r="S137" s="2" t="s">
        <v>600</v>
      </c>
      <c r="T137" s="5">
        <v>1548</v>
      </c>
      <c r="U137" s="2" t="s">
        <v>856</v>
      </c>
      <c r="V137" s="2" t="s">
        <v>1048</v>
      </c>
      <c r="W137" s="2" t="s">
        <v>1049</v>
      </c>
      <c r="X137" s="2" t="s">
        <v>1050</v>
      </c>
      <c r="Y137" s="2" t="s">
        <v>1051</v>
      </c>
    </row>
    <row r="138" spans="3:25" x14ac:dyDescent="0.25">
      <c r="C138" s="2" t="s">
        <v>59</v>
      </c>
      <c r="D138" s="2" t="s">
        <v>222</v>
      </c>
      <c r="E138" s="9">
        <v>32.35</v>
      </c>
      <c r="F138" s="5">
        <v>276.00942099999997</v>
      </c>
      <c r="G138" s="5">
        <f t="shared" si="8"/>
        <v>8928.9047693499997</v>
      </c>
      <c r="J138" s="12">
        <v>279.83</v>
      </c>
      <c r="K138" s="12">
        <v>1119.32</v>
      </c>
      <c r="L138" s="16">
        <v>0.33260000000000001</v>
      </c>
      <c r="M138" s="14">
        <f t="shared" si="9"/>
        <v>7.9770796281224321</v>
      </c>
      <c r="N138" s="10">
        <v>2023</v>
      </c>
      <c r="O138" s="10">
        <v>2012</v>
      </c>
      <c r="P138" s="2" t="s">
        <v>468</v>
      </c>
      <c r="Q138" s="2" t="s">
        <v>469</v>
      </c>
      <c r="R138" s="2" t="s">
        <v>722</v>
      </c>
      <c r="S138" s="2" t="s">
        <v>723</v>
      </c>
      <c r="T138" s="5">
        <v>2316</v>
      </c>
      <c r="U138" s="2" t="s">
        <v>929</v>
      </c>
      <c r="V138" s="2" t="s">
        <v>1313</v>
      </c>
      <c r="W138" s="2" t="s">
        <v>1314</v>
      </c>
      <c r="X138" s="2" t="s">
        <v>1315</v>
      </c>
      <c r="Y138" s="2" t="s">
        <v>1316</v>
      </c>
    </row>
    <row r="139" spans="3:25" x14ac:dyDescent="0.25">
      <c r="C139" s="2" t="s">
        <v>48</v>
      </c>
      <c r="D139" s="2" t="s">
        <v>211</v>
      </c>
      <c r="E139" s="9">
        <v>248.04</v>
      </c>
      <c r="F139" s="5">
        <v>51.416938999999999</v>
      </c>
      <c r="G139" s="5">
        <f t="shared" si="8"/>
        <v>12753.45754956</v>
      </c>
      <c r="J139" s="12">
        <v>282.25</v>
      </c>
      <c r="K139" s="12">
        <v>1129</v>
      </c>
      <c r="L139" s="16">
        <v>0.30120000000000002</v>
      </c>
      <c r="M139" s="14">
        <f t="shared" si="9"/>
        <v>11.296242293675819</v>
      </c>
      <c r="N139" s="10">
        <v>2021</v>
      </c>
      <c r="O139" s="10">
        <v>2012</v>
      </c>
      <c r="P139" s="2" t="s">
        <v>485</v>
      </c>
      <c r="Q139" s="2" t="s">
        <v>410</v>
      </c>
      <c r="R139" s="2" t="s">
        <v>738</v>
      </c>
      <c r="S139" s="2" t="s">
        <v>739</v>
      </c>
      <c r="T139" s="5">
        <v>2508</v>
      </c>
      <c r="U139" s="2" t="s">
        <v>939</v>
      </c>
      <c r="V139" s="2" t="s">
        <v>1346</v>
      </c>
      <c r="W139" s="2" t="s">
        <v>1347</v>
      </c>
    </row>
    <row r="140" spans="3:25" ht="14.4" x14ac:dyDescent="0.3">
      <c r="C140" s="17" t="s">
        <v>20</v>
      </c>
      <c r="D140" s="2" t="s">
        <v>183</v>
      </c>
      <c r="E140" s="9">
        <f>+[8]Main!$J$5</f>
        <v>228.2</v>
      </c>
      <c r="F140" s="5">
        <v>333.66013099999998</v>
      </c>
      <c r="G140" s="5">
        <f t="shared" si="8"/>
        <v>76141.241894199993</v>
      </c>
      <c r="H140" s="5">
        <f>+[8]Main!$J$8-[8]Main!$J$9</f>
        <v>2323.9139999999998</v>
      </c>
      <c r="I140" s="5">
        <f>G140-H140</f>
        <v>73817.327894199989</v>
      </c>
      <c r="J140" s="12">
        <v>1040</v>
      </c>
      <c r="K140" s="12">
        <v>4160</v>
      </c>
      <c r="L140" s="16">
        <v>0.25750000000000001</v>
      </c>
      <c r="M140" s="14">
        <f t="shared" si="9"/>
        <v>18.30318314764423</v>
      </c>
      <c r="N140" s="10">
        <v>2020</v>
      </c>
      <c r="O140" s="10">
        <v>2012</v>
      </c>
      <c r="P140" s="2" t="s">
        <v>539</v>
      </c>
      <c r="Q140" s="2" t="s">
        <v>373</v>
      </c>
      <c r="R140" s="2" t="s">
        <v>794</v>
      </c>
      <c r="S140" s="2" t="s">
        <v>795</v>
      </c>
      <c r="T140" s="5">
        <v>7834</v>
      </c>
      <c r="U140" s="2" t="s">
        <v>978</v>
      </c>
      <c r="V140" s="2" t="s">
        <v>1483</v>
      </c>
      <c r="W140" s="2" t="s">
        <v>1484</v>
      </c>
      <c r="X140" s="2" t="s">
        <v>1485</v>
      </c>
      <c r="Y140" s="2" t="s">
        <v>1486</v>
      </c>
    </row>
    <row r="141" spans="3:25" x14ac:dyDescent="0.25">
      <c r="C141" s="2" t="s">
        <v>57</v>
      </c>
      <c r="D141" s="2" t="s">
        <v>220</v>
      </c>
      <c r="E141" s="9">
        <v>74.510000000000005</v>
      </c>
      <c r="F141" s="5">
        <v>105.529027</v>
      </c>
      <c r="G141" s="5">
        <f t="shared" si="8"/>
        <v>7862.9678017700007</v>
      </c>
      <c r="J141" s="12">
        <v>388.43</v>
      </c>
      <c r="K141" s="12">
        <v>1553.72</v>
      </c>
      <c r="L141" s="16">
        <v>0.1595</v>
      </c>
      <c r="M141" s="14">
        <f t="shared" si="9"/>
        <v>5.0607366847115314</v>
      </c>
      <c r="N141" s="10">
        <v>2018</v>
      </c>
      <c r="O141" s="10">
        <v>2012</v>
      </c>
      <c r="P141" s="2" t="s">
        <v>430</v>
      </c>
      <c r="Q141" s="2" t="s">
        <v>398</v>
      </c>
      <c r="R141" s="2" t="s">
        <v>679</v>
      </c>
      <c r="S141" s="2" t="s">
        <v>680</v>
      </c>
      <c r="T141" s="5">
        <v>3403</v>
      </c>
      <c r="U141" s="2" t="s">
        <v>903</v>
      </c>
      <c r="V141" s="2" t="s">
        <v>1218</v>
      </c>
      <c r="W141" s="2" t="s">
        <v>1219</v>
      </c>
      <c r="X141" s="2" t="s">
        <v>1220</v>
      </c>
      <c r="Y141" s="2" t="s">
        <v>1221</v>
      </c>
    </row>
    <row r="142" spans="3:25" x14ac:dyDescent="0.25">
      <c r="C142" s="2" t="s">
        <v>86</v>
      </c>
      <c r="D142" s="2" t="s">
        <v>249</v>
      </c>
      <c r="E142" s="9">
        <v>26.19</v>
      </c>
      <c r="F142" s="5">
        <v>115.911602</v>
      </c>
      <c r="G142" s="5">
        <f t="shared" si="8"/>
        <v>3035.7248563800003</v>
      </c>
      <c r="J142" s="12">
        <v>144.13999999999999</v>
      </c>
      <c r="K142" s="12">
        <v>576.55999999999995</v>
      </c>
      <c r="L142" s="16">
        <v>0.12529999999999999</v>
      </c>
      <c r="M142" s="14">
        <f t="shared" si="9"/>
        <v>5.2652366733384222</v>
      </c>
      <c r="N142" s="10">
        <v>2020</v>
      </c>
      <c r="O142" s="10">
        <v>2012</v>
      </c>
      <c r="P142" s="2" t="s">
        <v>491</v>
      </c>
      <c r="Q142" s="2" t="s">
        <v>492</v>
      </c>
      <c r="R142" s="2" t="s">
        <v>745</v>
      </c>
      <c r="S142" s="2" t="s">
        <v>746</v>
      </c>
      <c r="T142" s="5">
        <v>1833</v>
      </c>
      <c r="U142" s="2" t="s">
        <v>943</v>
      </c>
      <c r="V142" s="2" t="s">
        <v>1360</v>
      </c>
      <c r="W142" s="2" t="s">
        <v>1361</v>
      </c>
      <c r="Y142" s="2" t="s">
        <v>1362</v>
      </c>
    </row>
    <row r="143" spans="3:25" x14ac:dyDescent="0.25">
      <c r="C143" s="2" t="s">
        <v>128</v>
      </c>
      <c r="D143" s="2" t="s">
        <v>290</v>
      </c>
      <c r="E143" s="9">
        <v>2.73</v>
      </c>
      <c r="F143" s="5">
        <v>258.42696599999999</v>
      </c>
      <c r="G143" s="5">
        <f t="shared" si="8"/>
        <v>705.50561717999994</v>
      </c>
      <c r="J143" s="12">
        <v>26.77</v>
      </c>
      <c r="K143" s="12">
        <v>107.08</v>
      </c>
      <c r="L143" s="16">
        <v>0.1229</v>
      </c>
      <c r="M143" s="14">
        <f t="shared" si="9"/>
        <v>6.5885843965259614</v>
      </c>
      <c r="N143" s="10">
        <v>2021</v>
      </c>
      <c r="O143" s="10">
        <v>2012</v>
      </c>
      <c r="P143" s="2" t="s">
        <v>380</v>
      </c>
      <c r="Q143" s="2" t="s">
        <v>348</v>
      </c>
      <c r="R143" s="2" t="s">
        <v>623</v>
      </c>
      <c r="S143" s="2" t="s">
        <v>624</v>
      </c>
      <c r="T143" s="5">
        <v>540</v>
      </c>
      <c r="U143" s="2" t="s">
        <v>870</v>
      </c>
      <c r="V143" s="2" t="s">
        <v>1098</v>
      </c>
      <c r="W143" s="2" t="s">
        <v>1099</v>
      </c>
      <c r="X143" s="2" t="s">
        <v>1100</v>
      </c>
      <c r="Y143" s="2" t="s">
        <v>1101</v>
      </c>
    </row>
    <row r="144" spans="3:25" x14ac:dyDescent="0.25">
      <c r="C144" s="2" t="s">
        <v>28</v>
      </c>
      <c r="D144" s="2" t="s">
        <v>191</v>
      </c>
      <c r="E144" s="9">
        <v>13.55</v>
      </c>
      <c r="F144" s="5">
        <v>2329.791976</v>
      </c>
      <c r="G144" s="5">
        <f t="shared" si="8"/>
        <v>31568.681274800001</v>
      </c>
      <c r="J144" s="12">
        <v>280</v>
      </c>
      <c r="K144" s="12">
        <v>1120</v>
      </c>
      <c r="L144" s="16">
        <v>0.1094</v>
      </c>
      <c r="M144" s="14">
        <f t="shared" si="9"/>
        <v>28.186322566785716</v>
      </c>
      <c r="N144" s="10">
        <v>2020</v>
      </c>
      <c r="O144" s="10">
        <v>2012</v>
      </c>
      <c r="P144" s="2" t="s">
        <v>466</v>
      </c>
      <c r="Q144" s="2" t="s">
        <v>467</v>
      </c>
      <c r="R144" s="2" t="s">
        <v>720</v>
      </c>
      <c r="S144" s="2" t="s">
        <v>721</v>
      </c>
      <c r="T144" s="5">
        <v>12335</v>
      </c>
      <c r="U144" s="2" t="s">
        <v>928</v>
      </c>
      <c r="V144" s="2" t="s">
        <v>1311</v>
      </c>
      <c r="W144" s="2" t="s">
        <v>1312</v>
      </c>
    </row>
    <row r="145" spans="3:25" x14ac:dyDescent="0.25">
      <c r="C145" s="2" t="s">
        <v>109</v>
      </c>
      <c r="D145" s="2" t="s">
        <v>272</v>
      </c>
      <c r="E145" s="9">
        <v>11.53</v>
      </c>
      <c r="F145" s="5">
        <v>130.90909099999999</v>
      </c>
      <c r="G145" s="5">
        <f t="shared" si="8"/>
        <v>1509.3818192299998</v>
      </c>
      <c r="J145" s="12">
        <v>79.95</v>
      </c>
      <c r="K145" s="12">
        <v>319.8</v>
      </c>
      <c r="L145" s="16">
        <v>0.1009</v>
      </c>
      <c r="M145" s="14">
        <f t="shared" si="9"/>
        <v>4.7197680401188231</v>
      </c>
      <c r="N145" s="10">
        <v>2021</v>
      </c>
      <c r="O145" s="10">
        <v>2012</v>
      </c>
      <c r="P145" s="2" t="s">
        <v>347</v>
      </c>
      <c r="Q145" s="2" t="s">
        <v>348</v>
      </c>
      <c r="R145" s="2" t="s">
        <v>593</v>
      </c>
      <c r="S145" s="2" t="s">
        <v>594</v>
      </c>
      <c r="T145" s="5">
        <v>740</v>
      </c>
      <c r="U145" s="2" t="s">
        <v>852</v>
      </c>
      <c r="V145" s="2" t="s">
        <v>1033</v>
      </c>
      <c r="W145" s="2" t="s">
        <v>1034</v>
      </c>
      <c r="X145" s="2" t="s">
        <v>1035</v>
      </c>
      <c r="Y145" s="2" t="s">
        <v>1036</v>
      </c>
    </row>
    <row r="146" spans="3:25" x14ac:dyDescent="0.25">
      <c r="C146" s="2" t="s">
        <v>102</v>
      </c>
      <c r="D146" s="2" t="s">
        <v>265</v>
      </c>
      <c r="E146" s="9">
        <v>12.13</v>
      </c>
      <c r="F146" s="5">
        <v>161.38044400000001</v>
      </c>
      <c r="G146" s="5">
        <f t="shared" si="8"/>
        <v>1957.5447857200002</v>
      </c>
      <c r="J146" s="12">
        <v>187.1</v>
      </c>
      <c r="K146" s="12">
        <v>748.4</v>
      </c>
      <c r="L146" s="16">
        <v>9.8400000000000001E-2</v>
      </c>
      <c r="M146" s="14">
        <f t="shared" si="9"/>
        <v>2.6156397457509355</v>
      </c>
      <c r="N146" s="10">
        <v>2021</v>
      </c>
      <c r="O146" s="10">
        <v>2012</v>
      </c>
      <c r="P146" s="2" t="s">
        <v>400</v>
      </c>
      <c r="Q146" s="2" t="s">
        <v>398</v>
      </c>
      <c r="R146" s="2" t="s">
        <v>644</v>
      </c>
      <c r="S146" s="2" t="s">
        <v>645</v>
      </c>
      <c r="T146" s="5">
        <v>1260</v>
      </c>
      <c r="U146" s="2" t="s">
        <v>883</v>
      </c>
      <c r="V146" s="2" t="s">
        <v>1146</v>
      </c>
      <c r="W146" s="2" t="s">
        <v>1147</v>
      </c>
      <c r="X146" s="2" t="s">
        <v>1148</v>
      </c>
      <c r="Y146" s="2" t="s">
        <v>1149</v>
      </c>
    </row>
    <row r="147" spans="3:25" x14ac:dyDescent="0.25">
      <c r="C147" s="2" t="s">
        <v>130</v>
      </c>
      <c r="D147" s="2" t="s">
        <v>292</v>
      </c>
      <c r="E147" s="9">
        <v>5.0199999999999996</v>
      </c>
      <c r="F147" s="5">
        <v>157.403651</v>
      </c>
      <c r="G147" s="5">
        <f t="shared" si="8"/>
        <v>790.16632801999992</v>
      </c>
      <c r="J147" s="12">
        <v>82.39</v>
      </c>
      <c r="K147" s="12">
        <v>329.56</v>
      </c>
      <c r="L147" s="16">
        <v>7.8299999999999995E-2</v>
      </c>
      <c r="M147" s="14">
        <f t="shared" si="9"/>
        <v>2.3976402719383416</v>
      </c>
      <c r="N147" s="10">
        <v>2021</v>
      </c>
      <c r="O147" s="10">
        <v>2012</v>
      </c>
      <c r="P147" s="2" t="s">
        <v>526</v>
      </c>
      <c r="Q147" s="2" t="s">
        <v>391</v>
      </c>
      <c r="R147" s="2" t="s">
        <v>777</v>
      </c>
      <c r="S147" s="2" t="s">
        <v>778</v>
      </c>
      <c r="T147" s="5">
        <v>673</v>
      </c>
      <c r="U147" s="2" t="s">
        <v>967</v>
      </c>
      <c r="V147" s="2" t="s">
        <v>1446</v>
      </c>
      <c r="W147" s="2" t="s">
        <v>1447</v>
      </c>
    </row>
    <row r="148" spans="3:25" x14ac:dyDescent="0.25">
      <c r="C148" s="2" t="s">
        <v>104</v>
      </c>
      <c r="D148" s="2" t="s">
        <v>267</v>
      </c>
      <c r="E148" s="9">
        <v>10.86</v>
      </c>
      <c r="F148" s="5">
        <v>182.56513000000001</v>
      </c>
      <c r="G148" s="5">
        <f t="shared" si="8"/>
        <v>1982.6573118000001</v>
      </c>
      <c r="J148" s="12">
        <v>142.27000000000001</v>
      </c>
      <c r="K148" s="12">
        <v>569.08000000000004</v>
      </c>
      <c r="L148" s="16">
        <v>3.2099999999999997E-2</v>
      </c>
      <c r="M148" s="14">
        <f t="shared" si="9"/>
        <v>3.4839694099247907</v>
      </c>
      <c r="N148" s="10">
        <v>2021</v>
      </c>
      <c r="O148" s="10">
        <v>2012</v>
      </c>
      <c r="P148" s="2" t="s">
        <v>432</v>
      </c>
      <c r="Q148" s="2" t="s">
        <v>433</v>
      </c>
      <c r="R148" s="2" t="s">
        <v>666</v>
      </c>
      <c r="S148" s="2" t="s">
        <v>683</v>
      </c>
      <c r="T148" s="5">
        <v>2000</v>
      </c>
      <c r="U148" s="2" t="s">
        <v>905</v>
      </c>
      <c r="V148" s="2" t="s">
        <v>1226</v>
      </c>
      <c r="W148" s="2" t="s">
        <v>1227</v>
      </c>
      <c r="X148" s="2" t="s">
        <v>1228</v>
      </c>
      <c r="Y148" s="2" t="s">
        <v>1229</v>
      </c>
    </row>
    <row r="149" spans="3:25" x14ac:dyDescent="0.25">
      <c r="C149" s="2" t="s">
        <v>67</v>
      </c>
      <c r="D149" s="2" t="s">
        <v>230</v>
      </c>
      <c r="E149" s="9">
        <v>16.03</v>
      </c>
      <c r="F149" s="5">
        <v>332.49721299999999</v>
      </c>
      <c r="G149" s="5">
        <f t="shared" si="8"/>
        <v>5329.9303243900004</v>
      </c>
      <c r="J149" s="12">
        <v>229.03</v>
      </c>
      <c r="K149" s="12">
        <v>916.12</v>
      </c>
      <c r="L149" s="16">
        <v>0.22899999999999998</v>
      </c>
      <c r="M149" s="14">
        <f t="shared" si="9"/>
        <v>5.817939052078331</v>
      </c>
      <c r="N149" s="10">
        <v>2021</v>
      </c>
      <c r="O149" s="10">
        <v>2013</v>
      </c>
      <c r="P149" s="2" t="s">
        <v>535</v>
      </c>
      <c r="Q149" s="2" t="s">
        <v>398</v>
      </c>
      <c r="R149" s="2" t="s">
        <v>786</v>
      </c>
      <c r="S149" s="2" t="s">
        <v>787</v>
      </c>
      <c r="T149" s="5">
        <v>2700</v>
      </c>
      <c r="U149" s="2" t="s">
        <v>974</v>
      </c>
      <c r="V149" s="2" t="s">
        <v>1471</v>
      </c>
      <c r="W149" s="2" t="s">
        <v>1472</v>
      </c>
      <c r="X149" s="2" t="s">
        <v>1473</v>
      </c>
      <c r="Y149" s="2" t="s">
        <v>1474</v>
      </c>
    </row>
    <row r="150" spans="3:25" x14ac:dyDescent="0.25">
      <c r="C150" s="2" t="s">
        <v>152</v>
      </c>
      <c r="D150" s="2" t="s">
        <v>314</v>
      </c>
      <c r="E150" s="9">
        <v>4.5</v>
      </c>
      <c r="F150" s="5">
        <v>60.705289999999998</v>
      </c>
      <c r="G150" s="5">
        <f t="shared" si="8"/>
        <v>273.17380500000002</v>
      </c>
      <c r="J150" s="12">
        <v>36.65</v>
      </c>
      <c r="K150" s="12">
        <v>146.6</v>
      </c>
      <c r="L150" s="16">
        <v>3.04E-2</v>
      </c>
      <c r="M150" s="14">
        <f t="shared" si="9"/>
        <v>1.8633956684856754</v>
      </c>
      <c r="N150" s="10">
        <v>2021</v>
      </c>
      <c r="O150" s="10">
        <v>2013</v>
      </c>
      <c r="P150" s="2" t="s">
        <v>403</v>
      </c>
      <c r="Q150" s="2" t="s">
        <v>404</v>
      </c>
      <c r="R150" s="2" t="s">
        <v>648</v>
      </c>
      <c r="S150" s="2" t="s">
        <v>649</v>
      </c>
      <c r="T150" s="5">
        <v>561</v>
      </c>
      <c r="U150" s="2" t="s">
        <v>885</v>
      </c>
      <c r="V150" s="2" t="s">
        <v>1154</v>
      </c>
      <c r="W150" s="2" t="s">
        <v>1155</v>
      </c>
      <c r="X150" s="2" t="s">
        <v>1156</v>
      </c>
      <c r="Y150" s="2" t="s">
        <v>1157</v>
      </c>
    </row>
    <row r="151" spans="3:25" x14ac:dyDescent="0.25">
      <c r="C151" s="2" t="s">
        <v>159</v>
      </c>
      <c r="D151" s="2" t="s">
        <v>321</v>
      </c>
      <c r="E151" s="9">
        <v>0.56999999999999995</v>
      </c>
      <c r="F151" s="5">
        <v>157.14285699999999</v>
      </c>
      <c r="G151" s="5">
        <f t="shared" si="8"/>
        <v>89.571428489999988</v>
      </c>
      <c r="J151" s="12">
        <v>27.51</v>
      </c>
      <c r="K151" s="12">
        <v>110.04</v>
      </c>
      <c r="L151" s="16">
        <v>-0.14330000000000001</v>
      </c>
      <c r="M151" s="14">
        <f t="shared" si="9"/>
        <v>0.81398971728462366</v>
      </c>
      <c r="N151" s="10">
        <v>2022</v>
      </c>
      <c r="O151" s="10">
        <v>2013</v>
      </c>
      <c r="P151" s="2" t="s">
        <v>438</v>
      </c>
      <c r="Q151" s="2" t="s">
        <v>439</v>
      </c>
      <c r="R151" s="2" t="s">
        <v>690</v>
      </c>
      <c r="S151" s="2" t="s">
        <v>596</v>
      </c>
      <c r="T151" s="5">
        <v>456</v>
      </c>
      <c r="U151" s="2" t="s">
        <v>909</v>
      </c>
      <c r="V151" s="2" t="s">
        <v>1241</v>
      </c>
      <c r="W151" s="2" t="s">
        <v>1242</v>
      </c>
      <c r="X151" s="2" t="s">
        <v>1243</v>
      </c>
      <c r="Y151" s="2" t="s">
        <v>1244</v>
      </c>
    </row>
    <row r="152" spans="3:25" x14ac:dyDescent="0.25">
      <c r="C152" s="2" t="s">
        <v>43</v>
      </c>
      <c r="D152" s="2" t="s">
        <v>206</v>
      </c>
      <c r="E152" s="9">
        <v>87.41</v>
      </c>
      <c r="F152" s="5">
        <v>193.49686299999999</v>
      </c>
      <c r="G152" s="5">
        <f t="shared" si="8"/>
        <v>16913.560794829998</v>
      </c>
      <c r="J152" s="12">
        <v>278.48</v>
      </c>
      <c r="K152" s="12">
        <v>1113.92</v>
      </c>
      <c r="L152" s="16">
        <v>0.48670000000000002</v>
      </c>
      <c r="M152" s="14">
        <f t="shared" si="9"/>
        <v>15.183820018340633</v>
      </c>
      <c r="N152" s="10">
        <v>2024</v>
      </c>
      <c r="O152" s="10">
        <v>2014</v>
      </c>
      <c r="P152" s="2" t="s">
        <v>527</v>
      </c>
      <c r="Q152" s="2" t="s">
        <v>528</v>
      </c>
      <c r="R152" s="2" t="s">
        <v>779</v>
      </c>
      <c r="S152" s="2" t="s">
        <v>780</v>
      </c>
      <c r="T152" s="5">
        <v>3200</v>
      </c>
      <c r="U152" s="2" t="s">
        <v>968</v>
      </c>
      <c r="V152" s="2" t="s">
        <v>1448</v>
      </c>
      <c r="W152" s="2" t="s">
        <v>1449</v>
      </c>
      <c r="X152" s="2" t="s">
        <v>1450</v>
      </c>
    </row>
    <row r="153" spans="3:25" x14ac:dyDescent="0.25">
      <c r="C153" s="2" t="s">
        <v>69</v>
      </c>
      <c r="D153" s="2" t="s">
        <v>232</v>
      </c>
      <c r="E153" s="9">
        <v>16.329999999999998</v>
      </c>
      <c r="F153" s="5">
        <v>344.651163</v>
      </c>
      <c r="G153" s="5">
        <f t="shared" si="8"/>
        <v>5628.153491789999</v>
      </c>
      <c r="J153" s="12">
        <v>282.27999999999997</v>
      </c>
      <c r="K153" s="12">
        <v>1129.1199999999999</v>
      </c>
      <c r="L153" s="16">
        <v>0.20129999999999998</v>
      </c>
      <c r="M153" s="14">
        <f t="shared" si="9"/>
        <v>4.984548579238699</v>
      </c>
      <c r="N153" s="10">
        <v>2021</v>
      </c>
      <c r="O153" s="10">
        <v>2014</v>
      </c>
      <c r="P153" s="2" t="s">
        <v>397</v>
      </c>
      <c r="Q153" s="2" t="s">
        <v>398</v>
      </c>
      <c r="R153" s="2" t="s">
        <v>640</v>
      </c>
      <c r="S153" s="2" t="s">
        <v>641</v>
      </c>
      <c r="T153" s="5">
        <v>3060</v>
      </c>
      <c r="U153" s="2" t="s">
        <v>881</v>
      </c>
      <c r="V153" s="2" t="s">
        <v>1138</v>
      </c>
      <c r="W153" s="2" t="s">
        <v>1139</v>
      </c>
      <c r="X153" s="2" t="s">
        <v>1140</v>
      </c>
      <c r="Y153" s="2" t="s">
        <v>1141</v>
      </c>
    </row>
    <row r="154" spans="3:25" x14ac:dyDescent="0.25">
      <c r="C154" s="2" t="s">
        <v>140</v>
      </c>
      <c r="D154" s="2" t="s">
        <v>302</v>
      </c>
      <c r="E154" s="9">
        <v>7.57</v>
      </c>
      <c r="F154" s="5">
        <v>75.109809999999996</v>
      </c>
      <c r="G154" s="5">
        <f t="shared" si="8"/>
        <v>568.58126170000003</v>
      </c>
      <c r="J154" s="12">
        <v>58.47</v>
      </c>
      <c r="K154" s="12">
        <v>233.88</v>
      </c>
      <c r="L154" s="16">
        <v>0.15590000000000001</v>
      </c>
      <c r="M154" s="14">
        <f t="shared" si="9"/>
        <v>2.4310811599965798</v>
      </c>
      <c r="N154" s="10">
        <v>2021</v>
      </c>
      <c r="O154" s="10">
        <v>2014</v>
      </c>
      <c r="P154" s="2" t="s">
        <v>569</v>
      </c>
      <c r="Q154" s="2" t="s">
        <v>570</v>
      </c>
      <c r="R154" s="2" t="s">
        <v>831</v>
      </c>
      <c r="S154" s="2" t="s">
        <v>757</v>
      </c>
      <c r="T154" s="5">
        <v>854</v>
      </c>
      <c r="U154" s="2" t="s">
        <v>1001</v>
      </c>
      <c r="V154" s="2" t="s">
        <v>1569</v>
      </c>
      <c r="W154" s="2" t="s">
        <v>1570</v>
      </c>
      <c r="X154" s="2" t="s">
        <v>1571</v>
      </c>
      <c r="Y154" s="2" t="s">
        <v>1572</v>
      </c>
    </row>
    <row r="155" spans="3:25" x14ac:dyDescent="0.25">
      <c r="C155" s="2" t="s">
        <v>129</v>
      </c>
      <c r="D155" s="2" t="s">
        <v>291</v>
      </c>
      <c r="E155" s="9">
        <v>6.32</v>
      </c>
      <c r="F155" s="5">
        <v>103.293808</v>
      </c>
      <c r="G155" s="5">
        <f t="shared" si="8"/>
        <v>652.81686655999999</v>
      </c>
      <c r="J155" s="12">
        <v>247.1</v>
      </c>
      <c r="K155" s="12">
        <v>988.4</v>
      </c>
      <c r="L155" s="16">
        <v>-7.7199999999999991E-2</v>
      </c>
      <c r="M155" s="14">
        <f t="shared" si="9"/>
        <v>0.66047841618777825</v>
      </c>
      <c r="N155" s="10">
        <v>2021</v>
      </c>
      <c r="O155" s="10">
        <v>2014</v>
      </c>
      <c r="P155" s="2" t="s">
        <v>385</v>
      </c>
      <c r="Q155" s="2" t="s">
        <v>361</v>
      </c>
      <c r="R155" s="2" t="s">
        <v>629</v>
      </c>
      <c r="S155" s="2" t="s">
        <v>630</v>
      </c>
      <c r="T155" s="5">
        <v>1200</v>
      </c>
      <c r="U155" s="2" t="s">
        <v>873</v>
      </c>
      <c r="V155" s="2" t="s">
        <v>1110</v>
      </c>
      <c r="W155" s="2" t="s">
        <v>1111</v>
      </c>
      <c r="X155" s="2" t="s">
        <v>1112</v>
      </c>
      <c r="Y155" s="2" t="s">
        <v>1113</v>
      </c>
    </row>
    <row r="156" spans="3:25" x14ac:dyDescent="0.25">
      <c r="C156" s="2" t="s">
        <v>165</v>
      </c>
      <c r="D156" s="2" t="s">
        <v>327</v>
      </c>
      <c r="E156" s="9">
        <v>1.25</v>
      </c>
      <c r="F156" s="5">
        <v>3.3333330000000001</v>
      </c>
      <c r="G156" s="5">
        <f t="shared" si="8"/>
        <v>4.1666662500000005</v>
      </c>
      <c r="J156" s="12">
        <v>1.48</v>
      </c>
      <c r="K156" s="12">
        <v>5.92</v>
      </c>
      <c r="L156" s="16">
        <v>-0.50439999999999996</v>
      </c>
      <c r="M156" s="14">
        <f t="shared" si="9"/>
        <v>0.70382875844594606</v>
      </c>
      <c r="N156" s="10">
        <v>2016</v>
      </c>
      <c r="O156" s="10">
        <v>2014</v>
      </c>
      <c r="P156" s="2" t="s">
        <v>487</v>
      </c>
      <c r="Q156" s="2" t="s">
        <v>488</v>
      </c>
      <c r="R156" s="2" t="s">
        <v>583</v>
      </c>
      <c r="S156" s="2" t="s">
        <v>742</v>
      </c>
      <c r="T156" s="5">
        <v>13</v>
      </c>
      <c r="U156" s="2" t="s">
        <v>941</v>
      </c>
      <c r="V156" s="2" t="s">
        <v>1352</v>
      </c>
      <c r="W156" s="2" t="s">
        <v>1353</v>
      </c>
      <c r="X156" s="2" t="s">
        <v>1354</v>
      </c>
      <c r="Y156" s="2" t="s">
        <v>1355</v>
      </c>
    </row>
    <row r="157" spans="3:25" x14ac:dyDescent="0.25">
      <c r="C157" s="2" t="s">
        <v>35</v>
      </c>
      <c r="D157" s="2" t="s">
        <v>198</v>
      </c>
      <c r="E157" s="9">
        <v>33.74</v>
      </c>
      <c r="F157" s="5">
        <v>569.34184900000002</v>
      </c>
      <c r="G157" s="5">
        <f t="shared" si="8"/>
        <v>19209.593985260002</v>
      </c>
      <c r="J157" s="12">
        <v>366.88</v>
      </c>
      <c r="K157" s="12">
        <v>1467.52</v>
      </c>
      <c r="L157" s="16">
        <v>0.30690000000000001</v>
      </c>
      <c r="M157" s="14">
        <f t="shared" si="9"/>
        <v>13.089834540762649</v>
      </c>
      <c r="N157" s="10">
        <v>2021</v>
      </c>
      <c r="O157" s="10">
        <v>2015</v>
      </c>
      <c r="P157" s="2" t="s">
        <v>533</v>
      </c>
      <c r="Q157" s="2" t="s">
        <v>348</v>
      </c>
      <c r="R157" s="2" t="s">
        <v>783</v>
      </c>
      <c r="S157" s="2" t="s">
        <v>784</v>
      </c>
      <c r="T157" s="5">
        <v>3500</v>
      </c>
      <c r="U157" s="2" t="s">
        <v>972</v>
      </c>
      <c r="V157" s="2" t="s">
        <v>1463</v>
      </c>
      <c r="W157" s="2" t="s">
        <v>1464</v>
      </c>
      <c r="X157" s="2" t="s">
        <v>1465</v>
      </c>
      <c r="Y157" s="2" t="s">
        <v>1466</v>
      </c>
    </row>
    <row r="158" spans="3:25" x14ac:dyDescent="0.25">
      <c r="C158" s="2" t="s">
        <v>29</v>
      </c>
      <c r="D158" s="2" t="s">
        <v>192</v>
      </c>
      <c r="E158" s="9">
        <v>43.08</v>
      </c>
      <c r="F158" s="5">
        <v>578.99699999999996</v>
      </c>
      <c r="G158" s="5">
        <f t="shared" si="8"/>
        <v>24943.190759999998</v>
      </c>
      <c r="J158" s="12">
        <v>1340</v>
      </c>
      <c r="K158" s="12">
        <v>5360</v>
      </c>
      <c r="L158" s="16">
        <v>0.2437</v>
      </c>
      <c r="M158" s="14">
        <f t="shared" si="9"/>
        <v>4.6535803656716412</v>
      </c>
      <c r="N158" s="10">
        <v>2021</v>
      </c>
      <c r="O158" s="10">
        <v>2015</v>
      </c>
      <c r="P158" s="2" t="s">
        <v>557</v>
      </c>
      <c r="Q158" s="2" t="s">
        <v>469</v>
      </c>
      <c r="R158" s="2" t="s">
        <v>814</v>
      </c>
      <c r="S158" s="2" t="s">
        <v>815</v>
      </c>
      <c r="T158" s="5">
        <v>5700</v>
      </c>
      <c r="U158" s="2" t="s">
        <v>992</v>
      </c>
      <c r="V158" s="2" t="s">
        <v>1535</v>
      </c>
      <c r="W158" s="2" t="s">
        <v>1536</v>
      </c>
      <c r="X158" s="2" t="s">
        <v>1537</v>
      </c>
      <c r="Y158" s="2" t="s">
        <v>1538</v>
      </c>
    </row>
    <row r="159" spans="3:25" x14ac:dyDescent="0.25">
      <c r="C159" s="2" t="s">
        <v>148</v>
      </c>
      <c r="D159" s="2" t="s">
        <v>310</v>
      </c>
      <c r="E159" s="9">
        <v>1.28</v>
      </c>
      <c r="F159" s="5">
        <v>183.91608400000001</v>
      </c>
      <c r="G159" s="5">
        <f t="shared" si="8"/>
        <v>235.41258752000002</v>
      </c>
      <c r="J159" s="12">
        <v>47.6</v>
      </c>
      <c r="K159" s="12">
        <v>190.4</v>
      </c>
      <c r="L159" s="16">
        <v>-0.11410000000000001</v>
      </c>
      <c r="M159" s="14">
        <f t="shared" si="9"/>
        <v>1.2364106487394959</v>
      </c>
      <c r="N159" s="10">
        <v>2020</v>
      </c>
      <c r="O159" s="10">
        <v>2015</v>
      </c>
      <c r="P159" s="2" t="s">
        <v>493</v>
      </c>
      <c r="Q159" s="2" t="s">
        <v>344</v>
      </c>
      <c r="R159" s="2" t="s">
        <v>747</v>
      </c>
      <c r="S159" s="2" t="s">
        <v>671</v>
      </c>
      <c r="T159" s="5">
        <v>600</v>
      </c>
      <c r="U159" s="2" t="s">
        <v>944</v>
      </c>
      <c r="V159" s="2" t="s">
        <v>1363</v>
      </c>
      <c r="W159" s="2" t="s">
        <v>1364</v>
      </c>
      <c r="X159" s="2" t="s">
        <v>1365</v>
      </c>
      <c r="Y159" s="2" t="s">
        <v>1366</v>
      </c>
    </row>
    <row r="160" spans="3:25" x14ac:dyDescent="0.25">
      <c r="C160" s="2" t="s">
        <v>91</v>
      </c>
      <c r="D160" s="2" t="s">
        <v>254</v>
      </c>
      <c r="E160" s="9">
        <v>7.88</v>
      </c>
      <c r="F160" s="5">
        <v>338.58560799999998</v>
      </c>
      <c r="G160" s="5">
        <f t="shared" si="8"/>
        <v>2668.0545910399997</v>
      </c>
      <c r="J160" s="12">
        <v>23.71</v>
      </c>
      <c r="K160" s="12">
        <v>94.84</v>
      </c>
      <c r="L160" s="16">
        <v>0.33679999999999999</v>
      </c>
      <c r="M160" s="14">
        <f t="shared" si="9"/>
        <v>28.132165658371989</v>
      </c>
      <c r="N160" s="10">
        <v>2021</v>
      </c>
      <c r="O160" s="10">
        <v>2016</v>
      </c>
      <c r="P160" s="2" t="s">
        <v>529</v>
      </c>
      <c r="Q160" s="2" t="s">
        <v>348</v>
      </c>
      <c r="R160" s="2" t="s">
        <v>781</v>
      </c>
      <c r="S160" s="2" t="s">
        <v>678</v>
      </c>
      <c r="T160" s="5">
        <v>135</v>
      </c>
      <c r="U160" s="2" t="s">
        <v>969</v>
      </c>
      <c r="V160" s="2" t="s">
        <v>1451</v>
      </c>
      <c r="W160" s="2" t="s">
        <v>1452</v>
      </c>
      <c r="X160" s="2" t="s">
        <v>1453</v>
      </c>
      <c r="Y160" s="2" t="s">
        <v>1454</v>
      </c>
    </row>
    <row r="161" spans="3:25" x14ac:dyDescent="0.25">
      <c r="C161" s="2" t="s">
        <v>72</v>
      </c>
      <c r="D161" s="2" t="s">
        <v>235</v>
      </c>
      <c r="E161" s="9">
        <v>25.67</v>
      </c>
      <c r="F161" s="5">
        <v>158.48297199999999</v>
      </c>
      <c r="G161" s="5">
        <f t="shared" si="8"/>
        <v>4068.2578912399999</v>
      </c>
      <c r="J161" s="12">
        <v>177.06</v>
      </c>
      <c r="K161" s="12">
        <v>708.24</v>
      </c>
      <c r="L161" s="16">
        <v>0.12939999999999999</v>
      </c>
      <c r="M161" s="14">
        <f t="shared" si="9"/>
        <v>5.7441797854399637</v>
      </c>
      <c r="N161" s="10">
        <v>2020</v>
      </c>
      <c r="O161" s="10">
        <v>2018</v>
      </c>
      <c r="P161" s="2" t="s">
        <v>564</v>
      </c>
      <c r="Q161" s="2" t="s">
        <v>565</v>
      </c>
      <c r="R161" s="2" t="s">
        <v>825</v>
      </c>
      <c r="S161" s="2" t="s">
        <v>826</v>
      </c>
      <c r="T161" s="5">
        <v>1900</v>
      </c>
      <c r="U161" s="2" t="s">
        <v>998</v>
      </c>
      <c r="V161" s="2" t="s">
        <v>1559</v>
      </c>
      <c r="W161" s="2" t="s">
        <v>1560</v>
      </c>
      <c r="X161" s="2" t="s">
        <v>1561</v>
      </c>
      <c r="Y161" s="2" t="s">
        <v>1562</v>
      </c>
    </row>
    <row r="162" spans="3:25" x14ac:dyDescent="0.25">
      <c r="C162" s="2" t="s">
        <v>163</v>
      </c>
      <c r="D162" s="2" t="s">
        <v>325</v>
      </c>
      <c r="E162" s="9">
        <v>6.68</v>
      </c>
      <c r="F162" s="5">
        <v>3.6723159999999999</v>
      </c>
      <c r="G162" s="5">
        <f t="shared" si="8"/>
        <v>24.531070879999998</v>
      </c>
      <c r="J162" s="12">
        <v>0.58708000000000005</v>
      </c>
      <c r="K162" s="12">
        <v>2.3483200000000002</v>
      </c>
      <c r="L162" s="16">
        <v>-9.6000000000000002E-2</v>
      </c>
      <c r="M162" s="14">
        <f t="shared" si="9"/>
        <v>10.446221503031953</v>
      </c>
      <c r="N162" s="10">
        <v>2015</v>
      </c>
      <c r="O162" s="10">
        <v>2018</v>
      </c>
      <c r="P162" s="2" t="s">
        <v>378</v>
      </c>
      <c r="Q162" s="2" t="s">
        <v>379</v>
      </c>
      <c r="R162" s="2" t="s">
        <v>583</v>
      </c>
      <c r="S162" s="2" t="s">
        <v>622</v>
      </c>
      <c r="T162" s="5">
        <v>10</v>
      </c>
      <c r="U162" s="2" t="s">
        <v>869</v>
      </c>
      <c r="V162" s="2" t="s">
        <v>1095</v>
      </c>
      <c r="W162" s="2" t="s">
        <v>583</v>
      </c>
      <c r="X162" s="2" t="s">
        <v>1096</v>
      </c>
      <c r="Y162" s="2" t="s">
        <v>1097</v>
      </c>
    </row>
    <row r="163" spans="3:25" x14ac:dyDescent="0.25">
      <c r="C163" s="2" t="s">
        <v>133</v>
      </c>
      <c r="D163" s="2" t="s">
        <v>295</v>
      </c>
      <c r="E163" s="9">
        <v>8.85</v>
      </c>
      <c r="F163" s="5">
        <v>72.978959000000003</v>
      </c>
      <c r="G163" s="5">
        <f t="shared" ref="G163:G194" si="10">E163*F163</f>
        <v>645.86378715000001</v>
      </c>
      <c r="J163" s="12">
        <v>95.55</v>
      </c>
      <c r="K163" s="12">
        <v>382.2</v>
      </c>
      <c r="L163" s="16">
        <v>0.1552</v>
      </c>
      <c r="M163" s="14">
        <f t="shared" si="9"/>
        <v>1.6898581558084773</v>
      </c>
      <c r="N163" s="10">
        <v>2021</v>
      </c>
      <c r="O163" s="10">
        <v>2019</v>
      </c>
      <c r="P163" s="2" t="s">
        <v>395</v>
      </c>
      <c r="Q163" s="2" t="s">
        <v>396</v>
      </c>
      <c r="R163" s="2" t="s">
        <v>638</v>
      </c>
      <c r="S163" s="2" t="s">
        <v>639</v>
      </c>
      <c r="T163" s="5">
        <v>1623</v>
      </c>
      <c r="U163" s="2" t="s">
        <v>880</v>
      </c>
      <c r="V163" s="2" t="s">
        <v>1136</v>
      </c>
      <c r="W163" s="2" t="s">
        <v>1137</v>
      </c>
    </row>
    <row r="164" spans="3:25" x14ac:dyDescent="0.25">
      <c r="C164" s="2" t="s">
        <v>90</v>
      </c>
      <c r="D164" s="2" t="s">
        <v>253</v>
      </c>
      <c r="E164" s="9">
        <v>3.81</v>
      </c>
      <c r="F164" s="5">
        <v>538.23529399999995</v>
      </c>
      <c r="G164" s="5">
        <f t="shared" si="10"/>
        <v>2050.6764701399998</v>
      </c>
      <c r="J164" s="12">
        <v>548</v>
      </c>
      <c r="K164" s="12">
        <v>2192</v>
      </c>
      <c r="L164" s="16">
        <v>-1.9699999999999999E-2</v>
      </c>
      <c r="M164" s="14">
        <f t="shared" si="9"/>
        <v>0.93552758674270065</v>
      </c>
      <c r="N164" s="10">
        <v>2021</v>
      </c>
      <c r="O164" s="10">
        <v>2019</v>
      </c>
      <c r="P164" s="2" t="s">
        <v>343</v>
      </c>
      <c r="Q164" s="2" t="s">
        <v>344</v>
      </c>
      <c r="R164" s="2" t="s">
        <v>589</v>
      </c>
      <c r="S164" s="2" t="s">
        <v>590</v>
      </c>
      <c r="T164" s="5">
        <v>9500</v>
      </c>
      <c r="U164" s="2" t="s">
        <v>850</v>
      </c>
      <c r="V164" s="2" t="s">
        <v>1025</v>
      </c>
      <c r="W164" s="2" t="s">
        <v>1026</v>
      </c>
      <c r="X164" s="2" t="s">
        <v>1027</v>
      </c>
      <c r="Y164" s="2" t="s">
        <v>1028</v>
      </c>
    </row>
    <row r="165" spans="3:25" x14ac:dyDescent="0.25">
      <c r="C165" s="2" t="s">
        <v>139</v>
      </c>
      <c r="D165" s="2" t="s">
        <v>301</v>
      </c>
      <c r="E165" s="9">
        <v>12.87</v>
      </c>
      <c r="F165" s="5">
        <v>43.940643000000001</v>
      </c>
      <c r="G165" s="5">
        <f t="shared" si="10"/>
        <v>565.51607540999998</v>
      </c>
      <c r="J165" s="12">
        <v>210.47</v>
      </c>
      <c r="K165" s="12">
        <v>841.88</v>
      </c>
      <c r="L165" s="16">
        <v>-6.08E-2</v>
      </c>
      <c r="M165" s="14">
        <f t="shared" si="9"/>
        <v>0.67173002733168619</v>
      </c>
      <c r="N165" s="10">
        <v>2020</v>
      </c>
      <c r="O165" s="10">
        <v>2019</v>
      </c>
      <c r="P165" s="2" t="s">
        <v>556</v>
      </c>
      <c r="Q165" s="2" t="s">
        <v>480</v>
      </c>
      <c r="R165" s="2" t="s">
        <v>812</v>
      </c>
      <c r="S165" s="2" t="s">
        <v>813</v>
      </c>
      <c r="T165" s="5">
        <v>3001</v>
      </c>
      <c r="U165" s="2" t="s">
        <v>991</v>
      </c>
      <c r="V165" s="2" t="s">
        <v>1531</v>
      </c>
      <c r="W165" s="2" t="s">
        <v>1532</v>
      </c>
      <c r="X165" s="2" t="s">
        <v>1533</v>
      </c>
      <c r="Y165" s="2" t="s">
        <v>1534</v>
      </c>
    </row>
  </sheetData>
  <autoFilter ref="C2:Y165" xr:uid="{00000000-0001-0000-0000-000000000000}">
    <sortState xmlns:xlrd2="http://schemas.microsoft.com/office/spreadsheetml/2017/richdata2" ref="C3:Y165">
      <sortCondition ref="O2:O165"/>
    </sortState>
  </autoFilter>
  <sortState xmlns:xlrd2="http://schemas.microsoft.com/office/spreadsheetml/2017/richdata2" ref="C3:I165">
    <sortCondition ref="I2:I165"/>
  </sortState>
  <hyperlinks>
    <hyperlink ref="C128" r:id="rId1" xr:uid="{EEC7F53D-0825-4A6C-8D4D-64201C12FDA6}"/>
    <hyperlink ref="C9" r:id="rId2" xr:uid="{D91D1327-E1D1-48AC-83B2-BAABFDCB11BD}"/>
    <hyperlink ref="C67" r:id="rId3" xr:uid="{E86B96BC-5C84-4675-9C60-5C283F872591}"/>
    <hyperlink ref="C17" r:id="rId4" xr:uid="{A638B814-3722-4573-99A0-2EDBDB839155}"/>
    <hyperlink ref="C64" r:id="rId5" xr:uid="{6B193AEE-6D89-4315-9C20-F418BD48C594}"/>
    <hyperlink ref="C50" r:id="rId6" xr:uid="{7513CF64-A6C6-40A0-B2AD-A841D611F5A9}"/>
    <hyperlink ref="C140" r:id="rId7" xr:uid="{247C51CD-68B5-4AC6-A3BB-CCA435A9C437}"/>
    <hyperlink ref="C16" r:id="rId8" xr:uid="{7291237A-C92D-4935-9685-0340199E9F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2025-09-16T18:08:59Z</dcterms:modified>
</cp:coreProperties>
</file>