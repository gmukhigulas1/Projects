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EC5BCE7B-486F-4411-95B9-35D041A4DA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119" i="1" l="1"/>
  <c r="AO119" i="1"/>
  <c r="AP116" i="1"/>
  <c r="AO116" i="1"/>
  <c r="AP113" i="1"/>
  <c r="AO113" i="1"/>
  <c r="Z119" i="1"/>
  <c r="Y119" i="1"/>
  <c r="X119" i="1"/>
  <c r="W119" i="1"/>
  <c r="V119" i="1"/>
  <c r="U119" i="1"/>
  <c r="T119" i="1"/>
  <c r="S119" i="1"/>
  <c r="R119" i="1"/>
  <c r="Z116" i="1"/>
  <c r="Y116" i="1"/>
  <c r="X116" i="1"/>
  <c r="W116" i="1"/>
  <c r="V116" i="1"/>
  <c r="U116" i="1"/>
  <c r="T116" i="1"/>
  <c r="S116" i="1"/>
  <c r="R116" i="1"/>
  <c r="Y113" i="1"/>
  <c r="X113" i="1"/>
  <c r="W113" i="1"/>
  <c r="V113" i="1"/>
  <c r="U113" i="1"/>
  <c r="T113" i="1"/>
  <c r="S113" i="1"/>
  <c r="R113" i="1"/>
  <c r="Z113" i="1"/>
  <c r="AO112" i="1"/>
  <c r="AP112" i="1"/>
  <c r="AO114" i="1"/>
  <c r="AO255" i="1" s="1"/>
  <c r="AP114" i="1"/>
  <c r="AP255" i="1" s="1"/>
  <c r="AO115" i="1"/>
  <c r="AP115" i="1"/>
  <c r="AO117" i="1"/>
  <c r="AP117" i="1"/>
  <c r="AO118" i="1"/>
  <c r="AP118" i="1"/>
  <c r="AP111" i="1"/>
  <c r="AO111" i="1"/>
  <c r="Y125" i="1"/>
  <c r="X125" i="1"/>
  <c r="W125" i="1"/>
  <c r="V125" i="1"/>
  <c r="Y124" i="1"/>
  <c r="X124" i="1"/>
  <c r="W124" i="1"/>
  <c r="V124" i="1"/>
  <c r="Y123" i="1"/>
  <c r="X123" i="1"/>
  <c r="W123" i="1"/>
  <c r="V123" i="1"/>
  <c r="Z125" i="1"/>
  <c r="Z124" i="1"/>
  <c r="Z123" i="1"/>
  <c r="Y121" i="1"/>
  <c r="X121" i="1"/>
  <c r="W121" i="1"/>
  <c r="V121" i="1"/>
  <c r="U121" i="1"/>
  <c r="T121" i="1"/>
  <c r="S121" i="1"/>
  <c r="R121" i="1"/>
  <c r="Y120" i="1"/>
  <c r="X120" i="1"/>
  <c r="W120" i="1"/>
  <c r="V120" i="1"/>
  <c r="U120" i="1"/>
  <c r="T120" i="1"/>
  <c r="S120" i="1"/>
  <c r="R120" i="1"/>
  <c r="Z121" i="1"/>
  <c r="Z120" i="1"/>
  <c r="AR253" i="1"/>
  <c r="AQ253" i="1"/>
  <c r="AM26" i="1"/>
  <c r="AN26" i="1"/>
  <c r="AR26" i="1"/>
  <c r="Q239" i="1"/>
  <c r="AN253" i="1" s="1"/>
  <c r="P239" i="1"/>
  <c r="AM253" i="1" s="1"/>
  <c r="O239" i="1"/>
  <c r="AL253" i="1" s="1"/>
  <c r="N239" i="1"/>
  <c r="M239" i="1"/>
  <c r="L239" i="1"/>
  <c r="K239" i="1"/>
  <c r="J239" i="1"/>
  <c r="I239" i="1"/>
  <c r="H239" i="1"/>
  <c r="G239" i="1"/>
  <c r="F239" i="1"/>
  <c r="E239" i="1"/>
  <c r="D239" i="1"/>
  <c r="C239" i="1"/>
  <c r="R238" i="1"/>
  <c r="V238" i="1"/>
  <c r="Z238" i="1"/>
  <c r="R247" i="1"/>
  <c r="R249" i="1" s="1"/>
  <c r="V247" i="1"/>
  <c r="V249" i="1" s="1"/>
  <c r="R130" i="1"/>
  <c r="R136" i="1" s="1"/>
  <c r="V130" i="1"/>
  <c r="V136" i="1" s="1"/>
  <c r="AO54" i="1"/>
  <c r="AO56" i="1" s="1"/>
  <c r="AO40" i="1"/>
  <c r="AO30" i="1"/>
  <c r="AP54" i="1"/>
  <c r="AP56" i="1" s="1"/>
  <c r="AP40" i="1"/>
  <c r="AP30" i="1"/>
  <c r="AP14" i="1"/>
  <c r="AO14" i="1"/>
  <c r="AP12" i="1"/>
  <c r="AO12" i="1"/>
  <c r="AP8" i="1"/>
  <c r="AO8" i="1"/>
  <c r="AO16" i="1"/>
  <c r="AP16" i="1"/>
  <c r="AP6" i="1"/>
  <c r="AO6" i="1"/>
  <c r="AP4" i="1"/>
  <c r="AO4" i="1"/>
  <c r="AP3" i="1"/>
  <c r="AO3" i="1"/>
  <c r="Z247" i="1"/>
  <c r="Z249" i="1" s="1"/>
  <c r="Z234" i="1"/>
  <c r="Z228" i="1"/>
  <c r="Z225" i="1"/>
  <c r="Z221" i="1"/>
  <c r="Z216" i="1"/>
  <c r="Z213" i="1"/>
  <c r="Z209" i="1"/>
  <c r="Z204" i="1"/>
  <c r="Z192" i="1"/>
  <c r="Z189" i="1"/>
  <c r="Z185" i="1"/>
  <c r="Z181" i="1"/>
  <c r="Z175" i="1"/>
  <c r="Z167" i="1"/>
  <c r="Z161" i="1"/>
  <c r="Z155" i="1"/>
  <c r="Z149" i="1"/>
  <c r="Z143" i="1"/>
  <c r="Z130" i="1"/>
  <c r="Z136" i="1" s="1"/>
  <c r="X105" i="1"/>
  <c r="W105" i="1"/>
  <c r="V105" i="1"/>
  <c r="U105" i="1"/>
  <c r="T105" i="1"/>
  <c r="S105" i="1"/>
  <c r="R105" i="1"/>
  <c r="X101" i="1"/>
  <c r="W101" i="1"/>
  <c r="V101" i="1"/>
  <c r="U101" i="1"/>
  <c r="T101" i="1"/>
  <c r="S101" i="1"/>
  <c r="X97" i="1"/>
  <c r="W97" i="1"/>
  <c r="V97" i="1"/>
  <c r="U97" i="1"/>
  <c r="T97" i="1"/>
  <c r="S97" i="1"/>
  <c r="S81" i="1"/>
  <c r="S88" i="1"/>
  <c r="R80" i="1"/>
  <c r="R77" i="1"/>
  <c r="R73" i="1"/>
  <c r="R75" i="1" s="1"/>
  <c r="R10" i="1"/>
  <c r="W81" i="1"/>
  <c r="W71" i="1"/>
  <c r="W87" i="1" s="1"/>
  <c r="T81" i="1"/>
  <c r="T71" i="1"/>
  <c r="T87" i="1" s="1"/>
  <c r="X88" i="1"/>
  <c r="S10" i="1"/>
  <c r="W10" i="1"/>
  <c r="U81" i="1"/>
  <c r="U75" i="1"/>
  <c r="U71" i="1"/>
  <c r="U87" i="1" s="1"/>
  <c r="Y81" i="1"/>
  <c r="Y71" i="1"/>
  <c r="Y87" i="1" s="1"/>
  <c r="T10" i="1"/>
  <c r="X10" i="1"/>
  <c r="AO84" i="1"/>
  <c r="AP80" i="1"/>
  <c r="AP78" i="1"/>
  <c r="AO80" i="1"/>
  <c r="AO78" i="1"/>
  <c r="AO77" i="1"/>
  <c r="AP73" i="1"/>
  <c r="AP75" i="1" s="1"/>
  <c r="AO73" i="1"/>
  <c r="AO75" i="1" s="1"/>
  <c r="AP71" i="1"/>
  <c r="AO71" i="1"/>
  <c r="U10" i="1"/>
  <c r="Y10" i="1"/>
  <c r="Z105" i="1"/>
  <c r="Y105" i="1"/>
  <c r="Y97" i="1"/>
  <c r="R97" i="1"/>
  <c r="Y101" i="1"/>
  <c r="R101" i="1"/>
  <c r="Z101" i="1"/>
  <c r="Z97" i="1"/>
  <c r="W88" i="1"/>
  <c r="V88" i="1"/>
  <c r="U88" i="1"/>
  <c r="T88" i="1"/>
  <c r="R88" i="1"/>
  <c r="Z88" i="1"/>
  <c r="Z81" i="1"/>
  <c r="X81" i="1"/>
  <c r="V81" i="1"/>
  <c r="Y75" i="1"/>
  <c r="W75" i="1"/>
  <c r="V75" i="1"/>
  <c r="T75" i="1"/>
  <c r="S75" i="1"/>
  <c r="Z75" i="1"/>
  <c r="V71" i="1"/>
  <c r="R71" i="1"/>
  <c r="R87" i="1" s="1"/>
  <c r="Z71" i="1"/>
  <c r="Z87" i="1" s="1"/>
  <c r="J7" i="2"/>
  <c r="J8" i="2"/>
  <c r="Y30" i="1"/>
  <c r="X30" i="1"/>
  <c r="W30" i="1"/>
  <c r="V30" i="1"/>
  <c r="U30" i="1"/>
  <c r="T30" i="1"/>
  <c r="S30" i="1"/>
  <c r="R30" i="1"/>
  <c r="Z30" i="1"/>
  <c r="Y54" i="1"/>
  <c r="Y56" i="1" s="1"/>
  <c r="X54" i="1"/>
  <c r="X56" i="1" s="1"/>
  <c r="W54" i="1"/>
  <c r="W56" i="1" s="1"/>
  <c r="V54" i="1"/>
  <c r="V56" i="1" s="1"/>
  <c r="U54" i="1"/>
  <c r="U56" i="1" s="1"/>
  <c r="T54" i="1"/>
  <c r="T56" i="1" s="1"/>
  <c r="S54" i="1"/>
  <c r="S56" i="1" s="1"/>
  <c r="R54" i="1"/>
  <c r="R56" i="1" s="1"/>
  <c r="Z54" i="1"/>
  <c r="Z56" i="1" s="1"/>
  <c r="Y40" i="1"/>
  <c r="X40" i="1"/>
  <c r="W40" i="1"/>
  <c r="V40" i="1"/>
  <c r="U40" i="1"/>
  <c r="T40" i="1"/>
  <c r="S40" i="1"/>
  <c r="R40" i="1"/>
  <c r="Z40" i="1"/>
  <c r="V10" i="1"/>
  <c r="Z10" i="1"/>
  <c r="Y5" i="1"/>
  <c r="Y7" i="1" s="1"/>
  <c r="Y9" i="1" s="1"/>
  <c r="Y20" i="1" s="1"/>
  <c r="X5" i="1"/>
  <c r="X7" i="1" s="1"/>
  <c r="X9" i="1" s="1"/>
  <c r="X20" i="1" s="1"/>
  <c r="W5" i="1"/>
  <c r="W7" i="1" s="1"/>
  <c r="W9" i="1" s="1"/>
  <c r="W20" i="1" s="1"/>
  <c r="V5" i="1"/>
  <c r="V7" i="1" s="1"/>
  <c r="V9" i="1" s="1"/>
  <c r="V20" i="1" s="1"/>
  <c r="U5" i="1"/>
  <c r="U7" i="1" s="1"/>
  <c r="U9" i="1" s="1"/>
  <c r="U20" i="1" s="1"/>
  <c r="T5" i="1"/>
  <c r="S5" i="1"/>
  <c r="S7" i="1" s="1"/>
  <c r="S9" i="1" s="1"/>
  <c r="S20" i="1" s="1"/>
  <c r="R5" i="1"/>
  <c r="R7" i="1" s="1"/>
  <c r="R9" i="1" s="1"/>
  <c r="R20" i="1" s="1"/>
  <c r="Z5" i="1"/>
  <c r="Z7" i="1" s="1"/>
  <c r="Z9" i="1" s="1"/>
  <c r="Z20" i="1" s="1"/>
  <c r="J6" i="2"/>
  <c r="U90" i="1" l="1"/>
  <c r="U91" i="1" s="1"/>
  <c r="V90" i="1"/>
  <c r="V91" i="1" s="1"/>
  <c r="AP120" i="1"/>
  <c r="Z90" i="1"/>
  <c r="Z91" i="1" s="1"/>
  <c r="W90" i="1"/>
  <c r="W91" i="1" s="1"/>
  <c r="X90" i="1"/>
  <c r="X91" i="1" s="1"/>
  <c r="Y90" i="1"/>
  <c r="Y91" i="1" s="1"/>
  <c r="R90" i="1"/>
  <c r="R91" i="1" s="1"/>
  <c r="S90" i="1"/>
  <c r="S91" i="1" s="1"/>
  <c r="AP256" i="1"/>
  <c r="AO256" i="1"/>
  <c r="AO121" i="1"/>
  <c r="AO120" i="1"/>
  <c r="AP121" i="1"/>
  <c r="Y22" i="1"/>
  <c r="X22" i="1"/>
  <c r="W22" i="1"/>
  <c r="S22" i="1"/>
  <c r="Z22" i="1"/>
  <c r="X19" i="1"/>
  <c r="R19" i="1"/>
  <c r="S19" i="1"/>
  <c r="W19" i="1"/>
  <c r="V22" i="1"/>
  <c r="Y19" i="1"/>
  <c r="U21" i="1"/>
  <c r="U22" i="1"/>
  <c r="S21" i="1"/>
  <c r="Z19" i="1"/>
  <c r="R22" i="1"/>
  <c r="Z21" i="1"/>
  <c r="V21" i="1"/>
  <c r="Y21" i="1"/>
  <c r="Z26" i="1"/>
  <c r="V26" i="1"/>
  <c r="W26" i="1"/>
  <c r="U19" i="1"/>
  <c r="X26" i="1"/>
  <c r="W21" i="1"/>
  <c r="X21" i="1"/>
  <c r="V19" i="1"/>
  <c r="R21" i="1"/>
  <c r="Y26" i="1"/>
  <c r="AO5" i="1"/>
  <c r="AO26" i="1" s="1"/>
  <c r="Z236" i="1"/>
  <c r="V236" i="1"/>
  <c r="V239" i="1" s="1"/>
  <c r="R236" i="1"/>
  <c r="R239" i="1" s="1"/>
  <c r="AP5" i="1"/>
  <c r="AP257" i="1" s="1"/>
  <c r="Z11" i="1"/>
  <c r="S108" i="1"/>
  <c r="AO81" i="1"/>
  <c r="AO83" i="1" s="1"/>
  <c r="AO85" i="1" s="1"/>
  <c r="AP84" i="1" s="1"/>
  <c r="R81" i="1"/>
  <c r="R83" i="1" s="1"/>
  <c r="R85" i="1" s="1"/>
  <c r="S84" i="1" s="1"/>
  <c r="Y11" i="1"/>
  <c r="AO10" i="1"/>
  <c r="AP10" i="1"/>
  <c r="U108" i="1"/>
  <c r="U11" i="1"/>
  <c r="W11" i="1"/>
  <c r="X108" i="1"/>
  <c r="W108" i="1"/>
  <c r="Z108" i="1"/>
  <c r="V108" i="1"/>
  <c r="T108" i="1"/>
  <c r="Z237" i="1"/>
  <c r="T7" i="1"/>
  <c r="AP81" i="1"/>
  <c r="AP83" i="1" s="1"/>
  <c r="R108" i="1"/>
  <c r="Y108" i="1"/>
  <c r="S71" i="1"/>
  <c r="S87" i="1" s="1"/>
  <c r="R11" i="1"/>
  <c r="W83" i="1"/>
  <c r="X75" i="1"/>
  <c r="X71" i="1"/>
  <c r="X87" i="1" s="1"/>
  <c r="S11" i="1"/>
  <c r="Y88" i="1"/>
  <c r="X11" i="1"/>
  <c r="Y83" i="1"/>
  <c r="T83" i="1"/>
  <c r="V83" i="1"/>
  <c r="Z83" i="1"/>
  <c r="V87" i="1"/>
  <c r="V11" i="1"/>
  <c r="U83" i="1"/>
  <c r="J10" i="2"/>
  <c r="AO254" i="1" l="1"/>
  <c r="AP254" i="1"/>
  <c r="S13" i="1"/>
  <c r="S15" i="1" s="1"/>
  <c r="S23" i="1"/>
  <c r="Z13" i="1"/>
  <c r="Z60" i="1" s="1"/>
  <c r="Z23" i="1"/>
  <c r="T9" i="1"/>
  <c r="T90" i="1" s="1"/>
  <c r="T91" i="1" s="1"/>
  <c r="T19" i="1"/>
  <c r="T21" i="1"/>
  <c r="Y13" i="1"/>
  <c r="Y15" i="1" s="1"/>
  <c r="Y23" i="1"/>
  <c r="X13" i="1"/>
  <c r="X15" i="1" s="1"/>
  <c r="X23" i="1"/>
  <c r="V13" i="1"/>
  <c r="V15" i="1" s="1"/>
  <c r="V23" i="1"/>
  <c r="R13" i="1"/>
  <c r="R15" i="1" s="1"/>
  <c r="R23" i="1"/>
  <c r="W13" i="1"/>
  <c r="W15" i="1" s="1"/>
  <c r="W23" i="1"/>
  <c r="U13" i="1"/>
  <c r="U15" i="1" s="1"/>
  <c r="U23" i="1"/>
  <c r="Z239" i="1"/>
  <c r="AO7" i="1"/>
  <c r="AO253" i="1"/>
  <c r="AP26" i="1"/>
  <c r="AP253" i="1"/>
  <c r="AP7" i="1"/>
  <c r="AQ26" i="1"/>
  <c r="Z15" i="1"/>
  <c r="S83" i="1"/>
  <c r="S85" i="1" s="1"/>
  <c r="T84" i="1" s="1"/>
  <c r="T85" i="1" s="1"/>
  <c r="U84" i="1" s="1"/>
  <c r="U85" i="1" s="1"/>
  <c r="V84" i="1" s="1"/>
  <c r="V85" i="1" s="1"/>
  <c r="W84" i="1" s="1"/>
  <c r="W85" i="1" s="1"/>
  <c r="X84" i="1" s="1"/>
  <c r="AP85" i="1"/>
  <c r="X83" i="1"/>
  <c r="W60" i="1" l="1"/>
  <c r="S60" i="1"/>
  <c r="V60" i="1"/>
  <c r="X60" i="1"/>
  <c r="Y60" i="1"/>
  <c r="U17" i="1"/>
  <c r="U24" i="1"/>
  <c r="Z17" i="1"/>
  <c r="Z24" i="1"/>
  <c r="R17" i="1"/>
  <c r="R24" i="1"/>
  <c r="AO9" i="1"/>
  <c r="AO90" i="1" s="1"/>
  <c r="AO91" i="1" s="1"/>
  <c r="AO19" i="1"/>
  <c r="AO21" i="1"/>
  <c r="X17" i="1"/>
  <c r="X24" i="1"/>
  <c r="Y17" i="1"/>
  <c r="Y24" i="1"/>
  <c r="U60" i="1"/>
  <c r="V17" i="1"/>
  <c r="V24" i="1"/>
  <c r="T11" i="1"/>
  <c r="T20" i="1"/>
  <c r="T22" i="1"/>
  <c r="W17" i="1"/>
  <c r="W24" i="1"/>
  <c r="AP9" i="1"/>
  <c r="AP90" i="1" s="1"/>
  <c r="AP91" i="1" s="1"/>
  <c r="AP21" i="1"/>
  <c r="AP19" i="1"/>
  <c r="R60" i="1"/>
  <c r="S17" i="1"/>
  <c r="S24" i="1"/>
  <c r="X85" i="1"/>
  <c r="Y84" i="1" s="1"/>
  <c r="Y85" i="1" s="1"/>
  <c r="Z84" i="1" s="1"/>
  <c r="Z85" i="1" s="1"/>
  <c r="AP20" i="1" l="1"/>
  <c r="AP11" i="1"/>
  <c r="AP22" i="1"/>
  <c r="AO20" i="1"/>
  <c r="AO11" i="1"/>
  <c r="AO22" i="1"/>
  <c r="T13" i="1"/>
  <c r="T23" i="1"/>
  <c r="T15" i="1" l="1"/>
  <c r="T60" i="1"/>
  <c r="AO13" i="1"/>
  <c r="AO23" i="1"/>
  <c r="AP13" i="1"/>
  <c r="AP23" i="1"/>
  <c r="T17" i="1" l="1"/>
  <c r="T24" i="1"/>
  <c r="AP60" i="1"/>
  <c r="AP15" i="1"/>
  <c r="AO60" i="1"/>
  <c r="AO15" i="1"/>
  <c r="AO17" i="1" l="1"/>
  <c r="AO24" i="1"/>
  <c r="AP17" i="1"/>
  <c r="AP24" i="1"/>
</calcChain>
</file>

<file path=xl/sharedStrings.xml><?xml version="1.0" encoding="utf-8"?>
<sst xmlns="http://schemas.openxmlformats.org/spreadsheetml/2006/main" count="281" uniqueCount="198">
  <si>
    <t>Tech</t>
  </si>
  <si>
    <t>Q126</t>
  </si>
  <si>
    <t>Q224</t>
  </si>
  <si>
    <t>Q324</t>
  </si>
  <si>
    <t>Q424</t>
  </si>
  <si>
    <t>Q125</t>
  </si>
  <si>
    <t>Q225</t>
  </si>
  <si>
    <t>Q325</t>
  </si>
  <si>
    <t>Q425</t>
  </si>
  <si>
    <t>Q124</t>
  </si>
  <si>
    <t>Q226</t>
  </si>
  <si>
    <t>Q326</t>
  </si>
  <si>
    <t>Q426</t>
  </si>
  <si>
    <t>Q127</t>
  </si>
  <si>
    <t>Q227</t>
  </si>
  <si>
    <t>Q327</t>
  </si>
  <si>
    <t>Q427</t>
  </si>
  <si>
    <t>Q128</t>
  </si>
  <si>
    <t>Q228</t>
  </si>
  <si>
    <t>Net sales</t>
  </si>
  <si>
    <t xml:space="preserve">Membership and other </t>
  </si>
  <si>
    <t>Total Revenues</t>
  </si>
  <si>
    <t>COGS</t>
  </si>
  <si>
    <t>Gross profit</t>
  </si>
  <si>
    <t>SG&amp;A</t>
  </si>
  <si>
    <t>Operating income</t>
  </si>
  <si>
    <t>Interest income</t>
  </si>
  <si>
    <t>Pretax income</t>
  </si>
  <si>
    <t>Tax</t>
  </si>
  <si>
    <t>Net Income</t>
  </si>
  <si>
    <t>Attributable to noncontrolling interest</t>
  </si>
  <si>
    <t>Net Income attributable to Walmart</t>
  </si>
  <si>
    <t>S/O</t>
  </si>
  <si>
    <t>EPS</t>
  </si>
  <si>
    <t>Main</t>
  </si>
  <si>
    <t>Price</t>
  </si>
  <si>
    <t>MC</t>
  </si>
  <si>
    <t>Cash</t>
  </si>
  <si>
    <t>Debt</t>
  </si>
  <si>
    <t>EV</t>
  </si>
  <si>
    <t>A/R</t>
  </si>
  <si>
    <t>Inv.</t>
  </si>
  <si>
    <t>Prepaids</t>
  </si>
  <si>
    <t>PP&amp;A</t>
  </si>
  <si>
    <t>Operating lease ROU</t>
  </si>
  <si>
    <t>Finance lease ROU</t>
  </si>
  <si>
    <t>Goodwill</t>
  </si>
  <si>
    <t>ONCA</t>
  </si>
  <si>
    <t>Total assets</t>
  </si>
  <si>
    <t>Short-term debt</t>
  </si>
  <si>
    <t>A/P</t>
  </si>
  <si>
    <t>Dividends</t>
  </si>
  <si>
    <t>Accrued liabilities</t>
  </si>
  <si>
    <t>Accrued income taxes</t>
  </si>
  <si>
    <t>Long-term debt due within a year</t>
  </si>
  <si>
    <t>Operating lease due within a year</t>
  </si>
  <si>
    <t>Finance lease due within a year</t>
  </si>
  <si>
    <t>Long-term debt</t>
  </si>
  <si>
    <t>Long-term operating lease</t>
  </si>
  <si>
    <t>Long-term finance lease</t>
  </si>
  <si>
    <t>Deferred income taxes</t>
  </si>
  <si>
    <t>Redeemable noncontrolling interest</t>
  </si>
  <si>
    <t>SE</t>
  </si>
  <si>
    <t>Total liabilities</t>
  </si>
  <si>
    <t>Net Cash</t>
  </si>
  <si>
    <t>L+SE</t>
  </si>
  <si>
    <t>Model NI</t>
  </si>
  <si>
    <t>GAAP NI</t>
  </si>
  <si>
    <t>D&amp;A</t>
  </si>
  <si>
    <t>Other operating activities</t>
  </si>
  <si>
    <t>Investments</t>
  </si>
  <si>
    <t>CFFO</t>
  </si>
  <si>
    <t>CapEx</t>
  </si>
  <si>
    <t>Proceeds from PP&amp;A disposal</t>
  </si>
  <si>
    <t xml:space="preserve">Other  </t>
  </si>
  <si>
    <t>CFFI</t>
  </si>
  <si>
    <t>Purchase of stock</t>
  </si>
  <si>
    <t xml:space="preserve">Other </t>
  </si>
  <si>
    <t>CFFF</t>
  </si>
  <si>
    <t>FX adj</t>
  </si>
  <si>
    <t>CF</t>
  </si>
  <si>
    <t>FCF</t>
  </si>
  <si>
    <t>CapEx margin</t>
  </si>
  <si>
    <t>BOP Cash</t>
  </si>
  <si>
    <t>EOP Cash</t>
  </si>
  <si>
    <t>Walmart U.S.</t>
  </si>
  <si>
    <t>Walmart International</t>
  </si>
  <si>
    <t>Sam's Club U.S.</t>
  </si>
  <si>
    <t>Membership and other</t>
  </si>
  <si>
    <t>Total</t>
  </si>
  <si>
    <t>Corporate and support</t>
  </si>
  <si>
    <t>Consolidated</t>
  </si>
  <si>
    <t>FY24</t>
  </si>
  <si>
    <t>FY25</t>
  </si>
  <si>
    <t>Unit counts</t>
  </si>
  <si>
    <t>USA</t>
  </si>
  <si>
    <t>Walmart U.S</t>
  </si>
  <si>
    <t>Supercenter</t>
  </si>
  <si>
    <t>Neighborhood market</t>
  </si>
  <si>
    <t>Discount Store</t>
  </si>
  <si>
    <t>Small formats</t>
  </si>
  <si>
    <t>Sam's Club</t>
  </si>
  <si>
    <t>Chile (Entered January 2009)</t>
  </si>
  <si>
    <t>Lider Express</t>
  </si>
  <si>
    <t>Superbodega Acuenta</t>
  </si>
  <si>
    <t>Lider Hiper</t>
  </si>
  <si>
    <t>Central Mayorista</t>
  </si>
  <si>
    <t>Costa Rica (Entered September 2005)</t>
  </si>
  <si>
    <t>Pali</t>
  </si>
  <si>
    <t>Maxi Pali</t>
  </si>
  <si>
    <t>Mas X Menos</t>
  </si>
  <si>
    <t>Walmart Supercenter</t>
  </si>
  <si>
    <t>El Salvador (Entered September 2005)</t>
  </si>
  <si>
    <t>Despensa Familiar</t>
  </si>
  <si>
    <t>La Despensa de Don Juan</t>
  </si>
  <si>
    <t>Maxi Despensa</t>
  </si>
  <si>
    <t>Guatemala (Entered September 2005)</t>
  </si>
  <si>
    <t>Paiz</t>
  </si>
  <si>
    <t>Mexico (Entered November 1991)</t>
  </si>
  <si>
    <t>Honduras (Entered September 2005)</t>
  </si>
  <si>
    <t>Bodega Aurrera Express</t>
  </si>
  <si>
    <t>Bodega Aurrera</t>
  </si>
  <si>
    <t>Mi Bodega Aurrera</t>
  </si>
  <si>
    <t>Walmart Express</t>
  </si>
  <si>
    <t>Nicaragua (Entered September 2005)</t>
  </si>
  <si>
    <t>La Union</t>
  </si>
  <si>
    <t>Canada (Entered November 1994)</t>
  </si>
  <si>
    <t>Walmart Discount Store</t>
  </si>
  <si>
    <t>China (Entered August 1996)</t>
  </si>
  <si>
    <t>India (Entered May 2009)</t>
  </si>
  <si>
    <t>Best Price Modern Wholesale</t>
  </si>
  <si>
    <t>South Africa (Entered June 2011)</t>
  </si>
  <si>
    <t>Game</t>
  </si>
  <si>
    <t>Builders Express</t>
  </si>
  <si>
    <t>Builders Warehouse</t>
  </si>
  <si>
    <t>Cash &amp; Carry</t>
  </si>
  <si>
    <t>Makro</t>
  </si>
  <si>
    <t>Builders Superstore</t>
  </si>
  <si>
    <t>Jumbo</t>
  </si>
  <si>
    <t>Cambridge</t>
  </si>
  <si>
    <t>Builders Trade Depot</t>
  </si>
  <si>
    <t>Rhino</t>
  </si>
  <si>
    <t>Botswana</t>
  </si>
  <si>
    <t>Lesotho</t>
  </si>
  <si>
    <t>Malawi</t>
  </si>
  <si>
    <t>Mozambique</t>
  </si>
  <si>
    <t>Namibia</t>
  </si>
  <si>
    <t>Eswatini</t>
  </si>
  <si>
    <t>Zambia</t>
  </si>
  <si>
    <t>International Total</t>
  </si>
  <si>
    <t>Total U.S</t>
  </si>
  <si>
    <t>Square footage</t>
  </si>
  <si>
    <t>International</t>
  </si>
  <si>
    <t>Total Walmart</t>
  </si>
  <si>
    <t>Q110</t>
  </si>
  <si>
    <t>Q109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</si>
  <si>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</si>
  <si>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</si>
  <si>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</si>
  <si>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</si>
  <si>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</si>
  <si>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</si>
  <si>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</si>
  <si>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</si>
  <si>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</si>
  <si>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</si>
  <si>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</si>
  <si>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</si>
  <si>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</si>
  <si>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FY26</t>
  </si>
  <si>
    <t>FY27</t>
  </si>
  <si>
    <t>Revenue Y/Y</t>
  </si>
  <si>
    <t>FY21</t>
  </si>
  <si>
    <t>FY22</t>
  </si>
  <si>
    <t>FY23</t>
  </si>
  <si>
    <t>Employees</t>
  </si>
  <si>
    <t>Revenue per worker</t>
  </si>
  <si>
    <t>Gross margin</t>
  </si>
  <si>
    <t>Operating margin</t>
  </si>
  <si>
    <t>SG&amp;A margin</t>
  </si>
  <si>
    <t>Interest margin</t>
  </si>
  <si>
    <t>Tax margin</t>
  </si>
  <si>
    <t>Net margin</t>
  </si>
  <si>
    <t>International sales</t>
  </si>
  <si>
    <t>Walmart U.S sales</t>
  </si>
  <si>
    <t>operating income</t>
  </si>
  <si>
    <t>Sam's Club U.S. sales</t>
  </si>
  <si>
    <t>Total sales</t>
  </si>
  <si>
    <t>Walmart U.S. Y/Y</t>
  </si>
  <si>
    <t>Internationale Y/Y</t>
  </si>
  <si>
    <t>Sam's club Y/Y</t>
  </si>
  <si>
    <t>Revenue per store total</t>
  </si>
  <si>
    <t>Revenue per store U.S.</t>
  </si>
  <si>
    <t>Revenue per store Internationale</t>
  </si>
  <si>
    <t>Revenue per store Sam's club U.S.</t>
  </si>
  <si>
    <t>EBITDA</t>
  </si>
  <si>
    <t>EBITDA Margin</t>
  </si>
  <si>
    <t>EBIT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</si>
</sst>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4" fontId="1" fillId="0" borderId="0" xfId="0" applyNumberFormat="1" applyFont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5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Walmart Stores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(Model!$C$2:$R$2,Model!$V$2,Model!$Z$2)</c:f>
              <c:strCache>
                <c:ptCount val="18"/>
                <c:pt idx="0">
                  <c:v>Q109</c:v>
                </c:pt>
                <c:pt idx="1">
                  <c:v>Q110</c:v>
                </c:pt>
                <c:pt idx="2">
                  <c:v>Q111</c:v>
                </c:pt>
                <c:pt idx="3">
                  <c:v>Q112</c:v>
                </c:pt>
                <c:pt idx="4">
                  <c:v>Q113</c:v>
                </c:pt>
                <c:pt idx="5">
                  <c:v>Q114</c:v>
                </c:pt>
                <c:pt idx="6">
                  <c:v>Q115</c:v>
                </c:pt>
                <c:pt idx="7">
                  <c:v>Q116</c:v>
                </c:pt>
                <c:pt idx="8">
                  <c:v>Q117</c:v>
                </c:pt>
                <c:pt idx="9">
                  <c:v>Q118</c:v>
                </c:pt>
                <c:pt idx="10">
                  <c:v>Q119</c:v>
                </c:pt>
                <c:pt idx="11">
                  <c:v>Q120</c:v>
                </c:pt>
                <c:pt idx="12">
                  <c:v>Q121</c:v>
                </c:pt>
                <c:pt idx="13">
                  <c:v>Q122</c:v>
                </c:pt>
                <c:pt idx="14">
                  <c:v>Q123</c:v>
                </c:pt>
                <c:pt idx="15">
                  <c:v>Q124</c:v>
                </c:pt>
                <c:pt idx="16">
                  <c:v>Q125</c:v>
                </c:pt>
                <c:pt idx="17">
                  <c:v>Q126</c:v>
                </c:pt>
              </c:strCache>
            </c:strRef>
          </c:cat>
          <c:val>
            <c:numRef>
              <c:f>(Model!$C$239:$R$239,Model!$V$239,Model!$Z$239)</c:f>
              <c:numCache>
                <c:formatCode>#,##0</c:formatCode>
                <c:ptCount val="18"/>
                <c:pt idx="0">
                  <c:v>7320</c:v>
                </c:pt>
                <c:pt idx="1">
                  <c:v>7904</c:v>
                </c:pt>
                <c:pt idx="2">
                  <c:v>8488</c:v>
                </c:pt>
                <c:pt idx="3">
                  <c:v>9029</c:v>
                </c:pt>
                <c:pt idx="4">
                  <c:v>10231</c:v>
                </c:pt>
                <c:pt idx="5">
                  <c:v>10857</c:v>
                </c:pt>
                <c:pt idx="6">
                  <c:v>10994</c:v>
                </c:pt>
                <c:pt idx="7">
                  <c:v>11489</c:v>
                </c:pt>
                <c:pt idx="8">
                  <c:v>11527</c:v>
                </c:pt>
                <c:pt idx="9">
                  <c:v>11723</c:v>
                </c:pt>
                <c:pt idx="10">
                  <c:v>11717</c:v>
                </c:pt>
                <c:pt idx="11">
                  <c:v>11368</c:v>
                </c:pt>
                <c:pt idx="12">
                  <c:v>11484</c:v>
                </c:pt>
                <c:pt idx="13">
                  <c:v>10526</c:v>
                </c:pt>
                <c:pt idx="14">
                  <c:v>10585</c:v>
                </c:pt>
                <c:pt idx="15">
                  <c:v>10545</c:v>
                </c:pt>
                <c:pt idx="16">
                  <c:v>10607</c:v>
                </c:pt>
                <c:pt idx="17">
                  <c:v>10784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1-42F0-80BA-B2D71AAA9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995087"/>
        <c:axId val="1668985487"/>
      </c:lineChart>
      <c:catAx>
        <c:axId val="166899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985487"/>
        <c:crosses val="autoZero"/>
        <c:auto val="1"/>
        <c:lblAlgn val="ctr"/>
        <c:lblOffset val="100"/>
        <c:noMultiLvlLbl val="0"/>
      </c:catAx>
      <c:valAx>
        <c:axId val="1668985487"/>
        <c:scaling>
          <c:orientation val="minMax"/>
          <c:min val="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99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73162</xdr:colOff>
      <xdr:row>235</xdr:row>
      <xdr:rowOff>38100</xdr:rowOff>
    </xdr:from>
    <xdr:to>
      <xdr:col>40</xdr:col>
      <xdr:colOff>184483</xdr:colOff>
      <xdr:row>248</xdr:row>
      <xdr:rowOff>105059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766F21-88B8-DBA4-64BD-E0AD4F885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0</xdr:row>
      <xdr:rowOff>38100</xdr:rowOff>
    </xdr:from>
    <xdr:to>
      <xdr:col>42</xdr:col>
      <xdr:colOff>7620</xdr:colOff>
      <xdr:row>40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7EDA768-8775-329C-6772-7FDA581CF213}"/>
            </a:ext>
          </a:extLst>
        </xdr:cNvPr>
        <xdr:cNvCxnSpPr/>
      </xdr:nvCxnSpPr>
      <xdr:spPr>
        <a:xfrm>
          <a:off x="26837640" y="38100"/>
          <a:ext cx="7620" cy="65836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ch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1726-9790-4BB1-BD5B-F2F13998821B}">
  <dimension ref="A1:J10"/>
  <sheetViews>
    <sheetView workbookViewId="0">
      <selection activeCell="C29" sqref="C29"/>
    </sheetView>
  </sheetViews>
  <sheetFormatPr defaultRowHeight="14.4" x14ac:dyDescent="0.3"/>
  <sheetData>
    <row r="1" spans="1:10" x14ac:dyDescent="0.3">
      <c r="A1" s="1" t="s">
        <v>0</v>
      </c>
    </row>
    <row r="4" spans="1:10" x14ac:dyDescent="0.3">
      <c r="I4" t="s">
        <v>35</v>
      </c>
      <c r="J4">
        <v>98.49</v>
      </c>
    </row>
    <row r="5" spans="1:10" x14ac:dyDescent="0.3">
      <c r="I5" t="s">
        <v>32</v>
      </c>
      <c r="J5" s="3">
        <v>8011</v>
      </c>
    </row>
    <row r="6" spans="1:10" x14ac:dyDescent="0.3">
      <c r="I6" t="s">
        <v>36</v>
      </c>
      <c r="J6" s="3">
        <f>+J4*J5</f>
        <v>789003.39</v>
      </c>
    </row>
    <row r="7" spans="1:10" x14ac:dyDescent="0.3">
      <c r="I7" t="s">
        <v>37</v>
      </c>
      <c r="J7" s="3">
        <f>Model!Z31</f>
        <v>9311</v>
      </c>
    </row>
    <row r="8" spans="1:10" x14ac:dyDescent="0.3">
      <c r="I8" t="s">
        <v>38</v>
      </c>
      <c r="J8" s="3">
        <f>+Model!Z41+Model!Z46+Model!Z49</f>
        <v>46200</v>
      </c>
    </row>
    <row r="9" spans="1:10" x14ac:dyDescent="0.3">
      <c r="J9" s="3"/>
    </row>
    <row r="10" spans="1:10" x14ac:dyDescent="0.3">
      <c r="I10" t="s">
        <v>39</v>
      </c>
      <c r="J10" s="3">
        <f>J6-J7+J8</f>
        <v>825892.39</v>
      </c>
    </row>
  </sheetData>
  <hyperlinks>
    <hyperlink ref="A1" r:id="rId1" xr:uid="{0BE825F3-CBBD-4D81-8E7D-F9F329B2C1B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7"/>
  <sheetViews>
    <sheetView tabSelected="1" zoomScaleNormal="10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Z12" sqref="Z12"/>
    </sheetView>
  </sheetViews>
  <sheetFormatPr defaultRowHeight="14.4" x14ac:dyDescent="0.3"/>
  <cols>
    <col min="3" max="16" width="9.33203125" bestFit="1" customWidth="1"/>
    <col min="17" max="17" width="9.109375" bestFit="1" customWidth="1"/>
    <col min="18" max="18" width="12.6640625" bestFit="1" customWidth="1"/>
    <col min="22" max="22" width="12.6640625" bestFit="1" customWidth="1"/>
    <col min="26" max="26" width="12.6640625" bestFit="1" customWidth="1"/>
  </cols>
  <sheetData>
    <row r="1" spans="1:44" x14ac:dyDescent="0.3">
      <c r="A1" s="1" t="s">
        <v>34</v>
      </c>
      <c r="C1" s="14">
        <v>39568</v>
      </c>
      <c r="D1" s="14">
        <v>39933</v>
      </c>
      <c r="E1" s="14">
        <v>40298</v>
      </c>
      <c r="F1" s="14">
        <v>40663</v>
      </c>
      <c r="G1" s="14">
        <v>41029</v>
      </c>
      <c r="H1" s="14">
        <v>41394</v>
      </c>
      <c r="I1" s="14">
        <v>41759</v>
      </c>
      <c r="J1" s="14">
        <v>42124</v>
      </c>
      <c r="K1" s="14">
        <v>42490</v>
      </c>
      <c r="L1" s="14">
        <v>42855</v>
      </c>
      <c r="M1" s="14">
        <v>43220</v>
      </c>
      <c r="N1" s="14">
        <v>43585</v>
      </c>
      <c r="O1" s="14">
        <v>43951</v>
      </c>
      <c r="P1" s="14">
        <v>44316</v>
      </c>
      <c r="Q1" s="14">
        <v>44681</v>
      </c>
      <c r="R1" s="14">
        <v>45046</v>
      </c>
      <c r="V1" s="15">
        <v>45412</v>
      </c>
      <c r="Z1" s="15">
        <v>45777</v>
      </c>
    </row>
    <row r="2" spans="1:44" x14ac:dyDescent="0.3">
      <c r="C2" t="s">
        <v>155</v>
      </c>
      <c r="D2" t="s">
        <v>154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167</v>
      </c>
      <c r="Q2" t="s">
        <v>168</v>
      </c>
      <c r="R2" s="11" t="s">
        <v>9</v>
      </c>
      <c r="S2" s="11" t="s">
        <v>2</v>
      </c>
      <c r="T2" s="11" t="s">
        <v>3</v>
      </c>
      <c r="U2" s="11" t="s">
        <v>4</v>
      </c>
      <c r="V2" s="11" t="s">
        <v>5</v>
      </c>
      <c r="W2" s="11" t="s">
        <v>6</v>
      </c>
      <c r="X2" s="11" t="s">
        <v>7</v>
      </c>
      <c r="Y2" s="11" t="s">
        <v>8</v>
      </c>
      <c r="Z2" s="11" t="s">
        <v>1</v>
      </c>
      <c r="AA2" s="11" t="s">
        <v>10</v>
      </c>
      <c r="AB2" s="11" t="s">
        <v>11</v>
      </c>
      <c r="AC2" s="11" t="s">
        <v>12</v>
      </c>
      <c r="AD2" s="11" t="s">
        <v>13</v>
      </c>
      <c r="AE2" s="11" t="s">
        <v>14</v>
      </c>
      <c r="AF2" s="11" t="s">
        <v>15</v>
      </c>
      <c r="AG2" s="11" t="s">
        <v>16</v>
      </c>
      <c r="AH2" s="11" t="s">
        <v>17</v>
      </c>
      <c r="AI2" s="11" t="s">
        <v>18</v>
      </c>
      <c r="AL2" t="s">
        <v>172</v>
      </c>
      <c r="AM2" t="s">
        <v>173</v>
      </c>
      <c r="AN2" t="s">
        <v>174</v>
      </c>
      <c r="AO2" t="s">
        <v>92</v>
      </c>
      <c r="AP2" t="s">
        <v>93</v>
      </c>
      <c r="AQ2" t="s">
        <v>169</v>
      </c>
      <c r="AR2" t="s">
        <v>170</v>
      </c>
    </row>
    <row r="3" spans="1:44" s="3" customFormat="1" x14ac:dyDescent="0.3">
      <c r="B3" s="3" t="s">
        <v>19</v>
      </c>
      <c r="R3" s="3">
        <v>151004</v>
      </c>
      <c r="S3" s="3">
        <v>160280</v>
      </c>
      <c r="T3" s="3">
        <v>159439</v>
      </c>
      <c r="U3" s="3">
        <v>171914</v>
      </c>
      <c r="V3" s="3">
        <v>159938</v>
      </c>
      <c r="W3" s="3">
        <v>167767</v>
      </c>
      <c r="X3" s="3">
        <v>168003</v>
      </c>
      <c r="Y3" s="3">
        <v>178830</v>
      </c>
      <c r="Z3" s="3">
        <v>163981</v>
      </c>
      <c r="AO3" s="3">
        <f>R3+S3+T3+U3</f>
        <v>642637</v>
      </c>
      <c r="AP3" s="3">
        <f>+V3+W3+X3+Y3</f>
        <v>674538</v>
      </c>
    </row>
    <row r="4" spans="1:44" s="3" customFormat="1" x14ac:dyDescent="0.3">
      <c r="B4" s="3" t="s">
        <v>20</v>
      </c>
      <c r="R4" s="3">
        <v>1297</v>
      </c>
      <c r="S4" s="3">
        <v>1352</v>
      </c>
      <c r="T4" s="3">
        <v>1365</v>
      </c>
      <c r="U4" s="3">
        <v>1474</v>
      </c>
      <c r="V4" s="3">
        <v>1570</v>
      </c>
      <c r="W4" s="3">
        <v>1568</v>
      </c>
      <c r="X4" s="3">
        <v>1585</v>
      </c>
      <c r="Y4" s="3">
        <v>1724</v>
      </c>
      <c r="Z4" s="3">
        <v>1628</v>
      </c>
      <c r="AO4" s="3">
        <f t="shared" ref="AO4" si="0">R4+S4+T4+U4</f>
        <v>5488</v>
      </c>
      <c r="AP4" s="3">
        <f t="shared" ref="AP4" si="1">+V4+W4+X4+Y4</f>
        <v>6447</v>
      </c>
    </row>
    <row r="5" spans="1:44" s="4" customFormat="1" x14ac:dyDescent="0.3">
      <c r="B5" s="4" t="s">
        <v>21</v>
      </c>
      <c r="R5" s="4">
        <f t="shared" ref="R5:Y5" si="2">R3+R4</f>
        <v>152301</v>
      </c>
      <c r="S5" s="4">
        <f t="shared" si="2"/>
        <v>161632</v>
      </c>
      <c r="T5" s="4">
        <f t="shared" si="2"/>
        <v>160804</v>
      </c>
      <c r="U5" s="4">
        <f t="shared" si="2"/>
        <v>173388</v>
      </c>
      <c r="V5" s="4">
        <f t="shared" si="2"/>
        <v>161508</v>
      </c>
      <c r="W5" s="4">
        <f t="shared" si="2"/>
        <v>169335</v>
      </c>
      <c r="X5" s="4">
        <f t="shared" si="2"/>
        <v>169588</v>
      </c>
      <c r="Y5" s="4">
        <f t="shared" si="2"/>
        <v>180554</v>
      </c>
      <c r="Z5" s="4">
        <f>Z3+Z4</f>
        <v>165609</v>
      </c>
      <c r="AL5" s="4">
        <v>559150</v>
      </c>
      <c r="AM5" s="4">
        <v>572750</v>
      </c>
      <c r="AN5" s="4">
        <v>611290</v>
      </c>
      <c r="AO5" s="4">
        <f t="shared" ref="AO5:AP5" si="3">AO3+AO4</f>
        <v>648125</v>
      </c>
      <c r="AP5" s="4">
        <f t="shared" si="3"/>
        <v>680985</v>
      </c>
      <c r="AQ5" s="4">
        <v>705430</v>
      </c>
      <c r="AR5" s="4">
        <v>738310</v>
      </c>
    </row>
    <row r="6" spans="1:44" s="3" customFormat="1" x14ac:dyDescent="0.3">
      <c r="B6" s="3" t="s">
        <v>22</v>
      </c>
      <c r="R6" s="3">
        <v>115284</v>
      </c>
      <c r="S6" s="3">
        <v>121850</v>
      </c>
      <c r="T6" s="3">
        <v>121183</v>
      </c>
      <c r="U6" s="3">
        <v>131825</v>
      </c>
      <c r="V6" s="3">
        <v>121431</v>
      </c>
      <c r="W6" s="3">
        <v>126810</v>
      </c>
      <c r="X6" s="3">
        <v>127340</v>
      </c>
      <c r="Y6" s="3">
        <v>136172</v>
      </c>
      <c r="Z6" s="3">
        <v>124303</v>
      </c>
      <c r="AO6" s="3">
        <f t="shared" ref="AO6" si="4">R6+S6+T6+U6</f>
        <v>490142</v>
      </c>
      <c r="AP6" s="3">
        <f t="shared" ref="AP6" si="5">+V6+W6+X6+Y6</f>
        <v>511753</v>
      </c>
    </row>
    <row r="7" spans="1:44" s="4" customFormat="1" x14ac:dyDescent="0.3">
      <c r="B7" s="4" t="s">
        <v>23</v>
      </c>
      <c r="R7" s="4">
        <f t="shared" ref="R7:Y7" si="6">R5-R6</f>
        <v>37017</v>
      </c>
      <c r="S7" s="4">
        <f t="shared" si="6"/>
        <v>39782</v>
      </c>
      <c r="T7" s="4">
        <f t="shared" si="6"/>
        <v>39621</v>
      </c>
      <c r="U7" s="4">
        <f t="shared" si="6"/>
        <v>41563</v>
      </c>
      <c r="V7" s="4">
        <f t="shared" si="6"/>
        <v>40077</v>
      </c>
      <c r="W7" s="4">
        <f t="shared" si="6"/>
        <v>42525</v>
      </c>
      <c r="X7" s="4">
        <f t="shared" si="6"/>
        <v>42248</v>
      </c>
      <c r="Y7" s="4">
        <f t="shared" si="6"/>
        <v>44382</v>
      </c>
      <c r="Z7" s="4">
        <f>Z5-Z6</f>
        <v>41306</v>
      </c>
      <c r="AO7" s="4">
        <f t="shared" ref="AO7:AP7" si="7">AO5-AO6</f>
        <v>157983</v>
      </c>
      <c r="AP7" s="4">
        <f t="shared" si="7"/>
        <v>169232</v>
      </c>
    </row>
    <row r="8" spans="1:44" s="3" customFormat="1" x14ac:dyDescent="0.3">
      <c r="B8" s="3" t="s">
        <v>24</v>
      </c>
      <c r="R8" s="3">
        <v>30777</v>
      </c>
      <c r="S8" s="3">
        <v>32466</v>
      </c>
      <c r="T8" s="3">
        <v>33419</v>
      </c>
      <c r="U8" s="3">
        <v>34309</v>
      </c>
      <c r="V8" s="3">
        <v>33236</v>
      </c>
      <c r="W8" s="3">
        <v>34585</v>
      </c>
      <c r="X8" s="3">
        <v>35540</v>
      </c>
      <c r="Y8" s="3">
        <v>36523</v>
      </c>
      <c r="Z8" s="3">
        <v>34171</v>
      </c>
      <c r="AO8" s="3">
        <f t="shared" ref="AO8" si="8">R8+S8+T8+U8</f>
        <v>130971</v>
      </c>
      <c r="AP8" s="3">
        <f t="shared" ref="AP8" si="9">+V8+W8+X8+Y8</f>
        <v>139884</v>
      </c>
    </row>
    <row r="9" spans="1:44" s="4" customFormat="1" x14ac:dyDescent="0.3">
      <c r="B9" s="4" t="s">
        <v>25</v>
      </c>
      <c r="R9" s="4">
        <f t="shared" ref="R9:Y9" si="10">R7-R8</f>
        <v>6240</v>
      </c>
      <c r="S9" s="4">
        <f t="shared" si="10"/>
        <v>7316</v>
      </c>
      <c r="T9" s="4">
        <f t="shared" si="10"/>
        <v>6202</v>
      </c>
      <c r="U9" s="4">
        <f t="shared" si="10"/>
        <v>7254</v>
      </c>
      <c r="V9" s="4">
        <f t="shared" si="10"/>
        <v>6841</v>
      </c>
      <c r="W9" s="4">
        <f t="shared" si="10"/>
        <v>7940</v>
      </c>
      <c r="X9" s="4">
        <f t="shared" si="10"/>
        <v>6708</v>
      </c>
      <c r="Y9" s="4">
        <f t="shared" si="10"/>
        <v>7859</v>
      </c>
      <c r="Z9" s="4">
        <f>Z7-Z8</f>
        <v>7135</v>
      </c>
      <c r="AO9" s="4">
        <f t="shared" ref="AO9:AP9" si="11">AO7-AO8</f>
        <v>27012</v>
      </c>
      <c r="AP9" s="4">
        <f t="shared" si="11"/>
        <v>29348</v>
      </c>
    </row>
    <row r="10" spans="1:44" s="3" customFormat="1" x14ac:dyDescent="0.3">
      <c r="B10" s="3" t="s">
        <v>26</v>
      </c>
      <c r="R10" s="3">
        <f>568+96-107+2995</f>
        <v>3552</v>
      </c>
      <c r="S10" s="3">
        <f>543+99-148-3905</f>
        <v>-3411</v>
      </c>
      <c r="T10" s="3">
        <f>572+110-145+4750</f>
        <v>5287</v>
      </c>
      <c r="U10" s="3">
        <f>576+119-146-813</f>
        <v>-264</v>
      </c>
      <c r="V10" s="3">
        <f>597+117-114-794</f>
        <v>-194</v>
      </c>
      <c r="W10" s="3">
        <f>557+122-114+1162</f>
        <v>1727</v>
      </c>
      <c r="X10" s="3">
        <f>496+122-140+132</f>
        <v>610</v>
      </c>
      <c r="Y10" s="3">
        <f>599+118-115+294</f>
        <v>896</v>
      </c>
      <c r="Z10" s="3">
        <f>519+118-93+597</f>
        <v>1141</v>
      </c>
      <c r="AO10" s="3">
        <f t="shared" ref="AO10" si="12">R10+S10+T10+U10</f>
        <v>5164</v>
      </c>
      <c r="AP10" s="3">
        <f t="shared" ref="AP10" si="13">+V10+W10+X10+Y10</f>
        <v>3039</v>
      </c>
    </row>
    <row r="11" spans="1:44" s="4" customFormat="1" x14ac:dyDescent="0.3">
      <c r="B11" s="4" t="s">
        <v>27</v>
      </c>
      <c r="R11" s="4">
        <f t="shared" ref="R11:X11" si="14">R9-R10</f>
        <v>2688</v>
      </c>
      <c r="S11" s="4">
        <f t="shared" si="14"/>
        <v>10727</v>
      </c>
      <c r="T11" s="4">
        <f t="shared" si="14"/>
        <v>915</v>
      </c>
      <c r="U11" s="4">
        <f t="shared" si="14"/>
        <v>7518</v>
      </c>
      <c r="V11" s="4">
        <f t="shared" si="14"/>
        <v>7035</v>
      </c>
      <c r="W11" s="4">
        <f t="shared" si="14"/>
        <v>6213</v>
      </c>
      <c r="X11" s="4">
        <f t="shared" si="14"/>
        <v>6098</v>
      </c>
      <c r="Y11" s="4">
        <f>Y9-Y10</f>
        <v>6963</v>
      </c>
      <c r="Z11" s="4">
        <f>Z9-Z10</f>
        <v>5994</v>
      </c>
      <c r="AO11" s="4">
        <f t="shared" ref="AO11:AP11" si="15">AO9-AO10</f>
        <v>21848</v>
      </c>
      <c r="AP11" s="4">
        <f t="shared" si="15"/>
        <v>26309</v>
      </c>
    </row>
    <row r="12" spans="1:44" s="3" customFormat="1" x14ac:dyDescent="0.3">
      <c r="B12" s="3" t="s">
        <v>28</v>
      </c>
      <c r="R12" s="3">
        <v>792</v>
      </c>
      <c r="S12" s="3">
        <v>2674</v>
      </c>
      <c r="T12" s="3">
        <v>272</v>
      </c>
      <c r="U12" s="3">
        <v>1840</v>
      </c>
      <c r="V12" s="3">
        <v>1728</v>
      </c>
      <c r="W12" s="3">
        <v>1502</v>
      </c>
      <c r="X12" s="3">
        <v>1384</v>
      </c>
      <c r="Y12" s="3">
        <v>1538</v>
      </c>
      <c r="Z12" s="3">
        <v>1355</v>
      </c>
      <c r="AO12" s="3">
        <f t="shared" ref="AO12" si="16">R12+S12+T12+U12</f>
        <v>5578</v>
      </c>
      <c r="AP12" s="3">
        <f t="shared" ref="AP12" si="17">+V12+W12+X12+Y12</f>
        <v>6152</v>
      </c>
    </row>
    <row r="13" spans="1:44" s="4" customFormat="1" x14ac:dyDescent="0.3">
      <c r="B13" s="4" t="s">
        <v>29</v>
      </c>
      <c r="R13" s="4">
        <f t="shared" ref="R13:Z13" si="18">R11-R12</f>
        <v>1896</v>
      </c>
      <c r="S13" s="4">
        <f t="shared" si="18"/>
        <v>8053</v>
      </c>
      <c r="T13" s="4">
        <f t="shared" si="18"/>
        <v>643</v>
      </c>
      <c r="U13" s="4">
        <f t="shared" si="18"/>
        <v>5678</v>
      </c>
      <c r="V13" s="4">
        <f t="shared" si="18"/>
        <v>5307</v>
      </c>
      <c r="W13" s="4">
        <f t="shared" si="18"/>
        <v>4711</v>
      </c>
      <c r="X13" s="4">
        <f t="shared" si="18"/>
        <v>4714</v>
      </c>
      <c r="Y13" s="4">
        <f t="shared" si="18"/>
        <v>5425</v>
      </c>
      <c r="Z13" s="4">
        <f t="shared" si="18"/>
        <v>4639</v>
      </c>
      <c r="AO13" s="4">
        <f t="shared" ref="AO13" si="19">AO11-AO12</f>
        <v>16270</v>
      </c>
      <c r="AP13" s="4">
        <f t="shared" ref="AP13" si="20">AP11-AP12</f>
        <v>20157</v>
      </c>
    </row>
    <row r="14" spans="1:44" s="3" customFormat="1" x14ac:dyDescent="0.3">
      <c r="B14" s="3" t="s">
        <v>30</v>
      </c>
      <c r="R14" s="3">
        <v>-223</v>
      </c>
      <c r="S14" s="3">
        <v>-162</v>
      </c>
      <c r="T14" s="3">
        <v>-190</v>
      </c>
      <c r="U14" s="3">
        <v>-184</v>
      </c>
      <c r="V14" s="3">
        <v>-203</v>
      </c>
      <c r="W14" s="3">
        <v>-210</v>
      </c>
      <c r="X14" s="3">
        <v>-137</v>
      </c>
      <c r="Y14" s="3">
        <v>-171</v>
      </c>
      <c r="Z14" s="3">
        <v>-152</v>
      </c>
      <c r="AO14" s="3">
        <f t="shared" ref="AO14" si="21">R14+S14+T14+U14</f>
        <v>-759</v>
      </c>
      <c r="AP14" s="3">
        <f t="shared" ref="AP14" si="22">+V14+W14+X14+Y14</f>
        <v>-721</v>
      </c>
    </row>
    <row r="15" spans="1:44" s="4" customFormat="1" x14ac:dyDescent="0.3">
      <c r="B15" s="4" t="s">
        <v>31</v>
      </c>
      <c r="R15" s="4">
        <f t="shared" ref="R15:Y15" si="23">+R14+R13</f>
        <v>1673</v>
      </c>
      <c r="S15" s="4">
        <f t="shared" si="23"/>
        <v>7891</v>
      </c>
      <c r="T15" s="4">
        <f t="shared" si="23"/>
        <v>453</v>
      </c>
      <c r="U15" s="4">
        <f t="shared" si="23"/>
        <v>5494</v>
      </c>
      <c r="V15" s="4">
        <f t="shared" si="23"/>
        <v>5104</v>
      </c>
      <c r="W15" s="4">
        <f t="shared" si="23"/>
        <v>4501</v>
      </c>
      <c r="X15" s="4">
        <f t="shared" si="23"/>
        <v>4577</v>
      </c>
      <c r="Y15" s="4">
        <f t="shared" si="23"/>
        <v>5254</v>
      </c>
      <c r="Z15" s="4">
        <f>+Z14+Z13</f>
        <v>4487</v>
      </c>
      <c r="AO15" s="4">
        <f t="shared" ref="AO15" si="24">+AO14+AO13</f>
        <v>15511</v>
      </c>
      <c r="AP15" s="4">
        <f>+AP14+AP13</f>
        <v>19436</v>
      </c>
      <c r="AQ15" s="4">
        <v>20570</v>
      </c>
      <c r="AR15" s="4">
        <v>23210</v>
      </c>
    </row>
    <row r="16" spans="1:44" s="3" customFormat="1" x14ac:dyDescent="0.3">
      <c r="B16" s="3" t="s">
        <v>32</v>
      </c>
      <c r="R16" s="3">
        <v>8082</v>
      </c>
      <c r="S16" s="3">
        <v>8079</v>
      </c>
      <c r="T16" s="3">
        <v>8078</v>
      </c>
      <c r="U16" s="3">
        <v>8070</v>
      </c>
      <c r="V16" s="3">
        <v>8053</v>
      </c>
      <c r="W16" s="3">
        <v>8044</v>
      </c>
      <c r="X16" s="3">
        <v>8038</v>
      </c>
      <c r="Y16" s="3">
        <v>8029</v>
      </c>
      <c r="Z16" s="3">
        <v>8011</v>
      </c>
      <c r="AO16" s="3">
        <f>U16</f>
        <v>8070</v>
      </c>
      <c r="AP16" s="3">
        <f>Y16</f>
        <v>8029</v>
      </c>
    </row>
    <row r="17" spans="1:44" s="6" customFormat="1" x14ac:dyDescent="0.3">
      <c r="B17" s="5" t="s">
        <v>33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6">
        <f t="shared" ref="R17:Y17" si="25">R15/R16</f>
        <v>0.20700321702548874</v>
      </c>
      <c r="S17" s="6">
        <f t="shared" si="25"/>
        <v>0.97672979329124887</v>
      </c>
      <c r="T17" s="6">
        <f t="shared" si="25"/>
        <v>5.6078237187422629E-2</v>
      </c>
      <c r="U17" s="6">
        <f t="shared" si="25"/>
        <v>0.68079306071871126</v>
      </c>
      <c r="V17" s="6">
        <f t="shared" si="25"/>
        <v>0.63380106792499691</v>
      </c>
      <c r="W17" s="6">
        <f t="shared" si="25"/>
        <v>0.5595474888115366</v>
      </c>
      <c r="X17" s="6">
        <f t="shared" si="25"/>
        <v>0.56942025379447625</v>
      </c>
      <c r="Y17" s="6">
        <f t="shared" si="25"/>
        <v>0.65437788018433185</v>
      </c>
      <c r="Z17" s="6">
        <f>Z15/Z16</f>
        <v>0.56010485582324299</v>
      </c>
      <c r="AO17" s="6">
        <f t="shared" ref="AO17:AP17" si="26">AO15/AO16</f>
        <v>1.9220570012391573</v>
      </c>
      <c r="AP17" s="6">
        <f t="shared" si="26"/>
        <v>2.4207248723377757</v>
      </c>
      <c r="AQ17" s="6">
        <v>2.61</v>
      </c>
      <c r="AR17" s="6">
        <v>2.93</v>
      </c>
    </row>
    <row r="18" spans="1:44" s="6" customFormat="1" x14ac:dyDescent="0.3"/>
    <row r="19" spans="1:44" s="6" customFormat="1" x14ac:dyDescent="0.3">
      <c r="B19" s="7" t="s">
        <v>177</v>
      </c>
      <c r="R19" s="7">
        <f t="shared" ref="R19:Y19" si="27">R7/R5</f>
        <v>0.24305158863040952</v>
      </c>
      <c r="S19" s="7">
        <f t="shared" si="27"/>
        <v>0.24612700455355374</v>
      </c>
      <c r="T19" s="7">
        <f t="shared" si="27"/>
        <v>0.24639312454914056</v>
      </c>
      <c r="U19" s="7">
        <f t="shared" si="27"/>
        <v>0.23971093731976839</v>
      </c>
      <c r="V19" s="7">
        <f t="shared" si="27"/>
        <v>0.24814250687272457</v>
      </c>
      <c r="W19" s="7">
        <f t="shared" si="27"/>
        <v>0.25112941801753919</v>
      </c>
      <c r="X19" s="7">
        <f t="shared" si="27"/>
        <v>0.24912140009906361</v>
      </c>
      <c r="Y19" s="7">
        <f t="shared" si="27"/>
        <v>0.24581011774870676</v>
      </c>
      <c r="Z19" s="7">
        <f>Z7/Z5</f>
        <v>0.24941881177955305</v>
      </c>
      <c r="AO19" s="7">
        <f>AO7/AO5</f>
        <v>0.24375390549662487</v>
      </c>
      <c r="AP19" s="7">
        <f>AP7/AP5</f>
        <v>0.24851061330278934</v>
      </c>
    </row>
    <row r="20" spans="1:44" s="6" customFormat="1" x14ac:dyDescent="0.3">
      <c r="B20" s="7" t="s">
        <v>178</v>
      </c>
      <c r="R20" s="7">
        <f t="shared" ref="R20:Y20" si="28">R9/R5</f>
        <v>4.0971497232454156E-2</v>
      </c>
      <c r="S20" s="7">
        <f t="shared" si="28"/>
        <v>4.5263314195208869E-2</v>
      </c>
      <c r="T20" s="7">
        <f t="shared" si="28"/>
        <v>3.8568692321086541E-2</v>
      </c>
      <c r="U20" s="7">
        <f t="shared" si="28"/>
        <v>4.1836805315246729E-2</v>
      </c>
      <c r="V20" s="7">
        <f t="shared" si="28"/>
        <v>4.2357034945637369E-2</v>
      </c>
      <c r="W20" s="7">
        <f t="shared" si="28"/>
        <v>4.6889302270646943E-2</v>
      </c>
      <c r="X20" s="7">
        <f t="shared" si="28"/>
        <v>3.9554685473028754E-2</v>
      </c>
      <c r="Y20" s="7">
        <f t="shared" si="28"/>
        <v>4.3527144233858013E-2</v>
      </c>
      <c r="Z20" s="7">
        <f>Z9/Z5</f>
        <v>4.308340730274321E-2</v>
      </c>
      <c r="AO20" s="7">
        <f>AO9/AO5</f>
        <v>4.16771456123433E-2</v>
      </c>
      <c r="AP20" s="7">
        <f>AP9/AP5</f>
        <v>4.3096397130626962E-2</v>
      </c>
    </row>
    <row r="21" spans="1:44" s="6" customFormat="1" x14ac:dyDescent="0.3">
      <c r="B21" s="7" t="s">
        <v>179</v>
      </c>
      <c r="R21" s="7">
        <f t="shared" ref="R21:Y21" si="29">R8/R7</f>
        <v>0.83142880298241351</v>
      </c>
      <c r="S21" s="7">
        <f t="shared" si="29"/>
        <v>0.81609773264290386</v>
      </c>
      <c r="T21" s="7">
        <f t="shared" si="29"/>
        <v>0.84346684838848085</v>
      </c>
      <c r="U21" s="7">
        <f t="shared" si="29"/>
        <v>0.82546976878473644</v>
      </c>
      <c r="V21" s="7">
        <f t="shared" si="29"/>
        <v>0.82930359058811787</v>
      </c>
      <c r="W21" s="7">
        <f t="shared" si="29"/>
        <v>0.81328630217519104</v>
      </c>
      <c r="X21" s="7">
        <f t="shared" si="29"/>
        <v>0.84122325317174773</v>
      </c>
      <c r="Y21" s="7">
        <f t="shared" si="29"/>
        <v>0.82292370780947233</v>
      </c>
      <c r="Z21" s="7">
        <f>Z8/Z7</f>
        <v>0.82726480414467629</v>
      </c>
      <c r="AO21" s="7">
        <f>AO8/AO7</f>
        <v>0.82901957805586679</v>
      </c>
      <c r="AP21" s="7">
        <f>AP8/AP7</f>
        <v>0.82658126122719111</v>
      </c>
    </row>
    <row r="22" spans="1:44" s="6" customFormat="1" x14ac:dyDescent="0.3">
      <c r="B22" s="7" t="s">
        <v>180</v>
      </c>
      <c r="R22" s="7">
        <f t="shared" ref="R22:Y22" si="30">R10/R9</f>
        <v>0.56923076923076921</v>
      </c>
      <c r="S22" s="7">
        <f t="shared" si="30"/>
        <v>-0.46623838162930564</v>
      </c>
      <c r="T22" s="7">
        <f t="shared" si="30"/>
        <v>0.85246694614640439</v>
      </c>
      <c r="U22" s="7">
        <f t="shared" si="30"/>
        <v>-3.6393713813068655E-2</v>
      </c>
      <c r="V22" s="7">
        <f t="shared" si="30"/>
        <v>-2.8358427130536473E-2</v>
      </c>
      <c r="W22" s="7">
        <f t="shared" si="30"/>
        <v>0.21750629722921913</v>
      </c>
      <c r="X22" s="7">
        <f t="shared" si="30"/>
        <v>9.0936195587358382E-2</v>
      </c>
      <c r="Y22" s="7">
        <f t="shared" si="30"/>
        <v>0.11400941595622853</v>
      </c>
      <c r="Z22" s="7">
        <f>Z10/Z9</f>
        <v>0.15991590749824808</v>
      </c>
      <c r="AO22" s="7">
        <f>AO10/AO9</f>
        <v>0.19117429290685622</v>
      </c>
      <c r="AP22" s="7">
        <f>AP10/AP9</f>
        <v>0.10355049747853345</v>
      </c>
    </row>
    <row r="23" spans="1:44" s="6" customFormat="1" x14ac:dyDescent="0.3">
      <c r="B23" s="7" t="s">
        <v>181</v>
      </c>
      <c r="R23" s="7">
        <f t="shared" ref="R23:Y23" si="31">R12/R11</f>
        <v>0.29464285714285715</v>
      </c>
      <c r="S23" s="7">
        <f t="shared" si="31"/>
        <v>0.24927752400484757</v>
      </c>
      <c r="T23" s="7">
        <f t="shared" si="31"/>
        <v>0.29726775956284152</v>
      </c>
      <c r="U23" s="7">
        <f t="shared" si="31"/>
        <v>0.24474594306996542</v>
      </c>
      <c r="V23" s="7">
        <f t="shared" si="31"/>
        <v>0.24562899786780384</v>
      </c>
      <c r="W23" s="7">
        <f t="shared" si="31"/>
        <v>0.24175116690809592</v>
      </c>
      <c r="X23" s="7">
        <f t="shared" si="31"/>
        <v>0.22695965890455888</v>
      </c>
      <c r="Y23" s="7">
        <f t="shared" si="31"/>
        <v>0.22088180382019246</v>
      </c>
      <c r="Z23" s="7">
        <f>Z12/Z11</f>
        <v>0.2260593927260594</v>
      </c>
      <c r="AO23" s="7">
        <f>AO12/AO11</f>
        <v>0.25530941047235445</v>
      </c>
      <c r="AP23" s="7">
        <f>AP12/AP11</f>
        <v>0.23383632977308144</v>
      </c>
    </row>
    <row r="24" spans="1:44" s="6" customFormat="1" x14ac:dyDescent="0.3">
      <c r="B24" s="7" t="s">
        <v>182</v>
      </c>
      <c r="R24" s="7">
        <f t="shared" ref="R24:Y24" si="32">R15/R5</f>
        <v>1.0984826100944839E-2</v>
      </c>
      <c r="S24" s="7">
        <f t="shared" si="32"/>
        <v>4.8820778063749751E-2</v>
      </c>
      <c r="T24" s="7">
        <f t="shared" si="32"/>
        <v>2.8170941021367626E-3</v>
      </c>
      <c r="U24" s="7">
        <f t="shared" si="32"/>
        <v>3.168616051860567E-2</v>
      </c>
      <c r="V24" s="7">
        <f t="shared" si="32"/>
        <v>3.1602149738712636E-2</v>
      </c>
      <c r="W24" s="7">
        <f t="shared" si="32"/>
        <v>2.6580447042844065E-2</v>
      </c>
      <c r="X24" s="7">
        <f t="shared" si="32"/>
        <v>2.6988937896549284E-2</v>
      </c>
      <c r="Y24" s="7">
        <f t="shared" si="32"/>
        <v>2.9099327624976461E-2</v>
      </c>
      <c r="Z24" s="7">
        <f>Z15/Z5</f>
        <v>2.7093938131381747E-2</v>
      </c>
      <c r="AO24" s="7">
        <f>AO15/AO5</f>
        <v>2.3932111861137896E-2</v>
      </c>
      <c r="AP24" s="7">
        <f>AP15/AP5</f>
        <v>2.8541010448100913E-2</v>
      </c>
    </row>
    <row r="25" spans="1:44" s="6" customFormat="1" x14ac:dyDescent="0.3">
      <c r="B25" s="7"/>
    </row>
    <row r="26" spans="1:44" s="6" customFormat="1" x14ac:dyDescent="0.3">
      <c r="B26" s="6" t="s">
        <v>171</v>
      </c>
      <c r="V26" s="7">
        <f t="shared" ref="V26:Y26" si="33">V5/R5-1</f>
        <v>6.045265625307783E-2</v>
      </c>
      <c r="W26" s="7">
        <f t="shared" si="33"/>
        <v>4.765764205107903E-2</v>
      </c>
      <c r="X26" s="7">
        <f t="shared" si="33"/>
        <v>5.4625506828188453E-2</v>
      </c>
      <c r="Y26" s="7">
        <f t="shared" si="33"/>
        <v>4.1329273075414674E-2</v>
      </c>
      <c r="Z26" s="7">
        <f>Z5/V5-1</f>
        <v>2.5391931049855154E-2</v>
      </c>
      <c r="AM26" s="7">
        <f t="shared" ref="AM26:AP26" si="34">AM5/AL5-1</f>
        <v>2.4322632567289615E-2</v>
      </c>
      <c r="AN26" s="7">
        <f t="shared" si="34"/>
        <v>6.7289393278044507E-2</v>
      </c>
      <c r="AO26" s="7">
        <f t="shared" si="34"/>
        <v>6.0257815439480389E-2</v>
      </c>
      <c r="AP26" s="7">
        <f t="shared" si="34"/>
        <v>5.0700096432015451E-2</v>
      </c>
      <c r="AQ26" s="7">
        <f>AQ5/AP5-1</f>
        <v>3.5896532229050537E-2</v>
      </c>
      <c r="AR26" s="7">
        <f>AR5/AQ5-1</f>
        <v>4.6609869157818729E-2</v>
      </c>
    </row>
    <row r="27" spans="1:44" s="6" customFormat="1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30" spans="1:44" s="3" customFormat="1" x14ac:dyDescent="0.3">
      <c r="A30"/>
      <c r="B30" t="s">
        <v>64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s="3">
        <f t="shared" ref="R30:Y30" si="35">R31-R41-R46-R49</f>
        <v>-33231</v>
      </c>
      <c r="S30" s="3">
        <f t="shared" si="35"/>
        <v>-30361</v>
      </c>
      <c r="T30" s="3">
        <f t="shared" si="35"/>
        <v>-36936</v>
      </c>
      <c r="U30" s="3">
        <f t="shared" si="35"/>
        <v>-30590</v>
      </c>
      <c r="V30" s="3">
        <f t="shared" si="35"/>
        <v>-33845</v>
      </c>
      <c r="W30" s="3">
        <f t="shared" si="35"/>
        <v>-31243</v>
      </c>
      <c r="X30" s="3">
        <f t="shared" si="35"/>
        <v>-30421</v>
      </c>
      <c r="Y30" s="3">
        <f t="shared" si="35"/>
        <v>-30030</v>
      </c>
      <c r="Z30" s="3">
        <f>Z31-Z41-Z46-Z49</f>
        <v>-36889</v>
      </c>
      <c r="AO30" s="3">
        <f t="shared" ref="AO30" si="36">AO31-AO41-AO46-AO49</f>
        <v>-30590</v>
      </c>
      <c r="AP30" s="3">
        <f t="shared" ref="AP30" si="37">AP31-AP41-AP46-AP49</f>
        <v>-30030</v>
      </c>
    </row>
    <row r="31" spans="1:44" s="3" customFormat="1" x14ac:dyDescent="0.3">
      <c r="A31"/>
      <c r="B31" t="s">
        <v>37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s="3">
        <v>10575</v>
      </c>
      <c r="S31" s="3">
        <v>13888</v>
      </c>
      <c r="T31" s="3">
        <v>12154</v>
      </c>
      <c r="U31" s="3">
        <v>9867</v>
      </c>
      <c r="V31" s="3">
        <v>9405</v>
      </c>
      <c r="W31" s="3">
        <v>8811</v>
      </c>
      <c r="X31" s="3">
        <v>10049</v>
      </c>
      <c r="Y31" s="3">
        <v>9037</v>
      </c>
      <c r="Z31" s="3">
        <v>9311</v>
      </c>
      <c r="AO31" s="3">
        <v>9867</v>
      </c>
      <c r="AP31" s="3">
        <v>9037</v>
      </c>
    </row>
    <row r="32" spans="1:44" s="3" customFormat="1" x14ac:dyDescent="0.3">
      <c r="A32"/>
      <c r="B32" t="s">
        <v>40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 s="3">
        <v>7647</v>
      </c>
      <c r="S32" s="3">
        <v>7891</v>
      </c>
      <c r="T32" s="3">
        <v>8625</v>
      </c>
      <c r="U32" s="3">
        <v>8796</v>
      </c>
      <c r="V32" s="3">
        <v>9075</v>
      </c>
      <c r="W32" s="3">
        <v>8650</v>
      </c>
      <c r="X32" s="3">
        <v>10039</v>
      </c>
      <c r="Y32" s="3">
        <v>9975</v>
      </c>
      <c r="Z32" s="3">
        <v>9686</v>
      </c>
      <c r="AO32" s="3">
        <v>8796</v>
      </c>
      <c r="AP32" s="3">
        <v>9975</v>
      </c>
    </row>
    <row r="33" spans="1:42" s="3" customFormat="1" x14ac:dyDescent="0.3">
      <c r="A33"/>
      <c r="B33" t="s">
        <v>41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3">
        <v>56932</v>
      </c>
      <c r="S33" s="3">
        <v>56722</v>
      </c>
      <c r="T33" s="3">
        <v>63951</v>
      </c>
      <c r="U33" s="3">
        <v>54892</v>
      </c>
      <c r="V33" s="3">
        <v>55382</v>
      </c>
      <c r="W33" s="3">
        <v>55611</v>
      </c>
      <c r="X33" s="3">
        <v>63302</v>
      </c>
      <c r="Y33" s="3">
        <v>56435</v>
      </c>
      <c r="Z33" s="3">
        <v>57467</v>
      </c>
      <c r="AO33" s="3">
        <v>54892</v>
      </c>
      <c r="AP33" s="3">
        <v>56435</v>
      </c>
    </row>
    <row r="34" spans="1:42" s="3" customFormat="1" x14ac:dyDescent="0.3">
      <c r="A34"/>
      <c r="B34" t="s">
        <v>42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3">
        <v>3357</v>
      </c>
      <c r="S34" s="3">
        <v>3531</v>
      </c>
      <c r="T34" s="3">
        <v>3661</v>
      </c>
      <c r="U34" s="3">
        <v>3322</v>
      </c>
      <c r="V34" s="3">
        <v>3290</v>
      </c>
      <c r="W34" s="3">
        <v>3438</v>
      </c>
      <c r="X34" s="3">
        <v>3548</v>
      </c>
      <c r="Y34" s="3">
        <v>4011</v>
      </c>
      <c r="Z34" s="3">
        <v>3789</v>
      </c>
      <c r="AO34" s="3">
        <v>3322</v>
      </c>
      <c r="AP34" s="3">
        <v>4011</v>
      </c>
    </row>
    <row r="35" spans="1:42" s="3" customFormat="1" x14ac:dyDescent="0.3">
      <c r="A35"/>
      <c r="B35" t="s">
        <v>43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3">
        <v>102335</v>
      </c>
      <c r="S35" s="3">
        <v>104733</v>
      </c>
      <c r="T35" s="3">
        <v>107471</v>
      </c>
      <c r="U35" s="3">
        <v>110810</v>
      </c>
      <c r="V35" s="3">
        <v>111498</v>
      </c>
      <c r="W35" s="3">
        <v>113818</v>
      </c>
      <c r="X35" s="3">
        <v>116598</v>
      </c>
      <c r="Y35" s="3">
        <v>119993</v>
      </c>
      <c r="Z35" s="3">
        <v>121261</v>
      </c>
      <c r="AO35" s="3">
        <v>110810</v>
      </c>
      <c r="AP35" s="3">
        <v>119993</v>
      </c>
    </row>
    <row r="36" spans="1:42" s="3" customFormat="1" x14ac:dyDescent="0.3">
      <c r="A36"/>
      <c r="B36" t="s">
        <v>44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3">
        <v>13679</v>
      </c>
      <c r="S36" s="3">
        <v>13710</v>
      </c>
      <c r="T36" s="3">
        <v>13547</v>
      </c>
      <c r="U36" s="3">
        <v>13673</v>
      </c>
      <c r="V36" s="3">
        <v>13562</v>
      </c>
      <c r="W36" s="3">
        <v>13579</v>
      </c>
      <c r="X36" s="3">
        <v>13701</v>
      </c>
      <c r="Y36" s="3">
        <v>13599</v>
      </c>
      <c r="Z36" s="3">
        <v>13567</v>
      </c>
      <c r="AO36" s="3">
        <v>13673</v>
      </c>
      <c r="AP36" s="3">
        <v>13599</v>
      </c>
    </row>
    <row r="37" spans="1:42" s="3" customFormat="1" x14ac:dyDescent="0.3">
      <c r="A37"/>
      <c r="B37" t="s">
        <v>45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3">
        <v>5124</v>
      </c>
      <c r="S37" s="3">
        <v>5552</v>
      </c>
      <c r="T37" s="3">
        <v>5806</v>
      </c>
      <c r="U37" s="3">
        <v>5855</v>
      </c>
      <c r="V37" s="3">
        <v>6285</v>
      </c>
      <c r="W37" s="3">
        <v>6341</v>
      </c>
      <c r="X37" s="3">
        <v>6227</v>
      </c>
      <c r="Y37" s="3">
        <v>6112</v>
      </c>
      <c r="Z37" s="3">
        <v>6056</v>
      </c>
      <c r="AO37" s="3">
        <v>5855</v>
      </c>
      <c r="AP37" s="3">
        <v>6112</v>
      </c>
    </row>
    <row r="38" spans="1:42" s="3" customFormat="1" x14ac:dyDescent="0.3">
      <c r="A38"/>
      <c r="B38" t="s">
        <v>46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3">
        <v>28306</v>
      </c>
      <c r="S38" s="3">
        <v>28268</v>
      </c>
      <c r="T38" s="3">
        <v>28015</v>
      </c>
      <c r="U38" s="3">
        <v>28113</v>
      </c>
      <c r="V38" s="3">
        <v>27999</v>
      </c>
      <c r="W38" s="3">
        <v>27930</v>
      </c>
      <c r="X38" s="3">
        <v>27942</v>
      </c>
      <c r="Y38" s="3">
        <v>28792</v>
      </c>
      <c r="Z38" s="3">
        <v>28866</v>
      </c>
      <c r="AO38" s="3">
        <v>28113</v>
      </c>
      <c r="AP38" s="3">
        <v>28792</v>
      </c>
    </row>
    <row r="39" spans="1:42" s="3" customFormat="1" x14ac:dyDescent="0.3">
      <c r="A39"/>
      <c r="B39" t="s">
        <v>47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3">
        <v>17098</v>
      </c>
      <c r="S39" s="3">
        <v>20826</v>
      </c>
      <c r="T39" s="3">
        <v>15944</v>
      </c>
      <c r="U39" s="3">
        <v>17071</v>
      </c>
      <c r="V39" s="3">
        <v>17558</v>
      </c>
      <c r="W39" s="3">
        <v>16262</v>
      </c>
      <c r="X39" s="3">
        <v>11993</v>
      </c>
      <c r="Y39" s="3">
        <v>12869</v>
      </c>
      <c r="Z39" s="3">
        <v>12369</v>
      </c>
      <c r="AO39" s="3">
        <v>17071</v>
      </c>
      <c r="AP39" s="3">
        <v>12869</v>
      </c>
    </row>
    <row r="40" spans="1:42" s="4" customFormat="1" x14ac:dyDescent="0.3">
      <c r="A40" s="2"/>
      <c r="B40" s="2" t="s">
        <v>48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4">
        <f t="shared" ref="R40:Y40" si="38">SUM(R31:R39)</f>
        <v>245053</v>
      </c>
      <c r="S40" s="4">
        <f t="shared" si="38"/>
        <v>255121</v>
      </c>
      <c r="T40" s="4">
        <f t="shared" si="38"/>
        <v>259174</v>
      </c>
      <c r="U40" s="4">
        <f t="shared" si="38"/>
        <v>252399</v>
      </c>
      <c r="V40" s="4">
        <f t="shared" si="38"/>
        <v>254054</v>
      </c>
      <c r="W40" s="4">
        <f t="shared" si="38"/>
        <v>254440</v>
      </c>
      <c r="X40" s="4">
        <f t="shared" si="38"/>
        <v>263399</v>
      </c>
      <c r="Y40" s="4">
        <f t="shared" si="38"/>
        <v>260823</v>
      </c>
      <c r="Z40" s="4">
        <f>SUM(Z31:Z39)</f>
        <v>262372</v>
      </c>
      <c r="AO40" s="4">
        <f t="shared" ref="AO40" si="39">SUM(AO31:AO39)</f>
        <v>252399</v>
      </c>
      <c r="AP40" s="4">
        <f t="shared" ref="AP40" si="40">SUM(AP31:AP39)</f>
        <v>260823</v>
      </c>
    </row>
    <row r="41" spans="1:42" s="3" customFormat="1" x14ac:dyDescent="0.3">
      <c r="A41"/>
      <c r="B41" t="s">
        <v>49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 s="3">
        <v>1711</v>
      </c>
      <c r="S41" s="3">
        <v>4546</v>
      </c>
      <c r="T41" s="3">
        <v>9942</v>
      </c>
      <c r="U41" s="3">
        <v>878</v>
      </c>
      <c r="V41" s="3">
        <v>5457</v>
      </c>
      <c r="W41" s="3">
        <v>3195</v>
      </c>
      <c r="X41" s="3">
        <v>3579</v>
      </c>
      <c r="Y41" s="3">
        <v>3068</v>
      </c>
      <c r="Z41" s="3">
        <v>5595</v>
      </c>
      <c r="AO41" s="3">
        <v>878</v>
      </c>
      <c r="AP41" s="3">
        <v>3068</v>
      </c>
    </row>
    <row r="42" spans="1:42" s="3" customFormat="1" x14ac:dyDescent="0.3">
      <c r="A42"/>
      <c r="B42" t="s">
        <v>50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 s="3">
        <v>54268</v>
      </c>
      <c r="S42" s="3">
        <v>56576</v>
      </c>
      <c r="T42" s="3">
        <v>61049</v>
      </c>
      <c r="U42" s="3">
        <v>56812</v>
      </c>
      <c r="V42" s="3">
        <v>56071</v>
      </c>
      <c r="W42" s="3">
        <v>56716</v>
      </c>
      <c r="X42" s="3">
        <v>62863</v>
      </c>
      <c r="Y42" s="3">
        <v>58666</v>
      </c>
      <c r="Z42" s="3">
        <v>57700</v>
      </c>
      <c r="AO42" s="3">
        <v>56812</v>
      </c>
      <c r="AP42" s="3">
        <v>58666</v>
      </c>
    </row>
    <row r="43" spans="1:42" s="3" customFormat="1" x14ac:dyDescent="0.3">
      <c r="A43"/>
      <c r="B43" t="s">
        <v>51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 s="3">
        <v>4602</v>
      </c>
      <c r="S43" s="3">
        <v>3067</v>
      </c>
      <c r="T43" s="3">
        <v>1533</v>
      </c>
      <c r="V43" s="3">
        <v>5013</v>
      </c>
      <c r="W43" s="3">
        <v>3343</v>
      </c>
      <c r="X43" s="3">
        <v>1674</v>
      </c>
      <c r="Z43" s="3">
        <v>5660</v>
      </c>
    </row>
    <row r="44" spans="1:42" s="3" customFormat="1" x14ac:dyDescent="0.3">
      <c r="A44"/>
      <c r="B44" t="s">
        <v>52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 s="3">
        <v>27527</v>
      </c>
      <c r="S44" s="3">
        <v>29239</v>
      </c>
      <c r="T44" s="3">
        <v>26132</v>
      </c>
      <c r="U44" s="3">
        <v>28759</v>
      </c>
      <c r="V44" s="3">
        <v>24092</v>
      </c>
      <c r="W44" s="3">
        <v>27656</v>
      </c>
      <c r="X44" s="3">
        <v>28117</v>
      </c>
      <c r="Y44" s="3">
        <v>29345</v>
      </c>
      <c r="Z44" s="3">
        <v>26085</v>
      </c>
      <c r="AO44" s="3">
        <v>28759</v>
      </c>
      <c r="AP44" s="3">
        <v>29345</v>
      </c>
    </row>
    <row r="45" spans="1:42" s="3" customFormat="1" x14ac:dyDescent="0.3">
      <c r="A45"/>
      <c r="B45" t="s">
        <v>53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 s="3">
        <v>1325</v>
      </c>
      <c r="S45" s="3">
        <v>770</v>
      </c>
      <c r="T45" s="3">
        <v>606</v>
      </c>
      <c r="U45" s="3">
        <v>307</v>
      </c>
      <c r="V45" s="3">
        <v>1276</v>
      </c>
      <c r="W45" s="3">
        <v>576</v>
      </c>
      <c r="X45" s="3">
        <v>783</v>
      </c>
      <c r="Y45" s="3">
        <v>608</v>
      </c>
      <c r="Z45" s="3">
        <v>1465</v>
      </c>
      <c r="AO45" s="3">
        <v>307</v>
      </c>
      <c r="AP45" s="3">
        <v>608</v>
      </c>
    </row>
    <row r="46" spans="1:42" s="3" customFormat="1" x14ac:dyDescent="0.3">
      <c r="A46"/>
      <c r="B46" t="s">
        <v>54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 s="3">
        <v>3975</v>
      </c>
      <c r="S46" s="3">
        <v>2897</v>
      </c>
      <c r="T46" s="3">
        <v>2806</v>
      </c>
      <c r="U46" s="3">
        <v>3447</v>
      </c>
      <c r="V46" s="3">
        <v>1865</v>
      </c>
      <c r="W46" s="3">
        <v>1495</v>
      </c>
      <c r="X46" s="3">
        <v>3246</v>
      </c>
      <c r="Y46" s="3">
        <v>2598</v>
      </c>
      <c r="Z46" s="3">
        <v>4085</v>
      </c>
      <c r="AO46" s="3">
        <v>3447</v>
      </c>
      <c r="AP46" s="3">
        <v>2598</v>
      </c>
    </row>
    <row r="47" spans="1:42" s="3" customFormat="1" x14ac:dyDescent="0.3">
      <c r="A47"/>
      <c r="B47" t="s">
        <v>55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 s="3">
        <v>1490</v>
      </c>
      <c r="S47" s="3">
        <v>1472</v>
      </c>
      <c r="T47" s="3">
        <v>1474</v>
      </c>
      <c r="U47" s="3">
        <v>1487</v>
      </c>
      <c r="V47" s="3">
        <v>1482</v>
      </c>
      <c r="W47" s="3">
        <v>1493</v>
      </c>
      <c r="X47" s="3">
        <v>1507</v>
      </c>
      <c r="Y47" s="3">
        <v>1499</v>
      </c>
      <c r="Z47" s="3">
        <v>1539</v>
      </c>
      <c r="AO47" s="3">
        <v>1487</v>
      </c>
      <c r="AP47" s="3">
        <v>1499</v>
      </c>
    </row>
    <row r="48" spans="1:42" s="3" customFormat="1" x14ac:dyDescent="0.3">
      <c r="A48"/>
      <c r="B48" t="s">
        <v>56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 s="3">
        <v>607</v>
      </c>
      <c r="S48" s="3">
        <v>653</v>
      </c>
      <c r="T48" s="3">
        <v>688</v>
      </c>
      <c r="U48" s="3">
        <v>725</v>
      </c>
      <c r="V48" s="3">
        <v>844</v>
      </c>
      <c r="W48" s="3">
        <v>786</v>
      </c>
      <c r="X48" s="3">
        <v>789</v>
      </c>
      <c r="Y48" s="3">
        <v>800</v>
      </c>
      <c r="Z48" s="3">
        <v>791</v>
      </c>
      <c r="AO48" s="3">
        <v>725</v>
      </c>
      <c r="AP48" s="3">
        <v>800</v>
      </c>
    </row>
    <row r="49" spans="1:42" s="3" customFormat="1" x14ac:dyDescent="0.3">
      <c r="A49"/>
      <c r="B49" t="s">
        <v>57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 s="3">
        <v>38120</v>
      </c>
      <c r="S49" s="3">
        <v>36806</v>
      </c>
      <c r="T49" s="3">
        <v>36342</v>
      </c>
      <c r="U49" s="3">
        <v>36132</v>
      </c>
      <c r="V49" s="3">
        <v>35928</v>
      </c>
      <c r="W49" s="3">
        <v>35364</v>
      </c>
      <c r="X49" s="3">
        <v>33645</v>
      </c>
      <c r="Y49" s="3">
        <v>33401</v>
      </c>
      <c r="Z49" s="3">
        <v>36520</v>
      </c>
      <c r="AO49" s="3">
        <v>36132</v>
      </c>
      <c r="AP49" s="3">
        <v>33401</v>
      </c>
    </row>
    <row r="50" spans="1:42" s="3" customFormat="1" x14ac:dyDescent="0.3">
      <c r="A50"/>
      <c r="B50" t="s">
        <v>58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 s="3">
        <v>12925</v>
      </c>
      <c r="S50" s="3">
        <v>12978</v>
      </c>
      <c r="T50" s="3">
        <v>12817</v>
      </c>
      <c r="U50" s="3">
        <v>12943</v>
      </c>
      <c r="V50" s="3">
        <v>12840</v>
      </c>
      <c r="W50" s="3">
        <v>12811</v>
      </c>
      <c r="X50" s="3">
        <v>12927</v>
      </c>
      <c r="Y50" s="3">
        <v>12825</v>
      </c>
      <c r="Z50" s="3">
        <v>12797</v>
      </c>
      <c r="AO50" s="3">
        <v>12943</v>
      </c>
      <c r="AP50" s="3">
        <v>12825</v>
      </c>
    </row>
    <row r="51" spans="1:42" s="3" customFormat="1" x14ac:dyDescent="0.3">
      <c r="A51"/>
      <c r="B51" t="s">
        <v>59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 s="3">
        <v>5039</v>
      </c>
      <c r="S51" s="3">
        <v>5449</v>
      </c>
      <c r="T51" s="3">
        <v>5670</v>
      </c>
      <c r="U51" s="3">
        <v>5709</v>
      </c>
      <c r="V51" s="3">
        <v>6047</v>
      </c>
      <c r="W51" s="3">
        <v>6161</v>
      </c>
      <c r="X51" s="3">
        <v>6056</v>
      </c>
      <c r="Y51" s="3">
        <v>5923</v>
      </c>
      <c r="Z51" s="3">
        <v>5878</v>
      </c>
      <c r="AO51" s="3">
        <v>5709</v>
      </c>
      <c r="AP51" s="3">
        <v>5923</v>
      </c>
    </row>
    <row r="52" spans="1:42" s="3" customFormat="1" x14ac:dyDescent="0.3">
      <c r="A52"/>
      <c r="B52" t="s">
        <v>60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 s="3">
        <v>13999</v>
      </c>
      <c r="S52" s="3">
        <v>15109</v>
      </c>
      <c r="T52" s="3">
        <v>14304</v>
      </c>
      <c r="U52" s="3">
        <v>14629</v>
      </c>
      <c r="V52" s="3">
        <v>14849</v>
      </c>
      <c r="W52" s="3">
        <v>14072</v>
      </c>
      <c r="X52" s="3">
        <v>13748</v>
      </c>
      <c r="Y52" s="3">
        <v>14398</v>
      </c>
      <c r="Z52" s="3">
        <v>13609</v>
      </c>
      <c r="AO52" s="3">
        <v>14629</v>
      </c>
      <c r="AP52" s="3">
        <v>14398</v>
      </c>
    </row>
    <row r="53" spans="1:42" s="3" customFormat="1" x14ac:dyDescent="0.3">
      <c r="A53"/>
      <c r="B53" t="s">
        <v>61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 s="3">
        <v>234</v>
      </c>
      <c r="S53" s="3">
        <v>232</v>
      </c>
      <c r="T53" s="3">
        <v>228</v>
      </c>
      <c r="U53" s="3">
        <v>222</v>
      </c>
      <c r="V53" s="3">
        <v>217</v>
      </c>
      <c r="W53" s="3">
        <v>207</v>
      </c>
      <c r="X53" s="3">
        <v>189</v>
      </c>
      <c r="Y53" s="3">
        <v>271</v>
      </c>
      <c r="Z53" s="3">
        <v>307</v>
      </c>
      <c r="AO53" s="3">
        <v>222</v>
      </c>
      <c r="AP53" s="3">
        <v>271</v>
      </c>
    </row>
    <row r="54" spans="1:42" s="4" customFormat="1" x14ac:dyDescent="0.3">
      <c r="A54" s="2"/>
      <c r="B54" s="2" t="s">
        <v>63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4">
        <f t="shared" ref="R54:Y54" si="41">SUM(R41:R53)</f>
        <v>165822</v>
      </c>
      <c r="S54" s="4">
        <f t="shared" si="41"/>
        <v>169794</v>
      </c>
      <c r="T54" s="4">
        <f t="shared" si="41"/>
        <v>173591</v>
      </c>
      <c r="U54" s="4">
        <f t="shared" si="41"/>
        <v>162050</v>
      </c>
      <c r="V54" s="4">
        <f t="shared" si="41"/>
        <v>165981</v>
      </c>
      <c r="W54" s="4">
        <f t="shared" si="41"/>
        <v>163875</v>
      </c>
      <c r="X54" s="4">
        <f t="shared" si="41"/>
        <v>169123</v>
      </c>
      <c r="Y54" s="4">
        <f t="shared" si="41"/>
        <v>163402</v>
      </c>
      <c r="Z54" s="4">
        <f>SUM(Z41:Z53)</f>
        <v>172031</v>
      </c>
      <c r="AO54" s="4">
        <f t="shared" ref="AO54" si="42">SUM(AO41:AO53)</f>
        <v>162050</v>
      </c>
      <c r="AP54" s="4">
        <f t="shared" ref="AP54" si="43">SUM(AP41:AP53)</f>
        <v>163402</v>
      </c>
    </row>
    <row r="55" spans="1:42" s="3" customFormat="1" x14ac:dyDescent="0.3">
      <c r="A55"/>
      <c r="B55" t="s">
        <v>62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 s="3">
        <v>79231</v>
      </c>
      <c r="S55" s="3">
        <v>85327</v>
      </c>
      <c r="T55" s="3">
        <v>85583</v>
      </c>
      <c r="U55" s="3">
        <v>90349</v>
      </c>
      <c r="V55" s="3">
        <v>88073</v>
      </c>
      <c r="W55" s="3">
        <v>90565</v>
      </c>
      <c r="X55" s="3">
        <v>94276</v>
      </c>
      <c r="Y55" s="3">
        <v>97421</v>
      </c>
      <c r="Z55" s="3">
        <v>90341</v>
      </c>
      <c r="AO55" s="3">
        <v>90349</v>
      </c>
      <c r="AP55" s="3">
        <v>97421</v>
      </c>
    </row>
    <row r="56" spans="1:42" s="4" customFormat="1" x14ac:dyDescent="0.3">
      <c r="A56" s="2"/>
      <c r="B56" s="2" t="s">
        <v>65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4">
        <f t="shared" ref="R56:Y56" si="44">R54+R55</f>
        <v>245053</v>
      </c>
      <c r="S56" s="4">
        <f t="shared" si="44"/>
        <v>255121</v>
      </c>
      <c r="T56" s="4">
        <f t="shared" si="44"/>
        <v>259174</v>
      </c>
      <c r="U56" s="4">
        <f t="shared" si="44"/>
        <v>252399</v>
      </c>
      <c r="V56" s="4">
        <f t="shared" si="44"/>
        <v>254054</v>
      </c>
      <c r="W56" s="4">
        <f t="shared" si="44"/>
        <v>254440</v>
      </c>
      <c r="X56" s="4">
        <f t="shared" si="44"/>
        <v>263399</v>
      </c>
      <c r="Y56" s="4">
        <f t="shared" si="44"/>
        <v>260823</v>
      </c>
      <c r="Z56" s="4">
        <f>Z54+Z55</f>
        <v>262372</v>
      </c>
      <c r="AO56" s="4">
        <f t="shared" ref="AO56" si="45">AO54+AO55</f>
        <v>252399</v>
      </c>
      <c r="AP56" s="4">
        <f t="shared" ref="AP56" si="46">AP54+AP55</f>
        <v>260823</v>
      </c>
    </row>
    <row r="60" spans="1:42" s="3" customFormat="1" x14ac:dyDescent="0.3">
      <c r="A60"/>
      <c r="B60" t="s">
        <v>66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s="3">
        <f t="shared" ref="R60:Y60" si="47">R13</f>
        <v>1896</v>
      </c>
      <c r="S60" s="3">
        <f t="shared" si="47"/>
        <v>8053</v>
      </c>
      <c r="T60" s="3">
        <f t="shared" si="47"/>
        <v>643</v>
      </c>
      <c r="U60" s="3">
        <f t="shared" si="47"/>
        <v>5678</v>
      </c>
      <c r="V60" s="3">
        <f t="shared" si="47"/>
        <v>5307</v>
      </c>
      <c r="W60" s="3">
        <f t="shared" si="47"/>
        <v>4711</v>
      </c>
      <c r="X60" s="3">
        <f t="shared" si="47"/>
        <v>4714</v>
      </c>
      <c r="Y60" s="3">
        <f t="shared" si="47"/>
        <v>5425</v>
      </c>
      <c r="Z60" s="3">
        <f>Z13</f>
        <v>4639</v>
      </c>
      <c r="AO60" s="3">
        <f t="shared" ref="AO60:AP60" si="48">AO13</f>
        <v>16270</v>
      </c>
      <c r="AP60" s="3">
        <f t="shared" si="48"/>
        <v>20157</v>
      </c>
    </row>
    <row r="61" spans="1:42" s="3" customFormat="1" x14ac:dyDescent="0.3">
      <c r="A61"/>
      <c r="B61" t="s">
        <v>67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 s="3">
        <v>1896</v>
      </c>
      <c r="S61" s="3">
        <v>8053</v>
      </c>
      <c r="T61" s="3">
        <v>643</v>
      </c>
      <c r="U61" s="3">
        <v>5678</v>
      </c>
      <c r="V61" s="3">
        <v>5307</v>
      </c>
      <c r="W61" s="3">
        <v>4711</v>
      </c>
      <c r="X61" s="3">
        <v>4714</v>
      </c>
      <c r="Y61" s="3">
        <v>5425</v>
      </c>
      <c r="Z61" s="3">
        <v>4639</v>
      </c>
      <c r="AO61" s="3">
        <v>16270</v>
      </c>
      <c r="AP61" s="3">
        <v>20157</v>
      </c>
    </row>
    <row r="62" spans="1:42" s="3" customFormat="1" x14ac:dyDescent="0.3">
      <c r="A62"/>
      <c r="B62" t="s">
        <v>68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 s="3">
        <v>2845</v>
      </c>
      <c r="S62" s="3">
        <v>2905</v>
      </c>
      <c r="T62" s="3">
        <v>2986</v>
      </c>
      <c r="U62" s="3">
        <v>3117</v>
      </c>
      <c r="V62" s="3">
        <v>3128</v>
      </c>
      <c r="W62" s="3">
        <v>3211</v>
      </c>
      <c r="X62" s="3">
        <v>3260</v>
      </c>
      <c r="Y62" s="3">
        <v>3374</v>
      </c>
      <c r="Z62" s="3">
        <v>3369</v>
      </c>
      <c r="AO62" s="3">
        <v>11853</v>
      </c>
      <c r="AP62" s="3">
        <v>12973</v>
      </c>
    </row>
    <row r="63" spans="1:42" s="3" customFormat="1" x14ac:dyDescent="0.3">
      <c r="A63"/>
      <c r="B63" t="s">
        <v>70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 s="3">
        <v>3062</v>
      </c>
      <c r="S63" s="3">
        <v>-3835</v>
      </c>
      <c r="T63" s="3">
        <v>4801</v>
      </c>
      <c r="U63" s="3">
        <v>-835</v>
      </c>
      <c r="V63" s="3">
        <v>-639</v>
      </c>
      <c r="W63" s="3">
        <v>1158</v>
      </c>
      <c r="X63" s="3">
        <v>135</v>
      </c>
      <c r="Y63" s="3">
        <v>224</v>
      </c>
      <c r="Z63" s="3">
        <v>551</v>
      </c>
      <c r="AO63" s="3">
        <v>3193</v>
      </c>
      <c r="AP63" s="3">
        <v>878</v>
      </c>
    </row>
    <row r="64" spans="1:42" s="3" customFormat="1" x14ac:dyDescent="0.3">
      <c r="A64"/>
      <c r="B64" t="s">
        <v>60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 s="3">
        <v>-725</v>
      </c>
      <c r="S64" s="3">
        <v>1161</v>
      </c>
      <c r="T64" s="3">
        <v>-1105</v>
      </c>
      <c r="U64" s="3">
        <v>494</v>
      </c>
      <c r="V64" s="3">
        <v>102</v>
      </c>
      <c r="W64" s="3">
        <v>-346</v>
      </c>
      <c r="X64" s="3">
        <v>-1</v>
      </c>
      <c r="Y64" s="3">
        <v>-390</v>
      </c>
      <c r="Z64" s="3">
        <v>-76</v>
      </c>
      <c r="AO64" s="3">
        <v>-175</v>
      </c>
      <c r="AP64" s="3">
        <v>-635</v>
      </c>
    </row>
    <row r="65" spans="1:42" s="3" customFormat="1" x14ac:dyDescent="0.3">
      <c r="A65"/>
      <c r="B65" t="s">
        <v>69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 s="3">
        <v>249</v>
      </c>
      <c r="S65" s="3">
        <v>600</v>
      </c>
      <c r="T65" s="3">
        <v>563</v>
      </c>
      <c r="U65" s="3">
        <v>1230</v>
      </c>
      <c r="V65" s="3">
        <v>507</v>
      </c>
      <c r="W65" s="3">
        <v>359</v>
      </c>
      <c r="X65" s="3">
        <v>819</v>
      </c>
      <c r="Y65" s="3">
        <v>1204</v>
      </c>
      <c r="Z65" s="3">
        <v>501</v>
      </c>
      <c r="AO65" s="3">
        <v>2642</v>
      </c>
      <c r="AP65" s="3">
        <v>2889</v>
      </c>
    </row>
    <row r="66" spans="1:42" s="3" customFormat="1" x14ac:dyDescent="0.3">
      <c r="A66"/>
      <c r="B66" t="s">
        <v>40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 s="3">
        <v>376</v>
      </c>
      <c r="S66" s="3">
        <v>-261</v>
      </c>
      <c r="T66" s="3">
        <v>-786</v>
      </c>
      <c r="U66" s="3">
        <v>-126</v>
      </c>
      <c r="V66" s="3">
        <v>-154</v>
      </c>
      <c r="W66" s="3">
        <v>234</v>
      </c>
      <c r="X66" s="3">
        <v>-1475</v>
      </c>
      <c r="Y66" s="3">
        <v>289</v>
      </c>
      <c r="Z66" s="3">
        <v>268</v>
      </c>
      <c r="AO66" s="3">
        <v>-797</v>
      </c>
      <c r="AP66" s="3">
        <v>-1106</v>
      </c>
    </row>
    <row r="67" spans="1:42" s="3" customFormat="1" x14ac:dyDescent="0.3">
      <c r="A67"/>
      <c r="B67" t="s">
        <v>41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 s="3">
        <v>-154</v>
      </c>
      <c r="S67" s="3">
        <v>376</v>
      </c>
      <c r="T67" s="3">
        <v>-7543</v>
      </c>
      <c r="U67" s="3">
        <v>9338</v>
      </c>
      <c r="V67" s="3">
        <v>-529</v>
      </c>
      <c r="W67" s="3">
        <v>-705</v>
      </c>
      <c r="X67" s="3">
        <v>-7966</v>
      </c>
      <c r="Y67" s="3">
        <v>6445</v>
      </c>
      <c r="Z67" s="3">
        <v>-807</v>
      </c>
      <c r="AO67" s="3">
        <v>2017</v>
      </c>
      <c r="AP67" s="3">
        <v>-2755</v>
      </c>
    </row>
    <row r="68" spans="1:42" s="3" customFormat="1" x14ac:dyDescent="0.3">
      <c r="A68"/>
      <c r="B68" t="s">
        <v>50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 s="3">
        <v>971</v>
      </c>
      <c r="S68" s="3">
        <v>2028</v>
      </c>
      <c r="T68" s="3">
        <v>4347</v>
      </c>
      <c r="U68" s="3">
        <v>-4831</v>
      </c>
      <c r="V68" s="3">
        <v>213</v>
      </c>
      <c r="W68" s="3">
        <v>953</v>
      </c>
      <c r="X68" s="3">
        <v>6240</v>
      </c>
      <c r="Y68" s="3">
        <v>-4178</v>
      </c>
      <c r="Z68" s="3">
        <v>-310</v>
      </c>
      <c r="AO68" s="3">
        <v>2515</v>
      </c>
      <c r="AP68" s="3">
        <v>3228</v>
      </c>
    </row>
    <row r="69" spans="1:42" s="3" customFormat="1" x14ac:dyDescent="0.3">
      <c r="A69"/>
      <c r="B69" t="s">
        <v>52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 s="3">
        <v>-4447</v>
      </c>
      <c r="S69" s="3">
        <v>3079</v>
      </c>
      <c r="T69" s="3">
        <v>-2927</v>
      </c>
      <c r="U69" s="3">
        <v>2971</v>
      </c>
      <c r="V69" s="3">
        <v>-4649</v>
      </c>
      <c r="W69" s="3">
        <v>3239</v>
      </c>
      <c r="X69" s="3">
        <v>603</v>
      </c>
      <c r="Y69" s="3">
        <v>1186</v>
      </c>
      <c r="Z69" s="3">
        <v>-3627</v>
      </c>
      <c r="AO69" s="3">
        <v>-1324</v>
      </c>
      <c r="AP69" s="3">
        <v>379</v>
      </c>
    </row>
    <row r="70" spans="1:42" s="3" customFormat="1" x14ac:dyDescent="0.3">
      <c r="A70"/>
      <c r="B70" t="s">
        <v>53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 s="3">
        <v>560</v>
      </c>
      <c r="S70" s="3">
        <v>-538</v>
      </c>
      <c r="T70" s="3">
        <v>-166</v>
      </c>
      <c r="U70" s="3">
        <v>-324</v>
      </c>
      <c r="V70" s="3">
        <v>963</v>
      </c>
      <c r="W70" s="3">
        <v>-706</v>
      </c>
      <c r="X70" s="3">
        <v>232</v>
      </c>
      <c r="Y70" s="3">
        <v>-54</v>
      </c>
      <c r="Z70" s="3">
        <v>903</v>
      </c>
      <c r="AO70" s="3">
        <v>-468</v>
      </c>
      <c r="AP70" s="3">
        <v>435</v>
      </c>
    </row>
    <row r="71" spans="1:42" s="4" customFormat="1" x14ac:dyDescent="0.3">
      <c r="A71" s="2"/>
      <c r="B71" s="2" t="s">
        <v>71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4">
        <f t="shared" ref="R71:Y71" si="49">SUM(R61:R70)</f>
        <v>4633</v>
      </c>
      <c r="S71" s="4">
        <f t="shared" si="49"/>
        <v>13568</v>
      </c>
      <c r="T71" s="4">
        <f t="shared" si="49"/>
        <v>813</v>
      </c>
      <c r="U71" s="4">
        <f t="shared" si="49"/>
        <v>16712</v>
      </c>
      <c r="V71" s="4">
        <f t="shared" si="49"/>
        <v>4249</v>
      </c>
      <c r="W71" s="4">
        <f t="shared" si="49"/>
        <v>12108</v>
      </c>
      <c r="X71" s="4">
        <f t="shared" si="49"/>
        <v>6561</v>
      </c>
      <c r="Y71" s="4">
        <f t="shared" si="49"/>
        <v>13525</v>
      </c>
      <c r="Z71" s="4">
        <f>SUM(Z61:Z70)</f>
        <v>5411</v>
      </c>
      <c r="AC71" s="3"/>
      <c r="AD71" s="3"/>
      <c r="AG71" s="3"/>
      <c r="AH71" s="3"/>
      <c r="AO71" s="4">
        <f t="shared" ref="AO71:AP71" si="50">SUM(AO61:AO70)</f>
        <v>35726</v>
      </c>
      <c r="AP71" s="4">
        <f t="shared" si="50"/>
        <v>36443</v>
      </c>
    </row>
    <row r="72" spans="1:42" s="3" customFormat="1" x14ac:dyDescent="0.3">
      <c r="A72"/>
      <c r="B72" t="s">
        <v>72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 s="3">
        <v>-4429</v>
      </c>
      <c r="S72" s="3">
        <v>-4787</v>
      </c>
      <c r="T72" s="3">
        <v>-5458</v>
      </c>
      <c r="U72" s="3">
        <v>-5932</v>
      </c>
      <c r="V72" s="3">
        <v>-4676</v>
      </c>
      <c r="W72" s="3">
        <v>-5831</v>
      </c>
      <c r="X72" s="3">
        <v>-6189</v>
      </c>
      <c r="Y72" s="3">
        <v>-7087</v>
      </c>
      <c r="Z72" s="3">
        <v>-4986</v>
      </c>
      <c r="AO72" s="3">
        <v>-20606</v>
      </c>
      <c r="AP72" s="3">
        <v>-23783</v>
      </c>
    </row>
    <row r="73" spans="1:42" s="3" customFormat="1" x14ac:dyDescent="0.3">
      <c r="A73"/>
      <c r="B73" t="s">
        <v>73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 s="3">
        <f>47+48</f>
        <v>95</v>
      </c>
      <c r="S73" s="3">
        <v>173</v>
      </c>
      <c r="T73" s="3">
        <v>30</v>
      </c>
      <c r="U73" s="3">
        <v>-57</v>
      </c>
      <c r="V73" s="3">
        <v>72</v>
      </c>
      <c r="W73" s="3">
        <v>223</v>
      </c>
      <c r="X73" s="3">
        <v>3879</v>
      </c>
      <c r="Y73" s="3">
        <v>-1558</v>
      </c>
      <c r="Z73" s="3">
        <v>25</v>
      </c>
      <c r="AO73" s="3">
        <f>250-9</f>
        <v>241</v>
      </c>
      <c r="AP73" s="3">
        <f>432+4080-1896</f>
        <v>2616</v>
      </c>
    </row>
    <row r="74" spans="1:42" s="3" customFormat="1" x14ac:dyDescent="0.3">
      <c r="A74"/>
      <c r="B74" t="s">
        <v>74</v>
      </c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 s="3">
        <v>-526</v>
      </c>
      <c r="S74" s="3">
        <v>-435</v>
      </c>
      <c r="T74" s="3">
        <v>-37</v>
      </c>
      <c r="U74" s="3">
        <v>76</v>
      </c>
      <c r="V74" s="3">
        <v>195</v>
      </c>
      <c r="W74" s="3">
        <v>-111</v>
      </c>
      <c r="X74" s="3">
        <v>-223</v>
      </c>
      <c r="Y74" s="3">
        <v>-73</v>
      </c>
      <c r="Z74" s="3">
        <v>-132</v>
      </c>
      <c r="AO74" s="3">
        <v>-922</v>
      </c>
      <c r="AP74" s="3">
        <v>-212</v>
      </c>
    </row>
    <row r="75" spans="1:42" s="4" customFormat="1" x14ac:dyDescent="0.3">
      <c r="A75" s="2"/>
      <c r="B75" s="2" t="s">
        <v>75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4">
        <f t="shared" ref="R75:Y75" si="51">SUM(R72:R74)</f>
        <v>-4860</v>
      </c>
      <c r="S75" s="4">
        <f t="shared" si="51"/>
        <v>-5049</v>
      </c>
      <c r="T75" s="4">
        <f t="shared" si="51"/>
        <v>-5465</v>
      </c>
      <c r="U75" s="4">
        <f t="shared" si="51"/>
        <v>-5913</v>
      </c>
      <c r="V75" s="4">
        <f t="shared" si="51"/>
        <v>-4409</v>
      </c>
      <c r="W75" s="4">
        <f t="shared" si="51"/>
        <v>-5719</v>
      </c>
      <c r="X75" s="4">
        <f t="shared" si="51"/>
        <v>-2533</v>
      </c>
      <c r="Y75" s="4">
        <f t="shared" si="51"/>
        <v>-8718</v>
      </c>
      <c r="Z75" s="4">
        <f>SUM(Z72:Z74)</f>
        <v>-5093</v>
      </c>
      <c r="AC75" s="3"/>
      <c r="AD75" s="3"/>
      <c r="AG75" s="3"/>
      <c r="AH75" s="3"/>
      <c r="AO75" s="4">
        <f t="shared" ref="AO75:AP75" si="52">SUM(AO72:AO74)</f>
        <v>-21287</v>
      </c>
      <c r="AP75" s="4">
        <f t="shared" si="52"/>
        <v>-21379</v>
      </c>
    </row>
    <row r="76" spans="1:42" s="3" customFormat="1" x14ac:dyDescent="0.3">
      <c r="A76"/>
      <c r="B76" t="s">
        <v>49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 s="3">
        <v>1343</v>
      </c>
      <c r="S76" s="3">
        <v>2838</v>
      </c>
      <c r="T76" s="3">
        <v>5402</v>
      </c>
      <c r="U76" s="3">
        <v>-9071</v>
      </c>
      <c r="V76" s="3">
        <v>4585</v>
      </c>
      <c r="W76" s="3">
        <v>-2270</v>
      </c>
      <c r="X76" s="3">
        <v>365</v>
      </c>
      <c r="Y76" s="3">
        <v>-468</v>
      </c>
      <c r="Z76" s="3">
        <v>2521</v>
      </c>
      <c r="AO76" s="3">
        <v>512</v>
      </c>
      <c r="AP76" s="3">
        <v>2212</v>
      </c>
    </row>
    <row r="77" spans="1:42" s="3" customFormat="1" x14ac:dyDescent="0.3">
      <c r="A77"/>
      <c r="B77" t="s">
        <v>57</v>
      </c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 s="3">
        <f>4967-1784</f>
        <v>3183</v>
      </c>
      <c r="S77" s="3">
        <v>-2279</v>
      </c>
      <c r="T77" s="3">
        <v>-150</v>
      </c>
      <c r="U77" s="3">
        <v>-4</v>
      </c>
      <c r="V77" s="3">
        <v>-1574</v>
      </c>
      <c r="W77" s="3">
        <v>-1243</v>
      </c>
      <c r="X77" s="3">
        <v>0</v>
      </c>
      <c r="Y77" s="3">
        <v>-651</v>
      </c>
      <c r="Z77" s="3">
        <v>3983</v>
      </c>
      <c r="AO77" s="3">
        <f>4967-4217</f>
        <v>750</v>
      </c>
      <c r="AP77" s="3">
        <v>-3468</v>
      </c>
    </row>
    <row r="78" spans="1:42" s="3" customFormat="1" x14ac:dyDescent="0.3">
      <c r="A78"/>
      <c r="B78" t="s">
        <v>51</v>
      </c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 s="3">
        <v>-1538</v>
      </c>
      <c r="S78" s="3">
        <v>-1534</v>
      </c>
      <c r="T78" s="3">
        <v>-1534</v>
      </c>
      <c r="U78" s="3">
        <v>-2297</v>
      </c>
      <c r="V78" s="3">
        <v>-1671</v>
      </c>
      <c r="W78" s="3">
        <v>-1665</v>
      </c>
      <c r="X78" s="3">
        <v>-1668</v>
      </c>
      <c r="Y78" s="3">
        <v>-2260</v>
      </c>
      <c r="Z78" s="3">
        <v>-1880</v>
      </c>
      <c r="AO78" s="3">
        <f>-6140-763</f>
        <v>-6903</v>
      </c>
      <c r="AP78" s="3">
        <f>-6688-576</f>
        <v>-7264</v>
      </c>
    </row>
    <row r="79" spans="1:42" s="3" customFormat="1" x14ac:dyDescent="0.3">
      <c r="A79"/>
      <c r="B79" t="s">
        <v>76</v>
      </c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 s="3">
        <v>-686</v>
      </c>
      <c r="S79" s="3">
        <v>-485</v>
      </c>
      <c r="T79" s="3">
        <v>-111</v>
      </c>
      <c r="U79" s="3">
        <v>-1497</v>
      </c>
      <c r="V79" s="3">
        <v>-1059</v>
      </c>
      <c r="W79" s="3">
        <v>-1013</v>
      </c>
      <c r="X79" s="3">
        <v>-977</v>
      </c>
      <c r="Y79" s="3">
        <v>-1445</v>
      </c>
      <c r="Z79" s="3">
        <v>-4555</v>
      </c>
      <c r="AO79" s="3">
        <v>-2779</v>
      </c>
      <c r="AP79" s="3">
        <v>-4494</v>
      </c>
    </row>
    <row r="80" spans="1:42" s="3" customFormat="1" x14ac:dyDescent="0.3">
      <c r="A80"/>
      <c r="B80" t="s">
        <v>77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 s="3">
        <f>483-845</f>
        <v>-362</v>
      </c>
      <c r="S80" s="3">
        <v>-3789</v>
      </c>
      <c r="T80" s="3">
        <v>-477</v>
      </c>
      <c r="U80" s="3">
        <v>-366</v>
      </c>
      <c r="V80" s="3">
        <v>-602</v>
      </c>
      <c r="W80" s="3">
        <v>-433</v>
      </c>
      <c r="X80" s="3">
        <v>-448</v>
      </c>
      <c r="Y80" s="3">
        <v>-325</v>
      </c>
      <c r="Z80" s="3">
        <v>-61</v>
      </c>
      <c r="AO80" s="3">
        <f>716-3462-2248</f>
        <v>-4994</v>
      </c>
      <c r="AP80" s="3">
        <f>362-2170</f>
        <v>-1808</v>
      </c>
    </row>
    <row r="81" spans="1:42" s="4" customFormat="1" x14ac:dyDescent="0.3">
      <c r="A81" s="2"/>
      <c r="B81" s="2" t="s">
        <v>78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>
        <f t="shared" ref="R81:U81" si="53">SUM(R76:R80)</f>
        <v>1940</v>
      </c>
      <c r="S81" s="4">
        <f t="shared" si="53"/>
        <v>-5249</v>
      </c>
      <c r="T81" s="4">
        <f t="shared" si="53"/>
        <v>3130</v>
      </c>
      <c r="U81" s="4">
        <f t="shared" si="53"/>
        <v>-13235</v>
      </c>
      <c r="V81" s="4">
        <f>SUM(V76:V80)</f>
        <v>-321</v>
      </c>
      <c r="W81" s="4">
        <f t="shared" ref="W81:Z81" si="54">SUM(W76:W80)</f>
        <v>-6624</v>
      </c>
      <c r="X81" s="4">
        <f t="shared" si="54"/>
        <v>-2728</v>
      </c>
      <c r="Y81" s="4">
        <f t="shared" si="54"/>
        <v>-5149</v>
      </c>
      <c r="Z81" s="4">
        <f t="shared" si="54"/>
        <v>8</v>
      </c>
      <c r="AC81" s="3"/>
      <c r="AD81" s="3"/>
      <c r="AG81" s="3"/>
      <c r="AH81" s="3"/>
      <c r="AO81" s="4">
        <f t="shared" ref="AO81" si="55">SUM(AO76:AO80)</f>
        <v>-13414</v>
      </c>
      <c r="AP81" s="4">
        <f t="shared" ref="AP81" si="56">SUM(AP76:AP80)</f>
        <v>-14822</v>
      </c>
    </row>
    <row r="82" spans="1:42" s="3" customFormat="1" x14ac:dyDescent="0.3">
      <c r="A82"/>
      <c r="B82" t="s">
        <v>79</v>
      </c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 s="3">
        <v>154</v>
      </c>
      <c r="S82" s="3">
        <v>-7</v>
      </c>
      <c r="T82" s="3">
        <v>-154</v>
      </c>
      <c r="U82" s="3">
        <v>76</v>
      </c>
      <c r="V82" s="3">
        <v>6</v>
      </c>
      <c r="W82" s="3">
        <v>-346</v>
      </c>
      <c r="X82" s="3">
        <v>-11</v>
      </c>
      <c r="Y82" s="3">
        <v>-290</v>
      </c>
      <c r="Z82" s="3">
        <v>70</v>
      </c>
      <c r="AO82" s="3">
        <v>69</v>
      </c>
      <c r="AP82" s="3">
        <v>-641</v>
      </c>
    </row>
    <row r="83" spans="1:42" s="4" customFormat="1" x14ac:dyDescent="0.3">
      <c r="A83" s="2"/>
      <c r="B83" s="2" t="s">
        <v>80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4">
        <f t="shared" ref="R83:U83" si="57">R71+R75+R81+R82</f>
        <v>1867</v>
      </c>
      <c r="S83" s="4">
        <f t="shared" si="57"/>
        <v>3263</v>
      </c>
      <c r="T83" s="4">
        <f t="shared" si="57"/>
        <v>-1676</v>
      </c>
      <c r="U83" s="4">
        <f t="shared" si="57"/>
        <v>-2360</v>
      </c>
      <c r="V83" s="4">
        <f>V71+V75+V81+V82</f>
        <v>-475</v>
      </c>
      <c r="W83" s="4">
        <f t="shared" ref="W83:Z83" si="58">W71+W75+W81+W82</f>
        <v>-581</v>
      </c>
      <c r="X83" s="4">
        <f t="shared" si="58"/>
        <v>1289</v>
      </c>
      <c r="Y83" s="4">
        <f t="shared" si="58"/>
        <v>-632</v>
      </c>
      <c r="Z83" s="4">
        <f t="shared" si="58"/>
        <v>396</v>
      </c>
      <c r="AC83" s="3"/>
      <c r="AD83" s="3"/>
      <c r="AG83" s="3"/>
      <c r="AH83" s="3"/>
      <c r="AO83" s="4">
        <f t="shared" ref="AO83" si="59">AO71+AO75+AO81+AO82</f>
        <v>1094</v>
      </c>
      <c r="AP83" s="4">
        <f t="shared" ref="AP83" si="60">AP71+AP75+AP81+AP82</f>
        <v>-399</v>
      </c>
    </row>
    <row r="84" spans="1:42" s="3" customFormat="1" x14ac:dyDescent="0.3">
      <c r="A84"/>
      <c r="B84" t="s">
        <v>83</v>
      </c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 s="3">
        <v>8841</v>
      </c>
      <c r="S84" s="3">
        <f>R85</f>
        <v>10708</v>
      </c>
      <c r="T84" s="3">
        <f t="shared" ref="T84:Z84" si="61">S85</f>
        <v>13971</v>
      </c>
      <c r="U84" s="3">
        <f t="shared" si="61"/>
        <v>12295</v>
      </c>
      <c r="V84" s="3">
        <f t="shared" si="61"/>
        <v>9935</v>
      </c>
      <c r="W84" s="3">
        <f t="shared" si="61"/>
        <v>9460</v>
      </c>
      <c r="X84" s="3">
        <f t="shared" si="61"/>
        <v>8879</v>
      </c>
      <c r="Y84" s="3">
        <f t="shared" si="61"/>
        <v>10168</v>
      </c>
      <c r="Z84" s="3">
        <f t="shared" si="61"/>
        <v>9536</v>
      </c>
      <c r="AO84" s="3">
        <f>R84</f>
        <v>8841</v>
      </c>
      <c r="AP84" s="3">
        <f t="shared" ref="AP84" si="62">AO85</f>
        <v>9935</v>
      </c>
    </row>
    <row r="85" spans="1:42" s="3" customFormat="1" x14ac:dyDescent="0.3">
      <c r="A85"/>
      <c r="B85" t="s">
        <v>84</v>
      </c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 s="3">
        <f>R84+R83</f>
        <v>10708</v>
      </c>
      <c r="S85" s="3">
        <f>S84+S83</f>
        <v>13971</v>
      </c>
      <c r="T85" s="3">
        <f t="shared" ref="T85:Z85" si="63">T84+T83</f>
        <v>12295</v>
      </c>
      <c r="U85" s="3">
        <f t="shared" si="63"/>
        <v>9935</v>
      </c>
      <c r="V85" s="3">
        <f t="shared" si="63"/>
        <v>9460</v>
      </c>
      <c r="W85" s="3">
        <f t="shared" si="63"/>
        <v>8879</v>
      </c>
      <c r="X85" s="3">
        <f t="shared" si="63"/>
        <v>10168</v>
      </c>
      <c r="Y85" s="3">
        <f t="shared" si="63"/>
        <v>9536</v>
      </c>
      <c r="Z85" s="3">
        <f t="shared" si="63"/>
        <v>9932</v>
      </c>
      <c r="AO85" s="3">
        <f t="shared" ref="AO85" si="64">AO84+AO83</f>
        <v>9935</v>
      </c>
      <c r="AP85" s="3">
        <f t="shared" ref="AP85" si="65">AP84+AP83</f>
        <v>9536</v>
      </c>
    </row>
    <row r="86" spans="1:42" s="3" customFormat="1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1:42" s="3" customFormat="1" x14ac:dyDescent="0.3">
      <c r="A87"/>
      <c r="B87" t="s">
        <v>81</v>
      </c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 s="3">
        <f t="shared" ref="R87:Y87" si="66">R71+R72</f>
        <v>204</v>
      </c>
      <c r="S87" s="3">
        <f t="shared" si="66"/>
        <v>8781</v>
      </c>
      <c r="T87" s="3">
        <f t="shared" si="66"/>
        <v>-4645</v>
      </c>
      <c r="U87" s="3">
        <f t="shared" si="66"/>
        <v>10780</v>
      </c>
      <c r="V87" s="3">
        <f t="shared" si="66"/>
        <v>-427</v>
      </c>
      <c r="W87" s="3">
        <f t="shared" si="66"/>
        <v>6277</v>
      </c>
      <c r="X87" s="3">
        <f t="shared" si="66"/>
        <v>372</v>
      </c>
      <c r="Y87" s="3">
        <f t="shared" si="66"/>
        <v>6438</v>
      </c>
      <c r="Z87" s="3">
        <f>Z71+Z72</f>
        <v>425</v>
      </c>
    </row>
    <row r="88" spans="1:42" x14ac:dyDescent="0.3">
      <c r="B88" t="s">
        <v>82</v>
      </c>
      <c r="R88" s="7">
        <f t="shared" ref="R88:Y88" si="67">-R72/R61</f>
        <v>2.3359704641350212</v>
      </c>
      <c r="S88" s="7">
        <f t="shared" si="67"/>
        <v>0.5944368558301254</v>
      </c>
      <c r="T88" s="7">
        <f t="shared" si="67"/>
        <v>8.4883359253499222</v>
      </c>
      <c r="U88" s="7">
        <f t="shared" si="67"/>
        <v>1.0447340612891862</v>
      </c>
      <c r="V88" s="7">
        <f t="shared" si="67"/>
        <v>0.88110043338986244</v>
      </c>
      <c r="W88" s="7">
        <f t="shared" si="67"/>
        <v>1.2377414561664191</v>
      </c>
      <c r="X88" s="7">
        <f t="shared" si="67"/>
        <v>1.3128977513788715</v>
      </c>
      <c r="Y88" s="7">
        <f t="shared" si="67"/>
        <v>1.3063594470046083</v>
      </c>
      <c r="Z88" s="7">
        <f>-Z72/Z61</f>
        <v>1.0748006035783575</v>
      </c>
    </row>
    <row r="90" spans="1:42" x14ac:dyDescent="0.3">
      <c r="B90" t="s">
        <v>195</v>
      </c>
      <c r="R90" s="3">
        <f t="shared" ref="R90:Y90" si="68">R9+R62</f>
        <v>9085</v>
      </c>
      <c r="S90" s="3">
        <f t="shared" si="68"/>
        <v>10221</v>
      </c>
      <c r="T90" s="3">
        <f t="shared" si="68"/>
        <v>9188</v>
      </c>
      <c r="U90" s="3">
        <f t="shared" si="68"/>
        <v>10371</v>
      </c>
      <c r="V90" s="3">
        <f t="shared" si="68"/>
        <v>9969</v>
      </c>
      <c r="W90" s="3">
        <f t="shared" si="68"/>
        <v>11151</v>
      </c>
      <c r="X90" s="3">
        <f t="shared" si="68"/>
        <v>9968</v>
      </c>
      <c r="Y90" s="3">
        <f t="shared" si="68"/>
        <v>11233</v>
      </c>
      <c r="Z90" s="3">
        <f>Z9+Z62</f>
        <v>10504</v>
      </c>
      <c r="AO90" s="3">
        <f t="shared" ref="AO90:AP90" si="69">AO9+AO62</f>
        <v>38865</v>
      </c>
      <c r="AP90" s="3">
        <f t="shared" si="69"/>
        <v>42321</v>
      </c>
    </row>
    <row r="91" spans="1:42" s="17" customFormat="1" x14ac:dyDescent="0.3">
      <c r="B91" s="17" t="s">
        <v>196</v>
      </c>
      <c r="R91" s="17">
        <f t="shared" ref="R91:Y91" si="70">R90/R3</f>
        <v>6.0163969166379699E-2</v>
      </c>
      <c r="S91" s="17">
        <f t="shared" si="70"/>
        <v>6.3769653107062646E-2</v>
      </c>
      <c r="T91" s="17">
        <f t="shared" si="70"/>
        <v>5.7627054861106752E-2</v>
      </c>
      <c r="U91" s="17">
        <f t="shared" si="70"/>
        <v>6.0326674965389675E-2</v>
      </c>
      <c r="V91" s="17">
        <f t="shared" si="70"/>
        <v>6.2330403031174583E-2</v>
      </c>
      <c r="W91" s="17">
        <f t="shared" si="70"/>
        <v>6.646718365351946E-2</v>
      </c>
      <c r="X91" s="17">
        <f t="shared" si="70"/>
        <v>5.9332273828443541E-2</v>
      </c>
      <c r="Y91" s="17">
        <f t="shared" si="70"/>
        <v>6.2813845551641226E-2</v>
      </c>
      <c r="Z91" s="17">
        <f>Z90/Z3</f>
        <v>6.4056201633116025E-2</v>
      </c>
      <c r="AO91" s="17">
        <f t="shared" ref="AO91:AP91" si="71">AO90/AO3</f>
        <v>6.0477376808369267E-2</v>
      </c>
      <c r="AP91" s="17">
        <f t="shared" si="71"/>
        <v>6.2740720315237988E-2</v>
      </c>
    </row>
    <row r="94" spans="1:42" x14ac:dyDescent="0.3">
      <c r="B94" s="2" t="s">
        <v>85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42" s="3" customFormat="1" x14ac:dyDescent="0.3">
      <c r="A95"/>
      <c r="B95" t="s">
        <v>19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 s="3">
        <v>103901</v>
      </c>
      <c r="S95" s="3">
        <v>110854</v>
      </c>
      <c r="T95" s="3">
        <v>109419</v>
      </c>
      <c r="U95" s="3">
        <v>117643</v>
      </c>
      <c r="V95" s="3">
        <v>108670</v>
      </c>
      <c r="W95" s="3">
        <v>115347</v>
      </c>
      <c r="X95" s="3">
        <v>114875</v>
      </c>
      <c r="Y95" s="3">
        <v>123523</v>
      </c>
      <c r="Z95" s="3">
        <v>112163</v>
      </c>
    </row>
    <row r="96" spans="1:42" s="3" customFormat="1" x14ac:dyDescent="0.3">
      <c r="A96"/>
      <c r="B96" t="s">
        <v>88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U96" s="3">
        <v>572</v>
      </c>
      <c r="V96" s="3">
        <v>613</v>
      </c>
      <c r="Y96" s="3">
        <v>759</v>
      </c>
      <c r="Z96" s="3">
        <v>636</v>
      </c>
    </row>
    <row r="97" spans="1:42" s="3" customFormat="1" x14ac:dyDescent="0.3">
      <c r="A97"/>
      <c r="B97" s="8" t="s">
        <v>89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3">
        <f t="shared" ref="R97:Y97" si="72">R95+R96</f>
        <v>103901</v>
      </c>
      <c r="S97" s="3">
        <f t="shared" ref="S97" si="73">S95+S96</f>
        <v>110854</v>
      </c>
      <c r="T97" s="3">
        <f t="shared" ref="T97" si="74">T95+T96</f>
        <v>109419</v>
      </c>
      <c r="U97" s="3">
        <f t="shared" ref="U97" si="75">U95+U96</f>
        <v>118215</v>
      </c>
      <c r="V97" s="3">
        <f t="shared" ref="V97" si="76">V95+V96</f>
        <v>109283</v>
      </c>
      <c r="W97" s="3">
        <f t="shared" ref="W97" si="77">W95+W96</f>
        <v>115347</v>
      </c>
      <c r="X97" s="3">
        <f t="shared" ref="X97" si="78">X95+X96</f>
        <v>114875</v>
      </c>
      <c r="Y97" s="3">
        <f t="shared" si="72"/>
        <v>124282</v>
      </c>
      <c r="Z97" s="3">
        <f>Z95+Z96</f>
        <v>112799</v>
      </c>
    </row>
    <row r="98" spans="1:42" s="3" customFormat="1" x14ac:dyDescent="0.3">
      <c r="A98"/>
      <c r="B98" s="2" t="s">
        <v>86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42" s="3" customFormat="1" x14ac:dyDescent="0.3">
      <c r="A99"/>
      <c r="B99" t="s">
        <v>19</v>
      </c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 s="3">
        <v>26604</v>
      </c>
      <c r="S99" s="3">
        <v>27596</v>
      </c>
      <c r="T99" s="3">
        <v>28022</v>
      </c>
      <c r="U99" s="3">
        <v>32419</v>
      </c>
      <c r="V99" s="3">
        <v>29833</v>
      </c>
      <c r="W99" s="3">
        <v>29567</v>
      </c>
      <c r="X99" s="3">
        <v>30277</v>
      </c>
      <c r="Y99" s="3">
        <v>32208</v>
      </c>
      <c r="Z99" s="3">
        <v>29754</v>
      </c>
    </row>
    <row r="100" spans="1:42" s="3" customFormat="1" x14ac:dyDescent="0.3">
      <c r="A100"/>
      <c r="B100" t="s">
        <v>88</v>
      </c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U100" s="3">
        <v>353</v>
      </c>
      <c r="V100" s="3">
        <v>384</v>
      </c>
      <c r="Y100" s="3">
        <v>356</v>
      </c>
      <c r="Z100" s="3">
        <v>379</v>
      </c>
    </row>
    <row r="101" spans="1:42" s="3" customFormat="1" x14ac:dyDescent="0.3">
      <c r="A101"/>
      <c r="B101" s="8" t="s">
        <v>89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3">
        <f t="shared" ref="R101:Y101" si="79">R99+R100</f>
        <v>26604</v>
      </c>
      <c r="S101" s="3">
        <f t="shared" ref="S101" si="80">S99+S100</f>
        <v>27596</v>
      </c>
      <c r="T101" s="3">
        <f t="shared" ref="T101" si="81">T99+T100</f>
        <v>28022</v>
      </c>
      <c r="U101" s="3">
        <f t="shared" ref="U101" si="82">U99+U100</f>
        <v>32772</v>
      </c>
      <c r="V101" s="3">
        <f t="shared" ref="V101" si="83">V99+V100</f>
        <v>30217</v>
      </c>
      <c r="W101" s="3">
        <f t="shared" ref="W101" si="84">W99+W100</f>
        <v>29567</v>
      </c>
      <c r="X101" s="3">
        <f t="shared" ref="X101" si="85">X99+X100</f>
        <v>30277</v>
      </c>
      <c r="Y101" s="3">
        <f t="shared" si="79"/>
        <v>32564</v>
      </c>
      <c r="Z101" s="3">
        <f>Z99+Z100</f>
        <v>30133</v>
      </c>
    </row>
    <row r="102" spans="1:42" s="3" customFormat="1" x14ac:dyDescent="0.3">
      <c r="A102"/>
      <c r="B102" s="2" t="s">
        <v>87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42" s="3" customFormat="1" x14ac:dyDescent="0.3">
      <c r="A103"/>
      <c r="B103" t="s">
        <v>19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 s="3">
        <v>20499</v>
      </c>
      <c r="S103" s="3">
        <v>21830</v>
      </c>
      <c r="T103" s="3">
        <v>21998</v>
      </c>
      <c r="U103" s="3">
        <v>21852</v>
      </c>
      <c r="V103" s="3">
        <v>21435</v>
      </c>
      <c r="W103" s="3">
        <v>22853</v>
      </c>
      <c r="X103" s="3">
        <v>22851</v>
      </c>
      <c r="Y103" s="3">
        <v>23099</v>
      </c>
      <c r="Z103" s="3">
        <v>22064</v>
      </c>
    </row>
    <row r="104" spans="1:42" s="3" customFormat="1" x14ac:dyDescent="0.3">
      <c r="A104"/>
      <c r="B104" t="s">
        <v>88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U104" s="3">
        <v>539</v>
      </c>
      <c r="V104" s="3">
        <v>561</v>
      </c>
      <c r="Y104" s="3">
        <v>595</v>
      </c>
      <c r="Z104" s="3">
        <v>607</v>
      </c>
    </row>
    <row r="105" spans="1:42" s="3" customFormat="1" x14ac:dyDescent="0.3">
      <c r="A105"/>
      <c r="B105" s="8" t="s">
        <v>89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3">
        <f t="shared" ref="R105" si="86">R103+R104</f>
        <v>20499</v>
      </c>
      <c r="S105" s="3">
        <f t="shared" ref="S105" si="87">S103+S104</f>
        <v>21830</v>
      </c>
      <c r="T105" s="3">
        <f t="shared" ref="T105" si="88">T103+T104</f>
        <v>21998</v>
      </c>
      <c r="U105" s="3">
        <f t="shared" ref="U105" si="89">U103+U104</f>
        <v>22391</v>
      </c>
      <c r="V105" s="3">
        <f t="shared" ref="V105" si="90">V103+V104</f>
        <v>21996</v>
      </c>
      <c r="W105" s="3">
        <f t="shared" ref="W105" si="91">W103+W104</f>
        <v>22853</v>
      </c>
      <c r="X105" s="3">
        <f t="shared" ref="X105" si="92">X103+X104</f>
        <v>22851</v>
      </c>
      <c r="Y105" s="3">
        <f t="shared" ref="Y105" si="93">Y103+Y104</f>
        <v>23694</v>
      </c>
      <c r="Z105" s="3">
        <f t="shared" ref="Z105" si="94">Z103+Z104</f>
        <v>22671</v>
      </c>
    </row>
    <row r="106" spans="1:42" x14ac:dyDescent="0.3">
      <c r="B106" s="2" t="s">
        <v>90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Z106" s="3"/>
    </row>
    <row r="107" spans="1:42" x14ac:dyDescent="0.3">
      <c r="B107" t="s">
        <v>88</v>
      </c>
      <c r="U107">
        <v>10</v>
      </c>
      <c r="V107">
        <v>12</v>
      </c>
      <c r="Y107">
        <v>14</v>
      </c>
      <c r="Z107">
        <v>6</v>
      </c>
    </row>
    <row r="108" spans="1:42" x14ac:dyDescent="0.3">
      <c r="B108" s="2" t="s">
        <v>91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>
        <f t="shared" ref="R108" si="95">R107+R105+R101+R97</f>
        <v>151004</v>
      </c>
      <c r="S108" s="3">
        <f t="shared" ref="S108" si="96">S107+S105+S101+S97</f>
        <v>160280</v>
      </c>
      <c r="T108" s="3">
        <f t="shared" ref="T108" si="97">T107+T105+T101+T97</f>
        <v>159439</v>
      </c>
      <c r="U108" s="3">
        <f t="shared" ref="U108" si="98">U107+U105+U101+U97</f>
        <v>173388</v>
      </c>
      <c r="V108" s="3">
        <f t="shared" ref="V108" si="99">V107+V105+V101+V97</f>
        <v>161508</v>
      </c>
      <c r="W108" s="3">
        <f t="shared" ref="W108" si="100">W107+W105+W101+W97</f>
        <v>167767</v>
      </c>
      <c r="X108" s="3">
        <f t="shared" ref="X108" si="101">X107+X105+X101+X97</f>
        <v>168003</v>
      </c>
      <c r="Y108" s="3">
        <f t="shared" ref="Y108" si="102">Y107+Y105+Y101+Y97</f>
        <v>180554</v>
      </c>
      <c r="Z108" s="3">
        <f>Z107+Z105+Z101+Z97</f>
        <v>165609</v>
      </c>
    </row>
    <row r="111" spans="1:42" s="3" customFormat="1" x14ac:dyDescent="0.3">
      <c r="B111" s="3" t="s">
        <v>184</v>
      </c>
      <c r="R111" s="3">
        <v>103900</v>
      </c>
      <c r="S111" s="3">
        <v>110900</v>
      </c>
      <c r="T111" s="3">
        <v>109400</v>
      </c>
      <c r="U111" s="3">
        <v>117600</v>
      </c>
      <c r="V111" s="3">
        <v>108700</v>
      </c>
      <c r="W111" s="3">
        <v>115300</v>
      </c>
      <c r="X111" s="3">
        <v>114900</v>
      </c>
      <c r="Y111" s="3">
        <v>123500</v>
      </c>
      <c r="Z111" s="3">
        <v>112200</v>
      </c>
      <c r="AO111" s="3">
        <f>R111+S111+T111+U111</f>
        <v>441800</v>
      </c>
      <c r="AP111" s="3">
        <f>+V111+W111+X111+Y111</f>
        <v>462400</v>
      </c>
    </row>
    <row r="112" spans="1:42" s="3" customFormat="1" x14ac:dyDescent="0.3">
      <c r="B112" s="3" t="s">
        <v>185</v>
      </c>
      <c r="R112" s="3">
        <v>5000</v>
      </c>
      <c r="S112" s="3">
        <v>6100</v>
      </c>
      <c r="T112" s="3">
        <v>5000</v>
      </c>
      <c r="U112" s="3">
        <v>6100</v>
      </c>
      <c r="V112" s="3">
        <v>5300</v>
      </c>
      <c r="W112" s="3">
        <v>6600</v>
      </c>
      <c r="X112" s="3">
        <v>5400</v>
      </c>
      <c r="Y112" s="3">
        <v>6500</v>
      </c>
      <c r="Z112" s="3">
        <v>5700</v>
      </c>
      <c r="AO112" s="3">
        <f t="shared" ref="AO112:AO121" si="103">R112+S112+T112+U112</f>
        <v>22200</v>
      </c>
      <c r="AP112" s="3">
        <f t="shared" ref="AP112:AP121" si="104">+V112+W112+X112+Y112</f>
        <v>23800</v>
      </c>
    </row>
    <row r="113" spans="1:42" s="17" customFormat="1" x14ac:dyDescent="0.3">
      <c r="B113" s="17" t="s">
        <v>197</v>
      </c>
      <c r="R113" s="17">
        <f t="shared" ref="R113:Y113" si="105">R112/R111</f>
        <v>4.8123195380173241E-2</v>
      </c>
      <c r="S113" s="17">
        <f t="shared" si="105"/>
        <v>5.5004508566275923E-2</v>
      </c>
      <c r="T113" s="17">
        <f t="shared" si="105"/>
        <v>4.5703839122486288E-2</v>
      </c>
      <c r="U113" s="17">
        <f t="shared" si="105"/>
        <v>5.187074829931973E-2</v>
      </c>
      <c r="V113" s="17">
        <f t="shared" si="105"/>
        <v>4.875804967801288E-2</v>
      </c>
      <c r="W113" s="17">
        <f t="shared" si="105"/>
        <v>5.7241977450130092E-2</v>
      </c>
      <c r="X113" s="17">
        <f t="shared" si="105"/>
        <v>4.6997389033942558E-2</v>
      </c>
      <c r="Y113" s="17">
        <f t="shared" si="105"/>
        <v>5.2631578947368418E-2</v>
      </c>
      <c r="Z113" s="17">
        <f>Z112/Z111</f>
        <v>5.0802139037433157E-2</v>
      </c>
      <c r="AO113" s="17">
        <f t="shared" ref="AO113:AP113" si="106">AO112/AO111</f>
        <v>5.0248981439565417E-2</v>
      </c>
      <c r="AP113" s="17">
        <f t="shared" si="106"/>
        <v>5.1470588235294115E-2</v>
      </c>
    </row>
    <row r="114" spans="1:42" s="3" customFormat="1" x14ac:dyDescent="0.3">
      <c r="B114" s="3" t="s">
        <v>183</v>
      </c>
      <c r="R114" s="3">
        <v>26600</v>
      </c>
      <c r="S114" s="3">
        <v>27600</v>
      </c>
      <c r="T114" s="3">
        <v>28000</v>
      </c>
      <c r="U114" s="3">
        <v>32400</v>
      </c>
      <c r="V114" s="3">
        <v>29800</v>
      </c>
      <c r="W114" s="3">
        <v>29600</v>
      </c>
      <c r="X114" s="3">
        <v>30300</v>
      </c>
      <c r="Y114" s="3">
        <v>32200</v>
      </c>
      <c r="Z114" s="3">
        <v>29800</v>
      </c>
      <c r="AO114" s="3">
        <f t="shared" si="103"/>
        <v>114600</v>
      </c>
      <c r="AP114" s="3">
        <f t="shared" si="104"/>
        <v>121900</v>
      </c>
    </row>
    <row r="115" spans="1:42" s="3" customFormat="1" x14ac:dyDescent="0.3">
      <c r="B115" s="3" t="s">
        <v>185</v>
      </c>
      <c r="R115" s="3">
        <v>1200</v>
      </c>
      <c r="S115" s="3">
        <v>1200</v>
      </c>
      <c r="T115" s="3">
        <v>1100</v>
      </c>
      <c r="U115" s="3">
        <v>1400</v>
      </c>
      <c r="V115" s="3">
        <v>1500</v>
      </c>
      <c r="W115" s="3">
        <v>1400</v>
      </c>
      <c r="X115" s="3">
        <v>1200</v>
      </c>
      <c r="Y115" s="3">
        <v>1400</v>
      </c>
      <c r="Z115" s="3">
        <v>1300</v>
      </c>
      <c r="AO115" s="3">
        <f t="shared" si="103"/>
        <v>4900</v>
      </c>
      <c r="AP115" s="3">
        <f t="shared" si="104"/>
        <v>5500</v>
      </c>
    </row>
    <row r="116" spans="1:42" s="3" customFormat="1" x14ac:dyDescent="0.3">
      <c r="B116" s="3" t="s">
        <v>197</v>
      </c>
      <c r="R116" s="17">
        <f t="shared" ref="R116:Z116" si="107">R115/R114</f>
        <v>4.5112781954887216E-2</v>
      </c>
      <c r="S116" s="17">
        <f t="shared" si="107"/>
        <v>4.3478260869565216E-2</v>
      </c>
      <c r="T116" s="17">
        <f t="shared" si="107"/>
        <v>3.9285714285714285E-2</v>
      </c>
      <c r="U116" s="17">
        <f t="shared" si="107"/>
        <v>4.3209876543209874E-2</v>
      </c>
      <c r="V116" s="17">
        <f t="shared" si="107"/>
        <v>5.0335570469798654E-2</v>
      </c>
      <c r="W116" s="17">
        <f t="shared" si="107"/>
        <v>4.72972972972973E-2</v>
      </c>
      <c r="X116" s="17">
        <f t="shared" si="107"/>
        <v>3.9603960396039604E-2</v>
      </c>
      <c r="Y116" s="17">
        <f t="shared" si="107"/>
        <v>4.3478260869565216E-2</v>
      </c>
      <c r="Z116" s="17">
        <f t="shared" si="107"/>
        <v>4.3624161073825503E-2</v>
      </c>
      <c r="AO116" s="17">
        <f t="shared" ref="AO116:AP116" si="108">AO115/AO114</f>
        <v>4.2757417102966842E-2</v>
      </c>
      <c r="AP116" s="17">
        <f t="shared" si="108"/>
        <v>4.5118949958982774E-2</v>
      </c>
    </row>
    <row r="117" spans="1:42" s="3" customFormat="1" x14ac:dyDescent="0.3">
      <c r="B117" s="3" t="s">
        <v>186</v>
      </c>
      <c r="R117" s="3">
        <v>20500</v>
      </c>
      <c r="S117" s="3">
        <v>21800</v>
      </c>
      <c r="T117" s="3">
        <v>22000</v>
      </c>
      <c r="U117" s="3">
        <v>21900</v>
      </c>
      <c r="V117" s="3">
        <v>21400</v>
      </c>
      <c r="W117" s="3">
        <v>22900</v>
      </c>
      <c r="X117" s="3">
        <v>22900</v>
      </c>
      <c r="Y117" s="3">
        <v>23100</v>
      </c>
      <c r="Z117" s="3">
        <v>22100</v>
      </c>
      <c r="AO117" s="3">
        <f t="shared" si="103"/>
        <v>86200</v>
      </c>
      <c r="AP117" s="3">
        <f t="shared" si="104"/>
        <v>90300</v>
      </c>
    </row>
    <row r="118" spans="1:42" s="3" customFormat="1" x14ac:dyDescent="0.3">
      <c r="B118" s="3" t="s">
        <v>185</v>
      </c>
      <c r="R118" s="3">
        <v>500</v>
      </c>
      <c r="S118" s="3">
        <v>500</v>
      </c>
      <c r="T118" s="3">
        <v>600</v>
      </c>
      <c r="U118" s="3">
        <v>600</v>
      </c>
      <c r="V118" s="3">
        <v>600</v>
      </c>
      <c r="W118" s="3">
        <v>600</v>
      </c>
      <c r="X118" s="3">
        <v>600</v>
      </c>
      <c r="Y118" s="3">
        <v>600</v>
      </c>
      <c r="Z118" s="3">
        <v>700</v>
      </c>
      <c r="AO118" s="3">
        <f t="shared" si="103"/>
        <v>2200</v>
      </c>
      <c r="AP118" s="3">
        <f t="shared" si="104"/>
        <v>2400</v>
      </c>
    </row>
    <row r="119" spans="1:42" s="3" customFormat="1" x14ac:dyDescent="0.3">
      <c r="B119" s="3" t="s">
        <v>197</v>
      </c>
      <c r="R119" s="17">
        <f t="shared" ref="R119" si="109">R118/R117</f>
        <v>2.4390243902439025E-2</v>
      </c>
      <c r="S119" s="17">
        <f t="shared" ref="S119" si="110">S118/S117</f>
        <v>2.2935779816513763E-2</v>
      </c>
      <c r="T119" s="17">
        <f t="shared" ref="T119" si="111">T118/T117</f>
        <v>2.7272727272727271E-2</v>
      </c>
      <c r="U119" s="17">
        <f t="shared" ref="U119" si="112">U118/U117</f>
        <v>2.7397260273972601E-2</v>
      </c>
      <c r="V119" s="17">
        <f t="shared" ref="V119" si="113">V118/V117</f>
        <v>2.8037383177570093E-2</v>
      </c>
      <c r="W119" s="17">
        <f t="shared" ref="W119" si="114">W118/W117</f>
        <v>2.6200873362445413E-2</v>
      </c>
      <c r="X119" s="17">
        <f t="shared" ref="X119" si="115">X118/X117</f>
        <v>2.6200873362445413E-2</v>
      </c>
      <c r="Y119" s="17">
        <f t="shared" ref="Y119" si="116">Y118/Y117</f>
        <v>2.5974025974025976E-2</v>
      </c>
      <c r="Z119" s="17">
        <f t="shared" ref="Z119" si="117">Z118/Z117</f>
        <v>3.1674208144796379E-2</v>
      </c>
      <c r="AO119" s="17">
        <f t="shared" ref="AO119:AP119" si="118">AO118/AO117</f>
        <v>2.5522041763341066E-2</v>
      </c>
      <c r="AP119" s="17">
        <f t="shared" si="118"/>
        <v>2.6578073089700997E-2</v>
      </c>
    </row>
    <row r="120" spans="1:42" s="2" customFormat="1" x14ac:dyDescent="0.3">
      <c r="B120" s="4" t="s">
        <v>187</v>
      </c>
      <c r="R120" s="4">
        <f t="shared" ref="R120:Y120" si="119">R111+R114+R117</f>
        <v>151000</v>
      </c>
      <c r="S120" s="4">
        <f t="shared" si="119"/>
        <v>160300</v>
      </c>
      <c r="T120" s="4">
        <f t="shared" si="119"/>
        <v>159400</v>
      </c>
      <c r="U120" s="4">
        <f t="shared" si="119"/>
        <v>171900</v>
      </c>
      <c r="V120" s="4">
        <f t="shared" si="119"/>
        <v>159900</v>
      </c>
      <c r="W120" s="4">
        <f t="shared" si="119"/>
        <v>167800</v>
      </c>
      <c r="X120" s="4">
        <f t="shared" si="119"/>
        <v>168100</v>
      </c>
      <c r="Y120" s="4">
        <f t="shared" si="119"/>
        <v>178800</v>
      </c>
      <c r="Z120" s="4">
        <f>Z111+Z114+Z117</f>
        <v>164100</v>
      </c>
      <c r="AO120" s="4">
        <f t="shared" si="103"/>
        <v>642600</v>
      </c>
      <c r="AP120" s="4">
        <f t="shared" si="104"/>
        <v>674600</v>
      </c>
    </row>
    <row r="121" spans="1:42" s="2" customFormat="1" x14ac:dyDescent="0.3">
      <c r="B121" s="4" t="s">
        <v>25</v>
      </c>
      <c r="R121" s="4">
        <f t="shared" ref="R121:Y121" si="120">R112+R115+R118</f>
        <v>6700</v>
      </c>
      <c r="S121" s="4">
        <f t="shared" si="120"/>
        <v>7800</v>
      </c>
      <c r="T121" s="4">
        <f t="shared" si="120"/>
        <v>6700</v>
      </c>
      <c r="U121" s="4">
        <f t="shared" si="120"/>
        <v>8100</v>
      </c>
      <c r="V121" s="4">
        <f t="shared" si="120"/>
        <v>7400</v>
      </c>
      <c r="W121" s="4">
        <f t="shared" si="120"/>
        <v>8600</v>
      </c>
      <c r="X121" s="4">
        <f t="shared" si="120"/>
        <v>7200</v>
      </c>
      <c r="Y121" s="4">
        <f t="shared" si="120"/>
        <v>8500</v>
      </c>
      <c r="Z121" s="4">
        <f>Z112+Z115+Z118</f>
        <v>7700</v>
      </c>
      <c r="AO121" s="4">
        <f t="shared" si="103"/>
        <v>29300</v>
      </c>
      <c r="AP121" s="4">
        <f t="shared" si="104"/>
        <v>31700</v>
      </c>
    </row>
    <row r="122" spans="1:42" s="2" customFormat="1" x14ac:dyDescent="0.3">
      <c r="B122" s="4"/>
      <c r="R122" s="4"/>
      <c r="S122" s="4"/>
      <c r="T122" s="4"/>
      <c r="U122" s="4"/>
      <c r="V122" s="4"/>
      <c r="W122" s="4"/>
      <c r="X122" s="4"/>
      <c r="Y122" s="4"/>
      <c r="Z122" s="4"/>
      <c r="AO122" s="3"/>
      <c r="AP122" s="3"/>
    </row>
    <row r="123" spans="1:42" s="2" customFormat="1" x14ac:dyDescent="0.3">
      <c r="B123" s="3" t="s">
        <v>188</v>
      </c>
      <c r="R123" s="4"/>
      <c r="S123" s="4"/>
      <c r="T123" s="4"/>
      <c r="U123" s="4"/>
      <c r="V123" s="16">
        <f t="shared" ref="V123:Y123" si="121">V111/R111-1</f>
        <v>4.6198267564966367E-2</v>
      </c>
      <c r="W123" s="16">
        <f t="shared" si="121"/>
        <v>3.9675383228133354E-2</v>
      </c>
      <c r="X123" s="16">
        <f t="shared" si="121"/>
        <v>5.0274223034734833E-2</v>
      </c>
      <c r="Y123" s="16">
        <f t="shared" si="121"/>
        <v>5.0170068027210801E-2</v>
      </c>
      <c r="Z123" s="16">
        <f>Z111/V111-1</f>
        <v>3.2198712051517919E-2</v>
      </c>
    </row>
    <row r="124" spans="1:42" s="2" customFormat="1" x14ac:dyDescent="0.3">
      <c r="B124" s="3" t="s">
        <v>189</v>
      </c>
      <c r="R124" s="4"/>
      <c r="S124" s="4"/>
      <c r="T124" s="4"/>
      <c r="U124" s="4"/>
      <c r="V124" s="16">
        <f t="shared" ref="V124:Y124" si="122">V114/R114-1</f>
        <v>0.12030075187969924</v>
      </c>
      <c r="W124" s="16">
        <f t="shared" si="122"/>
        <v>7.2463768115942129E-2</v>
      </c>
      <c r="X124" s="16">
        <f t="shared" si="122"/>
        <v>8.2142857142857073E-2</v>
      </c>
      <c r="Y124" s="16">
        <f t="shared" si="122"/>
        <v>-6.1728395061728669E-3</v>
      </c>
      <c r="Z124" s="16">
        <f>Z114/V114-1</f>
        <v>0</v>
      </c>
    </row>
    <row r="125" spans="1:42" s="2" customFormat="1" x14ac:dyDescent="0.3">
      <c r="B125" s="3" t="s">
        <v>190</v>
      </c>
      <c r="R125" s="4"/>
      <c r="S125" s="4"/>
      <c r="T125" s="4"/>
      <c r="U125" s="4"/>
      <c r="V125" s="16">
        <f t="shared" ref="V125:Y125" si="123">V117/R117-1</f>
        <v>4.3902439024390283E-2</v>
      </c>
      <c r="W125" s="16">
        <f t="shared" si="123"/>
        <v>5.0458715596330306E-2</v>
      </c>
      <c r="X125" s="16">
        <f t="shared" si="123"/>
        <v>4.0909090909091006E-2</v>
      </c>
      <c r="Y125" s="16">
        <f t="shared" si="123"/>
        <v>5.4794520547945202E-2</v>
      </c>
      <c r="Z125" s="16">
        <f>Z117/V117-1</f>
        <v>3.2710280373831724E-2</v>
      </c>
    </row>
    <row r="126" spans="1:42" x14ac:dyDescent="0.3">
      <c r="B126" s="3"/>
    </row>
    <row r="128" spans="1:42" s="3" customFormat="1" x14ac:dyDescent="0.3">
      <c r="A128"/>
      <c r="B128" t="s">
        <v>94</v>
      </c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pans="1:26" s="4" customFormat="1" x14ac:dyDescent="0.3">
      <c r="A129" s="2"/>
      <c r="B129" s="10" t="s">
        <v>95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spans="1:26" s="3" customFormat="1" x14ac:dyDescent="0.3">
      <c r="A130"/>
      <c r="B130" s="8" t="s">
        <v>96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3">
        <f>R131+R132+R133+R134</f>
        <v>4684</v>
      </c>
      <c r="V130" s="3">
        <f>V131+V132+V133+V134</f>
        <v>4609</v>
      </c>
      <c r="Z130" s="3">
        <f>Z131+Z132+Z133+Z134</f>
        <v>4606</v>
      </c>
    </row>
    <row r="131" spans="1:26" s="3" customFormat="1" x14ac:dyDescent="0.3">
      <c r="A131"/>
      <c r="B131" t="s">
        <v>97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 s="3">
        <v>3561</v>
      </c>
      <c r="V131" s="3">
        <v>3559</v>
      </c>
      <c r="Z131" s="3">
        <v>3560</v>
      </c>
    </row>
    <row r="132" spans="1:26" s="3" customFormat="1" x14ac:dyDescent="0.3">
      <c r="A132"/>
      <c r="B132" t="s">
        <v>98</v>
      </c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 s="3">
        <v>677</v>
      </c>
      <c r="V132" s="3">
        <v>673</v>
      </c>
      <c r="Z132" s="3">
        <v>671</v>
      </c>
    </row>
    <row r="133" spans="1:26" s="3" customFormat="1" x14ac:dyDescent="0.3">
      <c r="A133"/>
      <c r="B133" t="s">
        <v>99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 s="3">
        <v>361</v>
      </c>
      <c r="V133" s="3">
        <v>357</v>
      </c>
      <c r="Z133" s="3">
        <v>355</v>
      </c>
    </row>
    <row r="134" spans="1:26" s="3" customFormat="1" x14ac:dyDescent="0.3">
      <c r="A134"/>
      <c r="B134" t="s">
        <v>100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 s="3">
        <v>85</v>
      </c>
      <c r="V134" s="3">
        <v>20</v>
      </c>
      <c r="Z134" s="3">
        <v>20</v>
      </c>
    </row>
    <row r="135" spans="1:26" s="3" customFormat="1" x14ac:dyDescent="0.3">
      <c r="A135"/>
      <c r="B135" t="s">
        <v>101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 s="3">
        <v>599</v>
      </c>
      <c r="V135" s="3">
        <v>599</v>
      </c>
      <c r="Z135" s="3">
        <v>600</v>
      </c>
    </row>
    <row r="136" spans="1:26" s="4" customFormat="1" x14ac:dyDescent="0.3">
      <c r="A136" s="2"/>
      <c r="B136" s="9" t="s">
        <v>89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4">
        <f>+R130+R135</f>
        <v>5283</v>
      </c>
      <c r="V136" s="4">
        <f>+V130+V135</f>
        <v>5208</v>
      </c>
      <c r="Z136" s="4">
        <f>+Z130+Z135</f>
        <v>5206</v>
      </c>
    </row>
    <row r="137" spans="1:26" s="3" customFormat="1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 spans="1:26" s="3" customFormat="1" x14ac:dyDescent="0.3">
      <c r="A138"/>
      <c r="B138" s="10" t="s">
        <v>102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spans="1:26" s="3" customFormat="1" x14ac:dyDescent="0.3">
      <c r="A139"/>
      <c r="B139" t="s">
        <v>103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Z139" s="3">
        <v>157</v>
      </c>
    </row>
    <row r="140" spans="1:26" s="3" customFormat="1" x14ac:dyDescent="0.3">
      <c r="A140"/>
      <c r="B140" t="s">
        <v>104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Z140" s="3">
        <v>128</v>
      </c>
    </row>
    <row r="141" spans="1:26" s="3" customFormat="1" x14ac:dyDescent="0.3">
      <c r="A141"/>
      <c r="B141" t="s">
        <v>105</v>
      </c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Z141" s="3">
        <v>100</v>
      </c>
    </row>
    <row r="142" spans="1:26" s="3" customFormat="1" x14ac:dyDescent="0.3">
      <c r="A142"/>
      <c r="B142" t="s">
        <v>106</v>
      </c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Z142" s="3">
        <v>13</v>
      </c>
    </row>
    <row r="143" spans="1:26" s="4" customFormat="1" x14ac:dyDescent="0.3">
      <c r="A143" s="2"/>
      <c r="B143" s="9" t="s">
        <v>89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Z143" s="4">
        <f>SUM(Z139:Z142)</f>
        <v>398</v>
      </c>
    </row>
    <row r="144" spans="1:26" s="3" customFormat="1" x14ac:dyDescent="0.3">
      <c r="A144"/>
      <c r="B144" s="10" t="s">
        <v>107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spans="1:26" s="3" customFormat="1" x14ac:dyDescent="0.3">
      <c r="A145"/>
      <c r="B145" t="s">
        <v>108</v>
      </c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Z145" s="3">
        <v>223</v>
      </c>
    </row>
    <row r="146" spans="1:26" s="3" customFormat="1" x14ac:dyDescent="0.3">
      <c r="A146"/>
      <c r="B146" t="s">
        <v>109</v>
      </c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Z146" s="3">
        <v>59</v>
      </c>
    </row>
    <row r="147" spans="1:26" s="3" customFormat="1" x14ac:dyDescent="0.3">
      <c r="A147"/>
      <c r="B147" t="s">
        <v>110</v>
      </c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Z147" s="3">
        <v>38</v>
      </c>
    </row>
    <row r="148" spans="1:26" s="3" customFormat="1" x14ac:dyDescent="0.3">
      <c r="A148"/>
      <c r="B148" t="s">
        <v>111</v>
      </c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Z148" s="3">
        <v>14</v>
      </c>
    </row>
    <row r="149" spans="1:26" s="4" customFormat="1" x14ac:dyDescent="0.3">
      <c r="A149" s="2"/>
      <c r="B149" s="9" t="s">
        <v>89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Z149" s="4">
        <f>SUM(Z145:Z148)</f>
        <v>334</v>
      </c>
    </row>
    <row r="150" spans="1:26" s="3" customFormat="1" x14ac:dyDescent="0.3">
      <c r="A150"/>
      <c r="B150" s="2" t="s">
        <v>112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26" s="3" customFormat="1" x14ac:dyDescent="0.3">
      <c r="A151"/>
      <c r="B151" t="s">
        <v>113</v>
      </c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Z151" s="3">
        <v>63</v>
      </c>
    </row>
    <row r="152" spans="1:26" s="3" customFormat="1" x14ac:dyDescent="0.3">
      <c r="A152"/>
      <c r="B152" t="s">
        <v>114</v>
      </c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Z152" s="3">
        <v>17</v>
      </c>
    </row>
    <row r="153" spans="1:26" s="3" customFormat="1" x14ac:dyDescent="0.3">
      <c r="A153"/>
      <c r="B153" t="s">
        <v>115</v>
      </c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Z153" s="3">
        <v>16</v>
      </c>
    </row>
    <row r="154" spans="1:26" s="3" customFormat="1" x14ac:dyDescent="0.3">
      <c r="A154"/>
      <c r="B154" t="s">
        <v>111</v>
      </c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Z154" s="3">
        <v>6</v>
      </c>
    </row>
    <row r="155" spans="1:26" s="4" customFormat="1" x14ac:dyDescent="0.3">
      <c r="A155" s="2"/>
      <c r="B155" s="9" t="s">
        <v>89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Z155" s="4">
        <f>SUM(Z151:Z154)</f>
        <v>102</v>
      </c>
    </row>
    <row r="156" spans="1:26" s="3" customFormat="1" x14ac:dyDescent="0.3">
      <c r="A156"/>
      <c r="B156" s="2" t="s">
        <v>116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26" s="3" customFormat="1" x14ac:dyDescent="0.3">
      <c r="A157"/>
      <c r="B157" t="s">
        <v>113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Z157" s="3">
        <v>187</v>
      </c>
    </row>
    <row r="158" spans="1:26" s="3" customFormat="1" x14ac:dyDescent="0.3">
      <c r="A158"/>
      <c r="B158" t="s">
        <v>115</v>
      </c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Z158" s="3">
        <v>48</v>
      </c>
    </row>
    <row r="159" spans="1:26" s="3" customFormat="1" x14ac:dyDescent="0.3">
      <c r="A159"/>
      <c r="B159" t="s">
        <v>117</v>
      </c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Z159" s="3">
        <v>27</v>
      </c>
    </row>
    <row r="160" spans="1:26" s="3" customFormat="1" x14ac:dyDescent="0.3">
      <c r="A160"/>
      <c r="B160" t="s">
        <v>111</v>
      </c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Z160" s="3">
        <v>11</v>
      </c>
    </row>
    <row r="161" spans="1:26" s="4" customFormat="1" x14ac:dyDescent="0.3">
      <c r="A161" s="2"/>
      <c r="B161" s="9" t="s">
        <v>89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Z161" s="4">
        <f>SUM(Z157:Z160)</f>
        <v>273</v>
      </c>
    </row>
    <row r="162" spans="1:26" s="3" customFormat="1" x14ac:dyDescent="0.3">
      <c r="A162"/>
      <c r="B162" s="2" t="s">
        <v>119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26" s="3" customFormat="1" x14ac:dyDescent="0.3">
      <c r="A163"/>
      <c r="B163" t="s">
        <v>113</v>
      </c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Z163" s="3">
        <v>74</v>
      </c>
    </row>
    <row r="164" spans="1:26" s="3" customFormat="1" x14ac:dyDescent="0.3">
      <c r="A164"/>
      <c r="B164" t="s">
        <v>115</v>
      </c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Z164" s="3">
        <v>28</v>
      </c>
    </row>
    <row r="165" spans="1:26" s="3" customFormat="1" x14ac:dyDescent="0.3">
      <c r="A165"/>
      <c r="B165" t="s">
        <v>117</v>
      </c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Z165" s="3">
        <v>8</v>
      </c>
    </row>
    <row r="166" spans="1:26" s="3" customFormat="1" x14ac:dyDescent="0.3">
      <c r="A166"/>
      <c r="B166" t="s">
        <v>111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Z166" s="3">
        <v>4</v>
      </c>
    </row>
    <row r="167" spans="1:26" s="4" customFormat="1" x14ac:dyDescent="0.3">
      <c r="A167" s="2"/>
      <c r="B167" s="9" t="s">
        <v>89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Z167" s="4">
        <f>SUM(Z163:Z166)</f>
        <v>114</v>
      </c>
    </row>
    <row r="168" spans="1:26" s="3" customFormat="1" x14ac:dyDescent="0.3">
      <c r="A168"/>
      <c r="B168" s="2" t="s">
        <v>118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26" s="3" customFormat="1" x14ac:dyDescent="0.3">
      <c r="A169"/>
      <c r="B169" t="s">
        <v>120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Z169" s="3">
        <v>1456</v>
      </c>
    </row>
    <row r="170" spans="1:26" s="3" customFormat="1" x14ac:dyDescent="0.3">
      <c r="A170"/>
      <c r="B170" t="s">
        <v>121</v>
      </c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Z170" s="3">
        <v>619</v>
      </c>
    </row>
    <row r="171" spans="1:26" s="3" customFormat="1" x14ac:dyDescent="0.3">
      <c r="A171"/>
      <c r="B171" t="s">
        <v>122</v>
      </c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Z171" s="3">
        <v>495</v>
      </c>
    </row>
    <row r="172" spans="1:26" s="3" customFormat="1" x14ac:dyDescent="0.3">
      <c r="A172"/>
      <c r="B172" t="s">
        <v>111</v>
      </c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Z172" s="3">
        <v>327</v>
      </c>
    </row>
    <row r="173" spans="1:26" s="3" customFormat="1" x14ac:dyDescent="0.3">
      <c r="A173"/>
      <c r="B173" t="s">
        <v>101</v>
      </c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Z173" s="3">
        <v>173</v>
      </c>
    </row>
    <row r="174" spans="1:26" s="3" customFormat="1" x14ac:dyDescent="0.3">
      <c r="A174"/>
      <c r="B174" t="s">
        <v>123</v>
      </c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Z174" s="3">
        <v>101</v>
      </c>
    </row>
    <row r="175" spans="1:26" s="4" customFormat="1" x14ac:dyDescent="0.3">
      <c r="A175" s="2"/>
      <c r="B175" s="9" t="s">
        <v>89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Z175" s="4">
        <f>SUM(Z169:Z174)</f>
        <v>3171</v>
      </c>
    </row>
    <row r="176" spans="1:26" s="3" customFormat="1" x14ac:dyDescent="0.3">
      <c r="A176"/>
      <c r="B176" s="2" t="s">
        <v>124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26" s="3" customFormat="1" x14ac:dyDescent="0.3">
      <c r="A177"/>
      <c r="B177" t="s">
        <v>108</v>
      </c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Z177" s="3">
        <v>72</v>
      </c>
    </row>
    <row r="178" spans="1:26" s="3" customFormat="1" x14ac:dyDescent="0.3">
      <c r="A178"/>
      <c r="B178" t="s">
        <v>109</v>
      </c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Z178" s="3">
        <v>22</v>
      </c>
    </row>
    <row r="179" spans="1:26" s="3" customFormat="1" x14ac:dyDescent="0.3">
      <c r="A179"/>
      <c r="B179" t="s">
        <v>125</v>
      </c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Z179" s="3">
        <v>9</v>
      </c>
    </row>
    <row r="180" spans="1:26" s="3" customFormat="1" x14ac:dyDescent="0.3">
      <c r="A180"/>
      <c r="B180" t="s">
        <v>111</v>
      </c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Z180" s="3">
        <v>2</v>
      </c>
    </row>
    <row r="181" spans="1:26" s="4" customFormat="1" x14ac:dyDescent="0.3">
      <c r="A181" s="2"/>
      <c r="B181" s="9" t="s">
        <v>89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Z181" s="4">
        <f>SUM(Z177:Z180)</f>
        <v>105</v>
      </c>
    </row>
    <row r="182" spans="1:26" s="3" customFormat="1" x14ac:dyDescent="0.3">
      <c r="A182"/>
      <c r="B182" s="2" t="s">
        <v>126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26" s="3" customFormat="1" x14ac:dyDescent="0.3">
      <c r="A183"/>
      <c r="B183" t="s">
        <v>111</v>
      </c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Z183" s="3">
        <v>344</v>
      </c>
    </row>
    <row r="184" spans="1:26" s="3" customFormat="1" x14ac:dyDescent="0.3">
      <c r="A184"/>
      <c r="B184" t="s">
        <v>127</v>
      </c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Z184" s="3">
        <v>59</v>
      </c>
    </row>
    <row r="185" spans="1:26" s="4" customFormat="1" x14ac:dyDescent="0.3">
      <c r="A185" s="2"/>
      <c r="B185" s="9" t="s">
        <v>89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Z185" s="4">
        <f>SUM(Z183:Z184)</f>
        <v>403</v>
      </c>
    </row>
    <row r="186" spans="1:26" s="3" customFormat="1" x14ac:dyDescent="0.3">
      <c r="A186"/>
      <c r="B186" s="2" t="s">
        <v>128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26" s="3" customFormat="1" x14ac:dyDescent="0.3">
      <c r="A187"/>
      <c r="B187" t="s">
        <v>111</v>
      </c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Z187" s="3">
        <v>280</v>
      </c>
    </row>
    <row r="188" spans="1:26" s="3" customFormat="1" x14ac:dyDescent="0.3">
      <c r="A188"/>
      <c r="B188" t="s">
        <v>101</v>
      </c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Z188" s="3">
        <v>54</v>
      </c>
    </row>
    <row r="189" spans="1:26" s="4" customFormat="1" x14ac:dyDescent="0.3">
      <c r="A189" s="2"/>
      <c r="B189" s="9" t="s">
        <v>89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Z189" s="4">
        <f>SUM(Z187:Z188)</f>
        <v>334</v>
      </c>
    </row>
    <row r="190" spans="1:26" s="3" customFormat="1" x14ac:dyDescent="0.3">
      <c r="A190"/>
      <c r="B190" s="2" t="s">
        <v>129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26" s="3" customFormat="1" x14ac:dyDescent="0.3">
      <c r="A191"/>
      <c r="B191" t="s">
        <v>130</v>
      </c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Z191" s="3">
        <v>26</v>
      </c>
    </row>
    <row r="192" spans="1:26" s="4" customFormat="1" x14ac:dyDescent="0.3">
      <c r="A192" s="2"/>
      <c r="B192" s="9" t="s">
        <v>89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Z192" s="4">
        <f>SUM(Z191)</f>
        <v>26</v>
      </c>
    </row>
    <row r="193" spans="1:26" s="3" customFormat="1" x14ac:dyDescent="0.3">
      <c r="A193"/>
      <c r="B193" s="2" t="s">
        <v>131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26" s="3" customFormat="1" x14ac:dyDescent="0.3">
      <c r="A194"/>
      <c r="B194" t="s">
        <v>132</v>
      </c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Z194" s="3">
        <v>104</v>
      </c>
    </row>
    <row r="195" spans="1:26" s="3" customFormat="1" x14ac:dyDescent="0.3">
      <c r="A195"/>
      <c r="B195" t="s">
        <v>133</v>
      </c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Z195" s="3">
        <v>59</v>
      </c>
    </row>
    <row r="196" spans="1:26" s="3" customFormat="1" x14ac:dyDescent="0.3">
      <c r="A196"/>
      <c r="B196" t="s">
        <v>134</v>
      </c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Z196" s="3">
        <v>36</v>
      </c>
    </row>
    <row r="197" spans="1:26" s="3" customFormat="1" x14ac:dyDescent="0.3">
      <c r="A197"/>
      <c r="B197" t="s">
        <v>135</v>
      </c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Z197" s="3">
        <v>26</v>
      </c>
    </row>
    <row r="198" spans="1:26" s="3" customFormat="1" x14ac:dyDescent="0.3">
      <c r="A198"/>
      <c r="B198" t="s">
        <v>136</v>
      </c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Z198" s="3">
        <v>22</v>
      </c>
    </row>
    <row r="199" spans="1:26" s="3" customFormat="1" x14ac:dyDescent="0.3">
      <c r="A199"/>
      <c r="B199" t="s">
        <v>137</v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Z199" s="3">
        <v>15</v>
      </c>
    </row>
    <row r="200" spans="1:26" s="3" customFormat="1" x14ac:dyDescent="0.3">
      <c r="A200"/>
      <c r="B200" t="s">
        <v>138</v>
      </c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Z200" s="3">
        <v>10</v>
      </c>
    </row>
    <row r="201" spans="1:26" s="3" customFormat="1" x14ac:dyDescent="0.3">
      <c r="A201"/>
      <c r="B201" t="s">
        <v>139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Z201" s="3">
        <v>8</v>
      </c>
    </row>
    <row r="202" spans="1:26" s="3" customFormat="1" x14ac:dyDescent="0.3">
      <c r="A202"/>
      <c r="B202" t="s">
        <v>140</v>
      </c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Z202" s="3">
        <v>4</v>
      </c>
    </row>
    <row r="203" spans="1:26" s="3" customFormat="1" x14ac:dyDescent="0.3">
      <c r="A203"/>
      <c r="B203" t="s">
        <v>141</v>
      </c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Z203" s="3">
        <v>2</v>
      </c>
    </row>
    <row r="204" spans="1:26" s="4" customFormat="1" x14ac:dyDescent="0.3">
      <c r="A204" s="2"/>
      <c r="B204" s="9" t="s">
        <v>89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Z204" s="4">
        <f>SUM(Z194:Z203)</f>
        <v>286</v>
      </c>
    </row>
    <row r="205" spans="1:26" s="3" customFormat="1" x14ac:dyDescent="0.3">
      <c r="A205"/>
      <c r="B205" s="2" t="s">
        <v>142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26" s="3" customFormat="1" x14ac:dyDescent="0.3">
      <c r="A206"/>
      <c r="B206" t="s">
        <v>135</v>
      </c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Z206" s="3">
        <v>6</v>
      </c>
    </row>
    <row r="207" spans="1:26" s="3" customFormat="1" x14ac:dyDescent="0.3">
      <c r="A207"/>
      <c r="B207" t="s">
        <v>132</v>
      </c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Z207" s="3">
        <v>2</v>
      </c>
    </row>
    <row r="208" spans="1:26" s="3" customFormat="1" x14ac:dyDescent="0.3">
      <c r="A208"/>
      <c r="B208" t="s">
        <v>134</v>
      </c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Z208" s="3">
        <v>2</v>
      </c>
    </row>
    <row r="209" spans="1:26" s="4" customFormat="1" x14ac:dyDescent="0.3">
      <c r="A209" s="2"/>
      <c r="B209" s="9" t="s">
        <v>89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Z209" s="4">
        <f>SUM(Z206:Z208)</f>
        <v>10</v>
      </c>
    </row>
    <row r="210" spans="1:26" s="3" customFormat="1" x14ac:dyDescent="0.3">
      <c r="A210"/>
      <c r="B210" s="2" t="s">
        <v>143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26" s="3" customFormat="1" x14ac:dyDescent="0.3">
      <c r="A211"/>
      <c r="B211" t="s">
        <v>135</v>
      </c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Z211" s="3">
        <v>2</v>
      </c>
    </row>
    <row r="212" spans="1:26" s="3" customFormat="1" x14ac:dyDescent="0.3">
      <c r="A212"/>
      <c r="B212" t="s">
        <v>132</v>
      </c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Z212" s="3">
        <v>1</v>
      </c>
    </row>
    <row r="213" spans="1:26" s="4" customFormat="1" x14ac:dyDescent="0.3">
      <c r="A213" s="2"/>
      <c r="B213" s="9" t="s">
        <v>89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Z213" s="4">
        <f>SUM(Z211:Z212)</f>
        <v>3</v>
      </c>
    </row>
    <row r="214" spans="1:26" s="3" customFormat="1" x14ac:dyDescent="0.3">
      <c r="A214"/>
      <c r="B214" s="2" t="s">
        <v>144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26" s="3" customFormat="1" x14ac:dyDescent="0.3">
      <c r="A215"/>
      <c r="B215" t="s">
        <v>132</v>
      </c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Z215" s="3">
        <v>2</v>
      </c>
    </row>
    <row r="216" spans="1:26" s="4" customFormat="1" x14ac:dyDescent="0.3">
      <c r="A216" s="2"/>
      <c r="B216" s="9" t="s">
        <v>89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Z216" s="4">
        <f>SUM(Z215)</f>
        <v>2</v>
      </c>
    </row>
    <row r="217" spans="1:26" s="3" customFormat="1" x14ac:dyDescent="0.3">
      <c r="A217"/>
      <c r="B217" s="2" t="s">
        <v>145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26" s="3" customFormat="1" x14ac:dyDescent="0.3">
      <c r="A218"/>
      <c r="B218" t="s">
        <v>134</v>
      </c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Z218" s="3">
        <v>2</v>
      </c>
    </row>
    <row r="219" spans="1:26" s="3" customFormat="1" x14ac:dyDescent="0.3">
      <c r="A219"/>
      <c r="B219" t="s">
        <v>132</v>
      </c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Z219" s="3">
        <v>1</v>
      </c>
    </row>
    <row r="220" spans="1:26" s="3" customFormat="1" x14ac:dyDescent="0.3">
      <c r="A220"/>
      <c r="B220" t="s">
        <v>133</v>
      </c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Z220" s="3">
        <v>1</v>
      </c>
    </row>
    <row r="221" spans="1:26" s="4" customFormat="1" x14ac:dyDescent="0.3">
      <c r="A221" s="2"/>
      <c r="B221" s="9" t="s">
        <v>89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Z221" s="4">
        <f>SUM(Z218:Z220)</f>
        <v>4</v>
      </c>
    </row>
    <row r="222" spans="1:26" s="3" customFormat="1" x14ac:dyDescent="0.3">
      <c r="A222"/>
      <c r="B222" s="2" t="s">
        <v>146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26" s="3" customFormat="1" x14ac:dyDescent="0.3">
      <c r="A223"/>
      <c r="B223" t="s">
        <v>132</v>
      </c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Z223" s="3">
        <v>4</v>
      </c>
    </row>
    <row r="224" spans="1:26" s="3" customFormat="1" x14ac:dyDescent="0.3">
      <c r="A224"/>
      <c r="B224" t="s">
        <v>135</v>
      </c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Z224" s="3">
        <v>1</v>
      </c>
    </row>
    <row r="225" spans="1:26" s="4" customFormat="1" x14ac:dyDescent="0.3">
      <c r="A225" s="2"/>
      <c r="B225" s="9" t="s">
        <v>89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Z225" s="4">
        <f>SUM(Z223:Z224)</f>
        <v>5</v>
      </c>
    </row>
    <row r="226" spans="1:26" s="3" customFormat="1" x14ac:dyDescent="0.3">
      <c r="A226"/>
      <c r="B226" s="2" t="s">
        <v>147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26" s="3" customFormat="1" x14ac:dyDescent="0.3">
      <c r="A227"/>
      <c r="B227" t="s">
        <v>135</v>
      </c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Z227" s="3">
        <v>1</v>
      </c>
    </row>
    <row r="228" spans="1:26" s="4" customFormat="1" x14ac:dyDescent="0.3">
      <c r="A228" s="2"/>
      <c r="B228" s="9" t="s">
        <v>89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Z228" s="4">
        <f>SUM(Z227)</f>
        <v>1</v>
      </c>
    </row>
    <row r="229" spans="1:26" s="3" customFormat="1" x14ac:dyDescent="0.3">
      <c r="A229"/>
      <c r="B229" s="2" t="s">
        <v>148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26" s="3" customFormat="1" x14ac:dyDescent="0.3">
      <c r="A230"/>
      <c r="B230" t="s">
        <v>132</v>
      </c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Z230" s="3">
        <v>3</v>
      </c>
    </row>
    <row r="231" spans="1:26" s="3" customFormat="1" x14ac:dyDescent="0.3">
      <c r="A231"/>
      <c r="B231" t="s">
        <v>134</v>
      </c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Z231" s="3">
        <v>2</v>
      </c>
    </row>
    <row r="232" spans="1:26" s="3" customFormat="1" x14ac:dyDescent="0.3">
      <c r="A232"/>
      <c r="B232" t="s">
        <v>135</v>
      </c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Z232" s="3">
        <v>1</v>
      </c>
    </row>
    <row r="233" spans="1:26" s="3" customFormat="1" x14ac:dyDescent="0.3">
      <c r="A233"/>
      <c r="B233" t="s">
        <v>133</v>
      </c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Z233" s="3">
        <v>1</v>
      </c>
    </row>
    <row r="234" spans="1:26" s="4" customFormat="1" x14ac:dyDescent="0.3">
      <c r="A234" s="2"/>
      <c r="B234" s="9" t="s">
        <v>89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Z234" s="4">
        <f>SUM(Z230:Z233)</f>
        <v>7</v>
      </c>
    </row>
    <row r="235" spans="1:26" s="4" customFormat="1" x14ac:dyDescent="0.3">
      <c r="A235" s="2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26" s="13" customFormat="1" x14ac:dyDescent="0.3">
      <c r="A236" s="12"/>
      <c r="B236" s="10" t="s">
        <v>85</v>
      </c>
      <c r="C236" s="4">
        <v>3602</v>
      </c>
      <c r="D236" s="13">
        <v>3714</v>
      </c>
      <c r="E236" s="13">
        <v>3759</v>
      </c>
      <c r="F236" s="13">
        <v>3809</v>
      </c>
      <c r="G236" s="13">
        <v>3886</v>
      </c>
      <c r="H236" s="13">
        <v>4043</v>
      </c>
      <c r="I236" s="13">
        <v>4233</v>
      </c>
      <c r="J236" s="13">
        <v>4555</v>
      </c>
      <c r="K236" s="13">
        <v>4601</v>
      </c>
      <c r="L236" s="13">
        <v>4692</v>
      </c>
      <c r="M236" s="13">
        <v>4761</v>
      </c>
      <c r="N236" s="13">
        <v>4763</v>
      </c>
      <c r="O236" s="13">
        <v>4753</v>
      </c>
      <c r="P236" s="13">
        <v>4743</v>
      </c>
      <c r="Q236" s="13">
        <v>4735</v>
      </c>
      <c r="R236" s="13">
        <f>R130</f>
        <v>4684</v>
      </c>
      <c r="V236" s="13">
        <f>V130</f>
        <v>4609</v>
      </c>
      <c r="Z236" s="13">
        <f>Z130</f>
        <v>4606</v>
      </c>
    </row>
    <row r="237" spans="1:26" s="4" customFormat="1" x14ac:dyDescent="0.3">
      <c r="A237" s="2"/>
      <c r="B237" s="2" t="s">
        <v>149</v>
      </c>
      <c r="C237" s="4">
        <v>3125</v>
      </c>
      <c r="D237" s="4">
        <v>3579</v>
      </c>
      <c r="E237" s="4">
        <v>4124</v>
      </c>
      <c r="F237" s="4">
        <v>4611</v>
      </c>
      <c r="G237" s="4">
        <v>5733</v>
      </c>
      <c r="H237" s="4">
        <v>6194</v>
      </c>
      <c r="I237" s="4">
        <v>6126</v>
      </c>
      <c r="J237" s="4">
        <v>6286</v>
      </c>
      <c r="K237" s="4">
        <v>6274</v>
      </c>
      <c r="L237" s="4">
        <v>6369</v>
      </c>
      <c r="M237" s="4">
        <v>6359</v>
      </c>
      <c r="N237" s="4">
        <v>6006</v>
      </c>
      <c r="O237" s="4">
        <v>6132</v>
      </c>
      <c r="P237" s="4">
        <v>5184</v>
      </c>
      <c r="Q237" s="4">
        <v>5250</v>
      </c>
      <c r="R237" s="4">
        <v>5262</v>
      </c>
      <c r="V237" s="4">
        <v>5399</v>
      </c>
      <c r="Z237" s="4">
        <f>Z234+Z228+Z225+Z221+Z216+Z213+Z209+Z204+Z192+Z189+Z185+Z181+Z175+Z167+Z161+Z155+Z149+Z143</f>
        <v>5578</v>
      </c>
    </row>
    <row r="238" spans="1:26" s="4" customFormat="1" x14ac:dyDescent="0.3">
      <c r="A238" s="2"/>
      <c r="B238" s="2" t="s">
        <v>101</v>
      </c>
      <c r="C238" s="4">
        <v>593</v>
      </c>
      <c r="D238" s="4">
        <v>611</v>
      </c>
      <c r="E238" s="4">
        <v>605</v>
      </c>
      <c r="F238" s="4">
        <v>609</v>
      </c>
      <c r="G238" s="4">
        <v>612</v>
      </c>
      <c r="H238" s="4">
        <v>620</v>
      </c>
      <c r="I238" s="4">
        <v>635</v>
      </c>
      <c r="J238" s="4">
        <v>648</v>
      </c>
      <c r="K238" s="4">
        <v>652</v>
      </c>
      <c r="L238" s="4">
        <v>662</v>
      </c>
      <c r="M238" s="4">
        <v>597</v>
      </c>
      <c r="N238" s="4">
        <v>599</v>
      </c>
      <c r="O238" s="4">
        <v>599</v>
      </c>
      <c r="P238" s="4">
        <v>599</v>
      </c>
      <c r="Q238" s="4">
        <v>600</v>
      </c>
      <c r="R238" s="4">
        <f>+R135</f>
        <v>599</v>
      </c>
      <c r="V238" s="4">
        <f>+V135</f>
        <v>599</v>
      </c>
      <c r="Z238" s="4">
        <f>+Z135</f>
        <v>600</v>
      </c>
    </row>
    <row r="239" spans="1:26" s="4" customFormat="1" x14ac:dyDescent="0.3">
      <c r="A239" s="2"/>
      <c r="B239" s="2" t="s">
        <v>153</v>
      </c>
      <c r="C239" s="4">
        <f t="shared" ref="C239:Q239" si="124">SUM(C236:C238)</f>
        <v>7320</v>
      </c>
      <c r="D239" s="4">
        <f t="shared" si="124"/>
        <v>7904</v>
      </c>
      <c r="E239" s="4">
        <f t="shared" si="124"/>
        <v>8488</v>
      </c>
      <c r="F239" s="4">
        <f t="shared" si="124"/>
        <v>9029</v>
      </c>
      <c r="G239" s="4">
        <f t="shared" si="124"/>
        <v>10231</v>
      </c>
      <c r="H239" s="4">
        <f t="shared" si="124"/>
        <v>10857</v>
      </c>
      <c r="I239" s="4">
        <f t="shared" si="124"/>
        <v>10994</v>
      </c>
      <c r="J239" s="4">
        <f t="shared" si="124"/>
        <v>11489</v>
      </c>
      <c r="K239" s="4">
        <f t="shared" si="124"/>
        <v>11527</v>
      </c>
      <c r="L239" s="4">
        <f t="shared" si="124"/>
        <v>11723</v>
      </c>
      <c r="M239" s="4">
        <f t="shared" si="124"/>
        <v>11717</v>
      </c>
      <c r="N239" s="4">
        <f t="shared" si="124"/>
        <v>11368</v>
      </c>
      <c r="O239" s="4">
        <f t="shared" si="124"/>
        <v>11484</v>
      </c>
      <c r="P239" s="4">
        <f t="shared" si="124"/>
        <v>10526</v>
      </c>
      <c r="Q239" s="4">
        <f t="shared" si="124"/>
        <v>10585</v>
      </c>
      <c r="R239" s="4">
        <f>SUM(R236:R238)</f>
        <v>10545</v>
      </c>
      <c r="V239" s="4">
        <f>SUM(V236:V238)</f>
        <v>10607</v>
      </c>
      <c r="Z239" s="4">
        <f>SUM(Z236:Z238)</f>
        <v>10784</v>
      </c>
    </row>
    <row r="241" spans="1:44" x14ac:dyDescent="0.3">
      <c r="B241" s="10" t="s">
        <v>151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44" s="3" customFormat="1" x14ac:dyDescent="0.3">
      <c r="A242"/>
      <c r="B242" t="s">
        <v>99</v>
      </c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 s="3">
        <v>37930835</v>
      </c>
      <c r="V242" s="3">
        <v>37367892</v>
      </c>
      <c r="Z242" s="3">
        <v>37127451</v>
      </c>
    </row>
    <row r="243" spans="1:44" s="3" customFormat="1" x14ac:dyDescent="0.3">
      <c r="A243"/>
      <c r="B243" t="s">
        <v>97</v>
      </c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 s="3">
        <v>632846329</v>
      </c>
      <c r="V243" s="3">
        <v>632649275</v>
      </c>
      <c r="Z243" s="3">
        <v>632763000</v>
      </c>
    </row>
    <row r="244" spans="1:44" s="3" customFormat="1" x14ac:dyDescent="0.3">
      <c r="A244"/>
      <c r="B244" t="s">
        <v>98</v>
      </c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 s="3">
        <v>28447651</v>
      </c>
      <c r="V244" s="3">
        <v>28279731</v>
      </c>
      <c r="Z244" s="3">
        <v>28195582</v>
      </c>
    </row>
    <row r="245" spans="1:44" s="3" customFormat="1" x14ac:dyDescent="0.3">
      <c r="A245"/>
      <c r="B245" t="s">
        <v>100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 s="3">
        <v>145821</v>
      </c>
      <c r="V245" s="3">
        <v>49397</v>
      </c>
      <c r="Z245" s="3">
        <v>49397</v>
      </c>
    </row>
    <row r="246" spans="1:44" s="3" customFormat="1" x14ac:dyDescent="0.3">
      <c r="A246"/>
      <c r="B246" t="s">
        <v>101</v>
      </c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 s="3">
        <v>80199297</v>
      </c>
      <c r="V246" s="3">
        <v>80199297</v>
      </c>
      <c r="Z246" s="3">
        <v>80350685</v>
      </c>
    </row>
    <row r="247" spans="1:44" s="4" customFormat="1" x14ac:dyDescent="0.3">
      <c r="A247" s="2"/>
      <c r="B247" s="2" t="s">
        <v>150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>
        <f>SUM(R242:R246)</f>
        <v>779569933</v>
      </c>
      <c r="V247" s="4">
        <f>SUM(V242:V246)</f>
        <v>778545592</v>
      </c>
      <c r="Z247" s="4">
        <f>SUM(Z242:Z246)</f>
        <v>778486115</v>
      </c>
    </row>
    <row r="248" spans="1:44" s="3" customFormat="1" x14ac:dyDescent="0.3">
      <c r="A248"/>
      <c r="B248" t="s">
        <v>152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 s="3">
        <v>271588209</v>
      </c>
      <c r="V248" s="3">
        <v>272369619</v>
      </c>
      <c r="Z248" s="3">
        <v>274293066</v>
      </c>
    </row>
    <row r="249" spans="1:44" s="4" customFormat="1" x14ac:dyDescent="0.3">
      <c r="A249" s="2"/>
      <c r="B249" s="2" t="s">
        <v>153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4">
        <f>SUM(R247:R248)</f>
        <v>1051158142</v>
      </c>
      <c r="V249" s="4">
        <f>SUM(V247:V248)</f>
        <v>1050915211</v>
      </c>
      <c r="Z249" s="4">
        <f>SUM(Z247:Z248)</f>
        <v>1052779181</v>
      </c>
    </row>
    <row r="251" spans="1:44" x14ac:dyDescent="0.3">
      <c r="B251" s="2" t="s">
        <v>175</v>
      </c>
      <c r="Z251" s="3">
        <v>2100000</v>
      </c>
    </row>
    <row r="253" spans="1:44" s="6" customFormat="1" x14ac:dyDescent="0.3">
      <c r="B253" s="6" t="s">
        <v>191</v>
      </c>
      <c r="AL253" s="6">
        <f>AL5/O239</f>
        <v>48.689481017067223</v>
      </c>
      <c r="AM253" s="6">
        <f>AM5/P239</f>
        <v>54.412882386471594</v>
      </c>
      <c r="AN253" s="6">
        <f>AN5/Q239</f>
        <v>57.75059045819556</v>
      </c>
      <c r="AO253" s="6">
        <f>AO5/R239</f>
        <v>61.462778568041728</v>
      </c>
      <c r="AP253" s="6">
        <f>AP5/V239</f>
        <v>64.201470726878483</v>
      </c>
      <c r="AQ253" s="6">
        <f>AQ5/10800</f>
        <v>65.31759259259259</v>
      </c>
      <c r="AR253" s="6">
        <f>AR5/10900</f>
        <v>67.734862385321094</v>
      </c>
    </row>
    <row r="254" spans="1:44" s="6" customFormat="1" x14ac:dyDescent="0.3">
      <c r="B254" s="6" t="s">
        <v>192</v>
      </c>
      <c r="AO254" s="6">
        <f>AO111/R236</f>
        <v>94.321093082835191</v>
      </c>
      <c r="AP254" s="6">
        <f>AP111/V236</f>
        <v>100.32545020611846</v>
      </c>
    </row>
    <row r="255" spans="1:44" s="6" customFormat="1" x14ac:dyDescent="0.3">
      <c r="B255" s="6" t="s">
        <v>193</v>
      </c>
      <c r="AO255" s="6">
        <f>AO114/R237</f>
        <v>21.778791334093501</v>
      </c>
      <c r="AP255" s="6">
        <f>AP114/V237</f>
        <v>22.578255232450452</v>
      </c>
    </row>
    <row r="256" spans="1:44" s="6" customFormat="1" x14ac:dyDescent="0.3">
      <c r="B256" s="6" t="s">
        <v>194</v>
      </c>
      <c r="AO256" s="6">
        <f>AO117/R238</f>
        <v>143.90651085141903</v>
      </c>
      <c r="AP256" s="6">
        <f>AP117/V238</f>
        <v>150.75125208681135</v>
      </c>
    </row>
    <row r="257" spans="2:42" x14ac:dyDescent="0.3">
      <c r="B257" t="s">
        <v>176</v>
      </c>
      <c r="AP257" s="6">
        <f>AP5/Z251</f>
        <v>0.32427857142857142</v>
      </c>
    </row>
  </sheetData>
  <phoneticPr fontId="3" type="noConversion"/>
  <hyperlinks>
    <hyperlink ref="A1" location="Main!A1" display="Main" xr:uid="{A28A0676-7282-451F-B214-C5659215C91C}"/>
  </hyperlinks>
  <pageMargins left="0.7" right="0.7" top="0.75" bottom="0.75" header="0.3" footer="0.3"/>
  <ignoredErrors>
    <ignoredError sqref="R10:Z10 AO5:AP13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2026-02-12T19:23:10Z</dcterms:modified>
</cp:coreProperties>
</file>