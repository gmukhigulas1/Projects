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5E6B9668-00F4-4E8B-9AE5-FF3DAFE4B4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Model" sheetId="2" r:id="rId2"/>
    <sheet name="Data Center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J10" i="1"/>
  <c r="J11" i="1"/>
  <c r="L174" i="2"/>
  <c r="M141" i="2"/>
  <c r="M124" i="2"/>
  <c r="M65" i="2"/>
  <c r="M59" i="2"/>
  <c r="M85" i="2" s="1"/>
  <c r="P47" i="2"/>
  <c r="O47" i="2"/>
  <c r="N47" i="2"/>
  <c r="M47" i="2"/>
  <c r="P46" i="2"/>
  <c r="O46" i="2"/>
  <c r="N46" i="2"/>
  <c r="M46" i="2"/>
  <c r="P38" i="2"/>
  <c r="O38" i="2"/>
  <c r="N38" i="2"/>
  <c r="M38" i="2"/>
  <c r="P37" i="2"/>
  <c r="O37" i="2"/>
  <c r="N37" i="2"/>
  <c r="M37" i="2"/>
  <c r="P16" i="2"/>
  <c r="O16" i="2"/>
  <c r="N16" i="2"/>
  <c r="M16" i="2"/>
  <c r="P8" i="2"/>
  <c r="O8" i="2"/>
  <c r="N8" i="2"/>
  <c r="M8" i="2"/>
  <c r="P5" i="2"/>
  <c r="O5" i="2"/>
  <c r="N5" i="2"/>
  <c r="M5" i="2"/>
  <c r="J9" i="1"/>
  <c r="P186" i="2"/>
  <c r="P189" i="2" s="1"/>
  <c r="O186" i="2"/>
  <c r="O189" i="2" s="1"/>
  <c r="N186" i="2"/>
  <c r="N189" i="2" s="1"/>
  <c r="M186" i="2"/>
  <c r="M189" i="2" s="1"/>
  <c r="L186" i="2"/>
  <c r="L189" i="2" s="1"/>
  <c r="O158" i="2"/>
  <c r="O160" i="2" s="1"/>
  <c r="O162" i="2" s="1"/>
  <c r="N158" i="2"/>
  <c r="N160" i="2" s="1"/>
  <c r="N162" i="2" s="1"/>
  <c r="M158" i="2"/>
  <c r="M160" i="2" s="1"/>
  <c r="M162" i="2" s="1"/>
  <c r="L158" i="2"/>
  <c r="L160" i="2" s="1"/>
  <c r="L162" i="2" s="1"/>
  <c r="K158" i="2"/>
  <c r="K160" i="2" s="1"/>
  <c r="K162" i="2" s="1"/>
  <c r="J158" i="2"/>
  <c r="J160" i="2" s="1"/>
  <c r="J162" i="2" s="1"/>
  <c r="I158" i="2"/>
  <c r="I160" i="2" s="1"/>
  <c r="I162" i="2" s="1"/>
  <c r="H158" i="2"/>
  <c r="H160" i="2" s="1"/>
  <c r="H162" i="2" s="1"/>
  <c r="S35" i="2"/>
  <c r="K141" i="2"/>
  <c r="J141" i="2"/>
  <c r="I141" i="2"/>
  <c r="H141" i="2"/>
  <c r="O141" i="2"/>
  <c r="N141" i="2"/>
  <c r="L141" i="2"/>
  <c r="O132" i="2"/>
  <c r="N132" i="2"/>
  <c r="M132" i="2"/>
  <c r="L132" i="2"/>
  <c r="K132" i="2"/>
  <c r="J132" i="2"/>
  <c r="I132" i="2"/>
  <c r="H132" i="2"/>
  <c r="H120" i="2"/>
  <c r="H124" i="2" s="1"/>
  <c r="H144" i="2" s="1"/>
  <c r="K124" i="2"/>
  <c r="K144" i="2" s="1"/>
  <c r="J124" i="2"/>
  <c r="J144" i="2" s="1"/>
  <c r="I124" i="2"/>
  <c r="I144" i="2" s="1"/>
  <c r="O124" i="2"/>
  <c r="N124" i="2"/>
  <c r="L120" i="2"/>
  <c r="L124" i="2" s="1"/>
  <c r="L144" i="2" s="1"/>
  <c r="N85" i="2"/>
  <c r="L71" i="2"/>
  <c r="L80" i="2" s="1"/>
  <c r="L82" i="2" s="1"/>
  <c r="N80" i="2"/>
  <c r="N87" i="2" s="1"/>
  <c r="M80" i="2"/>
  <c r="M87" i="2" s="1"/>
  <c r="N66" i="2"/>
  <c r="N89" i="2" s="1"/>
  <c r="L66" i="2"/>
  <c r="L91" i="2" s="1"/>
  <c r="N52" i="2"/>
  <c r="M52" i="2"/>
  <c r="L52" i="2"/>
  <c r="L47" i="2"/>
  <c r="L46" i="2"/>
  <c r="L38" i="2"/>
  <c r="L37" i="2"/>
  <c r="J47" i="2"/>
  <c r="L16" i="2"/>
  <c r="L8" i="2"/>
  <c r="L5" i="2"/>
  <c r="M9" i="2" l="1"/>
  <c r="M17" i="2" s="1"/>
  <c r="O142" i="2"/>
  <c r="N9" i="2"/>
  <c r="O9" i="2"/>
  <c r="N86" i="2"/>
  <c r="P9" i="2"/>
  <c r="P39" i="2" s="1"/>
  <c r="M66" i="2"/>
  <c r="M88" i="2" s="1"/>
  <c r="N17" i="2"/>
  <c r="N39" i="2"/>
  <c r="O17" i="2"/>
  <c r="O39" i="2"/>
  <c r="P48" i="2"/>
  <c r="M39" i="2"/>
  <c r="N91" i="2"/>
  <c r="L86" i="2"/>
  <c r="M142" i="2"/>
  <c r="N142" i="2"/>
  <c r="N82" i="2"/>
  <c r="I142" i="2"/>
  <c r="J142" i="2"/>
  <c r="K142" i="2"/>
  <c r="N144" i="2"/>
  <c r="M144" i="2"/>
  <c r="H142" i="2"/>
  <c r="O144" i="2"/>
  <c r="N90" i="2"/>
  <c r="L90" i="2"/>
  <c r="M82" i="2"/>
  <c r="L142" i="2"/>
  <c r="N88" i="2"/>
  <c r="L89" i="2"/>
  <c r="L85" i="2"/>
  <c r="L87" i="2"/>
  <c r="L9" i="2"/>
  <c r="L39" i="2" s="1"/>
  <c r="L88" i="2"/>
  <c r="V85" i="2"/>
  <c r="U85" i="2"/>
  <c r="T67" i="2"/>
  <c r="T80" i="2" s="1"/>
  <c r="T82" i="2" s="1"/>
  <c r="T65" i="2"/>
  <c r="T66" i="2" s="1"/>
  <c r="T86" i="2" s="1"/>
  <c r="T52" i="2"/>
  <c r="U80" i="2"/>
  <c r="U82" i="2" s="1"/>
  <c r="U66" i="2"/>
  <c r="U90" i="2" s="1"/>
  <c r="U52" i="2"/>
  <c r="V80" i="2"/>
  <c r="V87" i="2" s="1"/>
  <c r="V66" i="2"/>
  <c r="V90" i="2" s="1"/>
  <c r="V52" i="2"/>
  <c r="K85" i="2"/>
  <c r="G85" i="2"/>
  <c r="M90" i="2" l="1"/>
  <c r="M91" i="2"/>
  <c r="M86" i="2"/>
  <c r="M26" i="2"/>
  <c r="M42" i="2"/>
  <c r="M41" i="2"/>
  <c r="P17" i="2"/>
  <c r="P26" i="2" s="1"/>
  <c r="M89" i="2"/>
  <c r="O26" i="2"/>
  <c r="O42" i="2"/>
  <c r="O41" i="2"/>
  <c r="N26" i="2"/>
  <c r="N41" i="2"/>
  <c r="N42" i="2"/>
  <c r="L17" i="2"/>
  <c r="U88" i="2"/>
  <c r="U89" i="2"/>
  <c r="U86" i="2"/>
  <c r="U87" i="2"/>
  <c r="V88" i="2"/>
  <c r="V89" i="2"/>
  <c r="T85" i="2"/>
  <c r="T89" i="2"/>
  <c r="T90" i="2"/>
  <c r="V82" i="2"/>
  <c r="V86" i="2"/>
  <c r="T87" i="2"/>
  <c r="T88" i="2"/>
  <c r="H67" i="2"/>
  <c r="I67" i="2"/>
  <c r="I80" i="2" s="1"/>
  <c r="I65" i="2"/>
  <c r="I59" i="2"/>
  <c r="H59" i="2"/>
  <c r="C67" i="2"/>
  <c r="C85" i="2" s="1"/>
  <c r="C65" i="2"/>
  <c r="S5" i="2"/>
  <c r="F37" i="2"/>
  <c r="J72" i="2"/>
  <c r="J67" i="2"/>
  <c r="J62" i="2"/>
  <c r="I9" i="3"/>
  <c r="H9" i="3"/>
  <c r="P7" i="3"/>
  <c r="J16" i="3"/>
  <c r="J9" i="3"/>
  <c r="U194" i="2"/>
  <c r="T194" i="2"/>
  <c r="V194" i="2"/>
  <c r="J174" i="2"/>
  <c r="I174" i="2"/>
  <c r="H174" i="2"/>
  <c r="G174" i="2"/>
  <c r="F174" i="2"/>
  <c r="E174" i="2"/>
  <c r="D174" i="2"/>
  <c r="C174" i="2"/>
  <c r="J186" i="2"/>
  <c r="I186" i="2"/>
  <c r="I189" i="2" s="1"/>
  <c r="H186" i="2"/>
  <c r="H189" i="2" s="1"/>
  <c r="G186" i="2"/>
  <c r="G189" i="2" s="1"/>
  <c r="F186" i="2"/>
  <c r="F189" i="2" s="1"/>
  <c r="E186" i="2"/>
  <c r="E189" i="2" s="1"/>
  <c r="D186" i="2"/>
  <c r="D189" i="2" s="1"/>
  <c r="C186" i="2"/>
  <c r="C189" i="2" s="1"/>
  <c r="K186" i="2"/>
  <c r="K189" i="2" s="1"/>
  <c r="K174" i="2"/>
  <c r="U168" i="2"/>
  <c r="T168" i="2"/>
  <c r="V168" i="2"/>
  <c r="I52" i="2"/>
  <c r="G80" i="2"/>
  <c r="G66" i="2"/>
  <c r="G90" i="2" s="1"/>
  <c r="G52" i="2"/>
  <c r="U141" i="2"/>
  <c r="T141" i="2"/>
  <c r="V141" i="2"/>
  <c r="U132" i="2"/>
  <c r="T132" i="2"/>
  <c r="V132" i="2"/>
  <c r="U124" i="2"/>
  <c r="U144" i="2" s="1"/>
  <c r="T124" i="2"/>
  <c r="T144" i="2" s="1"/>
  <c r="V124" i="2"/>
  <c r="V144" i="2" s="1"/>
  <c r="V47" i="2"/>
  <c r="U47" i="2"/>
  <c r="U46" i="2"/>
  <c r="V46" i="2"/>
  <c r="V38" i="2"/>
  <c r="U38" i="2"/>
  <c r="T38" i="2"/>
  <c r="V37" i="2"/>
  <c r="U37" i="2"/>
  <c r="T37" i="2"/>
  <c r="V16" i="2"/>
  <c r="U16" i="2"/>
  <c r="T16" i="2"/>
  <c r="V8" i="2"/>
  <c r="U8" i="2"/>
  <c r="T8" i="2"/>
  <c r="V5" i="2"/>
  <c r="U5" i="2"/>
  <c r="T5" i="2"/>
  <c r="J38" i="2"/>
  <c r="I38" i="2"/>
  <c r="H38" i="2"/>
  <c r="G38" i="2"/>
  <c r="F38" i="2"/>
  <c r="E38" i="2"/>
  <c r="D38" i="2"/>
  <c r="C38" i="2"/>
  <c r="J37" i="2"/>
  <c r="I37" i="2"/>
  <c r="H37" i="2"/>
  <c r="G37" i="2"/>
  <c r="E37" i="2"/>
  <c r="D37" i="2"/>
  <c r="C37" i="2"/>
  <c r="K38" i="2"/>
  <c r="K37" i="2"/>
  <c r="I47" i="2"/>
  <c r="H47" i="2"/>
  <c r="G47" i="2"/>
  <c r="J46" i="2"/>
  <c r="I46" i="2"/>
  <c r="H46" i="2"/>
  <c r="G46" i="2"/>
  <c r="K47" i="2"/>
  <c r="K46" i="2"/>
  <c r="P42" i="2" l="1"/>
  <c r="P41" i="2"/>
  <c r="M28" i="2"/>
  <c r="M43" i="2"/>
  <c r="N28" i="2"/>
  <c r="N95" i="2" s="1"/>
  <c r="N43" i="2"/>
  <c r="O28" i="2"/>
  <c r="O95" i="2" s="1"/>
  <c r="O43" i="2"/>
  <c r="P28" i="2"/>
  <c r="P95" i="2" s="1"/>
  <c r="P43" i="2"/>
  <c r="L26" i="2"/>
  <c r="L42" i="2"/>
  <c r="L41" i="2"/>
  <c r="H85" i="2"/>
  <c r="I85" i="2"/>
  <c r="U145" i="2"/>
  <c r="U91" i="2"/>
  <c r="T145" i="2"/>
  <c r="T91" i="2"/>
  <c r="V145" i="2"/>
  <c r="V91" i="2"/>
  <c r="J85" i="2"/>
  <c r="G82" i="2"/>
  <c r="G87" i="2"/>
  <c r="G88" i="2"/>
  <c r="I82" i="2"/>
  <c r="I87" i="2"/>
  <c r="G86" i="2"/>
  <c r="G89" i="2"/>
  <c r="I66" i="2"/>
  <c r="I90" i="2" s="1"/>
  <c r="J189" i="2"/>
  <c r="T146" i="2"/>
  <c r="V147" i="2"/>
  <c r="V146" i="2"/>
  <c r="U147" i="2"/>
  <c r="U146" i="2"/>
  <c r="U142" i="2"/>
  <c r="T142" i="2"/>
  <c r="V142" i="2"/>
  <c r="U48" i="2"/>
  <c r="V9" i="2"/>
  <c r="V39" i="2" s="1"/>
  <c r="V48" i="2"/>
  <c r="T9" i="2"/>
  <c r="U9" i="2"/>
  <c r="J52" i="2"/>
  <c r="H52" i="2"/>
  <c r="F52" i="2"/>
  <c r="E52" i="2"/>
  <c r="D52" i="2"/>
  <c r="C52" i="2"/>
  <c r="K52" i="2"/>
  <c r="J80" i="2"/>
  <c r="H80" i="2"/>
  <c r="F80" i="2"/>
  <c r="F82" i="2" s="1"/>
  <c r="E80" i="2"/>
  <c r="E82" i="2" s="1"/>
  <c r="D80" i="2"/>
  <c r="D82" i="2" s="1"/>
  <c r="C80" i="2"/>
  <c r="J66" i="2"/>
  <c r="J90" i="2" s="1"/>
  <c r="H66" i="2"/>
  <c r="H90" i="2" s="1"/>
  <c r="F66" i="2"/>
  <c r="E66" i="2"/>
  <c r="D66" i="2"/>
  <c r="C66" i="2"/>
  <c r="C90" i="2" s="1"/>
  <c r="K80" i="2"/>
  <c r="K87" i="2" s="1"/>
  <c r="K66" i="2"/>
  <c r="K90" i="2" s="1"/>
  <c r="G8" i="2"/>
  <c r="F8" i="2"/>
  <c r="E8" i="2"/>
  <c r="D8" i="2"/>
  <c r="C8" i="2"/>
  <c r="K8" i="2"/>
  <c r="J8" i="2"/>
  <c r="I8" i="2"/>
  <c r="H8" i="2"/>
  <c r="G16" i="2"/>
  <c r="F16" i="2"/>
  <c r="E16" i="2"/>
  <c r="D16" i="2"/>
  <c r="C16" i="2"/>
  <c r="K29" i="2"/>
  <c r="J16" i="2"/>
  <c r="I16" i="2"/>
  <c r="H16" i="2"/>
  <c r="K16" i="2"/>
  <c r="J5" i="2"/>
  <c r="N48" i="2" s="1"/>
  <c r="I5" i="2"/>
  <c r="M48" i="2" s="1"/>
  <c r="H5" i="2"/>
  <c r="L48" i="2" s="1"/>
  <c r="G5" i="2"/>
  <c r="G91" i="2" s="1"/>
  <c r="F5" i="2"/>
  <c r="E5" i="2"/>
  <c r="D5" i="2"/>
  <c r="C5" i="2"/>
  <c r="K5" i="2"/>
  <c r="O48" i="2" s="1"/>
  <c r="M44" i="2" l="1"/>
  <c r="M32" i="2"/>
  <c r="M95" i="2"/>
  <c r="M30" i="2"/>
  <c r="P30" i="2"/>
  <c r="P44" i="2"/>
  <c r="P32" i="2"/>
  <c r="O30" i="2"/>
  <c r="O44" i="2"/>
  <c r="O32" i="2"/>
  <c r="N30" i="2"/>
  <c r="N44" i="2"/>
  <c r="N32" i="2"/>
  <c r="K91" i="2"/>
  <c r="L28" i="2"/>
  <c r="L32" i="2" s="1"/>
  <c r="L35" i="2" s="1"/>
  <c r="L43" i="2"/>
  <c r="C91" i="2"/>
  <c r="H91" i="2"/>
  <c r="I91" i="2"/>
  <c r="J91" i="2"/>
  <c r="C89" i="2"/>
  <c r="C86" i="2"/>
  <c r="K86" i="2"/>
  <c r="K89" i="2"/>
  <c r="K82" i="2"/>
  <c r="K88" i="2"/>
  <c r="I89" i="2"/>
  <c r="I86" i="2"/>
  <c r="H82" i="2"/>
  <c r="H88" i="2"/>
  <c r="H87" i="2"/>
  <c r="J86" i="2"/>
  <c r="J89" i="2"/>
  <c r="I88" i="2"/>
  <c r="H86" i="2"/>
  <c r="H89" i="2"/>
  <c r="C82" i="2"/>
  <c r="C88" i="2"/>
  <c r="C87" i="2"/>
  <c r="J82" i="2"/>
  <c r="J88" i="2"/>
  <c r="J87" i="2"/>
  <c r="V17" i="2"/>
  <c r="V42" i="2" s="1"/>
  <c r="T17" i="2"/>
  <c r="T39" i="2"/>
  <c r="U17" i="2"/>
  <c r="U26" i="2" s="1"/>
  <c r="U39" i="2"/>
  <c r="K48" i="2"/>
  <c r="J48" i="2"/>
  <c r="F9" i="2"/>
  <c r="F39" i="2" s="1"/>
  <c r="H48" i="2"/>
  <c r="G48" i="2"/>
  <c r="I48" i="2"/>
  <c r="J13" i="1"/>
  <c r="G9" i="2"/>
  <c r="E9" i="2"/>
  <c r="C9" i="2"/>
  <c r="K9" i="2"/>
  <c r="D9" i="2"/>
  <c r="D39" i="2" s="1"/>
  <c r="I9" i="2"/>
  <c r="J9" i="2"/>
  <c r="H9" i="2"/>
  <c r="H39" i="2" s="1"/>
  <c r="M35" i="2" l="1"/>
  <c r="M33" i="2"/>
  <c r="N33" i="2"/>
  <c r="N35" i="2"/>
  <c r="O35" i="2"/>
  <c r="O33" i="2"/>
  <c r="P35" i="2"/>
  <c r="P34" i="2"/>
  <c r="P33" i="2"/>
  <c r="L30" i="2"/>
  <c r="L95" i="2"/>
  <c r="L44" i="2"/>
  <c r="U41" i="2"/>
  <c r="U42" i="2"/>
  <c r="V26" i="2"/>
  <c r="V43" i="2" s="1"/>
  <c r="V41" i="2"/>
  <c r="T41" i="2"/>
  <c r="T42" i="2"/>
  <c r="T26" i="2"/>
  <c r="H17" i="2"/>
  <c r="H26" i="2" s="1"/>
  <c r="U28" i="2"/>
  <c r="U95" i="2" s="1"/>
  <c r="U43" i="2"/>
  <c r="D17" i="2"/>
  <c r="D26" i="2" s="1"/>
  <c r="F17" i="2"/>
  <c r="K17" i="2"/>
  <c r="K39" i="2"/>
  <c r="E17" i="2"/>
  <c r="E39" i="2"/>
  <c r="I17" i="2"/>
  <c r="I39" i="2"/>
  <c r="C17" i="2"/>
  <c r="C39" i="2"/>
  <c r="G17" i="2"/>
  <c r="G39" i="2"/>
  <c r="J17" i="2"/>
  <c r="J39" i="2"/>
  <c r="L33" i="2" l="1"/>
  <c r="V28" i="2"/>
  <c r="V95" i="2" s="1"/>
  <c r="T28" i="2"/>
  <c r="T95" i="2" s="1"/>
  <c r="T43" i="2"/>
  <c r="H41" i="2"/>
  <c r="H42" i="2"/>
  <c r="U32" i="2"/>
  <c r="U35" i="2" s="1"/>
  <c r="U44" i="2"/>
  <c r="D41" i="2"/>
  <c r="D42" i="2"/>
  <c r="C26" i="2"/>
  <c r="C42" i="2"/>
  <c r="C41" i="2"/>
  <c r="E26" i="2"/>
  <c r="E42" i="2"/>
  <c r="E41" i="2"/>
  <c r="K26" i="2"/>
  <c r="K42" i="2"/>
  <c r="K41" i="2"/>
  <c r="H28" i="2"/>
  <c r="H95" i="2" s="1"/>
  <c r="H43" i="2"/>
  <c r="D28" i="2"/>
  <c r="D95" i="2" s="1"/>
  <c r="D43" i="2"/>
  <c r="I26" i="2"/>
  <c r="I41" i="2"/>
  <c r="I42" i="2"/>
  <c r="J26" i="2"/>
  <c r="J41" i="2"/>
  <c r="J42" i="2"/>
  <c r="G26" i="2"/>
  <c r="G42" i="2"/>
  <c r="G41" i="2"/>
  <c r="F26" i="2"/>
  <c r="F42" i="2"/>
  <c r="F41" i="2"/>
  <c r="U33" i="2" l="1"/>
  <c r="V32" i="2"/>
  <c r="V35" i="2" s="1"/>
  <c r="V44" i="2"/>
  <c r="T32" i="2"/>
  <c r="T44" i="2"/>
  <c r="J28" i="2"/>
  <c r="J95" i="2" s="1"/>
  <c r="J43" i="2"/>
  <c r="E28" i="2"/>
  <c r="E95" i="2" s="1"/>
  <c r="E43" i="2"/>
  <c r="I28" i="2"/>
  <c r="I95" i="2" s="1"/>
  <c r="I43" i="2"/>
  <c r="C28" i="2"/>
  <c r="C95" i="2" s="1"/>
  <c r="C43" i="2"/>
  <c r="D44" i="2"/>
  <c r="D30" i="2"/>
  <c r="D32" i="2"/>
  <c r="D33" i="2" s="1"/>
  <c r="F28" i="2"/>
  <c r="F95" i="2" s="1"/>
  <c r="F43" i="2"/>
  <c r="H44" i="2"/>
  <c r="H30" i="2"/>
  <c r="H32" i="2"/>
  <c r="G28" i="2"/>
  <c r="G95" i="2" s="1"/>
  <c r="G43" i="2"/>
  <c r="K28" i="2"/>
  <c r="K95" i="2" s="1"/>
  <c r="K43" i="2"/>
  <c r="T33" i="2" l="1"/>
  <c r="T35" i="2"/>
  <c r="L34" i="2"/>
  <c r="H35" i="2"/>
  <c r="H33" i="2"/>
  <c r="H34" i="2"/>
  <c r="V33" i="2"/>
  <c r="V34" i="2"/>
  <c r="U34" i="2"/>
  <c r="J44" i="2"/>
  <c r="J30" i="2"/>
  <c r="J32" i="2"/>
  <c r="N34" i="2" s="1"/>
  <c r="F44" i="2"/>
  <c r="F30" i="2"/>
  <c r="F32" i="2"/>
  <c r="K44" i="2"/>
  <c r="K30" i="2"/>
  <c r="K32" i="2"/>
  <c r="C44" i="2"/>
  <c r="C32" i="2"/>
  <c r="C33" i="2" s="1"/>
  <c r="C30" i="2"/>
  <c r="G44" i="2"/>
  <c r="G32" i="2"/>
  <c r="G30" i="2"/>
  <c r="I44" i="2"/>
  <c r="I32" i="2"/>
  <c r="I30" i="2"/>
  <c r="E44" i="2"/>
  <c r="E30" i="2"/>
  <c r="E32" i="2"/>
  <c r="E33" i="2" s="1"/>
  <c r="K35" i="2" l="1"/>
  <c r="O34" i="2"/>
  <c r="I35" i="2"/>
  <c r="M34" i="2"/>
  <c r="J33" i="2"/>
  <c r="J35" i="2"/>
  <c r="I33" i="2"/>
  <c r="I34" i="2"/>
  <c r="G33" i="2"/>
  <c r="G34" i="2"/>
  <c r="K33" i="2"/>
  <c r="K34" i="2"/>
  <c r="F33" i="2"/>
  <c r="J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Gega Mukhigulashvili</author>
  </authors>
  <commentList>
    <comment ref="I52" authorId="0" shapeId="0" xr:uid="{D5297453-E0EC-4337-BD7C-F5A75BB7CE89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Imported from fiscal.ai
</t>
        </r>
      </text>
    </comment>
    <comment ref="B87" authorId="0" shapeId="0" xr:uid="{2747100C-EE21-4851-8944-B859128AE8D4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Shows leverage; how much debt funds operations vs. equity. Crypto firms often have high due to borrowings. &lt;2: Conservative; &gt;3: High risk, especially with volatile digital assets.</t>
        </r>
      </text>
    </comment>
    <comment ref="B88" authorId="0" shapeId="0" xr:uid="{C663C472-A80E-4CB4-AB37-C93DEABBD54B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Measures asset financing by debt. &lt;0.5: Low leverage; higher indicates reliance on borrowed funds/digital assets.</t>
        </r>
      </text>
    </comment>
    <comment ref="B89" authorId="0" shapeId="0" xr:uid="{231656F1-9F9C-4B3C-A51C-14AEED3F010F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Proportion of assets owned by shareholders. &gt;0.5: Strong owner funding; low values signal debt-heavy structure (common in Galaxy's pivot to AI infrastructure).</t>
        </r>
      </text>
    </comment>
    <comment ref="B90" authorId="0" shapeId="0" xr:uid="{1564369B-7D0A-47FC-8567-5DF493453267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Focus on infrastructure (e.g., data centers). &gt;0.3: Heavy capex (e.g., Helios retrofit); assess if justified by future EBITDA from leases.</t>
        </r>
      </text>
    </comment>
    <comment ref="B91" authorId="0" shapeId="0" xr:uid="{591E1068-4C89-40EB-A8BB-4BA3491D6711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How efficiently a company uses its assets to generate revenue.</t>
        </r>
      </text>
    </comment>
  </commentList>
</comments>
</file>

<file path=xl/sharedStrings.xml><?xml version="1.0" encoding="utf-8"?>
<sst xmlns="http://schemas.openxmlformats.org/spreadsheetml/2006/main" count="355" uniqueCount="280">
  <si>
    <t>Main</t>
  </si>
  <si>
    <t>P</t>
  </si>
  <si>
    <t>S/O</t>
  </si>
  <si>
    <t>MC</t>
  </si>
  <si>
    <t>C</t>
  </si>
  <si>
    <t>D</t>
  </si>
  <si>
    <t>EV</t>
  </si>
  <si>
    <t>Site</t>
  </si>
  <si>
    <t>Capacity (MW)</t>
  </si>
  <si>
    <t>Capacity (EH/s)</t>
  </si>
  <si>
    <t>Status</t>
  </si>
  <si>
    <t>Canal Flats (British Columbia, Canada)</t>
  </si>
  <si>
    <t>Operating</t>
  </si>
  <si>
    <t>Mackenzie (British Columbia, Canada)</t>
  </si>
  <si>
    <t>Prince George (British Columbia, Canada)</t>
  </si>
  <si>
    <t>Childress BTC Mining (Texas, USA)</t>
  </si>
  <si>
    <t>Total Operating</t>
  </si>
  <si>
    <t>Childress Horizon 1 (Texas, USA)</t>
  </si>
  <si>
    <t>N/A</t>
  </si>
  <si>
    <t>Under construction</t>
  </si>
  <si>
    <t>Sweetwater 1 (Texas, USA)</t>
  </si>
  <si>
    <t>Substation under construction</t>
  </si>
  <si>
    <t>Total Construction</t>
  </si>
  <si>
    <t>Childress Expansion</t>
  </si>
  <si>
    <t>Power available</t>
  </si>
  <si>
    <t>Sweetwater 2 (Texas, USA)</t>
  </si>
  <si>
    <t>Connection agreement signed</t>
  </si>
  <si>
    <t>Additional Pipeline</t>
  </si>
  <si>
    <t>&gt;1,000</t>
  </si>
  <si>
    <t>Development</t>
  </si>
  <si>
    <t>Total</t>
  </si>
  <si>
    <t>&gt;3,910</t>
  </si>
  <si>
    <t>Q225</t>
  </si>
  <si>
    <t>Q223</t>
  </si>
  <si>
    <t>Q323</t>
  </si>
  <si>
    <t>Q423</t>
  </si>
  <si>
    <t>Q124</t>
  </si>
  <si>
    <t>Q224</t>
  </si>
  <si>
    <t>Q324</t>
  </si>
  <si>
    <t>Q424</t>
  </si>
  <si>
    <t>Q125</t>
  </si>
  <si>
    <t>Bitcoin Mining Revenue</t>
  </si>
  <si>
    <t>AI Cloud Services Revenue</t>
  </si>
  <si>
    <t>Total revenue</t>
  </si>
  <si>
    <t>Bitcoin Mining</t>
  </si>
  <si>
    <t>AI Cloud Services</t>
  </si>
  <si>
    <t>Total cost of revenue</t>
  </si>
  <si>
    <t>Impairment of assets</t>
  </si>
  <si>
    <t>Other operating expenses</t>
  </si>
  <si>
    <t>Other operating income</t>
  </si>
  <si>
    <t>Finance expense</t>
  </si>
  <si>
    <t>Interest income</t>
  </si>
  <si>
    <t>Increase (decrease) in fair value of assets held for sale</t>
  </si>
  <si>
    <t>Realized gain (loss) on financial assets</t>
  </si>
  <si>
    <t>Unrealized gain (loss) on financial instruments</t>
  </si>
  <si>
    <t>Gain on partial extinguishment of financial liabilities</t>
  </si>
  <si>
    <t>Foreign exchange gain (loss)</t>
  </si>
  <si>
    <t>Other non-operating income</t>
  </si>
  <si>
    <t>Net income (loss)</t>
  </si>
  <si>
    <t>SG&amp;A</t>
  </si>
  <si>
    <t>D&amp;A</t>
  </si>
  <si>
    <t>Disposal of PP&amp;A</t>
  </si>
  <si>
    <t>—</t>
  </si>
  <si>
    <t>Gross Profit</t>
  </si>
  <si>
    <t>OpEx</t>
  </si>
  <si>
    <t>OpInc</t>
  </si>
  <si>
    <t>Pretax Income</t>
  </si>
  <si>
    <t>Taxes</t>
  </si>
  <si>
    <t>EPS</t>
  </si>
  <si>
    <t>Deposits and prepaid expenses</t>
  </si>
  <si>
    <t>Derivative assets</t>
  </si>
  <si>
    <t>Financial assets</t>
  </si>
  <si>
    <t>Income taxes receivable</t>
  </si>
  <si>
    <t>Other receivables</t>
  </si>
  <si>
    <t>Total assets</t>
  </si>
  <si>
    <t>Accounts payable and accrued expenses</t>
  </si>
  <si>
    <t>Income taxes payable</t>
  </si>
  <si>
    <t>Deferred revenue</t>
  </si>
  <si>
    <t>Other liabilities, current portion</t>
  </si>
  <si>
    <t>Convertible notes payable</t>
  </si>
  <si>
    <t>Deferred tax liabilities</t>
  </si>
  <si>
    <t>Income taxes payable, less current portion</t>
  </si>
  <si>
    <t>Other liabilities, less current portion</t>
  </si>
  <si>
    <t>Total liabilities</t>
  </si>
  <si>
    <t>Cash</t>
  </si>
  <si>
    <t>A/R</t>
  </si>
  <si>
    <t>Prepaids</t>
  </si>
  <si>
    <t>PP&amp;A</t>
  </si>
  <si>
    <t>Operating lease ROU</t>
  </si>
  <si>
    <t>ONCA</t>
  </si>
  <si>
    <t>A/P &amp; accrued expenses</t>
  </si>
  <si>
    <t>Operating lease liability, current</t>
  </si>
  <si>
    <t>Operating lease liability, NC</t>
  </si>
  <si>
    <t>L+SE</t>
  </si>
  <si>
    <t>SE</t>
  </si>
  <si>
    <t>Net Cash</t>
  </si>
  <si>
    <t>EBITDA</t>
  </si>
  <si>
    <t>EBITDA Margin</t>
  </si>
  <si>
    <t>Mining Margin</t>
  </si>
  <si>
    <t>Data Center Margin</t>
  </si>
  <si>
    <t>Gross Margin</t>
  </si>
  <si>
    <t>OpMargin</t>
  </si>
  <si>
    <t>Interest Margin</t>
  </si>
  <si>
    <t>Tax Margin</t>
  </si>
  <si>
    <t>Net Margin</t>
  </si>
  <si>
    <t>YoY Mining revenue</t>
  </si>
  <si>
    <t>YoY Data Center revenue</t>
  </si>
  <si>
    <t>YoY Revenue</t>
  </si>
  <si>
    <t>Total Electricity charges (included in Cost of revenue)</t>
  </si>
  <si>
    <t>Add (deduct) the following:</t>
  </si>
  <si>
    <t>Realized gain (loss) on financial asset</t>
  </si>
  <si>
    <t>One off liquidation payment (included in Realized gain (loss) on financial asset) (1)</t>
  </si>
  <si>
    <t>Reversal of unrealized loss (included in Realized gain (loss) on financial asset) (2)</t>
  </si>
  <si>
    <t>Demand response program income (included in Other operating income)</t>
  </si>
  <si>
    <t>Demand response program fees (included in Selling, general and administrative expenses)</t>
  </si>
  <si>
    <t>Total net electricity costs</t>
  </si>
  <si>
    <t>Electricity charges - AI Cloud Services (included in Cost of revenue - AI Cloud Services)</t>
  </si>
  <si>
    <t>Net electricity costs - Bitcoin Mining</t>
  </si>
  <si>
    <t>Bitcoin mined</t>
  </si>
  <si>
    <t>Net electricity costs per Bitcoin mined (3)</t>
  </si>
  <si>
    <t>FY2023</t>
  </si>
  <si>
    <t>FY2024</t>
  </si>
  <si>
    <t>FY2025</t>
  </si>
  <si>
    <t>FY2026</t>
  </si>
  <si>
    <t>FY2027</t>
  </si>
  <si>
    <t>Q4FY25</t>
  </si>
  <si>
    <t>CFFO</t>
  </si>
  <si>
    <t>CFFI</t>
  </si>
  <si>
    <t>CFFF</t>
  </si>
  <si>
    <t>CF</t>
  </si>
  <si>
    <t>Change in fair value of assets held for sale</t>
  </si>
  <si>
    <t>Realized (gain) loss on financial asset</t>
  </si>
  <si>
    <t>Unrealized (gain) loss on financial instrument</t>
  </si>
  <si>
    <t>Other (income) expense</t>
  </si>
  <si>
    <t>Other finance expense</t>
  </si>
  <si>
    <t>(Gain) loss on disposal of subsidiaries</t>
  </si>
  <si>
    <t>(Gain) loss on disposal of property, plant and equipment</t>
  </si>
  <si>
    <t>Foreign exchange loss (gain)</t>
  </si>
  <si>
    <t>Accrued interest related to hardware financing</t>
  </si>
  <si>
    <t>Amortization of debt issuance costs</t>
  </si>
  <si>
    <t>Amortization of capitalized borrowing costs</t>
  </si>
  <si>
    <t>Stock-based compensation expense</t>
  </si>
  <si>
    <t>Changes in assets and liabilities:</t>
  </si>
  <si>
    <t>Accounts receivable and other receivables</t>
  </si>
  <si>
    <t>Financial asset, current</t>
  </si>
  <si>
    <t>Tax related receivables</t>
  </si>
  <si>
    <t>Tax related liabilities</t>
  </si>
  <si>
    <t>Other liabilities</t>
  </si>
  <si>
    <t>Prepayments and deposits</t>
  </si>
  <si>
    <t>Operating lease liabilities</t>
  </si>
  <si>
    <t>Payments for computer hardware prepayments</t>
  </si>
  <si>
    <t>Repayments/(advancement) of loan proceeds</t>
  </si>
  <si>
    <t>Payments for prepayments and other assets</t>
  </si>
  <si>
    <t>Proceeds from disposal of property, plant and equipment</t>
  </si>
  <si>
    <t>Deconsolidation of Non-Recourse SPVs</t>
  </si>
  <si>
    <t>Proceeds from release of deposits</t>
  </si>
  <si>
    <t>Model NI</t>
  </si>
  <si>
    <t>GAAP NI</t>
  </si>
  <si>
    <t>Payment of offering costs for committed equity facility</t>
  </si>
  <si>
    <t>Payment of offering costs for the issuance of Ordinary shares - at-the-market offering</t>
  </si>
  <si>
    <t>Repayment of borrowings</t>
  </si>
  <si>
    <t>Proceeds from loan funded shares</t>
  </si>
  <si>
    <t>Proceeds from convertible notes</t>
  </si>
  <si>
    <t>Payment of borrowing transaction costs</t>
  </si>
  <si>
    <t>Proceeds from committed equity facility</t>
  </si>
  <si>
    <t>Proceeds from the issuance of Ordinary shares – at-the-market offering</t>
  </si>
  <si>
    <t>FCF</t>
  </si>
  <si>
    <t>CapEx Margin</t>
  </si>
  <si>
    <t>FCF Margin</t>
  </si>
  <si>
    <t>YoY FCF</t>
  </si>
  <si>
    <t>Australia</t>
  </si>
  <si>
    <t>United States</t>
  </si>
  <si>
    <t>Canada</t>
  </si>
  <si>
    <t>Long-lived</t>
  </si>
  <si>
    <t>Total long-lived assets</t>
  </si>
  <si>
    <t>Mining hardware</t>
  </si>
  <si>
    <t>HPC Hardware</t>
  </si>
  <si>
    <t>Buildings</t>
  </si>
  <si>
    <t>Plant and equipment</t>
  </si>
  <si>
    <t>Land</t>
  </si>
  <si>
    <t>Leasehold improvements</t>
  </si>
  <si>
    <t>Construction in progress</t>
  </si>
  <si>
    <t>Less: Accumulated depreciation</t>
  </si>
  <si>
    <t>Less: Impairment</t>
  </si>
  <si>
    <t>PP&amp;A, gross</t>
  </si>
  <si>
    <t>PP&amp;A, net</t>
  </si>
  <si>
    <t>Income Taxes</t>
  </si>
  <si>
    <t>Foreign</t>
  </si>
  <si>
    <t>Business</t>
  </si>
  <si>
    <t>It supports a mix of high-performance computing (HPC) and AI services using GPUs, alongside Bitcoin mining with specialized ASICs.</t>
  </si>
  <si>
    <t>Operating since 2019, it mines Bitcoin daily, liquidating all earnings into fiat currencies (USD/CAD) via Kraken (with Coinbase as a backup), holding no Bitcoin on its balance sheet as of June 30, 2025.</t>
  </si>
  <si>
    <t>Data Centers</t>
  </si>
  <si>
    <t>The company is vertically integrated, owning its hardware (ASICs and GPUs)</t>
  </si>
  <si>
    <t>electrical infrastructure, and data centers, including freehold land, mostly in the U.S. (over 80% capacity)</t>
  </si>
  <si>
    <t>Mining involves validating transactions with ASICs, earning 3.125 Bitcoin per block (plus fees) as of June 30, 2025, halving to 1.5625 in April 2028.</t>
  </si>
  <si>
    <t>YoY EBITDA</t>
  </si>
  <si>
    <t>The company joins pools like Antpool and Foundry, liquidating Bitcoin daily to mitigate price volatility, funding capex/opex.</t>
  </si>
  <si>
    <t>Global hashrate was 837.2 EH/s, with difficulty adjusting every two weeks to maintain 10-minute block times. Risks include pool termination or trading platform issues (e.g., Kraken, Etana Custody).</t>
  </si>
  <si>
    <t>HPC and AI Services</t>
  </si>
  <si>
    <t>AI Cloud Services at Prince George use NVIDIA GPUs for third-party AI workloads, with contracts from on-demand to 3 years.</t>
  </si>
  <si>
    <t>Horizon 1 (50MW) and a potential 2GW Sweetwater hub target HPC/AI growth, though utilization may fluctuate with demand.</t>
  </si>
  <si>
    <t>Owner and operator of next-generation data centers, powered entirely by 100% renewable energy (98% renewable energy in BC (hydro, wind, solar) and RECs for 100% coverage at Childress.)</t>
  </si>
  <si>
    <t>Competition</t>
  </si>
  <si>
    <t>HPC/AI: Faces Amazon, CoreWeave, Microsoft Azure, and colocation giants like Equinix.</t>
  </si>
  <si>
    <t>Employees</t>
  </si>
  <si>
    <t>As of June 30, 2025, 257 employees (plus 200 contractors) across the U.S., Canada, and Australia, with no unions.</t>
  </si>
  <si>
    <t>Bitcoin Mining: Competes with Bitdeer, Bitfarms, Cipher, CleanSpark, Core Scientific, Hut 8, MARA, Riot, TeraWulf;</t>
  </si>
  <si>
    <t>As of June 30, 2025, 1.9k GPUs at Prince George;</t>
  </si>
  <si>
    <t>Q225(Q4FY25)</t>
  </si>
  <si>
    <t>Post-quarter procurement of 5.5k B200, 2.3k B300, and 1.2k GB300 GPUs (via purchases/leasing) to reach 10.9k by end-2025.</t>
  </si>
  <si>
    <t>Developing liquid-cooled capacity: Horizon 1 (50MW IT load at Childress, end-2025).</t>
  </si>
  <si>
    <t>Sweetwater sites for 2GW hub with fiber loop.</t>
  </si>
  <si>
    <t>FY 2025 earnings highlight AI as a key driver, with contracts up to 3 years.</t>
  </si>
  <si>
    <t>Targets markets with renewable oversupply (regulated) or volatility (deregulated) for grid benefits. Recent: Advancing Sweetwater construction and Childress expansion.</t>
  </si>
  <si>
    <t>Add New Sites with Attractive Energy Arrangements: Beyond 2,910MW announced capacity (operating + development), conditional/unconditional rights to additional sites in U.S., Canada, and Asia-Pacific for multiple GW more.</t>
  </si>
  <si>
    <t>Consider Bitcoin Mining Expansion Opportunities: Paused after reaching 50 EH/s in June 2025, but monitoring for selective growth based on market conditions, shareholder value, and funding. May reduce mining to prioritize HPC/AI if value-accretive.</t>
  </si>
  <si>
    <t>Earnings Call:</t>
  </si>
  <si>
    <r>
      <rPr>
        <b/>
        <sz val="10"/>
        <color theme="1"/>
        <rFont val="Arial"/>
        <family val="2"/>
      </rPr>
      <t>GPU Deployments:</t>
    </r>
    <r>
      <rPr>
        <sz val="10"/>
        <color theme="1"/>
        <rFont val="Arial"/>
        <family val="2"/>
      </rPr>
      <t xml:space="preserve"> IREN has more than 10,000 GPUs online or being commissioned in the coming months, with next-generation liquid-cooled NVIDIA GB300 NVL72 systems being rolled out. This expansion is expected to generate $200 million to $250 million of annualized revenue by December 2025.</t>
    </r>
  </si>
  <si>
    <r>
      <rPr>
        <b/>
        <sz val="10"/>
        <color theme="1"/>
        <rFont val="Arial"/>
        <family val="2"/>
      </rPr>
      <t>Bitcoin Mining:</t>
    </r>
    <r>
      <rPr>
        <sz val="10"/>
        <color theme="1"/>
        <rFont val="Arial"/>
        <family val="2"/>
      </rPr>
      <t xml:space="preserve"> The company's Bitcoin mining capacity expanded by 400% to 50 exahash. The business continues to generate significant cash flow, with an annualized revenue of over $1 billion , and an all-in cash cost of $36,000 per Bitcoin mined.</t>
    </r>
  </si>
  <si>
    <r>
      <rPr>
        <b/>
        <sz val="10"/>
        <color theme="1"/>
        <rFont val="Arial"/>
        <family val="2"/>
      </rPr>
      <t>Power &amp; Data Centers:</t>
    </r>
    <r>
      <rPr>
        <sz val="10"/>
        <color theme="1"/>
        <rFont val="Arial"/>
        <family val="2"/>
      </rPr>
      <t xml:space="preserve"> IREN increased its contracted grid-connected power by more than a third to nearly 3 gigawatts. Operating data center capacity more than tripled to 810 megawatts.</t>
    </r>
  </si>
  <si>
    <r>
      <rPr>
        <b/>
        <sz val="10"/>
        <color theme="1"/>
        <rFont val="Arial"/>
        <family val="2"/>
      </rPr>
      <t>Prince George, BC:</t>
    </r>
    <r>
      <rPr>
        <sz val="10"/>
        <color theme="1"/>
        <rFont val="Arial"/>
        <family val="2"/>
      </rPr>
      <t xml:space="preserve"> The company is retrofitting existing capacity for air-cooled GPUs and constructing a new 10-megawatt liquid-cooled data center to support over 4,500 Blackwell GB300 GPUs</t>
    </r>
  </si>
  <si>
    <t>Financing Strategy</t>
  </si>
  <si>
    <r>
      <rPr>
        <b/>
        <sz val="10"/>
        <color theme="1"/>
        <rFont val="Arial"/>
        <family val="2"/>
      </rPr>
      <t>GPU Financing:</t>
    </r>
    <r>
      <rPr>
        <sz val="10"/>
        <color theme="1"/>
        <rFont val="Arial"/>
        <family val="2"/>
      </rPr>
      <t xml:space="preserve"> IREN has secured new tranches of financing that funded 100% of the purchase price of new GPUs at single-digit interest rates. These are typically 2- to 3-year paybacks, matching well with the payback periods on the hardware.</t>
    </r>
  </si>
  <si>
    <r>
      <rPr>
        <b/>
        <sz val="10"/>
        <color theme="1"/>
        <rFont val="Arial"/>
        <family val="2"/>
      </rPr>
      <t xml:space="preserve">Cash Flow: </t>
    </r>
    <r>
      <rPr>
        <sz val="10"/>
        <color theme="1"/>
        <rFont val="Arial"/>
        <family val="2"/>
      </rPr>
      <t>The Bitcoin mining business provides significant operating cash flow, which is used to invest in growth initiatives.</t>
    </r>
  </si>
  <si>
    <r>
      <t xml:space="preserve">The company is </t>
    </r>
    <r>
      <rPr>
        <b/>
        <sz val="10"/>
        <color theme="1"/>
        <rFont val="Arial"/>
        <family val="2"/>
      </rPr>
      <t>diversifying into HPC and AI, launching AI Cloud Services in 2024 for GPU-based AI training and inference,</t>
    </r>
    <r>
      <rPr>
        <sz val="10"/>
        <color theme="1"/>
        <rFont val="Arial"/>
        <family val="2"/>
      </rPr>
      <t xml:space="preserve"> aiming to expand revenue beyond mining.</t>
    </r>
  </si>
  <si>
    <r>
      <rPr>
        <b/>
        <sz val="10"/>
        <color theme="1"/>
        <rFont val="Arial"/>
        <family val="2"/>
      </rPr>
      <t>Partnership</t>
    </r>
    <r>
      <rPr>
        <sz val="10"/>
        <color theme="1"/>
        <rFont val="Arial"/>
        <family val="2"/>
      </rPr>
      <t>: IREN has been designated as a</t>
    </r>
    <r>
      <rPr>
        <b/>
        <sz val="10"/>
        <color theme="1"/>
        <rFont val="Arial"/>
        <family val="2"/>
      </rPr>
      <t xml:space="preserve"> NVIDIA preferred partner,</t>
    </r>
    <r>
      <rPr>
        <sz val="10"/>
        <color theme="1"/>
        <rFont val="Arial"/>
        <family val="2"/>
      </rPr>
      <t xml:space="preserve"> which enhances supply access and broadens its customer pipeline</t>
    </r>
  </si>
  <si>
    <r>
      <rPr>
        <b/>
        <sz val="10"/>
        <color theme="1"/>
        <rFont val="Arial"/>
        <family val="2"/>
      </rPr>
      <t>Childress, TX (Horizon 1 &amp; 2)</t>
    </r>
    <r>
      <rPr>
        <sz val="10"/>
        <color theme="1"/>
        <rFont val="Arial"/>
        <family val="2"/>
      </rPr>
      <t>: Construction on Horizon 1 is on schedule for Q4 2025. Due to strong demand, the company has begun early site works and procurement for Horizon 2, a potential second 50-megawatt facility. Together, Horizons 1 and 2 will have the capacity to support over 38,000 liquid-cooled GB300s.</t>
    </r>
  </si>
  <si>
    <r>
      <rPr>
        <b/>
        <sz val="10"/>
        <color theme="1"/>
        <rFont val="Arial"/>
        <family val="2"/>
      </rPr>
      <t>Sweetwater, TX</t>
    </r>
    <r>
      <rPr>
        <sz val="10"/>
        <color theme="1"/>
        <rFont val="Arial"/>
        <family val="2"/>
      </rPr>
      <t>: This is a flagship 2-gigawatt data center hub. Sweetwater 1 is on track for energization in April 2026, with construction of the substation underway and key long-lead equipment on site</t>
    </r>
  </si>
  <si>
    <r>
      <rPr>
        <b/>
        <sz val="10"/>
        <color theme="1"/>
        <rFont val="Arial"/>
        <family val="2"/>
      </rPr>
      <t>Diverse Capital Sources:</t>
    </r>
    <r>
      <rPr>
        <sz val="10"/>
        <color theme="1"/>
        <rFont val="Arial"/>
        <family val="2"/>
      </rPr>
      <t xml:space="preserve"> The company is focused on diversifying its capital sources, including asset-backed financing, project-level debt, and corporate-level debt. It has also had successful convertible bond market transactions.</t>
    </r>
  </si>
  <si>
    <t>PUE (avg.)</t>
  </si>
  <si>
    <t>Max Rack Density (kW)</t>
  </si>
  <si>
    <t>Land (Acres)</t>
  </si>
  <si>
    <t>https://iren.com/data-centers</t>
  </si>
  <si>
    <t>1.9k(H100 and H200)</t>
  </si>
  <si>
    <t>Planned/Procured Additions</t>
  </si>
  <si>
    <t>GPUs (as of June 30, 2025)</t>
  </si>
  <si>
    <t>5.5k B200; 2.3k B300; 1.2k GB300 (via purchases and leasing)</t>
  </si>
  <si>
    <t>Total Projected by End-2025</t>
  </si>
  <si>
    <t>Notes</t>
  </si>
  <si>
    <r>
      <rPr>
        <b/>
        <sz val="10"/>
        <color theme="1"/>
        <rFont val="Arial"/>
        <family val="2"/>
      </rPr>
      <t>Primary AI Cloud hub.</t>
    </r>
    <r>
      <rPr>
        <sz val="10"/>
        <color theme="1"/>
        <rFont val="Arial"/>
        <family val="2"/>
      </rPr>
      <t xml:space="preserve"> Retrofits for air-cooled GPUs and new liquid-cooled data center for GB300 deployment underway. Transcript confirms transition from Bitcoin to AI workloads here, with GB300 NVL72 systems.</t>
    </r>
  </si>
  <si>
    <t xml:space="preserve">Potential for up to 38,000 GB300, not yet procured (across Horizon 1/2) </t>
  </si>
  <si>
    <t>Horizon 1 (50MW IT load, direct-to-chip liquid cooling) targets end-2025 energization for HPC/AI. Horizon 2 site works started due to demand. Transcript notes support for over 38,000 GB300s combined, but no specific procurement yet.</t>
  </si>
  <si>
    <t>None specified</t>
  </si>
  <si>
    <t>Under development (Sweetwater 1: Q2 2026 energization; Sweetwater 2: Q4 2027). Potential 2GW hub for HPC/AI, but no GPU allocations mentioned.</t>
  </si>
  <si>
    <t>None</t>
  </si>
  <si>
    <t>Key note:</t>
  </si>
  <si>
    <t>All current and planned GPUs are for AI training/inference workloads. Procurements post-June 30 include financing (e.g., $102M lease for 1k B200/1.2k B300; $96M lease for 1.2k GB300). No GPUs at Texas sites yet, but Childress expansions signal shift to AI. Total fleet growth to 10.9k by end-2025 is at Prince George; BC sites are 100% renewable-powered. Transcript emphasizes scaling to &gt;10k GPUs online/ commissioning soon, with NVIDIA preferred partner status aiding future deployments.</t>
  </si>
  <si>
    <t>GPU</t>
  </si>
  <si>
    <t>VCPUS</t>
  </si>
  <si>
    <t>Storage (TB NVMe)</t>
  </si>
  <si>
    <t>Memory (GB)</t>
  </si>
  <si>
    <t>RAM (GB)</t>
  </si>
  <si>
    <t>H100</t>
  </si>
  <si>
    <t>NVDIA</t>
  </si>
  <si>
    <t>H200</t>
  </si>
  <si>
    <t>B200</t>
  </si>
  <si>
    <t>B300</t>
  </si>
  <si>
    <t>GB300 NVL72</t>
  </si>
  <si>
    <t>FY2022</t>
  </si>
  <si>
    <t>Current Ratio</t>
  </si>
  <si>
    <t>Cash Ratio</t>
  </si>
  <si>
    <t>Debt-to-Equity</t>
  </si>
  <si>
    <t>Debt-to-Assets</t>
  </si>
  <si>
    <t>Equity Ratio</t>
  </si>
  <si>
    <t>Fixed Asset Ratio</t>
  </si>
  <si>
    <t>Asset Turnover Ratio</t>
  </si>
  <si>
    <t>Q325</t>
  </si>
  <si>
    <t>Q425</t>
  </si>
  <si>
    <t>Q126</t>
  </si>
  <si>
    <t>Q226</t>
  </si>
  <si>
    <t>Q326</t>
  </si>
  <si>
    <t>Q1FY26</t>
  </si>
  <si>
    <t>CapEx</t>
  </si>
  <si>
    <t>Adjusted EBITDA</t>
  </si>
  <si>
    <t>Finance lease liability, current</t>
  </si>
  <si>
    <t>Finance lease liability, NC</t>
  </si>
  <si>
    <t>Deferred revenue, NC</t>
  </si>
  <si>
    <t>Debt conversion inducement expense</t>
  </si>
  <si>
    <t>ROU assets - Finance lease</t>
  </si>
  <si>
    <t>Q2FY26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</si>
</sst>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u/>
      <sz val="10"/>
      <color theme="1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7" fillId="0" borderId="0"/>
  </cellStyleXfs>
  <cellXfs count="54">
    <xf numFmtId="0" fontId="0" fillId="0" borderId="0" xfId="0"/>
    <xf numFmtId="0" fontId="5" fillId="0" borderId="0" xfId="1"/>
    <xf numFmtId="0" fontId="3" fillId="0" borderId="0" xfId="0" applyFont="1"/>
    <xf numFmtId="0" fontId="6" fillId="0" borderId="0" xfId="0" applyFont="1" applyAlignment="1">
      <alignment horizontal="center"/>
    </xf>
    <xf numFmtId="3" fontId="6" fillId="0" borderId="0" xfId="0" applyNumberFormat="1" applyFont="1"/>
    <xf numFmtId="4" fontId="6" fillId="0" borderId="0" xfId="0" applyNumberFormat="1" applyFont="1"/>
    <xf numFmtId="0" fontId="6" fillId="0" borderId="0" xfId="0" applyFont="1" applyAlignment="1">
      <alignment horizontal="right"/>
    </xf>
    <xf numFmtId="0" fontId="8" fillId="0" borderId="0" xfId="0" applyFont="1"/>
    <xf numFmtId="3" fontId="0" fillId="0" borderId="0" xfId="0" applyNumberFormat="1"/>
    <xf numFmtId="3" fontId="8" fillId="0" borderId="0" xfId="0" applyNumberFormat="1" applyFont="1"/>
    <xf numFmtId="4" fontId="0" fillId="0" borderId="0" xfId="0" applyNumberFormat="1"/>
    <xf numFmtId="4" fontId="8" fillId="0" borderId="0" xfId="0" applyNumberFormat="1" applyFont="1"/>
    <xf numFmtId="10" fontId="0" fillId="0" borderId="0" xfId="0" applyNumberFormat="1"/>
    <xf numFmtId="0" fontId="9" fillId="0" borderId="0" xfId="0" applyFont="1"/>
    <xf numFmtId="3" fontId="10" fillId="0" borderId="0" xfId="0" applyNumberFormat="1" applyFont="1"/>
    <xf numFmtId="3" fontId="11" fillId="0" borderId="0" xfId="0" applyNumberFormat="1" applyFont="1"/>
    <xf numFmtId="0" fontId="4" fillId="0" borderId="0" xfId="0" applyFont="1"/>
    <xf numFmtId="0" fontId="12" fillId="0" borderId="0" xfId="0" applyFont="1"/>
    <xf numFmtId="3" fontId="13" fillId="0" borderId="0" xfId="0" applyNumberFormat="1" applyFont="1"/>
    <xf numFmtId="4" fontId="13" fillId="0" borderId="0" xfId="0" applyNumberFormat="1" applyFont="1"/>
    <xf numFmtId="0" fontId="13" fillId="0" borderId="0" xfId="0" applyFont="1" applyAlignment="1">
      <alignment horizontal="right"/>
    </xf>
    <xf numFmtId="3" fontId="3" fillId="0" borderId="0" xfId="0" applyNumberFormat="1" applyFont="1"/>
    <xf numFmtId="0" fontId="14" fillId="0" borderId="0" xfId="1" applyFont="1"/>
    <xf numFmtId="0" fontId="3" fillId="0" borderId="1" xfId="0" applyFont="1" applyBorder="1"/>
    <xf numFmtId="0" fontId="3" fillId="0" borderId="3" xfId="0" applyFont="1" applyBorder="1"/>
    <xf numFmtId="3" fontId="3" fillId="0" borderId="4" xfId="0" applyNumberFormat="1" applyFont="1" applyBorder="1"/>
    <xf numFmtId="0" fontId="3" fillId="0" borderId="5" xfId="0" applyFont="1" applyBorder="1"/>
    <xf numFmtId="3" fontId="3" fillId="0" borderId="6" xfId="0" applyNumberFormat="1" applyFont="1" applyBorder="1"/>
    <xf numFmtId="3" fontId="6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0" fillId="2" borderId="0" xfId="0" applyNumberFormat="1" applyFill="1"/>
    <xf numFmtId="3" fontId="8" fillId="2" borderId="0" xfId="0" applyNumberFormat="1" applyFont="1" applyFill="1"/>
    <xf numFmtId="4" fontId="3" fillId="0" borderId="0" xfId="0" applyNumberFormat="1" applyFont="1"/>
    <xf numFmtId="4" fontId="3" fillId="0" borderId="2" xfId="0" applyNumberFormat="1" applyFont="1" applyBorder="1"/>
    <xf numFmtId="0" fontId="2" fillId="0" borderId="0" xfId="0" applyFont="1"/>
    <xf numFmtId="3" fontId="0" fillId="3" borderId="0" xfId="0" applyNumberFormat="1" applyFill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0" fontId="3" fillId="0" borderId="0" xfId="0" applyFont="1"/>
    <xf numFmtId="3" fontId="13" fillId="0" borderId="0" xfId="0" applyNumberFormat="1" applyFont="1"/>
    <xf numFmtId="3" fontId="6" fillId="0" borderId="0" xfId="0" applyNumberFormat="1" applyFont="1"/>
    <xf numFmtId="4" fontId="6" fillId="0" borderId="0" xfId="0" applyNumberFormat="1" applyFont="1"/>
    <xf numFmtId="4" fontId="13" fillId="0" borderId="0" xfId="0" applyNumberFormat="1" applyFont="1"/>
    <xf numFmtId="0" fontId="6" fillId="0" borderId="0" xfId="0" applyFont="1" applyAlignment="1">
      <alignment horizontal="center"/>
    </xf>
    <xf numFmtId="16" fontId="3" fillId="0" borderId="0" xfId="0" applyNumberFormat="1" applyFont="1"/>
    <xf numFmtId="0" fontId="1" fillId="0" borderId="0" xfId="0" applyFont="1"/>
  </cellXfs>
  <cellStyles count="3">
    <cellStyle name="Hyperlink" xfId="1" builtinId="8"/>
    <cellStyle name="Normal" xfId="0" builtinId="0"/>
    <cellStyle name="Normal 2" xfId="2" xr:uid="{5CFE8CDE-7271-4B20-9DB6-0B7F37B0C2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ren.com/data-cen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2"/>
  <sheetViews>
    <sheetView tabSelected="1" topLeftCell="B1" workbookViewId="0">
      <selection activeCell="M8" sqref="M8"/>
    </sheetView>
  </sheetViews>
  <sheetFormatPr defaultRowHeight="13.2" x14ac:dyDescent="0.25"/>
  <cols>
    <col min="1" max="16384" width="8.88671875" style="2"/>
  </cols>
  <sheetData>
    <row r="2" spans="2:15" x14ac:dyDescent="0.25">
      <c r="B2" s="17" t="s">
        <v>188</v>
      </c>
    </row>
    <row r="3" spans="2:15" x14ac:dyDescent="0.25">
      <c r="B3" s="2" t="s">
        <v>201</v>
      </c>
    </row>
    <row r="4" spans="2:15" x14ac:dyDescent="0.25">
      <c r="B4" s="2" t="s">
        <v>189</v>
      </c>
    </row>
    <row r="5" spans="2:15" x14ac:dyDescent="0.25">
      <c r="B5" s="2" t="s">
        <v>190</v>
      </c>
    </row>
    <row r="6" spans="2:15" ht="13.8" thickBot="1" x14ac:dyDescent="0.3">
      <c r="B6" s="2" t="s">
        <v>224</v>
      </c>
    </row>
    <row r="7" spans="2:15" x14ac:dyDescent="0.25">
      <c r="I7" s="23" t="s">
        <v>1</v>
      </c>
      <c r="J7" s="38">
        <v>42.67</v>
      </c>
      <c r="K7" s="52">
        <v>46061</v>
      </c>
      <c r="N7" s="39" t="s">
        <v>266</v>
      </c>
      <c r="O7" s="16" t="s">
        <v>208</v>
      </c>
    </row>
    <row r="8" spans="2:15" x14ac:dyDescent="0.25">
      <c r="B8" s="22" t="s">
        <v>191</v>
      </c>
      <c r="I8" s="24" t="s">
        <v>2</v>
      </c>
      <c r="J8" s="25">
        <f>Model!M29/1000</f>
        <v>298.02735600000005</v>
      </c>
      <c r="K8" s="53" t="s">
        <v>279</v>
      </c>
      <c r="O8" s="2" t="s">
        <v>207</v>
      </c>
    </row>
    <row r="9" spans="2:15" x14ac:dyDescent="0.25">
      <c r="B9" s="2" t="s">
        <v>192</v>
      </c>
      <c r="I9" s="24" t="s">
        <v>3</v>
      </c>
      <c r="J9" s="25">
        <f>+J7*J8</f>
        <v>12716.827280520003</v>
      </c>
      <c r="O9" s="2" t="s">
        <v>209</v>
      </c>
    </row>
    <row r="10" spans="2:15" x14ac:dyDescent="0.25">
      <c r="B10" s="2" t="s">
        <v>193</v>
      </c>
      <c r="I10" s="24" t="s">
        <v>4</v>
      </c>
      <c r="J10" s="25">
        <f>+Model!M3/1000</f>
        <v>167.39400000000001</v>
      </c>
      <c r="K10" s="53" t="s">
        <v>279</v>
      </c>
      <c r="O10" s="2" t="s">
        <v>210</v>
      </c>
    </row>
    <row r="11" spans="2:15" x14ac:dyDescent="0.25">
      <c r="I11" s="24" t="s">
        <v>5</v>
      </c>
      <c r="J11" s="25">
        <f>+Model!M75/1000</f>
        <v>3685.2959999999998</v>
      </c>
      <c r="K11" s="53" t="s">
        <v>279</v>
      </c>
      <c r="O11" s="2" t="s">
        <v>211</v>
      </c>
    </row>
    <row r="12" spans="2:15" x14ac:dyDescent="0.25">
      <c r="B12" s="17" t="s">
        <v>44</v>
      </c>
      <c r="I12" s="24"/>
      <c r="J12" s="25"/>
      <c r="O12" s="2" t="s">
        <v>212</v>
      </c>
    </row>
    <row r="13" spans="2:15" ht="13.8" thickBot="1" x14ac:dyDescent="0.3">
      <c r="B13" s="2" t="s">
        <v>194</v>
      </c>
      <c r="I13" s="26" t="s">
        <v>6</v>
      </c>
      <c r="J13" s="27">
        <f>J9-J10+J11</f>
        <v>16234.729280520003</v>
      </c>
    </row>
    <row r="14" spans="2:15" x14ac:dyDescent="0.25">
      <c r="B14" s="2" t="s">
        <v>196</v>
      </c>
      <c r="O14" s="2" t="s">
        <v>214</v>
      </c>
    </row>
    <row r="15" spans="2:15" x14ac:dyDescent="0.25">
      <c r="B15" s="2" t="s">
        <v>197</v>
      </c>
      <c r="O15" s="2" t="s">
        <v>213</v>
      </c>
    </row>
    <row r="17" spans="2:15" x14ac:dyDescent="0.25">
      <c r="B17" s="17" t="s">
        <v>198</v>
      </c>
      <c r="O17" s="2" t="s">
        <v>215</v>
      </c>
    </row>
    <row r="18" spans="2:15" x14ac:dyDescent="0.25">
      <c r="B18" s="2" t="s">
        <v>199</v>
      </c>
    </row>
    <row r="19" spans="2:15" x14ac:dyDescent="0.25">
      <c r="B19" s="2" t="s">
        <v>200</v>
      </c>
      <c r="O19" s="17" t="s">
        <v>216</v>
      </c>
    </row>
    <row r="20" spans="2:15" x14ac:dyDescent="0.25">
      <c r="O20" s="2" t="s">
        <v>219</v>
      </c>
    </row>
    <row r="21" spans="2:15" x14ac:dyDescent="0.25">
      <c r="B21" s="17" t="s">
        <v>202</v>
      </c>
      <c r="O21" s="2" t="s">
        <v>218</v>
      </c>
    </row>
    <row r="22" spans="2:15" x14ac:dyDescent="0.25">
      <c r="B22" s="2" t="s">
        <v>206</v>
      </c>
      <c r="O22" s="2" t="s">
        <v>217</v>
      </c>
    </row>
    <row r="23" spans="2:15" x14ac:dyDescent="0.25">
      <c r="B23" s="2" t="s">
        <v>203</v>
      </c>
      <c r="O23" s="2" t="s">
        <v>225</v>
      </c>
    </row>
    <row r="25" spans="2:15" x14ac:dyDescent="0.25">
      <c r="B25" s="17" t="s">
        <v>204</v>
      </c>
      <c r="O25" s="2" t="s">
        <v>220</v>
      </c>
    </row>
    <row r="26" spans="2:15" x14ac:dyDescent="0.25">
      <c r="B26" s="2" t="s">
        <v>205</v>
      </c>
      <c r="O26" s="2" t="s">
        <v>226</v>
      </c>
    </row>
    <row r="27" spans="2:15" x14ac:dyDescent="0.25">
      <c r="O27" s="2" t="s">
        <v>227</v>
      </c>
    </row>
    <row r="29" spans="2:15" x14ac:dyDescent="0.25">
      <c r="O29" s="16" t="s">
        <v>221</v>
      </c>
    </row>
    <row r="30" spans="2:15" x14ac:dyDescent="0.25">
      <c r="O30" s="2" t="s">
        <v>222</v>
      </c>
    </row>
    <row r="31" spans="2:15" x14ac:dyDescent="0.25">
      <c r="O31" s="2" t="s">
        <v>223</v>
      </c>
    </row>
    <row r="32" spans="2:15" x14ac:dyDescent="0.25">
      <c r="O32" s="2" t="s">
        <v>228</v>
      </c>
    </row>
  </sheetData>
  <hyperlinks>
    <hyperlink ref="B8" location="'Data Centers'!A1" display="Data Centers" xr:uid="{B4436C87-8F4A-4814-BEC0-D62151B3E8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04B7-FC42-4A55-9F43-07914E6B1DB0}">
  <dimension ref="A1:X194"/>
  <sheetViews>
    <sheetView zoomScale="82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Q186" sqref="Q186"/>
    </sheetView>
  </sheetViews>
  <sheetFormatPr defaultRowHeight="14.4" x14ac:dyDescent="0.3"/>
  <cols>
    <col min="2" max="2" width="48.21875" customWidth="1"/>
    <col min="8" max="8" width="10.6640625" customWidth="1"/>
    <col min="9" max="9" width="10.109375" customWidth="1"/>
    <col min="10" max="10" width="9.6640625" customWidth="1"/>
    <col min="11" max="11" width="9.88671875" customWidth="1"/>
    <col min="12" max="12" width="11.77734375" customWidth="1"/>
    <col min="13" max="13" width="9.6640625" bestFit="1" customWidth="1"/>
    <col min="16" max="16" width="9.77734375" bestFit="1" customWidth="1"/>
    <col min="20" max="21" width="9" bestFit="1" customWidth="1"/>
    <col min="22" max="22" width="9.77734375" bestFit="1" customWidth="1"/>
  </cols>
  <sheetData>
    <row r="1" spans="1:24" x14ac:dyDescent="0.3">
      <c r="A1" s="1" t="s">
        <v>0</v>
      </c>
      <c r="K1" t="s">
        <v>125</v>
      </c>
      <c r="L1" t="s">
        <v>271</v>
      </c>
    </row>
    <row r="2" spans="1:24" x14ac:dyDescent="0.3"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32</v>
      </c>
      <c r="L2" t="s">
        <v>266</v>
      </c>
      <c r="M2" t="s">
        <v>267</v>
      </c>
      <c r="N2" t="s">
        <v>268</v>
      </c>
      <c r="O2" t="s">
        <v>269</v>
      </c>
      <c r="P2" t="s">
        <v>270</v>
      </c>
      <c r="S2" t="s">
        <v>258</v>
      </c>
      <c r="T2" t="s">
        <v>120</v>
      </c>
      <c r="U2" t="s">
        <v>121</v>
      </c>
      <c r="V2" t="s">
        <v>122</v>
      </c>
      <c r="W2" t="s">
        <v>123</v>
      </c>
      <c r="X2" t="s">
        <v>124</v>
      </c>
    </row>
    <row r="3" spans="1:24" s="8" customFormat="1" x14ac:dyDescent="0.3">
      <c r="B3" s="8" t="s">
        <v>41</v>
      </c>
      <c r="F3" s="8">
        <v>53383</v>
      </c>
      <c r="H3" s="8">
        <v>49575</v>
      </c>
      <c r="I3" s="8">
        <v>113483</v>
      </c>
      <c r="J3" s="8">
        <v>141242</v>
      </c>
      <c r="K3" s="8">
        <v>180330</v>
      </c>
      <c r="L3" s="8">
        <v>232948</v>
      </c>
      <c r="M3" s="8">
        <v>167394</v>
      </c>
      <c r="S3" s="8">
        <v>59037</v>
      </c>
      <c r="T3" s="8">
        <v>75509</v>
      </c>
      <c r="U3" s="8">
        <v>184087</v>
      </c>
      <c r="V3" s="8">
        <v>484629</v>
      </c>
    </row>
    <row r="4" spans="1:24" s="8" customFormat="1" x14ac:dyDescent="0.3">
      <c r="B4" s="8" t="s">
        <v>42</v>
      </c>
      <c r="F4" s="8">
        <v>567</v>
      </c>
      <c r="H4" s="8">
        <v>3189</v>
      </c>
      <c r="I4" s="8">
        <v>2660</v>
      </c>
      <c r="J4" s="8">
        <v>3581</v>
      </c>
      <c r="K4" s="8">
        <v>6963</v>
      </c>
      <c r="L4" s="8">
        <v>7347</v>
      </c>
      <c r="M4" s="8">
        <v>17298</v>
      </c>
      <c r="S4" s="8">
        <v>0</v>
      </c>
      <c r="T4" s="8">
        <v>0</v>
      </c>
      <c r="U4" s="8">
        <v>3105</v>
      </c>
      <c r="V4" s="8">
        <v>16394</v>
      </c>
    </row>
    <row r="5" spans="1:24" s="9" customFormat="1" x14ac:dyDescent="0.3">
      <c r="B5" s="9" t="s">
        <v>43</v>
      </c>
      <c r="C5" s="9">
        <f t="shared" ref="C5:J5" si="0">SUM(C3:C4)</f>
        <v>0</v>
      </c>
      <c r="D5" s="9">
        <f t="shared" si="0"/>
        <v>0</v>
      </c>
      <c r="E5" s="9">
        <f t="shared" si="0"/>
        <v>0</v>
      </c>
      <c r="F5" s="9">
        <f t="shared" si="0"/>
        <v>53950</v>
      </c>
      <c r="G5" s="9">
        <f t="shared" si="0"/>
        <v>0</v>
      </c>
      <c r="H5" s="9">
        <f t="shared" si="0"/>
        <v>52764</v>
      </c>
      <c r="I5" s="9">
        <f t="shared" si="0"/>
        <v>116143</v>
      </c>
      <c r="J5" s="9">
        <f t="shared" si="0"/>
        <v>144823</v>
      </c>
      <c r="K5" s="9">
        <f>SUM(K3:K4)</f>
        <v>187293</v>
      </c>
      <c r="L5" s="9">
        <f>SUM(L3:L4)</f>
        <v>240295</v>
      </c>
      <c r="M5" s="9">
        <f t="shared" ref="M5:P5" si="1">SUM(M3:M4)</f>
        <v>184692</v>
      </c>
      <c r="N5" s="9">
        <f t="shared" si="1"/>
        <v>0</v>
      </c>
      <c r="O5" s="9">
        <f t="shared" si="1"/>
        <v>0</v>
      </c>
      <c r="P5" s="9">
        <f t="shared" si="1"/>
        <v>0</v>
      </c>
      <c r="S5" s="9">
        <f t="shared" ref="S5:V5" si="2">SUM(S3:S4)</f>
        <v>59037</v>
      </c>
      <c r="T5" s="9">
        <f t="shared" si="2"/>
        <v>75509</v>
      </c>
      <c r="U5" s="9">
        <f t="shared" si="2"/>
        <v>187192</v>
      </c>
      <c r="V5" s="9">
        <f t="shared" si="2"/>
        <v>501023</v>
      </c>
    </row>
    <row r="6" spans="1:24" s="8" customFormat="1" x14ac:dyDescent="0.3">
      <c r="B6" s="8" t="s">
        <v>44</v>
      </c>
      <c r="H6" s="8">
        <v>-31627</v>
      </c>
      <c r="I6" s="8">
        <v>-32019</v>
      </c>
      <c r="J6" s="8">
        <v>-41614</v>
      </c>
      <c r="K6" s="8">
        <v>-52412</v>
      </c>
      <c r="L6" s="8">
        <v>-79945</v>
      </c>
      <c r="M6" s="8">
        <v>-63368</v>
      </c>
      <c r="T6" s="8">
        <v>-39419</v>
      </c>
      <c r="U6" s="8">
        <v>-86688</v>
      </c>
      <c r="V6" s="8">
        <v>-157673</v>
      </c>
    </row>
    <row r="7" spans="1:24" s="8" customFormat="1" x14ac:dyDescent="0.3">
      <c r="B7" s="8" t="s">
        <v>45</v>
      </c>
      <c r="H7" s="8">
        <v>-232</v>
      </c>
      <c r="I7" s="8">
        <v>-276</v>
      </c>
      <c r="J7" s="8">
        <v>-336</v>
      </c>
      <c r="K7" s="8">
        <v>-475</v>
      </c>
      <c r="L7" s="8">
        <v>-728</v>
      </c>
      <c r="M7" s="8">
        <v>-2395</v>
      </c>
      <c r="T7" s="8">
        <v>0</v>
      </c>
      <c r="U7" s="8">
        <v>-379</v>
      </c>
      <c r="V7" s="8">
        <v>-1319</v>
      </c>
      <c r="W7" s="9"/>
    </row>
    <row r="8" spans="1:24" s="9" customFormat="1" x14ac:dyDescent="0.3">
      <c r="B8" s="9" t="s">
        <v>46</v>
      </c>
      <c r="C8" s="9">
        <f t="shared" ref="C8:G8" si="3">SUM(C6:C7)</f>
        <v>0</v>
      </c>
      <c r="D8" s="9">
        <f t="shared" si="3"/>
        <v>0</v>
      </c>
      <c r="E8" s="9">
        <f t="shared" si="3"/>
        <v>0</v>
      </c>
      <c r="F8" s="9">
        <f t="shared" si="3"/>
        <v>0</v>
      </c>
      <c r="G8" s="9">
        <f t="shared" si="3"/>
        <v>0</v>
      </c>
      <c r="H8" s="9">
        <f>SUM(H6:H7)</f>
        <v>-31859</v>
      </c>
      <c r="I8" s="9">
        <f t="shared" ref="I8:K8" si="4">SUM(I6:I7)</f>
        <v>-32295</v>
      </c>
      <c r="J8" s="9">
        <f t="shared" si="4"/>
        <v>-41950</v>
      </c>
      <c r="K8" s="9">
        <f t="shared" si="4"/>
        <v>-52887</v>
      </c>
      <c r="L8" s="9">
        <f t="shared" ref="L8:P8" si="5">SUM(L6:L7)</f>
        <v>-80673</v>
      </c>
      <c r="M8" s="9">
        <f t="shared" si="5"/>
        <v>-65763</v>
      </c>
      <c r="N8" s="9">
        <f t="shared" si="5"/>
        <v>0</v>
      </c>
      <c r="O8" s="9">
        <f t="shared" si="5"/>
        <v>0</v>
      </c>
      <c r="P8" s="9">
        <f t="shared" si="5"/>
        <v>0</v>
      </c>
      <c r="T8" s="9">
        <f t="shared" ref="T8" si="6">SUM(T6:T7)</f>
        <v>-39419</v>
      </c>
      <c r="U8" s="9">
        <f t="shared" ref="U8" si="7">SUM(U6:U7)</f>
        <v>-87067</v>
      </c>
      <c r="V8" s="9">
        <f t="shared" ref="V8" si="8">SUM(V6:V7)</f>
        <v>-158992</v>
      </c>
    </row>
    <row r="9" spans="1:24" s="9" customFormat="1" x14ac:dyDescent="0.3">
      <c r="B9" s="9" t="s">
        <v>63</v>
      </c>
      <c r="C9" s="9">
        <f t="shared" ref="C9" si="9">C5+C8</f>
        <v>0</v>
      </c>
      <c r="D9" s="9">
        <f t="shared" ref="D9" si="10">D5+D8</f>
        <v>0</v>
      </c>
      <c r="E9" s="9">
        <f t="shared" ref="E9" si="11">E5+E8</f>
        <v>0</v>
      </c>
      <c r="F9" s="9">
        <f t="shared" ref="F9" si="12">F5+F8</f>
        <v>53950</v>
      </c>
      <c r="G9" s="9">
        <f t="shared" ref="G9" si="13">G5+G8</f>
        <v>0</v>
      </c>
      <c r="H9" s="9">
        <f t="shared" ref="H9:J9" si="14">H5+H8</f>
        <v>20905</v>
      </c>
      <c r="I9" s="9">
        <f t="shared" si="14"/>
        <v>83848</v>
      </c>
      <c r="J9" s="9">
        <f t="shared" si="14"/>
        <v>102873</v>
      </c>
      <c r="K9" s="9">
        <f>K5+K8</f>
        <v>134406</v>
      </c>
      <c r="L9" s="9">
        <f>L5+L8</f>
        <v>159622</v>
      </c>
      <c r="M9" s="9">
        <f t="shared" ref="M9:P9" si="15">M5+M8</f>
        <v>118929</v>
      </c>
      <c r="N9" s="9">
        <f t="shared" si="15"/>
        <v>0</v>
      </c>
      <c r="O9" s="9">
        <f t="shared" si="15"/>
        <v>0</v>
      </c>
      <c r="P9" s="9">
        <f t="shared" si="15"/>
        <v>0</v>
      </c>
      <c r="T9" s="9">
        <f t="shared" ref="T9:U9" si="16">T5+T8</f>
        <v>36090</v>
      </c>
      <c r="U9" s="9">
        <f t="shared" si="16"/>
        <v>100125</v>
      </c>
      <c r="V9" s="9">
        <f>V5+V8</f>
        <v>342031</v>
      </c>
      <c r="W9" s="8"/>
    </row>
    <row r="10" spans="1:24" s="8" customFormat="1" x14ac:dyDescent="0.3">
      <c r="B10" s="8" t="s">
        <v>59</v>
      </c>
      <c r="H10" s="8">
        <v>-25171</v>
      </c>
      <c r="I10" s="8">
        <v>-28891</v>
      </c>
      <c r="J10" s="8">
        <v>-29098</v>
      </c>
      <c r="K10" s="8">
        <v>-53297</v>
      </c>
      <c r="L10" s="8">
        <v>-138359</v>
      </c>
      <c r="M10" s="8">
        <v>-100755</v>
      </c>
      <c r="T10" s="8">
        <v>-49004</v>
      </c>
      <c r="U10" s="8">
        <v>-70424</v>
      </c>
      <c r="V10" s="8">
        <v>-136458</v>
      </c>
    </row>
    <row r="11" spans="1:24" s="8" customFormat="1" x14ac:dyDescent="0.3">
      <c r="B11" s="8" t="s">
        <v>60</v>
      </c>
      <c r="F11" s="8">
        <v>-8692</v>
      </c>
      <c r="H11" s="8">
        <v>-33931</v>
      </c>
      <c r="I11" s="8">
        <v>-36077</v>
      </c>
      <c r="J11" s="8">
        <v>-47312</v>
      </c>
      <c r="K11" s="8">
        <v>-63815</v>
      </c>
      <c r="L11" s="8">
        <v>-85226</v>
      </c>
      <c r="M11" s="8">
        <v>-99176</v>
      </c>
      <c r="T11" s="8">
        <v>-30673</v>
      </c>
      <c r="U11" s="8">
        <v>-50470</v>
      </c>
      <c r="V11" s="8">
        <v>-181136</v>
      </c>
    </row>
    <row r="12" spans="1:24" s="8" customFormat="1" x14ac:dyDescent="0.3">
      <c r="B12" s="8" t="s">
        <v>47</v>
      </c>
      <c r="H12" s="8">
        <v>-9524</v>
      </c>
      <c r="I12" s="8">
        <v>0</v>
      </c>
      <c r="J12" s="8">
        <v>-95</v>
      </c>
      <c r="K12" s="8">
        <v>2396</v>
      </c>
      <c r="L12" s="8">
        <v>-16257</v>
      </c>
      <c r="M12" s="8">
        <v>-31755</v>
      </c>
      <c r="T12" s="8">
        <v>-105172</v>
      </c>
      <c r="U12" s="8">
        <v>0</v>
      </c>
      <c r="V12" s="8">
        <v>-7223</v>
      </c>
    </row>
    <row r="13" spans="1:24" s="8" customFormat="1" x14ac:dyDescent="0.3">
      <c r="B13" s="8" t="s">
        <v>61</v>
      </c>
      <c r="F13" s="8">
        <v>1</v>
      </c>
      <c r="H13" s="8">
        <v>833</v>
      </c>
      <c r="I13" s="8">
        <v>-681</v>
      </c>
      <c r="J13" s="8">
        <v>1525</v>
      </c>
      <c r="K13" s="8">
        <v>2325</v>
      </c>
      <c r="L13" s="8">
        <v>-13</v>
      </c>
      <c r="M13" s="8">
        <v>7</v>
      </c>
      <c r="T13" s="8">
        <v>-6628</v>
      </c>
      <c r="U13" s="8">
        <v>43</v>
      </c>
      <c r="V13" s="8">
        <v>4002</v>
      </c>
    </row>
    <row r="14" spans="1:24" s="8" customFormat="1" x14ac:dyDescent="0.3">
      <c r="B14" s="8" t="s">
        <v>48</v>
      </c>
      <c r="H14" s="8">
        <v>-4405</v>
      </c>
      <c r="I14" s="8">
        <v>-3994</v>
      </c>
      <c r="J14" s="8">
        <v>-1865</v>
      </c>
      <c r="K14" s="8">
        <v>-3038</v>
      </c>
      <c r="M14" s="8">
        <v>-5468</v>
      </c>
      <c r="T14" s="8">
        <v>-4971</v>
      </c>
      <c r="U14" s="8">
        <v>-8074</v>
      </c>
      <c r="V14" s="8">
        <v>-13302</v>
      </c>
    </row>
    <row r="15" spans="1:24" s="8" customFormat="1" x14ac:dyDescent="0.3">
      <c r="B15" s="8" t="s">
        <v>49</v>
      </c>
      <c r="H15" s="8">
        <v>1626</v>
      </c>
      <c r="I15" s="8">
        <v>3104</v>
      </c>
      <c r="J15" s="8">
        <v>3090</v>
      </c>
      <c r="K15" s="8">
        <v>1593</v>
      </c>
      <c r="L15" s="8">
        <v>3828</v>
      </c>
      <c r="M15" s="8">
        <v>1815</v>
      </c>
      <c r="T15" s="8">
        <v>3117</v>
      </c>
      <c r="U15" s="8">
        <v>1566</v>
      </c>
      <c r="V15" s="8">
        <v>9413</v>
      </c>
    </row>
    <row r="16" spans="1:24" s="9" customFormat="1" x14ac:dyDescent="0.3">
      <c r="B16" s="9" t="s">
        <v>64</v>
      </c>
      <c r="C16" s="9">
        <f t="shared" ref="C16:G16" si="17">SUM(C10:C15)</f>
        <v>0</v>
      </c>
      <c r="D16" s="9">
        <f t="shared" si="17"/>
        <v>0</v>
      </c>
      <c r="E16" s="9">
        <f t="shared" si="17"/>
        <v>0</v>
      </c>
      <c r="F16" s="9">
        <f t="shared" si="17"/>
        <v>-8691</v>
      </c>
      <c r="G16" s="9">
        <f t="shared" si="17"/>
        <v>0</v>
      </c>
      <c r="H16" s="9">
        <f>SUM(H10:H15)</f>
        <v>-70572</v>
      </c>
      <c r="I16" s="9">
        <f>SUM(I10:I15)</f>
        <v>-66539</v>
      </c>
      <c r="J16" s="9">
        <f>SUM(J10:J15)</f>
        <v>-73755</v>
      </c>
      <c r="K16" s="9">
        <f>SUM(K10:K15)</f>
        <v>-113836</v>
      </c>
      <c r="L16" s="9">
        <f>SUM(L10:L15)</f>
        <v>-236027</v>
      </c>
      <c r="M16" s="9">
        <f t="shared" ref="M16:P16" si="18">SUM(M10:M15)</f>
        <v>-235332</v>
      </c>
      <c r="N16" s="9">
        <f t="shared" si="18"/>
        <v>0</v>
      </c>
      <c r="O16" s="9">
        <f t="shared" si="18"/>
        <v>0</v>
      </c>
      <c r="P16" s="9">
        <f t="shared" si="18"/>
        <v>0</v>
      </c>
      <c r="T16" s="9">
        <f t="shared" ref="T16:V16" si="19">SUM(T10:T15)</f>
        <v>-193331</v>
      </c>
      <c r="U16" s="9">
        <f t="shared" si="19"/>
        <v>-127359</v>
      </c>
      <c r="V16" s="9">
        <f t="shared" si="19"/>
        <v>-324704</v>
      </c>
    </row>
    <row r="17" spans="2:23" s="9" customFormat="1" x14ac:dyDescent="0.3">
      <c r="B17" s="9" t="s">
        <v>65</v>
      </c>
      <c r="C17" s="9">
        <f t="shared" ref="C17:G17" si="20">C9+C16</f>
        <v>0</v>
      </c>
      <c r="D17" s="9">
        <f t="shared" si="20"/>
        <v>0</v>
      </c>
      <c r="E17" s="9">
        <f t="shared" si="20"/>
        <v>0</v>
      </c>
      <c r="F17" s="9">
        <f t="shared" si="20"/>
        <v>45259</v>
      </c>
      <c r="G17" s="9">
        <f t="shared" si="20"/>
        <v>0</v>
      </c>
      <c r="H17" s="9">
        <f>H9+H16</f>
        <v>-49667</v>
      </c>
      <c r="I17" s="9">
        <f>I9+I16</f>
        <v>17309</v>
      </c>
      <c r="J17" s="9">
        <f>J9+J16</f>
        <v>29118</v>
      </c>
      <c r="K17" s="9">
        <f>K9+K16</f>
        <v>20570</v>
      </c>
      <c r="L17" s="9">
        <f>L9+L16</f>
        <v>-76405</v>
      </c>
      <c r="M17" s="9">
        <f t="shared" ref="M17:P17" si="21">M9+M16</f>
        <v>-116403</v>
      </c>
      <c r="N17" s="9">
        <f t="shared" si="21"/>
        <v>0</v>
      </c>
      <c r="O17" s="9">
        <f t="shared" si="21"/>
        <v>0</v>
      </c>
      <c r="P17" s="9">
        <f t="shared" si="21"/>
        <v>0</v>
      </c>
      <c r="T17" s="9">
        <f t="shared" ref="T17:V17" si="22">T9+T16</f>
        <v>-157241</v>
      </c>
      <c r="U17" s="9">
        <f t="shared" si="22"/>
        <v>-27234</v>
      </c>
      <c r="V17" s="9">
        <f t="shared" si="22"/>
        <v>17327</v>
      </c>
      <c r="W17" s="8"/>
    </row>
    <row r="18" spans="2:23" s="8" customFormat="1" x14ac:dyDescent="0.3">
      <c r="B18" s="8" t="s">
        <v>50</v>
      </c>
      <c r="H18" s="8">
        <v>-22</v>
      </c>
      <c r="I18" s="8">
        <v>-1722</v>
      </c>
      <c r="J18" s="8">
        <v>-4119</v>
      </c>
      <c r="K18" s="8">
        <v>-5183</v>
      </c>
      <c r="L18" s="8">
        <v>-9280</v>
      </c>
      <c r="M18" s="8">
        <v>-10668</v>
      </c>
      <c r="T18" s="8">
        <v>-16207</v>
      </c>
      <c r="U18" s="8">
        <v>-98</v>
      </c>
      <c r="V18" s="8">
        <v>-11045</v>
      </c>
    </row>
    <row r="19" spans="2:23" s="8" customFormat="1" x14ac:dyDescent="0.3">
      <c r="B19" s="8" t="s">
        <v>51</v>
      </c>
      <c r="F19" s="8">
        <v>1500</v>
      </c>
      <c r="H19" s="8">
        <v>2289</v>
      </c>
      <c r="I19" s="8">
        <v>1587</v>
      </c>
      <c r="J19" s="8">
        <v>1926</v>
      </c>
      <c r="K19" s="8">
        <v>1703</v>
      </c>
      <c r="L19" s="8">
        <v>7128</v>
      </c>
      <c r="M19" s="8">
        <v>15775</v>
      </c>
      <c r="T19" s="8">
        <v>924</v>
      </c>
      <c r="U19" s="8">
        <v>5831</v>
      </c>
      <c r="V19" s="8">
        <v>7504</v>
      </c>
    </row>
    <row r="20" spans="2:23" s="8" customFormat="1" x14ac:dyDescent="0.3">
      <c r="B20" s="8" t="s">
        <v>52</v>
      </c>
      <c r="H20" s="8">
        <v>0</v>
      </c>
      <c r="I20" s="8">
        <v>516</v>
      </c>
      <c r="J20" s="8">
        <v>0</v>
      </c>
      <c r="K20" s="8">
        <v>-2676</v>
      </c>
      <c r="M20" s="8">
        <v>-6449</v>
      </c>
      <c r="T20" s="8">
        <v>0</v>
      </c>
      <c r="U20" s="8">
        <v>0</v>
      </c>
      <c r="V20" s="8">
        <v>-2160</v>
      </c>
    </row>
    <row r="21" spans="2:23" s="8" customFormat="1" x14ac:dyDescent="0.3">
      <c r="B21" s="8" t="s">
        <v>53</v>
      </c>
      <c r="H21" s="8">
        <v>-4215</v>
      </c>
      <c r="I21" s="8">
        <v>0</v>
      </c>
      <c r="J21" s="8">
        <v>0</v>
      </c>
      <c r="K21" s="8">
        <v>0</v>
      </c>
      <c r="L21" s="8">
        <v>-5756</v>
      </c>
      <c r="M21" s="8">
        <v>-2910</v>
      </c>
      <c r="T21" s="8">
        <v>0</v>
      </c>
      <c r="U21" s="8">
        <v>4121</v>
      </c>
      <c r="V21" s="8">
        <v>-4215</v>
      </c>
    </row>
    <row r="22" spans="2:23" s="8" customFormat="1" x14ac:dyDescent="0.3">
      <c r="B22" s="8" t="s">
        <v>54</v>
      </c>
      <c r="H22" s="8">
        <v>0</v>
      </c>
      <c r="I22" s="8">
        <v>-32300</v>
      </c>
      <c r="J22" s="8">
        <v>-37900</v>
      </c>
      <c r="K22" s="8">
        <v>147718</v>
      </c>
      <c r="L22" s="8">
        <v>664993</v>
      </c>
      <c r="M22" s="8">
        <v>-107351</v>
      </c>
      <c r="T22" s="8">
        <v>0</v>
      </c>
      <c r="U22" s="8">
        <v>-3448</v>
      </c>
      <c r="V22" s="8">
        <v>77518</v>
      </c>
    </row>
    <row r="23" spans="2:23" s="8" customFormat="1" x14ac:dyDescent="0.3">
      <c r="B23" s="8" t="s">
        <v>55</v>
      </c>
      <c r="H23" s="8">
        <v>0</v>
      </c>
      <c r="I23" s="8">
        <v>0</v>
      </c>
      <c r="J23" s="8">
        <v>0</v>
      </c>
      <c r="K23" s="8">
        <v>9093</v>
      </c>
      <c r="T23" s="8">
        <v>0</v>
      </c>
      <c r="U23" s="8">
        <v>0</v>
      </c>
      <c r="V23" s="8">
        <v>9093</v>
      </c>
    </row>
    <row r="24" spans="2:23" s="8" customFormat="1" x14ac:dyDescent="0.3">
      <c r="B24" s="8" t="s">
        <v>56</v>
      </c>
      <c r="F24" s="8">
        <v>4714</v>
      </c>
      <c r="H24" s="8">
        <v>1190</v>
      </c>
      <c r="I24" s="8">
        <v>-4563</v>
      </c>
      <c r="J24" s="8">
        <v>-319</v>
      </c>
      <c r="K24" s="8">
        <v>2353</v>
      </c>
      <c r="L24" s="8">
        <v>-5382</v>
      </c>
      <c r="M24" s="8">
        <v>1878</v>
      </c>
      <c r="T24" s="8">
        <v>-191</v>
      </c>
      <c r="U24" s="8">
        <v>-4747</v>
      </c>
      <c r="V24" s="8">
        <v>-1339</v>
      </c>
      <c r="W24" s="9"/>
    </row>
    <row r="25" spans="2:23" s="8" customFormat="1" x14ac:dyDescent="0.3">
      <c r="B25" s="8" t="s">
        <v>57</v>
      </c>
      <c r="H25" s="8">
        <v>5</v>
      </c>
      <c r="I25" s="8">
        <v>289</v>
      </c>
      <c r="J25" s="8">
        <v>0</v>
      </c>
      <c r="K25" s="8">
        <v>523</v>
      </c>
      <c r="M25" s="8">
        <v>-111799</v>
      </c>
      <c r="T25" s="8">
        <v>20</v>
      </c>
      <c r="U25" s="8">
        <v>108</v>
      </c>
      <c r="V25" s="8">
        <v>817</v>
      </c>
    </row>
    <row r="26" spans="2:23" s="9" customFormat="1" x14ac:dyDescent="0.3">
      <c r="B26" s="9" t="s">
        <v>66</v>
      </c>
      <c r="C26" s="9">
        <f t="shared" ref="C26" si="23">C17+SUM(C18:C25)</f>
        <v>0</v>
      </c>
      <c r="D26" s="9">
        <f t="shared" ref="D26" si="24">D17+SUM(D18:D25)</f>
        <v>0</v>
      </c>
      <c r="E26" s="9">
        <f t="shared" ref="E26" si="25">E17+SUM(E18:E25)</f>
        <v>0</v>
      </c>
      <c r="F26" s="9">
        <f t="shared" ref="F26" si="26">F17+SUM(F18:F25)</f>
        <v>51473</v>
      </c>
      <c r="G26" s="9">
        <f t="shared" ref="G26" si="27">G17+SUM(G18:G25)</f>
        <v>0</v>
      </c>
      <c r="H26" s="9">
        <f t="shared" ref="H26:J26" si="28">H17+SUM(H18:H25)</f>
        <v>-50420</v>
      </c>
      <c r="I26" s="9">
        <f t="shared" si="28"/>
        <v>-18884</v>
      </c>
      <c r="J26" s="9">
        <f t="shared" si="28"/>
        <v>-11294</v>
      </c>
      <c r="K26" s="9">
        <f>K17+SUM(K18:K25)</f>
        <v>174101</v>
      </c>
      <c r="L26" s="9">
        <f>L17+SUM(L18:L25)</f>
        <v>575298</v>
      </c>
      <c r="M26" s="9">
        <f t="shared" ref="M26:P26" si="29">M17+SUM(M18:M25)</f>
        <v>-337927</v>
      </c>
      <c r="N26" s="9">
        <f t="shared" si="29"/>
        <v>0</v>
      </c>
      <c r="O26" s="9">
        <f t="shared" si="29"/>
        <v>0</v>
      </c>
      <c r="P26" s="9">
        <f t="shared" si="29"/>
        <v>0</v>
      </c>
      <c r="T26" s="9">
        <f t="shared" ref="T26:V26" si="30">T17+SUM(T18:T25)</f>
        <v>-172695</v>
      </c>
      <c r="U26" s="9">
        <f t="shared" si="30"/>
        <v>-25467</v>
      </c>
      <c r="V26" s="9">
        <f t="shared" si="30"/>
        <v>93500</v>
      </c>
    </row>
    <row r="27" spans="2:23" s="8" customFormat="1" x14ac:dyDescent="0.3">
      <c r="B27" s="8" t="s">
        <v>67</v>
      </c>
      <c r="F27" s="8">
        <v>-3473</v>
      </c>
      <c r="H27" s="8">
        <v>-1280</v>
      </c>
      <c r="I27" s="8">
        <v>-3009</v>
      </c>
      <c r="J27" s="8">
        <v>-5038</v>
      </c>
      <c r="K27" s="8">
        <v>2767</v>
      </c>
      <c r="L27" s="8">
        <v>-190687</v>
      </c>
      <c r="M27" s="8">
        <v>182520</v>
      </c>
      <c r="T27">
        <v>-2390</v>
      </c>
      <c r="U27">
        <v>-3453</v>
      </c>
      <c r="V27">
        <v>-6560</v>
      </c>
    </row>
    <row r="28" spans="2:23" s="9" customFormat="1" x14ac:dyDescent="0.3">
      <c r="B28" s="9" t="s">
        <v>58</v>
      </c>
      <c r="C28" s="9">
        <f t="shared" ref="C28" si="31">C26+C27</f>
        <v>0</v>
      </c>
      <c r="D28" s="9">
        <f t="shared" ref="D28" si="32">D26+D27</f>
        <v>0</v>
      </c>
      <c r="E28" s="9">
        <f t="shared" ref="E28" si="33">E26+E27</f>
        <v>0</v>
      </c>
      <c r="F28" s="9">
        <f t="shared" ref="F28" si="34">F26+F27</f>
        <v>48000</v>
      </c>
      <c r="G28" s="9">
        <f t="shared" ref="G28" si="35">G26+G27</f>
        <v>0</v>
      </c>
      <c r="H28" s="9">
        <f t="shared" ref="H28:J28" si="36">H26+H27</f>
        <v>-51700</v>
      </c>
      <c r="I28" s="9">
        <f t="shared" si="36"/>
        <v>-21893</v>
      </c>
      <c r="J28" s="9">
        <f t="shared" si="36"/>
        <v>-16332</v>
      </c>
      <c r="K28" s="9">
        <f>K26+K27</f>
        <v>176868</v>
      </c>
      <c r="L28" s="9">
        <f>L26+L27</f>
        <v>384611</v>
      </c>
      <c r="M28" s="9">
        <f t="shared" ref="M28:P28" si="37">M26+M27</f>
        <v>-155407</v>
      </c>
      <c r="N28" s="9">
        <f t="shared" si="37"/>
        <v>0</v>
      </c>
      <c r="O28" s="9">
        <f t="shared" si="37"/>
        <v>0</v>
      </c>
      <c r="P28" s="9">
        <f t="shared" si="37"/>
        <v>0</v>
      </c>
      <c r="T28" s="9">
        <f t="shared" ref="T28:V28" si="38">T26+T27</f>
        <v>-175085</v>
      </c>
      <c r="U28" s="9">
        <f t="shared" si="38"/>
        <v>-28920</v>
      </c>
      <c r="V28" s="9">
        <f t="shared" si="38"/>
        <v>86940</v>
      </c>
      <c r="W28" s="11"/>
    </row>
    <row r="29" spans="2:23" s="8" customFormat="1" x14ac:dyDescent="0.3">
      <c r="B29" s="8" t="s">
        <v>2</v>
      </c>
      <c r="H29" s="8">
        <v>189262.44699999999</v>
      </c>
      <c r="I29" s="8">
        <v>210470.18599999999</v>
      </c>
      <c r="J29" s="8">
        <v>218659.83499999999</v>
      </c>
      <c r="K29" s="8">
        <f>240121.22</f>
        <v>240121.22</v>
      </c>
      <c r="L29" s="8">
        <v>270696.73300000001</v>
      </c>
      <c r="M29" s="8">
        <v>298027.35600000003</v>
      </c>
      <c r="T29"/>
      <c r="U29"/>
      <c r="V29"/>
      <c r="W29"/>
    </row>
    <row r="30" spans="2:23" s="11" customFormat="1" x14ac:dyDescent="0.3">
      <c r="B30" s="11" t="s">
        <v>68</v>
      </c>
      <c r="C30" s="11" t="e">
        <f t="shared" ref="C30" si="39">C28/C29</f>
        <v>#DIV/0!</v>
      </c>
      <c r="D30" s="11" t="e">
        <f t="shared" ref="D30" si="40">D28/D29</f>
        <v>#DIV/0!</v>
      </c>
      <c r="E30" s="11" t="e">
        <f t="shared" ref="E30" si="41">E28/E29</f>
        <v>#DIV/0!</v>
      </c>
      <c r="F30" s="11" t="e">
        <f t="shared" ref="F30" si="42">F28/F29</f>
        <v>#DIV/0!</v>
      </c>
      <c r="G30" s="11" t="e">
        <f t="shared" ref="G30" si="43">G28/G29</f>
        <v>#DIV/0!</v>
      </c>
      <c r="H30" s="11">
        <f t="shared" ref="H30:J30" si="44">H28/H29</f>
        <v>-0.27316565340614035</v>
      </c>
      <c r="I30" s="11">
        <f t="shared" si="44"/>
        <v>-0.10401948331057208</v>
      </c>
      <c r="J30" s="11">
        <f t="shared" si="44"/>
        <v>-7.4691357925885202E-2</v>
      </c>
      <c r="K30" s="11">
        <f>K28/K29</f>
        <v>0.73657796674529641</v>
      </c>
      <c r="L30" s="11">
        <f>L28/L29</f>
        <v>1.420818772866387</v>
      </c>
      <c r="M30" s="11">
        <f t="shared" ref="M30:P30" si="45">M28/M29</f>
        <v>-0.52145213139427371</v>
      </c>
      <c r="N30" s="11" t="e">
        <f t="shared" si="45"/>
        <v>#DIV/0!</v>
      </c>
      <c r="O30" s="11" t="e">
        <f t="shared" si="45"/>
        <v>#DIV/0!</v>
      </c>
      <c r="P30" s="11" t="e">
        <f t="shared" si="45"/>
        <v>#DIV/0!</v>
      </c>
      <c r="T30"/>
      <c r="U30"/>
      <c r="V30"/>
      <c r="W30"/>
    </row>
    <row r="31" spans="2:23" x14ac:dyDescent="0.3">
      <c r="T31" s="12"/>
      <c r="U31" s="12"/>
      <c r="V31" s="12"/>
      <c r="W31" s="12"/>
    </row>
    <row r="32" spans="2:23" x14ac:dyDescent="0.3">
      <c r="B32" t="s">
        <v>96</v>
      </c>
      <c r="C32" s="8">
        <f t="shared" ref="C32:G32" si="46">C28-C27-C18-C19-C11</f>
        <v>0</v>
      </c>
      <c r="D32" s="8">
        <f t="shared" si="46"/>
        <v>0</v>
      </c>
      <c r="E32" s="8">
        <f t="shared" si="46"/>
        <v>0</v>
      </c>
      <c r="F32" s="8">
        <f t="shared" si="46"/>
        <v>58665</v>
      </c>
      <c r="G32" s="8">
        <f t="shared" si="46"/>
        <v>0</v>
      </c>
      <c r="H32" s="8">
        <f t="shared" ref="H32:J32" si="47">H28-H27-H18-H19-H11</f>
        <v>-18756</v>
      </c>
      <c r="I32" s="8">
        <f t="shared" si="47"/>
        <v>17328</v>
      </c>
      <c r="J32" s="8">
        <f t="shared" si="47"/>
        <v>38211</v>
      </c>
      <c r="K32" s="8">
        <f>K28-K27-K18-K19-K11</f>
        <v>241396</v>
      </c>
      <c r="L32" s="8">
        <f>L28-L27-L18-L19-L11</f>
        <v>662676</v>
      </c>
      <c r="M32" s="8">
        <f t="shared" ref="M32:P32" si="48">M28-M27-M18-M19-M11</f>
        <v>-243858</v>
      </c>
      <c r="N32" s="8">
        <f t="shared" si="48"/>
        <v>0</v>
      </c>
      <c r="O32" s="8">
        <f t="shared" si="48"/>
        <v>0</v>
      </c>
      <c r="P32" s="8">
        <f t="shared" si="48"/>
        <v>0</v>
      </c>
      <c r="T32" s="8">
        <f t="shared" ref="T32:V32" si="49">T28-T27-T18-T19-T11</f>
        <v>-126739</v>
      </c>
      <c r="U32" s="8">
        <f t="shared" si="49"/>
        <v>19270</v>
      </c>
      <c r="V32" s="8">
        <f t="shared" si="49"/>
        <v>278177</v>
      </c>
    </row>
    <row r="33" spans="2:23" s="12" customFormat="1" x14ac:dyDescent="0.3">
      <c r="B33" s="12" t="s">
        <v>97</v>
      </c>
      <c r="C33" s="12" t="e">
        <f t="shared" ref="C33:J33" si="50">C32/C5</f>
        <v>#DIV/0!</v>
      </c>
      <c r="D33" s="12" t="e">
        <f t="shared" si="50"/>
        <v>#DIV/0!</v>
      </c>
      <c r="E33" s="12" t="e">
        <f t="shared" si="50"/>
        <v>#DIV/0!</v>
      </c>
      <c r="F33" s="12">
        <f t="shared" si="50"/>
        <v>1.0873957367933271</v>
      </c>
      <c r="G33" s="12" t="e">
        <f t="shared" si="50"/>
        <v>#DIV/0!</v>
      </c>
      <c r="H33" s="12">
        <f t="shared" si="50"/>
        <v>-0.35546963838981122</v>
      </c>
      <c r="I33" s="12">
        <f t="shared" si="50"/>
        <v>0.14919538844355665</v>
      </c>
      <c r="J33" s="12">
        <f t="shared" si="50"/>
        <v>0.26384621227291244</v>
      </c>
      <c r="K33" s="12">
        <f>K32/K5</f>
        <v>1.2888682438745709</v>
      </c>
      <c r="L33" s="12">
        <f>L32/L5</f>
        <v>2.7577602530223269</v>
      </c>
      <c r="M33" s="12">
        <f t="shared" ref="M33:P33" si="51">M32/M5</f>
        <v>-1.3203495549347022</v>
      </c>
      <c r="N33" s="12" t="e">
        <f t="shared" si="51"/>
        <v>#DIV/0!</v>
      </c>
      <c r="O33" s="12" t="e">
        <f t="shared" si="51"/>
        <v>#DIV/0!</v>
      </c>
      <c r="P33" s="12" t="e">
        <f t="shared" si="51"/>
        <v>#DIV/0!</v>
      </c>
      <c r="T33" s="12">
        <f t="shared" ref="T33:V33" si="52">T32/T5</f>
        <v>-1.6784621700724418</v>
      </c>
      <c r="U33" s="12">
        <f t="shared" si="52"/>
        <v>0.10294243343732638</v>
      </c>
      <c r="V33" s="12">
        <f t="shared" si="52"/>
        <v>0.55521802392305342</v>
      </c>
    </row>
    <row r="34" spans="2:23" s="12" customFormat="1" x14ac:dyDescent="0.3">
      <c r="B34" s="12" t="s">
        <v>195</v>
      </c>
      <c r="G34" s="12" t="e">
        <f t="shared" ref="G34:J34" si="53">G32/C32-1</f>
        <v>#DIV/0!</v>
      </c>
      <c r="H34" s="12" t="e">
        <f t="shared" si="53"/>
        <v>#DIV/0!</v>
      </c>
      <c r="I34" s="12" t="e">
        <f t="shared" si="53"/>
        <v>#DIV/0!</v>
      </c>
      <c r="J34" s="12">
        <f t="shared" si="53"/>
        <v>-0.34865763231909996</v>
      </c>
      <c r="K34" s="12" t="e">
        <f>K32/G32-1</f>
        <v>#DIV/0!</v>
      </c>
      <c r="L34" s="12">
        <f>L32/H32-1</f>
        <v>-36.331413947536788</v>
      </c>
      <c r="M34" s="12">
        <f t="shared" ref="M34:P34" si="54">M32/I32-1</f>
        <v>-15.073060941828254</v>
      </c>
      <c r="N34" s="12">
        <f t="shared" si="54"/>
        <v>-1</v>
      </c>
      <c r="O34" s="12">
        <f t="shared" si="54"/>
        <v>-1</v>
      </c>
      <c r="P34" s="12">
        <f t="shared" si="54"/>
        <v>-1</v>
      </c>
      <c r="U34" s="12">
        <f t="shared" ref="U34" si="55">U32/T32-1</f>
        <v>-1.1520447533908269</v>
      </c>
      <c r="V34" s="12">
        <f>V32/U32-1</f>
        <v>13.435755059678256</v>
      </c>
    </row>
    <row r="35" spans="2:23" s="9" customFormat="1" x14ac:dyDescent="0.3">
      <c r="B35" s="9" t="s">
        <v>273</v>
      </c>
      <c r="H35" s="9">
        <f>H32+H113</f>
        <v>-10572</v>
      </c>
      <c r="I35" s="9">
        <f>I32+I113</f>
        <v>17328</v>
      </c>
      <c r="J35" s="9">
        <f>J32+J113</f>
        <v>38211</v>
      </c>
      <c r="K35" s="9">
        <f>K32+K113</f>
        <v>241396</v>
      </c>
      <c r="L35" s="9">
        <f>L32+L113</f>
        <v>735081</v>
      </c>
      <c r="M35" s="9">
        <f t="shared" ref="M35:P35" si="56">M32+M113</f>
        <v>-185627</v>
      </c>
      <c r="N35" s="9">
        <f t="shared" si="56"/>
        <v>0</v>
      </c>
      <c r="O35" s="9">
        <f t="shared" si="56"/>
        <v>0</v>
      </c>
      <c r="P35" s="9">
        <f t="shared" si="56"/>
        <v>0</v>
      </c>
      <c r="S35" s="9">
        <f>S32+S113</f>
        <v>0</v>
      </c>
      <c r="T35" s="9">
        <f>T32+T113</f>
        <v>-112383</v>
      </c>
      <c r="U35" s="9">
        <f>U32+U113</f>
        <v>42906</v>
      </c>
      <c r="V35" s="9">
        <f>V32+V113</f>
        <v>320819</v>
      </c>
    </row>
    <row r="36" spans="2:23" x14ac:dyDescent="0.3">
      <c r="W36" s="12"/>
    </row>
    <row r="37" spans="2:23" s="12" customFormat="1" x14ac:dyDescent="0.3">
      <c r="B37" s="12" t="s">
        <v>98</v>
      </c>
      <c r="C37" s="12" t="e">
        <f t="shared" ref="C37:J37" si="57">(C3+C6)/C3</f>
        <v>#DIV/0!</v>
      </c>
      <c r="D37" s="12" t="e">
        <f t="shared" si="57"/>
        <v>#DIV/0!</v>
      </c>
      <c r="E37" s="12" t="e">
        <f t="shared" si="57"/>
        <v>#DIV/0!</v>
      </c>
      <c r="F37" s="12">
        <f t="shared" si="57"/>
        <v>1</v>
      </c>
      <c r="G37" s="12" t="e">
        <f t="shared" si="57"/>
        <v>#DIV/0!</v>
      </c>
      <c r="H37" s="12">
        <f t="shared" si="57"/>
        <v>0.36203731719616744</v>
      </c>
      <c r="I37" s="12">
        <f t="shared" si="57"/>
        <v>0.71785201307684854</v>
      </c>
      <c r="J37" s="12">
        <f t="shared" si="57"/>
        <v>0.70537092366293308</v>
      </c>
      <c r="K37" s="12">
        <f>(K3+K6)/K3</f>
        <v>0.70935507125824881</v>
      </c>
      <c r="L37" s="12">
        <f>(L3+L6)/L3</f>
        <v>0.65681182066383914</v>
      </c>
      <c r="M37" s="12">
        <f t="shared" ref="M37:P37" si="58">(M3+M6)/M3</f>
        <v>0.62144401830412077</v>
      </c>
      <c r="N37" s="12" t="e">
        <f t="shared" si="58"/>
        <v>#DIV/0!</v>
      </c>
      <c r="O37" s="12" t="e">
        <f t="shared" si="58"/>
        <v>#DIV/0!</v>
      </c>
      <c r="P37" s="12" t="e">
        <f t="shared" si="58"/>
        <v>#DIV/0!</v>
      </c>
      <c r="T37" s="12">
        <f t="shared" ref="T37:V37" si="59">(T3+T6)/T3</f>
        <v>0.4779562701134964</v>
      </c>
      <c r="U37" s="12">
        <f t="shared" si="59"/>
        <v>0.52909222269904987</v>
      </c>
      <c r="V37" s="12">
        <f t="shared" si="59"/>
        <v>0.67465215659814004</v>
      </c>
    </row>
    <row r="38" spans="2:23" s="12" customFormat="1" x14ac:dyDescent="0.3">
      <c r="B38" s="12" t="s">
        <v>99</v>
      </c>
      <c r="C38" s="12" t="e">
        <f t="shared" ref="C38:J38" si="60">(C4+C7)/C4</f>
        <v>#DIV/0!</v>
      </c>
      <c r="D38" s="12" t="e">
        <f t="shared" si="60"/>
        <v>#DIV/0!</v>
      </c>
      <c r="E38" s="12" t="e">
        <f t="shared" si="60"/>
        <v>#DIV/0!</v>
      </c>
      <c r="F38" s="12">
        <f t="shared" si="60"/>
        <v>1</v>
      </c>
      <c r="G38" s="12" t="e">
        <f t="shared" si="60"/>
        <v>#DIV/0!</v>
      </c>
      <c r="H38" s="12">
        <f t="shared" si="60"/>
        <v>0.927249921605519</v>
      </c>
      <c r="I38" s="12">
        <f t="shared" si="60"/>
        <v>0.89624060150375939</v>
      </c>
      <c r="J38" s="12">
        <f t="shared" si="60"/>
        <v>0.90617146048589781</v>
      </c>
      <c r="K38" s="12">
        <f>(K4+K7)/K4</f>
        <v>0.9317822777538417</v>
      </c>
      <c r="L38" s="12">
        <f>(L4+L7)/L4</f>
        <v>0.90091193684497073</v>
      </c>
      <c r="M38" s="12">
        <f t="shared" ref="M38:P38" si="61">(M4+M7)/M4</f>
        <v>0.86154468724708055</v>
      </c>
      <c r="N38" s="12" t="e">
        <f t="shared" si="61"/>
        <v>#DIV/0!</v>
      </c>
      <c r="O38" s="12" t="e">
        <f t="shared" si="61"/>
        <v>#DIV/0!</v>
      </c>
      <c r="P38" s="12" t="e">
        <f t="shared" si="61"/>
        <v>#DIV/0!</v>
      </c>
      <c r="T38" s="12" t="e">
        <f t="shared" ref="T38:V38" si="62">(T4+T7)/T4</f>
        <v>#DIV/0!</v>
      </c>
      <c r="U38" s="12">
        <f t="shared" si="62"/>
        <v>0.87793880837359095</v>
      </c>
      <c r="V38" s="12">
        <f t="shared" si="62"/>
        <v>0.91954373551299251</v>
      </c>
    </row>
    <row r="39" spans="2:23" s="12" customFormat="1" x14ac:dyDescent="0.3">
      <c r="B39" s="12" t="s">
        <v>100</v>
      </c>
      <c r="C39" s="12" t="e">
        <f t="shared" ref="C39:J39" si="63">C9/C5</f>
        <v>#DIV/0!</v>
      </c>
      <c r="D39" s="12" t="e">
        <f t="shared" si="63"/>
        <v>#DIV/0!</v>
      </c>
      <c r="E39" s="12" t="e">
        <f t="shared" si="63"/>
        <v>#DIV/0!</v>
      </c>
      <c r="F39" s="12">
        <f t="shared" si="63"/>
        <v>1</v>
      </c>
      <c r="G39" s="12" t="e">
        <f t="shared" si="63"/>
        <v>#DIV/0!</v>
      </c>
      <c r="H39" s="12">
        <f t="shared" si="63"/>
        <v>0.39619816541581382</v>
      </c>
      <c r="I39" s="12">
        <f t="shared" si="63"/>
        <v>0.72193761139285195</v>
      </c>
      <c r="J39" s="12">
        <f t="shared" si="63"/>
        <v>0.71033606540397587</v>
      </c>
      <c r="K39" s="12">
        <f>K9/K5</f>
        <v>0.71762425717992662</v>
      </c>
      <c r="L39" s="12">
        <f>L9/L5</f>
        <v>0.66427516178031165</v>
      </c>
      <c r="M39" s="12">
        <f t="shared" ref="M39:P39" si="64">M9/M5</f>
        <v>0.64393151841985574</v>
      </c>
      <c r="N39" s="12" t="e">
        <f t="shared" si="64"/>
        <v>#DIV/0!</v>
      </c>
      <c r="O39" s="12" t="e">
        <f t="shared" si="64"/>
        <v>#DIV/0!</v>
      </c>
      <c r="P39" s="12" t="e">
        <f t="shared" si="64"/>
        <v>#DIV/0!</v>
      </c>
      <c r="T39" s="12">
        <f t="shared" ref="T39:V39" si="65">T9/T5</f>
        <v>0.4779562701134964</v>
      </c>
      <c r="U39" s="12">
        <f t="shared" si="65"/>
        <v>0.53487862729176461</v>
      </c>
      <c r="V39" s="12">
        <f t="shared" si="65"/>
        <v>0.68266526686399631</v>
      </c>
    </row>
    <row r="40" spans="2:23" s="12" customFormat="1" x14ac:dyDescent="0.3"/>
    <row r="41" spans="2:23" s="12" customFormat="1" x14ac:dyDescent="0.3">
      <c r="B41" s="12" t="s">
        <v>101</v>
      </c>
      <c r="C41" s="12" t="e">
        <f t="shared" ref="C41:J41" si="66">C17/C5</f>
        <v>#DIV/0!</v>
      </c>
      <c r="D41" s="12" t="e">
        <f t="shared" si="66"/>
        <v>#DIV/0!</v>
      </c>
      <c r="E41" s="12" t="e">
        <f t="shared" si="66"/>
        <v>#DIV/0!</v>
      </c>
      <c r="F41" s="12">
        <f t="shared" si="66"/>
        <v>0.83890639481000928</v>
      </c>
      <c r="G41" s="12" t="e">
        <f t="shared" si="66"/>
        <v>#DIV/0!</v>
      </c>
      <c r="H41" s="12">
        <f t="shared" si="66"/>
        <v>-0.94130467743158219</v>
      </c>
      <c r="I41" s="12">
        <f t="shared" si="66"/>
        <v>0.14903179700885977</v>
      </c>
      <c r="J41" s="12">
        <f t="shared" si="66"/>
        <v>0.20105922401828438</v>
      </c>
      <c r="K41" s="12">
        <f>K17/K5</f>
        <v>0.10982791668668877</v>
      </c>
      <c r="L41" s="12">
        <f>L17/L5</f>
        <v>-0.31796333673193367</v>
      </c>
      <c r="M41" s="12">
        <f t="shared" ref="M41:P41" si="67">M17/M5</f>
        <v>-0.63025469430186476</v>
      </c>
      <c r="N41" s="12" t="e">
        <f t="shared" si="67"/>
        <v>#DIV/0!</v>
      </c>
      <c r="O41" s="12" t="e">
        <f t="shared" si="67"/>
        <v>#DIV/0!</v>
      </c>
      <c r="P41" s="12" t="e">
        <f t="shared" si="67"/>
        <v>#DIV/0!</v>
      </c>
      <c r="T41" s="12">
        <f t="shared" ref="T41:V41" si="68">T17/T5</f>
        <v>-2.082414016872161</v>
      </c>
      <c r="U41" s="12">
        <f t="shared" si="68"/>
        <v>-0.14548698662335996</v>
      </c>
      <c r="V41" s="12">
        <f t="shared" si="68"/>
        <v>3.4583242685465539E-2</v>
      </c>
    </row>
    <row r="42" spans="2:23" s="12" customFormat="1" x14ac:dyDescent="0.3">
      <c r="B42" s="12" t="s">
        <v>102</v>
      </c>
      <c r="C42" s="12" t="e">
        <f t="shared" ref="C42:J42" si="69">SUM(C18:C25)/C17</f>
        <v>#DIV/0!</v>
      </c>
      <c r="D42" s="12" t="e">
        <f t="shared" si="69"/>
        <v>#DIV/0!</v>
      </c>
      <c r="E42" s="12" t="e">
        <f t="shared" si="69"/>
        <v>#DIV/0!</v>
      </c>
      <c r="F42" s="12">
        <f t="shared" si="69"/>
        <v>0.13729865883028791</v>
      </c>
      <c r="G42" s="12" t="e">
        <f t="shared" si="69"/>
        <v>#DIV/0!</v>
      </c>
      <c r="H42" s="12">
        <f t="shared" si="69"/>
        <v>1.5160972074012926E-2</v>
      </c>
      <c r="I42" s="12">
        <f t="shared" si="69"/>
        <v>-2.0909931249638918</v>
      </c>
      <c r="J42" s="12">
        <f t="shared" si="69"/>
        <v>-1.3878700460196443</v>
      </c>
      <c r="K42" s="12">
        <f>SUM(K18:K25)/K17</f>
        <v>7.4638308215848319</v>
      </c>
      <c r="L42" s="12">
        <f>SUM(L18:L25)/L17</f>
        <v>-8.5295857600942355</v>
      </c>
      <c r="M42" s="12">
        <f t="shared" ref="M42:P42" si="70">SUM(M18:M25)/M17</f>
        <v>1.9030780993617002</v>
      </c>
      <c r="N42" s="12" t="e">
        <f t="shared" si="70"/>
        <v>#DIV/0!</v>
      </c>
      <c r="O42" s="12" t="e">
        <f t="shared" si="70"/>
        <v>#DIV/0!</v>
      </c>
      <c r="P42" s="12" t="e">
        <f t="shared" si="70"/>
        <v>#DIV/0!</v>
      </c>
      <c r="T42" s="12">
        <f t="shared" ref="T42:V42" si="71">SUM(T18:T25)/T17</f>
        <v>9.8282254628245816E-2</v>
      </c>
      <c r="U42" s="12">
        <f t="shared" si="71"/>
        <v>-6.4882132628332229E-2</v>
      </c>
      <c r="V42" s="12">
        <f t="shared" si="71"/>
        <v>4.396202458590639</v>
      </c>
    </row>
    <row r="43" spans="2:23" s="12" customFormat="1" x14ac:dyDescent="0.3">
      <c r="B43" s="12" t="s">
        <v>103</v>
      </c>
      <c r="C43" s="12" t="e">
        <f t="shared" ref="C43:J43" si="72">-C27/C26</f>
        <v>#DIV/0!</v>
      </c>
      <c r="D43" s="12" t="e">
        <f t="shared" si="72"/>
        <v>#DIV/0!</v>
      </c>
      <c r="E43" s="12" t="e">
        <f t="shared" si="72"/>
        <v>#DIV/0!</v>
      </c>
      <c r="F43" s="12">
        <f t="shared" si="72"/>
        <v>6.7472267013774206E-2</v>
      </c>
      <c r="G43" s="12" t="e">
        <f t="shared" si="72"/>
        <v>#DIV/0!</v>
      </c>
      <c r="H43" s="12">
        <f t="shared" si="72"/>
        <v>-2.5386751289170964E-2</v>
      </c>
      <c r="I43" s="12">
        <f t="shared" si="72"/>
        <v>-0.15934124126244439</v>
      </c>
      <c r="J43" s="12">
        <f t="shared" si="72"/>
        <v>-0.44607756330795112</v>
      </c>
      <c r="K43" s="12">
        <f>-K27/K26</f>
        <v>-1.5893073560749222E-2</v>
      </c>
      <c r="L43" s="12">
        <f>-L27/L26</f>
        <v>0.33145778361822914</v>
      </c>
      <c r="M43" s="12">
        <f t="shared" ref="M43:P43" si="73">-M27/M26</f>
        <v>0.54011665241309514</v>
      </c>
      <c r="N43" s="12" t="e">
        <f t="shared" si="73"/>
        <v>#DIV/0!</v>
      </c>
      <c r="O43" s="12" t="e">
        <f t="shared" si="73"/>
        <v>#DIV/0!</v>
      </c>
      <c r="P43" s="12" t="e">
        <f t="shared" si="73"/>
        <v>#DIV/0!</v>
      </c>
      <c r="T43" s="12">
        <f t="shared" ref="T43:V43" si="74">-T27/T26</f>
        <v>-1.3839427893106344E-2</v>
      </c>
      <c r="U43" s="12">
        <f t="shared" si="74"/>
        <v>-0.13558723053363175</v>
      </c>
      <c r="V43" s="12">
        <f t="shared" si="74"/>
        <v>7.0160427807486631E-2</v>
      </c>
      <c r="W43"/>
    </row>
    <row r="44" spans="2:23" s="12" customFormat="1" x14ac:dyDescent="0.3">
      <c r="B44" s="12" t="s">
        <v>104</v>
      </c>
      <c r="C44" s="12" t="e">
        <f t="shared" ref="C44:J44" si="75">C28/C5</f>
        <v>#DIV/0!</v>
      </c>
      <c r="D44" s="12" t="e">
        <f t="shared" si="75"/>
        <v>#DIV/0!</v>
      </c>
      <c r="E44" s="12" t="e">
        <f t="shared" si="75"/>
        <v>#DIV/0!</v>
      </c>
      <c r="F44" s="12">
        <f t="shared" si="75"/>
        <v>0.88971269694161259</v>
      </c>
      <c r="G44" s="12" t="e">
        <f t="shared" si="75"/>
        <v>#DIV/0!</v>
      </c>
      <c r="H44" s="12">
        <f t="shared" si="75"/>
        <v>-0.97983473580471536</v>
      </c>
      <c r="I44" s="12">
        <f t="shared" si="75"/>
        <v>-0.18850038314836021</v>
      </c>
      <c r="J44" s="12">
        <f t="shared" si="75"/>
        <v>-0.11277214254641874</v>
      </c>
      <c r="K44" s="12">
        <f>K28/K5</f>
        <v>0.94433854975893383</v>
      </c>
      <c r="L44" s="12">
        <f>L28/L5</f>
        <v>1.6005784556482656</v>
      </c>
      <c r="M44" s="12">
        <f t="shared" ref="M44:P44" si="76">M28/M5</f>
        <v>-0.84143871959803351</v>
      </c>
      <c r="N44" s="12" t="e">
        <f t="shared" si="76"/>
        <v>#DIV/0!</v>
      </c>
      <c r="O44" s="12" t="e">
        <f t="shared" si="76"/>
        <v>#DIV/0!</v>
      </c>
      <c r="P44" s="12" t="e">
        <f t="shared" si="76"/>
        <v>#DIV/0!</v>
      </c>
      <c r="T44" s="12">
        <f t="shared" ref="T44:V44" si="77">T28/T5</f>
        <v>-2.3187302175899562</v>
      </c>
      <c r="U44" s="12">
        <f t="shared" si="77"/>
        <v>-0.1544937817855464</v>
      </c>
      <c r="V44" s="12">
        <f t="shared" si="77"/>
        <v>0.17352496791564459</v>
      </c>
      <c r="W44"/>
    </row>
    <row r="46" spans="2:23" s="12" customFormat="1" x14ac:dyDescent="0.3">
      <c r="B46" s="12" t="s">
        <v>105</v>
      </c>
      <c r="G46" s="12" t="e">
        <f t="shared" ref="G46:L48" si="78">G3/C3-1</f>
        <v>#DIV/0!</v>
      </c>
      <c r="H46" s="12" t="e">
        <f t="shared" si="78"/>
        <v>#DIV/0!</v>
      </c>
      <c r="I46" s="12" t="e">
        <f t="shared" si="78"/>
        <v>#DIV/0!</v>
      </c>
      <c r="J46" s="12">
        <f t="shared" si="78"/>
        <v>1.6458235767941103</v>
      </c>
      <c r="K46" s="12" t="e">
        <f t="shared" si="78"/>
        <v>#DIV/0!</v>
      </c>
      <c r="L46" s="12">
        <f t="shared" si="78"/>
        <v>3.6989006555723654</v>
      </c>
      <c r="M46" s="12">
        <f t="shared" ref="M46:M48" si="79">M3/I3-1</f>
        <v>0.47505793819338571</v>
      </c>
      <c r="N46" s="12">
        <f t="shared" ref="N46:N48" si="80">N3/J3-1</f>
        <v>-1</v>
      </c>
      <c r="O46" s="12">
        <f t="shared" ref="O46:O48" si="81">O3/K3-1</f>
        <v>-1</v>
      </c>
      <c r="P46" s="12">
        <f t="shared" ref="P46:P48" si="82">P3/L3-1</f>
        <v>-1</v>
      </c>
      <c r="U46" s="12">
        <f t="shared" ref="U46" si="83">U3/T3-1</f>
        <v>1.4379477943026657</v>
      </c>
      <c r="V46" s="12">
        <f>V3/U3-1</f>
        <v>1.6326084948964348</v>
      </c>
    </row>
    <row r="47" spans="2:23" s="12" customFormat="1" x14ac:dyDescent="0.3">
      <c r="B47" s="12" t="s">
        <v>106</v>
      </c>
      <c r="G47" s="12" t="e">
        <f t="shared" si="78"/>
        <v>#DIV/0!</v>
      </c>
      <c r="H47" s="12" t="e">
        <f t="shared" si="78"/>
        <v>#DIV/0!</v>
      </c>
      <c r="I47" s="12" t="e">
        <f t="shared" si="78"/>
        <v>#DIV/0!</v>
      </c>
      <c r="J47" s="12">
        <f t="shared" si="78"/>
        <v>5.3156966490299826</v>
      </c>
      <c r="K47" s="12" t="e">
        <f t="shared" si="78"/>
        <v>#DIV/0!</v>
      </c>
      <c r="L47" s="12">
        <f t="shared" si="78"/>
        <v>1.3038570084666041</v>
      </c>
      <c r="M47" s="12">
        <f t="shared" si="79"/>
        <v>5.5030075187969922</v>
      </c>
      <c r="N47" s="12">
        <f t="shared" si="80"/>
        <v>-1</v>
      </c>
      <c r="O47" s="12">
        <f t="shared" si="81"/>
        <v>-1</v>
      </c>
      <c r="P47" s="12">
        <f t="shared" si="82"/>
        <v>-1</v>
      </c>
      <c r="U47" s="12" t="e">
        <f t="shared" ref="U47:V47" si="84">U4/T4-1</f>
        <v>#DIV/0!</v>
      </c>
      <c r="V47" s="12">
        <f t="shared" si="84"/>
        <v>4.2798711755233496</v>
      </c>
    </row>
    <row r="48" spans="2:23" s="12" customFormat="1" x14ac:dyDescent="0.3">
      <c r="B48" s="12" t="s">
        <v>107</v>
      </c>
      <c r="G48" s="12" t="e">
        <f t="shared" si="78"/>
        <v>#DIV/0!</v>
      </c>
      <c r="H48" s="12" t="e">
        <f t="shared" si="78"/>
        <v>#DIV/0!</v>
      </c>
      <c r="I48" s="12" t="e">
        <f t="shared" si="78"/>
        <v>#DIV/0!</v>
      </c>
      <c r="J48" s="12">
        <f t="shared" si="78"/>
        <v>1.6843929564411493</v>
      </c>
      <c r="K48" s="12" t="e">
        <f t="shared" si="78"/>
        <v>#DIV/0!</v>
      </c>
      <c r="L48" s="12">
        <f t="shared" si="78"/>
        <v>3.5541467667348954</v>
      </c>
      <c r="M48" s="12">
        <f t="shared" si="79"/>
        <v>0.59021206615982025</v>
      </c>
      <c r="N48" s="12">
        <f t="shared" si="80"/>
        <v>-1</v>
      </c>
      <c r="O48" s="12">
        <f t="shared" si="81"/>
        <v>-1</v>
      </c>
      <c r="P48" s="12">
        <f t="shared" si="82"/>
        <v>-1</v>
      </c>
      <c r="U48" s="12">
        <f t="shared" ref="U48:V48" si="85">U5/T5-1</f>
        <v>1.479068720284999</v>
      </c>
      <c r="V48" s="12">
        <f t="shared" si="85"/>
        <v>1.6765192956963975</v>
      </c>
    </row>
    <row r="50" spans="1:23" x14ac:dyDescent="0.3">
      <c r="T50" s="8"/>
      <c r="U50" s="8"/>
      <c r="V50" s="8"/>
      <c r="W50" s="8"/>
    </row>
    <row r="51" spans="1:23" x14ac:dyDescent="0.3">
      <c r="T51" s="8"/>
      <c r="U51" s="8"/>
      <c r="V51" s="8"/>
      <c r="W51" s="8"/>
    </row>
    <row r="52" spans="1:23" s="8" customFormat="1" x14ac:dyDescent="0.3">
      <c r="A52"/>
      <c r="B52" s="8" t="s">
        <v>95</v>
      </c>
      <c r="C52" s="8">
        <f t="shared" ref="C52:J52" si="86">C53-C75</f>
        <v>68894</v>
      </c>
      <c r="D52" s="8">
        <f t="shared" si="86"/>
        <v>0</v>
      </c>
      <c r="E52" s="8">
        <f t="shared" si="86"/>
        <v>0</v>
      </c>
      <c r="F52" s="8">
        <f t="shared" si="86"/>
        <v>0</v>
      </c>
      <c r="G52" s="8">
        <f t="shared" si="86"/>
        <v>404601</v>
      </c>
      <c r="H52" s="35">
        <f t="shared" si="86"/>
        <v>98600</v>
      </c>
      <c r="I52" s="35">
        <f>I53-I75</f>
        <v>137400</v>
      </c>
      <c r="J52" s="8">
        <f t="shared" si="86"/>
        <v>-138147</v>
      </c>
      <c r="K52" s="8">
        <f>K53-K75</f>
        <v>-398239</v>
      </c>
      <c r="L52" s="8">
        <f t="shared" ref="L52:N52" si="87">L53-L75</f>
        <v>68054</v>
      </c>
      <c r="M52" s="8">
        <f t="shared" si="87"/>
        <v>-424707</v>
      </c>
      <c r="N52" s="8">
        <f t="shared" si="87"/>
        <v>0</v>
      </c>
      <c r="T52" s="8">
        <f t="shared" ref="T52" si="88">T53-T75</f>
        <v>68894</v>
      </c>
      <c r="U52" s="8">
        <f t="shared" ref="U52" si="89">U53-U75</f>
        <v>404601</v>
      </c>
      <c r="V52" s="8">
        <f>V53-V75</f>
        <v>-398239</v>
      </c>
    </row>
    <row r="53" spans="1:23" s="8" customFormat="1" x14ac:dyDescent="0.3">
      <c r="A53"/>
      <c r="B53" s="8" t="s">
        <v>84</v>
      </c>
      <c r="C53" s="8">
        <v>68894</v>
      </c>
      <c r="G53" s="8">
        <v>404601</v>
      </c>
      <c r="H53" s="8">
        <v>98600</v>
      </c>
      <c r="I53" s="8">
        <v>455600</v>
      </c>
      <c r="J53" s="8">
        <v>184333</v>
      </c>
      <c r="K53" s="8">
        <v>564526</v>
      </c>
      <c r="L53" s="8">
        <v>1032263</v>
      </c>
      <c r="M53" s="8">
        <v>3260589</v>
      </c>
      <c r="T53" s="8">
        <v>68894</v>
      </c>
      <c r="U53" s="8">
        <v>404601</v>
      </c>
      <c r="V53" s="8">
        <v>564526</v>
      </c>
    </row>
    <row r="54" spans="1:23" s="8" customFormat="1" x14ac:dyDescent="0.3">
      <c r="A54"/>
      <c r="B54" s="8" t="s">
        <v>85</v>
      </c>
      <c r="C54" s="8">
        <v>0</v>
      </c>
      <c r="G54" s="8">
        <v>152</v>
      </c>
      <c r="H54" s="8">
        <v>100</v>
      </c>
      <c r="I54" s="8">
        <v>100</v>
      </c>
      <c r="J54" s="8">
        <v>0</v>
      </c>
      <c r="K54" s="8">
        <v>1564</v>
      </c>
      <c r="L54" s="8">
        <v>24139</v>
      </c>
      <c r="M54" s="8">
        <v>9606</v>
      </c>
      <c r="T54" s="8">
        <v>0</v>
      </c>
      <c r="U54" s="8">
        <v>152</v>
      </c>
      <c r="V54" s="8">
        <v>1564</v>
      </c>
    </row>
    <row r="55" spans="1:23" s="8" customFormat="1" x14ac:dyDescent="0.3">
      <c r="A55"/>
      <c r="B55" s="8" t="s">
        <v>86</v>
      </c>
      <c r="C55" s="8">
        <v>13793</v>
      </c>
      <c r="G55" s="8">
        <v>11888</v>
      </c>
      <c r="H55" s="8">
        <v>24400</v>
      </c>
      <c r="I55" s="8">
        <v>39000</v>
      </c>
      <c r="J55" s="8">
        <v>37555</v>
      </c>
      <c r="K55" s="8">
        <v>45908</v>
      </c>
      <c r="L55" s="8">
        <v>53275</v>
      </c>
      <c r="M55" s="8">
        <v>55330</v>
      </c>
      <c r="T55" s="8">
        <v>13793</v>
      </c>
      <c r="U55" s="8">
        <v>11888</v>
      </c>
      <c r="V55" s="8">
        <v>45908</v>
      </c>
    </row>
    <row r="56" spans="1:23" s="8" customFormat="1" x14ac:dyDescent="0.3">
      <c r="A56"/>
      <c r="B56" s="8" t="s">
        <v>70</v>
      </c>
      <c r="C56" s="8">
        <v>0</v>
      </c>
      <c r="G56" s="8">
        <v>0</v>
      </c>
      <c r="H56" s="8">
        <v>0</v>
      </c>
      <c r="I56" s="8">
        <v>0</v>
      </c>
      <c r="J56" s="8">
        <v>1310</v>
      </c>
      <c r="K56" s="8">
        <v>5756</v>
      </c>
      <c r="L56" s="8">
        <v>2910</v>
      </c>
      <c r="T56" s="8">
        <v>0</v>
      </c>
      <c r="U56" s="8">
        <v>0</v>
      </c>
      <c r="V56" s="8">
        <v>5756</v>
      </c>
    </row>
    <row r="57" spans="1:23" s="8" customFormat="1" x14ac:dyDescent="0.3">
      <c r="A57"/>
      <c r="B57" s="8" t="s">
        <v>71</v>
      </c>
      <c r="C57" s="8">
        <v>0</v>
      </c>
      <c r="G57" s="8">
        <v>6530</v>
      </c>
      <c r="H57" s="8">
        <v>0</v>
      </c>
      <c r="I57" s="8">
        <v>0</v>
      </c>
      <c r="J57" s="8">
        <v>11700</v>
      </c>
      <c r="K57" s="8">
        <v>0</v>
      </c>
      <c r="T57" s="8">
        <v>0</v>
      </c>
      <c r="U57" s="8">
        <v>6530</v>
      </c>
      <c r="V57" s="8">
        <v>0</v>
      </c>
    </row>
    <row r="58" spans="1:23" s="8" customFormat="1" x14ac:dyDescent="0.3">
      <c r="A58"/>
      <c r="B58" s="8" t="s">
        <v>72</v>
      </c>
      <c r="C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2581</v>
      </c>
      <c r="T58" s="8">
        <v>0</v>
      </c>
      <c r="U58" s="8">
        <v>0</v>
      </c>
      <c r="V58" s="8">
        <v>2581</v>
      </c>
    </row>
    <row r="59" spans="1:23" s="8" customFormat="1" x14ac:dyDescent="0.3">
      <c r="A59"/>
      <c r="B59" s="8" t="s">
        <v>73</v>
      </c>
      <c r="C59" s="8">
        <v>6543</v>
      </c>
      <c r="G59" s="8">
        <v>29214</v>
      </c>
      <c r="H59" s="8">
        <f>23800+11900</f>
        <v>35700</v>
      </c>
      <c r="I59" s="8">
        <f>26400+4100</f>
        <v>30500</v>
      </c>
      <c r="J59" s="8">
        <v>21013</v>
      </c>
      <c r="K59" s="8">
        <v>20838</v>
      </c>
      <c r="L59" s="8">
        <v>11353</v>
      </c>
      <c r="M59" s="8">
        <f>20102+37794</f>
        <v>57896</v>
      </c>
      <c r="T59" s="8">
        <v>6543</v>
      </c>
      <c r="U59" s="8">
        <v>29214</v>
      </c>
      <c r="V59" s="8">
        <v>20838</v>
      </c>
    </row>
    <row r="60" spans="1:23" s="8" customFormat="1" x14ac:dyDescent="0.3">
      <c r="A60" t="s">
        <v>173</v>
      </c>
      <c r="B60" s="8" t="s">
        <v>87</v>
      </c>
      <c r="C60" s="8">
        <v>241102</v>
      </c>
      <c r="G60" s="8">
        <v>441371</v>
      </c>
      <c r="H60" s="8">
        <v>968400</v>
      </c>
      <c r="I60" s="8">
        <v>1211100</v>
      </c>
      <c r="J60" s="8">
        <v>1575107</v>
      </c>
      <c r="K60" s="8">
        <v>1930567</v>
      </c>
      <c r="L60" s="8">
        <v>2115436</v>
      </c>
      <c r="M60" s="8">
        <v>3170451</v>
      </c>
      <c r="T60" s="8">
        <v>241102</v>
      </c>
      <c r="U60" s="8">
        <v>441371</v>
      </c>
      <c r="V60" s="8">
        <v>1930567</v>
      </c>
    </row>
    <row r="61" spans="1:23" s="8" customFormat="1" x14ac:dyDescent="0.3">
      <c r="A61" t="s">
        <v>173</v>
      </c>
      <c r="B61" s="8" t="s">
        <v>88</v>
      </c>
      <c r="C61" s="8">
        <v>1374</v>
      </c>
      <c r="G61" s="8">
        <v>1336</v>
      </c>
      <c r="J61" s="8">
        <v>1628</v>
      </c>
      <c r="K61" s="8">
        <v>1463</v>
      </c>
      <c r="L61" s="8">
        <v>1425</v>
      </c>
      <c r="M61" s="8">
        <v>1328</v>
      </c>
      <c r="T61" s="8">
        <v>1374</v>
      </c>
      <c r="U61" s="8">
        <v>1336</v>
      </c>
      <c r="V61" s="8">
        <v>1463</v>
      </c>
    </row>
    <row r="62" spans="1:23" s="8" customFormat="1" x14ac:dyDescent="0.3">
      <c r="A62" t="s">
        <v>173</v>
      </c>
      <c r="B62" s="8" t="s">
        <v>69</v>
      </c>
      <c r="C62" s="8">
        <v>0</v>
      </c>
      <c r="G62" s="8">
        <v>257300</v>
      </c>
      <c r="J62" s="8">
        <f>97572+24354</f>
        <v>121926</v>
      </c>
      <c r="K62" s="8">
        <v>32916</v>
      </c>
      <c r="L62" s="8">
        <v>30456</v>
      </c>
      <c r="M62" s="8">
        <v>148822</v>
      </c>
      <c r="T62" s="8">
        <v>0</v>
      </c>
      <c r="U62" s="8">
        <v>257300</v>
      </c>
      <c r="V62" s="8">
        <v>32916</v>
      </c>
    </row>
    <row r="63" spans="1:23" s="8" customFormat="1" x14ac:dyDescent="0.3">
      <c r="A63"/>
      <c r="B63" s="8" t="s">
        <v>71</v>
      </c>
      <c r="C63" s="8">
        <v>0</v>
      </c>
      <c r="G63" s="8">
        <v>0</v>
      </c>
      <c r="J63" s="8">
        <v>34717</v>
      </c>
      <c r="K63" s="8">
        <v>211617</v>
      </c>
      <c r="L63" s="8">
        <v>681400</v>
      </c>
      <c r="M63" s="8">
        <v>0</v>
      </c>
      <c r="T63" s="8">
        <v>0</v>
      </c>
      <c r="U63" s="8">
        <v>0</v>
      </c>
      <c r="V63" s="8">
        <v>211617</v>
      </c>
    </row>
    <row r="64" spans="1:23" s="8" customFormat="1" x14ac:dyDescent="0.3">
      <c r="A64"/>
      <c r="B64" s="8" t="s">
        <v>70</v>
      </c>
      <c r="C64" s="8">
        <v>0</v>
      </c>
      <c r="G64" s="8">
        <v>0</v>
      </c>
      <c r="J64" s="8">
        <v>0</v>
      </c>
      <c r="K64" s="8">
        <v>122100</v>
      </c>
      <c r="L64" s="8">
        <v>314400</v>
      </c>
      <c r="M64" s="8">
        <v>215700</v>
      </c>
      <c r="T64" s="8">
        <v>0</v>
      </c>
      <c r="U64" s="8">
        <v>0</v>
      </c>
      <c r="V64" s="8">
        <v>122100</v>
      </c>
      <c r="W64" s="9"/>
    </row>
    <row r="65" spans="1:23" s="8" customFormat="1" x14ac:dyDescent="0.3">
      <c r="A65" t="s">
        <v>173</v>
      </c>
      <c r="B65" s="8" t="s">
        <v>89</v>
      </c>
      <c r="C65" s="8">
        <f>292+8+68</f>
        <v>368</v>
      </c>
      <c r="G65" s="8">
        <v>427</v>
      </c>
      <c r="H65" s="8">
        <v>154000</v>
      </c>
      <c r="I65" s="8">
        <f>56000+59800</f>
        <v>115800</v>
      </c>
      <c r="J65" s="8">
        <v>466</v>
      </c>
      <c r="K65" s="8">
        <v>486</v>
      </c>
      <c r="L65" s="8">
        <v>317</v>
      </c>
      <c r="M65" s="8">
        <f>107573+282</f>
        <v>107855</v>
      </c>
      <c r="T65" s="8">
        <f>292+8+68</f>
        <v>368</v>
      </c>
      <c r="U65" s="8">
        <v>427</v>
      </c>
      <c r="V65" s="8">
        <v>486</v>
      </c>
    </row>
    <row r="66" spans="1:23" s="9" customFormat="1" x14ac:dyDescent="0.3">
      <c r="A66" s="7"/>
      <c r="B66" s="9" t="s">
        <v>74</v>
      </c>
      <c r="C66" s="9">
        <f t="shared" ref="C66:J66" si="90">SUM(C53:C65)</f>
        <v>332074</v>
      </c>
      <c r="D66" s="9">
        <f t="shared" si="90"/>
        <v>0</v>
      </c>
      <c r="E66" s="9">
        <f t="shared" si="90"/>
        <v>0</v>
      </c>
      <c r="F66" s="9">
        <f t="shared" si="90"/>
        <v>0</v>
      </c>
      <c r="G66" s="9">
        <f t="shared" si="90"/>
        <v>1152819</v>
      </c>
      <c r="H66" s="36">
        <f t="shared" si="90"/>
        <v>1281200</v>
      </c>
      <c r="I66" s="36">
        <f t="shared" si="90"/>
        <v>1852100</v>
      </c>
      <c r="J66" s="9">
        <f t="shared" si="90"/>
        <v>1989755</v>
      </c>
      <c r="K66" s="9">
        <f>SUM(K53:K65)</f>
        <v>2940322</v>
      </c>
      <c r="L66" s="9">
        <f t="shared" ref="L66:N66" si="91">SUM(L53:L65)</f>
        <v>4267374</v>
      </c>
      <c r="M66" s="9">
        <f t="shared" si="91"/>
        <v>7027577</v>
      </c>
      <c r="N66" s="9">
        <f t="shared" si="91"/>
        <v>0</v>
      </c>
      <c r="T66" s="9">
        <f t="shared" ref="T66" si="92">SUM(T53:T65)</f>
        <v>332074</v>
      </c>
      <c r="U66" s="9">
        <f t="shared" ref="U66" si="93">SUM(U53:U65)</f>
        <v>1152819</v>
      </c>
      <c r="V66" s="9">
        <f>SUM(V53:V65)</f>
        <v>2940322</v>
      </c>
      <c r="W66" s="8"/>
    </row>
    <row r="67" spans="1:23" s="8" customFormat="1" x14ac:dyDescent="0.3">
      <c r="A67"/>
      <c r="B67" s="8" t="s">
        <v>90</v>
      </c>
      <c r="C67" s="8">
        <f>16644+6172</f>
        <v>22816</v>
      </c>
      <c r="G67" s="8">
        <v>45494</v>
      </c>
      <c r="H67" s="8">
        <f>19900+120800</f>
        <v>140700</v>
      </c>
      <c r="I67" s="8">
        <f>23900+144600</f>
        <v>168500</v>
      </c>
      <c r="J67" s="8">
        <f>172272+4574+19691</f>
        <v>196537</v>
      </c>
      <c r="K67" s="8">
        <v>144115</v>
      </c>
      <c r="L67" s="8">
        <v>151874</v>
      </c>
      <c r="M67" s="8">
        <v>576268</v>
      </c>
      <c r="T67" s="8">
        <f>16644+6172</f>
        <v>22816</v>
      </c>
      <c r="U67" s="8">
        <v>45494</v>
      </c>
      <c r="V67" s="8">
        <v>144115</v>
      </c>
    </row>
    <row r="68" spans="1:23" s="8" customFormat="1" x14ac:dyDescent="0.3">
      <c r="A68"/>
      <c r="B68" s="8" t="s">
        <v>91</v>
      </c>
      <c r="C68" s="8">
        <v>192</v>
      </c>
      <c r="G68" s="8">
        <v>289</v>
      </c>
      <c r="H68" s="8">
        <v>400</v>
      </c>
      <c r="I68" s="8">
        <v>400</v>
      </c>
      <c r="J68" s="8">
        <v>363</v>
      </c>
      <c r="K68" s="8">
        <v>404</v>
      </c>
      <c r="L68" s="8">
        <v>400</v>
      </c>
      <c r="M68" s="8">
        <v>402</v>
      </c>
      <c r="T68" s="8">
        <v>192</v>
      </c>
      <c r="U68" s="8">
        <v>289</v>
      </c>
      <c r="V68" s="8">
        <v>404</v>
      </c>
    </row>
    <row r="69" spans="1:23" s="8" customFormat="1" x14ac:dyDescent="0.3">
      <c r="A69"/>
      <c r="B69" s="8" t="s">
        <v>274</v>
      </c>
      <c r="M69" s="8">
        <v>61854</v>
      </c>
    </row>
    <row r="70" spans="1:23" s="8" customFormat="1" x14ac:dyDescent="0.3">
      <c r="A70"/>
      <c r="B70" s="8" t="s">
        <v>76</v>
      </c>
      <c r="C70" s="8">
        <v>32</v>
      </c>
      <c r="G70" s="8">
        <v>1389</v>
      </c>
      <c r="H70" s="8">
        <v>2600</v>
      </c>
      <c r="I70" s="8">
        <v>1900</v>
      </c>
      <c r="J70" s="8">
        <v>1585</v>
      </c>
      <c r="K70" s="8">
        <v>0</v>
      </c>
      <c r="L70" s="8">
        <v>134</v>
      </c>
      <c r="M70" s="8">
        <v>752</v>
      </c>
      <c r="T70" s="8">
        <v>32</v>
      </c>
      <c r="U70" s="8">
        <v>1389</v>
      </c>
      <c r="V70" s="8">
        <v>0</v>
      </c>
    </row>
    <row r="71" spans="1:23" s="8" customFormat="1" x14ac:dyDescent="0.3">
      <c r="A71"/>
      <c r="B71" s="8" t="s">
        <v>77</v>
      </c>
      <c r="C71" s="8">
        <v>0</v>
      </c>
      <c r="G71" s="8">
        <v>2558</v>
      </c>
      <c r="H71" s="8">
        <v>2300</v>
      </c>
      <c r="I71" s="8">
        <v>2300</v>
      </c>
      <c r="J71" s="8">
        <v>1671</v>
      </c>
      <c r="K71" s="8">
        <v>884</v>
      </c>
      <c r="L71" s="8">
        <f>1107+22234</f>
        <v>23341</v>
      </c>
      <c r="M71" s="8">
        <v>6794</v>
      </c>
      <c r="T71" s="8">
        <v>0</v>
      </c>
      <c r="U71" s="8">
        <v>2558</v>
      </c>
      <c r="V71" s="8">
        <v>884</v>
      </c>
    </row>
    <row r="72" spans="1:23" s="8" customFormat="1" x14ac:dyDescent="0.3">
      <c r="A72"/>
      <c r="B72" s="8" t="s">
        <v>78</v>
      </c>
      <c r="C72" s="8">
        <v>961</v>
      </c>
      <c r="G72" s="8">
        <v>1342</v>
      </c>
      <c r="H72" s="8">
        <v>0</v>
      </c>
      <c r="I72" s="8">
        <v>67800</v>
      </c>
      <c r="J72" s="8">
        <f>6771+23700</f>
        <v>30471</v>
      </c>
      <c r="K72" s="8">
        <v>3945</v>
      </c>
      <c r="L72" s="8">
        <v>50230</v>
      </c>
      <c r="M72" s="8">
        <v>36061</v>
      </c>
      <c r="T72" s="8">
        <v>961</v>
      </c>
      <c r="U72" s="8">
        <v>1342</v>
      </c>
      <c r="V72" s="8">
        <v>3945</v>
      </c>
    </row>
    <row r="73" spans="1:23" s="8" customFormat="1" x14ac:dyDescent="0.3">
      <c r="A73"/>
      <c r="B73" s="8" t="s">
        <v>92</v>
      </c>
      <c r="C73" s="8">
        <v>1256</v>
      </c>
      <c r="G73" s="8">
        <v>1032</v>
      </c>
      <c r="H73" s="8">
        <v>2200</v>
      </c>
      <c r="I73" s="8">
        <v>1300</v>
      </c>
      <c r="J73" s="8">
        <v>1232</v>
      </c>
      <c r="K73" s="8">
        <v>1063</v>
      </c>
      <c r="L73" s="8">
        <v>1023</v>
      </c>
      <c r="M73" s="8">
        <v>936</v>
      </c>
      <c r="T73" s="8">
        <v>1256</v>
      </c>
      <c r="U73" s="8">
        <v>1032</v>
      </c>
      <c r="V73" s="8">
        <v>1063</v>
      </c>
    </row>
    <row r="74" spans="1:23" s="8" customFormat="1" x14ac:dyDescent="0.3">
      <c r="A74"/>
      <c r="B74" s="8" t="s">
        <v>275</v>
      </c>
      <c r="M74" s="8">
        <v>94060</v>
      </c>
    </row>
    <row r="75" spans="1:23" s="8" customFormat="1" x14ac:dyDescent="0.3">
      <c r="A75"/>
      <c r="B75" s="8" t="s">
        <v>79</v>
      </c>
      <c r="G75" s="8">
        <v>0</v>
      </c>
      <c r="H75" s="8">
        <v>0</v>
      </c>
      <c r="I75" s="8">
        <v>318200</v>
      </c>
      <c r="J75" s="8">
        <v>322480</v>
      </c>
      <c r="K75" s="8">
        <v>962765</v>
      </c>
      <c r="L75" s="8">
        <v>964209</v>
      </c>
      <c r="M75" s="8">
        <v>3685296</v>
      </c>
      <c r="U75" s="8">
        <v>0</v>
      </c>
      <c r="V75" s="8">
        <v>962765</v>
      </c>
    </row>
    <row r="76" spans="1:23" s="8" customFormat="1" x14ac:dyDescent="0.3">
      <c r="A76"/>
      <c r="B76" s="8" t="s">
        <v>276</v>
      </c>
      <c r="M76" s="8">
        <v>39831</v>
      </c>
    </row>
    <row r="77" spans="1:23" s="8" customFormat="1" x14ac:dyDescent="0.3">
      <c r="A77"/>
      <c r="B77" s="8" t="s">
        <v>80</v>
      </c>
      <c r="C77" s="8">
        <v>1365</v>
      </c>
      <c r="G77" s="8">
        <v>3125</v>
      </c>
      <c r="H77" s="8">
        <v>3200</v>
      </c>
      <c r="I77" s="8">
        <v>5300</v>
      </c>
      <c r="J77" s="8">
        <v>9645</v>
      </c>
      <c r="K77" s="8">
        <v>7971</v>
      </c>
      <c r="L77" s="8">
        <v>195411</v>
      </c>
      <c r="M77" s="8">
        <v>8055</v>
      </c>
      <c r="T77" s="8">
        <v>1365</v>
      </c>
      <c r="U77" s="8">
        <v>3125</v>
      </c>
      <c r="V77" s="8">
        <v>7971</v>
      </c>
    </row>
    <row r="78" spans="1:23" s="8" customFormat="1" x14ac:dyDescent="0.3">
      <c r="A78"/>
      <c r="B78" s="8" t="s">
        <v>81</v>
      </c>
      <c r="G78" s="8">
        <v>0</v>
      </c>
      <c r="H78" s="8">
        <v>0</v>
      </c>
      <c r="I78" s="8">
        <v>0</v>
      </c>
      <c r="J78" s="8">
        <v>0</v>
      </c>
      <c r="K78" s="8">
        <v>1454</v>
      </c>
      <c r="L78" s="8">
        <v>1957</v>
      </c>
      <c r="M78" s="8">
        <v>2292</v>
      </c>
      <c r="U78" s="8">
        <v>0</v>
      </c>
      <c r="V78" s="8">
        <v>1454</v>
      </c>
      <c r="W78" s="9"/>
    </row>
    <row r="79" spans="1:23" s="8" customFormat="1" x14ac:dyDescent="0.3">
      <c r="A79"/>
      <c r="B79" s="8" t="s">
        <v>82</v>
      </c>
      <c r="C79" s="8">
        <v>91</v>
      </c>
      <c r="G79" s="8">
        <v>117</v>
      </c>
      <c r="H79" s="8">
        <v>300</v>
      </c>
      <c r="I79" s="8">
        <v>100</v>
      </c>
      <c r="J79" s="8">
        <v>204</v>
      </c>
      <c r="K79" s="8">
        <v>234</v>
      </c>
      <c r="L79" s="8">
        <v>2628</v>
      </c>
      <c r="M79" s="8">
        <v>3783</v>
      </c>
      <c r="T79" s="8">
        <v>91</v>
      </c>
      <c r="U79" s="8">
        <v>117</v>
      </c>
      <c r="V79" s="8">
        <v>234</v>
      </c>
    </row>
    <row r="80" spans="1:23" s="9" customFormat="1" x14ac:dyDescent="0.3">
      <c r="A80" s="7"/>
      <c r="B80" s="9" t="s">
        <v>83</v>
      </c>
      <c r="C80" s="9">
        <f t="shared" ref="C80:J80" si="94">SUM(C67:C79)</f>
        <v>26713</v>
      </c>
      <c r="D80" s="9">
        <f t="shared" si="94"/>
        <v>0</v>
      </c>
      <c r="E80" s="9">
        <f t="shared" si="94"/>
        <v>0</v>
      </c>
      <c r="F80" s="9">
        <f t="shared" si="94"/>
        <v>0</v>
      </c>
      <c r="G80" s="9">
        <f t="shared" si="94"/>
        <v>55346</v>
      </c>
      <c r="H80" s="9">
        <f t="shared" si="94"/>
        <v>151700</v>
      </c>
      <c r="I80" s="9">
        <f t="shared" si="94"/>
        <v>565800</v>
      </c>
      <c r="J80" s="9">
        <f t="shared" si="94"/>
        <v>564188</v>
      </c>
      <c r="K80" s="9">
        <f>SUM(K67:K79)</f>
        <v>1122835</v>
      </c>
      <c r="L80" s="9">
        <f t="shared" ref="L80:N80" si="95">SUM(L67:L79)</f>
        <v>1391207</v>
      </c>
      <c r="M80" s="9">
        <f t="shared" si="95"/>
        <v>4516384</v>
      </c>
      <c r="N80" s="9">
        <f t="shared" si="95"/>
        <v>0</v>
      </c>
      <c r="T80" s="9">
        <f t="shared" ref="T80" si="96">SUM(T67:T79)</f>
        <v>26713</v>
      </c>
      <c r="U80" s="9">
        <f t="shared" ref="U80" si="97">SUM(U67:U79)</f>
        <v>55346</v>
      </c>
      <c r="V80" s="9">
        <f>SUM(V67:V79)</f>
        <v>1122835</v>
      </c>
    </row>
    <row r="81" spans="1:23" s="8" customFormat="1" x14ac:dyDescent="0.3">
      <c r="A81"/>
      <c r="B81" s="8" t="s">
        <v>94</v>
      </c>
      <c r="C81" s="8">
        <v>305361</v>
      </c>
      <c r="G81" s="8">
        <v>1097471</v>
      </c>
      <c r="H81" s="8">
        <v>1129500</v>
      </c>
      <c r="I81" s="8">
        <v>1286300</v>
      </c>
      <c r="J81" s="8">
        <v>1425567</v>
      </c>
      <c r="K81" s="8">
        <v>1817488</v>
      </c>
      <c r="L81" s="8">
        <v>2876167</v>
      </c>
      <c r="M81" s="8">
        <v>2511193</v>
      </c>
      <c r="T81" s="8">
        <v>305361</v>
      </c>
      <c r="U81" s="8">
        <v>1097471</v>
      </c>
      <c r="V81" s="8">
        <v>1817488</v>
      </c>
      <c r="W81"/>
    </row>
    <row r="82" spans="1:23" s="9" customFormat="1" x14ac:dyDescent="0.3">
      <c r="A82" s="7"/>
      <c r="B82" s="9" t="s">
        <v>93</v>
      </c>
      <c r="C82" s="9">
        <f t="shared" ref="C82:J82" si="98">C80+C81</f>
        <v>332074</v>
      </c>
      <c r="D82" s="9">
        <f t="shared" si="98"/>
        <v>0</v>
      </c>
      <c r="E82" s="9">
        <f t="shared" si="98"/>
        <v>0</v>
      </c>
      <c r="F82" s="9">
        <f t="shared" si="98"/>
        <v>0</v>
      </c>
      <c r="G82" s="9">
        <f t="shared" si="98"/>
        <v>1152817</v>
      </c>
      <c r="H82" s="9">
        <f t="shared" si="98"/>
        <v>1281200</v>
      </c>
      <c r="I82" s="9">
        <f t="shared" si="98"/>
        <v>1852100</v>
      </c>
      <c r="J82" s="9">
        <f t="shared" si="98"/>
        <v>1989755</v>
      </c>
      <c r="K82" s="9">
        <f>K80+K81</f>
        <v>2940323</v>
      </c>
      <c r="L82" s="9">
        <f t="shared" ref="L82:N82" si="99">L80+L81</f>
        <v>4267374</v>
      </c>
      <c r="M82" s="9">
        <f t="shared" si="99"/>
        <v>7027577</v>
      </c>
      <c r="N82" s="9">
        <f t="shared" si="99"/>
        <v>0</v>
      </c>
      <c r="T82" s="9">
        <f t="shared" ref="T82" si="100">T80+T81</f>
        <v>332074</v>
      </c>
      <c r="U82" s="9">
        <f t="shared" ref="U82" si="101">U80+U81</f>
        <v>1152817</v>
      </c>
      <c r="V82" s="9">
        <f>V80+V81</f>
        <v>2940323</v>
      </c>
      <c r="W82"/>
    </row>
    <row r="83" spans="1:23" s="9" customFormat="1" x14ac:dyDescent="0.3">
      <c r="A83" s="7"/>
      <c r="T83"/>
      <c r="U83"/>
      <c r="V83"/>
      <c r="W83"/>
    </row>
    <row r="84" spans="1:23" s="9" customFormat="1" x14ac:dyDescent="0.3">
      <c r="A84" s="7"/>
      <c r="T84"/>
      <c r="U84"/>
      <c r="V84"/>
      <c r="W84"/>
    </row>
    <row r="85" spans="1:23" s="10" customFormat="1" x14ac:dyDescent="0.3">
      <c r="B85" s="10" t="s">
        <v>259</v>
      </c>
      <c r="C85" s="10">
        <f t="shared" ref="C85:J85" si="102">(C53+C54+C55+C56+C57+C58+C59)/(C67+C68+C70+C71+C72)</f>
        <v>3.7177617599266699</v>
      </c>
      <c r="G85" s="10">
        <f t="shared" si="102"/>
        <v>8.8577890037593985</v>
      </c>
      <c r="H85" s="10">
        <f t="shared" si="102"/>
        <v>1.0876712328767124</v>
      </c>
      <c r="I85" s="10">
        <f t="shared" si="102"/>
        <v>2.1801577418015774</v>
      </c>
      <c r="J85" s="10">
        <f t="shared" si="102"/>
        <v>1.1096315695907244</v>
      </c>
      <c r="K85" s="10">
        <f>(K53+K54+K55+K56+K57+K58+K59)/(K67+K68+K70+K71+K72)</f>
        <v>4.2931475480086778</v>
      </c>
      <c r="L85" s="10">
        <f t="shared" ref="L85:N85" si="103">(L53+L54+L55+L56+L57+L58+L59)/(L67+L68+L70+L71+L72)</f>
        <v>4.9736479938401352</v>
      </c>
      <c r="M85" s="10">
        <f t="shared" si="103"/>
        <v>5.4546936288142236</v>
      </c>
      <c r="N85" s="10" t="e">
        <f t="shared" si="103"/>
        <v>#DIV/0!</v>
      </c>
      <c r="T85" s="10">
        <f t="shared" ref="T85:V85" si="104">(T53+T54+T55+T56+T57+T58+T59)/(T67+T68+T70+T71+T72)</f>
        <v>3.7177617599266699</v>
      </c>
      <c r="U85" s="10">
        <f t="shared" si="104"/>
        <v>8.8577890037593985</v>
      </c>
      <c r="V85" s="10">
        <f t="shared" si="104"/>
        <v>4.2931475480086778</v>
      </c>
    </row>
    <row r="86" spans="1:23" s="10" customFormat="1" x14ac:dyDescent="0.3">
      <c r="B86" s="10" t="s">
        <v>260</v>
      </c>
      <c r="C86" s="10">
        <f>C53/C66</f>
        <v>0.20746580581436669</v>
      </c>
      <c r="G86" s="10">
        <f t="shared" ref="G86:J86" si="105">G53/G66</f>
        <v>0.35096663049446619</v>
      </c>
      <c r="H86" s="10">
        <f t="shared" si="105"/>
        <v>7.6959100842959718E-2</v>
      </c>
      <c r="I86" s="10">
        <f t="shared" si="105"/>
        <v>0.24599103720101506</v>
      </c>
      <c r="J86" s="10">
        <f t="shared" si="105"/>
        <v>9.2641053798080672E-2</v>
      </c>
      <c r="K86" s="10">
        <f>K53/K66</f>
        <v>0.19199461827650169</v>
      </c>
      <c r="L86" s="10">
        <f t="shared" ref="L86:N86" si="106">L53/L66</f>
        <v>0.24189653871444125</v>
      </c>
      <c r="M86" s="10">
        <f t="shared" si="106"/>
        <v>0.46397058331769259</v>
      </c>
      <c r="N86" s="10" t="e">
        <f t="shared" si="106"/>
        <v>#DIV/0!</v>
      </c>
      <c r="T86" s="10">
        <f t="shared" ref="T86:V86" si="107">T53/T66</f>
        <v>0.20746580581436669</v>
      </c>
      <c r="U86" s="10">
        <f t="shared" si="107"/>
        <v>0.35096663049446619</v>
      </c>
      <c r="V86" s="10">
        <f t="shared" si="107"/>
        <v>0.19199461827650169</v>
      </c>
    </row>
    <row r="87" spans="1:23" s="10" customFormat="1" x14ac:dyDescent="0.3">
      <c r="B87" s="37" t="s">
        <v>261</v>
      </c>
      <c r="C87" s="10">
        <f>C80/C81</f>
        <v>8.7480064579301214E-2</v>
      </c>
      <c r="G87" s="10">
        <f>G80/G81</f>
        <v>5.0430489735036277E-2</v>
      </c>
      <c r="H87" s="10">
        <f t="shared" ref="H87:J87" si="108">H80/H81</f>
        <v>0.13430721558211597</v>
      </c>
      <c r="I87" s="10">
        <f t="shared" si="108"/>
        <v>0.43986628313768172</v>
      </c>
      <c r="J87" s="10">
        <f t="shared" si="108"/>
        <v>0.39576393112354591</v>
      </c>
      <c r="K87" s="10">
        <f>K80/K81</f>
        <v>0.61779500057221837</v>
      </c>
      <c r="L87" s="10">
        <f t="shared" ref="L87:N87" si="109">L80/L81</f>
        <v>0.48370174610862304</v>
      </c>
      <c r="M87" s="10">
        <f t="shared" si="109"/>
        <v>1.7985013497568685</v>
      </c>
      <c r="N87" s="10" t="e">
        <f t="shared" si="109"/>
        <v>#DIV/0!</v>
      </c>
      <c r="T87" s="10">
        <f t="shared" ref="T87:V87" si="110">T80/T81</f>
        <v>8.7480064579301214E-2</v>
      </c>
      <c r="U87" s="10">
        <f t="shared" si="110"/>
        <v>5.0430489735036277E-2</v>
      </c>
      <c r="V87" s="10">
        <f t="shared" si="110"/>
        <v>0.61779500057221837</v>
      </c>
    </row>
    <row r="88" spans="1:23" s="10" customFormat="1" x14ac:dyDescent="0.3">
      <c r="B88" s="37" t="s">
        <v>262</v>
      </c>
      <c r="C88" s="10">
        <f>C80/C66</f>
        <v>8.0442913326547696E-2</v>
      </c>
      <c r="G88" s="10">
        <f>G80/G66</f>
        <v>4.8009271186543592E-2</v>
      </c>
      <c r="H88" s="10">
        <f t="shared" ref="H88:J88" si="111">H80/H66</f>
        <v>0.11840462066812363</v>
      </c>
      <c r="I88" s="10">
        <f t="shared" si="111"/>
        <v>0.30549106419739752</v>
      </c>
      <c r="J88" s="10">
        <f t="shared" si="111"/>
        <v>0.28354646677606038</v>
      </c>
      <c r="K88" s="10">
        <f>K80/K66</f>
        <v>0.38187484227917895</v>
      </c>
      <c r="L88" s="10">
        <f t="shared" ref="L88:N88" si="112">L80/L66</f>
        <v>0.3260100942640603</v>
      </c>
      <c r="M88" s="10">
        <f t="shared" si="112"/>
        <v>0.64266588612262809</v>
      </c>
      <c r="N88" s="10" t="e">
        <f t="shared" si="112"/>
        <v>#DIV/0!</v>
      </c>
      <c r="T88" s="10">
        <f t="shared" ref="T88:V88" si="113">T80/T66</f>
        <v>8.0442913326547696E-2</v>
      </c>
      <c r="U88" s="10">
        <f t="shared" si="113"/>
        <v>4.8009271186543592E-2</v>
      </c>
      <c r="V88" s="10">
        <f t="shared" si="113"/>
        <v>0.38187484227917895</v>
      </c>
    </row>
    <row r="89" spans="1:23" s="10" customFormat="1" x14ac:dyDescent="0.3">
      <c r="B89" s="37" t="s">
        <v>263</v>
      </c>
      <c r="C89" s="10">
        <f>C81/C66</f>
        <v>0.91955708667345226</v>
      </c>
      <c r="G89" s="10">
        <f t="shared" ref="G89:J89" si="114">G81/G66</f>
        <v>0.95198899393573488</v>
      </c>
      <c r="H89" s="10">
        <f t="shared" si="114"/>
        <v>0.88159537933187637</v>
      </c>
      <c r="I89" s="10">
        <f t="shared" si="114"/>
        <v>0.69450893580260242</v>
      </c>
      <c r="J89" s="10">
        <f t="shared" si="114"/>
        <v>0.71645353322393968</v>
      </c>
      <c r="K89" s="10">
        <f>K81/K66</f>
        <v>0.61812549781962656</v>
      </c>
      <c r="L89" s="10">
        <f t="shared" ref="L89:N89" si="115">L81/L66</f>
        <v>0.67398990573593975</v>
      </c>
      <c r="M89" s="10">
        <f t="shared" si="115"/>
        <v>0.35733411387737196</v>
      </c>
      <c r="N89" s="10" t="e">
        <f t="shared" si="115"/>
        <v>#DIV/0!</v>
      </c>
      <c r="T89" s="10">
        <f t="shared" ref="T89:V89" si="116">T81/T66</f>
        <v>0.91955708667345226</v>
      </c>
      <c r="U89" s="10">
        <f t="shared" si="116"/>
        <v>0.95198899393573488</v>
      </c>
      <c r="V89" s="10">
        <f t="shared" si="116"/>
        <v>0.61812549781962656</v>
      </c>
    </row>
    <row r="90" spans="1:23" s="10" customFormat="1" x14ac:dyDescent="0.3">
      <c r="B90" s="37" t="s">
        <v>264</v>
      </c>
      <c r="C90" s="10">
        <f>(C60+C61+C62+C65)/C66</f>
        <v>0.73129483187482314</v>
      </c>
      <c r="G90" s="10">
        <f t="shared" ref="G90:J90" si="117">(G60+G61+G62+G65)/G66</f>
        <v>0.60758367098390986</v>
      </c>
      <c r="H90" s="10">
        <f t="shared" si="117"/>
        <v>0.87605369965657198</v>
      </c>
      <c r="I90" s="10">
        <f t="shared" si="117"/>
        <v>0.71642999838021704</v>
      </c>
      <c r="J90" s="10">
        <f t="shared" si="117"/>
        <v>0.85393779636186362</v>
      </c>
      <c r="K90" s="10">
        <f>(K60+K61+K62+K65)/K66</f>
        <v>0.66844107550125464</v>
      </c>
      <c r="L90" s="10">
        <f t="shared" ref="L90:N90" si="118">(L60+L61+L62+L65)/L66</f>
        <v>0.50326828630441112</v>
      </c>
      <c r="M90" s="10">
        <f t="shared" si="118"/>
        <v>0.4878574791852156</v>
      </c>
      <c r="N90" s="10" t="e">
        <f t="shared" si="118"/>
        <v>#DIV/0!</v>
      </c>
      <c r="T90" s="10">
        <f t="shared" ref="T90:V90" si="119">(T60+T61+T62+T65)/T66</f>
        <v>0.73129483187482314</v>
      </c>
      <c r="U90" s="10">
        <f t="shared" si="119"/>
        <v>0.60758367098390986</v>
      </c>
      <c r="V90" s="10">
        <f t="shared" si="119"/>
        <v>0.66844107550125464</v>
      </c>
    </row>
    <row r="91" spans="1:23" s="10" customFormat="1" x14ac:dyDescent="0.3">
      <c r="B91" s="2" t="s">
        <v>265</v>
      </c>
      <c r="C91" s="10">
        <f t="shared" ref="C91" si="120">C5/C66</f>
        <v>0</v>
      </c>
      <c r="G91" s="10">
        <f t="shared" ref="G91:J91" si="121">G5/G66</f>
        <v>0</v>
      </c>
      <c r="H91" s="10">
        <f t="shared" si="121"/>
        <v>4.1183265688417112E-2</v>
      </c>
      <c r="I91" s="10">
        <f t="shared" si="121"/>
        <v>6.2708817018519519E-2</v>
      </c>
      <c r="J91" s="10">
        <f t="shared" si="121"/>
        <v>7.2784337770227997E-2</v>
      </c>
      <c r="K91" s="10">
        <f>K5/K66</f>
        <v>6.3698125579443335E-2</v>
      </c>
      <c r="L91" s="10">
        <f t="shared" ref="L91:N91" si="122">L5/L66</f>
        <v>5.6309805515054455E-2</v>
      </c>
      <c r="M91" s="10">
        <f t="shared" si="122"/>
        <v>2.6281035412347671E-2</v>
      </c>
      <c r="N91" s="10" t="e">
        <f t="shared" si="122"/>
        <v>#DIV/0!</v>
      </c>
      <c r="T91" s="10">
        <f t="shared" ref="T91:V91" si="123">T5/T66</f>
        <v>0.22738606455187699</v>
      </c>
      <c r="U91" s="10">
        <f t="shared" si="123"/>
        <v>0.16237761521973529</v>
      </c>
      <c r="V91" s="10">
        <f t="shared" si="123"/>
        <v>0.17039732383051925</v>
      </c>
    </row>
    <row r="92" spans="1:23" s="10" customFormat="1" x14ac:dyDescent="0.3">
      <c r="B92" s="37"/>
    </row>
    <row r="95" spans="1:23" s="8" customFormat="1" x14ac:dyDescent="0.3">
      <c r="B95" s="8" t="s">
        <v>156</v>
      </c>
      <c r="C95" s="8">
        <f t="shared" ref="C95:J95" si="124">C28</f>
        <v>0</v>
      </c>
      <c r="D95" s="8">
        <f t="shared" si="124"/>
        <v>0</v>
      </c>
      <c r="E95" s="8">
        <f t="shared" si="124"/>
        <v>0</v>
      </c>
      <c r="F95" s="8">
        <f t="shared" si="124"/>
        <v>48000</v>
      </c>
      <c r="G95" s="8">
        <f t="shared" si="124"/>
        <v>0</v>
      </c>
      <c r="H95" s="8">
        <f t="shared" si="124"/>
        <v>-51700</v>
      </c>
      <c r="I95" s="8">
        <f t="shared" si="124"/>
        <v>-21893</v>
      </c>
      <c r="J95" s="8">
        <f t="shared" si="124"/>
        <v>-16332</v>
      </c>
      <c r="K95" s="8">
        <f>K28</f>
        <v>176868</v>
      </c>
      <c r="L95" s="8">
        <f t="shared" ref="L95:P95" si="125">L28</f>
        <v>384611</v>
      </c>
      <c r="M95" s="8">
        <f t="shared" si="125"/>
        <v>-155407</v>
      </c>
      <c r="N95" s="8">
        <f t="shared" si="125"/>
        <v>0</v>
      </c>
      <c r="O95" s="8">
        <f t="shared" si="125"/>
        <v>0</v>
      </c>
      <c r="P95" s="8">
        <f t="shared" si="125"/>
        <v>0</v>
      </c>
      <c r="T95" s="8">
        <f t="shared" ref="T95:V95" si="126">T28</f>
        <v>-175085</v>
      </c>
      <c r="U95" s="8">
        <f t="shared" si="126"/>
        <v>-28920</v>
      </c>
      <c r="V95" s="8">
        <f t="shared" si="126"/>
        <v>86940</v>
      </c>
    </row>
    <row r="96" spans="1:23" s="8" customFormat="1" x14ac:dyDescent="0.3">
      <c r="B96" s="8" t="s">
        <v>157</v>
      </c>
      <c r="H96" s="8">
        <v>-51703</v>
      </c>
      <c r="L96" s="8">
        <v>384611</v>
      </c>
      <c r="M96" s="8">
        <v>-155407</v>
      </c>
      <c r="T96" s="8">
        <v>-171827</v>
      </c>
      <c r="U96" s="8">
        <v>-28920</v>
      </c>
      <c r="V96" s="8">
        <v>86941</v>
      </c>
    </row>
    <row r="97" spans="2:22" s="8" customFormat="1" x14ac:dyDescent="0.3">
      <c r="B97" s="8" t="s">
        <v>60</v>
      </c>
      <c r="H97" s="8">
        <v>33931</v>
      </c>
      <c r="L97" s="8">
        <v>85226</v>
      </c>
      <c r="M97" s="8">
        <v>99176</v>
      </c>
      <c r="T97" s="8">
        <v>30673</v>
      </c>
      <c r="U97" s="8">
        <v>50470</v>
      </c>
      <c r="V97" s="8">
        <v>181136</v>
      </c>
    </row>
    <row r="98" spans="2:22" s="8" customFormat="1" x14ac:dyDescent="0.3">
      <c r="B98" s="8" t="s">
        <v>47</v>
      </c>
      <c r="H98" s="8">
        <v>6942</v>
      </c>
      <c r="L98" s="8">
        <v>16257</v>
      </c>
      <c r="M98" s="8">
        <v>31755</v>
      </c>
      <c r="T98" s="8">
        <v>105172</v>
      </c>
      <c r="U98" s="8" t="s">
        <v>62</v>
      </c>
      <c r="V98" s="8">
        <v>7223</v>
      </c>
    </row>
    <row r="99" spans="2:22" s="8" customFormat="1" x14ac:dyDescent="0.3">
      <c r="B99" s="8" t="s">
        <v>130</v>
      </c>
      <c r="H99" s="8">
        <v>2582</v>
      </c>
      <c r="M99" s="8">
        <v>6449</v>
      </c>
      <c r="T99" s="8" t="s">
        <v>62</v>
      </c>
      <c r="U99" s="8" t="s">
        <v>62</v>
      </c>
      <c r="V99" s="8">
        <v>2160</v>
      </c>
    </row>
    <row r="100" spans="2:22" s="8" customFormat="1" x14ac:dyDescent="0.3">
      <c r="B100" s="8" t="s">
        <v>57</v>
      </c>
      <c r="H100" s="40"/>
      <c r="I100" s="40"/>
      <c r="J100" s="40"/>
      <c r="K100" s="40"/>
      <c r="L100" s="40"/>
      <c r="M100" s="8">
        <v>0</v>
      </c>
      <c r="T100" s="8" t="s">
        <v>62</v>
      </c>
      <c r="U100" s="8">
        <v>-108</v>
      </c>
      <c r="V100" s="8" t="s">
        <v>62</v>
      </c>
    </row>
    <row r="101" spans="2:22" s="8" customFormat="1" x14ac:dyDescent="0.3">
      <c r="B101" s="8" t="s">
        <v>131</v>
      </c>
      <c r="H101" s="8">
        <v>4215</v>
      </c>
      <c r="L101" s="8">
        <v>5756</v>
      </c>
      <c r="M101" s="8">
        <v>2910</v>
      </c>
      <c r="T101" s="8" t="s">
        <v>62</v>
      </c>
      <c r="U101" s="8">
        <v>-4121</v>
      </c>
      <c r="V101" s="8">
        <v>4215</v>
      </c>
    </row>
    <row r="102" spans="2:22" s="8" customFormat="1" x14ac:dyDescent="0.3">
      <c r="B102" s="8" t="s">
        <v>132</v>
      </c>
      <c r="L102" s="8">
        <v>-664993</v>
      </c>
      <c r="M102" s="8">
        <v>107351</v>
      </c>
      <c r="T102" s="8" t="s">
        <v>62</v>
      </c>
      <c r="U102" s="8">
        <v>3448</v>
      </c>
      <c r="V102" s="8">
        <v>-77518</v>
      </c>
    </row>
    <row r="103" spans="2:22" s="8" customFormat="1" x14ac:dyDescent="0.3">
      <c r="B103" s="8" t="s">
        <v>277</v>
      </c>
      <c r="M103" s="8">
        <v>111799</v>
      </c>
    </row>
    <row r="104" spans="2:22" s="8" customFormat="1" x14ac:dyDescent="0.3">
      <c r="B104" s="8" t="s">
        <v>133</v>
      </c>
      <c r="H104" s="8">
        <v>1724</v>
      </c>
      <c r="M104" s="8">
        <v>0</v>
      </c>
      <c r="T104" s="8">
        <v>-3137</v>
      </c>
      <c r="U104" s="8" t="s">
        <v>62</v>
      </c>
      <c r="V104" s="8">
        <v>11811</v>
      </c>
    </row>
    <row r="105" spans="2:22" s="8" customFormat="1" x14ac:dyDescent="0.3">
      <c r="B105" s="8" t="s">
        <v>134</v>
      </c>
      <c r="H105" s="40"/>
      <c r="I105" s="40"/>
      <c r="J105" s="40"/>
      <c r="K105" s="40"/>
      <c r="L105" s="40"/>
      <c r="M105" s="8">
        <v>0</v>
      </c>
      <c r="T105" s="8" t="s">
        <v>62</v>
      </c>
      <c r="U105" s="8" t="s">
        <v>62</v>
      </c>
      <c r="V105" s="8">
        <v>586</v>
      </c>
    </row>
    <row r="106" spans="2:22" s="8" customFormat="1" x14ac:dyDescent="0.3">
      <c r="B106" s="8" t="s">
        <v>135</v>
      </c>
      <c r="H106" s="40"/>
      <c r="I106" s="40"/>
      <c r="J106" s="40"/>
      <c r="K106" s="40"/>
      <c r="L106" s="40"/>
      <c r="M106" s="8">
        <v>0</v>
      </c>
      <c r="T106" s="8">
        <v>-3258</v>
      </c>
      <c r="U106" s="8" t="s">
        <v>62</v>
      </c>
      <c r="V106" s="8" t="s">
        <v>62</v>
      </c>
    </row>
    <row r="107" spans="2:22" s="8" customFormat="1" x14ac:dyDescent="0.3">
      <c r="B107" s="8" t="s">
        <v>136</v>
      </c>
      <c r="H107" s="8">
        <v>-833</v>
      </c>
      <c r="L107" s="8">
        <v>13</v>
      </c>
      <c r="M107" s="8">
        <v>-7</v>
      </c>
      <c r="T107" s="8">
        <v>6628</v>
      </c>
      <c r="U107" s="8">
        <v>-43</v>
      </c>
      <c r="V107" s="8">
        <v>-4002</v>
      </c>
    </row>
    <row r="108" spans="2:22" s="8" customFormat="1" x14ac:dyDescent="0.3">
      <c r="B108" s="8" t="s">
        <v>137</v>
      </c>
      <c r="H108" s="8">
        <v>-1190</v>
      </c>
      <c r="L108" s="8">
        <v>2201</v>
      </c>
      <c r="M108" s="8">
        <v>5513</v>
      </c>
      <c r="T108" s="8">
        <v>5199</v>
      </c>
      <c r="U108" s="8">
        <v>-3507</v>
      </c>
      <c r="V108" s="8">
        <v>3821</v>
      </c>
    </row>
    <row r="109" spans="2:22" s="8" customFormat="1" x14ac:dyDescent="0.3">
      <c r="B109" s="8" t="s">
        <v>55</v>
      </c>
      <c r="H109" s="40"/>
      <c r="I109" s="40"/>
      <c r="J109" s="40"/>
      <c r="K109" s="40"/>
      <c r="L109" s="40"/>
      <c r="M109" s="8">
        <v>0</v>
      </c>
      <c r="T109" s="8" t="s">
        <v>62</v>
      </c>
      <c r="U109" s="8" t="s">
        <v>62</v>
      </c>
      <c r="V109" s="8">
        <v>-9093</v>
      </c>
    </row>
    <row r="110" spans="2:22" s="8" customFormat="1" x14ac:dyDescent="0.3">
      <c r="B110" s="8" t="s">
        <v>138</v>
      </c>
      <c r="H110" s="40"/>
      <c r="I110" s="40"/>
      <c r="J110" s="40"/>
      <c r="K110" s="40"/>
      <c r="L110" s="40"/>
      <c r="M110" s="8">
        <v>0</v>
      </c>
      <c r="T110" s="8">
        <v>11223</v>
      </c>
      <c r="U110" s="8" t="s">
        <v>62</v>
      </c>
      <c r="V110" s="8" t="s">
        <v>62</v>
      </c>
    </row>
    <row r="111" spans="2:22" s="8" customFormat="1" x14ac:dyDescent="0.3">
      <c r="B111" s="8" t="s">
        <v>139</v>
      </c>
      <c r="L111" s="8">
        <v>1340</v>
      </c>
      <c r="M111" s="8">
        <v>2041</v>
      </c>
      <c r="T111" s="8" t="s">
        <v>62</v>
      </c>
      <c r="U111" s="8" t="s">
        <v>62</v>
      </c>
      <c r="V111" s="8">
        <v>1400</v>
      </c>
    </row>
    <row r="112" spans="2:22" s="8" customFormat="1" x14ac:dyDescent="0.3">
      <c r="B112" s="8" t="s">
        <v>140</v>
      </c>
      <c r="H112" s="40"/>
      <c r="I112" s="40"/>
      <c r="J112" s="40"/>
      <c r="K112" s="40"/>
      <c r="L112" s="40"/>
      <c r="M112" s="8">
        <v>0</v>
      </c>
      <c r="T112" s="8">
        <v>1038</v>
      </c>
      <c r="U112" s="8" t="s">
        <v>62</v>
      </c>
      <c r="V112" s="8" t="s">
        <v>62</v>
      </c>
    </row>
    <row r="113" spans="2:22" s="8" customFormat="1" x14ac:dyDescent="0.3">
      <c r="B113" s="8" t="s">
        <v>141</v>
      </c>
      <c r="H113" s="8">
        <v>8184</v>
      </c>
      <c r="L113" s="8">
        <v>72405</v>
      </c>
      <c r="M113" s="8">
        <v>58231</v>
      </c>
      <c r="T113" s="8">
        <v>14356</v>
      </c>
      <c r="U113" s="8">
        <v>23636</v>
      </c>
      <c r="V113" s="8">
        <v>42642</v>
      </c>
    </row>
    <row r="114" spans="2:22" s="8" customFormat="1" x14ac:dyDescent="0.3">
      <c r="B114" s="8" t="s">
        <v>142</v>
      </c>
      <c r="H114" s="40"/>
      <c r="I114" s="40"/>
      <c r="J114" s="40"/>
      <c r="K114" s="40"/>
      <c r="L114" s="40"/>
      <c r="M114" s="8">
        <v>0</v>
      </c>
    </row>
    <row r="115" spans="2:22" s="8" customFormat="1" x14ac:dyDescent="0.3">
      <c r="B115" s="8" t="s">
        <v>143</v>
      </c>
      <c r="H115" s="8">
        <v>-11115</v>
      </c>
      <c r="L115" s="8">
        <v>-13090</v>
      </c>
      <c r="M115" s="8">
        <v>-11908</v>
      </c>
      <c r="T115" s="8">
        <v>17641</v>
      </c>
      <c r="U115" s="8">
        <v>-5588</v>
      </c>
      <c r="V115" s="8">
        <v>-9656</v>
      </c>
    </row>
    <row r="116" spans="2:22" s="8" customFormat="1" x14ac:dyDescent="0.3">
      <c r="B116" s="8" t="s">
        <v>144</v>
      </c>
      <c r="H116" s="8">
        <v>-154</v>
      </c>
      <c r="L116" s="8">
        <v>169</v>
      </c>
      <c r="M116" s="8">
        <v>35</v>
      </c>
      <c r="T116" s="8" t="s">
        <v>62</v>
      </c>
      <c r="U116" s="8" t="s">
        <v>62</v>
      </c>
      <c r="V116" s="8">
        <v>6530</v>
      </c>
    </row>
    <row r="117" spans="2:22" s="8" customFormat="1" x14ac:dyDescent="0.3">
      <c r="B117" s="8" t="s">
        <v>75</v>
      </c>
      <c r="H117" s="8">
        <v>6530</v>
      </c>
      <c r="M117" s="8">
        <v>-9016</v>
      </c>
      <c r="T117" s="8">
        <v>-2097</v>
      </c>
      <c r="U117" s="8">
        <v>10072</v>
      </c>
      <c r="V117" s="8">
        <v>16689</v>
      </c>
    </row>
    <row r="118" spans="2:22" s="8" customFormat="1" x14ac:dyDescent="0.3">
      <c r="B118" s="8" t="s">
        <v>145</v>
      </c>
      <c r="L118" s="8">
        <v>2581</v>
      </c>
      <c r="M118" s="8">
        <v>-2581</v>
      </c>
      <c r="T118" s="8" t="s">
        <v>62</v>
      </c>
      <c r="U118" s="8" t="s">
        <v>62</v>
      </c>
      <c r="V118" s="8">
        <v>-2581</v>
      </c>
    </row>
    <row r="119" spans="2:22" s="8" customFormat="1" x14ac:dyDescent="0.3">
      <c r="B119" s="8" t="s">
        <v>146</v>
      </c>
      <c r="H119" s="8">
        <v>1322</v>
      </c>
      <c r="L119" s="8">
        <v>187943</v>
      </c>
      <c r="M119" s="8">
        <v>-180297</v>
      </c>
      <c r="T119" s="8">
        <v>2231</v>
      </c>
      <c r="U119" s="8">
        <v>1357</v>
      </c>
      <c r="V119" s="8">
        <v>4911</v>
      </c>
    </row>
    <row r="120" spans="2:22" s="8" customFormat="1" x14ac:dyDescent="0.3">
      <c r="B120" s="8" t="s">
        <v>147</v>
      </c>
      <c r="H120" s="8">
        <f>45029+2380</f>
        <v>47409</v>
      </c>
      <c r="L120" s="8">
        <f>3489+48679</f>
        <v>52168</v>
      </c>
      <c r="M120" s="8">
        <v>-16503</v>
      </c>
      <c r="T120" s="8">
        <v>-1175</v>
      </c>
      <c r="U120" s="8">
        <v>409</v>
      </c>
      <c r="V120" s="8">
        <v>2718</v>
      </c>
    </row>
    <row r="121" spans="2:22" s="8" customFormat="1" x14ac:dyDescent="0.3">
      <c r="B121" s="8" t="s">
        <v>77</v>
      </c>
      <c r="H121" s="8">
        <v>-209</v>
      </c>
      <c r="L121" s="8">
        <v>22457</v>
      </c>
      <c r="M121" s="8">
        <v>23284</v>
      </c>
      <c r="T121" s="8" t="s">
        <v>62</v>
      </c>
      <c r="U121" s="8">
        <v>2558</v>
      </c>
      <c r="V121" s="8">
        <v>-1674</v>
      </c>
    </row>
    <row r="122" spans="2:22" s="8" customFormat="1" x14ac:dyDescent="0.3">
      <c r="B122" s="8" t="s">
        <v>148</v>
      </c>
      <c r="H122" s="8">
        <v>-52468</v>
      </c>
      <c r="L122" s="8">
        <v>-12647</v>
      </c>
      <c r="M122" s="8">
        <v>-1089</v>
      </c>
      <c r="T122" s="8">
        <v>-6617</v>
      </c>
      <c r="U122" s="8">
        <v>2940</v>
      </c>
      <c r="V122" s="8">
        <v>-22227</v>
      </c>
    </row>
    <row r="123" spans="2:22" s="8" customFormat="1" x14ac:dyDescent="0.3">
      <c r="B123" s="8" t="s">
        <v>149</v>
      </c>
      <c r="H123" s="8">
        <v>918</v>
      </c>
      <c r="L123" s="8">
        <v>-44</v>
      </c>
      <c r="M123" s="8">
        <v>-85</v>
      </c>
      <c r="T123" s="8">
        <v>-321</v>
      </c>
      <c r="U123" s="8">
        <v>-384</v>
      </c>
      <c r="V123" s="8">
        <v>-146</v>
      </c>
    </row>
    <row r="124" spans="2:22" s="9" customFormat="1" x14ac:dyDescent="0.3">
      <c r="B124" s="9" t="s">
        <v>126</v>
      </c>
      <c r="H124" s="9">
        <f t="shared" ref="H124:K124" si="127">SUM(H96:H123)</f>
        <v>-3915</v>
      </c>
      <c r="I124" s="9">
        <f t="shared" si="127"/>
        <v>0</v>
      </c>
      <c r="J124" s="9">
        <f t="shared" si="127"/>
        <v>0</v>
      </c>
      <c r="K124" s="9">
        <f t="shared" si="127"/>
        <v>0</v>
      </c>
      <c r="L124" s="9">
        <f>SUM(L96:L123)</f>
        <v>142353</v>
      </c>
      <c r="M124" s="9">
        <f t="shared" ref="M124:O124" si="128">SUM(M96:M123)</f>
        <v>71651</v>
      </c>
      <c r="N124" s="9">
        <f t="shared" si="128"/>
        <v>0</v>
      </c>
      <c r="O124" s="9">
        <f t="shared" si="128"/>
        <v>0</v>
      </c>
      <c r="Q124" s="8"/>
      <c r="T124" s="9">
        <f>SUM(T96:T123)</f>
        <v>5729</v>
      </c>
      <c r="U124" s="9">
        <f>SUM(U96:U123)</f>
        <v>52219</v>
      </c>
      <c r="V124" s="9">
        <f>SUM(V96:V123)</f>
        <v>245886</v>
      </c>
    </row>
    <row r="125" spans="2:22" s="8" customFormat="1" x14ac:dyDescent="0.3">
      <c r="B125" s="8" t="s">
        <v>272</v>
      </c>
      <c r="H125" s="8">
        <v>-105831</v>
      </c>
      <c r="L125" s="8">
        <v>-180307</v>
      </c>
      <c r="M125" s="8">
        <v>-539694</v>
      </c>
      <c r="T125" s="8">
        <v>-116064</v>
      </c>
      <c r="U125" s="8">
        <v>-141855</v>
      </c>
      <c r="V125" s="8">
        <v>-573456</v>
      </c>
    </row>
    <row r="126" spans="2:22" s="8" customFormat="1" x14ac:dyDescent="0.3">
      <c r="B126" s="8" t="s">
        <v>150</v>
      </c>
      <c r="H126" s="8">
        <v>-277558</v>
      </c>
      <c r="L126" s="8">
        <v>-100304</v>
      </c>
      <c r="M126" s="8">
        <v>-179404</v>
      </c>
      <c r="T126" s="8" t="s">
        <v>62</v>
      </c>
      <c r="U126" s="8">
        <v>-338054</v>
      </c>
      <c r="V126" s="8">
        <v>-799171</v>
      </c>
    </row>
    <row r="127" spans="2:22" s="8" customFormat="1" x14ac:dyDescent="0.3">
      <c r="B127" s="8" t="s">
        <v>151</v>
      </c>
      <c r="H127" s="40"/>
      <c r="I127" s="40"/>
      <c r="J127" s="40"/>
      <c r="K127" s="40"/>
      <c r="L127" s="40"/>
      <c r="M127" s="8">
        <v>0</v>
      </c>
      <c r="T127" s="8">
        <v>2291</v>
      </c>
      <c r="U127" s="8" t="s">
        <v>62</v>
      </c>
      <c r="V127" s="8" t="s">
        <v>62</v>
      </c>
    </row>
    <row r="128" spans="2:22" s="8" customFormat="1" x14ac:dyDescent="0.3">
      <c r="B128" s="8" t="s">
        <v>152</v>
      </c>
      <c r="H128" s="8">
        <v>-4257</v>
      </c>
      <c r="L128" s="8">
        <v>-266</v>
      </c>
      <c r="M128" s="8">
        <v>-121669</v>
      </c>
      <c r="T128" s="8">
        <v>-7363</v>
      </c>
      <c r="U128" s="8">
        <v>-18600</v>
      </c>
      <c r="V128" s="8">
        <v>-19502</v>
      </c>
    </row>
    <row r="129" spans="2:22" s="8" customFormat="1" x14ac:dyDescent="0.3">
      <c r="B129" s="8" t="s">
        <v>153</v>
      </c>
      <c r="H129" s="8">
        <v>509</v>
      </c>
      <c r="M129" s="8">
        <v>0</v>
      </c>
      <c r="T129" s="8">
        <v>32488</v>
      </c>
      <c r="U129" s="8">
        <v>43</v>
      </c>
      <c r="V129" s="8">
        <v>11172</v>
      </c>
    </row>
    <row r="130" spans="2:22" s="8" customFormat="1" x14ac:dyDescent="0.3">
      <c r="B130" s="8" t="s">
        <v>154</v>
      </c>
      <c r="H130" s="40"/>
      <c r="I130" s="40"/>
      <c r="J130" s="40"/>
      <c r="K130" s="40"/>
      <c r="L130" s="40"/>
      <c r="M130" s="8">
        <v>0</v>
      </c>
      <c r="T130" s="8">
        <v>-1214</v>
      </c>
      <c r="U130" s="8" t="s">
        <v>62</v>
      </c>
      <c r="V130" s="8" t="s">
        <v>62</v>
      </c>
    </row>
    <row r="131" spans="2:22" s="8" customFormat="1" x14ac:dyDescent="0.3">
      <c r="B131" s="8" t="s">
        <v>155</v>
      </c>
      <c r="H131" s="40"/>
      <c r="I131" s="40"/>
      <c r="J131" s="40"/>
      <c r="K131" s="40"/>
      <c r="L131" s="40"/>
      <c r="M131" s="8">
        <v>-10184</v>
      </c>
      <c r="T131" s="8">
        <v>18395</v>
      </c>
      <c r="U131" s="8" t="s">
        <v>62</v>
      </c>
      <c r="V131" s="8">
        <v>470</v>
      </c>
    </row>
    <row r="132" spans="2:22" s="9" customFormat="1" x14ac:dyDescent="0.3">
      <c r="B132" s="9" t="s">
        <v>127</v>
      </c>
      <c r="H132" s="9">
        <f t="shared" ref="H132:O132" si="129">SUM(H125:H131)</f>
        <v>-387137</v>
      </c>
      <c r="I132" s="9">
        <f t="shared" si="129"/>
        <v>0</v>
      </c>
      <c r="J132" s="9">
        <f t="shared" si="129"/>
        <v>0</v>
      </c>
      <c r="K132" s="9">
        <f t="shared" si="129"/>
        <v>0</v>
      </c>
      <c r="L132" s="9">
        <f t="shared" si="129"/>
        <v>-280877</v>
      </c>
      <c r="M132" s="9">
        <f t="shared" si="129"/>
        <v>-850951</v>
      </c>
      <c r="N132" s="9">
        <f t="shared" si="129"/>
        <v>0</v>
      </c>
      <c r="O132" s="9">
        <f t="shared" si="129"/>
        <v>0</v>
      </c>
      <c r="Q132" s="8"/>
      <c r="T132" s="9">
        <f t="shared" ref="T132:U132" si="130">SUM(T125:T131)</f>
        <v>-71467</v>
      </c>
      <c r="U132" s="9">
        <f t="shared" si="130"/>
        <v>-498466</v>
      </c>
      <c r="V132" s="9">
        <f>SUM(V125:V131)</f>
        <v>-1380487</v>
      </c>
    </row>
    <row r="133" spans="2:22" s="8" customFormat="1" x14ac:dyDescent="0.3">
      <c r="B133" s="8" t="s">
        <v>158</v>
      </c>
      <c r="H133" s="40"/>
      <c r="I133" s="40"/>
      <c r="J133" s="40"/>
      <c r="K133" s="40"/>
      <c r="L133" s="40"/>
      <c r="M133" s="8">
        <v>0</v>
      </c>
      <c r="T133" s="8">
        <v>-1012</v>
      </c>
      <c r="U133" s="8">
        <v>-213</v>
      </c>
      <c r="V133" s="8" t="s">
        <v>62</v>
      </c>
    </row>
    <row r="134" spans="2:22" s="8" customFormat="1" x14ac:dyDescent="0.3">
      <c r="B134" s="8" t="s">
        <v>159</v>
      </c>
      <c r="H134" s="8">
        <v>-102</v>
      </c>
      <c r="L134" s="8">
        <v>-18495</v>
      </c>
      <c r="M134" s="8">
        <v>0</v>
      </c>
      <c r="T134" s="8" t="s">
        <v>62</v>
      </c>
      <c r="U134" s="8">
        <v>-733</v>
      </c>
      <c r="V134" s="8">
        <v>-1069</v>
      </c>
    </row>
    <row r="135" spans="2:22" s="8" customFormat="1" x14ac:dyDescent="0.3">
      <c r="B135" s="8" t="s">
        <v>160</v>
      </c>
      <c r="H135" s="40"/>
      <c r="I135" s="40"/>
      <c r="J135" s="40"/>
      <c r="K135" s="40"/>
      <c r="L135" s="40"/>
      <c r="M135" s="8">
        <v>-1623484</v>
      </c>
      <c r="T135" s="8">
        <v>-9432</v>
      </c>
      <c r="U135" s="8" t="s">
        <v>62</v>
      </c>
      <c r="V135" s="8" t="s">
        <v>62</v>
      </c>
    </row>
    <row r="136" spans="2:22" s="8" customFormat="1" x14ac:dyDescent="0.3">
      <c r="B136" s="8" t="s">
        <v>161</v>
      </c>
      <c r="H136" s="8">
        <v>816</v>
      </c>
      <c r="L136" s="8">
        <v>557</v>
      </c>
      <c r="M136" s="8">
        <v>6698</v>
      </c>
      <c r="T136" s="8" t="s">
        <v>62</v>
      </c>
      <c r="U136" s="8">
        <v>503</v>
      </c>
      <c r="V136" s="8">
        <v>876</v>
      </c>
    </row>
    <row r="137" spans="2:22" s="8" customFormat="1" x14ac:dyDescent="0.3">
      <c r="B137" s="8" t="s">
        <v>162</v>
      </c>
      <c r="L137" s="8">
        <v>6597</v>
      </c>
      <c r="M137" s="8">
        <v>3292958</v>
      </c>
      <c r="T137" s="8" t="s">
        <v>62</v>
      </c>
      <c r="U137" s="8" t="s">
        <v>62</v>
      </c>
      <c r="V137" s="8">
        <v>701211</v>
      </c>
    </row>
    <row r="138" spans="2:22" s="8" customFormat="1" x14ac:dyDescent="0.3">
      <c r="B138" s="8" t="s">
        <v>163</v>
      </c>
      <c r="L138" s="8">
        <v>-877</v>
      </c>
      <c r="M138" s="8">
        <v>-301001</v>
      </c>
      <c r="T138" s="8">
        <v>-250</v>
      </c>
      <c r="U138" s="8" t="s">
        <v>62</v>
      </c>
      <c r="V138" s="8">
        <v>-8088</v>
      </c>
    </row>
    <row r="139" spans="2:22" s="8" customFormat="1" x14ac:dyDescent="0.3">
      <c r="B139" s="8" t="s">
        <v>164</v>
      </c>
      <c r="H139" s="40"/>
      <c r="I139" s="40"/>
      <c r="J139" s="40"/>
      <c r="K139" s="40"/>
      <c r="L139" s="40"/>
      <c r="M139" s="8">
        <v>0</v>
      </c>
      <c r="T139" s="8">
        <v>39252</v>
      </c>
      <c r="U139" s="8">
        <v>51352</v>
      </c>
      <c r="V139" s="8" t="s">
        <v>62</v>
      </c>
    </row>
    <row r="140" spans="2:22" s="8" customFormat="1" x14ac:dyDescent="0.3">
      <c r="B140" s="8" t="s">
        <v>165</v>
      </c>
      <c r="H140" s="8">
        <v>83955</v>
      </c>
      <c r="L140" s="8">
        <v>618355</v>
      </c>
      <c r="M140" s="8">
        <v>1632427</v>
      </c>
      <c r="T140" s="8" t="s">
        <v>62</v>
      </c>
      <c r="U140" s="8">
        <v>731717</v>
      </c>
      <c r="V140" s="8">
        <v>601805</v>
      </c>
    </row>
    <row r="141" spans="2:22" s="9" customFormat="1" x14ac:dyDescent="0.3">
      <c r="B141" s="9" t="s">
        <v>128</v>
      </c>
      <c r="H141" s="9">
        <f>SUM(H133:H140)</f>
        <v>84669</v>
      </c>
      <c r="I141" s="9">
        <f>SUM(I133:I140)</f>
        <v>0</v>
      </c>
      <c r="J141" s="9">
        <f>SUM(J133:J140)</f>
        <v>0</v>
      </c>
      <c r="K141" s="9">
        <f>SUM(K133:K140)</f>
        <v>0</v>
      </c>
      <c r="L141" s="9">
        <f>SUM(L133:L140)</f>
        <v>606137</v>
      </c>
      <c r="M141" s="9">
        <f>SUM(M133:M140)</f>
        <v>3007598</v>
      </c>
      <c r="N141" s="9">
        <f>SUM(N133:N140)</f>
        <v>0</v>
      </c>
      <c r="O141" s="9">
        <f>SUM(O133:O140)</f>
        <v>0</v>
      </c>
      <c r="Q141" s="8"/>
      <c r="T141" s="9">
        <f>SUM(T133:T140)</f>
        <v>28558</v>
      </c>
      <c r="U141" s="9">
        <f>SUM(U133:U140)</f>
        <v>782626</v>
      </c>
      <c r="V141" s="9">
        <f>SUM(V133:V140)</f>
        <v>1294735</v>
      </c>
    </row>
    <row r="142" spans="2:22" s="9" customFormat="1" x14ac:dyDescent="0.3">
      <c r="B142" s="9" t="s">
        <v>129</v>
      </c>
      <c r="H142" s="9">
        <f>H124+H132+H141</f>
        <v>-306383</v>
      </c>
      <c r="I142" s="9">
        <f>I124+I132+I141</f>
        <v>0</v>
      </c>
      <c r="J142" s="9">
        <f>J124+J132+J141</f>
        <v>0</v>
      </c>
      <c r="K142" s="9">
        <f>K124+K132+K141</f>
        <v>0</v>
      </c>
      <c r="L142" s="9">
        <f>L124+L132+L141</f>
        <v>467613</v>
      </c>
      <c r="M142" s="9">
        <f>M124+M132+M141</f>
        <v>2228298</v>
      </c>
      <c r="N142" s="9">
        <f>N124+N132+N141</f>
        <v>0</v>
      </c>
      <c r="O142" s="9">
        <f>O124+O132+O141</f>
        <v>0</v>
      </c>
      <c r="S142" s="9">
        <v>75480</v>
      </c>
      <c r="T142" s="9">
        <f>T124+T132+T141</f>
        <v>-37180</v>
      </c>
      <c r="U142" s="9">
        <f>U124+U132+U141</f>
        <v>336379</v>
      </c>
      <c r="V142" s="9">
        <f>V124+V132+V141</f>
        <v>160134</v>
      </c>
    </row>
    <row r="144" spans="2:22" x14ac:dyDescent="0.3">
      <c r="B144" s="8" t="s">
        <v>166</v>
      </c>
      <c r="H144" s="8">
        <f>H124+H125</f>
        <v>-109746</v>
      </c>
      <c r="I144" s="8">
        <f>I124+I125</f>
        <v>0</v>
      </c>
      <c r="J144" s="8">
        <f>J124+J125</f>
        <v>0</v>
      </c>
      <c r="K144" s="8">
        <f>K124+K125</f>
        <v>0</v>
      </c>
      <c r="L144" s="8">
        <f>L124+L125</f>
        <v>-37954</v>
      </c>
      <c r="M144" s="8">
        <f>M124+M125</f>
        <v>-468043</v>
      </c>
      <c r="N144" s="8">
        <f>N124+N125</f>
        <v>0</v>
      </c>
      <c r="O144" s="8">
        <f>O124+O125</f>
        <v>0</v>
      </c>
      <c r="T144" s="8">
        <f>T124+T125</f>
        <v>-110335</v>
      </c>
      <c r="U144" s="8">
        <f>U124+U125</f>
        <v>-89636</v>
      </c>
      <c r="V144" s="8">
        <f>V124+V125</f>
        <v>-327570</v>
      </c>
    </row>
    <row r="145" spans="2:23" s="12" customFormat="1" x14ac:dyDescent="0.3">
      <c r="B145" s="12" t="s">
        <v>167</v>
      </c>
      <c r="T145" s="12">
        <f>-T125/T5</f>
        <v>1.5370882941106359</v>
      </c>
      <c r="U145" s="12">
        <f>-U125/U5</f>
        <v>0.75780482071883415</v>
      </c>
      <c r="V145" s="12">
        <f>-V125/V5</f>
        <v>1.1445702093516665</v>
      </c>
    </row>
    <row r="146" spans="2:23" s="12" customFormat="1" x14ac:dyDescent="0.3">
      <c r="B146" s="12" t="s">
        <v>168</v>
      </c>
      <c r="T146" s="12">
        <f>T144/T5</f>
        <v>-1.4612165437232647</v>
      </c>
      <c r="U146" s="12">
        <f>U144/U5</f>
        <v>-0.47884524979699988</v>
      </c>
      <c r="V146" s="12">
        <f>V144/V5</f>
        <v>-0.65380232045235454</v>
      </c>
    </row>
    <row r="147" spans="2:23" s="12" customFormat="1" x14ac:dyDescent="0.3">
      <c r="B147" s="12" t="s">
        <v>169</v>
      </c>
      <c r="U147" s="12">
        <f t="shared" ref="U147" si="131">U144/T144-1</f>
        <v>-0.1876013957493089</v>
      </c>
      <c r="V147" s="12">
        <f>V144/U144-1</f>
        <v>2.6544468740238298</v>
      </c>
    </row>
    <row r="148" spans="2:23" s="12" customFormat="1" x14ac:dyDescent="0.3"/>
    <row r="149" spans="2:23" x14ac:dyDescent="0.3">
      <c r="T149" s="8"/>
      <c r="U149" s="8"/>
      <c r="V149" s="8"/>
      <c r="W149" s="8"/>
    </row>
    <row r="150" spans="2:23" x14ac:dyDescent="0.3">
      <c r="T150" s="8"/>
      <c r="U150" s="8"/>
      <c r="V150" s="8"/>
      <c r="W150" s="8"/>
    </row>
    <row r="151" spans="2:23" s="8" customFormat="1" x14ac:dyDescent="0.3">
      <c r="B151" s="8" t="s">
        <v>108</v>
      </c>
      <c r="H151" s="8">
        <v>-29822</v>
      </c>
      <c r="L151" s="8">
        <v>-75938</v>
      </c>
      <c r="M151" s="8">
        <v>-59710</v>
      </c>
      <c r="S151" s="8">
        <v>-35753</v>
      </c>
      <c r="T151" s="8">
        <v>-10978</v>
      </c>
      <c r="U151" s="8">
        <v>-81605</v>
      </c>
      <c r="V151" s="8">
        <v>-148054</v>
      </c>
    </row>
    <row r="152" spans="2:23" s="8" customFormat="1" x14ac:dyDescent="0.3">
      <c r="B152" s="8" t="s">
        <v>109</v>
      </c>
    </row>
    <row r="153" spans="2:23" s="8" customFormat="1" x14ac:dyDescent="0.3">
      <c r="B153" s="8" t="s">
        <v>110</v>
      </c>
      <c r="H153" s="8">
        <v>-4215</v>
      </c>
      <c r="U153" s="8">
        <v>4121</v>
      </c>
      <c r="V153" s="8">
        <v>-4215</v>
      </c>
    </row>
    <row r="154" spans="2:23" s="8" customFormat="1" x14ac:dyDescent="0.3">
      <c r="B154" s="8" t="s">
        <v>111</v>
      </c>
      <c r="H154" s="8">
        <v>7210</v>
      </c>
      <c r="U154" s="8">
        <v>0</v>
      </c>
      <c r="V154" s="8">
        <v>7210</v>
      </c>
    </row>
    <row r="155" spans="2:23" s="8" customFormat="1" x14ac:dyDescent="0.3">
      <c r="B155" s="8" t="s">
        <v>112</v>
      </c>
      <c r="H155" s="8">
        <v>-3448</v>
      </c>
      <c r="U155" s="8">
        <v>0</v>
      </c>
      <c r="V155" s="8">
        <v>-3448</v>
      </c>
    </row>
    <row r="156" spans="2:23" s="8" customFormat="1" x14ac:dyDescent="0.3">
      <c r="B156" s="8" t="s">
        <v>113</v>
      </c>
      <c r="H156" s="8">
        <v>1626</v>
      </c>
      <c r="L156" s="8">
        <v>3807</v>
      </c>
      <c r="M156" s="8">
        <v>1799</v>
      </c>
      <c r="U156" s="8">
        <v>1566</v>
      </c>
      <c r="V156" s="8">
        <v>7715</v>
      </c>
    </row>
    <row r="157" spans="2:23" s="8" customFormat="1" x14ac:dyDescent="0.3">
      <c r="B157" s="8" t="s">
        <v>114</v>
      </c>
      <c r="H157" s="8">
        <v>-98</v>
      </c>
      <c r="L157" s="8">
        <v>-228</v>
      </c>
      <c r="M157" s="8">
        <v>-108</v>
      </c>
      <c r="U157" s="8">
        <v>-94</v>
      </c>
      <c r="V157" s="8">
        <v>-463</v>
      </c>
    </row>
    <row r="158" spans="2:23" s="9" customFormat="1" x14ac:dyDescent="0.3">
      <c r="B158" s="9" t="s">
        <v>115</v>
      </c>
      <c r="H158" s="9">
        <f>SUM(H151:H157)</f>
        <v>-28747</v>
      </c>
      <c r="I158" s="9">
        <f t="shared" ref="I158:O158" si="132">SUM(I151:I157)</f>
        <v>0</v>
      </c>
      <c r="J158" s="9">
        <f t="shared" si="132"/>
        <v>0</v>
      </c>
      <c r="K158" s="9">
        <f t="shared" si="132"/>
        <v>0</v>
      </c>
      <c r="L158" s="9">
        <f t="shared" si="132"/>
        <v>-72359</v>
      </c>
      <c r="M158" s="9">
        <f t="shared" si="132"/>
        <v>-58019</v>
      </c>
      <c r="N158" s="9">
        <f t="shared" si="132"/>
        <v>0</v>
      </c>
      <c r="O158" s="9">
        <f t="shared" si="132"/>
        <v>0</v>
      </c>
      <c r="U158" s="9">
        <v>-76012</v>
      </c>
      <c r="V158" s="9">
        <v>-141256</v>
      </c>
    </row>
    <row r="159" spans="2:23" s="8" customFormat="1" x14ac:dyDescent="0.3">
      <c r="B159" s="8" t="s">
        <v>116</v>
      </c>
      <c r="H159" s="8">
        <v>38</v>
      </c>
      <c r="L159" s="8">
        <v>109</v>
      </c>
      <c r="M159" s="8">
        <v>794</v>
      </c>
      <c r="U159" s="8">
        <v>42</v>
      </c>
      <c r="V159" s="8">
        <v>249</v>
      </c>
    </row>
    <row r="160" spans="2:23" s="9" customFormat="1" x14ac:dyDescent="0.3">
      <c r="B160" s="9" t="s">
        <v>117</v>
      </c>
      <c r="H160" s="9">
        <f>SUM(H158:H159)</f>
        <v>-28709</v>
      </c>
      <c r="I160" s="9">
        <f t="shared" ref="I160:O160" si="133">SUM(I158:I159)</f>
        <v>0</v>
      </c>
      <c r="J160" s="9">
        <f t="shared" si="133"/>
        <v>0</v>
      </c>
      <c r="K160" s="9">
        <f t="shared" si="133"/>
        <v>0</v>
      </c>
      <c r="L160" s="9">
        <f t="shared" si="133"/>
        <v>-72250</v>
      </c>
      <c r="M160" s="9">
        <f t="shared" si="133"/>
        <v>-57225</v>
      </c>
      <c r="N160" s="9">
        <f t="shared" si="133"/>
        <v>0</v>
      </c>
      <c r="O160" s="9">
        <f t="shared" si="133"/>
        <v>0</v>
      </c>
      <c r="S160" s="9">
        <v>-10978</v>
      </c>
      <c r="T160" s="9">
        <v>-35753</v>
      </c>
      <c r="U160" s="9">
        <v>-75970</v>
      </c>
      <c r="V160" s="9">
        <v>-141007</v>
      </c>
    </row>
    <row r="161" spans="2:22" s="8" customFormat="1" x14ac:dyDescent="0.3">
      <c r="B161" s="8" t="s">
        <v>118</v>
      </c>
      <c r="H161" s="8">
        <v>813</v>
      </c>
      <c r="L161" s="8">
        <v>2039</v>
      </c>
      <c r="M161" s="8">
        <v>1664</v>
      </c>
      <c r="S161" s="8">
        <v>1399</v>
      </c>
      <c r="T161" s="8">
        <v>3259</v>
      </c>
      <c r="U161" s="8">
        <v>4191</v>
      </c>
      <c r="V161" s="8">
        <v>5499</v>
      </c>
    </row>
    <row r="162" spans="2:22" s="11" customFormat="1" x14ac:dyDescent="0.3">
      <c r="B162" s="11" t="s">
        <v>119</v>
      </c>
      <c r="H162" s="11">
        <f>-H160/H161</f>
        <v>35.312423124231245</v>
      </c>
      <c r="I162" s="11" t="e">
        <f t="shared" ref="I162:O162" si="134">-I160/I161</f>
        <v>#DIV/0!</v>
      </c>
      <c r="J162" s="11" t="e">
        <f t="shared" si="134"/>
        <v>#DIV/0!</v>
      </c>
      <c r="K162" s="11" t="e">
        <f t="shared" si="134"/>
        <v>#DIV/0!</v>
      </c>
      <c r="L162" s="11">
        <f t="shared" si="134"/>
        <v>35.434036292300149</v>
      </c>
      <c r="M162" s="11">
        <f t="shared" si="134"/>
        <v>34.39002403846154</v>
      </c>
      <c r="N162" s="11" t="e">
        <f t="shared" si="134"/>
        <v>#DIV/0!</v>
      </c>
      <c r="O162" s="11" t="e">
        <f t="shared" si="134"/>
        <v>#DIV/0!</v>
      </c>
      <c r="S162" s="11">
        <v>-7.8</v>
      </c>
      <c r="T162" s="11">
        <v>-11</v>
      </c>
      <c r="U162" s="11">
        <v>-18.100000000000001</v>
      </c>
      <c r="V162" s="11">
        <v>-25.6</v>
      </c>
    </row>
    <row r="165" spans="2:22" s="8" customFormat="1" x14ac:dyDescent="0.3">
      <c r="B165" s="8" t="s">
        <v>170</v>
      </c>
      <c r="T165" s="8">
        <v>75509</v>
      </c>
      <c r="U165" s="8">
        <v>184087</v>
      </c>
      <c r="V165" s="8">
        <v>484629</v>
      </c>
    </row>
    <row r="166" spans="2:22" s="8" customFormat="1" x14ac:dyDescent="0.3">
      <c r="B166" s="8" t="s">
        <v>171</v>
      </c>
      <c r="T166" s="8" t="s">
        <v>62</v>
      </c>
      <c r="U166" s="8" t="s">
        <v>62</v>
      </c>
      <c r="V166" s="8" t="s">
        <v>62</v>
      </c>
    </row>
    <row r="167" spans="2:22" s="8" customFormat="1" x14ac:dyDescent="0.3">
      <c r="B167" s="8" t="s">
        <v>172</v>
      </c>
      <c r="T167" s="8" t="s">
        <v>62</v>
      </c>
      <c r="U167" s="8">
        <v>3105</v>
      </c>
      <c r="V167" s="8">
        <v>16394</v>
      </c>
    </row>
    <row r="168" spans="2:22" s="9" customFormat="1" x14ac:dyDescent="0.3">
      <c r="B168" s="9" t="s">
        <v>43</v>
      </c>
      <c r="T168" s="9">
        <f t="shared" ref="T168:U168" si="135">SUM(T165:T167)</f>
        <v>75509</v>
      </c>
      <c r="U168" s="9">
        <f t="shared" si="135"/>
        <v>187192</v>
      </c>
      <c r="V168" s="9">
        <f>SUM(V165:V167)</f>
        <v>501023</v>
      </c>
    </row>
    <row r="171" spans="2:22" s="8" customFormat="1" x14ac:dyDescent="0.3">
      <c r="B171" s="8" t="s">
        <v>170</v>
      </c>
      <c r="G171" s="8">
        <v>648</v>
      </c>
      <c r="K171" s="8">
        <v>1748</v>
      </c>
    </row>
    <row r="172" spans="2:22" s="8" customFormat="1" x14ac:dyDescent="0.3">
      <c r="B172" s="8" t="s">
        <v>171</v>
      </c>
      <c r="G172" s="8">
        <v>420217</v>
      </c>
      <c r="K172" s="8">
        <v>1626521</v>
      </c>
    </row>
    <row r="173" spans="2:22" s="8" customFormat="1" x14ac:dyDescent="0.3">
      <c r="B173" s="8" t="s">
        <v>172</v>
      </c>
      <c r="G173" s="8">
        <v>279569</v>
      </c>
      <c r="K173" s="8">
        <v>337162</v>
      </c>
    </row>
    <row r="174" spans="2:22" s="9" customFormat="1" x14ac:dyDescent="0.3">
      <c r="B174" s="9" t="s">
        <v>174</v>
      </c>
      <c r="C174" s="9">
        <f t="shared" ref="C174:J174" si="136">SUM(C171:C173)</f>
        <v>0</v>
      </c>
      <c r="D174" s="9">
        <f t="shared" si="136"/>
        <v>0</v>
      </c>
      <c r="E174" s="9">
        <f t="shared" si="136"/>
        <v>0</v>
      </c>
      <c r="F174" s="9">
        <f t="shared" si="136"/>
        <v>0</v>
      </c>
      <c r="G174" s="9">
        <f t="shared" si="136"/>
        <v>700434</v>
      </c>
      <c r="H174" s="9">
        <f t="shared" si="136"/>
        <v>0</v>
      </c>
      <c r="I174" s="9">
        <f t="shared" si="136"/>
        <v>0</v>
      </c>
      <c r="J174" s="9">
        <f t="shared" si="136"/>
        <v>0</v>
      </c>
      <c r="K174" s="9">
        <f>SUM(K171:K173)</f>
        <v>1965431</v>
      </c>
      <c r="L174" s="9">
        <f>SUM(L171:L173)</f>
        <v>0</v>
      </c>
    </row>
    <row r="177" spans="2:22" x14ac:dyDescent="0.3">
      <c r="B177" s="13" t="s">
        <v>87</v>
      </c>
    </row>
    <row r="178" spans="2:22" s="8" customFormat="1" x14ac:dyDescent="0.3">
      <c r="B178" s="8" t="s">
        <v>175</v>
      </c>
      <c r="G178" s="8">
        <v>177766</v>
      </c>
      <c r="J178" s="8">
        <v>877934</v>
      </c>
      <c r="K178" s="8">
        <v>1135584</v>
      </c>
      <c r="L178" s="8">
        <v>1134032</v>
      </c>
      <c r="M178" s="8">
        <v>1079663</v>
      </c>
    </row>
    <row r="179" spans="2:22" s="8" customFormat="1" x14ac:dyDescent="0.3">
      <c r="B179" s="8" t="s">
        <v>176</v>
      </c>
      <c r="G179" s="8">
        <v>33315</v>
      </c>
      <c r="J179" s="8">
        <v>69406</v>
      </c>
      <c r="K179" s="8">
        <v>76001</v>
      </c>
      <c r="L179" s="8">
        <v>106047</v>
      </c>
      <c r="M179" s="8">
        <v>550636</v>
      </c>
    </row>
    <row r="180" spans="2:22" s="8" customFormat="1" x14ac:dyDescent="0.3">
      <c r="B180" s="8" t="s">
        <v>177</v>
      </c>
      <c r="G180" s="8">
        <v>215542</v>
      </c>
      <c r="J180" s="8">
        <v>517770</v>
      </c>
      <c r="K180" s="8">
        <v>639750</v>
      </c>
      <c r="L180" s="8">
        <v>671382</v>
      </c>
      <c r="M180" s="8">
        <v>686948</v>
      </c>
    </row>
    <row r="181" spans="2:22" s="8" customFormat="1" x14ac:dyDescent="0.3">
      <c r="B181" s="8" t="s">
        <v>278</v>
      </c>
      <c r="M181" s="8">
        <v>160042</v>
      </c>
    </row>
    <row r="182" spans="2:22" s="8" customFormat="1" x14ac:dyDescent="0.3">
      <c r="B182" s="8" t="s">
        <v>178</v>
      </c>
      <c r="G182" s="8">
        <v>4856</v>
      </c>
      <c r="J182" s="8">
        <v>8558</v>
      </c>
      <c r="K182" s="8">
        <v>10002</v>
      </c>
      <c r="L182" s="8">
        <v>7485</v>
      </c>
      <c r="M182" s="8">
        <v>8384</v>
      </c>
    </row>
    <row r="183" spans="2:22" s="8" customFormat="1" x14ac:dyDescent="0.3">
      <c r="B183" s="8" t="s">
        <v>179</v>
      </c>
      <c r="G183" s="8">
        <v>3601</v>
      </c>
      <c r="J183" s="8">
        <v>12049</v>
      </c>
      <c r="K183" s="8">
        <v>13086</v>
      </c>
      <c r="L183" s="8">
        <v>13043</v>
      </c>
      <c r="M183" s="8">
        <v>29702</v>
      </c>
    </row>
    <row r="184" spans="2:22" s="8" customFormat="1" x14ac:dyDescent="0.3">
      <c r="B184" s="8" t="s">
        <v>180</v>
      </c>
      <c r="G184" s="8">
        <v>0</v>
      </c>
      <c r="J184" s="8">
        <v>0</v>
      </c>
      <c r="K184" s="8">
        <v>43</v>
      </c>
      <c r="L184" s="8">
        <v>38</v>
      </c>
      <c r="M184" s="8">
        <v>37</v>
      </c>
    </row>
    <row r="185" spans="2:22" s="8" customFormat="1" x14ac:dyDescent="0.3">
      <c r="B185" s="8" t="s">
        <v>181</v>
      </c>
      <c r="G185" s="8">
        <v>102946</v>
      </c>
      <c r="J185" s="8">
        <v>213763</v>
      </c>
      <c r="K185" s="8">
        <v>237734</v>
      </c>
      <c r="L185" s="8">
        <v>464832</v>
      </c>
      <c r="M185" s="8">
        <v>1038321</v>
      </c>
    </row>
    <row r="186" spans="2:22" s="9" customFormat="1" x14ac:dyDescent="0.3">
      <c r="B186" s="9" t="s">
        <v>184</v>
      </c>
      <c r="C186" s="9">
        <f t="shared" ref="C186:J186" si="137">SUM(C178:C185)</f>
        <v>0</v>
      </c>
      <c r="D186" s="9">
        <f t="shared" si="137"/>
        <v>0</v>
      </c>
      <c r="E186" s="9">
        <f t="shared" si="137"/>
        <v>0</v>
      </c>
      <c r="F186" s="9">
        <f t="shared" si="137"/>
        <v>0</v>
      </c>
      <c r="G186" s="9">
        <f t="shared" si="137"/>
        <v>538026</v>
      </c>
      <c r="H186" s="9">
        <f t="shared" si="137"/>
        <v>0</v>
      </c>
      <c r="I186" s="9">
        <f t="shared" si="137"/>
        <v>0</v>
      </c>
      <c r="J186" s="9">
        <f t="shared" si="137"/>
        <v>1699480</v>
      </c>
      <c r="K186" s="9">
        <f>SUM(K178:K185)</f>
        <v>2112200</v>
      </c>
      <c r="L186" s="9">
        <f t="shared" ref="L186:P186" si="138">SUM(L178:L185)</f>
        <v>2396859</v>
      </c>
      <c r="M186" s="9">
        <f t="shared" si="138"/>
        <v>3553733</v>
      </c>
      <c r="N186" s="9">
        <f t="shared" si="138"/>
        <v>0</v>
      </c>
      <c r="O186" s="9">
        <f t="shared" si="138"/>
        <v>0</v>
      </c>
      <c r="P186" s="9">
        <f t="shared" si="138"/>
        <v>0</v>
      </c>
    </row>
    <row r="187" spans="2:22" s="8" customFormat="1" x14ac:dyDescent="0.3">
      <c r="B187" s="8" t="s">
        <v>182</v>
      </c>
      <c r="G187" s="8">
        <v>-71050</v>
      </c>
      <c r="J187" s="8">
        <v>-117431</v>
      </c>
      <c r="K187" s="8">
        <v>-181246</v>
      </c>
      <c r="L187" s="8">
        <v>-265246</v>
      </c>
      <c r="M187" s="8">
        <v>-346941</v>
      </c>
    </row>
    <row r="188" spans="2:22" s="8" customFormat="1" x14ac:dyDescent="0.3">
      <c r="B188" s="8" t="s">
        <v>183</v>
      </c>
      <c r="G188" s="8">
        <v>-25605</v>
      </c>
      <c r="J188" s="8">
        <v>-6942</v>
      </c>
      <c r="K188" s="8">
        <v>-385</v>
      </c>
      <c r="L188" s="8">
        <v>-16177</v>
      </c>
      <c r="M188" s="8">
        <v>-36341</v>
      </c>
    </row>
    <row r="189" spans="2:22" s="9" customFormat="1" x14ac:dyDescent="0.3">
      <c r="B189" s="9" t="s">
        <v>185</v>
      </c>
      <c r="C189" s="9">
        <f t="shared" ref="C189:J189" si="139">+C186+C187+C188</f>
        <v>0</v>
      </c>
      <c r="D189" s="9">
        <f t="shared" si="139"/>
        <v>0</v>
      </c>
      <c r="E189" s="9">
        <f t="shared" si="139"/>
        <v>0</v>
      </c>
      <c r="F189" s="9">
        <f t="shared" si="139"/>
        <v>0</v>
      </c>
      <c r="G189" s="9">
        <f t="shared" si="139"/>
        <v>441371</v>
      </c>
      <c r="H189" s="9">
        <f t="shared" si="139"/>
        <v>0</v>
      </c>
      <c r="I189" s="9">
        <f t="shared" si="139"/>
        <v>0</v>
      </c>
      <c r="J189" s="9">
        <f t="shared" si="139"/>
        <v>1575107</v>
      </c>
      <c r="K189" s="9">
        <f>+K186+K187+K188</f>
        <v>1930569</v>
      </c>
      <c r="L189" s="9">
        <f t="shared" ref="L189:P189" si="140">+L186+L187+L188</f>
        <v>2115436</v>
      </c>
      <c r="M189" s="9">
        <f t="shared" si="140"/>
        <v>3170451</v>
      </c>
      <c r="N189" s="9">
        <f t="shared" si="140"/>
        <v>0</v>
      </c>
      <c r="O189" s="9">
        <f t="shared" si="140"/>
        <v>0</v>
      </c>
      <c r="P189" s="9">
        <f t="shared" si="140"/>
        <v>0</v>
      </c>
    </row>
    <row r="191" spans="2:22" x14ac:dyDescent="0.3">
      <c r="B191" s="13" t="s">
        <v>186</v>
      </c>
    </row>
    <row r="192" spans="2:22" s="8" customFormat="1" x14ac:dyDescent="0.3">
      <c r="B192" s="14" t="s">
        <v>170</v>
      </c>
      <c r="T192" s="8">
        <v>-101759</v>
      </c>
      <c r="U192" s="8">
        <v>-31133</v>
      </c>
      <c r="V192" s="8">
        <v>70955</v>
      </c>
    </row>
    <row r="193" spans="2:22" s="8" customFormat="1" x14ac:dyDescent="0.3">
      <c r="B193" s="14" t="s">
        <v>187</v>
      </c>
      <c r="T193" s="8">
        <v>-67679</v>
      </c>
      <c r="U193" s="8">
        <v>5666</v>
      </c>
      <c r="V193" s="8">
        <v>22546</v>
      </c>
    </row>
    <row r="194" spans="2:22" s="9" customFormat="1" x14ac:dyDescent="0.3">
      <c r="B194" s="15" t="s">
        <v>30</v>
      </c>
      <c r="T194" s="9">
        <f t="shared" ref="T194:U194" si="141">SUM(T192:T193)</f>
        <v>-169438</v>
      </c>
      <c r="U194" s="9">
        <f t="shared" si="141"/>
        <v>-25467</v>
      </c>
      <c r="V194" s="9">
        <f>SUM(V192:V193)</f>
        <v>93501</v>
      </c>
    </row>
  </sheetData>
  <phoneticPr fontId="7" type="noConversion"/>
  <hyperlinks>
    <hyperlink ref="A1" location="Main!A1" display="Main" xr:uid="{6E5A083D-875D-4F27-B707-6A6EC2F25130}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88A3-425E-4563-94E1-719F63FB1B81}">
  <dimension ref="A1:Q28"/>
  <sheetViews>
    <sheetView workbookViewId="0">
      <selection activeCell="D7" sqref="D7:E7"/>
    </sheetView>
  </sheetViews>
  <sheetFormatPr defaultColWidth="8.6640625" defaultRowHeight="13.2" x14ac:dyDescent="0.25"/>
  <cols>
    <col min="1" max="1" width="12.33203125" style="2" customWidth="1"/>
    <col min="2" max="2" width="18.6640625" style="2" customWidth="1"/>
    <col min="3" max="3" width="9.21875" style="2" customWidth="1"/>
    <col min="4" max="7" width="8.77734375" style="2" customWidth="1"/>
    <col min="8" max="8" width="10.33203125" style="2" bestFit="1" customWidth="1"/>
    <col min="9" max="9" width="21.5546875" style="21" bestFit="1" customWidth="1"/>
    <col min="10" max="10" width="13.21875" style="21" customWidth="1"/>
    <col min="11" max="11" width="8.77734375" style="2" customWidth="1"/>
    <col min="12" max="12" width="8.6640625" style="2"/>
    <col min="13" max="13" width="10.5546875" style="2" customWidth="1"/>
    <col min="14" max="14" width="24.88671875" style="2" bestFit="1" customWidth="1"/>
    <col min="15" max="15" width="51.77734375" style="2" customWidth="1"/>
    <col min="16" max="16" width="26" style="2" bestFit="1" customWidth="1"/>
    <col min="17" max="16384" width="8.6640625" style="2"/>
  </cols>
  <sheetData>
    <row r="1" spans="1:17" ht="14.4" x14ac:dyDescent="0.3">
      <c r="A1" s="1" t="s">
        <v>0</v>
      </c>
    </row>
    <row r="3" spans="1:17" ht="14.4" x14ac:dyDescent="0.3">
      <c r="A3" s="1" t="s">
        <v>232</v>
      </c>
    </row>
    <row r="4" spans="1:17" x14ac:dyDescent="0.25">
      <c r="A4" s="42" t="s">
        <v>7</v>
      </c>
      <c r="B4" s="42"/>
      <c r="C4" s="42"/>
      <c r="D4" s="51" t="s">
        <v>8</v>
      </c>
      <c r="E4" s="51"/>
      <c r="F4" s="51" t="s">
        <v>9</v>
      </c>
      <c r="G4" s="51"/>
      <c r="H4" s="3" t="s">
        <v>229</v>
      </c>
      <c r="I4" s="28" t="s">
        <v>230</v>
      </c>
      <c r="J4" s="28" t="s">
        <v>231</v>
      </c>
      <c r="K4" s="42" t="s">
        <v>10</v>
      </c>
      <c r="L4" s="42"/>
      <c r="M4" s="42"/>
      <c r="N4" s="16" t="s">
        <v>235</v>
      </c>
      <c r="O4" s="16" t="s">
        <v>234</v>
      </c>
      <c r="P4" s="16" t="s">
        <v>237</v>
      </c>
      <c r="Q4" s="16" t="s">
        <v>238</v>
      </c>
    </row>
    <row r="5" spans="1:17" x14ac:dyDescent="0.25">
      <c r="A5" s="44" t="s">
        <v>11</v>
      </c>
      <c r="B5" s="44"/>
      <c r="C5" s="44"/>
      <c r="D5" s="47">
        <v>30</v>
      </c>
      <c r="E5" s="47"/>
      <c r="F5" s="50">
        <v>1.6</v>
      </c>
      <c r="G5" s="50"/>
      <c r="H5" s="2">
        <v>1.05</v>
      </c>
      <c r="I5" s="18">
        <v>70</v>
      </c>
      <c r="J5" s="18">
        <v>10</v>
      </c>
      <c r="K5" s="44" t="s">
        <v>12</v>
      </c>
      <c r="L5" s="44"/>
      <c r="M5" s="44"/>
      <c r="N5" s="2">
        <v>0</v>
      </c>
      <c r="O5" s="2" t="s">
        <v>244</v>
      </c>
      <c r="P5" s="2" t="s">
        <v>244</v>
      </c>
    </row>
    <row r="6" spans="1:17" x14ac:dyDescent="0.25">
      <c r="A6" s="44" t="s">
        <v>13</v>
      </c>
      <c r="B6" s="44"/>
      <c r="C6" s="44"/>
      <c r="D6" s="47">
        <v>80</v>
      </c>
      <c r="E6" s="47"/>
      <c r="F6" s="50">
        <v>5.2</v>
      </c>
      <c r="G6" s="50"/>
      <c r="H6" s="19">
        <v>1.1000000000000001</v>
      </c>
      <c r="I6" s="18">
        <v>70</v>
      </c>
      <c r="J6" s="18">
        <v>11</v>
      </c>
      <c r="K6" s="44" t="s">
        <v>12</v>
      </c>
      <c r="L6" s="44"/>
      <c r="M6" s="44"/>
      <c r="N6" s="2">
        <v>0</v>
      </c>
      <c r="O6" s="2" t="s">
        <v>244</v>
      </c>
      <c r="P6" s="2" t="s">
        <v>244</v>
      </c>
    </row>
    <row r="7" spans="1:17" x14ac:dyDescent="0.25">
      <c r="A7" s="44" t="s">
        <v>14</v>
      </c>
      <c r="B7" s="44"/>
      <c r="C7" s="44"/>
      <c r="D7" s="47">
        <v>50</v>
      </c>
      <c r="E7" s="47"/>
      <c r="F7" s="50">
        <v>3.1</v>
      </c>
      <c r="G7" s="50"/>
      <c r="H7" s="19">
        <v>1.1000000000000001</v>
      </c>
      <c r="I7" s="18">
        <v>70</v>
      </c>
      <c r="J7" s="18">
        <v>12</v>
      </c>
      <c r="K7" s="44" t="s">
        <v>12</v>
      </c>
      <c r="L7" s="44"/>
      <c r="M7" s="44"/>
      <c r="N7" s="2" t="s">
        <v>233</v>
      </c>
      <c r="O7" s="2" t="s">
        <v>236</v>
      </c>
      <c r="P7" s="2">
        <f>1900+5500+2300+1200</f>
        <v>10900</v>
      </c>
      <c r="Q7" s="2" t="s">
        <v>239</v>
      </c>
    </row>
    <row r="8" spans="1:17" x14ac:dyDescent="0.25">
      <c r="A8" s="44" t="s">
        <v>15</v>
      </c>
      <c r="B8" s="44"/>
      <c r="C8" s="44"/>
      <c r="D8" s="47">
        <v>650</v>
      </c>
      <c r="E8" s="47"/>
      <c r="F8" s="50">
        <v>40.1</v>
      </c>
      <c r="G8" s="50"/>
      <c r="H8" s="19">
        <v>1.1000000000000001</v>
      </c>
      <c r="I8" s="18">
        <v>200</v>
      </c>
      <c r="J8" s="18">
        <v>420</v>
      </c>
      <c r="K8" s="44" t="s">
        <v>12</v>
      </c>
      <c r="L8" s="44"/>
      <c r="M8" s="44"/>
    </row>
    <row r="9" spans="1:17" s="16" customFormat="1" x14ac:dyDescent="0.25">
      <c r="A9" s="42" t="s">
        <v>16</v>
      </c>
      <c r="B9" s="42"/>
      <c r="C9" s="42"/>
      <c r="D9" s="48">
        <v>810</v>
      </c>
      <c r="E9" s="48"/>
      <c r="F9" s="49">
        <v>50</v>
      </c>
      <c r="G9" s="49"/>
      <c r="H9" s="5">
        <f>AVERAGE(H5:H8)</f>
        <v>1.0875000000000001</v>
      </c>
      <c r="I9" s="5">
        <f>AVERAGE(I5:I8)</f>
        <v>102.5</v>
      </c>
      <c r="J9" s="4">
        <f>SUM(J5:J8)</f>
        <v>453</v>
      </c>
      <c r="K9" s="41"/>
      <c r="L9" s="41"/>
      <c r="M9" s="41"/>
    </row>
    <row r="10" spans="1:17" x14ac:dyDescent="0.25">
      <c r="A10" s="44" t="s">
        <v>17</v>
      </c>
      <c r="B10" s="44"/>
      <c r="C10" s="44"/>
      <c r="D10" s="47">
        <v>75</v>
      </c>
      <c r="E10" s="47"/>
      <c r="F10" s="45" t="s">
        <v>18</v>
      </c>
      <c r="G10" s="45"/>
      <c r="H10" s="20"/>
      <c r="I10" s="29"/>
      <c r="J10" s="29"/>
      <c r="K10" s="44" t="s">
        <v>19</v>
      </c>
      <c r="L10" s="44"/>
      <c r="M10" s="44"/>
      <c r="N10" s="2">
        <v>0</v>
      </c>
      <c r="O10" s="2" t="s">
        <v>240</v>
      </c>
      <c r="P10" s="2">
        <v>0</v>
      </c>
      <c r="Q10" s="2" t="s">
        <v>241</v>
      </c>
    </row>
    <row r="11" spans="1:17" x14ac:dyDescent="0.25">
      <c r="A11" s="44" t="s">
        <v>20</v>
      </c>
      <c r="B11" s="44"/>
      <c r="C11" s="44"/>
      <c r="D11" s="47">
        <v>1400</v>
      </c>
      <c r="E11" s="47"/>
      <c r="F11" s="45" t="s">
        <v>18</v>
      </c>
      <c r="G11" s="45"/>
      <c r="H11" s="20"/>
      <c r="J11" s="29">
        <v>1300</v>
      </c>
      <c r="K11" s="44" t="s">
        <v>21</v>
      </c>
      <c r="L11" s="44"/>
      <c r="M11" s="44"/>
      <c r="N11" s="2">
        <v>0</v>
      </c>
      <c r="O11" s="2" t="s">
        <v>242</v>
      </c>
      <c r="P11" s="2">
        <v>0</v>
      </c>
      <c r="Q11" s="2" t="s">
        <v>243</v>
      </c>
    </row>
    <row r="12" spans="1:17" s="16" customFormat="1" x14ac:dyDescent="0.25">
      <c r="A12" s="42" t="s">
        <v>22</v>
      </c>
      <c r="B12" s="42"/>
      <c r="C12" s="42"/>
      <c r="D12" s="48">
        <v>1475</v>
      </c>
      <c r="E12" s="48"/>
      <c r="F12" s="43" t="s">
        <v>18</v>
      </c>
      <c r="G12" s="43"/>
      <c r="H12" s="6"/>
      <c r="J12" s="30"/>
      <c r="K12" s="41"/>
      <c r="L12" s="41"/>
      <c r="M12" s="41"/>
    </row>
    <row r="13" spans="1:17" x14ac:dyDescent="0.25">
      <c r="A13" s="44" t="s">
        <v>23</v>
      </c>
      <c r="B13" s="44"/>
      <c r="C13" s="44"/>
      <c r="D13" s="47">
        <v>25</v>
      </c>
      <c r="E13" s="47"/>
      <c r="F13" s="46"/>
      <c r="G13" s="46"/>
      <c r="K13" s="44" t="s">
        <v>24</v>
      </c>
      <c r="L13" s="44"/>
      <c r="M13" s="44"/>
    </row>
    <row r="14" spans="1:17" x14ac:dyDescent="0.25">
      <c r="A14" s="44" t="s">
        <v>25</v>
      </c>
      <c r="B14" s="44"/>
      <c r="C14" s="44"/>
      <c r="D14" s="47">
        <v>600</v>
      </c>
      <c r="E14" s="47"/>
      <c r="F14" s="46"/>
      <c r="G14" s="46"/>
      <c r="J14" s="21">
        <v>500</v>
      </c>
      <c r="K14" s="44" t="s">
        <v>26</v>
      </c>
      <c r="L14" s="44"/>
      <c r="M14" s="44"/>
    </row>
    <row r="15" spans="1:17" x14ac:dyDescent="0.25">
      <c r="A15" s="44" t="s">
        <v>27</v>
      </c>
      <c r="B15" s="44"/>
      <c r="C15" s="44"/>
      <c r="D15" s="45" t="s">
        <v>28</v>
      </c>
      <c r="E15" s="45"/>
      <c r="F15" s="46"/>
      <c r="G15" s="46"/>
      <c r="K15" s="44" t="s">
        <v>29</v>
      </c>
      <c r="L15" s="44"/>
      <c r="M15" s="44"/>
    </row>
    <row r="16" spans="1:17" s="16" customFormat="1" x14ac:dyDescent="0.25">
      <c r="A16" s="42" t="s">
        <v>30</v>
      </c>
      <c r="B16" s="42"/>
      <c r="C16" s="42"/>
      <c r="D16" s="43" t="s">
        <v>31</v>
      </c>
      <c r="E16" s="43"/>
      <c r="F16" s="41"/>
      <c r="G16" s="41"/>
      <c r="I16" s="31"/>
      <c r="J16" s="31">
        <f>SUM(J9:J15)</f>
        <v>2253</v>
      </c>
      <c r="K16" s="41"/>
      <c r="L16" s="41"/>
      <c r="M16" s="41"/>
    </row>
    <row r="19" spans="1:6" x14ac:dyDescent="0.25">
      <c r="A19" s="2" t="s">
        <v>245</v>
      </c>
      <c r="B19" s="2" t="s">
        <v>246</v>
      </c>
    </row>
    <row r="22" spans="1:6" x14ac:dyDescent="0.25">
      <c r="A22" s="32" t="s">
        <v>247</v>
      </c>
      <c r="B22" s="16" t="s">
        <v>250</v>
      </c>
      <c r="C22" s="16" t="s">
        <v>251</v>
      </c>
      <c r="D22" s="16" t="s">
        <v>248</v>
      </c>
      <c r="E22" s="16" t="s">
        <v>249</v>
      </c>
      <c r="F22" s="16"/>
    </row>
    <row r="23" spans="1:6" x14ac:dyDescent="0.25">
      <c r="A23" s="33" t="s">
        <v>253</v>
      </c>
    </row>
    <row r="24" spans="1:6" s="21" customFormat="1" x14ac:dyDescent="0.25">
      <c r="A24" s="34" t="s">
        <v>252</v>
      </c>
      <c r="B24" s="21">
        <v>80</v>
      </c>
      <c r="C24" s="21">
        <v>2048</v>
      </c>
      <c r="D24" s="21">
        <v>224</v>
      </c>
      <c r="E24" s="21">
        <v>30</v>
      </c>
    </row>
    <row r="25" spans="1:6" s="21" customFormat="1" x14ac:dyDescent="0.25">
      <c r="A25" s="34" t="s">
        <v>254</v>
      </c>
      <c r="B25" s="21">
        <v>141</v>
      </c>
      <c r="C25" s="21">
        <v>2048</v>
      </c>
      <c r="D25" s="21">
        <v>224</v>
      </c>
      <c r="E25" s="21">
        <v>30</v>
      </c>
    </row>
    <row r="26" spans="1:6" s="21" customFormat="1" x14ac:dyDescent="0.25">
      <c r="A26" s="34" t="s">
        <v>255</v>
      </c>
      <c r="B26" s="21">
        <v>180</v>
      </c>
      <c r="C26" s="21">
        <v>2048</v>
      </c>
      <c r="D26" s="21">
        <v>224</v>
      </c>
      <c r="E26" s="21">
        <v>15.4</v>
      </c>
    </row>
    <row r="27" spans="1:6" s="21" customFormat="1" x14ac:dyDescent="0.25">
      <c r="A27" s="34" t="s">
        <v>256</v>
      </c>
      <c r="B27" s="21">
        <v>288</v>
      </c>
      <c r="C27" s="21">
        <v>3096</v>
      </c>
      <c r="D27" s="21">
        <v>256</v>
      </c>
      <c r="E27" s="21">
        <v>30</v>
      </c>
    </row>
    <row r="28" spans="1:6" s="21" customFormat="1" x14ac:dyDescent="0.25">
      <c r="A28" s="34" t="s">
        <v>257</v>
      </c>
      <c r="B28" s="21">
        <v>288</v>
      </c>
      <c r="C28" s="21">
        <v>20736</v>
      </c>
      <c r="D28" s="21">
        <v>2592</v>
      </c>
      <c r="E28" s="21">
        <v>276</v>
      </c>
    </row>
  </sheetData>
  <mergeCells count="52">
    <mergeCell ref="K4:M4"/>
    <mergeCell ref="A5:C5"/>
    <mergeCell ref="D5:E5"/>
    <mergeCell ref="F5:G5"/>
    <mergeCell ref="K5:M5"/>
    <mergeCell ref="A4:C4"/>
    <mergeCell ref="D4:E4"/>
    <mergeCell ref="F4:G4"/>
    <mergeCell ref="K6:M6"/>
    <mergeCell ref="A7:C7"/>
    <mergeCell ref="D7:E7"/>
    <mergeCell ref="F7:G7"/>
    <mergeCell ref="K7:M7"/>
    <mergeCell ref="A6:C6"/>
    <mergeCell ref="D6:E6"/>
    <mergeCell ref="F6:G6"/>
    <mergeCell ref="K8:M8"/>
    <mergeCell ref="A9:C9"/>
    <mergeCell ref="D9:E9"/>
    <mergeCell ref="F9:G9"/>
    <mergeCell ref="K9:M9"/>
    <mergeCell ref="A8:C8"/>
    <mergeCell ref="D8:E8"/>
    <mergeCell ref="F8:G8"/>
    <mergeCell ref="K10:M10"/>
    <mergeCell ref="A11:C11"/>
    <mergeCell ref="D11:E11"/>
    <mergeCell ref="F11:G11"/>
    <mergeCell ref="K11:M11"/>
    <mergeCell ref="A10:C10"/>
    <mergeCell ref="D10:E10"/>
    <mergeCell ref="F10:G10"/>
    <mergeCell ref="K12:M12"/>
    <mergeCell ref="A13:C13"/>
    <mergeCell ref="D13:E13"/>
    <mergeCell ref="F13:G13"/>
    <mergeCell ref="K13:M13"/>
    <mergeCell ref="A12:C12"/>
    <mergeCell ref="D12:E12"/>
    <mergeCell ref="F12:G12"/>
    <mergeCell ref="K16:M16"/>
    <mergeCell ref="A16:C16"/>
    <mergeCell ref="D16:E16"/>
    <mergeCell ref="F16:G16"/>
    <mergeCell ref="K14:M14"/>
    <mergeCell ref="A15:C15"/>
    <mergeCell ref="D15:E15"/>
    <mergeCell ref="F15:G15"/>
    <mergeCell ref="K15:M15"/>
    <mergeCell ref="A14:C14"/>
    <mergeCell ref="D14:E14"/>
    <mergeCell ref="F14:G14"/>
  </mergeCells>
  <hyperlinks>
    <hyperlink ref="A1" location="Main!A1" display="Main" xr:uid="{1C27ABBF-124D-4943-8947-56414AEE542D}"/>
    <hyperlink ref="A3" r:id="rId1" xr:uid="{DFC039B4-80ED-42FC-934B-5585569B7F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Data 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2026-02-08T10:00:23Z</dcterms:modified>
</cp:coreProperties>
</file>